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tables/table5.xml" ContentType="application/vnd.openxmlformats-officedocument.spreadsheetml.table+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esticorp-my.sharepoint.com/personal/yoonseok_moon_sticorp_co_kr/Documents/Projects/인도네시아 팜 상장사 대시보드/"/>
    </mc:Choice>
  </mc:AlternateContent>
  <xr:revisionPtr revIDLastSave="10" documentId="11_677520C5D39CDE79CF4134572AD41A27ED9F35AE" xr6:coauthVersionLast="47" xr6:coauthVersionMax="47" xr10:uidLastSave="{2D3720DA-C3DF-458C-8046-B38930D69DC1}"/>
  <bookViews>
    <workbookView xWindow="-108" yWindow="-108" windowWidth="23256" windowHeight="12456" tabRatio="500" activeTab="3" xr2:uid="{00000000-000D-0000-FFFF-FFFF00000000}"/>
  </bookViews>
  <sheets>
    <sheet name="Instructions" sheetId="1" r:id="rId1"/>
    <sheet name="Raw_Extract" sheetId="2" r:id="rId2"/>
    <sheet name="Company_Master" sheetId="3" r:id="rId3"/>
    <sheet name="Asset_Operations" sheetId="4" r:id="rId4"/>
    <sheet name="Financials" sheetId="5" r:id="rId5"/>
    <sheet name="Screening" sheetId="6" r:id="rId6"/>
    <sheet name="Scoring_Criteria" sheetId="7" r:id="rId7"/>
    <sheet name="Validation_Summary" sheetId="8" r:id="rId8"/>
    <sheet name="NLM_Backfill_Log" sheetId="9" r:id="rId9"/>
    <sheet name="Review_Required" sheetId="10" r:id="rId10"/>
  </sheet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7" i="8" l="1"/>
  <c r="J97" i="8"/>
  <c r="I97" i="8"/>
  <c r="H97" i="8"/>
  <c r="G97" i="8"/>
  <c r="D97" i="8"/>
  <c r="C97" i="8"/>
  <c r="B97" i="8"/>
  <c r="N96" i="8"/>
  <c r="J96" i="8"/>
  <c r="I96" i="8"/>
  <c r="H96" i="8"/>
  <c r="G96" i="8"/>
  <c r="D96" i="8"/>
  <c r="C96" i="8"/>
  <c r="B96" i="8"/>
  <c r="N95" i="8"/>
  <c r="J95" i="8"/>
  <c r="I95" i="8"/>
  <c r="H95" i="8"/>
  <c r="G95" i="8"/>
  <c r="D95" i="8"/>
  <c r="C95" i="8"/>
  <c r="B95" i="8"/>
  <c r="N94" i="8"/>
  <c r="J94" i="8"/>
  <c r="I94" i="8"/>
  <c r="H94" i="8"/>
  <c r="G94" i="8"/>
  <c r="D94" i="8"/>
  <c r="C94" i="8"/>
  <c r="B94" i="8"/>
  <c r="N93" i="8"/>
  <c r="J93" i="8"/>
  <c r="I93" i="8"/>
  <c r="H93" i="8"/>
  <c r="G93" i="8"/>
  <c r="F93" i="8"/>
  <c r="D93" i="8"/>
  <c r="C93" i="8"/>
  <c r="B93" i="8"/>
  <c r="N92" i="8"/>
  <c r="L92" i="8"/>
  <c r="J92" i="8"/>
  <c r="I92" i="8"/>
  <c r="H92" i="8"/>
  <c r="G92" i="8"/>
  <c r="D92" i="8"/>
  <c r="C92" i="8"/>
  <c r="B92" i="8"/>
  <c r="N91" i="8"/>
  <c r="J91" i="8"/>
  <c r="I91" i="8"/>
  <c r="H91" i="8"/>
  <c r="G91" i="8"/>
  <c r="D91" i="8"/>
  <c r="C91" i="8"/>
  <c r="B91" i="8"/>
  <c r="N90" i="8"/>
  <c r="J90" i="8"/>
  <c r="I90" i="8"/>
  <c r="H90" i="8"/>
  <c r="G90" i="8"/>
  <c r="D90" i="8"/>
  <c r="C90" i="8"/>
  <c r="B90" i="8"/>
  <c r="N89" i="8"/>
  <c r="J89" i="8"/>
  <c r="I89" i="8"/>
  <c r="H89" i="8"/>
  <c r="G89" i="8"/>
  <c r="D89" i="8"/>
  <c r="C89" i="8"/>
  <c r="B89" i="8"/>
  <c r="N88" i="8"/>
  <c r="J88" i="8"/>
  <c r="I88" i="8"/>
  <c r="H88" i="8"/>
  <c r="G88" i="8"/>
  <c r="D88" i="8"/>
  <c r="C88" i="8"/>
  <c r="B88" i="8"/>
  <c r="N87" i="8"/>
  <c r="K87" i="8"/>
  <c r="J87" i="8"/>
  <c r="I87" i="8"/>
  <c r="H87" i="8"/>
  <c r="G87" i="8"/>
  <c r="D87" i="8"/>
  <c r="C87" i="8"/>
  <c r="B87" i="8"/>
  <c r="N86" i="8"/>
  <c r="J86" i="8"/>
  <c r="I86" i="8"/>
  <c r="H86" i="8"/>
  <c r="G86" i="8"/>
  <c r="D86" i="8"/>
  <c r="C86" i="8"/>
  <c r="B86" i="8"/>
  <c r="N85" i="8"/>
  <c r="J85" i="8"/>
  <c r="I85" i="8"/>
  <c r="H85" i="8"/>
  <c r="G85" i="8"/>
  <c r="D85" i="8"/>
  <c r="C85" i="8"/>
  <c r="B85" i="8"/>
  <c r="N84" i="8"/>
  <c r="J84" i="8"/>
  <c r="I84" i="8"/>
  <c r="H84" i="8"/>
  <c r="G84" i="8"/>
  <c r="D84" i="8"/>
  <c r="C84" i="8"/>
  <c r="B84" i="8"/>
  <c r="N83" i="8"/>
  <c r="J83" i="8"/>
  <c r="I83" i="8"/>
  <c r="H83" i="8"/>
  <c r="G83" i="8"/>
  <c r="D83" i="8"/>
  <c r="C83" i="8"/>
  <c r="B83" i="8"/>
  <c r="N82" i="8"/>
  <c r="J82" i="8"/>
  <c r="I82" i="8"/>
  <c r="H82" i="8"/>
  <c r="G82" i="8"/>
  <c r="D82" i="8"/>
  <c r="C82" i="8"/>
  <c r="B82" i="8"/>
  <c r="N81" i="8"/>
  <c r="J81" i="8"/>
  <c r="I81" i="8"/>
  <c r="H81" i="8"/>
  <c r="G81" i="8"/>
  <c r="D81" i="8"/>
  <c r="C81" i="8"/>
  <c r="B81" i="8"/>
  <c r="N80" i="8"/>
  <c r="J80" i="8"/>
  <c r="I80" i="8"/>
  <c r="H80" i="8"/>
  <c r="G80" i="8"/>
  <c r="D80" i="8"/>
  <c r="C80" i="8"/>
  <c r="B80" i="8"/>
  <c r="N79" i="8"/>
  <c r="J79" i="8"/>
  <c r="I79" i="8"/>
  <c r="H79" i="8"/>
  <c r="G79" i="8"/>
  <c r="D79" i="8"/>
  <c r="C79" i="8"/>
  <c r="B79" i="8"/>
  <c r="N78" i="8"/>
  <c r="J78" i="8"/>
  <c r="I78" i="8"/>
  <c r="H78" i="8"/>
  <c r="G78" i="8"/>
  <c r="D78" i="8"/>
  <c r="C78" i="8"/>
  <c r="B78" i="8"/>
  <c r="N77" i="8"/>
  <c r="J77" i="8"/>
  <c r="I77" i="8"/>
  <c r="H77" i="8"/>
  <c r="G77" i="8"/>
  <c r="D77" i="8"/>
  <c r="C77" i="8"/>
  <c r="B77" i="8"/>
  <c r="N76" i="8"/>
  <c r="J76" i="8"/>
  <c r="I76" i="8"/>
  <c r="H76" i="8"/>
  <c r="G76" i="8"/>
  <c r="D76" i="8"/>
  <c r="C76" i="8"/>
  <c r="B76" i="8"/>
  <c r="N75" i="8"/>
  <c r="J75" i="8"/>
  <c r="I75" i="8"/>
  <c r="H75" i="8"/>
  <c r="G75" i="8"/>
  <c r="D75" i="8"/>
  <c r="C75" i="8"/>
  <c r="B75" i="8"/>
  <c r="N74" i="8"/>
  <c r="J74" i="8"/>
  <c r="I74" i="8"/>
  <c r="H74" i="8"/>
  <c r="G74" i="8"/>
  <c r="D74" i="8"/>
  <c r="C74" i="8"/>
  <c r="B74" i="8"/>
  <c r="N73" i="8"/>
  <c r="J73" i="8"/>
  <c r="I73" i="8"/>
  <c r="H73" i="8"/>
  <c r="G73" i="8"/>
  <c r="D73" i="8"/>
  <c r="C73" i="8"/>
  <c r="B73" i="8"/>
  <c r="N72" i="8"/>
  <c r="J72" i="8"/>
  <c r="I72" i="8"/>
  <c r="H72" i="8"/>
  <c r="G72" i="8"/>
  <c r="D72" i="8"/>
  <c r="C72" i="8"/>
  <c r="B72" i="8"/>
  <c r="N71" i="8"/>
  <c r="J71" i="8"/>
  <c r="I71" i="8"/>
  <c r="H71" i="8"/>
  <c r="G71" i="8"/>
  <c r="D71" i="8"/>
  <c r="C71" i="8"/>
  <c r="B71" i="8"/>
  <c r="N70" i="8"/>
  <c r="J70" i="8"/>
  <c r="I70" i="8"/>
  <c r="H70" i="8"/>
  <c r="G70" i="8"/>
  <c r="D70" i="8"/>
  <c r="C70" i="8"/>
  <c r="B70" i="8"/>
  <c r="N69" i="8"/>
  <c r="J69" i="8"/>
  <c r="I69" i="8"/>
  <c r="H69" i="8"/>
  <c r="G69" i="8"/>
  <c r="D69" i="8"/>
  <c r="C69" i="8"/>
  <c r="B69" i="8"/>
  <c r="N68" i="8"/>
  <c r="J68" i="8"/>
  <c r="I68" i="8"/>
  <c r="H68" i="8"/>
  <c r="G68" i="8"/>
  <c r="D68" i="8"/>
  <c r="C68" i="8"/>
  <c r="B68" i="8"/>
  <c r="N67" i="8"/>
  <c r="J67" i="8"/>
  <c r="I67" i="8"/>
  <c r="H67" i="8"/>
  <c r="G67" i="8"/>
  <c r="D67" i="8"/>
  <c r="C67" i="8"/>
  <c r="B67" i="8"/>
  <c r="N66" i="8"/>
  <c r="J66" i="8"/>
  <c r="I66" i="8"/>
  <c r="H66" i="8"/>
  <c r="G66" i="8"/>
  <c r="D66" i="8"/>
  <c r="C66" i="8"/>
  <c r="B66" i="8"/>
  <c r="N65" i="8"/>
  <c r="J65" i="8"/>
  <c r="I65" i="8"/>
  <c r="H65" i="8"/>
  <c r="G65" i="8"/>
  <c r="D65" i="8"/>
  <c r="C65" i="8"/>
  <c r="B65" i="8"/>
  <c r="N64" i="8"/>
  <c r="J64" i="8"/>
  <c r="I64" i="8"/>
  <c r="H64" i="8"/>
  <c r="G64" i="8"/>
  <c r="D64" i="8"/>
  <c r="C64" i="8"/>
  <c r="B64" i="8"/>
  <c r="N63" i="8"/>
  <c r="J63" i="8"/>
  <c r="I63" i="8"/>
  <c r="H63" i="8"/>
  <c r="G63" i="8"/>
  <c r="D63" i="8"/>
  <c r="C63" i="8"/>
  <c r="B63" i="8"/>
  <c r="N62" i="8"/>
  <c r="J62" i="8"/>
  <c r="I62" i="8"/>
  <c r="H62" i="8"/>
  <c r="G62" i="8"/>
  <c r="F62" i="8"/>
  <c r="D62" i="8"/>
  <c r="C62" i="8"/>
  <c r="B62" i="8"/>
  <c r="N61" i="8"/>
  <c r="J61" i="8"/>
  <c r="I61" i="8"/>
  <c r="H61" i="8"/>
  <c r="G61" i="8"/>
  <c r="D61" i="8"/>
  <c r="C61" i="8"/>
  <c r="B61" i="8"/>
  <c r="N60" i="8"/>
  <c r="J60" i="8"/>
  <c r="I60" i="8"/>
  <c r="H60" i="8"/>
  <c r="G60" i="8"/>
  <c r="D60" i="8"/>
  <c r="C60" i="8"/>
  <c r="B60" i="8"/>
  <c r="N59" i="8"/>
  <c r="J59" i="8"/>
  <c r="I59" i="8"/>
  <c r="H59" i="8"/>
  <c r="G59" i="8"/>
  <c r="D59" i="8"/>
  <c r="C59" i="8"/>
  <c r="B59" i="8"/>
  <c r="N58" i="8"/>
  <c r="J58" i="8"/>
  <c r="I58" i="8"/>
  <c r="H58" i="8"/>
  <c r="G58" i="8"/>
  <c r="D58" i="8"/>
  <c r="C58" i="8"/>
  <c r="B58" i="8"/>
  <c r="N57" i="8"/>
  <c r="J57" i="8"/>
  <c r="I57" i="8"/>
  <c r="H57" i="8"/>
  <c r="G57" i="8"/>
  <c r="D57" i="8"/>
  <c r="C57" i="8"/>
  <c r="B57" i="8"/>
  <c r="N56" i="8"/>
  <c r="J56" i="8"/>
  <c r="I56" i="8"/>
  <c r="H56" i="8"/>
  <c r="G56" i="8"/>
  <c r="D56" i="8"/>
  <c r="C56" i="8"/>
  <c r="B56" i="8"/>
  <c r="N55" i="8"/>
  <c r="J55" i="8"/>
  <c r="I55" i="8"/>
  <c r="H55" i="8"/>
  <c r="G55" i="8"/>
  <c r="D55" i="8"/>
  <c r="C55" i="8"/>
  <c r="B55" i="8"/>
  <c r="N54" i="8"/>
  <c r="J54" i="8"/>
  <c r="I54" i="8"/>
  <c r="H54" i="8"/>
  <c r="G54" i="8"/>
  <c r="D54" i="8"/>
  <c r="C54" i="8"/>
  <c r="B54" i="8"/>
  <c r="N53" i="8"/>
  <c r="J53" i="8"/>
  <c r="I53" i="8"/>
  <c r="H53" i="8"/>
  <c r="G53" i="8"/>
  <c r="D53" i="8"/>
  <c r="C53" i="8"/>
  <c r="B53" i="8"/>
  <c r="N52" i="8"/>
  <c r="J52" i="8"/>
  <c r="I52" i="8"/>
  <c r="H52" i="8"/>
  <c r="G52" i="8"/>
  <c r="D52" i="8"/>
  <c r="C52" i="8"/>
  <c r="B52" i="8"/>
  <c r="N51" i="8"/>
  <c r="K51" i="8"/>
  <c r="J51" i="8"/>
  <c r="I51" i="8"/>
  <c r="H51" i="8"/>
  <c r="G51" i="8"/>
  <c r="D51" i="8"/>
  <c r="C51" i="8"/>
  <c r="B51" i="8"/>
  <c r="N50" i="8"/>
  <c r="J50" i="8"/>
  <c r="I50" i="8"/>
  <c r="H50" i="8"/>
  <c r="G50" i="8"/>
  <c r="D50" i="8"/>
  <c r="C50" i="8"/>
  <c r="B50" i="8"/>
  <c r="N49" i="8"/>
  <c r="J49" i="8"/>
  <c r="I49" i="8"/>
  <c r="H49" i="8"/>
  <c r="G49" i="8"/>
  <c r="D49" i="8"/>
  <c r="C49" i="8"/>
  <c r="B49" i="8"/>
  <c r="N48" i="8"/>
  <c r="J48" i="8"/>
  <c r="I48" i="8"/>
  <c r="H48" i="8"/>
  <c r="G48" i="8"/>
  <c r="D48" i="8"/>
  <c r="C48" i="8"/>
  <c r="B48" i="8"/>
  <c r="N47" i="8"/>
  <c r="J47" i="8"/>
  <c r="I47" i="8"/>
  <c r="H47" i="8"/>
  <c r="G47" i="8"/>
  <c r="D47" i="8"/>
  <c r="C47" i="8"/>
  <c r="B47" i="8"/>
  <c r="N46" i="8"/>
  <c r="J46" i="8"/>
  <c r="I46" i="8"/>
  <c r="H46" i="8"/>
  <c r="G46" i="8"/>
  <c r="D46" i="8"/>
  <c r="C46" i="8"/>
  <c r="B46" i="8"/>
  <c r="N45" i="8"/>
  <c r="J45" i="8"/>
  <c r="I45" i="8"/>
  <c r="H45" i="8"/>
  <c r="G45" i="8"/>
  <c r="D45" i="8"/>
  <c r="C45" i="8"/>
  <c r="B45" i="8"/>
  <c r="N44" i="8"/>
  <c r="J44" i="8"/>
  <c r="I44" i="8"/>
  <c r="H44" i="8"/>
  <c r="G44" i="8"/>
  <c r="D44" i="8"/>
  <c r="C44" i="8"/>
  <c r="B44" i="8"/>
  <c r="N43" i="8"/>
  <c r="J43" i="8"/>
  <c r="I43" i="8"/>
  <c r="H43" i="8"/>
  <c r="G43" i="8"/>
  <c r="D43" i="8"/>
  <c r="C43" i="8"/>
  <c r="B43" i="8"/>
  <c r="N42" i="8"/>
  <c r="J42" i="8"/>
  <c r="I42" i="8"/>
  <c r="H42" i="8"/>
  <c r="G42" i="8"/>
  <c r="D42" i="8"/>
  <c r="C42" i="8"/>
  <c r="B42" i="8"/>
  <c r="N41" i="8"/>
  <c r="J41" i="8"/>
  <c r="I41" i="8"/>
  <c r="H41" i="8"/>
  <c r="G41" i="8"/>
  <c r="D41" i="8"/>
  <c r="C41" i="8"/>
  <c r="B41" i="8"/>
  <c r="N40" i="8"/>
  <c r="J40" i="8"/>
  <c r="I40" i="8"/>
  <c r="H40" i="8"/>
  <c r="G40" i="8"/>
  <c r="D40" i="8"/>
  <c r="C40" i="8"/>
  <c r="B40" i="8"/>
  <c r="N39" i="8"/>
  <c r="J39" i="8"/>
  <c r="I39" i="8"/>
  <c r="H39" i="8"/>
  <c r="G39" i="8"/>
  <c r="D39" i="8"/>
  <c r="C39" i="8"/>
  <c r="B39" i="8"/>
  <c r="N38" i="8"/>
  <c r="J38" i="8"/>
  <c r="I38" i="8"/>
  <c r="H38" i="8"/>
  <c r="G38" i="8"/>
  <c r="D38" i="8"/>
  <c r="C38" i="8"/>
  <c r="B38" i="8"/>
  <c r="N37" i="8"/>
  <c r="J37" i="8"/>
  <c r="I37" i="8"/>
  <c r="H37" i="8"/>
  <c r="G37" i="8"/>
  <c r="D37" i="8"/>
  <c r="C37" i="8"/>
  <c r="B37" i="8"/>
  <c r="N36" i="8"/>
  <c r="J36" i="8"/>
  <c r="I36" i="8"/>
  <c r="H36" i="8"/>
  <c r="G36" i="8"/>
  <c r="D36" i="8"/>
  <c r="C36" i="8"/>
  <c r="B36" i="8"/>
  <c r="N35" i="8"/>
  <c r="J35" i="8"/>
  <c r="I35" i="8"/>
  <c r="H35" i="8"/>
  <c r="G35" i="8"/>
  <c r="D35" i="8"/>
  <c r="C35" i="8"/>
  <c r="B35" i="8"/>
  <c r="N34" i="8"/>
  <c r="J34" i="8"/>
  <c r="I34" i="8"/>
  <c r="H34" i="8"/>
  <c r="G34" i="8"/>
  <c r="D34" i="8"/>
  <c r="C34" i="8"/>
  <c r="B34" i="8"/>
  <c r="N33" i="8"/>
  <c r="J33" i="8"/>
  <c r="I33" i="8"/>
  <c r="H33" i="8"/>
  <c r="G33" i="8"/>
  <c r="D33" i="8"/>
  <c r="C33" i="8"/>
  <c r="B33" i="8"/>
  <c r="N32" i="8"/>
  <c r="J32" i="8"/>
  <c r="I32" i="8"/>
  <c r="H32" i="8"/>
  <c r="G32" i="8"/>
  <c r="D32" i="8"/>
  <c r="C32" i="8"/>
  <c r="B32" i="8"/>
  <c r="N31" i="8"/>
  <c r="J31" i="8"/>
  <c r="I31" i="8"/>
  <c r="H31" i="8"/>
  <c r="G31" i="8"/>
  <c r="D31" i="8"/>
  <c r="C31" i="8"/>
  <c r="B31" i="8"/>
  <c r="N30" i="8"/>
  <c r="J30" i="8"/>
  <c r="I30" i="8"/>
  <c r="H30" i="8"/>
  <c r="G30" i="8"/>
  <c r="D30" i="8"/>
  <c r="C30" i="8"/>
  <c r="B30" i="8"/>
  <c r="N29" i="8"/>
  <c r="J29" i="8"/>
  <c r="I29" i="8"/>
  <c r="H29" i="8"/>
  <c r="G29" i="8"/>
  <c r="F29" i="8"/>
  <c r="D29" i="8"/>
  <c r="C29" i="8"/>
  <c r="B29" i="8"/>
  <c r="N28" i="8"/>
  <c r="J28" i="8"/>
  <c r="I28" i="8"/>
  <c r="H28" i="8"/>
  <c r="G28" i="8"/>
  <c r="D28" i="8"/>
  <c r="C28" i="8"/>
  <c r="B28" i="8"/>
  <c r="N27" i="8"/>
  <c r="J27" i="8"/>
  <c r="I27" i="8"/>
  <c r="H27" i="8"/>
  <c r="G27" i="8"/>
  <c r="D27" i="8"/>
  <c r="C27" i="8"/>
  <c r="B27" i="8"/>
  <c r="N26" i="8"/>
  <c r="J26" i="8"/>
  <c r="I26" i="8"/>
  <c r="H26" i="8"/>
  <c r="G26" i="8"/>
  <c r="D26" i="8"/>
  <c r="C26" i="8"/>
  <c r="B26" i="8"/>
  <c r="N25" i="8"/>
  <c r="J25" i="8"/>
  <c r="I25" i="8"/>
  <c r="H25" i="8"/>
  <c r="G25" i="8"/>
  <c r="D25" i="8"/>
  <c r="C25" i="8"/>
  <c r="B25" i="8"/>
  <c r="N24" i="8"/>
  <c r="J24" i="8"/>
  <c r="I24" i="8"/>
  <c r="H24" i="8"/>
  <c r="G24" i="8"/>
  <c r="D24" i="8"/>
  <c r="C24" i="8"/>
  <c r="B24" i="8"/>
  <c r="N23" i="8"/>
  <c r="J23" i="8"/>
  <c r="I23" i="8"/>
  <c r="H23" i="8"/>
  <c r="G23" i="8"/>
  <c r="D23" i="8"/>
  <c r="C23" i="8"/>
  <c r="B23" i="8"/>
  <c r="N22" i="8"/>
  <c r="J22" i="8"/>
  <c r="I22" i="8"/>
  <c r="H22" i="8"/>
  <c r="G22" i="8"/>
  <c r="D22" i="8"/>
  <c r="C22" i="8"/>
  <c r="B22" i="8"/>
  <c r="N21" i="8"/>
  <c r="J21" i="8"/>
  <c r="I21" i="8"/>
  <c r="H21" i="8"/>
  <c r="G21" i="8"/>
  <c r="D21" i="8"/>
  <c r="C21" i="8"/>
  <c r="B21" i="8"/>
  <c r="N20" i="8"/>
  <c r="J20" i="8"/>
  <c r="I20" i="8"/>
  <c r="H20" i="8"/>
  <c r="G20" i="8"/>
  <c r="D20" i="8"/>
  <c r="C20" i="8"/>
  <c r="B20" i="8"/>
  <c r="N19" i="8"/>
  <c r="J19" i="8"/>
  <c r="I19" i="8"/>
  <c r="H19" i="8"/>
  <c r="G19" i="8"/>
  <c r="D19" i="8"/>
  <c r="C19" i="8"/>
  <c r="B19" i="8"/>
  <c r="N18" i="8"/>
  <c r="J18" i="8"/>
  <c r="I18" i="8"/>
  <c r="H18" i="8"/>
  <c r="G18" i="8"/>
  <c r="E18" i="8"/>
  <c r="D18" i="8"/>
  <c r="C18" i="8"/>
  <c r="B18" i="8"/>
  <c r="N17" i="8"/>
  <c r="J17" i="8"/>
  <c r="I17" i="8"/>
  <c r="H17" i="8"/>
  <c r="G17" i="8"/>
  <c r="D17" i="8"/>
  <c r="C17" i="8"/>
  <c r="B17" i="8"/>
  <c r="N16" i="8"/>
  <c r="J16" i="8"/>
  <c r="I16" i="8"/>
  <c r="H16" i="8"/>
  <c r="G16" i="8"/>
  <c r="D16" i="8"/>
  <c r="C16" i="8"/>
  <c r="B16" i="8"/>
  <c r="N15" i="8"/>
  <c r="J15" i="8"/>
  <c r="I15" i="8"/>
  <c r="H15" i="8"/>
  <c r="G15" i="8"/>
  <c r="D15" i="8"/>
  <c r="C15" i="8"/>
  <c r="B15" i="8"/>
  <c r="N14" i="8"/>
  <c r="J14" i="8"/>
  <c r="I14" i="8"/>
  <c r="H14" i="8"/>
  <c r="G14" i="8"/>
  <c r="D14" i="8"/>
  <c r="C14" i="8"/>
  <c r="B14" i="8"/>
  <c r="N13" i="8"/>
  <c r="J13" i="8"/>
  <c r="I13" i="8"/>
  <c r="H13" i="8"/>
  <c r="G13" i="8"/>
  <c r="D13" i="8"/>
  <c r="C13" i="8"/>
  <c r="B13" i="8"/>
  <c r="N12" i="8"/>
  <c r="J12" i="8"/>
  <c r="I12" i="8"/>
  <c r="H12" i="8"/>
  <c r="G12" i="8"/>
  <c r="D12" i="8"/>
  <c r="C12" i="8"/>
  <c r="B12" i="8"/>
  <c r="N11" i="8"/>
  <c r="J11" i="8"/>
  <c r="I11" i="8"/>
  <c r="H11" i="8"/>
  <c r="G11" i="8"/>
  <c r="F11" i="8"/>
  <c r="D11" i="8"/>
  <c r="C11" i="8"/>
  <c r="B11" i="8"/>
  <c r="N10" i="8"/>
  <c r="J10" i="8"/>
  <c r="I10" i="8"/>
  <c r="H10" i="8"/>
  <c r="G10" i="8"/>
  <c r="D10" i="8"/>
  <c r="C10" i="8"/>
  <c r="B10" i="8"/>
  <c r="N9" i="8"/>
  <c r="J9" i="8"/>
  <c r="I9" i="8"/>
  <c r="H9" i="8"/>
  <c r="G9" i="8"/>
  <c r="D9" i="8"/>
  <c r="C9" i="8"/>
  <c r="B9" i="8"/>
  <c r="N8" i="8"/>
  <c r="J8" i="8"/>
  <c r="I8" i="8"/>
  <c r="H8" i="8"/>
  <c r="G8" i="8"/>
  <c r="D8" i="8"/>
  <c r="C8" i="8"/>
  <c r="B8" i="8"/>
  <c r="N7" i="8"/>
  <c r="J7" i="8"/>
  <c r="I7" i="8"/>
  <c r="H7" i="8"/>
  <c r="G7" i="8"/>
  <c r="D7" i="8"/>
  <c r="C7" i="8"/>
  <c r="B7" i="8"/>
  <c r="N6" i="8"/>
  <c r="J6" i="8"/>
  <c r="I6" i="8"/>
  <c r="H6" i="8"/>
  <c r="G6" i="8"/>
  <c r="D6" i="8"/>
  <c r="C6" i="8"/>
  <c r="B6" i="8"/>
  <c r="N5" i="8"/>
  <c r="J5" i="8"/>
  <c r="I5" i="8"/>
  <c r="H5" i="8"/>
  <c r="G5" i="8"/>
  <c r="D5" i="8"/>
  <c r="C5" i="8"/>
  <c r="B5" i="8"/>
  <c r="AD94" i="6"/>
  <c r="Q94" i="6" a="1"/>
  <c r="Q94" i="6" s="1"/>
  <c r="P94" i="6" a="1"/>
  <c r="P94" i="6" s="1"/>
  <c r="O94" i="6" a="1"/>
  <c r="O94" i="6" s="1"/>
  <c r="V94" i="6" s="1"/>
  <c r="L94" i="6" a="1"/>
  <c r="L94" i="6"/>
  <c r="W94" i="6" s="1"/>
  <c r="K94" i="6" a="1"/>
  <c r="K94" i="6"/>
  <c r="J94" i="6" a="1"/>
  <c r="J94" i="6"/>
  <c r="I94" i="6" a="1"/>
  <c r="I94" i="6"/>
  <c r="Z94" i="6" s="1"/>
  <c r="H94" i="6" a="1"/>
  <c r="H94" i="6" s="1"/>
  <c r="G94" i="6" a="1"/>
  <c r="G94" i="6" s="1"/>
  <c r="F94" i="6" a="1"/>
  <c r="F94" i="6"/>
  <c r="E94" i="6" a="1"/>
  <c r="E94" i="6"/>
  <c r="D94" i="6" a="1"/>
  <c r="D94" i="6" s="1"/>
  <c r="B94" i="6" a="1"/>
  <c r="B94" i="6" s="1"/>
  <c r="W93" i="6"/>
  <c r="Q93" i="6" a="1"/>
  <c r="Q93" i="6"/>
  <c r="P93" i="6" a="1"/>
  <c r="P93" i="6"/>
  <c r="O93" i="6" a="1"/>
  <c r="O93" i="6"/>
  <c r="V93" i="6" s="1"/>
  <c r="L93" i="6" a="1"/>
  <c r="L93" i="6"/>
  <c r="K93" i="6" a="1"/>
  <c r="K93" i="6"/>
  <c r="J93" i="6" a="1"/>
  <c r="J93" i="6" s="1"/>
  <c r="I93" i="6" a="1"/>
  <c r="I93" i="6"/>
  <c r="H93" i="6" a="1"/>
  <c r="H93" i="6"/>
  <c r="G93" i="6" a="1"/>
  <c r="G93" i="6" s="1"/>
  <c r="F93" i="6" a="1"/>
  <c r="F93" i="6"/>
  <c r="E93" i="6" a="1"/>
  <c r="E93" i="6" s="1"/>
  <c r="D93" i="6" a="1"/>
  <c r="D93" i="6"/>
  <c r="B93" i="6" a="1"/>
  <c r="B93" i="6"/>
  <c r="Z92" i="6"/>
  <c r="X92" i="6"/>
  <c r="S92" i="6" a="1"/>
  <c r="S92" i="6" s="1"/>
  <c r="R92" i="6" a="1"/>
  <c r="R92" i="6" s="1"/>
  <c r="Q92" i="6" a="1"/>
  <c r="Q92" i="6"/>
  <c r="P92" i="6" a="1"/>
  <c r="P92" i="6"/>
  <c r="T92" i="6" s="1"/>
  <c r="AB92" i="6" s="1"/>
  <c r="O92" i="6" a="1"/>
  <c r="O92" i="6"/>
  <c r="V92" i="6" s="1"/>
  <c r="L92" i="6" a="1"/>
  <c r="L92" i="6"/>
  <c r="K92" i="6" a="1"/>
  <c r="K92" i="6" s="1"/>
  <c r="J92" i="6" a="1"/>
  <c r="J92" i="6" s="1"/>
  <c r="I92" i="6" a="1"/>
  <c r="I92" i="6"/>
  <c r="H92" i="6" a="1"/>
  <c r="H92" i="6"/>
  <c r="G92" i="6" a="1"/>
  <c r="G92" i="6"/>
  <c r="F92" i="6" a="1"/>
  <c r="F92" i="6" s="1"/>
  <c r="Y92" i="6" s="1"/>
  <c r="E92" i="6" a="1"/>
  <c r="E92" i="6"/>
  <c r="D92" i="6" a="1"/>
  <c r="D92" i="6"/>
  <c r="B92" i="6" a="1"/>
  <c r="B92" i="6" s="1"/>
  <c r="Y91" i="6"/>
  <c r="T91" i="6"/>
  <c r="AB91" i="6" s="1"/>
  <c r="Q91" i="6" a="1"/>
  <c r="Q91" i="6" s="1"/>
  <c r="P91" i="6" a="1"/>
  <c r="P91" i="6" s="1"/>
  <c r="O91" i="6" a="1"/>
  <c r="O91" i="6"/>
  <c r="V91" i="6" s="1"/>
  <c r="L91" i="6" a="1"/>
  <c r="L91" i="6" s="1"/>
  <c r="W91" i="6" s="1"/>
  <c r="K91" i="6" a="1"/>
  <c r="K91" i="6"/>
  <c r="J91" i="6" a="1"/>
  <c r="J91" i="6"/>
  <c r="I91" i="6" a="1"/>
  <c r="I91" i="6" s="1"/>
  <c r="H91" i="6" a="1"/>
  <c r="H91" i="6" s="1"/>
  <c r="G91" i="6" a="1"/>
  <c r="G91" i="6" s="1"/>
  <c r="F91" i="6" a="1"/>
  <c r="F91" i="6"/>
  <c r="E91" i="6" a="1"/>
  <c r="E91" i="6"/>
  <c r="X91" i="6" s="1"/>
  <c r="D91" i="6" a="1"/>
  <c r="D91" i="6" s="1"/>
  <c r="B91" i="6" a="1"/>
  <c r="B91" i="6" s="1"/>
  <c r="W90" i="6"/>
  <c r="Q90" i="6" a="1"/>
  <c r="Q90" i="6"/>
  <c r="P90" i="6" a="1"/>
  <c r="P90" i="6" s="1"/>
  <c r="O90" i="6" a="1"/>
  <c r="O90" i="6" s="1"/>
  <c r="V90" i="6" s="1"/>
  <c r="L90" i="6" a="1"/>
  <c r="L90" i="6"/>
  <c r="K90" i="6" a="1"/>
  <c r="K90" i="6"/>
  <c r="J90" i="6" a="1"/>
  <c r="J90" i="6" s="1"/>
  <c r="I90" i="6" a="1"/>
  <c r="I90" i="6"/>
  <c r="H90" i="6" a="1"/>
  <c r="H90" i="6"/>
  <c r="G90" i="6" a="1"/>
  <c r="G90" i="6"/>
  <c r="F90" i="6" a="1"/>
  <c r="F90" i="6"/>
  <c r="Y90" i="6" s="1"/>
  <c r="E90" i="6" a="1"/>
  <c r="E90" i="6"/>
  <c r="X90" i="6" s="1"/>
  <c r="D90" i="6" a="1"/>
  <c r="D90" i="6"/>
  <c r="B90" i="6" a="1"/>
  <c r="B90" i="6"/>
  <c r="Q89" i="6" a="1"/>
  <c r="Q89" i="6"/>
  <c r="P89" i="6" a="1"/>
  <c r="P89" i="6"/>
  <c r="O89" i="6" a="1"/>
  <c r="O89" i="6"/>
  <c r="V89" i="6" s="1"/>
  <c r="L89" i="6" a="1"/>
  <c r="L89" i="6" s="1"/>
  <c r="K89" i="6" a="1"/>
  <c r="K89" i="6"/>
  <c r="J89" i="6" a="1"/>
  <c r="J89" i="6"/>
  <c r="Z89" i="6" s="1"/>
  <c r="I89" i="6" a="1"/>
  <c r="I89" i="6"/>
  <c r="H89" i="6" a="1"/>
  <c r="H89" i="6"/>
  <c r="G89" i="6" a="1"/>
  <c r="G89" i="6" s="1"/>
  <c r="F89" i="6" a="1"/>
  <c r="F89" i="6"/>
  <c r="Y89" i="6" s="1"/>
  <c r="E89" i="6" a="1"/>
  <c r="E89" i="6"/>
  <c r="X89" i="6" s="1"/>
  <c r="D89" i="6" a="1"/>
  <c r="D89" i="6"/>
  <c r="B89" i="6" a="1"/>
  <c r="B89" i="6"/>
  <c r="Q88" i="6" a="1"/>
  <c r="Q88" i="6"/>
  <c r="P88" i="6" a="1"/>
  <c r="P88" i="6"/>
  <c r="O88" i="6" a="1"/>
  <c r="O88" i="6" s="1"/>
  <c r="V88" i="6" s="1"/>
  <c r="L88" i="6" a="1"/>
  <c r="L88" i="6" s="1"/>
  <c r="K88" i="6" a="1"/>
  <c r="K88" i="6"/>
  <c r="J88" i="6" a="1"/>
  <c r="J88" i="6" s="1"/>
  <c r="Z88" i="6" s="1"/>
  <c r="I88" i="6" a="1"/>
  <c r="I88" i="6"/>
  <c r="H88" i="6" a="1"/>
  <c r="H88" i="6"/>
  <c r="G88" i="6" a="1"/>
  <c r="G88" i="6"/>
  <c r="F88" i="6" a="1"/>
  <c r="F88" i="6"/>
  <c r="Y88" i="6" s="1"/>
  <c r="E88" i="6" a="1"/>
  <c r="E88" i="6"/>
  <c r="X88" i="6" s="1"/>
  <c r="D88" i="6" a="1"/>
  <c r="D88" i="6" s="1"/>
  <c r="B88" i="6" a="1"/>
  <c r="B88" i="6" s="1"/>
  <c r="Z87" i="6"/>
  <c r="X87" i="6"/>
  <c r="T87" i="6"/>
  <c r="AB87" i="6" s="1"/>
  <c r="Q87" i="6" a="1"/>
  <c r="Q87" i="6"/>
  <c r="P87" i="6" a="1"/>
  <c r="P87" i="6"/>
  <c r="O87" i="6" a="1"/>
  <c r="O87" i="6"/>
  <c r="V87" i="6" s="1"/>
  <c r="L87" i="6" a="1"/>
  <c r="L87" i="6"/>
  <c r="W87" i="6" s="1"/>
  <c r="K87" i="6" a="1"/>
  <c r="K87" i="6"/>
  <c r="J87" i="6" a="1"/>
  <c r="J87" i="6" s="1"/>
  <c r="I87" i="6" a="1"/>
  <c r="I87" i="6" s="1"/>
  <c r="H87" i="6" a="1"/>
  <c r="H87" i="6"/>
  <c r="G87" i="6" a="1"/>
  <c r="G87" i="6"/>
  <c r="F87" i="6" a="1"/>
  <c r="F87" i="6"/>
  <c r="Y87" i="6" s="1"/>
  <c r="E87" i="6" a="1"/>
  <c r="E87" i="6" s="1"/>
  <c r="D87" i="6" a="1"/>
  <c r="D87" i="6" s="1"/>
  <c r="B87" i="6" a="1"/>
  <c r="B87" i="6" s="1"/>
  <c r="X86" i="6"/>
  <c r="Q86" i="6" a="1"/>
  <c r="Q86" i="6"/>
  <c r="P86" i="6" a="1"/>
  <c r="P86" i="6" s="1"/>
  <c r="O86" i="6" a="1"/>
  <c r="O86" i="6" s="1"/>
  <c r="V86" i="6" s="1"/>
  <c r="L86" i="6" a="1"/>
  <c r="L86" i="6" s="1"/>
  <c r="W86" i="6" s="1"/>
  <c r="K86" i="6" a="1"/>
  <c r="K86" i="6" s="1"/>
  <c r="J86" i="6" a="1"/>
  <c r="J86" i="6" s="1"/>
  <c r="Z86" i="6" s="1"/>
  <c r="I86" i="6" a="1"/>
  <c r="I86" i="6"/>
  <c r="H86" i="6" a="1"/>
  <c r="H86" i="6"/>
  <c r="G86" i="6" a="1"/>
  <c r="G86" i="6" s="1"/>
  <c r="F86" i="6" a="1"/>
  <c r="F86" i="6"/>
  <c r="Y86" i="6" s="1"/>
  <c r="E86" i="6" a="1"/>
  <c r="E86" i="6"/>
  <c r="D86" i="6" a="1"/>
  <c r="D86" i="6" s="1"/>
  <c r="B86" i="6" a="1"/>
  <c r="B86" i="6" s="1"/>
  <c r="W85" i="6"/>
  <c r="V85" i="6"/>
  <c r="T85" i="6"/>
  <c r="AB85" i="6" s="1"/>
  <c r="Q85" i="6" a="1"/>
  <c r="Q85" i="6" s="1"/>
  <c r="P85" i="6" a="1"/>
  <c r="P85" i="6"/>
  <c r="O85" i="6" a="1"/>
  <c r="O85" i="6" s="1"/>
  <c r="L85" i="6" a="1"/>
  <c r="L85" i="6" s="1"/>
  <c r="K85" i="6" a="1"/>
  <c r="K85" i="6"/>
  <c r="J85" i="6" a="1"/>
  <c r="J85" i="6" s="1"/>
  <c r="I85" i="6" a="1"/>
  <c r="I85" i="6" s="1"/>
  <c r="Z85" i="6" s="1"/>
  <c r="H85" i="6" a="1"/>
  <c r="H85" i="6"/>
  <c r="G85" i="6" a="1"/>
  <c r="G85" i="6"/>
  <c r="F85" i="6" a="1"/>
  <c r="F85" i="6"/>
  <c r="Y85" i="6" s="1"/>
  <c r="E85" i="6" a="1"/>
  <c r="E85" i="6"/>
  <c r="X85" i="6" s="1"/>
  <c r="D85" i="6" a="1"/>
  <c r="D85" i="6"/>
  <c r="B85" i="6" a="1"/>
  <c r="B85" i="6" s="1"/>
  <c r="Z84" i="6"/>
  <c r="Y84" i="6"/>
  <c r="W84" i="6"/>
  <c r="Q84" i="6" a="1"/>
  <c r="Q84" i="6"/>
  <c r="P84" i="6" a="1"/>
  <c r="P84" i="6"/>
  <c r="O84" i="6" a="1"/>
  <c r="O84" i="6" s="1"/>
  <c r="V84" i="6" s="1"/>
  <c r="L84" i="6" a="1"/>
  <c r="L84" i="6"/>
  <c r="K84" i="6" a="1"/>
  <c r="K84" i="6"/>
  <c r="J84" i="6" a="1"/>
  <c r="J84" i="6" s="1"/>
  <c r="I84" i="6" a="1"/>
  <c r="I84" i="6" s="1"/>
  <c r="H84" i="6" a="1"/>
  <c r="H84" i="6"/>
  <c r="G84" i="6" a="1"/>
  <c r="G84" i="6"/>
  <c r="F84" i="6" a="1"/>
  <c r="F84" i="6"/>
  <c r="E84" i="6" a="1"/>
  <c r="E84" i="6" s="1"/>
  <c r="X84" i="6" s="1"/>
  <c r="D84" i="6" a="1"/>
  <c r="D84" i="6" s="1"/>
  <c r="B84" i="6" a="1"/>
  <c r="B84" i="6"/>
  <c r="AB83" i="6"/>
  <c r="T83" i="6"/>
  <c r="Q83" i="6" a="1"/>
  <c r="Q83" i="6"/>
  <c r="P83" i="6" a="1"/>
  <c r="P83" i="6" s="1"/>
  <c r="O83" i="6" a="1"/>
  <c r="O83" i="6" s="1"/>
  <c r="L83" i="6" a="1"/>
  <c r="L83" i="6" s="1"/>
  <c r="K83" i="6" a="1"/>
  <c r="K83" i="6"/>
  <c r="J83" i="6" a="1"/>
  <c r="J83" i="6" s="1"/>
  <c r="I83" i="6" a="1"/>
  <c r="I83" i="6" s="1"/>
  <c r="H83" i="6" a="1"/>
  <c r="H83" i="6"/>
  <c r="G83" i="6" a="1"/>
  <c r="G83" i="6"/>
  <c r="F83" i="6" a="1"/>
  <c r="F83" i="6"/>
  <c r="E83" i="6" a="1"/>
  <c r="E83" i="6"/>
  <c r="X83" i="6" s="1"/>
  <c r="D83" i="6" a="1"/>
  <c r="D83" i="6"/>
  <c r="B83" i="6" a="1"/>
  <c r="B83" i="6" s="1"/>
  <c r="V82" i="6"/>
  <c r="Q82" i="6" a="1"/>
  <c r="Q82" i="6" s="1"/>
  <c r="P82" i="6" a="1"/>
  <c r="P82" i="6" s="1"/>
  <c r="T82" i="6" s="1"/>
  <c r="AB82" i="6" s="1"/>
  <c r="O82" i="6" a="1"/>
  <c r="O82" i="6"/>
  <c r="L82" i="6" a="1"/>
  <c r="L82" i="6" s="1"/>
  <c r="W82" i="6" s="1"/>
  <c r="K82" i="6" a="1"/>
  <c r="K82" i="6" s="1"/>
  <c r="J82" i="6" a="1"/>
  <c r="J82" i="6"/>
  <c r="I82" i="6" a="1"/>
  <c r="I82" i="6"/>
  <c r="H82" i="6" a="1"/>
  <c r="H82" i="6"/>
  <c r="G82" i="6" a="1"/>
  <c r="G82" i="6" s="1"/>
  <c r="F82" i="6" a="1"/>
  <c r="F82" i="6" s="1"/>
  <c r="Y82" i="6" s="1"/>
  <c r="E82" i="6" a="1"/>
  <c r="E82" i="6"/>
  <c r="X82" i="6" s="1"/>
  <c r="D82" i="6" a="1"/>
  <c r="D82" i="6" s="1"/>
  <c r="B82" i="6" a="1"/>
  <c r="B82" i="6"/>
  <c r="Y81" i="6"/>
  <c r="X81" i="6"/>
  <c r="W81" i="6"/>
  <c r="V81" i="6"/>
  <c r="T81" i="6"/>
  <c r="AB81" i="6" s="1"/>
  <c r="Q81" i="6" a="1"/>
  <c r="Q81" i="6"/>
  <c r="P81" i="6" a="1"/>
  <c r="P81" i="6"/>
  <c r="O81" i="6" a="1"/>
  <c r="O81" i="6"/>
  <c r="L81" i="6" a="1"/>
  <c r="L81" i="6" s="1"/>
  <c r="K81" i="6" a="1"/>
  <c r="K81" i="6"/>
  <c r="J81" i="6" a="1"/>
  <c r="J81" i="6" s="1"/>
  <c r="I81" i="6" a="1"/>
  <c r="I81" i="6"/>
  <c r="H81" i="6" a="1"/>
  <c r="H81" i="6"/>
  <c r="G81" i="6" a="1"/>
  <c r="G81" i="6"/>
  <c r="F81" i="6" a="1"/>
  <c r="F81" i="6"/>
  <c r="E81" i="6" a="1"/>
  <c r="E81" i="6" s="1"/>
  <c r="D81" i="6" a="1"/>
  <c r="D81" i="6" s="1"/>
  <c r="B81" i="6" a="1"/>
  <c r="B81" i="6" s="1"/>
  <c r="Z80" i="6"/>
  <c r="X80" i="6"/>
  <c r="Q80" i="6" a="1"/>
  <c r="Q80" i="6"/>
  <c r="P80" i="6" a="1"/>
  <c r="P80" i="6" s="1"/>
  <c r="O80" i="6" a="1"/>
  <c r="O80" i="6" s="1"/>
  <c r="L80" i="6" a="1"/>
  <c r="L80" i="6"/>
  <c r="W80" i="6" s="1"/>
  <c r="K80" i="6" a="1"/>
  <c r="K80" i="6" s="1"/>
  <c r="J80" i="6" a="1"/>
  <c r="J80" i="6"/>
  <c r="I80" i="6" a="1"/>
  <c r="I80" i="6"/>
  <c r="H80" i="6" a="1"/>
  <c r="H80" i="6"/>
  <c r="G80" i="6" a="1"/>
  <c r="G80" i="6" s="1"/>
  <c r="F80" i="6" a="1"/>
  <c r="F80" i="6" s="1"/>
  <c r="E80" i="6" a="1"/>
  <c r="E80" i="6" s="1"/>
  <c r="Y80" i="6" s="1"/>
  <c r="D80" i="6" a="1"/>
  <c r="D80" i="6" s="1"/>
  <c r="B80" i="6" a="1"/>
  <c r="B80" i="6" s="1"/>
  <c r="X79" i="6"/>
  <c r="Q79" i="6" a="1"/>
  <c r="Q79" i="6" s="1"/>
  <c r="P79" i="6" a="1"/>
  <c r="P79" i="6" s="1"/>
  <c r="T79" i="6" s="1"/>
  <c r="AB79" i="6" s="1"/>
  <c r="O79" i="6" a="1"/>
  <c r="O79" i="6"/>
  <c r="V79" i="6" s="1"/>
  <c r="L79" i="6" a="1"/>
  <c r="L79" i="6"/>
  <c r="K79" i="6" a="1"/>
  <c r="K79" i="6" s="1"/>
  <c r="J79" i="6" a="1"/>
  <c r="J79" i="6" s="1"/>
  <c r="I79" i="6" a="1"/>
  <c r="I79" i="6" s="1"/>
  <c r="H79" i="6" a="1"/>
  <c r="H79" i="6"/>
  <c r="G79" i="6" a="1"/>
  <c r="G79" i="6"/>
  <c r="F79" i="6" a="1"/>
  <c r="F79" i="6"/>
  <c r="E79" i="6" a="1"/>
  <c r="E79" i="6"/>
  <c r="D79" i="6" a="1"/>
  <c r="D79" i="6" s="1"/>
  <c r="B79" i="6" a="1"/>
  <c r="B79" i="6"/>
  <c r="AD78" i="6" a="1"/>
  <c r="AD78" i="6" s="1"/>
  <c r="X78" i="6"/>
  <c r="Q78" i="6" a="1"/>
  <c r="Q78" i="6" s="1"/>
  <c r="P78" i="6" a="1"/>
  <c r="P78" i="6"/>
  <c r="O78" i="6" a="1"/>
  <c r="O78" i="6" s="1"/>
  <c r="V78" i="6" s="1"/>
  <c r="L78" i="6" a="1"/>
  <c r="L78" i="6"/>
  <c r="W78" i="6" s="1"/>
  <c r="K78" i="6" a="1"/>
  <c r="K78" i="6"/>
  <c r="J78" i="6" a="1"/>
  <c r="J78" i="6"/>
  <c r="I78" i="6" a="1"/>
  <c r="I78" i="6" s="1"/>
  <c r="Z78" i="6" s="1"/>
  <c r="H78" i="6" a="1"/>
  <c r="H78" i="6"/>
  <c r="G78" i="6" a="1"/>
  <c r="G78" i="6"/>
  <c r="F78" i="6" a="1"/>
  <c r="F78" i="6"/>
  <c r="Y78" i="6" s="1"/>
  <c r="E78" i="6" a="1"/>
  <c r="E78" i="6" s="1"/>
  <c r="D78" i="6" a="1"/>
  <c r="D78" i="6"/>
  <c r="B78" i="6" a="1"/>
  <c r="B78" i="6" s="1"/>
  <c r="Z77" i="6"/>
  <c r="T77" i="6"/>
  <c r="AB77" i="6" s="1"/>
  <c r="Q77" i="6" a="1"/>
  <c r="Q77" i="6"/>
  <c r="P77" i="6" a="1"/>
  <c r="P77" i="6"/>
  <c r="O77" i="6" a="1"/>
  <c r="O77" i="6"/>
  <c r="L77" i="6" a="1"/>
  <c r="L77" i="6" s="1"/>
  <c r="W77" i="6" s="1"/>
  <c r="K77" i="6" a="1"/>
  <c r="K77" i="6" s="1"/>
  <c r="J77" i="6" a="1"/>
  <c r="J77" i="6"/>
  <c r="I77" i="6" a="1"/>
  <c r="I77" i="6"/>
  <c r="H77" i="6" a="1"/>
  <c r="H77" i="6"/>
  <c r="G77" i="6" a="1"/>
  <c r="G77" i="6" s="1"/>
  <c r="F77" i="6" a="1"/>
  <c r="F77" i="6"/>
  <c r="E77" i="6" a="1"/>
  <c r="E77" i="6"/>
  <c r="D77" i="6" a="1"/>
  <c r="D77" i="6" s="1"/>
  <c r="B77" i="6" a="1"/>
  <c r="B77" i="6" s="1"/>
  <c r="AB76" i="6"/>
  <c r="Y76" i="6"/>
  <c r="Q76" i="6" a="1"/>
  <c r="Q76" i="6"/>
  <c r="P76" i="6" a="1"/>
  <c r="P76" i="6" s="1"/>
  <c r="T76" i="6" s="1"/>
  <c r="O76" i="6" a="1"/>
  <c r="O76" i="6" s="1"/>
  <c r="L76" i="6" a="1"/>
  <c r="L76" i="6" s="1"/>
  <c r="K76" i="6" a="1"/>
  <c r="K76" i="6"/>
  <c r="J76" i="6" a="1"/>
  <c r="J76" i="6" s="1"/>
  <c r="I76" i="6" a="1"/>
  <c r="I76" i="6" s="1"/>
  <c r="Z76" i="6" s="1"/>
  <c r="H76" i="6" a="1"/>
  <c r="H76" i="6" s="1"/>
  <c r="G76" i="6" a="1"/>
  <c r="G76" i="6" s="1"/>
  <c r="F76" i="6" a="1"/>
  <c r="F76" i="6"/>
  <c r="E76" i="6" a="1"/>
  <c r="E76" i="6"/>
  <c r="X76" i="6" s="1"/>
  <c r="D76" i="6" a="1"/>
  <c r="D76" i="6"/>
  <c r="B76" i="6" a="1"/>
  <c r="B76" i="6"/>
  <c r="T75" i="6"/>
  <c r="AB75" i="6" s="1"/>
  <c r="Q75" i="6" a="1"/>
  <c r="Q75" i="6"/>
  <c r="P75" i="6" a="1"/>
  <c r="P75" i="6" s="1"/>
  <c r="O75" i="6" a="1"/>
  <c r="O75" i="6" s="1"/>
  <c r="L75" i="6" a="1"/>
  <c r="L75" i="6"/>
  <c r="K75" i="6" a="1"/>
  <c r="K75" i="6"/>
  <c r="J75" i="6" a="1"/>
  <c r="J75" i="6" s="1"/>
  <c r="I75" i="6" a="1"/>
  <c r="I75" i="6"/>
  <c r="Z75" i="6" s="1"/>
  <c r="H75" i="6" a="1"/>
  <c r="H75" i="6"/>
  <c r="G75" i="6" a="1"/>
  <c r="G75" i="6" s="1"/>
  <c r="F75" i="6" a="1"/>
  <c r="F75" i="6" s="1"/>
  <c r="E75" i="6" a="1"/>
  <c r="E75" i="6"/>
  <c r="X75" i="6" s="1"/>
  <c r="D75" i="6" a="1"/>
  <c r="D75" i="6" s="1"/>
  <c r="B75" i="6" a="1"/>
  <c r="B75" i="6"/>
  <c r="Q74" i="6" a="1"/>
  <c r="Q74" i="6"/>
  <c r="P74" i="6" a="1"/>
  <c r="P74" i="6" s="1"/>
  <c r="O74" i="6" a="1"/>
  <c r="O74" i="6"/>
  <c r="V74" i="6" s="1"/>
  <c r="L74" i="6" a="1"/>
  <c r="L74" i="6" s="1"/>
  <c r="W74" i="6" s="1"/>
  <c r="K74" i="6" a="1"/>
  <c r="K74" i="6" s="1"/>
  <c r="J74" i="6" a="1"/>
  <c r="J74" i="6" s="1"/>
  <c r="I74" i="6" a="1"/>
  <c r="I74" i="6" s="1"/>
  <c r="H74" i="6" a="1"/>
  <c r="H74" i="6"/>
  <c r="G74" i="6" a="1"/>
  <c r="G74" i="6"/>
  <c r="F74" i="6" a="1"/>
  <c r="F74" i="6"/>
  <c r="E74" i="6" a="1"/>
  <c r="E74" i="6" s="1"/>
  <c r="X74" i="6" s="1"/>
  <c r="D74" i="6" a="1"/>
  <c r="D74" i="6" s="1"/>
  <c r="B74" i="6" a="1"/>
  <c r="B74" i="6"/>
  <c r="Z73" i="6"/>
  <c r="Q73" i="6" a="1"/>
  <c r="Q73" i="6"/>
  <c r="P73" i="6" a="1"/>
  <c r="P73" i="6"/>
  <c r="O73" i="6" a="1"/>
  <c r="O73" i="6" s="1"/>
  <c r="V73" i="6" s="1"/>
  <c r="L73" i="6" a="1"/>
  <c r="L73" i="6"/>
  <c r="K73" i="6" a="1"/>
  <c r="K73" i="6"/>
  <c r="J73" i="6" a="1"/>
  <c r="J73" i="6"/>
  <c r="I73" i="6" a="1"/>
  <c r="I73" i="6"/>
  <c r="H73" i="6" a="1"/>
  <c r="H73" i="6" s="1"/>
  <c r="G73" i="6" a="1"/>
  <c r="G73" i="6" s="1"/>
  <c r="F73" i="6" a="1"/>
  <c r="F73" i="6"/>
  <c r="Y73" i="6" s="1"/>
  <c r="E73" i="6" a="1"/>
  <c r="E73" i="6"/>
  <c r="X73" i="6" s="1"/>
  <c r="D73" i="6" a="1"/>
  <c r="D73" i="6"/>
  <c r="B73" i="6" a="1"/>
  <c r="B73" i="6" s="1"/>
  <c r="Z72" i="6"/>
  <c r="Q72" i="6" a="1"/>
  <c r="Q72" i="6" s="1"/>
  <c r="P72" i="6" a="1"/>
  <c r="P72" i="6" s="1"/>
  <c r="T72" i="6" s="1"/>
  <c r="AB72" i="6" s="1"/>
  <c r="O72" i="6" a="1"/>
  <c r="O72" i="6" s="1"/>
  <c r="L72" i="6" a="1"/>
  <c r="L72" i="6"/>
  <c r="W72" i="6" s="1"/>
  <c r="K72" i="6" a="1"/>
  <c r="K72" i="6"/>
  <c r="J72" i="6" a="1"/>
  <c r="J72" i="6"/>
  <c r="I72" i="6" a="1"/>
  <c r="I72" i="6"/>
  <c r="H72" i="6" a="1"/>
  <c r="H72" i="6" s="1"/>
  <c r="G72" i="6" a="1"/>
  <c r="G72" i="6" s="1"/>
  <c r="F72" i="6" a="1"/>
  <c r="F72" i="6"/>
  <c r="E72" i="6" a="1"/>
  <c r="E72" i="6"/>
  <c r="X72" i="6" s="1"/>
  <c r="D72" i="6" a="1"/>
  <c r="D72" i="6"/>
  <c r="B72" i="6" a="1"/>
  <c r="B72" i="6"/>
  <c r="V71" i="6"/>
  <c r="Q71" i="6" a="1"/>
  <c r="Q71" i="6" s="1"/>
  <c r="P71" i="6" a="1"/>
  <c r="P71" i="6"/>
  <c r="T71" i="6" s="1"/>
  <c r="AB71" i="6" s="1"/>
  <c r="O71" i="6" a="1"/>
  <c r="O71" i="6"/>
  <c r="L71" i="6" a="1"/>
  <c r="L71" i="6" s="1"/>
  <c r="W71" i="6" s="1"/>
  <c r="K71" i="6" a="1"/>
  <c r="K71" i="6" s="1"/>
  <c r="J71" i="6" a="1"/>
  <c r="J71" i="6"/>
  <c r="I71" i="6" a="1"/>
  <c r="I71" i="6" s="1"/>
  <c r="H71" i="6" a="1"/>
  <c r="H71" i="6" s="1"/>
  <c r="G71" i="6" a="1"/>
  <c r="G71" i="6"/>
  <c r="F71" i="6" a="1"/>
  <c r="F71" i="6"/>
  <c r="Y71" i="6" s="1"/>
  <c r="E71" i="6" a="1"/>
  <c r="E71" i="6"/>
  <c r="X71" i="6" s="1"/>
  <c r="D71" i="6" a="1"/>
  <c r="D71" i="6"/>
  <c r="B71" i="6" a="1"/>
  <c r="B71" i="6"/>
  <c r="Z70" i="6"/>
  <c r="Y70" i="6"/>
  <c r="Q70" i="6" a="1"/>
  <c r="Q70" i="6" s="1"/>
  <c r="P70" i="6" a="1"/>
  <c r="P70" i="6"/>
  <c r="O70" i="6" a="1"/>
  <c r="O70" i="6" s="1"/>
  <c r="L70" i="6" a="1"/>
  <c r="L70" i="6"/>
  <c r="K70" i="6" a="1"/>
  <c r="K70" i="6" s="1"/>
  <c r="J70" i="6" a="1"/>
  <c r="J70" i="6" s="1"/>
  <c r="I70" i="6" a="1"/>
  <c r="I70" i="6"/>
  <c r="H70" i="6" a="1"/>
  <c r="H70" i="6"/>
  <c r="G70" i="6" a="1"/>
  <c r="G70" i="6" s="1"/>
  <c r="F70" i="6" a="1"/>
  <c r="F70" i="6" s="1"/>
  <c r="E70" i="6" a="1"/>
  <c r="E70" i="6" s="1"/>
  <c r="X70" i="6" s="1"/>
  <c r="D70" i="6" a="1"/>
  <c r="D70" i="6"/>
  <c r="B70" i="6" a="1"/>
  <c r="B70" i="6" s="1"/>
  <c r="Q69" i="6" a="1"/>
  <c r="Q69" i="6" s="1"/>
  <c r="P69" i="6" a="1"/>
  <c r="P69" i="6"/>
  <c r="T69" i="6" s="1"/>
  <c r="AB69" i="6" s="1"/>
  <c r="O69" i="6" a="1"/>
  <c r="O69" i="6"/>
  <c r="L69" i="6" a="1"/>
  <c r="L69" i="6" s="1"/>
  <c r="K69" i="6" a="1"/>
  <c r="K69" i="6"/>
  <c r="J69" i="6" a="1"/>
  <c r="J69" i="6"/>
  <c r="I69" i="6" a="1"/>
  <c r="I69" i="6" s="1"/>
  <c r="Z69" i="6" s="1"/>
  <c r="H69" i="6" a="1"/>
  <c r="H69" i="6" s="1"/>
  <c r="G69" i="6" a="1"/>
  <c r="G69" i="6"/>
  <c r="F69" i="6" a="1"/>
  <c r="F69" i="6" s="1"/>
  <c r="E69" i="6" a="1"/>
  <c r="E69" i="6" s="1"/>
  <c r="X69" i="6" s="1"/>
  <c r="D69" i="6" a="1"/>
  <c r="D69" i="6" s="1"/>
  <c r="B69" i="6" a="1"/>
  <c r="B69" i="6" s="1"/>
  <c r="AD68" i="6"/>
  <c r="AB68" i="6"/>
  <c r="W68" i="6"/>
  <c r="Q68" i="6" a="1"/>
  <c r="Q68" i="6"/>
  <c r="P68" i="6" a="1"/>
  <c r="P68" i="6"/>
  <c r="T68" i="6" s="1"/>
  <c r="O68" i="6" a="1"/>
  <c r="O68" i="6" s="1"/>
  <c r="V68" i="6" s="1"/>
  <c r="L68" i="6" a="1"/>
  <c r="L68" i="6" s="1"/>
  <c r="K68" i="6" a="1"/>
  <c r="K68" i="6"/>
  <c r="J68" i="6" a="1"/>
  <c r="J68" i="6" s="1"/>
  <c r="I68" i="6" a="1"/>
  <c r="I68" i="6" s="1"/>
  <c r="Z68" i="6" s="1"/>
  <c r="H68" i="6" a="1"/>
  <c r="H68" i="6"/>
  <c r="G68" i="6" a="1"/>
  <c r="G68" i="6"/>
  <c r="F68" i="6" a="1"/>
  <c r="F68" i="6" s="1"/>
  <c r="Y68" i="6" s="1"/>
  <c r="E68" i="6" a="1"/>
  <c r="E68" i="6" s="1"/>
  <c r="X68" i="6" s="1"/>
  <c r="D68" i="6" a="1"/>
  <c r="D68" i="6" s="1"/>
  <c r="B68" i="6" a="1"/>
  <c r="B68" i="6"/>
  <c r="Y67" i="6"/>
  <c r="Q67" i="6" a="1"/>
  <c r="Q67" i="6"/>
  <c r="P67" i="6" a="1"/>
  <c r="P67" i="6"/>
  <c r="O67" i="6" a="1"/>
  <c r="O67" i="6" s="1"/>
  <c r="V67" i="6" s="1"/>
  <c r="L67" i="6" a="1"/>
  <c r="L67" i="6" s="1"/>
  <c r="W67" i="6" s="1"/>
  <c r="K67" i="6" a="1"/>
  <c r="K67" i="6"/>
  <c r="J67" i="6" a="1"/>
  <c r="J67" i="6"/>
  <c r="I67" i="6" a="1"/>
  <c r="I67" i="6" s="1"/>
  <c r="H67" i="6" a="1"/>
  <c r="H67" i="6" s="1"/>
  <c r="G67" i="6" a="1"/>
  <c r="G67" i="6"/>
  <c r="F67" i="6" a="1"/>
  <c r="F67" i="6" s="1"/>
  <c r="E67" i="6" a="1"/>
  <c r="E67" i="6"/>
  <c r="X67" i="6" s="1"/>
  <c r="D67" i="6" a="1"/>
  <c r="D67" i="6" s="1"/>
  <c r="B67" i="6" a="1"/>
  <c r="B67" i="6" s="1"/>
  <c r="T66" i="6"/>
  <c r="AB66" i="6" s="1"/>
  <c r="Q66" i="6" a="1"/>
  <c r="Q66" i="6"/>
  <c r="P66" i="6" a="1"/>
  <c r="P66" i="6"/>
  <c r="O66" i="6" a="1"/>
  <c r="O66" i="6" s="1"/>
  <c r="V66" i="6" s="1"/>
  <c r="L66" i="6" a="1"/>
  <c r="L66" i="6" s="1"/>
  <c r="K66" i="6" a="1"/>
  <c r="K66" i="6" s="1"/>
  <c r="J66" i="6" a="1"/>
  <c r="J66" i="6" s="1"/>
  <c r="I66" i="6" a="1"/>
  <c r="I66" i="6"/>
  <c r="Z66" i="6" s="1"/>
  <c r="H66" i="6" a="1"/>
  <c r="H66" i="6" s="1"/>
  <c r="G66" i="6" a="1"/>
  <c r="G66" i="6" s="1"/>
  <c r="F66" i="6" a="1"/>
  <c r="F66" i="6"/>
  <c r="E66" i="6" a="1"/>
  <c r="E66" i="6" s="1"/>
  <c r="X66" i="6" s="1"/>
  <c r="D66" i="6" a="1"/>
  <c r="D66" i="6" s="1"/>
  <c r="B66" i="6" a="1"/>
  <c r="B66" i="6"/>
  <c r="AB65" i="6"/>
  <c r="Z65" i="6"/>
  <c r="Q65" i="6" a="1"/>
  <c r="Q65" i="6" s="1"/>
  <c r="P65" i="6" a="1"/>
  <c r="P65" i="6" s="1"/>
  <c r="O65" i="6" a="1"/>
  <c r="O65" i="6"/>
  <c r="T65" i="6" s="1"/>
  <c r="L65" i="6" a="1"/>
  <c r="L65" i="6" s="1"/>
  <c r="K65" i="6" a="1"/>
  <c r="K65" i="6" s="1"/>
  <c r="J65" i="6" a="1"/>
  <c r="J65" i="6"/>
  <c r="I65" i="6" a="1"/>
  <c r="I65" i="6" s="1"/>
  <c r="H65" i="6" a="1"/>
  <c r="H65" i="6"/>
  <c r="G65" i="6" a="1"/>
  <c r="G65" i="6" s="1"/>
  <c r="F65" i="6" a="1"/>
  <c r="F65" i="6" s="1"/>
  <c r="E65" i="6" a="1"/>
  <c r="E65" i="6" s="1"/>
  <c r="D65" i="6" a="1"/>
  <c r="D65" i="6" s="1"/>
  <c r="B65" i="6" a="1"/>
  <c r="B65" i="6"/>
  <c r="AD64" i="6"/>
  <c r="Q64" i="6" a="1"/>
  <c r="Q64" i="6" s="1"/>
  <c r="P64" i="6" a="1"/>
  <c r="P64" i="6"/>
  <c r="T64" i="6" s="1"/>
  <c r="AB64" i="6" s="1"/>
  <c r="O64" i="6" a="1"/>
  <c r="O64" i="6" s="1"/>
  <c r="V64" i="6" s="1"/>
  <c r="L64" i="6" a="1"/>
  <c r="L64" i="6" s="1"/>
  <c r="K64" i="6" a="1"/>
  <c r="K64" i="6"/>
  <c r="J64" i="6" a="1"/>
  <c r="J64" i="6" s="1"/>
  <c r="Z64" i="6" s="1"/>
  <c r="I64" i="6" a="1"/>
  <c r="I64" i="6"/>
  <c r="H64" i="6" a="1"/>
  <c r="H64" i="6" s="1"/>
  <c r="G64" i="6" a="1"/>
  <c r="G64" i="6"/>
  <c r="F64" i="6" a="1"/>
  <c r="F64" i="6" s="1"/>
  <c r="Y64" i="6" s="1"/>
  <c r="E64" i="6" a="1"/>
  <c r="E64" i="6" s="1"/>
  <c r="X64" i="6" s="1"/>
  <c r="D64" i="6" a="1"/>
  <c r="D64" i="6" s="1"/>
  <c r="B64" i="6" a="1"/>
  <c r="B64" i="6"/>
  <c r="Q63" i="6" a="1"/>
  <c r="Q63" i="6" s="1"/>
  <c r="P63" i="6" a="1"/>
  <c r="P63" i="6"/>
  <c r="T63" i="6" s="1"/>
  <c r="AB63" i="6" s="1"/>
  <c r="O63" i="6" a="1"/>
  <c r="O63" i="6" s="1"/>
  <c r="L63" i="6" a="1"/>
  <c r="L63" i="6"/>
  <c r="K63" i="6" a="1"/>
  <c r="K63" i="6" s="1"/>
  <c r="J63" i="6" a="1"/>
  <c r="J63" i="6" s="1"/>
  <c r="I63" i="6" a="1"/>
  <c r="I63" i="6" s="1"/>
  <c r="Z63" i="6" s="1"/>
  <c r="H63" i="6" a="1"/>
  <c r="H63" i="6"/>
  <c r="G63" i="6" a="1"/>
  <c r="G63" i="6"/>
  <c r="F63" i="6" a="1"/>
  <c r="F63" i="6"/>
  <c r="Y63" i="6" s="1"/>
  <c r="E63" i="6" a="1"/>
  <c r="E63" i="6" s="1"/>
  <c r="X63" i="6" s="1"/>
  <c r="D63" i="6" a="1"/>
  <c r="D63" i="6" s="1"/>
  <c r="B63" i="6" a="1"/>
  <c r="B63" i="6" s="1"/>
  <c r="Q62" i="6" a="1"/>
  <c r="Q62" i="6"/>
  <c r="P62" i="6" a="1"/>
  <c r="P62" i="6" s="1"/>
  <c r="T62" i="6" s="1"/>
  <c r="AB62" i="6" s="1"/>
  <c r="O62" i="6" a="1"/>
  <c r="O62" i="6" s="1"/>
  <c r="V62" i="6" s="1"/>
  <c r="M62" i="6" a="1"/>
  <c r="M62" i="6" s="1"/>
  <c r="AA62" i="6" s="1"/>
  <c r="L62" i="6" a="1"/>
  <c r="L62" i="6"/>
  <c r="K62" i="6" a="1"/>
  <c r="K62" i="6" s="1"/>
  <c r="J62" i="6" a="1"/>
  <c r="J62" i="6" s="1"/>
  <c r="I62" i="6" a="1"/>
  <c r="I62" i="6" s="1"/>
  <c r="H62" i="6" a="1"/>
  <c r="H62" i="6" s="1"/>
  <c r="G62" i="6" a="1"/>
  <c r="G62" i="6" s="1"/>
  <c r="F62" i="6" a="1"/>
  <c r="F62" i="6"/>
  <c r="Y62" i="6" s="1"/>
  <c r="E62" i="6" a="1"/>
  <c r="E62" i="6" s="1"/>
  <c r="X62" i="6" s="1"/>
  <c r="D62" i="6" a="1"/>
  <c r="D62" i="6" s="1"/>
  <c r="B62" i="6" a="1"/>
  <c r="B62" i="6" s="1"/>
  <c r="Q61" i="6" a="1"/>
  <c r="Q61" i="6"/>
  <c r="P61" i="6" a="1"/>
  <c r="P61" i="6"/>
  <c r="O61" i="6" a="1"/>
  <c r="O61" i="6"/>
  <c r="M61" i="6" a="1"/>
  <c r="M61" i="6" s="1"/>
  <c r="AA61" i="6" s="1"/>
  <c r="L61" i="6" a="1"/>
  <c r="L61" i="6"/>
  <c r="W61" i="6" s="1"/>
  <c r="K61" i="6" a="1"/>
  <c r="K61" i="6" s="1"/>
  <c r="J61" i="6" a="1"/>
  <c r="J61" i="6"/>
  <c r="Z61" i="6" s="1"/>
  <c r="I61" i="6" a="1"/>
  <c r="I61" i="6" s="1"/>
  <c r="H61" i="6" a="1"/>
  <c r="H61" i="6" s="1"/>
  <c r="G61" i="6" a="1"/>
  <c r="G61" i="6"/>
  <c r="F61" i="6" a="1"/>
  <c r="F61" i="6"/>
  <c r="E61" i="6" a="1"/>
  <c r="E61" i="6" s="1"/>
  <c r="X61" i="6" s="1"/>
  <c r="D61" i="6" a="1"/>
  <c r="D61" i="6" s="1"/>
  <c r="B61" i="6" a="1"/>
  <c r="B61" i="6" s="1"/>
  <c r="Z60" i="6"/>
  <c r="S60" i="6" a="1"/>
  <c r="S60" i="6" s="1"/>
  <c r="R60" i="6" a="1"/>
  <c r="R60" i="6" s="1"/>
  <c r="Q60" i="6" a="1"/>
  <c r="Q60" i="6"/>
  <c r="P60" i="6" a="1"/>
  <c r="P60" i="6" s="1"/>
  <c r="O60" i="6" a="1"/>
  <c r="O60" i="6" s="1"/>
  <c r="L60" i="6" a="1"/>
  <c r="L60" i="6" s="1"/>
  <c r="K60" i="6" a="1"/>
  <c r="K60" i="6" s="1"/>
  <c r="J60" i="6" a="1"/>
  <c r="J60" i="6" s="1"/>
  <c r="I60" i="6" a="1"/>
  <c r="I60" i="6"/>
  <c r="H60" i="6" a="1"/>
  <c r="H60" i="6" s="1"/>
  <c r="G60" i="6" a="1"/>
  <c r="G60" i="6" s="1"/>
  <c r="F60" i="6" a="1"/>
  <c r="F60" i="6" s="1"/>
  <c r="E60" i="6" a="1"/>
  <c r="E60" i="6" s="1"/>
  <c r="X60" i="6" s="1"/>
  <c r="D60" i="6" a="1"/>
  <c r="D60" i="6" s="1"/>
  <c r="B60" i="6" a="1"/>
  <c r="B60" i="6"/>
  <c r="X59" i="6"/>
  <c r="Q59" i="6" a="1"/>
  <c r="Q59" i="6"/>
  <c r="P59" i="6" a="1"/>
  <c r="P59" i="6" s="1"/>
  <c r="O59" i="6" a="1"/>
  <c r="O59" i="6" s="1"/>
  <c r="V59" i="6" s="1"/>
  <c r="L59" i="6" a="1"/>
  <c r="L59" i="6"/>
  <c r="W59" i="6" s="1"/>
  <c r="K59" i="6" a="1"/>
  <c r="K59" i="6"/>
  <c r="J59" i="6" a="1"/>
  <c r="J59" i="6"/>
  <c r="I59" i="6" a="1"/>
  <c r="I59" i="6" s="1"/>
  <c r="Z59" i="6" s="1"/>
  <c r="H59" i="6" a="1"/>
  <c r="H59" i="6"/>
  <c r="G59" i="6" a="1"/>
  <c r="G59" i="6" s="1"/>
  <c r="F59" i="6" a="1"/>
  <c r="F59" i="6"/>
  <c r="Y59" i="6" s="1"/>
  <c r="E59" i="6" a="1"/>
  <c r="E59" i="6" s="1"/>
  <c r="D59" i="6" a="1"/>
  <c r="D59" i="6" s="1"/>
  <c r="B59" i="6" a="1"/>
  <c r="B59" i="6"/>
  <c r="AD58" i="6" a="1"/>
  <c r="AD58" i="6"/>
  <c r="Q58" i="6" a="1"/>
  <c r="Q58" i="6"/>
  <c r="P58" i="6" a="1"/>
  <c r="P58" i="6"/>
  <c r="T58" i="6" s="1"/>
  <c r="AB58" i="6" s="1"/>
  <c r="O58" i="6" a="1"/>
  <c r="O58" i="6" s="1"/>
  <c r="N58" i="6" a="1"/>
  <c r="N58" i="6"/>
  <c r="L58" i="6" a="1"/>
  <c r="L58" i="6"/>
  <c r="W58" i="6" s="1"/>
  <c r="K58" i="6" a="1"/>
  <c r="K58" i="6" s="1"/>
  <c r="J58" i="6" a="1"/>
  <c r="J58" i="6"/>
  <c r="I58" i="6" a="1"/>
  <c r="I58" i="6" s="1"/>
  <c r="Z58" i="6" s="1"/>
  <c r="H58" i="6" a="1"/>
  <c r="H58" i="6"/>
  <c r="G58" i="6" a="1"/>
  <c r="G58" i="6"/>
  <c r="F58" i="6" a="1"/>
  <c r="F58" i="6"/>
  <c r="E58" i="6" a="1"/>
  <c r="E58" i="6" s="1"/>
  <c r="D58" i="6" a="1"/>
  <c r="D58" i="6" s="1"/>
  <c r="B58" i="6" a="1"/>
  <c r="B58" i="6"/>
  <c r="Q57" i="6" a="1"/>
  <c r="Q57" i="6"/>
  <c r="P57" i="6" a="1"/>
  <c r="P57" i="6"/>
  <c r="T57" i="6" s="1"/>
  <c r="AB57" i="6" s="1"/>
  <c r="O57" i="6" a="1"/>
  <c r="O57" i="6"/>
  <c r="V57" i="6" s="1"/>
  <c r="L57" i="6" a="1"/>
  <c r="L57" i="6" s="1"/>
  <c r="W57" i="6" s="1"/>
  <c r="K57" i="6" a="1"/>
  <c r="K57" i="6" s="1"/>
  <c r="J57" i="6" a="1"/>
  <c r="J57" i="6" s="1"/>
  <c r="I57" i="6" a="1"/>
  <c r="I57" i="6"/>
  <c r="H57" i="6" a="1"/>
  <c r="H57" i="6"/>
  <c r="G57" i="6" a="1"/>
  <c r="G57" i="6"/>
  <c r="F57" i="6" a="1"/>
  <c r="F57" i="6" s="1"/>
  <c r="E57" i="6" a="1"/>
  <c r="E57" i="6" s="1"/>
  <c r="X57" i="6" s="1"/>
  <c r="D57" i="6" a="1"/>
  <c r="D57" i="6" s="1"/>
  <c r="B57" i="6" a="1"/>
  <c r="B57" i="6"/>
  <c r="Q56" i="6" a="1"/>
  <c r="Q56" i="6"/>
  <c r="P56" i="6" a="1"/>
  <c r="P56" i="6" s="1"/>
  <c r="T56" i="6" s="1"/>
  <c r="AB56" i="6" s="1"/>
  <c r="O56" i="6" a="1"/>
  <c r="O56" i="6" s="1"/>
  <c r="L56" i="6" a="1"/>
  <c r="L56" i="6"/>
  <c r="W56" i="6" s="1"/>
  <c r="K56" i="6" a="1"/>
  <c r="K56" i="6" s="1"/>
  <c r="J56" i="6" a="1"/>
  <c r="J56" i="6"/>
  <c r="I56" i="6" a="1"/>
  <c r="I56" i="6"/>
  <c r="Z56" i="6" s="1"/>
  <c r="H56" i="6" a="1"/>
  <c r="H56" i="6"/>
  <c r="G56" i="6" a="1"/>
  <c r="G56" i="6" s="1"/>
  <c r="F56" i="6" a="1"/>
  <c r="F56" i="6"/>
  <c r="E56" i="6" a="1"/>
  <c r="E56" i="6" s="1"/>
  <c r="Y56" i="6" s="1"/>
  <c r="D56" i="6" a="1"/>
  <c r="D56" i="6" s="1"/>
  <c r="B56" i="6" a="1"/>
  <c r="B56" i="6"/>
  <c r="W55" i="6"/>
  <c r="Q55" i="6" a="1"/>
  <c r="Q55" i="6"/>
  <c r="P55" i="6" a="1"/>
  <c r="P55" i="6"/>
  <c r="O55" i="6" a="1"/>
  <c r="O55" i="6"/>
  <c r="N55" i="6" a="1"/>
  <c r="N55" i="6" s="1"/>
  <c r="L55" i="6" a="1"/>
  <c r="L55" i="6"/>
  <c r="K55" i="6" a="1"/>
  <c r="K55" i="6" s="1"/>
  <c r="J55" i="6" a="1"/>
  <c r="J55" i="6" s="1"/>
  <c r="Z55" i="6" s="1"/>
  <c r="I55" i="6" a="1"/>
  <c r="I55" i="6" s="1"/>
  <c r="H55" i="6" a="1"/>
  <c r="H55" i="6" s="1"/>
  <c r="G55" i="6" a="1"/>
  <c r="G55" i="6"/>
  <c r="F55" i="6" a="1"/>
  <c r="F55" i="6"/>
  <c r="E55" i="6" a="1"/>
  <c r="E55" i="6" s="1"/>
  <c r="D55" i="6" a="1"/>
  <c r="D55" i="6" s="1"/>
  <c r="B55" i="6" a="1"/>
  <c r="B55" i="6"/>
  <c r="Q54" i="6" a="1"/>
  <c r="Q54" i="6"/>
  <c r="P54" i="6" a="1"/>
  <c r="P54" i="6"/>
  <c r="O54" i="6" a="1"/>
  <c r="O54" i="6"/>
  <c r="N54" i="6" a="1"/>
  <c r="N54" i="6" s="1"/>
  <c r="L54" i="6" a="1"/>
  <c r="L54" i="6" s="1"/>
  <c r="K54" i="6" a="1"/>
  <c r="K54" i="6"/>
  <c r="J54" i="6" a="1"/>
  <c r="J54" i="6" s="1"/>
  <c r="I54" i="6" a="1"/>
  <c r="I54" i="6" s="1"/>
  <c r="Z54" i="6" s="1"/>
  <c r="H54" i="6" a="1"/>
  <c r="H54" i="6"/>
  <c r="G54" i="6" a="1"/>
  <c r="G54" i="6" s="1"/>
  <c r="F54" i="6" a="1"/>
  <c r="F54" i="6" s="1"/>
  <c r="E54" i="6" a="1"/>
  <c r="E54" i="6" s="1"/>
  <c r="X54" i="6" s="1"/>
  <c r="D54" i="6" a="1"/>
  <c r="D54" i="6"/>
  <c r="B54" i="6" a="1"/>
  <c r="B54" i="6" s="1"/>
  <c r="Z53" i="6"/>
  <c r="Q53" i="6" a="1"/>
  <c r="Q53" i="6" s="1"/>
  <c r="P53" i="6" a="1"/>
  <c r="P53" i="6" s="1"/>
  <c r="O53" i="6" a="1"/>
  <c r="O53" i="6"/>
  <c r="L53" i="6" a="1"/>
  <c r="L53" i="6" s="1"/>
  <c r="W53" i="6" s="1"/>
  <c r="K53" i="6" a="1"/>
  <c r="K53" i="6"/>
  <c r="J53" i="6" a="1"/>
  <c r="J53" i="6"/>
  <c r="I53" i="6" a="1"/>
  <c r="I53" i="6"/>
  <c r="H53" i="6" a="1"/>
  <c r="H53" i="6"/>
  <c r="G53" i="6" a="1"/>
  <c r="G53" i="6" s="1"/>
  <c r="F53" i="6" a="1"/>
  <c r="F53" i="6" s="1"/>
  <c r="E53" i="6" a="1"/>
  <c r="E53" i="6" s="1"/>
  <c r="X53" i="6" s="1"/>
  <c r="D53" i="6" a="1"/>
  <c r="D53" i="6" s="1"/>
  <c r="B53" i="6" a="1"/>
  <c r="B53" i="6" s="1"/>
  <c r="Q52" i="6" a="1"/>
  <c r="Q52" i="6"/>
  <c r="P52" i="6" a="1"/>
  <c r="P52" i="6"/>
  <c r="T52" i="6" s="1"/>
  <c r="AB52" i="6" s="1"/>
  <c r="O52" i="6" a="1"/>
  <c r="O52" i="6"/>
  <c r="V52" i="6" s="1"/>
  <c r="L52" i="6" a="1"/>
  <c r="L52" i="6" s="1"/>
  <c r="K52" i="6" a="1"/>
  <c r="K52" i="6" s="1"/>
  <c r="J52" i="6" a="1"/>
  <c r="J52" i="6" s="1"/>
  <c r="I52" i="6" a="1"/>
  <c r="I52" i="6" s="1"/>
  <c r="Z52" i="6" s="1"/>
  <c r="H52" i="6" a="1"/>
  <c r="H52" i="6" s="1"/>
  <c r="G52" i="6" a="1"/>
  <c r="G52" i="6" s="1"/>
  <c r="F52" i="6" a="1"/>
  <c r="F52" i="6" s="1"/>
  <c r="Y52" i="6" s="1"/>
  <c r="E52" i="6" a="1"/>
  <c r="E52" i="6" s="1"/>
  <c r="X52" i="6" s="1"/>
  <c r="D52" i="6" a="1"/>
  <c r="D52" i="6" s="1"/>
  <c r="B52" i="6" a="1"/>
  <c r="B52" i="6" s="1"/>
  <c r="T51" i="6"/>
  <c r="AB51" i="6" s="1"/>
  <c r="R51" i="6" a="1"/>
  <c r="R51" i="6" s="1"/>
  <c r="U51" i="6" s="1"/>
  <c r="AC51" i="6" s="1"/>
  <c r="Q51" i="6" a="1"/>
  <c r="Q51" i="6" s="1"/>
  <c r="P51" i="6" a="1"/>
  <c r="P51" i="6"/>
  <c r="O51" i="6" a="1"/>
  <c r="O51" i="6" s="1"/>
  <c r="L51" i="6" a="1"/>
  <c r="L51" i="6" s="1"/>
  <c r="K51" i="6" a="1"/>
  <c r="K51" i="6"/>
  <c r="J51" i="6" a="1"/>
  <c r="J51" i="6" s="1"/>
  <c r="I51" i="6" a="1"/>
  <c r="I51" i="6"/>
  <c r="Z51" i="6" s="1"/>
  <c r="H51" i="6" a="1"/>
  <c r="H51" i="6"/>
  <c r="G51" i="6" a="1"/>
  <c r="G51" i="6"/>
  <c r="F51" i="6" a="1"/>
  <c r="F51" i="6" s="1"/>
  <c r="E51" i="6" a="1"/>
  <c r="E51" i="6" s="1"/>
  <c r="D51" i="6" a="1"/>
  <c r="D51" i="6"/>
  <c r="B51" i="6" a="1"/>
  <c r="B51" i="6" s="1"/>
  <c r="Q50" i="6" a="1"/>
  <c r="Q50" i="6"/>
  <c r="P50" i="6" a="1"/>
  <c r="P50" i="6" s="1"/>
  <c r="O50" i="6" a="1"/>
  <c r="O50" i="6" s="1"/>
  <c r="V50" i="6" s="1"/>
  <c r="L50" i="6" a="1"/>
  <c r="L50" i="6"/>
  <c r="W50" i="6" s="1"/>
  <c r="K50" i="6" a="1"/>
  <c r="K50" i="6"/>
  <c r="J50" i="6" a="1"/>
  <c r="J50" i="6"/>
  <c r="I50" i="6" a="1"/>
  <c r="I50" i="6" s="1"/>
  <c r="H50" i="6" a="1"/>
  <c r="H50" i="6"/>
  <c r="G50" i="6" a="1"/>
  <c r="G50" i="6" s="1"/>
  <c r="F50" i="6" a="1"/>
  <c r="F50" i="6" s="1"/>
  <c r="Y50" i="6" s="1"/>
  <c r="E50" i="6" a="1"/>
  <c r="E50" i="6" s="1"/>
  <c r="X50" i="6" s="1"/>
  <c r="D50" i="6" a="1"/>
  <c r="D50" i="6" s="1"/>
  <c r="B50" i="6" a="1"/>
  <c r="B50" i="6" s="1"/>
  <c r="V49" i="6"/>
  <c r="T49" i="6"/>
  <c r="AB49" i="6" s="1"/>
  <c r="Q49" i="6" a="1"/>
  <c r="Q49" i="6"/>
  <c r="P49" i="6" a="1"/>
  <c r="P49" i="6"/>
  <c r="O49" i="6" a="1"/>
  <c r="O49" i="6"/>
  <c r="L49" i="6" a="1"/>
  <c r="L49" i="6" s="1"/>
  <c r="K49" i="6" a="1"/>
  <c r="K49" i="6" s="1"/>
  <c r="J49" i="6" a="1"/>
  <c r="J49" i="6" s="1"/>
  <c r="I49" i="6" a="1"/>
  <c r="I49" i="6" s="1"/>
  <c r="H49" i="6" a="1"/>
  <c r="H49" i="6" s="1"/>
  <c r="G49" i="6" a="1"/>
  <c r="G49" i="6"/>
  <c r="F49" i="6" a="1"/>
  <c r="F49" i="6" s="1"/>
  <c r="E49" i="6" a="1"/>
  <c r="E49" i="6"/>
  <c r="X49" i="6" s="1"/>
  <c r="D49" i="6" a="1"/>
  <c r="D49" i="6" s="1"/>
  <c r="B49" i="6" a="1"/>
  <c r="B49" i="6"/>
  <c r="W48" i="6"/>
  <c r="Q48" i="6" a="1"/>
  <c r="Q48" i="6" s="1"/>
  <c r="P48" i="6" a="1"/>
  <c r="P48" i="6" s="1"/>
  <c r="O48" i="6" a="1"/>
  <c r="O48" i="6" s="1"/>
  <c r="L48" i="6" a="1"/>
  <c r="L48" i="6" s="1"/>
  <c r="K48" i="6" a="1"/>
  <c r="K48" i="6" s="1"/>
  <c r="J48" i="6" a="1"/>
  <c r="J48" i="6" s="1"/>
  <c r="I48" i="6" a="1"/>
  <c r="I48" i="6"/>
  <c r="Z48" i="6" s="1"/>
  <c r="H48" i="6" a="1"/>
  <c r="H48" i="6"/>
  <c r="G48" i="6" a="1"/>
  <c r="G48" i="6"/>
  <c r="F48" i="6" a="1"/>
  <c r="F48" i="6" s="1"/>
  <c r="E48" i="6" a="1"/>
  <c r="E48" i="6"/>
  <c r="D48" i="6" a="1"/>
  <c r="D48" i="6" s="1"/>
  <c r="B48" i="6" a="1"/>
  <c r="B48" i="6" s="1"/>
  <c r="Q47" i="6" a="1"/>
  <c r="Q47" i="6" s="1"/>
  <c r="P47" i="6" a="1"/>
  <c r="P47" i="6" s="1"/>
  <c r="T47" i="6" s="1"/>
  <c r="AB47" i="6" s="1"/>
  <c r="O47" i="6" a="1"/>
  <c r="O47" i="6"/>
  <c r="N47" i="6" a="1"/>
  <c r="N47" i="6" s="1"/>
  <c r="L47" i="6" a="1"/>
  <c r="L47" i="6" s="1"/>
  <c r="W47" i="6" s="1"/>
  <c r="K47" i="6" a="1"/>
  <c r="K47" i="6" s="1"/>
  <c r="J47" i="6" a="1"/>
  <c r="J47" i="6"/>
  <c r="I47" i="6" a="1"/>
  <c r="I47" i="6" s="1"/>
  <c r="Z47" i="6" s="1"/>
  <c r="H47" i="6" a="1"/>
  <c r="H47" i="6"/>
  <c r="G47" i="6" a="1"/>
  <c r="G47" i="6" s="1"/>
  <c r="F47" i="6" a="1"/>
  <c r="F47" i="6"/>
  <c r="E47" i="6" a="1"/>
  <c r="E47" i="6"/>
  <c r="X47" i="6" s="1"/>
  <c r="D47" i="6" a="1"/>
  <c r="D47" i="6" s="1"/>
  <c r="B47" i="6" a="1"/>
  <c r="B47" i="6" s="1"/>
  <c r="T46" i="6"/>
  <c r="AB46" i="6" s="1"/>
  <c r="Q46" i="6" a="1"/>
  <c r="Q46" i="6" s="1"/>
  <c r="P46" i="6" a="1"/>
  <c r="P46" i="6" s="1"/>
  <c r="O46" i="6" a="1"/>
  <c r="O46" i="6"/>
  <c r="N46" i="6" a="1"/>
  <c r="N46" i="6" s="1"/>
  <c r="L46" i="6" a="1"/>
  <c r="L46" i="6" s="1"/>
  <c r="W46" i="6" s="1"/>
  <c r="K46" i="6" a="1"/>
  <c r="K46" i="6"/>
  <c r="J46" i="6" a="1"/>
  <c r="J46" i="6" s="1"/>
  <c r="I46" i="6" a="1"/>
  <c r="I46" i="6" s="1"/>
  <c r="Z46" i="6" s="1"/>
  <c r="H46" i="6" a="1"/>
  <c r="H46" i="6" s="1"/>
  <c r="G46" i="6" a="1"/>
  <c r="G46" i="6"/>
  <c r="F46" i="6" a="1"/>
  <c r="F46" i="6" s="1"/>
  <c r="E46" i="6" a="1"/>
  <c r="E46" i="6" s="1"/>
  <c r="D46" i="6" a="1"/>
  <c r="D46" i="6" s="1"/>
  <c r="B46" i="6" a="1"/>
  <c r="B46" i="6"/>
  <c r="AB45" i="6"/>
  <c r="X45" i="6"/>
  <c r="W45" i="6"/>
  <c r="T45" i="6"/>
  <c r="Q45" i="6" a="1"/>
  <c r="Q45" i="6"/>
  <c r="P45" i="6" a="1"/>
  <c r="P45" i="6" s="1"/>
  <c r="O45" i="6" a="1"/>
  <c r="O45" i="6"/>
  <c r="L45" i="6" a="1"/>
  <c r="L45" i="6"/>
  <c r="K45" i="6" a="1"/>
  <c r="K45" i="6" s="1"/>
  <c r="J45" i="6" a="1"/>
  <c r="J45" i="6" s="1"/>
  <c r="I45" i="6" a="1"/>
  <c r="I45" i="6" s="1"/>
  <c r="Z45" i="6" s="1"/>
  <c r="H45" i="6" a="1"/>
  <c r="H45" i="6"/>
  <c r="G45" i="6" a="1"/>
  <c r="G45" i="6"/>
  <c r="F45" i="6" a="1"/>
  <c r="F45" i="6"/>
  <c r="Y45" i="6" s="1"/>
  <c r="E45" i="6" a="1"/>
  <c r="E45" i="6" s="1"/>
  <c r="V45" i="6" s="1"/>
  <c r="D45" i="6" a="1"/>
  <c r="D45" i="6" s="1"/>
  <c r="B45" i="6" a="1"/>
  <c r="B45" i="6"/>
  <c r="X44" i="6"/>
  <c r="R44" i="6" a="1"/>
  <c r="R44" i="6" s="1"/>
  <c r="U44" i="6" s="1"/>
  <c r="AC44" i="6" s="1"/>
  <c r="Q44" i="6" a="1"/>
  <c r="Q44" i="6" s="1"/>
  <c r="P44" i="6" a="1"/>
  <c r="P44" i="6" s="1"/>
  <c r="O44" i="6" a="1"/>
  <c r="O44" i="6"/>
  <c r="L44" i="6" a="1"/>
  <c r="L44" i="6"/>
  <c r="W44" i="6" s="1"/>
  <c r="K44" i="6" a="1"/>
  <c r="K44" i="6"/>
  <c r="J44" i="6" a="1"/>
  <c r="J44" i="6" s="1"/>
  <c r="I44" i="6" a="1"/>
  <c r="I44" i="6"/>
  <c r="H44" i="6" a="1"/>
  <c r="H44" i="6"/>
  <c r="G44" i="6" a="1"/>
  <c r="G44" i="6" s="1"/>
  <c r="F44" i="6" a="1"/>
  <c r="F44" i="6" s="1"/>
  <c r="Y44" i="6" s="1"/>
  <c r="E44" i="6" a="1"/>
  <c r="E44" i="6"/>
  <c r="D44" i="6" a="1"/>
  <c r="D44" i="6" s="1"/>
  <c r="B44" i="6" a="1"/>
  <c r="B44" i="6" s="1"/>
  <c r="AD43" i="6" a="1"/>
  <c r="AD43" i="6" s="1"/>
  <c r="Y43" i="6"/>
  <c r="V43" i="6"/>
  <c r="Q43" i="6" a="1"/>
  <c r="Q43" i="6" s="1"/>
  <c r="P43" i="6" a="1"/>
  <c r="P43" i="6"/>
  <c r="O43" i="6" a="1"/>
  <c r="O43" i="6"/>
  <c r="M43" i="6" a="1"/>
  <c r="M43" i="6" s="1"/>
  <c r="AA43" i="6" s="1"/>
  <c r="L43" i="6" a="1"/>
  <c r="L43" i="6"/>
  <c r="W43" i="6" s="1"/>
  <c r="K43" i="6" a="1"/>
  <c r="K43" i="6" s="1"/>
  <c r="J43" i="6" a="1"/>
  <c r="J43" i="6" s="1"/>
  <c r="Z43" i="6" s="1"/>
  <c r="I43" i="6" a="1"/>
  <c r="I43" i="6"/>
  <c r="H43" i="6" a="1"/>
  <c r="H43" i="6"/>
  <c r="G43" i="6" a="1"/>
  <c r="G43" i="6" s="1"/>
  <c r="F43" i="6" a="1"/>
  <c r="F43" i="6" s="1"/>
  <c r="E43" i="6" a="1"/>
  <c r="E43" i="6" s="1"/>
  <c r="X43" i="6" s="1"/>
  <c r="D43" i="6" a="1"/>
  <c r="D43" i="6" s="1"/>
  <c r="B43" i="6" a="1"/>
  <c r="B43" i="6"/>
  <c r="R42" i="6" a="1"/>
  <c r="R42" i="6" s="1"/>
  <c r="U42" i="6" s="1"/>
  <c r="AC42" i="6" s="1"/>
  <c r="Q42" i="6" a="1"/>
  <c r="Q42" i="6" s="1"/>
  <c r="P42" i="6" a="1"/>
  <c r="P42" i="6" s="1"/>
  <c r="T42" i="6" s="1"/>
  <c r="AB42" i="6" s="1"/>
  <c r="O42" i="6" a="1"/>
  <c r="O42" i="6" s="1"/>
  <c r="L42" i="6" a="1"/>
  <c r="L42" i="6"/>
  <c r="W42" i="6" s="1"/>
  <c r="K42" i="6" a="1"/>
  <c r="K42" i="6" s="1"/>
  <c r="J42" i="6" a="1"/>
  <c r="J42" i="6" s="1"/>
  <c r="I42" i="6" a="1"/>
  <c r="I42" i="6" s="1"/>
  <c r="Z42" i="6" s="1"/>
  <c r="H42" i="6" a="1"/>
  <c r="H42" i="6"/>
  <c r="G42" i="6" a="1"/>
  <c r="G42" i="6"/>
  <c r="F42" i="6" a="1"/>
  <c r="F42" i="6"/>
  <c r="E42" i="6" a="1"/>
  <c r="E42" i="6" s="1"/>
  <c r="X42" i="6" s="1"/>
  <c r="D42" i="6" a="1"/>
  <c r="D42" i="6"/>
  <c r="B42" i="6" a="1"/>
  <c r="B42" i="6"/>
  <c r="T41" i="6"/>
  <c r="AB41" i="6" s="1"/>
  <c r="Q41" i="6" a="1"/>
  <c r="Q41" i="6"/>
  <c r="P41" i="6" a="1"/>
  <c r="P41" i="6" s="1"/>
  <c r="O41" i="6" a="1"/>
  <c r="O41" i="6" s="1"/>
  <c r="L41" i="6" a="1"/>
  <c r="L41" i="6" s="1"/>
  <c r="K41" i="6" a="1"/>
  <c r="K41" i="6"/>
  <c r="J41" i="6" a="1"/>
  <c r="J41" i="6"/>
  <c r="Z41" i="6" s="1"/>
  <c r="I41" i="6" a="1"/>
  <c r="I41" i="6" s="1"/>
  <c r="H41" i="6" a="1"/>
  <c r="H41" i="6"/>
  <c r="G41" i="6" a="1"/>
  <c r="G41" i="6" s="1"/>
  <c r="F41" i="6" a="1"/>
  <c r="F41" i="6" s="1"/>
  <c r="Y41" i="6" s="1"/>
  <c r="E41" i="6" a="1"/>
  <c r="E41" i="6"/>
  <c r="X41" i="6" s="1"/>
  <c r="D41" i="6" a="1"/>
  <c r="D41" i="6"/>
  <c r="B41" i="6" a="1"/>
  <c r="B41" i="6" s="1"/>
  <c r="Z40" i="6"/>
  <c r="T40" i="6"/>
  <c r="AB40" i="6" s="1"/>
  <c r="Q40" i="6" a="1"/>
  <c r="Q40" i="6"/>
  <c r="P40" i="6" a="1"/>
  <c r="P40" i="6"/>
  <c r="O40" i="6" a="1"/>
  <c r="O40" i="6" s="1"/>
  <c r="L40" i="6" a="1"/>
  <c r="L40" i="6" s="1"/>
  <c r="K40" i="6" a="1"/>
  <c r="K40" i="6"/>
  <c r="J40" i="6" a="1"/>
  <c r="J40" i="6" s="1"/>
  <c r="I40" i="6" a="1"/>
  <c r="I40" i="6" s="1"/>
  <c r="H40" i="6" a="1"/>
  <c r="H40" i="6" s="1"/>
  <c r="G40" i="6" a="1"/>
  <c r="G40" i="6" s="1"/>
  <c r="F40" i="6" a="1"/>
  <c r="F40" i="6" s="1"/>
  <c r="E40" i="6" a="1"/>
  <c r="E40" i="6"/>
  <c r="X40" i="6" s="1"/>
  <c r="D40" i="6" a="1"/>
  <c r="D40" i="6" s="1"/>
  <c r="B40" i="6" a="1"/>
  <c r="B40" i="6"/>
  <c r="AD39" i="6"/>
  <c r="X39" i="6"/>
  <c r="T39" i="6"/>
  <c r="AB39" i="6" s="1"/>
  <c r="Q39" i="6" a="1"/>
  <c r="Q39" i="6"/>
  <c r="P39" i="6" a="1"/>
  <c r="P39" i="6"/>
  <c r="O39" i="6" a="1"/>
  <c r="O39" i="6" s="1"/>
  <c r="V39" i="6" s="1"/>
  <c r="L39" i="6" a="1"/>
  <c r="L39" i="6" s="1"/>
  <c r="K39" i="6" a="1"/>
  <c r="K39" i="6"/>
  <c r="J39" i="6" a="1"/>
  <c r="J39" i="6" s="1"/>
  <c r="I39" i="6" a="1"/>
  <c r="I39" i="6"/>
  <c r="Z39" i="6" s="1"/>
  <c r="H39" i="6" a="1"/>
  <c r="H39" i="6" s="1"/>
  <c r="G39" i="6" a="1"/>
  <c r="G39" i="6" s="1"/>
  <c r="F39" i="6" a="1"/>
  <c r="F39" i="6"/>
  <c r="Y39" i="6" s="1"/>
  <c r="E39" i="6" a="1"/>
  <c r="E39" i="6"/>
  <c r="D39" i="6" a="1"/>
  <c r="D39" i="6" s="1"/>
  <c r="B39" i="6" a="1"/>
  <c r="B39" i="6" s="1"/>
  <c r="Q38" i="6" a="1"/>
  <c r="Q38" i="6" s="1"/>
  <c r="P38" i="6" a="1"/>
  <c r="P38" i="6" s="1"/>
  <c r="T38" i="6" s="1"/>
  <c r="AB38" i="6" s="1"/>
  <c r="O38" i="6" a="1"/>
  <c r="O38" i="6" s="1"/>
  <c r="V38" i="6" s="1"/>
  <c r="N38" i="6" a="1"/>
  <c r="N38" i="6" s="1"/>
  <c r="L38" i="6" a="1"/>
  <c r="L38" i="6"/>
  <c r="W38" i="6" s="1"/>
  <c r="K38" i="6" a="1"/>
  <c r="K38" i="6" s="1"/>
  <c r="J38" i="6" a="1"/>
  <c r="J38" i="6" s="1"/>
  <c r="I38" i="6" a="1"/>
  <c r="I38" i="6" s="1"/>
  <c r="Z38" i="6" s="1"/>
  <c r="H38" i="6" a="1"/>
  <c r="H38" i="6" s="1"/>
  <c r="G38" i="6" a="1"/>
  <c r="G38" i="6" s="1"/>
  <c r="F38" i="6" a="1"/>
  <c r="F38" i="6"/>
  <c r="E38" i="6" a="1"/>
  <c r="E38" i="6"/>
  <c r="X38" i="6" s="1"/>
  <c r="D38" i="6" a="1"/>
  <c r="D38" i="6" s="1"/>
  <c r="B38" i="6" a="1"/>
  <c r="B38" i="6" s="1"/>
  <c r="AC37" i="6"/>
  <c r="AA37" i="6"/>
  <c r="S37" i="6"/>
  <c r="R37" i="6" a="1"/>
  <c r="R37" i="6" s="1"/>
  <c r="U37" i="6" s="1"/>
  <c r="Q37" i="6" a="1"/>
  <c r="Q37" i="6"/>
  <c r="P37" i="6" a="1"/>
  <c r="P37" i="6"/>
  <c r="O37" i="6" a="1"/>
  <c r="O37" i="6" s="1"/>
  <c r="V37" i="6" s="1"/>
  <c r="L37" i="6" a="1"/>
  <c r="L37" i="6" s="1"/>
  <c r="W37" i="6" s="1"/>
  <c r="K37" i="6" a="1"/>
  <c r="K37" i="6"/>
  <c r="J37" i="6" a="1"/>
  <c r="J37" i="6" s="1"/>
  <c r="I37" i="6" a="1"/>
  <c r="I37" i="6" s="1"/>
  <c r="Z37" i="6" s="1"/>
  <c r="H37" i="6" a="1"/>
  <c r="H37" i="6"/>
  <c r="G37" i="6" a="1"/>
  <c r="G37" i="6"/>
  <c r="F37" i="6" a="1"/>
  <c r="F37" i="6"/>
  <c r="E37" i="6" a="1"/>
  <c r="E37" i="6"/>
  <c r="X37" i="6" s="1"/>
  <c r="D37" i="6" a="1"/>
  <c r="D37" i="6" s="1"/>
  <c r="B37" i="6" a="1"/>
  <c r="B37" i="6" s="1"/>
  <c r="AB36" i="6"/>
  <c r="Z36" i="6"/>
  <c r="X36" i="6"/>
  <c r="Q36" i="6" a="1"/>
  <c r="Q36" i="6" s="1"/>
  <c r="P36" i="6" a="1"/>
  <c r="P36" i="6" s="1"/>
  <c r="T36" i="6" s="1"/>
  <c r="O36" i="6" a="1"/>
  <c r="O36" i="6"/>
  <c r="M36" i="6"/>
  <c r="AA36" i="6" s="1"/>
  <c r="L36" i="6" a="1"/>
  <c r="L36" i="6" s="1"/>
  <c r="W36" i="6" s="1"/>
  <c r="K36" i="6" a="1"/>
  <c r="K36" i="6" s="1"/>
  <c r="J36" i="6" a="1"/>
  <c r="J36" i="6" s="1"/>
  <c r="I36" i="6" a="1"/>
  <c r="I36" i="6"/>
  <c r="H36" i="6" a="1"/>
  <c r="H36" i="6"/>
  <c r="G36" i="6" a="1"/>
  <c r="G36" i="6"/>
  <c r="F36" i="6" a="1"/>
  <c r="F36" i="6" s="1"/>
  <c r="E36" i="6" a="1"/>
  <c r="E36" i="6" s="1"/>
  <c r="Y36" i="6" s="1"/>
  <c r="D36" i="6" a="1"/>
  <c r="D36" i="6" s="1"/>
  <c r="B36" i="6" a="1"/>
  <c r="B36" i="6"/>
  <c r="AD35" i="6" a="1"/>
  <c r="AD35" i="6" s="1"/>
  <c r="Q35" i="6" a="1"/>
  <c r="Q35" i="6" s="1"/>
  <c r="P35" i="6" a="1"/>
  <c r="P35" i="6" s="1"/>
  <c r="O35" i="6" a="1"/>
  <c r="O35" i="6" s="1"/>
  <c r="V35" i="6" s="1"/>
  <c r="L35" i="6" a="1"/>
  <c r="L35" i="6"/>
  <c r="K35" i="6" a="1"/>
  <c r="K35" i="6" s="1"/>
  <c r="J35" i="6" a="1"/>
  <c r="J35" i="6"/>
  <c r="I35" i="6" a="1"/>
  <c r="I35" i="6" s="1"/>
  <c r="Z35" i="6" s="1"/>
  <c r="H35" i="6" a="1"/>
  <c r="H35" i="6" s="1"/>
  <c r="G35" i="6" a="1"/>
  <c r="G35" i="6" s="1"/>
  <c r="F35" i="6" a="1"/>
  <c r="F35" i="6" s="1"/>
  <c r="E35" i="6" a="1"/>
  <c r="E35" i="6"/>
  <c r="X35" i="6" s="1"/>
  <c r="D35" i="6" a="1"/>
  <c r="D35" i="6"/>
  <c r="B35" i="6" a="1"/>
  <c r="B35" i="6" s="1"/>
  <c r="Z34" i="6"/>
  <c r="Y34" i="6"/>
  <c r="S34" i="6" a="1"/>
  <c r="S34" i="6" s="1"/>
  <c r="Q34" i="6" a="1"/>
  <c r="Q34" i="6"/>
  <c r="P34" i="6" a="1"/>
  <c r="P34" i="6"/>
  <c r="O34" i="6" a="1"/>
  <c r="O34" i="6" s="1"/>
  <c r="V34" i="6" s="1"/>
  <c r="L34" i="6" a="1"/>
  <c r="L34" i="6" s="1"/>
  <c r="W34" i="6" s="1"/>
  <c r="K34" i="6" a="1"/>
  <c r="K34" i="6" s="1"/>
  <c r="J34" i="6" a="1"/>
  <c r="J34" i="6"/>
  <c r="I34" i="6" a="1"/>
  <c r="I34" i="6"/>
  <c r="H34" i="6" a="1"/>
  <c r="H34" i="6" s="1"/>
  <c r="G34" i="6" a="1"/>
  <c r="G34" i="6"/>
  <c r="F34" i="6" a="1"/>
  <c r="F34" i="6"/>
  <c r="E34" i="6" a="1"/>
  <c r="E34" i="6" s="1"/>
  <c r="X34" i="6" s="1"/>
  <c r="D34" i="6" a="1"/>
  <c r="D34" i="6" s="1"/>
  <c r="B34" i="6" a="1"/>
  <c r="B34" i="6"/>
  <c r="AD33" i="6" a="1"/>
  <c r="AD33" i="6" s="1"/>
  <c r="Z33" i="6"/>
  <c r="X33" i="6"/>
  <c r="Q33" i="6" a="1"/>
  <c r="Q33" i="6"/>
  <c r="P33" i="6" a="1"/>
  <c r="P33" i="6"/>
  <c r="O33" i="6" a="1"/>
  <c r="O33" i="6"/>
  <c r="V33" i="6" s="1"/>
  <c r="N33" i="6" a="1"/>
  <c r="N33" i="6" s="1"/>
  <c r="L33" i="6" a="1"/>
  <c r="L33" i="6" s="1"/>
  <c r="W33" i="6" s="1"/>
  <c r="K33" i="6" a="1"/>
  <c r="K33" i="6" s="1"/>
  <c r="J33" i="6" a="1"/>
  <c r="J33" i="6" s="1"/>
  <c r="I33" i="6" a="1"/>
  <c r="I33" i="6"/>
  <c r="H33" i="6" a="1"/>
  <c r="H33" i="6" s="1"/>
  <c r="G33" i="6" a="1"/>
  <c r="G33" i="6"/>
  <c r="F33" i="6" a="1"/>
  <c r="F33" i="6"/>
  <c r="E33" i="6" a="1"/>
  <c r="E33" i="6" s="1"/>
  <c r="D33" i="6" a="1"/>
  <c r="D33" i="6" s="1"/>
  <c r="B33" i="6" a="1"/>
  <c r="B33" i="6"/>
  <c r="T32" i="6"/>
  <c r="AB32" i="6" s="1"/>
  <c r="Q32" i="6" a="1"/>
  <c r="Q32" i="6" s="1"/>
  <c r="P32" i="6" a="1"/>
  <c r="P32" i="6"/>
  <c r="O32" i="6" a="1"/>
  <c r="O32" i="6"/>
  <c r="M32" i="6" a="1"/>
  <c r="M32" i="6" s="1"/>
  <c r="AA32" i="6" s="1"/>
  <c r="L32" i="6" a="1"/>
  <c r="L32" i="6"/>
  <c r="K32" i="6" a="1"/>
  <c r="K32" i="6"/>
  <c r="J32" i="6" a="1"/>
  <c r="J32" i="6"/>
  <c r="I32" i="6" a="1"/>
  <c r="I32" i="6" s="1"/>
  <c r="H32" i="6" a="1"/>
  <c r="H32" i="6"/>
  <c r="G32" i="6" a="1"/>
  <c r="G32" i="6"/>
  <c r="F32" i="6" a="1"/>
  <c r="F32" i="6"/>
  <c r="E32" i="6" a="1"/>
  <c r="E32" i="6" s="1"/>
  <c r="X32" i="6" s="1"/>
  <c r="D32" i="6" a="1"/>
  <c r="D32" i="6"/>
  <c r="B32" i="6" a="1"/>
  <c r="B32" i="6" s="1"/>
  <c r="Q31" i="6" a="1"/>
  <c r="Q31" i="6"/>
  <c r="P31" i="6" a="1"/>
  <c r="P31" i="6"/>
  <c r="T31" i="6" s="1"/>
  <c r="AB31" i="6" s="1"/>
  <c r="O31" i="6" a="1"/>
  <c r="O31" i="6" s="1"/>
  <c r="N31" i="6" a="1"/>
  <c r="N31" i="6" s="1"/>
  <c r="M31" i="6"/>
  <c r="AA31" i="6" s="1"/>
  <c r="L31" i="6" a="1"/>
  <c r="L31" i="6"/>
  <c r="K31" i="6" a="1"/>
  <c r="K31" i="6"/>
  <c r="J31" i="6" a="1"/>
  <c r="J31" i="6" s="1"/>
  <c r="I31" i="6" a="1"/>
  <c r="I31" i="6"/>
  <c r="H31" i="6" a="1"/>
  <c r="H31" i="6" s="1"/>
  <c r="G31" i="6" a="1"/>
  <c r="G31" i="6" s="1"/>
  <c r="F31" i="6" a="1"/>
  <c r="F31" i="6" s="1"/>
  <c r="E31" i="6" a="1"/>
  <c r="E31" i="6"/>
  <c r="X31" i="6" s="1"/>
  <c r="D31" i="6" a="1"/>
  <c r="D31" i="6" s="1"/>
  <c r="B31" i="6" a="1"/>
  <c r="B31" i="6"/>
  <c r="AD30" i="6" a="1"/>
  <c r="AD30" i="6" s="1"/>
  <c r="X30" i="6"/>
  <c r="T30" i="6"/>
  <c r="AB30" i="6" s="1"/>
  <c r="S30" i="6" a="1"/>
  <c r="S30" i="6" s="1"/>
  <c r="Q30" i="6" a="1"/>
  <c r="Q30" i="6"/>
  <c r="P30" i="6" a="1"/>
  <c r="P30" i="6" s="1"/>
  <c r="O30" i="6" a="1"/>
  <c r="O30" i="6" s="1"/>
  <c r="V30" i="6" s="1"/>
  <c r="L30" i="6" a="1"/>
  <c r="L30" i="6" s="1"/>
  <c r="K30" i="6" a="1"/>
  <c r="K30" i="6"/>
  <c r="J30" i="6" a="1"/>
  <c r="J30" i="6" s="1"/>
  <c r="I30" i="6" a="1"/>
  <c r="I30" i="6" s="1"/>
  <c r="Z30" i="6" s="1"/>
  <c r="H30" i="6" a="1"/>
  <c r="H30" i="6"/>
  <c r="G30" i="6" a="1"/>
  <c r="G30" i="6" s="1"/>
  <c r="F30" i="6" a="1"/>
  <c r="F30" i="6"/>
  <c r="Y30" i="6" s="1"/>
  <c r="E30" i="6" a="1"/>
  <c r="E30" i="6"/>
  <c r="D30" i="6" a="1"/>
  <c r="D30" i="6"/>
  <c r="B30" i="6" a="1"/>
  <c r="B30" i="6" s="1"/>
  <c r="AD29" i="6"/>
  <c r="X29" i="6"/>
  <c r="S29" i="6"/>
  <c r="R29" i="6" a="1"/>
  <c r="R29" i="6" s="1"/>
  <c r="U29" i="6" s="1"/>
  <c r="AC29" i="6" s="1"/>
  <c r="Q29" i="6" a="1"/>
  <c r="Q29" i="6"/>
  <c r="P29" i="6" a="1"/>
  <c r="P29" i="6"/>
  <c r="O29" i="6" a="1"/>
  <c r="O29" i="6"/>
  <c r="V29" i="6" s="1"/>
  <c r="L29" i="6" a="1"/>
  <c r="L29" i="6" s="1"/>
  <c r="K29" i="6" a="1"/>
  <c r="K29" i="6" s="1"/>
  <c r="J29" i="6" a="1"/>
  <c r="J29" i="6"/>
  <c r="I29" i="6" a="1"/>
  <c r="I29" i="6" s="1"/>
  <c r="Z29" i="6" s="1"/>
  <c r="H29" i="6" a="1"/>
  <c r="H29" i="6" s="1"/>
  <c r="G29" i="6" a="1"/>
  <c r="G29" i="6" s="1"/>
  <c r="F29" i="6" a="1"/>
  <c r="F29" i="6" s="1"/>
  <c r="E29" i="6" a="1"/>
  <c r="E29" i="6"/>
  <c r="D29" i="6" a="1"/>
  <c r="D29" i="6"/>
  <c r="B29" i="6" a="1"/>
  <c r="B29" i="6"/>
  <c r="AA28" i="6"/>
  <c r="X28" i="6"/>
  <c r="V28" i="6"/>
  <c r="R28" i="6" a="1"/>
  <c r="R28" i="6"/>
  <c r="Q28" i="6" a="1"/>
  <c r="Q28" i="6"/>
  <c r="P28" i="6" a="1"/>
  <c r="P28" i="6"/>
  <c r="T28" i="6" s="1"/>
  <c r="AB28" i="6" s="1"/>
  <c r="O28" i="6" a="1"/>
  <c r="O28" i="6" s="1"/>
  <c r="L28" i="6" a="1"/>
  <c r="L28" i="6" s="1"/>
  <c r="K28" i="6" a="1"/>
  <c r="K28" i="6"/>
  <c r="J28" i="6" a="1"/>
  <c r="J28" i="6" s="1"/>
  <c r="Z28" i="6" s="1"/>
  <c r="I28" i="6" a="1"/>
  <c r="I28" i="6"/>
  <c r="H28" i="6" a="1"/>
  <c r="H28" i="6" s="1"/>
  <c r="G28" i="6" a="1"/>
  <c r="G28" i="6"/>
  <c r="F28" i="6" a="1"/>
  <c r="F28" i="6" s="1"/>
  <c r="Y28" i="6" s="1"/>
  <c r="E28" i="6" a="1"/>
  <c r="E28" i="6"/>
  <c r="D28" i="6" a="1"/>
  <c r="D28" i="6" s="1"/>
  <c r="B28" i="6" a="1"/>
  <c r="B28" i="6"/>
  <c r="AA27" i="6"/>
  <c r="X27" i="6"/>
  <c r="W27" i="6"/>
  <c r="Q27" i="6" a="1"/>
  <c r="Q27" i="6" s="1"/>
  <c r="P27" i="6" a="1"/>
  <c r="P27" i="6"/>
  <c r="O27" i="6" a="1"/>
  <c r="O27" i="6"/>
  <c r="V27" i="6" s="1"/>
  <c r="L27" i="6" a="1"/>
  <c r="L27" i="6" s="1"/>
  <c r="K27" i="6" a="1"/>
  <c r="K27" i="6"/>
  <c r="J27" i="6" a="1"/>
  <c r="J27" i="6"/>
  <c r="I27" i="6" a="1"/>
  <c r="I27" i="6"/>
  <c r="Z27" i="6" s="1"/>
  <c r="H27" i="6" a="1"/>
  <c r="H27" i="6"/>
  <c r="G27" i="6" a="1"/>
  <c r="G27" i="6"/>
  <c r="F27" i="6" a="1"/>
  <c r="F27" i="6" s="1"/>
  <c r="Y27" i="6" s="1"/>
  <c r="E27" i="6" a="1"/>
  <c r="E27" i="6" s="1"/>
  <c r="D27" i="6" a="1"/>
  <c r="D27" i="6" s="1"/>
  <c r="B27" i="6" a="1"/>
  <c r="B27" i="6" s="1"/>
  <c r="AB26" i="6"/>
  <c r="W26" i="6"/>
  <c r="R26" i="6" a="1"/>
  <c r="R26" i="6" s="1"/>
  <c r="U26" i="6" s="1"/>
  <c r="AC26" i="6" s="1"/>
  <c r="Q26" i="6" a="1"/>
  <c r="Q26" i="6" s="1"/>
  <c r="P26" i="6" a="1"/>
  <c r="P26" i="6" s="1"/>
  <c r="T26" i="6" s="1"/>
  <c r="O26" i="6" a="1"/>
  <c r="O26" i="6"/>
  <c r="L26" i="6" a="1"/>
  <c r="L26" i="6"/>
  <c r="K26" i="6" a="1"/>
  <c r="K26" i="6"/>
  <c r="J26" i="6" a="1"/>
  <c r="J26" i="6" s="1"/>
  <c r="I26" i="6" a="1"/>
  <c r="I26" i="6" s="1"/>
  <c r="Z26" i="6" s="1"/>
  <c r="H26" i="6" a="1"/>
  <c r="H26" i="6"/>
  <c r="G26" i="6" a="1"/>
  <c r="G26" i="6" s="1"/>
  <c r="F26" i="6" a="1"/>
  <c r="F26" i="6" s="1"/>
  <c r="E26" i="6" a="1"/>
  <c r="E26" i="6" s="1"/>
  <c r="X26" i="6" s="1"/>
  <c r="D26" i="6" a="1"/>
  <c r="D26" i="6" s="1"/>
  <c r="B26" i="6" a="1"/>
  <c r="B26" i="6" s="1"/>
  <c r="Q25" i="6" a="1"/>
  <c r="Q25" i="6"/>
  <c r="P25" i="6" a="1"/>
  <c r="P25" i="6" s="1"/>
  <c r="T25" i="6" s="1"/>
  <c r="AB25" i="6" s="1"/>
  <c r="O25" i="6" a="1"/>
  <c r="O25" i="6" s="1"/>
  <c r="M25" i="6" a="1"/>
  <c r="M25" i="6" s="1"/>
  <c r="AA25" i="6" s="1"/>
  <c r="L25" i="6" a="1"/>
  <c r="L25" i="6"/>
  <c r="W25" i="6" s="1"/>
  <c r="K25" i="6" a="1"/>
  <c r="K25" i="6" s="1"/>
  <c r="J25" i="6" a="1"/>
  <c r="J25" i="6"/>
  <c r="Z25" i="6" s="1"/>
  <c r="I25" i="6" a="1"/>
  <c r="I25" i="6" s="1"/>
  <c r="H25" i="6" a="1"/>
  <c r="H25" i="6" s="1"/>
  <c r="G25" i="6" a="1"/>
  <c r="G25" i="6"/>
  <c r="F25" i="6" a="1"/>
  <c r="F25" i="6" s="1"/>
  <c r="E25" i="6" a="1"/>
  <c r="E25" i="6" s="1"/>
  <c r="X25" i="6" s="1"/>
  <c r="D25" i="6" a="1"/>
  <c r="D25" i="6"/>
  <c r="B25" i="6" a="1"/>
  <c r="B25" i="6"/>
  <c r="AD24" i="6"/>
  <c r="X24" i="6"/>
  <c r="Q24" i="6" a="1"/>
  <c r="Q24" i="6" s="1"/>
  <c r="P24" i="6" a="1"/>
  <c r="P24" i="6" s="1"/>
  <c r="O24" i="6" a="1"/>
  <c r="O24" i="6"/>
  <c r="N24" i="6" a="1"/>
  <c r="N24" i="6" s="1"/>
  <c r="M24" i="6" a="1"/>
  <c r="M24" i="6" s="1"/>
  <c r="AA24" i="6" s="1"/>
  <c r="L24" i="6" a="1"/>
  <c r="L24" i="6" s="1"/>
  <c r="W24" i="6" s="1"/>
  <c r="K24" i="6" a="1"/>
  <c r="K24" i="6"/>
  <c r="J24" i="6" a="1"/>
  <c r="J24" i="6" s="1"/>
  <c r="I24" i="6" a="1"/>
  <c r="I24" i="6" s="1"/>
  <c r="Z24" i="6" s="1"/>
  <c r="H24" i="6" a="1"/>
  <c r="H24" i="6"/>
  <c r="G24" i="6" a="1"/>
  <c r="G24" i="6" s="1"/>
  <c r="F24" i="6" a="1"/>
  <c r="F24" i="6"/>
  <c r="Y24" i="6" s="1"/>
  <c r="E24" i="6" a="1"/>
  <c r="E24" i="6"/>
  <c r="D24" i="6" a="1"/>
  <c r="D24" i="6"/>
  <c r="B24" i="6" a="1"/>
  <c r="B24" i="6" s="1"/>
  <c r="Z23" i="6"/>
  <c r="S23" i="6" a="1"/>
  <c r="S23" i="6" s="1"/>
  <c r="Q23" i="6" a="1"/>
  <c r="Q23" i="6"/>
  <c r="P23" i="6" a="1"/>
  <c r="P23" i="6" s="1"/>
  <c r="T23" i="6" s="1"/>
  <c r="AB23" i="6" s="1"/>
  <c r="O23" i="6" a="1"/>
  <c r="O23" i="6" s="1"/>
  <c r="V23" i="6" s="1"/>
  <c r="L23" i="6" a="1"/>
  <c r="L23" i="6"/>
  <c r="W23" i="6" s="1"/>
  <c r="K23" i="6" a="1"/>
  <c r="K23" i="6"/>
  <c r="J23" i="6" a="1"/>
  <c r="J23" i="6"/>
  <c r="I23" i="6" a="1"/>
  <c r="I23" i="6" s="1"/>
  <c r="H23" i="6" a="1"/>
  <c r="H23" i="6" s="1"/>
  <c r="G23" i="6" a="1"/>
  <c r="G23" i="6"/>
  <c r="F23" i="6" a="1"/>
  <c r="F23" i="6"/>
  <c r="Y23" i="6" s="1"/>
  <c r="E23" i="6" a="1"/>
  <c r="E23" i="6"/>
  <c r="X23" i="6" s="1"/>
  <c r="D23" i="6" a="1"/>
  <c r="D23" i="6" s="1"/>
  <c r="B23" i="6" a="1"/>
  <c r="B23" i="6"/>
  <c r="Z22" i="6"/>
  <c r="X22" i="6"/>
  <c r="V22" i="6"/>
  <c r="Q22" i="6" a="1"/>
  <c r="Q22" i="6" s="1"/>
  <c r="P22" i="6" a="1"/>
  <c r="P22" i="6"/>
  <c r="T22" i="6" s="1"/>
  <c r="AB22" i="6" s="1"/>
  <c r="O22" i="6" a="1"/>
  <c r="O22" i="6" s="1"/>
  <c r="L22" i="6" a="1"/>
  <c r="L22" i="6"/>
  <c r="K22" i="6" a="1"/>
  <c r="K22" i="6" s="1"/>
  <c r="J22" i="6" a="1"/>
  <c r="J22" i="6" s="1"/>
  <c r="I22" i="6" a="1"/>
  <c r="I22" i="6" s="1"/>
  <c r="H22" i="6" a="1"/>
  <c r="H22" i="6"/>
  <c r="G22" i="6" a="1"/>
  <c r="G22" i="6" s="1"/>
  <c r="F22" i="6" a="1"/>
  <c r="F22" i="6" s="1"/>
  <c r="Y22" i="6" s="1"/>
  <c r="E22" i="6" a="1"/>
  <c r="E22" i="6"/>
  <c r="D22" i="6" a="1"/>
  <c r="D22" i="6"/>
  <c r="B22" i="6" a="1"/>
  <c r="B22" i="6"/>
  <c r="Q21" i="6" a="1"/>
  <c r="Q21" i="6"/>
  <c r="P21" i="6" a="1"/>
  <c r="P21" i="6" s="1"/>
  <c r="O21" i="6" a="1"/>
  <c r="O21" i="6"/>
  <c r="L21" i="6" a="1"/>
  <c r="L21" i="6" s="1"/>
  <c r="K21" i="6" a="1"/>
  <c r="K21" i="6"/>
  <c r="J21" i="6" a="1"/>
  <c r="J21" i="6" s="1"/>
  <c r="I21" i="6" a="1"/>
  <c r="I21" i="6"/>
  <c r="H21" i="6" a="1"/>
  <c r="H21" i="6"/>
  <c r="G21" i="6" a="1"/>
  <c r="G21" i="6"/>
  <c r="F21" i="6" a="1"/>
  <c r="F21" i="6"/>
  <c r="E21" i="6" a="1"/>
  <c r="E21" i="6"/>
  <c r="X21" i="6" s="1"/>
  <c r="D21" i="6" a="1"/>
  <c r="D21" i="6"/>
  <c r="B21" i="6" a="1"/>
  <c r="B21" i="6" s="1"/>
  <c r="AD20" i="6" a="1"/>
  <c r="AD20" i="6" s="1"/>
  <c r="X20" i="6"/>
  <c r="Q20" i="6" a="1"/>
  <c r="Q20" i="6"/>
  <c r="P20" i="6" a="1"/>
  <c r="P20" i="6"/>
  <c r="O20" i="6" a="1"/>
  <c r="O20" i="6"/>
  <c r="T20" i="6" s="1"/>
  <c r="AB20" i="6" s="1"/>
  <c r="L20" i="6" a="1"/>
  <c r="L20" i="6" s="1"/>
  <c r="W20" i="6" s="1"/>
  <c r="K20" i="6" a="1"/>
  <c r="K20" i="6"/>
  <c r="J20" i="6" a="1"/>
  <c r="J20" i="6" s="1"/>
  <c r="I20" i="6" a="1"/>
  <c r="I20" i="6" s="1"/>
  <c r="H20" i="6" a="1"/>
  <c r="H20" i="6"/>
  <c r="G20" i="6" a="1"/>
  <c r="G20" i="6" s="1"/>
  <c r="F20" i="6" a="1"/>
  <c r="F20" i="6" s="1"/>
  <c r="Y20" i="6" s="1"/>
  <c r="E20" i="6" a="1"/>
  <c r="E20" i="6" s="1"/>
  <c r="D20" i="6" a="1"/>
  <c r="D20" i="6" s="1"/>
  <c r="B20" i="6" a="1"/>
  <c r="B20" i="6" s="1"/>
  <c r="Z19" i="6"/>
  <c r="X19" i="6"/>
  <c r="Q19" i="6" a="1"/>
  <c r="Q19" i="6"/>
  <c r="P19" i="6" a="1"/>
  <c r="P19" i="6"/>
  <c r="T19" i="6" s="1"/>
  <c r="AB19" i="6" s="1"/>
  <c r="O19" i="6" a="1"/>
  <c r="O19" i="6" s="1"/>
  <c r="V19" i="6" s="1"/>
  <c r="M19" i="6" a="1"/>
  <c r="M19" i="6" s="1"/>
  <c r="AA19" i="6" s="1"/>
  <c r="L19" i="6" a="1"/>
  <c r="L19" i="6" s="1"/>
  <c r="W19" i="6" s="1"/>
  <c r="K19" i="6" a="1"/>
  <c r="K19" i="6"/>
  <c r="J19" i="6" a="1"/>
  <c r="J19" i="6" s="1"/>
  <c r="I19" i="6" a="1"/>
  <c r="I19" i="6" s="1"/>
  <c r="H19" i="6" a="1"/>
  <c r="H19" i="6" s="1"/>
  <c r="G19" i="6" a="1"/>
  <c r="G19" i="6" s="1"/>
  <c r="F19" i="6" a="1"/>
  <c r="F19" i="6" s="1"/>
  <c r="E19" i="6" a="1"/>
  <c r="E19" i="6" s="1"/>
  <c r="D19" i="6" a="1"/>
  <c r="D19" i="6" s="1"/>
  <c r="B19" i="6" a="1"/>
  <c r="B19" i="6"/>
  <c r="AB18" i="6"/>
  <c r="Z18" i="6"/>
  <c r="X18" i="6"/>
  <c r="R18" i="6" a="1"/>
  <c r="R18" i="6" s="1"/>
  <c r="U18" i="6" s="1"/>
  <c r="AC18" i="6" s="1"/>
  <c r="Q18" i="6" a="1"/>
  <c r="Q18" i="6"/>
  <c r="P18" i="6" a="1"/>
  <c r="P18" i="6" s="1"/>
  <c r="T18" i="6" s="1"/>
  <c r="O18" i="6" a="1"/>
  <c r="O18" i="6" s="1"/>
  <c r="V18" i="6" s="1"/>
  <c r="L18" i="6" a="1"/>
  <c r="L18" i="6" s="1"/>
  <c r="K18" i="6" a="1"/>
  <c r="K18" i="6"/>
  <c r="J18" i="6" a="1"/>
  <c r="J18" i="6"/>
  <c r="I18" i="6" a="1"/>
  <c r="I18" i="6"/>
  <c r="H18" i="6" a="1"/>
  <c r="H18" i="6"/>
  <c r="G18" i="6" a="1"/>
  <c r="G18" i="6" s="1"/>
  <c r="F18" i="6" a="1"/>
  <c r="F18" i="6" s="1"/>
  <c r="Y18" i="6" s="1"/>
  <c r="E18" i="6" a="1"/>
  <c r="E18" i="6"/>
  <c r="D18" i="6" a="1"/>
  <c r="D18" i="6"/>
  <c r="B18" i="6" a="1"/>
  <c r="B18" i="6" s="1"/>
  <c r="X17" i="6"/>
  <c r="V17" i="6"/>
  <c r="R17" i="6" a="1"/>
  <c r="R17" i="6" s="1"/>
  <c r="Q17" i="6" a="1"/>
  <c r="Q17" i="6"/>
  <c r="P17" i="6" a="1"/>
  <c r="P17" i="6" s="1"/>
  <c r="T17" i="6" s="1"/>
  <c r="AB17" i="6" s="1"/>
  <c r="O17" i="6" a="1"/>
  <c r="O17" i="6"/>
  <c r="L17" i="6" a="1"/>
  <c r="L17" i="6"/>
  <c r="K17" i="6" a="1"/>
  <c r="K17" i="6" s="1"/>
  <c r="J17" i="6" a="1"/>
  <c r="J17" i="6"/>
  <c r="Z17" i="6" s="1"/>
  <c r="I17" i="6" a="1"/>
  <c r="I17" i="6" s="1"/>
  <c r="H17" i="6" a="1"/>
  <c r="H17" i="6"/>
  <c r="G17" i="6" a="1"/>
  <c r="G17" i="6"/>
  <c r="F17" i="6" a="1"/>
  <c r="F17" i="6" s="1"/>
  <c r="Y17" i="6" s="1"/>
  <c r="E17" i="6" a="1"/>
  <c r="E17" i="6" s="1"/>
  <c r="D17" i="6" a="1"/>
  <c r="D17" i="6" s="1"/>
  <c r="B17" i="6" a="1"/>
  <c r="B17" i="6" s="1"/>
  <c r="S16" i="6"/>
  <c r="Q16" i="6" a="1"/>
  <c r="Q16" i="6"/>
  <c r="P16" i="6" a="1"/>
  <c r="P16" i="6" s="1"/>
  <c r="T16" i="6" s="1"/>
  <c r="AB16" i="6" s="1"/>
  <c r="O16" i="6" a="1"/>
  <c r="O16" i="6" s="1"/>
  <c r="M16" i="6" a="1"/>
  <c r="M16" i="6" s="1"/>
  <c r="AA16" i="6" s="1"/>
  <c r="L16" i="6" a="1"/>
  <c r="L16" i="6" s="1"/>
  <c r="W16" i="6" s="1"/>
  <c r="K16" i="6" a="1"/>
  <c r="K16" i="6"/>
  <c r="J16" i="6" a="1"/>
  <c r="J16" i="6"/>
  <c r="I16" i="6" a="1"/>
  <c r="I16" i="6"/>
  <c r="Z16" i="6" s="1"/>
  <c r="H16" i="6" a="1"/>
  <c r="H16" i="6"/>
  <c r="G16" i="6" a="1"/>
  <c r="G16" i="6"/>
  <c r="F16" i="6" a="1"/>
  <c r="F16" i="6" s="1"/>
  <c r="E16" i="6" a="1"/>
  <c r="E16" i="6"/>
  <c r="D16" i="6" a="1"/>
  <c r="D16" i="6"/>
  <c r="B16" i="6" a="1"/>
  <c r="B16" i="6" s="1"/>
  <c r="S15" i="6" a="1"/>
  <c r="S15" i="6" s="1"/>
  <c r="R15" i="6" a="1"/>
  <c r="R15" i="6" s="1"/>
  <c r="Q15" i="6" a="1"/>
  <c r="Q15" i="6"/>
  <c r="P15" i="6" a="1"/>
  <c r="P15" i="6" s="1"/>
  <c r="O15" i="6" a="1"/>
  <c r="O15" i="6"/>
  <c r="V15" i="6" s="1"/>
  <c r="L15" i="6" a="1"/>
  <c r="L15" i="6" s="1"/>
  <c r="K15" i="6" a="1"/>
  <c r="K15" i="6" s="1"/>
  <c r="J15" i="6" a="1"/>
  <c r="J15" i="6"/>
  <c r="I15" i="6" a="1"/>
  <c r="I15" i="6"/>
  <c r="Z15" i="6" s="1"/>
  <c r="H15" i="6" a="1"/>
  <c r="H15" i="6"/>
  <c r="G15" i="6" a="1"/>
  <c r="G15" i="6" s="1"/>
  <c r="F15" i="6" a="1"/>
  <c r="F15" i="6"/>
  <c r="E15" i="6" a="1"/>
  <c r="E15" i="6"/>
  <c r="X15" i="6" s="1"/>
  <c r="D15" i="6" a="1"/>
  <c r="D15" i="6" s="1"/>
  <c r="B15" i="6" a="1"/>
  <c r="B15" i="6" s="1"/>
  <c r="X14" i="6"/>
  <c r="V14" i="6"/>
  <c r="Q14" i="6" a="1"/>
  <c r="Q14" i="6"/>
  <c r="P14" i="6" a="1"/>
  <c r="P14" i="6"/>
  <c r="T14" i="6" s="1"/>
  <c r="AB14" i="6" s="1"/>
  <c r="O14" i="6" a="1"/>
  <c r="O14" i="6" s="1"/>
  <c r="L14" i="6" a="1"/>
  <c r="L14" i="6"/>
  <c r="W14" i="6" s="1"/>
  <c r="K14" i="6" a="1"/>
  <c r="K14" i="6"/>
  <c r="J14" i="6" a="1"/>
  <c r="J14" i="6" s="1"/>
  <c r="I14" i="6" a="1"/>
  <c r="I14" i="6"/>
  <c r="H14" i="6" a="1"/>
  <c r="H14" i="6"/>
  <c r="G14" i="6" a="1"/>
  <c r="G14" i="6"/>
  <c r="F14" i="6" a="1"/>
  <c r="F14" i="6" s="1"/>
  <c r="Y14" i="6" s="1"/>
  <c r="E14" i="6" a="1"/>
  <c r="E14" i="6" s="1"/>
  <c r="D14" i="6" a="1"/>
  <c r="D14" i="6" s="1"/>
  <c r="B14" i="6" a="1"/>
  <c r="B14" i="6"/>
  <c r="W13" i="6"/>
  <c r="S13" i="6"/>
  <c r="Q13" i="6" a="1"/>
  <c r="Q13" i="6" s="1"/>
  <c r="P13" i="6" a="1"/>
  <c r="P13" i="6" s="1"/>
  <c r="T13" i="6" s="1"/>
  <c r="AB13" i="6" s="1"/>
  <c r="O13" i="6" a="1"/>
  <c r="O13" i="6" s="1"/>
  <c r="V13" i="6" s="1"/>
  <c r="N13" i="6" a="1"/>
  <c r="N13" i="6" s="1"/>
  <c r="L13" i="6" a="1"/>
  <c r="L13" i="6"/>
  <c r="K13" i="6" a="1"/>
  <c r="K13" i="6"/>
  <c r="J13" i="6" a="1"/>
  <c r="J13" i="6" s="1"/>
  <c r="I13" i="6" a="1"/>
  <c r="I13" i="6" s="1"/>
  <c r="H13" i="6" a="1"/>
  <c r="H13" i="6"/>
  <c r="G13" i="6" a="1"/>
  <c r="G13" i="6" s="1"/>
  <c r="F13" i="6" a="1"/>
  <c r="F13" i="6" s="1"/>
  <c r="Y13" i="6" s="1"/>
  <c r="E13" i="6" a="1"/>
  <c r="E13" i="6"/>
  <c r="X13" i="6" s="1"/>
  <c r="D13" i="6" a="1"/>
  <c r="D13" i="6"/>
  <c r="B13" i="6" a="1"/>
  <c r="B13" i="6"/>
  <c r="AD12" i="6" a="1"/>
  <c r="AD12" i="6" s="1"/>
  <c r="AB12" i="6"/>
  <c r="Z12" i="6"/>
  <c r="Y12" i="6"/>
  <c r="X12" i="6"/>
  <c r="W12" i="6"/>
  <c r="V12" i="6"/>
  <c r="Q12" i="6" a="1"/>
  <c r="Q12" i="6" s="1"/>
  <c r="P12" i="6" a="1"/>
  <c r="P12" i="6"/>
  <c r="T12" i="6" s="1"/>
  <c r="O12" i="6" a="1"/>
  <c r="O12" i="6"/>
  <c r="L12" i="6" a="1"/>
  <c r="L12" i="6" s="1"/>
  <c r="K12" i="6" a="1"/>
  <c r="K12" i="6" s="1"/>
  <c r="J12" i="6" a="1"/>
  <c r="J12" i="6"/>
  <c r="I12" i="6" a="1"/>
  <c r="I12" i="6" s="1"/>
  <c r="H12" i="6" a="1"/>
  <c r="H12" i="6" s="1"/>
  <c r="G12" i="6" a="1"/>
  <c r="G12" i="6" s="1"/>
  <c r="F12" i="6" a="1"/>
  <c r="F12" i="6"/>
  <c r="E12" i="6" a="1"/>
  <c r="E12" i="6"/>
  <c r="D12" i="6" a="1"/>
  <c r="D12" i="6"/>
  <c r="B12" i="6" a="1"/>
  <c r="B12" i="6"/>
  <c r="W11" i="6"/>
  <c r="Q11" i="6" a="1"/>
  <c r="Q11" i="6"/>
  <c r="P11" i="6" a="1"/>
  <c r="P11" i="6"/>
  <c r="T11" i="6" s="1"/>
  <c r="AB11" i="6" s="1"/>
  <c r="O11" i="6" a="1"/>
  <c r="O11" i="6"/>
  <c r="M11" i="6"/>
  <c r="AA11" i="6" s="1"/>
  <c r="L11" i="6" a="1"/>
  <c r="L11" i="6" s="1"/>
  <c r="K11" i="6" a="1"/>
  <c r="K11" i="6" s="1"/>
  <c r="J11" i="6" a="1"/>
  <c r="J11" i="6" s="1"/>
  <c r="Z11" i="6" s="1"/>
  <c r="I11" i="6" a="1"/>
  <c r="I11" i="6" s="1"/>
  <c r="H11" i="6" a="1"/>
  <c r="H11" i="6"/>
  <c r="G11" i="6" a="1"/>
  <c r="G11" i="6"/>
  <c r="F11" i="6" a="1"/>
  <c r="F11" i="6"/>
  <c r="E11" i="6" a="1"/>
  <c r="E11" i="6"/>
  <c r="Y11" i="6" s="1"/>
  <c r="D11" i="6" a="1"/>
  <c r="D11" i="6" s="1"/>
  <c r="B11" i="6" a="1"/>
  <c r="B11" i="6" s="1"/>
  <c r="AD10" i="6" a="1"/>
  <c r="AD10" i="6" s="1"/>
  <c r="S10" i="6" a="1"/>
  <c r="S10" i="6"/>
  <c r="Q10" i="6" a="1"/>
  <c r="Q10" i="6"/>
  <c r="P10" i="6" a="1"/>
  <c r="P10" i="6" s="1"/>
  <c r="T10" i="6" s="1"/>
  <c r="AB10" i="6" s="1"/>
  <c r="O10" i="6" a="1"/>
  <c r="O10" i="6"/>
  <c r="N10" i="6" a="1"/>
  <c r="N10" i="6"/>
  <c r="M10" i="6"/>
  <c r="AA10" i="6" s="1"/>
  <c r="L10" i="6" a="1"/>
  <c r="L10" i="6"/>
  <c r="K10" i="6" a="1"/>
  <c r="K10" i="6"/>
  <c r="J10" i="6" a="1"/>
  <c r="J10" i="6"/>
  <c r="I10" i="6" a="1"/>
  <c r="I10" i="6" s="1"/>
  <c r="Z10" i="6" s="1"/>
  <c r="H10" i="6" a="1"/>
  <c r="H10" i="6" s="1"/>
  <c r="G10" i="6" a="1"/>
  <c r="G10" i="6"/>
  <c r="F10" i="6" a="1"/>
  <c r="F10" i="6" s="1"/>
  <c r="E10" i="6" a="1"/>
  <c r="E10" i="6"/>
  <c r="X10" i="6" s="1"/>
  <c r="D10" i="6" a="1"/>
  <c r="D10" i="6"/>
  <c r="B10" i="6" a="1"/>
  <c r="B10" i="6"/>
  <c r="Q9" i="6" a="1"/>
  <c r="Q9" i="6" s="1"/>
  <c r="P9" i="6" a="1"/>
  <c r="P9" i="6" s="1"/>
  <c r="O9" i="6" a="1"/>
  <c r="O9" i="6" s="1"/>
  <c r="N9" i="6" a="1"/>
  <c r="N9" i="6" s="1"/>
  <c r="L9" i="6" a="1"/>
  <c r="L9" i="6" s="1"/>
  <c r="K9" i="6" a="1"/>
  <c r="K9" i="6"/>
  <c r="J9" i="6" a="1"/>
  <c r="J9" i="6"/>
  <c r="I9" i="6" a="1"/>
  <c r="I9" i="6" s="1"/>
  <c r="Z9" i="6" s="1"/>
  <c r="H9" i="6" a="1"/>
  <c r="H9" i="6" s="1"/>
  <c r="G9" i="6" a="1"/>
  <c r="G9" i="6" s="1"/>
  <c r="F9" i="6" a="1"/>
  <c r="F9" i="6" s="1"/>
  <c r="E9" i="6" a="1"/>
  <c r="E9" i="6"/>
  <c r="X9" i="6" s="1"/>
  <c r="D9" i="6" a="1"/>
  <c r="D9" i="6"/>
  <c r="B9" i="6" a="1"/>
  <c r="B9" i="6" s="1"/>
  <c r="U8" i="6"/>
  <c r="AC8" i="6" s="1"/>
  <c r="T8" i="6"/>
  <c r="AB8" i="6" s="1"/>
  <c r="R8" i="6" a="1"/>
  <c r="R8" i="6" s="1"/>
  <c r="Q8" i="6" a="1"/>
  <c r="Q8" i="6"/>
  <c r="P8" i="6" a="1"/>
  <c r="P8" i="6"/>
  <c r="O8" i="6" a="1"/>
  <c r="O8" i="6" s="1"/>
  <c r="V8" i="6" s="1"/>
  <c r="L8" i="6" a="1"/>
  <c r="L8" i="6"/>
  <c r="K8" i="6" a="1"/>
  <c r="K8" i="6"/>
  <c r="J8" i="6" a="1"/>
  <c r="J8" i="6" s="1"/>
  <c r="I8" i="6" a="1"/>
  <c r="I8" i="6"/>
  <c r="Z8" i="6" s="1"/>
  <c r="H8" i="6" a="1"/>
  <c r="H8" i="6"/>
  <c r="G8" i="6" a="1"/>
  <c r="G8" i="6"/>
  <c r="F8" i="6" a="1"/>
  <c r="F8" i="6"/>
  <c r="E8" i="6" a="1"/>
  <c r="E8" i="6"/>
  <c r="X8" i="6" s="1"/>
  <c r="D8" i="6" a="1"/>
  <c r="D8" i="6"/>
  <c r="B8" i="6" a="1"/>
  <c r="B8" i="6"/>
  <c r="AA7" i="6"/>
  <c r="Z7" i="6"/>
  <c r="W7" i="6"/>
  <c r="S7" i="6" a="1"/>
  <c r="S7" i="6" s="1"/>
  <c r="Q7" i="6" a="1"/>
  <c r="Q7" i="6"/>
  <c r="P7" i="6" a="1"/>
  <c r="P7" i="6" s="1"/>
  <c r="T7" i="6" s="1"/>
  <c r="AB7" i="6" s="1"/>
  <c r="O7" i="6" a="1"/>
  <c r="O7" i="6"/>
  <c r="L7" i="6" a="1"/>
  <c r="L7" i="6" s="1"/>
  <c r="K7" i="6" a="1"/>
  <c r="K7" i="6"/>
  <c r="J7" i="6" a="1"/>
  <c r="J7" i="6"/>
  <c r="I7" i="6" a="1"/>
  <c r="I7" i="6"/>
  <c r="H7" i="6" a="1"/>
  <c r="H7" i="6"/>
  <c r="G7" i="6" a="1"/>
  <c r="G7" i="6"/>
  <c r="F7" i="6" a="1"/>
  <c r="F7" i="6" s="1"/>
  <c r="E7" i="6" a="1"/>
  <c r="E7" i="6" s="1"/>
  <c r="V7" i="6" s="1"/>
  <c r="D7" i="6" a="1"/>
  <c r="D7" i="6"/>
  <c r="B7" i="6" a="1"/>
  <c r="B7" i="6"/>
  <c r="AD6" i="6"/>
  <c r="Y6" i="6"/>
  <c r="T6" i="6"/>
  <c r="AB6" i="6" s="1"/>
  <c r="S6" i="6"/>
  <c r="R6" i="6" a="1"/>
  <c r="R6" i="6" s="1"/>
  <c r="U6" i="6" s="1"/>
  <c r="AC6" i="6" s="1"/>
  <c r="Q6" i="6" a="1"/>
  <c r="Q6" i="6" s="1"/>
  <c r="P6" i="6" a="1"/>
  <c r="P6" i="6" s="1"/>
  <c r="O6" i="6" a="1"/>
  <c r="O6" i="6" s="1"/>
  <c r="V6" i="6" s="1"/>
  <c r="M6" i="6" a="1"/>
  <c r="M6" i="6"/>
  <c r="AA6" i="6" s="1"/>
  <c r="L6" i="6" a="1"/>
  <c r="L6" i="6"/>
  <c r="W6" i="6" s="1"/>
  <c r="K6" i="6" a="1"/>
  <c r="K6" i="6"/>
  <c r="J6" i="6" a="1"/>
  <c r="J6" i="6"/>
  <c r="I6" i="6" a="1"/>
  <c r="I6" i="6"/>
  <c r="Z6" i="6" s="1"/>
  <c r="H6" i="6" a="1"/>
  <c r="H6" i="6" s="1"/>
  <c r="G6" i="6" a="1"/>
  <c r="G6" i="6" s="1"/>
  <c r="F6" i="6" a="1"/>
  <c r="F6" i="6" s="1"/>
  <c r="E6" i="6" a="1"/>
  <c r="E6" i="6" s="1"/>
  <c r="X6" i="6" s="1"/>
  <c r="D6" i="6" a="1"/>
  <c r="D6" i="6" s="1"/>
  <c r="B6" i="6" a="1"/>
  <c r="B6" i="6"/>
  <c r="X5" i="6"/>
  <c r="V5" i="6"/>
  <c r="R5" i="6" a="1"/>
  <c r="R5" i="6" s="1"/>
  <c r="U5" i="6" s="1"/>
  <c r="AC5" i="6" s="1"/>
  <c r="Q5" i="6" a="1"/>
  <c r="Q5" i="6" s="1"/>
  <c r="P5" i="6" a="1"/>
  <c r="P5" i="6"/>
  <c r="O5" i="6" a="1"/>
  <c r="O5" i="6"/>
  <c r="L5" i="6" a="1"/>
  <c r="L5" i="6"/>
  <c r="W5" i="6" s="1"/>
  <c r="K5" i="6" a="1"/>
  <c r="K5" i="6"/>
  <c r="J5" i="6" a="1"/>
  <c r="J5" i="6"/>
  <c r="I5" i="6" a="1"/>
  <c r="I5" i="6"/>
  <c r="Z5" i="6" s="1"/>
  <c r="H5" i="6" a="1"/>
  <c r="H5" i="6" s="1"/>
  <c r="G5" i="6" a="1"/>
  <c r="G5" i="6"/>
  <c r="F5" i="6" a="1"/>
  <c r="F5" i="6" s="1"/>
  <c r="Y5" i="6" s="1"/>
  <c r="E5" i="6" a="1"/>
  <c r="E5" i="6"/>
  <c r="D5" i="6" a="1"/>
  <c r="D5" i="6" s="1"/>
  <c r="B5" i="6" a="1"/>
  <c r="B5" i="6"/>
  <c r="AD4" i="6"/>
  <c r="AA4" i="6"/>
  <c r="W4" i="6"/>
  <c r="Q4" i="6" a="1"/>
  <c r="Q4" i="6" s="1"/>
  <c r="P4" i="6" a="1"/>
  <c r="P4" i="6" s="1"/>
  <c r="O4" i="6" a="1"/>
  <c r="O4" i="6" s="1"/>
  <c r="V4" i="6" s="1"/>
  <c r="N4" i="6" a="1"/>
  <c r="N4" i="6"/>
  <c r="L4" i="6" a="1"/>
  <c r="L4" i="6"/>
  <c r="K4" i="6" a="1"/>
  <c r="K4" i="6"/>
  <c r="J4" i="6" a="1"/>
  <c r="J4" i="6" s="1"/>
  <c r="I4" i="6" a="1"/>
  <c r="I4" i="6"/>
  <c r="H4" i="6" a="1"/>
  <c r="H4" i="6"/>
  <c r="G4" i="6" a="1"/>
  <c r="G4" i="6"/>
  <c r="F4" i="6" a="1"/>
  <c r="F4" i="6"/>
  <c r="E4" i="6" a="1"/>
  <c r="E4" i="6" s="1"/>
  <c r="X4" i="6" s="1"/>
  <c r="D4" i="6" a="1"/>
  <c r="D4" i="6"/>
  <c r="B4" i="6" a="1"/>
  <c r="B4" i="6" s="1"/>
  <c r="AD3" i="6" a="1"/>
  <c r="AD3" i="6" s="1"/>
  <c r="Z3" i="6"/>
  <c r="Q3" i="6" a="1"/>
  <c r="Q3" i="6"/>
  <c r="P3" i="6" a="1"/>
  <c r="P3" i="6"/>
  <c r="O3" i="6" a="1"/>
  <c r="O3" i="6" s="1"/>
  <c r="V3" i="6" s="1"/>
  <c r="L3" i="6" a="1"/>
  <c r="L3" i="6" s="1"/>
  <c r="W3" i="6" s="1"/>
  <c r="K3" i="6" a="1"/>
  <c r="K3" i="6" s="1"/>
  <c r="J3" i="6" a="1"/>
  <c r="J3" i="6"/>
  <c r="I3" i="6" a="1"/>
  <c r="I3" i="6"/>
  <c r="H3" i="6" a="1"/>
  <c r="H3" i="6"/>
  <c r="G3" i="6" a="1"/>
  <c r="G3" i="6" s="1"/>
  <c r="F3" i="6" a="1"/>
  <c r="F3" i="6"/>
  <c r="E3" i="6" a="1"/>
  <c r="E3" i="6" s="1"/>
  <c r="X3" i="6" s="1"/>
  <c r="D3" i="6" a="1"/>
  <c r="D3" i="6" s="1"/>
  <c r="B3" i="6" a="1"/>
  <c r="B3" i="6" s="1"/>
  <c r="AD2" i="6"/>
  <c r="S2" i="6"/>
  <c r="Q2" i="6" a="1"/>
  <c r="Q2" i="6"/>
  <c r="P2" i="6" a="1"/>
  <c r="P2" i="6"/>
  <c r="O2" i="6" a="1"/>
  <c r="O2" i="6" s="1"/>
  <c r="V2" i="6" s="1"/>
  <c r="N2" i="6" a="1"/>
  <c r="N2" i="6"/>
  <c r="L2" i="6" a="1"/>
  <c r="L2" i="6" s="1"/>
  <c r="K2" i="6" a="1"/>
  <c r="K2" i="6"/>
  <c r="J2" i="6" a="1"/>
  <c r="J2" i="6"/>
  <c r="I2" i="6" a="1"/>
  <c r="I2" i="6"/>
  <c r="Z2" i="6" s="1"/>
  <c r="H2" i="6" a="1"/>
  <c r="H2" i="6"/>
  <c r="G2" i="6" a="1"/>
  <c r="G2" i="6"/>
  <c r="F2" i="6" a="1"/>
  <c r="F2" i="6" s="1"/>
  <c r="Y2" i="6" s="1"/>
  <c r="E2" i="6" a="1"/>
  <c r="E2" i="6"/>
  <c r="X2" i="6" s="1"/>
  <c r="D2" i="6" a="1"/>
  <c r="D2" i="6" s="1"/>
  <c r="B2" i="6" a="1"/>
  <c r="B2" i="6" s="1"/>
  <c r="AQ201" i="5"/>
  <c r="AP201" i="5"/>
  <c r="AJ201" i="5"/>
  <c r="AI201" i="5"/>
  <c r="AH201" i="5"/>
  <c r="AG201" i="5"/>
  <c r="AF201" i="5"/>
  <c r="AE201" i="5"/>
  <c r="AD201" i="5"/>
  <c r="AC201" i="5"/>
  <c r="V201" i="5"/>
  <c r="S201" i="5"/>
  <c r="AS201" i="5" s="1"/>
  <c r="P201" i="5"/>
  <c r="AS200" i="5"/>
  <c r="AQ200" i="5"/>
  <c r="AP200" i="5"/>
  <c r="AJ200" i="5"/>
  <c r="AI200" i="5"/>
  <c r="AH200" i="5"/>
  <c r="AG200" i="5"/>
  <c r="AF200" i="5"/>
  <c r="AE200" i="5"/>
  <c r="AD200" i="5"/>
  <c r="AC200" i="5"/>
  <c r="V200" i="5"/>
  <c r="S200" i="5"/>
  <c r="P200" i="5"/>
  <c r="AS199" i="5"/>
  <c r="AQ199" i="5"/>
  <c r="AP199" i="5"/>
  <c r="AJ199" i="5"/>
  <c r="AI199" i="5"/>
  <c r="AH199" i="5"/>
  <c r="AG199" i="5"/>
  <c r="AF199" i="5"/>
  <c r="AE199" i="5"/>
  <c r="AD199" i="5"/>
  <c r="AC199" i="5"/>
  <c r="V199" i="5"/>
  <c r="S199" i="5"/>
  <c r="P199" i="5"/>
  <c r="AQ198" i="5"/>
  <c r="AP198" i="5"/>
  <c r="AJ198" i="5"/>
  <c r="AI198" i="5"/>
  <c r="AH198" i="5"/>
  <c r="AG198" i="5"/>
  <c r="AF198" i="5"/>
  <c r="AE198" i="5"/>
  <c r="AD198" i="5"/>
  <c r="AC198" i="5"/>
  <c r="V198" i="5"/>
  <c r="S198" i="5"/>
  <c r="AS198" i="5" s="1"/>
  <c r="P198" i="5"/>
  <c r="AQ197" i="5"/>
  <c r="AP197" i="5"/>
  <c r="AJ197" i="5"/>
  <c r="AI197" i="5"/>
  <c r="AH197" i="5"/>
  <c r="AG197" i="5"/>
  <c r="AF197" i="5"/>
  <c r="AE197" i="5"/>
  <c r="AD197" i="5"/>
  <c r="AC197" i="5"/>
  <c r="V197" i="5"/>
  <c r="S197" i="5"/>
  <c r="AS197" i="5" s="1"/>
  <c r="P197" i="5"/>
  <c r="AS196" i="5"/>
  <c r="AQ196" i="5"/>
  <c r="AP196" i="5"/>
  <c r="AJ196" i="5"/>
  <c r="AI196" i="5"/>
  <c r="AH196" i="5"/>
  <c r="AG196" i="5"/>
  <c r="AF196" i="5"/>
  <c r="AE196" i="5"/>
  <c r="AD196" i="5"/>
  <c r="AC196" i="5"/>
  <c r="V196" i="5"/>
  <c r="S196" i="5"/>
  <c r="P196" i="5"/>
  <c r="AS195" i="5"/>
  <c r="AQ195" i="5"/>
  <c r="AP195" i="5"/>
  <c r="AJ195" i="5"/>
  <c r="AI195" i="5"/>
  <c r="AH195" i="5"/>
  <c r="AG195" i="5"/>
  <c r="AF195" i="5"/>
  <c r="AE195" i="5"/>
  <c r="AD195" i="5"/>
  <c r="AC195" i="5"/>
  <c r="V195" i="5"/>
  <c r="S195" i="5"/>
  <c r="P195" i="5"/>
  <c r="AP194" i="5"/>
  <c r="AQ194" i="5" s="1"/>
  <c r="AJ194" i="5"/>
  <c r="AI194" i="5"/>
  <c r="AH194" i="5"/>
  <c r="AG194" i="5"/>
  <c r="AF194" i="5"/>
  <c r="AE194" i="5"/>
  <c r="AD194" i="5"/>
  <c r="AC194" i="5"/>
  <c r="V194" i="5"/>
  <c r="S194" i="5"/>
  <c r="AS194" i="5" s="1"/>
  <c r="P194" i="5"/>
  <c r="AP193" i="5"/>
  <c r="AQ193" i="5" s="1"/>
  <c r="AJ193" i="5"/>
  <c r="AI193" i="5"/>
  <c r="AH193" i="5"/>
  <c r="AG193" i="5"/>
  <c r="AF193" i="5"/>
  <c r="AE193" i="5"/>
  <c r="AD193" i="5"/>
  <c r="AC193" i="5"/>
  <c r="V193" i="5"/>
  <c r="S193" i="5"/>
  <c r="AS193" i="5" s="1"/>
  <c r="P193" i="5"/>
  <c r="AS192" i="5"/>
  <c r="AQ192" i="5"/>
  <c r="AP192" i="5"/>
  <c r="AJ192" i="5"/>
  <c r="AI192" i="5"/>
  <c r="AH192" i="5"/>
  <c r="AG192" i="5"/>
  <c r="AF192" i="5"/>
  <c r="AE192" i="5"/>
  <c r="AD192" i="5"/>
  <c r="AC192" i="5"/>
  <c r="V192" i="5"/>
  <c r="S192" i="5"/>
  <c r="P192" i="5"/>
  <c r="AS191" i="5"/>
  <c r="AP191" i="5"/>
  <c r="AQ191" i="5" s="1"/>
  <c r="AJ191" i="5"/>
  <c r="AI191" i="5"/>
  <c r="AH191" i="5"/>
  <c r="AG191" i="5"/>
  <c r="AF191" i="5"/>
  <c r="AE191" i="5"/>
  <c r="AD191" i="5"/>
  <c r="AC191" i="5"/>
  <c r="V191" i="5"/>
  <c r="S191" i="5"/>
  <c r="P191" i="5"/>
  <c r="AS190" i="5"/>
  <c r="AQ190" i="5"/>
  <c r="AP190" i="5"/>
  <c r="AJ190" i="5"/>
  <c r="AI190" i="5"/>
  <c r="AH190" i="5"/>
  <c r="AG190" i="5"/>
  <c r="AF190" i="5"/>
  <c r="AE190" i="5"/>
  <c r="AD190" i="5"/>
  <c r="AC190" i="5"/>
  <c r="V190" i="5"/>
  <c r="S190" i="5"/>
  <c r="P190" i="5"/>
  <c r="AS189" i="5"/>
  <c r="AQ189" i="5"/>
  <c r="AP189" i="5"/>
  <c r="AJ189" i="5"/>
  <c r="AI189" i="5"/>
  <c r="AH189" i="5"/>
  <c r="AG189" i="5"/>
  <c r="AF189" i="5"/>
  <c r="AE189" i="5"/>
  <c r="AD189" i="5"/>
  <c r="AC189" i="5"/>
  <c r="V189" i="5"/>
  <c r="S189" i="5"/>
  <c r="P189" i="5"/>
  <c r="AP188" i="5"/>
  <c r="AQ188" i="5" s="1"/>
  <c r="AJ188" i="5"/>
  <c r="AI188" i="5"/>
  <c r="AH188" i="5"/>
  <c r="AG188" i="5"/>
  <c r="AF188" i="5"/>
  <c r="AE188" i="5"/>
  <c r="AD188" i="5"/>
  <c r="AC188" i="5"/>
  <c r="V188" i="5"/>
  <c r="S188" i="5"/>
  <c r="AS188" i="5" s="1"/>
  <c r="P188" i="5"/>
  <c r="AS187" i="5"/>
  <c r="AP187" i="5"/>
  <c r="AQ187" i="5" s="1"/>
  <c r="AJ187" i="5"/>
  <c r="AI187" i="5"/>
  <c r="AH187" i="5"/>
  <c r="AG187" i="5"/>
  <c r="AF187" i="5"/>
  <c r="AE187" i="5"/>
  <c r="AD187" i="5"/>
  <c r="AC187" i="5"/>
  <c r="V187" i="5"/>
  <c r="S187" i="5"/>
  <c r="P187" i="5"/>
  <c r="AS186" i="5"/>
  <c r="AP186" i="5"/>
  <c r="AQ186" i="5" s="1"/>
  <c r="AJ186" i="5"/>
  <c r="AI186" i="5"/>
  <c r="AH186" i="5"/>
  <c r="AG186" i="5"/>
  <c r="AF186" i="5"/>
  <c r="AE186" i="5"/>
  <c r="AD186" i="5"/>
  <c r="AC186" i="5"/>
  <c r="V186" i="5"/>
  <c r="S186" i="5"/>
  <c r="P186" i="5"/>
  <c r="AP185" i="5"/>
  <c r="AQ185" i="5" s="1"/>
  <c r="AJ185" i="5"/>
  <c r="AI185" i="5"/>
  <c r="AH185" i="5"/>
  <c r="AG185" i="5"/>
  <c r="AF185" i="5"/>
  <c r="AE185" i="5"/>
  <c r="AD185" i="5"/>
  <c r="AC185" i="5"/>
  <c r="V185" i="5"/>
  <c r="S185" i="5"/>
  <c r="AS185" i="5" s="1"/>
  <c r="P185" i="5"/>
  <c r="AQ184" i="5"/>
  <c r="AP184" i="5"/>
  <c r="AJ184" i="5"/>
  <c r="AI184" i="5"/>
  <c r="AH184" i="5"/>
  <c r="AG184" i="5"/>
  <c r="AF184" i="5"/>
  <c r="AE184" i="5"/>
  <c r="AD184" i="5"/>
  <c r="AC184" i="5"/>
  <c r="V184" i="5"/>
  <c r="S184" i="5"/>
  <c r="AS184" i="5" s="1"/>
  <c r="P184" i="5"/>
  <c r="AP183" i="5"/>
  <c r="AQ183" i="5" s="1"/>
  <c r="AJ183" i="5"/>
  <c r="AI183" i="5"/>
  <c r="AH183" i="5"/>
  <c r="AG183" i="5"/>
  <c r="AF183" i="5"/>
  <c r="AE183" i="5"/>
  <c r="AD183" i="5"/>
  <c r="AC183" i="5"/>
  <c r="V183" i="5"/>
  <c r="S183" i="5"/>
  <c r="AS183" i="5" s="1"/>
  <c r="P183" i="5"/>
  <c r="AS182" i="5"/>
  <c r="AP182" i="5"/>
  <c r="AQ182" i="5" s="1"/>
  <c r="AJ182" i="5"/>
  <c r="AI182" i="5"/>
  <c r="AH182" i="5"/>
  <c r="AG182" i="5"/>
  <c r="AF182" i="5"/>
  <c r="AE182" i="5"/>
  <c r="AD182" i="5"/>
  <c r="AC182" i="5"/>
  <c r="V182" i="5"/>
  <c r="S182" i="5"/>
  <c r="P182" i="5"/>
  <c r="AS181" i="5"/>
  <c r="AP181" i="5"/>
  <c r="AQ181" i="5" s="1"/>
  <c r="AJ181" i="5"/>
  <c r="AI181" i="5"/>
  <c r="AH181" i="5"/>
  <c r="AG181" i="5"/>
  <c r="AF181" i="5"/>
  <c r="AE181" i="5"/>
  <c r="AD181" i="5"/>
  <c r="AC181" i="5"/>
  <c r="V181" i="5"/>
  <c r="S181" i="5"/>
  <c r="P181" i="5"/>
  <c r="AQ180" i="5"/>
  <c r="AP180" i="5"/>
  <c r="AJ180" i="5"/>
  <c r="AI180" i="5"/>
  <c r="AH180" i="5"/>
  <c r="AG180" i="5"/>
  <c r="AF180" i="5"/>
  <c r="AE180" i="5"/>
  <c r="AD180" i="5"/>
  <c r="AC180" i="5"/>
  <c r="V180" i="5"/>
  <c r="S180" i="5"/>
  <c r="AS180" i="5" s="1"/>
  <c r="P180" i="5"/>
  <c r="AQ179" i="5"/>
  <c r="AP179" i="5"/>
  <c r="AJ179" i="5"/>
  <c r="AI179" i="5"/>
  <c r="AH179" i="5"/>
  <c r="AG179" i="5"/>
  <c r="AF179" i="5"/>
  <c r="AE179" i="5"/>
  <c r="AD179" i="5"/>
  <c r="AC179" i="5"/>
  <c r="V179" i="5"/>
  <c r="S179" i="5"/>
  <c r="AS179" i="5" s="1"/>
  <c r="P179" i="5"/>
  <c r="AP178" i="5"/>
  <c r="AQ178" i="5" s="1"/>
  <c r="AJ178" i="5"/>
  <c r="AI178" i="5"/>
  <c r="AH178" i="5"/>
  <c r="AG178" i="5"/>
  <c r="AF178" i="5"/>
  <c r="AE178" i="5"/>
  <c r="AD178" i="5"/>
  <c r="AC178" i="5"/>
  <c r="V178" i="5"/>
  <c r="S178" i="5"/>
  <c r="AS178" i="5" s="1"/>
  <c r="P178" i="5"/>
  <c r="AS177" i="5"/>
  <c r="AP177" i="5"/>
  <c r="AQ177" i="5" s="1"/>
  <c r="AJ177" i="5"/>
  <c r="AI177" i="5"/>
  <c r="AH177" i="5"/>
  <c r="AG177" i="5"/>
  <c r="AF177" i="5"/>
  <c r="AE177" i="5"/>
  <c r="AD177" i="5"/>
  <c r="AC177" i="5"/>
  <c r="V177" i="5"/>
  <c r="S177" i="5"/>
  <c r="P177" i="5"/>
  <c r="AP176" i="5"/>
  <c r="AQ176" i="5" s="1"/>
  <c r="AJ176" i="5"/>
  <c r="AI176" i="5"/>
  <c r="AH176" i="5"/>
  <c r="AG176" i="5"/>
  <c r="AF176" i="5"/>
  <c r="AE176" i="5"/>
  <c r="AD176" i="5"/>
  <c r="AC176" i="5"/>
  <c r="V176" i="5"/>
  <c r="S176" i="5"/>
  <c r="AS176" i="5" s="1"/>
  <c r="P176" i="5"/>
  <c r="AS175" i="5"/>
  <c r="AP175" i="5"/>
  <c r="AQ175" i="5" s="1"/>
  <c r="AJ175" i="5"/>
  <c r="AI175" i="5"/>
  <c r="AH175" i="5"/>
  <c r="AG175" i="5"/>
  <c r="AF175" i="5"/>
  <c r="AE175" i="5"/>
  <c r="AD175" i="5"/>
  <c r="AC175" i="5"/>
  <c r="V175" i="5"/>
  <c r="S175" i="5"/>
  <c r="P175" i="5"/>
  <c r="AS174" i="5"/>
  <c r="AP174" i="5"/>
  <c r="AQ174" i="5" s="1"/>
  <c r="AJ174" i="5"/>
  <c r="AI174" i="5"/>
  <c r="AH174" i="5"/>
  <c r="AG174" i="5"/>
  <c r="AF174" i="5"/>
  <c r="AE174" i="5"/>
  <c r="AD174" i="5"/>
  <c r="AC174" i="5"/>
  <c r="V174" i="5"/>
  <c r="S174" i="5"/>
  <c r="P174" i="5"/>
  <c r="AS173" i="5"/>
  <c r="AP173" i="5"/>
  <c r="AQ173" i="5" s="1"/>
  <c r="AJ173" i="5"/>
  <c r="AI173" i="5"/>
  <c r="AH173" i="5"/>
  <c r="AG173" i="5"/>
  <c r="AF173" i="5"/>
  <c r="AE173" i="5"/>
  <c r="AD173" i="5"/>
  <c r="AC173" i="5"/>
  <c r="V173" i="5"/>
  <c r="S173" i="5"/>
  <c r="P173" i="5"/>
  <c r="AP172" i="5"/>
  <c r="AQ172" i="5" s="1"/>
  <c r="AJ172" i="5"/>
  <c r="AI172" i="5"/>
  <c r="AH172" i="5"/>
  <c r="AG172" i="5"/>
  <c r="AF172" i="5"/>
  <c r="AE172" i="5"/>
  <c r="AD172" i="5"/>
  <c r="AC172" i="5"/>
  <c r="V172" i="5"/>
  <c r="S172" i="5"/>
  <c r="AS172" i="5" s="1"/>
  <c r="P172" i="5"/>
  <c r="AS171" i="5"/>
  <c r="AQ171" i="5"/>
  <c r="AP171" i="5"/>
  <c r="AJ171" i="5"/>
  <c r="AI171" i="5"/>
  <c r="AH171" i="5"/>
  <c r="AG171" i="5"/>
  <c r="AF171" i="5"/>
  <c r="AE171" i="5"/>
  <c r="AD171" i="5"/>
  <c r="AC171" i="5"/>
  <c r="V171" i="5"/>
  <c r="S171" i="5"/>
  <c r="P171" i="5"/>
  <c r="AS170" i="5"/>
  <c r="AP170" i="5"/>
  <c r="AQ170" i="5" s="1"/>
  <c r="AJ170" i="5"/>
  <c r="AI170" i="5"/>
  <c r="AH170" i="5"/>
  <c r="AG170" i="5"/>
  <c r="AF170" i="5"/>
  <c r="AE170" i="5"/>
  <c r="AD170" i="5"/>
  <c r="AC170" i="5"/>
  <c r="V170" i="5"/>
  <c r="S170" i="5"/>
  <c r="P170" i="5"/>
  <c r="AS169" i="5"/>
  <c r="AP169" i="5"/>
  <c r="AQ169" i="5" s="1"/>
  <c r="AJ169" i="5"/>
  <c r="AI169" i="5"/>
  <c r="AH169" i="5"/>
  <c r="AG169" i="5"/>
  <c r="AF169" i="5"/>
  <c r="AE169" i="5"/>
  <c r="AD169" i="5"/>
  <c r="AC169" i="5"/>
  <c r="V169" i="5"/>
  <c r="S169" i="5"/>
  <c r="P169" i="5"/>
  <c r="AQ168" i="5"/>
  <c r="AP168" i="5"/>
  <c r="AJ168" i="5"/>
  <c r="AI168" i="5"/>
  <c r="AH168" i="5"/>
  <c r="AG168" i="5"/>
  <c r="AF168" i="5"/>
  <c r="AE168" i="5"/>
  <c r="AD168" i="5"/>
  <c r="AC168" i="5"/>
  <c r="V168" i="5"/>
  <c r="S168" i="5"/>
  <c r="AS168" i="5" s="1"/>
  <c r="P168" i="5"/>
  <c r="AQ167" i="5"/>
  <c r="AP167" i="5"/>
  <c r="AJ167" i="5"/>
  <c r="AI167" i="5"/>
  <c r="AH167" i="5"/>
  <c r="AG167" i="5"/>
  <c r="AF167" i="5"/>
  <c r="AE167" i="5"/>
  <c r="AD167" i="5"/>
  <c r="AC167" i="5"/>
  <c r="V167" i="5"/>
  <c r="S167" i="5"/>
  <c r="AS167" i="5" s="1"/>
  <c r="P167" i="5"/>
  <c r="AS166" i="5"/>
  <c r="AP166" i="5"/>
  <c r="AQ166" i="5" s="1"/>
  <c r="AJ166" i="5"/>
  <c r="AI166" i="5"/>
  <c r="AH166" i="5"/>
  <c r="AG166" i="5"/>
  <c r="AF166" i="5"/>
  <c r="AE166" i="5"/>
  <c r="AD166" i="5"/>
  <c r="AC166" i="5"/>
  <c r="V166" i="5"/>
  <c r="S166" i="5"/>
  <c r="P166" i="5"/>
  <c r="AS165" i="5"/>
  <c r="AQ165" i="5"/>
  <c r="AP165" i="5"/>
  <c r="AJ165" i="5"/>
  <c r="AI165" i="5"/>
  <c r="AH165" i="5"/>
  <c r="AG165" i="5"/>
  <c r="AF165" i="5"/>
  <c r="AE165" i="5"/>
  <c r="AD165" i="5"/>
  <c r="AC165" i="5"/>
  <c r="V165" i="5"/>
  <c r="S165" i="5"/>
  <c r="P165" i="5"/>
  <c r="AS164" i="5"/>
  <c r="AP164" i="5"/>
  <c r="AQ164" i="5" s="1"/>
  <c r="AJ164" i="5"/>
  <c r="AI164" i="5"/>
  <c r="AH164" i="5"/>
  <c r="AG164" i="5"/>
  <c r="AF164" i="5"/>
  <c r="AE164" i="5"/>
  <c r="AD164" i="5"/>
  <c r="AC164" i="5"/>
  <c r="V164" i="5"/>
  <c r="S164" i="5"/>
  <c r="P164" i="5"/>
  <c r="AQ163" i="5"/>
  <c r="AP163" i="5"/>
  <c r="AJ163" i="5"/>
  <c r="AI163" i="5"/>
  <c r="AH163" i="5"/>
  <c r="AG163" i="5"/>
  <c r="AF163" i="5"/>
  <c r="AE163" i="5"/>
  <c r="AD163" i="5"/>
  <c r="AC163" i="5"/>
  <c r="V163" i="5"/>
  <c r="S163" i="5"/>
  <c r="AS163" i="5" s="1"/>
  <c r="P163" i="5"/>
  <c r="AS162" i="5"/>
  <c r="AQ162" i="5"/>
  <c r="AP162" i="5"/>
  <c r="AJ162" i="5"/>
  <c r="AI162" i="5"/>
  <c r="AH162" i="5"/>
  <c r="AG162" i="5"/>
  <c r="AF162" i="5"/>
  <c r="AE162" i="5"/>
  <c r="AD162" i="5"/>
  <c r="AC162" i="5"/>
  <c r="V162" i="5"/>
  <c r="S162" i="5"/>
  <c r="P162" i="5"/>
  <c r="AS161" i="5"/>
  <c r="AP161" i="5"/>
  <c r="AQ161" i="5" s="1"/>
  <c r="AJ161" i="5"/>
  <c r="AI161" i="5"/>
  <c r="AH161" i="5"/>
  <c r="AG161" i="5"/>
  <c r="AF161" i="5"/>
  <c r="AE161" i="5"/>
  <c r="AD161" i="5"/>
  <c r="AC161" i="5"/>
  <c r="V161" i="5"/>
  <c r="S161" i="5"/>
  <c r="P161" i="5"/>
  <c r="AS160" i="5"/>
  <c r="AP160" i="5"/>
  <c r="AQ160" i="5" s="1"/>
  <c r="AJ160" i="5"/>
  <c r="AI160" i="5"/>
  <c r="AH160" i="5"/>
  <c r="AG160" i="5"/>
  <c r="AF160" i="5"/>
  <c r="AE160" i="5"/>
  <c r="AD160" i="5"/>
  <c r="AC160" i="5"/>
  <c r="V160" i="5"/>
  <c r="S160" i="5"/>
  <c r="P160" i="5"/>
  <c r="AP159" i="5"/>
  <c r="AQ159" i="5" s="1"/>
  <c r="AJ159" i="5"/>
  <c r="AI159" i="5"/>
  <c r="AH159" i="5"/>
  <c r="AG159" i="5"/>
  <c r="AF159" i="5"/>
  <c r="AE159" i="5"/>
  <c r="AD159" i="5"/>
  <c r="AC159" i="5"/>
  <c r="V159" i="5"/>
  <c r="S159" i="5"/>
  <c r="AS159" i="5" s="1"/>
  <c r="P159" i="5"/>
  <c r="AP158" i="5"/>
  <c r="AQ158" i="5" s="1"/>
  <c r="AJ158" i="5"/>
  <c r="AI158" i="5"/>
  <c r="AH158" i="5"/>
  <c r="AG158" i="5"/>
  <c r="AF158" i="5"/>
  <c r="AE158" i="5"/>
  <c r="AD158" i="5"/>
  <c r="AC158" i="5"/>
  <c r="V158" i="5"/>
  <c r="S158" i="5"/>
  <c r="AS158" i="5" s="1"/>
  <c r="P158" i="5"/>
  <c r="AS157" i="5"/>
  <c r="AP157" i="5"/>
  <c r="AQ157" i="5" s="1"/>
  <c r="AJ157" i="5"/>
  <c r="AI157" i="5"/>
  <c r="AH157" i="5"/>
  <c r="AG157" i="5"/>
  <c r="AF157" i="5"/>
  <c r="AE157" i="5"/>
  <c r="AD157" i="5"/>
  <c r="AC157" i="5"/>
  <c r="V157" i="5"/>
  <c r="S157" i="5"/>
  <c r="P157" i="5"/>
  <c r="AS156" i="5"/>
  <c r="AP156" i="5"/>
  <c r="AQ156" i="5" s="1"/>
  <c r="AJ156" i="5"/>
  <c r="AI156" i="5"/>
  <c r="AH156" i="5"/>
  <c r="AG156" i="5"/>
  <c r="AF156" i="5"/>
  <c r="AE156" i="5"/>
  <c r="AD156" i="5"/>
  <c r="AC156" i="5"/>
  <c r="V156" i="5"/>
  <c r="S156" i="5"/>
  <c r="P156" i="5"/>
  <c r="AS155" i="5"/>
  <c r="AP155" i="5"/>
  <c r="AQ155" i="5" s="1"/>
  <c r="AJ155" i="5"/>
  <c r="AI155" i="5"/>
  <c r="AH155" i="5"/>
  <c r="AG155" i="5"/>
  <c r="AF155" i="5"/>
  <c r="AE155" i="5"/>
  <c r="AD155" i="5"/>
  <c r="AC155" i="5"/>
  <c r="V155" i="5"/>
  <c r="S155" i="5"/>
  <c r="P155" i="5"/>
  <c r="AP154" i="5"/>
  <c r="AQ154" i="5" s="1"/>
  <c r="AJ154" i="5"/>
  <c r="AI154" i="5"/>
  <c r="AH154" i="5"/>
  <c r="AG154" i="5"/>
  <c r="AF154" i="5"/>
  <c r="AE154" i="5"/>
  <c r="AD154" i="5"/>
  <c r="AC154" i="5"/>
  <c r="V154" i="5"/>
  <c r="S154" i="5"/>
  <c r="AS154" i="5" s="1"/>
  <c r="P154" i="5"/>
  <c r="AQ153" i="5"/>
  <c r="AP153" i="5"/>
  <c r="AJ153" i="5"/>
  <c r="AI153" i="5"/>
  <c r="AH153" i="5"/>
  <c r="AG153" i="5"/>
  <c r="AF153" i="5"/>
  <c r="AE153" i="5"/>
  <c r="AD153" i="5"/>
  <c r="AC153" i="5"/>
  <c r="V153" i="5"/>
  <c r="S153" i="5"/>
  <c r="AS153" i="5" s="1"/>
  <c r="P153" i="5"/>
  <c r="AS152" i="5"/>
  <c r="AP152" i="5"/>
  <c r="AQ152" i="5" s="1"/>
  <c r="AJ152" i="5"/>
  <c r="AI152" i="5"/>
  <c r="AH152" i="5"/>
  <c r="AG152" i="5"/>
  <c r="AF152" i="5"/>
  <c r="AE152" i="5"/>
  <c r="AD152" i="5"/>
  <c r="AC152" i="5"/>
  <c r="V152" i="5"/>
  <c r="S152" i="5"/>
  <c r="P152" i="5"/>
  <c r="AP151" i="5"/>
  <c r="AQ151" i="5" s="1"/>
  <c r="AJ151" i="5"/>
  <c r="AI151" i="5"/>
  <c r="AH151" i="5"/>
  <c r="AG151" i="5"/>
  <c r="AF151" i="5"/>
  <c r="AE151" i="5"/>
  <c r="AD151" i="5"/>
  <c r="AC151" i="5"/>
  <c r="V151" i="5"/>
  <c r="S151" i="5"/>
  <c r="AS151" i="5" s="1"/>
  <c r="P151" i="5"/>
  <c r="AS150" i="5"/>
  <c r="AQ150" i="5"/>
  <c r="AP150" i="5"/>
  <c r="AJ150" i="5"/>
  <c r="AI150" i="5"/>
  <c r="AH150" i="5"/>
  <c r="AG150" i="5"/>
  <c r="AF150" i="5"/>
  <c r="AE150" i="5"/>
  <c r="AD150" i="5"/>
  <c r="AC150" i="5"/>
  <c r="V150" i="5"/>
  <c r="S150" i="5"/>
  <c r="P150" i="5"/>
  <c r="AQ149" i="5"/>
  <c r="AP149" i="5"/>
  <c r="AJ149" i="5"/>
  <c r="AI149" i="5"/>
  <c r="AH149" i="5"/>
  <c r="AG149" i="5"/>
  <c r="AF149" i="5"/>
  <c r="AE149" i="5"/>
  <c r="AD149" i="5"/>
  <c r="AC149" i="5"/>
  <c r="V149" i="5"/>
  <c r="S149" i="5"/>
  <c r="AS149" i="5" s="1"/>
  <c r="P149" i="5"/>
  <c r="AS148" i="5"/>
  <c r="AQ148" i="5"/>
  <c r="AP148" i="5"/>
  <c r="AJ148" i="5"/>
  <c r="AI148" i="5"/>
  <c r="AH148" i="5"/>
  <c r="AG148" i="5"/>
  <c r="AF148" i="5"/>
  <c r="AE148" i="5"/>
  <c r="AD148" i="5"/>
  <c r="AC148" i="5"/>
  <c r="V148" i="5"/>
  <c r="S148" i="5"/>
  <c r="P148" i="5"/>
  <c r="AS147" i="5"/>
  <c r="AQ147" i="5"/>
  <c r="AP147" i="5"/>
  <c r="AJ147" i="5"/>
  <c r="AI147" i="5"/>
  <c r="AH147" i="5"/>
  <c r="AG147" i="5"/>
  <c r="AF147" i="5"/>
  <c r="AE147" i="5"/>
  <c r="AD147" i="5"/>
  <c r="AC147" i="5"/>
  <c r="V147" i="5"/>
  <c r="S147" i="5"/>
  <c r="P147" i="5"/>
  <c r="AS146" i="5"/>
  <c r="AQ146" i="5"/>
  <c r="AP146" i="5"/>
  <c r="AJ146" i="5"/>
  <c r="AI146" i="5"/>
  <c r="AH146" i="5"/>
  <c r="AG146" i="5"/>
  <c r="AF146" i="5"/>
  <c r="AE146" i="5"/>
  <c r="AD146" i="5"/>
  <c r="AC146" i="5"/>
  <c r="V146" i="5"/>
  <c r="S146" i="5"/>
  <c r="P146" i="5"/>
  <c r="AQ145" i="5"/>
  <c r="AP145" i="5"/>
  <c r="AJ145" i="5"/>
  <c r="AI145" i="5"/>
  <c r="AH145" i="5"/>
  <c r="AG145" i="5"/>
  <c r="AF145" i="5"/>
  <c r="AE145" i="5"/>
  <c r="AD145" i="5"/>
  <c r="AC145" i="5"/>
  <c r="V145" i="5"/>
  <c r="S145" i="5"/>
  <c r="AS145" i="5" s="1"/>
  <c r="P145" i="5"/>
  <c r="AS144" i="5"/>
  <c r="AQ144" i="5"/>
  <c r="AP144" i="5"/>
  <c r="AJ144" i="5"/>
  <c r="AI144" i="5"/>
  <c r="AH144" i="5"/>
  <c r="AG144" i="5"/>
  <c r="AF144" i="5"/>
  <c r="AE144" i="5"/>
  <c r="AD144" i="5"/>
  <c r="AC144" i="5"/>
  <c r="V144" i="5"/>
  <c r="S144" i="5"/>
  <c r="P144" i="5"/>
  <c r="AS143" i="5"/>
  <c r="AP143" i="5"/>
  <c r="AQ143" i="5" s="1"/>
  <c r="AJ143" i="5"/>
  <c r="AI143" i="5"/>
  <c r="AH143" i="5"/>
  <c r="AG143" i="5"/>
  <c r="AF143" i="5"/>
  <c r="AE143" i="5"/>
  <c r="AD143" i="5"/>
  <c r="AC143" i="5"/>
  <c r="V143" i="5"/>
  <c r="S143" i="5"/>
  <c r="P143" i="5"/>
  <c r="AS142" i="5"/>
  <c r="AP142" i="5"/>
  <c r="AQ142" i="5" s="1"/>
  <c r="AJ142" i="5"/>
  <c r="AI142" i="5"/>
  <c r="AH142" i="5"/>
  <c r="AG142" i="5"/>
  <c r="AF142" i="5"/>
  <c r="AE142" i="5"/>
  <c r="AD142" i="5"/>
  <c r="AC142" i="5"/>
  <c r="V142" i="5"/>
  <c r="S142" i="5"/>
  <c r="P142" i="5"/>
  <c r="AQ141" i="5"/>
  <c r="AP141" i="5"/>
  <c r="AJ141" i="5"/>
  <c r="AI141" i="5"/>
  <c r="AH141" i="5"/>
  <c r="AG141" i="5"/>
  <c r="AF141" i="5"/>
  <c r="AE141" i="5"/>
  <c r="AD141" i="5"/>
  <c r="AC141" i="5"/>
  <c r="V141" i="5"/>
  <c r="S141" i="5"/>
  <c r="AS141" i="5" s="1"/>
  <c r="P141" i="5"/>
  <c r="AQ140" i="5"/>
  <c r="AP140" i="5"/>
  <c r="AJ140" i="5"/>
  <c r="AI140" i="5"/>
  <c r="AH140" i="5"/>
  <c r="AG140" i="5"/>
  <c r="AF140" i="5"/>
  <c r="AE140" i="5"/>
  <c r="AD140" i="5"/>
  <c r="AC140" i="5"/>
  <c r="V140" i="5"/>
  <c r="S140" i="5"/>
  <c r="AS140" i="5" s="1"/>
  <c r="P140" i="5"/>
  <c r="AS139" i="5"/>
  <c r="AP139" i="5"/>
  <c r="AQ139" i="5" s="1"/>
  <c r="AJ139" i="5"/>
  <c r="AI139" i="5"/>
  <c r="AH139" i="5"/>
  <c r="AG139" i="5"/>
  <c r="AF139" i="5"/>
  <c r="AE139" i="5"/>
  <c r="AD139" i="5"/>
  <c r="AC139" i="5"/>
  <c r="V139" i="5"/>
  <c r="S139" i="5"/>
  <c r="P139" i="5"/>
  <c r="AP138" i="5"/>
  <c r="AQ138" i="5" s="1"/>
  <c r="AJ138" i="5"/>
  <c r="AI138" i="5"/>
  <c r="AH138" i="5"/>
  <c r="AG138" i="5"/>
  <c r="AF138" i="5"/>
  <c r="AE138" i="5"/>
  <c r="AD138" i="5"/>
  <c r="AC138" i="5"/>
  <c r="V138" i="5"/>
  <c r="S138" i="5"/>
  <c r="AS138" i="5" s="1"/>
  <c r="P138" i="5"/>
  <c r="AS137" i="5"/>
  <c r="AQ137" i="5"/>
  <c r="AP137" i="5"/>
  <c r="AJ137" i="5"/>
  <c r="AI137" i="5"/>
  <c r="AH137" i="5"/>
  <c r="AG137" i="5"/>
  <c r="AF137" i="5"/>
  <c r="AE137" i="5"/>
  <c r="AD137" i="5"/>
  <c r="AC137" i="5"/>
  <c r="V137" i="5"/>
  <c r="S137" i="5"/>
  <c r="P137" i="5"/>
  <c r="AP136" i="5"/>
  <c r="AQ136" i="5" s="1"/>
  <c r="AJ136" i="5"/>
  <c r="AI136" i="5"/>
  <c r="AH136" i="5"/>
  <c r="AG136" i="5"/>
  <c r="AF136" i="5"/>
  <c r="AE136" i="5"/>
  <c r="AD136" i="5"/>
  <c r="AC136" i="5"/>
  <c r="V136" i="5"/>
  <c r="S136" i="5"/>
  <c r="AS136" i="5" s="1"/>
  <c r="P136" i="5"/>
  <c r="AS135" i="5"/>
  <c r="AQ135" i="5"/>
  <c r="AP135" i="5"/>
  <c r="AJ135" i="5"/>
  <c r="AI135" i="5"/>
  <c r="AH135" i="5"/>
  <c r="AG135" i="5"/>
  <c r="AF135" i="5"/>
  <c r="AE135" i="5"/>
  <c r="AD135" i="5"/>
  <c r="AC135" i="5"/>
  <c r="V135" i="5"/>
  <c r="S135" i="5"/>
  <c r="P135" i="5"/>
  <c r="AP134" i="5"/>
  <c r="AQ134" i="5" s="1"/>
  <c r="AJ134" i="5"/>
  <c r="AI134" i="5"/>
  <c r="AH134" i="5"/>
  <c r="AG134" i="5"/>
  <c r="AF134" i="5"/>
  <c r="AE134" i="5"/>
  <c r="AD134" i="5"/>
  <c r="AC134" i="5"/>
  <c r="V134" i="5"/>
  <c r="S134" i="5"/>
  <c r="AS134" i="5" s="1"/>
  <c r="P134" i="5"/>
  <c r="AS133" i="5"/>
  <c r="AQ133" i="5"/>
  <c r="AP133" i="5"/>
  <c r="AJ133" i="5"/>
  <c r="AI133" i="5"/>
  <c r="AH133" i="5"/>
  <c r="AG133" i="5"/>
  <c r="AF133" i="5"/>
  <c r="AE133" i="5"/>
  <c r="AD133" i="5"/>
  <c r="AC133" i="5"/>
  <c r="V133" i="5"/>
  <c r="S133" i="5"/>
  <c r="P133" i="5"/>
  <c r="AS132" i="5"/>
  <c r="AP132" i="5"/>
  <c r="AQ132" i="5" s="1"/>
  <c r="AJ132" i="5"/>
  <c r="AI132" i="5"/>
  <c r="AH132" i="5"/>
  <c r="AG132" i="5"/>
  <c r="AF132" i="5"/>
  <c r="AE132" i="5"/>
  <c r="AD132" i="5"/>
  <c r="AC132" i="5"/>
  <c r="V132" i="5"/>
  <c r="S132" i="5"/>
  <c r="P132" i="5"/>
  <c r="AQ131" i="5"/>
  <c r="AP131" i="5"/>
  <c r="AJ131" i="5"/>
  <c r="AI131" i="5"/>
  <c r="AH131" i="5"/>
  <c r="AG131" i="5"/>
  <c r="AF131" i="5"/>
  <c r="AE131" i="5"/>
  <c r="AD131" i="5"/>
  <c r="AC131" i="5"/>
  <c r="V131" i="5"/>
  <c r="S131" i="5"/>
  <c r="AS131" i="5" s="1"/>
  <c r="P131" i="5"/>
  <c r="AP130" i="5"/>
  <c r="AQ130" i="5" s="1"/>
  <c r="AJ130" i="5"/>
  <c r="AI130" i="5"/>
  <c r="AH130" i="5"/>
  <c r="AG130" i="5"/>
  <c r="AF130" i="5"/>
  <c r="AE130" i="5"/>
  <c r="AD130" i="5"/>
  <c r="AC130" i="5"/>
  <c r="V130" i="5"/>
  <c r="S130" i="5"/>
  <c r="AS130" i="5" s="1"/>
  <c r="P130" i="5"/>
  <c r="AS129" i="5"/>
  <c r="AQ129" i="5"/>
  <c r="AP129" i="5"/>
  <c r="AJ129" i="5"/>
  <c r="AI129" i="5"/>
  <c r="AH129" i="5"/>
  <c r="AG129" i="5"/>
  <c r="AF129" i="5"/>
  <c r="AE129" i="5"/>
  <c r="AD129" i="5"/>
  <c r="AC129" i="5"/>
  <c r="V129" i="5"/>
  <c r="S129" i="5"/>
  <c r="P129" i="5"/>
  <c r="AS128" i="5"/>
  <c r="AP128" i="5"/>
  <c r="AQ128" i="5" s="1"/>
  <c r="AJ128" i="5"/>
  <c r="AI128" i="5"/>
  <c r="AH128" i="5"/>
  <c r="AG128" i="5"/>
  <c r="AF128" i="5"/>
  <c r="AE128" i="5"/>
  <c r="AD128" i="5"/>
  <c r="AC128" i="5"/>
  <c r="V128" i="5"/>
  <c r="S128" i="5"/>
  <c r="P128" i="5"/>
  <c r="AS127" i="5"/>
  <c r="AQ127" i="5"/>
  <c r="AP127" i="5"/>
  <c r="AJ127" i="5"/>
  <c r="AI127" i="5"/>
  <c r="AH127" i="5"/>
  <c r="AG127" i="5"/>
  <c r="AF127" i="5"/>
  <c r="AE127" i="5"/>
  <c r="AD127" i="5"/>
  <c r="AC127" i="5"/>
  <c r="V127" i="5"/>
  <c r="S127" i="5"/>
  <c r="P127" i="5"/>
  <c r="AQ126" i="5"/>
  <c r="AP126" i="5"/>
  <c r="AJ126" i="5"/>
  <c r="AI126" i="5"/>
  <c r="AH126" i="5"/>
  <c r="AG126" i="5"/>
  <c r="AF126" i="5"/>
  <c r="AE126" i="5"/>
  <c r="AD126" i="5"/>
  <c r="AC126" i="5"/>
  <c r="V126" i="5"/>
  <c r="S126" i="5"/>
  <c r="AS126" i="5" s="1"/>
  <c r="P126" i="5"/>
  <c r="AS125" i="5"/>
  <c r="AQ125" i="5"/>
  <c r="AP125" i="5"/>
  <c r="AJ125" i="5"/>
  <c r="AI125" i="5"/>
  <c r="AH125" i="5"/>
  <c r="AG125" i="5"/>
  <c r="AF125" i="5"/>
  <c r="AE125" i="5"/>
  <c r="AD125" i="5"/>
  <c r="AC125" i="5"/>
  <c r="V125" i="5"/>
  <c r="S125" i="5"/>
  <c r="P125" i="5"/>
  <c r="AP124" i="5"/>
  <c r="AQ124" i="5" s="1"/>
  <c r="AJ124" i="5"/>
  <c r="AI124" i="5"/>
  <c r="AH124" i="5"/>
  <c r="AG124" i="5"/>
  <c r="AF124" i="5"/>
  <c r="AE124" i="5"/>
  <c r="AD124" i="5"/>
  <c r="AC124" i="5"/>
  <c r="V124" i="5"/>
  <c r="S124" i="5"/>
  <c r="AS124" i="5" s="1"/>
  <c r="P124" i="5"/>
  <c r="AQ123" i="5"/>
  <c r="AP123" i="5"/>
  <c r="AJ123" i="5"/>
  <c r="AI123" i="5"/>
  <c r="AH123" i="5"/>
  <c r="AG123" i="5"/>
  <c r="AF123" i="5"/>
  <c r="AE123" i="5"/>
  <c r="AD123" i="5"/>
  <c r="AC123" i="5"/>
  <c r="V123" i="5"/>
  <c r="S123" i="5"/>
  <c r="AS123" i="5" s="1"/>
  <c r="P123" i="5"/>
  <c r="AQ122" i="5"/>
  <c r="AP122" i="5"/>
  <c r="AJ122" i="5"/>
  <c r="AI122" i="5"/>
  <c r="AH122" i="5"/>
  <c r="AG122" i="5"/>
  <c r="AF122" i="5"/>
  <c r="AE122" i="5"/>
  <c r="AD122" i="5"/>
  <c r="AC122" i="5"/>
  <c r="V122" i="5"/>
  <c r="S122" i="5"/>
  <c r="AS122" i="5" s="1"/>
  <c r="P122" i="5"/>
  <c r="AQ121" i="5"/>
  <c r="AP121" i="5"/>
  <c r="AJ121" i="5"/>
  <c r="AI121" i="5"/>
  <c r="AH121" i="5"/>
  <c r="AG121" i="5"/>
  <c r="AF121" i="5"/>
  <c r="AE121" i="5"/>
  <c r="AD121" i="5"/>
  <c r="AC121" i="5"/>
  <c r="V121" i="5"/>
  <c r="S121" i="5"/>
  <c r="AS121" i="5" s="1"/>
  <c r="P121" i="5"/>
  <c r="AS120" i="5"/>
  <c r="AP120" i="5"/>
  <c r="AQ120" i="5" s="1"/>
  <c r="AJ120" i="5"/>
  <c r="AI120" i="5"/>
  <c r="AH120" i="5"/>
  <c r="AG120" i="5"/>
  <c r="AF120" i="5"/>
  <c r="AE120" i="5"/>
  <c r="AD120" i="5"/>
  <c r="AC120" i="5"/>
  <c r="V120" i="5"/>
  <c r="S120" i="5"/>
  <c r="P120" i="5"/>
  <c r="AS119" i="5"/>
  <c r="AP119" i="5"/>
  <c r="AQ119" i="5" s="1"/>
  <c r="AJ119" i="5"/>
  <c r="AI119" i="5"/>
  <c r="AH119" i="5"/>
  <c r="AG119" i="5"/>
  <c r="AF119" i="5"/>
  <c r="AE119" i="5"/>
  <c r="AD119" i="5"/>
  <c r="AC119" i="5"/>
  <c r="V119" i="5"/>
  <c r="S119" i="5"/>
  <c r="P119" i="5"/>
  <c r="AS118" i="5"/>
  <c r="AP118" i="5"/>
  <c r="AQ118" i="5" s="1"/>
  <c r="AJ118" i="5"/>
  <c r="AI118" i="5"/>
  <c r="AH118" i="5"/>
  <c r="AG118" i="5"/>
  <c r="AF118" i="5"/>
  <c r="AE118" i="5"/>
  <c r="AD118" i="5"/>
  <c r="AC118" i="5"/>
  <c r="V118" i="5"/>
  <c r="S118" i="5"/>
  <c r="P118" i="5"/>
  <c r="AQ117" i="5"/>
  <c r="AP117" i="5"/>
  <c r="AJ117" i="5"/>
  <c r="AI117" i="5"/>
  <c r="AH117" i="5"/>
  <c r="AG117" i="5"/>
  <c r="AF117" i="5"/>
  <c r="AE117" i="5"/>
  <c r="AD117" i="5"/>
  <c r="AC117" i="5"/>
  <c r="V117" i="5"/>
  <c r="S117" i="5"/>
  <c r="AS117" i="5" s="1"/>
  <c r="P117" i="5"/>
  <c r="AQ116" i="5"/>
  <c r="AP116" i="5"/>
  <c r="AJ116" i="5"/>
  <c r="AI116" i="5"/>
  <c r="AH116" i="5"/>
  <c r="AG116" i="5"/>
  <c r="AF116" i="5"/>
  <c r="AE116" i="5"/>
  <c r="AD116" i="5"/>
  <c r="AC116" i="5"/>
  <c r="V116" i="5"/>
  <c r="S116" i="5"/>
  <c r="AS116" i="5" s="1"/>
  <c r="P116" i="5"/>
  <c r="AQ115" i="5"/>
  <c r="AP115" i="5"/>
  <c r="AJ115" i="5"/>
  <c r="AI115" i="5"/>
  <c r="AH115" i="5"/>
  <c r="AG115" i="5"/>
  <c r="AF115" i="5"/>
  <c r="AE115" i="5"/>
  <c r="AD115" i="5"/>
  <c r="AC115" i="5"/>
  <c r="V115" i="5"/>
  <c r="S115" i="5"/>
  <c r="AS115" i="5" s="1"/>
  <c r="P115" i="5"/>
  <c r="AS114" i="5"/>
  <c r="AP114" i="5"/>
  <c r="AQ114" i="5" s="1"/>
  <c r="AJ114" i="5"/>
  <c r="AI114" i="5"/>
  <c r="AH114" i="5"/>
  <c r="AG114" i="5"/>
  <c r="AF114" i="5"/>
  <c r="AE114" i="5"/>
  <c r="AD114" i="5"/>
  <c r="AC114" i="5"/>
  <c r="V114" i="5"/>
  <c r="S114" i="5"/>
  <c r="P114" i="5"/>
  <c r="AP113" i="5"/>
  <c r="AQ113" i="5" s="1"/>
  <c r="AJ113" i="5"/>
  <c r="AI113" i="5"/>
  <c r="AH113" i="5"/>
  <c r="AG113" i="5"/>
  <c r="AF113" i="5"/>
  <c r="AE113" i="5"/>
  <c r="AD113" i="5"/>
  <c r="AC113" i="5"/>
  <c r="V113" i="5"/>
  <c r="S113" i="5"/>
  <c r="AS113" i="5" s="1"/>
  <c r="P113" i="5"/>
  <c r="AS112" i="5"/>
  <c r="AQ112" i="5"/>
  <c r="AP112" i="5"/>
  <c r="AJ112" i="5"/>
  <c r="AI112" i="5"/>
  <c r="AH112" i="5"/>
  <c r="AG112" i="5"/>
  <c r="AF112" i="5"/>
  <c r="AE112" i="5"/>
  <c r="AD112" i="5"/>
  <c r="AC112" i="5"/>
  <c r="V112" i="5"/>
  <c r="S112" i="5"/>
  <c r="P112" i="5"/>
  <c r="AQ111" i="5"/>
  <c r="AP111" i="5"/>
  <c r="AJ111" i="5"/>
  <c r="AI111" i="5"/>
  <c r="AH111" i="5"/>
  <c r="AG111" i="5"/>
  <c r="AF111" i="5"/>
  <c r="AE111" i="5"/>
  <c r="AD111" i="5"/>
  <c r="AC111" i="5"/>
  <c r="V111" i="5"/>
  <c r="S111" i="5"/>
  <c r="AS111" i="5" s="1"/>
  <c r="P111" i="5"/>
  <c r="AS110" i="5"/>
  <c r="AQ110" i="5"/>
  <c r="AP110" i="5"/>
  <c r="AJ110" i="5"/>
  <c r="AI110" i="5"/>
  <c r="AH110" i="5"/>
  <c r="AG110" i="5"/>
  <c r="AF110" i="5"/>
  <c r="AE110" i="5"/>
  <c r="AD110" i="5"/>
  <c r="AC110" i="5"/>
  <c r="V110" i="5"/>
  <c r="S110" i="5"/>
  <c r="P110" i="5"/>
  <c r="AP109" i="5"/>
  <c r="AQ109" i="5" s="1"/>
  <c r="AJ109" i="5"/>
  <c r="AI109" i="5"/>
  <c r="AH109" i="5"/>
  <c r="AG109" i="5"/>
  <c r="AF109" i="5"/>
  <c r="AE109" i="5"/>
  <c r="AD109" i="5"/>
  <c r="AC109" i="5"/>
  <c r="V109" i="5"/>
  <c r="S109" i="5"/>
  <c r="AS109" i="5" s="1"/>
  <c r="P109" i="5"/>
  <c r="AS108" i="5"/>
  <c r="AQ108" i="5"/>
  <c r="AP108" i="5"/>
  <c r="AJ108" i="5"/>
  <c r="AI108" i="5"/>
  <c r="AH108" i="5"/>
  <c r="AG108" i="5"/>
  <c r="AF108" i="5"/>
  <c r="AE108" i="5"/>
  <c r="AD108" i="5"/>
  <c r="AC108" i="5"/>
  <c r="V108" i="5"/>
  <c r="S108" i="5"/>
  <c r="P108" i="5"/>
  <c r="AS107" i="5"/>
  <c r="AQ107" i="5"/>
  <c r="AP107" i="5"/>
  <c r="AJ107" i="5"/>
  <c r="AI107" i="5"/>
  <c r="AH107" i="5"/>
  <c r="AG107" i="5"/>
  <c r="AF107" i="5"/>
  <c r="AE107" i="5"/>
  <c r="AD107" i="5"/>
  <c r="AC107" i="5"/>
  <c r="V107" i="5"/>
  <c r="S107" i="5"/>
  <c r="P107" i="5"/>
  <c r="AP106" i="5"/>
  <c r="AQ106" i="5" s="1"/>
  <c r="AJ106" i="5"/>
  <c r="AI106" i="5"/>
  <c r="AH106" i="5"/>
  <c r="AG106" i="5"/>
  <c r="AF106" i="5"/>
  <c r="AE106" i="5"/>
  <c r="AD106" i="5"/>
  <c r="AC106" i="5"/>
  <c r="V106" i="5"/>
  <c r="S106" i="5"/>
  <c r="AS106" i="5" s="1"/>
  <c r="P106" i="5"/>
  <c r="AQ105" i="5"/>
  <c r="AP105" i="5"/>
  <c r="AJ105" i="5"/>
  <c r="AI105" i="5"/>
  <c r="AH105" i="5"/>
  <c r="AG105" i="5"/>
  <c r="AF105" i="5"/>
  <c r="AE105" i="5"/>
  <c r="AD105" i="5"/>
  <c r="AC105" i="5"/>
  <c r="V105" i="5"/>
  <c r="S105" i="5"/>
  <c r="AS105" i="5" s="1"/>
  <c r="P105" i="5"/>
  <c r="AQ104" i="5"/>
  <c r="AP104" i="5"/>
  <c r="AJ104" i="5"/>
  <c r="AI104" i="5"/>
  <c r="AH104" i="5"/>
  <c r="AG104" i="5"/>
  <c r="AF104" i="5"/>
  <c r="AE104" i="5"/>
  <c r="AD104" i="5"/>
  <c r="AC104" i="5"/>
  <c r="V104" i="5"/>
  <c r="S104" i="5"/>
  <c r="AS104" i="5" s="1"/>
  <c r="P104" i="5"/>
  <c r="AP103" i="5"/>
  <c r="AQ103" i="5" s="1"/>
  <c r="AJ103" i="5"/>
  <c r="AI103" i="5"/>
  <c r="AH103" i="5"/>
  <c r="AG103" i="5"/>
  <c r="AF103" i="5"/>
  <c r="AE103" i="5"/>
  <c r="AD103" i="5"/>
  <c r="AC103" i="5"/>
  <c r="V103" i="5"/>
  <c r="S103" i="5"/>
  <c r="AS103" i="5" s="1"/>
  <c r="P103" i="5"/>
  <c r="AS102" i="5"/>
  <c r="AQ102" i="5"/>
  <c r="AP102" i="5"/>
  <c r="AJ102" i="5"/>
  <c r="AI102" i="5"/>
  <c r="AH102" i="5"/>
  <c r="AG102" i="5"/>
  <c r="AF102" i="5"/>
  <c r="AE102" i="5"/>
  <c r="AD102" i="5"/>
  <c r="AC102" i="5"/>
  <c r="V102" i="5"/>
  <c r="S102" i="5"/>
  <c r="P102" i="5"/>
  <c r="AS101" i="5"/>
  <c r="AP101" i="5"/>
  <c r="AQ101" i="5" s="1"/>
  <c r="AJ101" i="5"/>
  <c r="AI101" i="5"/>
  <c r="AH101" i="5"/>
  <c r="AG101" i="5"/>
  <c r="AF101" i="5"/>
  <c r="AE101" i="5"/>
  <c r="AD101" i="5"/>
  <c r="AC101" i="5"/>
  <c r="V101" i="5"/>
  <c r="S101" i="5"/>
  <c r="P101" i="5"/>
  <c r="AQ100" i="5"/>
  <c r="AP100" i="5"/>
  <c r="AJ100" i="5"/>
  <c r="AI100" i="5"/>
  <c r="AH100" i="5"/>
  <c r="AG100" i="5"/>
  <c r="AF100" i="5"/>
  <c r="AE100" i="5"/>
  <c r="AD100" i="5"/>
  <c r="AC100" i="5"/>
  <c r="V100" i="5"/>
  <c r="S100" i="5"/>
  <c r="AS100" i="5" s="1"/>
  <c r="P100" i="5"/>
  <c r="AQ99" i="5"/>
  <c r="AP99" i="5"/>
  <c r="AJ99" i="5"/>
  <c r="AI99" i="5"/>
  <c r="AH99" i="5"/>
  <c r="AG99" i="5"/>
  <c r="AF99" i="5"/>
  <c r="AE99" i="5"/>
  <c r="AD99" i="5"/>
  <c r="AC99" i="5"/>
  <c r="V99" i="5"/>
  <c r="S99" i="5"/>
  <c r="AS99" i="5" s="1"/>
  <c r="P99" i="5"/>
  <c r="AS98" i="5"/>
  <c r="AP98" i="5"/>
  <c r="AQ98" i="5" s="1"/>
  <c r="AJ98" i="5"/>
  <c r="AI98" i="5"/>
  <c r="AH98" i="5"/>
  <c r="AG98" i="5"/>
  <c r="AF98" i="5"/>
  <c r="AE98" i="5"/>
  <c r="AD98" i="5"/>
  <c r="AC98" i="5"/>
  <c r="V98" i="5"/>
  <c r="S98" i="5"/>
  <c r="P98" i="5"/>
  <c r="AS97" i="5"/>
  <c r="AP97" i="5"/>
  <c r="AQ97" i="5" s="1"/>
  <c r="AJ97" i="5"/>
  <c r="AI97" i="5"/>
  <c r="AH97" i="5"/>
  <c r="AG97" i="5"/>
  <c r="AF97" i="5"/>
  <c r="AE97" i="5"/>
  <c r="AD97" i="5"/>
  <c r="AC97" i="5"/>
  <c r="V97" i="5"/>
  <c r="S97" i="5"/>
  <c r="P97" i="5"/>
  <c r="AP96" i="5"/>
  <c r="AQ96" i="5" s="1"/>
  <c r="AJ96" i="5"/>
  <c r="AI96" i="5"/>
  <c r="AH96" i="5"/>
  <c r="AG96" i="5"/>
  <c r="AF96" i="5"/>
  <c r="AE96" i="5"/>
  <c r="AD96" i="5"/>
  <c r="AC96" i="5"/>
  <c r="V96" i="5"/>
  <c r="S96" i="5"/>
  <c r="AS96" i="5" s="1"/>
  <c r="P96" i="5"/>
  <c r="AQ95" i="5"/>
  <c r="AP95" i="5"/>
  <c r="AJ95" i="5"/>
  <c r="AI95" i="5"/>
  <c r="AH95" i="5"/>
  <c r="AG95" i="5"/>
  <c r="AF95" i="5"/>
  <c r="AE95" i="5"/>
  <c r="AD95" i="5"/>
  <c r="AC95" i="5"/>
  <c r="V95" i="5"/>
  <c r="S95" i="5"/>
  <c r="AS95" i="5" s="1"/>
  <c r="P95" i="5"/>
  <c r="AS94" i="5"/>
  <c r="AP94" i="5"/>
  <c r="AJ94" i="5"/>
  <c r="AI94" i="5"/>
  <c r="AH94" i="5"/>
  <c r="AG94" i="5"/>
  <c r="AF94" i="5"/>
  <c r="AE94" i="5"/>
  <c r="AD94" i="5"/>
  <c r="AD94" i="6" s="1" a="1"/>
  <c r="AC94" i="5"/>
  <c r="S94" i="6" s="1" a="1"/>
  <c r="S94" i="6" s="1"/>
  <c r="V94" i="5"/>
  <c r="S94" i="5"/>
  <c r="P94" i="5"/>
  <c r="AP93" i="5"/>
  <c r="AJ93" i="5"/>
  <c r="AI93" i="5"/>
  <c r="AH93" i="5"/>
  <c r="AG93" i="5"/>
  <c r="AF93" i="5"/>
  <c r="AE93" i="5"/>
  <c r="AD93" i="5"/>
  <c r="AD93" i="6" s="1" a="1"/>
  <c r="AD93" i="6" s="1"/>
  <c r="AC93" i="5"/>
  <c r="S93" i="6" s="1" a="1"/>
  <c r="S93" i="6" s="1"/>
  <c r="V93" i="5"/>
  <c r="S93" i="5"/>
  <c r="P93" i="5"/>
  <c r="AS92" i="5"/>
  <c r="AQ92" i="5"/>
  <c r="AP92" i="5"/>
  <c r="K95" i="8" s="1"/>
  <c r="AJ92" i="5"/>
  <c r="AI92" i="5"/>
  <c r="AH92" i="5"/>
  <c r="AG92" i="5"/>
  <c r="AF92" i="5"/>
  <c r="AE92" i="5"/>
  <c r="AD92" i="5"/>
  <c r="AD92" i="6" s="1" a="1"/>
  <c r="AD92" i="6" s="1"/>
  <c r="AC92" i="5"/>
  <c r="V92" i="5"/>
  <c r="S92" i="5"/>
  <c r="P92" i="5"/>
  <c r="AS91" i="5"/>
  <c r="AQ91" i="5"/>
  <c r="AP91" i="5"/>
  <c r="K94" i="8" s="1"/>
  <c r="AJ91" i="5"/>
  <c r="AI91" i="5"/>
  <c r="AH91" i="5"/>
  <c r="AG91" i="5"/>
  <c r="AF91" i="5"/>
  <c r="AE91" i="5"/>
  <c r="AD91" i="5"/>
  <c r="AD91" i="6" s="1" a="1"/>
  <c r="AD91" i="6" s="1"/>
  <c r="AC91" i="5"/>
  <c r="S91" i="6" s="1" a="1"/>
  <c r="S91" i="6" s="1"/>
  <c r="V91" i="5"/>
  <c r="S91" i="5"/>
  <c r="P91" i="5"/>
  <c r="AS90" i="5"/>
  <c r="AQ90" i="5"/>
  <c r="AP90" i="5"/>
  <c r="K93" i="8" s="1"/>
  <c r="AJ90" i="5"/>
  <c r="AI90" i="5"/>
  <c r="AH90" i="5"/>
  <c r="AG90" i="5"/>
  <c r="AF90" i="5"/>
  <c r="AE90" i="5"/>
  <c r="AD90" i="5"/>
  <c r="AD90" i="6" s="1" a="1"/>
  <c r="AD90" i="6" s="1"/>
  <c r="AC90" i="5"/>
  <c r="S90" i="6" s="1" a="1"/>
  <c r="S90" i="6" s="1"/>
  <c r="V90" i="5"/>
  <c r="S90" i="5"/>
  <c r="P90" i="5"/>
  <c r="AS89" i="5"/>
  <c r="AQ89" i="5"/>
  <c r="AP89" i="5"/>
  <c r="K92" i="8" s="1"/>
  <c r="AJ89" i="5"/>
  <c r="AI89" i="5"/>
  <c r="AH89" i="5"/>
  <c r="AG89" i="5"/>
  <c r="AF89" i="5"/>
  <c r="AE89" i="5"/>
  <c r="AD89" i="5"/>
  <c r="AD89" i="6" s="1" a="1"/>
  <c r="AD89" i="6" s="1"/>
  <c r="AC89" i="5"/>
  <c r="S89" i="6" s="1" a="1"/>
  <c r="S89" i="6" s="1"/>
  <c r="V89" i="5"/>
  <c r="S89" i="5"/>
  <c r="P89" i="5"/>
  <c r="AQ88" i="5"/>
  <c r="AP88" i="5"/>
  <c r="K91" i="8" s="1"/>
  <c r="AJ88" i="5"/>
  <c r="AI88" i="5"/>
  <c r="AH88" i="5"/>
  <c r="AG88" i="5"/>
  <c r="AF88" i="5"/>
  <c r="AE88" i="5"/>
  <c r="AD88" i="5"/>
  <c r="AD88" i="6" s="1" a="1"/>
  <c r="AD88" i="6" s="1"/>
  <c r="AC88" i="5"/>
  <c r="S88" i="6" s="1" a="1"/>
  <c r="S88" i="6" s="1"/>
  <c r="V88" i="5"/>
  <c r="S88" i="5"/>
  <c r="P88" i="5"/>
  <c r="AS87" i="5"/>
  <c r="AQ87" i="5"/>
  <c r="AP87" i="5"/>
  <c r="K90" i="8" s="1"/>
  <c r="AJ87" i="5"/>
  <c r="AI87" i="5"/>
  <c r="AH87" i="5"/>
  <c r="AG87" i="5"/>
  <c r="AF87" i="5"/>
  <c r="AE87" i="5"/>
  <c r="AD87" i="5"/>
  <c r="AD87" i="6" s="1" a="1"/>
  <c r="AD87" i="6" s="1"/>
  <c r="AC87" i="5"/>
  <c r="S87" i="6" s="1" a="1"/>
  <c r="S87" i="6" s="1"/>
  <c r="V87" i="5"/>
  <c r="S87" i="5"/>
  <c r="P87" i="5"/>
  <c r="AP86" i="5"/>
  <c r="K89" i="8" s="1"/>
  <c r="AJ86" i="5"/>
  <c r="AI86" i="5"/>
  <c r="AH86" i="5"/>
  <c r="AG86" i="5"/>
  <c r="AF86" i="5"/>
  <c r="AE86" i="5"/>
  <c r="AD86" i="5"/>
  <c r="AD86" i="6" s="1" a="1"/>
  <c r="AD86" i="6" s="1"/>
  <c r="AC86" i="5"/>
  <c r="S86" i="6" s="1" a="1"/>
  <c r="S86" i="6" s="1"/>
  <c r="V86" i="5"/>
  <c r="S86" i="5"/>
  <c r="P86" i="5"/>
  <c r="AS85" i="5"/>
  <c r="AQ85" i="5"/>
  <c r="AP85" i="5"/>
  <c r="K88" i="8" s="1"/>
  <c r="AJ85" i="5"/>
  <c r="AI85" i="5"/>
  <c r="AH85" i="5"/>
  <c r="AG85" i="5"/>
  <c r="AF85" i="5"/>
  <c r="AE85" i="5"/>
  <c r="AD85" i="5"/>
  <c r="AD85" i="6" s="1" a="1"/>
  <c r="AD85" i="6" s="1"/>
  <c r="AC85" i="5"/>
  <c r="S85" i="6" s="1" a="1"/>
  <c r="S85" i="6" s="1"/>
  <c r="V85" i="5"/>
  <c r="S85" i="5"/>
  <c r="P85" i="5"/>
  <c r="AP84" i="5"/>
  <c r="AQ84" i="5" s="1"/>
  <c r="AJ84" i="5"/>
  <c r="AI84" i="5"/>
  <c r="AH84" i="5"/>
  <c r="AG84" i="5"/>
  <c r="AF84" i="5"/>
  <c r="AE84" i="5"/>
  <c r="AD84" i="5"/>
  <c r="AD84" i="6" s="1" a="1"/>
  <c r="AD84" i="6" s="1"/>
  <c r="AC84" i="5"/>
  <c r="S84" i="6" s="1" a="1"/>
  <c r="S84" i="6" s="1"/>
  <c r="V84" i="5"/>
  <c r="S84" i="5"/>
  <c r="P84" i="5"/>
  <c r="AS83" i="5"/>
  <c r="AQ83" i="5"/>
  <c r="AP83" i="5"/>
  <c r="K86" i="8" s="1"/>
  <c r="AJ83" i="5"/>
  <c r="AI83" i="5"/>
  <c r="AH83" i="5"/>
  <c r="AG83" i="5"/>
  <c r="AF83" i="5"/>
  <c r="AE83" i="5"/>
  <c r="AD83" i="5"/>
  <c r="AD83" i="6" s="1" a="1"/>
  <c r="AD83" i="6" s="1"/>
  <c r="AC83" i="5"/>
  <c r="S83" i="6" s="1" a="1"/>
  <c r="S83" i="6" s="1"/>
  <c r="V83" i="5"/>
  <c r="S83" i="5"/>
  <c r="P83" i="5"/>
  <c r="AS82" i="5"/>
  <c r="AP82" i="5"/>
  <c r="K85" i="8" s="1"/>
  <c r="AJ82" i="5"/>
  <c r="AI82" i="5"/>
  <c r="AH82" i="5"/>
  <c r="AG82" i="5"/>
  <c r="AF82" i="5"/>
  <c r="AE82" i="5"/>
  <c r="AD82" i="5"/>
  <c r="AD82" i="6" s="1" a="1"/>
  <c r="AD82" i="6" s="1"/>
  <c r="AC82" i="5"/>
  <c r="S82" i="6" s="1" a="1"/>
  <c r="S82" i="6" s="1"/>
  <c r="V82" i="5"/>
  <c r="S82" i="5"/>
  <c r="P82" i="5"/>
  <c r="AS81" i="5"/>
  <c r="AQ81" i="5"/>
  <c r="AP81" i="5"/>
  <c r="K84" i="8" s="1"/>
  <c r="AJ81" i="5"/>
  <c r="AI81" i="5"/>
  <c r="AH81" i="5"/>
  <c r="AG81" i="5"/>
  <c r="AF81" i="5"/>
  <c r="AE81" i="5"/>
  <c r="AD81" i="5"/>
  <c r="AD81" i="6" s="1" a="1"/>
  <c r="AD81" i="6" s="1"/>
  <c r="AC81" i="5"/>
  <c r="S81" i="6" s="1" a="1"/>
  <c r="S81" i="6" s="1"/>
  <c r="V81" i="5"/>
  <c r="S81" i="5"/>
  <c r="P81" i="5"/>
  <c r="AQ80" i="5"/>
  <c r="AP80" i="5"/>
  <c r="K83" i="8" s="1"/>
  <c r="AJ80" i="5"/>
  <c r="AI80" i="5"/>
  <c r="AH80" i="5"/>
  <c r="AG80" i="5"/>
  <c r="AF80" i="5"/>
  <c r="AE80" i="5"/>
  <c r="AD80" i="5"/>
  <c r="AD80" i="6" s="1" a="1"/>
  <c r="AD80" i="6" s="1"/>
  <c r="AC80" i="5"/>
  <c r="S80" i="6" s="1" a="1"/>
  <c r="S80" i="6" s="1"/>
  <c r="V80" i="5"/>
  <c r="S80" i="5"/>
  <c r="P80" i="5"/>
  <c r="AP79" i="5"/>
  <c r="AJ79" i="5"/>
  <c r="AI79" i="5"/>
  <c r="AH79" i="5"/>
  <c r="AG79" i="5"/>
  <c r="AF79" i="5"/>
  <c r="AE79" i="5"/>
  <c r="AD79" i="5"/>
  <c r="AD79" i="6" s="1" a="1"/>
  <c r="AD79" i="6" s="1"/>
  <c r="AC79" i="5"/>
  <c r="S79" i="6" s="1" a="1"/>
  <c r="S79" i="6" s="1"/>
  <c r="V79" i="5"/>
  <c r="S79" i="5"/>
  <c r="P79" i="5"/>
  <c r="AS78" i="5"/>
  <c r="AP78" i="5"/>
  <c r="K81" i="8" s="1"/>
  <c r="AJ78" i="5"/>
  <c r="AI78" i="5"/>
  <c r="AH78" i="5"/>
  <c r="AG78" i="5"/>
  <c r="AF78" i="5"/>
  <c r="AE78" i="5"/>
  <c r="AD78" i="5"/>
  <c r="AC78" i="5"/>
  <c r="S78" i="6" s="1" a="1"/>
  <c r="S78" i="6" s="1"/>
  <c r="V78" i="5"/>
  <c r="S78" i="5"/>
  <c r="P78" i="5"/>
  <c r="AS77" i="5"/>
  <c r="AQ77" i="5"/>
  <c r="AP77" i="5"/>
  <c r="K80" i="8" s="1"/>
  <c r="AJ77" i="5"/>
  <c r="AI77" i="5"/>
  <c r="AH77" i="5"/>
  <c r="AG77" i="5"/>
  <c r="AF77" i="5"/>
  <c r="AE77" i="5"/>
  <c r="AD77" i="5"/>
  <c r="AD77" i="6" s="1" a="1"/>
  <c r="AD77" i="6" s="1"/>
  <c r="AC77" i="5"/>
  <c r="S77" i="6" s="1" a="1"/>
  <c r="S77" i="6" s="1"/>
  <c r="V77" i="5"/>
  <c r="S77" i="5"/>
  <c r="P77" i="5"/>
  <c r="AS76" i="5"/>
  <c r="AP76" i="5"/>
  <c r="AJ76" i="5"/>
  <c r="AI76" i="5"/>
  <c r="AH76" i="5"/>
  <c r="AG76" i="5"/>
  <c r="AF76" i="5"/>
  <c r="AE76" i="5"/>
  <c r="AD76" i="5"/>
  <c r="AD76" i="6" s="1" a="1"/>
  <c r="AD76" i="6" s="1"/>
  <c r="AC76" i="5"/>
  <c r="S76" i="6" s="1" a="1"/>
  <c r="S76" i="6" s="1"/>
  <c r="V76" i="5"/>
  <c r="S76" i="5"/>
  <c r="P76" i="5"/>
  <c r="AP75" i="5"/>
  <c r="AJ75" i="5"/>
  <c r="AI75" i="5"/>
  <c r="AH75" i="5"/>
  <c r="AG75" i="5"/>
  <c r="AF75" i="5"/>
  <c r="AE75" i="5"/>
  <c r="AD75" i="5"/>
  <c r="AD75" i="6" s="1" a="1"/>
  <c r="AD75" i="6" s="1"/>
  <c r="AC75" i="5"/>
  <c r="S75" i="6" s="1" a="1"/>
  <c r="S75" i="6" s="1"/>
  <c r="V75" i="5"/>
  <c r="S75" i="5"/>
  <c r="P75" i="5"/>
  <c r="AQ74" i="5"/>
  <c r="AP74" i="5"/>
  <c r="K77" i="8" s="1"/>
  <c r="AJ74" i="5"/>
  <c r="AI74" i="5"/>
  <c r="AH74" i="5"/>
  <c r="AG74" i="5"/>
  <c r="AF74" i="5"/>
  <c r="AE74" i="5"/>
  <c r="AD74" i="5"/>
  <c r="AD74" i="6" s="1" a="1"/>
  <c r="AD74" i="6" s="1"/>
  <c r="AC74" i="5"/>
  <c r="S74" i="6" s="1" a="1"/>
  <c r="S74" i="6" s="1"/>
  <c r="V74" i="5"/>
  <c r="S74" i="5"/>
  <c r="AS74" i="5" s="1"/>
  <c r="P74" i="5"/>
  <c r="AS73" i="5"/>
  <c r="AP73" i="5"/>
  <c r="AJ73" i="5"/>
  <c r="AI73" i="5"/>
  <c r="AH73" i="5"/>
  <c r="AG73" i="5"/>
  <c r="AF73" i="5"/>
  <c r="AE73" i="5"/>
  <c r="AD73" i="5"/>
  <c r="AD73" i="6" s="1" a="1"/>
  <c r="AD73" i="6" s="1"/>
  <c r="AC73" i="5"/>
  <c r="S73" i="6" s="1" a="1"/>
  <c r="S73" i="6" s="1"/>
  <c r="V73" i="5"/>
  <c r="S73" i="5"/>
  <c r="P73" i="5"/>
  <c r="AS72" i="5"/>
  <c r="AP72" i="5"/>
  <c r="K75" i="8" s="1"/>
  <c r="AJ72" i="5"/>
  <c r="AI72" i="5"/>
  <c r="AH72" i="5"/>
  <c r="AG72" i="5"/>
  <c r="AF72" i="5"/>
  <c r="AE72" i="5"/>
  <c r="AD72" i="5"/>
  <c r="AD72" i="6" s="1" a="1"/>
  <c r="AD72" i="6" s="1"/>
  <c r="AC72" i="5"/>
  <c r="S72" i="6" s="1" a="1"/>
  <c r="S72" i="6" s="1"/>
  <c r="V72" i="5"/>
  <c r="S72" i="5"/>
  <c r="R72" i="6" s="1" a="1"/>
  <c r="R72" i="6" s="1"/>
  <c r="U72" i="6" s="1"/>
  <c r="AC72" i="6" s="1"/>
  <c r="P72" i="5"/>
  <c r="AP71" i="5"/>
  <c r="K74" i="8" s="1"/>
  <c r="AJ71" i="5"/>
  <c r="AI71" i="5"/>
  <c r="AH71" i="5"/>
  <c r="AG71" i="5"/>
  <c r="AF71" i="5"/>
  <c r="AE71" i="5"/>
  <c r="AD71" i="5"/>
  <c r="AD71" i="6" s="1" a="1"/>
  <c r="AD71" i="6" s="1"/>
  <c r="AC71" i="5"/>
  <c r="S71" i="6" s="1" a="1"/>
  <c r="S71" i="6" s="1"/>
  <c r="V71" i="5"/>
  <c r="S71" i="5"/>
  <c r="P71" i="5"/>
  <c r="AP70" i="5"/>
  <c r="AJ70" i="5"/>
  <c r="AI70" i="5"/>
  <c r="AH70" i="5"/>
  <c r="AG70" i="5"/>
  <c r="AF70" i="5"/>
  <c r="AE70" i="5"/>
  <c r="AD70" i="5"/>
  <c r="AD70" i="6" s="1" a="1"/>
  <c r="AD70" i="6" s="1"/>
  <c r="AC70" i="5"/>
  <c r="S70" i="6" s="1" a="1"/>
  <c r="S70" i="6" s="1"/>
  <c r="V70" i="5"/>
  <c r="S70" i="5"/>
  <c r="P70" i="5"/>
  <c r="AQ69" i="5"/>
  <c r="AP69" i="5"/>
  <c r="K72" i="8" s="1"/>
  <c r="AJ69" i="5"/>
  <c r="AI69" i="5"/>
  <c r="AH69" i="5"/>
  <c r="AG69" i="5"/>
  <c r="AF69" i="5"/>
  <c r="AE69" i="5"/>
  <c r="AD69" i="5"/>
  <c r="AD69" i="6" s="1" a="1"/>
  <c r="AD69" i="6" s="1"/>
  <c r="AC69" i="5"/>
  <c r="S69" i="6" s="1" a="1"/>
  <c r="S69" i="6" s="1"/>
  <c r="V69" i="5"/>
  <c r="S69" i="5"/>
  <c r="AS69" i="5" s="1"/>
  <c r="P69" i="5"/>
  <c r="AS68" i="5"/>
  <c r="AQ68" i="5"/>
  <c r="AP68" i="5"/>
  <c r="K71" i="8" s="1"/>
  <c r="AJ68" i="5"/>
  <c r="AI68" i="5"/>
  <c r="AH68" i="5"/>
  <c r="AG68" i="5"/>
  <c r="AF68" i="5"/>
  <c r="AE68" i="5"/>
  <c r="AD68" i="5"/>
  <c r="AD68" i="6" s="1" a="1"/>
  <c r="AC68" i="5"/>
  <c r="S68" i="6" s="1" a="1"/>
  <c r="S68" i="6" s="1"/>
  <c r="V68" i="5"/>
  <c r="S68" i="5"/>
  <c r="P68" i="5"/>
  <c r="AP67" i="5"/>
  <c r="K70" i="8" s="1"/>
  <c r="AJ67" i="5"/>
  <c r="AI67" i="5"/>
  <c r="AH67" i="5"/>
  <c r="AG67" i="5"/>
  <c r="AF67" i="5"/>
  <c r="AE67" i="5"/>
  <c r="AD67" i="5"/>
  <c r="AD67" i="6" s="1" a="1"/>
  <c r="AD67" i="6" s="1"/>
  <c r="AC67" i="5"/>
  <c r="S67" i="6" s="1" a="1"/>
  <c r="S67" i="6" s="1"/>
  <c r="V67" i="5"/>
  <c r="S67" i="5"/>
  <c r="P67" i="5"/>
  <c r="AQ66" i="5"/>
  <c r="AP66" i="5"/>
  <c r="K69" i="8" s="1"/>
  <c r="AJ66" i="5"/>
  <c r="AI66" i="5"/>
  <c r="AH66" i="5"/>
  <c r="AG66" i="5"/>
  <c r="AF66" i="5"/>
  <c r="AE66" i="5"/>
  <c r="AD66" i="5"/>
  <c r="AD66" i="6" s="1" a="1"/>
  <c r="AD66" i="6" s="1"/>
  <c r="AC66" i="5"/>
  <c r="S66" i="6" s="1" a="1"/>
  <c r="S66" i="6" s="1"/>
  <c r="V66" i="5"/>
  <c r="S66" i="5"/>
  <c r="P66" i="5"/>
  <c r="AP65" i="5"/>
  <c r="K68" i="8" s="1"/>
  <c r="AJ65" i="5"/>
  <c r="AI65" i="5"/>
  <c r="AH65" i="5"/>
  <c r="AG65" i="5"/>
  <c r="AF65" i="5"/>
  <c r="AE65" i="5"/>
  <c r="AD65" i="5"/>
  <c r="AD65" i="6" s="1" a="1"/>
  <c r="AD65" i="6" s="1"/>
  <c r="AC65" i="5"/>
  <c r="S65" i="6" s="1" a="1"/>
  <c r="S65" i="6" s="1"/>
  <c r="V65" i="5"/>
  <c r="S65" i="5"/>
  <c r="AS65" i="5" s="1"/>
  <c r="P65" i="5"/>
  <c r="AS64" i="5"/>
  <c r="AQ64" i="5"/>
  <c r="AP64" i="5"/>
  <c r="K67" i="8" s="1"/>
  <c r="AJ64" i="5"/>
  <c r="AI64" i="5"/>
  <c r="AH64" i="5"/>
  <c r="AG64" i="5"/>
  <c r="AF64" i="5"/>
  <c r="AE64" i="5"/>
  <c r="AD64" i="5"/>
  <c r="AD64" i="6" s="1" a="1"/>
  <c r="AC64" i="5"/>
  <c r="S64" i="6" s="1" a="1"/>
  <c r="S64" i="6" s="1"/>
  <c r="V64" i="5"/>
  <c r="S64" i="5"/>
  <c r="P64" i="5"/>
  <c r="AS63" i="5"/>
  <c r="AP63" i="5"/>
  <c r="AJ63" i="5"/>
  <c r="AI63" i="5"/>
  <c r="AH63" i="5"/>
  <c r="AG63" i="5"/>
  <c r="AF63" i="5"/>
  <c r="AE63" i="5"/>
  <c r="AD63" i="5"/>
  <c r="AD63" i="6" s="1" a="1"/>
  <c r="AD63" i="6" s="1"/>
  <c r="AC63" i="5"/>
  <c r="S63" i="6" s="1" a="1"/>
  <c r="S63" i="6" s="1"/>
  <c r="V63" i="5"/>
  <c r="S63" i="5"/>
  <c r="R63" i="6" s="1" a="1"/>
  <c r="R63" i="6" s="1"/>
  <c r="U63" i="6" s="1"/>
  <c r="AC63" i="6" s="1"/>
  <c r="P63" i="5"/>
  <c r="AP62" i="5"/>
  <c r="K65" i="8" s="1"/>
  <c r="AJ62" i="5"/>
  <c r="AI62" i="5"/>
  <c r="AH62" i="5"/>
  <c r="AG62" i="5"/>
  <c r="AF62" i="5"/>
  <c r="AE62" i="5"/>
  <c r="AD62" i="5"/>
  <c r="AD62" i="6" s="1" a="1"/>
  <c r="AD62" i="6" s="1"/>
  <c r="AC62" i="5"/>
  <c r="S62" i="6" s="1" a="1"/>
  <c r="S62" i="6" s="1"/>
  <c r="V62" i="5"/>
  <c r="S62" i="5"/>
  <c r="P62" i="5"/>
  <c r="AP61" i="5"/>
  <c r="AJ61" i="5"/>
  <c r="AI61" i="5"/>
  <c r="AH61" i="5"/>
  <c r="AG61" i="5"/>
  <c r="AF61" i="5"/>
  <c r="AE61" i="5"/>
  <c r="AD61" i="5"/>
  <c r="AD61" i="6" s="1" a="1"/>
  <c r="AD61" i="6" s="1"/>
  <c r="AC61" i="5"/>
  <c r="S61" i="6" s="1" a="1"/>
  <c r="S61" i="6" s="1"/>
  <c r="V61" i="5"/>
  <c r="S61" i="5"/>
  <c r="AS61" i="5" s="1"/>
  <c r="P61" i="5"/>
  <c r="AS60" i="5"/>
  <c r="AP60" i="5"/>
  <c r="AJ60" i="5"/>
  <c r="AI60" i="5"/>
  <c r="AH60" i="5"/>
  <c r="AG60" i="5"/>
  <c r="AF60" i="5"/>
  <c r="AE60" i="5"/>
  <c r="AD60" i="5"/>
  <c r="AD60" i="6" s="1" a="1"/>
  <c r="AD60" i="6" s="1"/>
  <c r="AC60" i="5"/>
  <c r="V60" i="5"/>
  <c r="S60" i="5"/>
  <c r="P60" i="5"/>
  <c r="AS59" i="5"/>
  <c r="AP59" i="5"/>
  <c r="K62" i="8" s="1"/>
  <c r="AJ59" i="5"/>
  <c r="AI59" i="5"/>
  <c r="AH59" i="5"/>
  <c r="AG59" i="5"/>
  <c r="AF59" i="5"/>
  <c r="AE59" i="5"/>
  <c r="AD59" i="5"/>
  <c r="AD59" i="6" s="1" a="1"/>
  <c r="AD59" i="6" s="1"/>
  <c r="AC59" i="5"/>
  <c r="S59" i="6" s="1" a="1"/>
  <c r="S59" i="6" s="1"/>
  <c r="V59" i="5"/>
  <c r="S59" i="5"/>
  <c r="L62" i="8" s="1"/>
  <c r="P59" i="5"/>
  <c r="AP58" i="5"/>
  <c r="K61" i="8" s="1"/>
  <c r="AJ58" i="5"/>
  <c r="AI58" i="5"/>
  <c r="AH58" i="5"/>
  <c r="AG58" i="5"/>
  <c r="AF58" i="5"/>
  <c r="AE58" i="5"/>
  <c r="AD58" i="5"/>
  <c r="AC58" i="5"/>
  <c r="S58" i="6" s="1" a="1"/>
  <c r="S58" i="6" s="1"/>
  <c r="V58" i="5"/>
  <c r="S58" i="5"/>
  <c r="P58" i="5"/>
  <c r="AS57" i="5"/>
  <c r="AQ57" i="5"/>
  <c r="AP57" i="5"/>
  <c r="K60" i="8" s="1"/>
  <c r="AJ57" i="5"/>
  <c r="AI57" i="5"/>
  <c r="AH57" i="5"/>
  <c r="AG57" i="5"/>
  <c r="AF57" i="5"/>
  <c r="AE57" i="5"/>
  <c r="AD57" i="5"/>
  <c r="AD57" i="6" s="1" a="1"/>
  <c r="AD57" i="6" s="1"/>
  <c r="AC57" i="5"/>
  <c r="S57" i="6" s="1" a="1"/>
  <c r="S57" i="6" s="1"/>
  <c r="V57" i="5"/>
  <c r="S57" i="5"/>
  <c r="P57" i="5"/>
  <c r="AS56" i="5"/>
  <c r="AP56" i="5"/>
  <c r="K59" i="8" s="1"/>
  <c r="AJ56" i="5"/>
  <c r="AI56" i="5"/>
  <c r="AH56" i="5"/>
  <c r="AG56" i="5"/>
  <c r="AF56" i="5"/>
  <c r="AE56" i="5"/>
  <c r="AD56" i="5"/>
  <c r="AD56" i="6" s="1" a="1"/>
  <c r="AD56" i="6" s="1"/>
  <c r="AC56" i="5"/>
  <c r="S56" i="6" s="1" a="1"/>
  <c r="S56" i="6" s="1"/>
  <c r="V56" i="5"/>
  <c r="S56" i="5"/>
  <c r="P56" i="5"/>
  <c r="AS55" i="5"/>
  <c r="AP55" i="5"/>
  <c r="K58" i="8" s="1"/>
  <c r="AJ55" i="5"/>
  <c r="AI55" i="5"/>
  <c r="AH55" i="5"/>
  <c r="AG55" i="5"/>
  <c r="AF55" i="5"/>
  <c r="AE55" i="5"/>
  <c r="AD55" i="5"/>
  <c r="AD55" i="6" s="1" a="1"/>
  <c r="AD55" i="6" s="1"/>
  <c r="AC55" i="5"/>
  <c r="S55" i="6" s="1" a="1"/>
  <c r="S55" i="6" s="1"/>
  <c r="V55" i="5"/>
  <c r="S55" i="5"/>
  <c r="P55" i="5"/>
  <c r="AQ54" i="5"/>
  <c r="AP54" i="5"/>
  <c r="K57" i="8" s="1"/>
  <c r="AJ54" i="5"/>
  <c r="AI54" i="5"/>
  <c r="AH54" i="5"/>
  <c r="AG54" i="5"/>
  <c r="AF54" i="5"/>
  <c r="AE54" i="5"/>
  <c r="AD54" i="5"/>
  <c r="AD54" i="6" s="1" a="1"/>
  <c r="AD54" i="6" s="1"/>
  <c r="AC54" i="5"/>
  <c r="S54" i="6" s="1" a="1"/>
  <c r="S54" i="6" s="1"/>
  <c r="V54" i="5"/>
  <c r="S54" i="5"/>
  <c r="P54" i="5"/>
  <c r="AQ53" i="5"/>
  <c r="AP53" i="5"/>
  <c r="K56" i="8" s="1"/>
  <c r="AJ53" i="5"/>
  <c r="AI53" i="5"/>
  <c r="AH53" i="5"/>
  <c r="AG53" i="5"/>
  <c r="AF53" i="5"/>
  <c r="AE53" i="5"/>
  <c r="AD53" i="5"/>
  <c r="AD53" i="6" s="1" a="1"/>
  <c r="AD53" i="6" s="1"/>
  <c r="AC53" i="5"/>
  <c r="S53" i="6" s="1" a="1"/>
  <c r="S53" i="6" s="1"/>
  <c r="V53" i="5"/>
  <c r="S53" i="5"/>
  <c r="P53" i="5"/>
  <c r="AS52" i="5"/>
  <c r="AP52" i="5"/>
  <c r="AJ52" i="5"/>
  <c r="AI52" i="5"/>
  <c r="AH52" i="5"/>
  <c r="AG52" i="5"/>
  <c r="AF52" i="5"/>
  <c r="AE52" i="5"/>
  <c r="AD52" i="5"/>
  <c r="AD52" i="6" s="1" a="1"/>
  <c r="AD52" i="6" s="1"/>
  <c r="AC52" i="5"/>
  <c r="S52" i="6" s="1" a="1"/>
  <c r="S52" i="6" s="1"/>
  <c r="V52" i="5"/>
  <c r="S52" i="5"/>
  <c r="P52" i="5"/>
  <c r="AS51" i="5"/>
  <c r="AQ51" i="5"/>
  <c r="AP51" i="5"/>
  <c r="K54" i="8" s="1"/>
  <c r="AJ51" i="5"/>
  <c r="AI51" i="5"/>
  <c r="AH51" i="5"/>
  <c r="AG51" i="5"/>
  <c r="AF51" i="5"/>
  <c r="AE51" i="5"/>
  <c r="AD51" i="5"/>
  <c r="AD51" i="6" s="1" a="1"/>
  <c r="AD51" i="6" s="1"/>
  <c r="AC51" i="5"/>
  <c r="S51" i="6" s="1" a="1"/>
  <c r="S51" i="6" s="1"/>
  <c r="V51" i="5"/>
  <c r="S51" i="5"/>
  <c r="P51" i="5"/>
  <c r="AS50" i="5"/>
  <c r="AP50" i="5"/>
  <c r="AJ50" i="5"/>
  <c r="AI50" i="5"/>
  <c r="AH50" i="5"/>
  <c r="AG50" i="5"/>
  <c r="AF50" i="5"/>
  <c r="AE50" i="5"/>
  <c r="AD50" i="5"/>
  <c r="AD50" i="6" s="1" a="1"/>
  <c r="AD50" i="6" s="1"/>
  <c r="AC50" i="5"/>
  <c r="S50" i="6" s="1" a="1"/>
  <c r="S50" i="6" s="1"/>
  <c r="V50" i="5"/>
  <c r="S50" i="5"/>
  <c r="P50" i="5"/>
  <c r="AP49" i="5"/>
  <c r="K52" i="8" s="1"/>
  <c r="AJ49" i="5"/>
  <c r="AI49" i="5"/>
  <c r="AH49" i="5"/>
  <c r="AG49" i="5"/>
  <c r="AF49" i="5"/>
  <c r="AE49" i="5"/>
  <c r="AD49" i="5"/>
  <c r="AD49" i="6" s="1" a="1"/>
  <c r="AD49" i="6" s="1"/>
  <c r="AC49" i="5"/>
  <c r="S49" i="6" s="1" a="1"/>
  <c r="S49" i="6" s="1"/>
  <c r="V49" i="5"/>
  <c r="S49" i="5"/>
  <c r="P49" i="5"/>
  <c r="AS48" i="5"/>
  <c r="AQ48" i="5"/>
  <c r="AP48" i="5"/>
  <c r="AJ48" i="5"/>
  <c r="AI48" i="5"/>
  <c r="AH48" i="5"/>
  <c r="AG48" i="5"/>
  <c r="AF48" i="5"/>
  <c r="AE48" i="5"/>
  <c r="AD48" i="5"/>
  <c r="AD48" i="6" s="1" a="1"/>
  <c r="AD48" i="6" s="1"/>
  <c r="AC48" i="5"/>
  <c r="S48" i="6" s="1" a="1"/>
  <c r="S48" i="6" s="1"/>
  <c r="V48" i="5"/>
  <c r="S48" i="5"/>
  <c r="P48" i="5"/>
  <c r="AP47" i="5"/>
  <c r="K50" i="8" s="1"/>
  <c r="AJ47" i="5"/>
  <c r="AI47" i="5"/>
  <c r="AH47" i="5"/>
  <c r="AG47" i="5"/>
  <c r="AF47" i="5"/>
  <c r="AE47" i="5"/>
  <c r="AD47" i="5"/>
  <c r="AD47" i="6" s="1" a="1"/>
  <c r="AD47" i="6" s="1"/>
  <c r="AC47" i="5"/>
  <c r="S47" i="6" s="1" a="1"/>
  <c r="S47" i="6" s="1"/>
  <c r="V47" i="5"/>
  <c r="S47" i="5"/>
  <c r="AS47" i="5" s="1"/>
  <c r="P47" i="5"/>
  <c r="AS46" i="5"/>
  <c r="AP46" i="5"/>
  <c r="K49" i="8" s="1"/>
  <c r="AJ46" i="5"/>
  <c r="AI46" i="5"/>
  <c r="AH46" i="5"/>
  <c r="AG46" i="5"/>
  <c r="AF46" i="5"/>
  <c r="AE46" i="5"/>
  <c r="AD46" i="5"/>
  <c r="AD46" i="6" s="1" a="1"/>
  <c r="AD46" i="6" s="1"/>
  <c r="AC46" i="5"/>
  <c r="S46" i="6" s="1" a="1"/>
  <c r="S46" i="6" s="1"/>
  <c r="V46" i="5"/>
  <c r="S46" i="5"/>
  <c r="P46" i="5"/>
  <c r="AP45" i="5"/>
  <c r="K48" i="8" s="1"/>
  <c r="AJ45" i="5"/>
  <c r="AI45" i="5"/>
  <c r="AH45" i="5"/>
  <c r="AG45" i="5"/>
  <c r="AF45" i="5"/>
  <c r="AE45" i="5"/>
  <c r="AD45" i="5"/>
  <c r="AD45" i="6" s="1" a="1"/>
  <c r="AD45" i="6" s="1"/>
  <c r="AC45" i="5"/>
  <c r="S45" i="6" s="1" a="1"/>
  <c r="S45" i="6" s="1"/>
  <c r="V45" i="5"/>
  <c r="S45" i="5"/>
  <c r="P45" i="5"/>
  <c r="AQ44" i="5"/>
  <c r="AP44" i="5"/>
  <c r="K47" i="8" s="1"/>
  <c r="AJ44" i="5"/>
  <c r="AI44" i="5"/>
  <c r="AH44" i="5"/>
  <c r="AG44" i="5"/>
  <c r="AF44" i="5"/>
  <c r="AE44" i="5"/>
  <c r="AD44" i="5"/>
  <c r="AD44" i="6" s="1" a="1"/>
  <c r="AD44" i="6" s="1"/>
  <c r="AC44" i="5"/>
  <c r="S44" i="6" s="1" a="1"/>
  <c r="S44" i="6" s="1"/>
  <c r="V44" i="5"/>
  <c r="S44" i="5"/>
  <c r="P44" i="5"/>
  <c r="AQ43" i="5"/>
  <c r="AP43" i="5"/>
  <c r="K46" i="8" s="1"/>
  <c r="AJ43" i="5"/>
  <c r="AI43" i="5"/>
  <c r="AH43" i="5"/>
  <c r="AG43" i="5"/>
  <c r="AF43" i="5"/>
  <c r="AE43" i="5"/>
  <c r="AD43" i="5"/>
  <c r="AC43" i="5"/>
  <c r="S43" i="6" s="1" a="1"/>
  <c r="S43" i="6" s="1"/>
  <c r="V43" i="5"/>
  <c r="S43" i="5"/>
  <c r="P43" i="5"/>
  <c r="AS42" i="5"/>
  <c r="AQ42" i="5"/>
  <c r="AP42" i="5"/>
  <c r="K45" i="8" s="1"/>
  <c r="AJ42" i="5"/>
  <c r="AI42" i="5"/>
  <c r="AH42" i="5"/>
  <c r="AG42" i="5"/>
  <c r="AF42" i="5"/>
  <c r="AE42" i="5"/>
  <c r="AD42" i="5"/>
  <c r="AD42" i="6" s="1" a="1"/>
  <c r="AD42" i="6" s="1"/>
  <c r="AC42" i="5"/>
  <c r="S42" i="6" s="1" a="1"/>
  <c r="S42" i="6" s="1"/>
  <c r="V42" i="5"/>
  <c r="S42" i="5"/>
  <c r="P42" i="5"/>
  <c r="AS41" i="5"/>
  <c r="AP41" i="5"/>
  <c r="AJ41" i="5"/>
  <c r="AI41" i="5"/>
  <c r="AH41" i="5"/>
  <c r="AG41" i="5"/>
  <c r="AF41" i="5"/>
  <c r="AE41" i="5"/>
  <c r="AD41" i="5"/>
  <c r="AD41" i="6" s="1" a="1"/>
  <c r="AD41" i="6" s="1"/>
  <c r="AC41" i="5"/>
  <c r="S41" i="6" s="1" a="1"/>
  <c r="S41" i="6" s="1"/>
  <c r="V41" i="5"/>
  <c r="S41" i="5"/>
  <c r="P41" i="5"/>
  <c r="AP40" i="5"/>
  <c r="K43" i="8" s="1"/>
  <c r="AJ40" i="5"/>
  <c r="AI40" i="5"/>
  <c r="AH40" i="5"/>
  <c r="AG40" i="5"/>
  <c r="AF40" i="5"/>
  <c r="AE40" i="5"/>
  <c r="AD40" i="5"/>
  <c r="AD40" i="6" s="1" a="1"/>
  <c r="AD40" i="6" s="1"/>
  <c r="AC40" i="5"/>
  <c r="S40" i="6" s="1" a="1"/>
  <c r="S40" i="6" s="1"/>
  <c r="V40" i="5"/>
  <c r="S40" i="5"/>
  <c r="P40" i="5"/>
  <c r="AS39" i="5"/>
  <c r="AQ39" i="5"/>
  <c r="AP39" i="5"/>
  <c r="K42" i="8" s="1"/>
  <c r="AJ39" i="5"/>
  <c r="AI39" i="5"/>
  <c r="AH39" i="5"/>
  <c r="AG39" i="5"/>
  <c r="AF39" i="5"/>
  <c r="AE39" i="5"/>
  <c r="AD39" i="5"/>
  <c r="AD39" i="6" s="1" a="1"/>
  <c r="AC39" i="5"/>
  <c r="S39" i="6" s="1" a="1"/>
  <c r="S39" i="6" s="1"/>
  <c r="V39" i="5"/>
  <c r="S39" i="5"/>
  <c r="P39" i="5"/>
  <c r="AQ38" i="5"/>
  <c r="AP38" i="5"/>
  <c r="K41" i="8" s="1"/>
  <c r="AJ38" i="5"/>
  <c r="AI38" i="5"/>
  <c r="AH38" i="5"/>
  <c r="AG38" i="5"/>
  <c r="AF38" i="5"/>
  <c r="AE38" i="5"/>
  <c r="AD38" i="5"/>
  <c r="AD38" i="6" s="1" a="1"/>
  <c r="AD38" i="6" s="1"/>
  <c r="AC38" i="5"/>
  <c r="S38" i="6" s="1" a="1"/>
  <c r="S38" i="6" s="1"/>
  <c r="V38" i="5"/>
  <c r="S38" i="5"/>
  <c r="R38" i="6" s="1" a="1"/>
  <c r="R38" i="6" s="1"/>
  <c r="U38" i="6" s="1"/>
  <c r="AC38" i="6" s="1"/>
  <c r="P38" i="5"/>
  <c r="AS37" i="5"/>
  <c r="AP37" i="5"/>
  <c r="K40" i="8" s="1"/>
  <c r="AJ37" i="5"/>
  <c r="AI37" i="5"/>
  <c r="AH37" i="5"/>
  <c r="AG37" i="5"/>
  <c r="AF37" i="5"/>
  <c r="AE37" i="5"/>
  <c r="AD37" i="5"/>
  <c r="AD37" i="6" s="1" a="1"/>
  <c r="AD37" i="6" s="1"/>
  <c r="AC37" i="5"/>
  <c r="S37" i="6" s="1" a="1"/>
  <c r="V37" i="5"/>
  <c r="S37" i="5"/>
  <c r="P37" i="5"/>
  <c r="AP36" i="5"/>
  <c r="K39" i="8" s="1"/>
  <c r="AJ36" i="5"/>
  <c r="AI36" i="5"/>
  <c r="AH36" i="5"/>
  <c r="AG36" i="5"/>
  <c r="AF36" i="5"/>
  <c r="AE36" i="5"/>
  <c r="AD36" i="5"/>
  <c r="AD36" i="6" s="1" a="1"/>
  <c r="AD36" i="6" s="1"/>
  <c r="AC36" i="5"/>
  <c r="S36" i="6" s="1" a="1"/>
  <c r="S36" i="6" s="1"/>
  <c r="V36" i="5"/>
  <c r="S36" i="5"/>
  <c r="P36" i="5"/>
  <c r="AQ35" i="5"/>
  <c r="AP35" i="5"/>
  <c r="K38" i="8" s="1"/>
  <c r="AJ35" i="5"/>
  <c r="AI35" i="5"/>
  <c r="AH35" i="5"/>
  <c r="AG35" i="5"/>
  <c r="AF35" i="5"/>
  <c r="AE35" i="5"/>
  <c r="AD35" i="5"/>
  <c r="AC35" i="5"/>
  <c r="S35" i="6" s="1" a="1"/>
  <c r="S35" i="6" s="1"/>
  <c r="V35" i="5"/>
  <c r="S35" i="5"/>
  <c r="P35" i="5"/>
  <c r="AS34" i="5"/>
  <c r="AP34" i="5"/>
  <c r="K37" i="8" s="1"/>
  <c r="AJ34" i="5"/>
  <c r="AI34" i="5"/>
  <c r="AH34" i="5"/>
  <c r="AG34" i="5"/>
  <c r="AF34" i="5"/>
  <c r="AE34" i="5"/>
  <c r="AD34" i="5"/>
  <c r="AD34" i="6" s="1" a="1"/>
  <c r="AD34" i="6" s="1"/>
  <c r="AC34" i="5"/>
  <c r="V34" i="5"/>
  <c r="S34" i="5"/>
  <c r="P34" i="5"/>
  <c r="AS33" i="5"/>
  <c r="AQ33" i="5"/>
  <c r="AP33" i="5"/>
  <c r="K36" i="8" s="1"/>
  <c r="AJ33" i="5"/>
  <c r="AI33" i="5"/>
  <c r="AH33" i="5"/>
  <c r="AG33" i="5"/>
  <c r="AF33" i="5"/>
  <c r="AE33" i="5"/>
  <c r="AD33" i="5"/>
  <c r="AC33" i="5"/>
  <c r="S33" i="6" s="1" a="1"/>
  <c r="S33" i="6" s="1"/>
  <c r="V33" i="5"/>
  <c r="S33" i="5"/>
  <c r="P33" i="5"/>
  <c r="AS32" i="5"/>
  <c r="AP32" i="5"/>
  <c r="AJ32" i="5"/>
  <c r="AI32" i="5"/>
  <c r="AH32" i="5"/>
  <c r="AG32" i="5"/>
  <c r="AF32" i="5"/>
  <c r="AE32" i="5"/>
  <c r="AD32" i="5"/>
  <c r="AD32" i="6" s="1" a="1"/>
  <c r="AD32" i="6" s="1"/>
  <c r="AC32" i="5"/>
  <c r="S32" i="6" s="1" a="1"/>
  <c r="S32" i="6" s="1"/>
  <c r="V32" i="5"/>
  <c r="S32" i="5"/>
  <c r="P32" i="5"/>
  <c r="AP31" i="5"/>
  <c r="K34" i="8" s="1"/>
  <c r="AJ31" i="5"/>
  <c r="AI31" i="5"/>
  <c r="AH31" i="5"/>
  <c r="AG31" i="5"/>
  <c r="AF31" i="5"/>
  <c r="AE31" i="5"/>
  <c r="AD31" i="5"/>
  <c r="AD31" i="6" s="1" a="1"/>
  <c r="AD31" i="6" s="1"/>
  <c r="AC31" i="5"/>
  <c r="S31" i="6" s="1" a="1"/>
  <c r="S31" i="6" s="1"/>
  <c r="V31" i="5"/>
  <c r="S31" i="5"/>
  <c r="P31" i="5"/>
  <c r="AS30" i="5"/>
  <c r="AQ30" i="5"/>
  <c r="AP30" i="5"/>
  <c r="K33" i="8" s="1"/>
  <c r="AJ30" i="5"/>
  <c r="AI30" i="5"/>
  <c r="AH30" i="5"/>
  <c r="AG30" i="5"/>
  <c r="AF30" i="5"/>
  <c r="AE30" i="5"/>
  <c r="AD30" i="5"/>
  <c r="AC30" i="5"/>
  <c r="V30" i="5"/>
  <c r="S30" i="5"/>
  <c r="P30" i="5"/>
  <c r="AQ29" i="5"/>
  <c r="AP29" i="5"/>
  <c r="K32" i="8" s="1"/>
  <c r="AJ29" i="5"/>
  <c r="AI29" i="5"/>
  <c r="AH29" i="5"/>
  <c r="AG29" i="5"/>
  <c r="AF29" i="5"/>
  <c r="AE29" i="5"/>
  <c r="AD29" i="5"/>
  <c r="AD29" i="6" s="1" a="1"/>
  <c r="AC29" i="5"/>
  <c r="S29" i="6" s="1" a="1"/>
  <c r="V29" i="5"/>
  <c r="S29" i="5"/>
  <c r="AS29" i="5" s="1"/>
  <c r="P29" i="5"/>
  <c r="AS28" i="5"/>
  <c r="AP28" i="5"/>
  <c r="K31" i="8" s="1"/>
  <c r="AJ28" i="5"/>
  <c r="AI28" i="5"/>
  <c r="AH28" i="5"/>
  <c r="AG28" i="5"/>
  <c r="AF28" i="5"/>
  <c r="AE28" i="5"/>
  <c r="AD28" i="5"/>
  <c r="AD28" i="6" s="1" a="1"/>
  <c r="AD28" i="6" s="1"/>
  <c r="AC28" i="5"/>
  <c r="S28" i="6" s="1" a="1"/>
  <c r="S28" i="6" s="1"/>
  <c r="V28" i="5"/>
  <c r="S28" i="5"/>
  <c r="P28" i="5"/>
  <c r="AP27" i="5"/>
  <c r="K30" i="8" s="1"/>
  <c r="AJ27" i="5"/>
  <c r="AI27" i="5"/>
  <c r="AH27" i="5"/>
  <c r="AG27" i="5"/>
  <c r="AF27" i="5"/>
  <c r="AE27" i="5"/>
  <c r="AD27" i="5"/>
  <c r="AD27" i="6" s="1" a="1"/>
  <c r="AD27" i="6" s="1"/>
  <c r="AC27" i="5"/>
  <c r="S27" i="6" s="1" a="1"/>
  <c r="S27" i="6" s="1"/>
  <c r="V27" i="5"/>
  <c r="S27" i="5"/>
  <c r="P27" i="5"/>
  <c r="AQ26" i="5"/>
  <c r="AP26" i="5"/>
  <c r="K29" i="8" s="1"/>
  <c r="AJ26" i="5"/>
  <c r="AI26" i="5"/>
  <c r="AH26" i="5"/>
  <c r="AG26" i="5"/>
  <c r="AF26" i="5"/>
  <c r="AE26" i="5"/>
  <c r="AD26" i="5"/>
  <c r="AD26" i="6" s="1" a="1"/>
  <c r="AD26" i="6" s="1"/>
  <c r="AC26" i="5"/>
  <c r="S26" i="6" s="1" a="1"/>
  <c r="S26" i="6" s="1"/>
  <c r="V26" i="5"/>
  <c r="S26" i="5"/>
  <c r="L29" i="8" s="1"/>
  <c r="P26" i="5"/>
  <c r="AP25" i="5"/>
  <c r="K28" i="8" s="1"/>
  <c r="AJ25" i="5"/>
  <c r="AI25" i="5"/>
  <c r="AH25" i="5"/>
  <c r="AG25" i="5"/>
  <c r="AF25" i="5"/>
  <c r="AE25" i="5"/>
  <c r="AD25" i="5"/>
  <c r="AD25" i="6" s="1" a="1"/>
  <c r="AD25" i="6" s="1"/>
  <c r="AC25" i="5"/>
  <c r="S25" i="6" s="1" a="1"/>
  <c r="S25" i="6" s="1"/>
  <c r="V25" i="5"/>
  <c r="S25" i="5"/>
  <c r="P25" i="5"/>
  <c r="AS24" i="5"/>
  <c r="AQ24" i="5"/>
  <c r="AP24" i="5"/>
  <c r="K27" i="8" s="1"/>
  <c r="AJ24" i="5"/>
  <c r="AI24" i="5"/>
  <c r="AH24" i="5"/>
  <c r="AG24" i="5"/>
  <c r="AF24" i="5"/>
  <c r="AE24" i="5"/>
  <c r="AD24" i="5"/>
  <c r="AD24" i="6" s="1" a="1"/>
  <c r="AC24" i="5"/>
  <c r="S24" i="6" s="1" a="1"/>
  <c r="S24" i="6" s="1"/>
  <c r="V24" i="5"/>
  <c r="S24" i="5"/>
  <c r="P24" i="5"/>
  <c r="AS23" i="5"/>
  <c r="AP23" i="5"/>
  <c r="AJ23" i="5"/>
  <c r="AI23" i="5"/>
  <c r="AH23" i="5"/>
  <c r="AG23" i="5"/>
  <c r="AF23" i="5"/>
  <c r="AE23" i="5"/>
  <c r="AD23" i="5"/>
  <c r="AD23" i="6" s="1" a="1"/>
  <c r="AD23" i="6" s="1"/>
  <c r="AC23" i="5"/>
  <c r="V23" i="5"/>
  <c r="S23" i="5"/>
  <c r="P23" i="5"/>
  <c r="AP22" i="5"/>
  <c r="K25" i="8" s="1"/>
  <c r="AJ22" i="5"/>
  <c r="AI22" i="5"/>
  <c r="AH22" i="5"/>
  <c r="AG22" i="5"/>
  <c r="AF22" i="5"/>
  <c r="AE22" i="5"/>
  <c r="AD22" i="5"/>
  <c r="AD22" i="6" s="1" a="1"/>
  <c r="AD22" i="6" s="1"/>
  <c r="AC22" i="5"/>
  <c r="S22" i="6" s="1" a="1"/>
  <c r="S22" i="6" s="1"/>
  <c r="V22" i="5"/>
  <c r="S22" i="5"/>
  <c r="P22" i="5"/>
  <c r="AQ21" i="5"/>
  <c r="AP21" i="5"/>
  <c r="K24" i="8" s="1"/>
  <c r="AJ21" i="5"/>
  <c r="AI21" i="5"/>
  <c r="AH21" i="5"/>
  <c r="AG21" i="5"/>
  <c r="AF21" i="5"/>
  <c r="AE21" i="5"/>
  <c r="AD21" i="5"/>
  <c r="AD21" i="6" s="1" a="1"/>
  <c r="AD21" i="6" s="1"/>
  <c r="AC21" i="5"/>
  <c r="S21" i="6" s="1" a="1"/>
  <c r="S21" i="6" s="1"/>
  <c r="V21" i="5"/>
  <c r="S21" i="5"/>
  <c r="P21" i="5"/>
  <c r="AQ20" i="5"/>
  <c r="AP20" i="5"/>
  <c r="K23" i="8" s="1"/>
  <c r="AJ20" i="5"/>
  <c r="AI20" i="5"/>
  <c r="AH20" i="5"/>
  <c r="AG20" i="5"/>
  <c r="AF20" i="5"/>
  <c r="AE20" i="5"/>
  <c r="AD20" i="5"/>
  <c r="AC20" i="5"/>
  <c r="S20" i="6" s="1" a="1"/>
  <c r="S20" i="6" s="1"/>
  <c r="V20" i="5"/>
  <c r="S20" i="5"/>
  <c r="AS20" i="5" s="1"/>
  <c r="P20" i="5"/>
  <c r="AS19" i="5"/>
  <c r="AQ19" i="5"/>
  <c r="AP19" i="5"/>
  <c r="K22" i="8" s="1"/>
  <c r="AJ19" i="5"/>
  <c r="AI19" i="5"/>
  <c r="AH19" i="5"/>
  <c r="AG19" i="5"/>
  <c r="AF19" i="5"/>
  <c r="AE19" i="5"/>
  <c r="AD19" i="5"/>
  <c r="AD19" i="6" s="1" a="1"/>
  <c r="AD19" i="6" s="1"/>
  <c r="AC19" i="5"/>
  <c r="S19" i="6" s="1" a="1"/>
  <c r="S19" i="6" s="1"/>
  <c r="V19" i="5"/>
  <c r="S19" i="5"/>
  <c r="P19" i="5"/>
  <c r="AP18" i="5"/>
  <c r="K21" i="8" s="1"/>
  <c r="AJ18" i="5"/>
  <c r="AI18" i="5"/>
  <c r="AH18" i="5"/>
  <c r="AG18" i="5"/>
  <c r="AF18" i="5"/>
  <c r="AE18" i="5"/>
  <c r="AD18" i="5"/>
  <c r="AD18" i="6" s="1" a="1"/>
  <c r="AD18" i="6" s="1"/>
  <c r="AC18" i="5"/>
  <c r="S18" i="6" s="1" a="1"/>
  <c r="S18" i="6" s="1"/>
  <c r="V18" i="5"/>
  <c r="S18" i="5"/>
  <c r="P18" i="5"/>
  <c r="AQ17" i="5"/>
  <c r="AP17" i="5"/>
  <c r="K20" i="8" s="1"/>
  <c r="AJ17" i="5"/>
  <c r="AI17" i="5"/>
  <c r="AH17" i="5"/>
  <c r="AG17" i="5"/>
  <c r="AF17" i="5"/>
  <c r="AE17" i="5"/>
  <c r="AD17" i="5"/>
  <c r="AD17" i="6" s="1" a="1"/>
  <c r="AD17" i="6" s="1"/>
  <c r="AC17" i="5"/>
  <c r="S17" i="6" s="1" a="1"/>
  <c r="S17" i="6" s="1"/>
  <c r="V17" i="5"/>
  <c r="S17" i="5"/>
  <c r="P17" i="5"/>
  <c r="AP16" i="5"/>
  <c r="K19" i="8" s="1"/>
  <c r="AJ16" i="5"/>
  <c r="AI16" i="5"/>
  <c r="AH16" i="5"/>
  <c r="AG16" i="5"/>
  <c r="AF16" i="5"/>
  <c r="AE16" i="5"/>
  <c r="AD16" i="5"/>
  <c r="AD16" i="6" s="1" a="1"/>
  <c r="AD16" i="6" s="1"/>
  <c r="AC16" i="5"/>
  <c r="S16" i="6" s="1" a="1"/>
  <c r="V16" i="5"/>
  <c r="S16" i="5"/>
  <c r="AS16" i="5" s="1"/>
  <c r="P16" i="5"/>
  <c r="AS15" i="5"/>
  <c r="AQ15" i="5"/>
  <c r="AP15" i="5"/>
  <c r="K18" i="8" s="1"/>
  <c r="AJ15" i="5"/>
  <c r="AI15" i="5"/>
  <c r="AH15" i="5"/>
  <c r="AG15" i="5"/>
  <c r="AF15" i="5"/>
  <c r="AE15" i="5"/>
  <c r="AD15" i="5"/>
  <c r="AD15" i="6" s="1" a="1"/>
  <c r="AD15" i="6" s="1"/>
  <c r="AC15" i="5"/>
  <c r="V15" i="5"/>
  <c r="S15" i="5"/>
  <c r="P15" i="5"/>
  <c r="AS14" i="5"/>
  <c r="AP14" i="5"/>
  <c r="AJ14" i="5"/>
  <c r="AI14" i="5"/>
  <c r="AH14" i="5"/>
  <c r="AG14" i="5"/>
  <c r="AF14" i="5"/>
  <c r="AE14" i="5"/>
  <c r="AD14" i="5"/>
  <c r="AD14" i="6" s="1" a="1"/>
  <c r="AD14" i="6" s="1"/>
  <c r="AC14" i="5"/>
  <c r="S14" i="6" s="1" a="1"/>
  <c r="S14" i="6" s="1"/>
  <c r="V14" i="5"/>
  <c r="S14" i="5"/>
  <c r="P14" i="5"/>
  <c r="AP13" i="5"/>
  <c r="K16" i="8" s="1"/>
  <c r="AJ13" i="5"/>
  <c r="AI13" i="5"/>
  <c r="AH13" i="5"/>
  <c r="AG13" i="5"/>
  <c r="AF13" i="5"/>
  <c r="AE13" i="5"/>
  <c r="AD13" i="5"/>
  <c r="AD13" i="6" s="1" a="1"/>
  <c r="AD13" i="6" s="1"/>
  <c r="AC13" i="5"/>
  <c r="S13" i="6" s="1" a="1"/>
  <c r="V13" i="5"/>
  <c r="S13" i="5"/>
  <c r="P13" i="5"/>
  <c r="AQ12" i="5"/>
  <c r="AP12" i="5"/>
  <c r="K15" i="8" s="1"/>
  <c r="AJ12" i="5"/>
  <c r="AI12" i="5"/>
  <c r="AH12" i="5"/>
  <c r="AG12" i="5"/>
  <c r="AF12" i="5"/>
  <c r="AE12" i="5"/>
  <c r="AD12" i="5"/>
  <c r="AC12" i="5"/>
  <c r="S12" i="6" s="1" a="1"/>
  <c r="S12" i="6" s="1"/>
  <c r="V12" i="5"/>
  <c r="S12" i="5"/>
  <c r="AS12" i="5" s="1"/>
  <c r="P12" i="5"/>
  <c r="AP11" i="5"/>
  <c r="K14" i="8" s="1"/>
  <c r="AJ11" i="5"/>
  <c r="AI11" i="5"/>
  <c r="AH11" i="5"/>
  <c r="AG11" i="5"/>
  <c r="AF11" i="5"/>
  <c r="AE11" i="5"/>
  <c r="AD11" i="5"/>
  <c r="AD11" i="6" s="1" a="1"/>
  <c r="AD11" i="6" s="1"/>
  <c r="AC11" i="5"/>
  <c r="S11" i="6" s="1" a="1"/>
  <c r="S11" i="6" s="1"/>
  <c r="V11" i="5"/>
  <c r="S11" i="5"/>
  <c r="R11" i="6" s="1" a="1"/>
  <c r="R11" i="6" s="1"/>
  <c r="P11" i="5"/>
  <c r="AS10" i="5"/>
  <c r="AQ10" i="5"/>
  <c r="AP10" i="5"/>
  <c r="K13" i="8" s="1"/>
  <c r="AJ10" i="5"/>
  <c r="AI10" i="5"/>
  <c r="AH10" i="5"/>
  <c r="AG10" i="5"/>
  <c r="AF10" i="5"/>
  <c r="AE10" i="5"/>
  <c r="AD10" i="5"/>
  <c r="AC10" i="5"/>
  <c r="V10" i="5"/>
  <c r="S10" i="5"/>
  <c r="R10" i="6" s="1" a="1"/>
  <c r="R10" i="6" s="1"/>
  <c r="U10" i="6" s="1"/>
  <c r="AC10" i="6" s="1"/>
  <c r="P10" i="5"/>
  <c r="AP9" i="5"/>
  <c r="K12" i="8" s="1"/>
  <c r="AJ9" i="5"/>
  <c r="AI9" i="5"/>
  <c r="AH9" i="5"/>
  <c r="AG9" i="5"/>
  <c r="AF9" i="5"/>
  <c r="AE9" i="5"/>
  <c r="AD9" i="5"/>
  <c r="AD9" i="6" s="1" a="1"/>
  <c r="AD9" i="6" s="1"/>
  <c r="AC9" i="5"/>
  <c r="S9" i="6" s="1" a="1"/>
  <c r="S9" i="6" s="1"/>
  <c r="V9" i="5"/>
  <c r="S9" i="5"/>
  <c r="P9" i="5"/>
  <c r="AQ8" i="5"/>
  <c r="AP8" i="5"/>
  <c r="K11" i="8" s="1"/>
  <c r="AJ8" i="5"/>
  <c r="AI8" i="5"/>
  <c r="AH8" i="5"/>
  <c r="AG8" i="5"/>
  <c r="AF8" i="5"/>
  <c r="AE8" i="5"/>
  <c r="AD8" i="5"/>
  <c r="AD8" i="6" s="1" a="1"/>
  <c r="AD8" i="6" s="1"/>
  <c r="AC8" i="5"/>
  <c r="S8" i="6" s="1" a="1"/>
  <c r="S8" i="6" s="1"/>
  <c r="V8" i="5"/>
  <c r="S8" i="5"/>
  <c r="L11" i="8" s="1"/>
  <c r="P8" i="5"/>
  <c r="AS7" i="5"/>
  <c r="AP7" i="5"/>
  <c r="K10" i="8" s="1"/>
  <c r="AJ7" i="5"/>
  <c r="AI7" i="5"/>
  <c r="AH7" i="5"/>
  <c r="AG7" i="5"/>
  <c r="AF7" i="5"/>
  <c r="AE7" i="5"/>
  <c r="AD7" i="5"/>
  <c r="AD7" i="6" s="1" a="1"/>
  <c r="AD7" i="6" s="1"/>
  <c r="AC7" i="5"/>
  <c r="V7" i="5"/>
  <c r="S7" i="5"/>
  <c r="P7" i="5"/>
  <c r="AS6" i="5"/>
  <c r="AQ6" i="5"/>
  <c r="AP6" i="5"/>
  <c r="K9" i="8" s="1"/>
  <c r="AJ6" i="5"/>
  <c r="AI6" i="5"/>
  <c r="AH6" i="5"/>
  <c r="AG6" i="5"/>
  <c r="AF6" i="5"/>
  <c r="AE6" i="5"/>
  <c r="AD6" i="5"/>
  <c r="AD6" i="6" s="1" a="1"/>
  <c r="AC6" i="5"/>
  <c r="S6" i="6" s="1" a="1"/>
  <c r="V6" i="5"/>
  <c r="S6" i="5"/>
  <c r="P6" i="5"/>
  <c r="AS5" i="5"/>
  <c r="AP5" i="5"/>
  <c r="AJ5" i="5"/>
  <c r="AI5" i="5"/>
  <c r="AH5" i="5"/>
  <c r="AG5" i="5"/>
  <c r="AF5" i="5"/>
  <c r="AE5" i="5"/>
  <c r="AD5" i="5"/>
  <c r="AD5" i="6" s="1" a="1"/>
  <c r="AD5" i="6" s="1"/>
  <c r="AC5" i="5"/>
  <c r="S5" i="6" s="1" a="1"/>
  <c r="S5" i="6" s="1"/>
  <c r="V5" i="5"/>
  <c r="S5" i="5"/>
  <c r="F8" i="8" s="1"/>
  <c r="P5" i="5"/>
  <c r="AP4" i="5"/>
  <c r="K7" i="8" s="1"/>
  <c r="AJ4" i="5"/>
  <c r="AI4" i="5"/>
  <c r="AH4" i="5"/>
  <c r="AG4" i="5"/>
  <c r="AF4" i="5"/>
  <c r="AE4" i="5"/>
  <c r="AD4" i="5"/>
  <c r="AD4" i="6" s="1" a="1"/>
  <c r="AC4" i="5"/>
  <c r="S4" i="6" s="1" a="1"/>
  <c r="S4" i="6" s="1"/>
  <c r="V4" i="5"/>
  <c r="S4" i="5"/>
  <c r="P4" i="5"/>
  <c r="AQ3" i="5"/>
  <c r="AP3" i="5"/>
  <c r="K6" i="8" s="1"/>
  <c r="AJ3" i="5"/>
  <c r="AI3" i="5"/>
  <c r="AH3" i="5"/>
  <c r="AG3" i="5"/>
  <c r="AF3" i="5"/>
  <c r="AE3" i="5"/>
  <c r="AD3" i="5"/>
  <c r="AC3" i="5"/>
  <c r="S3" i="6" s="1" a="1"/>
  <c r="S3" i="6" s="1"/>
  <c r="V3" i="5"/>
  <c r="S3" i="5"/>
  <c r="AS3" i="5" s="1"/>
  <c r="P3" i="5"/>
  <c r="AP2" i="5"/>
  <c r="K5" i="8" s="1"/>
  <c r="AJ2" i="5"/>
  <c r="AI2" i="5"/>
  <c r="AH2" i="5"/>
  <c r="AG2" i="5"/>
  <c r="AF2" i="5"/>
  <c r="AE2" i="5"/>
  <c r="AD2" i="5"/>
  <c r="AD2" i="6" s="1" a="1"/>
  <c r="AC2" i="5"/>
  <c r="S2" i="6" s="1" a="1"/>
  <c r="V2" i="5"/>
  <c r="S2" i="5"/>
  <c r="AS2" i="5" s="1"/>
  <c r="P2" i="5"/>
  <c r="BD201" i="4"/>
  <c r="BC201" i="4"/>
  <c r="AU201" i="4"/>
  <c r="AT201" i="4"/>
  <c r="AS201" i="4"/>
  <c r="AR201" i="4"/>
  <c r="AQ201" i="4"/>
  <c r="AP201" i="4"/>
  <c r="AO201" i="4"/>
  <c r="AB201" i="4"/>
  <c r="BD200" i="4"/>
  <c r="BC200" i="4"/>
  <c r="AU200" i="4"/>
  <c r="AT200" i="4"/>
  <c r="AS200" i="4"/>
  <c r="AR200" i="4"/>
  <c r="AQ200" i="4"/>
  <c r="AP200" i="4"/>
  <c r="AO200" i="4"/>
  <c r="AB200" i="4"/>
  <c r="BD199" i="4"/>
  <c r="BC199" i="4"/>
  <c r="AU199" i="4"/>
  <c r="AT199" i="4"/>
  <c r="AS199" i="4"/>
  <c r="AR199" i="4"/>
  <c r="AQ199" i="4"/>
  <c r="AP199" i="4"/>
  <c r="AO199" i="4"/>
  <c r="AB199" i="4"/>
  <c r="BD198" i="4"/>
  <c r="BC198" i="4"/>
  <c r="AU198" i="4"/>
  <c r="AT198" i="4"/>
  <c r="AS198" i="4"/>
  <c r="AR198" i="4"/>
  <c r="AQ198" i="4"/>
  <c r="AP198" i="4"/>
  <c r="AO198" i="4"/>
  <c r="AB198" i="4"/>
  <c r="BD197" i="4"/>
  <c r="BC197" i="4"/>
  <c r="AU197" i="4"/>
  <c r="AT197" i="4"/>
  <c r="AS197" i="4"/>
  <c r="AR197" i="4"/>
  <c r="AQ197" i="4"/>
  <c r="AP197" i="4"/>
  <c r="AO197" i="4"/>
  <c r="AB197" i="4"/>
  <c r="BD196" i="4"/>
  <c r="BC196" i="4"/>
  <c r="AU196" i="4"/>
  <c r="AT196" i="4"/>
  <c r="AS196" i="4"/>
  <c r="AR196" i="4"/>
  <c r="AQ196" i="4"/>
  <c r="AP196" i="4"/>
  <c r="AO196" i="4"/>
  <c r="AB196" i="4"/>
  <c r="BD195" i="4"/>
  <c r="BC195" i="4"/>
  <c r="AU195" i="4"/>
  <c r="AT195" i="4"/>
  <c r="AS195" i="4"/>
  <c r="AR195" i="4"/>
  <c r="AQ195" i="4"/>
  <c r="AP195" i="4"/>
  <c r="AO195" i="4"/>
  <c r="AB195" i="4"/>
  <c r="BD194" i="4"/>
  <c r="BC194" i="4"/>
  <c r="AU194" i="4"/>
  <c r="AT194" i="4"/>
  <c r="AS194" i="4"/>
  <c r="AR194" i="4"/>
  <c r="AQ194" i="4"/>
  <c r="AP194" i="4"/>
  <c r="AO194" i="4"/>
  <c r="AB194" i="4"/>
  <c r="BD193" i="4"/>
  <c r="BC193" i="4"/>
  <c r="AU193" i="4"/>
  <c r="AT193" i="4"/>
  <c r="AS193" i="4"/>
  <c r="AR193" i="4"/>
  <c r="AQ193" i="4"/>
  <c r="AP193" i="4"/>
  <c r="AO193" i="4"/>
  <c r="AB193" i="4"/>
  <c r="BD192" i="4"/>
  <c r="BC192" i="4"/>
  <c r="AU192" i="4"/>
  <c r="AT192" i="4"/>
  <c r="AS192" i="4"/>
  <c r="AR192" i="4"/>
  <c r="AQ192" i="4"/>
  <c r="AP192" i="4"/>
  <c r="AO192" i="4"/>
  <c r="AB192" i="4"/>
  <c r="BD191" i="4"/>
  <c r="BC191" i="4"/>
  <c r="AU191" i="4"/>
  <c r="AT191" i="4"/>
  <c r="AS191" i="4"/>
  <c r="AR191" i="4"/>
  <c r="AQ191" i="4"/>
  <c r="AP191" i="4"/>
  <c r="AO191" i="4"/>
  <c r="AB191" i="4"/>
  <c r="BD190" i="4"/>
  <c r="BC190" i="4"/>
  <c r="AU190" i="4"/>
  <c r="AT190" i="4"/>
  <c r="AS190" i="4"/>
  <c r="AR190" i="4"/>
  <c r="AQ190" i="4"/>
  <c r="AP190" i="4"/>
  <c r="AO190" i="4"/>
  <c r="AB190" i="4"/>
  <c r="BD189" i="4"/>
  <c r="BC189" i="4"/>
  <c r="AU189" i="4"/>
  <c r="AT189" i="4"/>
  <c r="AS189" i="4"/>
  <c r="AR189" i="4"/>
  <c r="AQ189" i="4"/>
  <c r="AP189" i="4"/>
  <c r="AO189" i="4"/>
  <c r="AB189" i="4"/>
  <c r="BD188" i="4"/>
  <c r="BC188" i="4"/>
  <c r="AU188" i="4"/>
  <c r="AT188" i="4"/>
  <c r="AS188" i="4"/>
  <c r="AR188" i="4"/>
  <c r="AQ188" i="4"/>
  <c r="AP188" i="4"/>
  <c r="AO188" i="4"/>
  <c r="AB188" i="4"/>
  <c r="BD187" i="4"/>
  <c r="BC187" i="4"/>
  <c r="AU187" i="4"/>
  <c r="AT187" i="4"/>
  <c r="AS187" i="4"/>
  <c r="AR187" i="4"/>
  <c r="AQ187" i="4"/>
  <c r="AP187" i="4"/>
  <c r="AO187" i="4"/>
  <c r="AB187" i="4"/>
  <c r="BD186" i="4"/>
  <c r="BC186" i="4"/>
  <c r="AU186" i="4"/>
  <c r="AT186" i="4"/>
  <c r="AS186" i="4"/>
  <c r="AR186" i="4"/>
  <c r="AQ186" i="4"/>
  <c r="AP186" i="4"/>
  <c r="AO186" i="4"/>
  <c r="AB186" i="4"/>
  <c r="BD185" i="4"/>
  <c r="BC185" i="4"/>
  <c r="AU185" i="4"/>
  <c r="AT185" i="4"/>
  <c r="AS185" i="4"/>
  <c r="AR185" i="4"/>
  <c r="AQ185" i="4"/>
  <c r="AP185" i="4"/>
  <c r="AO185" i="4"/>
  <c r="AB185" i="4"/>
  <c r="BD184" i="4"/>
  <c r="BC184" i="4"/>
  <c r="AU184" i="4"/>
  <c r="AT184" i="4"/>
  <c r="AS184" i="4"/>
  <c r="AR184" i="4"/>
  <c r="AQ184" i="4"/>
  <c r="AP184" i="4"/>
  <c r="AO184" i="4"/>
  <c r="AB184" i="4"/>
  <c r="BD183" i="4"/>
  <c r="BC183" i="4"/>
  <c r="AU183" i="4"/>
  <c r="AT183" i="4"/>
  <c r="AS183" i="4"/>
  <c r="AR183" i="4"/>
  <c r="AQ183" i="4"/>
  <c r="AP183" i="4"/>
  <c r="AO183" i="4"/>
  <c r="AB183" i="4"/>
  <c r="BD182" i="4"/>
  <c r="BC182" i="4"/>
  <c r="AU182" i="4"/>
  <c r="AT182" i="4"/>
  <c r="AS182" i="4"/>
  <c r="AR182" i="4"/>
  <c r="AQ182" i="4"/>
  <c r="AP182" i="4"/>
  <c r="AO182" i="4"/>
  <c r="AB182" i="4"/>
  <c r="BD181" i="4"/>
  <c r="BC181" i="4"/>
  <c r="AU181" i="4"/>
  <c r="AT181" i="4"/>
  <c r="AS181" i="4"/>
  <c r="AR181" i="4"/>
  <c r="AQ181" i="4"/>
  <c r="AP181" i="4"/>
  <c r="AO181" i="4"/>
  <c r="AB181" i="4"/>
  <c r="BD180" i="4"/>
  <c r="BC180" i="4"/>
  <c r="AU180" i="4"/>
  <c r="AT180" i="4"/>
  <c r="AS180" i="4"/>
  <c r="AR180" i="4"/>
  <c r="AQ180" i="4"/>
  <c r="AP180" i="4"/>
  <c r="AO180" i="4"/>
  <c r="AB180" i="4"/>
  <c r="BD179" i="4"/>
  <c r="BC179" i="4"/>
  <c r="AU179" i="4"/>
  <c r="AT179" i="4"/>
  <c r="AS179" i="4"/>
  <c r="AR179" i="4"/>
  <c r="AQ179" i="4"/>
  <c r="AP179" i="4"/>
  <c r="AO179" i="4"/>
  <c r="AB179" i="4"/>
  <c r="BD178" i="4"/>
  <c r="BC178" i="4"/>
  <c r="AU178" i="4"/>
  <c r="AT178" i="4"/>
  <c r="AS178" i="4"/>
  <c r="AR178" i="4"/>
  <c r="AQ178" i="4"/>
  <c r="AP178" i="4"/>
  <c r="AO178" i="4"/>
  <c r="AB178" i="4"/>
  <c r="BD177" i="4"/>
  <c r="BC177" i="4"/>
  <c r="AU177" i="4"/>
  <c r="AT177" i="4"/>
  <c r="AS177" i="4"/>
  <c r="AR177" i="4"/>
  <c r="AQ177" i="4"/>
  <c r="AP177" i="4"/>
  <c r="AO177" i="4"/>
  <c r="AB177" i="4"/>
  <c r="BD176" i="4"/>
  <c r="BC176" i="4"/>
  <c r="AU176" i="4"/>
  <c r="AT176" i="4"/>
  <c r="AS176" i="4"/>
  <c r="AR176" i="4"/>
  <c r="AQ176" i="4"/>
  <c r="AP176" i="4"/>
  <c r="AO176" i="4"/>
  <c r="AB176" i="4"/>
  <c r="BD175" i="4"/>
  <c r="BC175" i="4"/>
  <c r="AU175" i="4"/>
  <c r="AT175" i="4"/>
  <c r="AS175" i="4"/>
  <c r="AR175" i="4"/>
  <c r="AQ175" i="4"/>
  <c r="AP175" i="4"/>
  <c r="AO175" i="4"/>
  <c r="AB175" i="4"/>
  <c r="BD174" i="4"/>
  <c r="BC174" i="4"/>
  <c r="AU174" i="4"/>
  <c r="AT174" i="4"/>
  <c r="AS174" i="4"/>
  <c r="AR174" i="4"/>
  <c r="AQ174" i="4"/>
  <c r="AP174" i="4"/>
  <c r="AO174" i="4"/>
  <c r="AB174" i="4"/>
  <c r="BD173" i="4"/>
  <c r="BC173" i="4"/>
  <c r="AU173" i="4"/>
  <c r="AT173" i="4"/>
  <c r="AS173" i="4"/>
  <c r="AR173" i="4"/>
  <c r="AQ173" i="4"/>
  <c r="AP173" i="4"/>
  <c r="AO173" i="4"/>
  <c r="AB173" i="4"/>
  <c r="BD172" i="4"/>
  <c r="BC172" i="4"/>
  <c r="AU172" i="4"/>
  <c r="AT172" i="4"/>
  <c r="AS172" i="4"/>
  <c r="AR172" i="4"/>
  <c r="AQ172" i="4"/>
  <c r="AP172" i="4"/>
  <c r="AO172" i="4"/>
  <c r="AB172" i="4"/>
  <c r="BD171" i="4"/>
  <c r="BC171" i="4"/>
  <c r="AU171" i="4"/>
  <c r="AT171" i="4"/>
  <c r="AS171" i="4"/>
  <c r="AR171" i="4"/>
  <c r="AQ171" i="4"/>
  <c r="AP171" i="4"/>
  <c r="AO171" i="4"/>
  <c r="AB171" i="4"/>
  <c r="BD170" i="4"/>
  <c r="BC170" i="4"/>
  <c r="AU170" i="4"/>
  <c r="AT170" i="4"/>
  <c r="AS170" i="4"/>
  <c r="AR170" i="4"/>
  <c r="AQ170" i="4"/>
  <c r="AP170" i="4"/>
  <c r="AO170" i="4"/>
  <c r="AB170" i="4"/>
  <c r="BD169" i="4"/>
  <c r="BC169" i="4"/>
  <c r="AU169" i="4"/>
  <c r="AT169" i="4"/>
  <c r="AS169" i="4"/>
  <c r="AR169" i="4"/>
  <c r="AQ169" i="4"/>
  <c r="AP169" i="4"/>
  <c r="AO169" i="4"/>
  <c r="AB169" i="4"/>
  <c r="BD168" i="4"/>
  <c r="BC168" i="4"/>
  <c r="AU168" i="4"/>
  <c r="AT168" i="4"/>
  <c r="AS168" i="4"/>
  <c r="AR168" i="4"/>
  <c r="AQ168" i="4"/>
  <c r="AP168" i="4"/>
  <c r="AO168" i="4"/>
  <c r="AB168" i="4"/>
  <c r="BD167" i="4"/>
  <c r="BC167" i="4"/>
  <c r="AU167" i="4"/>
  <c r="AT167" i="4"/>
  <c r="AS167" i="4"/>
  <c r="AR167" i="4"/>
  <c r="AQ167" i="4"/>
  <c r="AP167" i="4"/>
  <c r="AO167" i="4"/>
  <c r="AB167" i="4"/>
  <c r="BD166" i="4"/>
  <c r="BC166" i="4"/>
  <c r="AU166" i="4"/>
  <c r="AT166" i="4"/>
  <c r="AS166" i="4"/>
  <c r="AR166" i="4"/>
  <c r="AQ166" i="4"/>
  <c r="AP166" i="4"/>
  <c r="AO166" i="4"/>
  <c r="AB166" i="4"/>
  <c r="BD165" i="4"/>
  <c r="BC165" i="4"/>
  <c r="AU165" i="4"/>
  <c r="AT165" i="4"/>
  <c r="AS165" i="4"/>
  <c r="AR165" i="4"/>
  <c r="AQ165" i="4"/>
  <c r="AP165" i="4"/>
  <c r="AO165" i="4"/>
  <c r="AB165" i="4"/>
  <c r="BD164" i="4"/>
  <c r="BC164" i="4"/>
  <c r="AU164" i="4"/>
  <c r="AT164" i="4"/>
  <c r="AS164" i="4"/>
  <c r="AR164" i="4"/>
  <c r="AQ164" i="4"/>
  <c r="AP164" i="4"/>
  <c r="AO164" i="4"/>
  <c r="AB164" i="4"/>
  <c r="BD163" i="4"/>
  <c r="BC163" i="4"/>
  <c r="AU163" i="4"/>
  <c r="AT163" i="4"/>
  <c r="AS163" i="4"/>
  <c r="AR163" i="4"/>
  <c r="AQ163" i="4"/>
  <c r="AP163" i="4"/>
  <c r="AO163" i="4"/>
  <c r="AB163" i="4"/>
  <c r="BD162" i="4"/>
  <c r="BC162" i="4"/>
  <c r="AU162" i="4"/>
  <c r="AT162" i="4"/>
  <c r="AS162" i="4"/>
  <c r="AR162" i="4"/>
  <c r="AQ162" i="4"/>
  <c r="AP162" i="4"/>
  <c r="AO162" i="4"/>
  <c r="AB162" i="4"/>
  <c r="BD161" i="4"/>
  <c r="BC161" i="4"/>
  <c r="AU161" i="4"/>
  <c r="AT161" i="4"/>
  <c r="AS161" i="4"/>
  <c r="AR161" i="4"/>
  <c r="AQ161" i="4"/>
  <c r="AP161" i="4"/>
  <c r="AO161" i="4"/>
  <c r="AB161" i="4"/>
  <c r="BD160" i="4"/>
  <c r="BC160" i="4"/>
  <c r="AU160" i="4"/>
  <c r="AT160" i="4"/>
  <c r="AS160" i="4"/>
  <c r="AR160" i="4"/>
  <c r="AQ160" i="4"/>
  <c r="AP160" i="4"/>
  <c r="AO160" i="4"/>
  <c r="AB160" i="4"/>
  <c r="BD159" i="4"/>
  <c r="BC159" i="4"/>
  <c r="AU159" i="4"/>
  <c r="AT159" i="4"/>
  <c r="AS159" i="4"/>
  <c r="AR159" i="4"/>
  <c r="AQ159" i="4"/>
  <c r="AP159" i="4"/>
  <c r="AO159" i="4"/>
  <c r="AB159" i="4"/>
  <c r="BD158" i="4"/>
  <c r="BC158" i="4"/>
  <c r="AU158" i="4"/>
  <c r="AT158" i="4"/>
  <c r="AS158" i="4"/>
  <c r="AR158" i="4"/>
  <c r="AQ158" i="4"/>
  <c r="AP158" i="4"/>
  <c r="AO158" i="4"/>
  <c r="AB158" i="4"/>
  <c r="BD157" i="4"/>
  <c r="BC157" i="4"/>
  <c r="AU157" i="4"/>
  <c r="AT157" i="4"/>
  <c r="AS157" i="4"/>
  <c r="AR157" i="4"/>
  <c r="AQ157" i="4"/>
  <c r="AP157" i="4"/>
  <c r="AO157" i="4"/>
  <c r="AB157" i="4"/>
  <c r="BD156" i="4"/>
  <c r="BC156" i="4"/>
  <c r="AU156" i="4"/>
  <c r="AT156" i="4"/>
  <c r="AS156" i="4"/>
  <c r="AR156" i="4"/>
  <c r="AQ156" i="4"/>
  <c r="AP156" i="4"/>
  <c r="AO156" i="4"/>
  <c r="AB156" i="4"/>
  <c r="BD155" i="4"/>
  <c r="BC155" i="4"/>
  <c r="AU155" i="4"/>
  <c r="AT155" i="4"/>
  <c r="AS155" i="4"/>
  <c r="AR155" i="4"/>
  <c r="AQ155" i="4"/>
  <c r="AP155" i="4"/>
  <c r="AO155" i="4"/>
  <c r="AB155" i="4"/>
  <c r="BD154" i="4"/>
  <c r="BC154" i="4"/>
  <c r="AU154" i="4"/>
  <c r="AT154" i="4"/>
  <c r="AS154" i="4"/>
  <c r="AR154" i="4"/>
  <c r="AQ154" i="4"/>
  <c r="AP154" i="4"/>
  <c r="AO154" i="4"/>
  <c r="AB154" i="4"/>
  <c r="BD153" i="4"/>
  <c r="BC153" i="4"/>
  <c r="AU153" i="4"/>
  <c r="AT153" i="4"/>
  <c r="AS153" i="4"/>
  <c r="AR153" i="4"/>
  <c r="AQ153" i="4"/>
  <c r="AP153" i="4"/>
  <c r="AO153" i="4"/>
  <c r="AB153" i="4"/>
  <c r="BD152" i="4"/>
  <c r="BC152" i="4"/>
  <c r="AU152" i="4"/>
  <c r="AT152" i="4"/>
  <c r="AS152" i="4"/>
  <c r="AR152" i="4"/>
  <c r="AQ152" i="4"/>
  <c r="AP152" i="4"/>
  <c r="AO152" i="4"/>
  <c r="AB152" i="4"/>
  <c r="BD151" i="4"/>
  <c r="BC151" i="4"/>
  <c r="AU151" i="4"/>
  <c r="AT151" i="4"/>
  <c r="AS151" i="4"/>
  <c r="AR151" i="4"/>
  <c r="AQ151" i="4"/>
  <c r="AP151" i="4"/>
  <c r="AO151" i="4"/>
  <c r="AB151" i="4"/>
  <c r="BD150" i="4"/>
  <c r="BC150" i="4"/>
  <c r="AU150" i="4"/>
  <c r="AT150" i="4"/>
  <c r="AS150" i="4"/>
  <c r="AR150" i="4"/>
  <c r="AQ150" i="4"/>
  <c r="AP150" i="4"/>
  <c r="AO150" i="4"/>
  <c r="AB150" i="4"/>
  <c r="BD149" i="4"/>
  <c r="BC149" i="4"/>
  <c r="AU149" i="4"/>
  <c r="AT149" i="4"/>
  <c r="AS149" i="4"/>
  <c r="AR149" i="4"/>
  <c r="AQ149" i="4"/>
  <c r="AP149" i="4"/>
  <c r="AO149" i="4"/>
  <c r="AB149" i="4"/>
  <c r="BD148" i="4"/>
  <c r="BC148" i="4"/>
  <c r="AU148" i="4"/>
  <c r="AT148" i="4"/>
  <c r="AS148" i="4"/>
  <c r="AR148" i="4"/>
  <c r="AQ148" i="4"/>
  <c r="AP148" i="4"/>
  <c r="AO148" i="4"/>
  <c r="AB148" i="4"/>
  <c r="BD147" i="4"/>
  <c r="BC147" i="4"/>
  <c r="AU147" i="4"/>
  <c r="AT147" i="4"/>
  <c r="AS147" i="4"/>
  <c r="AR147" i="4"/>
  <c r="AQ147" i="4"/>
  <c r="AP147" i="4"/>
  <c r="AO147" i="4"/>
  <c r="AB147" i="4"/>
  <c r="BD146" i="4"/>
  <c r="BC146" i="4"/>
  <c r="AU146" i="4"/>
  <c r="AT146" i="4"/>
  <c r="AS146" i="4"/>
  <c r="AR146" i="4"/>
  <c r="AQ146" i="4"/>
  <c r="AP146" i="4"/>
  <c r="AO146" i="4"/>
  <c r="AB146" i="4"/>
  <c r="BD145" i="4"/>
  <c r="BC145" i="4"/>
  <c r="AU145" i="4"/>
  <c r="AT145" i="4"/>
  <c r="AS145" i="4"/>
  <c r="AR145" i="4"/>
  <c r="AQ145" i="4"/>
  <c r="AP145" i="4"/>
  <c r="AO145" i="4"/>
  <c r="AB145" i="4"/>
  <c r="BD144" i="4"/>
  <c r="BC144" i="4"/>
  <c r="AU144" i="4"/>
  <c r="AT144" i="4"/>
  <c r="AS144" i="4"/>
  <c r="AR144" i="4"/>
  <c r="AQ144" i="4"/>
  <c r="AP144" i="4"/>
  <c r="AO144" i="4"/>
  <c r="AB144" i="4"/>
  <c r="BD143" i="4"/>
  <c r="BC143" i="4"/>
  <c r="AU143" i="4"/>
  <c r="AT143" i="4"/>
  <c r="AS143" i="4"/>
  <c r="AR143" i="4"/>
  <c r="AQ143" i="4"/>
  <c r="AP143" i="4"/>
  <c r="AO143" i="4"/>
  <c r="AB143" i="4"/>
  <c r="BD142" i="4"/>
  <c r="BC142" i="4"/>
  <c r="AU142" i="4"/>
  <c r="AT142" i="4"/>
  <c r="AS142" i="4"/>
  <c r="AR142" i="4"/>
  <c r="AQ142" i="4"/>
  <c r="AP142" i="4"/>
  <c r="AO142" i="4"/>
  <c r="AB142" i="4"/>
  <c r="BD141" i="4"/>
  <c r="BC141" i="4"/>
  <c r="AU141" i="4"/>
  <c r="AT141" i="4"/>
  <c r="AS141" i="4"/>
  <c r="AR141" i="4"/>
  <c r="AQ141" i="4"/>
  <c r="AP141" i="4"/>
  <c r="AO141" i="4"/>
  <c r="AB141" i="4"/>
  <c r="BD140" i="4"/>
  <c r="BC140" i="4"/>
  <c r="AU140" i="4"/>
  <c r="AT140" i="4"/>
  <c r="AS140" i="4"/>
  <c r="AR140" i="4"/>
  <c r="AQ140" i="4"/>
  <c r="AP140" i="4"/>
  <c r="AO140" i="4"/>
  <c r="AB140" i="4"/>
  <c r="BD139" i="4"/>
  <c r="BC139" i="4"/>
  <c r="AU139" i="4"/>
  <c r="AT139" i="4"/>
  <c r="AS139" i="4"/>
  <c r="AR139" i="4"/>
  <c r="AQ139" i="4"/>
  <c r="AP139" i="4"/>
  <c r="AO139" i="4"/>
  <c r="AB139" i="4"/>
  <c r="BD138" i="4"/>
  <c r="BC138" i="4"/>
  <c r="AU138" i="4"/>
  <c r="AT138" i="4"/>
  <c r="AS138" i="4"/>
  <c r="AR138" i="4"/>
  <c r="AQ138" i="4"/>
  <c r="AP138" i="4"/>
  <c r="AO138" i="4"/>
  <c r="AB138" i="4"/>
  <c r="BD137" i="4"/>
  <c r="BC137" i="4"/>
  <c r="AU137" i="4"/>
  <c r="AT137" i="4"/>
  <c r="AS137" i="4"/>
  <c r="AR137" i="4"/>
  <c r="AQ137" i="4"/>
  <c r="AP137" i="4"/>
  <c r="AO137" i="4"/>
  <c r="AB137" i="4"/>
  <c r="BD136" i="4"/>
  <c r="BC136" i="4"/>
  <c r="AU136" i="4"/>
  <c r="AT136" i="4"/>
  <c r="AS136" i="4"/>
  <c r="AR136" i="4"/>
  <c r="AQ136" i="4"/>
  <c r="AP136" i="4"/>
  <c r="AO136" i="4"/>
  <c r="AB136" i="4"/>
  <c r="BD135" i="4"/>
  <c r="BC135" i="4"/>
  <c r="AU135" i="4"/>
  <c r="AT135" i="4"/>
  <c r="AS135" i="4"/>
  <c r="AR135" i="4"/>
  <c r="AQ135" i="4"/>
  <c r="AP135" i="4"/>
  <c r="AO135" i="4"/>
  <c r="AB135" i="4"/>
  <c r="BD134" i="4"/>
  <c r="BC134" i="4"/>
  <c r="AU134" i="4"/>
  <c r="AT134" i="4"/>
  <c r="AS134" i="4"/>
  <c r="AR134" i="4"/>
  <c r="AQ134" i="4"/>
  <c r="AP134" i="4"/>
  <c r="AO134" i="4"/>
  <c r="AB134" i="4"/>
  <c r="BD133" i="4"/>
  <c r="BC133" i="4"/>
  <c r="AU133" i="4"/>
  <c r="AT133" i="4"/>
  <c r="AS133" i="4"/>
  <c r="AR133" i="4"/>
  <c r="AQ133" i="4"/>
  <c r="AP133" i="4"/>
  <c r="AO133" i="4"/>
  <c r="AB133" i="4"/>
  <c r="BD132" i="4"/>
  <c r="BC132" i="4"/>
  <c r="AU132" i="4"/>
  <c r="AT132" i="4"/>
  <c r="AS132" i="4"/>
  <c r="AR132" i="4"/>
  <c r="AQ132" i="4"/>
  <c r="AP132" i="4"/>
  <c r="AO132" i="4"/>
  <c r="AB132" i="4"/>
  <c r="BD131" i="4"/>
  <c r="BC131" i="4"/>
  <c r="AU131" i="4"/>
  <c r="AT131" i="4"/>
  <c r="AS131" i="4"/>
  <c r="AR131" i="4"/>
  <c r="AQ131" i="4"/>
  <c r="AP131" i="4"/>
  <c r="AO131" i="4"/>
  <c r="AB131" i="4"/>
  <c r="BD130" i="4"/>
  <c r="BC130" i="4"/>
  <c r="AU130" i="4"/>
  <c r="AT130" i="4"/>
  <c r="AS130" i="4"/>
  <c r="AR130" i="4"/>
  <c r="AQ130" i="4"/>
  <c r="AP130" i="4"/>
  <c r="AO130" i="4"/>
  <c r="AB130" i="4"/>
  <c r="BD129" i="4"/>
  <c r="BC129" i="4"/>
  <c r="AU129" i="4"/>
  <c r="AT129" i="4"/>
  <c r="AS129" i="4"/>
  <c r="AR129" i="4"/>
  <c r="AQ129" i="4"/>
  <c r="AP129" i="4"/>
  <c r="AO129" i="4"/>
  <c r="AB129" i="4"/>
  <c r="BD128" i="4"/>
  <c r="BC128" i="4"/>
  <c r="AU128" i="4"/>
  <c r="AT128" i="4"/>
  <c r="AS128" i="4"/>
  <c r="AR128" i="4"/>
  <c r="AQ128" i="4"/>
  <c r="AP128" i="4"/>
  <c r="AO128" i="4"/>
  <c r="AB128" i="4"/>
  <c r="BD127" i="4"/>
  <c r="BC127" i="4"/>
  <c r="AU127" i="4"/>
  <c r="AT127" i="4"/>
  <c r="AS127" i="4"/>
  <c r="AR127" i="4"/>
  <c r="AQ127" i="4"/>
  <c r="AP127" i="4"/>
  <c r="AO127" i="4"/>
  <c r="AB127" i="4"/>
  <c r="BD126" i="4"/>
  <c r="BC126" i="4"/>
  <c r="AU126" i="4"/>
  <c r="AT126" i="4"/>
  <c r="AS126" i="4"/>
  <c r="AR126" i="4"/>
  <c r="AQ126" i="4"/>
  <c r="AP126" i="4"/>
  <c r="AO126" i="4"/>
  <c r="AB126" i="4"/>
  <c r="BD125" i="4"/>
  <c r="BC125" i="4"/>
  <c r="AU125" i="4"/>
  <c r="AT125" i="4"/>
  <c r="AS125" i="4"/>
  <c r="AR125" i="4"/>
  <c r="AQ125" i="4"/>
  <c r="AP125" i="4"/>
  <c r="AO125" i="4"/>
  <c r="AB125" i="4"/>
  <c r="BD124" i="4"/>
  <c r="BC124" i="4"/>
  <c r="AU124" i="4"/>
  <c r="AT124" i="4"/>
  <c r="AS124" i="4"/>
  <c r="AR124" i="4"/>
  <c r="AQ124" i="4"/>
  <c r="AP124" i="4"/>
  <c r="AO124" i="4"/>
  <c r="AB124" i="4"/>
  <c r="BD123" i="4"/>
  <c r="BC123" i="4"/>
  <c r="AU123" i="4"/>
  <c r="AT123" i="4"/>
  <c r="AS123" i="4"/>
  <c r="AR123" i="4"/>
  <c r="AQ123" i="4"/>
  <c r="AP123" i="4"/>
  <c r="AO123" i="4"/>
  <c r="AB123" i="4"/>
  <c r="BD122" i="4"/>
  <c r="BC122" i="4"/>
  <c r="AU122" i="4"/>
  <c r="AT122" i="4"/>
  <c r="AS122" i="4"/>
  <c r="AR122" i="4"/>
  <c r="AQ122" i="4"/>
  <c r="AP122" i="4"/>
  <c r="AO122" i="4"/>
  <c r="AB122" i="4"/>
  <c r="BD121" i="4"/>
  <c r="BC121" i="4"/>
  <c r="AU121" i="4"/>
  <c r="AT121" i="4"/>
  <c r="AS121" i="4"/>
  <c r="AR121" i="4"/>
  <c r="AQ121" i="4"/>
  <c r="AP121" i="4"/>
  <c r="AO121" i="4"/>
  <c r="AB121" i="4"/>
  <c r="BD120" i="4"/>
  <c r="BC120" i="4"/>
  <c r="AU120" i="4"/>
  <c r="AT120" i="4"/>
  <c r="AS120" i="4"/>
  <c r="AR120" i="4"/>
  <c r="AQ120" i="4"/>
  <c r="AP120" i="4"/>
  <c r="AO120" i="4"/>
  <c r="AB120" i="4"/>
  <c r="BD119" i="4"/>
  <c r="BC119" i="4"/>
  <c r="AU119" i="4"/>
  <c r="AT119" i="4"/>
  <c r="AS119" i="4"/>
  <c r="AR119" i="4"/>
  <c r="AQ119" i="4"/>
  <c r="AP119" i="4"/>
  <c r="AO119" i="4"/>
  <c r="AB119" i="4"/>
  <c r="BD118" i="4"/>
  <c r="BC118" i="4"/>
  <c r="AU118" i="4"/>
  <c r="AT118" i="4"/>
  <c r="AS118" i="4"/>
  <c r="AR118" i="4"/>
  <c r="AQ118" i="4"/>
  <c r="AP118" i="4"/>
  <c r="AO118" i="4"/>
  <c r="AB118" i="4"/>
  <c r="BD117" i="4"/>
  <c r="BC117" i="4"/>
  <c r="AU117" i="4"/>
  <c r="AT117" i="4"/>
  <c r="AS117" i="4"/>
  <c r="AR117" i="4"/>
  <c r="AQ117" i="4"/>
  <c r="AP117" i="4"/>
  <c r="AO117" i="4"/>
  <c r="AB117" i="4"/>
  <c r="BD116" i="4"/>
  <c r="BC116" i="4"/>
  <c r="AU116" i="4"/>
  <c r="AT116" i="4"/>
  <c r="AS116" i="4"/>
  <c r="AR116" i="4"/>
  <c r="AQ116" i="4"/>
  <c r="AP116" i="4"/>
  <c r="AO116" i="4"/>
  <c r="AB116" i="4"/>
  <c r="BD115" i="4"/>
  <c r="BC115" i="4"/>
  <c r="AU115" i="4"/>
  <c r="AT115" i="4"/>
  <c r="AS115" i="4"/>
  <c r="AR115" i="4"/>
  <c r="AQ115" i="4"/>
  <c r="AP115" i="4"/>
  <c r="AO115" i="4"/>
  <c r="AB115" i="4"/>
  <c r="BD114" i="4"/>
  <c r="BC114" i="4"/>
  <c r="AU114" i="4"/>
  <c r="AT114" i="4"/>
  <c r="AS114" i="4"/>
  <c r="AR114" i="4"/>
  <c r="AQ114" i="4"/>
  <c r="AP114" i="4"/>
  <c r="AO114" i="4"/>
  <c r="AB114" i="4"/>
  <c r="BD113" i="4"/>
  <c r="BC113" i="4"/>
  <c r="AU113" i="4"/>
  <c r="AT113" i="4"/>
  <c r="AS113" i="4"/>
  <c r="AR113" i="4"/>
  <c r="AQ113" i="4"/>
  <c r="AP113" i="4"/>
  <c r="AO113" i="4"/>
  <c r="AB113" i="4"/>
  <c r="BD112" i="4"/>
  <c r="BC112" i="4"/>
  <c r="AU112" i="4"/>
  <c r="AT112" i="4"/>
  <c r="AS112" i="4"/>
  <c r="AR112" i="4"/>
  <c r="AQ112" i="4"/>
  <c r="AP112" i="4"/>
  <c r="AO112" i="4"/>
  <c r="AB112" i="4"/>
  <c r="BD111" i="4"/>
  <c r="BC111" i="4"/>
  <c r="AU111" i="4"/>
  <c r="AT111" i="4"/>
  <c r="AS111" i="4"/>
  <c r="AR111" i="4"/>
  <c r="AQ111" i="4"/>
  <c r="AP111" i="4"/>
  <c r="AO111" i="4"/>
  <c r="AB111" i="4"/>
  <c r="BD110" i="4"/>
  <c r="BC110" i="4"/>
  <c r="AU110" i="4"/>
  <c r="AT110" i="4"/>
  <c r="AS110" i="4"/>
  <c r="AR110" i="4"/>
  <c r="AQ110" i="4"/>
  <c r="AP110" i="4"/>
  <c r="AO110" i="4"/>
  <c r="AB110" i="4"/>
  <c r="BD109" i="4"/>
  <c r="BC109" i="4"/>
  <c r="AU109" i="4"/>
  <c r="AT109" i="4"/>
  <c r="AS109" i="4"/>
  <c r="AR109" i="4"/>
  <c r="AQ109" i="4"/>
  <c r="AP109" i="4"/>
  <c r="AO109" i="4"/>
  <c r="AB109" i="4"/>
  <c r="BD108" i="4"/>
  <c r="BC108" i="4"/>
  <c r="AU108" i="4"/>
  <c r="AT108" i="4"/>
  <c r="AS108" i="4"/>
  <c r="AR108" i="4"/>
  <c r="AQ108" i="4"/>
  <c r="AP108" i="4"/>
  <c r="AO108" i="4"/>
  <c r="AB108" i="4"/>
  <c r="BD107" i="4"/>
  <c r="BC107" i="4"/>
  <c r="AU107" i="4"/>
  <c r="AT107" i="4"/>
  <c r="AS107" i="4"/>
  <c r="AR107" i="4"/>
  <c r="AQ107" i="4"/>
  <c r="AP107" i="4"/>
  <c r="AO107" i="4"/>
  <c r="AB107" i="4"/>
  <c r="BD106" i="4"/>
  <c r="BC106" i="4"/>
  <c r="AU106" i="4"/>
  <c r="AT106" i="4"/>
  <c r="AS106" i="4"/>
  <c r="AR106" i="4"/>
  <c r="AQ106" i="4"/>
  <c r="AP106" i="4"/>
  <c r="AO106" i="4"/>
  <c r="AB106" i="4"/>
  <c r="BD105" i="4"/>
  <c r="BC105" i="4"/>
  <c r="AU105" i="4"/>
  <c r="AT105" i="4"/>
  <c r="AS105" i="4"/>
  <c r="AR105" i="4"/>
  <c r="AQ105" i="4"/>
  <c r="AP105" i="4"/>
  <c r="AO105" i="4"/>
  <c r="AB105" i="4"/>
  <c r="BD104" i="4"/>
  <c r="BC104" i="4"/>
  <c r="AU104" i="4"/>
  <c r="AT104" i="4"/>
  <c r="AS104" i="4"/>
  <c r="AR104" i="4"/>
  <c r="AQ104" i="4"/>
  <c r="AP104" i="4"/>
  <c r="AO104" i="4"/>
  <c r="AB104" i="4"/>
  <c r="BD103" i="4"/>
  <c r="BC103" i="4"/>
  <c r="AU103" i="4"/>
  <c r="AT103" i="4"/>
  <c r="AS103" i="4"/>
  <c r="AR103" i="4"/>
  <c r="AQ103" i="4"/>
  <c r="AP103" i="4"/>
  <c r="AO103" i="4"/>
  <c r="AB103" i="4"/>
  <c r="BD102" i="4"/>
  <c r="BC102" i="4"/>
  <c r="AU102" i="4"/>
  <c r="AT102" i="4"/>
  <c r="AS102" i="4"/>
  <c r="AR102" i="4"/>
  <c r="AQ102" i="4"/>
  <c r="AP102" i="4"/>
  <c r="AO102" i="4"/>
  <c r="AB102" i="4"/>
  <c r="BD101" i="4"/>
  <c r="BC101" i="4"/>
  <c r="AU101" i="4"/>
  <c r="AT101" i="4"/>
  <c r="AS101" i="4"/>
  <c r="AR101" i="4"/>
  <c r="AQ101" i="4"/>
  <c r="AP101" i="4"/>
  <c r="AO101" i="4"/>
  <c r="AB101" i="4"/>
  <c r="BD100" i="4"/>
  <c r="BC100" i="4"/>
  <c r="AU100" i="4"/>
  <c r="AT100" i="4"/>
  <c r="AS100" i="4"/>
  <c r="AR100" i="4"/>
  <c r="AQ100" i="4"/>
  <c r="AP100" i="4"/>
  <c r="AO100" i="4"/>
  <c r="AB100" i="4"/>
  <c r="BD99" i="4"/>
  <c r="BC99" i="4"/>
  <c r="AU99" i="4"/>
  <c r="AT99" i="4"/>
  <c r="AS99" i="4"/>
  <c r="AR99" i="4"/>
  <c r="AQ99" i="4"/>
  <c r="AP99" i="4"/>
  <c r="AO99" i="4"/>
  <c r="AB99" i="4"/>
  <c r="BD98" i="4"/>
  <c r="BC98" i="4"/>
  <c r="AU98" i="4"/>
  <c r="AT98" i="4"/>
  <c r="AS98" i="4"/>
  <c r="AR98" i="4"/>
  <c r="AQ98" i="4"/>
  <c r="AP98" i="4"/>
  <c r="AO98" i="4"/>
  <c r="AB98" i="4"/>
  <c r="BD97" i="4"/>
  <c r="BC97" i="4"/>
  <c r="AU97" i="4"/>
  <c r="AT97" i="4"/>
  <c r="AS97" i="4"/>
  <c r="AR97" i="4"/>
  <c r="AQ97" i="4"/>
  <c r="AP97" i="4"/>
  <c r="AO97" i="4"/>
  <c r="AB97" i="4"/>
  <c r="BD96" i="4"/>
  <c r="BC96" i="4"/>
  <c r="AU96" i="4"/>
  <c r="AT96" i="4"/>
  <c r="AS96" i="4"/>
  <c r="AR96" i="4"/>
  <c r="AQ96" i="4"/>
  <c r="AP96" i="4"/>
  <c r="AO96" i="4"/>
  <c r="AB96" i="4"/>
  <c r="BD95" i="4"/>
  <c r="BC95" i="4"/>
  <c r="AU95" i="4"/>
  <c r="AT95" i="4"/>
  <c r="AS95" i="4"/>
  <c r="AR95" i="4"/>
  <c r="AQ95" i="4"/>
  <c r="AP95" i="4"/>
  <c r="AO95" i="4"/>
  <c r="AB95" i="4"/>
  <c r="BD94" i="4"/>
  <c r="BC94" i="4"/>
  <c r="AU94" i="4"/>
  <c r="AT94" i="4"/>
  <c r="AS94" i="4"/>
  <c r="AR94" i="4"/>
  <c r="AQ94" i="4"/>
  <c r="AP94" i="4"/>
  <c r="AO94" i="4"/>
  <c r="M94" i="6" s="1" a="1"/>
  <c r="M94" i="6" s="1"/>
  <c r="AA94" i="6" s="1"/>
  <c r="AB94" i="4"/>
  <c r="BD93" i="4"/>
  <c r="BC93" i="4"/>
  <c r="AU93" i="4"/>
  <c r="AT93" i="4"/>
  <c r="AS93" i="4"/>
  <c r="AR93" i="4"/>
  <c r="AQ93" i="4"/>
  <c r="AP93" i="4"/>
  <c r="AO93" i="4"/>
  <c r="M93" i="6" s="1" a="1"/>
  <c r="M93" i="6" s="1"/>
  <c r="AA93" i="6" s="1"/>
  <c r="AB93" i="4"/>
  <c r="BD92" i="4"/>
  <c r="BC92" i="4"/>
  <c r="AU92" i="4"/>
  <c r="AT92" i="4"/>
  <c r="AS92" i="4"/>
  <c r="AR92" i="4"/>
  <c r="AQ92" i="4"/>
  <c r="AP92" i="4"/>
  <c r="AO92" i="4"/>
  <c r="M92" i="6" s="1" a="1"/>
  <c r="M92" i="6" s="1"/>
  <c r="AA92" i="6" s="1"/>
  <c r="AB92" i="4"/>
  <c r="BD91" i="4"/>
  <c r="BC91" i="4"/>
  <c r="AU91" i="4"/>
  <c r="AT91" i="4"/>
  <c r="AS91" i="4"/>
  <c r="AR91" i="4"/>
  <c r="AQ91" i="4"/>
  <c r="AP91" i="4"/>
  <c r="AO91" i="4"/>
  <c r="M91" i="6" s="1" a="1"/>
  <c r="M91" i="6" s="1"/>
  <c r="AA91" i="6" s="1"/>
  <c r="AB91" i="4"/>
  <c r="BD90" i="4"/>
  <c r="BC90" i="4"/>
  <c r="AU90" i="4"/>
  <c r="AT90" i="4"/>
  <c r="AS90" i="4"/>
  <c r="AR90" i="4"/>
  <c r="AQ90" i="4"/>
  <c r="AP90" i="4"/>
  <c r="AO90" i="4"/>
  <c r="M90" i="6" s="1" a="1"/>
  <c r="M90" i="6" s="1"/>
  <c r="AA90" i="6" s="1"/>
  <c r="AB90" i="4"/>
  <c r="BD89" i="4"/>
  <c r="BC89" i="4"/>
  <c r="AU89" i="4"/>
  <c r="AT89" i="4"/>
  <c r="AS89" i="4"/>
  <c r="AR89" i="4"/>
  <c r="AQ89" i="4"/>
  <c r="AP89" i="4"/>
  <c r="AO89" i="4"/>
  <c r="M89" i="6" s="1" a="1"/>
  <c r="M89" i="6" s="1"/>
  <c r="AA89" i="6" s="1"/>
  <c r="AB89" i="4"/>
  <c r="BD88" i="4"/>
  <c r="BC88" i="4"/>
  <c r="AU88" i="4"/>
  <c r="AT88" i="4"/>
  <c r="AS88" i="4"/>
  <c r="AR88" i="4"/>
  <c r="AQ88" i="4"/>
  <c r="AP88" i="4"/>
  <c r="AO88" i="4"/>
  <c r="M88" i="6" s="1" a="1"/>
  <c r="M88" i="6" s="1"/>
  <c r="AA88" i="6" s="1"/>
  <c r="AB88" i="4"/>
  <c r="BD87" i="4"/>
  <c r="BC87" i="4"/>
  <c r="AU87" i="4"/>
  <c r="AT87" i="4"/>
  <c r="AS87" i="4"/>
  <c r="AR87" i="4"/>
  <c r="AQ87" i="4"/>
  <c r="AP87" i="4"/>
  <c r="AO87" i="4"/>
  <c r="M87" i="6" s="1" a="1"/>
  <c r="M87" i="6" s="1"/>
  <c r="AA87" i="6" s="1"/>
  <c r="AB87" i="4"/>
  <c r="BD86" i="4"/>
  <c r="BC86" i="4"/>
  <c r="AU86" i="4"/>
  <c r="AT86" i="4"/>
  <c r="AS86" i="4"/>
  <c r="AR86" i="4"/>
  <c r="AQ86" i="4"/>
  <c r="AP86" i="4"/>
  <c r="AO86" i="4"/>
  <c r="M86" i="6" s="1" a="1"/>
  <c r="M86" i="6" s="1"/>
  <c r="AA86" i="6" s="1"/>
  <c r="AB86" i="4"/>
  <c r="BD85" i="4"/>
  <c r="BC85" i="4"/>
  <c r="AU85" i="4"/>
  <c r="AT85" i="4"/>
  <c r="AS85" i="4"/>
  <c r="AR85" i="4"/>
  <c r="AQ85" i="4"/>
  <c r="AP85" i="4"/>
  <c r="AO85" i="4"/>
  <c r="M85" i="6" s="1" a="1"/>
  <c r="M85" i="6" s="1"/>
  <c r="AA85" i="6" s="1"/>
  <c r="AB85" i="4"/>
  <c r="BD84" i="4"/>
  <c r="BC84" i="4"/>
  <c r="AU84" i="4"/>
  <c r="AT84" i="4"/>
  <c r="AS84" i="4"/>
  <c r="AR84" i="4"/>
  <c r="AQ84" i="4"/>
  <c r="AP84" i="4"/>
  <c r="AO84" i="4"/>
  <c r="M84" i="6" s="1" a="1"/>
  <c r="M84" i="6" s="1"/>
  <c r="AA84" i="6" s="1"/>
  <c r="AB84" i="4"/>
  <c r="BD83" i="4"/>
  <c r="BC83" i="4"/>
  <c r="AU83" i="4"/>
  <c r="AT83" i="4"/>
  <c r="AS83" i="4"/>
  <c r="AR83" i="4"/>
  <c r="AQ83" i="4"/>
  <c r="AP83" i="4"/>
  <c r="AO83" i="4"/>
  <c r="M83" i="6" s="1" a="1"/>
  <c r="M83" i="6" s="1"/>
  <c r="AA83" i="6" s="1"/>
  <c r="AB83" i="4"/>
  <c r="BD82" i="4"/>
  <c r="BC82" i="4"/>
  <c r="AU82" i="4"/>
  <c r="AT82" i="4"/>
  <c r="AS82" i="4"/>
  <c r="AR82" i="4"/>
  <c r="AQ82" i="4"/>
  <c r="AP82" i="4"/>
  <c r="AO82" i="4"/>
  <c r="M82" i="6" s="1" a="1"/>
  <c r="M82" i="6" s="1"/>
  <c r="AA82" i="6" s="1"/>
  <c r="AB82" i="4"/>
  <c r="BD81" i="4"/>
  <c r="BC81" i="4"/>
  <c r="AU81" i="4"/>
  <c r="AT81" i="4"/>
  <c r="AS81" i="4"/>
  <c r="AR81" i="4"/>
  <c r="AQ81" i="4"/>
  <c r="AP81" i="4"/>
  <c r="AO81" i="4"/>
  <c r="M81" i="6" s="1" a="1"/>
  <c r="M81" i="6" s="1"/>
  <c r="AA81" i="6" s="1"/>
  <c r="AB81" i="4"/>
  <c r="BD80" i="4"/>
  <c r="BC80" i="4"/>
  <c r="AU80" i="4"/>
  <c r="AT80" i="4"/>
  <c r="AS80" i="4"/>
  <c r="AR80" i="4"/>
  <c r="AQ80" i="4"/>
  <c r="AP80" i="4"/>
  <c r="AO80" i="4"/>
  <c r="M80" i="6" s="1" a="1"/>
  <c r="M80" i="6" s="1"/>
  <c r="AA80" i="6" s="1"/>
  <c r="AB80" i="4"/>
  <c r="BD79" i="4"/>
  <c r="BC79" i="4"/>
  <c r="AU79" i="4"/>
  <c r="AT79" i="4"/>
  <c r="AS79" i="4"/>
  <c r="AR79" i="4"/>
  <c r="AQ79" i="4"/>
  <c r="AP79" i="4"/>
  <c r="AO79" i="4"/>
  <c r="M79" i="6" s="1" a="1"/>
  <c r="M79" i="6" s="1"/>
  <c r="AA79" i="6" s="1"/>
  <c r="AB79" i="4"/>
  <c r="BD78" i="4"/>
  <c r="BC78" i="4"/>
  <c r="AU78" i="4"/>
  <c r="AT78" i="4"/>
  <c r="AS78" i="4"/>
  <c r="AR78" i="4"/>
  <c r="AQ78" i="4"/>
  <c r="AP78" i="4"/>
  <c r="AO78" i="4"/>
  <c r="M78" i="6" s="1" a="1"/>
  <c r="M78" i="6" s="1"/>
  <c r="AA78" i="6" s="1"/>
  <c r="AB78" i="4"/>
  <c r="BD77" i="4"/>
  <c r="BC77" i="4"/>
  <c r="AU77" i="4"/>
  <c r="AT77" i="4"/>
  <c r="AS77" i="4"/>
  <c r="AR77" i="4"/>
  <c r="AQ77" i="4"/>
  <c r="AP77" i="4"/>
  <c r="AO77" i="4"/>
  <c r="M77" i="6" s="1" a="1"/>
  <c r="M77" i="6" s="1"/>
  <c r="AA77" i="6" s="1"/>
  <c r="AB77" i="4"/>
  <c r="BD76" i="4"/>
  <c r="BC76" i="4"/>
  <c r="AU76" i="4"/>
  <c r="AT76" i="4"/>
  <c r="AS76" i="4"/>
  <c r="AR76" i="4"/>
  <c r="AQ76" i="4"/>
  <c r="AP76" i="4"/>
  <c r="AO76" i="4"/>
  <c r="M76" i="6" s="1" a="1"/>
  <c r="M76" i="6" s="1"/>
  <c r="AA76" i="6" s="1"/>
  <c r="AB76" i="4"/>
  <c r="BD75" i="4"/>
  <c r="BC75" i="4"/>
  <c r="AU75" i="4"/>
  <c r="AT75" i="4"/>
  <c r="AS75" i="4"/>
  <c r="AR75" i="4"/>
  <c r="AQ75" i="4"/>
  <c r="AP75" i="4"/>
  <c r="AO75" i="4"/>
  <c r="M75" i="6" s="1" a="1"/>
  <c r="M75" i="6" s="1"/>
  <c r="AA75" i="6" s="1"/>
  <c r="AB75" i="4"/>
  <c r="BD74" i="4"/>
  <c r="BC74" i="4"/>
  <c r="AU74" i="4"/>
  <c r="AT74" i="4"/>
  <c r="AS74" i="4"/>
  <c r="AR74" i="4"/>
  <c r="AQ74" i="4"/>
  <c r="AP74" i="4"/>
  <c r="AO74" i="4"/>
  <c r="M74" i="6" s="1" a="1"/>
  <c r="M74" i="6" s="1"/>
  <c r="AA74" i="6" s="1"/>
  <c r="AB74" i="4"/>
  <c r="BD73" i="4"/>
  <c r="BC73" i="4"/>
  <c r="AU73" i="4"/>
  <c r="AT73" i="4"/>
  <c r="AS73" i="4"/>
  <c r="AR73" i="4"/>
  <c r="AQ73" i="4"/>
  <c r="AP73" i="4"/>
  <c r="AO73" i="4"/>
  <c r="M73" i="6" s="1" a="1"/>
  <c r="M73" i="6" s="1"/>
  <c r="AA73" i="6" s="1"/>
  <c r="AB73" i="4"/>
  <c r="BD72" i="4"/>
  <c r="BC72" i="4"/>
  <c r="AU72" i="4"/>
  <c r="AT72" i="4"/>
  <c r="AS72" i="4"/>
  <c r="AR72" i="4"/>
  <c r="AQ72" i="4"/>
  <c r="AP72" i="4"/>
  <c r="AO72" i="4"/>
  <c r="M72" i="6" s="1" a="1"/>
  <c r="M72" i="6" s="1"/>
  <c r="AA72" i="6" s="1"/>
  <c r="AB72" i="4"/>
  <c r="BD71" i="4"/>
  <c r="BC71" i="4"/>
  <c r="AU71" i="4"/>
  <c r="AT71" i="4"/>
  <c r="AS71" i="4"/>
  <c r="AR71" i="4"/>
  <c r="AQ71" i="4"/>
  <c r="AP71" i="4"/>
  <c r="AO71" i="4"/>
  <c r="M71" i="6" s="1" a="1"/>
  <c r="M71" i="6" s="1"/>
  <c r="AA71" i="6" s="1"/>
  <c r="AB71" i="4"/>
  <c r="BD70" i="4"/>
  <c r="BC70" i="4"/>
  <c r="AU70" i="4"/>
  <c r="AT70" i="4"/>
  <c r="AS70" i="4"/>
  <c r="AR70" i="4"/>
  <c r="AQ70" i="4"/>
  <c r="AP70" i="4"/>
  <c r="AO70" i="4"/>
  <c r="M70" i="6" s="1" a="1"/>
  <c r="M70" i="6" s="1"/>
  <c r="AA70" i="6" s="1"/>
  <c r="AB70" i="4"/>
  <c r="BD69" i="4"/>
  <c r="BC69" i="4"/>
  <c r="AU69" i="4"/>
  <c r="AT69" i="4"/>
  <c r="AS69" i="4"/>
  <c r="AR69" i="4"/>
  <c r="AQ69" i="4"/>
  <c r="AP69" i="4"/>
  <c r="AO69" i="4"/>
  <c r="M69" i="6" s="1" a="1"/>
  <c r="M69" i="6" s="1"/>
  <c r="AA69" i="6" s="1"/>
  <c r="AB69" i="4"/>
  <c r="BD68" i="4"/>
  <c r="BC68" i="4"/>
  <c r="AU68" i="4"/>
  <c r="AT68" i="4"/>
  <c r="AS68" i="4"/>
  <c r="AR68" i="4"/>
  <c r="AQ68" i="4"/>
  <c r="AP68" i="4"/>
  <c r="AO68" i="4"/>
  <c r="M68" i="6" s="1" a="1"/>
  <c r="M68" i="6" s="1"/>
  <c r="AA68" i="6" s="1"/>
  <c r="AB68" i="4"/>
  <c r="BD67" i="4"/>
  <c r="BC67" i="4"/>
  <c r="AU67" i="4"/>
  <c r="AT67" i="4"/>
  <c r="AS67" i="4"/>
  <c r="AR67" i="4"/>
  <c r="AQ67" i="4"/>
  <c r="AP67" i="4"/>
  <c r="AO67" i="4"/>
  <c r="M67" i="6" s="1" a="1"/>
  <c r="M67" i="6" s="1"/>
  <c r="AA67" i="6" s="1"/>
  <c r="AB67" i="4"/>
  <c r="BD66" i="4"/>
  <c r="BC66" i="4"/>
  <c r="AU66" i="4"/>
  <c r="AT66" i="4"/>
  <c r="AS66" i="4"/>
  <c r="AR66" i="4"/>
  <c r="AQ66" i="4"/>
  <c r="AP66" i="4"/>
  <c r="AO66" i="4"/>
  <c r="M66" i="6" s="1" a="1"/>
  <c r="M66" i="6" s="1"/>
  <c r="AA66" i="6" s="1"/>
  <c r="AB66" i="4"/>
  <c r="BD65" i="4"/>
  <c r="BC65" i="4"/>
  <c r="AU65" i="4"/>
  <c r="AT65" i="4"/>
  <c r="AS65" i="4"/>
  <c r="AR65" i="4"/>
  <c r="AQ65" i="4"/>
  <c r="AP65" i="4"/>
  <c r="AO65" i="4"/>
  <c r="M65" i="6" s="1" a="1"/>
  <c r="M65" i="6" s="1"/>
  <c r="AA65" i="6" s="1"/>
  <c r="AB65" i="4"/>
  <c r="BD64" i="4"/>
  <c r="BC64" i="4"/>
  <c r="AU64" i="4"/>
  <c r="AT64" i="4"/>
  <c r="AS64" i="4"/>
  <c r="AR64" i="4"/>
  <c r="AQ64" i="4"/>
  <c r="AP64" i="4"/>
  <c r="AO64" i="4"/>
  <c r="M64" i="6" s="1" a="1"/>
  <c r="M64" i="6" s="1"/>
  <c r="AA64" i="6" s="1"/>
  <c r="AB64" i="4"/>
  <c r="BD63" i="4"/>
  <c r="BC63" i="4"/>
  <c r="AU63" i="4"/>
  <c r="AT63" i="4"/>
  <c r="AS63" i="4"/>
  <c r="AR63" i="4"/>
  <c r="AQ63" i="4"/>
  <c r="AP63" i="4"/>
  <c r="AO63" i="4"/>
  <c r="M63" i="6" s="1" a="1"/>
  <c r="M63" i="6" s="1"/>
  <c r="AA63" i="6" s="1"/>
  <c r="AB63" i="4"/>
  <c r="BD62" i="4"/>
  <c r="BC62" i="4"/>
  <c r="AU62" i="4"/>
  <c r="AT62" i="4"/>
  <c r="AS62" i="4"/>
  <c r="AR62" i="4"/>
  <c r="AQ62" i="4"/>
  <c r="AP62" i="4"/>
  <c r="AO62" i="4"/>
  <c r="AB62" i="4"/>
  <c r="BD61" i="4"/>
  <c r="BC61" i="4"/>
  <c r="AU61" i="4"/>
  <c r="AT61" i="4"/>
  <c r="AS61" i="4"/>
  <c r="AR61" i="4"/>
  <c r="AQ61" i="4"/>
  <c r="AP61" i="4"/>
  <c r="AO61" i="4"/>
  <c r="AB61" i="4"/>
  <c r="BD60" i="4"/>
  <c r="BC60" i="4"/>
  <c r="AU60" i="4"/>
  <c r="AT60" i="4"/>
  <c r="AS60" i="4"/>
  <c r="AR60" i="4"/>
  <c r="AQ60" i="4"/>
  <c r="AP60" i="4"/>
  <c r="AO60" i="4"/>
  <c r="M60" i="6" s="1" a="1"/>
  <c r="M60" i="6" s="1"/>
  <c r="AA60" i="6" s="1"/>
  <c r="AB60" i="4"/>
  <c r="BD59" i="4"/>
  <c r="BC59" i="4"/>
  <c r="AU59" i="4"/>
  <c r="AT59" i="4"/>
  <c r="AS59" i="4"/>
  <c r="AR59" i="4"/>
  <c r="AQ59" i="4"/>
  <c r="AP59" i="4"/>
  <c r="AO59" i="4"/>
  <c r="M59" i="6" s="1" a="1"/>
  <c r="M59" i="6" s="1"/>
  <c r="AA59" i="6" s="1"/>
  <c r="AB59" i="4"/>
  <c r="BD58" i="4"/>
  <c r="BC58" i="4"/>
  <c r="AU58" i="4"/>
  <c r="AT58" i="4"/>
  <c r="AS58" i="4"/>
  <c r="AR58" i="4"/>
  <c r="AQ58" i="4"/>
  <c r="AP58" i="4"/>
  <c r="AO58" i="4"/>
  <c r="M58" i="6" s="1" a="1"/>
  <c r="M58" i="6" s="1"/>
  <c r="AA58" i="6" s="1"/>
  <c r="AB58" i="4"/>
  <c r="BD57" i="4"/>
  <c r="BC57" i="4"/>
  <c r="AU57" i="4"/>
  <c r="AT57" i="4"/>
  <c r="AS57" i="4"/>
  <c r="AR57" i="4"/>
  <c r="AQ57" i="4"/>
  <c r="AP57" i="4"/>
  <c r="AO57" i="4"/>
  <c r="M57" i="6" s="1" a="1"/>
  <c r="M57" i="6" s="1"/>
  <c r="AA57" i="6" s="1"/>
  <c r="AB57" i="4"/>
  <c r="BD56" i="4"/>
  <c r="BC56" i="4"/>
  <c r="AU56" i="4"/>
  <c r="AT56" i="4"/>
  <c r="AS56" i="4"/>
  <c r="AR56" i="4"/>
  <c r="AQ56" i="4"/>
  <c r="AP56" i="4"/>
  <c r="AO56" i="4"/>
  <c r="M56" i="6" s="1" a="1"/>
  <c r="M56" i="6" s="1"/>
  <c r="AA56" i="6" s="1"/>
  <c r="AB56" i="4"/>
  <c r="BD55" i="4"/>
  <c r="BC55" i="4"/>
  <c r="AU55" i="4"/>
  <c r="AT55" i="4"/>
  <c r="AS55" i="4"/>
  <c r="AR55" i="4"/>
  <c r="AQ55" i="4"/>
  <c r="AP55" i="4"/>
  <c r="AO55" i="4"/>
  <c r="M55" i="6" s="1" a="1"/>
  <c r="M55" i="6" s="1"/>
  <c r="AA55" i="6" s="1"/>
  <c r="AB55" i="4"/>
  <c r="BD54" i="4"/>
  <c r="BC54" i="4"/>
  <c r="AU54" i="4"/>
  <c r="AT54" i="4"/>
  <c r="AS54" i="4"/>
  <c r="AR54" i="4"/>
  <c r="AQ54" i="4"/>
  <c r="AP54" i="4"/>
  <c r="AO54" i="4"/>
  <c r="M54" i="6" s="1" a="1"/>
  <c r="M54" i="6" s="1"/>
  <c r="AA54" i="6" s="1"/>
  <c r="AB54" i="4"/>
  <c r="BD53" i="4"/>
  <c r="BC53" i="4"/>
  <c r="AU53" i="4"/>
  <c r="AT53" i="4"/>
  <c r="AS53" i="4"/>
  <c r="AR53" i="4"/>
  <c r="AQ53" i="4"/>
  <c r="AP53" i="4"/>
  <c r="AO53" i="4"/>
  <c r="M53" i="6" s="1" a="1"/>
  <c r="M53" i="6" s="1"/>
  <c r="AA53" i="6" s="1"/>
  <c r="AB53" i="4"/>
  <c r="BD52" i="4"/>
  <c r="BC52" i="4"/>
  <c r="AU52" i="4"/>
  <c r="AT52" i="4"/>
  <c r="AS52" i="4"/>
  <c r="AR52" i="4"/>
  <c r="AQ52" i="4"/>
  <c r="AP52" i="4"/>
  <c r="AO52" i="4"/>
  <c r="M52" i="6" s="1" a="1"/>
  <c r="M52" i="6" s="1"/>
  <c r="AA52" i="6" s="1"/>
  <c r="AB52" i="4"/>
  <c r="BD51" i="4"/>
  <c r="BC51" i="4"/>
  <c r="AU51" i="4"/>
  <c r="AT51" i="4"/>
  <c r="AS51" i="4"/>
  <c r="AR51" i="4"/>
  <c r="AQ51" i="4"/>
  <c r="AP51" i="4"/>
  <c r="AO51" i="4"/>
  <c r="M51" i="6" s="1" a="1"/>
  <c r="M51" i="6" s="1"/>
  <c r="AA51" i="6" s="1"/>
  <c r="AB51" i="4"/>
  <c r="BD50" i="4"/>
  <c r="BC50" i="4"/>
  <c r="AU50" i="4"/>
  <c r="AT50" i="4"/>
  <c r="AS50" i="4"/>
  <c r="AR50" i="4"/>
  <c r="AQ50" i="4"/>
  <c r="AP50" i="4"/>
  <c r="AO50" i="4"/>
  <c r="M50" i="6" s="1" a="1"/>
  <c r="M50" i="6" s="1"/>
  <c r="AA50" i="6" s="1"/>
  <c r="AB50" i="4"/>
  <c r="BD49" i="4"/>
  <c r="BC49" i="4"/>
  <c r="AU49" i="4"/>
  <c r="AT49" i="4"/>
  <c r="AS49" i="4"/>
  <c r="AR49" i="4"/>
  <c r="AQ49" i="4"/>
  <c r="AP49" i="4"/>
  <c r="AO49" i="4"/>
  <c r="M49" i="6" s="1" a="1"/>
  <c r="M49" i="6" s="1"/>
  <c r="AA49" i="6" s="1"/>
  <c r="AB49" i="4"/>
  <c r="BD48" i="4"/>
  <c r="BC48" i="4"/>
  <c r="AU48" i="4"/>
  <c r="AT48" i="4"/>
  <c r="AS48" i="4"/>
  <c r="AR48" i="4"/>
  <c r="AQ48" i="4"/>
  <c r="AP48" i="4"/>
  <c r="AO48" i="4"/>
  <c r="M48" i="6" s="1" a="1"/>
  <c r="M48" i="6" s="1"/>
  <c r="AA48" i="6" s="1"/>
  <c r="AB48" i="4"/>
  <c r="BD47" i="4"/>
  <c r="BC47" i="4"/>
  <c r="AU47" i="4"/>
  <c r="AT47" i="4"/>
  <c r="AS47" i="4"/>
  <c r="AR47" i="4"/>
  <c r="AQ47" i="4"/>
  <c r="AP47" i="4"/>
  <c r="AO47" i="4"/>
  <c r="M47" i="6" s="1" a="1"/>
  <c r="M47" i="6" s="1"/>
  <c r="AA47" i="6" s="1"/>
  <c r="AB47" i="4"/>
  <c r="BD46" i="4"/>
  <c r="BC46" i="4"/>
  <c r="AU46" i="4"/>
  <c r="AT46" i="4"/>
  <c r="AS46" i="4"/>
  <c r="AR46" i="4"/>
  <c r="AQ46" i="4"/>
  <c r="AP46" i="4"/>
  <c r="AO46" i="4"/>
  <c r="M46" i="6" s="1" a="1"/>
  <c r="M46" i="6" s="1"/>
  <c r="AA46" i="6" s="1"/>
  <c r="AB46" i="4"/>
  <c r="BD45" i="4"/>
  <c r="BC45" i="4"/>
  <c r="AU45" i="4"/>
  <c r="AT45" i="4"/>
  <c r="AS45" i="4"/>
  <c r="AR45" i="4"/>
  <c r="AQ45" i="4"/>
  <c r="AP45" i="4"/>
  <c r="AO45" i="4"/>
  <c r="M45" i="6" s="1" a="1"/>
  <c r="M45" i="6" s="1"/>
  <c r="AA45" i="6" s="1"/>
  <c r="AB45" i="4"/>
  <c r="BD44" i="4"/>
  <c r="BC44" i="4"/>
  <c r="AU44" i="4"/>
  <c r="AT44" i="4"/>
  <c r="AS44" i="4"/>
  <c r="AR44" i="4"/>
  <c r="AQ44" i="4"/>
  <c r="AP44" i="4"/>
  <c r="AO44" i="4"/>
  <c r="M44" i="6" s="1" a="1"/>
  <c r="M44" i="6" s="1"/>
  <c r="AA44" i="6" s="1"/>
  <c r="AB44" i="4"/>
  <c r="BD43" i="4"/>
  <c r="BC43" i="4"/>
  <c r="AU43" i="4"/>
  <c r="AT43" i="4"/>
  <c r="AS43" i="4"/>
  <c r="AR43" i="4"/>
  <c r="AQ43" i="4"/>
  <c r="AP43" i="4"/>
  <c r="AO43" i="4"/>
  <c r="AB43" i="4"/>
  <c r="BD42" i="4"/>
  <c r="BC42" i="4"/>
  <c r="AU42" i="4"/>
  <c r="AT42" i="4"/>
  <c r="AS42" i="4"/>
  <c r="AR42" i="4"/>
  <c r="AQ42" i="4"/>
  <c r="AP42" i="4"/>
  <c r="AO42" i="4"/>
  <c r="M42" i="6" s="1" a="1"/>
  <c r="M42" i="6" s="1"/>
  <c r="AA42" i="6" s="1"/>
  <c r="AB42" i="4"/>
  <c r="BD41" i="4"/>
  <c r="BC41" i="4"/>
  <c r="AU41" i="4"/>
  <c r="AT41" i="4"/>
  <c r="AS41" i="4"/>
  <c r="AR41" i="4"/>
  <c r="AQ41" i="4"/>
  <c r="AP41" i="4"/>
  <c r="AO41" i="4"/>
  <c r="M41" i="6" s="1" a="1"/>
  <c r="M41" i="6" s="1"/>
  <c r="AA41" i="6" s="1"/>
  <c r="AB41" i="4"/>
  <c r="BD40" i="4"/>
  <c r="BC40" i="4"/>
  <c r="AU40" i="4"/>
  <c r="AT40" i="4"/>
  <c r="AS40" i="4"/>
  <c r="AR40" i="4"/>
  <c r="AQ40" i="4"/>
  <c r="AP40" i="4"/>
  <c r="AO40" i="4"/>
  <c r="M40" i="6" s="1" a="1"/>
  <c r="M40" i="6" s="1"/>
  <c r="AA40" i="6" s="1"/>
  <c r="AB40" i="4"/>
  <c r="BD39" i="4"/>
  <c r="BC39" i="4"/>
  <c r="AU39" i="4"/>
  <c r="AT39" i="4"/>
  <c r="AS39" i="4"/>
  <c r="AR39" i="4"/>
  <c r="AQ39" i="4"/>
  <c r="AP39" i="4"/>
  <c r="AO39" i="4"/>
  <c r="M39" i="6" s="1" a="1"/>
  <c r="M39" i="6" s="1"/>
  <c r="AA39" i="6" s="1"/>
  <c r="AB39" i="4"/>
  <c r="BD38" i="4"/>
  <c r="BC38" i="4"/>
  <c r="AU38" i="4"/>
  <c r="AT38" i="4"/>
  <c r="AS38" i="4"/>
  <c r="AR38" i="4"/>
  <c r="M41" i="8" s="1"/>
  <c r="AQ38" i="4"/>
  <c r="AP38" i="4"/>
  <c r="AO38" i="4"/>
  <c r="M38" i="6" s="1" a="1"/>
  <c r="M38" i="6" s="1"/>
  <c r="AA38" i="6" s="1"/>
  <c r="AB38" i="4"/>
  <c r="BD37" i="4"/>
  <c r="BC37" i="4"/>
  <c r="AU37" i="4"/>
  <c r="AT37" i="4"/>
  <c r="AS37" i="4"/>
  <c r="AR37" i="4"/>
  <c r="AQ37" i="4"/>
  <c r="AP37" i="4"/>
  <c r="AO37" i="4"/>
  <c r="M37" i="6" s="1" a="1"/>
  <c r="M37" i="6" s="1"/>
  <c r="AB37" i="4"/>
  <c r="BD36" i="4"/>
  <c r="BC36" i="4"/>
  <c r="AU36" i="4"/>
  <c r="AT36" i="4"/>
  <c r="AS36" i="4"/>
  <c r="AR36" i="4"/>
  <c r="AQ36" i="4"/>
  <c r="AP36" i="4"/>
  <c r="AO36" i="4"/>
  <c r="M36" i="6" s="1" a="1"/>
  <c r="AB36" i="4"/>
  <c r="BD35" i="4"/>
  <c r="BC35" i="4"/>
  <c r="AU35" i="4"/>
  <c r="AT35" i="4"/>
  <c r="AS35" i="4"/>
  <c r="AR35" i="4"/>
  <c r="AQ35" i="4"/>
  <c r="AP35" i="4"/>
  <c r="AO35" i="4"/>
  <c r="M35" i="6" s="1" a="1"/>
  <c r="M35" i="6" s="1"/>
  <c r="AA35" i="6" s="1"/>
  <c r="AB35" i="4"/>
  <c r="BD34" i="4"/>
  <c r="BC34" i="4"/>
  <c r="AU34" i="4"/>
  <c r="AT34" i="4"/>
  <c r="AS34" i="4"/>
  <c r="AR34" i="4"/>
  <c r="AQ34" i="4"/>
  <c r="AP34" i="4"/>
  <c r="AO34" i="4"/>
  <c r="M34" i="6" s="1" a="1"/>
  <c r="M34" i="6" s="1"/>
  <c r="AA34" i="6" s="1"/>
  <c r="AB34" i="4"/>
  <c r="BD33" i="4"/>
  <c r="BC33" i="4"/>
  <c r="AU33" i="4"/>
  <c r="AT33" i="4"/>
  <c r="AS33" i="4"/>
  <c r="AR33" i="4"/>
  <c r="AQ33" i="4"/>
  <c r="AP33" i="4"/>
  <c r="AO33" i="4"/>
  <c r="M33" i="6" s="1" a="1"/>
  <c r="M33" i="6" s="1"/>
  <c r="AA33" i="6" s="1"/>
  <c r="AB33" i="4"/>
  <c r="BD32" i="4"/>
  <c r="BC32" i="4"/>
  <c r="AU32" i="4"/>
  <c r="AT32" i="4"/>
  <c r="AS32" i="4"/>
  <c r="AR32" i="4"/>
  <c r="AQ32" i="4"/>
  <c r="AP32" i="4"/>
  <c r="AO32" i="4"/>
  <c r="AB32" i="4"/>
  <c r="BD31" i="4"/>
  <c r="BC31" i="4"/>
  <c r="AU31" i="4"/>
  <c r="AT31" i="4"/>
  <c r="AS31" i="4"/>
  <c r="AR31" i="4"/>
  <c r="AQ31" i="4"/>
  <c r="AP31" i="4"/>
  <c r="AO31" i="4"/>
  <c r="M31" i="6" s="1" a="1"/>
  <c r="AB31" i="4"/>
  <c r="BD30" i="4"/>
  <c r="BC30" i="4"/>
  <c r="AU30" i="4"/>
  <c r="AT30" i="4"/>
  <c r="AS30" i="4"/>
  <c r="AR30" i="4"/>
  <c r="AQ30" i="4"/>
  <c r="AP30" i="4"/>
  <c r="AO30" i="4"/>
  <c r="M30" i="6" s="1" a="1"/>
  <c r="M30" i="6" s="1"/>
  <c r="AA30" i="6" s="1"/>
  <c r="AB30" i="4"/>
  <c r="BD29" i="4"/>
  <c r="BC29" i="4"/>
  <c r="AU29" i="4"/>
  <c r="AT29" i="4"/>
  <c r="AS29" i="4"/>
  <c r="AR29" i="4"/>
  <c r="AQ29" i="4"/>
  <c r="AP29" i="4"/>
  <c r="AO29" i="4"/>
  <c r="M29" i="6" s="1" a="1"/>
  <c r="M29" i="6" s="1"/>
  <c r="AA29" i="6" s="1"/>
  <c r="AB29" i="4"/>
  <c r="BD28" i="4"/>
  <c r="BC28" i="4"/>
  <c r="AU28" i="4"/>
  <c r="AT28" i="4"/>
  <c r="AS28" i="4"/>
  <c r="AR28" i="4"/>
  <c r="AQ28" i="4"/>
  <c r="AP28" i="4"/>
  <c r="AO28" i="4"/>
  <c r="M28" i="6" s="1" a="1"/>
  <c r="M28" i="6" s="1"/>
  <c r="AB28" i="4"/>
  <c r="BD27" i="4"/>
  <c r="BC27" i="4"/>
  <c r="AU27" i="4"/>
  <c r="AT27" i="4"/>
  <c r="AS27" i="4"/>
  <c r="AR27" i="4"/>
  <c r="AQ27" i="4"/>
  <c r="AP27" i="4"/>
  <c r="AO27" i="4"/>
  <c r="M27" i="6" s="1" a="1"/>
  <c r="M27" i="6" s="1"/>
  <c r="AB27" i="4"/>
  <c r="BD26" i="4"/>
  <c r="BC26" i="4"/>
  <c r="AU26" i="4"/>
  <c r="AT26" i="4"/>
  <c r="AS26" i="4"/>
  <c r="AR26" i="4"/>
  <c r="AQ26" i="4"/>
  <c r="AP26" i="4"/>
  <c r="AO26" i="4"/>
  <c r="M26" i="6" s="1" a="1"/>
  <c r="M26" i="6" s="1"/>
  <c r="AA26" i="6" s="1"/>
  <c r="AB26" i="4"/>
  <c r="BD25" i="4"/>
  <c r="BC25" i="4"/>
  <c r="AU25" i="4"/>
  <c r="AT25" i="4"/>
  <c r="AS25" i="4"/>
  <c r="AR25" i="4"/>
  <c r="AQ25" i="4"/>
  <c r="AP25" i="4"/>
  <c r="AO25" i="4"/>
  <c r="AB25" i="4"/>
  <c r="BD24" i="4"/>
  <c r="BC24" i="4"/>
  <c r="AU24" i="4"/>
  <c r="AT24" i="4"/>
  <c r="AS24" i="4"/>
  <c r="AR24" i="4"/>
  <c r="AQ24" i="4"/>
  <c r="AP24" i="4"/>
  <c r="AO24" i="4"/>
  <c r="AB24" i="4"/>
  <c r="BD23" i="4"/>
  <c r="BC23" i="4"/>
  <c r="AU23" i="4"/>
  <c r="AT23" i="4"/>
  <c r="AS23" i="4"/>
  <c r="AR23" i="4"/>
  <c r="AQ23" i="4"/>
  <c r="AP23" i="4"/>
  <c r="AO23" i="4"/>
  <c r="M23" i="6" s="1" a="1"/>
  <c r="M23" i="6" s="1"/>
  <c r="AA23" i="6" s="1"/>
  <c r="AB23" i="4"/>
  <c r="BD22" i="4"/>
  <c r="BC22" i="4"/>
  <c r="AU22" i="4"/>
  <c r="AT22" i="4"/>
  <c r="AS22" i="4"/>
  <c r="AR22" i="4"/>
  <c r="AQ22" i="4"/>
  <c r="AP22" i="4"/>
  <c r="AO22" i="4"/>
  <c r="M22" i="6" s="1" a="1"/>
  <c r="M22" i="6" s="1"/>
  <c r="AA22" i="6" s="1"/>
  <c r="AB22" i="4"/>
  <c r="BD21" i="4"/>
  <c r="BC21" i="4"/>
  <c r="AU21" i="4"/>
  <c r="AT21" i="4"/>
  <c r="AS21" i="4"/>
  <c r="AR21" i="4"/>
  <c r="AQ21" i="4"/>
  <c r="AP21" i="4"/>
  <c r="AO21" i="4"/>
  <c r="M21" i="6" s="1" a="1"/>
  <c r="M21" i="6" s="1"/>
  <c r="AA21" i="6" s="1"/>
  <c r="AB21" i="4"/>
  <c r="BD20" i="4"/>
  <c r="BC20" i="4"/>
  <c r="AU20" i="4"/>
  <c r="AT20" i="4"/>
  <c r="AS20" i="4"/>
  <c r="AR20" i="4"/>
  <c r="AQ20" i="4"/>
  <c r="AP20" i="4"/>
  <c r="AO20" i="4"/>
  <c r="M20" i="6" s="1" a="1"/>
  <c r="M20" i="6" s="1"/>
  <c r="AA20" i="6" s="1"/>
  <c r="AB20" i="4"/>
  <c r="BD19" i="4"/>
  <c r="BC19" i="4"/>
  <c r="AU19" i="4"/>
  <c r="AT19" i="4"/>
  <c r="AS19" i="4"/>
  <c r="AR19" i="4"/>
  <c r="AQ19" i="4"/>
  <c r="AP19" i="4"/>
  <c r="AO19" i="4"/>
  <c r="AB19" i="4"/>
  <c r="BD18" i="4"/>
  <c r="BC18" i="4"/>
  <c r="AU18" i="4"/>
  <c r="AT18" i="4"/>
  <c r="AS18" i="4"/>
  <c r="AR18" i="4"/>
  <c r="AQ18" i="4"/>
  <c r="AP18" i="4"/>
  <c r="AO18" i="4"/>
  <c r="M18" i="6" s="1" a="1"/>
  <c r="M18" i="6" s="1"/>
  <c r="AA18" i="6" s="1"/>
  <c r="AB18" i="4"/>
  <c r="BD17" i="4"/>
  <c r="BC17" i="4"/>
  <c r="AU17" i="4"/>
  <c r="AT17" i="4"/>
  <c r="AS17" i="4"/>
  <c r="AR17" i="4"/>
  <c r="AQ17" i="4"/>
  <c r="AP17" i="4"/>
  <c r="AO17" i="4"/>
  <c r="M17" i="6" s="1" a="1"/>
  <c r="M17" i="6" s="1"/>
  <c r="AA17" i="6" s="1"/>
  <c r="AB17" i="4"/>
  <c r="BD16" i="4"/>
  <c r="BC16" i="4"/>
  <c r="AU16" i="4"/>
  <c r="AT16" i="4"/>
  <c r="AS16" i="4"/>
  <c r="AR16" i="4"/>
  <c r="AQ16" i="4"/>
  <c r="AP16" i="4"/>
  <c r="AO16" i="4"/>
  <c r="AB16" i="4"/>
  <c r="BD15" i="4"/>
  <c r="BC15" i="4"/>
  <c r="AU15" i="4"/>
  <c r="AT15" i="4"/>
  <c r="AS15" i="4"/>
  <c r="AR15" i="4"/>
  <c r="M18" i="8" s="1"/>
  <c r="AQ15" i="4"/>
  <c r="AP15" i="4"/>
  <c r="AO15" i="4"/>
  <c r="M15" i="6" s="1" a="1"/>
  <c r="M15" i="6" s="1"/>
  <c r="AA15" i="6" s="1"/>
  <c r="AB15" i="4"/>
  <c r="BD14" i="4"/>
  <c r="BC14" i="4"/>
  <c r="AU14" i="4"/>
  <c r="AT14" i="4"/>
  <c r="AS14" i="4"/>
  <c r="AR14" i="4"/>
  <c r="AQ14" i="4"/>
  <c r="AP14" i="4"/>
  <c r="AO14" i="4"/>
  <c r="M14" i="6" s="1" a="1"/>
  <c r="M14" i="6" s="1"/>
  <c r="AA14" i="6" s="1"/>
  <c r="AB14" i="4"/>
  <c r="BD13" i="4"/>
  <c r="BC13" i="4"/>
  <c r="AU13" i="4"/>
  <c r="AT13" i="4"/>
  <c r="AS13" i="4"/>
  <c r="AR13" i="4"/>
  <c r="AQ13" i="4"/>
  <c r="AP13" i="4"/>
  <c r="AO13" i="4"/>
  <c r="M13" i="6" s="1" a="1"/>
  <c r="M13" i="6" s="1"/>
  <c r="AA13" i="6" s="1"/>
  <c r="AB13" i="4"/>
  <c r="BD12" i="4"/>
  <c r="BC12" i="4"/>
  <c r="AU12" i="4"/>
  <c r="AT12" i="4"/>
  <c r="AS12" i="4"/>
  <c r="AR12" i="4"/>
  <c r="AQ12" i="4"/>
  <c r="AP12" i="4"/>
  <c r="AO12" i="4"/>
  <c r="M12" i="6" s="1" a="1"/>
  <c r="M12" i="6" s="1"/>
  <c r="AA12" i="6" s="1"/>
  <c r="AB12" i="4"/>
  <c r="BD11" i="4"/>
  <c r="BC11" i="4"/>
  <c r="AU11" i="4"/>
  <c r="AT11" i="4"/>
  <c r="AS11" i="4"/>
  <c r="AR11" i="4"/>
  <c r="AQ11" i="4"/>
  <c r="AP11" i="4"/>
  <c r="AO11" i="4"/>
  <c r="M11" i="6" s="1" a="1"/>
  <c r="AB11" i="4"/>
  <c r="BD10" i="4"/>
  <c r="BC10" i="4"/>
  <c r="AU10" i="4"/>
  <c r="AT10" i="4"/>
  <c r="AS10" i="4"/>
  <c r="AR10" i="4"/>
  <c r="AQ10" i="4"/>
  <c r="AP10" i="4"/>
  <c r="AO10" i="4"/>
  <c r="M10" i="6" s="1" a="1"/>
  <c r="AB10" i="4"/>
  <c r="BD9" i="4"/>
  <c r="BC9" i="4"/>
  <c r="AU9" i="4"/>
  <c r="AT9" i="4"/>
  <c r="AS9" i="4"/>
  <c r="AR9" i="4"/>
  <c r="M12" i="8" s="1"/>
  <c r="AQ9" i="4"/>
  <c r="AP9" i="4"/>
  <c r="AO9" i="4"/>
  <c r="M9" i="6" s="1" a="1"/>
  <c r="M9" i="6" s="1"/>
  <c r="AA9" i="6" s="1"/>
  <c r="AB9" i="4"/>
  <c r="BD8" i="4"/>
  <c r="BC8" i="4"/>
  <c r="AU8" i="4"/>
  <c r="AT8" i="4"/>
  <c r="AS8" i="4"/>
  <c r="AR8" i="4"/>
  <c r="AQ8" i="4"/>
  <c r="AP8" i="4"/>
  <c r="AO8" i="4"/>
  <c r="M8" i="6" s="1" a="1"/>
  <c r="M8" i="6" s="1"/>
  <c r="AA8" i="6" s="1"/>
  <c r="AB8" i="4"/>
  <c r="BD7" i="4"/>
  <c r="BC7" i="4"/>
  <c r="AU7" i="4"/>
  <c r="AT7" i="4"/>
  <c r="AS7" i="4"/>
  <c r="AR7" i="4"/>
  <c r="AQ7" i="4"/>
  <c r="AP7" i="4"/>
  <c r="AO7" i="4"/>
  <c r="M7" i="6" s="1" a="1"/>
  <c r="M7" i="6" s="1"/>
  <c r="AB7" i="4"/>
  <c r="BD6" i="4"/>
  <c r="BC6" i="4"/>
  <c r="AU6" i="4"/>
  <c r="AT6" i="4"/>
  <c r="AS6" i="4"/>
  <c r="AR6" i="4"/>
  <c r="AQ6" i="4"/>
  <c r="AP6" i="4"/>
  <c r="AO6" i="4"/>
  <c r="AB6" i="4"/>
  <c r="BD5" i="4"/>
  <c r="BC5" i="4"/>
  <c r="AU5" i="4"/>
  <c r="AT5" i="4"/>
  <c r="AS5" i="4"/>
  <c r="AR5" i="4"/>
  <c r="AQ5" i="4"/>
  <c r="AP5" i="4"/>
  <c r="AO5" i="4"/>
  <c r="M5" i="6" s="1" a="1"/>
  <c r="M5" i="6" s="1"/>
  <c r="AA5" i="6" s="1"/>
  <c r="AB5" i="4"/>
  <c r="BD4" i="4"/>
  <c r="BC4" i="4"/>
  <c r="AU4" i="4"/>
  <c r="AT4" i="4"/>
  <c r="AS4" i="4"/>
  <c r="AR4" i="4"/>
  <c r="AQ4" i="4"/>
  <c r="AP4" i="4"/>
  <c r="AO4" i="4"/>
  <c r="M4" i="6" s="1" a="1"/>
  <c r="M4" i="6" s="1"/>
  <c r="AB4" i="4"/>
  <c r="BD3" i="4"/>
  <c r="BC3" i="4"/>
  <c r="AU3" i="4"/>
  <c r="AT3" i="4"/>
  <c r="AS3" i="4"/>
  <c r="AR3" i="4"/>
  <c r="N3" i="6" s="1" a="1"/>
  <c r="N3" i="6" s="1"/>
  <c r="AQ3" i="4"/>
  <c r="AP3" i="4"/>
  <c r="AO3" i="4"/>
  <c r="M3" i="6" s="1" a="1"/>
  <c r="M3" i="6" s="1"/>
  <c r="AA3" i="6" s="1"/>
  <c r="AB3" i="4"/>
  <c r="BD2" i="4"/>
  <c r="BC2" i="4"/>
  <c r="AU2" i="4"/>
  <c r="AT2" i="4"/>
  <c r="AS2" i="4"/>
  <c r="AR2" i="4"/>
  <c r="AQ2" i="4"/>
  <c r="AP2" i="4"/>
  <c r="AO2" i="4"/>
  <c r="M2" i="6" s="1" a="1"/>
  <c r="M2" i="6" s="1"/>
  <c r="AA2" i="6" s="1"/>
  <c r="AB2" i="4"/>
  <c r="Y29" i="6" l="1"/>
  <c r="W29" i="6"/>
  <c r="T15" i="6"/>
  <c r="AB15" i="6" s="1"/>
  <c r="U15" i="6"/>
  <c r="AC15" i="6" s="1"/>
  <c r="AG15" i="6" s="1"/>
  <c r="AG6" i="6"/>
  <c r="V9" i="6"/>
  <c r="T9" i="6"/>
  <c r="AB9" i="6" s="1"/>
  <c r="AG9" i="6" s="1"/>
  <c r="Y15" i="6"/>
  <c r="W15" i="6"/>
  <c r="L28" i="8"/>
  <c r="F28" i="8"/>
  <c r="R25" i="6" a="1"/>
  <c r="R25" i="6" s="1"/>
  <c r="U25" i="6" s="1"/>
  <c r="AC25" i="6" s="1"/>
  <c r="AQ46" i="5"/>
  <c r="AQ65" i="5"/>
  <c r="T4" i="6"/>
  <c r="AB4" i="6" s="1"/>
  <c r="X65" i="6"/>
  <c r="Y65" i="6"/>
  <c r="V65" i="6"/>
  <c r="L24" i="8"/>
  <c r="F24" i="8"/>
  <c r="R21" i="6" a="1"/>
  <c r="R21" i="6" s="1"/>
  <c r="U21" i="6" s="1"/>
  <c r="AC21" i="6" s="1"/>
  <c r="K26" i="8"/>
  <c r="AQ23" i="5"/>
  <c r="L43" i="8"/>
  <c r="F43" i="8"/>
  <c r="AS40" i="5"/>
  <c r="R40" i="6" a="1"/>
  <c r="R40" i="6" s="1"/>
  <c r="U40" i="6" s="1"/>
  <c r="AC40" i="6" s="1"/>
  <c r="K64" i="8"/>
  <c r="P64" i="8" s="1"/>
  <c r="AQ61" i="5"/>
  <c r="F73" i="8"/>
  <c r="L73" i="8"/>
  <c r="R70" i="6" a="1"/>
  <c r="R70" i="6" s="1"/>
  <c r="U70" i="6" s="1"/>
  <c r="AC70" i="6" s="1"/>
  <c r="AG70" i="6" s="1"/>
  <c r="AQ72" i="5"/>
  <c r="V11" i="6"/>
  <c r="AG18" i="6"/>
  <c r="X58" i="6"/>
  <c r="Y58" i="6"/>
  <c r="F39" i="8"/>
  <c r="L39" i="8"/>
  <c r="R36" i="6" a="1"/>
  <c r="R36" i="6" s="1"/>
  <c r="U36" i="6" s="1"/>
  <c r="AC36" i="6" s="1"/>
  <c r="AG36" i="6" s="1"/>
  <c r="AS36" i="5"/>
  <c r="Z13" i="6"/>
  <c r="AG13" i="6" s="1"/>
  <c r="Y21" i="6"/>
  <c r="AG21" i="6" s="1"/>
  <c r="AQ16" i="5"/>
  <c r="X51" i="6"/>
  <c r="AG51" i="6" s="1"/>
  <c r="Y51" i="6"/>
  <c r="V51" i="6"/>
  <c r="L65" i="8"/>
  <c r="F65" i="8"/>
  <c r="R62" i="6" a="1"/>
  <c r="R62" i="6" s="1"/>
  <c r="U62" i="6" s="1"/>
  <c r="AC62" i="6" s="1"/>
  <c r="AS62" i="5"/>
  <c r="U11" i="6"/>
  <c r="AC11" i="6" s="1"/>
  <c r="K66" i="8"/>
  <c r="AQ63" i="5"/>
  <c r="AQ82" i="5"/>
  <c r="AQ86" i="5"/>
  <c r="V10" i="6"/>
  <c r="M11" i="8"/>
  <c r="E11" i="8"/>
  <c r="N8" i="6" a="1"/>
  <c r="N8" i="6" s="1"/>
  <c r="E20" i="8"/>
  <c r="M20" i="8"/>
  <c r="N17" i="6" a="1"/>
  <c r="N17" i="6" s="1"/>
  <c r="E29" i="8"/>
  <c r="P29" i="8" s="1"/>
  <c r="M29" i="8"/>
  <c r="N26" i="6" a="1"/>
  <c r="N26" i="6" s="1"/>
  <c r="M38" i="8"/>
  <c r="E38" i="8"/>
  <c r="N35" i="6" a="1"/>
  <c r="N35" i="6" s="1"/>
  <c r="M47" i="8"/>
  <c r="E47" i="8"/>
  <c r="P47" i="8" s="1"/>
  <c r="N44" i="6" a="1"/>
  <c r="N44" i="6" s="1"/>
  <c r="E56" i="8"/>
  <c r="M56" i="8"/>
  <c r="N53" i="6" a="1"/>
  <c r="N53" i="6" s="1"/>
  <c r="M65" i="8"/>
  <c r="E65" i="8"/>
  <c r="O65" i="8" s="1"/>
  <c r="N62" i="6" a="1"/>
  <c r="N62" i="6" s="1"/>
  <c r="E74" i="8"/>
  <c r="M74" i="8"/>
  <c r="N71" i="6" a="1"/>
  <c r="N71" i="6" s="1"/>
  <c r="M83" i="8"/>
  <c r="E83" i="8"/>
  <c r="N80" i="6" a="1"/>
  <c r="N80" i="6" s="1"/>
  <c r="N89" i="6" a="1"/>
  <c r="N89" i="6" s="1"/>
  <c r="M92" i="8"/>
  <c r="E92" i="8"/>
  <c r="L30" i="8"/>
  <c r="F30" i="8"/>
  <c r="R27" i="6" a="1"/>
  <c r="R27" i="6" s="1"/>
  <c r="U27" i="6" s="1"/>
  <c r="AC27" i="6" s="1"/>
  <c r="AS27" i="5"/>
  <c r="L64" i="8"/>
  <c r="F64" i="8"/>
  <c r="R61" i="6" a="1"/>
  <c r="R61" i="6" s="1"/>
  <c r="U61" i="6" s="1"/>
  <c r="AC61" i="6" s="1"/>
  <c r="AQ78" i="5"/>
  <c r="X11" i="6"/>
  <c r="AG11" i="6" s="1"/>
  <c r="V26" i="6"/>
  <c r="F16" i="8"/>
  <c r="L16" i="8"/>
  <c r="AS13" i="5"/>
  <c r="AQ34" i="5"/>
  <c r="L46" i="8"/>
  <c r="F46" i="8"/>
  <c r="R43" i="6" a="1"/>
  <c r="R43" i="6" s="1"/>
  <c r="U43" i="6" s="1"/>
  <c r="AC43" i="6" s="1"/>
  <c r="T60" i="6"/>
  <c r="AB60" i="6" s="1"/>
  <c r="AG60" i="6" s="1"/>
  <c r="U60" i="6"/>
  <c r="AC60" i="6" s="1"/>
  <c r="L12" i="8"/>
  <c r="O12" i="8" s="1"/>
  <c r="Q12" i="8" s="1"/>
  <c r="F12" i="8"/>
  <c r="AS9" i="5"/>
  <c r="R9" i="6" a="1"/>
  <c r="R9" i="6" s="1"/>
  <c r="U9" i="6" s="1"/>
  <c r="AC9" i="6" s="1"/>
  <c r="AQ11" i="5"/>
  <c r="Y16" i="6"/>
  <c r="AQ37" i="5"/>
  <c r="L37" i="8"/>
  <c r="F37" i="8"/>
  <c r="R34" i="6" a="1"/>
  <c r="R34" i="6" s="1"/>
  <c r="U34" i="6" s="1"/>
  <c r="AC34" i="6" s="1"/>
  <c r="AQ55" i="5"/>
  <c r="AQ59" i="5"/>
  <c r="L94" i="8"/>
  <c r="P94" i="8" s="1"/>
  <c r="F94" i="8"/>
  <c r="R91" i="6" a="1"/>
  <c r="R91" i="6" s="1"/>
  <c r="U91" i="6" s="1"/>
  <c r="AC91" i="6" s="1"/>
  <c r="T2" i="6"/>
  <c r="AB2" i="6" s="1"/>
  <c r="AG2" i="6" s="1"/>
  <c r="Y26" i="6"/>
  <c r="AG26" i="6" s="1"/>
  <c r="E37" i="8"/>
  <c r="M37" i="8"/>
  <c r="N34" i="6" a="1"/>
  <c r="N34" i="6" s="1"/>
  <c r="L77" i="8"/>
  <c r="O77" i="8" s="1"/>
  <c r="Q77" i="8" s="1"/>
  <c r="R74" i="6" a="1"/>
  <c r="R74" i="6" s="1"/>
  <c r="U74" i="6" s="1"/>
  <c r="AC74" i="6" s="1"/>
  <c r="F77" i="8"/>
  <c r="F61" i="8"/>
  <c r="R58" i="6" a="1"/>
  <c r="R58" i="6" s="1"/>
  <c r="U58" i="6" s="1"/>
  <c r="AC58" i="6" s="1"/>
  <c r="L61" i="8"/>
  <c r="AS58" i="5"/>
  <c r="W2" i="6"/>
  <c r="F68" i="8"/>
  <c r="L68" i="8"/>
  <c r="R65" i="6" a="1"/>
  <c r="R65" i="6" s="1"/>
  <c r="U65" i="6" s="1"/>
  <c r="AC65" i="6" s="1"/>
  <c r="K97" i="8"/>
  <c r="AQ94" i="5"/>
  <c r="L33" i="8"/>
  <c r="F33" i="8"/>
  <c r="R30" i="6" a="1"/>
  <c r="R30" i="6" s="1"/>
  <c r="U30" i="6" s="1"/>
  <c r="AC30" i="6" s="1"/>
  <c r="AG30" i="6" s="1"/>
  <c r="K35" i="8"/>
  <c r="AQ32" i="5"/>
  <c r="L52" i="8"/>
  <c r="F52" i="8"/>
  <c r="AS49" i="5"/>
  <c r="R49" i="6" a="1"/>
  <c r="R49" i="6" s="1"/>
  <c r="U49" i="6" s="1"/>
  <c r="AC49" i="6" s="1"/>
  <c r="AS70" i="5"/>
  <c r="Y10" i="6"/>
  <c r="AG10" i="6" s="1"/>
  <c r="W10" i="6"/>
  <c r="Y35" i="6"/>
  <c r="W35" i="6"/>
  <c r="E10" i="8"/>
  <c r="M10" i="8"/>
  <c r="N7" i="6" a="1"/>
  <c r="N7" i="6" s="1"/>
  <c r="E19" i="8"/>
  <c r="M19" i="8"/>
  <c r="N16" i="6" a="1"/>
  <c r="N16" i="6" s="1"/>
  <c r="E28" i="8"/>
  <c r="M28" i="8"/>
  <c r="N25" i="6" a="1"/>
  <c r="N25" i="6" s="1"/>
  <c r="E46" i="8"/>
  <c r="M46" i="8"/>
  <c r="N43" i="6" a="1"/>
  <c r="N43" i="6" s="1"/>
  <c r="E55" i="8"/>
  <c r="M55" i="8"/>
  <c r="N52" i="6" a="1"/>
  <c r="N52" i="6" s="1"/>
  <c r="E64" i="8"/>
  <c r="M64" i="8"/>
  <c r="N61" i="6" a="1"/>
  <c r="N61" i="6" s="1"/>
  <c r="E73" i="8"/>
  <c r="O73" i="8" s="1"/>
  <c r="Q73" i="8" s="1"/>
  <c r="M73" i="8"/>
  <c r="N70" i="6" a="1"/>
  <c r="N70" i="6" s="1"/>
  <c r="E82" i="8"/>
  <c r="N79" i="6" a="1"/>
  <c r="N79" i="6" s="1"/>
  <c r="M82" i="8"/>
  <c r="E91" i="8"/>
  <c r="O91" i="8" s="1"/>
  <c r="Q91" i="8" s="1"/>
  <c r="N88" i="6" a="1"/>
  <c r="N88" i="6" s="1"/>
  <c r="M91" i="8"/>
  <c r="K79" i="8"/>
  <c r="AQ76" i="5"/>
  <c r="T3" i="6"/>
  <c r="AB3" i="6" s="1"/>
  <c r="AG3" i="6" s="1"/>
  <c r="X16" i="6"/>
  <c r="V16" i="6"/>
  <c r="K44" i="8"/>
  <c r="O44" i="8" s="1"/>
  <c r="Q44" i="8" s="1"/>
  <c r="AQ41" i="5"/>
  <c r="F57" i="8"/>
  <c r="O57" i="8" s="1"/>
  <c r="Q57" i="8" s="1"/>
  <c r="L57" i="8"/>
  <c r="R54" i="6" a="1"/>
  <c r="R54" i="6" s="1"/>
  <c r="U54" i="6" s="1"/>
  <c r="AC54" i="6" s="1"/>
  <c r="AG54" i="6" s="1"/>
  <c r="AS54" i="5"/>
  <c r="K63" i="8"/>
  <c r="AQ60" i="5"/>
  <c r="L91" i="8"/>
  <c r="F91" i="8"/>
  <c r="R88" i="6" a="1"/>
  <c r="R88" i="6" s="1"/>
  <c r="U88" i="6" s="1"/>
  <c r="AC88" i="6" s="1"/>
  <c r="AS88" i="5"/>
  <c r="Y9" i="6"/>
  <c r="F15" i="8"/>
  <c r="L15" i="8"/>
  <c r="R12" i="6" a="1"/>
  <c r="R12" i="6" s="1"/>
  <c r="U12" i="6" s="1"/>
  <c r="AC12" i="6" s="1"/>
  <c r="AG12" i="6" s="1"/>
  <c r="K17" i="8"/>
  <c r="AQ14" i="5"/>
  <c r="F90" i="8"/>
  <c r="P90" i="8" s="1"/>
  <c r="R87" i="6" a="1"/>
  <c r="R87" i="6" s="1"/>
  <c r="U87" i="6" s="1"/>
  <c r="AC87" i="6" s="1"/>
  <c r="L90" i="8"/>
  <c r="O90" i="8" s="1"/>
  <c r="Q90" i="8" s="1"/>
  <c r="AG25" i="6"/>
  <c r="E22" i="8"/>
  <c r="M22" i="8"/>
  <c r="N19" i="6" a="1"/>
  <c r="N19" i="6" s="1"/>
  <c r="E31" i="8"/>
  <c r="P31" i="8" s="1"/>
  <c r="M31" i="8"/>
  <c r="N28" i="6" a="1"/>
  <c r="N28" i="6" s="1"/>
  <c r="E67" i="8"/>
  <c r="N64" i="6" a="1"/>
  <c r="N64" i="6" s="1"/>
  <c r="M67" i="8"/>
  <c r="N82" i="6" a="1"/>
  <c r="N82" i="6" s="1"/>
  <c r="E85" i="8"/>
  <c r="M85" i="8"/>
  <c r="F7" i="8"/>
  <c r="O7" i="8" s="1"/>
  <c r="L7" i="8"/>
  <c r="AS4" i="5"/>
  <c r="R4" i="6" a="1"/>
  <c r="R4" i="6" s="1"/>
  <c r="U4" i="6" s="1"/>
  <c r="AC4" i="6" s="1"/>
  <c r="AS25" i="5"/>
  <c r="M6" i="8"/>
  <c r="O6" i="8" s="1"/>
  <c r="E6" i="8"/>
  <c r="E15" i="8"/>
  <c r="M15" i="8"/>
  <c r="N12" i="6" a="1"/>
  <c r="N12" i="6" s="1"/>
  <c r="M24" i="8"/>
  <c r="E24" i="8"/>
  <c r="P24" i="8" s="1"/>
  <c r="N21" i="6" a="1"/>
  <c r="N21" i="6" s="1"/>
  <c r="E33" i="8"/>
  <c r="M33" i="8"/>
  <c r="O33" i="8" s="1"/>
  <c r="Q33" i="8" s="1"/>
  <c r="N30" i="6" a="1"/>
  <c r="N30" i="6" s="1"/>
  <c r="E42" i="8"/>
  <c r="N39" i="6" a="1"/>
  <c r="N39" i="6" s="1"/>
  <c r="M42" i="8"/>
  <c r="M51" i="8"/>
  <c r="E51" i="8"/>
  <c r="O51" i="8" s="1"/>
  <c r="Q51" i="8" s="1"/>
  <c r="N48" i="6" a="1"/>
  <c r="N48" i="6" s="1"/>
  <c r="M60" i="8"/>
  <c r="E60" i="8"/>
  <c r="O60" i="8" s="1"/>
  <c r="N57" i="6" a="1"/>
  <c r="N57" i="6" s="1"/>
  <c r="E69" i="8"/>
  <c r="M69" i="8"/>
  <c r="N66" i="6" a="1"/>
  <c r="N66" i="6" s="1"/>
  <c r="N75" i="6" a="1"/>
  <c r="N75" i="6" s="1"/>
  <c r="M78" i="8"/>
  <c r="E78" i="8"/>
  <c r="E87" i="8"/>
  <c r="M87" i="8"/>
  <c r="N84" i="6" a="1"/>
  <c r="N84" i="6" s="1"/>
  <c r="E96" i="8"/>
  <c r="M96" i="8"/>
  <c r="N93" i="6" a="1"/>
  <c r="N93" i="6" s="1"/>
  <c r="AQ2" i="5"/>
  <c r="AS21" i="5"/>
  <c r="F48" i="8"/>
  <c r="L48" i="8"/>
  <c r="R45" i="6" a="1"/>
  <c r="R45" i="6" s="1"/>
  <c r="U45" i="6" s="1"/>
  <c r="AC45" i="6" s="1"/>
  <c r="AG45" i="6" s="1"/>
  <c r="AS45" i="5"/>
  <c r="K96" i="8"/>
  <c r="AQ93" i="5"/>
  <c r="AG8" i="6"/>
  <c r="R13" i="6" a="1"/>
  <c r="R13" i="6" s="1"/>
  <c r="U13" i="6" s="1"/>
  <c r="AC13" i="6" s="1"/>
  <c r="AG17" i="6"/>
  <c r="F10" i="8"/>
  <c r="L10" i="8"/>
  <c r="R7" i="6" a="1"/>
  <c r="R7" i="6" s="1"/>
  <c r="U7" i="6" s="1"/>
  <c r="AC7" i="6" s="1"/>
  <c r="AQ28" i="5"/>
  <c r="AQ47" i="5"/>
  <c r="F74" i="8"/>
  <c r="L74" i="8"/>
  <c r="R71" i="6" a="1"/>
  <c r="R71" i="6" s="1"/>
  <c r="U71" i="6" s="1"/>
  <c r="AC71" i="6" s="1"/>
  <c r="AS71" i="5"/>
  <c r="K76" i="8"/>
  <c r="AQ73" i="5"/>
  <c r="W9" i="6"/>
  <c r="V21" i="6"/>
  <c r="Y48" i="6"/>
  <c r="X48" i="6"/>
  <c r="AG48" i="6" s="1"/>
  <c r="AG63" i="6"/>
  <c r="F83" i="8"/>
  <c r="L83" i="8"/>
  <c r="R80" i="6" a="1"/>
  <c r="R80" i="6" s="1"/>
  <c r="U80" i="6" s="1"/>
  <c r="AC80" i="6" s="1"/>
  <c r="AS80" i="5"/>
  <c r="X7" i="6"/>
  <c r="Y54" i="6"/>
  <c r="AQ7" i="5"/>
  <c r="L19" i="8"/>
  <c r="F19" i="8"/>
  <c r="O19" i="8" s="1"/>
  <c r="R16" i="6" a="1"/>
  <c r="R16" i="6" s="1"/>
  <c r="U16" i="6" s="1"/>
  <c r="AC16" i="6" s="1"/>
  <c r="K55" i="8"/>
  <c r="O55" i="8" s="1"/>
  <c r="AQ52" i="5"/>
  <c r="AQ56" i="5"/>
  <c r="L87" i="8"/>
  <c r="F87" i="8"/>
  <c r="O87" i="8" s="1"/>
  <c r="Q87" i="8" s="1"/>
  <c r="R84" i="6" a="1"/>
  <c r="R84" i="6" s="1"/>
  <c r="U84" i="6" s="1"/>
  <c r="AC84" i="6" s="1"/>
  <c r="AS84" i="5"/>
  <c r="Y3" i="6"/>
  <c r="Z4" i="6"/>
  <c r="F56" i="8"/>
  <c r="L56" i="8"/>
  <c r="AS53" i="5"/>
  <c r="R53" i="6" a="1"/>
  <c r="R53" i="6" s="1"/>
  <c r="U53" i="6" s="1"/>
  <c r="AC53" i="6" s="1"/>
  <c r="L60" i="8"/>
  <c r="F60" i="8"/>
  <c r="R57" i="6" a="1"/>
  <c r="R57" i="6" s="1"/>
  <c r="U57" i="6" s="1"/>
  <c r="AC57" i="6" s="1"/>
  <c r="U17" i="6"/>
  <c r="AC17" i="6" s="1"/>
  <c r="M17" i="8"/>
  <c r="E17" i="8"/>
  <c r="N14" i="6" a="1"/>
  <c r="N14" i="6" s="1"/>
  <c r="M35" i="8"/>
  <c r="N32" i="6" a="1"/>
  <c r="N32" i="6" s="1"/>
  <c r="E35" i="8"/>
  <c r="P35" i="8" s="1"/>
  <c r="M53" i="8"/>
  <c r="N50" i="6" a="1"/>
  <c r="N50" i="6" s="1"/>
  <c r="E53" i="8"/>
  <c r="L6" i="8"/>
  <c r="F6" i="8"/>
  <c r="R3" i="6" a="1"/>
  <c r="R3" i="6" s="1"/>
  <c r="U3" i="6" s="1"/>
  <c r="AC3" i="6" s="1"/>
  <c r="K8" i="8"/>
  <c r="AQ5" i="5"/>
  <c r="Y8" i="6"/>
  <c r="L42" i="8"/>
  <c r="F42" i="8"/>
  <c r="P42" i="8" s="1"/>
  <c r="R39" i="6" a="1"/>
  <c r="R39" i="6" s="1"/>
  <c r="U39" i="6" s="1"/>
  <c r="AC39" i="6" s="1"/>
  <c r="AG39" i="6" s="1"/>
  <c r="AG22" i="6"/>
  <c r="L34" i="8"/>
  <c r="F34" i="8"/>
  <c r="AS31" i="5"/>
  <c r="R31" i="6" a="1"/>
  <c r="R31" i="6" s="1"/>
  <c r="U31" i="6" s="1"/>
  <c r="AC31" i="6" s="1"/>
  <c r="Y40" i="6"/>
  <c r="AG40" i="6" s="1"/>
  <c r="W40" i="6"/>
  <c r="E13" i="8"/>
  <c r="O13" i="8" s="1"/>
  <c r="Q13" i="8" s="1"/>
  <c r="M13" i="8"/>
  <c r="E40" i="8"/>
  <c r="M40" i="8"/>
  <c r="N37" i="6" a="1"/>
  <c r="N37" i="6" s="1"/>
  <c r="E49" i="8"/>
  <c r="P49" i="8" s="1"/>
  <c r="M49" i="8"/>
  <c r="E58" i="8"/>
  <c r="M58" i="8"/>
  <c r="N73" i="6" a="1"/>
  <c r="N73" i="6" s="1"/>
  <c r="E76" i="8"/>
  <c r="P76" i="8" s="1"/>
  <c r="M76" i="8"/>
  <c r="N91" i="6" a="1"/>
  <c r="N91" i="6" s="1"/>
  <c r="E94" i="8"/>
  <c r="M94" i="8"/>
  <c r="AQ25" i="5"/>
  <c r="L78" i="8"/>
  <c r="F78" i="8"/>
  <c r="R75" i="6" a="1"/>
  <c r="R75" i="6" s="1"/>
  <c r="U75" i="6" s="1"/>
  <c r="AC75" i="6" s="1"/>
  <c r="AS75" i="5"/>
  <c r="M8" i="8"/>
  <c r="E8" i="8"/>
  <c r="P8" i="8" s="1"/>
  <c r="N5" i="6" a="1"/>
  <c r="N5" i="6" s="1"/>
  <c r="M26" i="8"/>
  <c r="E26" i="8"/>
  <c r="O26" i="8" s="1"/>
  <c r="Q26" i="8" s="1"/>
  <c r="N23" i="6" a="1"/>
  <c r="N23" i="6" s="1"/>
  <c r="M44" i="8"/>
  <c r="E44" i="8"/>
  <c r="P44" i="8" s="1"/>
  <c r="N41" i="6" a="1"/>
  <c r="N41" i="6" s="1"/>
  <c r="M62" i="8"/>
  <c r="E62" i="8"/>
  <c r="N59" i="6" a="1"/>
  <c r="N59" i="6" s="1"/>
  <c r="M71" i="8"/>
  <c r="N68" i="6" a="1"/>
  <c r="N68" i="6" s="1"/>
  <c r="E71" i="8"/>
  <c r="M80" i="8"/>
  <c r="E80" i="8"/>
  <c r="N77" i="6" a="1"/>
  <c r="N77" i="6" s="1"/>
  <c r="M89" i="8"/>
  <c r="N86" i="6" a="1"/>
  <c r="N86" i="6" s="1"/>
  <c r="E89" i="8"/>
  <c r="O89" i="8" s="1"/>
  <c r="F25" i="8"/>
  <c r="L25" i="8"/>
  <c r="AS22" i="5"/>
  <c r="R22" i="6" a="1"/>
  <c r="R22" i="6" s="1"/>
  <c r="U22" i="6" s="1"/>
  <c r="AC22" i="6" s="1"/>
  <c r="F55" i="8"/>
  <c r="L55" i="8"/>
  <c r="R52" i="6" a="1"/>
  <c r="R52" i="6" s="1"/>
  <c r="U52" i="6" s="1"/>
  <c r="AC52" i="6" s="1"/>
  <c r="AG52" i="6" s="1"/>
  <c r="F21" i="8"/>
  <c r="L21" i="8"/>
  <c r="AS18" i="5"/>
  <c r="AS43" i="5"/>
  <c r="L51" i="8"/>
  <c r="F51" i="8"/>
  <c r="R48" i="6" a="1"/>
  <c r="R48" i="6" s="1"/>
  <c r="U48" i="6" s="1"/>
  <c r="AC48" i="6" s="1"/>
  <c r="K53" i="8"/>
  <c r="AQ50" i="5"/>
  <c r="F70" i="8"/>
  <c r="P70" i="8" s="1"/>
  <c r="R67" i="6" a="1"/>
  <c r="R67" i="6" s="1"/>
  <c r="U67" i="6" s="1"/>
  <c r="AC67" i="6" s="1"/>
  <c r="AG67" i="6" s="1"/>
  <c r="L70" i="8"/>
  <c r="AS67" i="5"/>
  <c r="F81" i="8"/>
  <c r="L81" i="8"/>
  <c r="R78" i="6" a="1"/>
  <c r="R78" i="6" s="1"/>
  <c r="U78" i="6" s="1"/>
  <c r="AC78" i="6" s="1"/>
  <c r="T21" i="6"/>
  <c r="AB21" i="6" s="1"/>
  <c r="AG27" i="6"/>
  <c r="AG62" i="6"/>
  <c r="T34" i="6"/>
  <c r="AB34" i="6" s="1"/>
  <c r="V40" i="6"/>
  <c r="V55" i="6"/>
  <c r="Z62" i="6"/>
  <c r="F72" i="8"/>
  <c r="X77" i="6"/>
  <c r="AG77" i="6" s="1"/>
  <c r="Y77" i="6"/>
  <c r="Y32" i="6"/>
  <c r="AG32" i="6" s="1"/>
  <c r="V44" i="6"/>
  <c r="T44" i="6"/>
  <c r="AB44" i="6" s="1"/>
  <c r="V61" i="6"/>
  <c r="Z90" i="6"/>
  <c r="AG90" i="6" s="1"/>
  <c r="AS11" i="5"/>
  <c r="F20" i="8"/>
  <c r="L20" i="8"/>
  <c r="F38" i="8"/>
  <c r="O38" i="8" s="1"/>
  <c r="Q38" i="8" s="1"/>
  <c r="L38" i="8"/>
  <c r="AS38" i="5"/>
  <c r="F47" i="8"/>
  <c r="L47" i="8"/>
  <c r="L69" i="8"/>
  <c r="R66" i="6" a="1"/>
  <c r="R66" i="6" s="1"/>
  <c r="U66" i="6" s="1"/>
  <c r="AC66" i="6" s="1"/>
  <c r="F69" i="8"/>
  <c r="L82" i="8"/>
  <c r="F82" i="8"/>
  <c r="R79" i="6" a="1"/>
  <c r="R79" i="6" s="1"/>
  <c r="U79" i="6" s="1"/>
  <c r="AC79" i="6" s="1"/>
  <c r="Z14" i="6"/>
  <c r="AG14" i="6" s="1"/>
  <c r="V25" i="6"/>
  <c r="V58" i="6"/>
  <c r="U92" i="6"/>
  <c r="AC92" i="6" s="1"/>
  <c r="AG92" i="6" s="1"/>
  <c r="P66" i="8"/>
  <c r="AG34" i="6"/>
  <c r="X55" i="6"/>
  <c r="AG55" i="6" s="1"/>
  <c r="Y55" i="6"/>
  <c r="Y60" i="6"/>
  <c r="AG42" i="6"/>
  <c r="W54" i="6"/>
  <c r="M21" i="8"/>
  <c r="E21" i="8"/>
  <c r="E30" i="8"/>
  <c r="P30" i="8" s="1"/>
  <c r="M30" i="8"/>
  <c r="N27" i="6" a="1"/>
  <c r="N27" i="6" s="1"/>
  <c r="E39" i="8"/>
  <c r="M39" i="8"/>
  <c r="N36" i="6" a="1"/>
  <c r="N36" i="6" s="1"/>
  <c r="E48" i="8"/>
  <c r="M48" i="8"/>
  <c r="N45" i="6" a="1"/>
  <c r="N45" i="6" s="1"/>
  <c r="M57" i="8"/>
  <c r="E57" i="8"/>
  <c r="E66" i="8"/>
  <c r="N63" i="6" a="1"/>
  <c r="N63" i="6" s="1"/>
  <c r="M75" i="8"/>
  <c r="E75" i="8"/>
  <c r="N72" i="6" a="1"/>
  <c r="N72" i="6" s="1"/>
  <c r="E84" i="8"/>
  <c r="M84" i="8"/>
  <c r="N81" i="6" a="1"/>
  <c r="N81" i="6" s="1"/>
  <c r="M93" i="8"/>
  <c r="E93" i="8"/>
  <c r="O93" i="8" s="1"/>
  <c r="Q93" i="8" s="1"/>
  <c r="N90" i="6" a="1"/>
  <c r="N90" i="6" s="1"/>
  <c r="L59" i="8"/>
  <c r="F59" i="8"/>
  <c r="R56" i="6" a="1"/>
  <c r="R56" i="6" s="1"/>
  <c r="U56" i="6" s="1"/>
  <c r="AC56" i="6" s="1"/>
  <c r="L85" i="8"/>
  <c r="P85" i="8" s="1"/>
  <c r="R82" i="6" a="1"/>
  <c r="R82" i="6" s="1"/>
  <c r="U82" i="6" s="1"/>
  <c r="AC82" i="6" s="1"/>
  <c r="AG82" i="6" s="1"/>
  <c r="F85" i="8"/>
  <c r="V24" i="6"/>
  <c r="T24" i="6"/>
  <c r="AB24" i="6" s="1"/>
  <c r="AG29" i="6"/>
  <c r="Z32" i="6"/>
  <c r="W32" i="6"/>
  <c r="W39" i="6"/>
  <c r="Y42" i="6"/>
  <c r="Y49" i="6"/>
  <c r="W49" i="6"/>
  <c r="T50" i="6"/>
  <c r="AB50" i="6" s="1"/>
  <c r="AG50" i="6" s="1"/>
  <c r="O8" i="8"/>
  <c r="Q8" i="8" s="1"/>
  <c r="E12" i="8"/>
  <c r="P12" i="8" s="1"/>
  <c r="M66" i="8"/>
  <c r="L23" i="8"/>
  <c r="F23" i="8"/>
  <c r="O23" i="8" s="1"/>
  <c r="L32" i="8"/>
  <c r="F32" i="8"/>
  <c r="P32" i="8" s="1"/>
  <c r="L41" i="8"/>
  <c r="F41" i="8"/>
  <c r="L50" i="8"/>
  <c r="R47" i="6" a="1"/>
  <c r="R47" i="6" s="1"/>
  <c r="U47" i="6" s="1"/>
  <c r="AC47" i="6" s="1"/>
  <c r="F50" i="8"/>
  <c r="Y31" i="6"/>
  <c r="AG31" i="6" s="1"/>
  <c r="M5" i="8"/>
  <c r="E5" i="8"/>
  <c r="O5" i="8" s="1"/>
  <c r="M14" i="8"/>
  <c r="E14" i="8"/>
  <c r="O14" i="8" s="1"/>
  <c r="N11" i="6" a="1"/>
  <c r="N11" i="6" s="1"/>
  <c r="M32" i="8"/>
  <c r="E32" i="8"/>
  <c r="N29" i="6" a="1"/>
  <c r="N29" i="6" s="1"/>
  <c r="M59" i="8"/>
  <c r="E59" i="8"/>
  <c r="P59" i="8" s="1"/>
  <c r="N56" i="6" a="1"/>
  <c r="N56" i="6" s="1"/>
  <c r="M68" i="8"/>
  <c r="E68" i="8"/>
  <c r="P68" i="8" s="1"/>
  <c r="N65" i="6" a="1"/>
  <c r="N65" i="6" s="1"/>
  <c r="AQ36" i="5"/>
  <c r="AQ45" i="5"/>
  <c r="Y4" i="6"/>
  <c r="AG4" i="6" s="1"/>
  <c r="W17" i="6"/>
  <c r="Y38" i="6"/>
  <c r="AG38" i="6" s="1"/>
  <c r="W51" i="6"/>
  <c r="Y53" i="6"/>
  <c r="AG53" i="6" s="1"/>
  <c r="V54" i="6"/>
  <c r="V63" i="6"/>
  <c r="L9" i="8"/>
  <c r="F9" i="8"/>
  <c r="L18" i="8"/>
  <c r="F18" i="8"/>
  <c r="O18" i="8" s="1"/>
  <c r="F27" i="8"/>
  <c r="O27" i="8" s="1"/>
  <c r="Q27" i="8" s="1"/>
  <c r="L27" i="8"/>
  <c r="L45" i="8"/>
  <c r="F45" i="8"/>
  <c r="F54" i="8"/>
  <c r="L54" i="8"/>
  <c r="AQ71" i="5"/>
  <c r="F80" i="8"/>
  <c r="L80" i="8"/>
  <c r="R77" i="6" a="1"/>
  <c r="R77" i="6" s="1"/>
  <c r="U77" i="6" s="1"/>
  <c r="AC77" i="6" s="1"/>
  <c r="Y25" i="6"/>
  <c r="T27" i="6"/>
  <c r="AB27" i="6" s="1"/>
  <c r="V31" i="6"/>
  <c r="Y75" i="6"/>
  <c r="W75" i="6"/>
  <c r="O41" i="8"/>
  <c r="O56" i="8"/>
  <c r="P91" i="8"/>
  <c r="E7" i="8"/>
  <c r="M7" i="8"/>
  <c r="M16" i="8"/>
  <c r="E16" i="8"/>
  <c r="E25" i="8"/>
  <c r="M25" i="8"/>
  <c r="E34" i="8"/>
  <c r="M34" i="8"/>
  <c r="E43" i="8"/>
  <c r="M43" i="8"/>
  <c r="N40" i="6" a="1"/>
  <c r="N40" i="6" s="1"/>
  <c r="E52" i="8"/>
  <c r="M52" i="8"/>
  <c r="N49" i="6" a="1"/>
  <c r="N49" i="6" s="1"/>
  <c r="E61" i="8"/>
  <c r="M61" i="8"/>
  <c r="O61" i="8" s="1"/>
  <c r="M70" i="8"/>
  <c r="E70" i="8"/>
  <c r="N67" i="6" a="1"/>
  <c r="N67" i="6" s="1"/>
  <c r="N76" i="6" a="1"/>
  <c r="N76" i="6" s="1"/>
  <c r="E79" i="8"/>
  <c r="O79" i="8" s="1"/>
  <c r="Q79" i="8" s="1"/>
  <c r="M79" i="8"/>
  <c r="N85" i="6" a="1"/>
  <c r="N85" i="6" s="1"/>
  <c r="M88" i="8"/>
  <c r="E88" i="8"/>
  <c r="N94" i="6" a="1"/>
  <c r="N94" i="6" s="1"/>
  <c r="M97" i="8"/>
  <c r="E97" i="8"/>
  <c r="P97" i="8" s="1"/>
  <c r="AQ4" i="5"/>
  <c r="AQ13" i="5"/>
  <c r="AQ22" i="5"/>
  <c r="AQ31" i="5"/>
  <c r="AQ40" i="5"/>
  <c r="AQ49" i="5"/>
  <c r="L58" i="8"/>
  <c r="O58" i="8" s="1"/>
  <c r="Q58" i="8" s="1"/>
  <c r="R55" i="6" a="1"/>
  <c r="R55" i="6" s="1"/>
  <c r="U55" i="6" s="1"/>
  <c r="AC55" i="6" s="1"/>
  <c r="F58" i="8"/>
  <c r="AQ62" i="5"/>
  <c r="K78" i="8"/>
  <c r="AQ75" i="5"/>
  <c r="R81" i="6" a="1"/>
  <c r="R81" i="6" s="1"/>
  <c r="U81" i="6" s="1"/>
  <c r="AC81" i="6" s="1"/>
  <c r="F84" i="8"/>
  <c r="L84" i="8"/>
  <c r="W8" i="6"/>
  <c r="N18" i="6" a="1"/>
  <c r="N18" i="6" s="1"/>
  <c r="W22" i="6"/>
  <c r="R24" i="6" a="1"/>
  <c r="R24" i="6" s="1"/>
  <c r="U24" i="6" s="1"/>
  <c r="AC24" i="6" s="1"/>
  <c r="AG24" i="6" s="1"/>
  <c r="Z31" i="6"/>
  <c r="W31" i="6"/>
  <c r="R35" i="6" a="1"/>
  <c r="R35" i="6" s="1"/>
  <c r="U35" i="6" s="1"/>
  <c r="AC35" i="6" s="1"/>
  <c r="Z44" i="6"/>
  <c r="AG44" i="6" s="1"/>
  <c r="Y47" i="6"/>
  <c r="AG47" i="6" s="1"/>
  <c r="Z49" i="6"/>
  <c r="L89" i="8"/>
  <c r="R86" i="6" a="1"/>
  <c r="R86" i="6" s="1"/>
  <c r="U86" i="6" s="1"/>
  <c r="AC86" i="6" s="1"/>
  <c r="AS86" i="5"/>
  <c r="F89" i="8"/>
  <c r="AG75" i="6"/>
  <c r="AQ9" i="5"/>
  <c r="AQ18" i="5"/>
  <c r="AQ27" i="5"/>
  <c r="Y66" i="6"/>
  <c r="AG66" i="6" s="1"/>
  <c r="L36" i="8"/>
  <c r="F36" i="8"/>
  <c r="R33" i="6" a="1"/>
  <c r="R33" i="6" s="1"/>
  <c r="U33" i="6" s="1"/>
  <c r="AC33" i="6" s="1"/>
  <c r="AG33" i="6" s="1"/>
  <c r="AQ58" i="5"/>
  <c r="F67" i="8"/>
  <c r="P67" i="8" s="1"/>
  <c r="L67" i="8"/>
  <c r="R64" i="6" a="1"/>
  <c r="R64" i="6" s="1"/>
  <c r="U64" i="6" s="1"/>
  <c r="AC64" i="6" s="1"/>
  <c r="L13" i="8"/>
  <c r="F13" i="8"/>
  <c r="L22" i="8"/>
  <c r="F22" i="8"/>
  <c r="R19" i="6" a="1"/>
  <c r="R19" i="6" s="1"/>
  <c r="U19" i="6" s="1"/>
  <c r="AC19" i="6" s="1"/>
  <c r="L31" i="8"/>
  <c r="F31" i="8"/>
  <c r="F40" i="8"/>
  <c r="L40" i="8"/>
  <c r="P40" i="8" s="1"/>
  <c r="L49" i="8"/>
  <c r="F49" i="8"/>
  <c r="R46" i="6" a="1"/>
  <c r="R46" i="6" s="1"/>
  <c r="U46" i="6" s="1"/>
  <c r="AC46" i="6" s="1"/>
  <c r="L71" i="8"/>
  <c r="R68" i="6" a="1"/>
  <c r="R68" i="6" s="1"/>
  <c r="U68" i="6" s="1"/>
  <c r="AC68" i="6" s="1"/>
  <c r="AG68" i="6" s="1"/>
  <c r="F71" i="8"/>
  <c r="P71" i="8" s="1"/>
  <c r="K82" i="8"/>
  <c r="O82" i="8" s="1"/>
  <c r="Q82" i="8" s="1"/>
  <c r="AQ79" i="5"/>
  <c r="L88" i="8"/>
  <c r="F88" i="8"/>
  <c r="P88" i="8" s="1"/>
  <c r="R85" i="6" a="1"/>
  <c r="R85" i="6" s="1"/>
  <c r="U85" i="6" s="1"/>
  <c r="AC85" i="6" s="1"/>
  <c r="F92" i="8"/>
  <c r="R89" i="6" a="1"/>
  <c r="R89" i="6" s="1"/>
  <c r="U89" i="6" s="1"/>
  <c r="AC89" i="6" s="1"/>
  <c r="T5" i="6"/>
  <c r="AB5" i="6" s="1"/>
  <c r="AG5" i="6" s="1"/>
  <c r="V20" i="6"/>
  <c r="Z21" i="6"/>
  <c r="T43" i="6"/>
  <c r="AB43" i="6" s="1"/>
  <c r="AG43" i="6" s="1"/>
  <c r="W52" i="6"/>
  <c r="V56" i="6"/>
  <c r="L8" i="8"/>
  <c r="E41" i="8"/>
  <c r="P41" i="8" s="1"/>
  <c r="F5" i="8"/>
  <c r="L5" i="8"/>
  <c r="R2" i="6" a="1"/>
  <c r="R2" i="6" s="1"/>
  <c r="U2" i="6" s="1"/>
  <c r="AC2" i="6" s="1"/>
  <c r="L14" i="8"/>
  <c r="F14" i="8"/>
  <c r="W18" i="6"/>
  <c r="U28" i="6"/>
  <c r="AC28" i="6" s="1"/>
  <c r="AG28" i="6" s="1"/>
  <c r="V80" i="6"/>
  <c r="T80" i="6"/>
  <c r="AB80" i="6" s="1"/>
  <c r="AG80" i="6" s="1"/>
  <c r="L63" i="8"/>
  <c r="F63" i="8"/>
  <c r="L75" i="8"/>
  <c r="F75" i="8"/>
  <c r="AS79" i="5"/>
  <c r="N22" i="6" a="1"/>
  <c r="N22" i="6" s="1"/>
  <c r="Y33" i="6"/>
  <c r="Y72" i="6"/>
  <c r="AG72" i="6" s="1"/>
  <c r="AG76" i="6"/>
  <c r="L72" i="8"/>
  <c r="R69" i="6" a="1"/>
  <c r="R69" i="6" s="1"/>
  <c r="U69" i="6" s="1"/>
  <c r="AC69" i="6" s="1"/>
  <c r="R20" i="6" a="1"/>
  <c r="R20" i="6" s="1"/>
  <c r="U20" i="6" s="1"/>
  <c r="AC20" i="6" s="1"/>
  <c r="M23" i="8"/>
  <c r="N20" i="6" a="1"/>
  <c r="N20" i="6" s="1"/>
  <c r="E23" i="8"/>
  <c r="M50" i="8"/>
  <c r="E50" i="8"/>
  <c r="M77" i="8"/>
  <c r="E77" i="8"/>
  <c r="P77" i="8" s="1"/>
  <c r="N74" i="6" a="1"/>
  <c r="N74" i="6" s="1"/>
  <c r="M86" i="8"/>
  <c r="N83" i="6" a="1"/>
  <c r="N83" i="6" s="1"/>
  <c r="E86" i="8"/>
  <c r="M95" i="8"/>
  <c r="N92" i="6" a="1"/>
  <c r="N92" i="6" s="1"/>
  <c r="E95" i="8"/>
  <c r="AQ67" i="5"/>
  <c r="L76" i="8"/>
  <c r="F76" i="8"/>
  <c r="R73" i="6" a="1"/>
  <c r="R73" i="6" s="1"/>
  <c r="U73" i="6" s="1"/>
  <c r="AC73" i="6" s="1"/>
  <c r="T35" i="6"/>
  <c r="AB35" i="6" s="1"/>
  <c r="M9" i="8"/>
  <c r="E9" i="8"/>
  <c r="N6" i="6" a="1"/>
  <c r="N6" i="6" s="1"/>
  <c r="E27" i="8"/>
  <c r="M27" i="8"/>
  <c r="M36" i="8"/>
  <c r="E36" i="8"/>
  <c r="O36" i="8" s="1"/>
  <c r="E45" i="8"/>
  <c r="M45" i="8"/>
  <c r="N42" i="6" a="1"/>
  <c r="N42" i="6" s="1"/>
  <c r="M54" i="8"/>
  <c r="E54" i="8"/>
  <c r="P54" i="8" s="1"/>
  <c r="N51" i="6" a="1"/>
  <c r="N51" i="6" s="1"/>
  <c r="E63" i="8"/>
  <c r="P63" i="8" s="1"/>
  <c r="N60" i="6" a="1"/>
  <c r="N60" i="6" s="1"/>
  <c r="M63" i="8"/>
  <c r="M72" i="8"/>
  <c r="N69" i="6" a="1"/>
  <c r="N69" i="6" s="1"/>
  <c r="E72" i="8"/>
  <c r="M81" i="8"/>
  <c r="E81" i="8"/>
  <c r="N78" i="6" a="1"/>
  <c r="N78" i="6" s="1"/>
  <c r="E90" i="8"/>
  <c r="M90" i="8"/>
  <c r="N87" i="6" a="1"/>
  <c r="N87" i="6" s="1"/>
  <c r="AS8" i="5"/>
  <c r="F17" i="8"/>
  <c r="L17" i="8"/>
  <c r="R14" i="6" a="1"/>
  <c r="R14" i="6" s="1"/>
  <c r="U14" i="6" s="1"/>
  <c r="AC14" i="6" s="1"/>
  <c r="AS17" i="5"/>
  <c r="F26" i="8"/>
  <c r="L26" i="8"/>
  <c r="R23" i="6" a="1"/>
  <c r="R23" i="6" s="1"/>
  <c r="U23" i="6" s="1"/>
  <c r="AC23" i="6" s="1"/>
  <c r="AG23" i="6" s="1"/>
  <c r="AS26" i="5"/>
  <c r="L35" i="8"/>
  <c r="F35" i="8"/>
  <c r="R32" i="6" a="1"/>
  <c r="R32" i="6" s="1"/>
  <c r="U32" i="6" s="1"/>
  <c r="AC32" i="6" s="1"/>
  <c r="AS35" i="5"/>
  <c r="L44" i="8"/>
  <c r="R41" i="6" a="1"/>
  <c r="R41" i="6" s="1"/>
  <c r="U41" i="6" s="1"/>
  <c r="AC41" i="6" s="1"/>
  <c r="AG41" i="6" s="1"/>
  <c r="F44" i="8"/>
  <c r="AS44" i="5"/>
  <c r="F53" i="8"/>
  <c r="O53" i="8" s="1"/>
  <c r="Q53" i="8" s="1"/>
  <c r="R50" i="6" a="1"/>
  <c r="R50" i="6" s="1"/>
  <c r="U50" i="6" s="1"/>
  <c r="AC50" i="6" s="1"/>
  <c r="L53" i="8"/>
  <c r="F66" i="8"/>
  <c r="L66" i="8"/>
  <c r="AS66" i="5"/>
  <c r="K73" i="8"/>
  <c r="AQ70" i="5"/>
  <c r="F79" i="8"/>
  <c r="R76" i="6" a="1"/>
  <c r="R76" i="6" s="1"/>
  <c r="U76" i="6" s="1"/>
  <c r="AC76" i="6" s="1"/>
  <c r="L79" i="8"/>
  <c r="F96" i="8"/>
  <c r="L96" i="8"/>
  <c r="R93" i="6" a="1"/>
  <c r="R93" i="6" s="1"/>
  <c r="U93" i="6" s="1"/>
  <c r="AC93" i="6" s="1"/>
  <c r="AS93" i="5"/>
  <c r="Y7" i="6"/>
  <c r="N15" i="6" a="1"/>
  <c r="N15" i="6" s="1"/>
  <c r="Y19" i="6"/>
  <c r="AG19" i="6" s="1"/>
  <c r="AG20" i="6"/>
  <c r="X56" i="6"/>
  <c r="R59" i="6" a="1"/>
  <c r="R59" i="6" s="1"/>
  <c r="U59" i="6" s="1"/>
  <c r="AC59" i="6" s="1"/>
  <c r="AG59" i="6" s="1"/>
  <c r="Y79" i="6"/>
  <c r="W79" i="6"/>
  <c r="W30" i="6"/>
  <c r="X46" i="6"/>
  <c r="Y46" i="6"/>
  <c r="V46" i="6"/>
  <c r="AG64" i="6"/>
  <c r="T29" i="6"/>
  <c r="AB29" i="6" s="1"/>
  <c r="V32" i="6"/>
  <c r="Z50" i="6"/>
  <c r="Y74" i="6"/>
  <c r="Z20" i="6"/>
  <c r="T33" i="6"/>
  <c r="AB33" i="6" s="1"/>
  <c r="V48" i="6"/>
  <c r="V53" i="6"/>
  <c r="V69" i="6"/>
  <c r="V47" i="6"/>
  <c r="T48" i="6"/>
  <c r="AB48" i="6" s="1"/>
  <c r="T53" i="6"/>
  <c r="AB53" i="6" s="1"/>
  <c r="T55" i="6"/>
  <c r="AB55" i="6" s="1"/>
  <c r="Z74" i="6"/>
  <c r="AG74" i="6" s="1"/>
  <c r="L93" i="8"/>
  <c r="R90" i="6" a="1"/>
  <c r="R90" i="6" s="1"/>
  <c r="U90" i="6" s="1"/>
  <c r="AC90" i="6" s="1"/>
  <c r="T37" i="6"/>
  <c r="AB37" i="6" s="1"/>
  <c r="T59" i="6"/>
  <c r="AB59" i="6" s="1"/>
  <c r="T67" i="6"/>
  <c r="AB67" i="6" s="1"/>
  <c r="W21" i="6"/>
  <c r="W28" i="6"/>
  <c r="W41" i="6"/>
  <c r="T54" i="6"/>
  <c r="AB54" i="6" s="1"/>
  <c r="Y57" i="6"/>
  <c r="AG57" i="6" s="1"/>
  <c r="W62" i="6"/>
  <c r="W73" i="6"/>
  <c r="AG79" i="6"/>
  <c r="L97" i="8"/>
  <c r="F97" i="8"/>
  <c r="R94" i="6" a="1"/>
  <c r="R94" i="6" s="1"/>
  <c r="U94" i="6" s="1"/>
  <c r="AC94" i="6" s="1"/>
  <c r="V36" i="6"/>
  <c r="V42" i="6"/>
  <c r="Y69" i="6"/>
  <c r="AG69" i="6" s="1"/>
  <c r="T86" i="6"/>
  <c r="AB86" i="6" s="1"/>
  <c r="W89" i="6"/>
  <c r="O46" i="8"/>
  <c r="Q46" i="8" s="1"/>
  <c r="Y37" i="6"/>
  <c r="T61" i="6"/>
  <c r="AB61" i="6" s="1"/>
  <c r="V70" i="6"/>
  <c r="T78" i="6"/>
  <c r="AB78" i="6" s="1"/>
  <c r="AG78" i="6" s="1"/>
  <c r="Y93" i="6"/>
  <c r="X93" i="6"/>
  <c r="W60" i="6"/>
  <c r="W63" i="6"/>
  <c r="T70" i="6"/>
  <c r="AB70" i="6" s="1"/>
  <c r="Y83" i="6"/>
  <c r="V83" i="6"/>
  <c r="O94" i="8"/>
  <c r="Q94" i="8" s="1"/>
  <c r="V72" i="6"/>
  <c r="Z79" i="6"/>
  <c r="AG86" i="6"/>
  <c r="V41" i="6"/>
  <c r="Z57" i="6"/>
  <c r="V60" i="6"/>
  <c r="Y61" i="6"/>
  <c r="AG61" i="6" s="1"/>
  <c r="Z71" i="6"/>
  <c r="AG71" i="6" s="1"/>
  <c r="T89" i="6"/>
  <c r="AB89" i="6" s="1"/>
  <c r="AG89" i="6" s="1"/>
  <c r="P22" i="8"/>
  <c r="W69" i="6"/>
  <c r="W64" i="6"/>
  <c r="W76" i="6"/>
  <c r="L86" i="8"/>
  <c r="F86" i="8"/>
  <c r="O86" i="8" s="1"/>
  <c r="Q86" i="8" s="1"/>
  <c r="R83" i="6" a="1"/>
  <c r="R83" i="6" s="1"/>
  <c r="U83" i="6" s="1"/>
  <c r="AC83" i="6" s="1"/>
  <c r="L95" i="8"/>
  <c r="F95" i="8"/>
  <c r="W66" i="6"/>
  <c r="W70" i="6"/>
  <c r="P50" i="8"/>
  <c r="W83" i="6"/>
  <c r="V76" i="6"/>
  <c r="W92" i="6"/>
  <c r="Z82" i="6"/>
  <c r="T93" i="6"/>
  <c r="AB93" i="6" s="1"/>
  <c r="O40" i="8"/>
  <c r="V75" i="6"/>
  <c r="T90" i="6"/>
  <c r="AB90" i="6" s="1"/>
  <c r="Z91" i="6"/>
  <c r="AG91" i="6" s="1"/>
  <c r="P27" i="8"/>
  <c r="W65" i="6"/>
  <c r="Z67" i="6"/>
  <c r="T73" i="6"/>
  <c r="AB73" i="6" s="1"/>
  <c r="AG73" i="6" s="1"/>
  <c r="T74" i="6"/>
  <c r="AB74" i="6" s="1"/>
  <c r="Z81" i="6"/>
  <c r="AG81" i="6"/>
  <c r="AG85" i="6"/>
  <c r="Z93" i="6"/>
  <c r="O50" i="8"/>
  <c r="Q50" i="8" s="1"/>
  <c r="Z83" i="6"/>
  <c r="T84" i="6"/>
  <c r="AB84" i="6" s="1"/>
  <c r="AG84" i="6" s="1"/>
  <c r="P28" i="8"/>
  <c r="T88" i="6"/>
  <c r="AB88" i="6" s="1"/>
  <c r="AG88" i="6" s="1"/>
  <c r="V77" i="6"/>
  <c r="Y94" i="6"/>
  <c r="X94" i="6"/>
  <c r="W88" i="6"/>
  <c r="O10" i="8"/>
  <c r="Q10" i="8" s="1"/>
  <c r="P13" i="8"/>
  <c r="P46" i="8"/>
  <c r="P79" i="8"/>
  <c r="P33" i="8"/>
  <c r="T94" i="6"/>
  <c r="AB94" i="6" s="1"/>
  <c r="P10" i="8"/>
  <c r="O81" i="8"/>
  <c r="Q81" i="8" s="1"/>
  <c r="P81" i="8"/>
  <c r="O85" i="8"/>
  <c r="Q85" i="8" s="1"/>
  <c r="AG87" i="6"/>
  <c r="P92" i="8"/>
  <c r="O92" i="8"/>
  <c r="Q92" i="8" s="1"/>
  <c r="O42" i="8"/>
  <c r="P83" i="8"/>
  <c r="O83" i="8"/>
  <c r="Q83" i="8" s="1"/>
  <c r="O69" i="8"/>
  <c r="O9" i="8"/>
  <c r="Q9" i="8" s="1"/>
  <c r="P87" i="8"/>
  <c r="O29" i="8"/>
  <c r="P51" i="8"/>
  <c r="O96" i="8"/>
  <c r="Q96" i="8" s="1"/>
  <c r="O15" i="8"/>
  <c r="O78" i="8"/>
  <c r="Q78" i="8" s="1"/>
  <c r="Q55" i="8" l="1"/>
  <c r="Q19" i="8"/>
  <c r="Q56" i="8"/>
  <c r="O48" i="8"/>
  <c r="Q48" i="8" s="1"/>
  <c r="O63" i="8"/>
  <c r="Q63" i="8" s="1"/>
  <c r="O71" i="8"/>
  <c r="Q71" i="8" s="1"/>
  <c r="P65" i="8"/>
  <c r="Q65" i="8" s="1"/>
  <c r="O76" i="8"/>
  <c r="Q76" i="8" s="1"/>
  <c r="O24" i="8"/>
  <c r="Q24" i="8" s="1"/>
  <c r="O47" i="8"/>
  <c r="Q47" i="8" s="1"/>
  <c r="O35" i="8"/>
  <c r="Q35" i="8" s="1"/>
  <c r="AG93" i="6"/>
  <c r="O31" i="8"/>
  <c r="Q31" i="8" s="1"/>
  <c r="O68" i="8"/>
  <c r="Q68" i="8" s="1"/>
  <c r="P69" i="8"/>
  <c r="P15" i="8"/>
  <c r="Q15" i="8" s="1"/>
  <c r="P37" i="8"/>
  <c r="O37" i="8"/>
  <c r="Q37" i="8" s="1"/>
  <c r="Q69" i="8"/>
  <c r="P61" i="8"/>
  <c r="Q61" i="8" s="1"/>
  <c r="Q41" i="8"/>
  <c r="O28" i="8"/>
  <c r="Q28" i="8" s="1"/>
  <c r="O67" i="8"/>
  <c r="Q67" i="8" s="1"/>
  <c r="P86" i="8"/>
  <c r="P52" i="8"/>
  <c r="O52" i="8"/>
  <c r="Q52" i="8" s="1"/>
  <c r="P39" i="8"/>
  <c r="O39" i="8"/>
  <c r="P58" i="8"/>
  <c r="P6" i="8"/>
  <c r="Q6" i="8" s="1"/>
  <c r="O22" i="8"/>
  <c r="Q22" i="8" s="1"/>
  <c r="P19" i="8"/>
  <c r="P56" i="8"/>
  <c r="O64" i="8"/>
  <c r="Q64" i="8" s="1"/>
  <c r="AG37" i="6"/>
  <c r="AG49" i="6"/>
  <c r="O21" i="8"/>
  <c r="P21" i="8"/>
  <c r="AG58" i="6"/>
  <c r="P89" i="8"/>
  <c r="P7" i="8"/>
  <c r="Q7" i="8" s="1"/>
  <c r="O88" i="8"/>
  <c r="Q88" i="8" s="1"/>
  <c r="O34" i="8"/>
  <c r="P34" i="8"/>
  <c r="P84" i="8"/>
  <c r="O84" i="8"/>
  <c r="Q84" i="8" s="1"/>
  <c r="P38" i="8"/>
  <c r="P62" i="8"/>
  <c r="O62" i="8"/>
  <c r="Q62" i="8" s="1"/>
  <c r="O43" i="8"/>
  <c r="Q43" i="8" s="1"/>
  <c r="P43" i="8"/>
  <c r="P5" i="8"/>
  <c r="Q5" i="8" s="1"/>
  <c r="AG7" i="6"/>
  <c r="AG65" i="6"/>
  <c r="O54" i="8"/>
  <c r="Q54" i="8" s="1"/>
  <c r="P36" i="8"/>
  <c r="Q36" i="8" s="1"/>
  <c r="P9" i="8"/>
  <c r="P23" i="8"/>
  <c r="Q23" i="8" s="1"/>
  <c r="P16" i="8"/>
  <c r="O16" i="8"/>
  <c r="Q16" i="8" s="1"/>
  <c r="P96" i="8"/>
  <c r="AG16" i="6"/>
  <c r="O11" i="8"/>
  <c r="Q11" i="8" s="1"/>
  <c r="P11" i="8"/>
  <c r="O95" i="8"/>
  <c r="Q95" i="8" s="1"/>
  <c r="P95" i="8"/>
  <c r="Q29" i="8"/>
  <c r="Q42" i="8"/>
  <c r="P82" i="8"/>
  <c r="O32" i="8"/>
  <c r="Q32" i="8" s="1"/>
  <c r="P17" i="8"/>
  <c r="O17" i="8"/>
  <c r="P45" i="8"/>
  <c r="Q89" i="8"/>
  <c r="P48" i="8"/>
  <c r="P18" i="8"/>
  <c r="Q18" i="8" s="1"/>
  <c r="AG35" i="6"/>
  <c r="P14" i="8"/>
  <c r="Q14" i="8" s="1"/>
  <c r="O25" i="8"/>
  <c r="Q25" i="8" s="1"/>
  <c r="P75" i="8"/>
  <c r="O75" i="8"/>
  <c r="O80" i="8"/>
  <c r="Q80" i="8" s="1"/>
  <c r="O97" i="8"/>
  <c r="Q97" i="8" s="1"/>
  <c r="O30" i="8"/>
  <c r="Q30" i="8" s="1"/>
  <c r="O49" i="8"/>
  <c r="Q49" i="8" s="1"/>
  <c r="O66" i="8"/>
  <c r="Q66" i="8" s="1"/>
  <c r="O59" i="8"/>
  <c r="Q59" i="8" s="1"/>
  <c r="P26" i="8"/>
  <c r="P93" i="8"/>
  <c r="P60" i="8"/>
  <c r="Q60" i="8" s="1"/>
  <c r="P57" i="8"/>
  <c r="AG83" i="6"/>
  <c r="AG46" i="6"/>
  <c r="Q40" i="8"/>
  <c r="AG56" i="6"/>
  <c r="AG94" i="6"/>
  <c r="P73" i="8"/>
  <c r="O45" i="8"/>
  <c r="Q45" i="8" s="1"/>
  <c r="P72" i="8"/>
  <c r="P55" i="8"/>
  <c r="P80" i="8"/>
  <c r="O72" i="8"/>
  <c r="Q72" i="8" s="1"/>
  <c r="P25" i="8"/>
  <c r="O70" i="8"/>
  <c r="Q70" i="8" s="1"/>
  <c r="P53" i="8"/>
  <c r="P78" i="8"/>
  <c r="O74" i="8"/>
  <c r="Q74" i="8" s="1"/>
  <c r="P74" i="8"/>
  <c r="O20" i="8"/>
  <c r="Q20" i="8" s="1"/>
  <c r="P20" i="8"/>
  <c r="AU92" i="6" l="1"/>
  <c r="AU89" i="6"/>
  <c r="AU86" i="6"/>
  <c r="AU83" i="6"/>
  <c r="AU80" i="6"/>
  <c r="AU77" i="6"/>
  <c r="AU74" i="6"/>
  <c r="AU71" i="6"/>
  <c r="AU93" i="6"/>
  <c r="AU90" i="6"/>
  <c r="AU87" i="6"/>
  <c r="AU84" i="6"/>
  <c r="AU94" i="6"/>
  <c r="AU81" i="6"/>
  <c r="AU70" i="6"/>
  <c r="AU85" i="6"/>
  <c r="AU72" i="6"/>
  <c r="AU65" i="6"/>
  <c r="AU63" i="6"/>
  <c r="AU38" i="6"/>
  <c r="AU36" i="6"/>
  <c r="AU64" i="6"/>
  <c r="AU82" i="6"/>
  <c r="AU91" i="6"/>
  <c r="AU66" i="6"/>
  <c r="AU53" i="6"/>
  <c r="AU48" i="6"/>
  <c r="AU76" i="6"/>
  <c r="AU61" i="6"/>
  <c r="AU55" i="6"/>
  <c r="AU88" i="6"/>
  <c r="AU68" i="6"/>
  <c r="AU40" i="6"/>
  <c r="AU79" i="6"/>
  <c r="AU33" i="6"/>
  <c r="AU27" i="6"/>
  <c r="AU78" i="6"/>
  <c r="AU45" i="6"/>
  <c r="AU41" i="6"/>
  <c r="AU50" i="6"/>
  <c r="AU69" i="6"/>
  <c r="AU73" i="6"/>
  <c r="AU49" i="6"/>
  <c r="AU37" i="6"/>
  <c r="AU34" i="6"/>
  <c r="AU28" i="6"/>
  <c r="AU9" i="6"/>
  <c r="AU4" i="6"/>
  <c r="AU20" i="6"/>
  <c r="AU14" i="6"/>
  <c r="AU26" i="6"/>
  <c r="AU5" i="6"/>
  <c r="AU59" i="6"/>
  <c r="AU47" i="6"/>
  <c r="AU21" i="6"/>
  <c r="AU57" i="6"/>
  <c r="AU32" i="6"/>
  <c r="AU31" i="6"/>
  <c r="AU17" i="6"/>
  <c r="AU16" i="6"/>
  <c r="AU8" i="6"/>
  <c r="AU18" i="6"/>
  <c r="AU67" i="6"/>
  <c r="AU62" i="6"/>
  <c r="AU15" i="6"/>
  <c r="AU42" i="6"/>
  <c r="AU7" i="6"/>
  <c r="AU75" i="6"/>
  <c r="AU58" i="6"/>
  <c r="AU44" i="6"/>
  <c r="AU29" i="6"/>
  <c r="AU13" i="6"/>
  <c r="AU46" i="6"/>
  <c r="AU22" i="6"/>
  <c r="AU12" i="6"/>
  <c r="AU6" i="6"/>
  <c r="AU52" i="6"/>
  <c r="AU60" i="6"/>
  <c r="AU43" i="6"/>
  <c r="AU30" i="6"/>
  <c r="AU3" i="6"/>
  <c r="AU51" i="6"/>
  <c r="AU39" i="6"/>
  <c r="AU24" i="6"/>
  <c r="AU54" i="6"/>
  <c r="AU35" i="6"/>
  <c r="AU23" i="6"/>
  <c r="AU56" i="6"/>
  <c r="AU11" i="6"/>
  <c r="AU2" i="6"/>
  <c r="AU25" i="6"/>
  <c r="AU19" i="6"/>
  <c r="AU10" i="6"/>
  <c r="Q34" i="8"/>
  <c r="Q17" i="8"/>
  <c r="Q21" i="8"/>
  <c r="Q75" i="8"/>
  <c r="Q3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 authorId="0" shapeId="0" xr:uid="{00000000-0006-0000-0100-000001000000}">
      <text>
        <r>
          <rPr>
            <sz val="11"/>
            <color theme="1"/>
            <rFont val="Calibri"/>
            <family val="2"/>
            <charset val="1"/>
          </rPr>
          <t>Paste the shortest direct quote supporting the extracted fact.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200-000001000000}">
      <text>
        <r>
          <rPr>
            <sz val="11"/>
            <color theme="1"/>
            <rFont val="Calibri"/>
            <family val="2"/>
            <charset val="1"/>
          </rPr>
          <t>Unique company short name used as key across all sheets.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 authorId="0" shapeId="0" xr:uid="{00000000-0006-0000-0300-000001000000}">
      <text>
        <r>
          <rPr>
            <sz val="11"/>
            <color theme="1"/>
            <rFont val="Calibri"/>
            <family val="2"/>
            <charset val="1"/>
          </rPr>
          <t>Store numeric values only. Unit stays in header.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1" authorId="0" shapeId="0" xr:uid="{00000000-0006-0000-0400-000001000000}">
      <text>
        <r>
          <rPr>
            <sz val="11"/>
            <color theme="1"/>
            <rFont val="Calibri"/>
            <family val="2"/>
            <charset val="1"/>
          </rPr>
          <t>Standardize financial values to IDR bn where possible for comparability.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X1" authorId="0" shapeId="0" xr:uid="{00000000-0006-0000-0500-000001000000}">
      <text>
        <r>
          <rPr>
            <sz val="11"/>
            <color theme="1"/>
            <rFont val="Calibri"/>
            <family val="2"/>
            <charset val="1"/>
          </rPr>
          <t>Manual score 1-5 if desired; leave blank if using formula-based scoring only.</t>
        </r>
      </text>
    </comment>
  </commentList>
</comments>
</file>

<file path=xl/sharedStrings.xml><?xml version="1.0" encoding="utf-8"?>
<sst xmlns="http://schemas.openxmlformats.org/spreadsheetml/2006/main" count="72914" uniqueCount="11102">
  <si>
    <t>Date</t>
  </si>
  <si>
    <t>Ticker</t>
  </si>
  <si>
    <t>Year</t>
  </si>
  <si>
    <t>Field</t>
  </si>
  <si>
    <t>Previous Value</t>
  </si>
  <si>
    <t>Backfilled Value</t>
  </si>
  <si>
    <t>Source</t>
  </si>
  <si>
    <t>2026-04-19</t>
  </si>
  <si>
    <t>AALI</t>
  </si>
  <si>
    <t>ebit</t>
  </si>
  <si>
    <t>NotebookLM</t>
  </si>
  <si>
    <t>cash</t>
  </si>
  <si>
    <t>gross_debt</t>
  </si>
  <si>
    <t>cfo</t>
  </si>
  <si>
    <t>capex</t>
  </si>
  <si>
    <t>BISI</t>
  </si>
  <si>
    <t>BTEK</t>
  </si>
  <si>
    <t>eps</t>
  </si>
  <si>
    <t>BWPT</t>
  </si>
  <si>
    <t>MGRO</t>
  </si>
  <si>
    <t>MKTR</t>
  </si>
  <si>
    <t>NSSS</t>
  </si>
  <si>
    <t>TLDN</t>
  </si>
  <si>
    <t>UNSP</t>
  </si>
  <si>
    <t>ops.mill_capacity_tph</t>
  </si>
  <si>
    <t>ANDI</t>
  </si>
  <si>
    <t>ops.mature_area_ha</t>
  </si>
  <si>
    <t>ops.planted_area_total_ha</t>
  </si>
  <si>
    <t>ops.nucleus_area_ha</t>
  </si>
  <si>
    <t>ops.plasma_area_ha</t>
  </si>
  <si>
    <t>ops.kernel_crushing_count</t>
  </si>
  <si>
    <t>ops.cpo_refinery_count</t>
  </si>
  <si>
    <t>ops.immature_area_ha</t>
  </si>
  <si>
    <t>ops.domestic_sales_pct</t>
  </si>
  <si>
    <t>ops.export_sales_pct</t>
  </si>
  <si>
    <t>ANJT</t>
  </si>
  <si>
    <t>ops.avg_tree_age_years</t>
  </si>
  <si>
    <t>ops.oer_reported_pct</t>
  </si>
  <si>
    <t>CSRA</t>
  </si>
  <si>
    <t>DSNG</t>
  </si>
  <si>
    <t>ops.third_party_ffb_t</t>
  </si>
  <si>
    <t>FAPA</t>
  </si>
  <si>
    <t>GZCO</t>
  </si>
  <si>
    <t>JARR</t>
  </si>
  <si>
    <t>ops.cpo_production_t</t>
  </si>
  <si>
    <t>ops.kernel_production_t</t>
  </si>
  <si>
    <t>ops.avg_cpo_selling_price_rp_per_kg</t>
  </si>
  <si>
    <t>JAWA</t>
  </si>
  <si>
    <t>LSIP</t>
  </si>
  <si>
    <t>PGUN</t>
  </si>
  <si>
    <t>ops.ffb_production_t</t>
  </si>
  <si>
    <t>PNGO</t>
  </si>
  <si>
    <t>PTPS</t>
  </si>
  <si>
    <t>SGRO</t>
  </si>
  <si>
    <t>SIMP</t>
  </si>
  <si>
    <t>SMAR</t>
  </si>
  <si>
    <t>SSMS</t>
  </si>
  <si>
    <t>financial.net_profit</t>
  </si>
  <si>
    <t>MATERIAL_OVERRIDE (Financial, diff +50.6%)</t>
  </si>
  <si>
    <t>MATERIAL_OVERRIDE (Financial, diff -13.6%)</t>
  </si>
  <si>
    <t>operations.planted_area_total_ha</t>
  </si>
  <si>
    <t>MATERIAL_OVERRIDE (Operations, diff +31.5%)</t>
  </si>
  <si>
    <t>operations.ffb_production_t</t>
  </si>
  <si>
    <t>MATERIAL_OVERRIDE (Operations, diff -17.1%)</t>
  </si>
  <si>
    <t>MATERIAL_OVERRIDE (Operations, diff +31.6%)</t>
  </si>
  <si>
    <t>MATERIAL_OVERRIDE (Operations, diff -14.5%)</t>
  </si>
  <si>
    <t>MATERIAL_OVERRIDE (Operations, diff +32.1%)</t>
  </si>
  <si>
    <t>operations.mature_area_ha</t>
  </si>
  <si>
    <t>MATERIAL_OVERRIDE (Operations, diff -17.6%)</t>
  </si>
  <si>
    <t>operations.immature_area_ha</t>
  </si>
  <si>
    <t>MATERIAL_OVERRIDE (Operations, diff -25.4%)</t>
  </si>
  <si>
    <t>MATERIAL_OVERRIDE (Operations, diff -12.8%)</t>
  </si>
  <si>
    <t>MATERIAL_OVERRIDE (Operations, diff -21.1%)</t>
  </si>
  <si>
    <t>operations.nucleus_area_ha</t>
  </si>
  <si>
    <t>MATERIAL_OVERRIDE (Operations, diff -29.4%)</t>
  </si>
  <si>
    <t>operations.avg_tree_age_years</t>
  </si>
  <si>
    <t>MATERIAL_OVERRIDE (Operations, diff +8.0%)</t>
  </si>
  <si>
    <t>MATERIAL_OVERRIDE (Operations, diff -33.3%)</t>
  </si>
  <si>
    <t>MATERIAL_OVERRIDE (Operations, diff -21.2%)</t>
  </si>
  <si>
    <t>MATERIAL_OVERRIDE (Operations, diff -30.2%)</t>
  </si>
  <si>
    <t>MATERIAL_OVERRIDE (Operations, diff -33.7%)</t>
  </si>
  <si>
    <t>MATERIAL_OVERRIDE (Operations, diff -22.1%)</t>
  </si>
  <si>
    <t>MATERIAL_OVERRIDE (Operations, diff -30.8%)</t>
  </si>
  <si>
    <t>MATERIAL_OVERRIDE (Operations, diff -32.3%)</t>
  </si>
  <si>
    <t>MATERIAL_OVERRIDE (Operations, diff +30.7%)</t>
  </si>
  <si>
    <t>MATERIAL_OVERRIDE (Operations, diff -16.9%)</t>
  </si>
  <si>
    <t>MATERIAL_OVERRIDE (Operations, diff -12.3%)</t>
  </si>
  <si>
    <t>MATERIAL_OVERRIDE (Operations, diff -16.3%)</t>
  </si>
  <si>
    <t>MATERIAL_OVERRIDE (Operations, diff -24.8%)</t>
  </si>
  <si>
    <t>MATERIAL_OVERRIDE (Operations, diff +14.2%)</t>
  </si>
  <si>
    <t>MATERIAL_OVERRIDE (Operations, diff -16.7%)</t>
  </si>
  <si>
    <t>MATERIAL_OVERRIDE (Operations, diff -12.1%)</t>
  </si>
  <si>
    <t>MATERIAL_OVERRIDE (Operations, diff -18.1%)</t>
  </si>
  <si>
    <t>MATERIAL_OVERRIDE (Operations, diff -23.3%)</t>
  </si>
  <si>
    <t>MATERIAL_OVERRIDE (Operations, diff +15.3%)</t>
  </si>
  <si>
    <t>MATERIAL_OVERRIDE (Operations, diff -16.4%)</t>
  </si>
  <si>
    <t>MATERIAL_OVERRIDE (Operations, diff -11.7%)</t>
  </si>
  <si>
    <t>MATERIAL_OVERRIDE (Operations, diff -17.8%)</t>
  </si>
  <si>
    <t>MATERIAL_OVERRIDE (Operations, diff -24.3%)</t>
  </si>
  <si>
    <t>MATERIAL_OVERRIDE (Operations, diff -28.8%)</t>
  </si>
  <si>
    <t>MATERIAL_OVERRIDE (Operations, diff -26.1%)</t>
  </si>
  <si>
    <t>operations.plasma_area_ha</t>
  </si>
  <si>
    <t>MATERIAL_OVERRIDE (Operations, diff -40.8%)</t>
  </si>
  <si>
    <t>MATERIAL_OVERRIDE (Operations, diff -27.9%)</t>
  </si>
  <si>
    <t>MATERIAL_OVERRIDE (Operations, diff -28.5%)</t>
  </si>
  <si>
    <t>MATERIAL_OVERRIDE (Operations, diff -32.2%)</t>
  </si>
  <si>
    <t>TAPG</t>
  </si>
  <si>
    <t>MATERIAL_OVERRIDE (Operations, diff +16.3%)</t>
  </si>
  <si>
    <t>MATERIAL_OVERRIDE (Operations, diff +43.3%)</t>
  </si>
  <si>
    <t>MATERIAL_OVERRIDE (Operations, diff -10.3%)</t>
  </si>
  <si>
    <t>MATERIAL_OVERRIDE (Operations, diff +17.1%)</t>
  </si>
  <si>
    <t>MATERIAL_OVERRIDE (Operations, diff +43.6%)</t>
  </si>
  <si>
    <t>MATERIAL_OVERRIDE (Operations, diff -10.1%)</t>
  </si>
  <si>
    <t>MATERIAL_OVERRIDE (Operations, diff +18.7%)</t>
  </si>
  <si>
    <t>MATERIAL_OVERRIDE (Operations, diff +45.3%)</t>
  </si>
  <si>
    <t>MATERIAL_OVERRIDE (Operations, diff -11.2%)</t>
  </si>
  <si>
    <t>ROLLBACK (was MATERIAL_OVERRIDE — reconfirm showed definitional variance)</t>
  </si>
  <si>
    <t>fin.net_profit</t>
  </si>
  <si>
    <t>RECONFIRMED_OVERRIDE (diff 62.8% vs precise NLM)</t>
  </si>
  <si>
    <t>fin.profit_parent</t>
  </si>
  <si>
    <t>CONFIRMED_XLSX (NLM match within 0.0%)</t>
  </si>
  <si>
    <t>fin.cash</t>
  </si>
  <si>
    <t>AMBIGUOUS (precise definition not confirmable by NLM)</t>
  </si>
  <si>
    <t>CONFIRMED_XLSX (NLM match within 0.6%)</t>
  </si>
  <si>
    <t>MAGP</t>
  </si>
  <si>
    <t>fin.eps</t>
  </si>
  <si>
    <t>RECONFIRMED_OVERRIDE (diff 15.7% vs precise NLM)</t>
  </si>
  <si>
    <t>fin.gross_profit</t>
  </si>
  <si>
    <t>WAPO</t>
  </si>
  <si>
    <t>RECONFIRMED_OVERRIDE (diff 7.3% vs precise NLM)</t>
  </si>
  <si>
    <t>RECONFIRMED_OVERRIDE (diff 8.9% vs precise NLM)</t>
  </si>
  <si>
    <t>RECONFIRMED_OVERRIDE (diff 25.7% vs precise NLM)</t>
  </si>
  <si>
    <t>RECONFIRMED_OVERRIDE (diff 23.9% vs precise NLM)</t>
  </si>
  <si>
    <t>RECONFIRMED_OVERRIDE (diff 19.6% vs precise NLM)</t>
  </si>
  <si>
    <t>RECONFIRMED_OVERRIDE (diff 21.3% vs precise NLM)</t>
  </si>
  <si>
    <t>RECONFIRMED_OVERRIDE (diff 10.1% vs precise NLM)</t>
  </si>
  <si>
    <t>ops.mills_count</t>
  </si>
  <si>
    <t>RECONFIRMED_OVERRIDE (diff 20.0% vs precise NLM)</t>
  </si>
  <si>
    <t>RECONFIRMED_OVERRIDE (diff 5.0% vs precise NLM)</t>
  </si>
  <si>
    <t>RECONFIRMED_OVERRIDE (diff 100.0% vs precise NLM)</t>
  </si>
  <si>
    <t>RECONFIRMED_OVERRIDE (diff 36.6% vs precise NLM)</t>
  </si>
  <si>
    <t>RECONFIRMED_OVERRIDE (diff 42.9% vs precise NLM)</t>
  </si>
  <si>
    <t>RECONFIRMED_OVERRIDE (diff 36.5% vs precise NLM)</t>
  </si>
  <si>
    <t>RECONFIRMED_OVERRIDE (diff 17.1% vs precise NLM)</t>
  </si>
  <si>
    <t>RECONFIRMED_OVERRIDE (diff 14.5% vs precise NLM)</t>
  </si>
  <si>
    <t>RECONFIRMED_OVERRIDE (diff 17.6% vs precise NLM)</t>
  </si>
  <si>
    <t>RECONFIRMED_OVERRIDE (diff 25.4% vs precise NLM)</t>
  </si>
  <si>
    <t>RECONFIRMED_OVERRIDE (diff 12.8% vs precise NLM)</t>
  </si>
  <si>
    <t>RECONFIRMED_OVERRIDE (diff 25.0% vs precise NLM)</t>
  </si>
  <si>
    <t>RECONFIRMED_OVERRIDE (diff 99.9% vs precise NLM)</t>
  </si>
  <si>
    <t>RECONFIRMED_OVERRIDE (diff 50.0% vs precise NLM)</t>
  </si>
  <si>
    <t>RECONFIRMED_OVERRIDE (diff 9.2% vs precise NLM)</t>
  </si>
  <si>
    <t>RECONFIRMED_OVERRIDE (diff 16.7% vs precise NLM)</t>
  </si>
  <si>
    <t>RECONFIRMED_OVERRIDE (diff 36.2% vs precise NLM)</t>
  </si>
  <si>
    <t>RECONFIRMED_OVERRIDE (diff 33.0% vs precise NLM)</t>
  </si>
  <si>
    <t>RECONFIRMED_OVERRIDE (diff 15.3% vs precise NLM)</t>
  </si>
  <si>
    <t>RECONFIRMED_OVERRIDE (diff 16.9% vs precise NLM)</t>
  </si>
  <si>
    <t>RECONFIRMED_OVERRIDE (diff 21.1% vs precise NLM)</t>
  </si>
  <si>
    <t>RECONFIRMED_OVERRIDE (diff 29.4% vs precise NLM)</t>
  </si>
  <si>
    <t>RECONFIRMED_OVERRIDE (diff 33.3% vs precise NLM)</t>
  </si>
  <si>
    <t>RECONFIRMED_OVERRIDE (diff 21.2% vs precise NLM)</t>
  </si>
  <si>
    <t>RECONFIRMED_OVERRIDE (diff 30.2% vs precise NLM)</t>
  </si>
  <si>
    <t>RECONFIRMED_OVERRIDE (diff 33.7% vs precise NLM)</t>
  </si>
  <si>
    <t>RECONFIRMED_OVERRIDE (diff 22.1% vs precise NLM)</t>
  </si>
  <si>
    <t>RECONFIRMED_OVERRIDE (diff 30.8% vs precise NLM)</t>
  </si>
  <si>
    <t>RECONFIRMED_OVERRIDE (diff 32.3% vs precise NLM)</t>
  </si>
  <si>
    <t>RECONFIRMED_OVERRIDE (diff 12.3% vs precise NLM)</t>
  </si>
  <si>
    <t>RECONFIRMED_OVERRIDE (diff 16.3% vs precise NLM)</t>
  </si>
  <si>
    <t>RECONFIRMED_OVERRIDE (diff 24.8% vs precise NLM)</t>
  </si>
  <si>
    <t>RECONFIRMED_OVERRIDE (diff 12.1% vs precise NLM)</t>
  </si>
  <si>
    <t>RECONFIRMED_OVERRIDE (diff 18.1% vs precise NLM)</t>
  </si>
  <si>
    <t>RECONFIRMED_OVERRIDE (diff 23.3% vs precise NLM)</t>
  </si>
  <si>
    <t>RECONFIRMED_OVERRIDE (diff 16.4% vs precise NLM)</t>
  </si>
  <si>
    <t>RECONFIRMED_OVERRIDE (diff 11.7% vs precise NLM)</t>
  </si>
  <si>
    <t>RECONFIRMED_OVERRIDE (diff 17.8% vs precise NLM)</t>
  </si>
  <si>
    <t>RECONFIRMED_OVERRIDE (diff 24.3% vs precise NLM)</t>
  </si>
  <si>
    <t>RECONFIRMED_OVERRIDE (diff 22.3% vs precise NLM)</t>
  </si>
  <si>
    <t>RECONFIRMED_OVERRIDE (diff 28.8% vs precise NLM)</t>
  </si>
  <si>
    <t>RECONFIRMED_OVERRIDE (diff 26.1% vs precise NLM)</t>
  </si>
  <si>
    <t>RECONFIRMED_OVERRIDE (diff 40.8% vs precise NLM)</t>
  </si>
  <si>
    <t>RECONFIRMED_OVERRIDE (diff 27.9% vs precise NLM)</t>
  </si>
  <si>
    <t>RECONFIRMED_OVERRIDE (diff 28.5% vs precise NLM)</t>
  </si>
  <si>
    <t>RECONFIRMED_OVERRIDE (diff 32.2% vs precise NLM)</t>
  </si>
  <si>
    <t>RECONFIRMED_OVERRIDE (diff 10.3% vs precise NLM)</t>
  </si>
  <si>
    <t>RECONFIRMED_OVERRIDE (diff 11.2% vs precise NLM)</t>
  </si>
  <si>
    <t>RECONFIRMED_OVERRIDE (diff 11.9% vs precise NLM)</t>
  </si>
  <si>
    <t>RECONFIRMED_OVERRIDE (diff 12.7% vs precise NLM)</t>
  </si>
  <si>
    <t>RECONFIRMED_OVERRIDE (diff 22.8% vs precise NLM)</t>
  </si>
  <si>
    <t>RECONFIRMED_OVERRIDE (diff 24.9% vs precise NLM)</t>
  </si>
  <si>
    <t>RECONFIRMED_OVERRIDE (diff 21.4% vs precise NLM)</t>
  </si>
  <si>
    <t>Palm Listed Companies — Long List Template</t>
  </si>
  <si>
    <t>Annual report → standardized long list with auto-scoring &amp; validation</t>
  </si>
  <si>
    <t>1. Raw Data Management</t>
  </si>
  <si>
    <t>Raw_Extract</t>
  </si>
  <si>
    <t>Every fact extracted from the annual report goes here first. One row = one data point.</t>
  </si>
  <si>
    <t xml:space="preserve">  ├ Required fields</t>
  </si>
  <si>
    <t>Company / Source File / Page / Field Name / Extracted Value / Unit / Evidence Quote</t>
  </si>
  <si>
    <t xml:space="preserve">  ├ Audit trail</t>
  </si>
  <si>
    <t>Extracted By / Date / Method (Manual·AI·OCR) / Reviewed By / Date</t>
  </si>
  <si>
    <t xml:space="preserve">  └ Confidence</t>
  </si>
  <si>
    <t>High / Medium / Low — Low automatically flagged in Validation_Flags</t>
  </si>
  <si>
    <t>2. Output Generation</t>
  </si>
  <si>
    <t>Company_Master</t>
  </si>
  <si>
    <t>Company-level qualitative info (HQ, ownership, deal thoughts, red flags).</t>
  </si>
  <si>
    <t>Asset_Operations</t>
  </si>
  <si>
    <t>Land, mills, production volumes. [auto] columns auto-calculate yield/OER/KER.</t>
  </si>
  <si>
    <t>Financials</t>
  </si>
  <si>
    <t>P&amp;L, B/S, CF, market data. [auto] columns auto-calculate Net Debt, NWC, FCF, ratios.</t>
  </si>
  <si>
    <t>3. Screening &amp; Scoring</t>
  </si>
  <si>
    <t>Screening</t>
  </si>
  <si>
    <t>Pulls KPIs from 3 source sheets via XLOOKUP. 9 score columns auto-generated.</t>
  </si>
  <si>
    <t>Scoring_Criteria</t>
  </si>
  <si>
    <t>Threshold table — edit blue cells (D5:H13) to recalibrate all scores instantly.</t>
  </si>
  <si>
    <t xml:space="preserve">  ├ Auto scores</t>
  </si>
  <si>
    <t>Scale, Asset Quality, Integration, Op Eff, Profit, Leverage, Liquidity (X~AD)</t>
  </si>
  <si>
    <t xml:space="preserve">  ├ Manual scores</t>
  </si>
  <si>
    <t>ESG &amp; Legality, Dealability (AE, AF) — enter 1~5 directly</t>
  </si>
  <si>
    <t xml:space="preserve">  └ Total Score</t>
  </si>
  <si>
    <t>Simple average of all 9 scores (AG)</t>
  </si>
  <si>
    <t>4. Validation</t>
  </si>
  <si>
    <t>Validation_Flags</t>
  </si>
  <si>
    <t>Manual issue log (rows 2~50) + automated rule output (rows 62+).</t>
  </si>
  <si>
    <t xml:space="preserve">  └ Auto rules</t>
  </si>
  <si>
    <t>11 rules: area sums, OER range/definition, Net Debt sign, B/S balance, EBITDA logic, EBITDA reported-vs-calculated, Net Debt reported-vs-calculated, Low confidence, etc.</t>
  </si>
  <si>
    <t>Color Conventions</t>
  </si>
  <si>
    <t>Blue text</t>
  </si>
  <si>
    <t>Manual input — value typed by analyst from the annual report</t>
  </si>
  <si>
    <t>Black text</t>
  </si>
  <si>
    <t>Formula — auto-calculated within the same sheet</t>
  </si>
  <si>
    <t>Green text</t>
  </si>
  <si>
    <t>Cross-sheet link — pulled from another sheet via XLOOKUP</t>
  </si>
  <si>
    <t>Yellow fill</t>
  </si>
  <si>
    <t>Key output (Total Score) — review before final ranking</t>
  </si>
  <si>
    <t>[auto] header</t>
  </si>
  <si>
    <t>Column is calculated; do not overwrite the formula</t>
  </si>
  <si>
    <t>Unit Conventions</t>
  </si>
  <si>
    <t>Land</t>
  </si>
  <si>
    <t>hectares (ha)</t>
  </si>
  <si>
    <t>Production</t>
  </si>
  <si>
    <t>tonnes (t); capacities in tph or tpa as headed</t>
  </si>
  <si>
    <t>Prices</t>
  </si>
  <si>
    <t>local currency per kg</t>
  </si>
  <si>
    <t>IDR billion (bn) — convert if source is mn or USD</t>
  </si>
  <si>
    <t>Ratios</t>
  </si>
  <si>
    <t>decimal (0.25 = 25%) — formatted as % automatically</t>
  </si>
  <si>
    <t>Business Model Notes (P7)</t>
  </si>
  <si>
    <t>Upstream</t>
  </si>
  <si>
    <t>Plantation only (FFB → CPO). Apply all 9 scores fully.</t>
  </si>
  <si>
    <t>Integrated</t>
  </si>
  <si>
    <t>Plantation + downstream (e.g., AALI). Apply all 9 scores fully.</t>
  </si>
  <si>
    <t>Downstream</t>
  </si>
  <si>
    <t>Refining only (e.g., CBUT). Plantation-based scores (Scale, Asset Quality, Op Eff) will return blank — Total Score auto-excludes blank scores via AVERAGE.</t>
  </si>
  <si>
    <t>Other</t>
  </si>
  <si>
    <t>Trading, services, or hybrid. Use manual qualitative notes.</t>
  </si>
  <si>
    <t>Per-PDF Workflow (v1 update)</t>
  </si>
  <si>
    <t>Usage</t>
  </si>
  <si>
    <t>This template is intended to be copied PER annual report PDF. Each filled copy represents one company × one report year (one row in Company_Master, Asset_Operations, Financials).</t>
  </si>
  <si>
    <t>File Naming</t>
  </si>
  <si>
    <t>Save each filled copy in the relevant company folder as {TICKER}_{YEAR}_longlist.xlsx.</t>
  </si>
  <si>
    <t>Merging</t>
  </si>
  <si>
    <t>To build a master longlist, merge rows from all per-PDF files into a single workbook. When the same company has multiple years, Screening XLOOKUPs will pick the first matching row; if per-year Screening is needed, switch to composite-key lookups (Company + Report Year).</t>
  </si>
  <si>
    <t>Changes from v0 (baseline)</t>
  </si>
  <si>
    <t>OER range</t>
  </si>
  <si>
    <t>Validation rule R3 (OER range) widened from 18-25% to 15-27% to reduce false positives for small companies.</t>
  </si>
  <si>
    <t>Validation rows</t>
  </si>
  <si>
    <t>Validation_Summary now covers rows 5-204 (200 companies) instead of 5-34 (30 companies).</t>
  </si>
  <si>
    <t>Raw_Extract rows</t>
  </si>
  <si>
    <t>Raw_Extract capacity extended from 200 to 1000 facts (table A1:L1001, dropdowns D/J/L/O through row 1001).</t>
  </si>
  <si>
    <t>Report Year in Asset_Operations</t>
  </si>
  <si>
    <t>New column BG = Report Year. Use when merging multi-year data so operational rows can be distinguished by year.</t>
  </si>
  <si>
    <t>Report Year in Company_Master</t>
  </si>
  <si>
    <t>Column D renamed from "Latest Report Year" to "Report Year" for per-PDF clarity.</t>
  </si>
  <si>
    <t>Company</t>
  </si>
  <si>
    <t>Source File</t>
  </si>
  <si>
    <t>Report Year</t>
  </si>
  <si>
    <t>Field Group</t>
  </si>
  <si>
    <t>Field Name</t>
  </si>
  <si>
    <t>Extracted Value</t>
  </si>
  <si>
    <t>Unit</t>
  </si>
  <si>
    <t>Page</t>
  </si>
  <si>
    <t>Evidence Quote</t>
  </si>
  <si>
    <t>Confidence</t>
  </si>
  <si>
    <t>Normalization Note</t>
  </si>
  <si>
    <t>Validation Flag</t>
  </si>
  <si>
    <t>Extracted By</t>
  </si>
  <si>
    <t>Extracted Date</t>
  </si>
  <si>
    <t>Method</t>
  </si>
  <si>
    <t>Reviewed By</t>
  </si>
  <si>
    <t>Reviewed Date</t>
  </si>
  <si>
    <t>PT Astra Agro Lestari Tbk</t>
  </si>
  <si>
    <t>AALI_2023_AR.pdf</t>
  </si>
  <si>
    <t>Company Name</t>
  </si>
  <si>
    <t>text</t>
  </si>
  <si>
    <t>Cover</t>
  </si>
  <si>
    <t>High</t>
  </si>
  <si>
    <t>LLM</t>
  </si>
  <si>
    <t>2026-04-18</t>
  </si>
  <si>
    <t>AI</t>
  </si>
  <si>
    <t>Filename</t>
  </si>
  <si>
    <t>year</t>
  </si>
  <si>
    <t>Financial</t>
  </si>
  <si>
    <t>Revenue</t>
  </si>
  <si>
    <t>IDR bn</t>
  </si>
  <si>
    <t>Pendapatan Bersih 20,745 (2023), Rp miliar (confirmed by p11 label)</t>
  </si>
  <si>
    <t>Gross Profit</t>
  </si>
  <si>
    <t>Laba Bruto 2,771</t>
  </si>
  <si>
    <t>Net Profit</t>
  </si>
  <si>
    <t>Laba Tahun Berjalan 1,088</t>
  </si>
  <si>
    <t>Profit Attributable to Parent</t>
  </si>
  <si>
    <t>- Pemilik Entitas Induk 1,056</t>
  </si>
  <si>
    <t>Total Comprehensive Income</t>
  </si>
  <si>
    <t>Penghasilan Komprehensif Tahun Berjalan 1,136</t>
  </si>
  <si>
    <t>Current Assets</t>
  </si>
  <si>
    <t>Aset Lancar 7,118</t>
  </si>
  <si>
    <t>Non-Current Assets</t>
  </si>
  <si>
    <t>Aset Tidak Lancar 21,728</t>
  </si>
  <si>
    <t>Total Assets</t>
  </si>
  <si>
    <t>Total Aset 28,846</t>
  </si>
  <si>
    <t>Current Liabilities</t>
  </si>
  <si>
    <t>Liabilitas Jangka Pendek 3,882</t>
  </si>
  <si>
    <t>Long-Term Liabilities</t>
  </si>
  <si>
    <t>Liabilitas Jangka Panjang 2,398</t>
  </si>
  <si>
    <t>Total Liabilities</t>
  </si>
  <si>
    <t>Total Liabilitas 6,280</t>
  </si>
  <si>
    <t>Total Equity</t>
  </si>
  <si>
    <t>Total Ekuitas 22,566</t>
  </si>
  <si>
    <t>Current Ratio</t>
  </si>
  <si>
    <t>x</t>
  </si>
  <si>
    <t>Rasio Lancar (x) 1.8</t>
  </si>
  <si>
    <t>Debt/Assets</t>
  </si>
  <si>
    <t>Rasio Liabilitas thd Jumlah Aset (x) 0.2</t>
  </si>
  <si>
    <t>Debt/Equity</t>
  </si>
  <si>
    <t>Rasio Liabilitas thd Jumlah Ekuitas (x) 0.3</t>
  </si>
  <si>
    <t>ROA</t>
  </si>
  <si>
    <t>%</t>
  </si>
  <si>
    <t>Laba Bersih terhadap Aset 4%</t>
  </si>
  <si>
    <t>ROE</t>
  </si>
  <si>
    <t>Laba Bersih terhadap Ekuitas 5%</t>
  </si>
  <si>
    <t>Net Margin</t>
  </si>
  <si>
    <t>Margin Laba Bersih 5%</t>
  </si>
  <si>
    <t>Gross Margin</t>
  </si>
  <si>
    <t>Margin Laba Kotor 13%</t>
  </si>
  <si>
    <t>Shares Outstanding</t>
  </si>
  <si>
    <t>million</t>
  </si>
  <si>
    <t>Saham Beredar (dalam Jutaan) 1,925</t>
  </si>
  <si>
    <t>EPS</t>
  </si>
  <si>
    <t>Rp/share</t>
  </si>
  <si>
    <t>Laba per Saham (Rp penuh) 549</t>
  </si>
  <si>
    <t>NAV per Share</t>
  </si>
  <si>
    <t>Nilai Aset Bersih per Saham 11,724</t>
  </si>
  <si>
    <t>Interim DPS</t>
  </si>
  <si>
    <t>Dividen Interim per Saham 82</t>
  </si>
  <si>
    <t>Final DPS</t>
  </si>
  <si>
    <t>Dividen Final per Saham 319</t>
  </si>
  <si>
    <t>Closing Price</t>
  </si>
  <si>
    <t>Harga Penutup 2023 Q4 7,025</t>
  </si>
  <si>
    <t>Market Cap</t>
  </si>
  <si>
    <t>Kapitalisasi Pasar 31 Des 2023 13.52 Rp triliun</t>
  </si>
  <si>
    <t>Asset</t>
  </si>
  <si>
    <t>Planted Area Total</t>
  </si>
  <si>
    <t>ha</t>
  </si>
  <si>
    <t>Total Lahan Tertanam 285,387</t>
  </si>
  <si>
    <t>Nucleus Area</t>
  </si>
  <si>
    <t>Lahan Inti 213,158</t>
  </si>
  <si>
    <t>Plasma Area</t>
  </si>
  <si>
    <t>Lahan Plasma 72,229</t>
  </si>
  <si>
    <t>Mature Area (Total)</t>
  </si>
  <si>
    <t>Menghasilkan 265,518</t>
  </si>
  <si>
    <t>Immature Area (Total)</t>
  </si>
  <si>
    <t>Belum Menghasilkan 19,869</t>
  </si>
  <si>
    <t>Productive Age Area (4-15y)</t>
  </si>
  <si>
    <t>Tanaman Produktif 102,319</t>
  </si>
  <si>
    <t>Old Age Area (&gt;15y)</t>
  </si>
  <si>
    <t>Tanaman Tua 163,199</t>
  </si>
  <si>
    <t>Average Tree Age</t>
  </si>
  <si>
    <t>years</t>
  </si>
  <si>
    <t>Umur Rata-Rata 16.2</t>
  </si>
  <si>
    <t>Sumatra Area</t>
  </si>
  <si>
    <t>Sumatra 105,300</t>
  </si>
  <si>
    <t>Kalimantan Area</t>
  </si>
  <si>
    <t>Kalimantan 129,804</t>
  </si>
  <si>
    <t>Sulawesi Area</t>
  </si>
  <si>
    <t>Sulawesi 50,283</t>
  </si>
  <si>
    <t>Mills Count (PKS)</t>
  </si>
  <si>
    <t>count</t>
  </si>
  <si>
    <t>Pengolahan Kelapa Sawit total 32 units</t>
  </si>
  <si>
    <t>Kernel Crushing Count</t>
  </si>
  <si>
    <t>Pengolahan Inti Sawit total 14 units</t>
  </si>
  <si>
    <t>CPO Refinery Count</t>
  </si>
  <si>
    <t>Pengolahan Minyak Sawit total 2 units</t>
  </si>
  <si>
    <t>PKO Refinery Count</t>
  </si>
  <si>
    <t>Pengolahan Minyak Inti Sawit total 1 unit</t>
  </si>
  <si>
    <t>NPK Plant Count</t>
  </si>
  <si>
    <t>Pabrik Pencampur Pupuk NPK total 2 units</t>
  </si>
  <si>
    <t>Operation</t>
  </si>
  <si>
    <t>FFB Production (Own)</t>
  </si>
  <si>
    <t>t</t>
  </si>
  <si>
    <t>Total Produksi TBS 4,353,645</t>
  </si>
  <si>
    <t>Nucleus FFB</t>
  </si>
  <si>
    <t>TBS Inti 3,312,149</t>
  </si>
  <si>
    <t>Plasma FFB</t>
  </si>
  <si>
    <t>TBS Plasma 1,041,496</t>
  </si>
  <si>
    <t>FFB Processed</t>
  </si>
  <si>
    <t>Total TBS Olah 6,752,102</t>
  </si>
  <si>
    <t>Third-Party FFB</t>
  </si>
  <si>
    <t>Calc: 6,752,102 - 4,353,645</t>
  </si>
  <si>
    <t>CPO Production</t>
  </si>
  <si>
    <t>Minyak Sawit 1,275,539</t>
  </si>
  <si>
    <t>RBDPO Production</t>
  </si>
  <si>
    <t>RBDPO 17,289</t>
  </si>
  <si>
    <t>Olein Production</t>
  </si>
  <si>
    <t>Olein 441,671</t>
  </si>
  <si>
    <t>Stearin Production</t>
  </si>
  <si>
    <t>Stearin 115,918</t>
  </si>
  <si>
    <t>PFAD Production</t>
  </si>
  <si>
    <t>PFAD 23,621</t>
  </si>
  <si>
    <t>Kernel Production</t>
  </si>
  <si>
    <t>Kernel 272,310</t>
  </si>
  <si>
    <t>PKO Production</t>
  </si>
  <si>
    <t>Minyak Inti Sawit 45,158</t>
  </si>
  <si>
    <t>PKE Production</t>
  </si>
  <si>
    <t>Palm Kernel Expeller 56,142</t>
  </si>
  <si>
    <t>FFB Yield</t>
  </si>
  <si>
    <t>t/ha</t>
  </si>
  <si>
    <t>Yield TBS 16.40 t/ha</t>
  </si>
  <si>
    <t>CPO Yield</t>
  </si>
  <si>
    <t>Yield CPO 3.10 t/ha</t>
  </si>
  <si>
    <t>OER (Reported)</t>
  </si>
  <si>
    <t>Rendemen Minyak Sawit 18.89%</t>
  </si>
  <si>
    <t>KER (Reported)</t>
  </si>
  <si>
    <t>Rendemen Inti Sawit 4.03%</t>
  </si>
  <si>
    <t>PKO Extraction</t>
  </si>
  <si>
    <t>Rendemen Minyak Inti Sawit 41.35%</t>
  </si>
  <si>
    <t>PKE Extraction</t>
  </si>
  <si>
    <t>Rendemen PKE 51.40%</t>
  </si>
  <si>
    <t>CPO Avg Selling Price</t>
  </si>
  <si>
    <t>Rp/kg</t>
  </si>
  <si>
    <t>Rata-Rata Harga Jual Minyak Sawit 12,948 Rp/kg</t>
  </si>
  <si>
    <t>CPO Sales Volume</t>
  </si>
  <si>
    <t>Volume Penjualan CPO dan Turunannya 2,345 ribu ton</t>
  </si>
  <si>
    <t>AALI_2024_AR.pdf</t>
  </si>
  <si>
    <t>Laporan Tahunan 2024 - PT Astra Agro Lestari Tbk</t>
  </si>
  <si>
    <t>Controlling Shareholder</t>
  </si>
  <si>
    <t>PT Astra International Tbk 79.68%</t>
  </si>
  <si>
    <t>PT Astra International Tbk 1,533,682,440 79.68%</t>
  </si>
  <si>
    <t>Public Float</t>
  </si>
  <si>
    <t>Masyarakat Lainnya (masing-masing di bawah 5%) 391,005,893 20.32%</t>
  </si>
  <si>
    <t>Revenue (Net)</t>
  </si>
  <si>
    <t>Pendapatan Bersih 21,815 20,745 21,829</t>
  </si>
  <si>
    <t>Laba Bruto 3,341 2,771 3,822</t>
  </si>
  <si>
    <t>Cost of Revenue</t>
  </si>
  <si>
    <t>Beban Pokok Pendapatan (18,474.41) (17,974.49)</t>
  </si>
  <si>
    <t>Operating Expense</t>
  </si>
  <si>
    <t>Beban Usaha (1,682.14) (1,519.77)</t>
  </si>
  <si>
    <t>EBIT (Gross Profit - OpEx)</t>
  </si>
  <si>
    <t>Calculated: Gross Profit 3,340.62 - OpEx 1,682.14 = 1,658.48</t>
  </si>
  <si>
    <t>Medium</t>
  </si>
  <si>
    <t>Finance Cost</t>
  </si>
  <si>
    <t>Biaya Pendanaan (264.69) (268.26)</t>
  </si>
  <si>
    <t>Profit Before Income Tax</t>
  </si>
  <si>
    <t>Laba Sebelum Pajak Penghasilan 1,707.13 1,498.40</t>
  </si>
  <si>
    <t>Laba Tahun Berjalan 1,187 1,088</t>
  </si>
  <si>
    <t>Pemilik Entitas Induk 1,148 1,056</t>
  </si>
  <si>
    <t>Total Aset 28,793 28,846</t>
  </si>
  <si>
    <t>Aset Lancar 8,434 7,118</t>
  </si>
  <si>
    <t>Aset Tidak Lancar 20,360 21,728</t>
  </si>
  <si>
    <t>Total Liabilitas 5,591 6,280</t>
  </si>
  <si>
    <t>Liabilitas Jangka Pendek 3,238 3,882</t>
  </si>
  <si>
    <t>Non-Current Liabilities</t>
  </si>
  <si>
    <t>Liabilitas Jangka Panjang 2,354 2,398</t>
  </si>
  <si>
    <t>Total Ekuitas 23,202 22,566</t>
  </si>
  <si>
    <t>Cash &amp; Cash Equivalents</t>
  </si>
  <si>
    <t>Kas &amp; Setara Kas 3,236.01 2,089.51</t>
  </si>
  <si>
    <t>Short-term Bank Loans (Current Maturities)</t>
  </si>
  <si>
    <t>Bagian Pinjaman Bank Jangka Panjang yang Jatuh Tempo dalam Waktu Satu Tahun 1,689.54</t>
  </si>
  <si>
    <t>Long-term Bank Loans</t>
  </si>
  <si>
    <t>Pinjaman Bank Jangka Panjang 1,500.00 1,689.75</t>
  </si>
  <si>
    <t>Gross Debt (ST+LT bank loans)</t>
  </si>
  <si>
    <t>Calculated: 1,689.54 + 1,500 = 3,189.54 bn</t>
  </si>
  <si>
    <t>Trade Receivables</t>
  </si>
  <si>
    <t>Piutang Usaha 370.61 674.49</t>
  </si>
  <si>
    <t>Inventories</t>
  </si>
  <si>
    <t>Persediaan 3,699.97 2,876.10</t>
  </si>
  <si>
    <t>CFO (Cash from Operating Activities)</t>
  </si>
  <si>
    <t>arus kas bersih dari aktivitas operasi tahun buku 2024 sebesar Rp3,38 triliun</t>
  </si>
  <si>
    <t>CFI (Cash from Investing Activities)</t>
  </si>
  <si>
    <t>arus kas bersih dari aktivitas investasi Perseroan pada tahun 2024 tercatat sebesar Rp0,94 triliun</t>
  </si>
  <si>
    <t>Capex (Realized)</t>
  </si>
  <si>
    <t>Aset Tetap 411,661; Tanaman Produktif 528,942; Jumlah 940,603 (million Rp)</t>
  </si>
  <si>
    <t>Capex Commitment</t>
  </si>
  <si>
    <t>telah memiliki komitmen untuk belanja barang modal sejumlah Rp1,4 triliun</t>
  </si>
  <si>
    <t>Laba per Saham (Rp penuh) 596 549 897</t>
  </si>
  <si>
    <t>Nilai Aset Bersih per Saham (Rp) 12,055 11,724</t>
  </si>
  <si>
    <t>Interim Dividend per Share</t>
  </si>
  <si>
    <t>Dividen Interim per Saham (Rp) 84 82 85</t>
  </si>
  <si>
    <t>Final Dividend per Share</t>
  </si>
  <si>
    <t>Dividen Final per Saham (Rp) 165 319 359</t>
  </si>
  <si>
    <t>mn</t>
  </si>
  <si>
    <t>Closing Price (31 Dec 2024)</t>
  </si>
  <si>
    <t>Setahun penuh/Full year 7,200 5,250 6,200</t>
  </si>
  <si>
    <t>Kapitalisasi Pasar per 31 Desember 2024 Rp11.93 triliun</t>
  </si>
  <si>
    <t>Gearing Ratio</t>
  </si>
  <si>
    <t>Pada tahun 2024, Perseroan mencatat rasio gearing sebesar kurang dari 1%</t>
  </si>
  <si>
    <t>rasio lancar tercatat sebesar 2,60 kali di tahun 2024</t>
  </si>
  <si>
    <t>Total Planted Area</t>
  </si>
  <si>
    <t>Total Lahan Tertanam 284,831 285,387</t>
  </si>
  <si>
    <t>Lahan Inti 212,602 213,158</t>
  </si>
  <si>
    <t>Lahan Plasma 72,229 72,229</t>
  </si>
  <si>
    <t>Mature Area</t>
  </si>
  <si>
    <t>Menghasilkan 265,490 265,518</t>
  </si>
  <si>
    <t>Immature Area</t>
  </si>
  <si>
    <t>Belum Menghasilkan 19,341 19,869</t>
  </si>
  <si>
    <t>Productive Age Area (4-15 yr)</t>
  </si>
  <si>
    <t>Tanaman Produktif 87,761 102,319</t>
  </si>
  <si>
    <t>Old Age Area (&gt;15 yr)</t>
  </si>
  <si>
    <t>Tanaman Tua 177,729 163,199</t>
  </si>
  <si>
    <t>Umur Rata-Rata 16.5 16.2 15.1</t>
  </si>
  <si>
    <t>Sumatra Planted Area</t>
  </si>
  <si>
    <t>Sumatra 104,376 105,300</t>
  </si>
  <si>
    <t>Kalimantan Planted Area</t>
  </si>
  <si>
    <t>Kalimantan 130,043 129,804</t>
  </si>
  <si>
    <t>Sulawesi Planted Area</t>
  </si>
  <si>
    <t>Sulawesi 50,412 50,283</t>
  </si>
  <si>
    <t>Palm Oil Mill Count</t>
  </si>
  <si>
    <t>Pengolahan Kelapa Sawit 11 34% 14 44% 7 22% 32 100%</t>
  </si>
  <si>
    <t>Kernel Crushing Plant Count</t>
  </si>
  <si>
    <t>Pengolahan Inti Sawit 4 6 4 14</t>
  </si>
  <si>
    <t>Pengolahan Minyak Sawit 1 - 1 2</t>
  </si>
  <si>
    <t>Pengolahan Minyak Inti Sawit - - 1 1</t>
  </si>
  <si>
    <t>NPK Blending Plant Count</t>
  </si>
  <si>
    <t>Pabrik Pencampur Pupuk NPK - 1 1 2</t>
  </si>
  <si>
    <t>FFB Production Total</t>
  </si>
  <si>
    <t>Total Produksi TBS 3,734,458 4,353,645</t>
  </si>
  <si>
    <t>FFB Nucleus</t>
  </si>
  <si>
    <t>TBS Inti 3,002,685 3,312,149</t>
  </si>
  <si>
    <t>FFB Plasma</t>
  </si>
  <si>
    <t>TBS Plasma 731,773 1,041,496</t>
  </si>
  <si>
    <t>Total FFB Processed</t>
  </si>
  <si>
    <t>Total TBS Olah 5,915,220 6,752,102</t>
  </si>
  <si>
    <t>pembelian TBS dari pihak ketiga menjadi sebesar 2,18 juta ton (also 5,915,220 - 3,734,458)</t>
  </si>
  <si>
    <t>Minyak Sawit 1,125,388 1,275,539</t>
  </si>
  <si>
    <t>Kernel 234,121 272,310</t>
  </si>
  <si>
    <t>Minyak Inti Sawit 46,454 45,158</t>
  </si>
  <si>
    <t>RBDPO 14,760 17,289</t>
  </si>
  <si>
    <t>Olein 388,106 441,671</t>
  </si>
  <si>
    <t>Stearin 95,826 115,918</t>
  </si>
  <si>
    <t>PFAD 19,382 23,621</t>
  </si>
  <si>
    <t>Palm Kernel Expeller (PKE) 57,001 56,142</t>
  </si>
  <si>
    <t>Yield TBS - Ton/Ha 14.07 16.40</t>
  </si>
  <si>
    <t>Yield CPO - Ton/Ha 2.68 3.10</t>
  </si>
  <si>
    <t>OER (CPO Extraction Rate)</t>
  </si>
  <si>
    <t>Rendemen Minyak Sawit 19.03% 18.89%</t>
  </si>
  <si>
    <t>KER (Kernel Extraction Rate)</t>
  </si>
  <si>
    <t>Rendemen Inti Sawit 3.96% 4.03%</t>
  </si>
  <si>
    <t>Avg CPO Selling Price</t>
  </si>
  <si>
    <t>Rata-Rata Harga Jual Minyak Sawit (Rp/kg) 12,883 (2024, chart)</t>
  </si>
  <si>
    <t>CPO &amp; Derivatives Sales Volume</t>
  </si>
  <si>
    <t>thousand t</t>
  </si>
  <si>
    <t>volume penjualan Perseroan untuk CPO dan produk turunannya mengalami penurunan sebesar 9% menjadi 1,55 juta ton</t>
  </si>
  <si>
    <t>Domestic Sales Proportion</t>
  </si>
  <si>
    <t>Proporsi serapan penjualan adalah 69% untuk pasar domestik dan 31% untuk ekspor</t>
  </si>
  <si>
    <t>Export Sales Proportion</t>
  </si>
  <si>
    <t>69% untuk pasar domestik dan 31% untuk ekspor</t>
  </si>
  <si>
    <t>ESG</t>
  </si>
  <si>
    <t>ISPO Certifications</t>
  </si>
  <si>
    <t>Perseroan telah meraih 39 sertifikasi ISPO</t>
  </si>
  <si>
    <t>PROPER Blue Certifications</t>
  </si>
  <si>
    <t>Perseroan telah meraih sertifikasi PROPER Biru sebanyak 26 sertifikasi</t>
  </si>
  <si>
    <t>AALI_2025_AR.pdf</t>
  </si>
  <si>
    <t>Laporan Tahunan 2025 | PT Astra Agro Lestari Tbk</t>
  </si>
  <si>
    <t>Pendapatan Bersih 28,655 21,815</t>
  </si>
  <si>
    <t>Beban Pokok Pendapatan (24,023.22) (18,474.41)</t>
  </si>
  <si>
    <t>Laba Bruto 4,631 3,341</t>
  </si>
  <si>
    <t>Beban Usaha (2,214.37) (1,682.14)</t>
  </si>
  <si>
    <t>EBIT (Gross - OpEx)</t>
  </si>
  <si>
    <t>Calculated: 4,631.43 - 2,214.37 = 2,417.06</t>
  </si>
  <si>
    <t>Biaya Pendanaan (139.26) (264.69)</t>
  </si>
  <si>
    <t>Interest Income</t>
  </si>
  <si>
    <t>Penghasilan Bunga 279.79 211.50</t>
  </si>
  <si>
    <t>Profit Before Tax</t>
  </si>
  <si>
    <t>Laba Sebelum Pajak Penghasilan 2,226.73 1,707.13</t>
  </si>
  <si>
    <t>Income Tax Expense</t>
  </si>
  <si>
    <t>Beban Pajak Penghasilan (689.10) (520.35)</t>
  </si>
  <si>
    <t>Laba Tahun Berjalan 1,538 1,187</t>
  </si>
  <si>
    <t>Pemilik Entitas Induk 1,472 1,148</t>
  </si>
  <si>
    <t>Total Aset 27,047 28,793</t>
  </si>
  <si>
    <t>Aset Lancar 8,663 8,434</t>
  </si>
  <si>
    <t>Aset Tidak Lancar 18,384 20,360</t>
  </si>
  <si>
    <t>Total Liabilitas 2,889 5,591</t>
  </si>
  <si>
    <t>Liabilitas Jangka Pendek 2,000 3,238</t>
  </si>
  <si>
    <t>Liabilitas Jangka Panjang 889 2,354</t>
  </si>
  <si>
    <t>Total Ekuitas 24,158 23,202</t>
  </si>
  <si>
    <t>Cash &amp; Equivalents</t>
  </si>
  <si>
    <t>kas dan setara kas pada akhir tahun 2025 menjadi Rp2,76 triliun</t>
  </si>
  <si>
    <t>utang jangka panjang tahun 2025 sebesar 100% menjadi nihil dari Rp1,50 triliun</t>
  </si>
  <si>
    <t>Short-term Bank Loans</t>
  </si>
  <si>
    <t>Bagian Pinjaman Bank Jangka Panjang yang Jatuh Tempo dalam Waktu Satu Tahun - 1,689.54</t>
  </si>
  <si>
    <t>Gross Debt</t>
  </si>
  <si>
    <t>All bank loans settled in 2025</t>
  </si>
  <si>
    <t>Trade Payables</t>
  </si>
  <si>
    <t>Utang Usaha 911.32 711.44</t>
  </si>
  <si>
    <t>CFO</t>
  </si>
  <si>
    <t>arus kas bersih yang diperoleh dari aktivitas operasi tahun buku 2025 sebesar Rp4,21 triliun</t>
  </si>
  <si>
    <t>CFI</t>
  </si>
  <si>
    <t>Arus kas bersih yang digunakan untuk aktivitas investasi ... sebesar Rp781,98 miliar</t>
  </si>
  <si>
    <t>Aset Tetap 299,057; Tanaman Produktif 482,923; Jumlah 781,980 (million Rp)</t>
  </si>
  <si>
    <t>Laba per Saham (Rp penuh) 765 596</t>
  </si>
  <si>
    <t>Nilai Aset Bersih per Saham (Rp) 12,551 12,055</t>
  </si>
  <si>
    <t>Dividen Interim per Saham (Rp) 123 84</t>
  </si>
  <si>
    <t>Saham Beredar (dalam jutaan) 1,925</t>
  </si>
  <si>
    <t>Closing Price (31 Dec 2025)</t>
  </si>
  <si>
    <t>Setahun penuh Full Year 9,000 5,200 7,375</t>
  </si>
  <si>
    <t>2025 Kapitalisasi Pasar Rp14.19 triliun</t>
  </si>
  <si>
    <t>rasio lancar tercatat sebesar 4,33 kali di tahun 2025</t>
  </si>
  <si>
    <t>gearing ratio sebesar kurang dari 1%</t>
  </si>
  <si>
    <t>Total Lahan Tertanam 280,325 284,831</t>
  </si>
  <si>
    <t>Lahan Inti 208,063 212,602</t>
  </si>
  <si>
    <t>Lahan Plasma 72,262 72,229</t>
  </si>
  <si>
    <t>Menghasilkan 260,927 265,490</t>
  </si>
  <si>
    <t>Belum Menghasilkan 19,399 19,341</t>
  </si>
  <si>
    <t>Tanaman Produktif 76,292 87,761</t>
  </si>
  <si>
    <t>Tanaman Tua 184,635 177,729</t>
  </si>
  <si>
    <t>Umur Rata-Rata 16.7 16.5</t>
  </si>
  <si>
    <t>Sumatera 103,389 104,376</t>
  </si>
  <si>
    <t>Kalimantan 129,093 130,043</t>
  </si>
  <si>
    <t>Sulawesi 47,843 50,412</t>
  </si>
  <si>
    <t>Palm Oil Mills</t>
  </si>
  <si>
    <t>Pengolahan Kelapa Sawit 11 14 7 32</t>
  </si>
  <si>
    <t>Kernel Crushing</t>
  </si>
  <si>
    <t>CPO Refinery</t>
  </si>
  <si>
    <t>PKO Refinery</t>
  </si>
  <si>
    <t>NPK Blending Plant</t>
  </si>
  <si>
    <t>Total Produksi TBS 3,821,559 3,734,458</t>
  </si>
  <si>
    <t>TBS Inti 3,009,024 3,002,685</t>
  </si>
  <si>
    <t>TBS Plasma 812,535 731,773</t>
  </si>
  <si>
    <t>Total TBS Olah 6,231,369 5,915,220</t>
  </si>
  <si>
    <t>pembelian TBS dari pihak ketiga menjadi sebesar 2,41 juta ton (and 6,231,369 - 3,821,559 = 2,409,810)</t>
  </si>
  <si>
    <t>Minyak Sawit 1,197,514 1,125,388</t>
  </si>
  <si>
    <t>Inti Sawit 251,874 234,121</t>
  </si>
  <si>
    <t>Minyak Inti Sawit 60,451 46,454</t>
  </si>
  <si>
    <t>RBDPO</t>
  </si>
  <si>
    <t>RBDPO 17,718 14,760</t>
  </si>
  <si>
    <t>Olein</t>
  </si>
  <si>
    <t>Olein 457,987 388,106</t>
  </si>
  <si>
    <t>Stearin</t>
  </si>
  <si>
    <t>Stearin 119,496 95,826</t>
  </si>
  <si>
    <t>PFAD</t>
  </si>
  <si>
    <t>PFAD 26,920 19,382</t>
  </si>
  <si>
    <t>PKE</t>
  </si>
  <si>
    <t>Palm Kernel Expeller (PKE) 74,765 57,001</t>
  </si>
  <si>
    <t>Yield TBS - Ton/Ha 14.46 14.07</t>
  </si>
  <si>
    <t>Yield CPO - Ton/Ha 2.78 2.68</t>
  </si>
  <si>
    <t>OER (Rendemen)</t>
  </si>
  <si>
    <t>Rendemen Minyak Sawit 19.22% 19.03%</t>
  </si>
  <si>
    <t>KER</t>
  </si>
  <si>
    <t>Rendemen Inti Sawit 4.04% 3.96%</t>
  </si>
  <si>
    <t>Rata-Rata Harga Jual Minyak Sawit (Rp/Kg) 14,316 12,883</t>
  </si>
  <si>
    <t>volume penjualan Perseroan untuk CPO dan produk turunannya mengalami peningkatan sebesar 13% menjadi 1,76 juta ton</t>
  </si>
  <si>
    <t>Proporsi serapan penjualan adalah 64% untuk pasar domestik dan 36% untuk ekspor</t>
  </si>
  <si>
    <t>64% untuk pasar domestik dan 36% untuk ekspor</t>
  </si>
  <si>
    <t>PT Andira Agro Tbk</t>
  </si>
  <si>
    <t>ANDI_2022_AR.pdf</t>
  </si>
  <si>
    <t>PT Andira Agro Tbk (Perseroan) merupakan perusahaan terbuka</t>
  </si>
  <si>
    <t>Kode Saham/Stock Code: ANDI</t>
  </si>
  <si>
    <t>IDX Listing Date</t>
  </si>
  <si>
    <t>16-Aug-2018</t>
  </si>
  <si>
    <t>date</t>
  </si>
  <si>
    <t>Pencatatan di BEI: 16 Agustus 2018</t>
  </si>
  <si>
    <t>Headquarters</t>
  </si>
  <si>
    <t>Meta Epsi Building, Jl. Mayjen D.I. Panjaitan Kav.2, Jakarta Timur</t>
  </si>
  <si>
    <t>Meta Epsi Building - Jl. Mayjen D.I. Panjaitan Kav.2 Jakarta Timur</t>
  </si>
  <si>
    <t>Operations Location</t>
  </si>
  <si>
    <t>Banyuasin, South Sumatra</t>
  </si>
  <si>
    <t>Wilayah operasional Perseroan terletak di Kabupaten Banyuasin, Provinsi Sumatera Selatan</t>
  </si>
  <si>
    <t>PT Central Energi Pratama (controlling)</t>
  </si>
  <si>
    <t>PT. Central Energi Pratama 4,650,030,000 49.73%</t>
  </si>
  <si>
    <t>PT Anugerah Perkasa Semesta</t>
  </si>
  <si>
    <t>PT. Anugerah Perkasa Semesta 699,970,000 7.49%</t>
  </si>
  <si>
    <t>Kejaksaan Agung (Attorney General)</t>
  </si>
  <si>
    <t>Kejaksaan Agung 567,409,200 6.07%</t>
  </si>
  <si>
    <t>Public</t>
  </si>
  <si>
    <t>Masyarakat 3,432,590,800 36.71%</t>
  </si>
  <si>
    <t>Net Sales</t>
  </si>
  <si>
    <t>Penjualan Bersih 317,855,645,702 346,364,995,418 (Rupiah)</t>
  </si>
  <si>
    <t>CPO Sales</t>
  </si>
  <si>
    <t>Minyak mentah kelapa sawit 269,464,126,132 296,074,022,293</t>
  </si>
  <si>
    <t>PK Sales</t>
  </si>
  <si>
    <t>Inti sawit 48,391,519,570 50,290,973,125</t>
  </si>
  <si>
    <t>Cost of Goods Sold</t>
  </si>
  <si>
    <t>Beban Pokok Penjualan (295,077,013,708)</t>
  </si>
  <si>
    <t>Laba Bruto 22,778,631,994</t>
  </si>
  <si>
    <t>Operating Income/(Loss)</t>
  </si>
  <si>
    <t>Laba (Rugi) Usaha (10,540,607,940)</t>
  </si>
  <si>
    <t>Interest Expense</t>
  </si>
  <si>
    <t>Beban Bunga (14,969,816,054) (15,192,038,239)</t>
  </si>
  <si>
    <t>Loss Before Tax</t>
  </si>
  <si>
    <t>Rugi Sebelum Pajak Penghasilan (12,004,143,654)</t>
  </si>
  <si>
    <t>Net Loss for the Year</t>
  </si>
  <si>
    <t>Rugi Tahun Berjalan (10,787,670,426)</t>
  </si>
  <si>
    <t>Total Aset 444,210,370,402 482,681,352,132</t>
  </si>
  <si>
    <t>Aset Lancar 77,817,661,367</t>
  </si>
  <si>
    <t>Aset Tidak Lancar 366,392,709,035</t>
  </si>
  <si>
    <t>Total Liabilitas 205,516,461,751</t>
  </si>
  <si>
    <t>Liabilitas Jangka Pendek 51,320,417,645</t>
  </si>
  <si>
    <t>Liabilitas Jangka Panjang 154,196,044,106</t>
  </si>
  <si>
    <t>Ekuitas 238,693,908,651</t>
  </si>
  <si>
    <t>kas dan setara kas sebesar Rp15,02 miliar pada akhir tahun 2022</t>
  </si>
  <si>
    <t>Bank Loans (Gross)</t>
  </si>
  <si>
    <t>Saldo utang bank 166,182,942,439 181,644,310,638 (PT Bank Permata)</t>
  </si>
  <si>
    <t>Bank Loans - Current portion</t>
  </si>
  <si>
    <t>Bagian jangka pendek 16,608,671,599 15,461,368,199</t>
  </si>
  <si>
    <t>Bank Loans - Long-term portion</t>
  </si>
  <si>
    <t>Bagian Jangka Panjang 149,574,270,840 166,182,942,439</t>
  </si>
  <si>
    <t>Arus Kas Bersih yang Diperoleh dari Aktivitas Operasi 51,020,971,477</t>
  </si>
  <si>
    <t>CFI (Capex proxy)</t>
  </si>
  <si>
    <t>Arus Kas Bersih yang Digunakan untuk Aktivitas Investasi (29,780,777,517)</t>
  </si>
  <si>
    <t>CFF</t>
  </si>
  <si>
    <t>Arus Kas Bersih yang Digunakan untuk Aktivitas Pendanaan (16,198,600,976)</t>
  </si>
  <si>
    <t>Loss per Share (Basic)</t>
  </si>
  <si>
    <t>Rugi Per Saham - Dasar (1.15)</t>
  </si>
  <si>
    <t>Market cap Rp467.5 bn / Rp50 = 9,350 mn shares; confirmed via 4,650,030,000 / 49.73% = 9,350mn</t>
  </si>
  <si>
    <t>Paid-up Capital</t>
  </si>
  <si>
    <t>Modal Dasar Disetor dan Ditempatkan Penuh: Rp187,000,000,000</t>
  </si>
  <si>
    <t>Closing Price (31 Dec 2022)</t>
  </si>
  <si>
    <t>Kuartal iV - 2022 50 50 50 591,400 467,500,000,000</t>
  </si>
  <si>
    <t>Market Capitalization</t>
  </si>
  <si>
    <t>Kapitalisasi Pasar 467,500,000,000</t>
  </si>
  <si>
    <t>Rasio Lancar 1.516x 1.399x 0.894x</t>
  </si>
  <si>
    <t>Debt to Equity Ratio</t>
  </si>
  <si>
    <t>Rasio Utang/Ekuitas (Der) 0.861x 0.936x</t>
  </si>
  <si>
    <t>Debt to Assets Ratio</t>
  </si>
  <si>
    <t>Rasio Utang/Aset (Dar) 0.463x 0.484x</t>
  </si>
  <si>
    <t>Rasio Laba/Aset (Roa) -2.43%</t>
  </si>
  <si>
    <t>Rasio Laba/Ekuitas (Roe) -4.52%</t>
  </si>
  <si>
    <t>HGU Total Area (pledged)</t>
  </si>
  <si>
    <t>HGU No.06/Karang Anyar 1,975.95 Ha + HGU No.16/Sebubus 784.00 Ha + HGU No.25/Teluk Tenggiri 990.08 Ha + HGU No.34/Sebubus dan Muara Padang 702.85 Ha = 4,452.88 Ha</t>
  </si>
  <si>
    <t>Pabrik Kelapa Sawit (PKS) Perseroan memproduksi CPO dan PK</t>
  </si>
  <si>
    <t>Palm Oil Mill Capacity</t>
  </si>
  <si>
    <t>tph</t>
  </si>
  <si>
    <t>Perseroan memiliki total kapasitas pengolahan kelapa sawit sebesar 30 ton per jam</t>
  </si>
  <si>
    <t>Tanda Buah Segar (TBS) olah mencapai 121,298 ton</t>
  </si>
  <si>
    <t>Perseroan dapat menghasilkan CPO sebanyak 21,524 ton</t>
  </si>
  <si>
    <t>PK/Kernel Production</t>
  </si>
  <si>
    <t>Perseroan memproduksi sebanyak 5,759 ton Palm Kernel (PK)</t>
  </si>
  <si>
    <t>Calculated OER</t>
  </si>
  <si>
    <t>CPO 21,524 / FFB processed 121,298 = 17.75% (not explicitly reported)</t>
  </si>
  <si>
    <t>CPO Production 2021 (prior year)</t>
  </si>
  <si>
    <t>pada 2021 menghasilkan 27,000 ton</t>
  </si>
  <si>
    <t>FFB Processed 2021 (prior year)</t>
  </si>
  <si>
    <t>TBS olah pada tahun 2021 sebesar 146,124 ton</t>
  </si>
  <si>
    <t>ISPO Certification</t>
  </si>
  <si>
    <t>Certified (MISB)</t>
  </si>
  <si>
    <t>ISPO (Indonesia Sustainable Palm Oil) certification by PT Mutu Indonesia Strategis Berkelanjutan</t>
  </si>
  <si>
    <t>GAPKI Membership</t>
  </si>
  <si>
    <t>Member</t>
  </si>
  <si>
    <t>Gabungan Pengusaha Kelapa Sawit Indonesia (GAPKI) - sebagai anggota</t>
  </si>
  <si>
    <t>Total Headcount</t>
  </si>
  <si>
    <t>Jumlah Karyawan 121 orang/people 163 163</t>
  </si>
  <si>
    <t>ANDI_2023_AR.pdf</t>
  </si>
  <si>
    <t>IDX code ANDI</t>
  </si>
  <si>
    <t>PENJUALAN BERSIH 219,942,382,085 317,855,645,702</t>
  </si>
  <si>
    <t>Minyak mentah kelapa sawit 195,160,663,545 269,464,126,132</t>
  </si>
  <si>
    <t>Kernel Sales</t>
  </si>
  <si>
    <t>Inti sawit 24,781,718,540 48,391,519,570</t>
  </si>
  <si>
    <t>LABA BRUTO 223,757,049 22,778,631,994</t>
  </si>
  <si>
    <t>Operating Loss</t>
  </si>
  <si>
    <t>LABA (RUGI) USAHA (63,098,260,750) (10,540,607,940)</t>
  </si>
  <si>
    <t>Net Loss</t>
  </si>
  <si>
    <t>RUGI TAHUN BERJALAN (55,959,237,094) (10,787,670,426)</t>
  </si>
  <si>
    <t>Comprehensive Loss</t>
  </si>
  <si>
    <t>JUMLAH RUGI KOMPREHENSIF (55,954,565,186)</t>
  </si>
  <si>
    <t>Total Aset 378,135,050,642 444,210,370,402</t>
  </si>
  <si>
    <t>Aset Lancar 24,214,366,203 77,817,661,367</t>
  </si>
  <si>
    <t>Aset Tidak Lancar 353,920,684,439</t>
  </si>
  <si>
    <t>Total Liabilitas 195,395,707,177</t>
  </si>
  <si>
    <t>Liabilitas Jangka Pendek 41,923,858,695</t>
  </si>
  <si>
    <t>Liabilitas Jangka Panjang 153,471,848,482</t>
  </si>
  <si>
    <t>Ekuitas 182,739,343,465 238,693,908,651</t>
  </si>
  <si>
    <t>KAS DAN SETARA KAS AKHIR TAHUN 8,364,784,764 15,020,216,418</t>
  </si>
  <si>
    <t>Jumlah Kas Bersih yang Diperoleh dari Aktivitas Operasi 14,607,513,312</t>
  </si>
  <si>
    <t>Jumlah Kas Bersih Digunakan untuk Aktivitas Investasi (12,616,405,972)</t>
  </si>
  <si>
    <t>kas bersih yang digunakan untuk aktivitas pendanaan (8,646,538,994)</t>
  </si>
  <si>
    <t>EPS (basic)</t>
  </si>
  <si>
    <t>RUGI DASAR PER SAHAM - DASAR (5.98)</t>
  </si>
  <si>
    <t>Jumlah Saham Beredar 9,350,000,000</t>
  </si>
  <si>
    <t>Closing Price (31 Dec 2023)</t>
  </si>
  <si>
    <t>Kuartal IV - 2023 50 50 50</t>
  </si>
  <si>
    <t>Rasio Lancar 0.577 1.516</t>
  </si>
  <si>
    <t>Rasio Utang/Ekuitas 1.069 0.861</t>
  </si>
  <si>
    <t>Debt to Capital Ratio (adj net debt)</t>
  </si>
  <si>
    <t>Rasio Utang terhadap Modal 1.02 0.80</t>
  </si>
  <si>
    <t>Rasio Laba (Rugi) Bersih/Aset (14.80%)</t>
  </si>
  <si>
    <t>Rasio Laba (Rugi) Bersih/Ekuitas (30.62%)</t>
  </si>
  <si>
    <t>Collection Period</t>
  </si>
  <si>
    <t>days</t>
  </si>
  <si>
    <t>Kolektibilitas Piutang 77 hari</t>
  </si>
  <si>
    <t>Pabrik Kelapa Sawit (PKS) Perseroan</t>
  </si>
  <si>
    <t>Mill Capacity</t>
  </si>
  <si>
    <t>kapasitas pengolahan kelapa sawit sebesar 30 ton per jam</t>
  </si>
  <si>
    <t>HGU Area (Banyuasin)</t>
  </si>
  <si>
    <t>Banyuasin, South Sumatra single-site; HGU total from 2022 notes ~4,453 Ha</t>
  </si>
  <si>
    <t>Tandan Buah Segar (TBS) olah mencapai 99,141 ton</t>
  </si>
  <si>
    <t>menghasilkan CPO sebanyak 17,178 ton pada 2023</t>
  </si>
  <si>
    <t>Kernel/PK Production</t>
  </si>
  <si>
    <t>memproduksi sebanyak 4,620 ton Palm Kernel (PK)</t>
  </si>
  <si>
    <t>CPO 17,178 / FFB 99,141 = 17.33%</t>
  </si>
  <si>
    <t>PT Central Energi Pratama</t>
  </si>
  <si>
    <t>PT Central Energi Pratama 4,650,030,000 49.73% (unchanged)</t>
  </si>
  <si>
    <t>Kejaksaan Agung</t>
  </si>
  <si>
    <t>Certified</t>
  </si>
  <si>
    <t>ISPO certification</t>
  </si>
  <si>
    <t>ANDI_2024_AR.pdf</t>
  </si>
  <si>
    <t>Annual &amp; Sustainability Report 2024 - PT Andira Agro Tbk</t>
  </si>
  <si>
    <t>PENJUALAN BERSIH 196,741,616,114 219,942,382,085</t>
  </si>
  <si>
    <t>Minyak mentah kelapa sawit 166,560,755,325 195,160,663,545</t>
  </si>
  <si>
    <t>Palm Kernel Sales</t>
  </si>
  <si>
    <t>Inti sawit 29,944,599,527 24,781,718,540</t>
  </si>
  <si>
    <t>Shell Sales</t>
  </si>
  <si>
    <t>Cangkang 236,261,262 - (new product)</t>
  </si>
  <si>
    <t>Gross Profit (Loss)</t>
  </si>
  <si>
    <t>LABA BRUTO (11,961,251,357) 223,757,049</t>
  </si>
  <si>
    <t>LABA (RUGI) USAHA (34,607,531,181) (63,098,260,750)</t>
  </si>
  <si>
    <t>RUGI TAHUN BERJALAN (23,050,071,071) (55,959,237,094)</t>
  </si>
  <si>
    <t>Total Aset 350,160,565,915 378,135,050,642</t>
  </si>
  <si>
    <t>Aset Lancar 38,490,927,187 24,214,366,203</t>
  </si>
  <si>
    <t>Aset Tidak Lancar 311,669,638,728 353,920,684,439</t>
  </si>
  <si>
    <t>Total Liabilitas 190,381,893,443 195,395,707,177</t>
  </si>
  <si>
    <t>Liabilitas Jangka Pendek 50,093,781,413 41,923,858,695</t>
  </si>
  <si>
    <t>Long-term Liabilities</t>
  </si>
  <si>
    <t>Liabilitas Jangka Panjang 140,288,112,030 153,471,848,482</t>
  </si>
  <si>
    <t>Ekuitas 159,778,672,472 182,739,343,465</t>
  </si>
  <si>
    <t>KAS DAN SETARA KAS AKHIR TAHUN 15,819,383,293 8,364,784,764</t>
  </si>
  <si>
    <t>Jumlah Kas Bersih yang Diperoleh dari Aktivitas Operasi 23,746,379,903</t>
  </si>
  <si>
    <t>Jumlah Kas Bersih Digunakan untuk Aktivitas Investasi (4,345,449,410)</t>
  </si>
  <si>
    <t>kas bersih yang digunakan untuk aktivitas pendanaan (11,964,545,231)</t>
  </si>
  <si>
    <t>EPS (basic loss)</t>
  </si>
  <si>
    <t>RUGI DASAR PER SAHAM - DASAR (2.47) (5.98)</t>
  </si>
  <si>
    <t>Closing Price (Q4 2024)</t>
  </si>
  <si>
    <t>Kuartal IV - 2024 5.00 7.00 6.00</t>
  </si>
  <si>
    <t>Market Cap (Dec 2024)</t>
  </si>
  <si>
    <t>Kapitalisasi Pasar 56,100,000,000 (4th Qtr 2024)</t>
  </si>
  <si>
    <t>Rasio Lancar 0.768 0.577 1.516</t>
  </si>
  <si>
    <t>Debt to Equity</t>
  </si>
  <si>
    <t>Rasio Utang/Ekuitas 1.191 1.069</t>
  </si>
  <si>
    <t>Debt to Assets</t>
  </si>
  <si>
    <t>Rasio Utang/Aset 0.544 0.517</t>
  </si>
  <si>
    <t>Rasio Laba (Rugi) Bersih/Aset (6.58%)</t>
  </si>
  <si>
    <t>Rasio Laba (Rugi) Bersih/Ekuitas (14.43%)</t>
  </si>
  <si>
    <t>Rasio Laba (Rugi) Bruto/Penjualan (6.08%) 0.10% 7.17%</t>
  </si>
  <si>
    <t>Kolektibilitas Piutang 323 hari 77 hari</t>
  </si>
  <si>
    <t>total kapasitas pengolahan kelapa sawit sebesar 30 ton per jam</t>
  </si>
  <si>
    <t>HGU Area</t>
  </si>
  <si>
    <t>Operations in Banyuasin, South Sumatra; HGU total ~4,453 ha (from 2022 notes)</t>
  </si>
  <si>
    <t>Tanda Buah Segar (TBS) olah mencapai 71,988 ton</t>
  </si>
  <si>
    <t>menghasilkan CPO sebanyak 11,546 ton pada 2024</t>
  </si>
  <si>
    <t>PK Production</t>
  </si>
  <si>
    <t>memproduksi sebanyak 3,166 ton Palm Kernel (PK)</t>
  </si>
  <si>
    <t>CPO 11,546 / FFB 71,988 = 16.04%</t>
  </si>
  <si>
    <t>New Product: Palm Kernel Shell (Cangkang)</t>
  </si>
  <si>
    <t>Commenced</t>
  </si>
  <si>
    <t>Cangkang 236,261,262 (new line 2024)</t>
  </si>
  <si>
    <t>Headcount (Employees)</t>
  </si>
  <si>
    <t>Not retrieved in this pass</t>
  </si>
  <si>
    <t>Low</t>
  </si>
  <si>
    <t>PT Austindo Nusantara Jaya Tbk</t>
  </si>
  <si>
    <t>ANJT_2022_AR.pdf</t>
  </si>
  <si>
    <t>Cover: PT Austindo Nusantara Jaya Tbk.</t>
  </si>
  <si>
    <t>Company listed on IDX under the stock code ANJT</t>
  </si>
  <si>
    <t>2023 Annual Report</t>
  </si>
  <si>
    <t>IPO Date</t>
  </si>
  <si>
    <t>2013-05-08</t>
  </si>
  <si>
    <t>listed its shares on the IDX on May 8, 2013, under the stock code ANJT</t>
  </si>
  <si>
    <t>Shareholder Structure</t>
  </si>
  <si>
    <t>Tahija family 91% / Public 8.83%</t>
  </si>
  <si>
    <t>PT Memimpin Dengan Nurani 40.85% / PT Austindo Kencana Jaya 40.85% / George Tahija 4.74% / Sjakon Tahija 4.74% / Public 8.83%</t>
  </si>
  <si>
    <t>USD mn</t>
  </si>
  <si>
    <t>Total Revenue 236.5 (2023)</t>
  </si>
  <si>
    <t>Revenue (IDR bn)</t>
  </si>
  <si>
    <t>USD 236.5mn x ~15,394 IDR/USD year-end 2023 = Rp 3,641 bn</t>
  </si>
  <si>
    <t>Gross profit 31.6 (2023)</t>
  </si>
  <si>
    <t>EBITDA</t>
  </si>
  <si>
    <t>EBITDA 49.1 (2023)</t>
  </si>
  <si>
    <t>Net Income</t>
  </si>
  <si>
    <t>Net income for the year 1.9 (2023)</t>
  </si>
  <si>
    <t>Net Income Parent</t>
  </si>
  <si>
    <t>attributable to the owners of the company 2.6 (2023)</t>
  </si>
  <si>
    <t>Total Comprehensive Income 6.5</t>
  </si>
  <si>
    <t>Cash &amp; cash equivalents</t>
  </si>
  <si>
    <t>Cash and cash equivalents 5.9</t>
  </si>
  <si>
    <t>Total Current Assets</t>
  </si>
  <si>
    <t>Total current assets 55.0</t>
  </si>
  <si>
    <t>Total assets 614.1</t>
  </si>
  <si>
    <t>Bank Loans (Gross Debt)</t>
  </si>
  <si>
    <t>Bank loans 150.9</t>
  </si>
  <si>
    <t>Total Current Liabilities</t>
  </si>
  <si>
    <t>Total current liabilities 52.8</t>
  </si>
  <si>
    <t>Total liabilities 188.7</t>
  </si>
  <si>
    <t>Total equity 425.3</t>
  </si>
  <si>
    <t>Return on assets 0.3%</t>
  </si>
  <si>
    <t>Return on equity 0.4%</t>
  </si>
  <si>
    <t>Gross margin 13.3%</t>
  </si>
  <si>
    <t>EBITDA Margin</t>
  </si>
  <si>
    <t>EBITDA margin 20.8%</t>
  </si>
  <si>
    <t>Net Profit Margin</t>
  </si>
  <si>
    <t>Net profit margin 0.8%</t>
  </si>
  <si>
    <t>Current ratio 1.0 (2023)</t>
  </si>
  <si>
    <t>Net Debt/Equity</t>
  </si>
  <si>
    <t>Net debt to equity ratio 0.3</t>
  </si>
  <si>
    <t>USD/share</t>
  </si>
  <si>
    <t>Basic earnings per share 0.0008</t>
  </si>
  <si>
    <t>3,354,175,000 total shares</t>
  </si>
  <si>
    <t>Closing Price (2023 Q4)</t>
  </si>
  <si>
    <t>IDR</t>
  </si>
  <si>
    <t>Q4 Close 745 (2023)</t>
  </si>
  <si>
    <t>Q4 2023 Market Cap 2,498,860,375,000 IDR</t>
  </si>
  <si>
    <t>Dividend per Share</t>
  </si>
  <si>
    <t>IDR/share</t>
  </si>
  <si>
    <t>DIVIDEND PER SHARE IDR 27.8 (2023)</t>
  </si>
  <si>
    <t>Dividend Payout Ratio</t>
  </si>
  <si>
    <t>DIVIDEND PAYOUT RATIO 29.5%</t>
  </si>
  <si>
    <t>Net cash provided by operating activities 36,645 (2023)</t>
  </si>
  <si>
    <t>Investing CF</t>
  </si>
  <si>
    <t>Net cash used in investing activities (41,243)</t>
  </si>
  <si>
    <t>Financing CF</t>
  </si>
  <si>
    <t>Net cash used in financing activities (370)</t>
  </si>
  <si>
    <t>TOTAL PLANTED AREA: 48,516 Ha</t>
  </si>
  <si>
    <t>Total Conservation Area</t>
  </si>
  <si>
    <t>TOTAL CONSERVATION AREA: 97,745 Ha</t>
  </si>
  <si>
    <t>Matured Nucleus Area</t>
  </si>
  <si>
    <t>Mature nucleus oil palms cover 43,400 hectares or 89.5% of planted area</t>
  </si>
  <si>
    <t>Plasma Planted Area</t>
  </si>
  <si>
    <t>5,116 hectares or 10.5% plasma</t>
  </si>
  <si>
    <t>Mill Count</t>
  </si>
  <si>
    <t>5 palm oil mills (ANJA 60 tph, ANJAS 60 tph, SMM 60 tph, KAL 90 tph, PPM 45 tph)</t>
  </si>
  <si>
    <t>Total Mill Capacity</t>
  </si>
  <si>
    <t>Sum of mill capacities: 60+60+60+90+45 = 315 tons/hour</t>
  </si>
  <si>
    <t>Total FFB produced from our estates 881,051 (2023)</t>
  </si>
  <si>
    <t>Total FFB bought from third parties 503,811</t>
  </si>
  <si>
    <t>Total FFB processed 1,374,871</t>
  </si>
  <si>
    <t>Average FFB yield (tons per hectare) 20.3</t>
  </si>
  <si>
    <t>Total CPO production 283,659</t>
  </si>
  <si>
    <t>Total CPO sales 288,941</t>
  </si>
  <si>
    <t>Total PK production 52,432</t>
  </si>
  <si>
    <t>Total PKO production 1,459</t>
  </si>
  <si>
    <t>CPO extraction rate 20.6%</t>
  </si>
  <si>
    <t>PK extraction rate 4.1%</t>
  </si>
  <si>
    <t>CPO ASP</t>
  </si>
  <si>
    <t>USD/t</t>
  </si>
  <si>
    <t>CPO average selling price 731</t>
  </si>
  <si>
    <t>PK ASP</t>
  </si>
  <si>
    <t>PK average selling price 358</t>
  </si>
  <si>
    <t>Cash Cost of Production</t>
  </si>
  <si>
    <t>Cash cost of production 409</t>
  </si>
  <si>
    <t>Sustainalytics ESG Rating</t>
  </si>
  <si>
    <t>18.3 (Low Risk)</t>
  </si>
  <si>
    <t>ESG Risk Rating score of 18.3 (low risk), ranking first out of 95 global agricultural companies</t>
  </si>
  <si>
    <t>SPOTT Score</t>
  </si>
  <si>
    <t>SPOTT awarded ANJ a score of 91.1%, 4th place globally</t>
  </si>
  <si>
    <t>ANJT_2023_AR.pdf</t>
  </si>
  <si>
    <t>PT Austindo Nusantara Jaya Tbk. 2022 Annual Report</t>
  </si>
  <si>
    <t>Stock code ANJT on IDX</t>
  </si>
  <si>
    <t>2022 Annual Report</t>
  </si>
  <si>
    <t>Total Revenue</t>
  </si>
  <si>
    <t>Total Revenue 269.2 (2022)</t>
  </si>
  <si>
    <t>USD 269.2mn x 15,568 IDR/USD (2022 year-end) = Rp 4,191 bn</t>
  </si>
  <si>
    <t>Palm Oil Revenue</t>
  </si>
  <si>
    <t>Palm Oil, Palm Kernel Oil and Palm Kernel 265.3</t>
  </si>
  <si>
    <t>Gross profit 53.9 (2022)</t>
  </si>
  <si>
    <t>EBITDA 69.3</t>
  </si>
  <si>
    <t>Net income (loss) for the year 21.2 (2022)</t>
  </si>
  <si>
    <t>attributable to the owners 21.7</t>
  </si>
  <si>
    <t>Total Comprehensive Income 6.1</t>
  </si>
  <si>
    <t>Basic earnings per share 0.0065</t>
  </si>
  <si>
    <t>Cash &amp; equivalents</t>
  </si>
  <si>
    <t>Cash and cash equivalents 10.8</t>
  </si>
  <si>
    <t>Total current assets 59.1</t>
  </si>
  <si>
    <t>Total assets 602.6</t>
  </si>
  <si>
    <t>Bank Loans</t>
  </si>
  <si>
    <t>Bank loans 134.2</t>
  </si>
  <si>
    <t>Total current liabilities 40.5</t>
  </si>
  <si>
    <t>Total liabilities 178.5</t>
  </si>
  <si>
    <t>Total equity 424.1</t>
  </si>
  <si>
    <t>Return on assets 3.5%</t>
  </si>
  <si>
    <t>Return on equity 5.0%</t>
  </si>
  <si>
    <t>Gross margin 20.0%</t>
  </si>
  <si>
    <t>EBITDA margin 25.8%</t>
  </si>
  <si>
    <t>Net profit margin 7.9%</t>
  </si>
  <si>
    <t>Current ratio 1.5</t>
  </si>
  <si>
    <t>Liabilities to equity ratio 0.4</t>
  </si>
  <si>
    <t>3,354,175,000 shares outstanding</t>
  </si>
  <si>
    <t>Closing Price Q4 2022</t>
  </si>
  <si>
    <t>Q4 2022 Close 665</t>
  </si>
  <si>
    <t>Market Cap 2022-Q4</t>
  </si>
  <si>
    <t>Q4 2022 MCap 2,230,526,375,000</t>
  </si>
  <si>
    <t>DIVIDEND PER SHARE IDR 43 (2022)</t>
  </si>
  <si>
    <t>DIVIDEND PAYOUT RATIO 26.4%</t>
  </si>
  <si>
    <t>Net cash provided by operating activities 59,995 (2022)</t>
  </si>
  <si>
    <t>TOTAL PLANTED AREA: 49,409 Ha</t>
  </si>
  <si>
    <t>TOTAL CONSERVATION AREA: 97,682 Ha</t>
  </si>
  <si>
    <t>5 palm oil mills (ANJA, ANJAS, SMM, KAL, PPM)</t>
  </si>
  <si>
    <t>ANJAS Planted Area</t>
  </si>
  <si>
    <t>ANJAS Planted Area 7,752 Ha</t>
  </si>
  <si>
    <t>ANJA Planted Area</t>
  </si>
  <si>
    <t>ANJA Planted Area 9,457 Ha</t>
  </si>
  <si>
    <t>SMM Planted Area</t>
  </si>
  <si>
    <t>SMM Planted Area 14,303 Ha</t>
  </si>
  <si>
    <t>Total FFB produced from our estates 840,581 (2022)</t>
  </si>
  <si>
    <t>Total FFB bought from third parties 538,483</t>
  </si>
  <si>
    <t>Total FFB processed 1,379,064</t>
  </si>
  <si>
    <t>Average FFB yield 19.4 t/ha</t>
  </si>
  <si>
    <t>Total CPO production 275,769</t>
  </si>
  <si>
    <t>Total CPO sales 275,320</t>
  </si>
  <si>
    <t>Total PK production 55,011</t>
  </si>
  <si>
    <t>Total PKO production 1,052</t>
  </si>
  <si>
    <t>OER</t>
  </si>
  <si>
    <t>CPO extraction rate 20.1%</t>
  </si>
  <si>
    <t>PK extraction rate 4.4%</t>
  </si>
  <si>
    <t>CPO average selling price 842</t>
  </si>
  <si>
    <t>PK average selling price 559</t>
  </si>
  <si>
    <t>PKO ASP</t>
  </si>
  <si>
    <t>PKO average selling price 1,081</t>
  </si>
  <si>
    <t>Cash cost of production 402</t>
  </si>
  <si>
    <t>ANJT_2024_AR.pdf</t>
  </si>
  <si>
    <t>2024 Annual Report, PT Austindo Nusantara Jaya Tbk.</t>
  </si>
  <si>
    <t>Listed on IDX under stock code ANJT</t>
  </si>
  <si>
    <t>2024 Annual Report</t>
  </si>
  <si>
    <t>Total Revenue 236.8 (2024)</t>
  </si>
  <si>
    <t>USD 236.8mn x 16,162 IDR/USD = Rp 3,827 bn</t>
  </si>
  <si>
    <t>Palm Oil Products 230.9</t>
  </si>
  <si>
    <t>Gross profit 47.3 (2024)</t>
  </si>
  <si>
    <t>EBITDA 59.2</t>
  </si>
  <si>
    <t>Net income for the year 9.2</t>
  </si>
  <si>
    <t>attributable to owners of the company 9.6</t>
  </si>
  <si>
    <t>Total Comprehensive Income (0.0)</t>
  </si>
  <si>
    <t>Basic earnings per share 0.0029</t>
  </si>
  <si>
    <t>Cash and cash equivalents 9.1</t>
  </si>
  <si>
    <t>Total current assets 62.2</t>
  </si>
  <si>
    <t>Total assets 573.2</t>
  </si>
  <si>
    <t>Bank loans 145.5</t>
  </si>
  <si>
    <t>Total current liabilities 49.4</t>
  </si>
  <si>
    <t>Total liabilities 181.3</t>
  </si>
  <si>
    <t>Total equity 391.9</t>
  </si>
  <si>
    <t>Return on assets 1.6%</t>
  </si>
  <si>
    <t>Return on equity 2.3%</t>
  </si>
  <si>
    <t>EBITDA margin 16.6%</t>
  </si>
  <si>
    <t>Net profit margin 3.9%</t>
  </si>
  <si>
    <t>Current ratio 1.3</t>
  </si>
  <si>
    <t>3,354,175,000 outstanding</t>
  </si>
  <si>
    <t>Closing Price Q4 2024</t>
  </si>
  <si>
    <t>Q4 2024 Close 715</t>
  </si>
  <si>
    <t>Market Cap Q4 2024</t>
  </si>
  <si>
    <t>Market Cap 2,398,235,125,000 (2024 Q4)</t>
  </si>
  <si>
    <t>Interim DPS (for FY2023)</t>
  </si>
  <si>
    <t>Dividend per share IDR 27.8 distributed in 2024 from FY2023 earnings</t>
  </si>
  <si>
    <t>Net cash provided by operating activities 43,656 (2024)</t>
  </si>
  <si>
    <t>Net cash used in investing activities (27,964)</t>
  </si>
  <si>
    <t>Net cash used in financing activities (12,411)</t>
  </si>
  <si>
    <t>TOTAL PLANTED AREA: 48,352 Ha (nucleus) + plasma/partnership = total of 53,357 Ha per MDA p.108</t>
  </si>
  <si>
    <t>Nucleus Planted Area</t>
  </si>
  <si>
    <t>TOTAL PLANTED AREA: 48,352 Ha (nucleus)</t>
  </si>
  <si>
    <t>Matured Plantation Area</t>
  </si>
  <si>
    <t>Our productive plantation area of 42,176 hectares in 2024</t>
  </si>
  <si>
    <t>Replanted Area in 2024</t>
  </si>
  <si>
    <t>we replanted 1,718 hectares at ANJA and SMM</t>
  </si>
  <si>
    <t>Total Replanted Cumulative</t>
  </si>
  <si>
    <t>total replanted area to date, standing at 12,635 hectares since 2015</t>
  </si>
  <si>
    <t>Average Palm Age</t>
  </si>
  <si>
    <t>maintained our average palm oil age at 12.9 years as of December 31, 2024</t>
  </si>
  <si>
    <t>Total Landbank</t>
  </si>
  <si>
    <t>total of 194,650 hectares of landbank including 53,357 ha palm + 40,000 ha sago</t>
  </si>
  <si>
    <t>five palm oil mills</t>
  </si>
  <si>
    <t>Mill capacities summed 60+60+60+90+45 = 315 tph</t>
  </si>
  <si>
    <t>TOTAL CONSERVATION AREA: 97,779 Ha</t>
  </si>
  <si>
    <t>Total FFB produced from our estates 777,615 (2024)</t>
  </si>
  <si>
    <t>Total FFB bought from third parties 463,835</t>
  </si>
  <si>
    <t>Total FFB processed 1,233,180</t>
  </si>
  <si>
    <t>Average FFB yield 18.4 mt per hectare</t>
  </si>
  <si>
    <t>Total CPO Production 245,395</t>
  </si>
  <si>
    <t>Total CPO Sales 245,784</t>
  </si>
  <si>
    <t>Total PK production 47,668</t>
  </si>
  <si>
    <t>Total PKO Production 1,121</t>
  </si>
  <si>
    <t>CPO extraction rate 19.9%</t>
  </si>
  <si>
    <t>PK extraction rate 4.2%</t>
  </si>
  <si>
    <t>CPO average selling price 822</t>
  </si>
  <si>
    <t>PK average selling price 501</t>
  </si>
  <si>
    <t>Cash cost of production 434</t>
  </si>
  <si>
    <t>PT BISI International Tbk</t>
  </si>
  <si>
    <t>BISI_2023_AR.pdf</t>
  </si>
  <si>
    <t>PT BISI INTERNATIONAL Tbk, Laporan Tahunan 2023</t>
  </si>
  <si>
    <t>Establishment Date</t>
  </si>
  <si>
    <t>1983-06-22</t>
  </si>
  <si>
    <t>didirikan di Indonesia dengan nama PT Bright Indonesia Seed Industry, berdasarkan Akta No. 35 tanggal 22 Juni 1983</t>
  </si>
  <si>
    <t>HQ</t>
  </si>
  <si>
    <t>Sidoarjo, East Java</t>
  </si>
  <si>
    <t>Taman, Kabupaten Sidoarjo, Jawa Timur, Indonesia</t>
  </si>
  <si>
    <t>Jiaravanon family</t>
  </si>
  <si>
    <t>Pemegang saham pengendali Perseroan adalah Keluarga Jiaravanon</t>
  </si>
  <si>
    <t>PT Agrindo Pratama ownership</t>
  </si>
  <si>
    <t>PT Agrindo Pratama 930,000,000 31.00%</t>
  </si>
  <si>
    <t>Masyarakat/Public 1,372,454,600 45.73%</t>
  </si>
  <si>
    <t>Primary Business</t>
  </si>
  <si>
    <t>Hybrid seeds + pesticides + fertilizers</t>
  </si>
  <si>
    <t>main products: corn seeds, horticultural seeds, paddy seeds, pesticides and fertilizers</t>
  </si>
  <si>
    <t>Affiliate Offtaker</t>
  </si>
  <si>
    <t>PT Charoen Pokphand Indonesia Tbk</t>
  </si>
  <si>
    <t>partnership with corn farmers to offtake directly by our affiliated Company, PT Charoen Pokphand Indonesia Tbk</t>
  </si>
  <si>
    <t>IDR mn</t>
  </si>
  <si>
    <t>Penjualan neto 2,298,131 (2023) / Net sales</t>
  </si>
  <si>
    <t>Rp 2,298,131 million = Rp 2,298 bn; text: 'Rp2.30 trillion'</t>
  </si>
  <si>
    <t>COGS</t>
  </si>
  <si>
    <t>Beban pokok penjualan (1,136,012)</t>
  </si>
  <si>
    <t>Laba Bruto 1,162,119</t>
  </si>
  <si>
    <t>Operating Profit</t>
  </si>
  <si>
    <t>Laba Usaha 692,341</t>
  </si>
  <si>
    <t>Profit before Tax</t>
  </si>
  <si>
    <t>Laba sebelum pajak 733,895</t>
  </si>
  <si>
    <t>Laba Tahun Berjalan 595,740</t>
  </si>
  <si>
    <t>Pemilik entitas induk 595,629</t>
  </si>
  <si>
    <t>Total Penghasilan Komprehensif 600,446</t>
  </si>
  <si>
    <t>Laba per saham 198.54 / 199</t>
  </si>
  <si>
    <t>Kas dan setara kas 1,042,206 (2023)</t>
  </si>
  <si>
    <t>Total Aset Lancar 2,945,199</t>
  </si>
  <si>
    <t>Fixed Assets</t>
  </si>
  <si>
    <t>Aset tetap 721,419</t>
  </si>
  <si>
    <t>Total Aset 3,901,820</t>
  </si>
  <si>
    <t>Total Liabilitas Jangka Pendek 401,461</t>
  </si>
  <si>
    <t>Total Liabilitas 455,124</t>
  </si>
  <si>
    <t>Total Ekuitas 3,446,696</t>
  </si>
  <si>
    <t>Rasio Laba terhadap Total Aset 0.15</t>
  </si>
  <si>
    <t>Rasio Laba terhadap Ekuitas 0.17</t>
  </si>
  <si>
    <t>Rasio Laba terhadap Penjualan Neto 0.26</t>
  </si>
  <si>
    <t>Rasio Lancar 7.34</t>
  </si>
  <si>
    <t>Rasio Utang terhadap Ekuitas 0.13</t>
  </si>
  <si>
    <t>Rasio Utang terhadap Total Aset 0.12</t>
  </si>
  <si>
    <t>Jumlah Saham Yang Beredar 3,000,000,000</t>
  </si>
  <si>
    <t>Closing Price Q4 2023</t>
  </si>
  <si>
    <t>Harga Saham Penutupan Q4 2023 1,600</t>
  </si>
  <si>
    <t>Market Cap Q4 2023</t>
  </si>
  <si>
    <t>Kapitalisasi Pasar 4,800,000,000,000</t>
  </si>
  <si>
    <t>Net Cash Provided by Operating Activities 42,910 (2023)</t>
  </si>
  <si>
    <t>Capex (Fixed Asset Acquisition)</t>
  </si>
  <si>
    <t>Perolehan aset tetap (254,930) in 2023</t>
  </si>
  <si>
    <t>Dividend Paid in 2023</t>
  </si>
  <si>
    <t>Pembayaran dividen tunai (204,000) in 2023</t>
  </si>
  <si>
    <t>Additional Paid-in Capital</t>
  </si>
  <si>
    <t>Tambahan modal disetor 99,910</t>
  </si>
  <si>
    <t>BISI_2024_AR.pdf</t>
  </si>
  <si>
    <t>PT BISI INTERNATIONAL Tbk, 2024 Annual Report</t>
  </si>
  <si>
    <t>Hybrid seeds + pesticides + fertilizers (non-palm)</t>
  </si>
  <si>
    <t>Jiaravanon family (Charoen Pokphand group)</t>
  </si>
  <si>
    <t>Net Sales 2024</t>
  </si>
  <si>
    <t>Penjualan neto 1,367,926 (2024)</t>
  </si>
  <si>
    <t>Rp 1,367,926 mn = Rp 1,368 bn</t>
  </si>
  <si>
    <t>Beban pokok penjualan (742,939)</t>
  </si>
  <si>
    <t>Laba bruto 624,987</t>
  </si>
  <si>
    <t>Selling Expenses</t>
  </si>
  <si>
    <t>Beban penjualan (233,943)</t>
  </si>
  <si>
    <t>G&amp;A Expenses</t>
  </si>
  <si>
    <t>Beban umum dan administrasi (82,054)</t>
  </si>
  <si>
    <t>R&amp;D Expenses</t>
  </si>
  <si>
    <t>Beban penelitian dan pengembangan (100,847)</t>
  </si>
  <si>
    <t>Laba usaha 206,301</t>
  </si>
  <si>
    <t>Finance Income</t>
  </si>
  <si>
    <t>Penghasilan keuangan 28,914</t>
  </si>
  <si>
    <t>Laba sebelum pajak 234,980</t>
  </si>
  <si>
    <t>Tax Expense</t>
  </si>
  <si>
    <t>Beban pajak (56,340)</t>
  </si>
  <si>
    <t>Laba tahun berjalan 178,640</t>
  </si>
  <si>
    <t>Pemilik entitas induk 178,507</t>
  </si>
  <si>
    <t>Laba per saham 59.50 (2024)</t>
  </si>
  <si>
    <t>Kas dan setara kas 567,673 (2024)</t>
  </si>
  <si>
    <t>Piutang Usaha 488,553</t>
  </si>
  <si>
    <t>Persediaan 1,473,796</t>
  </si>
  <si>
    <t>Total Aset Lancar 2,572,633</t>
  </si>
  <si>
    <t>Aset tetap 798,721</t>
  </si>
  <si>
    <t>Total Non-current Assets</t>
  </si>
  <si>
    <t>Total Aset Tidak Lancar 1,061,896</t>
  </si>
  <si>
    <t>Total Aset 3,634,529</t>
  </si>
  <si>
    <t>Total Liabilitas Jangka Pendek 192,052</t>
  </si>
  <si>
    <t>Total Non-current Liabilities</t>
  </si>
  <si>
    <t>Total Liabilitas Jangka Panjang 52,022</t>
  </si>
  <si>
    <t>Total Liabilitas 244,074</t>
  </si>
  <si>
    <t>Total Ekuitas 3,390,455</t>
  </si>
  <si>
    <t>ROA 0.05 (2024)</t>
  </si>
  <si>
    <t>ROE 0.05 (2024)</t>
  </si>
  <si>
    <t>Current Ratio 13.40</t>
  </si>
  <si>
    <t>Debt/Equity 0.07</t>
  </si>
  <si>
    <t>Gross Profit Margin</t>
  </si>
  <si>
    <t>Gross Profit Margin 0.46</t>
  </si>
  <si>
    <t>Harga Saham Penutupan Q4 2024 1,200</t>
  </si>
  <si>
    <t>Kapitalisasi Pasar 3,600,000,000,000</t>
  </si>
  <si>
    <t>CFO 2024</t>
  </si>
  <si>
    <t>Kas Neto (Digunakan) Aktivitas Operasi (146,282) in 2024</t>
  </si>
  <si>
    <t>Capex 2024</t>
  </si>
  <si>
    <t>Perolehan aset tetap (94,985) in 2024</t>
  </si>
  <si>
    <t>Dividend Paid 2024</t>
  </si>
  <si>
    <t>Pembayaran dividen tunai (240,000) in 2024</t>
  </si>
  <si>
    <t>Dividend per Share FY2023</t>
  </si>
  <si>
    <t>Dividend paid Rp 240,000 mn / 3,000 mn shares = Rp 80/share</t>
  </si>
  <si>
    <t>Jumlah Saham Beredar 3,000,000,000</t>
  </si>
  <si>
    <t>BISI_2025_AR.pdf</t>
  </si>
  <si>
    <t>PT BISI International Tbk dan entitas anaknya</t>
  </si>
  <si>
    <t>As of December 31, 2025 and for the year then ended</t>
  </si>
  <si>
    <t>Auditor</t>
  </si>
  <si>
    <t>KAP Purwanto Susanti dan Surja (EY member firm)</t>
  </si>
  <si>
    <t>KAP Purwanto Susanti dan Surja</t>
  </si>
  <si>
    <t>Net Sales 2025</t>
  </si>
  <si>
    <t>Penjualan neto 1,696,438 (2025)</t>
  </si>
  <si>
    <t>Rp 1,696,438 mn = Rp 1,696 bn</t>
  </si>
  <si>
    <t>Beban pokok penjualan (1,015,462)</t>
  </si>
  <si>
    <t>Laba bruto 680,976</t>
  </si>
  <si>
    <t>Beban penjualan (241,054)</t>
  </si>
  <si>
    <t>Beban umum dan administrasi (89,601)</t>
  </si>
  <si>
    <t>Beban penelitian dan pengembangan (102,690)</t>
  </si>
  <si>
    <t>Laba usaha 226,930</t>
  </si>
  <si>
    <t>Penghasilan keuangan 16,841</t>
  </si>
  <si>
    <t>Finance Costs</t>
  </si>
  <si>
    <t>Beban keuangan (66)</t>
  </si>
  <si>
    <t>Laba sebelum pajak 243,705</t>
  </si>
  <si>
    <t>Beban pajak (53,728)</t>
  </si>
  <si>
    <t>Laba tahun berjalan 189,977</t>
  </si>
  <si>
    <t>Laba per saham 63.43 (2025)</t>
  </si>
  <si>
    <t>Kas dan setara kas 166,707 (2025)</t>
  </si>
  <si>
    <t>Total Aset Lancar 2,640,362</t>
  </si>
  <si>
    <t>Aset tetap 821,873</t>
  </si>
  <si>
    <t>Total Aset Tidak Lancar 1,097,934</t>
  </si>
  <si>
    <t>Total Aset 3,738,296</t>
  </si>
  <si>
    <t>Short-term Bank Loan</t>
  </si>
  <si>
    <t>Utang bank jangka pendek 16,806 (2025)</t>
  </si>
  <si>
    <t>Total Liabilitas Jangka Pendek 184,465</t>
  </si>
  <si>
    <t>Total Liabilitas Jangka Panjang 59,261</t>
  </si>
  <si>
    <t>Total Liabilitas 243,726</t>
  </si>
  <si>
    <t>Total Ekuitas 3,494,570</t>
  </si>
  <si>
    <t>Retained Earnings (Appropriated)</t>
  </si>
  <si>
    <t>Telah ditentukan penggunaannya 60,000</t>
  </si>
  <si>
    <t>Retained Earnings (Unappropriated)</t>
  </si>
  <si>
    <t>Belum ditentukan penggunaannya 3,028,767</t>
  </si>
  <si>
    <t>CFO 2025</t>
  </si>
  <si>
    <t>Kas Neto Digunakan untuk Aktivitas Operasi (263,208)</t>
  </si>
  <si>
    <t>Capex 2025</t>
  </si>
  <si>
    <t>Perolehan aset tetap (63,023)</t>
  </si>
  <si>
    <t>Kas Neto Digunakan untuk Aktivitas Investasi (66,725)</t>
  </si>
  <si>
    <t>Dividend Paid 2025</t>
  </si>
  <si>
    <t>Pembayaran dividen tunai (84,000)</t>
  </si>
  <si>
    <t>Dividend per Share FY2024</t>
  </si>
  <si>
    <t>Dividend paid Rp 84,000 mn / 3,000 mn shares = Rp 28/share</t>
  </si>
  <si>
    <t>Kas Neto Digunakan untuk Aktivitas Pendanaan (89,047)</t>
  </si>
  <si>
    <t>Cash at End of Year</t>
  </si>
  <si>
    <t>Kas dan Setara Kas Akhir Tahun 149,901 (after overdraft)</t>
  </si>
  <si>
    <t>Modal ditempatkan - 3,000,000,000 saham</t>
  </si>
  <si>
    <t>Share Capital</t>
  </si>
  <si>
    <t>Modal ditempatkan dan disetor penuh 300,000</t>
  </si>
  <si>
    <t>Tambahan modal disetor 99,522</t>
  </si>
  <si>
    <t>PT Bumi Teknokultura Unggul Tbk</t>
  </si>
  <si>
    <t>BTEK_2022_AR.pdf</t>
  </si>
  <si>
    <t>Pendapatan Revenue 153.501.795.074 (2022); narrative: 'revenue of IDR 153.50 billion'.</t>
  </si>
  <si>
    <t>Beban Pokok Penjualan (165.324.746.502).</t>
  </si>
  <si>
    <t>Laba (Rugi) Kotor (11.822.951.428).</t>
  </si>
  <si>
    <t>Operating Profit (Loss)</t>
  </si>
  <si>
    <t>Laba (Rugi) Operasi (41.023.916.043).</t>
  </si>
  <si>
    <t>Laba (Rugi) Sebelum Pajak (133.368.687.723).</t>
  </si>
  <si>
    <t>Total Comprehensive Loss</t>
  </si>
  <si>
    <t>Laba (Rugi) Komprehensif (358.677.641.678).</t>
  </si>
  <si>
    <t>Aset Lancar 75.771.225.837.</t>
  </si>
  <si>
    <t>Aset Tidak Lancar 4.066.268.578.024.</t>
  </si>
  <si>
    <t>Total Aset 4.142.039.803.861.</t>
  </si>
  <si>
    <t>Liabilitas Jangka Pendek 218.111.044.963.</t>
  </si>
  <si>
    <t>Liabilitas Jangka Panjang 2.721.016.473.480.</t>
  </si>
  <si>
    <t>Total Liabilitas 2.939.127.518.443.</t>
  </si>
  <si>
    <t>Total Ekuitas 1.202.912.285.419.</t>
  </si>
  <si>
    <t>Kas dan setara kas 8.927.746.076 (2022).</t>
  </si>
  <si>
    <t>Bank loans (gross debt)</t>
  </si>
  <si>
    <t>Utang bank 2.478.574.652.960 (2022).</t>
  </si>
  <si>
    <t>Net cash from operations (CFO)</t>
  </si>
  <si>
    <t>Kas Bersih Diperoleh Dari Aktivitas Operasi 22.560.048.153.</t>
  </si>
  <si>
    <t>Capex (acq. of fixed &amp; intangible assets)</t>
  </si>
  <si>
    <t>Perolehan aset tetap (161.288.536) + Perolehan aset tak berwujud (42.830.173) = 204.118.709.</t>
  </si>
  <si>
    <t>Depreciation expense</t>
  </si>
  <si>
    <t>Beban penyusutan aset tetap 51.512.668.722 (2022).</t>
  </si>
  <si>
    <t>Current ratio</t>
  </si>
  <si>
    <t>Rasio Lancar Current Ratio 0,35.</t>
  </si>
  <si>
    <t>Debt to Equity Ratio (x) 2,44.</t>
  </si>
  <si>
    <t>Debt to Assets Ratio (x) 0,71.</t>
  </si>
  <si>
    <t>ratio</t>
  </si>
  <si>
    <t>Margin Laba Kotor -7,70%.</t>
  </si>
  <si>
    <t>Net (Comprehensive) Profit Margin</t>
  </si>
  <si>
    <t>Margin Laba Komprehensif -233,66%.</t>
  </si>
  <si>
    <t>Shares outstanding (post split)</t>
  </si>
  <si>
    <t>mn shares</t>
  </si>
  <si>
    <t>Jumlah saham 46.277.496.376 lembar saham setelah STOCK SPLIT 15 Agustus 2017, nominal Rp 12,50 / saham.</t>
  </si>
  <si>
    <t>Closing share price (Dec 2022)</t>
  </si>
  <si>
    <t>December 2022 Tertinggi 50 Terendah 50 Penutupan 50.</t>
  </si>
  <si>
    <t>Cocoa butter production</t>
  </si>
  <si>
    <t>MT</t>
  </si>
  <si>
    <t>produksi pada tahun 2022 masing-masing sebesar 8.437,68 Metrik Ton (cocoa butter).</t>
  </si>
  <si>
    <t>Cocoa cake production</t>
  </si>
  <si>
    <t>7.673,43 MT (cocoa cake).</t>
  </si>
  <si>
    <t>Cocoa powder production</t>
  </si>
  <si>
    <t>3.296,60 MT (cocoa powder).</t>
  </si>
  <si>
    <t>Primary business</t>
  </si>
  <si>
    <t>Cocoa bean processing</t>
  </si>
  <si>
    <t>category</t>
  </si>
  <si>
    <t>Industri Pengolahan Biji Kakao - Cocoa Bean Processing Industry. Products: cocoa butter, cocoa cake, cocoa powder.</t>
  </si>
  <si>
    <t>Largest shareholder</t>
  </si>
  <si>
    <t>Golden Harvest Cocoa Ltd 41.59%</t>
  </si>
  <si>
    <t>ownership</t>
  </si>
  <si>
    <t>GOLDEN HARVEST COCOA LTD 19.247.528.400 saham 41,59%.</t>
  </si>
  <si>
    <t>Notable shareholder - State</t>
  </si>
  <si>
    <t>Kejaksaan Agung 5.25%</t>
  </si>
  <si>
    <t>KEJAKSAAN AGUNG 2.428.566.357 saham 5,25%.</t>
  </si>
  <si>
    <t>Subsidiary</t>
  </si>
  <si>
    <t>PT Golden Harvest Cocoa Indonesia</t>
  </si>
  <si>
    <t>entity</t>
  </si>
  <si>
    <t>melalui anak perusahaan PT Golden Harvest Cocoa Indonesia menghasilkan lemak kakao, cocoa cake and cocoa powder.</t>
  </si>
  <si>
    <t>Factory location</t>
  </si>
  <si>
    <t>Jl. Raya Otonom, Pasar Kemis, Cikupa (Tangerang)</t>
  </si>
  <si>
    <t>site</t>
  </si>
  <si>
    <t>PABRIK PENGOLAHAN BIJI KAKAO: Jl. Raya Otonom...</t>
  </si>
  <si>
    <t>BTEK_2023_AR.pdf</t>
  </si>
  <si>
    <t>Pendapatan Revenue 196.668.165.620 (2023).</t>
  </si>
  <si>
    <t>Beban Pokok Penjualan (202.695.414.069).</t>
  </si>
  <si>
    <t>Laba (Rugi) Kotor (6.027.248.449).</t>
  </si>
  <si>
    <t>Laba (Rugi) Operasional (40.534.421.362).</t>
  </si>
  <si>
    <t>Laba (Rugi) Sebelum Pajak (113.745.659.213).</t>
  </si>
  <si>
    <t>Loss attributable to parent</t>
  </si>
  <si>
    <t>Laba (rugi) yang dapat diatribusikan kepada pemilik entitas induk (114.047.785.478).</t>
  </si>
  <si>
    <t>Laba (Rugi) Komprehensif (96.067.667.344).</t>
  </si>
  <si>
    <t>Laba (rugi) per saham (2,46).</t>
  </si>
  <si>
    <t>Aset Lancar 59.788.496.483.</t>
  </si>
  <si>
    <t>Aset Tidak Lancar 3.995.962.410.289.</t>
  </si>
  <si>
    <t>Total Aset 4.055.750.906.772.</t>
  </si>
  <si>
    <t>Kewajiban Jangka Pendek 295.646.635.169.</t>
  </si>
  <si>
    <t>Kewajiban Jangka Panjang 2.653.259.653.528.</t>
  </si>
  <si>
    <t>Total Kewajiban 2.948.906.288.697.</t>
  </si>
  <si>
    <t>Total Ekuitas 1.106.844.618.075.</t>
  </si>
  <si>
    <t>Kas dan setara kas 13.821.205.974.</t>
  </si>
  <si>
    <t>Utang bank 2.413.691.737.544.</t>
  </si>
  <si>
    <t>Kas Bersih Diperoleh Dari Aktivitas Operasi 138.146.511.596.</t>
  </si>
  <si>
    <t>Capex (fixed + intangible + other non-current)</t>
  </si>
  <si>
    <t>Investing outflows 66.77 + 0.04 + 2.41 = 69.21 bn.</t>
  </si>
  <si>
    <t>Beban penyusutan aset tetap 45.905.949.543.</t>
  </si>
  <si>
    <t>Rasio Lancar 0,20.</t>
  </si>
  <si>
    <t>DER</t>
  </si>
  <si>
    <t>Debt to Equity Ratio 2,67.</t>
  </si>
  <si>
    <t>Marjin Laba Kotor -3,06%.</t>
  </si>
  <si>
    <t>Net Comprehensive Margin</t>
  </si>
  <si>
    <t>Marjin Laba Komperehensif -48,85%.</t>
  </si>
  <si>
    <t>Closing share price (2023)</t>
  </si>
  <si>
    <t>Triwulan IV 2023 Closing 50 / Triwulan III 50.</t>
  </si>
  <si>
    <t>Shares outstanding (issued)</t>
  </si>
  <si>
    <t>Modal ditempatkan dan disetor penuh - 46,277,496,376 shares.</t>
  </si>
  <si>
    <t>Cocoa butter production (Lemak Kakao)</t>
  </si>
  <si>
    <t>Produksi Lemak Kakao MT 12.152,63 (2023).</t>
  </si>
  <si>
    <t>Cocoa cake production (Padatan Kakao)</t>
  </si>
  <si>
    <t>Produksi Padatan Kakao MT 13.100,68 (2023).</t>
  </si>
  <si>
    <t>Cocoa powder production (Bubuk Kakao)</t>
  </si>
  <si>
    <t>Produksi Bubuk Kakao MT 1.737,20 (2023).</t>
  </si>
  <si>
    <t>Installed cocoa processing capacity</t>
  </si>
  <si>
    <t>ton/year</t>
  </si>
  <si>
    <t>Produksi 36.000 ton; produksi biji kakao 2022/2023 realisasi 26,990.50 ton.</t>
  </si>
  <si>
    <t>Plant location</t>
  </si>
  <si>
    <t>Serang, Banten (GHCI)</t>
  </si>
  <si>
    <t>Fasilitas produksi GHCI berlokasi strategis di Serang, Banten.</t>
  </si>
  <si>
    <t>Cocoa processing</t>
  </si>
  <si>
    <t>Industri Pengolahan Biji Kakao.</t>
  </si>
  <si>
    <t>BTEK_2024_AR.pdf</t>
  </si>
  <si>
    <t>Penjualan 635.627.019.063 (2024).</t>
  </si>
  <si>
    <t>Beban Pokok Penjualan (655.480.681.169).</t>
  </si>
  <si>
    <t>Gross Loss</t>
  </si>
  <si>
    <t>Laba (Rugi) Kotor (19.853.662.106).</t>
  </si>
  <si>
    <t>Laba (Rugi) Operasi (70.304.626.092).</t>
  </si>
  <si>
    <t>Laba (Rugi) Sebelum Pajak (508.529.576.816).</t>
  </si>
  <si>
    <t>Laba (Rugi) Bersih Tahun Berjalan (719.271.050.228).</t>
  </si>
  <si>
    <t>Jumlah Laba (Rugi) Komprehensif (644.344.242.053).</t>
  </si>
  <si>
    <t>Laba (Rugi) Per Saham Dasar (15,54).</t>
  </si>
  <si>
    <t>Jumlah Aset Lancar 162.456.423.374.</t>
  </si>
  <si>
    <t>Jumlah Aset Tidak Lancar 3.731.606.169.350.</t>
  </si>
  <si>
    <t>JUMLAH ASET 3.894.062.592.724.</t>
  </si>
  <si>
    <t>Jumlah Liabilitas Jangka Pendek 69.967.087.494.</t>
  </si>
  <si>
    <t>Jumlah Liabilitas Jangka Panjang 3.361.595.129.208.</t>
  </si>
  <si>
    <t>JUMLAH LIABILITAS 3.431.562.216.702.</t>
  </si>
  <si>
    <t>JUMLAH EKUITAS 462.500.376.022.</t>
  </si>
  <si>
    <t>Kas dan setara kas 61.354.659.332.</t>
  </si>
  <si>
    <t>Bank loans</t>
  </si>
  <si>
    <t>Utang bank 2.345.998.471.696.</t>
  </si>
  <si>
    <t>Kas bersih diperoleh dari aktivitas operasi 70.963.431.831.</t>
  </si>
  <si>
    <t>Capex</t>
  </si>
  <si>
    <t>Kas bersih digunakan untuk aktivitas investasi (21.774.839.454).</t>
  </si>
  <si>
    <t>Akumulasi penyusutan additions 2024: Jumlah 84.320.055.671.</t>
  </si>
  <si>
    <t>Rasio Lancar 2,32.</t>
  </si>
  <si>
    <t>Rasio Liabilitas terhadap Ekuitas 7,42.</t>
  </si>
  <si>
    <t>Debt to Asset</t>
  </si>
  <si>
    <t>Rasio Liabilitas terhadap Aset 0,88.</t>
  </si>
  <si>
    <t>Q4 2024 closing price</t>
  </si>
  <si>
    <t>2024 IV Closing 3 (Rp/share).</t>
  </si>
  <si>
    <t>Shares outstanding</t>
  </si>
  <si>
    <t>Saham Beredar 46.277.496.376.</t>
  </si>
  <si>
    <t>Produksi Lemak Kakao Ton 14.860,82 (2024).</t>
  </si>
  <si>
    <t>Produksi Padatan Kakao Ton 19.195,68 (2024).</t>
  </si>
  <si>
    <t>Produksi Bubuk Kakao Ton 6.352,13 (2024).</t>
  </si>
  <si>
    <t>Local suppliers count</t>
  </si>
  <si>
    <t>Pemasok Lokal 81 (2024).</t>
  </si>
  <si>
    <t>Electricity consumption</t>
  </si>
  <si>
    <t>kWh</t>
  </si>
  <si>
    <t>Konsumsi Energi Listrik 18.335.037 KWH (2024).</t>
  </si>
  <si>
    <t>Gas consumption</t>
  </si>
  <si>
    <t>MMBTU</t>
  </si>
  <si>
    <t>Konsumsi Energi Gas 112.409 MMBTU (2024).</t>
  </si>
  <si>
    <t>Water consumption</t>
  </si>
  <si>
    <t>m3</t>
  </si>
  <si>
    <t>Konsumsi Air 47.858 M3 (2024).</t>
  </si>
  <si>
    <t>Industri Pengolahan Biji Kakao; tolling revenue 162.95 bn.</t>
  </si>
  <si>
    <t>PT Eagle High Plantations Tbk</t>
  </si>
  <si>
    <t>BWPT_2023_AR.pdf</t>
  </si>
  <si>
    <t>Pendapatan Usaha 4.204.612 (jutaan Rupiah, 2023).</t>
  </si>
  <si>
    <t>Gross profit</t>
  </si>
  <si>
    <t>Laba Kotor 1.057.146 (jutaan Rupiah).</t>
  </si>
  <si>
    <t>Operating profit</t>
  </si>
  <si>
    <t>Laba Usaha 703.466.</t>
  </si>
  <si>
    <t>Net profit for the period</t>
  </si>
  <si>
    <t>Laba (Rugi) Periode Berjalan 159.970.</t>
  </si>
  <si>
    <t>Profit attributable to parent</t>
  </si>
  <si>
    <t>Pemilik Entitas Induk 177.025.</t>
  </si>
  <si>
    <t>Comprehensive profit</t>
  </si>
  <si>
    <t>Penghasilan (Rugi) Komprehensif 152.517.</t>
  </si>
  <si>
    <t>Laba (Rugi) periode berjalan per Saham 5,68.</t>
  </si>
  <si>
    <t>Jumlah Saham Outstanding 31.525.291.000.</t>
  </si>
  <si>
    <t>Current assets</t>
  </si>
  <si>
    <t>Aset Lancar 1.300.009 (jutaan Rp).</t>
  </si>
  <si>
    <t>Total assets</t>
  </si>
  <si>
    <t>Jumlah Aset 10.183.510 (jutaan Rp).</t>
  </si>
  <si>
    <t>Short-term liabilities</t>
  </si>
  <si>
    <t>Liabilitas Jangka Pendek 3.513.085.</t>
  </si>
  <si>
    <t>Long-term liabilities</t>
  </si>
  <si>
    <t>Narrative: Liabilitas jangka panjang Rp 4,48 triliun.</t>
  </si>
  <si>
    <t>Total liabilities</t>
  </si>
  <si>
    <t>Jumlah Liabilitas 7.991.960.</t>
  </si>
  <si>
    <t>Total equity</t>
  </si>
  <si>
    <t>Jumlah Ekuitas 2.191.550.</t>
  </si>
  <si>
    <t>Kas bersih dari aktivitas operasi Rp 633,06 miliar di 2023.</t>
  </si>
  <si>
    <t>Capex (invest CF)</t>
  </si>
  <si>
    <t>Kas bersih untuk aktivitas investasi Rp 132,21 miliar 2023.</t>
  </si>
  <si>
    <t>Capex (narrative)</t>
  </si>
  <si>
    <t>Belanja modal Perseroaan pada tahun 2023 mencapai Rp279 miliar.</t>
  </si>
  <si>
    <t>Interest expense</t>
  </si>
  <si>
    <t>Beban bunga turun 3% menjadi Rp564,14 miliar pada 2023.</t>
  </si>
  <si>
    <t>Rasio Utang Terhadap Ekuitas 3,65.</t>
  </si>
  <si>
    <t>Loan to EBITDA</t>
  </si>
  <si>
    <t>Pinjaman terhadap laba sebelum pajak &amp; penyusutan 4,54.</t>
  </si>
  <si>
    <t>Pengembalian Ekuitas 7,30%.</t>
  </si>
  <si>
    <t>Q4 2023 closing share price</t>
  </si>
  <si>
    <t>Q4 2023 Closing 54; Full year closing 54.</t>
  </si>
  <si>
    <t>CPO production</t>
  </si>
  <si>
    <t>tons</t>
  </si>
  <si>
    <t>Minyak Sawit Mentah Crude Palm Oil CPO 320.107 Ton (2023).</t>
  </si>
  <si>
    <t>Palm kernel production</t>
  </si>
  <si>
    <t>Inti Kelapa Sawit (Palm Kernel) 59.278 Ton.</t>
  </si>
  <si>
    <t>CPO sales volume</t>
  </si>
  <si>
    <t>Volume Penjualan CPO 347.227 (2023).</t>
  </si>
  <si>
    <t>PK sales volume</t>
  </si>
  <si>
    <t>Volume Penjualan PK 62.653 (2023).</t>
  </si>
  <si>
    <t>Average CPO price</t>
  </si>
  <si>
    <t>Harga rata-rata CPO 11.015 (Rp/kg, 2023).</t>
  </si>
  <si>
    <t>Average PK price</t>
  </si>
  <si>
    <t>Harga rata-rata PK 5.185 (2023).</t>
  </si>
  <si>
    <t>Total planted area</t>
  </si>
  <si>
    <t>Luas Lahan Tertanam 2.000 Sumatera + 73.000 Kalimantan + 12.000 Papua = 87.000 ha total.</t>
  </si>
  <si>
    <t>Mature area</t>
  </si>
  <si>
    <t>Luas Tanaman Menghasilkan (Mature) 87.000 ha; Immature 0.</t>
  </si>
  <si>
    <t>Kalimantan planted area</t>
  </si>
  <si>
    <t>Kalimantan 73.000 Ha Luas Lahan Tertanam, 6 PKS, 325 t/h.</t>
  </si>
  <si>
    <t>Papua planted area</t>
  </si>
  <si>
    <t>Papua 12.000 Ha, 1 PKS, 45 t/h.</t>
  </si>
  <si>
    <t>Sumatra planted area</t>
  </si>
  <si>
    <t>Sumatera 2.000 Ha Luas Lahan Tertanam.</t>
  </si>
  <si>
    <t>Number of mills</t>
  </si>
  <si>
    <t>Total 7 mills (6 Kalimantan + 1 Papua), total installed capacity 370 t/h.</t>
  </si>
  <si>
    <t>Mill installed capacity</t>
  </si>
  <si>
    <t>Total kapasitas 370 ton buah/jam.</t>
  </si>
  <si>
    <t>RSPO certified area</t>
  </si>
  <si>
    <t>2 PKS RSPO dengan total luas bersertifikat 22.024 ha.</t>
  </si>
  <si>
    <t>ISPO certified area</t>
  </si>
  <si>
    <t>8 unit operasi bersertifikat ISPO dengan 54.515,55 ha.</t>
  </si>
  <si>
    <t>FFB processed (total)</t>
  </si>
  <si>
    <t>Jumlah 930.761 nucleus + 154.180 scheme + 272.931 third party = 1.357.872 FFB processed 2023.</t>
  </si>
  <si>
    <t>FFB internal (nucleus+scheme)</t>
  </si>
  <si>
    <t>80% dari pasokan internal (inti dan plasma) = ~1.08 Mt.</t>
  </si>
  <si>
    <t>FFB third-party</t>
  </si>
  <si>
    <t>Third-party 272.931 tons (20%).</t>
  </si>
  <si>
    <t>Plasma smallholders</t>
  </si>
  <si>
    <t>7.791 petani plasma (2023).</t>
  </si>
  <si>
    <t>Major shareholder GEH</t>
  </si>
  <si>
    <t>Green Eagle Holdings Pte Ltd 37.84%</t>
  </si>
  <si>
    <t>Struktur Korporasi: Green Eagle Holdings Pte. Ltd. (GEH) 37.84%.</t>
  </si>
  <si>
    <t>Major shareholder FIC</t>
  </si>
  <si>
    <t>FIC Properties Sdn Bhd 37.00%</t>
  </si>
  <si>
    <t>FIC PROPERTIES SDN BHD 37,00%.</t>
  </si>
  <si>
    <t>Scope 1 emissions</t>
  </si>
  <si>
    <t>tCO2e</t>
  </si>
  <si>
    <t>Total Emisi Langsung Cakupan 1 427.064 (2023).</t>
  </si>
  <si>
    <t>BWPT_2024_AR.pdf</t>
  </si>
  <si>
    <t>Pendapatan Usaha 4.302.676 (jutaan Rp, 2024).</t>
  </si>
  <si>
    <t>Beban Pokok Penjualan 3.048.251.</t>
  </si>
  <si>
    <t>Laba Kotor 1.254.425.</t>
  </si>
  <si>
    <t>Laba Usaha 926.507.</t>
  </si>
  <si>
    <t>Net profit</t>
  </si>
  <si>
    <t>Laba Tahun Berjalan 272.132.</t>
  </si>
  <si>
    <t>Profit to parent</t>
  </si>
  <si>
    <t>Pemilik Entitas Induk 260.210.</t>
  </si>
  <si>
    <t>Penghasilan Komprehensif 260.539.</t>
  </si>
  <si>
    <t>Laba Tahun berjalan per Saham 8,36.</t>
  </si>
  <si>
    <t>Aset lancar 1.420.678.</t>
  </si>
  <si>
    <t>Non-current assets</t>
  </si>
  <si>
    <t>Aset tidak lancar 8.373.702.</t>
  </si>
  <si>
    <t>Jumlah Aset 9.794.380.</t>
  </si>
  <si>
    <t>Current liabilities</t>
  </si>
  <si>
    <t>Liabilitas jangka pendek 2.945.123.</t>
  </si>
  <si>
    <t>Non-current liabilities</t>
  </si>
  <si>
    <t>Liabilitas jangka panjang 4.397.168.</t>
  </si>
  <si>
    <t>Jumlah Liabilitas 7.342.291.</t>
  </si>
  <si>
    <t>Jumlah Ekuitas 2.452.089.</t>
  </si>
  <si>
    <t>Cash and bank</t>
  </si>
  <si>
    <t>Kas dan bank 58.080 (2024).</t>
  </si>
  <si>
    <t>ST bank loans</t>
  </si>
  <si>
    <t>Utang bank jangka pendek 290.776.</t>
  </si>
  <si>
    <t>Current portion LT bank loans</t>
  </si>
  <si>
    <t>Utang bank (current portion of LT) 696.227.</t>
  </si>
  <si>
    <t>LT bank loans</t>
  </si>
  <si>
    <t>Utang bank (non-current) 2.910.631.</t>
  </si>
  <si>
    <t>Bonds payable (Obligasi I Phase I)</t>
  </si>
  <si>
    <t>Utang obligasi 61.550.</t>
  </si>
  <si>
    <t>Kas Bersih Diperoleh dari Aktivitas Operasi 833.792.</t>
  </si>
  <si>
    <t>Capex (investing CF)</t>
  </si>
  <si>
    <t>Kas Bersih Digunakan untuk Aktivitas Investasi (86.042).</t>
  </si>
  <si>
    <t>D&amp;A</t>
  </si>
  <si>
    <t>Beban penyusutan aset tetap Jumlah 176.427 (2024).</t>
  </si>
  <si>
    <t>Debt to Equity Ratio 2,99.</t>
  </si>
  <si>
    <t>Pinjaman terhadap Laba Sebelum Pajak &amp; Penyusutan 3,14.</t>
  </si>
  <si>
    <t>Return on Equity 11,10%.</t>
  </si>
  <si>
    <t>Q4 2024 Closing 59.</t>
  </si>
  <si>
    <t>CPO 263.657 Ton (2024).</t>
  </si>
  <si>
    <t>PK production</t>
  </si>
  <si>
    <t>Inti Kernel 49.193 Ton (2024).</t>
  </si>
  <si>
    <t>FFB production</t>
  </si>
  <si>
    <t>Tandan Buah Segar 1.041.515 Ton (2024).</t>
  </si>
  <si>
    <t>Volume Penjualan CPO 311.111 (2024).</t>
  </si>
  <si>
    <t>PK 48.384 (2024).</t>
  </si>
  <si>
    <t>Harga rata-rata CPO 12.515 (2024).</t>
  </si>
  <si>
    <t>PK 7.533 (2024).</t>
  </si>
  <si>
    <t>TOTAL 87.000 Ha Luas Lahan Tertanam; 7 mills; 370 tph.</t>
  </si>
  <si>
    <t>Kalimantan planted area &amp; mills</t>
  </si>
  <si>
    <t>73,000 ha / 6 mills / 325 tph</t>
  </si>
  <si>
    <t>description</t>
  </si>
  <si>
    <t>Kalimantan 73.000 Ha; 6 PKS; 325 ton buah/jam.</t>
  </si>
  <si>
    <t>Papua planted area &amp; mills</t>
  </si>
  <si>
    <t>12,000 ha / 1 mill / 45 tph</t>
  </si>
  <si>
    <t>Papua 12.000 Ha; 1 PKS; 45 ton buah/jam.</t>
  </si>
  <si>
    <t>Sumatera 2.000 Ha.</t>
  </si>
  <si>
    <t>3 mills (43%) RSPO; total 34.870 ha.</t>
  </si>
  <si>
    <t>10 unit operasi (71%) ISPO; 69.464 ha.</t>
  </si>
  <si>
    <t>Employees</t>
  </si>
  <si>
    <t>persons</t>
  </si>
  <si>
    <t>15.927 karyawan (2024).</t>
  </si>
  <si>
    <t>Bond issuance</t>
  </si>
  <si>
    <t>Obligasi Berkelanjutan I Eagle High Plantations Phase I 2024 - Rp 61.845 bn; listed 11 July 2024.</t>
  </si>
  <si>
    <t>Penerbitan Obligasi Tahap I Tahun 2024 Rp61.845.000.000.</t>
  </si>
  <si>
    <t>BWPT_2025_AR.pdf</t>
  </si>
  <si>
    <t>PENDAPATAN USAHA 5.761.296 (2025).</t>
  </si>
  <si>
    <t>BEBAN POKOK PENJUALAN 4.170.638.</t>
  </si>
  <si>
    <t>LABA KOTOR 1.590.658.</t>
  </si>
  <si>
    <t>LABA USAHA 1.189.695.</t>
  </si>
  <si>
    <t>Profit before tax</t>
  </si>
  <si>
    <t>LABA SEBELUM PAJAK 775.841.</t>
  </si>
  <si>
    <t>LABA TAHUN BERJALAN 379.107.</t>
  </si>
  <si>
    <t>Pemilik entitas induk 361.720.</t>
  </si>
  <si>
    <t>Comprehensive income</t>
  </si>
  <si>
    <t>JUMLAH LABA KOMPREHENSIF 375.024.</t>
  </si>
  <si>
    <t>Laba per saham Dasar 11,62.</t>
  </si>
  <si>
    <t>JUMLAH ASET 10.176.150.</t>
  </si>
  <si>
    <t>Jumlah Aset Lancar 1.737.162.</t>
  </si>
  <si>
    <t>Jumlah Aset Tidak Lancar 8.438.988.</t>
  </si>
  <si>
    <t>Cash &amp; bank</t>
  </si>
  <si>
    <t>Kas dan bank 139.794.</t>
  </si>
  <si>
    <t>Investment in debt securities</t>
  </si>
  <si>
    <t>Investasi surat berharga 500.000.</t>
  </si>
  <si>
    <t>Utang bank jangka pendek 229.734.</t>
  </si>
  <si>
    <t>Utang bank (current portion LT) 602.926.</t>
  </si>
  <si>
    <t>Utang bank (LT) 3.109.845.</t>
  </si>
  <si>
    <t>Bonds payable (total)</t>
  </si>
  <si>
    <t>Utang obligasi 23.781 (current) + 6.015 (LT) = 29.80 bn.</t>
  </si>
  <si>
    <t>Sukuk Mudharabah (total)</t>
  </si>
  <si>
    <t>Sukuk Mudharabah 37.290 (current) + 24.885 (LT) = 62.18 bn.</t>
  </si>
  <si>
    <t>Jumlah Liabilitas 7.349.037.</t>
  </si>
  <si>
    <t>Jumlah Ekuitas 2.827.113.</t>
  </si>
  <si>
    <t>Accumulated deficit</t>
  </si>
  <si>
    <t>Defisit (3.707.953).</t>
  </si>
  <si>
    <t>Kas Bersih Diperoleh dari Aktivitas Operasi 1.340.726.</t>
  </si>
  <si>
    <t>Capex (fixed assets acquisition)</t>
  </si>
  <si>
    <t>Perolehan aset tetap (331.039).</t>
  </si>
  <si>
    <t>Beban penyusutan aset tetap Jumlah 175.540 (2025).</t>
  </si>
  <si>
    <t>Interest &amp; finance expense</t>
  </si>
  <si>
    <t>Beban bunga dan keuangan (425.283).</t>
  </si>
  <si>
    <t>Tax expense</t>
  </si>
  <si>
    <t>BEBAN PAJAK - Bersih (396.734).</t>
  </si>
  <si>
    <t>CPO revenue</t>
  </si>
  <si>
    <t>Minyak kelapa sawit 5.041.442 (2025).</t>
  </si>
  <si>
    <t>PK revenue</t>
  </si>
  <si>
    <t>Inti kernel 664.151.</t>
  </si>
  <si>
    <t>FFB revenue (external sales)</t>
  </si>
  <si>
    <t>Tandan buah segar 55.703.</t>
  </si>
  <si>
    <t>Top customer (SMART)</t>
  </si>
  <si>
    <t>PT Sinar Mas Agro Resources and Technology Tbk 2.398.257.</t>
  </si>
  <si>
    <t>jumlah luas lahan yang ditanami adalah seluas 74.339 hektar (31-Dec-2025 and 2024).</t>
  </si>
  <si>
    <t>Ultimate parent</t>
  </si>
  <si>
    <t>PT Rajawali Corpora</t>
  </si>
  <si>
    <t>pemegang saham pengendali Perusahaan adalah PT Rajawali Corpora.</t>
  </si>
  <si>
    <t>Bond issuance 2025 Phase II</t>
  </si>
  <si>
    <t>Rp 50 bn (Series A 9.75%; Series B 11%)</t>
  </si>
  <si>
    <t>Obligasi Berkelanjutan I Eagle High Plantations Tahap II Tahun 2025 sebesar Rp 50.000 juta, Seri A 9,75%, Seri B 11%.</t>
  </si>
  <si>
    <t>Sukuk Mudharabah issuance</t>
  </si>
  <si>
    <t>Rp 75 bn (Series A 9.75%; Series B 11%)</t>
  </si>
  <si>
    <t>Sukuk Mudharabah Berkelanjutan I Eagle High Plantations Tahap I Tahun 2025 Rp 75.000.</t>
  </si>
  <si>
    <t>Bond repayment in 2025</t>
  </si>
  <si>
    <t>Rp 200 bn Phase I redeemed at maturity (25 Jul 2025)</t>
  </si>
  <si>
    <t>Obligasi Tahap I 2024 Rp 200.000 jangka waktu 370 hari; 'Pembayaran utang obligasi (61.845)' in CF.</t>
  </si>
  <si>
    <t>PT Citra Borneo Utama Tbk</t>
  </si>
  <si>
    <t>CBUT_2023_AR.pdf</t>
  </si>
  <si>
    <t>Listed on IDX</t>
  </si>
  <si>
    <t>2022-11-08</t>
  </si>
  <si>
    <t>Perseroan efektif mencatatkan sahamnya di Bursa Efek Indonesia (BEI) pada tanggal 8 November 2022.</t>
  </si>
  <si>
    <t>Controlling shareholder</t>
  </si>
  <si>
    <t>PT Sawit Sumbermas Sarana Tbk</t>
  </si>
  <si>
    <t>SSMS menjadi pemegang saham mayoritas Perseroan dengan kepemilikan saham sebanyak 2.194.263.700 saham atau 70,22%</t>
  </si>
  <si>
    <t>shares</t>
  </si>
  <si>
    <t>Modal ditempatkan dan disetor 3.125.000.000 saham 312.500</t>
  </si>
  <si>
    <t>Business domicile</t>
  </si>
  <si>
    <t>West Kotawaringin, Central Kalimantan</t>
  </si>
  <si>
    <t>PT Citra Borneo Utama Tbk Berkedudukan di Kotawaringin Barat</t>
  </si>
  <si>
    <t>Revenue 2023</t>
  </si>
  <si>
    <t>Penjualan 10.319.437 9.619.267 8.662.321 Sales (Dinyatakan dalam jutaan Rupiah)</t>
  </si>
  <si>
    <t>Gross profit 2023</t>
  </si>
  <si>
    <t>Laba Bruto 1.314.507 1.491.359 2.038.768 Gross Profit</t>
  </si>
  <si>
    <t>Operating profit 2023</t>
  </si>
  <si>
    <t>Laba Usaha 311.759 413.553 386.502 Operating Profit</t>
  </si>
  <si>
    <t>Net profit 2023</t>
  </si>
  <si>
    <t>Laba Tahun Berjalan 144.242 223.147 286.102 Profit for the year</t>
  </si>
  <si>
    <t>EPS 2023</t>
  </si>
  <si>
    <t>Laba Per Saham Dasar (Angka Penuh) 46,16 85,70 114,44</t>
  </si>
  <si>
    <t>Total assets 2023</t>
  </si>
  <si>
    <t>Jumlah Aset 4.336.194 3.019.974 2.025.802 Total Assets</t>
  </si>
  <si>
    <t>Current assets 2023</t>
  </si>
  <si>
    <t>Jumlah Aset Lancar 3.925.960 2.600.405 1.607.980</t>
  </si>
  <si>
    <t>Non-current assets 2023</t>
  </si>
  <si>
    <t>Jumlah Aset Tidak Lancar 410.234 419.569 417.822</t>
  </si>
  <si>
    <t>Total liabilities 2023</t>
  </si>
  <si>
    <t>Jumlah Liabilitas 3.433.778 2.250.454 1.937.097</t>
  </si>
  <si>
    <t>Current liabilities 2023</t>
  </si>
  <si>
    <t>Jumlah Liabilitas Jangka Pendek 2.659.659 2.066.899</t>
  </si>
  <si>
    <t>Long-term liabilities 2023</t>
  </si>
  <si>
    <t>Jumlah Liabilitas Jangka Panjang 774.119 183.555</t>
  </si>
  <si>
    <t>Total equity 2023</t>
  </si>
  <si>
    <t>Jumlah Ekuitas 902.416 769.520 88.705 Total Equity</t>
  </si>
  <si>
    <t>Cash and cash equivalents</t>
  </si>
  <si>
    <t>Kas dan setara kas 304.932 859.969 Cash and cash equivalents</t>
  </si>
  <si>
    <t>Short-term bank loans</t>
  </si>
  <si>
    <t>Pinjaman bank jangka pendek 2.138.461 973.982 Short-term bank loans</t>
  </si>
  <si>
    <t>Long-term bank loans (non-current)</t>
  </si>
  <si>
    <t>Pinjaman bank jangka panjang... 769.178 179.691 Long-term bank loans net of current portion</t>
  </si>
  <si>
    <t>Current portion of LT bank loans</t>
  </si>
  <si>
    <t>jatuh tempo dalam waktu satu tahun 79.830 87.722</t>
  </si>
  <si>
    <t>CFO (operating cash flow) 2023</t>
  </si>
  <si>
    <t>Arus kas bersih (untuk) dari aktivitas operasi (384.368) 778.329</t>
  </si>
  <si>
    <t>CFI (investing cash flow)</t>
  </si>
  <si>
    <t>Arus kas bersih (untuk) aktivitas investasi (1.963.131) (314.219)</t>
  </si>
  <si>
    <t>CFF (financing cash flow)</t>
  </si>
  <si>
    <t>Arus kas bersih dari aktivitas pendanaan 1.792.462 244.221</t>
  </si>
  <si>
    <t>Acquisition of fixed assets (capex)</t>
  </si>
  <si>
    <t>Perolehan aset tetap (19.183) (5.568) Acquisition of fixed assets</t>
  </si>
  <si>
    <t>Closing share price Q4 2023</t>
  </si>
  <si>
    <t>Harga Penutupan (Rp) 2.020 2.420 3.100 1.765 Closing Price</t>
  </si>
  <si>
    <t>Par value per share</t>
  </si>
  <si>
    <t>dengan nilai nominal Rp 100 per saham (angka penuh)</t>
  </si>
  <si>
    <t>Depreciation - allocated to COGS</t>
  </si>
  <si>
    <t>Penyusutan aset tetap (Catatan 11) 41.286 40.864</t>
  </si>
  <si>
    <t>Depreciation - operating expenses</t>
  </si>
  <si>
    <t>Penyusutan aset tetap (Catatan 11) 861 372</t>
  </si>
  <si>
    <t>Dividend paid 2023</t>
  </si>
  <si>
    <t>Pada tahun 2023, Perseroan belum membagikan dividen kepada para pemegang saham.</t>
  </si>
  <si>
    <t>CPO refinery capacity</t>
  </si>
  <si>
    <t>tons/day</t>
  </si>
  <si>
    <t>pabrik refinery dan fraksinasi yang masing-masing memiliki total kapasitas produksi sebesar 2.500 ton CPO per hari atau 850.000 ton CPO per tahun</t>
  </si>
  <si>
    <t>Fractionation capacity</t>
  </si>
  <si>
    <t>2.500 ton RBDPO per hari atau 850.000 MT RBDPO per tahun</t>
  </si>
  <si>
    <t>Kernel crushing capacity</t>
  </si>
  <si>
    <t>Perseroan juga memiliki pabrik kernel crushing dengan total kapasitas sebesar 600 MT kernel per hari atau 192.000 MT kernel per tahun</t>
  </si>
  <si>
    <t>CPO storage capacity</t>
  </si>
  <si>
    <t>Kapasitas Penyimpanan CPO (ton) 28.000 28.000</t>
  </si>
  <si>
    <t>RBDPO storage capacity</t>
  </si>
  <si>
    <t>Kapasitas Penyimpanan RBDPO (ton) 17.000</t>
  </si>
  <si>
    <t>Refinery CPO yield RBDPO</t>
  </si>
  <si>
    <t>RBDPO 95,76% 95,58%</t>
  </si>
  <si>
    <t>Refinery CPO yield PFAD</t>
  </si>
  <si>
    <t>PFAD 3,76% 3,97%</t>
  </si>
  <si>
    <t>Refinery utilization</t>
  </si>
  <si>
    <t>Utilisasi 91,77% 63,44%</t>
  </si>
  <si>
    <t>Fractionation Olein yield</t>
  </si>
  <si>
    <t>Olein 81,01% 82,34%</t>
  </si>
  <si>
    <t>Fractionation Stearin yield</t>
  </si>
  <si>
    <t>Stearin 18,99% 17,66%</t>
  </si>
  <si>
    <t>Total production 2023</t>
  </si>
  <si>
    <t>Total Produksi Perseroan per 31 Desember 2023 tercatat sebesar 780.010 MT atau tidak tercapai sebesar 8,23% terhadap target</t>
  </si>
  <si>
    <t>Sales - Palm Olein</t>
  </si>
  <si>
    <t>Palm Olein 7.296.891 5.886.001 4.564.211</t>
  </si>
  <si>
    <t>Sales - RBDPO</t>
  </si>
  <si>
    <t>Refine, Bleached And Deodorized Palm Oil (RBDPO) 293.213 1.247.898 2.705.745</t>
  </si>
  <si>
    <t>Sales - Palm Stearin</t>
  </si>
  <si>
    <t>Palm Stearin 1.702.665 1.203.918 924.217</t>
  </si>
  <si>
    <t>Sales - Palm Kernel Oil (CPKO)</t>
  </si>
  <si>
    <t>Minyak Inti Sawit 285.994 524.959 165.243 Palm Kernel Oil</t>
  </si>
  <si>
    <t>Sales - PFAD</t>
  </si>
  <si>
    <t>Asam Lemak Sawit Distilat 346.266 387.885 288.147 Palm Fatty Acid Distillate</t>
  </si>
  <si>
    <t>Export sales 2023</t>
  </si>
  <si>
    <t>Luar negeri 7.992.965 7.269.950 7.365.501 Overseas</t>
  </si>
  <si>
    <t>Domestic sales 2023</t>
  </si>
  <si>
    <t>Dalam Negeri 2.326.472 2.349.317 1.296.820 Domestic</t>
  </si>
  <si>
    <t>2024 production target</t>
  </si>
  <si>
    <t>Produksi, di tahun 2024, diproyeksikan sebesar 1.079.726 MT</t>
  </si>
  <si>
    <t>Halal certifications</t>
  </si>
  <si>
    <t>RBDPO, RBDPKO, PFAD, RBD Palm Olein, RBD Palm Stearin</t>
  </si>
  <si>
    <t>LPPOM MUI Halal certification for RBDPO, RBDPKO, PFAD, RBD Palm Olein, RBD Palm Sterain</t>
  </si>
  <si>
    <t>Refinery Plant 2 groundbreaking</t>
  </si>
  <si>
    <t>2023-09-07</t>
  </si>
  <si>
    <t>Dalam upaya meningkatkan kapasitas pabrik Perseroan, pada tanggal 7 September... Groundbreaking Ceremony Physical Refinary Plant 1500 ton per day (TPD) dan Dry Fractionation Plant 1000 TPD</t>
  </si>
  <si>
    <t>2024 revenue projection</t>
  </si>
  <si>
    <t>total penjualan sebesar Rp13.811.146 juta... 2024 Projections</t>
  </si>
  <si>
    <t>2024 net profit projection</t>
  </si>
  <si>
    <t>laba bersih Perseroan untuk tahun 2024, diproyeksikan sebesar Rp349.743 juta</t>
  </si>
  <si>
    <t>Main credit facility</t>
  </si>
  <si>
    <t>BNI cash collateral + BRI Transaksional Khusus/KMK/Forex</t>
  </si>
  <si>
    <t>Penandatanganan Perjanjian Pemberian Cash Collateral Credit Devisa Hasil Ekspor... PT Bank Negara Indonesia (Persero) Tbk dengan nilai Maksimum Kredit sebesar Rp750.000.000.000</t>
  </si>
  <si>
    <t>CBUT_2024_AR.pdf</t>
  </si>
  <si>
    <t>Business model</t>
  </si>
  <si>
    <t>Downstream palm oil refinery (no upstream plantation)</t>
  </si>
  <si>
    <t>Perseroan merupakan bagian dari PT Sawit Sumbermas Sarana Tbk... mampu menjamin kestabilan pasokan Crude Palm Oil (CPO) dan Palm Kernel (PK) yang berkualitas tinggi untuk bahan baku produksi</t>
  </si>
  <si>
    <t>Parent entity</t>
  </si>
  <si>
    <t>fokus utama Perseroan adalah untuk mendukung aktivitas usaha entitas induk yaitu PT Sawit Sumbermas Sarana Tbk</t>
  </si>
  <si>
    <t>Shareholder - SSMS</t>
  </si>
  <si>
    <t>PT Sawit Sumbermas Sarana Tbk 2.194.263.700 70,22</t>
  </si>
  <si>
    <t>Shareholder - CBI</t>
  </si>
  <si>
    <t>PT Citra Borneo Indah 55.736.300 1,78</t>
  </si>
  <si>
    <t>Public float</t>
  </si>
  <si>
    <t>Masyarakat 625.000.000 20,00</t>
  </si>
  <si>
    <t>Revenue 2024</t>
  </si>
  <si>
    <t>Penjualan 9.766.108 10.319.437 9.619.267 (553.329) (5,36%)</t>
  </si>
  <si>
    <t>Gross profit 2024</t>
  </si>
  <si>
    <t>Laba Bruto 1.146.509 1.314.507 1.491.359 (167.998) (12,78%)</t>
  </si>
  <si>
    <t>Operating profit 2024</t>
  </si>
  <si>
    <t>Laba Usaha 89.639 311.759 413.553 (222.120) (71,25%)</t>
  </si>
  <si>
    <t>Net profit 2024</t>
  </si>
  <si>
    <t>Laba Tahun Berjalan 68.186 144.242 223.147 (76.056) (52,73%)</t>
  </si>
  <si>
    <t>EPS 2024</t>
  </si>
  <si>
    <t>Laba per Saham Dasar (Angka Penuh) 21,82 46,16 85,70</t>
  </si>
  <si>
    <t>Total assets 2024</t>
  </si>
  <si>
    <t>Jumlah Aset 4.200.319 4.336.194 3.019.974</t>
  </si>
  <si>
    <t>Current assets 2024</t>
  </si>
  <si>
    <t>Jumlah Aset Lancar 3.591.721 3.925.960 2.600.405</t>
  </si>
  <si>
    <t>Non-current assets 2024</t>
  </si>
  <si>
    <t>Jumlah Aset Tidak Lancar 608.598 410.234 419.569</t>
  </si>
  <si>
    <t>Total liabilities 2024</t>
  </si>
  <si>
    <t>Jumlah Liabilitas 3.231.021 3.433.778 2.250.454</t>
  </si>
  <si>
    <t>Current liabilities 2024</t>
  </si>
  <si>
    <t>Jumlah Liabilitas Jangka Pendek 2.547.153 2.659.659</t>
  </si>
  <si>
    <t>Long-term liabilities 2024</t>
  </si>
  <si>
    <t>Jumlah Liabilitas Jangka Panjang 683.868 774.119</t>
  </si>
  <si>
    <t>Total equity 2024</t>
  </si>
  <si>
    <t>Jumlah Ekuitas 969.298 902.416 769.520</t>
  </si>
  <si>
    <t>Cash and equivalents</t>
  </si>
  <si>
    <t>Kas dan Setara Kas 234.104 304.932 (70.828) (23,23%)</t>
  </si>
  <si>
    <t>Pinjaman Bank Jangka Pendek 1.944.959 2.138.461 (193.502) (9,05%)</t>
  </si>
  <si>
    <t>Long-term bank loans</t>
  </si>
  <si>
    <t>Pinjaman bank jangka panjang... 679.348 769.178</t>
  </si>
  <si>
    <t>Pinjaman Bank Jangka Panjang yang Jatuh Tempo Dalam Waktu Satu Tahun 89.830 79.830</t>
  </si>
  <si>
    <t>Arus Kas Bersih untuk Aktivitas Operasi (246.579) (384.366)</t>
  </si>
  <si>
    <t>CFI 2024</t>
  </si>
  <si>
    <t>Arus Kas Bersih dari (untuk) Aktivitas Investasi 534.654 (1.963.131)</t>
  </si>
  <si>
    <t>CFF 2024</t>
  </si>
  <si>
    <t>Arus Kas Bersih (untuk) dari Aktivitas Pendanaan (358.903) 1.792.460</t>
  </si>
  <si>
    <t>Perolehan aset tetap (115.118) (19.183) Acquisition of fixed assets</t>
  </si>
  <si>
    <t>Capex by category</t>
  </si>
  <si>
    <t>Jumlah nilai nominal investasi mencapai Rp118.342 juta (Building 94,019 + Machineries 16,611 + Office Equipment 6,690 + Vehicles 1,022)</t>
  </si>
  <si>
    <t>Cash dividend paid 2024</t>
  </si>
  <si>
    <t>Pada tahun 2024, Perseroan membagikan dividen tunai kepada para pemegang saham sebesar Rp28.844 juta</t>
  </si>
  <si>
    <t>DPS 2023 (paid 2024)</t>
  </si>
  <si>
    <t>sebesar Rp9,23,- (sembilan koma dua puluh tiga Rupiah) per saham ditetapkan sebagai Dividen Tunai</t>
  </si>
  <si>
    <t>Closing price Q4 2024</t>
  </si>
  <si>
    <t>Q4 1.265 1.280 905 945 327.300 3.125.000.000 2.953.125.000.000</t>
  </si>
  <si>
    <t>Depreciation allocated to COGS</t>
  </si>
  <si>
    <t>Penyusutan aset tetap (Catatan 12) 42.504 41.286</t>
  </si>
  <si>
    <t>Depreciation operating expenses</t>
  </si>
  <si>
    <t>Penyusutan aset tetap (Catatan 12) 1.864 861</t>
  </si>
  <si>
    <t>kapasitas total 2.500 ton Crude Palm Oil (CPO) per hari atau 850.000 ton CPO per tahun</t>
  </si>
  <si>
    <t>Fractionation capacity (RBDPO)</t>
  </si>
  <si>
    <t>mampu mengelola total 2.500 ton Refined Bleached Deodorized Palm Oil (RBDPO) per hari atau 850.000 MT RBDPO per tahun</t>
  </si>
  <si>
    <t>kernel crushing plant dengan kapasitas total 600 MT kernel per hari atau 204.000 MT kernel per tahun</t>
  </si>
  <si>
    <t>Total production 2024</t>
  </si>
  <si>
    <t>Produksi (MT) 845.750 402.492 47,59% Production (MT)</t>
  </si>
  <si>
    <t>RBDPO production</t>
  </si>
  <si>
    <t>Total Produksi RBDPO 387.833 RBDPO MT</t>
  </si>
  <si>
    <t>Palm Olein production</t>
  </si>
  <si>
    <t>Total Produksi Palm Olein 296.406 MT</t>
  </si>
  <si>
    <t>Palm Stearin production</t>
  </si>
  <si>
    <t>Total Produksi Palm Stearin 67.661 MT</t>
  </si>
  <si>
    <t>PFAD production</t>
  </si>
  <si>
    <t>Total Produksi PFAD 14.659 MT</t>
  </si>
  <si>
    <t>RBDPO sales volume</t>
  </si>
  <si>
    <t>Volume Penjualan RBDPO 23.844 MT</t>
  </si>
  <si>
    <t>Palm Olein sales volume</t>
  </si>
  <si>
    <t>Volume Penjualan Palm Olein 287.860 MT</t>
  </si>
  <si>
    <t>Palm Stearin sales volume</t>
  </si>
  <si>
    <t>Volume Penjualan Palm Stearin 64.351 MT</t>
  </si>
  <si>
    <t>PFAD sales volume</t>
  </si>
  <si>
    <t>Volume Penjualan PFAD 16.060 MT</t>
  </si>
  <si>
    <t>Refinery utilization 2024</t>
  </si>
  <si>
    <t>Utilisasi Olah 47,62% 91,77% CPO Production</t>
  </si>
  <si>
    <t>Fractionation utilization 2024</t>
  </si>
  <si>
    <t>Utilisasi 42,83% 84,95%</t>
  </si>
  <si>
    <t>Kernel crushing utilization</t>
  </si>
  <si>
    <t>Utilisasi 29,00% 35,81%</t>
  </si>
  <si>
    <t>RBDPO yield</t>
  </si>
  <si>
    <t>RBDPO 95,82% 95,76%</t>
  </si>
  <si>
    <t>Export sales 2024</t>
  </si>
  <si>
    <t>Luar Negeri 7.455.661 76,34% 7.992.965 77,46%</t>
  </si>
  <si>
    <t>Domestic sales 2024</t>
  </si>
  <si>
    <t>Dalam Negeri 2.310.447 23,66% 2.326.472 22,54%</t>
  </si>
  <si>
    <t>2025 production target</t>
  </si>
  <si>
    <t>Produksi (MT) 970.000 402.492 55,07% Production (MT)</t>
  </si>
  <si>
    <t>2025 revenue projection</t>
  </si>
  <si>
    <t>Penjualan (Rp-juta) 15.282.247 9.766.108 36,09%</t>
  </si>
  <si>
    <t>ISCC certification achieved 2024</t>
  </si>
  <si>
    <t>Refinery and Fractionation</t>
  </si>
  <si>
    <t>mendapatkannya untuk Refinery dan Fractination... ISCC certifications for its Refinery and Fractionation operations</t>
  </si>
  <si>
    <t>IPO proceeds remaining</t>
  </si>
  <si>
    <t>Pada akhir tahun 2024, terdapat sisa dana hasil penawaran umum sebesar Rp65.040 juta atau 15,23%</t>
  </si>
  <si>
    <t>Export tax rate increase</t>
  </si>
  <si>
    <t>9% to 11%</t>
  </si>
  <si>
    <t>kenaikan golongan tarif Pajak Ekspor (Levy &amp; BK) dari rata-rata 9% pada tahun 2023 menjadi rata-rata 11% pada tahun 2024</t>
  </si>
  <si>
    <t>CBUT_2025_AR.pdf</t>
  </si>
  <si>
    <t>Shareholder - Maybank GGF Singapore</t>
  </si>
  <si>
    <t>11,01% Maybank Global Growth Fund Singapore</t>
  </si>
  <si>
    <t>1,78% PT Citra Borneo Indah</t>
  </si>
  <si>
    <t>Launched cooking oil brand</t>
  </si>
  <si>
    <t>Hanau</t>
  </si>
  <si>
    <t>Peluncuran Minyak Goreng Sawit 'Hanau' Launched the Palm Cooking Oil 'Hanau'</t>
  </si>
  <si>
    <t>Group parent</t>
  </si>
  <si>
    <t>PT Citra Borneo Indah (via SSMS)</t>
  </si>
  <si>
    <t>Perseroan merupakan anak usaha dari PT Sawit Sumbermas Sarana Tbk... di bawah naungan PT Citra Borneo Indah</t>
  </si>
  <si>
    <t>Revenue 2025</t>
  </si>
  <si>
    <t>Pendapatan dari Kontrak dengan Pelanggan 13.970.811 9.766.108 10.319.437 4.204.703 43,05%</t>
  </si>
  <si>
    <t>COGS 2025</t>
  </si>
  <si>
    <t>Beban Pokok Penjualan (11.988.509) (8.693.813) (9.004.930)</t>
  </si>
  <si>
    <t>Gross profit 2025</t>
  </si>
  <si>
    <t>Laba Bruto 1.982.302 1.072.295 1.314.507 910.007 84,87%</t>
  </si>
  <si>
    <t>Operating profit 2025</t>
  </si>
  <si>
    <t>Laba Usaha 366.418 103.171 311.759 263.247 255,16%</t>
  </si>
  <si>
    <t>Profit before tax 2025</t>
  </si>
  <si>
    <t>Laba Sebelum Pajak Penghasilan 148.441 78.409 176.669</t>
  </si>
  <si>
    <t>Net profit 2025</t>
  </si>
  <si>
    <t>Laba Tahun Berjalan 106.175 68.186 144.242 37.989 55,71%</t>
  </si>
  <si>
    <t>EPS 2025</t>
  </si>
  <si>
    <t>Laba per Saham Dasar (Angka Penuh) 33,98 21,82 46,16</t>
  </si>
  <si>
    <t>Total assets 2025</t>
  </si>
  <si>
    <t>Total Aset 4.117.814 4.200.319 4.336.194</t>
  </si>
  <si>
    <t>Current assets 2025</t>
  </si>
  <si>
    <t>Total Aset Lancar 2.811.840 3.591.721 3.925.960</t>
  </si>
  <si>
    <t>Non-current assets 2025</t>
  </si>
  <si>
    <t>Total Aset Tidak Lancar 1.305.974 608.598 410.234</t>
  </si>
  <si>
    <t>Total liabilities 2025</t>
  </si>
  <si>
    <t>Total Liabilitas 3.007.199 3.231.021 3.433.778</t>
  </si>
  <si>
    <t>Total Liabilitas Jangka Pendek 2.286.662 2.547.153</t>
  </si>
  <si>
    <t>Total Liabilitas Jangka Panjang 720.537 683.868</t>
  </si>
  <si>
    <t>Total equity 2025</t>
  </si>
  <si>
    <t>Total Ekuitas 1.110.615 969.298 902.416 141.317 14,58%</t>
  </si>
  <si>
    <t>Kas dan setara kas 284.835 234.104 Cash and cash equivalents</t>
  </si>
  <si>
    <t>ST bank loans 2025</t>
  </si>
  <si>
    <t>Pinjaman bank jangka pendek 1.218.493 1.944.959 Short-term bank loans</t>
  </si>
  <si>
    <t>LT bank loans (non-current)</t>
  </si>
  <si>
    <t>Pinjaman bank jangka panjang... 554.518 679.348 net of current maturities</t>
  </si>
  <si>
    <t>jatuh tempo dalam waktu satu tahun 124.830 89.830 of long-term bank loans</t>
  </si>
  <si>
    <t>Arus Kas Bersih untuk Aktivitas Operasi 395.712 9.001 386.711 4.296,31%</t>
  </si>
  <si>
    <t>CFI 2025</t>
  </si>
  <si>
    <t>Arus Kas Bersih dari (untuk) Aktivitas Investasi 529.491 278.969</t>
  </si>
  <si>
    <t>CFF 2025</t>
  </si>
  <si>
    <t>Arus Kas Bersih (untuk) dari Aktivitas Pendanaan (874.550) (358.903)</t>
  </si>
  <si>
    <t>Capex (acquisition of fixed assets)</t>
  </si>
  <si>
    <t>Perolehan aset tetap (258.905) (115.118) Acquisition of fixed assets</t>
  </si>
  <si>
    <t>Depreciation 2025</t>
  </si>
  <si>
    <t>Beban pokok penjualan 43.997 42.504; Beban umum dan administrasif 2.706 1.864; Jumlah 46.703 44.368</t>
  </si>
  <si>
    <t>Closing price Q4 2025</t>
  </si>
  <si>
    <t>Q4 1.545 1.750 1.005 1.045 9.287.800</t>
  </si>
  <si>
    <t>Dividend paid 2025</t>
  </si>
  <si>
    <t>menyetujui penggunaan laba bersih Perseroan untuk tahun buku yang berakhir pada tanggal 31 Desember 2024 sebesar Rp68.186.097.083... untuk digunakan dimasukkan sebagai Cadangan Lainnya (No dividend from 2024 profit)</t>
  </si>
  <si>
    <t>kapasitas pengolahan 2.500 ton RBDPO per hari atau sekitar 850.000 ton per tahun</t>
  </si>
  <si>
    <t>Kapasitas RBDPO (ton per hari) 2.500 2.500</t>
  </si>
  <si>
    <t>Kapasitas Kernel (ton per hari) 600 600</t>
  </si>
  <si>
    <t>Bottling capacity (new)</t>
  </si>
  <si>
    <t>L/day</t>
  </si>
  <si>
    <t>Kapasitas Bottling (ton per hari)* Yield (Liter) 222.222 - Bottling Capacity</t>
  </si>
  <si>
    <t>Total production 2025</t>
  </si>
  <si>
    <t>Produksi (MT) 850.000 603.670 71,02%</t>
  </si>
  <si>
    <t>Total Produksi RBDPO Total RBDPO Production 578.928 MT</t>
  </si>
  <si>
    <t>Total Produksi Palm Olein 467.921 MT</t>
  </si>
  <si>
    <t>Total Produksi Palm Stearin 101.320 MT</t>
  </si>
  <si>
    <t>Total Produksi PFAD 21.898 MT</t>
  </si>
  <si>
    <t>Packaged cooking oil production</t>
  </si>
  <si>
    <t>Total Produksi Minyak Goreng Kemasan 9.166 MT</t>
  </si>
  <si>
    <t>Volume Penjualan Palm Olein 476.457 MT</t>
  </si>
  <si>
    <t>110.983 MT Palm Stearin Sales Volume</t>
  </si>
  <si>
    <t>Volume Penjualan PFAD 17.699 MT</t>
  </si>
  <si>
    <t>Refinery utilization 2025</t>
  </si>
  <si>
    <t>Utilisasi 71,02% 47,62% Utilization</t>
  </si>
  <si>
    <t>Fractionation utilization 2025</t>
  </si>
  <si>
    <t>Utilisasi 66,97% 42,83% Utilization</t>
  </si>
  <si>
    <t>Kernel crushing utilization 2025</t>
  </si>
  <si>
    <t>Utilisasi 50,66% 29,00%</t>
  </si>
  <si>
    <t>Bottling utilization 2025</t>
  </si>
  <si>
    <t>Utilisasi (%) 41,95% - Utilization (%)</t>
  </si>
  <si>
    <t>Export sales 2025</t>
  </si>
  <si>
    <t>Luar Negeri 10.986.874 78,64% 7.455.661 76,34% Overseas</t>
  </si>
  <si>
    <t>Domestic sales 2025</t>
  </si>
  <si>
    <t>Dalam Negeri 2.983.937 21,36% 2.310.447 23,66%</t>
  </si>
  <si>
    <t>2026 production projection</t>
  </si>
  <si>
    <t>Produksi (MT) 1.165.600 603.670 51,79%</t>
  </si>
  <si>
    <t>2026 revenue projection</t>
  </si>
  <si>
    <t>Penjualan (Rp-juta) 23.439.916 13.970.811 59,60%</t>
  </si>
  <si>
    <t>Total sales to SSMS (parent)</t>
  </si>
  <si>
    <t>PT Sawit Sumbermas Sarana Tbk 1.754.702 1.473.159 19,11%</t>
  </si>
  <si>
    <t>Term loan facility plafond</t>
  </si>
  <si>
    <t>Pinjaman berjangka dengan plafon Rp850.000 juta</t>
  </si>
  <si>
    <t>PT Cisadane Sawit Raya Tbk.</t>
  </si>
  <si>
    <t>CSRA_2022_AR.pdf</t>
  </si>
  <si>
    <t>IPO date</t>
  </si>
  <si>
    <t>2020-01-09</t>
  </si>
  <si>
    <t>Pada tanggal 9 Januari 2020, Perseroan menjadi perusahaan publik dan mencatatkan sahamnya di Bursa Efek Indonesia dengan kode saham CSRA</t>
  </si>
  <si>
    <t>IPO price</t>
  </si>
  <si>
    <t>harga saham pada Penawaran Umum Perdana adalah Rp125 per saham</t>
  </si>
  <si>
    <t>Ultimate controlling shareholder</t>
  </si>
  <si>
    <t>PT Sapta Sawit Lestari (SSL) + PT Verdan Sawit Lestari (VSL) + PT Sawit Inti Perkasa (SIP) - controlled by Gita Sapta Adi family</t>
  </si>
  <si>
    <t>pemegang saham Pengendali Perseroan adalah PT Sapta Sawit Lestari dengan kepemilikan 38,00%, PT Verdan Sawit Lestari dengan kepemilikan 38,00% dan PT Sawit Inti Perkasa dengan kepemilikan 4,00%</t>
  </si>
  <si>
    <t>Number of subsidiaries</t>
  </si>
  <si>
    <t>Sampai dengan akhir tahun 2022, Perseroan memiliki 6 (enam) entitas anak</t>
  </si>
  <si>
    <t>Revenue 2022</t>
  </si>
  <si>
    <t>Penjualan Neto 970.572 895.868 607.253 492.296 567.789 Net Sales</t>
  </si>
  <si>
    <t>Gross profit 2022</t>
  </si>
  <si>
    <t>Laba Bruto 571.759 507.732 265.927 191.840 216.159</t>
  </si>
  <si>
    <t>Operating profit 2022</t>
  </si>
  <si>
    <t>Laba Operasi 396.174 388.551 147.721 85.766 118.702</t>
  </si>
  <si>
    <t>Net profit 2022</t>
  </si>
  <si>
    <t>Laba Tahun Berjalan 252.407 259.650 72.367 27.370 28.819</t>
  </si>
  <si>
    <t>EBITDA 2022</t>
  </si>
  <si>
    <t>EBITDA 449.517 478.751 225.738 165.105 167.463</t>
  </si>
  <si>
    <t>EPS 2022</t>
  </si>
  <si>
    <t>Laba per Saham Dasar 123 127 35 18 175.727 Earnings per Share (in Rp)</t>
  </si>
  <si>
    <t>Total assets 2022</t>
  </si>
  <si>
    <t>Jumlah Aset 1.835.254 1.753.241 1.398.569</t>
  </si>
  <si>
    <t>Aset lancar 502.528 569.326 201.806</t>
  </si>
  <si>
    <t>Aset Tidak Lancar 1.332.726 1.183.915 1.196.703</t>
  </si>
  <si>
    <t>Total liabilities 2022</t>
  </si>
  <si>
    <t>Jumlah Liabilitas 872.142 971.948 826.287</t>
  </si>
  <si>
    <t>Liabilitas Jangka Pendek 251.247 263.344 263.994</t>
  </si>
  <si>
    <t>Liabilitas Jangka Panjang 620.895 708.604 562.293</t>
  </si>
  <si>
    <t>Total equity 2022</t>
  </si>
  <si>
    <t>Jumlah Ekuitas 963.112 781.293 572.281</t>
  </si>
  <si>
    <t>Cash 2022</t>
  </si>
  <si>
    <t>Saldo Kas dan Setara Kas Akhir Tahun 263.734 365.501 41.852</t>
  </si>
  <si>
    <t>Total borrowings (gross debt)</t>
  </si>
  <si>
    <t>Jumlah Pinjaman 644.696.424.985 766.623.212.623</t>
  </si>
  <si>
    <t>Net debt 2022</t>
  </si>
  <si>
    <t>Pinjaman Bersih 380.962.349.166 401.121.766.103 Net Loans</t>
  </si>
  <si>
    <t>CFO 2022</t>
  </si>
  <si>
    <t>Arus Kas dari Aktivitas Operasi 401.336 390.318 240.202</t>
  </si>
  <si>
    <t>CFI 2022</t>
  </si>
  <si>
    <t>Arus Kas dari Aktivitas Investasi (238.442) (85.119)</t>
  </si>
  <si>
    <t>CFF 2022</t>
  </si>
  <si>
    <t>Arus Kas dari Aktivitas Pendanaan (264.661) 18.451</t>
  </si>
  <si>
    <t>Capex 2022 (acquisition of fixed assets)</t>
  </si>
  <si>
    <t>Perolehan Aset Tetap 134.416.655.133 36.167.400.911</t>
  </si>
  <si>
    <t>Interim dividend 2022</t>
  </si>
  <si>
    <t>Perseroaan membagikan dividen interim sebesar Rp51.250.000.000... atau Rp25,- per saham... 30 November 2022</t>
  </si>
  <si>
    <t>Final dividend FY2021 paid 2022</t>
  </si>
  <si>
    <t>dividen tunai final sebesar Rp20.500.000.000 ... atau Rp10,- per saham... 17 Juni 2022</t>
  </si>
  <si>
    <t>Closing price Q4 2022</t>
  </si>
  <si>
    <t>Penutupan (Rp) 690 700 615 570 Closing (Rp)</t>
  </si>
  <si>
    <t>Planted area nucleus</t>
  </si>
  <si>
    <t>hectares</t>
  </si>
  <si>
    <t>LAHAN TERTANAM – INTI (Ha) 19.333,9 18.225,0 18.112,3</t>
  </si>
  <si>
    <t>Menghasilkan 16.147,1 15.660,4 15.777,2 15.174,9 13.489,6 Mature</t>
  </si>
  <si>
    <t>Immature area</t>
  </si>
  <si>
    <t>Belum Menghasilkan 3.186,8 2.564,6 2.335,1 2.436,0 3.522,6 Immature</t>
  </si>
  <si>
    <t>Mill capacity</t>
  </si>
  <si>
    <t>tons/hour</t>
  </si>
  <si>
    <t>PKS... dengan kapasitas 60 ton per jam dan telah dilakukan overhaul menjadi 45 ton per jam agar lebih efisien</t>
  </si>
  <si>
    <t>Mill location (existing)</t>
  </si>
  <si>
    <t>Negeri Lama, Labuhanbatu, North Sumatra</t>
  </si>
  <si>
    <t>mengoperasikan PKS yang berada di area kebun dengan kapasitas 60 ton per jam... Negeri Lama, Labuhanbatu, Provinsi Sumatera Utara</t>
  </si>
  <si>
    <t>Second mill under construction</t>
  </si>
  <si>
    <t>PT SKL, Tapanuli Selatan, North Sumatra, 45 tph, expected Jun-2023</t>
  </si>
  <si>
    <t>membangun Pabrik Pengolahan kelapa Sawit (PKS) di PT SKL, Tapanuli Selatan, Sumatera Utara dengan kapasitas produksi 45 ton per jam yang akan mulai operating in the mid-2023</t>
  </si>
  <si>
    <t>FFB production 2022</t>
  </si>
  <si>
    <t>Total produksi TBS (ton) 342.464 319.071 295.125 Total FFB produced</t>
  </si>
  <si>
    <t>Third-party FFB purchased</t>
  </si>
  <si>
    <t>Total TBS dibeli dari pihak ketiga (ton) 14.326 30.769</t>
  </si>
  <si>
    <t>FFB processed</t>
  </si>
  <si>
    <t>Total TBS diproses (ton) 174.180 193.840</t>
  </si>
  <si>
    <t>CPO production 2022</t>
  </si>
  <si>
    <t>Total Produksi CPO (ton) 35.701 39.687 47.194</t>
  </si>
  <si>
    <t>Total Penjualan CPO (ton) 34.633 39.428</t>
  </si>
  <si>
    <t>Total Produksi PK (ton) 8.974 9.423</t>
  </si>
  <si>
    <t>Palm kernel sales volume</t>
  </si>
  <si>
    <t>Total Penjualan PK (ton) 7.832 9.321</t>
  </si>
  <si>
    <t>FFB sales to third parties</t>
  </si>
  <si>
    <t>Total Penjualan TBS (ton) 180.866 147.905</t>
  </si>
  <si>
    <t>FFB yield/productivity</t>
  </si>
  <si>
    <t>tons/ha</t>
  </si>
  <si>
    <t>Rata-rata produktivitas TBS 21,2 20,4 18,6 21,1</t>
  </si>
  <si>
    <t>OER (%) 20,5 20,3 20,1 20,1 19,4</t>
  </si>
  <si>
    <t>KER (%) 5,2 4,9 4,6 4,5 4,9</t>
  </si>
  <si>
    <t>Avg CPO selling price</t>
  </si>
  <si>
    <t>IDR/kg</t>
  </si>
  <si>
    <t>Rata-rata harga jual CPO (Rp/kg) 12.468 11.398 8.293</t>
  </si>
  <si>
    <t>Avg FFB selling price</t>
  </si>
  <si>
    <t>Rata-rata harga jual TBS (Rp/kg) 2.618 2.480</t>
  </si>
  <si>
    <t>Avg Kernel selling price</t>
  </si>
  <si>
    <t>Rata-rata harga jual PK (Rp/kg) 8.331 7.802</t>
  </si>
  <si>
    <t>Tree age 4-7 years</t>
  </si>
  <si>
    <t>4 – 7 tahun 2.440,4 4.628,2 5.246,3</t>
  </si>
  <si>
    <t>Tree age 8-17 years</t>
  </si>
  <si>
    <t>8 – 17 tahun 9.612,9 6.872,7 6.802,1</t>
  </si>
  <si>
    <t>Tree age &gt;18 years</t>
  </si>
  <si>
    <t>&gt; 18 tahun 4.093,8 4.159,4 3.728,8</t>
  </si>
  <si>
    <t>Total employees</t>
  </si>
  <si>
    <t>Jumlah SDM Total Employee 4.050 orang employees</t>
  </si>
  <si>
    <t>Proper Biru Award</t>
  </si>
  <si>
    <t>2022</t>
  </si>
  <si>
    <t>Proper Biru Award 2022 Raya Tbk Provinsi Sumatera Utara December 30, 2022 1 Year</t>
  </si>
  <si>
    <t>CSRA_2023_AR.pdf</t>
  </si>
  <si>
    <t>Upstream plantation + 2 mills</t>
  </si>
  <si>
    <t>beroperasinya PKS baru di Tapanuli... operation of the second palm oil mill in South Tapanuli</t>
  </si>
  <si>
    <t>3rd mill groundbreaking date</t>
  </si>
  <si>
    <t>2024-01-08</t>
  </si>
  <si>
    <t>Pada tanggal 8 Januari 2024, Perseroan telah melakukan peletakan batu pertama pembanguna PKS ke 3 di kabupaten Banyuasin, Sumatera Selatan</t>
  </si>
  <si>
    <t>New credit facility 2024</t>
  </si>
  <si>
    <t>fasilitas Kredit Modal Kerja dengan limit kredit sebesar Rp40.000.000.000, jangka waktu 12 bulan... suku bunga sebesar 8,50% per tahun</t>
  </si>
  <si>
    <t>Penjualan Neto 875.512 970.572 895.868 607.253 492.296 Net Sales</t>
  </si>
  <si>
    <t>COGS 2023</t>
  </si>
  <si>
    <t>Beban Pokok Penjualan (475.926) (398.813)</t>
  </si>
  <si>
    <t>Laba Bruto 399.586 571.759 507.732</t>
  </si>
  <si>
    <t>Laba Operasi 221.843 396.174 388.551</t>
  </si>
  <si>
    <t>Profit before tax 2023</t>
  </si>
  <si>
    <t>Laba Sebelum Pajak 198.575 330.140</t>
  </si>
  <si>
    <t>Laba Tahun Berjalan 146.139 252.407 259.650</t>
  </si>
  <si>
    <t>EBITDA 2023</t>
  </si>
  <si>
    <t>EBITDA 317.261 449.517 478.751</t>
  </si>
  <si>
    <t>Laba per Saham Dasar 71 123 127 35 18 Earnings per Share (in Rp)</t>
  </si>
  <si>
    <t>Jumlah Aset 1.842.858 1.835.254 1.753.241</t>
  </si>
  <si>
    <t>Aset lancar 323.758 502.528 569.326</t>
  </si>
  <si>
    <t>Aset Tidak Lancar 1.519.099 1.332.726 1.183.915</t>
  </si>
  <si>
    <t>Jumlah Liabilitas 727.686 872.142 971.948</t>
  </si>
  <si>
    <t>Liabilitas Jangka Pendek 187.487 251.247 263.344</t>
  </si>
  <si>
    <t>Liabilitas Jangka Panjang 540.199 620.895 708.604</t>
  </si>
  <si>
    <t>Jumlah Ekuitas 1.115.172 963.112 781.293</t>
  </si>
  <si>
    <t>Cash 2023</t>
  </si>
  <si>
    <t>Saldo Kas dan Setara Kas Akhir Tahun 25.365 263.734 365.501</t>
  </si>
  <si>
    <t>Jumlah Pinjaman 509.346.154.937 644.696.424.985 Total Loans</t>
  </si>
  <si>
    <t>Net debt 2023</t>
  </si>
  <si>
    <t>Pinjaman Bersih 483.980.817.523 380.962.349.166 Net Loans</t>
  </si>
  <si>
    <t>Gearing ratio</t>
  </si>
  <si>
    <t>Rasio Gearing 43,40% 39,56%</t>
  </si>
  <si>
    <t>CFO 2023</t>
  </si>
  <si>
    <t>Arus Kas dari Aktivitas Operasi 192.491 401.336</t>
  </si>
  <si>
    <t>CFI 2023</t>
  </si>
  <si>
    <t>Arus Kas dari Aktivitas Investasi (251.705) (238.442)</t>
  </si>
  <si>
    <t>CFF 2023</t>
  </si>
  <si>
    <t>Arus Kas dari Aktivitas Pendanaan (179.155) (264.661)</t>
  </si>
  <si>
    <t>Capex 2023 (acquisition of fixed assets)</t>
  </si>
  <si>
    <t>Perolehan Aset Tetap 136.372.002.283 134.416.655.133</t>
  </si>
  <si>
    <t>Selama tahun 2023, Perseroan tidak membagikan dividen interim kepada para pemegang saham... Perseroan tidak membagikan dividen tunai final</t>
  </si>
  <si>
    <t>Closing price Q4 2023</t>
  </si>
  <si>
    <t>Penutupan (Rp) 540 466 505 472 Closing (Rp)</t>
  </si>
  <si>
    <t>LAHAN TERTANAM – INTI (Ha) 19.552,0 19.333,9 18.225,0</t>
  </si>
  <si>
    <t>Menghasilkan 17.258,3 16.147,1 15.660,4</t>
  </si>
  <si>
    <t>Belum Menghasilkan 2.293,7 3.186,8 2.564,6</t>
  </si>
  <si>
    <t>Number of mills operating</t>
  </si>
  <si>
    <t>dengan beroperasinya PKS baru di Tapanuli Selatan; 2nd palm oil mill in South Tapanuli commissioned 2023</t>
  </si>
  <si>
    <t>Total mill capacity</t>
  </si>
  <si>
    <t>PKS Perseroan di Tapanuli Selatan...akan menambah total kapasitas produksi; two mills total 90 tph (45+45)</t>
  </si>
  <si>
    <t>FFB production 2023</t>
  </si>
  <si>
    <t>Total produksi TBS (ton) 337.367 342.464 319.071</t>
  </si>
  <si>
    <t>Total TBS dibeli dari pihak ketiga (ton) 26.402 14.326 30.769</t>
  </si>
  <si>
    <t>Total TBS diproses (ton) 229.687 174.180 193.840</t>
  </si>
  <si>
    <t>CPO production 2023</t>
  </si>
  <si>
    <t>Total Produksi CPO (ton) 48.663 35.701 39.687</t>
  </si>
  <si>
    <t>CPO sales</t>
  </si>
  <si>
    <t>Total Penjualan CPO (ton) 47.368 34.633 39.428</t>
  </si>
  <si>
    <t>Total Produksi PK (ton) 11.166 8.974 9.423</t>
  </si>
  <si>
    <t>Palm kernel sales</t>
  </si>
  <si>
    <t>Total Penjualan PK (ton) 10.826 7.832 9.321</t>
  </si>
  <si>
    <t>Total Penjualan TBS (ton) 136.661 180.866</t>
  </si>
  <si>
    <t>FFB yield</t>
  </si>
  <si>
    <t>Rata-rata produktivitas TBS 19,4 21,2 20,4</t>
  </si>
  <si>
    <t>OER (%) 21,2 20,5 20,3</t>
  </si>
  <si>
    <t>KER (%) 4,9 5,2 4,9</t>
  </si>
  <si>
    <t>Rata-rata harga jual CPO (Rp/kg) 10.821 12.468 11.398</t>
  </si>
  <si>
    <t>Rata-rata harga jual TBS (Rp/kg) 2.241 2.618 2.480</t>
  </si>
  <si>
    <t>Avg PK selling price</t>
  </si>
  <si>
    <t>Rata-rata harga jual PK (Rp/kg) 5.255 8.331 7.802</t>
  </si>
  <si>
    <t>4 – 7 tahun 2.111,3 2.440,4 4.628,2</t>
  </si>
  <si>
    <t>8 – 17 tahun 11.115,9 9.612,9 6.872,7</t>
  </si>
  <si>
    <t>&gt; 18 tahun 4.031,1 4.093,8 4.159,4</t>
  </si>
  <si>
    <t>2023 FFB production target</t>
  </si>
  <si>
    <t>Total Produksi TBS 397.035 ton Total FFB Production (2023 target)</t>
  </si>
  <si>
    <t>CSRA_2024_AR.pdf</t>
  </si>
  <si>
    <t>Third mill under construction</t>
  </si>
  <si>
    <t>PT BKL Banyuasin, South Sumatra, target mid-2025</t>
  </si>
  <si>
    <t>PKS ketiga di Kabupaten Banyuasin, Sumatera Selatan, yang is scheduled to be completed by mid-2025</t>
  </si>
  <si>
    <t>Existing mills</t>
  </si>
  <si>
    <t>2 mills (Sei Siarti + PT SKL Tapanuli Selatan), each 45 tph</t>
  </si>
  <si>
    <t>produksi masing-masing 45 ton per jam</t>
  </si>
  <si>
    <t>Penjualan Neto 1.066.759 875.512 970.572 895.868 Net Sales</t>
  </si>
  <si>
    <t>COGS 2024</t>
  </si>
  <si>
    <t>Beban Pokok Penjualan (582.895) (475.926) (398.813)</t>
  </si>
  <si>
    <t>Laba Bruto 483.864 399.586 571.759</t>
  </si>
  <si>
    <t>Laba Operasi 263.628 221.843 396.174</t>
  </si>
  <si>
    <t>Profit before tax 2024</t>
  </si>
  <si>
    <t>Laba Sebelum Pajak 289.686 198.575</t>
  </si>
  <si>
    <t>Laba Tahun Berjalan 214.855 146.139 252.407</t>
  </si>
  <si>
    <t>EBITDA 2024</t>
  </si>
  <si>
    <t>EBITDA 441.979 317.261 449.517</t>
  </si>
  <si>
    <t>Laba per Saham Dasar (dalam Rp) 105 71 123 127 35</t>
  </si>
  <si>
    <t>Jumlah Aset 2.251.265 1.842.858 1.835.254</t>
  </si>
  <si>
    <t>Aset lancar 463.276 323.758 502.528</t>
  </si>
  <si>
    <t>Aset Tidak Lancar 1.787.989 1.519.099 1.332.726</t>
  </si>
  <si>
    <t>Jumlah Liabilitas 952.719 727.686 872.142</t>
  </si>
  <si>
    <t>Liabilitas Jangka Pendek 250.757 187.487 251.247</t>
  </si>
  <si>
    <t>Liabilitas Jangka Panjang 701.962 540.199 620.895</t>
  </si>
  <si>
    <t>Jumlah Ekuitas 1.298.545 1.115.172 963.112</t>
  </si>
  <si>
    <t>Cash 2024</t>
  </si>
  <si>
    <t>Saldo Kas dan Setara Kas Akhir Tahun 133.268 25.365 263.734</t>
  </si>
  <si>
    <t>Total borrowings</t>
  </si>
  <si>
    <t>Jumlah Pinjaman 693.576.923.459 509.346.154.937</t>
  </si>
  <si>
    <t>Net debt</t>
  </si>
  <si>
    <t>Pinjaman Bersih 560.308.572.623 483.980.817.523</t>
  </si>
  <si>
    <t>Gearing ratio 2024</t>
  </si>
  <si>
    <t>Rasio Gearing 43,15% 43,40%</t>
  </si>
  <si>
    <t>Arus Kas dari Aktivitas Operasi 332.808 192.491 401.336</t>
  </si>
  <si>
    <t>Arus Kas dari Aktivitas Investasi (306.086) (251.705) (238.442)</t>
  </si>
  <si>
    <t>Arus Kas dari Aktivitas Pendanaan 81.181 (179.155) (264.661)</t>
  </si>
  <si>
    <t>Capex 2024 (acquisition of fixed assets)</t>
  </si>
  <si>
    <t>Perolehan Aset Tetap 227.648.478.689 136.372.002.283</t>
  </si>
  <si>
    <t>pembagian dividen tunai sebesar Rp 30.000.000.000 atau Rp 14,63 per saham yang telah dibagikan sebesar Rp 29.991.500.000 pada tanggal 28 Juni 2024</t>
  </si>
  <si>
    <t>DPS FY2023 (paid 2024)</t>
  </si>
  <si>
    <t>pembagian dividen tunai sebesar Rp 30.000.000.000 atau Rp 14,63 per saham</t>
  </si>
  <si>
    <t>Penutupan (Rp) 444 575 620 725 Closing (Rp)</t>
  </si>
  <si>
    <t>LAHAN TERTANAM – INTI (Ha) 20.067,6 19.552,0 19.333,9</t>
  </si>
  <si>
    <t>Menghasilkan 17.430,9 17.258,3 16.147,1</t>
  </si>
  <si>
    <t>Belum Menghasilkan 2.636,7 2.293,7 3.186,8</t>
  </si>
  <si>
    <t>Mills operating</t>
  </si>
  <si>
    <t>PKS dengan kapasitas produksi masing-masing 45 ton per jam</t>
  </si>
  <si>
    <t>PKS kedua di Tapanuli Selatan dengan kapasitas produksi yang sama (45 tph each, total 90 tph)</t>
  </si>
  <si>
    <t>FFB production 2024</t>
  </si>
  <si>
    <t>Total produksi TBS (ton) 319.085 337.367 342.464 319.071</t>
  </si>
  <si>
    <t>Total TBS dibeli dari pihak ketiga (ton) 33.723 26.402 14.326</t>
  </si>
  <si>
    <t>Total TBS diproses (ton) 265.837 229.687 174.180</t>
  </si>
  <si>
    <t>CPO production 2024</t>
  </si>
  <si>
    <t>Total Produksi CPO (ton) 55.700 48.663 35.701</t>
  </si>
  <si>
    <t>Total Penjualan CPO (ton) 55.693 47.368 34.633</t>
  </si>
  <si>
    <t>Total Produksi PK (ton) 11.801 11.166 8.974</t>
  </si>
  <si>
    <t>Total Penjualan PK (ton) 12.080 10.826 7.832</t>
  </si>
  <si>
    <t>Total Penjualan TBS (ton) 91.828 136.661 180.866</t>
  </si>
  <si>
    <t>Rata-rata produktivitas TBS 18,2 19,4 21,2</t>
  </si>
  <si>
    <t>OER (%) 21,0 21,2 20,5</t>
  </si>
  <si>
    <t>KER (%) 4,4 4,9 5,2</t>
  </si>
  <si>
    <t>Rata-rata harga jual CPO (Rp/kg) 12.793 10.821 12.468</t>
  </si>
  <si>
    <t>Rata-rata harga jual TBS (Rp/kg) 2.742 2.241 2.618</t>
  </si>
  <si>
    <t>Rata-rata harga jual PK (Rp/kg) 8.170 5.255 8.331</t>
  </si>
  <si>
    <t>4 – 7 tahun 2.196,6 2.111,3 2.440,4</t>
  </si>
  <si>
    <t>8 – 17 tahun 11.155,4 11.115,9 9.612,9</t>
  </si>
  <si>
    <t>&gt; 18 tahun 4.078,9 4.031,1 4.093,8</t>
  </si>
  <si>
    <t>2024 FFB production target</t>
  </si>
  <si>
    <t>Produksi TBS terealisasi sebesar 79,51% (319,085/0.7951 ≈ 401,302)</t>
  </si>
  <si>
    <t>PT Dharma Satya Nusantara Tbk</t>
  </si>
  <si>
    <t>DSNG_2022_AR.pdf</t>
  </si>
  <si>
    <t>Company name</t>
  </si>
  <si>
    <t>-</t>
  </si>
  <si>
    <t>NAMA PERSEROAN PT DHARMA SATYA NUSANTARA Tbk</t>
  </si>
  <si>
    <t>Business segment</t>
  </si>
  <si>
    <t>Palm Oil &amp; Wood Product</t>
  </si>
  <si>
    <t>Segmen Usaha Industri Kelapa Sawit &amp; Industri Produk Kayu</t>
  </si>
  <si>
    <t>IPO listing date</t>
  </si>
  <si>
    <t>2013-06-14</t>
  </si>
  <si>
    <t>Perseroan mencatatkan saham hasil penawaran perdana di Bursa Efek Indonesia pada tanggal 14 Juni 2013</t>
  </si>
  <si>
    <t>jumlah saham beredar sebesar 10.599.842.400</t>
  </si>
  <si>
    <t>Oetomo Family stake</t>
  </si>
  <si>
    <t>decimal</t>
  </si>
  <si>
    <t>28,90% OETOMO FAMILY</t>
  </si>
  <si>
    <t>Rachmat Family stake</t>
  </si>
  <si>
    <t>31,71% T.P. RACHMAT FAMILY</t>
  </si>
  <si>
    <t>Penjualan 9,633,671 (Dalam Jutaan Rupiah)</t>
  </si>
  <si>
    <t>Palm oil segment revenue</t>
  </si>
  <si>
    <t>Kelapa Sawit/Palm Oil 8.117.134</t>
  </si>
  <si>
    <t>Wood products segment revenue</t>
  </si>
  <si>
    <t>Produk Kayu/Wood Product 1.516.537</t>
  </si>
  <si>
    <t>Laba Bruto 3,117,575</t>
  </si>
  <si>
    <t>Laba Operasi 2,172,475</t>
  </si>
  <si>
    <t>EBITDA 3,018,363</t>
  </si>
  <si>
    <t>Laba 1,206,587</t>
  </si>
  <si>
    <t>Pemilik entitas induk 1,206,835</t>
  </si>
  <si>
    <t>Total Aset 15,357,229</t>
  </si>
  <si>
    <t>Total Liabilitas 7,197,089</t>
  </si>
  <si>
    <t>Total Ekuitas 8,160,140</t>
  </si>
  <si>
    <t>Laba per saham dasar 113,86 (Rupiah penuh)</t>
  </si>
  <si>
    <t>Kas dan setara kas 359.349</t>
  </si>
  <si>
    <t>Utang bank jangka pendek 668.076</t>
  </si>
  <si>
    <t>Current portion long-term bank loans</t>
  </si>
  <si>
    <t>Utang bank jangka panjang yang jatuh tempo dalam satu tahun 759.953</t>
  </si>
  <si>
    <t>Long-term bank loans (net)</t>
  </si>
  <si>
    <t>Utang bank jangka panjang, setelah dikurangi bagian yang jatuh tempo dalam satu tahun 3.041.083</t>
  </si>
  <si>
    <t>Bonds payable (LT)</t>
  </si>
  <si>
    <t>Utang obligasi 175.524 (non-current)</t>
  </si>
  <si>
    <t>Bonds payable (current)</t>
  </si>
  <si>
    <t>Utang obligasi 282.310 (current)</t>
  </si>
  <si>
    <t>Kas neto dari aktivitas operasi 1.538.027</t>
  </si>
  <si>
    <t>Fixed assets additions (capex)</t>
  </si>
  <si>
    <t>Perolehan aset tetap (1.068.865)</t>
  </si>
  <si>
    <t>Plantation cost additions</t>
  </si>
  <si>
    <t>Penambahan kapitalisasi biaya perkebunan (106.259)</t>
  </si>
  <si>
    <t>Depreciation of fixed assets</t>
  </si>
  <si>
    <t>Akumulasi penyusutan 478.683 (total charge 2022)</t>
  </si>
  <si>
    <t>Amortization of bearer plants</t>
  </si>
  <si>
    <t>Akumulasi amortisasi (243.793) Tanaman menghasilkan</t>
  </si>
  <si>
    <t>Closing stock price 2022 Q4</t>
  </si>
  <si>
    <t>Kuartal IV HARGA PENUTUPAN 496</t>
  </si>
  <si>
    <t>Dividend FY2021 paid in 2022</t>
  </si>
  <si>
    <t>Tahun 2022, Perseroan membagikan dividen tahun buku 2021 sebesar Rp 212,0 miliar atau Rp 20/saham</t>
  </si>
  <si>
    <t>112.500 Ha LAHAN TERTANAM</t>
  </si>
  <si>
    <t>Nucleus planted area</t>
  </si>
  <si>
    <t>dengan 84.600 hektar merupakan lahan tertanam kebun inti</t>
  </si>
  <si>
    <t>Plasma planted area</t>
  </si>
  <si>
    <t>plasma mencapai 28,3 ribu hektar</t>
  </si>
  <si>
    <t>Mature area approx</t>
  </si>
  <si>
    <t>104.000 Ha TELAH MENGHASILKAN Mature Areas</t>
  </si>
  <si>
    <t>Average tree age (nucleus &amp; plasma)</t>
  </si>
  <si>
    <t>12,8 Tahun USIA RATA-RATA (INTI &amp; PLASMA)</t>
  </si>
  <si>
    <t>Palm oil mills (POM)</t>
  </si>
  <si>
    <t>mills</t>
  </si>
  <si>
    <t>Perseroan juga memiliki 12 pabrik kelapa sawit (PKS)</t>
  </si>
  <si>
    <t>POM total capacity</t>
  </si>
  <si>
    <t>tons FFB/hour</t>
  </si>
  <si>
    <t>kapasitas produksi total mencapai 675 ton/jam</t>
  </si>
  <si>
    <t>KCP (kernel crushing plant) capacity</t>
  </si>
  <si>
    <t>kernel crushing plant ... dengan kapasitas 400 ton/hari</t>
  </si>
  <si>
    <t>CPO storage tank capacity</t>
  </si>
  <si>
    <t>KAPASITAS PENYIMPANAN CPO 97.000 TON CPO</t>
  </si>
  <si>
    <t>Contiguous East Kalimantan area</t>
  </si>
  <si>
    <t>63.000 Ha DALAM SATU HAMPARAN</t>
  </si>
  <si>
    <t>Produksi TBS/FFB Production 2.213.698</t>
  </si>
  <si>
    <t>FFB - Nucleus</t>
  </si>
  <si>
    <t>Inti/Nucleus 1.758.257</t>
  </si>
  <si>
    <t>FFB - Plasma</t>
  </si>
  <si>
    <t>Plasma 455.442</t>
  </si>
  <si>
    <t>TBS Diproses/FFB Processed 2.809.177</t>
  </si>
  <si>
    <t>Produksi CPO 639.480</t>
  </si>
  <si>
    <t>Produksi PK 117.622</t>
  </si>
  <si>
    <t>PKO production</t>
  </si>
  <si>
    <t>Produksi PKO 37.970</t>
  </si>
  <si>
    <t>CPO OER</t>
  </si>
  <si>
    <t>CPO OER (%) 22,76</t>
  </si>
  <si>
    <t>FFA</t>
  </si>
  <si>
    <t>FFA (%) 3,78</t>
  </si>
  <si>
    <t>Volume Penjualan CPO 639.518</t>
  </si>
  <si>
    <t>IDR/ton</t>
  </si>
  <si>
    <t>Harga Rata-rata CPO 11,18 Rp million/ton</t>
  </si>
  <si>
    <t>Harga Rata-rata PKO 17,48 Rp million/ton</t>
  </si>
  <si>
    <t>Wood product - panel sales</t>
  </si>
  <si>
    <t>Panel 115,7 thousand m3</t>
  </si>
  <si>
    <t>Wood product - engineered flooring sales</t>
  </si>
  <si>
    <t>m2</t>
  </si>
  <si>
    <t>Engineered Floorings 1.117,0 thousand m2</t>
  </si>
  <si>
    <t>RSPO certifications (POMs)</t>
  </si>
  <si>
    <t>dengan 6 PKS tersertifikasi RSPO</t>
  </si>
  <si>
    <t>ISPO certifications (POMs)</t>
  </si>
  <si>
    <t>8 PKS tersertifikasi ISPO</t>
  </si>
  <si>
    <t>Bio-CNG capacity</t>
  </si>
  <si>
    <t>m3/hour</t>
  </si>
  <si>
    <t>280 m3/Hr KAPASITAS BIO-CNG</t>
  </si>
  <si>
    <t>Revocation of Nityasa Idola forest concession</t>
  </si>
  <si>
    <t>Kementerian Lingkungan Hidup dan Kehutanan... izin konsesi kawasan hutan seluas area 113.196 hektar milik PT Nityasa Idola</t>
  </si>
  <si>
    <t>DSNG_2023_AR.pdf</t>
  </si>
  <si>
    <t>PT DHARMA SATYA NUSANTARA Tbk</t>
  </si>
  <si>
    <t>Business segments</t>
  </si>
  <si>
    <t>Palm Oil, Wood Product, Renewable Energy</t>
  </si>
  <si>
    <t>88,0% Kelapa Sawit, 11,3% Produk Kayu, 0,7% Energi Terbarukan</t>
  </si>
  <si>
    <t>Jumlah Saham Beredar 10.599.842.400</t>
  </si>
  <si>
    <t>T.P. Rachmat Family 3.288.756.900 31,71</t>
  </si>
  <si>
    <t>Oetomo Family 3.063.196.696 28,90</t>
  </si>
  <si>
    <t>Penjualan 9.498.749 (Dalam Jutaan Rupiah)</t>
  </si>
  <si>
    <t>Kelapa Sawit 8.354.365 88,0%</t>
  </si>
  <si>
    <t>Wood product segment revenue</t>
  </si>
  <si>
    <t>Produk Kayu 1.074.024 11,3%</t>
  </si>
  <si>
    <t>Renewable energy revenue</t>
  </si>
  <si>
    <t>Energi Terbarukan 70,360 0,7%</t>
  </si>
  <si>
    <t>Laba Bruto 2.527.468</t>
  </si>
  <si>
    <t>Laba Operasi 1.555.713</t>
  </si>
  <si>
    <t>EBITDA 2.421.068</t>
  </si>
  <si>
    <t>Laba 841.665</t>
  </si>
  <si>
    <t>Pemilik entitas induk 839.809</t>
  </si>
  <si>
    <t>Total Aset 16.178.278</t>
  </si>
  <si>
    <t>Total Liabilitas 7.288.850</t>
  </si>
  <si>
    <t>Total Ekuitas 8.889.428</t>
  </si>
  <si>
    <t>Laba per saham dasar 79,23</t>
  </si>
  <si>
    <t>Kas dan setara kas 389.746</t>
  </si>
  <si>
    <t>Utang bank jangka pendek 947.588</t>
  </si>
  <si>
    <t>Utang bank jangka panjang yang jatuh tempo dalam satu tahun 771.194</t>
  </si>
  <si>
    <t>LT bank loans net</t>
  </si>
  <si>
    <t>Utang bank jangka panjang, setelah dikurangi bagian yang jatuh tempo dalam satu tahun 3.178.020</t>
  </si>
  <si>
    <t>LT bonds payable</t>
  </si>
  <si>
    <t>Utang obligasi 175.812 (non-current)</t>
  </si>
  <si>
    <t>Current bonds payable</t>
  </si>
  <si>
    <t>Utang obligasi 3.001 (current)</t>
  </si>
  <si>
    <t>Kas neto dari aktivitas operasi 1.874.372</t>
  </si>
  <si>
    <t>Fixed assets acquisitions</t>
  </si>
  <si>
    <t>Perolehan aset tetap (1.238.542)</t>
  </si>
  <si>
    <t>Penambahan kapitalisasi biaya perkebunan (143.919)</t>
  </si>
  <si>
    <t>Closing price 2023 Q4</t>
  </si>
  <si>
    <t>IV 645 525 555 (Penutupan 2023)</t>
  </si>
  <si>
    <t>Dividend FY2022 paid 2023</t>
  </si>
  <si>
    <t>dividen tunai sebesar Rp317.995.272.000 atau sebesar Rp30 setiap saham</t>
  </si>
  <si>
    <t>112.700 Ha LAHAN TERTANAM</t>
  </si>
  <si>
    <t>dengan 84.800 hektar merupakan lahan tertanam kebun inti</t>
  </si>
  <si>
    <t>perkebunan inti yang mencapai 84,8 ribu hektar dan plasma mencapai 27,9 ribu hektar</t>
  </si>
  <si>
    <t>Average tree age</t>
  </si>
  <si>
    <t>13,3 Tahun USIA RATA-RATA (INTI &amp; PLASMA)</t>
  </si>
  <si>
    <t>Palm oil mills</t>
  </si>
  <si>
    <t>POM capacity</t>
  </si>
  <si>
    <t>total mencapai 675 ton/jam</t>
  </si>
  <si>
    <t>Produksi TBS/FFB Production 2.271.821</t>
  </si>
  <si>
    <t>Inti/Nucleus 1.796.532</t>
  </si>
  <si>
    <t>Plasma 475.289</t>
  </si>
  <si>
    <t>TBS Diproses/FFB Processed 2.854.559</t>
  </si>
  <si>
    <t>Produksi CPO 661.892</t>
  </si>
  <si>
    <t>Produksi PK 122.732</t>
  </si>
  <si>
    <t>Produksi PKO 40.356</t>
  </si>
  <si>
    <t>CPO OER (%) 23,19</t>
  </si>
  <si>
    <t>FFA (%) 2,96</t>
  </si>
  <si>
    <t>Volume Penjualan CPO 665.041</t>
  </si>
  <si>
    <t>Harga Rata-Rata CPO 11,39 Rp juta/ton</t>
  </si>
  <si>
    <t>Harga Rata-Rata PKO 12,97 Rp juta/ton</t>
  </si>
  <si>
    <t>Panel sales</t>
  </si>
  <si>
    <t>Panel 99,5 ribu m3</t>
  </si>
  <si>
    <t>Engineered flooring sales</t>
  </si>
  <si>
    <t>Engineered Floorings 738,5 ribu m2</t>
  </si>
  <si>
    <t>Palm kernel shell export volume</t>
  </si>
  <si>
    <t>dengan volume sebesar 40.397 ton (palm shell exports H2 2023)</t>
  </si>
  <si>
    <t>Sustainability certifications</t>
  </si>
  <si>
    <t>7 RSPO, 20 ISPO, 2 SCCS, 1 ISCC</t>
  </si>
  <si>
    <t>Contiguous East Kalimantan block</t>
  </si>
  <si>
    <t>Lebih dari 60.000 hektar area tertanam di Kalimantan Timur berada dalam satu hamparan</t>
  </si>
  <si>
    <t>Number of shareholders 2023</t>
  </si>
  <si>
    <t>shareholders</t>
  </si>
  <si>
    <t>2023 ... 6.570</t>
  </si>
  <si>
    <t>DSNG_2024_AR.pdf</t>
  </si>
  <si>
    <t>PT Dharma Satya Nusantara Tbk Annual Report 2024</t>
  </si>
  <si>
    <t>T.P. Rachmat Family stake</t>
  </si>
  <si>
    <t>REA Kaltim Plantations stake increased</t>
  </si>
  <si>
    <t>penambahan investasi strategi Perseroan pada entitas asosiasi, yakni PT REA Kaltim Plantations, dari 15% ke 35%</t>
  </si>
  <si>
    <t>Penjualan 10.119.220 (Dalam Jutaan Rupiah)</t>
  </si>
  <si>
    <t>Palm oil revenue</t>
  </si>
  <si>
    <t>Kelapa Sawit/Palm Oil 8.784.344 5,1%</t>
  </si>
  <si>
    <t>Wood products revenue</t>
  </si>
  <si>
    <t>Produk Kayu/Wood Products 1.152.074 7,3%</t>
  </si>
  <si>
    <t>Energi Terbarukan/Renewable Energy 182.802 159,8%</t>
  </si>
  <si>
    <t>Laba Bruto 3.004.201</t>
  </si>
  <si>
    <t>Laba Operasi 2.123.670</t>
  </si>
  <si>
    <t>EBITDA 3.096.491</t>
  </si>
  <si>
    <t>Laba 1.141.375</t>
  </si>
  <si>
    <t>Pemilik entitas induk 1.142.493</t>
  </si>
  <si>
    <t>Total Aset 17.412.416</t>
  </si>
  <si>
    <t>Total Liabilitas 7.515.101</t>
  </si>
  <si>
    <t>Total Ekuitas 9.897.315</t>
  </si>
  <si>
    <t>Laba per saham dasar 107,78</t>
  </si>
  <si>
    <t>Kas dan setara kas 557.023</t>
  </si>
  <si>
    <t>Utang bank jangka pendek 476.957</t>
  </si>
  <si>
    <t>Current LT bank loans</t>
  </si>
  <si>
    <t>Utang bank jangka panjang yang jatuh tempo dalam satu tahun 597.660</t>
  </si>
  <si>
    <t>Utang bank jangka panjang, setelah dikurangi bagian yang jatuh tempo dalam satu tahun 3.971.671</t>
  </si>
  <si>
    <t>Utang obligasi 181.924 (current)</t>
  </si>
  <si>
    <t>Kas neto dari aktivitas operasi 2.150.615</t>
  </si>
  <si>
    <t>Perolehan aset tetap (975.689)</t>
  </si>
  <si>
    <t>Penambahan kapitalisasi biaya perkebunan (116.412)</t>
  </si>
  <si>
    <t>Investment in REA Kaltim (associate)</t>
  </si>
  <si>
    <t>Investasi pada entitas asosiasi 12 (839.071)</t>
  </si>
  <si>
    <t>Closing price 2024 Q4</t>
  </si>
  <si>
    <t>IV 1400 815 950 (2024 Q4 closing)</t>
  </si>
  <si>
    <t>Dividend FY2023 paid 2024</t>
  </si>
  <si>
    <t>dividen tunai sebesar Rp 233.196.532.800 atau sebesar Rp 22 setiap saham</t>
  </si>
  <si>
    <t>Jumlah lahan tertanam mencapai 110.700 hektar</t>
  </si>
  <si>
    <t>dengan 82.800 hektar merupakan lahan tertanam kebun inti</t>
  </si>
  <si>
    <t>27.908 hektar perkebunan plasma</t>
  </si>
  <si>
    <t>sekitar 104.101 hektar merupakan kebun yang sudah menghasilkan</t>
  </si>
  <si>
    <t>Replanting 2024</t>
  </si>
  <si>
    <t>melakukan penanaman kembali pada 900 hektar lahan</t>
  </si>
  <si>
    <t>12 pabrik kelapa sawit</t>
  </si>
  <si>
    <t>675 ton/jam</t>
  </si>
  <si>
    <t>Produksi TBS/FFB Production 2.109.737</t>
  </si>
  <si>
    <t>Inti/Nucleus 1.661.979</t>
  </si>
  <si>
    <t>Plasma 447.757</t>
  </si>
  <si>
    <t>TBS Diproses/FFB Processed 2.515.086</t>
  </si>
  <si>
    <t>Produksi CPO 601.508</t>
  </si>
  <si>
    <t>Produksi PK 114.210</t>
  </si>
  <si>
    <t>Produksi PKO 38.217</t>
  </si>
  <si>
    <t>CPO OER (%) 23,92</t>
  </si>
  <si>
    <t>FFA (%) 2,86</t>
  </si>
  <si>
    <t>Volume Penjualan CPO 601.111</t>
  </si>
  <si>
    <t>Harga Rata-Rata CPO 12,79 Rp juta/ton</t>
  </si>
  <si>
    <t>Harga Rata-Rata PKO 17,81 Rp juta/ton</t>
  </si>
  <si>
    <t>Palm kernel shell export volume 2024</t>
  </si>
  <si>
    <t>volume penjualan cangkang selama tahun 2024 sebesar 94.933 ton</t>
  </si>
  <si>
    <t>PKS ASP</t>
  </si>
  <si>
    <t>USD/ton</t>
  </si>
  <si>
    <t>Harga Rata-rata/ASP USD/ton 121.93 113.35</t>
  </si>
  <si>
    <t>Panel sales volume</t>
  </si>
  <si>
    <t>Panel 116,1 ribu m3</t>
  </si>
  <si>
    <t>Engineered flooring sales volume</t>
  </si>
  <si>
    <t>Engineered Floorings 626,5 ribu m2</t>
  </si>
  <si>
    <t>PT FAP Agri Tbk</t>
  </si>
  <si>
    <t>FAPA_2022_AR.pdf</t>
  </si>
  <si>
    <t>Business activity</t>
  </si>
  <si>
    <t>Palm Oil Plantation and Industry via subsidiaries</t>
  </si>
  <si>
    <t>Kegiatan Perkebunan dan Industri Kelapa Sawit melalui Anak Perusahaan</t>
  </si>
  <si>
    <t>2021-01-04</t>
  </si>
  <si>
    <t>FAP Agri melakukan pencatatan saham di Bursa Efek Indonesia pada 4 Januari 2021</t>
  </si>
  <si>
    <t>1 Kantor Pusat, 9 Anak Perusahaan, 5 Pabrik Pengolahan Kelapa Sawit, dan 1 Pabrik Pengolahan Inti Sawit</t>
  </si>
  <si>
    <t>Prinsep Management Ltd stake</t>
  </si>
  <si>
    <t>Prinsep Management Limited 80,75%</t>
  </si>
  <si>
    <t>PT Fangionoperkasa Sejati stake</t>
  </si>
  <si>
    <t>PT Fangionoperkasa Sejati 4,25%</t>
  </si>
  <si>
    <t>Publik / Public 15,00%</t>
  </si>
  <si>
    <t>Modal ditempatkan dan disetor - 3.629.411.800 saham pada 31 Desember 2022</t>
  </si>
  <si>
    <t>Net sales</t>
  </si>
  <si>
    <t>Penjualan Neto 4.828.634</t>
  </si>
  <si>
    <t>CPO sales revenue</t>
  </si>
  <si>
    <t>MINYAK SAWIT MENTAH ... Rp3,89 triliun</t>
  </si>
  <si>
    <t>FFB sales revenue</t>
  </si>
  <si>
    <t>TANDAN BUAH SEGAR Rp452,06 miliar</t>
  </si>
  <si>
    <t>PKO sales revenue</t>
  </si>
  <si>
    <t>MINYAK INTI SAWIT Rp201,38 miliar</t>
  </si>
  <si>
    <t>PK sales revenue</t>
  </si>
  <si>
    <t>INTI SAWIT Rp266,99 miliar</t>
  </si>
  <si>
    <t>PKE sales revenue</t>
  </si>
  <si>
    <t>BUNGKIL INTI SAWIT Rp19,30 miliar</t>
  </si>
  <si>
    <t>Beban Pokok Penjualan (3.212.304)</t>
  </si>
  <si>
    <t>Laba Bruto 1.616.330</t>
  </si>
  <si>
    <t>Laba (Rugi) Usaha 1.304.862</t>
  </si>
  <si>
    <t>Laba (Rugi) Bersih Tahun Berjalan 749.311</t>
  </si>
  <si>
    <t>Pemilik Entitas Induk 709.144</t>
  </si>
  <si>
    <t>Laba (Rugi) Per Saham Dasar 195,39</t>
  </si>
  <si>
    <t>Jumlah Aset 8.624.009</t>
  </si>
  <si>
    <t>Jumlah Liabilitas 4.724.997</t>
  </si>
  <si>
    <t>Jumlah Ekuitas 3.899.012</t>
  </si>
  <si>
    <t>Kas dan bank 5 507.768.260.273</t>
  </si>
  <si>
    <t>Bank overdraft</t>
  </si>
  <si>
    <t>Cerukan bank 21 427.739.191.253</t>
  </si>
  <si>
    <t>ST bank loans (current portion)</t>
  </si>
  <si>
    <t>Utang bank (current) 21 530.783.090.150</t>
  </si>
  <si>
    <t>Utang bank (non-current) 2.549.670.734.981</t>
  </si>
  <si>
    <t>Shareholder loan (LT)</t>
  </si>
  <si>
    <t>Utang pemegang saham - (Dec 2022 balance after full repayment)</t>
  </si>
  <si>
    <t>Arus Kas dari Aktivitas Operasi 1.895.737</t>
  </si>
  <si>
    <t>Fixed-asset acquisitions</t>
  </si>
  <si>
    <t>Perolehan aset tetap (410.978.311.422)</t>
  </si>
  <si>
    <t>Immature plantation additions</t>
  </si>
  <si>
    <t>Penambahan tanaman belum menghasilkan (57.880.396.961)</t>
  </si>
  <si>
    <t>Shareholder loan repayment</t>
  </si>
  <si>
    <t>Pembayaran utang pemegang saham (736.557.773.433)</t>
  </si>
  <si>
    <t>Bank loan repayments</t>
  </si>
  <si>
    <t>Pembayaran utang bank (650.738.352.548)</t>
  </si>
  <si>
    <t>Depreciation (total)</t>
  </si>
  <si>
    <t>Penyusutan (Catatan 13, 14 dan 15) 507.529.849.097</t>
  </si>
  <si>
    <t>Triwulan IV 4.300 4.050 4.300</t>
  </si>
  <si>
    <t>Market cap Q4 2022</t>
  </si>
  <si>
    <t>15.606.471 (Rp juta)</t>
  </si>
  <si>
    <t>LUAS LAHAN TERTANAM 88.752 ha</t>
  </si>
  <si>
    <t>Palm plantation land bank</t>
  </si>
  <si>
    <t>LUAS LAHAN PERKEBUNAN SAWIT &gt;110.000 ha</t>
  </si>
  <si>
    <t>LUAS TANAMAN MENGHASILKAN 82.624 ha</t>
  </si>
  <si>
    <t>LUAS TANAMAN BELUM MENGHASILKAN 6.128 ha</t>
  </si>
  <si>
    <t>RATA-RATA UMUR TANAMAN 11 tahun</t>
  </si>
  <si>
    <t>North Kalimantan planted</t>
  </si>
  <si>
    <t>Kalimantan Utara ... Luas Lahan Tertanam 50.066 ha</t>
  </si>
  <si>
    <t>East Kalimantan planted</t>
  </si>
  <si>
    <t>Kalimantan Timur ... Luas Lahan Tertanam 35.354 ha</t>
  </si>
  <si>
    <t>Riau planted</t>
  </si>
  <si>
    <t>Riau Luas Lahan Tertanam 3.332 ha</t>
  </si>
  <si>
    <t>POMs</t>
  </si>
  <si>
    <t>5 Pabrik Pengolahan Kelapa Sawit</t>
  </si>
  <si>
    <t>Kernel crushing plant</t>
  </si>
  <si>
    <t>unit</t>
  </si>
  <si>
    <t>1 Pabrik Pengolahan Inti Sawit (PPIS) 1 Kernel Crushing Plant (KCP)</t>
  </si>
  <si>
    <t>Plantation concessions</t>
  </si>
  <si>
    <t>concessions</t>
  </si>
  <si>
    <t>1 Konsesi (Riau) + 4 Konsesi (N. Kalimantan) + 4 Konsesi (E. Kalimantan)</t>
  </si>
  <si>
    <t>Produksi Tandan Buah Segar 1.202.008</t>
  </si>
  <si>
    <t>Produksi Minyak Sawit Mentah 277.058</t>
  </si>
  <si>
    <t>Produksi Inti Sawit 48.192</t>
  </si>
  <si>
    <t>Produksi Minyak Inti Sawit 11.106</t>
  </si>
  <si>
    <t>PKE production</t>
  </si>
  <si>
    <t>Produksi Bungkil Inti Sawit 12.433</t>
  </si>
  <si>
    <t>Yield Produksi Tandan Buah Segar 14,55 ton/ha</t>
  </si>
  <si>
    <t>CPO yield</t>
  </si>
  <si>
    <t>Yield Produksi Minyak Sawit Mentah 3,35 ton/ha</t>
  </si>
  <si>
    <t>FFB sales</t>
  </si>
  <si>
    <t>Penjualan Tandan Buah Segar 303.021</t>
  </si>
  <si>
    <t>Penjualan Minyak Sawit Mentah 290.111</t>
  </si>
  <si>
    <t>PK sales</t>
  </si>
  <si>
    <t>Penjualan Inti Sawit 35.032</t>
  </si>
  <si>
    <t>PKO sales</t>
  </si>
  <si>
    <t>Penjualan Minyak Inti Sawit 12.209</t>
  </si>
  <si>
    <t>PKE sales</t>
  </si>
  <si>
    <t>Penjualan Bungkil Inti Sawit 14.859</t>
  </si>
  <si>
    <t>NDPE policy year</t>
  </si>
  <si>
    <t>Grup FAP Agri menerbitkan kebijakan dan komitmen No Deforestation, No Peat, &amp; No Exploitation (NDPE)</t>
  </si>
  <si>
    <t>ISPO certified subsidiaries</t>
  </si>
  <si>
    <t>subsidiaries</t>
  </si>
  <si>
    <t>ISPO certifications for KHL, BSI, Tirta Madu Sawit Jaya</t>
  </si>
  <si>
    <t>FAPA_2023_AR.pdf</t>
  </si>
  <si>
    <t>Prinsep Management Ltd stake (year-end)</t>
  </si>
  <si>
    <t>Prinsep Management Ltd. 2.750.844.330 75,79%</t>
  </si>
  <si>
    <t>PT Fangionoperkasa stake (year-end)</t>
  </si>
  <si>
    <t>75,79% 6,59% 17,62%</t>
  </si>
  <si>
    <t>Public float (year-end)</t>
  </si>
  <si>
    <t>17,62% Masyarakat</t>
  </si>
  <si>
    <t>3.629.411.800 saham</t>
  </si>
  <si>
    <t>Penjualan Neto 5.062.244</t>
  </si>
  <si>
    <t>Beban Pokok Penjualan (4.229.330)</t>
  </si>
  <si>
    <t>Laba Bruto 832.914</t>
  </si>
  <si>
    <t>Laba (Rugi) Usaha 379.319</t>
  </si>
  <si>
    <t>Laba (Rugi) Sebelum Pajak Penghasilan 249.852</t>
  </si>
  <si>
    <t>Laba (Rugi) Bersih Tahun Berjalan 161.679</t>
  </si>
  <si>
    <t>Pemilik Entitas Induk 153.571</t>
  </si>
  <si>
    <t>Laba (Rugi) Per Saham Dasar 42,31</t>
  </si>
  <si>
    <t>Jumlah Aset 8.634.036</t>
  </si>
  <si>
    <t>Aset Lancar 1.800.279</t>
  </si>
  <si>
    <t>Aset Tidak Lancar 6.833.757</t>
  </si>
  <si>
    <t>Liabilitas Jangka Pendek 2.594.225</t>
  </si>
  <si>
    <t>Liabilitas Jangka Panjang 1.976.162</t>
  </si>
  <si>
    <t>Jumlah Liabilitas 4.570.386</t>
  </si>
  <si>
    <t>Jumlah Ekuitas 4.063.649</t>
  </si>
  <si>
    <t>Kas dan bank 5 475.802.009.410</t>
  </si>
  <si>
    <t>Cerukan bank 21 724.815.246.998</t>
  </si>
  <si>
    <t>Utang bank (current) 705.892.065.280</t>
  </si>
  <si>
    <t>LT bank loans (net)</t>
  </si>
  <si>
    <t>Utang bank (non-current) 1.828.370.850.985</t>
  </si>
  <si>
    <t>Arus Kas dari Aktivitas Operasi 1.030.969</t>
  </si>
  <si>
    <t>Perolehan aset tetap 14 (441.137.127.940)</t>
  </si>
  <si>
    <t>Penyusutan (Catatan 13, 14 dan 15) 518.455.846.342</t>
  </si>
  <si>
    <t>Triwulan IV 5.300 5.100 5.300</t>
  </si>
  <si>
    <t>Market cap Q4 2023</t>
  </si>
  <si>
    <t>19.235.883 (Rp juta)</t>
  </si>
  <si>
    <t>88.752 ha (Planted Area)</t>
  </si>
  <si>
    <t>Luas Tanaman Menghasilkan 84.128</t>
  </si>
  <si>
    <t>Luas Tanaman Belum Menghasilkan 4.623</t>
  </si>
  <si>
    <t>1 Pabrik Pengolahan Inti Sawit (PPIS)</t>
  </si>
  <si>
    <t>Produksi Tandan Buah Segar 1.261.820</t>
  </si>
  <si>
    <t>Produksi Minyak Sawit Mentah 307.674</t>
  </si>
  <si>
    <t>Produksi Inti Sawit 55.797</t>
  </si>
  <si>
    <t>Produksi Minyak Inti Sawit 13.370</t>
  </si>
  <si>
    <t>Produksi Bungkil Inti Sawit 15.188</t>
  </si>
  <si>
    <t>Yield Produksi Tandan Buah Segar 15,00 ton/ha</t>
  </si>
  <si>
    <t>Yield Produksi Minyak Sawit Mentah 3,66 ton/ha</t>
  </si>
  <si>
    <t>Penjualan Tandan Buah Segar 299.103</t>
  </si>
  <si>
    <t>Penjualan Minyak Sawit Mentah 324.671</t>
  </si>
  <si>
    <t>Penjualan Inti Sawit 55.083</t>
  </si>
  <si>
    <t>Penjualan Minyak Inti Sawit 12.286</t>
  </si>
  <si>
    <t>Penjualan Bungkil Inti Sawit 15.975</t>
  </si>
  <si>
    <t>FAPA_2024_AR.pdf</t>
  </si>
  <si>
    <t>PT FAP Agri Tbk 2024 Annual Report</t>
  </si>
  <si>
    <t>Prinsep Management Ltd. 2.663.079.330 73,37%</t>
  </si>
  <si>
    <t>Jumlah Saham Beredar 3.629.411.800</t>
  </si>
  <si>
    <t>Corporate action</t>
  </si>
  <si>
    <t>Share buyback completed June 21, 2023 - Dec 21, 2024</t>
  </si>
  <si>
    <t>Perusahaan telah menyelesaikan periode Buyback sejak tanggal 21 Juni 2023 sampai 21 Desember 2024</t>
  </si>
  <si>
    <t>Penjualan Neto 5.742.984</t>
  </si>
  <si>
    <t>Beban Pokok Penjualan (4.424.414)</t>
  </si>
  <si>
    <t>Laba Bruto 1.318.570</t>
  </si>
  <si>
    <t>Laba Usaha 876.685</t>
  </si>
  <si>
    <t>Laba Sebelum Pajak Penghasilan 774.679</t>
  </si>
  <si>
    <t>Laba Bersih Tahun Berjalan 571.454</t>
  </si>
  <si>
    <t>Pemilik Entitas Induk 542.473</t>
  </si>
  <si>
    <t>Laba Per Saham Dasar 151,02</t>
  </si>
  <si>
    <t>Jumlah Aset 8.816.684</t>
  </si>
  <si>
    <t>Aset Lancar 1.943.127</t>
  </si>
  <si>
    <t>Aset Tidak Lancar 6.873.557</t>
  </si>
  <si>
    <t>Liabilitas Jangka Pendek 2.572.488</t>
  </si>
  <si>
    <t>Liabilitas Jangka Panjang 2.391.461</t>
  </si>
  <si>
    <t>Jumlah Liabilitas 4.963.949</t>
  </si>
  <si>
    <t>Jumlah Ekuitas 3.852.735</t>
  </si>
  <si>
    <t>Kas dan bank 5 815.777.415.583</t>
  </si>
  <si>
    <t>Cerukan 21 676.568.604.746</t>
  </si>
  <si>
    <t>Utang bank (current) 21 661.944.631.108</t>
  </si>
  <si>
    <t>Utang bank (non-current) 21 2.175.625.082.008</t>
  </si>
  <si>
    <t>Arus Kas dari Aktivitas Operasi 1.706.122</t>
  </si>
  <si>
    <t>Fixed asset acquisitions</t>
  </si>
  <si>
    <t>Perolehan aset tetap (516.222.721.585)</t>
  </si>
  <si>
    <t>Penyusutan (Catatan 13, 14 dan 15) 523.881.216.164</t>
  </si>
  <si>
    <t>Kuartal 4 5.400 5.250 5.400</t>
  </si>
  <si>
    <t>Market cap Q4 2024</t>
  </si>
  <si>
    <t>19.598.823.720.000</t>
  </si>
  <si>
    <t>Mature 87.633 + Immature 1.068</t>
  </si>
  <si>
    <t>Luas Tanaman Menghasilkan 87.633</t>
  </si>
  <si>
    <t>Luas Tanaman Belum Menghasilkan 1.068</t>
  </si>
  <si>
    <t>North Kalimantan mature area</t>
  </si>
  <si>
    <t>Luas Tanaman Menghasilkan: 50.066 ha (North Kalimantan)</t>
  </si>
  <si>
    <t>East Kalimantan mature area</t>
  </si>
  <si>
    <t>KALIMANTAN TIMUR Luas Tanaman Menghasilkan: 34.286 ha</t>
  </si>
  <si>
    <t>4 Pabrik Pengolahan Kepala Sawit (PKS) + 1 mill East Kalimantan</t>
  </si>
  <si>
    <t>Produksi Tandan Buah Segar 1.312.257</t>
  </si>
  <si>
    <t>Produksi Minyak Sawit Mentah 297.758</t>
  </si>
  <si>
    <t>Produksi Inti Sawit 52.859</t>
  </si>
  <si>
    <t>Produksi Minyak Inti Sawit 13.692</t>
  </si>
  <si>
    <t>Produksi Bungkil Inti Sawit 15.452</t>
  </si>
  <si>
    <t>Yield Produksi Tandan Buah Segar 14,97 Ton/ha</t>
  </si>
  <si>
    <t>Yield Produksi Minyak Sawit Mentah 3,40 Ton/ha</t>
  </si>
  <si>
    <t>Penjualan Tandan Buah Segar 282.610</t>
  </si>
  <si>
    <t>Penjualan Minyak Sawit Mentah 310.839</t>
  </si>
  <si>
    <t>Penjualan Inti Sawit 43.159</t>
  </si>
  <si>
    <t>Penjualan Minyak Inti Sawit 11.992</t>
  </si>
  <si>
    <t>Penjualan Bungkil Inti Sawit 14.640</t>
  </si>
  <si>
    <t>PT FKS Multi Agro Tbk</t>
  </si>
  <si>
    <t>FISH_2022_AR.pdf</t>
  </si>
  <si>
    <t>FISH</t>
  </si>
  <si>
    <t>Ticker Code FISH</t>
  </si>
  <si>
    <t>Listed Since</t>
  </si>
  <si>
    <t>2002-01-18</t>
  </si>
  <si>
    <t>Recording Date 18 January 2002</t>
  </si>
  <si>
    <t>Reporting Currency</t>
  </si>
  <si>
    <t>USD</t>
  </si>
  <si>
    <t>Expressed in United States Dollar, Unless Otherwise Stated</t>
  </si>
  <si>
    <t>Shareholder - PT FKS Corporindo Indonesia</t>
  </si>
  <si>
    <t>pct</t>
  </si>
  <si>
    <t>PT FKS Corporindo Indonesia 379,486,000 79.06%</t>
  </si>
  <si>
    <t>Shareholder - PT Caturkartika Perdana</t>
  </si>
  <si>
    <t>PT Caturkartika Perdana 50,000,000 10.42%</t>
  </si>
  <si>
    <t>Shareholder - Public</t>
  </si>
  <si>
    <t>Masyarakat / Public 50,513,900 10.52%</t>
  </si>
  <si>
    <t>Pendapatan 1,565,130,699 Revenues (2022)</t>
  </si>
  <si>
    <t>Laba Bruto 83,729,361 Gross Profit (2022)</t>
  </si>
  <si>
    <t>Laba Usaha 50,367,429 Operating Profit (2022)</t>
  </si>
  <si>
    <t>Laba Tahun Berjalan 32,756,494 Profit for the Year (2022)</t>
  </si>
  <si>
    <t>Pemilik Entitas Induk 32,243,358</t>
  </si>
  <si>
    <t>EPS Basic</t>
  </si>
  <si>
    <t>Laba per Saham Dasar 0.067 Basic Earnings per Share</t>
  </si>
  <si>
    <t>Total Aset 461,463,695</t>
  </si>
  <si>
    <t>Aset Lancar 339,299,923</t>
  </si>
  <si>
    <t>Aset Tidak Lancar 122,163,772</t>
  </si>
  <si>
    <t>Jumlah Liabilitas 294,069,760</t>
  </si>
  <si>
    <t>Liabilitas Jangka Pendek 234,121,571</t>
  </si>
  <si>
    <t>Liabilitas Jangka Panjang 59,948,189</t>
  </si>
  <si>
    <t>Ekuitas 167,393,935</t>
  </si>
  <si>
    <t>Cash and Cash Equivalents</t>
  </si>
  <si>
    <t>Kas dan setara kas 52,097,981 Cash and cash equivalents</t>
  </si>
  <si>
    <t>Utang bank jangka pendek 78,114,086 Short-term bank loans</t>
  </si>
  <si>
    <t>Current Portion of LT Bank Loans</t>
  </si>
  <si>
    <t>Utang bank jangka panjang yang jatuh tempo dalam waktu satu tahun 6,759,952</t>
  </si>
  <si>
    <t>Utang bank jangka panjang ... 49,016,620</t>
  </si>
  <si>
    <t>Cash from Operating Activities</t>
  </si>
  <si>
    <t>Kas neto yang diperoleh dari aktivitas operasi 24,651,793</t>
  </si>
  <si>
    <t>Capex - Acquisition of Fixed Assets</t>
  </si>
  <si>
    <t>Penambahan aset tetap 6,377,208 Acquisitions of fixed assets</t>
  </si>
  <si>
    <t>Net Cash from Investing</t>
  </si>
  <si>
    <t>Kas neto yang digunakan untuk aktivitas investasi (11,235,535)</t>
  </si>
  <si>
    <t>Closing Share Price</t>
  </si>
  <si>
    <t>Harga Penawaran Akhir Tahun Buku 2022 Rp6,750/saham</t>
  </si>
  <si>
    <t>Jumlah / Total 480,000,000 100.00%</t>
  </si>
  <si>
    <t>Laba Bersih Terhadap Aset 7.10% Return on Asset (ROA) 2022</t>
  </si>
  <si>
    <t>Laba Bersih Terhadap Ekuitas 19.57% ROE 2022</t>
  </si>
  <si>
    <t>Aset Lancar Terhadap Liabilitas Jangka Pendek 1.45</t>
  </si>
  <si>
    <t>Rasio Liabilitas Terhadap Ekuitas 1.76</t>
  </si>
  <si>
    <t>Revenue Growth</t>
  </si>
  <si>
    <t>Pertumbuhan Penjualan Bersih 15.37%</t>
  </si>
  <si>
    <t>Net Profit Growth</t>
  </si>
  <si>
    <t>Pertumbuhan Laba Bersih 12.04%</t>
  </si>
  <si>
    <t>Agri commodity distribution/trading (feed ingredients, food ingredients, warehousing/logistics)</t>
  </si>
  <si>
    <t>induk untuk anak perusahaan yang beroperasi dalam bidang pergudangan, logistik, dan distribusi</t>
  </si>
  <si>
    <t>FISH_2023_AR.pdf</t>
  </si>
  <si>
    <t>Kode Saham FISH</t>
  </si>
  <si>
    <t>Tanggal Pencatatan 18 Januari 2002</t>
  </si>
  <si>
    <t>Par Value</t>
  </si>
  <si>
    <t>Nilai per Saham Rp100</t>
  </si>
  <si>
    <t>Authorized Capital</t>
  </si>
  <si>
    <t>Rp</t>
  </si>
  <si>
    <t>Modal Dasar Rp100.000.000.000 (1.000.000.000 saham)</t>
  </si>
  <si>
    <t>Issued Capital</t>
  </si>
  <si>
    <t>Modal Ditempatkan dan Disetor Rp48.000.000.000 (480.000.000 saham)</t>
  </si>
  <si>
    <t>Total Employees</t>
  </si>
  <si>
    <t>Jumlah Pegawai 995</t>
  </si>
  <si>
    <t>Ultimate Parent</t>
  </si>
  <si>
    <t>FKS International Investments Pte. Ltd. (Singapore)</t>
  </si>
  <si>
    <t>FKS International Investments Pte. Ltd.</t>
  </si>
  <si>
    <t>PT FKS Corporindo Indonesia 79,06%</t>
  </si>
  <si>
    <t>PT Caturkartika Perdana 10,42%</t>
  </si>
  <si>
    <t>Masyarakat | Public 10,52%</t>
  </si>
  <si>
    <t>Subsidiary - PT Nusa Prima Logistik</t>
  </si>
  <si>
    <t>PT Nusa Prima Logistik Jakarta/ 2017/ Logistik pergudangan/ 65,00%</t>
  </si>
  <si>
    <t>Subsidiary - PT FKS Pangan Nusantara</t>
  </si>
  <si>
    <t>PT FKS Pangan Nusantara Jakarta/ 2019/ Perdagangan/ 99,99%</t>
  </si>
  <si>
    <t>Subsidiary - PT FKS Solusi Logistik</t>
  </si>
  <si>
    <t>PT FKS Solusi Logistik Jakarta/ Jasa konsultasi dan manajemen/ 99,99%</t>
  </si>
  <si>
    <t>Pendapatan 1.401.034.930 Revenues (2023)</t>
  </si>
  <si>
    <t>Revenue (IDR)</t>
  </si>
  <si>
    <t>USD 1,401,034,930 x 2023 avg rate 15,237 = Rp21.349 trn</t>
  </si>
  <si>
    <t>Laba Bruto 71.050.055 Gross Profit (2023)</t>
  </si>
  <si>
    <t>Laba Usaha 43.054.504 Operating Profit</t>
  </si>
  <si>
    <t>Laba Tahun Berjalan 24.733.438 Profit for the Year (2023)</t>
  </si>
  <si>
    <t>Pemilik Entitas Induk 24.183.057</t>
  </si>
  <si>
    <t>Non-controlling Interest Profit</t>
  </si>
  <si>
    <t>Kepentingan Non-Pengendali 550.381</t>
  </si>
  <si>
    <t>Laba per Saham Dasar 0,050 Basic Earnings per Share</t>
  </si>
  <si>
    <t>Total Aset 490.845.435</t>
  </si>
  <si>
    <t>Aset Lancar 357.687.676 Current Assets</t>
  </si>
  <si>
    <t>Aset Tidak Lancar 133.157.759 Non-Current Assets</t>
  </si>
  <si>
    <t>Jumlah Liabilitas 312.181.076</t>
  </si>
  <si>
    <t>Liabilitas Jangka Pendek 264.713.676</t>
  </si>
  <si>
    <t>Liabilitas Jangka Panjang 47.467.400</t>
  </si>
  <si>
    <t>Ekuitas 178.664.359</t>
  </si>
  <si>
    <t>Net Working Capital</t>
  </si>
  <si>
    <t>Modal Kerja Bersih 92.974.000 Net Working Capital</t>
  </si>
  <si>
    <t>Kas dan setara kas 63.352.405 Cash and cash equivalents</t>
  </si>
  <si>
    <t>Utang bank jangka pendek 93.885.738 Short-term bank loans</t>
  </si>
  <si>
    <t>Utang bank jangka panjang yang jatuh tempo dalam waktu satu tahun 10.500.708</t>
  </si>
  <si>
    <t>Utang bank jangka panjang, setelah dikurangi bagian yang jatuh tempo dalam waktu satu tahun 39.068.083</t>
  </si>
  <si>
    <t>Gross Debt (ST + LT)</t>
  </si>
  <si>
    <t>Sum: 93,885,738 + 10,500,708 + 39,068,083 = 143,454,529</t>
  </si>
  <si>
    <t>Trade Receivables (Third Parties)</t>
  </si>
  <si>
    <t>Piutang usaha Pihak ketiga - neto 85.909.800</t>
  </si>
  <si>
    <t>Persediaan - neto 156.675.449</t>
  </si>
  <si>
    <t>Fixed Assets - Net</t>
  </si>
  <si>
    <t>Aset tetap - neto 102.555.380</t>
  </si>
  <si>
    <t>Kas neto yang diperoleh dari aktivitas operasi 38.465.703</t>
  </si>
  <si>
    <t>Kas neto yang digunakan untuk aktivitas investasi (18.420.042)</t>
  </si>
  <si>
    <t>Net Cash from Financing</t>
  </si>
  <si>
    <t>Kas neto yang digunakan untuk aktivitas pendanaan (10.809.340)</t>
  </si>
  <si>
    <t>Penambahan aset tetap (14.772.667) Acquisitions of fixed assets</t>
  </si>
  <si>
    <t>Interest Paid</t>
  </si>
  <si>
    <t>Pembayaran bunga (10.651.831) Payments of interest</t>
  </si>
  <si>
    <t>Dividends Paid by Company</t>
  </si>
  <si>
    <t>Pembayaran dividen kas oleh Perusahaan (14.967.205) Payment for cash dividends by the Company</t>
  </si>
  <si>
    <t>Harga Saham Akhir ... 5.525 (Desember 2023)</t>
  </si>
  <si>
    <t>Market Capitalization (Dec 2023)</t>
  </si>
  <si>
    <t>Desember/December 2.652.000.000.000 (2023)</t>
  </si>
  <si>
    <t>Jumlah Rata-rata Tertimbang Saham Biasa yang Beredar 480.000.000</t>
  </si>
  <si>
    <t>Laba Bersih Terhadap Aset 5,0% Return on Asset (ROA) 2023</t>
  </si>
  <si>
    <t>Laba Bersih Terhadap Ekuitas 13,84% ROE</t>
  </si>
  <si>
    <t>Aset Lancar Terhadap Liabilitas Jangka Pendek 1,35</t>
  </si>
  <si>
    <t>Debt-to-Equity Ratio</t>
  </si>
  <si>
    <t>Rasio Liabilitas Terhadap Ekuitas 1,75 Total Liability to Equity Ratio</t>
  </si>
  <si>
    <t>Pertumbuhan Penjualan Bersih -10,48% Net Sales Growth</t>
  </si>
  <si>
    <t>Pertumbuhan Laba Bersih -24,49% Net Income Growth</t>
  </si>
  <si>
    <t>Asset Growth</t>
  </si>
  <si>
    <t>Pertumbuhan Aset 6,37%</t>
  </si>
  <si>
    <t>USD/IDR Rate (end-2023)</t>
  </si>
  <si>
    <t>Rp/USD</t>
  </si>
  <si>
    <t>Rp15.416 (31 Desember 2023)</t>
  </si>
  <si>
    <t>Kegiatan utama Perseroan meliputi pelayanan jasa kepelabuhanan, pergudangan, penjualan dan distribusi serta jasa transportasi untuk produk bahan baku pakan dan pangan</t>
  </si>
  <si>
    <t>FISH_2024_AR.pdf</t>
  </si>
  <si>
    <t>PT Nusa Prima Logistik 65% ownership</t>
  </si>
  <si>
    <t>PT FKS Pangan Nusantara 99,99%</t>
  </si>
  <si>
    <t>PT FKS Solusi Logistik 99,99%</t>
  </si>
  <si>
    <t>FKS International Investments Pte. Ltd., Singapore</t>
  </si>
  <si>
    <t>Pendapatan 1.292.650.185 Revenues (2024)</t>
  </si>
  <si>
    <t>USD 1,292,650,185 x 2024 avg rate 15,855 = Rp20.495 trn</t>
  </si>
  <si>
    <t>Cost of Revenues</t>
  </si>
  <si>
    <t>Beban pokok pendapatan (1.239.365.291) Cost of revenues</t>
  </si>
  <si>
    <t>Laba Bruto 53.284.894 Gross Profit (2024)</t>
  </si>
  <si>
    <t>Laba Usaha 23.127.896 Operating Profit (2024)</t>
  </si>
  <si>
    <t>Finance Income Net</t>
  </si>
  <si>
    <t>Penghasilan keuangan, neto 1.667.219 Finance income, net</t>
  </si>
  <si>
    <t>Beban keuangan (10.199.854) Finance costs</t>
  </si>
  <si>
    <t>Laba sebelum pajak penghasilan 14.556.753</t>
  </si>
  <si>
    <t>Laba Tahun Berjalan 9.594.659 Profit for the Year (2024)</t>
  </si>
  <si>
    <t>Pemilik Entitas Induk 8.727.192</t>
  </si>
  <si>
    <t>Kepentingan Non-Pengendali 867.467</t>
  </si>
  <si>
    <t>Laba per Saham Dasar 0,018 Basic Earnings per Share</t>
  </si>
  <si>
    <t>Total Aset 522.159.891</t>
  </si>
  <si>
    <t>Aset Lancar 380.968.968 Current Assets</t>
  </si>
  <si>
    <t>Aset Tidak Lancar 141.190.923 Non-Current Assets</t>
  </si>
  <si>
    <t>Jumlah Liabilitas 347.204.245 Total Liabilities</t>
  </si>
  <si>
    <t>Liabilitas Jangka Pendek 293.869.813 Current Liabilities</t>
  </si>
  <si>
    <t>Liabilitas Jangka Panjang 53.334.432 Non-Current Liabilities</t>
  </si>
  <si>
    <t>Ekuitas 174.955.646 Equity</t>
  </si>
  <si>
    <t>Modal Kerja Bersih 87.099.155 Net Working Capital</t>
  </si>
  <si>
    <t>Kas dan setara kas 76.426.500 Cash and cash equivalents</t>
  </si>
  <si>
    <t>Persediaan - neto 220.481.169 Inventories - net</t>
  </si>
  <si>
    <t>Aset tetap - neto 103.085.969</t>
  </si>
  <si>
    <t>Utang bank jangka pendek 70.539.923 Short-term bank loans</t>
  </si>
  <si>
    <t>Utang bank jangka panjang yang jatuh tempo dalam waktu satu tahun 8.880.114</t>
  </si>
  <si>
    <t>Long-term Bank Loans (Non-current)</t>
  </si>
  <si>
    <t>Utang bank jangka panjang, setelah dikurangi bagian yang jatuh tempo dalam waktu satu tahun 46.029.990</t>
  </si>
  <si>
    <t>Gross Debt (ST + Current LT + LT)</t>
  </si>
  <si>
    <t>Sum: 70,539,923 + 8,880,114 + 46,029,990 = 125,450,027</t>
  </si>
  <si>
    <t>Kas neto yang diperoleh dari aktivitas operasi 52.355.159</t>
  </si>
  <si>
    <t>Kas neto yang digunakan untuk aktivitas investasi (10.951.618)</t>
  </si>
  <si>
    <t>Kas neto yang digunakan untuk aktivitas pendanaan (28.215.113)</t>
  </si>
  <si>
    <t>Penambahan aset tetap (10.776.036) Acquisitions of fixed assets</t>
  </si>
  <si>
    <t>Pembayaran bunga (10.408.167) Payments of interest</t>
  </si>
  <si>
    <t>Pembayaran dividen kas oleh Perusahaan (9.985.927)</t>
  </si>
  <si>
    <t>Closing Share Price (Dec 2024)</t>
  </si>
  <si>
    <t>Desember/December 10.700 10.650 10.650; Harga Saham Akhir 11.800 5.550 10.650</t>
  </si>
  <si>
    <t>Market Capitalization (Dec 2024)</t>
  </si>
  <si>
    <t>Desember/December 5.112.000.000.000</t>
  </si>
  <si>
    <t>Laba Bersih Terhadap Aset 1,8% Return on Asset (ROA) 2024</t>
  </si>
  <si>
    <t>Laba Bersih Terhadap Ekuitas 5,5% ROE</t>
  </si>
  <si>
    <t>Aset Lancar Terhadap Liabilitas Jangka Pendek 1,3</t>
  </si>
  <si>
    <t>Rasio Liabilitas Terhadap Ekuitas 2,0</t>
  </si>
  <si>
    <t>Pertumbuhan Penjualan Bersih -7,7%</t>
  </si>
  <si>
    <t>Pertumbuhan Laba Bersih -61,2%</t>
  </si>
  <si>
    <t>USD/IDR Rate (end-2024)</t>
  </si>
  <si>
    <t>Rp16.162 (31 Desember 2023: Rp15.416)</t>
  </si>
  <si>
    <t>SGT Cilegon New Conveyor Lines</t>
  </si>
  <si>
    <t>Pengoperasian Dua Conveyor Line Baru di SGT Cilegon; kapasitas masing-masing sebesar 1.000 ton per jam</t>
  </si>
  <si>
    <t>SGT Cilegon Conveyor Capacity (each)</t>
  </si>
  <si>
    <t>Dua fasilitas baru ini memiliki kapasitas masing-masing sebesar 1.000 ton per jam</t>
  </si>
  <si>
    <t>PT Golden Plantation Tbk</t>
  </si>
  <si>
    <t>GOLL_2020_AR.pdf</t>
  </si>
  <si>
    <t>Nama entitas PT Golden Plantation Tbk</t>
  </si>
  <si>
    <t>GOLL</t>
  </si>
  <si>
    <t>Kode entitas GOLL</t>
  </si>
  <si>
    <t>Sector</t>
  </si>
  <si>
    <t>1. Agriculture</t>
  </si>
  <si>
    <t>Sektor 1. Agriculture</t>
  </si>
  <si>
    <t>Subsector</t>
  </si>
  <si>
    <t>12. Plantation</t>
  </si>
  <si>
    <t>Subsektor 12. Plantation</t>
  </si>
  <si>
    <t>Mata uang pelaporan Rupiah / IDR</t>
  </si>
  <si>
    <t>Rounding Level</t>
  </si>
  <si>
    <t>Full Amount</t>
  </si>
  <si>
    <t>Pembulatan yang digunakan ... Satuan Penuh / Full Amount</t>
  </si>
  <si>
    <t>Audit Opinion</t>
  </si>
  <si>
    <t>Qualified (Wajar Dengan Pengecualian)</t>
  </si>
  <si>
    <t>Jenis opini auditor Wajar Dengan Pengecualian / Qualified</t>
  </si>
  <si>
    <t>Current Auditor</t>
  </si>
  <si>
    <t>Suhartati, Dra., &amp; Rekan</t>
  </si>
  <si>
    <t>Auditor tahun berjalan Suhartati, Dra., &amp; Rekan</t>
  </si>
  <si>
    <t>Audit Report Date</t>
  </si>
  <si>
    <t>2022-11-13</t>
  </si>
  <si>
    <t>Tanggal laporan audit ... November 13, 2022</t>
  </si>
  <si>
    <t>Controlling Shareholder Type</t>
  </si>
  <si>
    <t>National and Foreign Corporation</t>
  </si>
  <si>
    <t>Informasi pemegang saham pengendali National and Foreign Corporation</t>
  </si>
  <si>
    <t>Subsidiary 1</t>
  </si>
  <si>
    <t>PT Balaingu Capital Investment 90.0% (South Sumatra, commercial 2015)</t>
  </si>
  <si>
    <t>1 PT Balaingu Capital Investment Perkebunan Sumatera Selatan 2015 Operasi 309.905.139.509 IDR 90.0</t>
  </si>
  <si>
    <t>Subsidiary 2</t>
  </si>
  <si>
    <t>PT Persada Alam Hijau 99.99% (Jambi, commercial 2014)</t>
  </si>
  <si>
    <t>2 PT Persada Alam Hijau Perkebunan Jambi 2014 Operasi 116.397.644.266 IDR 99.99</t>
  </si>
  <si>
    <t>Subsidiary 1 Total Assets</t>
  </si>
  <si>
    <t>PT Balaingu Capital Investment ... 309.905.139.509 IDR 90.0</t>
  </si>
  <si>
    <t>Subsidiary 2 Total Assets</t>
  </si>
  <si>
    <t>PT Persada Alam Hijau ... 116.397.644.266 IDR 99.99</t>
  </si>
  <si>
    <t>Penjualan dan pendapatan usaha 3,720,962,679</t>
  </si>
  <si>
    <t>Cost of Sales</t>
  </si>
  <si>
    <t>Beban pokok penjualan dan pendapatan (8,560,359,916)</t>
  </si>
  <si>
    <t>Jumlah laba bruto (4,839,397,237)</t>
  </si>
  <si>
    <t>General &amp; Administrative Expenses</t>
  </si>
  <si>
    <t>Beban umum dan administrasi (3,766,836,680)</t>
  </si>
  <si>
    <t>Beban penjualan (1,479,205,244)</t>
  </si>
  <si>
    <t>Beban keuangan (4,238,946,885)</t>
  </si>
  <si>
    <t>Other Expenses</t>
  </si>
  <si>
    <t>Beban lainnya (370,384,000,000)</t>
  </si>
  <si>
    <t>EBIT (operating)</t>
  </si>
  <si>
    <t>Computed: Gross Loss (4.84) - G&amp;A (3.77) - Selling (1.48) = (10.09) bn</t>
  </si>
  <si>
    <t>Pretax Loss</t>
  </si>
  <si>
    <t>Jumlah laba (rugi) sebelum pajak penghasilan (383,228,887,303)</t>
  </si>
  <si>
    <t>Jumlah laba (rugi) (383,228,887,303)</t>
  </si>
  <si>
    <t>Loss Attributable to Parent</t>
  </si>
  <si>
    <t>Laba (rugi) yang dapat diatribusikan ke entitas induk (302,025,577,140)</t>
  </si>
  <si>
    <t>Loss Attributable to NCI</t>
  </si>
  <si>
    <t>Laba (rugi) yang dapat diatribusikan ke kepentingan non-pengendali (81,203,310,163)</t>
  </si>
  <si>
    <t>Basic EPS</t>
  </si>
  <si>
    <t>Laba (rugi) per saham dasar ... (82.41) (14.56)</t>
  </si>
  <si>
    <t>Jumlah aset 471,662,300,531 2,596,286,795,605</t>
  </si>
  <si>
    <t>Jumlah aset lancar 8,101,374,874 57,580,727,407</t>
  </si>
  <si>
    <t>Jumlah aset tidak lancar 463,560,925,657 2,538,706,068,198</t>
  </si>
  <si>
    <t>Kas dan setara kas 168,159,892 686,697,082</t>
  </si>
  <si>
    <t>Piutang usaha pihak ketiga 252,285,048</t>
  </si>
  <si>
    <t>Persediaan lancar lainnya 1,690,104,221 39,220,338,115</t>
  </si>
  <si>
    <t>Mature Plantation Assets (net)</t>
  </si>
  <si>
    <t>Tanaman perkebunan menghasilkan 69,172,893,937 753,088,111,324</t>
  </si>
  <si>
    <t>Immature Plantation Assets (net)</t>
  </si>
  <si>
    <t>Tanaman perkebunan belum menghasilkan 265,643,648,727 1,119,073,787,876</t>
  </si>
  <si>
    <t>PP&amp;E (net)</t>
  </si>
  <si>
    <t>Aset tetap 59,857,075,523 308,155,553,393</t>
  </si>
  <si>
    <t>Goodwill</t>
  </si>
  <si>
    <t>Goodwill 5,578,629,680 14,558,903,774</t>
  </si>
  <si>
    <t>Deferred Tax Assets</t>
  </si>
  <si>
    <t>Aset pajak tangguhan 3,004,525,364 33,945,803,608</t>
  </si>
  <si>
    <t>Jumlah liabilitas 387,273,566,648 1,855,302,273,250</t>
  </si>
  <si>
    <t>Jumlah liabilitas jangka pendek 93,329,696,503 1,589,731,750,044</t>
  </si>
  <si>
    <t>Jumlah liabilitas jangka panjang 293,943,870,145 265,570,523,206</t>
  </si>
  <si>
    <t>Utang usaha pihak ketiga 37,927,577,975 147,917,273,595</t>
  </si>
  <si>
    <t>Current Portion of Bank Loans</t>
  </si>
  <si>
    <t>Liabilitas jangka panjang yang jatuh tempo dalam satu tahun atas utang bank 9,179,527,934 1,072,606,027,934</t>
  </si>
  <si>
    <t>Liabilitas jangka panjang atas utang bank 219,353,631,133 204,468,878,373</t>
  </si>
  <si>
    <t>Gross Debt (bank loans)</t>
  </si>
  <si>
    <t>Computed: 9,179,527,934 + 219,353,631,133 = 228,533,159,067</t>
  </si>
  <si>
    <t>Due to Related Parties (LT)</t>
  </si>
  <si>
    <t>Utang pihak berelasi jangka panjang 62,100,366,672 43,013,522,237</t>
  </si>
  <si>
    <t>Deferred Tax Liabilities</t>
  </si>
  <si>
    <t>Liabilitas pajak tangguhan 7,052,865,764 7,052,865,764</t>
  </si>
  <si>
    <t>Jumlah ekuitas 84,388,733,883 740,984,522,355</t>
  </si>
  <si>
    <t>Equity Attributable to Parent</t>
  </si>
  <si>
    <t>Jumlah ekuitas yang diatribusikan kepada pemilik entitas induk 193,641,940,781 497,017,085,059</t>
  </si>
  <si>
    <t>Non-Controlling Interests</t>
  </si>
  <si>
    <t>Kepentingan non-pengendali (109,253,206,898) 243,967,437,296</t>
  </si>
  <si>
    <t>Share Capital (Common stocks)</t>
  </si>
  <si>
    <t>Saham biasa 366,500,075,900 366,500,075,900</t>
  </si>
  <si>
    <t>Tambahan modal disetor 141,164,591,528 310,793,835,738</t>
  </si>
  <si>
    <t>Accumulated Deficit</t>
  </si>
  <si>
    <t>Saldo laba yang belum ditentukan penggunaannya (314,022,726,647)</t>
  </si>
  <si>
    <t>CFO (Net)</t>
  </si>
  <si>
    <t>Jumlah arus kas bersih ... diperoleh dari ... aktivitas operasi 1,036,960,902</t>
  </si>
  <si>
    <t>CFI (Net)</t>
  </si>
  <si>
    <t>Jumlah arus kas bersih ... aktivitas investasi (386,187,791,996)</t>
  </si>
  <si>
    <t>CFF (Net)</t>
  </si>
  <si>
    <t>Jumlah arus kas bersih ... aktivitas pendanaan 385,203,567,724</t>
  </si>
  <si>
    <t>Capex (Plantation acquisition)</t>
  </si>
  <si>
    <t>Pembayaran untuk perolehan tanaman perkebunan (15,803,791,996)</t>
  </si>
  <si>
    <t>Capex (PP&amp;E acquisition)</t>
  </si>
  <si>
    <t>Pembayaran untuk perolehan aset tetap (22,745,000)</t>
  </si>
  <si>
    <t>Proceeds from Subsidiary Disposal</t>
  </si>
  <si>
    <t>Penerimaan dari pelepasan entitas anak (370,384,000,000)</t>
  </si>
  <si>
    <t>Bank Loan Proceeds</t>
  </si>
  <si>
    <t>Penerimaan pinjaman bank 14,884,752,760</t>
  </si>
  <si>
    <t>Payments to Related Parties</t>
  </si>
  <si>
    <t>Pembayaran utang pihak berelasi 371,963,732,249</t>
  </si>
  <si>
    <t>Net Cash Change</t>
  </si>
  <si>
    <t>Jumlah kenaikan (penurunan) bersih kas dan setara kas 52,736,630</t>
  </si>
  <si>
    <t>Cash Beginning of Period</t>
  </si>
  <si>
    <t>Kas dan setara kas arus kas, awal periode 686,697,083</t>
  </si>
  <si>
    <t>Cash End of Period</t>
  </si>
  <si>
    <t>Kas dan setara kas arus kas, akhir periode 168,159,892</t>
  </si>
  <si>
    <t>Subsidiary Disposal Equity Impact</t>
  </si>
  <si>
    <t>Perubahan kepentingan non-pengendali atas pelepasan entitas anak ... (103,703,422,631)</t>
  </si>
  <si>
    <t>Disclosure Completeness</t>
  </si>
  <si>
    <t>Audited financial statements only; no narrative annual report; no operational data (planted area, FFB, CPO, mills) disclosed.</t>
  </si>
  <si>
    <t>Filing is a 12-page audited financial statements package submitted 13 Nov 2022 for FY2020.</t>
  </si>
  <si>
    <t>Late Filing Indicator</t>
  </si>
  <si>
    <t>Audit report 13 Nov 2022 (~22 months after 31 Dec 2020 fiscal year-end)</t>
  </si>
  <si>
    <t>Tanggal laporan audit November 13, 2022</t>
  </si>
  <si>
    <t>PT Gunanusa Eramandiri Tbk</t>
  </si>
  <si>
    <t>GUNA_2024_AR.pdf</t>
  </si>
  <si>
    <t>Nama Perusahaan PT Gunanusa Eramandiri Tbk</t>
  </si>
  <si>
    <t>GUNA</t>
  </si>
  <si>
    <t>Kode Saham GUNA</t>
  </si>
  <si>
    <t>Date of Establishment</t>
  </si>
  <si>
    <t>5 August 1993</t>
  </si>
  <si>
    <t>Tanggal Pendirian 5 Agustus 1993</t>
  </si>
  <si>
    <t>Business Sector</t>
  </si>
  <si>
    <t>Non-Cyclical Consumer Goods</t>
  </si>
  <si>
    <t>Bidang Usaha Non-Cyclical Consumer Goods</t>
  </si>
  <si>
    <t>Number of Employees</t>
  </si>
  <si>
    <t>people</t>
  </si>
  <si>
    <t>Jumlah Karyawan 1.027 orang | employees</t>
  </si>
  <si>
    <t>9 July 2024</t>
  </si>
  <si>
    <t>Perseroan secara resmi mencatatkan sahamnya di Bursa Efek Indonesia pada 9 Juli 2024 dengan kode saham GUNA</t>
  </si>
  <si>
    <t>IPO Shares Issued</t>
  </si>
  <si>
    <t>Jumlah saham yang ditawarkan dalam Penawaran Umum Perdana ini adalah sebanyak 500 juta saham biasa atas nama atau 20%</t>
  </si>
  <si>
    <t>IPO Price</t>
  </si>
  <si>
    <t>harga penawaran sebesar Rp150 setiap saham</t>
  </si>
  <si>
    <t>IPO Proceeds (Gross)</t>
  </si>
  <si>
    <t>dengan total dana yang terhimpun sebesar Rp75.000.000.000 (tujuh puluh lima miliar Rupiah)</t>
  </si>
  <si>
    <t>IPO Proceeds Net</t>
  </si>
  <si>
    <t>Realisasi penggunaan dana telah dilaksanakan pada 11 Juli 2024 yang telah direalisasikan Rp69.099.520.137 (100%) setelah dipotong biaya emisi</t>
  </si>
  <si>
    <t>Modal Dasar Rp800.000.000.000</t>
  </si>
  <si>
    <t>Issued &amp; Paid-up Capital</t>
  </si>
  <si>
    <t>Modal Ditempatkan dan Disetor Penuh Rp250.000.000.000</t>
  </si>
  <si>
    <t>Controlling Shareholder - Tjokro Gunawan</t>
  </si>
  <si>
    <t>Tjokro Gunawan 600.000.000 24%</t>
  </si>
  <si>
    <t>Controlling Shareholder - Ivan Cokro Saputra</t>
  </si>
  <si>
    <t>Ivan Cokro Saputra 600.000.000 24%</t>
  </si>
  <si>
    <t>Controlling Shareholder - Cecilia Lanny Budiman</t>
  </si>
  <si>
    <t>Cecilia Lanny Budiman 400.000.000 16%</t>
  </si>
  <si>
    <t>Controlling Shareholder - Bernice Cokrosaputro</t>
  </si>
  <si>
    <t>Bernice Cokrosaputro 400.000.000 16%</t>
  </si>
  <si>
    <t>Masyarakat (kepemilikan &lt;5%) 500.000.000 20%</t>
  </si>
  <si>
    <t>Largest Customer (Unilever Indonesia)</t>
  </si>
  <si>
    <t>% revenue</t>
  </si>
  <si>
    <t>Unilever, yang merupakan pelanggan terbesar Perseroan dengan persentase penjualan mencapai sekitar 56%</t>
  </si>
  <si>
    <t>Number of Corporate Customers</t>
  </si>
  <si>
    <t>Perseroan saat ini memiliki total 291 pelanggan korporat di dalam negeri dan juga luar negeri</t>
  </si>
  <si>
    <t>Penjualan 1.444.399 1.400.953 1.411.870 (Dalam jutaan Rupiah)</t>
  </si>
  <si>
    <t>Harga Pokok Penjualan (1.258.561) (1.199.253)</t>
  </si>
  <si>
    <t>Laba Kotor 185.838 201.699 200.026</t>
  </si>
  <si>
    <t>Laba Operasi 108.671 128.597 142.684</t>
  </si>
  <si>
    <t>Laba Sebelum Pajak Penghasilan 101.080 121.118 133.735</t>
  </si>
  <si>
    <t>Beban Pajak Penghasilan (22.486) (26.309) (29.708)</t>
  </si>
  <si>
    <t>Laba Neto Tahun Berjalan 78.593 94.810 104.027</t>
  </si>
  <si>
    <t>Pemilik Entitas Induk 59.804 61.310 63.182</t>
  </si>
  <si>
    <t>Profit to Non-Controlling Interests</t>
  </si>
  <si>
    <t>Kepentingan Non Pengendali 18.788 33.499 40.846</t>
  </si>
  <si>
    <t>Other Comprehensive Income (net of tax)</t>
  </si>
  <si>
    <t>Penghasilan Komprehensif Lain - Setelah Pajak 511 135.159 258</t>
  </si>
  <si>
    <t>Laba Komprehensif Tahun Berjalan 79.105 229.970 104.285</t>
  </si>
  <si>
    <t>Total Aset 980.138 757.088 593.910</t>
  </si>
  <si>
    <t>Total Aset Lancar 575.271 430.411</t>
  </si>
  <si>
    <t>Total Aset Tidak Lancar 404.867 326.677</t>
  </si>
  <si>
    <t>Kas dan Setara Kas 28.586 79.137</t>
  </si>
  <si>
    <t>Time Deposit</t>
  </si>
  <si>
    <t>Deposito 30.000 -</t>
  </si>
  <si>
    <t>Trade Receivables - Net</t>
  </si>
  <si>
    <t>Piutang Usaha - Neto 274.075 190.377</t>
  </si>
  <si>
    <t>Persediaan 189.038 139.445</t>
  </si>
  <si>
    <t>Property, Plant and Equipment - Net</t>
  </si>
  <si>
    <t>Aset Tetap - Neto 386.854 297.876</t>
  </si>
  <si>
    <t>Total Liabilitas 300.946 207.485 231.104</t>
  </si>
  <si>
    <t>Total Liabilitas Jangka Pendek 270.596 178.834</t>
  </si>
  <si>
    <t>Total Liabilitas Jangka Panjang 30.350 28.650</t>
  </si>
  <si>
    <t>Short-Term Bank Loans</t>
  </si>
  <si>
    <t>Pinjaman Bank Jangka Pendek 65.095 15.532 (319.10%)</t>
  </si>
  <si>
    <t>Utang Usaha 181.057 145.271</t>
  </si>
  <si>
    <t>Employee Benefits Liabilities</t>
  </si>
  <si>
    <t>Liabilitas Imbalan Kerja Karyawan 27.410 27.082</t>
  </si>
  <si>
    <t>Total Ekuitas 679.191 549.603 362.806</t>
  </si>
  <si>
    <t>Total Ekuitas yang Dapat Diatribusikan kepada Pemilik Entitas Induk 556.422 426.657</t>
  </si>
  <si>
    <t>Kepentingan Non-Pengendali 122.768 122.945</t>
  </si>
  <si>
    <t>Paid-Up Share Capital</t>
  </si>
  <si>
    <t>Modal Saham Ditempatkan dan Disetor Penuh 250.000 200.000</t>
  </si>
  <si>
    <t>Additional Paid-In Capital</t>
  </si>
  <si>
    <t>Tambahan Modal Disetor 32.241 13.142</t>
  </si>
  <si>
    <t>Belum Ditentukan Penggunaannya 149.133 89.328</t>
  </si>
  <si>
    <t>Asset Revaluation Reserve</t>
  </si>
  <si>
    <t>Cadangan Revaluasi Aset 100.060 100.060</t>
  </si>
  <si>
    <t>Pendapatan Keuangan 1.529 955</t>
  </si>
  <si>
    <t>Finance Expenses</t>
  </si>
  <si>
    <t>Beban Keuangan (9.120) (8.434)</t>
  </si>
  <si>
    <t>Cash Flow from Operating Activities</t>
  </si>
  <si>
    <t>Arus Kas dari Aktivitas Operasi (8.343) 125.085</t>
  </si>
  <si>
    <t>Cash Flow from Investing Activities</t>
  </si>
  <si>
    <t>Arus Kas dari Aktivitas Investasi (144,092) (10.774)</t>
  </si>
  <si>
    <t>Cash Flow from Financing Activities</t>
  </si>
  <si>
    <t>Arus Kas dari Aktivitas Pendanaan 101.844 (65.137)</t>
  </si>
  <si>
    <t>EPS (Basic)</t>
  </si>
  <si>
    <t>Laba per Saham Dasar (Rupiah penuh) 27 31 32</t>
  </si>
  <si>
    <t>Rasio Lancar (x) 2,18 2,41</t>
  </si>
  <si>
    <t>Return on Assets</t>
  </si>
  <si>
    <t>Rasio Laba Terhadap Aset (%) 8,01 8,10</t>
  </si>
  <si>
    <t>Return on Equity</t>
  </si>
  <si>
    <t>Rasio Laba Terhadap Ekuitas (%) 11,57 11,16</t>
  </si>
  <si>
    <t>Rasio Utang Terhadap Aset (x) 0,19 0,27</t>
  </si>
  <si>
    <t>Rasio Utang Terhadap Ekuitas (x) 0,28 0,38</t>
  </si>
  <si>
    <t>Jumlah 2.500.000.000 100% (post-IPO total)</t>
  </si>
  <si>
    <t>Closing Price Dec 2024</t>
  </si>
  <si>
    <t>Desember 298 290 302</t>
  </si>
  <si>
    <t>Market Cap Dec 2024</t>
  </si>
  <si>
    <t>Desember ... 755.000.000.000</t>
  </si>
  <si>
    <t>Audit Fee</t>
  </si>
  <si>
    <t>Biaya Rp 580.000.000 (RSM Indonesia)</t>
  </si>
  <si>
    <t>Total Nut Production (Processed)</t>
  </si>
  <si>
    <t>kg</t>
  </si>
  <si>
    <t>Perseroan mampu memproduksi 8.314.403 kg pada tahun 2024, meningkat 4,3% dari produksi 7.972.336 kg pada tahun sebelumnya</t>
  </si>
  <si>
    <t>Annual Processing Capacity</t>
  </si>
  <si>
    <t>Setiap tahunnya, Perseroan memproduksi sekitar 9.200 ton kacang-kacangan yang diolah di tiga plant yang dimiliki Perseroan</t>
  </si>
  <si>
    <t>Plants Count</t>
  </si>
  <si>
    <t>tiga plant yang dimiliki Perseroan. Dua plant terletak di Cikarang, Jawa Barat, sedangkan satu plant sisanya terletak di Pati, Jawa Tengah</t>
  </si>
  <si>
    <t>Contract Manufacturing Revenue</t>
  </si>
  <si>
    <t>Kontrak Manufaktur dan Jasa Maklon 801.356 55,48%</t>
  </si>
  <si>
    <t>Nut Product Sales Revenue</t>
  </si>
  <si>
    <t>Penjualan Produk Kacang 571.969 39,60%</t>
  </si>
  <si>
    <t>Other Revenue</t>
  </si>
  <si>
    <t>Lain-Lain 71.073 4,92%</t>
  </si>
  <si>
    <t>Domestic Revenue</t>
  </si>
  <si>
    <t>Domestik 1.294.065 1.285.469 0,67%</t>
  </si>
  <si>
    <t>International Revenue</t>
  </si>
  <si>
    <t>Luar Negeri 150.334 115.484 30,18%</t>
  </si>
  <si>
    <t>Calculated: 1,294,065 / 1,444,399 = 89.6%</t>
  </si>
  <si>
    <t>Calculated: 150,334 / 1,444,399 = 10.4%</t>
  </si>
  <si>
    <t>New Customers Acquired 2024</t>
  </si>
  <si>
    <t>Perseroan berhasil menambah pelanggan baru berjumlah 7 pelanggan korporat dengan menambah 3 pelanggan di luar negeri dan 4 pelanggan domestik</t>
  </si>
  <si>
    <t>Land Purchase KITIC</t>
  </si>
  <si>
    <t>pembelian tanah seluas 2,3 hektar di KITIC dan penambahan line process baru</t>
  </si>
  <si>
    <t>Subsidiary - PT Cubic Indonesia</t>
  </si>
  <si>
    <t>PT Cubic Indonesia 1997 89,00% Rp85.342.512.124 Jasa Industri untuk Berbagai Pengerjaan Khusus Logam</t>
  </si>
  <si>
    <t>Subsidiary - PT Mitrapak Eramandiri</t>
  </si>
  <si>
    <t>PT Mitrapak Eramandiri 2008 32,50% Rp375.515.527.180 Industri Sabun dan Bahan Pembersih</t>
  </si>
  <si>
    <t>Subsidiary - PT Ciptapangan Sukses Makmur</t>
  </si>
  <si>
    <t>PT Ciptapangan Sukses Makmur 2005 80,00% Rp17.985.943.066 Perdagangan makanan dan minuman lainnya</t>
  </si>
  <si>
    <t>Subsidiary - PT Gunanusa Agro Plantation (liquidating)</t>
  </si>
  <si>
    <t>PT Gunanusa Agro Internasional Plantation 2019 99,00% Rp0 Perkebunan Terlikuidasi | Liquidated</t>
  </si>
  <si>
    <t>Subsidiary - Gunanusa Eramandiri International Sdn Bhd</t>
  </si>
  <si>
    <t>Gunanusa Eramandiri International Sdn. Bhd. 2019 100,00% Rp0 Ekspor dan Impor Kacang-Kacangan yang Dapat Dimakan - liquidated January 15, 2025</t>
  </si>
  <si>
    <t>Business Type</t>
  </si>
  <si>
    <t>Nut processing / Food manufacturing (NOT palm oil)</t>
  </si>
  <si>
    <t>Perseroan bergerak di industri makanan dan memiliki kegiatan usaha utama yaitu memproduksi dan memperdagangkan produk makanan hasil olahan dari kedelai dan kacang-kacangan lainnya, seperti kacang tanah</t>
  </si>
  <si>
    <t>KBLI Primary</t>
  </si>
  <si>
    <t>10793 (food industry from soybeans/nuts)</t>
  </si>
  <si>
    <t>Perseroan menjalankan kegiatan usaha yang telah benar-benar dijalankan di bidang Industri makanan dari kedelai dan kacang-kacangan lainnya bukan kecap, tempe dan tahu (KBLI 10793)</t>
  </si>
  <si>
    <t>Plant 1 Location</t>
  </si>
  <si>
    <t>Cikarang Selatan, Bekasi, West Java (Head Office/Plant)</t>
  </si>
  <si>
    <t>Kawasan Industri BIIE Hyundai Jl. Inti I Kav. 3 No. 3 Kelurahan Cibatu, Kecamatan Cikarang Selatan, Kabupaten Bekasi</t>
  </si>
  <si>
    <t>Plant 2 Location</t>
  </si>
  <si>
    <t>Pati, Central Java</t>
  </si>
  <si>
    <t>Jl. PATI-GABUS KM. 2.3 Desa Mustokoharjo, Kecamatan Pati Provinsi Jawa Tengah 59117</t>
  </si>
  <si>
    <t>Plant 3 Location</t>
  </si>
  <si>
    <t>Cikarang Pusat, Bekasi (Delta Silicon III)</t>
  </si>
  <si>
    <t>Kawasan Industri Delta Silicon III Jalan Sungkai Timur Blok F26A-11 Desa Cicau, Kecamatan Cikarang Pusat</t>
  </si>
  <si>
    <t>2025 Revenue Target</t>
  </si>
  <si>
    <t>Penjualan 2025 Proyeksi 1.587.645</t>
  </si>
  <si>
    <t>2025 Net Profit Target</t>
  </si>
  <si>
    <t>Laba Neto Tahun Berjalan 2025 Proyeksi 85.733</t>
  </si>
  <si>
    <t>Public Accountant</t>
  </si>
  <si>
    <t>RSM Indonesia (Amir Abadi Jusuf, Aryanto, Mawar dan Rekan)</t>
  </si>
  <si>
    <t>Nama Amir Abadi Jusuf, Aryanto, Mawar dan Rekan (RSM Indonesia)</t>
  </si>
  <si>
    <t>Halal Certification</t>
  </si>
  <si>
    <t>MUI (valid 15 Sep 2021-14 Sep 2025)</t>
  </si>
  <si>
    <t>Sertifikat Sistem Jaminan Halal ... Lembaga Pengkajian Pangan Obat-obatan dan Kosmetika Majelis Ulama Indonesia ... 15 September 2021-14 September 2025</t>
  </si>
  <si>
    <t>FSSC 22000 Certification</t>
  </si>
  <si>
    <t>SGS Indonesia (valid Jul 2024-Apr 2026)</t>
  </si>
  <si>
    <t>Food Safety System Certification FSSC 22000 SGS ... 31 Juli 2024-26 April 2026</t>
  </si>
  <si>
    <t>Kosher Certification</t>
  </si>
  <si>
    <t>Kosher Checked (valid Nov 2024-Dec 2025)</t>
  </si>
  <si>
    <t>Sertifikat Kosher Kosher Checked 18 November 2024-31 Desember 2025</t>
  </si>
  <si>
    <t>PT Gozco Plantations Tbk</t>
  </si>
  <si>
    <t>GZCO_2022_AR.pdf</t>
  </si>
  <si>
    <t>PT Gozco Plantations Tbk (dahulu PT Surya Gemilang Sentosa)</t>
  </si>
  <si>
    <t>PT Golden Zaga Indonesia 28.37%</t>
  </si>
  <si>
    <t>PT. Golden Zaga Indonesia 1.702.000.000 170.200.000.000 28,37%</t>
  </si>
  <si>
    <t>Second Shareholder</t>
  </si>
  <si>
    <t>Tjandra Mindharta Gozali 26.37%</t>
  </si>
  <si>
    <t>Tjandra Mindharta Gozali 1.581.972.000 158.197.200.000 26,37%</t>
  </si>
  <si>
    <t>Prajogo Pangestu stake</t>
  </si>
  <si>
    <t>Prajogo Pangestu 470.418.000 47.041.800.000 7,84%</t>
  </si>
  <si>
    <t>Masyarakat dibawah 5% 1.636.238.500 163.623.850.000 27,27%</t>
  </si>
  <si>
    <t>Number of Shareholders</t>
  </si>
  <si>
    <t>Pemegang saham Perseroan per akhir tahun 2022 sebanyak 17.861 orang</t>
  </si>
  <si>
    <t>Revenue (Sales)</t>
  </si>
  <si>
    <t>Penjualan 554.721 707.102 406.924 Sales</t>
  </si>
  <si>
    <t>Revenue from CPO</t>
  </si>
  <si>
    <t>Minyak Sawit Mentah 460.697 604.177 338.281 CPO</t>
  </si>
  <si>
    <t>Revenue from Kernel</t>
  </si>
  <si>
    <t>Kernel 64.284 78.784 41.395 PK</t>
  </si>
  <si>
    <t>Revenue from FFB</t>
  </si>
  <si>
    <t>TBS 29.740 24.141 27.248 FFB</t>
  </si>
  <si>
    <t>Beban Pokok Penjualan 432.191 (Rp Juta)</t>
  </si>
  <si>
    <t>Laba (Rugi) Kotor 122.530 67.558 (138.853)</t>
  </si>
  <si>
    <t>EBIT</t>
  </si>
  <si>
    <t>EBIT 136.889 57.824 (150.387)</t>
  </si>
  <si>
    <t>EBITDA 305.758 300.976 101.436</t>
  </si>
  <si>
    <t>Laba (Rugi) Bersih 75.818 14.269 (182.592)</t>
  </si>
  <si>
    <t>L(R) Net Diatbrib.ke Pengendali 75.634 13.547 (181.616)</t>
  </si>
  <si>
    <t>Comprehensive Income</t>
  </si>
  <si>
    <t>Laba (Rugi) - Komprehensif 76.920 52.794 228.629</t>
  </si>
  <si>
    <t>Total Aset 2.045.406 2.034.452 2.143.393</t>
  </si>
  <si>
    <t>Plantation Assets</t>
  </si>
  <si>
    <t>Aset Tanaman 865.202 1.011.029 1.193.349</t>
  </si>
  <si>
    <t>Aset Tetap 494.657 469.818 470.985</t>
  </si>
  <si>
    <t>Kas &amp; Setara Kas 235.210 240.620 146.936</t>
  </si>
  <si>
    <t>Modal Kerja Bersih 986 (36.947) (90.110)</t>
  </si>
  <si>
    <t>Liabilitas Lancar 455.883 355.108 324.112</t>
  </si>
  <si>
    <t>Interest-Bearing Debt</t>
  </si>
  <si>
    <t>Liabilitas Berbunga 356.743 500.835 639.401</t>
  </si>
  <si>
    <t>Total Liabilitas 892.864 958.764 1.118.712</t>
  </si>
  <si>
    <t>Ekuitas 1.152.542 1.075.688 1.024.681</t>
  </si>
  <si>
    <t>Belanja Modal/ Investasi 31.665 10.668 18.248</t>
  </si>
  <si>
    <t>CFO (Operating Cash Flow)</t>
  </si>
  <si>
    <t>Aktivitas Operasi 178.681 239.245 12.193</t>
  </si>
  <si>
    <t>CFI (Investing Cash Flow)</t>
  </si>
  <si>
    <t>Aktivitas Investasi 35.670 (125.391) 90.960</t>
  </si>
  <si>
    <t>CFF (Financing Cash Flow)</t>
  </si>
  <si>
    <t>Aktivitas Pendanaan (161.761) (148.170) (93.762)</t>
  </si>
  <si>
    <t>Ribu lembar saham- beredar 6.000.000 6.000.000 6.000.000</t>
  </si>
  <si>
    <t>Laba bersih per saham 12,61 2,26 (30,27)</t>
  </si>
  <si>
    <t>Kurs Akhir 248 60 81 Final Rate</t>
  </si>
  <si>
    <t>Market Cap (31 Dec 2022)</t>
  </si>
  <si>
    <t>Oct-Dec Kapitalisasi Pasar Rp Juta 486.000</t>
  </si>
  <si>
    <t>Ratio Gearing 13% 31% 56%</t>
  </si>
  <si>
    <t>Liabilitas thd Ekuitas 77% 89% 109%</t>
  </si>
  <si>
    <t>Aset Lancar thd Kewaj.lancar 1,00x 0,90x 0,72x</t>
  </si>
  <si>
    <t>Tingkat hasil Ekuitas 6,56% 1,26% -17,72%</t>
  </si>
  <si>
    <t>Tingkat Hasil Aset 3,70% 0,67% -8,47%</t>
  </si>
  <si>
    <t>Rasio Margin Kotor 22,09% 9,55% -34,12%</t>
  </si>
  <si>
    <t>Rasio Margin Bersih 13,63% 1,92% -44,63%</t>
  </si>
  <si>
    <t>Total Landbank APL</t>
  </si>
  <si>
    <t>Lahan APL 17.188 22.188 22.188</t>
  </si>
  <si>
    <t>Landbank HPK</t>
  </si>
  <si>
    <t>Lahan HPK 1.561 1.561 1.561</t>
  </si>
  <si>
    <t>Total Plantation Area</t>
  </si>
  <si>
    <t>Total Lahan Perkebunan (Ha) 18.749 23.749 23.749</t>
  </si>
  <si>
    <t>Total Lahan Tertanam 12.917 12.915 12.845</t>
  </si>
  <si>
    <t>Lahan Inti 12.917 12.915 12.845</t>
  </si>
  <si>
    <t>Tanaman Menghasilkan 12.700 12.619 12.540</t>
  </si>
  <si>
    <t>Tanaman Belum Menghasilkan 217 296 305</t>
  </si>
  <si>
    <t>Usia rata-rata tanaman per akhir tahun 2022 adalah 16 (enam belas) tahun 7 (tujuh) bulan</t>
  </si>
  <si>
    <t>TM Age 1-9 yr</t>
  </si>
  <si>
    <t>TM 1-9 2.918 3.768 3.689 Mature 1-9</t>
  </si>
  <si>
    <t>TM Age 10+ yr</t>
  </si>
  <si>
    <t>TM 10-21 9.782 8.851 8.851 Mature 10-21</t>
  </si>
  <si>
    <t>Age Profile 1-3 yr</t>
  </si>
  <si>
    <t>Matured of 1 to 3 M 1-3 433 3%</t>
  </si>
  <si>
    <t>Age Profile 4-6 yr</t>
  </si>
  <si>
    <t>Matured of 4 to 6 M 4-6 1.565 12%</t>
  </si>
  <si>
    <t>Age Profile 7-9 yr</t>
  </si>
  <si>
    <t>Matured of 7 to 9 M 7-9 920 7%</t>
  </si>
  <si>
    <t>Age Profile 10-19 yr</t>
  </si>
  <si>
    <t>Matured of 10 to 19 M 10-19 4.317 33%</t>
  </si>
  <si>
    <t>Age Profile 20-21 yr</t>
  </si>
  <si>
    <t>Matured of 20 to 21 M 20-21 5.465 42%</t>
  </si>
  <si>
    <t>Suryabumi Land (Sumsel)</t>
  </si>
  <si>
    <t>Suryabumi Sumsel 8.858 8.464 394 - 90T/Hour</t>
  </si>
  <si>
    <t>Telaga Sari Land (Kalteng)</t>
  </si>
  <si>
    <t>Telaga Sari Persada Kalteng 1.012 991 21</t>
  </si>
  <si>
    <t>Cahyavidi Land Lost</t>
  </si>
  <si>
    <t>terdapat penurunan sebesar 5 ribu Ha atau turun sekitar 23% karena atas perijinan lokasi milik entitas anak Cahyavidi seluas 5 ribu ha di Kabupaten Muara Enim Sumatera Selatan, sampai dengan akhir tahun 2022 belum ada realisasi pelepasan lahan dan habis masa berlakunya</t>
  </si>
  <si>
    <t>Mill Capacity (PKS SA)</t>
  </si>
  <si>
    <t>T/Hour</t>
  </si>
  <si>
    <t>Jumlah | Total - 17.189 12.917 728 3.544 90T/Hour</t>
  </si>
  <si>
    <t>Mills Count</t>
  </si>
  <si>
    <t>Single mill PKS SA 90 T/Hour at Suryabumi</t>
  </si>
  <si>
    <t>FFB Harvest (Nucleus after sortation)</t>
  </si>
  <si>
    <t>Hasil Panen Kebun Inti (setelah sortasi) 189.719 183.209 143.670</t>
  </si>
  <si>
    <t>FFB Sold</t>
  </si>
  <si>
    <t>TBS Dijual 12.941 10.499 17.146 Sold as FFB</t>
  </si>
  <si>
    <t>FFB Internal Processed</t>
  </si>
  <si>
    <t>Hasil Kebun Inti Diproses 176.779 172.710 126.523</t>
  </si>
  <si>
    <t>FFB External (3rd Party)</t>
  </si>
  <si>
    <t>Dari Kebun luar / Pembelian 34.068 55.741 53.614</t>
  </si>
  <si>
    <t>Total TBS Tersedia &amp; Diproses 210.847 228.451 180.137</t>
  </si>
  <si>
    <t>FFB Yield (Nucleus)</t>
  </si>
  <si>
    <t>Hasil Panen terhadap Lahan Inti 14,94 14,52 11,46</t>
  </si>
  <si>
    <t>Minyak Sawit Mentah (CPO) 48.841 50.833 38.889</t>
  </si>
  <si>
    <t>Kernel 9.517 10.594 7.895 PK</t>
  </si>
  <si>
    <t>CPO Extraction Rate (OER)</t>
  </si>
  <si>
    <t>Minyak Sawit Mentah 23,16 22,25 21,59 CPO</t>
  </si>
  <si>
    <t>Kernel Extraction Rate (KER)</t>
  </si>
  <si>
    <t>Kernel 4,51 4,64 4,38 PK</t>
  </si>
  <si>
    <t>Minyak Sawit Mentah 38.659 50.762 38.318 CPO</t>
  </si>
  <si>
    <t>Kernel Sales Volume</t>
  </si>
  <si>
    <t>Kernel 8.496 10.541 7.964 PK</t>
  </si>
  <si>
    <t>Minyak Sawit Mentah 11.917 11.902 8.828 CPO</t>
  </si>
  <si>
    <t>Avg Kernel Selling Price</t>
  </si>
  <si>
    <t>Kernel 7.567 7.474 5.198</t>
  </si>
  <si>
    <t>Avg FFB Selling Price</t>
  </si>
  <si>
    <t>TBS 2.298 2.299 1.589 FFB</t>
  </si>
  <si>
    <t>Sales Channel</t>
  </si>
  <si>
    <t>Domestic (IDR) only</t>
  </si>
  <si>
    <t>Semua penjualan CPO maupun kernel dilakukan dalam satuan rupiah</t>
  </si>
  <si>
    <t>President Commissioner</t>
  </si>
  <si>
    <t>Tjandra Mindharta Gozali</t>
  </si>
  <si>
    <t>Tjandra Mindharta Gozali President Commissioner</t>
  </si>
  <si>
    <t>President Director</t>
  </si>
  <si>
    <t>Kreisna Dewantara Gozali</t>
  </si>
  <si>
    <t>Kreisna Dewantara Gozali President Director</t>
  </si>
  <si>
    <t>GZCO_2023_AR.pdf</t>
  </si>
  <si>
    <t>Masyarakat dibawah 5% 2.106.656.500 210.665.650.000 35,11%</t>
  </si>
  <si>
    <t>Pemegang saham Perseroan per akhir tahun 2023 sebanyak 21.335 pemegang saham</t>
  </si>
  <si>
    <t>Subsidiaries (operational)</t>
  </si>
  <si>
    <t>Suryabumi, Cahya Vidi, Telaga Sari, Pemdas</t>
  </si>
  <si>
    <t>Sampai dengan akhir tahun 2023, Entitas anak Suryabumi, Cahya Vidi, Telaga Sari, dan Pemdas dalam status operasi</t>
  </si>
  <si>
    <t>Penjualan 744.266 554.721 707.102 Sales (Rp Juta)</t>
  </si>
  <si>
    <t>Minyak Sawit Mentah 658.953 460.697 604.177 CPO</t>
  </si>
  <si>
    <t>Kernel 62.107 64.284 78.784 PK</t>
  </si>
  <si>
    <t>TBS 23.206 29.740 24.141 FFB</t>
  </si>
  <si>
    <t>Beban Pokok Penjualan 650.681 432.191 (Rp Juta)</t>
  </si>
  <si>
    <t>Laba (Rugi) Kotor 93.585 122.530 67.558</t>
  </si>
  <si>
    <t>EBIT 44.427 136.889 57.824</t>
  </si>
  <si>
    <t>EBITDA 169.224 305.758 300.976</t>
  </si>
  <si>
    <t>Laba (Rugi) Bersih 2.386 75.818 14.269</t>
  </si>
  <si>
    <t>L(R) Net Distbrib.ke Pengendali 2.141 75.634 13.547</t>
  </si>
  <si>
    <t>Laba (Rugi) - Komprehensif 15.730 76.920 52.794</t>
  </si>
  <si>
    <t>Total Aset 2.118.200 2.045.406 2.034.452</t>
  </si>
  <si>
    <t>Aset Tanaman 788.388 865.202 1.011.029</t>
  </si>
  <si>
    <t>Aset Tetap 514.556 494.657 469.818</t>
  </si>
  <si>
    <t>Kas &amp; Setara Kas 355.355 235.210 240.620</t>
  </si>
  <si>
    <t>Modal Kerja Bersih 226.954 986 (36.947)</t>
  </si>
  <si>
    <t>Liabilitas Lancar 345.366 455.883 355.108</t>
  </si>
  <si>
    <t>Liabilitas Berbunga 466.633 356.743 500.835</t>
  </si>
  <si>
    <t>Total Liabilitas 949.928 892.864 958.764</t>
  </si>
  <si>
    <t>Ekuitas 1.168.272 1.152.542 1.075.688</t>
  </si>
  <si>
    <t>Belanja Modal / Investasi 93.219 31.665 10.668</t>
  </si>
  <si>
    <t>Aktivitas Operasi 260.191 178.681 239.245</t>
  </si>
  <si>
    <t>Aktivitas Investasi (166.219) 35.670 (125.391)</t>
  </si>
  <si>
    <t>Aktivitas Pendanaan 96.173 (161.761) (148.170)</t>
  </si>
  <si>
    <t>Ribu lembar saham-beredar 6.000.000 6.000.000 6.000.000</t>
  </si>
  <si>
    <t>Laba bersih persaham 0,36 12,61 2,26</t>
  </si>
  <si>
    <t>Kurs Akhir 179 73 120 Final Rate</t>
  </si>
  <si>
    <t>Market Cap (31 Dec 2023)</t>
  </si>
  <si>
    <t>Oct-Dec Kapitalisasi Pasar Rp Juta 720.000</t>
  </si>
  <si>
    <t>Ratio Gearing 14% 13% 31%</t>
  </si>
  <si>
    <t>Liabilitas thd Ekuitas 81% 77% 89%</t>
  </si>
  <si>
    <t>Aset Lancar thd Kewaj.lancar 1,66x 1,00x 0,90x</t>
  </si>
  <si>
    <t>Tingkat hasil Ekuitas 0,18% 6,56% 1,26%</t>
  </si>
  <si>
    <t>Tingkat Hasil Aset 0,10% 3,70% 0,67%</t>
  </si>
  <si>
    <t>Rasio Margin Kotor 12,57% 22,09% 9,55%</t>
  </si>
  <si>
    <t>Rasio Margin Bersih 0,29% 13,63% 1,92%</t>
  </si>
  <si>
    <t>Lahan APL 17.188 17.188 22.188</t>
  </si>
  <si>
    <t>Total Lahan Perkebunan (Ha) 18.749 18.749 23.749</t>
  </si>
  <si>
    <t>Total Lahan Tertanam 13.114 12.917 12.915</t>
  </si>
  <si>
    <t>Lahan Inti 13.114 12.917 12.915</t>
  </si>
  <si>
    <t>Tanaman Menghasilkan 12.452 12.700 12.619 Mature</t>
  </si>
  <si>
    <t>Tanaman Belum Menghasilkan 662 217 296 Immature</t>
  </si>
  <si>
    <t>Usia rata-rata tanaman per akhir tahun 2023 adalah 17 (tujuh belas) tahun 4 (empat) bulan</t>
  </si>
  <si>
    <t>Replanting Area 2023</t>
  </si>
  <si>
    <t>tambahan tanaman baru seluas 197 ha dan replanting seluas 331 ha (mutasi TM ke TBM)</t>
  </si>
  <si>
    <t>New Plantings 2023</t>
  </si>
  <si>
    <t>tambahan tanaman baru seluas 197 ha</t>
  </si>
  <si>
    <t>Jumlah | Total - 17.189 13.114 728 3.347 90T/Hour</t>
  </si>
  <si>
    <t>Single mill (PKS SA) 90T/Hour at Suryabumi; TSP Kalimantan has no mill</t>
  </si>
  <si>
    <t>Mill Occupancy</t>
  </si>
  <si>
    <t>Dengan kapasitas PKS SA 90T/Hour dan dengan asumsi normal efektifitas 75%, maka tingkat okupansi PKS masih sebesar 60%</t>
  </si>
  <si>
    <t>TM 1-9 2.446 2.918 3.768 Mature 1-9</t>
  </si>
  <si>
    <t>TM 10 dst 10.005 9.782 8.851 Mature 10 etc</t>
  </si>
  <si>
    <t>Suryabumi Sumsel 8.858 8.464 394 - 90T/Hour HGU 18/12/2035</t>
  </si>
  <si>
    <t>Telaga Sari Persada Kalteng 1.012 991 21 -</t>
  </si>
  <si>
    <t>Hasil Panen Kebun Inti (setelah sortasi) 208.937 189.719 183.209</t>
  </si>
  <si>
    <t>FFB Sold &amp; Stock</t>
  </si>
  <si>
    <t>TBS Dijual &amp; stock 10.533 12.941 10.499</t>
  </si>
  <si>
    <t>Hasil Kebun Inti Diproses 198.404 176.779 172.710</t>
  </si>
  <si>
    <t>Dari Kebun luar / Pembelian 28.621 34.068 55.741</t>
  </si>
  <si>
    <t>Total TBS Tersedia &amp; Diproses 227.025 210.847 228.451</t>
  </si>
  <si>
    <t>Hasil Panen terhadap Lahan Inti 16,78 14,94 14,52</t>
  </si>
  <si>
    <t>Minyak Sawit Mentah (CPO) 50.310 48.841 50.833</t>
  </si>
  <si>
    <t>Kernel 10.532 9.517 10.594 PK</t>
  </si>
  <si>
    <t>Minyak Sawit Mentah 22,16 23,16 22,25 CPO</t>
  </si>
  <si>
    <t>Kernel 4,64 4,51 4,64 PK</t>
  </si>
  <si>
    <t>Minyak Sawit Mentah 59.395 38.659 50.762 CPO</t>
  </si>
  <si>
    <t>Kernel 11.425 8.496 10.541 PK</t>
  </si>
  <si>
    <t>Minyak Sawit Mentah 11.094 11.902 8.828 CPO</t>
  </si>
  <si>
    <t>Kernel 5.436 7.474 5.198</t>
  </si>
  <si>
    <t>TBS 2.317 2.299 1.589 FFB</t>
  </si>
  <si>
    <t>CPO Sales Value</t>
  </si>
  <si>
    <t>GZCO_2024_AR.pdf</t>
  </si>
  <si>
    <t>PT Gozco Plantations Tbk (dahulu PT Surya Gemilang Sentosa) didirikan berdasar Akta Notaris Wachid Hasyim, S.H., No. 28, tanggal 10 Agustus 2001</t>
  </si>
  <si>
    <t>15 May 2008</t>
  </si>
  <si>
    <t>Pada tanggal 15 Mei 2008 saham yang dimiliki masyarakat dimaksud telah tercatat di Bursa Efek Indonesia</t>
  </si>
  <si>
    <t>Second Largest Shareholder</t>
  </si>
  <si>
    <t>Pemegang saham lokal maupun asing Perseroan per akhir tahun 2024 sebanyak 14.817 pemegang saham</t>
  </si>
  <si>
    <t>Suryabumi, Cahya Vidi, Telaga Sari, SKM, Pemdas</t>
  </si>
  <si>
    <t>Sampai dengan akhir tahun 2024, Entitas anak Suryabumi, Cahya Vidi, Telaga Sari, SKM, dan Pemdas dalam status operasi</t>
  </si>
  <si>
    <t>Penjualan 804.647 744.266 554.721 Sales (Rp Juta)</t>
  </si>
  <si>
    <t>Minyak Sawit Mentah 585.613 658.953 460.697 CPO</t>
  </si>
  <si>
    <t>Kernel 80.662 62.107 64.284 PK</t>
  </si>
  <si>
    <t>TBS 138.372 23.206 29.740 FFB</t>
  </si>
  <si>
    <t>Beban Pokok Penjualan 641.083 650.681 432.191 Cost of Good Sold</t>
  </si>
  <si>
    <t>Laba (Rugi) Kotor 163.564 93.585 122.530 Gross Profit (Loss)</t>
  </si>
  <si>
    <t>EBIT (LSBP)</t>
  </si>
  <si>
    <t>EBIT 115.552 44.427 136.889 EBIT</t>
  </si>
  <si>
    <t>EBITDA 242.418 169.224 305.758 EBITDA</t>
  </si>
  <si>
    <t>Laba (Rugi) Bersih 62.410 2.386 75.818 Net Profit (Loss)</t>
  </si>
  <si>
    <t>L(R) Net Distbrib.ke Pengendali 60.542 2.141 75.634</t>
  </si>
  <si>
    <t>NCI Profit</t>
  </si>
  <si>
    <t>Distribusi ke non Pengendali. 1.868 245 184</t>
  </si>
  <si>
    <t>Laba (Rugi) - Komprehensif 63.431 15.730 76.920</t>
  </si>
  <si>
    <t>Total Aset 2.321.244 2.118.200 2.045.406 Total Assets</t>
  </si>
  <si>
    <t>Aset Tanaman 996.825 788.388 865.202 Plantation Assets</t>
  </si>
  <si>
    <t>Aset Tetap 670.762 514.556 494.657 Fixed Assets</t>
  </si>
  <si>
    <t>Kas &amp; Setara Kas 154.825 355.355 235.210</t>
  </si>
  <si>
    <t>Modal Kerja Bersih (224.649) 226.954 986</t>
  </si>
  <si>
    <t>Liabilitas Lancar 510.870 345.366 455.883</t>
  </si>
  <si>
    <t>Liabilitas Berbunga 391.652 466.633 356.743</t>
  </si>
  <si>
    <t>Total Liabilitas 1.089.263 949.928 892.864</t>
  </si>
  <si>
    <t>Ekuitas 1.231.981 1.168.272 1.152.542</t>
  </si>
  <si>
    <t>Belanja Modal / Investasi 21.888 93.219 31.665</t>
  </si>
  <si>
    <t>Aktivitas Operasi 169.640 260.191 178.681</t>
  </si>
  <si>
    <t>Aktivitas Investasi 118.786 (166.219) 35.670</t>
  </si>
  <si>
    <t>Aktivitas Pendanaan (489.256) 96.173 (161.761)</t>
  </si>
  <si>
    <t>Laba bersih persaham 10.09 0,36 12,61</t>
  </si>
  <si>
    <t>Okt-Des 4 117 97 113 2.377.709 245.618; Kurs Akhir 139 97 113</t>
  </si>
  <si>
    <t>Market Cap (31 Dec 2024)</t>
  </si>
  <si>
    <t>Kapitalisasi Pasar Rp Juta 678.000 (Oct-Dec)</t>
  </si>
  <si>
    <t>Ratio Gearing 22% 14% 13%</t>
  </si>
  <si>
    <t>Liabilitas thd Ekuitas 88% 81% 77%</t>
  </si>
  <si>
    <t>Aset Lancar thd Kewaj.lancar 0,56x 1,66x 1,00x</t>
  </si>
  <si>
    <t>Tingkat hasil Ekuitas 4,91% 0,18% 6,56%</t>
  </si>
  <si>
    <t>Tingkat Hasil Aset 2,61% 0,10% 3,70%</t>
  </si>
  <si>
    <t>Rasio Margin Kotor 20,33% 12,57% 22,09%</t>
  </si>
  <si>
    <t>Rasio Margin Bersih 7,52% 0,29% 13,63%</t>
  </si>
  <si>
    <t>Lahan APL 26.798 17.188 17.188</t>
  </si>
  <si>
    <t>Lahan HPK 1.561 1.561 1.561 HPK Area</t>
  </si>
  <si>
    <t>Total Lahan Perkebunan (Ha) 28.359 18.749 18.749</t>
  </si>
  <si>
    <t>Total Lahan Tertanam 15.596 13.114 12.917</t>
  </si>
  <si>
    <t>Lahan Inti 15.200 13.114 12.917 Nucleus Area</t>
  </si>
  <si>
    <t>Lahan Plasma 396 Plasma Area</t>
  </si>
  <si>
    <t>Mature Area (Nucleus)</t>
  </si>
  <si>
    <t>Tanaman Menghasilkan 13.543 12.452 12.700 Mature</t>
  </si>
  <si>
    <t>Immature Area (Nucleus)</t>
  </si>
  <si>
    <t>Tanaman Belum Menghasilkan 1.658 662 217 Immature</t>
  </si>
  <si>
    <t>Mature Area (Plasma)</t>
  </si>
  <si>
    <t>Lahan Plasma Tanaman Menghasilkan 396 - -</t>
  </si>
  <si>
    <t>Usia rata-rata tanaman per akhir tahun 2024 adalah 16 (enam belas) tahun</t>
  </si>
  <si>
    <t>Replanting Area Cumulative</t>
  </si>
  <si>
    <t>Replanting direalisasi tahun 2024 seluas 895 ha. Ditambah realisasi sampai dengan tahun sebelumnya seluas 308 ha, maka sampai dengan tahun 2024 sudah direalisasi replanting seluas 1.203 ha</t>
  </si>
  <si>
    <t>Mill Capacity (Suryabumi PKS SA)</t>
  </si>
  <si>
    <t>Total Inti &amp; Plasma - 26.789 15.596 1.214 9.254 90T/Hour</t>
  </si>
  <si>
    <t>Single PKS at Suryabumi 90T/Hour; Kalimantan estates (TSP, SKM) have no mill, sell FFB</t>
  </si>
  <si>
    <t>Matured of 1 to 3 M 1-3 240 1%</t>
  </si>
  <si>
    <t>Matured of 4 to 6 M 4-6 895 6%</t>
  </si>
  <si>
    <t>Matured of 7 to 9 M 7-9 3.666 23%</t>
  </si>
  <si>
    <t>Matured of 10 to 19 M 10-19 4.342 28%</t>
  </si>
  <si>
    <t>Age Profile 20+ yr</t>
  </si>
  <si>
    <t>Matured of 20 etc M 20-22 4.795 31%</t>
  </si>
  <si>
    <t>Suryabumi Agrolanggeng Sumsel 8.858 7.716 394</t>
  </si>
  <si>
    <t>Cahyavidi Land (Sumsel)</t>
  </si>
  <si>
    <t>CahyaVidi Cahya Vidi Abadi Sumsel 1.167 985 71 111</t>
  </si>
  <si>
    <t>SKM Land (Kalbar, nucleus+plasma)</t>
  </si>
  <si>
    <t>SKM Sinar Karya Mandiri Kalbar 7.716 nucleus + 1.893 plasma = 9,610 ha; acquired Feb 2024</t>
  </si>
  <si>
    <t>Hasil Panen Kebun Inti (setelah sortasi) 225.259 208.937 189.719</t>
  </si>
  <si>
    <t>TBS Dijual &amp; stock 49.783 10.533 12.941</t>
  </si>
  <si>
    <t>FFB Internal Processed (Net)</t>
  </si>
  <si>
    <t>Hasil Kebun Inti Diproses 175.476 198.404 176.779</t>
  </si>
  <si>
    <t>FFB External (3rd Party Purchases)</t>
  </si>
  <si>
    <t>Dari Kebun luar / Pembelian 31.296 28.621 34.068</t>
  </si>
  <si>
    <t>Total TBS Tersedia &amp; Diproses 206.772 227.025 210.847</t>
  </si>
  <si>
    <t>Hasil Panen terhadap Lahan Inti 16,63 16,78 14,94 (Ton/Ha, after sortation)</t>
  </si>
  <si>
    <t>Minyak Sawit Mentah (CPO) 43.934 50.310 48.841</t>
  </si>
  <si>
    <t>Kernel 9.123 10.532 9.517 PK</t>
  </si>
  <si>
    <t>Minyak Sawit Mentah 21,25 22,16 23,16 CPO</t>
  </si>
  <si>
    <t>Kernel 4,41 4,64 4,51 PK</t>
  </si>
  <si>
    <t>Minyak Sawit Mentah 44.598 59.395 38.659 CPO</t>
  </si>
  <si>
    <t>Kernel 9.257 11.425 8.496 PK</t>
  </si>
  <si>
    <t>Minyak Sawit Mentah 13.117 11.094 11.902 CPO (Rp.Jt hrg jual per Kg)</t>
  </si>
  <si>
    <t>Kernel 8.713 5.436 7.474</t>
  </si>
  <si>
    <t>TBS 2.838 2.316 2.299 FFB</t>
  </si>
  <si>
    <t>Minyak Sawit Mentah 585.613 658.953 460.697 CPO (Rp Juta)</t>
  </si>
  <si>
    <t>Kernel Sales Value</t>
  </si>
  <si>
    <t>FFB Sales Value</t>
  </si>
  <si>
    <t>Semua penjualan CPO maupun kernel dilakukan dalam satuan rupiah dan berdasar transaksi penyerahan ke Pembeli dari tanki atau gudang Perseroan</t>
  </si>
  <si>
    <t>Suryabumi (existing), SKM (achieved 2024), CVA (Stage I completed)</t>
  </si>
  <si>
    <t>entitas anak CVA &amp; SKM di tahun 2024 ini telah mengikuti ujian ISPO stage I. Bahkan, untuk SKM sudah melanjutkan ke ujian ISPO stage II dan telah mendapat pengakuan perform standar dengan mendapat sertifikat ISPO</t>
  </si>
  <si>
    <t>KAP HLB Hadori Sugiarto Adi &amp; Rekan</t>
  </si>
  <si>
    <t>hasil audit akuntan independen dari KAP HLB Hadori Sugiarto Adi &amp; Rekan atas laporan keuangan PT. Gozco Plantations Tbk. untuk tahun yang berakhir pada 31 Desember 2024 dengan pendapat akuntan wajar tanpa pengecualian</t>
  </si>
  <si>
    <t>Kreisna Dewantara Gozali, Presiden Direktur | President Director</t>
  </si>
  <si>
    <t>Tjandra Mindharta Gozali, Presiden Komisaris | President Commissioner</t>
  </si>
  <si>
    <t>PT Indo Pureco Pratama Tbk</t>
  </si>
  <si>
    <t>IPPE_2023_AR.pdf</t>
  </si>
  <si>
    <t>PT Indo Pureco Pratama Tbk yang menjalankan kegiatan usaha utama dalam industri minyak kelapa dan produk dari kelapa serta perdagangan</t>
  </si>
  <si>
    <t>Coconut oil processing (NOT palm oil)</t>
  </si>
  <si>
    <t>industri minyak kelapa dan produk dari kelapa serta perdagangan / coconut oil and coconut products industry</t>
  </si>
  <si>
    <t>Head Office Location</t>
  </si>
  <si>
    <t>Subang, West Java</t>
  </si>
  <si>
    <t>Kantor Pusat: Jl. Batununggul 1, Balingbing, Kec. Pagaden Barat, Subang - Jawa Barat 41251</t>
  </si>
  <si>
    <t>Factory Location</t>
  </si>
  <si>
    <t>Balingbing, Pagaden Barat, Subang, West Java</t>
  </si>
  <si>
    <t>Perusahaan mempunyai pabrik pengolahan daging buah kelapa yang berlokasi di Balingbing, Kecamatan Pagaden Barat, Kabupaten Subang, Jawa Barat</t>
  </si>
  <si>
    <t>28 March 2019</t>
  </si>
  <si>
    <t>Tanggal Didirikan: 28 Maret 2019</t>
  </si>
  <si>
    <t>Date of IDX Listing</t>
  </si>
  <si>
    <t>9 December 2021</t>
  </si>
  <si>
    <t>Tanggal Pencatatan: 9 Desember 2021</t>
  </si>
  <si>
    <t>Controlling Group</t>
  </si>
  <si>
    <t>PT Lembur Sadaya Investama (ultimate: PT Sapihanean Pangan Lestari)</t>
  </si>
  <si>
    <t>Perusahaan tergabung dalam kelompok usaha PT Lembur Sadaya Investama dan PT Sapihanean Pangan Lestari sebagai pengendali terakhir</t>
  </si>
  <si>
    <t>Top Shareholder - PT Lembur Sadaya Investama</t>
  </si>
  <si>
    <t>PT LEMBUR SADAYA INVESTAMA 1.620.000.000 35,22%</t>
  </si>
  <si>
    <t>Shareholder - PT Sumber Sentosa Adikarya</t>
  </si>
  <si>
    <t>PT SUMBER SENTOSA ADIKARYA 280.000.000 6,09%</t>
  </si>
  <si>
    <t>Shareholder - Asep Sulaeman Sabanda (President Commissioner)</t>
  </si>
  <si>
    <t>Asep Sulaeman Sabanda 239.705.900 5,21%</t>
  </si>
  <si>
    <t>Masyarakat 2.460.294.100 53,48%</t>
  </si>
  <si>
    <t>Total Shares Issued</t>
  </si>
  <si>
    <t>Total Saham / Total Shares 4.600.000.000 100%</t>
  </si>
  <si>
    <t>Subsidiary - PT Agrindo Lestari Jaya (ALJ)</t>
  </si>
  <si>
    <t>99.999% ownership, Pre-Operating, Trade</t>
  </si>
  <si>
    <t>PT Agrindo Lestari Jaya (ALJ) Perdagangan Subang Pra Operasi 99,999% 99,999% 135.996.343</t>
  </si>
  <si>
    <t>ALJ Location Permit</t>
  </si>
  <si>
    <t>ALJ telah memperoleh Izin Lokasi untuk keperluan pembangunan perkebunan tanaman pangan hortikultura, di area seluas 13.587 hektar (ha), terletak di Desa Tumbang Marak, Kec. Katingan Tengah, Kab. Katingan, Prov. Kalimantan Tengah</t>
  </si>
  <si>
    <t>Employees (Group)</t>
  </si>
  <si>
    <t>Jumlah karyawan Perusahaan dan entitas anak (Grup) pada tanggal 31 Desember 2023 dan 2022, masing-masing sebanyak 35 dan 55 orang</t>
  </si>
  <si>
    <t>Certifications</t>
  </si>
  <si>
    <t>ISO 9001:2015, ISO 22000:2018</t>
  </si>
  <si>
    <t>sertifikasi ISO 9001:2015 sertifikasi ISO 22000:2018 ... Perseroan menerima sertifikasi registrasi dari VRC International</t>
  </si>
  <si>
    <t>Penjualan 35.730.275 35.020.275 30.017.394 (in thousand Rupiah)</t>
  </si>
  <si>
    <t>Beban Pokok Penjualan (24.078.421) (22.777.356) (in thousand Rupiah)</t>
  </si>
  <si>
    <t>Laba Bruto 11.651.854 12.242.919 7.236.200</t>
  </si>
  <si>
    <t>Beban umum dan administrasi 21 (6.204.940) (7.784.760)</t>
  </si>
  <si>
    <t>Operating Profit (EBIT approx)</t>
  </si>
  <si>
    <t>Calculated: Gross Profit 11.65 - G&amp;A 6.20 = 5.45 bn (no separate other operating items; other income/charges below op line)</t>
  </si>
  <si>
    <t>Other Income (Charges) - Net</t>
  </si>
  <si>
    <t>Pendapatan (beban) lain-lain - neto 22 (400.589) 78.712</t>
  </si>
  <si>
    <t>LABA SEBELUM BEBAN PAJAK PENGHASILAN 5.046.325 4.536.871</t>
  </si>
  <si>
    <t>Beban pajak penghasilan - neto 10b (1.184.338) (972.252)</t>
  </si>
  <si>
    <t>LABA NETO TAHUN BERJALAN 3.861.987 3.564.619</t>
  </si>
  <si>
    <t>Pemilik Entitas induk 3.861.987 3.564.619</t>
  </si>
  <si>
    <t>TOTAL ASET 301.272.376 290.584.130 (in thousand Rupiah)</t>
  </si>
  <si>
    <t>Total Aset Lancar 99.857.083 104.985.150</t>
  </si>
  <si>
    <t>Total Aset Tidak Lancar 201.415.293 185.598.980</t>
  </si>
  <si>
    <t>Cash and Bank</t>
  </si>
  <si>
    <t>Kas dan bank 4 1.049.230 3.204.171</t>
  </si>
  <si>
    <t>Piutang usaha dari Pihak ketiga - neto 5 4.758.755 1.541.185</t>
  </si>
  <si>
    <t>Advances</t>
  </si>
  <si>
    <t>Uang muka 6 86.445.552 97.400.000</t>
  </si>
  <si>
    <t>Persediaan 7 7.603.546 2.839.794</t>
  </si>
  <si>
    <t>Property, Plant &amp; Equipment</t>
  </si>
  <si>
    <t>Aset tetap 8 201.333.848 185.549.109</t>
  </si>
  <si>
    <t>TOTAL LIABILITAS 14.996.191 8.128.023</t>
  </si>
  <si>
    <t>Total Liabilitas Jangka Pendek 9.118.773 7.923.341</t>
  </si>
  <si>
    <t>Total Liabilitas Jangka Panjang 5.877.418 204.682</t>
  </si>
  <si>
    <t>Trade Payables (Third Parties)</t>
  </si>
  <si>
    <t>Utang usaha kepada Pihak ketiga 9 224.070 201.464</t>
  </si>
  <si>
    <t>Tax Payable</t>
  </si>
  <si>
    <t>Utang pajak 10a 6.857.813 7.721.877</t>
  </si>
  <si>
    <t>Bank Loans (Current)</t>
  </si>
  <si>
    <t>Utang bank 11 1.750.000 - (current maturities)</t>
  </si>
  <si>
    <t>Bank Loans (Long-term)</t>
  </si>
  <si>
    <t>Utang bank 4.812.500 - (LT portion)</t>
  </si>
  <si>
    <t>Gross Debt (Total Bank Loans)</t>
  </si>
  <si>
    <t>Calculated: Current bank loan 1.750 + LT bank loan 4.812.5 = 6.5625 bn</t>
  </si>
  <si>
    <t>Consumer Financing Payables (Current+LT)</t>
  </si>
  <si>
    <t>Utang pembiayaan konsumen 286.890 current + 693.318 LT = 980.208</t>
  </si>
  <si>
    <t>Post-Employment Benefits Liability</t>
  </si>
  <si>
    <t>Liabilitas imbalan pascakerja 13 371.600 204.682</t>
  </si>
  <si>
    <t>TOTAL EKUITAS 286.276.184 282.456.106</t>
  </si>
  <si>
    <t>Share Capital (Paid-up)</t>
  </si>
  <si>
    <t>Modal ditempatkan dan disetor 4.600.000 saham (shares in thousands) 15 230.000.000 (in thousand Rupiah = 230 bn)</t>
  </si>
  <si>
    <t>Tambahan modal disetor 17 44.520.519 44.520.519</t>
  </si>
  <si>
    <t>Tidak ditentukan penggunaannya 11.887.759 8.025.772</t>
  </si>
  <si>
    <t>Arus Kas Neto Digunakan untuk Aktivitas Operasi (2.150.874) 10.134.121</t>
  </si>
  <si>
    <t>Arus Kas Neto Digunakan untuk Aktivitas Investasi (7.546.775) (28.369.674)</t>
  </si>
  <si>
    <t>CFF (Cash from Financing Activities)</t>
  </si>
  <si>
    <t>Arus Kas Neto Diperoleh dari Aktivitas Pendanaan 7.542.708 -</t>
  </si>
  <si>
    <t>Capex (Additions to Fixed Assets)</t>
  </si>
  <si>
    <t>Penambahan aset tetap (7.546.775) (8.369.674)</t>
  </si>
  <si>
    <t>New Bank Loan Proceeds</t>
  </si>
  <si>
    <t>Penerimaan Pinjaman dari Bank 7.000.000 -</t>
  </si>
  <si>
    <t>Bank Loan Repayments</t>
  </si>
  <si>
    <t>Pembayaran Pinjaman Bank (437.500) -</t>
  </si>
  <si>
    <t>Laba per Lembar Saham 0.84 0.77 0.74</t>
  </si>
  <si>
    <t>Weighted Avg Shares (mn)</t>
  </si>
  <si>
    <t>Jumlah rata-rata tertimbang saham 4.600.000 4.600.000 (in thousands of shares = 4.6 bn shares)</t>
  </si>
  <si>
    <t>Par Value per Share</t>
  </si>
  <si>
    <t>Modal saham - nilai nominal Rp50 (nilai penuh) per saham</t>
  </si>
  <si>
    <t>Modal Dasar: Rp720.000.000.000</t>
  </si>
  <si>
    <t>Closing Stock Price (Dec 2023)</t>
  </si>
  <si>
    <t>Triwulan IV 50 50 50 ... Tahun 2023 148 50 50 (Highest Lowest Closing)</t>
  </si>
  <si>
    <t>Highest Stock Price 2023</t>
  </si>
  <si>
    <t>Tahun 2023 148 50 50 (Highest Lowest Closing)</t>
  </si>
  <si>
    <t>Dividend Paid 2023</t>
  </si>
  <si>
    <t>Pada tahun 2023, Perseroan memutuskan untuk tidak membagikan dividen dikarenakan laba Perseroan digunakan sebagai cadangan dan tambahan modal kerja</t>
  </si>
  <si>
    <t>Rasio Lancar 1095% 1325% 2011.30%</t>
  </si>
  <si>
    <t>Rasio Jumlah Liabilitas terhadap Ekuitas 5% 3% 1.93%</t>
  </si>
  <si>
    <t>Marjin Laba Bersih 11% 10% 9.71% (2023 precise: 10.8% per chart p.9)</t>
  </si>
  <si>
    <t>ROA 1% 1% 1.03%</t>
  </si>
  <si>
    <t>ROE 1% 1% 1.05%</t>
  </si>
  <si>
    <t>Interest Expense (Bank Loan)</t>
  </si>
  <si>
    <t>Bunga pinjaman bank (279.463) (218.376)</t>
  </si>
  <si>
    <t>COGS depreciation 1.577.680 + G&amp;A depreciation 138.804 = 1.716.484 thousand = 1.72 bn</t>
  </si>
  <si>
    <t>Raw Material Purchases</t>
  </si>
  <si>
    <t>Pembelian bahan baku 24.873.413 17.686.014</t>
  </si>
  <si>
    <t>Direct Labour Cost</t>
  </si>
  <si>
    <t>Biaya tenaga kerja langsung 1.515.207 311.333</t>
  </si>
  <si>
    <t>Factory Count</t>
  </si>
  <si>
    <t>Perusahaan mempunyai pabrik pengolahan daging buah kelapa yang berlokasi di Balingbing, Subang</t>
  </si>
  <si>
    <t>Business Segment</t>
  </si>
  <si>
    <t>Single segment - coconut oil</t>
  </si>
  <si>
    <t>Pada dasarnya Grup bergerak dalam satu segmen operasi yaitu usaha minyak kelapa</t>
  </si>
  <si>
    <t>Revenue - Crude Coconut Oil (CCO)</t>
  </si>
  <si>
    <t>Minyak kelapa mentah 30.754.871 30.254.871</t>
  </si>
  <si>
    <t>Revenue - Copra Meal (Bungkil Kelapa)</t>
  </si>
  <si>
    <t>Bungkil kelapa 4.975.404 4.765.404</t>
  </si>
  <si>
    <t>CCO Sales Share</t>
  </si>
  <si>
    <t>Minyak Kelapa Mentah ... 86,08% dan 86,39% dari penjualan Perseroan di tahun 2023 dan 2022</t>
  </si>
  <si>
    <t>Copra Meal Sales Share</t>
  </si>
  <si>
    <t>Bungkil Kelapa ... 13,92% dan 13,61% dari penjualan Perseroan</t>
  </si>
  <si>
    <t>Sales by Region - Jakarta</t>
  </si>
  <si>
    <t>Jakarta 20.418.184 28.246.059</t>
  </si>
  <si>
    <t>Sales by Region - Subang</t>
  </si>
  <si>
    <t>Subang 2.074.643 2.130.144</t>
  </si>
  <si>
    <t>Sales by Region - Bekasi</t>
  </si>
  <si>
    <t>Bekasi 4.408.615 2.959.146</t>
  </si>
  <si>
    <t>Sales by Region - Central Java</t>
  </si>
  <si>
    <t>Jawa Tengah 6.235.530 -</t>
  </si>
  <si>
    <t>Sales by Region - Tangerang</t>
  </si>
  <si>
    <t>Tangerang 2.593.303 1.684.926</t>
  </si>
  <si>
    <t>All sales regions are domestic (Jakarta, Subang, Bekasi, Jawa Tengah, Tangerang); no export sales disclosed</t>
  </si>
  <si>
    <t>Raw Material Sourcing Regions</t>
  </si>
  <si>
    <t>Riau, Palembang, Jambi, Tangerang (Banten), Jabodetabek, Subang, Tasikmalaya, Banyumas</t>
  </si>
  <si>
    <t>Wilayah operasional: Pembelian Bahan Baku 1.Riau 2.Palembang 3.Jambi 4.Banten/Tangerang 5.Jabodetabek 6.Subang 7.Tasikmalaya 8.Banyumas</t>
  </si>
  <si>
    <t>Marketing Areas</t>
  </si>
  <si>
    <t>Jakarta, Bekasi, Subang, Central Java, Tangerang (all domestic, Java)</t>
  </si>
  <si>
    <t>Jaringan Penjualan: Jakarta, Bekasi, Subang, Sragen, Karanganyar</t>
  </si>
  <si>
    <t>Top Customer - PT Wahana Citra Nabati</t>
  </si>
  <si>
    <t>PT Wahana Citra Nabati 8.796.430 -</t>
  </si>
  <si>
    <t>Top Customer - PT Abimanyu Agri Bersama</t>
  </si>
  <si>
    <t>PT Abimanyu Agri Bersama 6.745.662 1.286.354</t>
  </si>
  <si>
    <t>Top Customer - PT Kusuma Mukti Remaja</t>
  </si>
  <si>
    <t>PT Kusuma Mukti Remaja 6.235.530 1.672.792</t>
  </si>
  <si>
    <t>Top Customer - PT Asianagro Agung Jaya</t>
  </si>
  <si>
    <t>PT Asianagro Agung Jaya 4.959.540 22.123.665</t>
  </si>
  <si>
    <t>Top Customer - PT Coco Mulia Mandiri</t>
  </si>
  <si>
    <t>PT Coco Mulia Mandiri 4.494.372 1.413.711</t>
  </si>
  <si>
    <t>Raw Material</t>
  </si>
  <si>
    <t>Copra (dried coconut meat) / fresh coconut flesh</t>
  </si>
  <si>
    <t>Adapun bahan baku tersebut merupakan bahan baku kopra yang diminati untuk memenuhi kebutuhan berbagai industri di Indonesia</t>
  </si>
  <si>
    <t>Products</t>
  </si>
  <si>
    <t>CCO (Crude Coconut Oil), PCO (Pure Cooking Oil), VCO (Virgin Coconut Oil), Copra Meal (Bungkil Kelapa)</t>
  </si>
  <si>
    <t>Products and Services: Crude Coconut Oil (CCO), Pure Cooking Oil (PCO), Virgin Coconut Oil (VCO), Copra Meal (CM)</t>
  </si>
  <si>
    <t>Employees - Total</t>
  </si>
  <si>
    <t>Jumlah / Total 39 57 33 (2023, 2022, 2021 - Employment status)</t>
  </si>
  <si>
    <t>Employees - Permanent</t>
  </si>
  <si>
    <t>Pegawai Tetap / Permanent Employee 19 19 12</t>
  </si>
  <si>
    <t>Employees - Contract</t>
  </si>
  <si>
    <t>Kontrak / Contract 20 38 21</t>
  </si>
  <si>
    <t>Employee Gender - Male</t>
  </si>
  <si>
    <t>Laki-laki / Male 38 54 32</t>
  </si>
  <si>
    <t>Employee Gender - Female</t>
  </si>
  <si>
    <t>Perempuan / Female 1 3 1</t>
  </si>
  <si>
    <t>NOT A PALM OIL COMPANY</t>
  </si>
  <si>
    <t>IPPE processes coconut (kelapa), not oil palm (kelapa sawit)</t>
  </si>
  <si>
    <t>PT Indo Pureco Pratama Tbk yang menjalankan kegiatan usaha utama dalam industri minyak kelapa dan produk dari kelapa (coconut oil and coconut products industry)</t>
  </si>
  <si>
    <t>PT Jhonlin Agro Raya Tbk</t>
  </si>
  <si>
    <t>JARR_2022_AR.pdf</t>
  </si>
  <si>
    <t>PT. Jhonlin Agro Raya Tbk DEFINITELY DEVELOPING / LAPORAN TAHUNAN 2022</t>
  </si>
  <si>
    <t>4 August 2022</t>
  </si>
  <si>
    <t>Perseroan melakukan Penawaran Saham Perdana di Bursa Efek Indonesia pada tanggal 04 Agustus 2022</t>
  </si>
  <si>
    <t>PT Eshan Agro Sentosa 84.64%</t>
  </si>
  <si>
    <t>PT Eshan Agro Sentosa 6,771,050,000 84,64% Pengendali (Data per 31 Desember 2022)</t>
  </si>
  <si>
    <t>Masyarakat 1,222,950,000 15,28%</t>
  </si>
  <si>
    <t>HQ/Plantation Location</t>
  </si>
  <si>
    <t>Jl. Kodeco KM.1, Gunung Antasari, Simpang Empat, Tanah Bumbu, South Kalimantan</t>
  </si>
  <si>
    <t>Perusahaan berdomisili di Jl. Kodeco KM. 1, Desa Gunung Antasari, Kec. Simpang Empat, Kab. Tanah Bumbu, Kalimantan</t>
  </si>
  <si>
    <t>Perseroan memiliki lahan perkebunan kelapa sawit seluas 17.020,26 hektar</t>
  </si>
  <si>
    <t>Kanaka Puradiredja Suhartono</t>
  </si>
  <si>
    <t>diaudit oleh Kantor Akuntan Publik Kanaka Puradiredja Suhartono... dengan pendapat Wajar Tanpa Pengecualian</t>
  </si>
  <si>
    <t>Revenue (Net Sales)</t>
  </si>
  <si>
    <t>Pendapatan Usaha 4.707.542 (jutaan Rp) / PENJUALAN BERSIH 4.707.542.336.960</t>
  </si>
  <si>
    <t>Beban Pokok Penjualan (4.539.893) (jutaan Rp)</t>
  </si>
  <si>
    <t>Laba Bruto 167.649 (jutaan Rp); LABA BRUTO 167.649.212.064</t>
  </si>
  <si>
    <t>Operating Profit (Laba Usaha)</t>
  </si>
  <si>
    <t>BUSINESS PROFIT (LOSS) 87.851.131.567 / Laba usaha 87.851.131.567 (Note 39 segment reporting)</t>
  </si>
  <si>
    <t>Beban keuangan (48.133.966.571)</t>
  </si>
  <si>
    <t>Laba sebelum pajak 48.273.695.591</t>
  </si>
  <si>
    <t>Laba Bersih 41.681 (jutaan Rp); Laba tahun berjalan 41.681.880.210</t>
  </si>
  <si>
    <t>Total laba(Rugi) komprehensif 41.847.418.667</t>
  </si>
  <si>
    <t>Jumlah Aset 3.001.138 (jutaan Rp); Total Aset 3.001.138.460.641</t>
  </si>
  <si>
    <t>Aset Lancar 1.433.684.734.604</t>
  </si>
  <si>
    <t>Non-Current Assets 1.567.453.726.037</t>
  </si>
  <si>
    <t>Jumlah Liabilitas 1.847.228 (jutaan Rp); 1.847.228.502.604</t>
  </si>
  <si>
    <t>Liabilitas Jangka Pendek 627.643.810.202</t>
  </si>
  <si>
    <t>Liabilitas Jangka Panjang 1.219.584.692.402</t>
  </si>
  <si>
    <t>Jumlah Ekuitas 1.153.909 (jutaan Rp); Total Equity 1.153.909.958.037</t>
  </si>
  <si>
    <t>Paid-in Capital</t>
  </si>
  <si>
    <t>Saldo per 31 Desember 2022 800.000.000.000 (Modal Saham)</t>
  </si>
  <si>
    <t>Saldo per 31 Desember 2022 330.440.553.043 (tambahan modal disetor)</t>
  </si>
  <si>
    <t>Jumlah Kas dan Bank 206.005.629.117</t>
  </si>
  <si>
    <t>Nilai piutang usaha Perseroan pada tanggal 31 Desember 2022 sebesar Rp 270.952.414.559</t>
  </si>
  <si>
    <t>Jumlah Persediaan 629.066.498.016</t>
  </si>
  <si>
    <t>Pinjaman bank (jangka pendek) 214.700.000.000</t>
  </si>
  <si>
    <t>Utang bank (current maturities) 14.759.885.760</t>
  </si>
  <si>
    <t>Utang bank jangka panjang 1.216.336.010.955</t>
  </si>
  <si>
    <t>Calculated: 214.7 + 14.76 + 1,216.34 = 1,445.8 bn</t>
  </si>
  <si>
    <t>CFO (Operating)</t>
  </si>
  <si>
    <t>Kas bersih diperoleh dari aktivitas operasi 62.444.656.738</t>
  </si>
  <si>
    <t>CFI (Investing)</t>
  </si>
  <si>
    <t>Kas bersih digunakan untuk aktivitas investasi (399.887.802.373)</t>
  </si>
  <si>
    <t>CFF (Financing)</t>
  </si>
  <si>
    <t>Kas bersih diperoleh dari aktivitas pendanaan 533.211.495.122</t>
  </si>
  <si>
    <t>Capex (Fixed Assets Addition)</t>
  </si>
  <si>
    <t>Fixed assets additions 2022: Building 252.7 + Heavy equip 19.5 + Vehicles 0.86 + Office equip 2.65 = ~275.7 bn; note 14: 275.659 bn total additions</t>
  </si>
  <si>
    <t>Laba (Rugi) persaham 5,80</t>
  </si>
  <si>
    <t>Tpta/Total 8,000,000,000 100% (31 Dec 2022)</t>
  </si>
  <si>
    <t>Desember Harga Penutupan 318</t>
  </si>
  <si>
    <t>Desember Kapitalisasi Pasar 2,544,000,000,000</t>
  </si>
  <si>
    <t>Current Ratio 2,28</t>
  </si>
  <si>
    <t>Liability to equity ratio 1,60</t>
  </si>
  <si>
    <t>Debt-to-Asset Ratio</t>
  </si>
  <si>
    <t>Liability to asset ratio 0,62</t>
  </si>
  <si>
    <t>Dividend</t>
  </si>
  <si>
    <t>No dividend 2022</t>
  </si>
  <si>
    <t>Perseroan belum membagikan Deviden di tahun 2022 dikarenakan masih dalam tahap pengembangan usaha</t>
  </si>
  <si>
    <t>Penambahan modal melalui Penerbitan Saham 366.885.000.000 (122.295 nominal + 244.590 agio)</t>
  </si>
  <si>
    <t>balance sheet</t>
  </si>
  <si>
    <t>Utang Usaha 356.838.018.427 (from 2023 AR comparative 31 Dec 2022)</t>
  </si>
  <si>
    <t>Planted Area (Total)</t>
  </si>
  <si>
    <t>Pada tanggal 31 Desember 2022, lahan yang telah ditanam oleh Perusahaan seluas 10.264,87 hektar</t>
  </si>
  <si>
    <t>Mature Planted Area</t>
  </si>
  <si>
    <t>areal yang telah menghasilkan seluas 9.370,35 hektar</t>
  </si>
  <si>
    <t>Immature Planted Area</t>
  </si>
  <si>
    <t>areal yang belum menghasilkan seluas 894,52 hektar</t>
  </si>
  <si>
    <t>HGU Area (Total)</t>
  </si>
  <si>
    <t>Hak Guna Usaha (HGU) total are 17,020 hectares, for a period of 35 years until 2055</t>
  </si>
  <si>
    <t>Biodiesel Plant Capacity</t>
  </si>
  <si>
    <t>TPD</t>
  </si>
  <si>
    <t>pabrik Biodiesel dengan kapasitas 1.500 Ton Per Hari... beroperasi sejak September 2021</t>
  </si>
  <si>
    <t>Cooking Oil Plant Capacity</t>
  </si>
  <si>
    <t>Cooking Oil with a capacity of 250 TPD, which will be marketed starting early 2023</t>
  </si>
  <si>
    <t>PKS (Palm Oil Mill) Capacity - Under Construction</t>
  </si>
  <si>
    <t>TPH</t>
  </si>
  <si>
    <t>PKS land with a capacity of 60 TPH has started in January 2022 and is planned to be completed in December 2023</t>
  </si>
  <si>
    <t>PKS (Palm Oil Mill) Count - Operating</t>
  </si>
  <si>
    <t>Currently, the Company is still taking CPO from third parties because the Company has not been able to process the FFB it has into CPO</t>
  </si>
  <si>
    <t>Fixed Assets Net Book Value</t>
  </si>
  <si>
    <t>Nilai tercatat neto 1.237.306.145.116</t>
  </si>
  <si>
    <t>Bearer Plants - Mature (NBV)</t>
  </si>
  <si>
    <t>Tanaman menghasilkan Nilai buku - bersih 84.889.061.286</t>
  </si>
  <si>
    <t>Bearer Plants - Immature (NBV)</t>
  </si>
  <si>
    <t>Tanaman belum menghasilkan Jumlah 158.844.584.721</t>
  </si>
  <si>
    <t>Nursery (NBV)</t>
  </si>
  <si>
    <t>Pembibitan Jumlah 46.058.628.220</t>
  </si>
  <si>
    <t>Plasma Plantation Area</t>
  </si>
  <si>
    <t>plasma plantations located in Kalimantan total area 518.12 hectares (signed Nov 2021 with Koperasi Jasa Maju Mulia Sejahtera for 4,064.3 Ha target)</t>
  </si>
  <si>
    <t>FFB Production</t>
  </si>
  <si>
    <t>hasil produksi Tandan Buah Segar (TBS) selama tahun 2022 secara target tercapai sebesar 167% dari yang ditargetkan sebesar 32.576 Ton, hasil yang dicapai sebesar 54.299 Ton</t>
  </si>
  <si>
    <t>FAME (Biodiesel) Production</t>
  </si>
  <si>
    <t>KL</t>
  </si>
  <si>
    <t>FAME... dari target 300.000 KL, hasil yang dicapai sebesar 308.142 KL</t>
  </si>
  <si>
    <t>FAME Allocation Quota (Pertamina)</t>
  </si>
  <si>
    <t>penetapan alokasi pengadaan Biodiesel/FAME... dalam Perjanjian No.KTR-160/PNE000000/2021-S0 sebesar 302.998 KL dalam jangka waktu pengadaan Januari-Desember 2022</t>
  </si>
  <si>
    <t>Biodiesel Segment Revenue</t>
  </si>
  <si>
    <t>Biodiesel Penjualan bersih 4.580.499.450.860</t>
  </si>
  <si>
    <t>FFB Segment Revenue</t>
  </si>
  <si>
    <t>Tandan buah segar Penjualan bersih 127.042.886.100</t>
  </si>
  <si>
    <t>FAME Revenue Target 2023</t>
  </si>
  <si>
    <t>1 Pendapatan/Penjualan Biodiesel Rp5.171.067.277.207,-</t>
  </si>
  <si>
    <t>Planned FAME Allocation 2023</t>
  </si>
  <si>
    <t>kontrak pengadaan Fatty Acid Methyl Ester (FAME) periode Januari - Desember 2023 sebanyak 250.206 KL dengan PT Pertamina Patra Niaga</t>
  </si>
  <si>
    <t>Inventory - FAME (Finished)</t>
  </si>
  <si>
    <t>Fatty acid methyl ester (FAME) 290.628.161.871</t>
  </si>
  <si>
    <t>Inventory - PFAD</t>
  </si>
  <si>
    <t>Palm fatty acid distillate (PFAD) 49.594.612.588</t>
  </si>
  <si>
    <t>Inventory - Crude Glycerin</t>
  </si>
  <si>
    <t>Crude glycerine (CG) 39.179.235.609</t>
  </si>
  <si>
    <t>Inventory - RBDPO (WIP)</t>
  </si>
  <si>
    <t>Refined, bleached deodorized Palm oil (RBDPO) 80.163.709.371</t>
  </si>
  <si>
    <t>Inventory - Olein</t>
  </si>
  <si>
    <t>Olein 17.977.257.690</t>
  </si>
  <si>
    <t>Main Customer</t>
  </si>
  <si>
    <t>PT Pertamina Patra Niaga</t>
  </si>
  <si>
    <t>sebagian besar pendapatan berasal dari PT Pertamina (Persero)... Perseroan memperoleh penetapan alokasi pengadaan Biodiesel/FAME ke PT Pertamina Patra Niaga</t>
  </si>
  <si>
    <t>FAME Avg Selling Price (2022 weighted)</t>
  </si>
  <si>
    <t>Rp/L</t>
  </si>
  <si>
    <t>harga rata-rata 2022 (Rp12.377/Lt) (as stated in 2023 AR comparative)</t>
  </si>
  <si>
    <t>Receivables Collection Ratio</t>
  </si>
  <si>
    <t>Tingkat Kolekbilitas Piutang 17,37</t>
  </si>
  <si>
    <t>IPO Fund Use - PKS Construction</t>
  </si>
  <si>
    <t>Rp18,397,264,000 has been used for the construction of the Palm Oil Mill</t>
  </si>
  <si>
    <t>IPO Fund Use - Working Capital</t>
  </si>
  <si>
    <t>IDR 285,825,596,904 for the Company's working capital needs</t>
  </si>
  <si>
    <t>IPO Fund Unused</t>
  </si>
  <si>
    <t>remaining IDR 57,581,692,139 has not yet been used because the Palm Oil Mill (PKS) is still under construction</t>
  </si>
  <si>
    <t>Employees - Full-time</t>
  </si>
  <si>
    <t>Not clearly stated in 2022 AR extracted</t>
  </si>
  <si>
    <t>JARR_2023_AR.pdf</t>
  </si>
  <si>
    <t>PT Jhonlin Agro Raya Tbk Annual Report 2023</t>
  </si>
  <si>
    <t>PT Eshan Agro Sentosa 7.997.556.204 84,64% Controller (Data per 31 Desember 2023)</t>
  </si>
  <si>
    <t>Shares Outstanding Dec 2023</t>
  </si>
  <si>
    <t>Total 9.230.665.050 100%</t>
  </si>
  <si>
    <t>Public 1.222.950.000 13,25%</t>
  </si>
  <si>
    <t>Ultimate Owners</t>
  </si>
  <si>
    <t>H. SAMSUDIN ANDI ARSYAD / H. SUDIRMAN ANDI ARSYAD / JHONY SAPUTRA via PT Jhonlin Group</t>
  </si>
  <si>
    <t>BAGAN UBO PT JHONLIN AGRO RAYA Tbk PER 31 DESEMBER 2023: H. SAMSUDIN ANDI ARSYAD 99,6% PT ESHAN RIMBA AGRO 7,42%... PT JHONLIN GROUP 92,51%... PT ESHAN AGRO RAYA 84,64%</t>
  </si>
  <si>
    <t>Business Merger</t>
  </si>
  <si>
    <t>Merger with PT Jhonlin Agro Lestari (JAL) 24 Nov 2023</t>
  </si>
  <si>
    <t>Deed of Merger No. 29 dated November 24, 2023... JAL's status is terminated by operation of law</t>
  </si>
  <si>
    <t>HGU Area (After Merger)</t>
  </si>
  <si>
    <t>perseroan memiliki lahan perkebunan kelapa sawit seluas 27.936,72 hektar</t>
  </si>
  <si>
    <t>Listing Board Move</t>
  </si>
  <si>
    <t>Moved from Development Board to Main Board 2023</t>
  </si>
  <si>
    <t>The Company moved from the listing board on the Indonesia Stock Exchange from the development board to the main board</t>
  </si>
  <si>
    <t>SALES Penjualan 4.442.279.649.263</t>
  </si>
  <si>
    <t>COST OF SALES Beban Pokok Penjualan (4.057.025.528.704)</t>
  </si>
  <si>
    <t>GROSS PROFIT Laba Bruto 385.254.120.559</t>
  </si>
  <si>
    <t>Operating Income (Laba Usaha)</t>
  </si>
  <si>
    <t>OPERATING INCOME Laba Usaha 252.824.251.187</t>
  </si>
  <si>
    <t>Financial expenses (48.111.414.101)</t>
  </si>
  <si>
    <t>PROFIT BEFORE INCOME TAX 217.199.008.780</t>
  </si>
  <si>
    <t>Net Income for the Year</t>
  </si>
  <si>
    <t>NET INCOME FOR THE YEAR Laba Bersih Tahun Berjalan 77.266.308.096 (after pro-forma adjustment of -90.97 bn from business combination under common control)</t>
  </si>
  <si>
    <t>Profit Before Pro-Forma Adjustment</t>
  </si>
  <si>
    <t>PROFIT BEFORE PRO FORMA ADJUSTMENT 168.238.197.739</t>
  </si>
  <si>
    <t>TOTAL ASSETS Jumlah Aset 3.652.686.220.005</t>
  </si>
  <si>
    <t>Aset lancar 1.352.081.262.260</t>
  </si>
  <si>
    <t>Aset Tidak Lancar 2.300.604.957.745</t>
  </si>
  <si>
    <t>TOTAL LIABILITIES Jumlah Liabilitas 2.211.114.704.243</t>
  </si>
  <si>
    <t>Liabilitas Jangka Pendek 365.656.547.353</t>
  </si>
  <si>
    <t>Liabilitas Jangka Panjang 1.845.458.156.890</t>
  </si>
  <si>
    <t>Total equity Jumlah Ekuitas 1.441.571.515.762</t>
  </si>
  <si>
    <t>Paid-in capital Modal Disetor 923.066.505.000</t>
  </si>
  <si>
    <t>Additional paid-in capital 417.865.230.717</t>
  </si>
  <si>
    <t>Retained Earnings</t>
  </si>
  <si>
    <t>Retained earnings (loss) Saldo laba 100.847.407.567</t>
  </si>
  <si>
    <t>Cash and bank Kas dan Bank 160.217.607.985</t>
  </si>
  <si>
    <t>Accounts receivable 373.771.150.742</t>
  </si>
  <si>
    <t>Inventory Persediaan 388.631 (from 2024 comparative: 388.631)</t>
  </si>
  <si>
    <t>Short-term Bank Loan (Pinjaman Bank)</t>
  </si>
  <si>
    <t>Bank loans Pinjaman Bank - (nil in 2023)</t>
  </si>
  <si>
    <t>Bank loans Utang Bank (current) 88.105.000.000</t>
  </si>
  <si>
    <t>Bank debt Utang Bank 1.835.853.697.143</t>
  </si>
  <si>
    <t>Jumlah 1.928.200.000.000 less unamortized arrangement cost 4.241.302.857 = 1.923.958.697.143 (PT Bank Mandiri 1,721.5 bn + BPD Kalsel 206.7 bn)</t>
  </si>
  <si>
    <t>Long-term Bank Loan - Bank Mandiri</t>
  </si>
  <si>
    <t>PT Bank Mandiri (Persero), Tbk 1.721.500.000.000</t>
  </si>
  <si>
    <t>Long-term Bank Loan - BPD Kalsel</t>
  </si>
  <si>
    <t>PT Bank Pembangunan Daerah Kalimantan Selatan 206.700.000.000</t>
  </si>
  <si>
    <t>CASH FLOWS FROM OPERATING ACTIVITIES 230.131.658.025</t>
  </si>
  <si>
    <t>CASH FLOWS FROM INVESTING ACTIVITIES (396.754.853.667)</t>
  </si>
  <si>
    <t>CASH FLOWS FROM FINANCING ACTIVITIES 115.681.892.200</t>
  </si>
  <si>
    <t>Capex (Fixed Assets Additions)</t>
  </si>
  <si>
    <t>Sum of 2023 investments: Tanah 9.77 + Mesin/Peralatan 144.78 + Bangunan 253.91 + Alat berat 24.79 + Kendaraan 5.40 + Peralatan kantor 1.97 + AUC 40.29 = ~481 bn (Note 15 additions 284.47 excluding construction; Note 15 total 1,549.5 → 1,833.97 = 284.47 bn gross asset additions)</t>
  </si>
  <si>
    <t>BASIC EARNINGS PER SHARE 8,37</t>
  </si>
  <si>
    <t>December Closing Price 248</t>
  </si>
  <si>
    <t>12 December 2,289,204,932,400</t>
  </si>
  <si>
    <t>Rasio tingkat likuiditas Perseroan pada tanggal 31 Desember 2023 sebesar 3,70 (also Current Ratio 370%)</t>
  </si>
  <si>
    <t>Debt to equity ratio 153%</t>
  </si>
  <si>
    <t>Liability to asset ratio 0,61</t>
  </si>
  <si>
    <t>New Investment Credit (Bank Mandiri)</t>
  </si>
  <si>
    <t>Pada tanggal 6 November 2023, Perusahaan menandatangani perjanjian pinjaman fasilitas Kredit Investasi senilai Rp.500.000.000.000. Jangka waktu pinjaman 86 bulan... Suku bunga adalah 7,50% per tahun</t>
  </si>
  <si>
    <t>Planted Area (Total, After Merger)</t>
  </si>
  <si>
    <t>Pada tanggal 31 Desember 2023, lahan yang telah ditanam oleh Perusahaan seluas 17.964,70 hektar</t>
  </si>
  <si>
    <t>areal yang telah menghasilkan seluas 14.961,46 hektar</t>
  </si>
  <si>
    <t>areal yang belum menghasilkan seluas 3.003,24 hektar</t>
  </si>
  <si>
    <t>Hak Guna Usaha (HGU) total are 27,936.72 hectares, for a period of 35 years until 2055</t>
  </si>
  <si>
    <t>plasma plantations which located in Kalimantan total area 518.12 hectares (Koperasi Jasa Maju Mulia Sejahtera)</t>
  </si>
  <si>
    <t>Bearer Plants Fair Value</t>
  </si>
  <si>
    <t>Perusahaan mengestimasi nilai wajar untuk tanaman produktif milik Perusahaan sebesar Rp1.669.557.050.000 (independent appraiser Ruky, Safrudin &amp; Rekan)</t>
  </si>
  <si>
    <t>Nilai tercatat neto 1.535.317.762.580</t>
  </si>
  <si>
    <t>Producing plants 348.760.715.276</t>
  </si>
  <si>
    <t>Non-yielding crops 365.940.634.821</t>
  </si>
  <si>
    <t>Nursery 23.126.772.016</t>
  </si>
  <si>
    <t>Perseroan memiliki pabrik Biodiesel dengan kapasitas 1.500 Ton Per Hari</t>
  </si>
  <si>
    <t>Pabrik Minyak Goreng dengan kapasitas 250 TPD yang telah dipasarkan mulai awal tahun 2023</t>
  </si>
  <si>
    <t>PKS (Palm Oil Mill) Capacity</t>
  </si>
  <si>
    <t>Perseroan sedang membangun Pabrik Kelapa Sawit dengan kapasitas 60 Ton per jam (completing 2023)</t>
  </si>
  <si>
    <t>produksi Tandan Buah Segar (TBS) selama tahun 2023... dari yang ditargetkan sebesar 154.314,15 Ton, hasil yang dicapai sebesar 208.106,98 Ton (135% of target)</t>
  </si>
  <si>
    <t>penjualan FAME selama tahun 2023 secara target tercapai sebesar 93% dari yang ditargetkan sebesar 333.562 KL, hasil yang dicapai sebesar 310.678 KL</t>
  </si>
  <si>
    <t>FAME Avg Selling Price</t>
  </si>
  <si>
    <t>harga rata-rata 2023 (Rp10.985/Lt) lebih rendah dari tahun 2022 (Rp12.377/Lt)</t>
  </si>
  <si>
    <t>segment</t>
  </si>
  <si>
    <t>Penjualan bersih 4.043.774.963.948 (Biodiesel segment)</t>
  </si>
  <si>
    <t>Penjualan bersih 398.504.685.315 (FFB segment 2023)</t>
  </si>
  <si>
    <t>Biological Assets (Growing FFB, Fair Value)</t>
  </si>
  <si>
    <t>Aset biologis Jumlah 23.358.068.000; Estimated FFB 1 month future: 14,732 ton (31 Dec 2023)</t>
  </si>
  <si>
    <t>Pendapatan Perseroan sebagian besar diperoleh dari hasil penjualan produk FAME kepada PT Pertamina Patra Niaga (Persero)</t>
  </si>
  <si>
    <t>Tingkat Kolekbilitas Piutang Perseroan 12 kali</t>
  </si>
  <si>
    <t>CPO Internal Production Target 2024</t>
  </si>
  <si>
    <t>20%</t>
  </si>
  <si>
    <t>Increase internal CPO production by 20% of total CPO purchases in 2024, in line with the completion of Palm Oil Mill Construction at the end of 2023</t>
  </si>
  <si>
    <t>IPO Fund Use Complete</t>
  </si>
  <si>
    <t>361.8 bn fully used by 2023</t>
  </si>
  <si>
    <t>Perseroan telah... seluruhnya oleh Perseroan untuk modal usaha dan operasional di tahun 2022 dan 2023</t>
  </si>
  <si>
    <t>JARR_2024_AR.pdf</t>
  </si>
  <si>
    <t>PT Jhonlin Agro Raya Tbk Annual Report 2024 - Bersinergi untuk Alam, Tumbuh Berkelanjutan</t>
  </si>
  <si>
    <t>PT Eshan Agro Sentosa 86.64%</t>
  </si>
  <si>
    <t>PT Eshan Agro Sentosa 7.997.556.204 86,64% Pengendali (Data per 31 Desember 2024)</t>
  </si>
  <si>
    <t>Total 9.230.665.050 100% (31 Dec 2024)</t>
  </si>
  <si>
    <t>Heliantono &amp; Rekan</t>
  </si>
  <si>
    <t>Untuk tahun 2024 diaudit oleh Kantor Akuntan Publik Heliantono &amp; Rekan</t>
  </si>
  <si>
    <t>perkebunan kelapa sawit seluas 27.936,72 hektar</t>
  </si>
  <si>
    <t>PENJUALAN SALES 3.864.889 (in million Rupiah)</t>
  </si>
  <si>
    <t>BEBAN POKOK PENJUALAN (3.383.604)</t>
  </si>
  <si>
    <t>LABA BRUTO GROSS PROFIT 481.285</t>
  </si>
  <si>
    <t>Beban umum dan administrasi (71.774)</t>
  </si>
  <si>
    <t>LABA USAHA OPERATING INCOME 416.186</t>
  </si>
  <si>
    <t>Bebas Keuangan Financial expenses (90.145)</t>
  </si>
  <si>
    <t>LABA SEBELUM PAJAK PENGHASILAN PROFIT BEFORE INCOME TAX 334.602</t>
  </si>
  <si>
    <t>Manfaat (beban) pajak penghasilan (73.876)</t>
  </si>
  <si>
    <t>LABA BERSIH TAHUN BERJALAN NET INCOME FOR THE YEAR 260.726</t>
  </si>
  <si>
    <t>JUMLAH PENGHASILAN KOMPREHENSIF TAHUN BERJALAN 259.791</t>
  </si>
  <si>
    <t>Jumlah Aset Total Asset 4.105.433</t>
  </si>
  <si>
    <t>Aset Lancar Current assets 1.922.274; Jumlah Aset Lancar 1.922.274.094.835</t>
  </si>
  <si>
    <t>Aset Tidak Lancar Non-Current Assets 2.183.159; 2.183.158.956.225</t>
  </si>
  <si>
    <t>JUMLAH LIABILITAS TOTAL LIABILITIES 2.404.070</t>
  </si>
  <si>
    <t>Liabilitas Jangka Pendek 601.867</t>
  </si>
  <si>
    <t>Liabilitas Jangka Panjang 1.802.203</t>
  </si>
  <si>
    <t>Jumlah Ekuitas Total equity 1.701.363; Saldo 31 Desember 2024 1.701.362.861.803</t>
  </si>
  <si>
    <t>Modal Disetor Paid-in capital 923.067</t>
  </si>
  <si>
    <t>Tambahan modal disetor 417.865</t>
  </si>
  <si>
    <t>Saldo laba (rugi) Retained earnings 361.573; 361.572.939.024</t>
  </si>
  <si>
    <t>Kas dan bank Cash and bank 252.160; 252.160.434.253</t>
  </si>
  <si>
    <t>Piutang Usaha Accounts receivable 669.992; Nilai piutang usaha Perseroan pada tanggal 31 Desember 2024 sebesar Rp 669.991.595.699</t>
  </si>
  <si>
    <t>Persediaan Inventory 427.178; 427.178.162.444</t>
  </si>
  <si>
    <t>Utang Bank Bank loans 64.500</t>
  </si>
  <si>
    <t>Utang Bank Bank debt 1.790.073</t>
  </si>
  <si>
    <t>Calculated: 64.5 + 1,790.1 = 1,854.6 bn</t>
  </si>
  <si>
    <t>Utang Usaha Trade payables 467.223</t>
  </si>
  <si>
    <t>Utang Pajak Tax payable 52.566</t>
  </si>
  <si>
    <t>ARUS KAS DARI AKTIVITAS OPERASI 252.587</t>
  </si>
  <si>
    <t>ARUS KAS DARI AKTIVITAS INVENTARIS (74.619)</t>
  </si>
  <si>
    <t>ARUS KAS DARI AKTIVITAS PENDANAAN (86.025)</t>
  </si>
  <si>
    <t>Sum of 2024 investments: Mesin &amp; peralatan 3.11 + Bangunan 0.88 + Alat berat 6.13 + Peralatan kantor 1.35 + AUC 3.56 = Rp15.03 bn; Note 15: Total acquisition additions 15.027.620.375</t>
  </si>
  <si>
    <t>Depreciation (Fixed Assets)</t>
  </si>
  <si>
    <t>Jumlah 133.534.749.177 (depreciation expense 2024)</t>
  </si>
  <si>
    <t>LABA PER SAHAM DASAR BASIC EARNINGS PER SHARE 28,25</t>
  </si>
  <si>
    <t>Desember Harga Penutupan 310; Kurs Akhir 310</t>
  </si>
  <si>
    <t>12 Desember Kapitalisasi Pasar 2,861,506,165,500</t>
  </si>
  <si>
    <t>Rasio Lancar Current Ratio 3,19</t>
  </si>
  <si>
    <t>Rasio Liabilitas Terhadap Ekuitas Liability to equity ratio 1,41</t>
  </si>
  <si>
    <t>Rasio Liabilitas Terhadap Aset Liability to asset ratio 0,59</t>
  </si>
  <si>
    <t>Rasio Laba (Rugi) Terhadap Jumlah Aset 0,06</t>
  </si>
  <si>
    <t>Profit (Loss) to equity ratio 0,15</t>
  </si>
  <si>
    <t>Rasio Laba (Rugi) Terhadap Pendapatan/Penjualan 0,07</t>
  </si>
  <si>
    <t>Total Asset Turnover</t>
  </si>
  <si>
    <t>Rasio Total Asset Turnover 0,94</t>
  </si>
  <si>
    <t>Pada tanggal 31 Desember 2024, lahan yang telah ditanam oleh Perusahaan seluas 18.226,09 hektar</t>
  </si>
  <si>
    <t>areal yang telah menghasilkan seluas 10.667,64 hektar</t>
  </si>
  <si>
    <t>areal yang belum menghasilkan seluas 7.558,45 hektar</t>
  </si>
  <si>
    <t>27.936,72 hektar, dengan jangka waktu 35 tahun</t>
  </si>
  <si>
    <t>plantation located in Kalimantan seluas 518,12 hektar</t>
  </si>
  <si>
    <t>Rp1.911.669.884.000 (fair value per Ruky, Safrudin &amp; Rekan appraisal March 2025)</t>
  </si>
  <si>
    <t>Tanaman menghasilkan 390.525 (bersih setelah penyusutan)</t>
  </si>
  <si>
    <t>Tanaman belum menghasilkan 373.841</t>
  </si>
  <si>
    <t>Pembibitan Nursery 16.704</t>
  </si>
  <si>
    <t>Nilai tercatat neto 1.376.288.785.447</t>
  </si>
  <si>
    <t>Biological Assets (Growing FFB)</t>
  </si>
  <si>
    <t>Aset Biologis Biological assets 30.032; 30.032.456.000</t>
  </si>
  <si>
    <t>Perseroan memiliki Pabrik Biodiesel 1500 TPD berlokasi di Batulicin</t>
  </si>
  <si>
    <t>membangun Pabrik Kelapa Sawit dengan kapasitas 60 Ton per jam... completed late 2023; ~15% of CPO processed internally in 2024</t>
  </si>
  <si>
    <t>Minyak Goreng dengan kapasita 250 TPD</t>
  </si>
  <si>
    <t>produksi Tanam Buah Segar (TBS) selama tahun 2024 secara target tercapai sebesar 65% dari ditargetkan sebesar 244.080 Ton, hasil yang dicapai sebesar 159.688 Ton</t>
  </si>
  <si>
    <t>FAME Production/Sales</t>
  </si>
  <si>
    <t>penjualan FAME selama tahun 2024 sebesar 272.596 KL sedangkan pada tahun 2023 sebesar 310.678 KL</t>
  </si>
  <si>
    <t>Internal CPO Share</t>
  </si>
  <si>
    <t>15%</t>
  </si>
  <si>
    <t>15% dari total CPO produksi/olah merupakan CPO Internal</t>
  </si>
  <si>
    <t>Internal CPO Target 2025</t>
  </si>
  <si>
    <t>20-25%</t>
  </si>
  <si>
    <t>Meningkatkan produksi CPO dari internal sebesar 15% dari total pembelian CPO ditahun 2024 menjadi 20-25% di 2025</t>
  </si>
  <si>
    <t>FAME Contract - PT AKR Corporindo</t>
  </si>
  <si>
    <t>Fatty Acid Methyl Ester (FAME) periode Januari - Desember 2024 totaling 119,758 KL with PT AKR</t>
  </si>
  <si>
    <t>FAME Contract - PT Andifa Perkasa Energi</t>
  </si>
  <si>
    <t>Fatty Acid Methyl Ester (FAME) December 2024 totaling 43,077 KL with PT Andifa</t>
  </si>
  <si>
    <t>FAME Contract - PT Pertamina Patra Niaga</t>
  </si>
  <si>
    <t>Biodiesel atau Fatty Acid Methyl Ester (FAME) December 2024 totaling 155,919 KL with PT Pertamina Patra Niaga</t>
  </si>
  <si>
    <t>EBITDA/Revenue Ratio</t>
  </si>
  <si>
    <t>Rasio EBITDA Terhadap Pendapatan/Penjualan 6,15 (reported as 6.15%)</t>
  </si>
  <si>
    <t>tingkat kolektabilitas piutang Perseroan sebesar 7 kali</t>
  </si>
  <si>
    <t>Indonesia Biodiesel Allocation 2024</t>
  </si>
  <si>
    <t>pemerintah menetapkan alokasi distribusi biodiesel sebesar 13,41 juta kiloliter (kL) pada tahun 2024</t>
  </si>
  <si>
    <t>Indonesia Biodiesel Production 2024</t>
  </si>
  <si>
    <t>Selama tahun 2024, produksi biodiesel Indonesia tercatat mencapai 13,15 juta kL</t>
  </si>
  <si>
    <t>B35 Program</t>
  </si>
  <si>
    <t>Active throughout 2024; transition to B40 planned</t>
  </si>
  <si>
    <t>pemerintah meningkatkan kadar pencampuran biodiesel menjadi 35% (B35) sejak Februari 2023 dan mempertahankan nya sepanjang tahun 2024</t>
  </si>
  <si>
    <t>PT Jaya Agra Wattie Tbk</t>
  </si>
  <si>
    <t>JAWA_2022_AR.pdf</t>
  </si>
  <si>
    <t>PT Jaya Agra Wattie, Tbk</t>
  </si>
  <si>
    <t>kode saham JAWA</t>
  </si>
  <si>
    <t>PT Sarana Agro Investama 80.00%</t>
  </si>
  <si>
    <t>PT Sarana Agro Investama 3,019,748,385 80.00%</t>
  </si>
  <si>
    <t>Masyarakat 754,804,615 19.996%</t>
  </si>
  <si>
    <t>Rohadi Shares</t>
  </si>
  <si>
    <t>Rohadi 132,500 0.004%</t>
  </si>
  <si>
    <t>Total Shares</t>
  </si>
  <si>
    <t>3,774,685,500 shares total outstanding</t>
  </si>
  <si>
    <t>EGMS 19 Dec 2022 - SAI Loan</t>
  </si>
  <si>
    <t>EGMS approved Rp1 trillion zero-interest loan from PT Sarana Agro Investama</t>
  </si>
  <si>
    <t>Suspensions</t>
  </si>
  <si>
    <t>None in 2022</t>
  </si>
  <si>
    <t>Tidak ada suspensi terhadap saham Perseroan selama tahun 2022</t>
  </si>
  <si>
    <t>Penjualan Bersih 971,542 (Rp juta)</t>
  </si>
  <si>
    <t>Laba Kotor 27,297</t>
  </si>
  <si>
    <t>Beban Pokok Penjualan (944,245)</t>
  </si>
  <si>
    <t>Beban Usaha (57,335)</t>
  </si>
  <si>
    <t>EBIT (Operating Loss)</t>
  </si>
  <si>
    <t>Calculated: GP 27,297 - OpEx 57,335 = -30,038 (operating loss)</t>
  </si>
  <si>
    <t>Net Loss for Year</t>
  </si>
  <si>
    <t>Laba (Rugi) Tahun Berjalan (301,813)</t>
  </si>
  <si>
    <t>Loss to Parent</t>
  </si>
  <si>
    <t>Pemilik Entitas Induk (300,206)</t>
  </si>
  <si>
    <t>Laba (Rugi) per Saham (80)</t>
  </si>
  <si>
    <t>Total Aset 3,589,642</t>
  </si>
  <si>
    <t>Total Aset Lancar 262,493</t>
  </si>
  <si>
    <t>Total Aset Tidak Lancar 3,327,149</t>
  </si>
  <si>
    <t>Total Liabilitas 3,471,237</t>
  </si>
  <si>
    <t>Total Liabilitas Jangka Pendek 655,779</t>
  </si>
  <si>
    <t>Total Liabilitas Jangka Panjang 2,815,458</t>
  </si>
  <si>
    <t>Total Ekuitas 118,405</t>
  </si>
  <si>
    <t>Cash &amp; Bank</t>
  </si>
  <si>
    <t>Kas dan bank 1,982,725,868 (vs 12,756,061,463 in 2021)</t>
  </si>
  <si>
    <t>Utang bank jangka pendek 125,000,000,000</t>
  </si>
  <si>
    <t>Current Portion LT Bank Loan</t>
  </si>
  <si>
    <t>Bank loan current maturity 279,309,068,594</t>
  </si>
  <si>
    <t>LT Bank Loan (non-current)</t>
  </si>
  <si>
    <t>Utang bank jangka panjang 1,830,681,955,506</t>
  </si>
  <si>
    <t>Gross Bank Debt (ST+LT)</t>
  </si>
  <si>
    <t>ST 125,000,000,000 + LT 2,109,991,024,100 = Rp2,234.99 bn</t>
  </si>
  <si>
    <t>LT Related Party Loan (SAI)</t>
  </si>
  <si>
    <t>Utang lain-lain jangka panjang pihak berelasi 949,858,519,266</t>
  </si>
  <si>
    <t>Inventory</t>
  </si>
  <si>
    <t>Persediaan Rp160 miliar</t>
  </si>
  <si>
    <t>Fixed Assets (net)</t>
  </si>
  <si>
    <t>Aset Tetap Rp793 miliar</t>
  </si>
  <si>
    <t>Mature Plantations (net)</t>
  </si>
  <si>
    <t>Tanaman menghasilkan - neto 1,059,237,969,295</t>
  </si>
  <si>
    <t>Immature Plantations</t>
  </si>
  <si>
    <t>Tanaman belum menghasilkan 1,030,619,311,476</t>
  </si>
  <si>
    <t>Plasma Receivables</t>
  </si>
  <si>
    <t>Piutang plasma 345,420,951,489</t>
  </si>
  <si>
    <t>Belum dicadangkan (1,341,979,294,646)</t>
  </si>
  <si>
    <t>Arus Kas dari Aktivitas Operasi (138,046)</t>
  </si>
  <si>
    <t>Arus Kas dari Aktivitas Investasi (104,537)</t>
  </si>
  <si>
    <t>Arus Kas dari Aktivitas Pendanaan 231,810</t>
  </si>
  <si>
    <t>Related Party Loan Received 2022</t>
  </si>
  <si>
    <t>menerima pinjaman dari pihak berelasi sebesar Rp461.30 miliar</t>
  </si>
  <si>
    <t>LT Bank Loan Paid 2022</t>
  </si>
  <si>
    <t>membayar utang bank jangka panjang sebesar Rp228 miliar</t>
  </si>
  <si>
    <t>Pengeluaran modal 53,573,041,688 (segment total 2022 per FY2023 comparative)</t>
  </si>
  <si>
    <t>Depreciation &amp; Amortization</t>
  </si>
  <si>
    <t>Penyusutan dan amortisasi 113,087,006,385 (segment total 2022)</t>
  </si>
  <si>
    <t>Total 3,774,685,500 shares</t>
  </si>
  <si>
    <t>Q4 2022 Triwulan IV 146 105 105</t>
  </si>
  <si>
    <t>Market Cap Dec 2022</t>
  </si>
  <si>
    <t>Desember 2022 Rp396,341,977,500</t>
  </si>
  <si>
    <t>Rasio Lancar 40.03%</t>
  </si>
  <si>
    <t>DER (Liab/Equity)</t>
  </si>
  <si>
    <t>Rasio Liabilitas Terhadap Ekuitas 2,931.67%</t>
  </si>
  <si>
    <t>Return on Assets -8.41%</t>
  </si>
  <si>
    <t>Return on Equity -254.90%</t>
  </si>
  <si>
    <t>Gross Profit Margin 2.81%</t>
  </si>
  <si>
    <t>Jumlah Tertanam 44,027</t>
  </si>
  <si>
    <t>Inti Tertanam Sub Jumlah 37,515</t>
  </si>
  <si>
    <t>Plasma Tertanam 6,512</t>
  </si>
  <si>
    <t>Mature Plants Total</t>
  </si>
  <si>
    <t>Total TM 31,524</t>
  </si>
  <si>
    <t>Immature Plants Total</t>
  </si>
  <si>
    <t>Total TBM 12,503</t>
  </si>
  <si>
    <t>Palm HGU Area</t>
  </si>
  <si>
    <t>business</t>
  </si>
  <si>
    <t>perkebunan kelapa sawit ... 29,723 Ha di Kalimantan Selatan</t>
  </si>
  <si>
    <t>Palm Nucleus Planted</t>
  </si>
  <si>
    <t>kebun inti seluas 21,407 Ha</t>
  </si>
  <si>
    <t>Rubber HGU Area</t>
  </si>
  <si>
    <t>perkebunan karet ... 39,334 Ha</t>
  </si>
  <si>
    <t>ops</t>
  </si>
  <si>
    <t>2 POM Kintap + Marabahan</t>
  </si>
  <si>
    <t>POM Total Capacity</t>
  </si>
  <si>
    <t>t/hr</t>
  </si>
  <si>
    <t>total 90 ton/jam (total palm mill capacity)</t>
  </si>
  <si>
    <t>POM Design Capacity</t>
  </si>
  <si>
    <t>t/y</t>
  </si>
  <si>
    <t>Total Kapasitas Terpasang 513,000 ton</t>
  </si>
  <si>
    <t>POM Used Capacity</t>
  </si>
  <si>
    <t>Total Kapasitas Terpakai 234,924 (45.79%)</t>
  </si>
  <si>
    <t>Rubber Sheet Capacity</t>
  </si>
  <si>
    <t>Total Kapasitas Terpasang 6,386 (rubber sheet)</t>
  </si>
  <si>
    <t>Rubber Crumb Capacity</t>
  </si>
  <si>
    <t>Total Kapasitas Terpasang 26,040 (rubber crumb)</t>
  </si>
  <si>
    <t>FFB Production (Nucleus)</t>
  </si>
  <si>
    <t>TBS Inti 81,206 (-10%)</t>
  </si>
  <si>
    <t>CPO 47,983 (+23%)</t>
  </si>
  <si>
    <t>Kernel 8,573 (+25%)</t>
  </si>
  <si>
    <t>Rubber Nucleus Production</t>
  </si>
  <si>
    <t>Karet - Inti 6,280 (-6%)</t>
  </si>
  <si>
    <t>Rubber SH Production</t>
  </si>
  <si>
    <t>Karet - SH 8,655 (-7%)</t>
  </si>
  <si>
    <t>Coffee Production</t>
  </si>
  <si>
    <t>Kopi 23 ton</t>
  </si>
  <si>
    <t>Tea Production</t>
  </si>
  <si>
    <t>Teh - Pucuk 1,676 (+31%)</t>
  </si>
  <si>
    <t>Hasil TBS 4.94 Ton/Ha (-10%)</t>
  </si>
  <si>
    <t>Tingkat Ekstraksi CPO 20.42%</t>
  </si>
  <si>
    <t>Tingkat Ekstraksi Kernel 3.65%</t>
  </si>
  <si>
    <t>Hasil CPO 1.01</t>
  </si>
  <si>
    <t>FFB Utilization</t>
  </si>
  <si>
    <t>TBS 45.79%</t>
  </si>
  <si>
    <t>SIR Utilization</t>
  </si>
  <si>
    <t>SIR 48.00%</t>
  </si>
  <si>
    <t>RSS Utilization</t>
  </si>
  <si>
    <t>RSS 38.15%</t>
  </si>
  <si>
    <t>CPO 45,918 (+17%)</t>
  </si>
  <si>
    <t>Kernel 6,941</t>
  </si>
  <si>
    <t>SIR Sales Volume</t>
  </si>
  <si>
    <t>SIR 11,415</t>
  </si>
  <si>
    <t>RSS Sales Volume</t>
  </si>
  <si>
    <t>RSS 2,188</t>
  </si>
  <si>
    <t>Avg CPO Price</t>
  </si>
  <si>
    <t>CPO Rp'000/ton 12,337 (+12%)</t>
  </si>
  <si>
    <t>Avg Kernel Price</t>
  </si>
  <si>
    <t>Kernel 8,175 (+20%)</t>
  </si>
  <si>
    <t>Avg SIR Price</t>
  </si>
  <si>
    <t>SIR 24,526 (-2%)</t>
  </si>
  <si>
    <t>Avg RSS Price</t>
  </si>
  <si>
    <t>RSS 27,346</t>
  </si>
  <si>
    <t>JAWA_2023_AR.pdf</t>
  </si>
  <si>
    <t>Controlling Shareholder Post-PMTHMETD</t>
  </si>
  <si>
    <t>PT Sarana Agro Investama 95.35%</t>
  </si>
  <si>
    <t>PT Sarana Agro Investama 15,478,014,727 95.35%</t>
  </si>
  <si>
    <t>PMTHMETD 2023 - Shares Issued</t>
  </si>
  <si>
    <t>Jumlah Saham Tambahan Hasil Pelaksanaan PMTHMETD 12,458,266,342</t>
  </si>
  <si>
    <t>PMTHMETD Exercise Date</t>
  </si>
  <si>
    <t>22 November 2023</t>
  </si>
  <si>
    <t>Tanggal Pelaksanaan 22 November 2023</t>
  </si>
  <si>
    <t>Dilution Impact</t>
  </si>
  <si>
    <t>Dampak Dilusi 76.7427%</t>
  </si>
  <si>
    <t>Special Monitoring Listing</t>
  </si>
  <si>
    <t>Criteria 10, 1-30 Nov 2023</t>
  </si>
  <si>
    <t>Efek bersifat Ekuitas dalam Pemantauan Khusus dengan Kriteria 10</t>
  </si>
  <si>
    <t>Trading Suspensions 2023</t>
  </si>
  <si>
    <t>10-11 Oct 2023 and 17-31 Oct 2023</t>
  </si>
  <si>
    <t>Perseroan mengalami penghentian sementara oleh BEI</t>
  </si>
  <si>
    <t>Employee Count</t>
  </si>
  <si>
    <t>7,148 orang pada 2023</t>
  </si>
  <si>
    <t>Penjualan Bersih 896,152 (Rp juta)</t>
  </si>
  <si>
    <t>Laba Kotor (15,961) - negative</t>
  </si>
  <si>
    <t>Beban Pokok Penjualan 912,113</t>
  </si>
  <si>
    <t>Beban Usaha (57,298)</t>
  </si>
  <si>
    <t>Laba (rugi) usaha segmen (73,259,743,565) consolidated</t>
  </si>
  <si>
    <t>Laba (Rugi) Tahun Berjalan (303,853)</t>
  </si>
  <si>
    <t>Pemilik Entitas Induk (302,478)</t>
  </si>
  <si>
    <t>Laba/(Rugi) per Saham Dasar (59)</t>
  </si>
  <si>
    <t>Total Aset 3,656,227</t>
  </si>
  <si>
    <t>Aset Lancar 271,713</t>
  </si>
  <si>
    <t>Aset Tidak Lancar 3,384,514</t>
  </si>
  <si>
    <t>Total Liabilitas 2,674,645</t>
  </si>
  <si>
    <t>Total Liabilitas Jangka Pendek 601,804,243,185</t>
  </si>
  <si>
    <t>Total Liabilitas Jangka Panjang 2,072,840,543,159</t>
  </si>
  <si>
    <t>Total Ekuitas 981,582</t>
  </si>
  <si>
    <t>Kas dan bank 7,031,222,760</t>
  </si>
  <si>
    <t>Bank loan (current maturity) 228,525,601,569</t>
  </si>
  <si>
    <t>Utang bank jangka panjang 1,610,232,549,323</t>
  </si>
  <si>
    <t>ST 125,000,000,000 + LT 1,838,758,150,892 = Rp1,963.76 bn</t>
  </si>
  <si>
    <t>LT Related Party Loan (SAI, post-conversion)</t>
  </si>
  <si>
    <t>Utang lain-lain jangka panjang pihak berelasi 417,056,464,707 (down from 949.9 bn in 2022 after debt-to-equity conversion)</t>
  </si>
  <si>
    <t>Piutang usaha 26,591,795,300</t>
  </si>
  <si>
    <t>Persediaan 129,099,367,556</t>
  </si>
  <si>
    <t>Biological Assets</t>
  </si>
  <si>
    <t>Aset biologis 53,567,323,939</t>
  </si>
  <si>
    <t>Piutang plasma 402,917,530,491</t>
  </si>
  <si>
    <t>Tanaman menghasilkan - neto 1,007,359,339,490</t>
  </si>
  <si>
    <t>Tanaman belum menghasilkan 1,081,247,375,857</t>
  </si>
  <si>
    <t>Aset tetap - neto 745,747,953,016</t>
  </si>
  <si>
    <t>Goodwill 17,979,322,415</t>
  </si>
  <si>
    <t>Issued &amp; Paid Capital</t>
  </si>
  <si>
    <t>Modal ditempatkan dan disetor 1,623,295,184,200 (vs 377 bn in 2022)</t>
  </si>
  <si>
    <t>Tambahan modal disetor 434,217,673,015</t>
  </si>
  <si>
    <t>Belum dicadangkan (1,644,457,745,904)</t>
  </si>
  <si>
    <t>Arus Kas dari Aktivitas Operasi (120,702)</t>
  </si>
  <si>
    <t>Arus Kas dari Aktivitas Investasi (145,665)</t>
  </si>
  <si>
    <t>Arus Kas dari Aktivitas Pendanaan 271,415</t>
  </si>
  <si>
    <t>Pengeluaran modal 81,415,305,271</t>
  </si>
  <si>
    <t>Penyusutan dan amortisasi 116,585,062,186</t>
  </si>
  <si>
    <t>Shares Outstanding Post-PMTHMETD</t>
  </si>
  <si>
    <t>Jumlah Saham Setelah PMTHMETD 16,232,951,842</t>
  </si>
  <si>
    <t>IV 228 64 180 (Q4 close)</t>
  </si>
  <si>
    <t>Kapitalisasi Pasar IV 2,921,931,331,560</t>
  </si>
  <si>
    <t>Rasio Lancar 45.15%</t>
  </si>
  <si>
    <t>Rasio Liabilitas Terhadap Ekuitas 272.48%</t>
  </si>
  <si>
    <t>Return on Assets (8.31%)</t>
  </si>
  <si>
    <t>Return on Equity (30.96%)</t>
  </si>
  <si>
    <t>Gross Profit Margin (1.78%)</t>
  </si>
  <si>
    <t>Plasma Tertanam Sub Jumlah 6,512</t>
  </si>
  <si>
    <t>Tanaman Menghasilkan 31,673</t>
  </si>
  <si>
    <t>Tanaman Belum Menghasilkan 12,354</t>
  </si>
  <si>
    <t>Mature Nucleus</t>
  </si>
  <si>
    <t>Inti TM 27,621</t>
  </si>
  <si>
    <t>2 Palm oil mills in Kintap + Marabahan</t>
  </si>
  <si>
    <t>Kapasitas Terpasang 513,000</t>
  </si>
  <si>
    <t>Kapasitas Terpakai 258,416 (50.40%)</t>
  </si>
  <si>
    <t>Rubber Sheet Plants Capacity</t>
  </si>
  <si>
    <t>Kapasitas Terpasang 6,386 (rubber sheet)</t>
  </si>
  <si>
    <t>Kapasitas Terpasang 26,040 (rubber crumb)</t>
  </si>
  <si>
    <t>TBS - Inti 98,357 (+21%)</t>
  </si>
  <si>
    <t>CPO 53,447 (+11%)</t>
  </si>
  <si>
    <t>Kernel 9,534 (+11%)</t>
  </si>
  <si>
    <t>Karet Inti 5,623 (-10%)</t>
  </si>
  <si>
    <t>Karet SH 3,920 (-55%)</t>
  </si>
  <si>
    <t>Kopi 22</t>
  </si>
  <si>
    <t>Teh 998 (-40%)</t>
  </si>
  <si>
    <t>Hasil TBS 5.99 (+21%)</t>
  </si>
  <si>
    <t>Tingkat Ekstraksi CPO 20.68%</t>
  </si>
  <si>
    <t>Tingkat Ekstraksi Kernel 3.69%</t>
  </si>
  <si>
    <t>Hasil CPO 1.24</t>
  </si>
  <si>
    <t>TBS | FFB 50.37%</t>
  </si>
  <si>
    <t>Rubber SIR Utilization</t>
  </si>
  <si>
    <t>SIR 30.70%</t>
  </si>
  <si>
    <t>CPO 54,767 (+19%)</t>
  </si>
  <si>
    <t>Kernel 11,000 (+58%)</t>
  </si>
  <si>
    <t>SIR 8,426 (-26%)</t>
  </si>
  <si>
    <t>RSS 2,129</t>
  </si>
  <si>
    <t>CPO 11,039 Rp/ton (-11%)</t>
  </si>
  <si>
    <t>Kernel 4,667 (-43%)</t>
  </si>
  <si>
    <t>SIR 22,055 (-10%)</t>
  </si>
  <si>
    <t>RSS 22,686 (-17%)</t>
  </si>
  <si>
    <t>Avg Coffee Price</t>
  </si>
  <si>
    <t>Kopi 38,739 (+72%)</t>
  </si>
  <si>
    <t>Avg Tea Price</t>
  </si>
  <si>
    <t>Teh 16,446 (-9%)</t>
  </si>
  <si>
    <t>SNI ISO 9001:2015 Certifications</t>
  </si>
  <si>
    <t>Multiple subsidiary certs incl KE, IJR, KJW, PK</t>
  </si>
  <si>
    <t>SNI ISO 9001:2015 across PT Kaliduren Estates, PT Kintap Jaya Wattindo, PT Perkebunan Kroewoek, PT Indo Java Rubber</t>
  </si>
  <si>
    <t>JAWA_2024_AR.pdf</t>
  </si>
  <si>
    <t>dicatatkan di Bursa Efek Indonesia (BEI) dengan kode saham JAWA</t>
  </si>
  <si>
    <t>PT Sarana Agro Investama 92.50%</t>
  </si>
  <si>
    <t>PT Sarana Agro Investama 15,015,345,027 92.50</t>
  </si>
  <si>
    <t>Masyarakat 1,217,474,315 7.499</t>
  </si>
  <si>
    <t>Rohadi 132,500 0.001</t>
  </si>
  <si>
    <t>IPO Year</t>
  </si>
  <si>
    <t>20 Mei 2011 Penawaran Umum Perdana</t>
  </si>
  <si>
    <t>Private Placement 2023</t>
  </si>
  <si>
    <t>21 November 2023 PMTHMETD 12,458,266,342</t>
  </si>
  <si>
    <t>Subsidiaries Count</t>
  </si>
  <si>
    <t>12 listed plantation subsidiaries</t>
  </si>
  <si>
    <t>Trading Suspension Event</t>
  </si>
  <si>
    <t>Suspended 31 Jul - 6 Aug 2024</t>
  </si>
  <si>
    <t>Pada tanggal 31 Juli 2024, Perseroan mengalami suspensi ... Pada tanggal 6 Agustus 2024, saham Perseroan telah dapat diperdagangkan kembali</t>
  </si>
  <si>
    <t>Board Transition</t>
  </si>
  <si>
    <t>Main -&gt; Development Board 24 May 2024</t>
  </si>
  <si>
    <t>Perpindahan Papan Pencatatan di BEI dari Papan Utama ke Papan Pengembangan</t>
  </si>
  <si>
    <t>Jumlah karyawan Perseroan selama tahun 2024 adalah 7,421 orang</t>
  </si>
  <si>
    <t>Modal Dasar Perseroan menjadi Rp6.4 triliun</t>
  </si>
  <si>
    <t>Penjualan Bersih 1,070,773 (Rp juta)</t>
  </si>
  <si>
    <t>Laba Kotor 110,336</t>
  </si>
  <si>
    <t>Beban Pokok Penjualan 960,438</t>
  </si>
  <si>
    <t>Beban Usaha (59,391)</t>
  </si>
  <si>
    <t>EBIT (Operating Profit)</t>
  </si>
  <si>
    <t>Laba usaha segmen 50,944,949,549 (consolidated)</t>
  </si>
  <si>
    <t>Laba (Rugi) Tahun Berjalan (193,730)</t>
  </si>
  <si>
    <t>Pemilik Entitas Induk (193,043)</t>
  </si>
  <si>
    <t>Total Laba/(Rugi) Komprehensif (190,229)</t>
  </si>
  <si>
    <t>Laba/(Rugi) per Saham Dasar (12)</t>
  </si>
  <si>
    <t>Total Aset 3,867,577</t>
  </si>
  <si>
    <t>Aset Lancar 531,763</t>
  </si>
  <si>
    <t>Aset Tidak Lancar 3,335,814</t>
  </si>
  <si>
    <t>Total Liabilitas 2,501,594</t>
  </si>
  <si>
    <t>Liabilitas Jangka Pendek 533,367</t>
  </si>
  <si>
    <t>Liabilitas Jangka Panjang 1,968,226</t>
  </si>
  <si>
    <t>Total Ekuitas 1,365,983</t>
  </si>
  <si>
    <t>Kas dan bank 5,849,804,840</t>
  </si>
  <si>
    <t>Utang bank jangka pendek 85,000,000,000</t>
  </si>
  <si>
    <t>Bagian lancar Utang bank 145,102,795,223</t>
  </si>
  <si>
    <t>Utang bank 765,226,191,865 (LT net)</t>
  </si>
  <si>
    <t>Gross Bank Debt</t>
  </si>
  <si>
    <t>Utang bank jangka pendek 85,000,000,000 + Utang bank jangka panjang 910,328,987,088 = Rp995 bn</t>
  </si>
  <si>
    <t>Utang lain-lain jangka panjang - pihak berelasi 1,158,062,785,135</t>
  </si>
  <si>
    <t>Trade Receivables (third party)</t>
  </si>
  <si>
    <t>Piutang usaha - pihak ketiga - neto 136,809,302,371</t>
  </si>
  <si>
    <t>Persediaan 214,489,276,526</t>
  </si>
  <si>
    <t>Aset biologis 80,089,509,710</t>
  </si>
  <si>
    <t>Piutang plasma 424,741,249,044</t>
  </si>
  <si>
    <t>Tanaman menghasilkan - neto 951,323,192,651</t>
  </si>
  <si>
    <t>Tanaman belum menghasilkan 1,091,198,212,841</t>
  </si>
  <si>
    <t>Aset tetap - neto 722,999,562,068</t>
  </si>
  <si>
    <t>Goodwill - (nil in 2024; 17.98 bn in 2023)</t>
  </si>
  <si>
    <t>Arus Kas dari Aktivitas Operasi (179,071)</t>
  </si>
  <si>
    <t>Arus Kas dari Aktivitas Investasi (119,244)</t>
  </si>
  <si>
    <t>Arus Kas dari Aktivitas Pendanaan 297,134</t>
  </si>
  <si>
    <t>Pengeluaran modal 86,705,221,065 (Rubber+Palm+Other segments)</t>
  </si>
  <si>
    <t>Penyusutan dan amortisasi 108,468,520,090</t>
  </si>
  <si>
    <t>Total 16,232,951,842 shares</t>
  </si>
  <si>
    <t>IV 143 92 110 (Q4 closing)</t>
  </si>
  <si>
    <t>Kapitalisasi Pasar IV 1,785,624,702,620</t>
  </si>
  <si>
    <t>Aset Lancar terhadap Liabilitas Jangka Pendek (x) 1.00</t>
  </si>
  <si>
    <t>Jumlah Liabilitas Terhadap Jumlah Ekuitas 1.83</t>
  </si>
  <si>
    <t>Laba Terhadap Total Aset (5.01%)</t>
  </si>
  <si>
    <t>Laba Terhadap Total Ekuitas (14.18%)</t>
  </si>
  <si>
    <t>Laba Bruto Terhadap Penjualan 10.30%</t>
  </si>
  <si>
    <t>Jumlah Tertanam 43,987 ha</t>
  </si>
  <si>
    <t>Inti Tertanam Sub Jumlah 37,475</t>
  </si>
  <si>
    <t>Tanaman Menghasilkan (TM) 31,699</t>
  </si>
  <si>
    <t>Tanaman Belum Menghasilkan 12,288</t>
  </si>
  <si>
    <t>Inti TM 27,647</t>
  </si>
  <si>
    <t>Mature Plasma</t>
  </si>
  <si>
    <t>Plasma TM 4,052</t>
  </si>
  <si>
    <t>Palm Oil Concession (HGU)</t>
  </si>
  <si>
    <t>perkebunan kelapa sawit ... Kalimantan Selatan dengan luas kebun 29,723 ha</t>
  </si>
  <si>
    <t>Palm Oil Planted (incl plasma)</t>
  </si>
  <si>
    <t>lahan Perseroan (termasuk plasma) seluas 27,918 ha telah ditanami kelapa sawit</t>
  </si>
  <si>
    <t>kebun inti seluas 21,407 ha</t>
  </si>
  <si>
    <t>perkebunan karet ... dengan luas total 39,334 ha</t>
  </si>
  <si>
    <t>Rubber Planted Area</t>
  </si>
  <si>
    <t>total luas perkebunan yang ditanami sebesar 15,130 ha</t>
  </si>
  <si>
    <t>Rubber Mature</t>
  </si>
  <si>
    <t>10,276 ha kebun karet milik Perseroan berisi tanaman menghasilkan</t>
  </si>
  <si>
    <t>Rubber Immature</t>
  </si>
  <si>
    <t>4,854 ha berisi tanaman belum menghasilkan</t>
  </si>
  <si>
    <t>Coffee Plantation</t>
  </si>
  <si>
    <t>perkebunan kopi ... luas total kebun 535 ha</t>
  </si>
  <si>
    <t>Tea Plantation</t>
  </si>
  <si>
    <t>perkebunan teh ... 504 ha</t>
  </si>
  <si>
    <t>2 (dua) pabrik pengelolaan minyak sawit yang terletak di Kintap</t>
  </si>
  <si>
    <t>Kapasitas Terpasang (ton) 513,000</t>
  </si>
  <si>
    <t>Kapasitas Terpakai (ton) 226,797 (44.2% utilization)</t>
  </si>
  <si>
    <t>Rubber Sheet Plants</t>
  </si>
  <si>
    <t>9 (sembilan) pabrik pengolahan karet lembaran</t>
  </si>
  <si>
    <t>Kapasitas Terpasang (ton) 5,487</t>
  </si>
  <si>
    <t>Rubber Crumb Plants</t>
  </si>
  <si>
    <t>3 (tiga) unit pabrik pengolahan karet remah</t>
  </si>
  <si>
    <t>Kapasitas Terpasang (ton) 26,040</t>
  </si>
  <si>
    <t>Coffee Processing Plant</t>
  </si>
  <si>
    <t>1 (satu) unit pabrik pengolahan kopi</t>
  </si>
  <si>
    <t>Coffee Plant Capacity</t>
  </si>
  <si>
    <t>pabrik pengolahan kopi dengan total kapasitas 400 ton/tahun</t>
  </si>
  <si>
    <t>Tandan Buah Segar (TBS) - Inti 105,499 (+7% YoY)</t>
  </si>
  <si>
    <t>Minyak Kelapa Sawit (CPO) 44,955 (-16% YoY)</t>
  </si>
  <si>
    <t>Inti Kelapa Sawit (Kernel) 7,888 (-17% YoY)</t>
  </si>
  <si>
    <t>Karet – Inti 5,931 (+5%)</t>
  </si>
  <si>
    <t>Karet – SH 10,071 (+157%)</t>
  </si>
  <si>
    <t>Kopi 26 ton (+19%)</t>
  </si>
  <si>
    <t>Teh - Pucuk 2,412 (+142%)</t>
  </si>
  <si>
    <t>Hasil TBS 6.62 Ton/Ha (+11%)</t>
  </si>
  <si>
    <t>Tingkat Ekstraksi CPO 19.82%</t>
  </si>
  <si>
    <t>Tingkat Ekstraksi Kernel 3.48%</t>
  </si>
  <si>
    <t>Hasil CPO 1.31 Ton/Ha</t>
  </si>
  <si>
    <t>SIR 54.72% (2024, up from 30.70%)</t>
  </si>
  <si>
    <t>TBS | FFB 44.21%</t>
  </si>
  <si>
    <t>CPO 43,051 ton (-21% YoY)</t>
  </si>
  <si>
    <t>Kernel 7,710 ton</t>
  </si>
  <si>
    <t>SIR 11,614 ton (+38%)</t>
  </si>
  <si>
    <t>RSS 1,958 ton</t>
  </si>
  <si>
    <t>Tea Sales Volume</t>
  </si>
  <si>
    <t>Teh 469 ton</t>
  </si>
  <si>
    <t>CPO Rp/kg 13,169</t>
  </si>
  <si>
    <t>Kernel 7,687 Rp/kg</t>
  </si>
  <si>
    <t>SIR 28,950 Rp/kg</t>
  </si>
  <si>
    <t>RSS 34,153 Rp/kg</t>
  </si>
  <si>
    <t>Kopi 49,224 Rp/kg (+27%)</t>
  </si>
  <si>
    <t>Teh 17,423 Rp/kg</t>
  </si>
  <si>
    <t>Palm Segment Revenue</t>
  </si>
  <si>
    <t>Segment palm oil external sales 628,218,696,183</t>
  </si>
  <si>
    <t>Rubber Segment Revenue</t>
  </si>
  <si>
    <t>Segment rubber external sales 433,341,421,216</t>
  </si>
  <si>
    <t>Kalsel Geographic Revenue</t>
  </si>
  <si>
    <t>Kalimantan Selatan 785,275,829,523</t>
  </si>
  <si>
    <t>Jateng Geographic Revenue</t>
  </si>
  <si>
    <t>Jawa Tengah 213,105,762,860</t>
  </si>
  <si>
    <t>ISPO/SNI Certifications</t>
  </si>
  <si>
    <t>6+ SNI ISO 9001:2015 entities</t>
  </si>
  <si>
    <t>SNI ISO 9001:2015 for IJR, PK, Kaliduren Estates, KJW, Biting</t>
  </si>
  <si>
    <t>PROPER Blue Award (IJR)</t>
  </si>
  <si>
    <t>PT Indo Java Rubber Planting Company ... peringkat biru ... SK.1307/MENLHK/SETJEN/KUM.1/12/2021</t>
  </si>
  <si>
    <t>PT Perusahaan Perkebunan London Sumatra Indonesia Tbk</t>
  </si>
  <si>
    <t>LSIP_2022_AR.pdf</t>
  </si>
  <si>
    <t>PT PP London Sumatra Indonesia Tbk, also known as Lonsum</t>
  </si>
  <si>
    <t>Year Founded</t>
  </si>
  <si>
    <t>founded in 1906 when Harrisons &amp; Crosfield Plc</t>
  </si>
  <si>
    <t>Parent (Direct)</t>
  </si>
  <si>
    <t>PT Salim Ivomas Pratama Tbk 59.51%</t>
  </si>
  <si>
    <t>PT Salim Ivomas Pratama Tbk ... 59,51%</t>
  </si>
  <si>
    <t>First Pacific Company Limited (HK); Anthoni Salim</t>
  </si>
  <si>
    <t>First Pacific Company Limited is a public listed company on the Hong Kong Stock Exchange. Mr. Anthoni Salim</t>
  </si>
  <si>
    <t>Public (each less than 5%) 40,38%</t>
  </si>
  <si>
    <t>Total Shares Outstanding</t>
  </si>
  <si>
    <t>Sub Total 6.819.963.965 100,00%</t>
  </si>
  <si>
    <t>Treasury Shares</t>
  </si>
  <si>
    <t>Treasury Shares 2.900.000</t>
  </si>
  <si>
    <t>Sales 4.585.348 4.525.473 3.536.721</t>
  </si>
  <si>
    <t>Revenue YoY</t>
  </si>
  <si>
    <t>total consolidated sales of Rp4.59 trillion in 2022, 1% higher than the previous year's figures of Rp4.53 trillion</t>
  </si>
  <si>
    <t>Oil Palm Product Sales</t>
  </si>
  <si>
    <t>Oil palm products sales increased 2% to Rp4.35 trillion in 2022 compared to Rp4.29 trillion in 2021</t>
  </si>
  <si>
    <t>Oil Palm Product Sales Share</t>
  </si>
  <si>
    <t>Oil palm products contributed 95% of the Company's total consolidated sales</t>
  </si>
  <si>
    <t>Related-Party Sales Share (to SIMP)</t>
  </si>
  <si>
    <t>Sales to PT Salim Ivomas Pratama Tbk (SIMP), Lonsum's parent company, accounted around 61% of total Lonsum's sales</t>
  </si>
  <si>
    <t>Beban pokok penjualan (3.093.904) 24,29 (2.716.108)</t>
  </si>
  <si>
    <t>Gross Profit 1.491.444 1.809.365 1.097.733</t>
  </si>
  <si>
    <t>Gross Profit Margin (%) 32,5 40,0 31,0</t>
  </si>
  <si>
    <t>Operating Profit 1.205.856 1.192.706 842.609</t>
  </si>
  <si>
    <t>Operating Profit Margin</t>
  </si>
  <si>
    <t>Operating Profit Margin (%) 26,3 26,4 23,8</t>
  </si>
  <si>
    <t>EBITDA1 1.747.298 1.949.617 1.254.681</t>
  </si>
  <si>
    <t>EBITDA Margin (%) 38,1 43,1 35,5</t>
  </si>
  <si>
    <t>Loss from FV Changes Biological Assets</t>
  </si>
  <si>
    <t>(Rugi)/laba atas perubahan nilai wajar aset biologis (50.585) 8 49.576</t>
  </si>
  <si>
    <t>Penghasilan keuangan 80.350 26,29 59.234</t>
  </si>
  <si>
    <t>Beban keuangan (676) 26 (441)</t>
  </si>
  <si>
    <t>Laba sebelum pajak penghasilan 1.283.525 1.248.382</t>
  </si>
  <si>
    <t>Beban pajak penghasilan (248.240) 20 (256.752)</t>
  </si>
  <si>
    <t>Profit for the Year 1.035.285 991.630 716.152</t>
  </si>
  <si>
    <t>Profit for the Year Attributable to Owners 1.036.448 992.423 716.672</t>
  </si>
  <si>
    <t>Total Assets 12.417.013 11.851.269 10.922.788</t>
  </si>
  <si>
    <t>Current Assets 5.107.489 4.307.772 2.920.275</t>
  </si>
  <si>
    <t>Total Aset Tidak Lancar 7.309.524 7.543.497 8.002.513</t>
  </si>
  <si>
    <t>Kas dan Setara Kas Akhir Tahun 3.847.390 3.367.867</t>
  </si>
  <si>
    <t>Persediaan 3,7 652.810 367.649 364.228</t>
  </si>
  <si>
    <t>Biological Assets (Current)</t>
  </si>
  <si>
    <t>Aset biologis 8 161.766 212.351 162.775</t>
  </si>
  <si>
    <t>Investment in Associates</t>
  </si>
  <si>
    <t>Investasi pada entitas asosiasi 12 1.262.334 1.264.339</t>
  </si>
  <si>
    <t>Aset tetap 3,15 5.665.815 5.826.682 6.313.300</t>
  </si>
  <si>
    <t>Total Liabilities 1.481.306 1.659.873 1.615.795</t>
  </si>
  <si>
    <t>Current Liabilities 709.627 696.556 597.005</t>
  </si>
  <si>
    <t>Total Liabilitas Jangka Panjang 771.679 963.317 1.018.790</t>
  </si>
  <si>
    <t>Funded Debt</t>
  </si>
  <si>
    <t>Funded Debt - - - - -</t>
  </si>
  <si>
    <t>Employee Benefits Liability LT</t>
  </si>
  <si>
    <t>Liabilitas imbalan kerja 3,21 654.770 876.901 898.951</t>
  </si>
  <si>
    <t>Total Equity3 10.935.707 10.191.396 9.306.993</t>
  </si>
  <si>
    <t>Kas Neto yang Diperoleh dari Aktivitas Operasi 1.087.265 1.878.851</t>
  </si>
  <si>
    <t>Kas Neto yang Digunakan untuk Aktivitas Investasi (333.858) (334.804)</t>
  </si>
  <si>
    <t>Kas Neto yang Digunakan untuk Aktivitas Pendanaan (352.438) (140.848)</t>
  </si>
  <si>
    <t>Capital Expenditures</t>
  </si>
  <si>
    <t>Capital Expenditures 320.748 308.377 378.247</t>
  </si>
  <si>
    <t>Dividend Paid (Cash)</t>
  </si>
  <si>
    <t>total dividend payment of Rp347.7 billion, or Rp51 per share</t>
  </si>
  <si>
    <t>Dividend per Share (2021 final paid in 2022)</t>
  </si>
  <si>
    <t>Rp347.7 billion, or Rp51 per share, represent around 35% dividend payout</t>
  </si>
  <si>
    <t>represent around 35% dividend payout</t>
  </si>
  <si>
    <t>Basic Profit per Share ... 152 146 105</t>
  </si>
  <si>
    <t>Closing Share Price (30 Dec 2022)</t>
  </si>
  <si>
    <t>Rp1,570 per share and closing at Rp1,015</t>
  </si>
  <si>
    <t>52-Week High (2022)</t>
  </si>
  <si>
    <t>During the Year 6.819.964 6.922.263 1.570 1.005 1.015</t>
  </si>
  <si>
    <t>52-Week Low (2022)</t>
  </si>
  <si>
    <t>Market Capitalisation</t>
  </si>
  <si>
    <t>kapitalisasi pasar Lonsum mencapai Rp6,92 triliun</t>
  </si>
  <si>
    <t>Current Ratio (x) 7,20 6,18 4,89</t>
  </si>
  <si>
    <t>Liabilities to Equity Ratio</t>
  </si>
  <si>
    <t>Liabilities to Equity Ratio (x)3 0,14 0,16 0,17</t>
  </si>
  <si>
    <t>Net Gearing Ratio</t>
  </si>
  <si>
    <t>Gearing Ratio - Net (x)3 (0,35) (0,33) (0,21)</t>
  </si>
  <si>
    <t>Return on Assets (%) - Profit for the Year4 8,5 8,7 6,8</t>
  </si>
  <si>
    <t>Return on Equity (%)4 9,8 10,2 8,0</t>
  </si>
  <si>
    <t>Total Nucleus Planted Area</t>
  </si>
  <si>
    <t>PLANTED AREA - NUCLEUS 111.240 114.111 116.053</t>
  </si>
  <si>
    <t>Oil Palm Nucleus Area</t>
  </si>
  <si>
    <t>OIL PALM 91.151 93.853 96.074</t>
  </si>
  <si>
    <t>Oil Palm Mature Area</t>
  </si>
  <si>
    <t>Mature 83.742 85.630 85.623</t>
  </si>
  <si>
    <t>Oil Palm Immature Area</t>
  </si>
  <si>
    <t>Immature 7.409 8.223 10.451</t>
  </si>
  <si>
    <t>Oil Palm Age 4-6 yrs</t>
  </si>
  <si>
    <t>4-6 years 2.710 2.161 2.252</t>
  </si>
  <si>
    <t>Oil Palm Age 7-20 yrs</t>
  </si>
  <si>
    <t>7-20 years 44.377 45.590 45.564</t>
  </si>
  <si>
    <t>Oil Palm Age &gt;20 yrs</t>
  </si>
  <si>
    <t>&gt;20 years 36.656 37.878 37.807</t>
  </si>
  <si>
    <t>Rubber Nucleus Area</t>
  </si>
  <si>
    <t>RUBBER 16.074 16.228 15.976</t>
  </si>
  <si>
    <t>Other Crops Area</t>
  </si>
  <si>
    <t>OTHERS 4.015 4.030 4.003</t>
  </si>
  <si>
    <t>Plasma Partnership Area</t>
  </si>
  <si>
    <t>PLASMA PARTNERSHIP 35.064 34.879 34.879</t>
  </si>
  <si>
    <t>North Sumatra Area</t>
  </si>
  <si>
    <t>North Sumatra 36.473 38.236 37.990</t>
  </si>
  <si>
    <t>South Sumatra Area</t>
  </si>
  <si>
    <t>South Sumatra 48.900 49.891 49.974</t>
  </si>
  <si>
    <t>East Kalimantan Area</t>
  </si>
  <si>
    <t>East Kalimantan 17.152 17.150 19.472</t>
  </si>
  <si>
    <t>Java Area</t>
  </si>
  <si>
    <t>Java 3.249 3.263 3.229</t>
  </si>
  <si>
    <t>Sulawesi Area (N+S)</t>
  </si>
  <si>
    <t>North Sulawesi 766 + South Sulawesi 4.700</t>
  </si>
  <si>
    <t>Palm Oil Mills Count</t>
  </si>
  <si>
    <t>Lonsum operates 12 palm oil mills in Sumatra and Kalimantan, with a total combined annual Fresh Fruit Bunch (FFB) processing capacity of 2.7 million tonnes</t>
  </si>
  <si>
    <t>Mill FFB Processing Capacity</t>
  </si>
  <si>
    <t>tpa</t>
  </si>
  <si>
    <t>FFB processing capacity of 2.7 million tonnes</t>
  </si>
  <si>
    <t>Crumb Rubber Facilities</t>
  </si>
  <si>
    <t>3 crumb rubber processing facilities</t>
  </si>
  <si>
    <t>Sheet Rubber Facilities</t>
  </si>
  <si>
    <t>2 sheet rubber processing facilities</t>
  </si>
  <si>
    <t>Cocoa Factory</t>
  </si>
  <si>
    <t>a cocoa factory and a tea factory</t>
  </si>
  <si>
    <t>Tea Factory</t>
  </si>
  <si>
    <t>Total FFB Production</t>
  </si>
  <si>
    <t>Total Fresh Fruit Bunches (FFB) 1.417 1.384 1.481</t>
  </si>
  <si>
    <t>FFB Nucleus Production</t>
  </si>
  <si>
    <t>FFB - Nucleus 1.174 1.204 1.295</t>
  </si>
  <si>
    <t>FFB from External</t>
  </si>
  <si>
    <t>FFB from external reached 243,000 tonnes in 2022, up 35% compared to 180,000 tonnes in 2021</t>
  </si>
  <si>
    <t>Crude Palm Oil (CPO) 306 306 331</t>
  </si>
  <si>
    <t>Palm Kernel Production</t>
  </si>
  <si>
    <t>Palm Kernel (PK) 88 86 92</t>
  </si>
  <si>
    <t>Oil Palm Seeds Production</t>
  </si>
  <si>
    <t>units</t>
  </si>
  <si>
    <t>Oil Palm Seeds (mn) 7,1 5,5 5,5</t>
  </si>
  <si>
    <t>Rubber Production</t>
  </si>
  <si>
    <t>Rubber 5,2 6,2 7,8</t>
  </si>
  <si>
    <t>Cocoa Production</t>
  </si>
  <si>
    <t>Cocoa (tonnes) 487 672 762</t>
  </si>
  <si>
    <t>Tea (tonnes) 972 922 871</t>
  </si>
  <si>
    <t>CPO 286 318 325</t>
  </si>
  <si>
    <t>PK Products Sales Volume</t>
  </si>
  <si>
    <t>PK and PK Related Products 100 92 98</t>
  </si>
  <si>
    <t>Oil Palm Seeds Sales</t>
  </si>
  <si>
    <t>Oil Palm Seeds (mn) 6,4 4,9 4,9</t>
  </si>
  <si>
    <t>Rubber Sales Volume</t>
  </si>
  <si>
    <t>Rubber 5,8 5,6 7,8</t>
  </si>
  <si>
    <t>Rubber Export Share</t>
  </si>
  <si>
    <t>Around 48% of total rubber sales volume went to the export market</t>
  </si>
  <si>
    <t>CPO Price (CIF Rotterdam avg 2022)</t>
  </si>
  <si>
    <t>USD1,370 per tonne in 2022 compared to USD1,210 per tonne in 2021</t>
  </si>
  <si>
    <t>CPO Price Peak (Mar 2022)</t>
  </si>
  <si>
    <t>CPO prices reached an average of USD1,868 per tonne in March 2022</t>
  </si>
  <si>
    <t>Rubber Price (RSS3 SICOM avg)</t>
  </si>
  <si>
    <t>Rubber prices (RSS3 SICOM) fell from an average of USD2,082 per tonne in 2021 to USD1,836 per tonne in 2022</t>
  </si>
  <si>
    <t>ISPO-Certified CPO Production</t>
  </si>
  <si>
    <t>Lonsum has achieved 254,000 tonnes of ISPO-certified CPO</t>
  </si>
  <si>
    <t>Dividend (prior year 2020 paid in 2021)</t>
  </si>
  <si>
    <t>AGM held on August 26, 2021 approved the total dividend payment of Rp136.4 billion, or Rp20 per share, represent around 20% dividend payout</t>
  </si>
  <si>
    <t>LSIP_2023_AR.pdf</t>
  </si>
  <si>
    <t>PT PP London Sumatra Indonesia Tbk, also known as Lonsum, is a plantation company in Indonesia</t>
  </si>
  <si>
    <t>PT Salim Ivomas Pratama Tbk 4.058.425.010 59,51%</t>
  </si>
  <si>
    <t>First Pacific Company Limited (HK); Anthoni Salim ultimate controller</t>
  </si>
  <si>
    <t>First Pacific Company Limited is a public listed company on the Hong Kong Stock Exchange. Mr. Anthoni Salim holds interests</t>
  </si>
  <si>
    <t>Public (each less than 5% ownership interest) 2.753.756.655 40,38%</t>
  </si>
  <si>
    <t>Treasury Shares 2.900.000 2.900.000</t>
  </si>
  <si>
    <t>Total 23.698 100,00%</t>
  </si>
  <si>
    <t>Sales 4.189.896 4.585.348 4.525.473 (million Rupiah)</t>
  </si>
  <si>
    <t>total consolidated sales of Rp4.19 trillion in 2023, 9% lower than the previous year's figures of Rp4.59 trillion</t>
  </si>
  <si>
    <t>Oil palm products sales decreased 9% to Rp3.98 trillion in 2023 compared to Rp4.35 trillion in 2022</t>
  </si>
  <si>
    <t>Sales to PT Salim Ivomas Pratama Tbk (SIMP), Lonsum's parent company, accounted around 53% of total Lonsum's sales</t>
  </si>
  <si>
    <t>Oil Palm Segment Result</t>
  </si>
  <si>
    <t>segment results down 26% to Rp918.1 billion</t>
  </si>
  <si>
    <t>Beban pokok penjualan (3.039.028) 23,28 (3.093.904)</t>
  </si>
  <si>
    <t>Gross Profit 1.150.868 1.491.444 1.809.365</t>
  </si>
  <si>
    <t>Gross Profit Margin (%) 27,5 32,5 40,0</t>
  </si>
  <si>
    <t>Operating Profit 759.425 1.205.856 1.192.706</t>
  </si>
  <si>
    <t>Operating Profit Margin (%) 18,1 26,3 26,4</t>
  </si>
  <si>
    <t>EBITDA1 1.300.543 1.747.298 1.949.617</t>
  </si>
  <si>
    <t>EBITDA Margin (%) 31,0 38,1 43,1</t>
  </si>
  <si>
    <t>Penghasilan keuangan 155.566 25,28 80.350</t>
  </si>
  <si>
    <t>Beban keuangan (566) 25 (676)</t>
  </si>
  <si>
    <t>Gain from FV Changes Biological Assets</t>
  </si>
  <si>
    <t>Laba/(rugi) atas perubahan nilai wajar aset biologis 1.101 8 (50.585)</t>
  </si>
  <si>
    <t>Laba sebelum pajak penghasilan 911.426 1.283.525</t>
  </si>
  <si>
    <t>Beban pajak penghasilan (150.753) 19 (248.240)</t>
  </si>
  <si>
    <t>Profit for the Year 760.673 1.035.285 991.630</t>
  </si>
  <si>
    <t>Profit for the Year Attributable to Owners of the Parent 761.995 1.036.448</t>
  </si>
  <si>
    <t>Core Profit</t>
  </si>
  <si>
    <t>core profit decreased 17% to Rp927.4 billion in 2023</t>
  </si>
  <si>
    <t>Total Assets 12.514.203 12.417.013 11.851.269</t>
  </si>
  <si>
    <t>Current Assets 5.376.837 5.107.489 4.307.772</t>
  </si>
  <si>
    <t>Total Aset Tidak Lancar 7.137.366 7.309.524</t>
  </si>
  <si>
    <t>Kas dan Setara Kas Akhir Tahun 4.511.450 3.847.390</t>
  </si>
  <si>
    <t>Persediaan 431.429 7 652.810 Inventories</t>
  </si>
  <si>
    <t>Aset biologis 162.867 8 161.766</t>
  </si>
  <si>
    <t>Investasi pada entitas asosiasi 1.259.335 11 1.262.334</t>
  </si>
  <si>
    <t>Aset tetap 5.493.363 3,14 5.665.815</t>
  </si>
  <si>
    <t>Total Liabilities 1.166.762 1.481.306 1.659.873</t>
  </si>
  <si>
    <t>Current Liabilities 564.496 709.627 696.556</t>
  </si>
  <si>
    <t>Total Liabilitas Jangka Panjang 602.266 771.679</t>
  </si>
  <si>
    <t>Liabilitas imbalan kerja 457.342 20 654.770 Employee benefits liability</t>
  </si>
  <si>
    <t>Total Equity3 11.347.441 10.935.707</t>
  </si>
  <si>
    <t>Kas Neto yang Diperoleh dari Aktivitas Operasi 1.411.390 1.104.231</t>
  </si>
  <si>
    <t>Kas Neto yang Digunakan untuk Aktivitas Investasi (364.167) (350.824)</t>
  </si>
  <si>
    <t>Kas Neto yang Digunakan untuk Aktivitas Pendanaan (366.654) (352.438)</t>
  </si>
  <si>
    <t>Capital Expenditures 368.845 320.748 308.377</t>
  </si>
  <si>
    <t>total dividend of Rp361.5 billion or Rp53 per share</t>
  </si>
  <si>
    <t>Dividend per Share (2022 final paid in 2023)</t>
  </si>
  <si>
    <t>total dividend of Rp361.5 billion or Rp53 per share, represent around 35% dividend payout</t>
  </si>
  <si>
    <t>Basic Profit per Share Attributable to the Owners of the Parent (Rp) 112 152 146</t>
  </si>
  <si>
    <t>Closing Share Price (31 Dec 2023)</t>
  </si>
  <si>
    <t>Rp1,135 per share and closing at Rp890</t>
  </si>
  <si>
    <t>kapitalisasi pasar Lonsum mencapai Rp6,07 triliun</t>
  </si>
  <si>
    <t>Current Ratio (x) 9,53 7,20 6,18</t>
  </si>
  <si>
    <t>Liabilities to Equity Ratio (x)3 0,10 0,14 0,16</t>
  </si>
  <si>
    <t>Gearing Ratio - Net (x)3 (0,40) (0,35) (0,33)</t>
  </si>
  <si>
    <t>Return on Assets (Net Profit)</t>
  </si>
  <si>
    <t>Return on Assets (%) - Profit for the Year4 6,1 8,5 8,7</t>
  </si>
  <si>
    <t>Return on Equity (%)4 6,8 9,8 10,2</t>
  </si>
  <si>
    <t>PLANTED AREA - NUCLEUS 111.940 111.240 114.111</t>
  </si>
  <si>
    <t>OIL PALM 91.759 91.151 93.853</t>
  </si>
  <si>
    <t>Mature 85.198 83.742 85.630</t>
  </si>
  <si>
    <t>Immature 6.561 7.409 8.223</t>
  </si>
  <si>
    <t>4 - 6 years 3.229 2.710 2.161</t>
  </si>
  <si>
    <t>7 - 20 years 44.302 44.377 45.590</t>
  </si>
  <si>
    <t>&gt;20 years 37.667 36.656 37.878</t>
  </si>
  <si>
    <t>RUBBER 16.238 16.074 16.228</t>
  </si>
  <si>
    <t>OTHERS 3.943 4.015 4.030</t>
  </si>
  <si>
    <t>PLASMA PARTNERSHIP 35.417 35.064 34.879</t>
  </si>
  <si>
    <t>North Sumatra 36.903 36.473 38.236</t>
  </si>
  <si>
    <t>South Sumatra 49.222 48.900 49.891</t>
  </si>
  <si>
    <t>East Kalimantan 17.152 17.152 17.150</t>
  </si>
  <si>
    <t>Java 3.177 3.249 3.263</t>
  </si>
  <si>
    <t>North Sulawesi 766 + South Sulawesi 4.720</t>
  </si>
  <si>
    <t>Cocoa Planted Area</t>
  </si>
  <si>
    <t>Cocoa plantations around 2,782 hectares are located in North Sulawesi and East Java</t>
  </si>
  <si>
    <t>Tea Planted Area</t>
  </si>
  <si>
    <t>tea plantation around 866 hectares is in West Java</t>
  </si>
  <si>
    <t>Lonsum operated 12 palm oil mills with a total annual Fresh Fruit Bunches (FFB) processing capacity of 2.7 million tonnes</t>
  </si>
  <si>
    <t>total annual Fresh Fruit Bunches (FFB) processing capacity of 2.7 million tonnes</t>
  </si>
  <si>
    <t>Crumb Rubber Lines</t>
  </si>
  <si>
    <t>3 crumb rubber production lines with annual processing capacity of around 26,000 tonnes</t>
  </si>
  <si>
    <t>Sheet Rubber Lines</t>
  </si>
  <si>
    <t>2 sheet rubber production lines with annual processing capacity of around 7,000 tonnes</t>
  </si>
  <si>
    <t>Lonsum operated 1 cocoa factory and 1 tea factory</t>
  </si>
  <si>
    <t>1 cocoa factory and 1 tea factory</t>
  </si>
  <si>
    <t>Average Oil Palm Tree Age</t>
  </si>
  <si>
    <t>The average age of oil palm was approximately 19 years</t>
  </si>
  <si>
    <t>Average Rubber Tree Age</t>
  </si>
  <si>
    <t>The average age of rubber was approximately 18 years</t>
  </si>
  <si>
    <t>Total Fresh Fruit Bunches (FFB) 1.377 1.417 1.384 (thousand tonnes)</t>
  </si>
  <si>
    <t>FFB - Nucleus 1.177 1.174 1.204</t>
  </si>
  <si>
    <t>FFB from external reached 201,000 tonnes in 2023</t>
  </si>
  <si>
    <t>Crude Palm Oil (CPO) 294 306 306</t>
  </si>
  <si>
    <t>Palm Kernel (PK) 87 88 86</t>
  </si>
  <si>
    <t>Oil Palm Seeds (million units) 7,9 7,1 5,5</t>
  </si>
  <si>
    <t>Rubber 4,7 5,2 6,2</t>
  </si>
  <si>
    <t>Cocoa (tonnes) 416 487 672</t>
  </si>
  <si>
    <t>Tea (tonnes) 754 972 922</t>
  </si>
  <si>
    <t>CPO 303 286 318 (sales volume)</t>
  </si>
  <si>
    <t>PK and PK Related Products 105 100 92</t>
  </si>
  <si>
    <t>Oil Palm Seeds (million units) 7,7 6,4 4,9</t>
  </si>
  <si>
    <t>Rubber 5,1 5,8 5,6</t>
  </si>
  <si>
    <t>Around 53% of total rubber sales volume went to the export market</t>
  </si>
  <si>
    <t>CPO Price (CIF Rotterdam avg)</t>
  </si>
  <si>
    <t>CPO prices (CIF Rotterdam) declined by 29% to an average of USD972 per tonne in 2023 from USD1,370 per tonne in 2022</t>
  </si>
  <si>
    <t>Lonsum has achieved 258,000 tonnes of ISPO-certified CPO or 100% of total nucleus CPO production</t>
  </si>
  <si>
    <t>ISPO Certification Share of Nucleus CPO</t>
  </si>
  <si>
    <t>258,000 tonnes of ISPO-certified CPO or 100% of total nucleus CPO production</t>
  </si>
  <si>
    <t>commitments to acquire fixed assets with total contract value of Rp53.6 billion, USD228,000 and JPY17,820,000</t>
  </si>
  <si>
    <t>LSIP_2024_AR.pdf</t>
  </si>
  <si>
    <t>PT PP London Sumatra Indonesia Tbk, also known as Lonsum, is a plantation company in Indonesia founded in 1906</t>
  </si>
  <si>
    <t>Year of Establishment</t>
  </si>
  <si>
    <t>founded in 1906 when Harrisons &amp; Crosfield Plc ... started its first plantation in Indonesia near the city of Medan, North Sumatra</t>
  </si>
  <si>
    <t>1996-06-07</t>
  </si>
  <si>
    <t>Listed on the Indonesia Stock Exchange 1996; IPO 7 Juni 1996 38,800,000 saham Rp4,650</t>
  </si>
  <si>
    <t>First Pacific Company Limited (HK); controlled by Anthoni Salim</t>
  </si>
  <si>
    <t>First Pacific Company Limited is a public listed company on the Hong Kong Stock Exchange. Mr. Anthoni Salim holds interests in and controls indirectly First Pacific Company Limited</t>
  </si>
  <si>
    <t>Total 19.312 100,00%</t>
  </si>
  <si>
    <t>Sales 4.562.503 4.189.896 4.585.348 (in million Rupiah)</t>
  </si>
  <si>
    <t>Revenue YoY Change</t>
  </si>
  <si>
    <t>Lonsum booked total consolidated sales of Rp4.56 trillion in 2024, 9% higher than the previous year's figures of Rp4.19 trillion</t>
  </si>
  <si>
    <t>Oil palm products sales increased 8% to Rp4.29 trillion in 2024 compared to Rp3.98 trillion in 2023</t>
  </si>
  <si>
    <t>Oil palm products contributed 94% of the Company's total consolidated sales</t>
  </si>
  <si>
    <t>Sales to PT Salim Ivomas Pratama Tbk (SIMP), Lonsum's parent company, accounted around 80% of total Lonsum's sales</t>
  </si>
  <si>
    <t>Beban pokok penjualan (2.570.542) 22,27 (3.039.028)</t>
  </si>
  <si>
    <t>Gross Profit 1.991.961 1.150.868 1.491.444</t>
  </si>
  <si>
    <t>Gross Profit Margin (%) 43,7 27,5 32,5</t>
  </si>
  <si>
    <t>Operating Profit 1.550.851 759.425</t>
  </si>
  <si>
    <t>Operating Profit Margin (%) 34,0 18,1 26,3</t>
  </si>
  <si>
    <t>EBITDA1 2.098.805 1.300.543 1.747.298</t>
  </si>
  <si>
    <t>EBITDA Margin (%) 46,0 31,0 38,1</t>
  </si>
  <si>
    <t>Penghasilan keuangan 216.888 24,27 155.566</t>
  </si>
  <si>
    <t>Beban keuangan (653) 24 (566)</t>
  </si>
  <si>
    <t>Laba atas perubahan nilai wajar aset biologis 142.439</t>
  </si>
  <si>
    <t>Laba sebelum pajak penghasilan 1.773.053 911.426</t>
  </si>
  <si>
    <t>Beban pajak penghasilan (297.399) 18 (150.753)</t>
  </si>
  <si>
    <t>Profit for the Year 1.475.654 760.673 1.035.285</t>
  </si>
  <si>
    <t>Profit for the Year Attributable to Owners of the Parent 1.476.909 761.995 1.036.448</t>
  </si>
  <si>
    <t>Core Profit (ex FX/FV/plasma/non-recurring)</t>
  </si>
  <si>
    <t>core profit increased 80% to Rp1.67 trillion in 2024</t>
  </si>
  <si>
    <t>Total Assets 13.841.956 12.514.203 12.417.013</t>
  </si>
  <si>
    <t>Current Assets 7.117.283 5.376.837 5.107.489</t>
  </si>
  <si>
    <t>Total Aset Tidak Lancar 6.724.673 7.137.366</t>
  </si>
  <si>
    <t>Kas dan Setara Kas Akhir Tahun 5.453.691 5 4.511.450 at End of Year</t>
  </si>
  <si>
    <t>Total trade receivables as of December 31, 2024 was Rp511.4 billion</t>
  </si>
  <si>
    <t>Persediaan 619.768 7 431.429 Inventories</t>
  </si>
  <si>
    <t>Aset biologis 305.306 8 162.867 Biological assets</t>
  </si>
  <si>
    <t>Investasi pada entitas asosiasi 1.265.302 10 1.259.335</t>
  </si>
  <si>
    <t>Aset tetap 5.049.883 3,13 5.493.363 Fixed assets</t>
  </si>
  <si>
    <t>Total Liabilities 1.285.202 1.166.762 1.481.306</t>
  </si>
  <si>
    <t>Current Liabilities 677.973 564.496 709.627</t>
  </si>
  <si>
    <t>Total Liabilitas Jangka Panjang 607.229 602.266</t>
  </si>
  <si>
    <t>Funded Debt (Interest-Bearing Debt)</t>
  </si>
  <si>
    <t>Employee Benefits Liability (LT)</t>
  </si>
  <si>
    <t>Liabilitas imbalan kerja 486.958 19 457.342 Employee benefits liability</t>
  </si>
  <si>
    <t>Total Equity (incl NCI)</t>
  </si>
  <si>
    <t>Total Equity3 12.556.754 11.347.441</t>
  </si>
  <si>
    <t>CFO (Net Cash from Operating)</t>
  </si>
  <si>
    <t>Kas Neto yang Diperoleh dari Aktivitas Operasi 1.565.333 1.411.390</t>
  </si>
  <si>
    <t>CFI (Net Cash for Investing)</t>
  </si>
  <si>
    <t>Kas Neto yang Digunakan untuk Aktivitas Investasi (419.795) (364.167)</t>
  </si>
  <si>
    <t>CFF (Net Cash for Financing)</t>
  </si>
  <si>
    <t>Kas Neto yang Digunakan untuk Aktivitas Pendanaan (270.103) (366.654)</t>
  </si>
  <si>
    <t>Capital Expenditures 376.249 368.845 320.748</t>
  </si>
  <si>
    <t>Capex Commitment (IDR portion)</t>
  </si>
  <si>
    <t>Lonsum has commitments to acquire fixed assets with total contract value of Rp72.5 billion and USD560,724</t>
  </si>
  <si>
    <t>total dividen sebesar Rp266,0 miliar atau Rp39 per lembar saham</t>
  </si>
  <si>
    <t>Dividend per Share (Final 2023 paid in 2024)</t>
  </si>
  <si>
    <t>Rp266.0 billion or Rp39 per share, represent around 35% dividend payout</t>
  </si>
  <si>
    <t>Basic Profit per Share Attributable to the Owners of the Parent (Rp) 217 112 152</t>
  </si>
  <si>
    <t>Closing Share Price (30 Dec 2024)</t>
  </si>
  <si>
    <t>During the Year 6.819.964 6.649.465 1.305 750 975 3.363.283.200 ... closing at Rp975</t>
  </si>
  <si>
    <t>52-Week High</t>
  </si>
  <si>
    <t>During the Year ... 1.305 750 975</t>
  </si>
  <si>
    <t>52-Week Low</t>
  </si>
  <si>
    <t>As of December 31, 2024, Lonsum's market capitalisation was valued at Rp6.65 trillion</t>
  </si>
  <si>
    <t>Current Ratio (x) 10,50 9,53 7,20</t>
  </si>
  <si>
    <t>Liabilities to Equity Ratio (x)3 0,10 0,10 0,14</t>
  </si>
  <si>
    <t>Gearing Ratio - Net (x)3 (0,43) (0,40) (0,35)</t>
  </si>
  <si>
    <t>Return on Assets (%) - Profit for the Year4 11,2 6,1 8,5</t>
  </si>
  <si>
    <t>Return on Equity (%)4 12,3 6,8 9,8</t>
  </si>
  <si>
    <t>PLANTED AREA - NUCLEUS 111.367 111.940 111.240</t>
  </si>
  <si>
    <t>OIL PALM 91.152 91.759 91.151</t>
  </si>
  <si>
    <t>Mature 84.941 85.198 83.742</t>
  </si>
  <si>
    <t>Immature 6.211 6.561 7.409</t>
  </si>
  <si>
    <t>RUBBER 16.231 16.238 16.074</t>
  </si>
  <si>
    <t>OTHERS 3.984 3.943 4.015</t>
  </si>
  <si>
    <t>PLASMA PARTNERSHIP 35.779 35.417 35.064</t>
  </si>
  <si>
    <t>North Sumatra 37.228 36.903 36.473</t>
  </si>
  <si>
    <t>South Sumatra 49.518 49.222 48.900</t>
  </si>
  <si>
    <t>East Kalimantan 15.924 17.152 17.152</t>
  </si>
  <si>
    <t>Java 3.217 3.177 3.249</t>
  </si>
  <si>
    <t>North Sulawesi Area</t>
  </si>
  <si>
    <t>North Sulawesi 766 766 766</t>
  </si>
  <si>
    <t>South Sulawesi Area</t>
  </si>
  <si>
    <t>South Sulawesi 4.714 4.720 4.700</t>
  </si>
  <si>
    <t>Cocoa plantations around 2,822 hectares are located in North Sulawesi and East Java</t>
  </si>
  <si>
    <t>Lonsum operates 12 palm oil mills in Sumatra and Kalimantan</t>
  </si>
  <si>
    <t>Total FFB Mill Capacity</t>
  </si>
  <si>
    <t>total annual Fresh Fruit Bunch (FFB) processing capacity of 2.7 million tonnes</t>
  </si>
  <si>
    <t>Crumb Rubber Production Lines</t>
  </si>
  <si>
    <t>In 2024, Lonsum operated 3 crumb rubber production lines with annual processing capacity of around 26,000 tonnes</t>
  </si>
  <si>
    <t>Crumb Rubber Capacity</t>
  </si>
  <si>
    <t>annual processing capacity of around 26,000 tonnes</t>
  </si>
  <si>
    <t>Sheet Rubber Production Lines</t>
  </si>
  <si>
    <t>Sheet Rubber Capacity</t>
  </si>
  <si>
    <t>annual processing capacity of around 7,000 tonnes</t>
  </si>
  <si>
    <t>Cocoa Factory Count</t>
  </si>
  <si>
    <t>Tea Factory Count</t>
  </si>
  <si>
    <t>Total Fresh Fruit Bunches (FFB) 1.345 1.377 1.417 (thousand tonnes)</t>
  </si>
  <si>
    <t>FFB - Nucleus 1.173 1.177 1.174</t>
  </si>
  <si>
    <t>FFB from External (Third-Party)</t>
  </si>
  <si>
    <t>FFB from external reached 172,000 tonnes in 2024, down 14% compared to 201,000 tonnes in 2023</t>
  </si>
  <si>
    <t>Crude Palm Oil (CPO) 287 294 306</t>
  </si>
  <si>
    <t>Palm Kernel (PK) 82 87 88</t>
  </si>
  <si>
    <t>Oil Palm Seeds (million units) 8,1 7,9 7,1</t>
  </si>
  <si>
    <t>Rubber 4,8 4,7 5,2 (thousand tonnes)</t>
  </si>
  <si>
    <t>Cocoa (tonnes) 753 416 487</t>
  </si>
  <si>
    <t>Tea (tonnes) 812 754 972</t>
  </si>
  <si>
    <t>CPO 280 303 286 (sales volume thousand tonnes)</t>
  </si>
  <si>
    <t>PK and PK Related Products 77 105 100</t>
  </si>
  <si>
    <t>Oil Palm Seeds (million units) 7,5 7,7 6,4</t>
  </si>
  <si>
    <t>Rubber 4,6 5,1 5,8</t>
  </si>
  <si>
    <t>CPO Price (KPB Domestic avg)</t>
  </si>
  <si>
    <t>domestic CPO prices (KPB) rose 17% to an average of Rp13,190 per kg</t>
  </si>
  <si>
    <t>international CPO prices (CIF Rotterdam) surged by 15% to an average of USD 1,113 per tonne</t>
  </si>
  <si>
    <t>Lonsum's ISPO-certified CPO production reached 247,000 tonnes or 97% of total nucleus CPO production</t>
  </si>
  <si>
    <t>247,000 tonnes or 97% of total nucleus CPO production</t>
  </si>
  <si>
    <t>Avg Collection Period</t>
  </si>
  <si>
    <t>Average collection period ratio was 22 days in 2024, compared to 11 days in 2023</t>
  </si>
  <si>
    <t>PT Multi Agro Gemilang Plantation Tbk</t>
  </si>
  <si>
    <t>MAGP_2022_AR.pdf</t>
  </si>
  <si>
    <t>PT MULTI AGRO GEMILANG PLANTATION Tbk DAN ENTITAS ANAK</t>
  </si>
  <si>
    <t>Period Type</t>
  </si>
  <si>
    <t>Q1 2022 Interim (3 months to March 31, 2022)</t>
  </si>
  <si>
    <t>LAPORAN KEUANGAN KONSOLIDASIAN UNTUK PERIODE YANG BERAKHIR PADA TANGGAL 31 MARET 2022</t>
  </si>
  <si>
    <t>Head Office</t>
  </si>
  <si>
    <t>Gedung Bank Panin Pusat Lantai 2, Jalan Jenderal Sudirman Kav 1, Jakarta Pusat</t>
  </si>
  <si>
    <t>Kantor pusat Perusahaan berlokasi di Gedung Bank Panin Pusat Lantai 2</t>
  </si>
  <si>
    <t>Commercial Operations Started</t>
  </si>
  <si>
    <t>Perusahaan mulai beroperasi komersial pada tahun 2005</t>
  </si>
  <si>
    <t>Parent Entity</t>
  </si>
  <si>
    <t>PT Santika Griya Persada</t>
  </si>
  <si>
    <t>PT Santika Griya Persada merupakan entitas induk Perusahaan</t>
  </si>
  <si>
    <t>Ultimate Shareholder</t>
  </si>
  <si>
    <t>Bobby Alianto</t>
  </si>
  <si>
    <t>Bobby Alianto merupakan pemegang saham akhir Perusahaan</t>
  </si>
  <si>
    <t>16-Jan-2013</t>
  </si>
  <si>
    <t>Pada tanggal 16 Januari 2013, seluruh saham tersebut telah dicatat di Bursa Efek Indonesia</t>
  </si>
  <si>
    <t>IPO Shares</t>
  </si>
  <si>
    <t>Penawaran Umum Saham Perdana (IPO) sejumlah 4,000,000,000 saham</t>
  </si>
  <si>
    <t>harga penawaran Rp 110 (nilai penuh) persaham</t>
  </si>
  <si>
    <t>Total Listed Shares</t>
  </si>
  <si>
    <t>jumlah saham perusahaan yang dicatatkan di Bursa Efek Indonesia menjadi sebanyak 9,000,000,004 saham</t>
  </si>
  <si>
    <t>Perusahaan dan entitas anak mempunyai 220 karyawan tetap per 31 Maret 2022</t>
  </si>
  <si>
    <t>Subsidiary - PT Boswa Megalopolis</t>
  </si>
  <si>
    <t>Aceh, 93.58%, est. 1982</t>
  </si>
  <si>
    <t>PT Boswa Megalopolis Aceh Perkebunan 93.58% 1982 187,059,144,317</t>
  </si>
  <si>
    <t>Subsidiary - PT Bumi Orion Sawit Subur</t>
  </si>
  <si>
    <t>Riau, 99.99%, est. 2008</t>
  </si>
  <si>
    <t>PT Bumi Orion Sawit Subur Riau Perkebunan 99.99% 2008 469,196,038</t>
  </si>
  <si>
    <t>Subsidiary - PT Brent Multidaya</t>
  </si>
  <si>
    <t>Kalimantan Barat, 99.99%, est. 2007</t>
  </si>
  <si>
    <t>PT Brent Multidaya Kalimantan Barat Perkebunan 99.99% 2007 823,010,881</t>
  </si>
  <si>
    <t>Subsidiary - PT Meta Epsi Agro</t>
  </si>
  <si>
    <t>Kalteng/Riau, 99.99%, est. 2007</t>
  </si>
  <si>
    <t>PT Meta Epsi Agro Kalimantan Tengah/Riau Perkebunan 99.99% 2007 352,339,738,589</t>
  </si>
  <si>
    <t>Subsidiary - PT Sabut Mas Abadi</t>
  </si>
  <si>
    <t>Kalteng, 99.99% via MEA, est. 2002</t>
  </si>
  <si>
    <t>PT Sabut Mas Abadi Kalimantan Tengah Perkebunan, Pengolahan tandan buah segar 99.99% 2002 63,643,849,526</t>
  </si>
  <si>
    <t>Revenue (Q1 2022)</t>
  </si>
  <si>
    <t>PENJUALAN 32,269,704,270</t>
  </si>
  <si>
    <t>Cost of Sales (Q1 2022)</t>
  </si>
  <si>
    <t>BEBAN POKOK PENJUALAN (35,701,382,161)</t>
  </si>
  <si>
    <t>Gross Loss (Q1 2022)</t>
  </si>
  <si>
    <t>RUGI BRUTO (3,431,677,891)</t>
  </si>
  <si>
    <t>G&amp;A Expenses (Q1 2022)</t>
  </si>
  <si>
    <t>Beban umum dan adminstrasi (1,917,947,031)</t>
  </si>
  <si>
    <t>Financial Expense (Q1 2022)</t>
  </si>
  <si>
    <t>Beban keuangan (6,373,047,000)</t>
  </si>
  <si>
    <t>Loss Before Tax (Q1 2022)</t>
  </si>
  <si>
    <t>RUGI SEBELUM PAJAK PENGHASILAN (10,679,698,885)</t>
  </si>
  <si>
    <t>Net Loss for Period (Q1 2022)</t>
  </si>
  <si>
    <t>RUGI BERSIH TAHUN BERJALAN (10,679,698,885)</t>
  </si>
  <si>
    <t>Pemilik entitas induk (10,573,329,084)</t>
  </si>
  <si>
    <t>Loss attributable to NCI</t>
  </si>
  <si>
    <t>Kepentingan non-pengendali (106,369,801)</t>
  </si>
  <si>
    <t>EPS (Q1 2022)</t>
  </si>
  <si>
    <t>Rugi bersih per saham dasar (1.17)</t>
  </si>
  <si>
    <t>Kas dan bank 2,382,603,315</t>
  </si>
  <si>
    <t>Piutang usaha 3,500,778,636</t>
  </si>
  <si>
    <t>Persediaan 11,583,136,263</t>
  </si>
  <si>
    <t>Prepaid/Advances</t>
  </si>
  <si>
    <t>Biaya dibayar di muka dan uang muka 171,380,309,146</t>
  </si>
  <si>
    <t>Aset biologis 9,452,643,150</t>
  </si>
  <si>
    <t>Jumlah Aset Lancar 205,920,389,301</t>
  </si>
  <si>
    <t>Bearer Plantations - Net</t>
  </si>
  <si>
    <t>Tanaman produktif -bersih 286,383,732,092</t>
  </si>
  <si>
    <t>Aset tetap - bersih 280,578,263,510</t>
  </si>
  <si>
    <t>Aset pajak tangguhan - bersih 62,620,633,673</t>
  </si>
  <si>
    <t>Jumlah Aset Tidak Lancar 634,271,481,298</t>
  </si>
  <si>
    <t>JUMLAH ASET 840,191,870,599</t>
  </si>
  <si>
    <t>Utang bank jangka pendek 240,911,388,890</t>
  </si>
  <si>
    <t>Utang usaha 15,147,840,266</t>
  </si>
  <si>
    <t>Other Payables</t>
  </si>
  <si>
    <t>Utang lain-lain 308,571,974,245</t>
  </si>
  <si>
    <t>Accrued Expenses</t>
  </si>
  <si>
    <t>Beban masih harus dibayar 59,103,447,784</t>
  </si>
  <si>
    <t>Finance Lease - Current</t>
  </si>
  <si>
    <t>Utang sewa pembiayaan 9,900,568,803 (current maturities)</t>
  </si>
  <si>
    <t>Jumlah Liabilitas Jangka Pendek 645,964,875,488</t>
  </si>
  <si>
    <t>Finance Lease - Long-term</t>
  </si>
  <si>
    <t>Utang sewa pembiayaan 107,893,709,428 (LT net of current)</t>
  </si>
  <si>
    <t>Post-employment Benefits</t>
  </si>
  <si>
    <t>Cadangan imbalan pasca kerja Karyawan 10,409,375,326</t>
  </si>
  <si>
    <t>Jumlah Liabilitas Jangka Panjang 118,303,084,754</t>
  </si>
  <si>
    <t>JUMLAH LIABILITAS 764,267,960,242</t>
  </si>
  <si>
    <t>Issued and Paid-up Capital</t>
  </si>
  <si>
    <t>Modal ditempatkan dan dan disetor 900,000,000,400 - 9,000,000,004 shares</t>
  </si>
  <si>
    <t>Tambahan modal disetor (14,391,716,260)</t>
  </si>
  <si>
    <t>Defisit (812,005,700,094)</t>
  </si>
  <si>
    <t>Equity attributable to parent</t>
  </si>
  <si>
    <t>Jumlah Ekuitas yang Dapat Didistribusikan kepada Pemilik Entitas Induk 73,602,584,046</t>
  </si>
  <si>
    <t>Non-controlling Interest</t>
  </si>
  <si>
    <t>Kepentingan non-pengendali 2,321,326,311</t>
  </si>
  <si>
    <t>JUMLAH EKUITAS 75,923,910,357</t>
  </si>
  <si>
    <t>Cash from Operations (Q1)</t>
  </si>
  <si>
    <t>Kas Bersih Diperoleh dari Aktivitas Operasi 1,616,962,985</t>
  </si>
  <si>
    <t>Cash used in Investing (Q1)</t>
  </si>
  <si>
    <t>Kas Bersih Digunakan untuk Aktivitas Investasi -</t>
  </si>
  <si>
    <t>Cash from Financing (Q1)</t>
  </si>
  <si>
    <t>Kas Bersih Diperoleh dari Aktivitas Pendanaan (2,204,537,913)</t>
  </si>
  <si>
    <t>Depreciation of Bearer Plants (Q1)</t>
  </si>
  <si>
    <t>Akumulasi penyusutan mature plantations 1,352,390,905</t>
  </si>
  <si>
    <t>Bearer Plants - Mature Cost</t>
  </si>
  <si>
    <t>Tanaman menghasilkan Biaya perolehan 108,191,272,377</t>
  </si>
  <si>
    <t>Bearer Plants - Immature Cost</t>
  </si>
  <si>
    <t>Immature plantations Harga perolehan 197,894,480,603</t>
  </si>
  <si>
    <t>Nurseries Cost</t>
  </si>
  <si>
    <t>Pembibitan Harga perolehan 42,517,030,854</t>
  </si>
  <si>
    <t>Tanah 133,753,072,108 (Acquisition Cost)</t>
  </si>
  <si>
    <t>FFB Harvest 2020 (historical ref)</t>
  </si>
  <si>
    <t>tonnes</t>
  </si>
  <si>
    <t>Pada tahun 2020 hasil panen TBS adalah sejumlah 2,951 ton</t>
  </si>
  <si>
    <t>Advance for Plantation Land Purchase</t>
  </si>
  <si>
    <t>Uang muka pembelian aset 170,874,819,539 - lahan perkebunan tanaman kelapa sawit yang masih dalam negosiasi proses legalisasi</t>
  </si>
  <si>
    <t>Plantation Insurance</t>
  </si>
  <si>
    <t>None - bearer plantations not insured</t>
  </si>
  <si>
    <t>seluruh tanaman produktif Grup tidak diasuransikan</t>
  </si>
  <si>
    <t>Data Source Limitation</t>
  </si>
  <si>
    <t>Q1 2022 interim only</t>
  </si>
  <si>
    <t>MAGP 2022 cached file is Q1 interim financials; full-year 2022 AR not available in cache</t>
  </si>
  <si>
    <t>PT Mahkota Group Tbk</t>
  </si>
  <si>
    <t>MGRO_2022_AR.pdf</t>
  </si>
  <si>
    <t>PT Mahkota Group Tbk 2022 Annual Report</t>
  </si>
  <si>
    <t>Kode Saham MGRO</t>
  </si>
  <si>
    <t>Medan, North Sumatra</t>
  </si>
  <si>
    <t>Medan, Sumatra Utara</t>
  </si>
  <si>
    <t>PT Mahkota Global Investama 56.03%</t>
  </si>
  <si>
    <t>PT Mahkota Global Investama 1.991.490.100 56,0281%</t>
  </si>
  <si>
    <t>MGI International Holdings Ltd. 22.79%</t>
  </si>
  <si>
    <t>MGI International Holdings Ltd. 810.000.000 22,7884%</t>
  </si>
  <si>
    <t>Masyarakat 723.799.700 20,3632%</t>
  </si>
  <si>
    <t>Ultimate Beneficial Owner</t>
  </si>
  <si>
    <t>Mily</t>
  </si>
  <si>
    <t>Pemilik manfaat akhir dari struktur kepemilikan saham Perseroan adalah Mily.</t>
  </si>
  <si>
    <t>Pendapatan Usaha 7.505,70 7.313,13</t>
  </si>
  <si>
    <t>Beban Pokok Pendapatan 6.777,09 6.488,08</t>
  </si>
  <si>
    <t>LABA BRUTO 728.609.387.314 825.050.828.336</t>
  </si>
  <si>
    <t>LABA OPERASI 100.537.044.367 182.467.818.820</t>
  </si>
  <si>
    <t>Beban keuangan 38 (95.604.259.344) (65.988.195.242)</t>
  </si>
  <si>
    <t>LABA (RUGI) SEBELUM PAJAK PENGHASILAN (6.622.540.866) 109.422.288.389</t>
  </si>
  <si>
    <t>LABA (RUGI) BERSIH (34.790.602.513)</t>
  </si>
  <si>
    <t>Pemilik Entitas Induk (20.104)</t>
  </si>
  <si>
    <t>Loss to Non-controlling</t>
  </si>
  <si>
    <t>Kepentingan Non Pengendali (14.686)</t>
  </si>
  <si>
    <t>Jumlah Penghasilan Komprehensif (28.731)</t>
  </si>
  <si>
    <t>Total Aset 2.561,66 1.820,20</t>
  </si>
  <si>
    <t>Aset Lancar 1.429,23 809,01</t>
  </si>
  <si>
    <t>Aset Tidak Lancar 1.132,43 1.011,18</t>
  </si>
  <si>
    <t>Total Liabilitas 1.916,29 1.110,40</t>
  </si>
  <si>
    <t>Liabilitas Jangka Pendek 1.423,46 787,14</t>
  </si>
  <si>
    <t>Liabilitas Jangka Panjang 492,83 323,25</t>
  </si>
  <si>
    <t>Total Ekuitas 645,37 709,80</t>
  </si>
  <si>
    <t>pemilik entitas induk 606.893.257.484 646.183.135.956</t>
  </si>
  <si>
    <t>Kas dan setara kas 6 457.603.972.507 90.763.070.618</t>
  </si>
  <si>
    <t>Persediaan 9 693.644.234.553 429.327.199.094</t>
  </si>
  <si>
    <t>Pinjaman bank jangka pendek 21 1.084.687.058.283 508.358.165.634</t>
  </si>
  <si>
    <t>Current Portion LT Bank Loans</t>
  </si>
  <si>
    <t>Pinjaman bank jangka panjang 21 145.461.672.378 58.974.138.025</t>
  </si>
  <si>
    <t>Long-term Bank Loans (non-current)</t>
  </si>
  <si>
    <t>Pinjaman bank jangka panjang 21 337.755.416.657 278.843.345.672</t>
  </si>
  <si>
    <t>MTN (Non-Current)</t>
  </si>
  <si>
    <t>Surat utang jangka menengah 26 90.000.000.000 - Medium term notes</t>
  </si>
  <si>
    <t>Calculated: ST 1,084.69 + LT cur 145.46 + LT 337.76 + MTN 90 = 1,657.91</t>
  </si>
  <si>
    <t>Kas bersih digunakan untuk aktivitas operasi (285.731)</t>
  </si>
  <si>
    <t>Kas bersih digunakan untuk aktivitas investasi (133.107)</t>
  </si>
  <si>
    <t>Kas bersih diperoleh dari aktivitas pendanaan 785.679</t>
  </si>
  <si>
    <t>3.554.445.700 saham beredar</t>
  </si>
  <si>
    <t>Loss per Share</t>
  </si>
  <si>
    <t>Laba Per Saham Dasar (5,69)</t>
  </si>
  <si>
    <t>Closing Price (Q4 2022)</t>
  </si>
  <si>
    <t>IV 3.554.445.700 870 750 845</t>
  </si>
  <si>
    <t>Market Cap (Q4 2022)</t>
  </si>
  <si>
    <t>Kapitalisasi Pasar IV 3.003.506.616.500</t>
  </si>
  <si>
    <t>Rasio Lancar 100,41% 102,78%</t>
  </si>
  <si>
    <t>Rasio Liabilitas terhadap Ekuitas 296,93% 156,44%</t>
  </si>
  <si>
    <t>Cash Ratio</t>
  </si>
  <si>
    <t>Rasio Kas 32,15%</t>
  </si>
  <si>
    <t>MTN Issued</t>
  </si>
  <si>
    <t>Rp90 bn, 3-yr, 9% p.a.</t>
  </si>
  <si>
    <t>Pada 12 April 2022, Perseroan menerbitkan Medium Term Notes (MTN) ... Rp90.000.000.000 ... 9,00% per tahun ... Jangka Waktu 3 Tahun</t>
  </si>
  <si>
    <t>Storage Tank Total Count</t>
  </si>
  <si>
    <t>Perseroan memiliki total 26 tangki timbun</t>
  </si>
  <si>
    <t>CPO 278,28 227,20 22,5%</t>
  </si>
  <si>
    <t>PK 83,96 68,07 23,3%</t>
  </si>
  <si>
    <t>RBDPO 340,06 322,24 5,5%</t>
  </si>
  <si>
    <t>PFAD 19,61 17,08 14,8%</t>
  </si>
  <si>
    <t>PKO 22,55 12,02 87,6%</t>
  </si>
  <si>
    <t>PKE 27,34 14,79 84,8%</t>
  </si>
  <si>
    <t>Olein 7,69</t>
  </si>
  <si>
    <t>Stearin 2,44</t>
  </si>
  <si>
    <t>FFB Purchased (3rd Party)</t>
  </si>
  <si>
    <t>TBS FFB 1.506.111 (from 2023 AR comparatives)</t>
  </si>
  <si>
    <t>CPO Purchased (3rd Party)</t>
  </si>
  <si>
    <t>CPO 226.186 (2022 from 2023 AR comparatives)</t>
  </si>
  <si>
    <t>CPO 126.936 (2022)</t>
  </si>
  <si>
    <t>RBDPO Sales Volume</t>
  </si>
  <si>
    <t>RBDPO 318.592 (2022)</t>
  </si>
  <si>
    <t>CPO Segment Sales Revenue</t>
  </si>
  <si>
    <t>CPO 1.528 2.053 (25,57%)</t>
  </si>
  <si>
    <t>RBDPO Segment Sales Revenue</t>
  </si>
  <si>
    <t>RBDPO 4.898 4.401 11,29%</t>
  </si>
  <si>
    <t>PKO Segment Sales Revenue</t>
  </si>
  <si>
    <t>PKO 313 187 67,38%</t>
  </si>
  <si>
    <t>Storage Tank Leasing Revenue</t>
  </si>
  <si>
    <t>Penyewaan Leasing 58,22 58,90 (1,15%)</t>
  </si>
  <si>
    <t>Storage Tank Leasing Profit</t>
  </si>
  <si>
    <t>Laba Profit 36,22 33,91 6,81%</t>
  </si>
  <si>
    <t>KAP Gani Sigiro &amp; Handayani</t>
  </si>
  <si>
    <t>telah diaudit oleh KAP Gani Sigiro &amp; Handayani</t>
  </si>
  <si>
    <t>MGRO_2023_AR.pdf</t>
  </si>
  <si>
    <t>PT Mahkota Group Tbk 2023 Annual Report</t>
  </si>
  <si>
    <t>Medan 20239, Sumatra Utara</t>
  </si>
  <si>
    <t>PT Mahkota Global Investama 56.40%</t>
  </si>
  <si>
    <t>PT Mahkota Global Investama 56,4012</t>
  </si>
  <si>
    <t>Pendapatan Usaha 5.425,48 7.505,70</t>
  </si>
  <si>
    <t>Beban Pokok Pendapatan 5.168,13 6.777,09</t>
  </si>
  <si>
    <t>LABA BRUTO 257.351.254.455 728.609.387.314</t>
  </si>
  <si>
    <t>LABA (RUGI) OPERASI (43.901.136.252) 100.537.044.367</t>
  </si>
  <si>
    <t>Beban keuangan 38 (117.733.374.597) (95.604.259.344)</t>
  </si>
  <si>
    <t>RUGI SEBELUM PAJAK PENGHASILAN (164.040.233.966) (6.622.540.866)</t>
  </si>
  <si>
    <t>RUGI BERSIH TAHUN BERJALAN (172.273.898.363) (34.790.602.513)</t>
  </si>
  <si>
    <t>Pemilik Entitas Induk (152.234)</t>
  </si>
  <si>
    <t>Kepentingan Non Pengendali (20.040)</t>
  </si>
  <si>
    <t>Jumlah Penghasilan Komprehensif (163.503)</t>
  </si>
  <si>
    <t>Total Aset 2.680,20 2.561,66</t>
  </si>
  <si>
    <t>Aset Lancar 1.425,67 1.429,23</t>
  </si>
  <si>
    <t>Aset Tidak Lancar 1.254,53 1.132,43</t>
  </si>
  <si>
    <t>Total Liabilitas 2.159,14 1.916,29</t>
  </si>
  <si>
    <t>Liabilitas Jangka Pendek 1.693,11 1.423,46</t>
  </si>
  <si>
    <t>Liabilitas Jangka Panjang 466,02 492,83</t>
  </si>
  <si>
    <t>Total Ekuitas 521,06 645,37</t>
  </si>
  <si>
    <t>pemilik entitas induk 460.466.342.496 606.893.257.484</t>
  </si>
  <si>
    <t>Kas dan setara kas 6 421.266.153.510 457.603.972.507</t>
  </si>
  <si>
    <t>Restricted Cash</t>
  </si>
  <si>
    <t>kas dan setara kas yang dibatasi penggunaannya sebesar Rp305,87 miliar yang merupakan deposito yang dijaminkan atas pinjaman bank</t>
  </si>
  <si>
    <t>Persediaan 9 331.711.608.612 693.644.234.553</t>
  </si>
  <si>
    <t>Pinjaman bank jangka pendek 21 1.425.048.011.243 1.084.687.058.283</t>
  </si>
  <si>
    <t>Pinjaman bank jangka panjang 21 88.550.000.000 81.461.672.378</t>
  </si>
  <si>
    <t>Pinjaman bank jangka panjang 21 313.351.560.688 401.755.416.657</t>
  </si>
  <si>
    <t>Surat utang jangka menengah 26 90.000.000.000 90.000.000.000</t>
  </si>
  <si>
    <t>Calculated: ST 1,425.05 + LT cur 88.55 + LT 313.35 + MTN 90 = 1,916.95</t>
  </si>
  <si>
    <t>Arus Kas dari Aktivitas Operasi 309,79 (285,73)</t>
  </si>
  <si>
    <t>Arus Kas dari Aktivitas Investasi (274,59) (133,11)</t>
  </si>
  <si>
    <t>Arus Kas dari Aktivitas Pendanaan 234,33 785,68</t>
  </si>
  <si>
    <t>kenaikan pembayaran untuk perolehan aset tetap ... Rp175,79 (2023) - from 2024 AR cash flow comparatives 180,809,079,106</t>
  </si>
  <si>
    <t>Laba Per Saham Dasar (43,12) (5,69) 22,25</t>
  </si>
  <si>
    <t>Closing Price (Q4 2023)</t>
  </si>
  <si>
    <t>IV 3.554.445.700 745 545 705</t>
  </si>
  <si>
    <t>Market Cap (Q4 2023)</t>
  </si>
  <si>
    <t>Kapitalisasi Pasar IV 2.505.884.218.500</t>
  </si>
  <si>
    <t>Rasio Lancar 84,20% 100,41% 102,78%</t>
  </si>
  <si>
    <t>Rasio Liabilitas terhadap Ekuitas 414,37% 296,93% 156,44%</t>
  </si>
  <si>
    <t>Rasio Kas 42,95% 32,15%</t>
  </si>
  <si>
    <t>Planted Area (Plantation Segment)</t>
  </si>
  <si>
    <t>total luas area tanam per akhir tahun 2023 adalah sebesar 427,88 hektar</t>
  </si>
  <si>
    <t>Total Land Area (Concession)</t>
  </si>
  <si>
    <t>total luas lahan sebesar 967,74 hektar</t>
  </si>
  <si>
    <t>New Planting 2023</t>
  </si>
  <si>
    <t>terdapat penambahan areal lahan tanam baru seluas total 71,61 hektar</t>
  </si>
  <si>
    <t>CPO 256,93 278,28 (7,67) (juta kg)</t>
  </si>
  <si>
    <t>PK 77,23 83,96 (7,99)</t>
  </si>
  <si>
    <t>RBDPO 274,68 340,06 (19,23)</t>
  </si>
  <si>
    <t>PFAD 15,97 19,61 (18,61)</t>
  </si>
  <si>
    <t>PKO 15,73 22,55 (30,27)</t>
  </si>
  <si>
    <t>PKE 19,96 27,34 (27,02)</t>
  </si>
  <si>
    <t>Olein 9,42 7,69 22,43</t>
  </si>
  <si>
    <t>Stearin 3,63 2,44 48,38</t>
  </si>
  <si>
    <t>FFB Plantation Production</t>
  </si>
  <si>
    <t>694.591 ton ... Tandan Buah Sawit</t>
  </si>
  <si>
    <t>TBS FFB 1.470.215 1.506.111 (35.896)</t>
  </si>
  <si>
    <t>CPO 123.164 226.186 (103.022)</t>
  </si>
  <si>
    <t>PK Purchased (3rd Party)</t>
  </si>
  <si>
    <t>PK 21.231 22.713 (1.483)</t>
  </si>
  <si>
    <t>CPO 89.259 126.936 (37.677)</t>
  </si>
  <si>
    <t>PK Sales Volume</t>
  </si>
  <si>
    <t>PK 59.642 32.054 27.588</t>
  </si>
  <si>
    <t>RBDPO 266.111 318.592 (52.481)</t>
  </si>
  <si>
    <t>PFAD Sales Volume</t>
  </si>
  <si>
    <t>PFAD 15.498 19.896 (4.398)</t>
  </si>
  <si>
    <t>CPKO Sales Volume</t>
  </si>
  <si>
    <t>CPKO 11.418 19.951 (8.533)</t>
  </si>
  <si>
    <t>PKE Sales Volume</t>
  </si>
  <si>
    <t>PKE 23.108 30.388 (7.280)</t>
  </si>
  <si>
    <t>Olein Sales Volume</t>
  </si>
  <si>
    <t>Olein 10.609 8.701 1.908</t>
  </si>
  <si>
    <t>CPO 1.107 1.528 (27,55)</t>
  </si>
  <si>
    <t>RBDPO 3.498 4.898 (28,58)</t>
  </si>
  <si>
    <t>Penyewaan Leasing 83,37 58,22 43,20</t>
  </si>
  <si>
    <t>Laba Profit 61,94 36,22 71,01</t>
  </si>
  <si>
    <t>FFB Plantation Sales Revenue</t>
  </si>
  <si>
    <t>694.591 ton 1,51 (0,17)</t>
  </si>
  <si>
    <t>PT Mega Sawit Sriwijaya Acquisition</t>
  </si>
  <si>
    <t>March 2023, 52% via BIM</t>
  </si>
  <si>
    <t>PT Mega Sawit Sriwijaya yang diakuisisi melalui entitas anak PT Berlian Inti Mekar yang dilaksanakan pada Maret 2023</t>
  </si>
  <si>
    <t>MGRO_2024_AR.pdf</t>
  </si>
  <si>
    <t>PT Mahkota Group Tbk ... Tercatat di BEI pada 12 Juli 2018</t>
  </si>
  <si>
    <t>Grand Jati Junction Lt. 27, Jl. Perintis Kemerdekaan No. 3A, Medan 20239, Sumatra Utara</t>
  </si>
  <si>
    <t>Incorporation Date</t>
  </si>
  <si>
    <t>7 January 2011</t>
  </si>
  <si>
    <t>Perseroan didirikan dengan nama PT Mahkota Group yang berkedudukan di Medan, Sumatra Utara pada 7 Januari 2011</t>
  </si>
  <si>
    <t>12 July 2018</t>
  </si>
  <si>
    <t>Pada 12 Juli 2018, Perseroan secara resmi listing di Bursa Efek Indonesia</t>
  </si>
  <si>
    <t>PT Mahkota Global Investama 2.004.749.900 56,4012</t>
  </si>
  <si>
    <t>MGI International Holdings Ltd. 810.000.000 22,7884</t>
  </si>
  <si>
    <t>Masyarakat 710.539.900 19,9901</t>
  </si>
  <si>
    <t>Treasury Stock</t>
  </si>
  <si>
    <t>Saham Treasury 29.155.900 0,8203</t>
  </si>
  <si>
    <t>Pendapatan Usaha 4.685,75 5.425,48</t>
  </si>
  <si>
    <t>Beban Pokok Pendapatan 4.333,21 5.168,13</t>
  </si>
  <si>
    <t>LABA BRUTO 352.538.591.014 257.351.254.455</t>
  </si>
  <si>
    <t>LABA (RUGI) OPERASI 68.709.771.612 (43.901.136.252)</t>
  </si>
  <si>
    <t>Beban keuangan 38 (100.906.503.898) (117.733.374.597)</t>
  </si>
  <si>
    <t>Other Income</t>
  </si>
  <si>
    <t>Pendapatan Lainnya 24,64 10,54</t>
  </si>
  <si>
    <t>Laba (Rugi) Sebelum Pajak (19,36) (164,04)</t>
  </si>
  <si>
    <t>Laba (Rugi) Bersih (22,98) (172,27)</t>
  </si>
  <si>
    <t>Pemilik Entitas Induk (20.851) (152.234) (20.104)</t>
  </si>
  <si>
    <t>Kepentingan Nonpengendali (2.130) (20.040) (14.686)</t>
  </si>
  <si>
    <t>Laba (Rugi) Komprehensif Tahun Berjalan (19,68) (163,50)</t>
  </si>
  <si>
    <t>Jumlah Aset 3.073,81 2.680,20</t>
  </si>
  <si>
    <t>Aset Lancar 1.576,71 1.425,67</t>
  </si>
  <si>
    <t>Aset Tidak Lancar 1.497,10 1.254,53</t>
  </si>
  <si>
    <t>Jumlah Liabilitas 2.568,91 2.159,14</t>
  </si>
  <si>
    <t>Liabilitas Jangka Pendek 1.811,73 1.693,11</t>
  </si>
  <si>
    <t>Liabilitas Jangka Panjang 757,18 466,02</t>
  </si>
  <si>
    <t>Jumlah Ekuitas 504,89 521,06</t>
  </si>
  <si>
    <t>pemilik entitas induk 442.462.440.391 460.466.342.496</t>
  </si>
  <si>
    <t>Non-controlling Interests</t>
  </si>
  <si>
    <t>Kepentingan non-pengendali 45 62.429.600.354 60.598.292.590</t>
  </si>
  <si>
    <t>Kas dan setara kas 6 276.096.170.712 421.266.153.510</t>
  </si>
  <si>
    <t>Kas yang dibatasi penggunaannya 6,21 476.745.800.000 305.870.000.000</t>
  </si>
  <si>
    <t>Persediaan 9 344.634.464.156 331.711.608.612</t>
  </si>
  <si>
    <t>Pinjaman bank jangka pendek 21 1.357.809.800.000 1.425.048.011.243</t>
  </si>
  <si>
    <t>Pinjaman bank jangka panjang 21 166.100.000.000 88.550.000.000</t>
  </si>
  <si>
    <t>Pinjaman bank jangka panjang 21 696.075.578.598 313.351.560.688</t>
  </si>
  <si>
    <t>MTN (Current)</t>
  </si>
  <si>
    <t>Calculated: ST 1,357.81 + LT cur 166.10 + LT 696.08 + MTN 90 = 2,310.08</t>
  </si>
  <si>
    <t>Arus Kas dari Aktivitas Operasi (38,01) 309,79</t>
  </si>
  <si>
    <t>Arus Kas dari Aktivitas Investasi (316,94) (274,59)</t>
  </si>
  <si>
    <t>Arus Kas dari Aktivitas Pendanaan 380,66 234,33</t>
  </si>
  <si>
    <t>Perolehan aset tetap 14 (319.070.298.604) (180.809.079.106)</t>
  </si>
  <si>
    <t>Laba Per Saham Dasar (5,91) (43,12) (5,69)</t>
  </si>
  <si>
    <t>IV 3.554.445.700 720 620 695</t>
  </si>
  <si>
    <t>Market Cap (Q4 2024)</t>
  </si>
  <si>
    <t>Kapitalisasi Pasar IV 2.470.339.761.500</t>
  </si>
  <si>
    <t>Rasio Lancar 87,03% 84,20% 100,41%</t>
  </si>
  <si>
    <t>Rasio Liabilitas terhadap Ekuitas 508,80% 414,37% 296,93%</t>
  </si>
  <si>
    <t>Rasio Kas 41,55% 42,95%</t>
  </si>
  <si>
    <t>Quick Ratio</t>
  </si>
  <si>
    <t>Rasio Cepat 68,01% 64,61%</t>
  </si>
  <si>
    <t>total luas area tanam per akhir tahun 2024 adalah sebesar 477,85 hektar</t>
  </si>
  <si>
    <t>New Planting 2024</t>
  </si>
  <si>
    <t>penambahan areal lahan tanam baru seluas total 49,97 hektar</t>
  </si>
  <si>
    <t>Palm Oil Mills (CPO/PK)</t>
  </si>
  <si>
    <t>45-60 t/hour each</t>
  </si>
  <si>
    <t>Kapasitas setiap pabrik pengolahan Perseroan untuk produk CPO dan PK berada di kisaran 45-60 ton per jam</t>
  </si>
  <si>
    <t>Refinery Capacity (RBDPO/PFAD/Olein/Stearin)</t>
  </si>
  <si>
    <t>1,500-1,800 t/day</t>
  </si>
  <si>
    <t>tpd</t>
  </si>
  <si>
    <t>produk RBDPO dan PFAD ataupun produk fraksinasi Olein dan Stearin sebesar 1.500-1.800 ton per hari</t>
  </si>
  <si>
    <t>Second Refinery Line Commissioning</t>
  </si>
  <si>
    <t>2024</t>
  </si>
  <si>
    <t>commissioning line produksi kedua refinery pada proyek Integrated Sustainable Agro Industry di Riau, yang dapat meningkatkan kapasitas produksi hingga 2x1.800 ton per hari</t>
  </si>
  <si>
    <t>KCP (PKO/PKE) Capacity</t>
  </si>
  <si>
    <t>200-400 t/day</t>
  </si>
  <si>
    <t>produk PKO dan PKE sebesar 200-400 ton per hari</t>
  </si>
  <si>
    <t>Storage Tank Total Capacity</t>
  </si>
  <si>
    <t>metric tons</t>
  </si>
  <si>
    <t>total kapasitas penyewaan tangki timbun adalah 75.900 metrik ton</t>
  </si>
  <si>
    <t>Storage Tanks Count</t>
  </si>
  <si>
    <t>Perseroan memiliki total 26 tangki timbun dengan perincian ukuran kapasitas 3.150 ton sebanyak 18 tangki dan ukuran kapasitas 2.400 ton sebanyak 8</t>
  </si>
  <si>
    <t>CPO 195,44 256,93 (24%) (juta kg)</t>
  </si>
  <si>
    <t>PK 57,86 77,23 (25%) (juta kg)</t>
  </si>
  <si>
    <t>RBDPO 212,47 274,68 (23%) (juta kg)</t>
  </si>
  <si>
    <t>PFAD 9,33 15,97 (42%)</t>
  </si>
  <si>
    <t>PKO 21,23 15,73 35%</t>
  </si>
  <si>
    <t>PKE 26,65 19,96 33%</t>
  </si>
  <si>
    <t>Olein 12,46 9,42 32%</t>
  </si>
  <si>
    <t>Stearin 3,66 3,63 1%</t>
  </si>
  <si>
    <t>Kinerja Produksi 486.707 694.591 (29,93%)</t>
  </si>
  <si>
    <t>TBS FFB 1.132.255 1.470.215 (22,99%)</t>
  </si>
  <si>
    <t>CPO 88.257 123.164 (28,34%)</t>
  </si>
  <si>
    <t>PK 31.381 21.231 47,81%</t>
  </si>
  <si>
    <t>CPO 59.601 89.259 (33%) (dalam ton)</t>
  </si>
  <si>
    <t>PK 11.248 59.642 (81%)</t>
  </si>
  <si>
    <t>RBDPO 192.406 266.111 (28%)</t>
  </si>
  <si>
    <t>PFAD 11.509 15.498 (26%)</t>
  </si>
  <si>
    <t>CPKO 31.560 11.418 176%</t>
  </si>
  <si>
    <t>PKE 22.361 23.108 (3%)</t>
  </si>
  <si>
    <t>Olein 9.372 10.609 (12%)</t>
  </si>
  <si>
    <t>Stearin Sales Volume</t>
  </si>
  <si>
    <t>Stearin 4.649 750 520%</t>
  </si>
  <si>
    <t>CPO 810 1.107 (27%) (Rp miliar)</t>
  </si>
  <si>
    <t>RBDPO 2.728 3.498 (22%)</t>
  </si>
  <si>
    <t>PKO 538 130 314%</t>
  </si>
  <si>
    <t>Penyewaan Leasing 89,18 83,37 7%</t>
  </si>
  <si>
    <t>Laba Profit 69,64 61,94 12%</t>
  </si>
  <si>
    <t>Kinerja Penjualan 1,30 1,51 (14%)</t>
  </si>
  <si>
    <t>sesuai dengan Standar Akuntansi Keuangan Indonesia yang telah diaudit oleh KAP Gani Sigiro &amp; Handayani</t>
  </si>
  <si>
    <t>ISPO Certified Subsidiaries</t>
  </si>
  <si>
    <t>PT Mutiara Unggul Lestari, PT Berlian Inti Mekar Siak &amp; Palembang, PT Intan Sejati Andalan</t>
  </si>
  <si>
    <t>Sertifikasi ISPO di entitas anak PT Mutiara Unggul Lestari dan entitas dari entitas anak PT Intan Sejati Andalan / PT Berlian Inti Mekar Siak dan Palembang</t>
  </si>
  <si>
    <t>MTN Outstanding (Principal)</t>
  </si>
  <si>
    <t>Jumlah Pokok MTN Sebanyak Rp90.000.000.000 ... MTN I Mahkota Group Tahun 2022 ... 9.00% per year, 3 years (issued 12 April 2022)</t>
  </si>
  <si>
    <t>PT Menthobi Karyatama Raya Tbk</t>
  </si>
  <si>
    <t>MKTR_2022_AR.pdf</t>
  </si>
  <si>
    <t>PT Menthobi Karyatama Raya Tbk; IPO completed Nov 2022</t>
  </si>
  <si>
    <t>Perseroan baru mencatatkan saham perdananya di Bursa Efek Indonesia (BEI) pada tanggal 8 November 2022</t>
  </si>
  <si>
    <t>IPO Size</t>
  </si>
  <si>
    <t>Jumlah seluruh nilai Penawaran Umum adalah sebesar Rp300.000.000.000</t>
  </si>
  <si>
    <t>Fuad Hasan Masyhur 68.97%</t>
  </si>
  <si>
    <t>Fuad Hasan Masyhur: 68,97%</t>
  </si>
  <si>
    <t>PT Maktour Bangun Persada</t>
  </si>
  <si>
    <t>PT Maktour Bangun Persada: 7,82%</t>
  </si>
  <si>
    <t>PT Mitra Wiraswasta Indonesia</t>
  </si>
  <si>
    <t>PT Mitra Wiraswasta Indonesia : 2,38%</t>
  </si>
  <si>
    <t>Masyarakat // community: 20,83%</t>
  </si>
  <si>
    <t>Tahun 2022: 1.072 orang (termasuk karyawan Entitas Anak)</t>
  </si>
  <si>
    <t>Penjualan Sales 627.880.911 (thousand Rp)</t>
  </si>
  <si>
    <t>Beban Pokok Penjualan (453.690.848)</t>
  </si>
  <si>
    <t>Laba Bruto 174.190.063</t>
  </si>
  <si>
    <t>Operating Expenses</t>
  </si>
  <si>
    <t>Beban Usaha 59.042.075</t>
  </si>
  <si>
    <t>Laba Usaha 115.147.988 (per 2022 AR; 2024 AR retrospective shows 121.81)</t>
  </si>
  <si>
    <t>Laba Sebelum Pajak Penghasilan 87.719.403</t>
  </si>
  <si>
    <t>Laba Tahun Berjalan 61.883.697 (2024 AR retrospective; 2022 AR shows merging entity-adjusted 65.66)</t>
  </si>
  <si>
    <t>Pemilik Entitas Induk 61.523.703</t>
  </si>
  <si>
    <t>Jumlah Aset 965.590.564 (2022 AR); 966.235.747 (2024 AR retrospective)</t>
  </si>
  <si>
    <t>Aset Lancar 460.445.854</t>
  </si>
  <si>
    <t>Aset Tidak Lancar 505.144.710 (2022 AR) / 505.789.893 (2024 AR)</t>
  </si>
  <si>
    <t>Jumlah Liabilitas 421.337.723 / 422.827.959</t>
  </si>
  <si>
    <t>Liabilitas Jangka Pendek 210.733.942 / 211.339.579</t>
  </si>
  <si>
    <t>Liabilitas Jangka Panjang 210.603.781 / 211.488.380</t>
  </si>
  <si>
    <t>Jumlah Ekuitas 544.252.841 / 543.407.788</t>
  </si>
  <si>
    <t>Cash and Banks</t>
  </si>
  <si>
    <t>Kas dan bank 303.674.882</t>
  </si>
  <si>
    <t>Pinjaman bank jangka pendek 65.000.000</t>
  </si>
  <si>
    <t>Current portion LT Bank Loans</t>
  </si>
  <si>
    <t>Pinjaman bank (current) 80.591.000</t>
  </si>
  <si>
    <t>Pinjaman bank 207.074.000</t>
  </si>
  <si>
    <t>Calculated: 65 + 80.59 + 207.07 = 352.67</t>
  </si>
  <si>
    <t>Arus Kas Bersih dari aktivitas operasi 89.255.065</t>
  </si>
  <si>
    <t>Arus kas bersih untuk aktivitas investasi (99.882.899)</t>
  </si>
  <si>
    <t>Arus kas bersih dari aktivitas pendanaan 264.508.643</t>
  </si>
  <si>
    <t>Laba per Saham Dasar 6,20 (from 2024 AR retrospective); 2022 AR shows 6,59 (pre-merging adjustment)</t>
  </si>
  <si>
    <t>Shares Outstanding (end 2022)</t>
  </si>
  <si>
    <t>12.000.000.000 (December 2022 row)</t>
  </si>
  <si>
    <t>Closing Price (Dec 2022)</t>
  </si>
  <si>
    <t>December 130 176 118 129</t>
  </si>
  <si>
    <t>Market Capitalization (Dec 2022)</t>
  </si>
  <si>
    <t>1.548.000.000.000</t>
  </si>
  <si>
    <t>Rasio Lancar 2,18 = 217.87%</t>
  </si>
  <si>
    <t>Jumlah Liabilitas / Jumlah Ekuitas 0,78</t>
  </si>
  <si>
    <t>Return on Asset (ROA) 6,40</t>
  </si>
  <si>
    <t>Return on Equity (ROE) 11,39</t>
  </si>
  <si>
    <t>CPO Sales Revenue</t>
  </si>
  <si>
    <t>Minyak Kelapa Sawit 567.124.561</t>
  </si>
  <si>
    <t>PK Sales Revenue</t>
  </si>
  <si>
    <t>Inti Kelapa Sawit 60.756.350</t>
  </si>
  <si>
    <t>1 PKS via MMAL (KSO not yet acquired)</t>
  </si>
  <si>
    <t>kapasitas produksi CPO mencapai 30 ton/jam</t>
  </si>
  <si>
    <t>Location Permit Area</t>
  </si>
  <si>
    <t>luas area sesuai izin lokasi seluas ± 12.000 hektare</t>
  </si>
  <si>
    <t>HGU Area (MMAL)</t>
  </si>
  <si>
    <t>Tanah perkebunan kelapa sawit seluas 2.202 Ha. located at Kujan</t>
  </si>
  <si>
    <t>FFB Production (Homegrown)</t>
  </si>
  <si>
    <t>Jumlah TBS hasil Produksi Perkebunan 117.967 (from 2024 AR retrospective)</t>
  </si>
  <si>
    <t>FFB Purchased Third Party</t>
  </si>
  <si>
    <t>TBS yang dibeli dari pihak ketiga 71.472</t>
  </si>
  <si>
    <t>TBS yang diolah 189.912</t>
  </si>
  <si>
    <t>Jumlah produksi CPO 43.729</t>
  </si>
  <si>
    <t>Volume Penjualan CPO 44.518</t>
  </si>
  <si>
    <t>Jumlah produksi PK 7.453</t>
  </si>
  <si>
    <t>Volume Penjualan PK 7.332</t>
  </si>
  <si>
    <t>Harga jual rata-rata CPO 12.739</t>
  </si>
  <si>
    <t>Avg PK Selling Price</t>
  </si>
  <si>
    <t>Harga jual rata-rata PK 8.286</t>
  </si>
  <si>
    <t>OER Calculated</t>
  </si>
  <si>
    <t>Calculated: 43,729 / 189,912 = 23.02%</t>
  </si>
  <si>
    <t>Domestic Sales 100%</t>
  </si>
  <si>
    <t>Products targeted 100% domestic</t>
  </si>
  <si>
    <t>MKTR_2023_AR.pdf</t>
  </si>
  <si>
    <t>PT Menthobi Karyatama Raya Tbk Stock Code MKTR</t>
  </si>
  <si>
    <t>Wisma Maktour Lt. 4, Jakarta Timur</t>
  </si>
  <si>
    <t>Wisma Maktour Lantai 4, Jakarta Timur</t>
  </si>
  <si>
    <t>tanggal 08 November 2022 dengan kode saham MKTR</t>
  </si>
  <si>
    <t>Shareholder per Dec 2023</t>
  </si>
  <si>
    <t>Fuad Hasan ~68.75% + PT Maktour 7.82% + Public 23.31%</t>
  </si>
  <si>
    <t>Per 31 Desember 2023 - PT Maktour Bangun Persada : 7,82%</t>
  </si>
  <si>
    <t>Tahun 2023 : 1.262 orang (termasuk karyawan Entitas Anak) (from 2024 AR retrospective)</t>
  </si>
  <si>
    <t>Total Penjualan Neto 710.983.008 (thousand Rp)</t>
  </si>
  <si>
    <t>Beban Pokok Penjualan (585.234.712) (from 2024 AR retrospective)</t>
  </si>
  <si>
    <t>Total Laba Bruto 125.748.296</t>
  </si>
  <si>
    <t>Beban Usaha (63.069.238)</t>
  </si>
  <si>
    <t>Operating Profit (EBIT)</t>
  </si>
  <si>
    <t>Laba Usaha 62.679.058 (2024 AR retrospective)</t>
  </si>
  <si>
    <t>Other Income (Expenses)</t>
  </si>
  <si>
    <t>Penghasilan (Beban) Lain-lain 7.079.617</t>
  </si>
  <si>
    <t>Laba Sebelum Pajak 69.758.675</t>
  </si>
  <si>
    <t>Laba Tahun Berjalan 51.375.410</t>
  </si>
  <si>
    <t>Pemilik Entitas Induk 51.241.374</t>
  </si>
  <si>
    <t>Total Assets 1.331.794.557</t>
  </si>
  <si>
    <t>Aset Lancar 538.016.466</t>
  </si>
  <si>
    <t>Aset Tidak Lancar 793.778.091</t>
  </si>
  <si>
    <t>Total Liabilities 747.318.549</t>
  </si>
  <si>
    <t>Liabilitas Jangka Pendek 166.153.040</t>
  </si>
  <si>
    <t>Liabilitas Jangka Panjang 581.165.509</t>
  </si>
  <si>
    <t>Jumlah Ekuitas 584.476.008</t>
  </si>
  <si>
    <t>Equity Parent</t>
  </si>
  <si>
    <t>Pemilik Entitas Induk 582.984.665</t>
  </si>
  <si>
    <t>Cash and Banks (end 2023)</t>
  </si>
  <si>
    <t>Kas dan Bank Pada Akhir Tahun 188.243.798</t>
  </si>
  <si>
    <t>Pinjaman bank jangka pendek 27.990.000 (2024 AR retrospective)</t>
  </si>
  <si>
    <t>Pinjaman bank (current) 63.074.000</t>
  </si>
  <si>
    <t>Pinjaman bank 571.776.500</t>
  </si>
  <si>
    <t>Calculated: 27.99 + 63.07 + 571.78 = 662.84</t>
  </si>
  <si>
    <t>Arus kas bersih dari aktivitas operasi 16.580.700</t>
  </si>
  <si>
    <t>Arus kas bersih untuk aktivitas investasi (328.312.578)</t>
  </si>
  <si>
    <t>Arus kas bersih dari aktivitas pendanaan 196.300.793</t>
  </si>
  <si>
    <t>laba per saham dasar di tahun 2023 sebesar Rp4,27 (nilai penuh)</t>
  </si>
  <si>
    <t>Shares Outstanding (end 2023)</t>
  </si>
  <si>
    <t>12.000.119.802 (December 2023 row from 2023 AR)</t>
  </si>
  <si>
    <t>Closing Price (Dec 2023)</t>
  </si>
  <si>
    <t>Desember 134 196 125 150 (2023 close)</t>
  </si>
  <si>
    <t>Rasio Lancar 323,81</t>
  </si>
  <si>
    <t>Jumlah Liabilitas / Jumlah Ekuitas 127,86</t>
  </si>
  <si>
    <t>Return on Asset (ROA) 3,86</t>
  </si>
  <si>
    <t>Return on Equity (ROE) 8,79</t>
  </si>
  <si>
    <t>Minyak Kelapa Sawit 652.864.466</t>
  </si>
  <si>
    <t>Inti Kelapa Sawit 57.407.107</t>
  </si>
  <si>
    <t>2 PKS (MMAL + KSO after 2023 acquisition)</t>
  </si>
  <si>
    <t>Jumlah TBS hasil Produksi Perkebunan 121.778 (from 2024 AR retrospective)</t>
  </si>
  <si>
    <t>FFB Purchased from Third Parties</t>
  </si>
  <si>
    <t>TBS dibeli dari pihak ketiga 180.478</t>
  </si>
  <si>
    <t>TBS yang diolah 302.317</t>
  </si>
  <si>
    <t>Jumlah produksi CPO 57.803 ton (2024 AR retrospective)</t>
  </si>
  <si>
    <t>Minyak Sawit Mentah 59.704</t>
  </si>
  <si>
    <t>Jumlah produksi PK 10.211</t>
  </si>
  <si>
    <t>Inti Kelapa Sawit 11.149</t>
  </si>
  <si>
    <t>Harga jual rata-rata CPO 10.933</t>
  </si>
  <si>
    <t>Harga jual rata-rata PK 5.063</t>
  </si>
  <si>
    <t>Calculated: 57,803/302,317 = 19.12%</t>
  </si>
  <si>
    <t>Domestic Market Share (CPO)</t>
  </si>
  <si>
    <t>Pangsa Pasar Perseroan 0,12% produksi CPO vs nasional 50.070 (ribu ton)</t>
  </si>
  <si>
    <t>Sales to Domestic 100%</t>
  </si>
  <si>
    <t>produk Entitas Anak tersebut ditujukan 100% untuk pasar domestik</t>
  </si>
  <si>
    <t>Operational Region</t>
  </si>
  <si>
    <t>DKI Jakarta, Central Kalimantan</t>
  </si>
  <si>
    <t>Wilayah Operasional</t>
  </si>
  <si>
    <t>MKTR_2024_AR.pdf</t>
  </si>
  <si>
    <t>PT Menthobi Karyatama Raya, Tbk. MKTR</t>
  </si>
  <si>
    <t>Stock Code MKTR</t>
  </si>
  <si>
    <t>Wisma Maktour Lt. 4, Jalan Otista Raya No. 80, Jakarta Timur</t>
  </si>
  <si>
    <t>Wisma Maktour Lt. 4 Jalan Otista Raya No. 80 Kelurahan Kampung Melayu</t>
  </si>
  <si>
    <t>Tercatat di Bursa Efek Indonesia pada tanggal 08 November 2022</t>
  </si>
  <si>
    <t>Fuad Hasan Masyhur 68.67%</t>
  </si>
  <si>
    <t>Fuad Hasan Masyhur : 68,67%</t>
  </si>
  <si>
    <t>PT Maktour Bangun Persada ownership</t>
  </si>
  <si>
    <t>PT Maktour Bangun Persada : 7,79%</t>
  </si>
  <si>
    <t>Masyarakat | Public : 23,39%</t>
  </si>
  <si>
    <t>Subsidiaries</t>
  </si>
  <si>
    <t>MMAL, MAR, MHL, MTR, KSO</t>
  </si>
  <si>
    <t>1. PT Menthobi Makmur Lestari (MMAL) 2. PT Menthobi Agro Raya (MAR) 3. PT Menthobi Hijau Lestari (MHL) 4. PT Menthobi Transtitian Raya (MTR) 5. PT Khatulistiwa Sinergi Omnidaya (KSO)</t>
  </si>
  <si>
    <t>Tahun 2024 : 1.328 orang (termasuk karyawan Entitas Anak)</t>
  </si>
  <si>
    <t>Penjualan 1.006.858.372 710.983.008 627.880.911 (thousand Rp)</t>
  </si>
  <si>
    <t>Beban Pokok Penjualan (827.428.969)</t>
  </si>
  <si>
    <t>Laba Bruto 179.429.403</t>
  </si>
  <si>
    <t>Beban Usaha (73.043.130)</t>
  </si>
  <si>
    <t>2024 Rp106,39 Miliar | Billion; Meningkat 69,73%</t>
  </si>
  <si>
    <t>Penghasilan (Beban) Lain-lain (26.331.924)</t>
  </si>
  <si>
    <t>Laba Sebelum Pajak Penghasilan 80.054.349</t>
  </si>
  <si>
    <t>Laba Tahun Berjalan 52.245.463</t>
  </si>
  <si>
    <t>Pemilik Entitas Induk 52.036.897</t>
  </si>
  <si>
    <t>2024 Rp1,52 Triliun | Trillion; 1.518.438.495 (thousand Rp)</t>
  </si>
  <si>
    <t>Aset Lancar 668.757.689</t>
  </si>
  <si>
    <t>Aset Tidak Lancar 849.680.806</t>
  </si>
  <si>
    <t>Jumlah Liabilitas 889.102.445</t>
  </si>
  <si>
    <t>Liabilitas Jangka Pendek 171.440.965</t>
  </si>
  <si>
    <t>Liabilitas Jangka Panjang 717.661.480</t>
  </si>
  <si>
    <t>2024 Rp629,34 Miliar; Jumlah Ekuitas 629.336.050</t>
  </si>
  <si>
    <t>Pemilik Entitas Induk 627.636.087</t>
  </si>
  <si>
    <t>Kas dan Bank Pada Akhir Tahun 164.519.625</t>
  </si>
  <si>
    <t>Pinjaman bank jangka pendek 20.000.000</t>
  </si>
  <si>
    <t>Current portion of LT Bank Loans</t>
  </si>
  <si>
    <t>Pinjaman bank (current maturities) 68.928.500</t>
  </si>
  <si>
    <t>Long-term Bank Loans (net of current)</t>
  </si>
  <si>
    <t>Pinjaman bank 709.787.667</t>
  </si>
  <si>
    <t>Calculated: 20.0 + 68.93 + 709.79 = 798.72</t>
  </si>
  <si>
    <t>Arus kas bersih dari aktivitas operasi 114.329.489</t>
  </si>
  <si>
    <t>Arus kas bersih untuk aktivitas investasi (257.617.181)</t>
  </si>
  <si>
    <t>Arus kas bersih dari aktivitas pendanaan 119.563.519</t>
  </si>
  <si>
    <t>Capex (Realized 2024)</t>
  </si>
  <si>
    <t>Total 70.817.043; belanja modal Perseroan berjumlah Rp70,82 miliar</t>
  </si>
  <si>
    <t>Laba per Saham Dasar (Nilai Penuh) 4,33</t>
  </si>
  <si>
    <t>Shares Outstanding (end 2024)</t>
  </si>
  <si>
    <t>12.052.397.422 shares (December 2024 row)</t>
  </si>
  <si>
    <t>Closing Price (Dec 2024)</t>
  </si>
  <si>
    <t>Desember 120 120 119 120 (Close Dec 2024)</t>
  </si>
  <si>
    <t>Desember: 1.446.287.691 (thousand Rp)</t>
  </si>
  <si>
    <t>Final Dividend (2024 - paid from 2023 results)</t>
  </si>
  <si>
    <t>dividen tunai sejumlah Rp12.000.123.702, atau sebesar Rp1,-</t>
  </si>
  <si>
    <t>Rasio Lancar 390,08</t>
  </si>
  <si>
    <t>Jumlah Liabilitas / Jumlah Ekuitas 141,28</t>
  </si>
  <si>
    <t>Return on Asset (ROA) 3,45</t>
  </si>
  <si>
    <t>Return on Equity (ROE) 8,32</t>
  </si>
  <si>
    <t>(see balance sheet notes)</t>
  </si>
  <si>
    <t>Finance Cost (Interest)</t>
  </si>
  <si>
    <t>Interest coverage ratio 399.08x suggests modest interest</t>
  </si>
  <si>
    <t>2024 Rp899,85 Miliar | Billion; Meningkat 37,83%</t>
  </si>
  <si>
    <t>Inti Kelapa Sawit 32.808.065</t>
  </si>
  <si>
    <t>PKO Sales Revenue</t>
  </si>
  <si>
    <t>Minyak Inti Kelapa Sawit 62.947.662</t>
  </si>
  <si>
    <t>Planted Area Reserve</t>
  </si>
  <si>
    <t>total cadangan lahan seluas 1.807,94 hektare dari area yang telah ditanami</t>
  </si>
  <si>
    <t>HGU Total (5 certificates)</t>
  </si>
  <si>
    <t>perkebunan kelapa sawit seluas 7.424,11 Ha. milik Grup digunakan sebagai jaminan</t>
  </si>
  <si>
    <t>dengan luas area sesuai izin lokasi seluas ± 12.000 hektare</t>
  </si>
  <si>
    <t>Mature Plantation Carrying Value</t>
  </si>
  <si>
    <t>Tanaman menghasilkan 147.680.681</t>
  </si>
  <si>
    <t>Immature Plantation Carrying Value</t>
  </si>
  <si>
    <t>Tanaman belum menghasilkan 25.360.490</t>
  </si>
  <si>
    <t>Fixed Assets and Bearer Plants Net</t>
  </si>
  <si>
    <t>Aset tetap dan tanaman produktif – bersih 776.861.557</t>
  </si>
  <si>
    <t>1 (satu) perkebunan Kelapa Sawit, 2 (dua) Pabrik Kelapa Sawit serta 2 (dua) Pabrik Pupuk Kompos Granul</t>
  </si>
  <si>
    <t>Kernel Crushing Plant (KCP) Capacity</t>
  </si>
  <si>
    <t>t/day</t>
  </si>
  <si>
    <t>Kernel Crushing Plant (KCP) dengan kapasitas 60 ton per hari (p.~24 Dewan Komisaris letter)</t>
  </si>
  <si>
    <t>Granular Compost Fertilizer Plants</t>
  </si>
  <si>
    <t>2 (dua) Pabrik Pupuk Kompos Granul</t>
  </si>
  <si>
    <t>Biomass Pellet Capacity (planned)</t>
  </si>
  <si>
    <t>kapasitas 10 ton/jam direncanakan (tankos) with a capacity of 10 tons/hour</t>
  </si>
  <si>
    <t>Jumlah TBS hasil Produksi Perkebunan 100.830</t>
  </si>
  <si>
    <t>Jumlah TBS yang dibeli dari pihak ketiga 217.660</t>
  </si>
  <si>
    <t>Jumlah TBS yang diolah 318.717</t>
  </si>
  <si>
    <t>2024 69.967 Ton; Meningkat 21,04% (from 57,803)</t>
  </si>
  <si>
    <t>Volume Penjualan CPO 69.675</t>
  </si>
  <si>
    <t>Jumlah produksi PK 13.667</t>
  </si>
  <si>
    <t>Volume Penjualan PK 5.214</t>
  </si>
  <si>
    <t>Jumlah produksi PKO 3.531</t>
  </si>
  <si>
    <t>PKO Sales Volume</t>
  </si>
  <si>
    <t>Volume Penjualan PKO 3.364</t>
  </si>
  <si>
    <t>Average CPO Selling Price</t>
  </si>
  <si>
    <t>Harga jual rata-rata CPO 12.932</t>
  </si>
  <si>
    <t>Average PK Selling Price</t>
  </si>
  <si>
    <t>Harga jual rata-rata PK 6.292</t>
  </si>
  <si>
    <t>Average PKO Selling Price</t>
  </si>
  <si>
    <t>Harga jual rata-rata PKO 18.713</t>
  </si>
  <si>
    <t>OER (CPO/FFB Processed)</t>
  </si>
  <si>
    <t>Calculated: 69,967 / 318,717 = 21.95%</t>
  </si>
  <si>
    <t>Produk Entitas Anak tersebut ditujukan 100% untuk pasar domestik</t>
  </si>
  <si>
    <t>Revenue growth</t>
  </si>
  <si>
    <t>Meningkat 41,61%</t>
  </si>
  <si>
    <t>DKI Jakarta, Central Kalimantan, South Sumatra</t>
  </si>
  <si>
    <t>DKI Jakarta, Kalimantan Tengah, dan Sumatera Selatan</t>
  </si>
  <si>
    <t>PT Nusantara Sawit Sejahtera Tbk</t>
  </si>
  <si>
    <t>NSSS_2022_AR.pdf</t>
  </si>
  <si>
    <t>Listed Status (Year-End 2022)</t>
  </si>
  <si>
    <t>Private (not yet listed)</t>
  </si>
  <si>
    <t>Per 31 Desember 2022, Perseroan belum berstatus sebagai perusahaan terbuka</t>
  </si>
  <si>
    <t>Shareholder - PT Mitra Agro Dharma Unggul</t>
  </si>
  <si>
    <t>PT Mitra Agro Dharma Unggul, sebanyak 11.952.840.000 lembar saham atau senilai Rp597.642.000.000 (59.11%)</t>
  </si>
  <si>
    <t>Shareholder - Teguh Patriawan (direct)</t>
  </si>
  <si>
    <t>Ir. Teguh Patriawan, Direktur Utama 3.461.800.000 17,12%</t>
  </si>
  <si>
    <t>Shareholder - PT Nusantara Makmur Lestari</t>
  </si>
  <si>
    <t>PT Nusantara Makmur Lestari, sebanyak 2.173.660.000 lembar saham (10.75%)</t>
  </si>
  <si>
    <t>Beneficial Owner</t>
  </si>
  <si>
    <t>Eunice M. Satyono</t>
  </si>
  <si>
    <t>Eunice M. Satyono selaku pemegang saham terbesar Perseroan melalui kepemilikan sahamnya di PT Mitra Agro Dharma Unggul merupakan pemilik manfaat Perseroan</t>
  </si>
  <si>
    <t>Employees (Consolidated)</t>
  </si>
  <si>
    <t>145 orang pada tahun 2022</t>
  </si>
  <si>
    <t>External Auditor</t>
  </si>
  <si>
    <t>KAP Purwantono, Sungkoro &amp; Surja (EY)</t>
  </si>
  <si>
    <t>Pada 2022, Perseroan menunjuk KAP Purwantono, Sungkoro &amp; Surja</t>
  </si>
  <si>
    <t>External Auditor Fee</t>
  </si>
  <si>
    <t>Biaya jasa KAP ... tahun buku 2022 adalah sebesar Rp800 juta</t>
  </si>
  <si>
    <t>Penjualan 1.134.095 1.146.624 746.873</t>
  </si>
  <si>
    <t>Beban Pokok Penjualan (728.392) (576.122)</t>
  </si>
  <si>
    <t>Laba (Rugi) Bruto 405.703 570.502 223.434</t>
  </si>
  <si>
    <t>Laba Bersih Tahun Berjalan 70.236 245.333 19.433</t>
  </si>
  <si>
    <t>Profit to Parent</t>
  </si>
  <si>
    <t>Pemilik Entitas Induk 70.236</t>
  </si>
  <si>
    <t>Jumlah Aset 3.035.285 2.975.000 2.755.148</t>
  </si>
  <si>
    <t>Aset Lancar 330.697 397.400 143.219</t>
  </si>
  <si>
    <t>Aset Tidak Lancar 2.704.588 2.577.600</t>
  </si>
  <si>
    <t>Jumlah Liabilitas 2.405.161 2.415.748</t>
  </si>
  <si>
    <t>Liabilitas Jangka Pendek 337.097 362.905</t>
  </si>
  <si>
    <t>Liabilitas Jangka Panjang 2.068.064 2.052.843</t>
  </si>
  <si>
    <t>Jumlah Ekuitas 630.124 559.252</t>
  </si>
  <si>
    <t>Cash End of Year</t>
  </si>
  <si>
    <t>Kas dan Bank pada Akhir Tahun 40.453 191.229</t>
  </si>
  <si>
    <t>Arus Kas Diperoleh dari Aktivitas Operasi 47.041</t>
  </si>
  <si>
    <t>Arus Kas untuk Aktivitas Investasi (137.199)</t>
  </si>
  <si>
    <t>Arus Kas Digunakan untuk Aktivitas Pendanaan (60.633)</t>
  </si>
  <si>
    <t>Laba per Saham Dasar 3</t>
  </si>
  <si>
    <t>Rasio Lancar (%) 98,1</t>
  </si>
  <si>
    <t>Utang terhadap Ekuitas (%) 381,7</t>
  </si>
  <si>
    <t>Debt-to-Assets Ratio</t>
  </si>
  <si>
    <t>Utang terhadap Aset (%) 79,2</t>
  </si>
  <si>
    <t>Total Planted Area (Nucleus+Plasma)</t>
  </si>
  <si>
    <t>area tertanam seluas 27.265 ha yang terdiri dari lahan inti tertanam seluas 26.384 ha dan lahan plasma seluas 881 ha</t>
  </si>
  <si>
    <t>lahan inti tertanam seluas 26.384 ha</t>
  </si>
  <si>
    <t>lahan plasma seluas 881 ha</t>
  </si>
  <si>
    <t>Nucleus Mature Area</t>
  </si>
  <si>
    <t>Pada lahan inti terdapat 25.197 ha TM dan 1.187 ha TBM</t>
  </si>
  <si>
    <t>Nucleus Immature Area</t>
  </si>
  <si>
    <t>1.187 ha TBM (nucleus)</t>
  </si>
  <si>
    <t>Plasma Mature Area</t>
  </si>
  <si>
    <t>560 ha TM plasma</t>
  </si>
  <si>
    <t>Plasma Immature Area</t>
  </si>
  <si>
    <t>321 ha TBM plasma</t>
  </si>
  <si>
    <t>NSP Mature Nucleus Area</t>
  </si>
  <si>
    <t>PT Nusantara Sawit Persada Mature Plants 12.274</t>
  </si>
  <si>
    <t>BSP Mature Nucleus Area</t>
  </si>
  <si>
    <t>PT Borneo Sawit Perdana Mature Plants 8.259</t>
  </si>
  <si>
    <t>PMM Mature Nucleus Area</t>
  </si>
  <si>
    <t>PT Prasetya Mitra Muda Mature Plants 4.664</t>
  </si>
  <si>
    <t>Avg Tree Age</t>
  </si>
  <si>
    <t>Umur Tanaman yang Muda dengan Rata-Rata Umur 7 Tahun</t>
  </si>
  <si>
    <t>Perseroan dan Entitas Anak mengoperasikan 1 pabrik kelapa sawit dengan kapasitas 60 ton per jam di PT NSP</t>
  </si>
  <si>
    <t>Mill Capacity (NSP)</t>
  </si>
  <si>
    <t>1 pabrik kelapa sawit dengan kapasitas 60 ton per jam di PT NSP</t>
  </si>
  <si>
    <t>CPO Storage Capacity</t>
  </si>
  <si>
    <t>CPO akan disimpan ke dalam 2 tangki dengan total kapasitas 6.000 ton</t>
  </si>
  <si>
    <t>Sub jumlah 399.606 390.367 351.098 298.259 (2022)</t>
  </si>
  <si>
    <t>FFB Production - NSP</t>
  </si>
  <si>
    <t>NSP 232.227 233.768 211.805 190.986</t>
  </si>
  <si>
    <t>FFB Production - BSP</t>
  </si>
  <si>
    <t>BSP 126.345 123.498 117.400 97.851</t>
  </si>
  <si>
    <t>FFB Production - PMM</t>
  </si>
  <si>
    <t>PMM 41.034 33.101 21.893 9.422</t>
  </si>
  <si>
    <t>CPO NSP 82.862 88.025 80.555 73.350</t>
  </si>
  <si>
    <t>PK NSP 15.617 18.083 15.311 13.904</t>
  </si>
  <si>
    <t>Oil Extraction Rate NSP 21,77 21,90 21,37 21,72</t>
  </si>
  <si>
    <t>2022: 80.466 ton (CPO sales quantity 2022)</t>
  </si>
  <si>
    <t>2022: 15.544 ton (PK sales quantity)</t>
  </si>
  <si>
    <t>FFB Sales Volume</t>
  </si>
  <si>
    <t>2022: 22.930 ton (FFB sales quantity)</t>
  </si>
  <si>
    <t>2022: Rp12.145 per kg</t>
  </si>
  <si>
    <t>2022: Rp7.550 per kg</t>
  </si>
  <si>
    <t>2022: Rp1.719 per kg</t>
  </si>
  <si>
    <t>CPO (juta Rp) 977.316</t>
  </si>
  <si>
    <t>PK Sales Value</t>
  </si>
  <si>
    <t>PK (juta Rp) 117.366</t>
  </si>
  <si>
    <t>TBS (juta Rp) 39.413</t>
  </si>
  <si>
    <t>FFB Production Target 2022</t>
  </si>
  <si>
    <t>2022 389.878 399.606</t>
  </si>
  <si>
    <t>CPO Production Target 2022</t>
  </si>
  <si>
    <t>CPO 80.490 82.862 (target/realization 2022)</t>
  </si>
  <si>
    <t>Third-Party FFB Volume</t>
  </si>
  <si>
    <t>TBS 4.490 4 4 (2022)</t>
  </si>
  <si>
    <t>NSP sebagai Entitas Anak telah memiliki sertifikat ISPO sejak tahun 2021 dan BSP pada tahun 2022</t>
  </si>
  <si>
    <t>GHG Emissions</t>
  </si>
  <si>
    <t>Emisi Gas Rumah Kaca 38.242,30</t>
  </si>
  <si>
    <t>CSR Fund</t>
  </si>
  <si>
    <t>Dana TJSL 1.140</t>
  </si>
  <si>
    <t>NSSS_2023_AR.pdf</t>
  </si>
  <si>
    <t>10 March 2023</t>
  </si>
  <si>
    <t>Pada tanggal 10 Maret 2023, PT Nusantara Sawit Sejahtera Tbk (NSSS) resmi melantai di Bursa Efek Indonesia</t>
  </si>
  <si>
    <t>Sebanyak 3.568.235.300 saham biasa atas nama dengan nilai nominal Rp50 setiap saham atau mewakili sebanyak 15% dari modal yang ditempatkan dan disetor penuh</t>
  </si>
  <si>
    <t>jumlah karyawan Perseroan selama tahun 2023 adalah 163 orang</t>
  </si>
  <si>
    <t>Pada 2023, Perseroan menunjuk KAP Purwantono, Sungkoro &amp; Surja</t>
  </si>
  <si>
    <t>Biaya jasa KAP ... tahun buku 2023 adalah sebesar Rp880 juta</t>
  </si>
  <si>
    <t>Penjualan 1.184.581 1.134.095 1.146.624</t>
  </si>
  <si>
    <t>Beban Pokok Penjualan (881.776) (728.392) (576.122)</t>
  </si>
  <si>
    <t>Laba Bruto 302.805 405.703 570.502</t>
  </si>
  <si>
    <t>Laba Bersih Tahun Berjalan 2.093 70.236 245.333</t>
  </si>
  <si>
    <t>Pemilik Entitas Induk 2.093</t>
  </si>
  <si>
    <t>Jumlah Aset 3.672.336 3.035.285 2.975.000</t>
  </si>
  <si>
    <t>Aset Lancar 635.764 330.697 397.400</t>
  </si>
  <si>
    <t>Aset Tidak Lancar 3.036.572 2.704.588 2.577.600</t>
  </si>
  <si>
    <t>Jumlah Liabilitas 2.611.145 2.405.161 2.415.748</t>
  </si>
  <si>
    <t>Liabilitas Jangka Pendek 678.326 337.097</t>
  </si>
  <si>
    <t>Liabilitas Jangka Panjang 1.932.819 2.068.064</t>
  </si>
  <si>
    <t>Jumlah Ekuitas 1.061.191 630.124 559.252</t>
  </si>
  <si>
    <t>Kas dan Bank pada Akhir Tahun 242.894 40.453</t>
  </si>
  <si>
    <t>Arus Kas Diperoleh dari Aktivitas Operasi 136.424</t>
  </si>
  <si>
    <t>Arus Kas Digunakan untuk Aktivitas Investasi (329.882)</t>
  </si>
  <si>
    <t>Arus Kas Diperoleh dari Aktivitas Pendanaan 395.445</t>
  </si>
  <si>
    <t>Laba per Saham Dasar 0,09</t>
  </si>
  <si>
    <t>Shares Outstanding (End of Year)</t>
  </si>
  <si>
    <t>IV 204 130 177 2.473.682.400 23.788.868.114</t>
  </si>
  <si>
    <t>IV 204 130 177 ... 4.210.630</t>
  </si>
  <si>
    <t>Kapitalisasi Pasar 4.210.630 (Rp juta)</t>
  </si>
  <si>
    <t>Rasio Lancar (%) 93,7 98,1 109,5</t>
  </si>
  <si>
    <t>Utang terhadap Ekuitas (%) 246,06</t>
  </si>
  <si>
    <t>Utang terhadap Aset (%) 71,10</t>
  </si>
  <si>
    <t>Total lahan tertanam inti dan plasma perkebunan kelapa sawit Ha 28.148</t>
  </si>
  <si>
    <t>NSP Total Nucleus Area</t>
  </si>
  <si>
    <t>PT Nusantara Sawit Persada Kotawaringin Timur Total: 12.391</t>
  </si>
  <si>
    <t>BSP Total Nucleus Area</t>
  </si>
  <si>
    <t>PT Borneo Sawit Perdana Kotawaringin Timur Total: 8.257</t>
  </si>
  <si>
    <t>PMM Total Nucleus Area</t>
  </si>
  <si>
    <t>PT Prasetya Mitra Muda Gunung Mas Total: 6.119</t>
  </si>
  <si>
    <t>Plant Age 0-3 yrs (Nucleus)</t>
  </si>
  <si>
    <t>0-3 tahun (Ha) 1.174 1.973</t>
  </si>
  <si>
    <t>Plant Age 4-6 yrs (Nucleus)</t>
  </si>
  <si>
    <t>4-6 tahun (Ha) 3.103 3.227</t>
  </si>
  <si>
    <t>Plant Age 7-20 yrs (Nucleus)</t>
  </si>
  <si>
    <t>7-20 tahun (Ha) 22.490 22.948</t>
  </si>
  <si>
    <t>PKS milik entitas anak Perseroan, PT Borneo Sawit Perdana, mulai beroperasi pada bulan Desember 2023 (NSP existing 60 tph + BSP new 60 tph)</t>
  </si>
  <si>
    <t>Mill Capacity (Primary NSP)</t>
  </si>
  <si>
    <t>CPO akan dialirkan ke dalam dua tangki dengan total kapasitas 6.000 ton</t>
  </si>
  <si>
    <t>TBS (ribu ton) 463.843 399.606</t>
  </si>
  <si>
    <t>CPO (ribu ton) 91.285 82.862</t>
  </si>
  <si>
    <t>PK (ribu ton) 18.926 15.617</t>
  </si>
  <si>
    <t>Rendemen CPO 21,69 21,77</t>
  </si>
  <si>
    <t>PK Extraction Rate (%) 4,62 4,10 4,50</t>
  </si>
  <si>
    <t>Kuantitas penjualan CPO naik sebesar 14,7% (2023: 92.255 ton dan 2022: 80.466 ton)</t>
  </si>
  <si>
    <t>Kuantitas penjualan PK naik sebesar 20,7% (2023: 18.760 ton dan 2022: 15.544 ton)</t>
  </si>
  <si>
    <t>Kuantitas penjualan TBS naik sebesar 106,8% (2023: 47.415 ton dan 2022: 22.930 ton)</t>
  </si>
  <si>
    <t>2023: Rp10.796 per kg dan 2022: Rp12.145 per kg</t>
  </si>
  <si>
    <t>2023: Rp5.007 per kg</t>
  </si>
  <si>
    <t>2023: Rp1.996 per kg</t>
  </si>
  <si>
    <t>CPO (juta Rp) 996.024 977.316</t>
  </si>
  <si>
    <t>PK (juta Rp) 93.927 117.366</t>
  </si>
  <si>
    <t>TBS (juta Rp) 94.630 39.413</t>
  </si>
  <si>
    <t>FFB Production Target 2023</t>
  </si>
  <si>
    <t>2023 442.500 463.843</t>
  </si>
  <si>
    <t>CPO Production Target 2023</t>
  </si>
  <si>
    <t>CPO 89.500 91.285</t>
  </si>
  <si>
    <t>TBS 5.598 3 3 (2023)</t>
  </si>
  <si>
    <t>PT Prasetya Mitra Muda mendapatkan sertifikat ISPO (2023); NSP (2021); BSP (2022)</t>
  </si>
  <si>
    <t>Emisi Gas Rumah Kaca ton CO2eq 44.859,51</t>
  </si>
  <si>
    <t>Dana TJSL Rp juta 1.960</t>
  </si>
  <si>
    <t>NSSS_2024_AR.pdf</t>
  </si>
  <si>
    <t>Nama Perseroan PT Nusantara Sawit Sejahtera Tbk</t>
  </si>
  <si>
    <t>Kode Saham NSSS</t>
  </si>
  <si>
    <t>1 April 2009</t>
  </si>
  <si>
    <t>Tanggal Pendirian 1 April 2009</t>
  </si>
  <si>
    <t>Pada 10 Maret 2023, Perseroan resmi melangsungkan Penawaran Saham Perdana dengan memperdagangkan 3.568.235.300 lembar saham dengan harga penawaran sebesar Rp127</t>
  </si>
  <si>
    <t>HQ Address</t>
  </si>
  <si>
    <t>Menara Imperium Lt.20, Jl. H.R. Rasuna Said Kav.1, Jakarta Selatan 12980</t>
  </si>
  <si>
    <t>Menara Imperium Lantai 20 Suite C, Jalan H.R. Rasuna Said Kav.1 ... Jakarta Selatan 12980</t>
  </si>
  <si>
    <t>Modal Dasar Rp4.000.000.000.000</t>
  </si>
  <si>
    <t>Modal Ditempatkan dan Disetor Rp1.190.078.432.250</t>
  </si>
  <si>
    <t>Secara konsolidasi, jumlah karyawan Perseroan selama tahun 2024 adalah 180 orang</t>
  </si>
  <si>
    <t>Shareholder - PT Samuel Tumbuh Bersama</t>
  </si>
  <si>
    <t>PT Samuel Tumbuh Bersama 10.371.888.100 43,58%</t>
  </si>
  <si>
    <t>Shareholder - Teguh Patriawan</t>
  </si>
  <si>
    <t>Ir. Teguh Patriawan 2.448.630.000 10,29%</t>
  </si>
  <si>
    <t>PT Nusantara Makmur Lestari 2.290.666.000 9,62%</t>
  </si>
  <si>
    <t>Masyarakat 8.690.384.545 36,51%</t>
  </si>
  <si>
    <t>PT Samuel International</t>
  </si>
  <si>
    <t>PT Samuel International selaku pemegang saham terbesar Perseroan melalui kepemilikan sahamnya di PT Samuel Tumbuh Bersama merupakan pemilik manfaat Perseroan</t>
  </si>
  <si>
    <t>Biaya jasa KAP untuk audit Laporan Keuangan Tahunan Konsolidasian Perseroan tahun buku 2024 adalah sebesar Rp920 juta</t>
  </si>
  <si>
    <t>KAP Purwantono, Sungkoro &amp; Surja (anggota firma Ernst &amp; Young Global Limited)</t>
  </si>
  <si>
    <t>Penjualan 1.489.899 1.184.581 1.134.095 (juta Rp)</t>
  </si>
  <si>
    <t>Beban Pokok Penjualan (905.089) (881.776)</t>
  </si>
  <si>
    <t>Laba Bruto 584.810 302.805 405.703</t>
  </si>
  <si>
    <t>Laba Bersih Tahun Berjalan 304.628 2.093 70.236</t>
  </si>
  <si>
    <t>Pemilik Entitas Induk 304.624</t>
  </si>
  <si>
    <t>Jumlah Aset 3.727.745</t>
  </si>
  <si>
    <t>Aset Lancar 719.581</t>
  </si>
  <si>
    <t>Aset Tidak Lancar 3.008.164</t>
  </si>
  <si>
    <t>Jumlah Liabilitas 2.362.686</t>
  </si>
  <si>
    <t>Liabilitas Jangka Pendek 627.231</t>
  </si>
  <si>
    <t>Liabilitas Jangka Panjang 1.735.455</t>
  </si>
  <si>
    <t>Jumlah Ekuitas 1.365.059</t>
  </si>
  <si>
    <t>Kas dan Bank pada Akhir Tahun 386.397</t>
  </si>
  <si>
    <t>Arus Kas Diperoleh dari Aktivitas Operasi 438.101</t>
  </si>
  <si>
    <t>Arus Kas Digunakan untuk Aktivitas Investasi (174.773)</t>
  </si>
  <si>
    <t>Arus Kas Digunakan untuk Aktivitas Pendanaan (119.829)</t>
  </si>
  <si>
    <t>Capex Realized</t>
  </si>
  <si>
    <t>Pada tahun 2024, Perseroan telah merealisasikan investasi barang modal sebesar Rp74.780 miliar</t>
  </si>
  <si>
    <t>Laba per Saham Dasar (Rp penuh) 12,80</t>
  </si>
  <si>
    <t>IV 276 195 276 2.440.000.000 23.801.568.645</t>
  </si>
  <si>
    <t>IV 276 195 276 ... 6.569.233</t>
  </si>
  <si>
    <t>Market Cap End of Year</t>
  </si>
  <si>
    <t>Kapitalisasi 6.569.233 (Rp juta)</t>
  </si>
  <si>
    <t>Rasio Lancar (x) 1,15</t>
  </si>
  <si>
    <t>Liabilitas terhadap Ekuitas (%) 173,08</t>
  </si>
  <si>
    <t>Liabilitas terhadap Aset (%) 63,38</t>
  </si>
  <si>
    <t>Laba Bersih terhadap Total Aset (%) 8,17</t>
  </si>
  <si>
    <t>Laba Bersih terhadap Total Ekuitas (%) 22,32</t>
  </si>
  <si>
    <t>Marjin EBITDA (x) 47,38</t>
  </si>
  <si>
    <t>Total 49.824</t>
  </si>
  <si>
    <t>Revenue Target 2024</t>
  </si>
  <si>
    <t>di bawah target sebesar 12% dari target 2024 yang ditetapkan sebesar Rp1,695 triliun</t>
  </si>
  <si>
    <t>Net Profit Target 2024</t>
  </si>
  <si>
    <t>target laba ... sebesar Rp213 miliar</t>
  </si>
  <si>
    <t>Total lahan tertanam inti dan plasma perkebunan kelapa sawit ha 29.125</t>
  </si>
  <si>
    <t>lahan inti seluas 27.384 hektar</t>
  </si>
  <si>
    <t>lahan plasma sebesar 1.741 hektar</t>
  </si>
  <si>
    <t>Pada lahan inti, area yang terdiri dari tanaman matang (TM) mencakup 26.056 hektar</t>
  </si>
  <si>
    <t>1.328 hektar sisanya merupakan tanaman belum matang (TBM)</t>
  </si>
  <si>
    <t>lahan plasma mencakup 669 hektar TM</t>
  </si>
  <si>
    <t>1.072 hektar TBM (plasma)</t>
  </si>
  <si>
    <t>PT Nusantara Sawit Persada ... 12.294 135 12.429</t>
  </si>
  <si>
    <t>PT Borneo Sawit Perdana ... 8.257 0 8.257</t>
  </si>
  <si>
    <t>PT Prasetya Mitra Muda ... 5.503 1.193 6.696</t>
  </si>
  <si>
    <t>Usia Tanaman yang Muda dengan Rata-Rata 9,8 Tahun</t>
  </si>
  <si>
    <t>0-3 tahun (Ha) 1.328 2.401</t>
  </si>
  <si>
    <t>4-6 tahun (Ha) 2.086 2.296</t>
  </si>
  <si>
    <t>7-20 tahun (Ha) 23.970 24.428</t>
  </si>
  <si>
    <t>Pabrik Pengolahan Kelapa Sawit dengan kapasitas 60 ton per jam (NSP) + PKS milik entitas anak Perseroan, PT Borneo Sawit Perdana, mulai beroperasi pada bulan Desember (2023) + Second POM at BSP commenced commercial ops 2024</t>
  </si>
  <si>
    <t>Mill Capacity (Total)</t>
  </si>
  <si>
    <t>NSP 60 tph + BSP 60 tph = 120 tph; Pabrik Pengolahan Kelapa Sawit Perseroan dengan kapasitas 60 ton per jam serta Terminal Khusus milik anak Perseroan PT Borneo Sawit Perdana mulai beroperasi secara komersial (2024)</t>
  </si>
  <si>
    <t>Special Terminal Status</t>
  </si>
  <si>
    <t>Commenced operations June 2024 (BSP)</t>
  </si>
  <si>
    <t>Terminal Khusus milik entitas anak Perseroan, PT Borneo Sawit Perdana, mulai beroperasi pada Juni 2024</t>
  </si>
  <si>
    <t>TBS (ton) 477.288 463.843 399.606</t>
  </si>
  <si>
    <t>CPO (ton) 105.570 91.285 82.862</t>
  </si>
  <si>
    <t>PK (ton) 21.062 18.926 15.617</t>
  </si>
  <si>
    <t>Rendemen CPO 21,2 21,7 21,8</t>
  </si>
  <si>
    <t>Rendemen PK 4,2 4,3 4,1</t>
  </si>
  <si>
    <t>Kuantitas penjualan CPO naik sebesar 12% (2024: 103.729 ton dan 2023: 92.255 ton)</t>
  </si>
  <si>
    <t>Kuantitas penjualan PK naik sebesar 10% (2024: 20.613 ton dan 2023: 18.760 ton)</t>
  </si>
  <si>
    <t>harga jual rata-rata CPO ... 2024: Rp12.802 per kg</t>
  </si>
  <si>
    <t>harga jual rata-rata PK ... 2024: Rp7.860 per kg</t>
  </si>
  <si>
    <t>CPO (juta Rp) 1.327.882</t>
  </si>
  <si>
    <t>PK (juta Rp) 162.017</t>
  </si>
  <si>
    <t>FFB Production Target 2024</t>
  </si>
  <si>
    <t>2024 490.000 477.288</t>
  </si>
  <si>
    <t>TBS | FFB 14.343 6 6 (2024 total raw material from 6 local suppliers)</t>
  </si>
  <si>
    <t>PT NSP, PT BSP, dan PT PMM telah mendapatkan sertifikat ISPO</t>
  </si>
  <si>
    <t>Emisi Gas Rumah Kaca ton COe 29.779,44</t>
  </si>
  <si>
    <t>Emission Reduction</t>
  </si>
  <si>
    <t>Hasil Penurunan Emisi % 90,44</t>
  </si>
  <si>
    <t>Dana TJSL Rp juta 1.447</t>
  </si>
  <si>
    <t>Water Consumption</t>
  </si>
  <si>
    <t>Konsumsi Air m3 591.812,00</t>
  </si>
  <si>
    <t>PT Indo Oil Perkasa Tbk</t>
  </si>
  <si>
    <t>OILS_2022_AR.pdf</t>
  </si>
  <si>
    <t>OILS</t>
  </si>
  <si>
    <t>ticker symbol OILS listed 6 September 2021</t>
  </si>
  <si>
    <t>Crude Coconut Oil (CNO) processing and copra meal</t>
  </si>
  <si>
    <t>Crude Coconut Oil (CNO) merupakan salah satu komoditas minyak nabati</t>
  </si>
  <si>
    <t>Listing Date</t>
  </si>
  <si>
    <t>6 September 2021</t>
  </si>
  <si>
    <t>diperdagangkan perdana di Bursa Efek Indonesia pada tanggal 6 September 2021</t>
  </si>
  <si>
    <t>dengan harga penawaran perdana sebesar Rp270 per lembar saham</t>
  </si>
  <si>
    <t>Sulastri</t>
  </si>
  <si>
    <t>pengendali Perseroan adalah Sulastri (per 2024 AR, same structure)</t>
  </si>
  <si>
    <t>PT Mandalindo Putra Perkasa Ownership</t>
  </si>
  <si>
    <t>PT Mandalindo Putra Perkasa 47.85 (same structure)</t>
  </si>
  <si>
    <t>Saham yang Beredar 454.056.563 (end 2022)</t>
  </si>
  <si>
    <t>Penjualan 514.201,82 (in juta = 514.20 bn)</t>
  </si>
  <si>
    <t>Beban pokok penjualan (470.059,33)</t>
  </si>
  <si>
    <t>Laba Bruto 44.142,48</t>
  </si>
  <si>
    <t>Beban Umum dan Administrasi (27.016,65)</t>
  </si>
  <si>
    <t>Laba Usaha 15.182.435.095 (from 2023 AR comparative)</t>
  </si>
  <si>
    <t>Beban Bunga dan Keuangan (5.433,55)</t>
  </si>
  <si>
    <t>Laba sebelum Pajak Penghasilan 9.441,74</t>
  </si>
  <si>
    <t>Current Tax</t>
  </si>
  <si>
    <t>Pajak Kini (2.717,74)</t>
  </si>
  <si>
    <t>Laba Tahun Berjalan 6.817,79</t>
  </si>
  <si>
    <t>Total Aset 157.982,37</t>
  </si>
  <si>
    <t>Total Liabilitas 75.193,65</t>
  </si>
  <si>
    <t>Total Ekuitas 82.788,71</t>
  </si>
  <si>
    <t>Total Aset Lancar 118.480.028.424 (from 2023 AR comparative)</t>
  </si>
  <si>
    <t>Total Aset Tidak Lancar 39.502.345.357 (from 2023 AR comparative)</t>
  </si>
  <si>
    <t>Total Liabilitas Jangka Pendek 67.976.353.450 (from 2023 AR)</t>
  </si>
  <si>
    <t>Total Liabilitas Jangka Panjang 7.217.304.707 (from 2023 AR)</t>
  </si>
  <si>
    <t>Kas dan Setara Kas Akhir Tahun 7.960,62</t>
  </si>
  <si>
    <t>Piutang Usaha 33.368.064.777 (from 2023 AR comparative)</t>
  </si>
  <si>
    <t>Persediaan 45.147.600.523 (from 2023 AR comparative)</t>
  </si>
  <si>
    <t>Fixed Assets (Net)</t>
  </si>
  <si>
    <t>Aset Tetap - Neto 39.350.043.495 (from 2023 AR comparative)</t>
  </si>
  <si>
    <t>Utang Bank Jangka Pendek 43.646.838.903 (from 2023 AR)</t>
  </si>
  <si>
    <t>Long-term Bank Loans (Non-Current)</t>
  </si>
  <si>
    <t>Utang Bank 5.685.013.348 (non-current, from 2023 AR)</t>
  </si>
  <si>
    <t>Long-term Bank Loans (Current Portion)</t>
  </si>
  <si>
    <t>Utang Bank 1.747.194.865 (current maturities)</t>
  </si>
  <si>
    <t>Gross Bank Debt (Total)</t>
  </si>
  <si>
    <t>Calc: 43.65 + 1.75 + 5.69 = 51.08</t>
  </si>
  <si>
    <t>Arus Kas dari Aktivitas Operasi 18.865,67</t>
  </si>
  <si>
    <t>Arus Kas dari Aktivitas Investasi (27.224,53)</t>
  </si>
  <si>
    <t>Arus Kas dari Aktivitas Pendanaan 11.336,87</t>
  </si>
  <si>
    <t>Kas bersih digunakan untuk aktivitas investasi Rp27.224,54 juta...disebabkan oleh pembelian aset tetap</t>
  </si>
  <si>
    <t>Laba Per Saham Dasar 15,10 (approx 15.02 per 2023 AR)</t>
  </si>
  <si>
    <t>Kuartal IV (Okt - Des 2022) 232 197 218</t>
  </si>
  <si>
    <t>Rasio Lancar 1,74 2,04</t>
  </si>
  <si>
    <t>Debt-to-Equity</t>
  </si>
  <si>
    <t>Rasio Total Liabilitas Terhadap Jumlah Ekuitas 0,91</t>
  </si>
  <si>
    <t>Debt-to-Assets</t>
  </si>
  <si>
    <t>Rasio Total Liabilitas Terhadap Jumlah Aset 0,48</t>
  </si>
  <si>
    <t>Local Sales</t>
  </si>
  <si>
    <t>Penjualan Lokal 186.301.684.585 (from 2023 AR comparative)</t>
  </si>
  <si>
    <t>Export Sales</t>
  </si>
  <si>
    <t>Penjualan Ekspor 327.900.139.407 (from 2023 AR comparative)</t>
  </si>
  <si>
    <t>Plant Capacity</t>
  </si>
  <si>
    <t>pabrik Perseroan di Mojokerto berkapasitas sebesar 4.000 ton</t>
  </si>
  <si>
    <t>Daily CNO Production Capacity</t>
  </si>
  <si>
    <t>kapasitas produksi OILS mencapai sebesar 100 ton CNO per hari</t>
  </si>
  <si>
    <t>Daily Copra Meal Production Capacity</t>
  </si>
  <si>
    <t>setara dengan 150 ton tepung kopra per hari</t>
  </si>
  <si>
    <t>Number of Production Machines</t>
  </si>
  <si>
    <t>menggunakan empat mesin produksi</t>
  </si>
  <si>
    <t>Oil Storage Tank</t>
  </si>
  <si>
    <t>tangki penyimpanan minyak sebanyak 2.100 ton</t>
  </si>
  <si>
    <t>Copra Meal Storage</t>
  </si>
  <si>
    <t>penyimpanan tepung kopra sebanyak 3.000 ton</t>
  </si>
  <si>
    <t>Copra Meal Solid Waste (Resellable)</t>
  </si>
  <si>
    <t>ton</t>
  </si>
  <si>
    <t>Volume Limbah Padat (Bungkil Kopra) 720 (from 2023 AR comparative)</t>
  </si>
  <si>
    <t>Dana CSR 62.473.850 (from 2023 AR comparative)</t>
  </si>
  <si>
    <t>OILS_2023_AR.pdf</t>
  </si>
  <si>
    <t>PT Indo Oil Perkasa Tbk - Laporan Tahunan 2023</t>
  </si>
  <si>
    <t>kode saham OILS mulai tanggal 06 September 2021</t>
  </si>
  <si>
    <t>pengolahan produksi kopra dan penjualan minyak kelapa</t>
  </si>
  <si>
    <t>Headquarters Address</t>
  </si>
  <si>
    <t>Jl. Raya Perning No. 39, Jetis, Mojokerto, East Java</t>
  </si>
  <si>
    <t>Jl Raya Perning No. 39 Jetis Mojokerto Jawa Timur</t>
  </si>
  <si>
    <t>sejak tanggal 6 September 2021</t>
  </si>
  <si>
    <t>pengendali Perseroan adalah Sulastri</t>
  </si>
  <si>
    <t>PT Mandalindo Putra Perkasa 47,85%</t>
  </si>
  <si>
    <t>Sulastri Ownership</t>
  </si>
  <si>
    <t>Sulastri 32,184,100 7.09%</t>
  </si>
  <si>
    <t>Saham Yang Beredar 454.056.563</t>
  </si>
  <si>
    <t>27 karyawan (unaudited)</t>
  </si>
  <si>
    <t>Penjualan 600.351.628.985</t>
  </si>
  <si>
    <t>Beban Pokok Penjualan (564.427.727.670)</t>
  </si>
  <si>
    <t>Laba Bruto 35.923.901.315</t>
  </si>
  <si>
    <t>Beban Umum dan Administrasi (26.991.929.213)</t>
  </si>
  <si>
    <t>Laba Usaha 11.249.447.308</t>
  </si>
  <si>
    <t>Biaya Keuangan (7.325.206.157)</t>
  </si>
  <si>
    <t>Laba Sebelum Pajak Penghasilan 4.035.572.982</t>
  </si>
  <si>
    <t>Beban Pajak Penghasilan (905.126.364)</t>
  </si>
  <si>
    <t>Laba Neto Tahun Berjalan 3.130.446.618</t>
  </si>
  <si>
    <t>Total Aset 199.907.912.568</t>
  </si>
  <si>
    <t>Total Aset Lancar 136.066.915.786</t>
  </si>
  <si>
    <t>Total Aset Tidak Lancar 63.840.996.782</t>
  </si>
  <si>
    <t>Kas dan setara kas 7.906.848.519</t>
  </si>
  <si>
    <t>Piutang Usaha 33.931.182.411</t>
  </si>
  <si>
    <t>Persediaan 86.560.578.840</t>
  </si>
  <si>
    <t>Aset Tetap - Neto 59.975.127.010</t>
  </si>
  <si>
    <t>Total Liabilitas 115.421.733.330</t>
  </si>
  <si>
    <t>Total Liabilitas Jangka Pendek 103.759.062.353</t>
  </si>
  <si>
    <t>Total Liabilitas Jangka Panjang 11.662.670.977</t>
  </si>
  <si>
    <t>Utang Bank Jangka Pendek 73.951.903.898</t>
  </si>
  <si>
    <t>Utang Bank 2.107.514.892 (current maturities)</t>
  </si>
  <si>
    <t>Utang Bank 4.741.908.489 (non-current)</t>
  </si>
  <si>
    <t>Calc: 73.95 + 2.11 + 4.74 = 80.80</t>
  </si>
  <si>
    <t>Total Ekuitas 84.486.179.238</t>
  </si>
  <si>
    <t>Kas Neto Digunakan untuk Aktivitas Operasi (11.953.352.490)</t>
  </si>
  <si>
    <t>Kas Neto Digunakan untuk Aktivitas Investasi (14.369.847.699)</t>
  </si>
  <si>
    <t>Kas Neto Diperoleh dari Aktivitas Pendanaan 26.269.424.689</t>
  </si>
  <si>
    <t>Perolehan Aset Tetap di tahun 2023 (14,369,847,699)</t>
  </si>
  <si>
    <t>Laba Per Saham 6,89</t>
  </si>
  <si>
    <t>Dividend Paid (FY2022)</t>
  </si>
  <si>
    <t>Dividen (Catatan 25) (1.405.813.174)</t>
  </si>
  <si>
    <t>Kuartal IV (Okt-Des 2023) 177 130 133</t>
  </si>
  <si>
    <t>Rasio Lancar 1.31 1.74</t>
  </si>
  <si>
    <t>Rasio Total Liabilitas terhadap Total Ekuitas 1.37 0.91</t>
  </si>
  <si>
    <t>Rasio Total Liabilitas terhadap Total Aset 0.58 0.48</t>
  </si>
  <si>
    <t>pabrik Perseroan di Mojokerto berkapasitas 4.000 ton</t>
  </si>
  <si>
    <t>kapasitas produksi OILS sebesar 100 ton CNO per hari</t>
  </si>
  <si>
    <t>setara 150 ton tepung kopra per hari</t>
  </si>
  <si>
    <t>tangki penyimpanan minyak sebanyak 500 ton</t>
  </si>
  <si>
    <t>penyimpanan tepung kopra 3.000 ton</t>
  </si>
  <si>
    <t>Capacity Expansion Plan</t>
  </si>
  <si>
    <t>6,000 tons factory, 1,000 tons oil tank, 300 t/day CNO, 9 machines</t>
  </si>
  <si>
    <t>meningkatkan kapasitas pabrik menjadi 6.000 ton, tangki penyimpanan menjadi 1.000 ton dan produksi CNO sebanyak 300 ton per hari</t>
  </si>
  <si>
    <t>Penjualan Lokal / Local Sales 298.642.177.109</t>
  </si>
  <si>
    <t>Penjualan Ekspor / Export Sales 301.709.451.876</t>
  </si>
  <si>
    <t>Receivables Turnover</t>
  </si>
  <si>
    <t>Rasio Perputaran Piutang 17.69</t>
  </si>
  <si>
    <t>Days Receivable</t>
  </si>
  <si>
    <t>Rata-rata periode penagihan piutang 21 hari</t>
  </si>
  <si>
    <t>Electricity Consumption</t>
  </si>
  <si>
    <t>Kwh</t>
  </si>
  <si>
    <t>Pemakaian Listrik 2.854.401 2.441.559</t>
  </si>
  <si>
    <t>Volume Pemakaian Air 4.276 3.564</t>
  </si>
  <si>
    <t>CO2 Emissions</t>
  </si>
  <si>
    <t>ton CO2eq</t>
  </si>
  <si>
    <t>Total Pelepasan Emisi CO2 2.813 6.324</t>
  </si>
  <si>
    <t>Volume Limbah Padat (Bungkil Kopra) yang dapat dijual kembali 780 720</t>
  </si>
  <si>
    <t>Dana CSR Rp 74.968.620</t>
  </si>
  <si>
    <t>OILS_2024_AR.pdf</t>
  </si>
  <si>
    <t>PT Indo Oil Perkasa Tbk - Laporan Tahunan 2024</t>
  </si>
  <si>
    <t>Saham Perseroan dicatatkan dan diperdagangkan di Bursa Efek Indonesia dengan kode saham OILS sejak tanggal 6 September 2021</t>
  </si>
  <si>
    <t>OILS yang bergerak di bidang pengolahan produksi kopra dan penjualan minyak kelapa</t>
  </si>
  <si>
    <t>Jl. Raya Perning No. 39, Jetis, Mojokerto, East Java 61352</t>
  </si>
  <si>
    <t>JI. Raya Perning No. 39 Jetis, Mojokerto East Java - Indonesia 61352</t>
  </si>
  <si>
    <t>Pemegang saham utama dan pengendali Perseroan adalah Sulastri</t>
  </si>
  <si>
    <t>PT Mandalindo Putra Perkasa 217,255,500 47.85</t>
  </si>
  <si>
    <t>Sulastri 32,184,100 7.09</t>
  </si>
  <si>
    <t>Masyarakat/Public 204,616,963 33.05</t>
  </si>
  <si>
    <t>Jumlah/Total 454,000,000 100</t>
  </si>
  <si>
    <t>Perusahaan memiliki masing-masing 27 dan 26 karyawan (tidak diaudit)</t>
  </si>
  <si>
    <t>Subsidiary - PT Indosena Perkasa Refineries</t>
  </si>
  <si>
    <t>51% owned, Rp5.1 bn, established Jan 2024, not yet operational</t>
  </si>
  <si>
    <t>PT Indo Oils Perkasa berinvestasi senilai 51% atau Rp5,100,000,000</t>
  </si>
  <si>
    <t>Subsidiary - PT Indo Kelapa Perkasa</t>
  </si>
  <si>
    <t>65% owned, Rp1.625 bn, established Dec 2024, not yet operational</t>
  </si>
  <si>
    <t>PT Indo Oil Perkasa berinvestasi senilai 65% atau Rp1,625,000,000</t>
  </si>
  <si>
    <t>PENJUALAN 634.376.822.300</t>
  </si>
  <si>
    <t>BEBAN POKOK PENJUALAN (589.112.400.894)</t>
  </si>
  <si>
    <t>LABA BRUTO 45.264.421.406</t>
  </si>
  <si>
    <t>Beban umum dan administrasi (35.413.523.273)</t>
  </si>
  <si>
    <t>LABA USAHA 16.511.668.932</t>
  </si>
  <si>
    <t>Biaya keuangan (8.529.595.835)</t>
  </si>
  <si>
    <t>LABA SEBELUM PAJAK PENGHASILAN 8.111.745.489</t>
  </si>
  <si>
    <t>BEBAN PAJAK PENGHASILAN - NETO (1.765.951.008)</t>
  </si>
  <si>
    <t>LABA NETO TAHUN BERJALAN 6.345.794.481</t>
  </si>
  <si>
    <t>JUMLAH ASET 219.173.546.119</t>
  </si>
  <si>
    <t>Jumlah aset lancar 147.960.012.876</t>
  </si>
  <si>
    <t>Jumlah aset tidak lancar 71.213.533.243</t>
  </si>
  <si>
    <t>Kas dan setara kas 9.774.791.533</t>
  </si>
  <si>
    <t>Piutang usaha 18.528.484.725</t>
  </si>
  <si>
    <t>Persediaan 118.645.507.504</t>
  </si>
  <si>
    <t>Aset tetap – neto 49.067.813.944</t>
  </si>
  <si>
    <t>Stock Investment (Subsidiaries)</t>
  </si>
  <si>
    <t>Investasi Saham 6.725.000.000</t>
  </si>
  <si>
    <t>TOTAL LIABILITAS 128.359.964.260</t>
  </si>
  <si>
    <t>Total Liabilitas Jangka Pendek 123.591.517.906</t>
  </si>
  <si>
    <t>Total Liabilitas Jangka Panjang 4.768.446.354</t>
  </si>
  <si>
    <t>Utang bank jangka pendek 82.124.848.596</t>
  </si>
  <si>
    <t>Utang bank 2.634.393.612 (current maturities)</t>
  </si>
  <si>
    <t>Utang bank 2.107.514.881 (non-current)</t>
  </si>
  <si>
    <t>Calc: 82.12 + 2.63 + 2.11 = 86.87</t>
  </si>
  <si>
    <t>Lease Liabilities Total</t>
  </si>
  <si>
    <t>Liabilitas sewa 4.192.893.802 + 1.985.796.447</t>
  </si>
  <si>
    <t>TOTAL EKUITAS 90.813.581.859</t>
  </si>
  <si>
    <t>Modal saham 45.405.656.300 (454,056,563 shares at Rp100 par)</t>
  </si>
  <si>
    <t>Additional Paid-in Capital (Agio)</t>
  </si>
  <si>
    <t>Tambahan modal disetor 23.612.993.860</t>
  </si>
  <si>
    <t>Ditentukan penggunaannya 1.000.000.000</t>
  </si>
  <si>
    <t>Belum ditentukan penggunaannya 20.850.547.689</t>
  </si>
  <si>
    <t>Kas Neto Dari Aktivitas Operasi 13.174.047.410</t>
  </si>
  <si>
    <t>Kas Neto Digunakan untuk Aktivitas Investasi (13.411.023.205)</t>
  </si>
  <si>
    <t>Kas Neto Diperoleh dari Aktivitas Pendanaan 2.104.918.809</t>
  </si>
  <si>
    <t>Perolehan aset tetap (6.686.023.205)</t>
  </si>
  <si>
    <t>LABA PER SAHAM 13,98</t>
  </si>
  <si>
    <t>Kuartal IV (Okt - Des 2024) 100 94 98</t>
  </si>
  <si>
    <t>Kuartal IV Kapitalisasi Pasar 44.487.543.174</t>
  </si>
  <si>
    <t>Biaya Jasa / Service Fee Jasa Audit: Rp84.000.000</t>
  </si>
  <si>
    <t>CNO Production</t>
  </si>
  <si>
    <t>Pabrik Perseroan di Mojokerto mampu menghasilkan sebanyak 20.543,14 ton minyak pada tahun 2024</t>
  </si>
  <si>
    <t>Copra Meal Production</t>
  </si>
  <si>
    <t>memproduksi tepung kopra sebanyak 30.825,36 ton</t>
  </si>
  <si>
    <t>Copra Meal For Resale</t>
  </si>
  <si>
    <t>Selama tahun 2024, perusahaan menghasilkan 239.400 ton bungkil untuk dijual kembali</t>
  </si>
  <si>
    <t>pabrik Perseroan di Mojokerto mampu menghasilkan sebanyak 4.000 ton</t>
  </si>
  <si>
    <t>Oil Storage Tank Capacity</t>
  </si>
  <si>
    <t>Copra Meal Storage Capacity</t>
  </si>
  <si>
    <t>Penjualan Lokal 308.877.455.882</t>
  </si>
  <si>
    <t>Penjualan Expor 325.499.366.418</t>
  </si>
  <si>
    <t>Export Destinations</t>
  </si>
  <si>
    <t>Bangladesh, Malaysia, Sri Lanka, Thailand, Turkey, USA, Tunisia, Madagascar, Japan</t>
  </si>
  <si>
    <t>ekspor ke Bangladesh, Malaysia, Srilanka, Thailand, Turki, USA, Tunisia, Madagaskar, Jepang</t>
  </si>
  <si>
    <t>KOSHER Certificate</t>
  </si>
  <si>
    <t>Valid Oct 2024 - Oct 2025</t>
  </si>
  <si>
    <t>1 KOSHER CERTIFICATE 19 Oktober 2024 - 19 Oktober 2025</t>
  </si>
  <si>
    <t>ISO 9001:2018</t>
  </si>
  <si>
    <t>Valid Jan 2024 - Feb 2025</t>
  </si>
  <si>
    <t>2 ISO 9001 : 2018 05 Januari 2024 s/d 25 Februari 2025</t>
  </si>
  <si>
    <t>ISO 22000:2018</t>
  </si>
  <si>
    <t>3 ISO 2200 : 2018 Americo Quality Standards Registech</t>
  </si>
  <si>
    <t>Halal Certificate</t>
  </si>
  <si>
    <t>Valid since Oct 2021 - present</t>
  </si>
  <si>
    <t>4 Sertifikat Halal No. ID004100000201740621</t>
  </si>
  <si>
    <t>Pemakaian Listrik 4.131.448 2.854.401</t>
  </si>
  <si>
    <t>Volume Pemakaian Air 18.349 4.276</t>
  </si>
  <si>
    <t>Total Employees (Sustainability)</t>
  </si>
  <si>
    <t>Total Jumlah Karyawan orang 228 220</t>
  </si>
  <si>
    <t>PT Pradiksi Gunatama Tbk</t>
  </si>
  <si>
    <t>PGUN_2022_AR.pdf</t>
  </si>
  <si>
    <t>Jl. Negara Km. 44 Batu Engau, Paser, East Kalimantan</t>
  </si>
  <si>
    <t>Jl. Negara Km. 44 sub-districts of Batu Engau, Paser Regency, East Kalimantan Province</t>
  </si>
  <si>
    <t>Establishment</t>
  </si>
  <si>
    <t>Founded 11 September 1995 (Notary Ny. Toety Juniarto SH)</t>
  </si>
  <si>
    <t>HGU Area (post-merger)</t>
  </si>
  <si>
    <t>lahan perkebunan kelapa sawit seluas 38.991,12 hektar (post-SA merger)</t>
  </si>
  <si>
    <t>Controlling Shareholder 1</t>
  </si>
  <si>
    <t>PT Araya Agro Lestari 42.29%</t>
  </si>
  <si>
    <t>PT Araya Agro Lestari 2.426.317.596 42,29% Controller (per 31 Dec 2022)</t>
  </si>
  <si>
    <t>Controlling Shareholder 2</t>
  </si>
  <si>
    <t>PT Citra Agro Raya 42.03%</t>
  </si>
  <si>
    <t>PT Citra Agro Raya 2.411.531.286 42,03% Controller</t>
  </si>
  <si>
    <t>Public 900,000,000 15,68%</t>
  </si>
  <si>
    <t>KAP Kanaka Puradiredja Suhartono</t>
  </si>
  <si>
    <t>Audited by KAP Kanaka Puradiredja Suhartono, signed by Aris Suryanta, Ak., CA., CPA.</t>
  </si>
  <si>
    <t>Jooyoung Lee</t>
  </si>
  <si>
    <t>Direktur Utama: Jooyoung Lee (2022)</t>
  </si>
  <si>
    <t>Liana Saputri</t>
  </si>
  <si>
    <t>Komisaris Utama: Liana Saputri</t>
  </si>
  <si>
    <t>Senabangun Merger</t>
  </si>
  <si>
    <t>21 Dec 2022</t>
  </si>
  <si>
    <t>Deed of Merger No. 53 dated 21 Dec 2022 (Leolin Jayanti) merging PT Senabangun Anekapertiwi into PGUN</t>
  </si>
  <si>
    <t>PENJUALAN BERSIH 1,007,305,060,864 (2022)</t>
  </si>
  <si>
    <t>BEBAN POKOK PENJUALAN (742.883.990.213)</t>
  </si>
  <si>
    <t>LABA BRUTO 264,421,070,651</t>
  </si>
  <si>
    <t>LABA (RUGI) USAHA 233,635,817,372</t>
  </si>
  <si>
    <t>Beban keuangan (62.603.309.677)</t>
  </si>
  <si>
    <t>LABA (RUGI) SEBELUM PAJAK PENGHASILAN 188.875.205.126</t>
  </si>
  <si>
    <t>LABA BERSIH 167,246,545,379 (2022)</t>
  </si>
  <si>
    <t>Laba bersih tahun berjalan attributable to parent 172,151,655,670</t>
  </si>
  <si>
    <t>LABA (RUGI) PER SAHAM 30.00</t>
  </si>
  <si>
    <t>Jumlah Aset 2,347,517,612,881</t>
  </si>
  <si>
    <t>Aset Lancar 289.998.443.433</t>
  </si>
  <si>
    <t>Aset Tidak Lancar 2.057.519.169.448</t>
  </si>
  <si>
    <t>Jumlah Liabilitas 918,351,509,165</t>
  </si>
  <si>
    <t>Short-term liabilities 197.371.836.873</t>
  </si>
  <si>
    <t>Long Term Liabilities 720.979.672.292</t>
  </si>
  <si>
    <t>Jumlah Ekuitas 1,429,166,103,716</t>
  </si>
  <si>
    <t>Kas dan bank 35.899.308.357 (31 Dec 2022)</t>
  </si>
  <si>
    <t>Bank Loan (BRI) Gross</t>
  </si>
  <si>
    <t>PT Bank Rakyat Indonesia (Persero), Tbk 697.596.304.485 (2022)</t>
  </si>
  <si>
    <t>Bank Loan Net</t>
  </si>
  <si>
    <t>Jumlah 692.078.976.684 (net of Rp5.52 bn unamortized arrangement cost)</t>
  </si>
  <si>
    <t>Bank Loan Current Portion</t>
  </si>
  <si>
    <t>Bagian jangka pendek 122.981.999.997</t>
  </si>
  <si>
    <t>Bank Loan Long-term Portion</t>
  </si>
  <si>
    <t>Bagian jangka panjang 569.096.976.687</t>
  </si>
  <si>
    <t>Kas bersih diperoleh dari aktivitas operasi 213.075.287.779 (2022)</t>
  </si>
  <si>
    <t>Kas bersih (digunakan untuk) aktivitas investasi (78.820.233.399)</t>
  </si>
  <si>
    <t>Capex: Bearer Plants</t>
  </si>
  <si>
    <t>Pembayaran untuk perolehan tanaman produktif 31.647.886.796</t>
  </si>
  <si>
    <t>Capex: Fixed Assets</t>
  </si>
  <si>
    <t>Perolehan aset tetap 45.420.846.603</t>
  </si>
  <si>
    <t>Total Capex</t>
  </si>
  <si>
    <t>31.65 + 45.42 = 77.07</t>
  </si>
  <si>
    <t>Payments of bank loans</t>
  </si>
  <si>
    <t>Pembayaran utang bank (99.709.749.996)</t>
  </si>
  <si>
    <t>Modal ditempatkan dan disetor 5.737.848.882 100% 573.784.888.200 (increased from 4,998,360,000 post-merger)</t>
  </si>
  <si>
    <t>Desember 2022 Kurs Akhir 805</t>
  </si>
  <si>
    <t>December 2022 Market Cap 4,618,968,350,010</t>
  </si>
  <si>
    <t>Rasio Lancar 1,47 (2022 restated)</t>
  </si>
  <si>
    <t>Liability/Equity</t>
  </si>
  <si>
    <t>Rasio Liabilitas terhadap Ekuitas 0,64</t>
  </si>
  <si>
    <t>Total Planted Area (post-merger)</t>
  </si>
  <si>
    <t>luas lahan Perseroan di tahun 2022 bertambah menjadi sebesar 38,991 Ha, dengan luas tertanam sebesar 20,267 Ha (per management discussion)</t>
  </si>
  <si>
    <t>Total Planted (alt disclosure)</t>
  </si>
  <si>
    <t>luas tertanam sebesar 19.417 Ha (another disclosure)</t>
  </si>
  <si>
    <t>luas lahan 38,991 Ha (after Senabangun merger adding 16,404 ha)</t>
  </si>
  <si>
    <t>Company has a Palm Oil Mill (PKS) which has been operating since August 2019</t>
  </si>
  <si>
    <t>Mill Capacity (2022)</t>
  </si>
  <si>
    <t>kapasitas 60 ton per jam yang dapat ditingkatkan hingga 90 ton/jam (upgrade scheduled mid-2023)</t>
  </si>
  <si>
    <t>FFB Production 2022</t>
  </si>
  <si>
    <t>pencapaian produksi TBS 107% dari target 228,268 ton, hasil 243,726 ton</t>
  </si>
  <si>
    <t>CPO Production 2022</t>
  </si>
  <si>
    <t>CPO 102% dari target 70,923 Ton, tercapai 72,118 ton</t>
  </si>
  <si>
    <t>Kernel Production (sum 2022)</t>
  </si>
  <si>
    <t>Monthly Kernel 2022 sum: 875+965+1144+1216+1216+1204+983+1070+1072+984+1048+1080 = 12,856 MT</t>
  </si>
  <si>
    <t>Daily FFB Processing</t>
  </si>
  <si>
    <t>Selama tahun 2022, Perseroan mampu mengolah 962 ton Tandan Buah Segar perhari</t>
  </si>
  <si>
    <t>Revenue from CPO+Kernel</t>
  </si>
  <si>
    <t>Untuk penjualan CPO dan Kernel selama tahun 2022 diperoleh pendapatan sebesar Rp 1,007,305,060,864</t>
  </si>
  <si>
    <t>CPO price start of 2022</t>
  </si>
  <si>
    <t>Pada awal tahun 2022 Perseroan membuka kontrak penjualan CPO di harga Rp 13.420/Kg</t>
  </si>
  <si>
    <t>CPO price end of 2022</t>
  </si>
  <si>
    <t>diakhir tahun 2022, Perseroan membuka kontrak penjualan CPO di harga Rp 12.159/kg</t>
  </si>
  <si>
    <t>CPO + Kernel Revenue 2022 mention</t>
  </si>
  <si>
    <t>Rp1,205.28 bn target for 2023</t>
  </si>
  <si>
    <t>Struktur Modal target</t>
  </si>
  <si>
    <t>Related Party: Sales to JARR (affiliate)</t>
  </si>
  <si>
    <t>Yes</t>
  </si>
  <si>
    <t>Perseroan menjual CPO kepada PT Jhonlin Agro Raya Tbk (JARR) afiliasi</t>
  </si>
  <si>
    <t>Related Party: Sales to Kodeco</t>
  </si>
  <si>
    <t>menjual Kernel kepada PT Kodeco Agrojaya Mandiri</t>
  </si>
  <si>
    <t>PGUN_2023_AR.pdf</t>
  </si>
  <si>
    <t>LAPORAN TAHUNAN 2023 ANNUAL REPORT - PT PRADIKSI GUNATAMA TBK</t>
  </si>
  <si>
    <t>Alamat Kantor Jl. Negara Km. 44 kecamatan Batu Engau, Kabupaten Paser, Provinsi Kalimantan Timur</t>
  </si>
  <si>
    <t>PT Araya Agro Lestari 38.44%</t>
  </si>
  <si>
    <t>PT Araya Agro Lestari 2.205.667.896 38,44% Pengendali (per 31 Dec 2023)</t>
  </si>
  <si>
    <t>PT Citra Agro Raya 38.25%</t>
  </si>
  <si>
    <t>PT Citra Agro Raya 2.194.718.786 38,25% Pengendali</t>
  </si>
  <si>
    <t>Major Shareholder 3</t>
  </si>
  <si>
    <t>PT Baramega Citra Mulia Persada 16.88%</t>
  </si>
  <si>
    <t>PT Baramega Citra Mulia Persada 968.262.500 16,88%</t>
  </si>
  <si>
    <t>Masyarakat 369,199,700 shares 6.43% (per 31 Dec 2023)</t>
  </si>
  <si>
    <t>Liana Saputri &amp; Jhoni Saputra (each 50% of each parent)</t>
  </si>
  <si>
    <t>Skema Pemegang Saham: Liana Saputri 50% Jhoni Saputra 50% (in each of Citra Agro Raya and Araya Agro Lestari)</t>
  </si>
  <si>
    <t>diaudit oleh Kantor Akuntan Publik Kanaka Puradiredja Suhartono, ditandatangani oleh Aris Suryanta</t>
  </si>
  <si>
    <t>Jooyoung Lee Direktur Utama (per 31 Des 2023)</t>
  </si>
  <si>
    <t>Liana Saputri Komisaris Utama</t>
  </si>
  <si>
    <t>PENJUALAN BERSIH 868,456,776,538 (2023)</t>
  </si>
  <si>
    <t>LABA BRUTO 246,074,449,081</t>
  </si>
  <si>
    <t>LABA USAHA 191,936,350,429</t>
  </si>
  <si>
    <t>LABA BERSIH TAHUN BERJALAN 108,056,587,588</t>
  </si>
  <si>
    <t>LABA KOMPREHENSIF TAHUN BERJALAN 196,908,742,054</t>
  </si>
  <si>
    <t>LABA (RUGI) PER SAHAM 18.83</t>
  </si>
  <si>
    <t>Jumlah Aset 2,591,476,467,270</t>
  </si>
  <si>
    <t>Aset Lancar 290,913,406,730</t>
  </si>
  <si>
    <t>Aset Tidak Lancar 2,300,563,060,540</t>
  </si>
  <si>
    <t>Jumlah Liabilitas 965,401,621,500</t>
  </si>
  <si>
    <t>Liabilitas Jangka Pendek 161,569,378,318</t>
  </si>
  <si>
    <t>Liabilitas Jangka Panjang 803,832,243,181</t>
  </si>
  <si>
    <t>Jumlah Ekuitas 1,626,074,845,771</t>
  </si>
  <si>
    <t>Kas dan bank 75.587.187.365 (31 Dec 2023)</t>
  </si>
  <si>
    <t>PT Bank Rakyat Indonesia (Persero), Tbk 574.614.304.482 (2023)</t>
  </si>
  <si>
    <t>Jumlah 569.841.402.562 (2023; after Rp4.77 bn unamortized arrangement cost)</t>
  </si>
  <si>
    <t>Bagian jangka pendek 81.920.304.471</t>
  </si>
  <si>
    <t>Bagian jangka panjang 487.921.098.091</t>
  </si>
  <si>
    <t>Beban bunga 2023: Rp46.648.522.975</t>
  </si>
  <si>
    <t>Kas bersih diperoleh dari aktivitas operasi 355.175.776.509 (2023)</t>
  </si>
  <si>
    <t>Kas bersih (digunakan untuk) aktivitas investasi (344.986.421.610)</t>
  </si>
  <si>
    <t>Pembayaran untuk perolehan tanaman produktif 207.021.350.763 (2023)</t>
  </si>
  <si>
    <t>Perolehan aset tetap 146.359.217.693 (2023)</t>
  </si>
  <si>
    <t>Total Capex 2023</t>
  </si>
  <si>
    <t>207.02 + 146.36 = 353.38</t>
  </si>
  <si>
    <t>Depreciation</t>
  </si>
  <si>
    <t>Penyusutan aset tetap 2023: 50.954.387.808</t>
  </si>
  <si>
    <t>5,737,848,882 shares (Dec 2023)</t>
  </si>
  <si>
    <t>Monthly price table shows Dec 2023 close and entering 2024 at 438</t>
  </si>
  <si>
    <t>Rasio Lancar 1.80 (2023)</t>
  </si>
  <si>
    <t>Rasio Liabilitas terhadap Ekuitas 0.59</t>
  </si>
  <si>
    <t>Pembagian Deviden belum dilaksanakan (expansion and replanting phase)</t>
  </si>
  <si>
    <t>After 2023 acquisition of 2,000 ha from Langgai Agrindo Agung and Bumi Pasir Agrindo, planted area approximates 20,267 ha (from 2022 AR disclosure of 20,267 ha post-Senabangun merger)</t>
  </si>
  <si>
    <t>tanaman menghasilkan approximately 19,417 ha (from 2022/2023 AR disclosure)</t>
  </si>
  <si>
    <t>Perseroan memiliki Pabrik Kelapa Sawit (PKS) yang telah beroperasi sejak Agustus 2019</t>
  </si>
  <si>
    <t>kapasitas 90 ton per jam atau setara dengan +/- 100,000 ton Minyak Kelapa Sawit setahun (upgraded 2023)</t>
  </si>
  <si>
    <t>CPO Production (sum 2023)</t>
  </si>
  <si>
    <t>Monthly CPO 2023: 5685+4459+5247+4887+6870+7200+6655+7523+5959+5633+6219+5620 = 71,957 MT</t>
  </si>
  <si>
    <t>Kernel Production (sum 2023)</t>
  </si>
  <si>
    <t>Monthly Kernel 2023: 1156+881+1004+948+1335+1329+1348+1281+1299+1291+1171+955 = 13,998 MT</t>
  </si>
  <si>
    <t>Selama tahun 2023, Perseroan mampu mengolah 1.055 ton Tandan Buah Segar per hari</t>
  </si>
  <si>
    <t>Revenue from CPO+Kernel sales</t>
  </si>
  <si>
    <t>Untuk penjualan CPO dan Kernel selama tahun 2023 diperoleh pendapatan sebesar Rp868,456,776,538</t>
  </si>
  <si>
    <t>Operating Profit from CPO+Kernel sales</t>
  </si>
  <si>
    <t>laba usaha dari penjualan Rp191,936,350,429</t>
  </si>
  <si>
    <t>CPO Mix Share</t>
  </si>
  <si>
    <t>Persentase produksi 2023: Minyak Kelapa Sawit 84.13%, Kernel 15.87%</t>
  </si>
  <si>
    <t>Forward Projection Revenue 2024</t>
  </si>
  <si>
    <t>Pendapatan/Penjualan CPO dan Kernel target 2024 Rp1.205.280.000.000</t>
  </si>
  <si>
    <t>PT Berau Veritas Indonesia, 2022-2027</t>
  </si>
  <si>
    <t>ISPO PT Berau Veritas Indonesia 2022-2027</t>
  </si>
  <si>
    <t>PROPER Certification</t>
  </si>
  <si>
    <t>Kementerian Lingkungan Hidup Kalimantan Timur, 2022-2023</t>
  </si>
  <si>
    <t>PROPER Kementerian Lingkungan Hidup Kalimantan Timur 2022-2023</t>
  </si>
  <si>
    <t>Related Party Transaction: CPO to JARR</t>
  </si>
  <si>
    <t>Yes - affiliate</t>
  </si>
  <si>
    <t>Perseroan menjual CPO ke PT Jhonlin Agro Raya Tbk (JARR) affiliate</t>
  </si>
  <si>
    <t>Mill Capacity Upgrade (2023)</t>
  </si>
  <si>
    <t>60 tph -&gt; 90 tph</t>
  </si>
  <si>
    <t>Penambahan Kapasitas olah Pabrik Kelapa Sawit dari 60 ton per jam menjadi 90 ton per jam</t>
  </si>
  <si>
    <t>PGUN_2024_AR.pdf</t>
  </si>
  <si>
    <t>PT PRADIKSI GUNATAMA TBK - LAPORAN TAHUNAN 2024</t>
  </si>
  <si>
    <t>Establishment Year</t>
  </si>
  <si>
    <t>Perseroan berdiri Tahun 1995</t>
  </si>
  <si>
    <t>Perusahaan memiliki lahan perkebunan kelapa sawit seluas 41.562,25 hektar. HGU 42 tahun sampai 2053</t>
  </si>
  <si>
    <t>PT Araya Agro Lestari 2.205.667.896 38,44% Pengendali (per 31 Dec 2024)</t>
  </si>
  <si>
    <t>PT Citra Agro Raya 2.194.718.786 38,25% Pengendali (per 31 Dec 2024)</t>
  </si>
  <si>
    <t>PT Baramega Citra Mulia Persada 968.262.500 16,88% Controller</t>
  </si>
  <si>
    <t>diaudit oleh Kantor Akuntan Publik Kanaka Puradiredja Suhartono</t>
  </si>
  <si>
    <t>Khairuddin Simatupang</t>
  </si>
  <si>
    <t>Direktur Utama Khairuddin Simatupang (appointed Jan 2024 replacing Joo Young Lee)</t>
  </si>
  <si>
    <t>PENJUALAN BERSIH 738,565,449,724 (2024)</t>
  </si>
  <si>
    <t>LABA BRUTO 204,968,027,961</t>
  </si>
  <si>
    <t>LABA (RUGI) USAHA 150,693,553,404</t>
  </si>
  <si>
    <t>Laba (rugi) sebelum pajak penghasilan 101.823.072.593</t>
  </si>
  <si>
    <t>LABA BERSIH 79,181,162,731 (2024)</t>
  </si>
  <si>
    <t>Total Laba (Rugi) komprehensif 166,876,905,325</t>
  </si>
  <si>
    <t>LABA (RUGI) PER SAHAM 13.80 (2024)</t>
  </si>
  <si>
    <t>Jumlah Aset 2,639,198,599,961</t>
  </si>
  <si>
    <t>Jumlah aset lancar 367.880.500.497</t>
  </si>
  <si>
    <t>Jumlah aset tidak lancar 2.271.318.099.464</t>
  </si>
  <si>
    <t>Jumlah Liabilitas 846,246,848,866</t>
  </si>
  <si>
    <t>Liabilitas Jangka Pendek 211.181.140.925</t>
  </si>
  <si>
    <t>Liabilitas Jangka Panjang 635.065.707.941</t>
  </si>
  <si>
    <t>Jumlah Ekuitas 1,792,951,751,095</t>
  </si>
  <si>
    <t>Kas dan bank 14.232.285.503</t>
  </si>
  <si>
    <t>Piutang usaha: Pihak ketiga 1.268.558.739 + Pihak berelasi 209.036.322.120 = 210.304.880.859</t>
  </si>
  <si>
    <t>Persediaan 43.491.386.249</t>
  </si>
  <si>
    <t>Aset biologis 87.118.000.000</t>
  </si>
  <si>
    <t>Mature Plants (Bearer)</t>
  </si>
  <si>
    <t>Tanaman menghasilkan 888.863.786.822</t>
  </si>
  <si>
    <t>Immature Plants</t>
  </si>
  <si>
    <t>Tanaman belum menghasilkan 183.356.150.000</t>
  </si>
  <si>
    <t>Aset tetap, bersih 1.179.960.510.566</t>
  </si>
  <si>
    <t>Bank Loan (BRI)</t>
  </si>
  <si>
    <t>PT Bank Rakyat Indonesia (Persero), Tbk 492.693.999.995</t>
  </si>
  <si>
    <t>Bank Loan (Net of unamortized cost)</t>
  </si>
  <si>
    <t>Jumlah 488.719.338.563 (after Rp3.97 bn unamortized arrangement cost)</t>
  </si>
  <si>
    <t>Bagian jangka pendek 129.439.999.984</t>
  </si>
  <si>
    <t>Bank Loan Non-current Portion</t>
  </si>
  <si>
    <t>Bagian jangka panjang 359.279.338.579</t>
  </si>
  <si>
    <t>Beban bunga tahun 2024: Rp40.413.160.625</t>
  </si>
  <si>
    <t>Loan interest rate</t>
  </si>
  <si>
    <t>Tingkat bunga pinjaman 7% per tahun pada 31 Desember 2024 dan 2023</t>
  </si>
  <si>
    <t>Interest-bearing Related Party Payable (LT)</t>
  </si>
  <si>
    <t>Utang lain-lain jangka panjang PT Araya Agro Lestari 100.369.686.801 (interest-bearing)</t>
  </si>
  <si>
    <t>Kas bersih diperoleh dari aktivitas operasi 111.433.943.117</t>
  </si>
  <si>
    <t>Kas bersih (digunakan untuk) aktivitas investasi (39.457.096.079)</t>
  </si>
  <si>
    <t>Kas bersih digunakan untuk aktivitas pendanaan (133.331.748.900)</t>
  </si>
  <si>
    <t>Pembayaran untuk perolehan tanaman produktif 24.724.770.474</t>
  </si>
  <si>
    <t>Perolehan aset tetap 14.732.325.605</t>
  </si>
  <si>
    <t>24.72 + 14.73 = 39.46</t>
  </si>
  <si>
    <t>Penyusutan aset tetap: 54.485.923.032 (2024)</t>
  </si>
  <si>
    <t>Beban pajak penghasilan 22.641.909.865</t>
  </si>
  <si>
    <t>Jumlah Saham yang disetor per 31 Desember 2024 5.737.848.882 lembar</t>
  </si>
  <si>
    <t>Desember 2024 Harga Penutupan 424</t>
  </si>
  <si>
    <t>Kapitalisasi Pasar Desember 2,432,847,925,968</t>
  </si>
  <si>
    <t>Rasio Lancar 1.74 (2024)</t>
  </si>
  <si>
    <t>Rasio Liabilitas terhadap ekuitas 0.32</t>
  </si>
  <si>
    <t>Pembagian Deviden belum dapat dilaksanakan (replanting phase)</t>
  </si>
  <si>
    <t>luasan tertanam telah mencapai 22,782.14 hektar</t>
  </si>
  <si>
    <t>areal tanaman menghasilkan seluas 19,491.38 hektar</t>
  </si>
  <si>
    <t>areal yang belum menghasilkan seluas 3.290,76 hektar</t>
  </si>
  <si>
    <t>Hak Guna Usaha (HGU) total area 41,562.25 hectares</t>
  </si>
  <si>
    <t>perkebunan plasma yang berada di Kalimantan Timur seluas 3.838,78 hektar</t>
  </si>
  <si>
    <t>Replanting Realized 2024</t>
  </si>
  <si>
    <t>Pada tahun 2024 program replanting telah direalisasikan seluas 855,74 hektar</t>
  </si>
  <si>
    <t>kapasitas 90 ton perjam atau setara dengan +/- 100.000 ton Minyak Kelapa Sawit setahun (upgraded from 60 tph in 2023)</t>
  </si>
  <si>
    <t>FFB Production Achieved</t>
  </si>
  <si>
    <t>pencapaian produksi TBS 62% dari yang ditargetkan 359,138 ton; hasil dicapai 223,235 ton</t>
  </si>
  <si>
    <t>CPO Production (Processed)</t>
  </si>
  <si>
    <t>pencapaian CPO olah 67% dari 79,012 ton target, tercapai 53,108 ton</t>
  </si>
  <si>
    <t>Kernel Production (sum 2024)</t>
  </si>
  <si>
    <t>Monthly Kernel production 2024 sums: 664+559+492+430+592+502+331+765+1119+1406+1288+1114 = 9,262 MT</t>
  </si>
  <si>
    <t>Selama tahun 2024 Perseroan mampu mengolah 834 ton Tandan Buah Segar perhari</t>
  </si>
  <si>
    <t>Untuk penjualan CPO dan Kernel selama tahun 2024 diperoleh pendapatan sebesar Rp 735.329.821.624</t>
  </si>
  <si>
    <t>CPO Sales to JARR (related party)</t>
  </si>
  <si>
    <t>Nilai Transaksi pertahun Rp 667.042.821.914 (CPO sales to PT Jhonlin Agro Raya)</t>
  </si>
  <si>
    <t>Kernel Sales to Kodeco (related party)</t>
  </si>
  <si>
    <t>Nilai Transaksi pertahun IDR 65.244.913.460 (Kernel sales to PT Kodeco Agrojaya Mandiri)</t>
  </si>
  <si>
    <t>GAPKI Member</t>
  </si>
  <si>
    <t>Gabungan Pengusaha Kelapa Sawit Indonesia (GAPKI)</t>
  </si>
  <si>
    <t>Forward Projection Revenue 2025</t>
  </si>
  <si>
    <t>Pendapatan/Penjualan CPO dan Kernel Rp 849.071.072.526 (2025 target)</t>
  </si>
  <si>
    <t>PT Pinago Utama Tbk</t>
  </si>
  <si>
    <t>PNGO_2022_AR.pdf</t>
  </si>
  <si>
    <t>PT PINAGO UTAMA Tbk Laporan Tahunan | Annual Report 2022</t>
  </si>
  <si>
    <t>Kode Saham PNGO</t>
  </si>
  <si>
    <t>2020-08-31</t>
  </si>
  <si>
    <t>Tanggal Pencatatan 31 Agustus 2020</t>
  </si>
  <si>
    <t>Wilson Sutantio Ownership</t>
  </si>
  <si>
    <t>Wilson Sutantio 177.599.500 22,73%</t>
  </si>
  <si>
    <t>Hasan Tantri Ownership</t>
  </si>
  <si>
    <t>Hasan Tantri 152.167.700 19,48%</t>
  </si>
  <si>
    <t>Charles Sutantio Ownership</t>
  </si>
  <si>
    <t>Charles Sutantio 137.596.700 17,61%</t>
  </si>
  <si>
    <t>Peter Unggul Sutantio Ownership</t>
  </si>
  <si>
    <t>Peter Unggul Sutantio 119.487.100 15,29%</t>
  </si>
  <si>
    <t>Masyarakat 194.399.000 24,89%</t>
  </si>
  <si>
    <t>Subsidiary SNS</t>
  </si>
  <si>
    <t>PT Sriwijaya Nusantara Sejahtera 99% - Palm Plantations</t>
  </si>
  <si>
    <t>PT Sriwijaya Nusantara Sejahtera (SNS); Kepemilikan 99%; Total Assets 264 Billion</t>
  </si>
  <si>
    <t>Subsidiary HMH</t>
  </si>
  <si>
    <t>PT Hamparan Mutiara Hijau 99% - Palm Plantations</t>
  </si>
  <si>
    <t>PT Hamparan Mutiara Hijau (HMH); 99%; 63 Billion</t>
  </si>
  <si>
    <t>Subsidiary MAS</t>
  </si>
  <si>
    <t>PT Musi Andalan Sumatera 99% - Palm Plantations</t>
  </si>
  <si>
    <t>PT Musi Andalan Sumatera (MAS); 99%; 90 Billion</t>
  </si>
  <si>
    <t>Penjualan 2.034.457 (juta Rupiah)</t>
  </si>
  <si>
    <t>Beban Pokok Penjualan 1.505.425</t>
  </si>
  <si>
    <t>Laba Kotor 529.032</t>
  </si>
  <si>
    <t>Beban Usaha 212.350</t>
  </si>
  <si>
    <t>Laba Usaha 316.681</t>
  </si>
  <si>
    <t>Laba Sebelum Pajak 226.061</t>
  </si>
  <si>
    <t>Laba Neto Tahun Berjalan 173.391</t>
  </si>
  <si>
    <t>Pemilik Entitas Induk 173.128</t>
  </si>
  <si>
    <t>Jumlah Aset 1.550 (miliar); Rp1.550.623.971.085 per BS</t>
  </si>
  <si>
    <t>Total Aset Lancar 496.438.128.168</t>
  </si>
  <si>
    <t>Total Aset Tidak Lancar 1.054.185.842.917</t>
  </si>
  <si>
    <t>TOTAL LIABILITAS 842.074.572.429</t>
  </si>
  <si>
    <t>Total Liabilitas Jangka Pendek 337.116.041.840</t>
  </si>
  <si>
    <t>Total Liabilitas Jangka Panjang 504.958.530.589</t>
  </si>
  <si>
    <t>Jumlah Ekuitas 708 (miliar)</t>
  </si>
  <si>
    <t>Kas dan setara kas 72.195.815.205</t>
  </si>
  <si>
    <t>Utang bank jangka pendek 154.700.000.000</t>
  </si>
  <si>
    <t>Utang bank (current) 90.833.333.333</t>
  </si>
  <si>
    <t>Utang bank (LT) 439.088.342.489</t>
  </si>
  <si>
    <t>Calculated: 154.70+90.83+439.09 = 684.62 bn</t>
  </si>
  <si>
    <t>Trade Receivables (net)</t>
  </si>
  <si>
    <t>Piutang usaha 35.005 + 8.451 = 43.46 bn</t>
  </si>
  <si>
    <t>Inventories (net)</t>
  </si>
  <si>
    <t>Persediaan – bersih 300.413.515.952</t>
  </si>
  <si>
    <t>Arus Kas dari Aktivitas Operasi 200.449 (juta)</t>
  </si>
  <si>
    <t>Arus Kas Aktivitas Investasi (64.782)</t>
  </si>
  <si>
    <t>Arus Kas Aktivitas Pendanaan (123.953)</t>
  </si>
  <si>
    <t>Capex (approx)</t>
  </si>
  <si>
    <t>Investasi Rp64.782 juta net outflow</t>
  </si>
  <si>
    <t>Laba Saham 222 (Rp Penuh)</t>
  </si>
  <si>
    <t>781.250.000 lembar saham</t>
  </si>
  <si>
    <t>Kuarter IV 781.250.000 1.400 1.205 1.400 2.819.200</t>
  </si>
  <si>
    <t>Final DPS (FY2021 paid 2022)</t>
  </si>
  <si>
    <t>Dividen tunai Rp70/Lembar atau Rp54.687.500.000</t>
  </si>
  <si>
    <t>Interim DPS (FY2022)</t>
  </si>
  <si>
    <t>Dividen Interim Rp50/Lbr atau Rp39.062.500.000</t>
  </si>
  <si>
    <t>Rasio Liabilitas Terhadap Ekuitas 118%</t>
  </si>
  <si>
    <t>Laba Bersih Terhadap Aset 11,18%</t>
  </si>
  <si>
    <t>Laba Bersih Terhadap Ekuitas 24,47%</t>
  </si>
  <si>
    <t>Rasio Lancar 147%</t>
  </si>
  <si>
    <t>Palm Mature Area</t>
  </si>
  <si>
    <t>Sumatra Selatan 10.649 80 2.675 20</t>
  </si>
  <si>
    <t>Palm Immature Area</t>
  </si>
  <si>
    <t>Belum Menghasilkan 2.675 20</t>
  </si>
  <si>
    <t>Palm TM1-4 Area</t>
  </si>
  <si>
    <t>TM 1 - TM 4 1.458</t>
  </si>
  <si>
    <t>Palm TM5-14 Area</t>
  </si>
  <si>
    <t>TM 5 - TM 14 7.869</t>
  </si>
  <si>
    <t>Palm &gt;TM14 Area</t>
  </si>
  <si>
    <t>&gt; TM 14 1.322</t>
  </si>
  <si>
    <t>Rubber Mature Area</t>
  </si>
  <si>
    <t>Sumatra Selatan 2.963 72 1.167 28 (rubber)</t>
  </si>
  <si>
    <t>Rubber Immature Area</t>
  </si>
  <si>
    <t>Belum Menghasilkan 1.167 (rubber)</t>
  </si>
  <si>
    <t>Palm Oil Mill (PMKS) Count</t>
  </si>
  <si>
    <t>1 (Satu) pabrik pengolahan kelapa sawit</t>
  </si>
  <si>
    <t>PMKS Installed Capacity</t>
  </si>
  <si>
    <t>total kapasitas terpasang 120 ton TBS per jam</t>
  </si>
  <si>
    <t>PMKS Used Capacity</t>
  </si>
  <si>
    <t>kapasitas terpakai 86,2 ton TBS perjam</t>
  </si>
  <si>
    <t>Crumb Rubber Plant Count</t>
  </si>
  <si>
    <t>1 (satu) pabrik Crumb Rubber</t>
  </si>
  <si>
    <t>Crumb Rubber Installed Capacity</t>
  </si>
  <si>
    <t>t/month</t>
  </si>
  <si>
    <t>kapasitas terpasang 6.000 ton per bulan</t>
  </si>
  <si>
    <t>Crumb Rubber Used Capacity</t>
  </si>
  <si>
    <t>kapasitas Rata-Rata terpakai 2.300 ton/bulan</t>
  </si>
  <si>
    <t>RSS Plant Installed Capacity</t>
  </si>
  <si>
    <t>Pabrik Ribbed Smoked Sheet dengan kapasitas terpasang 600 ton per bulan</t>
  </si>
  <si>
    <t>RSS Used Capacity</t>
  </si>
  <si>
    <t>kapasitas terpakai 131 ton/bulan</t>
  </si>
  <si>
    <t>FFB Core Production</t>
  </si>
  <si>
    <t>Produksi Inti 162.559 (Ton) 2022</t>
  </si>
  <si>
    <t>FFB Plasma Purchase</t>
  </si>
  <si>
    <t>Pembelian Plasma 19.677 (Ton) 2022</t>
  </si>
  <si>
    <t>FFB Third-Party Purchase</t>
  </si>
  <si>
    <t>Pembelian Pihak Ketiga 279.009 (Ton)</t>
  </si>
  <si>
    <t>Total 461.245 (Ton) 2022</t>
  </si>
  <si>
    <t>CPO 100.914 (Ton) 2022</t>
  </si>
  <si>
    <t>PK (Kernel) Production</t>
  </si>
  <si>
    <t>PK 20.749 (Ton) 2022</t>
  </si>
  <si>
    <t>Crumb Rubber Production</t>
  </si>
  <si>
    <t>CRUMB RUBBER 27.198 (TON) 2022</t>
  </si>
  <si>
    <t>RSS Production</t>
  </si>
  <si>
    <t>Ribbed Smoked Sheet 1.570 (TON) 2022</t>
  </si>
  <si>
    <t>Core Latex Production</t>
  </si>
  <si>
    <t>Produksi Inti Lateks 1.561</t>
  </si>
  <si>
    <t>Core Cup Lump Production</t>
  </si>
  <si>
    <t>Produksi Inti Cup Lump 924</t>
  </si>
  <si>
    <t>Smallholder Rubber Purchase</t>
  </si>
  <si>
    <t>Pembelian Karet Rakyat 26.976</t>
  </si>
  <si>
    <t>Penjualan CPO 88.704 ton di 2022</t>
  </si>
  <si>
    <t>Penjualan Kernel 19.288 Ton 2022</t>
  </si>
  <si>
    <t>Crumb Rubber Sales Volume</t>
  </si>
  <si>
    <t>Crumb Rubber Sales 27.834 tons (2022)</t>
  </si>
  <si>
    <t>RSS sales 1.562 tons (2022)</t>
  </si>
  <si>
    <t>Harga Rata Rata CPO Rp12.108/Kg di 2022</t>
  </si>
  <si>
    <t>Harga Rata Rata Kernel Rp7.832/Kg</t>
  </si>
  <si>
    <t>Avg Crumb Rubber Selling Price (SIR20)</t>
  </si>
  <si>
    <t>SIR 20 Rp25.415/Kg (2022)</t>
  </si>
  <si>
    <t>Avg RSS Selling Price</t>
  </si>
  <si>
    <t>RSS Rp28.865/Kg (2022)</t>
  </si>
  <si>
    <t>Pendapatan Palm Oil 1.416.078 (juta)</t>
  </si>
  <si>
    <t>Rubber 752.501 (juta) (2022)</t>
  </si>
  <si>
    <t>Core Region</t>
  </si>
  <si>
    <t>South Sumatra (Musi Banyuasin)</t>
  </si>
  <si>
    <t>Desa Sugiwaras, Kecamatan Babat Toman, Musi Banyuasin, Sumatera Selatan</t>
  </si>
  <si>
    <t>Best Listed Company Award 2022</t>
  </si>
  <si>
    <t>Investor Awards 2022 - Top Performing Listed Companies</t>
  </si>
  <si>
    <t>Best Listed Company 2022 Awards (Majalah Investor) 26 Juli 2022</t>
  </si>
  <si>
    <t>PNGO_2023_AR.pdf</t>
  </si>
  <si>
    <t>PT Pinago Utama Tbk | Laporan Tahunan 2023</t>
  </si>
  <si>
    <t>IDX: PNGO</t>
  </si>
  <si>
    <t>Wilson Sutantio (177.799.800 lembar saham/shares) 22,76%</t>
  </si>
  <si>
    <t>Hasan Tantri 19.48%</t>
  </si>
  <si>
    <t>Charles Sutantio 17.61%</t>
  </si>
  <si>
    <t>Peter Unggul Sutantio 15.27%</t>
  </si>
  <si>
    <t>Masyarakat 24.88%</t>
  </si>
  <si>
    <t>Penjualan 2.037.284 (juta Rupiah)</t>
  </si>
  <si>
    <t>Beban Pokok Penjualan 1.534.385</t>
  </si>
  <si>
    <t>Laba Kotor 502.900</t>
  </si>
  <si>
    <t>Beban Usaha 211.887</t>
  </si>
  <si>
    <t>Laba Usaha 291.013</t>
  </si>
  <si>
    <t>Laba Sebelum Beban Pajak 250.391</t>
  </si>
  <si>
    <t>Laba Neto Tahun Berjalan 191.664</t>
  </si>
  <si>
    <t>Pemilik Entitas Induk 191.350</t>
  </si>
  <si>
    <t>Jumlah Aset 1.489 (miliar)</t>
  </si>
  <si>
    <t>Aset Lancar 340.965 (juta)</t>
  </si>
  <si>
    <t>Aset Tidak Lancar 1.148.184 (juta)</t>
  </si>
  <si>
    <t>Total Liabilitas 692.307 (juta)</t>
  </si>
  <si>
    <t>Liabilitas Jangka Pendek 272.538 (juta)</t>
  </si>
  <si>
    <t>Liabilitas Jangka Panjang 419.769 (juta)</t>
  </si>
  <si>
    <t>Total Ekuitas 796.842 (juta)</t>
  </si>
  <si>
    <t>Kas dan setara kas 28.709.256.855</t>
  </si>
  <si>
    <t>Utang bank jangka pendek 99.100.000.000</t>
  </si>
  <si>
    <t>Utang bank (LT) 345.684.282.633</t>
  </si>
  <si>
    <t>Calculated: 99.10+90.83+345.68 = 535.62 bn</t>
  </si>
  <si>
    <t>Piutang usaha 53.321 + 7.947 = 61.27 bn</t>
  </si>
  <si>
    <t>Persediaan – bersih 160.415.519.389</t>
  </si>
  <si>
    <t>Arus Kas dari Aktivitas Operasi 363.825 (juta)</t>
  </si>
  <si>
    <t>Arus Kas dari Aktivitas Investasi (152.915)</t>
  </si>
  <si>
    <t>Arus Kas dari Aktivitas Pendanaan (254.397)</t>
  </si>
  <si>
    <t>Capex (approx CFI)</t>
  </si>
  <si>
    <t>Investasi Rp152.915 juta (net cash outflow)</t>
  </si>
  <si>
    <t>Laba Saham 245 (2023, Rp penuh)</t>
  </si>
  <si>
    <t>Kuarter IV 781.250.000 1.800 1.345 1.400 2.019.500</t>
  </si>
  <si>
    <t>Final DPS (FY2022 paid 2023)</t>
  </si>
  <si>
    <t>Dividen Final Tunai Rp46.875.000.000 atau Rp60/saham</t>
  </si>
  <si>
    <t>Interim DPS (FY2023)</t>
  </si>
  <si>
    <t>Dividen Tunai Interim Rp54.687.500.000 atau Rp70/saham</t>
  </si>
  <si>
    <t>Rasio Liabilitas Terhadap Ekuitas 86,88%</t>
  </si>
  <si>
    <t>Laba Bersih Terhadap Aset 12,87%</t>
  </si>
  <si>
    <t>Laba Bersih Terhadap Ekuitas 24,05%</t>
  </si>
  <si>
    <t>Rasio Lancar 125,11%</t>
  </si>
  <si>
    <t>Sumatra Selatan 11.183 81 2.651 19</t>
  </si>
  <si>
    <t>Belum Menghasilkan 2.651 19</t>
  </si>
  <si>
    <t>TM 1 - TM 4 1.064</t>
  </si>
  <si>
    <t>TM 5 - TM 14 8.229</t>
  </si>
  <si>
    <t>&gt; TM 14 1.890</t>
  </si>
  <si>
    <t>Sumatra Selatan 2.895 74 995 26 (rubber)</t>
  </si>
  <si>
    <t>Belum Menghasilkan 995 (rubber)</t>
  </si>
  <si>
    <t>1 (satu) pabrik pengolahan kelapa sawit</t>
  </si>
  <si>
    <t>total kapasitas 120 ton Tbs per jam</t>
  </si>
  <si>
    <t>Used Capacity of 83.5 Tons Tbs / Hour</t>
  </si>
  <si>
    <t>kapasitas terpakai 2.653 ton/bulan</t>
  </si>
  <si>
    <t>kapasitas terpasang 600 ton per bulan</t>
  </si>
  <si>
    <t>kapasitas terpakai 110 ton/bulan</t>
  </si>
  <si>
    <t>Produksi Inti 179.913 (Ton) 2023</t>
  </si>
  <si>
    <t>Pembelian Plasma 30.967 (Ton) 2023</t>
  </si>
  <si>
    <t>Pembelian Pihak Ketiga 227.544 (Ton)</t>
  </si>
  <si>
    <t>Total 438.424 (Ton) 2023</t>
  </si>
  <si>
    <t>CPO 99.766 (Ton) 2023</t>
  </si>
  <si>
    <t>PK 19.947 (Ton) 2023</t>
  </si>
  <si>
    <t>CRUMB RUBBER 31.841 (TON) 2023</t>
  </si>
  <si>
    <t>RIBBED SMOKE SHEET 1.320 (TON) 2023</t>
  </si>
  <si>
    <t>Produksi Inti Latek 1.315</t>
  </si>
  <si>
    <t>Produksi Inti Cup Lump 919</t>
  </si>
  <si>
    <t>Pembelian Karet Rakyat 28.167</t>
  </si>
  <si>
    <t>Volume Penjualan CPO 107.812 Ton</t>
  </si>
  <si>
    <t>Volume Penjualan Kernel 20.384 Ton</t>
  </si>
  <si>
    <t>Sales of Crumb Rubber (SIR 20): 33.030 Ton</t>
  </si>
  <si>
    <t>Volume Penjualan RSS : 1.290 Ton</t>
  </si>
  <si>
    <t>harga Jual rata-rata Rp.11.096/Kg</t>
  </si>
  <si>
    <t>harga jual rata-rata 5.315/Kg</t>
  </si>
  <si>
    <t>Avg Crumb Rubber Selling Price</t>
  </si>
  <si>
    <t>Harga Jual rata-rata Rp.21.066/Kg</t>
  </si>
  <si>
    <t>harga jual rata-rata Rp.27.100/Kg</t>
  </si>
  <si>
    <t>Pendapatan Palm Oil 1.481.504 (juta)</t>
  </si>
  <si>
    <t>Pendapatan Rubber 730.756 (juta)</t>
  </si>
  <si>
    <t>Compost Revenue</t>
  </si>
  <si>
    <t>Pendapatan Kompos 14.852 (juta)</t>
  </si>
  <si>
    <t>Desa Sugiwaras, Kec. Babat Toman, Musi Banyuasin, Sumatera Selatan</t>
  </si>
  <si>
    <t>PNGO_2024_AR.pdf</t>
  </si>
  <si>
    <t>PT Pinago Utama Tbk | Laporan Tahunan 2024</t>
  </si>
  <si>
    <t>Kode Saham - PNGO</t>
  </si>
  <si>
    <t>Tanggal Pencatatan - 31 Agustus 2020</t>
  </si>
  <si>
    <t>Wilson Sutantio 177.799.800 22,76%</t>
  </si>
  <si>
    <t>Hasan Tantri 152.172.200 19,48%</t>
  </si>
  <si>
    <t>Peter Unggul Sutantio 119.286.800 15,27%</t>
  </si>
  <si>
    <t>Masyarakat 194.394.500 24,88%</t>
  </si>
  <si>
    <t>Nama Perusahaan PT Sriwijaya Nusantara Sejahtera (SNS), Kepemilikan Saham PT Pinago Utama Tbk 99%</t>
  </si>
  <si>
    <t>PT Hamparan Mutiara Hijau (HMH), Kepemilikan 99%</t>
  </si>
  <si>
    <t>PT Musi Andalan Sumatera (MAS), Kepemilikan 99%</t>
  </si>
  <si>
    <t>Penjualan 2.042.869 (juta Rupiah)</t>
  </si>
  <si>
    <t>Beban Pokok Penjualan (1.505.536)</t>
  </si>
  <si>
    <t>Laba Kotor 537.333</t>
  </si>
  <si>
    <t>Beban Usaha 204.831</t>
  </si>
  <si>
    <t>Laba Usaha 332.502</t>
  </si>
  <si>
    <t>Laba Sebelum Beban Pajak 290.387</t>
  </si>
  <si>
    <t>Laba Neto Tahun Berjalan 220.955</t>
  </si>
  <si>
    <t>Pemilik Entitas Induk 220.332</t>
  </si>
  <si>
    <t>Jumlah Aset 1.764 (miliar Rupiah); Rp1.763.677.465.138 per balance sheet</t>
  </si>
  <si>
    <t>Aset Lancar 501.647 (juta) = Rp501.65 miliar</t>
  </si>
  <si>
    <t>Aset Tidak Lancar 1.262.030 (juta) = Rp1,262.03 miliar</t>
  </si>
  <si>
    <t>Total Liabilitas 797.870 (juta) = Rp797.87 miliar</t>
  </si>
  <si>
    <t>Liabilitas Jangka Pendek 488.569 (juta)</t>
  </si>
  <si>
    <t>Liabilitas Jangka Panjang 309.301 (juta)</t>
  </si>
  <si>
    <t>Total Ekuitas 965.807 (juta)</t>
  </si>
  <si>
    <t>Kas dan setara kas 22.381.348.476</t>
  </si>
  <si>
    <t>Utang bank jangka pendek 270.478.360.000</t>
  </si>
  <si>
    <t>Current Portion Long-term Bank Loans</t>
  </si>
  <si>
    <t>Utang bank (current maturity) 110.833.333.333</t>
  </si>
  <si>
    <t>Utang bank 208.424.079.547</t>
  </si>
  <si>
    <t>Calculated: 270.48+110.83+208.42 = 589.74 bn</t>
  </si>
  <si>
    <t>Net Debt (reported)</t>
  </si>
  <si>
    <t>Utang neto 775.489.005.456 (Total Liab - Cash)</t>
  </si>
  <si>
    <t>Piutang usaha Pihak ketiga 36.416 + Pihak berelasi 7.323 = 43.74 bn</t>
  </si>
  <si>
    <t>Persediaan – bersih 309.253.026.214</t>
  </si>
  <si>
    <t>Arus Kas dari Aktivitas Operasi 156.998 (juta)</t>
  </si>
  <si>
    <t>Arus Kas dari Aktivitas Investasi (140.432) (juta)</t>
  </si>
  <si>
    <t>Arus Kas dari Aktivitas Pendanaan (22.894) (juta)</t>
  </si>
  <si>
    <t>Belanja barang modal total Rp156.996 juta: Aset Tetap 72.670 + Tanaman Produktif 84.326</t>
  </si>
  <si>
    <t>Laba Saham 282 245 222 (2024, 2023, 2022)</t>
  </si>
  <si>
    <t>jumlah saham Perseroan... 781.250.000</t>
  </si>
  <si>
    <t>Kuarter IV 781.250.000 1.965 1.600 1.610</t>
  </si>
  <si>
    <t>Kuarter IV ... Kapitalisasi 1.257.812.500.000</t>
  </si>
  <si>
    <t>Final DPS (FY2023 paid 2024)</t>
  </si>
  <si>
    <t>dividen final tunai sebesar Rp.40.625.000.000 / 781,250,000 = Rp52/share</t>
  </si>
  <si>
    <t>Interim DPS (FY2024)</t>
  </si>
  <si>
    <t>Dividen Tunai Interim sebesar Rp.40,- per lembar saham</t>
  </si>
  <si>
    <t>DER, current ratio, dan interest coverage ratio Perseroan tercatat masing-masing sebesar 0,83, 1,03, dan 1,78</t>
  </si>
  <si>
    <t>current ratio ... 1,03</t>
  </si>
  <si>
    <t>Laba Bersih Terhadap Aset 12,53%</t>
  </si>
  <si>
    <t>Laba Bersih Terhadap Ekuitas 22,88%</t>
  </si>
  <si>
    <t>Total Planted Palm Area</t>
  </si>
  <si>
    <t>Total Lahan Sawit Tertanam ha ... Realisasi 2024 15.232</t>
  </si>
  <si>
    <t>Mature Palm Area</t>
  </si>
  <si>
    <t>Sumatra Selatan 11.485 75 3.747 25; Total Mature 11.485</t>
  </si>
  <si>
    <t>Immature Palm Area</t>
  </si>
  <si>
    <t>Belum Menghasilkan 3.747 25</t>
  </si>
  <si>
    <t>TM 1 - TM 4 1.084</t>
  </si>
  <si>
    <t>TM 5 - TM 14 8.255</t>
  </si>
  <si>
    <t>&gt; TM 14 2.146</t>
  </si>
  <si>
    <t>Sumatra Selatan 2.806 74 995 26 (Rubber)</t>
  </si>
  <si>
    <t>Belum Menghasilkan 995 26 (Rubber)</t>
  </si>
  <si>
    <t>Perseroan telah memiliki satu (1) pabrik pengolahan kelapa sawit</t>
  </si>
  <si>
    <t>Kapasitas Terpakai rata-rata 83,5 Ton Tbs /Jam</t>
  </si>
  <si>
    <t>memiliki 1 (satu) pabrik Crumb Rubber</t>
  </si>
  <si>
    <t>Pabrik Ribbed Smoke Sheet dengan kapasitas terpasang 600 ton per bulan</t>
  </si>
  <si>
    <t>Produksi Inti 155.246 (Ton) 2024</t>
  </si>
  <si>
    <t>Pembelian Plasma 44.550 (Ton) 2024</t>
  </si>
  <si>
    <t>Pembelian Pihak Ketiga 225.533 (Ton)</t>
  </si>
  <si>
    <t>Total 425.329 (Ton); text says 425,023 processed</t>
  </si>
  <si>
    <t>CPO 95.507 (Ton) 2024</t>
  </si>
  <si>
    <t>PK 19.025 (Ton) 2024</t>
  </si>
  <si>
    <t>Crumb Rubber 23.733 (Ton) 2024</t>
  </si>
  <si>
    <t>Ribbed Smoke Sheet 1.608 (Ton) 2024</t>
  </si>
  <si>
    <t>Produksi Inti Lateks 1.640</t>
  </si>
  <si>
    <t>Produksi Inti Cup Lump 1.011</t>
  </si>
  <si>
    <t>Pembelian Karet Rakyat 23.994</t>
  </si>
  <si>
    <t>Volume Penjualan CPO 90.928 Ton</t>
  </si>
  <si>
    <t>Volume Penjualan Kernel 18.615 Ton</t>
  </si>
  <si>
    <t>Volume Penjualan Crumb Rubber (SIR 20) : 22.751 Ton</t>
  </si>
  <si>
    <t>Volume Penjualan RSS : 2.133 Ton</t>
  </si>
  <si>
    <t>harga Jual rata-rata Rp12.978/Kg</t>
  </si>
  <si>
    <t>harga jual rata-rata Rp8.208/Kg</t>
  </si>
  <si>
    <t>Harga Jual rata-rata Rp27.700/Kg</t>
  </si>
  <si>
    <t>harga jual rata-rata Rp36.124/Kg</t>
  </si>
  <si>
    <t>Nucleus FFB Yield (Target 2024)</t>
  </si>
  <si>
    <t>Yied TBS Inti-Ton/Ha Ton/ha 21,65 13,52 20 (Target, Actual, Projection)</t>
  </si>
  <si>
    <t>Pendapatan Palm Oil 1.550.236 (juta)</t>
  </si>
  <si>
    <t>Pendapatan Rubber 707.249 (juta)</t>
  </si>
  <si>
    <t>Compost (ImproBio) Revenue</t>
  </si>
  <si>
    <t>Pendapatan Kompos 13.860 (juta)</t>
  </si>
  <si>
    <t>ISPO certifications listed: PNGO Unit Kebun Inti, PT SNS, KUD Sejahtera Plasma</t>
  </si>
  <si>
    <t>Desa Sugiwaras, Kec. Babat Toman, Kab. Musi Banyuasin, Sumatera Selatan</t>
  </si>
  <si>
    <t>Total Rainfall 2024</t>
  </si>
  <si>
    <t>mm</t>
  </si>
  <si>
    <t>TOTAL 155 2.031 mm</t>
  </si>
  <si>
    <t>PT Pulau Subur Tbk</t>
  </si>
  <si>
    <t>PTPS_2023_AR.pdf</t>
  </si>
  <si>
    <t>PT PULAU SUBUR Tbk Laporan Tahunan &amp; Laporan Keberlanjutan 2023</t>
  </si>
  <si>
    <t>Tahun Pendirian 01 Oktober 1980</t>
  </si>
  <si>
    <t>9 October 2023</t>
  </si>
  <si>
    <t>Saham Perseroan mulai tercatat di Bursa Efek Indonesia pada tanggal 09 Oktober 2023</t>
  </si>
  <si>
    <t>Stock Code</t>
  </si>
  <si>
    <t>dengan kode saham PTPS</t>
  </si>
  <si>
    <t>IPO Offer Price</t>
  </si>
  <si>
    <t>harga penawaran dari saham Perseroan sebesar Rp198</t>
  </si>
  <si>
    <t>Controlling Shareholder (post-IPO)</t>
  </si>
  <si>
    <t>PT Sekawan Kontrindo 78.54%</t>
  </si>
  <si>
    <t>PT Sekawan Kontrindo 1.702.400.000 ... 78,54</t>
  </si>
  <si>
    <t>Masyarakat/ Publik 450.000.000 9.000.000.000 20,76</t>
  </si>
  <si>
    <t>Associate Entity</t>
  </si>
  <si>
    <t>PT Sumber Enim Alam Lestari</t>
  </si>
  <si>
    <t>penyertaan modal di PT Sumber Enim Alam Lestari yang memiliki lahan sekitar 1000 HA dengan luas tertanam 300 ha dengan usia tanam 4-5 taun</t>
  </si>
  <si>
    <t>Total Karyawan Orang/Persons 250 248 199</t>
  </si>
  <si>
    <t>Penjualan 61.656.997.875 64.298.584.335 50.285.780.655</t>
  </si>
  <si>
    <t>Beban Pokok Penjualan (27.153.668.835)</t>
  </si>
  <si>
    <t>Laba Bruto 34.503.329.040 36.384.649.274</t>
  </si>
  <si>
    <t>Beban Usaha (3.508.498.005) (2.686.272.927)</t>
  </si>
  <si>
    <t>Biological Asset Fair Value Gain</t>
  </si>
  <si>
    <t>Keuntungan perubahan nilai wajar-bersih asset biologis 1.782.400.000</t>
  </si>
  <si>
    <t>Laba Usaha 32.777.231.035 34.722.376.347</t>
  </si>
  <si>
    <t>Laba Sebelum Pajak Penghasilan 32.690.488.368</t>
  </si>
  <si>
    <t>Jumlah laba periode berjalan 26.186.877.836 27.669.000.185</t>
  </si>
  <si>
    <t>EBITDA/Sales</t>
  </si>
  <si>
    <t>EBITDA terhadap Penjualan 57,32%</t>
  </si>
  <si>
    <t>Jumlah Beban Pajak Penghasilan (6.503.610.532)</t>
  </si>
  <si>
    <t>JUMLAH ASET 168.911.551.579 73.063.082.134 91.603.531.697</t>
  </si>
  <si>
    <t>Jumlah Aset Lancar 100.317.680.733 15.589.762.940</t>
  </si>
  <si>
    <t>Jumlah Aset Tidak Lancar 68.593.870.846</t>
  </si>
  <si>
    <t>Kas dan kas di bank 74.977.433.758 3.401.161.559</t>
  </si>
  <si>
    <t>Short-term Investment</t>
  </si>
  <si>
    <t>Investasi jangka pendek 15.000.000.000</t>
  </si>
  <si>
    <t>Piutang usaha dari pihak ketiga 169.315.594</t>
  </si>
  <si>
    <t>Persediaan 1.328.091.500</t>
  </si>
  <si>
    <t>Aset biologis 8.616.400.000 6.834.000.000</t>
  </si>
  <si>
    <t>Aset tetap - bersih 47.787.512.305 37.342.438.289</t>
  </si>
  <si>
    <t>Investment in Associate</t>
  </si>
  <si>
    <t>Investasi pada entitas asosiasi 9.586.781.780</t>
  </si>
  <si>
    <t>JUMLAH LIABILITAS 6.175.450.962 19.043.277.939</t>
  </si>
  <si>
    <t>Jumlah Liabilitas Jangka Pendek 5.756.692.657</t>
  </si>
  <si>
    <t>Jumlah Liabilitas Jangka Panjang 418.758.305 2.353.867.152</t>
  </si>
  <si>
    <t>Bank Loan - Current Maturity</t>
  </si>
  <si>
    <t>Utang bank jangka panjang yang jatuh tempo dalam satu tahun 1.878.781.092</t>
  </si>
  <si>
    <t>Jumlah Ekuitas 162.736.100.617 54.019.804.195</t>
  </si>
  <si>
    <t>Modal ditempatkan dan disetor penuh 43.350.000.000</t>
  </si>
  <si>
    <t>Tambahan modal disetor - bersih 81.255.360.884</t>
  </si>
  <si>
    <t>Retained Earnings Appropriated</t>
  </si>
  <si>
    <t>Dicadangkan 5.670.000.000</t>
  </si>
  <si>
    <t>Kas Neto Digunakan Untuk Aktivitas Operasi 17.257.177.255 31.967.738.836</t>
  </si>
  <si>
    <t>Kas Neto Digunakan Untuk Aktivitas Investasi (26.226.643.476)</t>
  </si>
  <si>
    <t>Kas Neto Digunakan Untuk Aktivitas Pendanaan 80.545.738.420</t>
  </si>
  <si>
    <t>Capex - Fixed Asset Additions (inferred)</t>
  </si>
  <si>
    <t>Fixed assets increased from 37.34 to 47.79 bn (2023 addition ~10.45 bn)</t>
  </si>
  <si>
    <t>Aset Lancar terhadap Liabilitas Jangka Pendek 17,43 0,93</t>
  </si>
  <si>
    <t>Gearing Ratio (Liab/Equity)</t>
  </si>
  <si>
    <t>Rasio Pengungkit (%) 3,79 35,25</t>
  </si>
  <si>
    <t>ICR Ratio</t>
  </si>
  <si>
    <t>Rasio ICR 156x 74,28x</t>
  </si>
  <si>
    <t>Jumlah Modal Ditempatkan dan Disetor Penuh 2.167.500.000</t>
  </si>
  <si>
    <t>Desember 199 126 152</t>
  </si>
  <si>
    <t>Market Cap (Dec 2023)</t>
  </si>
  <si>
    <t>Desember ... 329.460.000.000</t>
  </si>
  <si>
    <t>IPO Gross Proceeds</t>
  </si>
  <si>
    <t>09 Oktober 2023 Rp89.100.000.000</t>
  </si>
  <si>
    <t>IPO Cost</t>
  </si>
  <si>
    <t>Biaya IPO Rp3.968.297.412</t>
  </si>
  <si>
    <t>IPO Net Proceeds</t>
  </si>
  <si>
    <t>Dana Bersih IPO Rp85.131.702.588</t>
  </si>
  <si>
    <t>IPO Proceeds Used (at end-2023)</t>
  </si>
  <si>
    <t>realisasi penggunaan dana IPO mencapai Rp6.384.188.640</t>
  </si>
  <si>
    <t>Dividend Paid in 2023 (for FY2022)</t>
  </si>
  <si>
    <t>Tahun Buku 2022 Tunai Rp6.000.000.000 3-4 April 2023</t>
  </si>
  <si>
    <t>Interim Dividend Declared 2023</t>
  </si>
  <si>
    <t>Tahun Buku 2023 Tunai Rp2.601.000.000 29 Desember 2023</t>
  </si>
  <si>
    <t>Total Location Permit Area</t>
  </si>
  <si>
    <t>Total luas izin lokasi seluas 1.180,39 Ha</t>
  </si>
  <si>
    <t>Total HGU Area</t>
  </si>
  <si>
    <t>Total keseluruhan luas HGU yang dimiliki Perseroan adalah seluas 882,58 Ha</t>
  </si>
  <si>
    <t>telah tertanam kelapa sawit seluas 1.090,64 Ha</t>
  </si>
  <si>
    <t>Banyuasin Operational Area</t>
  </si>
  <si>
    <t>memenuhi izin lokasi sebesar 600,00 Ha</t>
  </si>
  <si>
    <t>OKI Operational Area</t>
  </si>
  <si>
    <t>memenuhi izin lokasi sebesar 580,39 Ha</t>
  </si>
  <si>
    <t>Plantation Locations</t>
  </si>
  <si>
    <t>Desa Gelebak Dalam (Rambutan, Banyuasin) &amp; Desa Sukadarma (Jejawi, OKI), South Sumatra</t>
  </si>
  <si>
    <t>Gelebak Dalam, Kecamatan Rambutan, Kabupaten Banyuasin dan Desa Sukadarma, Kecamatan Jejawi, Kabupaten Ogan Komering Ilir (OKI), Palembang, Sumatera Selatan</t>
  </si>
  <si>
    <t>FFB Production Volume</t>
  </si>
  <si>
    <t>Volume (Ton) 26.037 30.059</t>
  </si>
  <si>
    <t>Penjualan Ton 25.476 26.894 20.594</t>
  </si>
  <si>
    <t>FFB Buyers</t>
  </si>
  <si>
    <t>PT GAS, PT DSAP and others</t>
  </si>
  <si>
    <t>menjual TBS kepada PT GAS DSAP dan lainnya</t>
  </si>
  <si>
    <t>Business Activity Code</t>
  </si>
  <si>
    <t>KBLI 01262</t>
  </si>
  <si>
    <t>Kode KBLI 01262, yaitu aktivitas Perkebunan Buah Kelapa Sawit</t>
  </si>
  <si>
    <t>Local Suppliers</t>
  </si>
  <si>
    <t>Pemasok Lokal 43 54 41</t>
  </si>
  <si>
    <t>National Suppliers</t>
  </si>
  <si>
    <t>Pemasok Nasional 3 2</t>
  </si>
  <si>
    <t>Series I Warrants Issued</t>
  </si>
  <si>
    <t>sebanyak 225.000.000 Waran Seri I</t>
  </si>
  <si>
    <t>Warrant Exercise Price Range</t>
  </si>
  <si>
    <t>Rp218-Rp226</t>
  </si>
  <si>
    <t>kisaran Harga Pelaksanaan sebesar Rp218,- – Rp226,-</t>
  </si>
  <si>
    <t>Maximum Warrant Proceeds</t>
  </si>
  <si>
    <t>Total dana dari Waran Seri I adalah sebanyak-banyaknya Rp50.850.000.000</t>
  </si>
  <si>
    <t>Electrical Energy Consumption</t>
  </si>
  <si>
    <t>Energi Listrik Kwh 230.898 341.567 205.961</t>
  </si>
  <si>
    <t>Waste Generated</t>
  </si>
  <si>
    <t>Jumlah Limbah Kg 600 592 724,73</t>
  </si>
  <si>
    <t>Female Employees</t>
  </si>
  <si>
    <t>Total Karyawan Wanita 7 6 6</t>
  </si>
  <si>
    <t>CSR Programs Count</t>
  </si>
  <si>
    <t>programs</t>
  </si>
  <si>
    <t>Kegiatan Program Pengembangan Masyarakat (PPM) 37 16</t>
  </si>
  <si>
    <t>CSR Expenditure</t>
  </si>
  <si>
    <t>Biaya PPM 122.621.900 61.770.000</t>
  </si>
  <si>
    <t>Dividend Payout Policy</t>
  </si>
  <si>
    <t>Up to 30% of net profit</t>
  </si>
  <si>
    <t>membayarkan dividen tunai ... maksimal 30% ... atas laba bersih tahun berjalan</t>
  </si>
  <si>
    <t>2024 Revenue Projection</t>
  </si>
  <si>
    <t>Penjualan 63.506.707.811 Sales (2024 Projection)</t>
  </si>
  <si>
    <t>PTPS_2024_AR.pdf</t>
  </si>
  <si>
    <t>Nama Perusahaan PT Pulau Subur Tbk</t>
  </si>
  <si>
    <t>Jl A. Yani No. 12 ABC, 14 Ulu, Seberang Ulu Dua, Palembang</t>
  </si>
  <si>
    <t>Alamat POJK51.C2 Jl A. Yani No. 12 ABC ... Palembang</t>
  </si>
  <si>
    <t>Saham Perseroan mulai tercatat di Bursa Efek Indonesia pada tanggal 09 Oktober 2023, dengan kode saham PTPS</t>
  </si>
  <si>
    <t>PT Sekawan Kontrindo 1.702.400.000 34.048.000.000 78,54</t>
  </si>
  <si>
    <t>Masyarakat/ Publik 450.000.000 9.000.297.120 20,76</t>
  </si>
  <si>
    <t>Perseroan tidak memiliki Entitas Anak, namun secara struktural memiliki satu Entitas Asosiasi, yaitu PT Sumber Enim Alam Lestari</t>
  </si>
  <si>
    <t>Total Karyawan1) 267 250 248</t>
  </si>
  <si>
    <t>Penjualan 63.579.851.245 61.656.997.875 64.298.584.335</t>
  </si>
  <si>
    <t>Beban Pokok Penjualan (27.226.939.830)</t>
  </si>
  <si>
    <t>Laba Bruto 36.352.911.415 34.503.329.040</t>
  </si>
  <si>
    <t>Beban Usaha (5.692.135.519) (3.508.498.005)</t>
  </si>
  <si>
    <t>Keuntungan perubahan nilai wajar-bersih asset biologis 2.296.600.000</t>
  </si>
  <si>
    <t>Laba Usaha 32.957.375.896 32.777.231.035</t>
  </si>
  <si>
    <t>Laba Sebelum Pajak Penghasilan 33.573.861.503</t>
  </si>
  <si>
    <t>Jumlah laba periode berjalan 27.131.155.198 26.186.877.836</t>
  </si>
  <si>
    <t>EBITDA/Sales Ratio</t>
  </si>
  <si>
    <t>EBITDA terhadap Penjualan 58,00 57,32 57,39</t>
  </si>
  <si>
    <t>JUMLAH ASET 190.556.840.023 168.911.551.579 73.063.082.134</t>
  </si>
  <si>
    <t>Jumlah Aset Lancar 77.361.721.297 100.317.680.733</t>
  </si>
  <si>
    <t>Jumlah Aset Tidak Lancar 113.195.118.726 68.593.870.846</t>
  </si>
  <si>
    <t>Kas dan kas di bank 64.211.343.037 74.977.433.758</t>
  </si>
  <si>
    <t>Investasi jangka pendek - 15.000.000.000 (2024 zero vs 2023 Rp15 bn)</t>
  </si>
  <si>
    <t>Piutang usaha dari pihak ketiga 962.433.024 169.315.594</t>
  </si>
  <si>
    <t>Persediaan 1.088.308.123 1.328.091.500</t>
  </si>
  <si>
    <t>Biological Assets (Prepaid/Advance)</t>
  </si>
  <si>
    <t>Biaya dibayar dimuka dan uang muka 10.913.000.000 8.616.400.000</t>
  </si>
  <si>
    <t>Aset tetap - bersih 91.766.698.799 47.787.512.305</t>
  </si>
  <si>
    <t>Investasi pada entitas asosiasi 9.394.891.181</t>
  </si>
  <si>
    <t>Mature Plantations - Net</t>
  </si>
  <si>
    <t>Tanaman telah menghasilkan 2.600.258.896 1.949.903.391</t>
  </si>
  <si>
    <t>Tanaman belum menghasilkan 1.797.212.862 2.150.270.886</t>
  </si>
  <si>
    <t>JUMLAH LIABILITAS 5.411.730.963 6.175.450.962</t>
  </si>
  <si>
    <t>Jumlah Liabilitas Jangka Pendek 3.966.243.581 5.756.692.657</t>
  </si>
  <si>
    <t>Jumlah Liabilitas Jangka Panjang 1.445.487.382 418.758.305</t>
  </si>
  <si>
    <t>Lease Liabilities (LT)</t>
  </si>
  <si>
    <t>Liabilitas sewa 1.005.609.953</t>
  </si>
  <si>
    <t>Bank Loan Current Maturities</t>
  </si>
  <si>
    <t>Utang bank - 1.878.781.092 (fully repaid in 2024)</t>
  </si>
  <si>
    <t>Jumlah Ekuitas 185.145.109.060 162.736.100.617</t>
  </si>
  <si>
    <t>Modal ditempatkan dan disetor penuh 43.350.297.120 (2,167,514,856 shares @Rp20)</t>
  </si>
  <si>
    <t>Tambahan modal disetor - bersih 81.258.302.372</t>
  </si>
  <si>
    <t>Dicadangkan 8.670.000.000</t>
  </si>
  <si>
    <t>Kas Neto Diperoleh Dari Aktivitas Operasi 29.217.195.569 17.257.177.255</t>
  </si>
  <si>
    <t>Kas Neto Diperoleh Dari Aktivitas Investasi (33.129.174.278)</t>
  </si>
  <si>
    <t>Kas Neto Diperoleh Dari Aktivitas Pendanaan (6.854.112.012)</t>
  </si>
  <si>
    <t>Capex - Fixed Asset Additions</t>
  </si>
  <si>
    <t>perolehan aset tetap berupa investasi Pabrik Kelapa Sawit; fixed assets increased from 47.79 to 91.77 bn</t>
  </si>
  <si>
    <t>Dividend Paid in 2024</t>
  </si>
  <si>
    <t>pembayaran dividen tunai dilakukan pada tanggal 10 Juli 2024, dengan nilai total sebesar Rp4.768.521.528</t>
  </si>
  <si>
    <t>Final DPS (for FY2023, paid 2024)</t>
  </si>
  <si>
    <t>Rp4,768,521,528 / 2,167,500,000 shares</t>
  </si>
  <si>
    <t>Shares Outstanding (end-2024)</t>
  </si>
  <si>
    <t>Jumlah Modal Ditempatkan dan Disetor Penuh 2.167.514.856</t>
  </si>
  <si>
    <t>Triwulan 4 118 75 77</t>
  </si>
  <si>
    <t>Triwulan 4 ... 166.898.643.912</t>
  </si>
  <si>
    <t>IPO Proceeds Gross</t>
  </si>
  <si>
    <t>9 oktober 2023 89.100.000.000</t>
  </si>
  <si>
    <t>Dana Bersih IPO 85.131.702.588</t>
  </si>
  <si>
    <t>IPO Proceeds Used as of 31 Dec 2024</t>
  </si>
  <si>
    <t>realisasi penggunaan dana IPO mencapai Rp 46.613.144.000</t>
  </si>
  <si>
    <t>Aset Lancar terhadap Liabilitas Jangka Pendek 19,51 17,43</t>
  </si>
  <si>
    <t>Liablitas terhadap Ekuitas 0,03 0,04; detailed 2,92% vs 3,79%</t>
  </si>
  <si>
    <t>Rasio ICR 994,52 156 74,28</t>
  </si>
  <si>
    <t>Jumlah Beban Pajak Penghasilan (6.442.706.305)</t>
  </si>
  <si>
    <t>saat ini telah tertanam kelapa sawit seluas 1.090,64 Ha</t>
  </si>
  <si>
    <t>perkebunan Kelapa Sawit pada 2 lokasi yaitu : Desa Gelebak Dalam ... dan Desa Sukadarma</t>
  </si>
  <si>
    <t>Palm Oil Mill Under Construction Capacity</t>
  </si>
  <si>
    <t>pembangunan pabrik pengolahan kelapa sawit (PKS) kapasitas 10 ton per jam</t>
  </si>
  <si>
    <t>Palm Oil Mill Construction Progress</t>
  </si>
  <si>
    <t>proses pembangunan telah mulai di kerjakan sejak bulan MARET 2024, secara progress sudah mencapai 83%</t>
  </si>
  <si>
    <t>Palm Oil Mill Target Operational</t>
  </si>
  <si>
    <t>Q1 2026</t>
  </si>
  <si>
    <t>mulai beroperasi pada kwartal pertama tahun 2026</t>
  </si>
  <si>
    <t>Volume (Ton) 22.461 26.037 (13,73)</t>
  </si>
  <si>
    <t>Penjualan Ton 21.362 25.476 26.894</t>
  </si>
  <si>
    <t>FFB Production YoY Growth</t>
  </si>
  <si>
    <t>Average FFB Price Increase</t>
  </si>
  <si>
    <t>kenaikan harga jual rata-rata TBS sebesar 15.8%</t>
  </si>
  <si>
    <t>PT GAS, PT DSAP (and others)</t>
  </si>
  <si>
    <t>perseroan menjual TBS kepada PT GAS, PT DSAP serta beberapa pihak lainnya</t>
  </si>
  <si>
    <t>Pemasok Lokal Mitra Usaha 43 43 54</t>
  </si>
  <si>
    <t>Pemasok Nasional Mitra Usaha 3 3 2</t>
  </si>
  <si>
    <t>Average Receivables Collection Days</t>
  </si>
  <si>
    <t>rata-rata lama penagihan piutang Perseroan di tahun 2024, yaitu selama 14 hari</t>
  </si>
  <si>
    <t>Energi Listrik Kwh 276.017 230.898 341.567</t>
  </si>
  <si>
    <t>Water Use</t>
  </si>
  <si>
    <t>L</t>
  </si>
  <si>
    <t>Energi Air Liter 2.853,54 2.652,46</t>
  </si>
  <si>
    <t>Jumlah Limbah Kg 1.920 600 592</t>
  </si>
  <si>
    <t>Total Karyawan Wanita 7 7 6</t>
  </si>
  <si>
    <t>Industry Association Membership</t>
  </si>
  <si>
    <t>None</t>
  </si>
  <si>
    <t>Sepanjang tahun 2024, Perseroan belum menjadi anggota dalam asosiasi industri</t>
  </si>
  <si>
    <t>manajemen Perseroan berencana untuk membagikan dividen tunai kepada pemegang saham hingga maksimal 30% dari laba bersih tahun berjalan</t>
  </si>
  <si>
    <t>2025 Revenue Projection</t>
  </si>
  <si>
    <t>Penjualan 66,758,843,807 (2025 Projection)</t>
  </si>
  <si>
    <t>2025 Production Target</t>
  </si>
  <si>
    <t>Kapasitas Produksi (Ton) 24,375 (2025 Projection)</t>
  </si>
  <si>
    <t>PT Sampoerna Agro Tbk</t>
  </si>
  <si>
    <t>SGRO_2022_AR.pdf</t>
  </si>
  <si>
    <t>Stock Ticker</t>
  </si>
  <si>
    <t>Jalan Basuki Rahmat No. 788, Palembang, Sumatera Selatan 30128</t>
  </si>
  <si>
    <t>Palembang, Sumatera Selatan 30128 Indonesia</t>
  </si>
  <si>
    <t>Sampoerna Agri Resources Pte Ltd 69.68%</t>
  </si>
  <si>
    <t>Pemegang saham utama dan pengendali ... adalah Sampoerna Agri Resources Pte Ltd, perusahaan yang berkedudukan di Singapura, dengan kepemilikan saham Perseroan sebanyak 69,68%</t>
  </si>
  <si>
    <t>Putera Sampoerna</t>
  </si>
  <si>
    <t>Pemilik manfaat akhir ... adalah Putera Sampoerna</t>
  </si>
  <si>
    <t>Total 1.818.622.000 100,00% (per 31 Dec 2022, after treasury share redemption Jan 2022 from 1,890,000,000)</t>
  </si>
  <si>
    <t>Masyarakat* 117.089.000 6,44%</t>
  </si>
  <si>
    <t>Foreign vs Domestic Ownership</t>
  </si>
  <si>
    <t>Foreign 78.32% / Domestic 21.68%</t>
  </si>
  <si>
    <t>Total 21,68% 78,32% 100,00%</t>
  </si>
  <si>
    <t>Treasury Share Redemption</t>
  </si>
  <si>
    <t>71,378,000 shares redeemed 18 Jan 2022</t>
  </si>
  <si>
    <t>Penarikan seluruh Saham Treasuri. 18 January 2022. Redemption of all Treasury Shares.</t>
  </si>
  <si>
    <t>Jumlah Karyawan (orang) ... 8.804 (2022)</t>
  </si>
  <si>
    <t>Penjualan ... 5.672 (2022)</t>
  </si>
  <si>
    <t>Laba Bruto ... 1.984 (2022)</t>
  </si>
  <si>
    <t>BEBAN POKOK PENJUALAN (3.688.052)</t>
  </si>
  <si>
    <t>EBITDA (Reported)</t>
  </si>
  <si>
    <t>EBITDA 2.162 (2022)</t>
  </si>
  <si>
    <t>Laba Usaha ... 1.619 (2022)</t>
  </si>
  <si>
    <t>Beban pajak penghasilan, neto (364.596)</t>
  </si>
  <si>
    <t>Net Profit (Total)</t>
  </si>
  <si>
    <t>Total Laba Tahun Berjalan 1.039 (2022)</t>
  </si>
  <si>
    <t>Dapat Diatribusikan kepada Pemilik Entitas Induk 1.050 (2022)</t>
  </si>
  <si>
    <t>Profit Attributable to NCI</t>
  </si>
  <si>
    <t>Non-Controlling Interests (10) (2022)</t>
  </si>
  <si>
    <t>Total Aset ... 10.243 (2022)</t>
  </si>
  <si>
    <t>Total Aset Lancar ... 1.800 (2022)</t>
  </si>
  <si>
    <t>TOTAL ASET TIDAK LANCAR 8.443.090</t>
  </si>
  <si>
    <t>Kas dan setara kas: 258.602 + 276.842 = 535.444</t>
  </si>
  <si>
    <t>Persediaan, neto 689.547</t>
  </si>
  <si>
    <t>Aset biologis 172.620</t>
  </si>
  <si>
    <t>Piutang usaha - pihak ketiga 229.318</t>
  </si>
  <si>
    <t>Piutang plasma 358.166</t>
  </si>
  <si>
    <t>Bearer Plants - Mature</t>
  </si>
  <si>
    <t>Tanaman menghasilkan, neto 2.922.615</t>
  </si>
  <si>
    <t>Bearer Plants - Immature</t>
  </si>
  <si>
    <t>Tanaman belum menghasilkan 2.706.164</t>
  </si>
  <si>
    <t>Aset tetap, neto 1.918.765</t>
  </si>
  <si>
    <t>Total Liabilitas 5.013 (2022)</t>
  </si>
  <si>
    <t>Total Liabilitas Jangka Pendek ... 1.361 (2022)</t>
  </si>
  <si>
    <t>TOTAL LIABILITAS JANGKA PANJANG 3.652.318</t>
  </si>
  <si>
    <t>Utang usaha - pihak ketiga 417.723</t>
  </si>
  <si>
    <t>Bonds Payable - Current</t>
  </si>
  <si>
    <t>Utang obligasi, neto 208.381 (current)</t>
  </si>
  <si>
    <t>Sukuk Ijarah - Current</t>
  </si>
  <si>
    <t>Sukuk ijarah, neto 174.854 (current)</t>
  </si>
  <si>
    <t>Long-term Bank Loans - Current Portion</t>
  </si>
  <si>
    <t>Utang bank jangka panjang, neto 93.937 (current)</t>
  </si>
  <si>
    <t>Bonds Payable - LT</t>
  </si>
  <si>
    <t>Utang obligasi, neto 784.993 (non-current)</t>
  </si>
  <si>
    <t>Sukuk Ijarah - LT</t>
  </si>
  <si>
    <t>Sukuk ijarah, neto 822.855 (non-current)</t>
  </si>
  <si>
    <t>Utang bank jangka panjang, neto 997.452 (non-current)</t>
  </si>
  <si>
    <t>Gross Interest-Bearing Debt</t>
  </si>
  <si>
    <t>Calc: 208+785 bonds + 175+823 sukuk + 94+997 bank loans = 3,082 bn</t>
  </si>
  <si>
    <t>Total Ekuitas ... 5.230 (2022)</t>
  </si>
  <si>
    <t>Arus Kas Neto yang Diperoleh dari Aktivitas Operasi 1.254 (2022)</t>
  </si>
  <si>
    <t>Arus Kas Neto yang Digunakan untuk Aktivitas Investasi (407)</t>
  </si>
  <si>
    <t>Arus Kas Neto yang Digunakan untuk Aktivitas Pendanaan (808)</t>
  </si>
  <si>
    <t>Capex (Fixed Assets)</t>
  </si>
  <si>
    <t>sebesar Rp192 miliar ditujukan untuk perolehan aset tetap</t>
  </si>
  <si>
    <t>Capex (Bearer Plants + Nursery)</t>
  </si>
  <si>
    <t>Sebesar Rp212 miliar dari nilai tersebut digunakan untuk penambahan tanaman produktif belum menghasilkan dan bibitan</t>
  </si>
  <si>
    <t>Calc: 192 + 212 = 404 bn</t>
  </si>
  <si>
    <t>Laba/(Rugi) per Saham Dasar (angka penuh) 577 (2022)</t>
  </si>
  <si>
    <t>Jumlah Saham Beredar (ribu lembar) 1.818.622</t>
  </si>
  <si>
    <t>Triwulan 4 2022 Penutupan 2.100</t>
  </si>
  <si>
    <t>Triwulan 4 2022 Kapitalisasi Pasar 3.819</t>
  </si>
  <si>
    <t>Final DPS 2022 (from 2021 profit)</t>
  </si>
  <si>
    <t>dividen final senilai Rp245,51 miliar atau Rp135 per saham atas laba tahun 2021</t>
  </si>
  <si>
    <t>Interim DPS 2022 (from 2022 profit)</t>
  </si>
  <si>
    <t>dividen interim senilai Rp163,67 miliar atau Rp90 per saham atas laba tahun berjalan</t>
  </si>
  <si>
    <t>Imbal Hasil atas Aset (ROA) 10,1% (2022)</t>
  </si>
  <si>
    <t>Imbal Hasil atas Ekuitas (ROE) 19,9% (2022)</t>
  </si>
  <si>
    <t>Net Debt-to-Equity Ratio</t>
  </si>
  <si>
    <t>Liabilitas Berbunga Bersih terhadap Total Ekuitas 49,2% (2022)</t>
  </si>
  <si>
    <t>Rasio Lancar 132,3%</t>
  </si>
  <si>
    <t>Margin Laba Bruto 35,0%</t>
  </si>
  <si>
    <t>Operating Margin</t>
  </si>
  <si>
    <t>Margin Laba Usaha 28,5%</t>
  </si>
  <si>
    <t>Margin EBITDA 38,1%</t>
  </si>
  <si>
    <t>Margin Laba Tahun Berjalan 18,3% (prior year data: 18,5% from 2022 report; 2023 report adjusted to 18,3%)</t>
  </si>
  <si>
    <t>Total Palm Planted (nucleus+plasma)</t>
  </si>
  <si>
    <t>di Sumatra mencapai sekitar 83 ribu ha, sedangkan di Kalimantan ... sekitar 50 ribu ha</t>
  </si>
  <si>
    <t>Sumatra Palm Planted</t>
  </si>
  <si>
    <t>Total lahan tertanam inti dan plasma dari seluruh perkebunan Perseroan di Sumatra mencapai sekitar 83 ribu ha</t>
  </si>
  <si>
    <t>Kalimantan Palm Planted</t>
  </si>
  <si>
    <t>luas lahan inti dan plasma di Kalimantan Tengah dan Barat telah mencapai 50.036 ha</t>
  </si>
  <si>
    <t>tersebar di lahan seluas 49.687 ha, di Sumatera dan Kalimantan</t>
  </si>
  <si>
    <t>Plasma Smallholders Count</t>
  </si>
  <si>
    <t>jumlah petani plasma mencapai 36.798 pihak</t>
  </si>
  <si>
    <t>Mature Ratio (palm)</t>
  </si>
  <si>
    <t>Sebanyak 92% dari total luasan ini merupakan perkebunan yang menghasilkan</t>
  </si>
  <si>
    <t>Avg Tree Age - Nucleus</t>
  </si>
  <si>
    <t>Umur rata-rata kebun inti Perseroan di tahun 2022 adalah 14 tahun</t>
  </si>
  <si>
    <t>Avg Tree Age - Plasma</t>
  </si>
  <si>
    <t>untuk kebun plasma adalah 17 tahun</t>
  </si>
  <si>
    <t>Sago Planted Area</t>
  </si>
  <si>
    <t>12.781 ha (sagu)</t>
  </si>
  <si>
    <t>Sago Concession Area</t>
  </si>
  <si>
    <t>lahan tertanam 12.781 ha per akhir 2022 di Provinsi Riau ... sekitar 21.000 ha</t>
  </si>
  <si>
    <t>Luas lahan tertanamnya hingga akhir 2022 mencapai 22.361 ha</t>
  </si>
  <si>
    <t>Rubber Concession Area</t>
  </si>
  <si>
    <t>konsesi hutan tanaman industri seluas sekitar 100.000 ha di Provinsi Kalimantan Barat</t>
  </si>
  <si>
    <t>Palm Oil Mill Count (PKS)</t>
  </si>
  <si>
    <t>Perseroan memiliki dan mengoperasikan 8 pabrik kelapa sawit (PKS) untuk mengolah TBS</t>
  </si>
  <si>
    <t>Kapasitas produksi gabungan dari seluruh PKS Perseroan adalah 515 ton TBS/jam</t>
  </si>
  <si>
    <t>FFB Processed Total</t>
  </si>
  <si>
    <t>TBS yang diolah di Perseroan mencapai 1.913.594 ton</t>
  </si>
  <si>
    <t>1.242.866 ton (65% dari keseluruhan) berasal dari kebun inti Perseroan</t>
  </si>
  <si>
    <t>FFB Plasma + Third-party</t>
  </si>
  <si>
    <t>670.728 ton (35%) berasal dari kebun plasma dan pembelian TBS dari pihak eksternal</t>
  </si>
  <si>
    <t>Minyak Sawit Mentah (ton) ... 394.847 (2022)</t>
  </si>
  <si>
    <t>Inti Sawit (ton) ... 98.321 (2022)</t>
  </si>
  <si>
    <t>Germinated Seeds Production</t>
  </si>
  <si>
    <t>seeds</t>
  </si>
  <si>
    <t>Kecambah Sawit ... 22.528 (ribuan butir) (2022)</t>
  </si>
  <si>
    <t>Sago Production</t>
  </si>
  <si>
    <t>Sagu (ton) ... 3.030 (2022)</t>
  </si>
  <si>
    <t>Minyak Sawit Mentah (ton) sales ... 375.395 (2022)</t>
  </si>
  <si>
    <t>Inti Sawit (ton) ... 95.992 (2022 sales)</t>
  </si>
  <si>
    <t>Seed Sales Volume</t>
  </si>
  <si>
    <t>Kecambah Sawit ... 20.286 (2022)</t>
  </si>
  <si>
    <t>Sago Sales Volume</t>
  </si>
  <si>
    <t>Sagu ... 2.951 (2022)</t>
  </si>
  <si>
    <t>Minyak Sawit Mentah (Rp/kg) 12.341 (2022)</t>
  </si>
  <si>
    <t>Inti Sawit (Rp/kg) 7.668 (2022)</t>
  </si>
  <si>
    <t>Avg Seed Selling Price</t>
  </si>
  <si>
    <t>Rp/seed</t>
  </si>
  <si>
    <t>Kecambah Sawit (Rp/bibit) 8.375 (2022)</t>
  </si>
  <si>
    <t>tingkat ekstraksi minyak (OER) sebesar 21,0% di tahun 2022 (karena curah hujan tinggi selama 2022)</t>
  </si>
  <si>
    <t>Kalimantan FFB Contribution</t>
  </si>
  <si>
    <t>kontribusinya terhadap total ... dari 35% di tahun 2021 menjadi 36% di tahun 2022</t>
  </si>
  <si>
    <t>Sumatra FFB Contribution</t>
  </si>
  <si>
    <t>Sekitar 64% total produksi TBS berasal dari Sumatra dan sisanya 36% berasal dari Kalimantan</t>
  </si>
  <si>
    <t>Palm Products Segment Revenue</t>
  </si>
  <si>
    <t>Penjualan 5.442.879 Palm Products (2022)</t>
  </si>
  <si>
    <t>Others Segment Revenue</t>
  </si>
  <si>
    <t>230.044 Others (2022)</t>
  </si>
  <si>
    <t>Palm Products Segment Profit</t>
  </si>
  <si>
    <t>Hasil Segmen 1.588.205 Palm Products (2022)</t>
  </si>
  <si>
    <t>Others Segment Profit</t>
  </si>
  <si>
    <t>15.621 Others (2022)</t>
  </si>
  <si>
    <t>SGRO_2023_AR.pdf</t>
  </si>
  <si>
    <t>saham SGRO</t>
  </si>
  <si>
    <t>Kantor Pusat Palembang</t>
  </si>
  <si>
    <t>Pemegang saham utama dan pengendali dari Perseroan adalah Sampoerna Agri Resources Pte Ltd ... 69,68%</t>
  </si>
  <si>
    <t>Total 1.818.622.000 100,00%</t>
  </si>
  <si>
    <t>Masyarakat (masing-masing &lt;5%) 98.571.000 5,42%</t>
  </si>
  <si>
    <t>Foreign 78.2% / Domestic 21.8%</t>
  </si>
  <si>
    <t>Total 21,8% 78,2% 100,0%</t>
  </si>
  <si>
    <t>Jumlah Karyawan (orang) ... 9.283</t>
  </si>
  <si>
    <t>Penjualan 5.672 5.621 (2022/2023)</t>
  </si>
  <si>
    <t>Laba Bruto 1.984 1.327</t>
  </si>
  <si>
    <t>Beban Pokok Penjualan (4.294)</t>
  </si>
  <si>
    <t>Laba Usaha 1.619 937 (2022/2023)</t>
  </si>
  <si>
    <t>Laba Sebelum Pajak Penghasilan 744</t>
  </si>
  <si>
    <t>Beban Pajak Penghasilan (304)</t>
  </si>
  <si>
    <t>Total Laba/(Rugi) Tahun Berjalan 441</t>
  </si>
  <si>
    <t>Dapat Diatribusikan kepada Pemilik Entitas Induk 484 (2023)</t>
  </si>
  <si>
    <t>Kepentingan Nonpengendali (43) 2023</t>
  </si>
  <si>
    <t>Total Aset 10.243 10.068 (2022/2023)</t>
  </si>
  <si>
    <t>Total Aset Lancar 1.800 1.616</t>
  </si>
  <si>
    <t>TOTAL ASET TIDAK LANCAR 8.451.787</t>
  </si>
  <si>
    <t>Kas dan setara kas: 100.437 + 435.527 = 535.964</t>
  </si>
  <si>
    <t>Persediaan, neto 419.597</t>
  </si>
  <si>
    <t>Aset biologis 189.336</t>
  </si>
  <si>
    <t>Piutang usaha 155.768</t>
  </si>
  <si>
    <t>Piutang plasma 253.854</t>
  </si>
  <si>
    <t>Bearer Plants</t>
  </si>
  <si>
    <t>Tanaman produktif 5.745.046</t>
  </si>
  <si>
    <t>Aset tetap, neto 2.021.960</t>
  </si>
  <si>
    <t>Total Liabilitas 5.013 4.555 (2022/2023)</t>
  </si>
  <si>
    <t>Total Liabilitas Jangka Pendek 1.361 1.310</t>
  </si>
  <si>
    <t>TOTAL LIABILITAS JANGKA PANJANG 3.245.353</t>
  </si>
  <si>
    <t>Utang usaha 423.445</t>
  </si>
  <si>
    <t>Utang obligasi, neto 127.377 (current)</t>
  </si>
  <si>
    <t>Sukuk ijarah, neto 236.635 (current)</t>
  </si>
  <si>
    <t>Utang bank jangka panjang, neto 137.629 (current)</t>
  </si>
  <si>
    <t>Utang obligasi, neto 659.999 (non-current)</t>
  </si>
  <si>
    <t>Sukuk ijarah, neto 586.970 (non-current)</t>
  </si>
  <si>
    <t>Utang bank jangka panjang, neto 1.088.842 (non-current)</t>
  </si>
  <si>
    <t>Calc: 127+660 bonds + 237+587 sukuk + 138+1089 bank loans = 2,837 bn</t>
  </si>
  <si>
    <t>Total Ekuitas 5.230 5.513 (2022/2023)</t>
  </si>
  <si>
    <t>Arus Kas Neto yang Diperoleh dari Aktivitas Operasi 1.254 1.423 (2022/2023)</t>
  </si>
  <si>
    <t>Arus Kas Neto yang Digunakan untuk Aktivitas Investasi (407) (539)</t>
  </si>
  <si>
    <t>Arus Kas Neto yang Digunakan untuk Aktivitas Pendanaan (808) (883)</t>
  </si>
  <si>
    <t>Sebesar Rp313 miliar dari nilai tersebut digunakan untuk perolehan aset tetap</t>
  </si>
  <si>
    <t>Capex (Bearer Plants)</t>
  </si>
  <si>
    <t>Rp240 miliar dari jumlah tersebut digunakan untuk penambahan tanaman produktif yang belum menghasilkan</t>
  </si>
  <si>
    <t>Calc: 313 + 240 = 553 bn</t>
  </si>
  <si>
    <t>Laba/(Rugi) per Saham Dasar (angka penuh) 266 (2023)</t>
  </si>
  <si>
    <t>Triwulan 4 2023 Penutupan 2.010</t>
  </si>
  <si>
    <t>Triwulan 4 2023 Kapitalisasi Pasar 3.655</t>
  </si>
  <si>
    <t>Total Dividend 2023 (paid from 2022 profit)</t>
  </si>
  <si>
    <t>Perseroan membagikan dividen total senilai Rp523,76 miliar atau Rp288 per saham atas laba tahun 2022</t>
  </si>
  <si>
    <t>Dividend per Share (total from 2022 profit)</t>
  </si>
  <si>
    <t>Rp288 per saham atas laba tahun 2022</t>
  </si>
  <si>
    <t>Interim DPS (paid Nov 2022 from 2022 profit)</t>
  </si>
  <si>
    <t>dividen interim senilai Rp163,67 miliar atau Rp90 per saham yang telah dibayar pada November 2022</t>
  </si>
  <si>
    <t>Final DPS (paid Jul 2023 from 2022 profit)</t>
  </si>
  <si>
    <t>sisa dividen senilai Rp360,09 miliar atau Rp198 per saham yang telah dibayar pada Juli 2023</t>
  </si>
  <si>
    <t>Imbal Hasil atas Aset (ROA) 4,4% (2023)</t>
  </si>
  <si>
    <t>Imbal Hasil atas Ekuitas (ROE) 8,0% (2023)</t>
  </si>
  <si>
    <t>Liabilitas Berbunga terhadap Total Ekuitas 58,0% (2023)</t>
  </si>
  <si>
    <t>Rasio Lancar 123,4% (2023)</t>
  </si>
  <si>
    <t>Margin Laba Bruto 23,6%</t>
  </si>
  <si>
    <t>Margin Laba Usaha 16,7%</t>
  </si>
  <si>
    <t>Margin Laba Tahun Berjalan 7,8%</t>
  </si>
  <si>
    <t>di Sumatera mencapai sekitar 82 ribu ha, sedangkan di Kalimantan luasnya mencapai sekitar 50 ribu ha</t>
  </si>
  <si>
    <t>Total lahan tertanam ... di Sumatera mencapai sekitar 82 ribu ha</t>
  </si>
  <si>
    <t>Kalimantan luasnya mencapai sekitar 50 ribu ha</t>
  </si>
  <si>
    <t>jumlah petani plasma mencapai 37.444 pihak, tersebar di lahan seluas 50.039 ha</t>
  </si>
  <si>
    <t>jumlah petani plasma mencapai 37.444 pihak</t>
  </si>
  <si>
    <t>Sebanyak 89% dari total luasan ini merupakan tanaman yang menghasilkan</t>
  </si>
  <si>
    <t>Umur rata-rata kebun inti Perseroan di tahun 2023 adalah 15 tahun</t>
  </si>
  <si>
    <t>pada kebun plasmanya, umur rata-rata tanaman mencapai 16 tahun</t>
  </si>
  <si>
    <t>dengan luasan sekitar 21.000 ha</t>
  </si>
  <si>
    <t>22.856 ha (karet)</t>
  </si>
  <si>
    <t>total luasan konsesi sekitar 100.000 ha, berlokasi di Ketapang, Kalimantan Barat</t>
  </si>
  <si>
    <t>Perseroan memiliki dan mengoperasikan 8 pabrik kelapa sawit (PKS)</t>
  </si>
  <si>
    <t>TBS yang diproduksi oleh Perseroan mencapai 1.900.174 ton</t>
  </si>
  <si>
    <t>1.259.629 ton (66% dari keseluruhan) berasal dari kebun inti Perseroan</t>
  </si>
  <si>
    <t>sisanya sebesar 640.545 ton (34%) berasal dari kebun plasma dan pembelian TBS dari pihak eksternal</t>
  </si>
  <si>
    <t>Minyak Sawit Mentah (ton) ... 396.927 (2023)</t>
  </si>
  <si>
    <t>Inti Sawit (ton) ... 98.984 (2023)</t>
  </si>
  <si>
    <t>Kecambah Sawit (ribuan butir) ... 23.805 (2023)</t>
  </si>
  <si>
    <t>Sagu (ton) ... 2.686 (2023)</t>
  </si>
  <si>
    <t>Minyak Sawit Mentah (ton) ... 413.283 (2023)</t>
  </si>
  <si>
    <t>Inti Sawit (ton) ... 101.198 (2023)</t>
  </si>
  <si>
    <t>Kecambah Sawit (ribuan butir) ... 19.284 (2023)</t>
  </si>
  <si>
    <t>Sagu (ton) ... 2.464 (2023)</t>
  </si>
  <si>
    <t>dari Rp12.341/kg di tahun 2022 menjadi Rp11.405/kg di tahun 2023</t>
  </si>
  <si>
    <t>Harga jual rata-rata untuk produk inti sawit Perseroan di tahun 2023 mencapai Rp5.306/kg</t>
  </si>
  <si>
    <t>harga jual rata-rata ... yakni Rp8.455/butir</t>
  </si>
  <si>
    <t>meningkatkan volume produksi CPO sebesar 1% yoy menjadi 396.927 ton berkat peningkatan OER menjadi 21,4% di 2023, dari 21,0% di 2022</t>
  </si>
  <si>
    <t>Kontribusi TBS dari Kalimantan ... mencapai 38% di tahun 2023</t>
  </si>
  <si>
    <t>Penjualan 5.357.922 Palm Products</t>
  </si>
  <si>
    <t>263.781 Lain-Lain</t>
  </si>
  <si>
    <t>Hasil Segmen 1.029.919 Palm Products</t>
  </si>
  <si>
    <t>Others Segment Profit (Loss)</t>
  </si>
  <si>
    <t>(93.351) Others</t>
  </si>
  <si>
    <t>SGRO_2024_AR.pdf</t>
  </si>
  <si>
    <t>Indonesia Stock Exchange (IDX) with the ticker symbol of SGRO</t>
  </si>
  <si>
    <t>Kantor Pusat: Jalan Basuki Rahmat No. 788 Palembang Sumatera Selatan 30128</t>
  </si>
  <si>
    <t>Controlling Shareholder (from 27 Aug 2024)</t>
  </si>
  <si>
    <t>Twinwood Family Holdings SFO Limited 69.68%</t>
  </si>
  <si>
    <t>Pemegang saham utama dan pengendali ... sejak 27 Agustus 2024 adalah Twinwood Family Holdings SFO Limited, berkedudukan di Dubai, Uni Emirat Arab, dengan kepemilikan saham 69,68%</t>
  </si>
  <si>
    <t>Previous Controlling Shareholder</t>
  </si>
  <si>
    <t>Sampoerna Agri Resources Pte Ltd 69.68% (until 27 Aug 2024)</t>
  </si>
  <si>
    <t>Sebelum 27 Agustus 2024, pemegang saham utama dan pengendali adalah Sampoerna Agri Resources Pte. Ltd.</t>
  </si>
  <si>
    <t>Pemilik manfaat akhir dari kepemilikan saham Perseroan melalui Twinwood Family Holdings SFO Limited adalah Putera Sampoerna</t>
  </si>
  <si>
    <t>Masyarakat (masing-masing &lt;5%) 90.855.500 5,00%</t>
  </si>
  <si>
    <t>Foreign 78.0% / Domestic 22.0%</t>
  </si>
  <si>
    <t>Total 22,0% 78,0% 100,0%</t>
  </si>
  <si>
    <t>Jumlah Karyawan (orang) ... 9.747</t>
  </si>
  <si>
    <t>Operating Subsidiaries</t>
  </si>
  <si>
    <t>Entitas Anak Operasional Secara Komersial: ~25 listed (incl. Sungai Rangit, National Sago Prima, Aek Tarum, Binasawit Makmur, Mutiara Bunda Jaya, Telaga Hikmah, Gunung Tua Abadi, Sawit Selatan, Tebar Tandan Tenerah, Lanang Agro Bersatu, Sampoerna Bio Fuels, Sungai Menang, Usaha Agro Indonesia, Hutan Ketapang Industri, etc.)</t>
  </si>
  <si>
    <t>Penjualan 5.672 5.621 5.694 (2022/2023/2024)</t>
  </si>
  <si>
    <t>Laba Bruto ... 1.601 (2024)</t>
  </si>
  <si>
    <t>Beban Pokok Penjualan (4.094)</t>
  </si>
  <si>
    <t>Laba Usaha 1.619 937 1.264 (2022/2023/2024)</t>
  </si>
  <si>
    <t>Laba Sebelum Pajak Penghasilan 1.068</t>
  </si>
  <si>
    <t>Beban Pajak Penghasilan (371)</t>
  </si>
  <si>
    <t>Total Laba Tahun Berjalan 697</t>
  </si>
  <si>
    <t>Laba Tahun Berjalan yang Dapat Diatribusikan kepada Pemilik Entitas Induk 749</t>
  </si>
  <si>
    <t>Kepentingan Nonpengendali (51)</t>
  </si>
  <si>
    <t>Total Aset 10.702</t>
  </si>
  <si>
    <t>Aset Lancar 2.225</t>
  </si>
  <si>
    <t>Aset Tidak Lancar 8.478</t>
  </si>
  <si>
    <t>Kas dan setara kas 1.415 + 839.187 = 840,602 (millions)</t>
  </si>
  <si>
    <t>Persediaan 607.142 (million)</t>
  </si>
  <si>
    <t>Aset biologis 317.965</t>
  </si>
  <si>
    <t>Piutang usaha 177.436</t>
  </si>
  <si>
    <t>Piutang plasma 365.631</t>
  </si>
  <si>
    <t>Tanaman produktif 5.661.311</t>
  </si>
  <si>
    <t>Aset tetap 2.064.429</t>
  </si>
  <si>
    <t>Total Liabilitas 4.492</t>
  </si>
  <si>
    <t>Liabilitas Jangka Pendek 1.760</t>
  </si>
  <si>
    <t>Liabilitas Jangka Panjang 2.732</t>
  </si>
  <si>
    <t>Utang usaha 661.520</t>
  </si>
  <si>
    <t>Utang obligasi 166.405 (current)</t>
  </si>
  <si>
    <t>Sukuk ijarah 199.904 (current)</t>
  </si>
  <si>
    <t>Utang bank jangka panjang 208.170 (current)</t>
  </si>
  <si>
    <t>Utang obligasi 495.018 (non-current)</t>
  </si>
  <si>
    <t>Sukuk ijarah 387.817 (non-current)</t>
  </si>
  <si>
    <t>Utang bank jangka panjang 1.424.807 (non-current)</t>
  </si>
  <si>
    <t>Calc: 166+495 bonds + 200+388 sukuk + 208+1425 bank loans = 2,882 bn</t>
  </si>
  <si>
    <t>Employee Benefit Liability</t>
  </si>
  <si>
    <t>Liabilitas imbalan kerja 209.861</t>
  </si>
  <si>
    <t>Total Ekuitas 6.210</t>
  </si>
  <si>
    <t>Pemilik Entitas Induk 5.764.412</t>
  </si>
  <si>
    <t>Kepentingan Nonpengendali 445.608</t>
  </si>
  <si>
    <t>Belum ditentukan penggunaannya 4.529.148</t>
  </si>
  <si>
    <t>Arus Kas Neto yang Diperoleh dari Aktivitas Operasi 1.256</t>
  </si>
  <si>
    <t>Arus Kas Neto yang Digunakan untuk Aktivitas Investasi (514)</t>
  </si>
  <si>
    <t>Arus Kas Neto yang Digunakan untuk Aktivitas Pendanaan (437)</t>
  </si>
  <si>
    <t>aset tetap senilai Rp237 miliar</t>
  </si>
  <si>
    <t>penambahan tanaman produktif senilai Rp200 miliar</t>
  </si>
  <si>
    <t>Calc: 237 + 200 = 437 bn</t>
  </si>
  <si>
    <t>Laba per Saham Dasar (angka penuh) 412</t>
  </si>
  <si>
    <t>Triwulan 4 2024 Penutupan 2.140</t>
  </si>
  <si>
    <t>Triwulan 4 2024 Kapitalisasi Pasar 3.892 (Rp miliar)</t>
  </si>
  <si>
    <t>Final Dividend per Share (paid 2024 from 2023 profit)</t>
  </si>
  <si>
    <t>Perseroan membagikan dividen total senilai Rp220,05 miliar atau Rp121 per saham atas laba tahun 2023, yang dibayarkan pada bulan Juni 2024</t>
  </si>
  <si>
    <t>Total Dividend Paid 2024</t>
  </si>
  <si>
    <t>dividen total senilai Rp220,05 miliar</t>
  </si>
  <si>
    <t>Imbal Hasil atas Aset (ROA) 6,5%</t>
  </si>
  <si>
    <t>Imbal Hasil atas Ekuitas (ROE) 11,2%</t>
  </si>
  <si>
    <t>Liabilitas Berbunga terhadap Total Ekuitas 49,5%</t>
  </si>
  <si>
    <t>Rasio Lancar 126,4%</t>
  </si>
  <si>
    <t>Margin Laba Bruto 28,1%</t>
  </si>
  <si>
    <t>Margin Laba Usaha 22,2%</t>
  </si>
  <si>
    <t>Margin Laba Tahun Berjalan 12,2%</t>
  </si>
  <si>
    <t>Beban keuangan (235.648)</t>
  </si>
  <si>
    <t>Total Planted Area (all crops)</t>
  </si>
  <si>
    <t>total lahan perkebunan yang Perseroan miliki mencapai sekitar 300 ribu ha, dengan area tertanam seluas 165 ribu ha (palm 128k + sago 12.78k + rubber 23.12k = 164,721)</t>
  </si>
  <si>
    <t>Palm Planted Area (nucleus+plasma)</t>
  </si>
  <si>
    <t>Sumatera ~79k + Kalimantan ~49k = 128k ha palm oil</t>
  </si>
  <si>
    <t>SUMATERA Minyak Sawit Lahan: 107k ha Tertanam: 79k ha</t>
  </si>
  <si>
    <t>KALIMANTAN Minyak Sawit Lahan: 72k ha Tertanam: 49k ha</t>
  </si>
  <si>
    <t>jumlah petani plasma mencapai 36.453 pihak, tersebar di lahan seluas 46.557 ha</t>
  </si>
  <si>
    <t>jumlah petani plasma mencapai 36.453 pihak</t>
  </si>
  <si>
    <t>Mature Area (palm % of 128k)</t>
  </si>
  <si>
    <t>Sebanyak 85% dari total luasan ini merupakan tanaman yang menghasilkan (85% of 128k)</t>
  </si>
  <si>
    <t>Sebanyak 85% dari total luasan ini merupakan tanaman yang menghasilkan</t>
  </si>
  <si>
    <t>Replanting + New Planting</t>
  </si>
  <si>
    <t>Jumlah luasan lahan untuk penanaman baru dan penanaman kembali di tahun 2024 dengan demikian mencapai 11.200 ha</t>
  </si>
  <si>
    <t>Land Cleared for Replanting</t>
  </si>
  <si>
    <t>land clearing seluas 3.400 ha</t>
  </si>
  <si>
    <t>New Planting</t>
  </si>
  <si>
    <t>kegiatan penanaman baru di tahun 2024 mencapai 7.800 ha</t>
  </si>
  <si>
    <t>Umur rata-rata kebun inti Perseroan di tahun 2024 adalah 15 tahun</t>
  </si>
  <si>
    <t>pada kebun plasmanya, umur rata-rata tanaman mencapai 13 tahun</t>
  </si>
  <si>
    <t>mengelola industri sagu dengan lahan tertanam 12.781 ha per akhir 2024 di Provinsi Riau</t>
  </si>
  <si>
    <t>dari total lahan yang dimiliki seluas kurang lebih 21.000 ha</t>
  </si>
  <si>
    <t>Luas lahan tertanam di sini hingga akhir 2024 mencapai 23.120 ha, dengan karet sebagai komposisi utamanya</t>
  </si>
  <si>
    <t>konsesi hutan tanaman industri seluas kurang lebih 100.000 ha di Provinsi Kalimantan Barat</t>
  </si>
  <si>
    <t>total lahan perkebunan yang Perseroan miliki mencapai sekitar 300 ribu ha</t>
  </si>
  <si>
    <t>Per akhir 2024, Perseroan memiliki dan mengoperasikan sendiri 8 pabrik kelapa sawit (PKS), yakni 5 di Sumatera dan 3 di Kalimantan</t>
  </si>
  <si>
    <t>Kapasitas produksi gabungan dari seluruh PKS Perseroan adalah 510 ton TBS/jam</t>
  </si>
  <si>
    <t>Sumatra Mill Capacity</t>
  </si>
  <si>
    <t>SUMATERA 5 Pabrik Kelapa Sawit (360 ton per jam / tph)</t>
  </si>
  <si>
    <t>Kalimantan Mill Capacity</t>
  </si>
  <si>
    <t>KALIMANTAN 3 Pabrik Kelapa Sawit (150 ton per jam / tph)</t>
  </si>
  <si>
    <t>Sago Factory</t>
  </si>
  <si>
    <t>RIAU Sagu 1 Pabrik (100 ton per hari / tpd)</t>
  </si>
  <si>
    <t>Selama tahun 2024, TBS yang diproduksi oleh Perseroan mencapai 1.726.376 ton</t>
  </si>
  <si>
    <t>1.167.927 ton (68% dari keseluruhan) berasal dari kebun inti Perseroan</t>
  </si>
  <si>
    <t>558.449 ton (32%) sisanya dari kebun plasma dan pembelian eksternal</t>
  </si>
  <si>
    <t>FFB Plasma only (approx)</t>
  </si>
  <si>
    <t>kontribusi dari plasma dan pihak ketiga masing-masing sebanyak 399 ribu ton dan 160 ribu ton</t>
  </si>
  <si>
    <t>FFB Third-party</t>
  </si>
  <si>
    <t>dan pihak ketiga masing-masing sebanyak 399 ribu ton dan 160 ribu ton</t>
  </si>
  <si>
    <t>Minyak Sawit Mentah (ton) ... 341.287 (2024)</t>
  </si>
  <si>
    <t>Inti Sawit (ton) ... 83.827 (2024)</t>
  </si>
  <si>
    <t>Kecambah Sawit (ribuan butir) ... 22.215 (2024)</t>
  </si>
  <si>
    <t>Sagu (ton) ... 6.208 (2024)</t>
  </si>
  <si>
    <t>volume penjualan CPO Perseroan di tahun 2024 juga menurun 18%, dari 413.283 ton di tahun 2023 menjadi 337.899 ton</t>
  </si>
  <si>
    <t>Volume penjualan inti sawit di tahun 2024 adalah 83.554 ton</t>
  </si>
  <si>
    <t>penjualan kecambah sawit Perseroan dapat meningkat sebesar 4% mencapai 20,0 juta butir di tahun 2024</t>
  </si>
  <si>
    <t>Penjualan sagu juga meningkat 123%, dari 2.464 ton di tahun 2023 menjadi 5.503 ton di tahun 2024</t>
  </si>
  <si>
    <t>harga jual rata-rata untuk CPO Perseroan meningkat 16% menjadi Rp13.283/kg</t>
  </si>
  <si>
    <t>Harga jual rata-rata untuk produk inti sawit Perseroan di tahun 2024 mencapai Rp8.413/kg</t>
  </si>
  <si>
    <t>harga jual rata-rata Rp8.553/butir</t>
  </si>
  <si>
    <t>tingkat ekstraksi minyak (OER) mencapai 20,5%, dibandingkan 21,4% pada tahun sebelumnya</t>
  </si>
  <si>
    <t>Kontribusi tandan buah segar (TBS) dari Kalimantan terhadap total TBS Perseroan ... 42% di tahun 2024</t>
  </si>
  <si>
    <t>Penjualan 5.358.581 Produk Kelapa Sawit</t>
  </si>
  <si>
    <t>336.847 Lain-Lain</t>
  </si>
  <si>
    <t>Hasil Segmen 1.323.506 Palm Products</t>
  </si>
  <si>
    <t>(59.902) Others</t>
  </si>
  <si>
    <t>PK Revenue</t>
  </si>
  <si>
    <t>mengangkat nilai penjualan PK Perseroan menjadi Rp703 miliar</t>
  </si>
  <si>
    <t>Seed Revenue</t>
  </si>
  <si>
    <t>20,0 juta benih unggul DxP Sriwijaya, yang menghasilkan pendapatan Rp171 miliar</t>
  </si>
  <si>
    <t>Sago Revenue</t>
  </si>
  <si>
    <t>Dari bisnis sagu, kami menjual 5.503 ton dan membukukan pendapatan Rp49 miliar</t>
  </si>
  <si>
    <t>Rubber Revenue</t>
  </si>
  <si>
    <t>sementara pendapatan dari karet mencapai Rp108 miliar</t>
  </si>
  <si>
    <t>DxP Sriwijaya Domestic Market Share</t>
  </si>
  <si>
    <t>pangsa pasar DxP Sriwijaya adalah yang kedua terbesar di Indonesia, mencakup 15%</t>
  </si>
  <si>
    <t>Mechanization Coverage</t>
  </si>
  <si>
    <t>Mekanisasi telah diperluas hingga mencakup 80% dari area yang dapat dimekanisasi</t>
  </si>
  <si>
    <t>FFB Supplier Payment</t>
  </si>
  <si>
    <t>Nilai finansial yang diteruskan Perseroan kepada para pemasok untuk membeli TBS mencapai sekitar Rp1,7 triliun di tahun 2024</t>
  </si>
  <si>
    <t>ISO Certifications</t>
  </si>
  <si>
    <t>ISO 9001, 14001, 17025, 45001, 31000</t>
  </si>
  <si>
    <t>Perusahaan menerapkan standar ISO 9001, 14001, 17025, dan 45001</t>
  </si>
  <si>
    <t>Biodiesel Power Plants (PLTBg)</t>
  </si>
  <si>
    <t>pembangkit listrik tenaga biogas di 2 PKS (25% of 8 mills)</t>
  </si>
  <si>
    <t>PT Salim Ivomas Pratama Tbk</t>
  </si>
  <si>
    <t>SIMP_2022_AR.pdf</t>
  </si>
  <si>
    <t>PT SALIM IVOMAS PRATAMA TBK - Annual Report 2022</t>
  </si>
  <si>
    <t>Listed on Indonesia Stock Exchange (IDX: SIMP)</t>
  </si>
  <si>
    <t>Parent - Indofood Agri Resources Ltd</t>
  </si>
  <si>
    <t>Indofood Agri Resources Ltd. 11.387.745.000 73,46%</t>
  </si>
  <si>
    <t>Parent - PT Indofood Sukses Makmur Tbk</t>
  </si>
  <si>
    <t>PT Indofood Sukses Makmur Tbk 1.035.306.400 6,68%</t>
  </si>
  <si>
    <t>Others (with ownership interest below 5% each, including public) 3.077.338.600 19,86%</t>
  </si>
  <si>
    <t>First Pacific Company Limited (Hong Kong)</t>
  </si>
  <si>
    <t>First Pacific Company Limited is a public listed company on the Hong Kong Stock Exchange. Mr. Anthoni Salim holds interest in and controls indirectly First Pacific Company Limited.</t>
  </si>
  <si>
    <t>Effective IFAR Ownership via Indofood Singapore Holdings</t>
  </si>
  <si>
    <t>72,26% Effective ownership through Indofood Singapore Holdings Pte Ltd., including 12,30% Indofood's direct ownership to IndoAgri</t>
  </si>
  <si>
    <t>Sales (Revenue)</t>
  </si>
  <si>
    <t>Sales 17.794.246 19.658.529 14.474.700</t>
  </si>
  <si>
    <t>Gross Profit 4.649.207 5.150.931 3.004.547</t>
  </si>
  <si>
    <t>Beban pokok penjualan (13.145.039) 22,32 (14.507.598)</t>
  </si>
  <si>
    <t>Operating Profit 2.920.384 2.920.834 1.859.406</t>
  </si>
  <si>
    <t>EBITDA1 4.683.961 4.477.572 3.240.753</t>
  </si>
  <si>
    <t>Penghasilan keuangan 93.578 27 69.469</t>
  </si>
  <si>
    <t>Beban keuangan (619.912) 12,28 (689.708)</t>
  </si>
  <si>
    <t>Laba sebelum pajak penghasilan 2.396.986 2.285.365</t>
  </si>
  <si>
    <t>Beban pajak penghasilan (887.381) 10,30 (944.970)</t>
  </si>
  <si>
    <t>Profit for the Year</t>
  </si>
  <si>
    <t>Profit/(Loss) for the Year 1.509.605 1.340.395 408.478</t>
  </si>
  <si>
    <t>Owners of the Parent 1.198.367 990.401 289.628</t>
  </si>
  <si>
    <t>Profit Attributable to Non-controlling Interests</t>
  </si>
  <si>
    <t>Non-controlling Interests 311.238 349.994 118.850</t>
  </si>
  <si>
    <t>Total Assets 36.113.081 35.964.101 35.379.283</t>
  </si>
  <si>
    <t>Current Assets 10.442.878 9.527.236 7.808.956</t>
  </si>
  <si>
    <t>Total Aset Tidak Lancar 25.670.203 26.436.865 27.570.327</t>
  </si>
  <si>
    <t>Total Liabilities 14.945.799 16.111.943 16.821.217</t>
  </si>
  <si>
    <t>Current Liabilities 9.460.845 9.159.909 8.829.934</t>
  </si>
  <si>
    <t>Total Liabilitas Jangka Panjang 5.484.954 6.952.034 7.991.283</t>
  </si>
  <si>
    <t>Total Equity4 21.167.282 19.852.158 18.558.066</t>
  </si>
  <si>
    <t>Non-Controlling Interests 4.334.966 4.129.691 3.569.930</t>
  </si>
  <si>
    <t>Cash and Cash Equivalents (year-end)</t>
  </si>
  <si>
    <t>Kas dan Setara Kas AkhirTahun 4.296.674 5 3.726.293</t>
  </si>
  <si>
    <t>Utang bank jangka pendek 15 5.870.000 6.018.800 5.944.000</t>
  </si>
  <si>
    <t>Long-term Bank Loans (current portion)</t>
  </si>
  <si>
    <t>Utang bankjangka panjang 15 824.240 586.220 448.706</t>
  </si>
  <si>
    <t>Utang bank jangka panjang 15 1.837.525 3.087.699 4.140.791</t>
  </si>
  <si>
    <t>Funded Debt (Gross)</t>
  </si>
  <si>
    <t>Funded Debt 9.871.378 11.133.332 11.585.497</t>
  </si>
  <si>
    <t>Persediaan 3,7 3.268.036 2.655.342 2.671.909</t>
  </si>
  <si>
    <t>Aset biologis 8 769.634 873.393 777.388</t>
  </si>
  <si>
    <t>Goodwill 3,11 2.216.138 2.320.823 2.320.823 (from LSIP acquisition)</t>
  </si>
  <si>
    <t>Aset tetap 3,13 19.211.553 19.510.043 20.266.991</t>
  </si>
  <si>
    <t>Kas Neto yang Diperoleh dari Aktivitas Operasi 3.595.585 3.709.985</t>
  </si>
  <si>
    <t>CFI (Cash used in Investing Activities)</t>
  </si>
  <si>
    <t>Kas Neto yang Digunakan untuk Aktivitas Investasi (1.468.374) (1.376.346)</t>
  </si>
  <si>
    <t>CFF (Cash used in Financing Activities)</t>
  </si>
  <si>
    <t>Kas Neto yang Digunakan untuk AktivitasPendanaan (1.669.247) (1.043.625)</t>
  </si>
  <si>
    <t>Capital Expenditures 1.460.252 1.250.787 1.483.865</t>
  </si>
  <si>
    <t>Additions to Fixed Assets (Cash Flow)</t>
  </si>
  <si>
    <t>Penambahan aset tetap (1.214.327) (1.016.931)</t>
  </si>
  <si>
    <t>Additions to Biological Assets (Cash Flow)</t>
  </si>
  <si>
    <t>Penambahan aset biologis (198.863) 8 (190.075)</t>
  </si>
  <si>
    <t>Cash Dividends Paid (by Parent)</t>
  </si>
  <si>
    <t>Pembayaran dividen kas (201.517) 20 (46.503)</t>
  </si>
  <si>
    <t>EPS (Basic, attributable to parent)</t>
  </si>
  <si>
    <t>Basic Profit/(Loss) per Share 77 64 19 (35) (5)</t>
  </si>
  <si>
    <t>Outstanding Shares</t>
  </si>
  <si>
    <t>Outstanding Shares (in '000)2 15.501.310 (million)</t>
  </si>
  <si>
    <t>Final Dividend per Share (for FY2021 paid 2022)</t>
  </si>
  <si>
    <t>a total dividend of Rp201.5 billion or Rp13 per share, represent around 20% dividend payout and paid to shareholders on August 23, 2022</t>
  </si>
  <si>
    <t>Closing Share Price 30 Dec 2022</t>
  </si>
  <si>
    <t>During The Year 15.501 6.417.542 560 392 414 1.050.584.900</t>
  </si>
  <si>
    <t>Market Capitalisation (end 2022)</t>
  </si>
  <si>
    <t>SIMP Group market capitalisation was valued at Rp6.42 trillion</t>
  </si>
  <si>
    <t>Share Price High 2022</t>
  </si>
  <si>
    <t>During The Year 15.501 6.417.542 560 392 414</t>
  </si>
  <si>
    <t>Share Price Low 2022</t>
  </si>
  <si>
    <t>Gross Profit Margin (%) 26,1 26,2 20,8</t>
  </si>
  <si>
    <t>Operating Profit Margin (%) 16,4 14,9 12,8</t>
  </si>
  <si>
    <t>EBITDA Margin (%) 26,3 22,8 22,4</t>
  </si>
  <si>
    <t>Return on Assets (Net)</t>
  </si>
  <si>
    <t>Return on Assets (%) - Profit/(Loss) for the Year 4,2 3,8 1,2</t>
  </si>
  <si>
    <t>Return on Equity (%) 7,4 7,0 2,2</t>
  </si>
  <si>
    <t>Current Ratio (x) 1,10 1,04 0,88</t>
  </si>
  <si>
    <t>Gearing Ratio - Gross</t>
  </si>
  <si>
    <t>Gearing Ratio - Gross (x) 4 0,47 0,56 0,62</t>
  </si>
  <si>
    <t>Gearing Ratio - Net</t>
  </si>
  <si>
    <t>Gearing Ratio - Net (x) 4 0,26 0,37 0,49</t>
  </si>
  <si>
    <t>Planted Area - Nucleus 294.488 300.749 303.149</t>
  </si>
  <si>
    <t>Oil Palm 244.768 250.615 253.061</t>
  </si>
  <si>
    <t>• Mature 218.064 214.053 211.626</t>
  </si>
  <si>
    <t>• Immature 26.704 36.562 41.435</t>
  </si>
  <si>
    <t>Rubber 16.074 16.228 15.976</t>
  </si>
  <si>
    <t>Sugar Cane Nucleus Area</t>
  </si>
  <si>
    <t>Sugar Cane 14.056 14.411 14.153</t>
  </si>
  <si>
    <t>Other Crops (timber, cocoa, tea) Area</t>
  </si>
  <si>
    <t>Others 19.590 19.495 19.959</t>
  </si>
  <si>
    <t>Plasma Partnership (Oil Palm &amp; Rubber)</t>
  </si>
  <si>
    <t>Plasma Partnership 90.551 90.229 90.325</t>
  </si>
  <si>
    <t>Oil Palm Age Profile - 4-6 yr</t>
  </si>
  <si>
    <t>4 - 6 years 7.086 5.715 5.129</t>
  </si>
  <si>
    <t>Oil Palm Age Profile - 7-20 yr</t>
  </si>
  <si>
    <t>7 - 20 years 125.613 122.210 123.332</t>
  </si>
  <si>
    <t>Oil Palm Age Profile - &gt;20 yr</t>
  </si>
  <si>
    <t>&gt;20 years 85.365 86.128 83.165</t>
  </si>
  <si>
    <t>Riau Planted Area</t>
  </si>
  <si>
    <t>Riau 56.145 56.307 56.359</t>
  </si>
  <si>
    <t>North Sumatra Planted Area</t>
  </si>
  <si>
    <t>South Sumatra Planted Area</t>
  </si>
  <si>
    <t>South Sumatra 95.919 98.088 97.979</t>
  </si>
  <si>
    <t>West Kalimantan Planted Area</t>
  </si>
  <si>
    <t>West Kalimantan 24.742 26.845 26.650</t>
  </si>
  <si>
    <t>East Kalimantan Planted Area</t>
  </si>
  <si>
    <t>East Kalimantan 61.651 61.453 64.225</t>
  </si>
  <si>
    <t>Central Kalimantan Planted Area</t>
  </si>
  <si>
    <t>Central Kalimantan 10.842 10.987 11.329</t>
  </si>
  <si>
    <t>Java Planted Area</t>
  </si>
  <si>
    <t>Sulawesi 5.467 5.570 5.388</t>
  </si>
  <si>
    <t>27 palm oil mills across Sumatra and Kalimantan with a combined Fresh Fruit Bunches (FFB) processing capacity of 7.2 million tonnes per annum</t>
  </si>
  <si>
    <t>Palm Oil Mills Capacity</t>
  </si>
  <si>
    <t>t FFB/year</t>
  </si>
  <si>
    <t>combined FFB processing capacity of 7.2 million tonnes per annum</t>
  </si>
  <si>
    <t>CPO Refineries Count</t>
  </si>
  <si>
    <t>5 CPO refineries with a total processing capacity of 1.7 million tonnes CPO per year</t>
  </si>
  <si>
    <t>CPO Refinery Capacity</t>
  </si>
  <si>
    <t>t CPO/year</t>
  </si>
  <si>
    <t>total processing capacity of 1.7 million tonnes CPO per year</t>
  </si>
  <si>
    <t>Sugar Mills &amp; Refineries</t>
  </si>
  <si>
    <t>2 sugar mills and refineries</t>
  </si>
  <si>
    <t>Crumb Rubber Processing Facilities</t>
  </si>
  <si>
    <t>Sheet Rubber Processing Facilities</t>
  </si>
  <si>
    <t>FFB Total Production</t>
  </si>
  <si>
    <t>Total Fresh Fruit Bunches (FFB) 3.741 3.455 3.710</t>
  </si>
  <si>
    <t>FFB - Nucleus 2.812 2.761 2.986</t>
  </si>
  <si>
    <t>Crude Palm Oil (CPO) 736 687 737</t>
  </si>
  <si>
    <t>Palm Kernel (PK) 180 168 178</t>
  </si>
  <si>
    <t>Sugar Production</t>
  </si>
  <si>
    <t>Sugar1 57 57 55</t>
  </si>
  <si>
    <t>CPO2 701 698 748</t>
  </si>
  <si>
    <t>PK and PK-derivatives Sales Volume</t>
  </si>
  <si>
    <t>PK and PK Related Products3 166 162 183</t>
  </si>
  <si>
    <t>mn units</t>
  </si>
  <si>
    <t>Oil Palm Seeds (mn) 9,3 6,3 5,9</t>
  </si>
  <si>
    <t>CPO Price Peak 2022 (CIF Rotterdam)</t>
  </si>
  <si>
    <t>peaked at USD1,868 per ton in March 2022</t>
  </si>
  <si>
    <t>USD/IDR Year-end 2022</t>
  </si>
  <si>
    <t>the year at Rp15,731 compared to Rp14,269 in 2021</t>
  </si>
  <si>
    <t>SIMP_2023_AR.pdf</t>
  </si>
  <si>
    <t>PT SALIM IVOMAS PRATAMA TBK - Annual Report 2023</t>
  </si>
  <si>
    <t>Public (with ownership interest below 5% each, including others) 3.077.338.600 19,86%</t>
  </si>
  <si>
    <t>First Pacific Company Limited is a public listed company on the Hong Kong Stock Exchange... Mr. Anthoni Salim holds interest in and controls indirectly First Pacific Company Limited.</t>
  </si>
  <si>
    <t>72,94% effective ownership through Indofood Singapore Holdings Pte Ltd., including 12,98% Indofood's direct ownership to IndoAgri</t>
  </si>
  <si>
    <t>Sales 16.002.643 17.794.246 19.658.529 Penjualan</t>
  </si>
  <si>
    <t>Gross Profit 3.358.216 4.649.207 5.150.931 Laba Bruto</t>
  </si>
  <si>
    <t>Beban pokok penjualan (12.644.427) 22,32 (13.145.039)</t>
  </si>
  <si>
    <t>Operating Profit 1.930.168 2.920.384 2.920.834 Laba Usaha</t>
  </si>
  <si>
    <t>EBITDA1 3.534.668 4.683.961 4.477.572</t>
  </si>
  <si>
    <t>Penghasilan keuangan 174.277 27 93.578</t>
  </si>
  <si>
    <t>Beban keuangan (619.599) 12,28 (619.912)</t>
  </si>
  <si>
    <t>Laba sebelum pajak penghasilan 1.487.689 2.396.986</t>
  </si>
  <si>
    <t>Beban pajak penghasilan (560.911) 10,30 (887.381)</t>
  </si>
  <si>
    <t>Profit/(Loss) for the Year 926.778 1.509.605 1.340.395</t>
  </si>
  <si>
    <t>Owners of the Parent 736.417 1.198.367 990.401</t>
  </si>
  <si>
    <t>Non-controlling Interests 190.361 311.238 349.994</t>
  </si>
  <si>
    <t>Total Assets 35.012.351 36.113.081 35.964.101</t>
  </si>
  <si>
    <t>Current Assets 9.896.897 10.442.878 9.527.236</t>
  </si>
  <si>
    <t>Total Aset Tidak Lancar 25.115.454 25.670.203</t>
  </si>
  <si>
    <t>Total Liabilities 13.291.426 14.945.799 16.111.943</t>
  </si>
  <si>
    <t>Current Liabilities 9.411.112 9.460.845 9.159.909</t>
  </si>
  <si>
    <t>Total Liabilitas Jangka Panjang 3.880.314 5.484.954</t>
  </si>
  <si>
    <t>Total Equity4 21.720.925 21.167.282 19.852.158</t>
  </si>
  <si>
    <t>Non-Controlling Interests 4.384.093 4.334.966 4.129.691</t>
  </si>
  <si>
    <t>Kas dan Setara Kas Akhir Tahun 5.161.183 5 4.296.674</t>
  </si>
  <si>
    <t>Utang bank jangka pendek 5.649.000 15 5.870.000</t>
  </si>
  <si>
    <t>Utang bank jangka panjang 1.294.245 15 824.240 (current maturity)</t>
  </si>
  <si>
    <t>Utang bank jangka panjang 852.807 15 1.837.525</t>
  </si>
  <si>
    <t>Funded Debt 8.692.665 9.871.378 11.133.332</t>
  </si>
  <si>
    <t>Persediaan 2.471.178 7 3.268.036</t>
  </si>
  <si>
    <t>Aset biologis 764.416 8 769.634</t>
  </si>
  <si>
    <t>Goodwill 2.210.034 3,11 2.216.138 (from LSIP acquisition)</t>
  </si>
  <si>
    <t>Aset tetap 18.737.957 13 19.211.553</t>
  </si>
  <si>
    <t>Kas Neto yang Diperoleh dari Aktivitas Operasi 3.829.754 3.634.084</t>
  </si>
  <si>
    <t>Kas Neto yang Digunakan untuk Aktivitas Investasi (1.315.800) (1.506.873)</t>
  </si>
  <si>
    <t>Kas Neto yang Digunakan untuk Aktivitas Pendanaan (1.619.939) (1.669.247)</t>
  </si>
  <si>
    <t>Capital Expenditures 1.324.273 1.460.252 1.250.787 Belanja Modal</t>
  </si>
  <si>
    <t>Penambahan aset tetap (975.961) (1.214.327)</t>
  </si>
  <si>
    <t>Penambahan aset biologis (280.062) 8 (237.362)</t>
  </si>
  <si>
    <t>Pembayaran dividen kas (232.520) 20 (201.517)</t>
  </si>
  <si>
    <t>Basic Profit/(Loss) per Share 48 77 64 19 (35)</t>
  </si>
  <si>
    <t>Final Dividend per Share (for FY2022 paid 2023)</t>
  </si>
  <si>
    <t>According to the decision of the shareholders at the AGM on June 22, 2023, a total dividend of Rp232.5 billion or Rp15 per share, represent around 19% dividend payout</t>
  </si>
  <si>
    <t>Closing Share Price 30 Dec 2023</t>
  </si>
  <si>
    <t>During The Year 15,501 5,828,493 452 362 376 - Closing Rp376</t>
  </si>
  <si>
    <t>Market Capitalisation (end 2023)</t>
  </si>
  <si>
    <t>SIMP Group market capitalisation was valued at Rp5.83 trillion</t>
  </si>
  <si>
    <t>Share Price High 2023</t>
  </si>
  <si>
    <t>During The Year 15,501 5,828,493 452 362 376</t>
  </si>
  <si>
    <t>Share Price Low 2023</t>
  </si>
  <si>
    <t>Gross Profit Margin (%) 21,0 26,1 26,2</t>
  </si>
  <si>
    <t>Operating Profit Margin (%) 12,1 16,4 14,9</t>
  </si>
  <si>
    <t>EBITDA Margin (%) 22,1 26,3 22,8</t>
  </si>
  <si>
    <t>Return on Assets (%) - Profit/(Loss) for the Year 2,6 4,2 3,8</t>
  </si>
  <si>
    <t>Return on Equity (%) 4,3 7,4 7,0</t>
  </si>
  <si>
    <t>Current Ratio (x) 1,05 1,10 1,04</t>
  </si>
  <si>
    <t>Gearing Ratio - Gross (x) 4 0,40 0,47 0,56</t>
  </si>
  <si>
    <t>Gearing Ratio - Net (x) 4 0,16 0,26 0,37</t>
  </si>
  <si>
    <t>Planted Area - Nucleus 293.429 294.488 300.749</t>
  </si>
  <si>
    <t>Oil Palm 244.337 244.768 250.615</t>
  </si>
  <si>
    <t>• Mature 220.531 218.064 214.053 Menghasilkan</t>
  </si>
  <si>
    <t>• Immature 23.806 26.704 36.562 Belum Menghasilkan</t>
  </si>
  <si>
    <t>Rubber 16.238 16.074 16.228</t>
  </si>
  <si>
    <t>Sugar Cane 13.384 14.056 14.411</t>
  </si>
  <si>
    <t>Others 19.470 19.590 19.495</t>
  </si>
  <si>
    <t>Plasma Partnership 90.867 90.551 90.229</t>
  </si>
  <si>
    <t>4 - 6 years 8.693 7.086 5.715</t>
  </si>
  <si>
    <t>7 - 20 years 126.140 125.613 122.210</t>
  </si>
  <si>
    <t>&gt;20 years 85.698 85.365 86.128</t>
  </si>
  <si>
    <t>Riau 56.175 56.145 56.307</t>
  </si>
  <si>
    <t>South Sumatra 94.532 95.919 98.088</t>
  </si>
  <si>
    <t>West Kalimantan 24.675 24.742 26.845</t>
  </si>
  <si>
    <t>East Kalimantan 61.640 61.651 61.453</t>
  </si>
  <si>
    <t>Central Kalimantan 10.841 10.842 10.987</t>
  </si>
  <si>
    <t>Sulawesi 5.486 5.467 5.570</t>
  </si>
  <si>
    <t>27 palm oil mills across Sumatra and Kalimantan with a total annual Fresh Fruit Bunches (FFB) processing capacity of 7.2 million tonnes</t>
  </si>
  <si>
    <t>total annual Fresh Fruit Bunches (FFB) processing capacity of 7.2 million tonnes</t>
  </si>
  <si>
    <t>We operate 5 CPO refineries with a total annual CPO processing capacity of 1.7 million tonnes</t>
  </si>
  <si>
    <t>total annual CPO processing capacity of 1.7 million tonnes</t>
  </si>
  <si>
    <t>Total Fresh Fruit Bunches (FFB) 3.632 3.741 3.455</t>
  </si>
  <si>
    <t>FFB - Nucleus 2.784 2.812 2.761</t>
  </si>
  <si>
    <t>Crude Palm Oil (CPO) 708 736 687</t>
  </si>
  <si>
    <t>Palm Kernel (PK) 175 180 168</t>
  </si>
  <si>
    <t>Sugar1 58 57 57</t>
  </si>
  <si>
    <t>CPO2 743 701 698</t>
  </si>
  <si>
    <t>PK and PK Related Products3 184 166 162</t>
  </si>
  <si>
    <t>Oil Palm Seeds 9,7 9,3 6,3</t>
  </si>
  <si>
    <t>Multiple estates ISPO-certified</t>
  </si>
  <si>
    <t>ISPO-certified estates and mills in North Sumatra, South Sumatra, and Kalimantan</t>
  </si>
  <si>
    <t>SIMP_2024_AR.pdf</t>
  </si>
  <si>
    <t>PT SALIM IVOMAS PRATAMA TBK - Annual Report 2024</t>
  </si>
  <si>
    <t>Listed on Indonesia Stock Exchange, IDX: SIMP</t>
  </si>
  <si>
    <t>Treasury Shares Cancelled</t>
  </si>
  <si>
    <t>Treasury Shares 315,000,000 cancelled; Total went from 15,816,310,000 to 15,501,310,000</t>
  </si>
  <si>
    <t>Sales 15.967.804 16.002.643 17.794.246 Penjualan</t>
  </si>
  <si>
    <t>Gross Profit 4.837.828 3.358.216 4.649.207 Laba Bruto</t>
  </si>
  <si>
    <t>Beban pokok penjualan (11.129.976) 12,22,32 (12.644.427)</t>
  </si>
  <si>
    <t>Operating Profit 3.302.266 1.930.168 2.920.384</t>
  </si>
  <si>
    <t>EBITDA1 4.730.842 3.534.668 4.683.961</t>
  </si>
  <si>
    <t>Penghasilan keuangan 234.936 27,32 174.277</t>
  </si>
  <si>
    <t>Beban keuangan (560.155) 12,28,32 (619.599)</t>
  </si>
  <si>
    <t>Laba sebelum pajak penghasilan 2.985.104 1.487.689</t>
  </si>
  <si>
    <t>Beban pajak penghasilan (801.454) 10,30 (560.911)</t>
  </si>
  <si>
    <t>Profit for the Year 2.183.650 926.778 1.509.605</t>
  </si>
  <si>
    <t>Profit for the Year Attributable to Owners of the Parent 1.549.914 736.417 1.198.367</t>
  </si>
  <si>
    <t>Non-controlling Interests 633.736 190.361 311.238</t>
  </si>
  <si>
    <t>Total Assets 37.247.829 35.012.351 36.113.081</t>
  </si>
  <si>
    <t>Current Assets 13.232.699 9.896.897 10.442.878</t>
  </si>
  <si>
    <t>Total Aset Tidak Lancar 24.015.130 25.115.454</t>
  </si>
  <si>
    <t>Total Liabilities 13.260.394 13.291.426 14.945.799</t>
  </si>
  <si>
    <t>Current Liabilities 8.769.433 9.411.112 9.460.845</t>
  </si>
  <si>
    <t>Total Liabilitas Jangka Panjang 4.490.961 3.880.314</t>
  </si>
  <si>
    <t>Total Equity3 23.987.435 21.720.925 21.167.282</t>
  </si>
  <si>
    <t>Non-Controlling Interests 5.263.053 4.384.093 4.334.966</t>
  </si>
  <si>
    <t>Kas dan Setara Kas Akhir Tahun 5.752.380 5 5.161.183</t>
  </si>
  <si>
    <t>Utang bank jangka pendek 5.843.941 15 5.649.000</t>
  </si>
  <si>
    <t>Utang bank jangka panjang 237.406 15 1.294.245</t>
  </si>
  <si>
    <t>Utang bank jangka panjang 1.689.898 15 852.807</t>
  </si>
  <si>
    <t>Funded Debt 8.400.388 8.692.665 9.871.378 Pinjaman yang Dikenakan Bunga</t>
  </si>
  <si>
    <t>Trade Receivables - Third Parties</t>
  </si>
  <si>
    <t>Pihak ketiga 642.559 404.152 Third parties</t>
  </si>
  <si>
    <t>Trade Receivables - Related Parties</t>
  </si>
  <si>
    <t>Pihak berelasi 499.098 32 345.987 Related parties</t>
  </si>
  <si>
    <t>Persediaan 3.992.795 7 2.471.178</t>
  </si>
  <si>
    <t>Aset biologis 1.132.115 8 764.416</t>
  </si>
  <si>
    <t>Goodwill 2.210.034 3,11 2.210.034 (from LSIP acquisition)</t>
  </si>
  <si>
    <t>Aset tetap 17.631.737 13 18.737.957 Fixed assets</t>
  </si>
  <si>
    <t>Investasi pada entitas asosiasi 1.377.723 9 1.369.856</t>
  </si>
  <si>
    <t>Kas Neto yang Diperoleh dari Aktivitas Operasi 2.299.715 3.829.754</t>
  </si>
  <si>
    <t>Kas Neto yang Digunakan untuk Aktivitas Investasi (1.529.429) (1.315.800)</t>
  </si>
  <si>
    <t>Kas Neto yang Digunakan untuk Aktivitas Pendanaan (249.995) (1.619.939)</t>
  </si>
  <si>
    <t>Capital Expenditures 1.264.356 1.324.273 1.460.252 Belanja Modal</t>
  </si>
  <si>
    <t>Penambahan aset tetap (958.350) (975.961)</t>
  </si>
  <si>
    <t>Penambahan aset biologis (272.326) 8 (280.062)</t>
  </si>
  <si>
    <t>Pembayaran dividen kas (155.013) 20 (232.520)</t>
  </si>
  <si>
    <t>Basic Profit per Share Attributable to the Owners of the Parent (Rp)2 100 48 77</t>
  </si>
  <si>
    <t>Outstanding Shares (in '000) 15.501.310 15.501.310 - i.e. 15,501.310 million</t>
  </si>
  <si>
    <t>Final Dividend per Share (for FY2023 paid 2024)</t>
  </si>
  <si>
    <t>declare and distribute the cash dividend for the financial year of 2023 of Rp10 (Ten Rupiah) per share</t>
  </si>
  <si>
    <t>Closing Share Price 30 Dec 2024</t>
  </si>
  <si>
    <t>During the Year 15.501 5.859.495 444 350 378 732.747.400 - Closing Rp378</t>
  </si>
  <si>
    <t>Market Capitalisation (end 2024)</t>
  </si>
  <si>
    <t>IV 15.501 5.859.495 - Market Capitalisation Rp5,859,495 million</t>
  </si>
  <si>
    <t>Share Price High 2024</t>
  </si>
  <si>
    <t>During the Year 15.501 5.859.495 444 350 378</t>
  </si>
  <si>
    <t>Share Price Low 2024</t>
  </si>
  <si>
    <t>Gross Profit Margin (%) 30,3 21,0 26,1</t>
  </si>
  <si>
    <t>Operating Profit Margin (%) 20,7 12,1 16,4</t>
  </si>
  <si>
    <t>EBITDA Margin (%) 29,6 22,1 26,3</t>
  </si>
  <si>
    <t>Return on Assets (%) - Profit for the Year 4 6,0 2,6 4,2</t>
  </si>
  <si>
    <t>Return on Equity (%) 4 9,6 4,3 7,4</t>
  </si>
  <si>
    <t>Current Ratio (x) 1,51 1,05 1,10</t>
  </si>
  <si>
    <t>Gearing Ratio - Gross (x) 3 0,35 0,40 0,47</t>
  </si>
  <si>
    <t>Gearing Ratio - Net (x) 3 0,11 0,16 0,26</t>
  </si>
  <si>
    <t>Planted Area - Nucleus 288.649 293.429 294.488 (2024)</t>
  </si>
  <si>
    <t>Oil Palm 241.208 244.337 244.768 Kelapa Sawit</t>
  </si>
  <si>
    <t>• Mature 220.318 220.531 218.064 Menghasilkan</t>
  </si>
  <si>
    <t>• Immature 20.890 23.806 26.704 Belum Menghasilkan</t>
  </si>
  <si>
    <t>Rubber 16.231 16.238 16.074 Karet</t>
  </si>
  <si>
    <t>Sugar Cane 13.583 13.384 14.056 Tebu</t>
  </si>
  <si>
    <t>Other Crops (incl. timber, cocoa, tea) Area</t>
  </si>
  <si>
    <t>Others 17.627 19.470 19.590 Lainnya</t>
  </si>
  <si>
    <t>Plasma Partnership (Oil Palm &amp; Rubber) 91.523 90.867 90.551</t>
  </si>
  <si>
    <t>Riau 56.172 56.175 56.145</t>
  </si>
  <si>
    <t>North Sumatra 37.228 36.903 36.473 Sumatera Utara</t>
  </si>
  <si>
    <t>South Sumatra 95.014 94.532 95.919 Sumatera Selatan</t>
  </si>
  <si>
    <t>West Kalimantan 21.722 24.675 24.742 Kalimantan Barat</t>
  </si>
  <si>
    <t>East Kalimantan 58.851 61.640 61.651</t>
  </si>
  <si>
    <t>Central Kalimantan 10.965 10.841 10.842</t>
  </si>
  <si>
    <t>Java 3.217 3.177 3.249 Jawa</t>
  </si>
  <si>
    <t>Sulawesi 5.480 5.486 5.467</t>
  </si>
  <si>
    <t>Palm Oil Mills 27 Capacity 7.2 Mn Tonnes FFB Per Year</t>
  </si>
  <si>
    <t>Palm Oil Mills Annual FFB Processing Capacity</t>
  </si>
  <si>
    <t>t/year</t>
  </si>
  <si>
    <t>CPO Refinery 5 Capacity 1.7 Mn Tonnes CPO Per Year</t>
  </si>
  <si>
    <t>CPO Refinery Annual Capacity</t>
  </si>
  <si>
    <t>5 CPO refineries with a total annual CPO processing capacity of 1.7 million tonnes</t>
  </si>
  <si>
    <t>Sugar Mills &amp; Refineries Count</t>
  </si>
  <si>
    <t>Sugar Mills &amp; Refineries 2 Capacity 2.2 Mn Tonnes Sugar Cane Per Year</t>
  </si>
  <si>
    <t>Sugar Mill Capacity</t>
  </si>
  <si>
    <t>t cane/year</t>
  </si>
  <si>
    <t>2 sugar mills and refineries... 8,000 TCD and 4,000 TCD</t>
  </si>
  <si>
    <t>a cocoa factory</t>
  </si>
  <si>
    <t>a tea factory</t>
  </si>
  <si>
    <t>R&amp;D / Seed Breeding Centres</t>
  </si>
  <si>
    <t>Sumatra Bioscience (SumBio) at Bah Lias, North Sumatra and PT Sarana Inti Pratama (SAIN) at Pekanbaru, Riau</t>
  </si>
  <si>
    <t>Total Fresh Fruit Bunches (FFB) 3.645 3.632 3.741 Total Tandan Buah Segar (TBS)</t>
  </si>
  <si>
    <t>FFB - Nucleus 2.758 2.784 2.812 TBS Inti</t>
  </si>
  <si>
    <t>Crude Palm Oil (CPO) 706 708 736 Minyak Sawit (CPO)</t>
  </si>
  <si>
    <t>Palm Kernel (PK) 167 175 180 Inti Sawit (PK)</t>
  </si>
  <si>
    <t>Rubber 4,8 4,7 5,2 Karet</t>
  </si>
  <si>
    <t>Sugar1 54 58 57 Gula</t>
  </si>
  <si>
    <t>CPO2 690 743 701 - Sales Volume</t>
  </si>
  <si>
    <t>PK and PK Related Products3 159 184 166 (including PKO and PKE)</t>
  </si>
  <si>
    <t>Oil Palm Seeds 10,4 9,7 9,3 (million units) Benih Bibit Kelapa Sawit</t>
  </si>
  <si>
    <t>Avg Domestic CPO Price (KPB)</t>
  </si>
  <si>
    <t>domestic CPO prices (KPB) rose 17% to an average of Rp13,190 per kg in 2024</t>
  </si>
  <si>
    <t>Avg International CPO Price (CIF Rotterdam)</t>
  </si>
  <si>
    <t>international Crude Palm Oil (CPO) prices (CIF Rotterdam) climbed 15% to an average of USD1,113 per tonne</t>
  </si>
  <si>
    <t>Plantations Division Sales Growth</t>
  </si>
  <si>
    <t>Plantations and Edible Oils &amp; Fats Divisions' sales rose 10% and 9% compared to previous year</t>
  </si>
  <si>
    <t>Edible Oils &amp; Fats Division Sales Growth</t>
  </si>
  <si>
    <t>Plantations and Edible Oils &amp; Fats Divisions' sales rose 10% and 9%</t>
  </si>
  <si>
    <t>SIMP Group's ISPO-certified CPO production reached 481,000 tonnes, or 84% of total nucleus CPO production</t>
  </si>
  <si>
    <t>ISPO Certification Target</t>
  </si>
  <si>
    <t>committed to achieving 100% ISPO certification</t>
  </si>
  <si>
    <t>TCFD Framework Adoption</t>
  </si>
  <si>
    <t>TCFD-aligned reporting</t>
  </si>
  <si>
    <t>incorporates the Task Force on Climate-related Financial Disclosures (TCFD) framework</t>
  </si>
  <si>
    <t>PT Sinar Mas Agro Resources and Technology Tbk</t>
  </si>
  <si>
    <t>SMAR_2022_AR.pdf</t>
  </si>
  <si>
    <t>PT SINAR MAS AGRO RESOURCES AND TECHNOLOGY TBK - Annual and Sustainability Report 2022</t>
  </si>
  <si>
    <t>PT Purimas Sasmita 92.40%</t>
  </si>
  <si>
    <t>PT Purimas Sasmita 2,653,897,571 92.40%</t>
  </si>
  <si>
    <t>Lain-lain (masing-masing dengan kepemilikan di bawah 5%) 218,295,795 7.60%</t>
  </si>
  <si>
    <t>Parent Group (GAR)</t>
  </si>
  <si>
    <t>Golden Agri-Resources Ltd</t>
  </si>
  <si>
    <t>Bersama dengan perusahaan induk, Golden Agri-Resources Ltd</t>
  </si>
  <si>
    <t>Jumlah pegawai orang 27,500 28,900 29,900</t>
  </si>
  <si>
    <t>Jumlah pegawai wanita 7,700 8,200 8,600</t>
  </si>
  <si>
    <t>Penjualan bersih 75,046 57,004 40,434</t>
  </si>
  <si>
    <t>Laba kotor 13,312 10,957 5,877</t>
  </si>
  <si>
    <t>EBITDA1 9,531 6,118 4,094</t>
  </si>
  <si>
    <t>EBIT (Profit from Operations)</t>
  </si>
  <si>
    <t>LABA USAHA 6,600,885 mn</t>
  </si>
  <si>
    <t>BEBAN POKOK PENJUALAN 61,733,885 mn</t>
  </si>
  <si>
    <t>Selling Expense</t>
  </si>
  <si>
    <t>Penjualan 5,417,766 mn</t>
  </si>
  <si>
    <t>G&amp;A Expense</t>
  </si>
  <si>
    <t>Umum dan administrasi 1,305,228 mn</t>
  </si>
  <si>
    <t>Beban bunga dan keuangan lainnya (1,341,133) mn</t>
  </si>
  <si>
    <t>Share of Associates Profit</t>
  </si>
  <si>
    <t>Ekuitas pada laba bersih entitas asosiasi - bersih 827,679 mn</t>
  </si>
  <si>
    <t>LABA SEBELUM PAJAK 6,805,971 mn</t>
  </si>
  <si>
    <t>Jumlah Beban Pajak (1,301,015) mn</t>
  </si>
  <si>
    <t>Laba bersih tahun berjalan 5,505 2,829 1,540</t>
  </si>
  <si>
    <t>Pemilik entitas induk 5,501 2,827 1,539</t>
  </si>
  <si>
    <t>Jumlah aset 42,601 40,345 35,026</t>
  </si>
  <si>
    <t>JUMLAH ASET LANCAR 23,708,820 mn</t>
  </si>
  <si>
    <t>JUMLAH ASET TIDAK LANCAR 18,891,994 mn</t>
  </si>
  <si>
    <t>Jumlah liabilitas 23,353 25,927 22,502</t>
  </si>
  <si>
    <t>JUMLAH LIABILITAS JANGKA PENDEK 12,104,564 mn</t>
  </si>
  <si>
    <t>JUMLAH LIABILITAS JANGKA PANJANG 11,248,447 mn</t>
  </si>
  <si>
    <t>Jumlah ekuitas 19,248 14,418 12,524</t>
  </si>
  <si>
    <t>Kas dan setara kas 2,479,597 mn</t>
  </si>
  <si>
    <t>Persediaan 8,655,438 mn</t>
  </si>
  <si>
    <t>Utang bank jangka pendek 3,797,988 mn</t>
  </si>
  <si>
    <t>Utang bank dan lembaga keuangan lainnya jangka panjang 2,478,431 mn (current)</t>
  </si>
  <si>
    <t>Current Portion Bonds</t>
  </si>
  <si>
    <t>Utang obligasi 1,546,222 mn (current)</t>
  </si>
  <si>
    <t>Utang bank dan lembaga keuangan lainnya jangka panjang 4,289,184 mn</t>
  </si>
  <si>
    <t>Long-term Bonds</t>
  </si>
  <si>
    <t>Utang obligasi 6,056,436 mn (LT)</t>
  </si>
  <si>
    <t>ST bank 3,798 + LT bank curr 2,478 + bonds curr 1,546 + LT bank 4,289 + bonds LT 6,056 = 18,168</t>
  </si>
  <si>
    <t>Kas Bersih Diperoleh dari Aktivitas Operasi 4,283,273 mn</t>
  </si>
  <si>
    <t>Kas Bersih Digunakan untuk Aktivitas Investasi (1,302,637) mn</t>
  </si>
  <si>
    <t>Kas Bersih (Digunakan untuk) Aktivitas Pendanaan (3,294,229) mn</t>
  </si>
  <si>
    <t>Capex Realised</t>
  </si>
  <si>
    <t>Fixed assets 1,194 + bearer plants 85 = 1,279 mn bn</t>
  </si>
  <si>
    <t>Dividend Payments</t>
  </si>
  <si>
    <t>Pembayaran dividen (890,087) mn</t>
  </si>
  <si>
    <t>Laba per saham dasar (Rp) 1,915 984 536</t>
  </si>
  <si>
    <t>Interim Dividend 2022</t>
  </si>
  <si>
    <t>Pada 24 Agustus 2022, SMART membagikan dividen interim tunai untuk laba tahun 2022 kepada pemegang saham sebesar Rp 200 per saham atau Rp 574 miliar</t>
  </si>
  <si>
    <t>Final Dividend 2022</t>
  </si>
  <si>
    <t>2024 AR: For 2022 earnings, SMART distributed a total cash dividend of Rp 570/share; Rp 370/share balance paid June 2023</t>
  </si>
  <si>
    <t>Kuartal 4 5,975 4,410 4,950 3,541,900 14,217,357,161,700</t>
  </si>
  <si>
    <t>Market Cap Q4 2022</t>
  </si>
  <si>
    <t>Kapitalisasi Pasar 14,217,357,161,700</t>
  </si>
  <si>
    <t>Jumlah 2,872,193,366 100.00%</t>
  </si>
  <si>
    <t>Rasio pinjaman terhadap ekuitas (kali) 0.95 1.37 1.44</t>
  </si>
  <si>
    <t>Net Debt to EBITDA</t>
  </si>
  <si>
    <t>Rasio pinjaman bersih terhadap EBITDA 0.02 0.67 0.99</t>
  </si>
  <si>
    <t>EBITDA to Interest</t>
  </si>
  <si>
    <t>EBITDA terhadap beban bunga (kali) 7.11 5.51 5.49</t>
  </si>
  <si>
    <t>Rasio lancar (kali) 2.0 1.5 1.3</t>
  </si>
  <si>
    <t>Marjin kotor 17.7 19.2 14.5</t>
  </si>
  <si>
    <t>Marjin EBITDA 12.7 10.7 10.1</t>
  </si>
  <si>
    <t>Marjin bersih 7.3 5.0 3.8</t>
  </si>
  <si>
    <t>Rasio laba terhadap ekuitas 28.6 19.6 12.3</t>
  </si>
  <si>
    <t>Rasio laba terhadap aset 12.9 7.0 4.4</t>
  </si>
  <si>
    <t>USD Closing FX</t>
  </si>
  <si>
    <t>Nilai tukar US$ - penutupan 15,731</t>
  </si>
  <si>
    <t>USD Average FX</t>
  </si>
  <si>
    <t>Nilai tukar US$ - rata-rata 14,814</t>
  </si>
  <si>
    <t>Hingga akhir tahun 2022, SMART mengelola 136,402 hektar kebun kelapa sawit</t>
  </si>
  <si>
    <t>Nucleus Proportion</t>
  </si>
  <si>
    <t>Perkebunan kami terdiri dari 77% perkebunan milik sendiri (disebut inti)</t>
  </si>
  <si>
    <t>Plasma Proportion</t>
  </si>
  <si>
    <t>23% perkebunan yang dimiliki para petani (disebut plasma)</t>
  </si>
  <si>
    <t>Sumatra Proportion</t>
  </si>
  <si>
    <t>SUMATRA 47% 77% NUCLEUS MATURE KALIMANTAN 53%</t>
  </si>
  <si>
    <t>Kalimantan Proportion</t>
  </si>
  <si>
    <t>Kalimantan 53%</t>
  </si>
  <si>
    <t>Mature Proportion</t>
  </si>
  <si>
    <t>MATURE 95% Immature 5%</t>
  </si>
  <si>
    <t>Immature 0-3 yr Area</t>
  </si>
  <si>
    <t>Belum Menghasilkan 0-3 tahun Immature 0-3 years 7,187 5</t>
  </si>
  <si>
    <t>Young 4-6 yr Area</t>
  </si>
  <si>
    <t>Muda 4-6 tahun Young 4-6 years 8,835 7</t>
  </si>
  <si>
    <t>Prime 1 (7-18 yr) Area</t>
  </si>
  <si>
    <t>Utama 1 7-18 tahun Prime 1 7-18 years 54,323 40</t>
  </si>
  <si>
    <t>Prime 2 (19-25 yr) Area</t>
  </si>
  <si>
    <t>Utama 2 19-25 tahun Prime 2 19-25 years 31,667 23</t>
  </si>
  <si>
    <t>Old &gt;25 yr Area</t>
  </si>
  <si>
    <t>Tua &gt;25 tahun Old &gt;25 years 34,390 25</t>
  </si>
  <si>
    <t>Replanted Area 2022</t>
  </si>
  <si>
    <t>Selama tahun berjalan, kami melakukan peremajaan tanaman tua sekitar 2,800 hektar</t>
  </si>
  <si>
    <t>Young+Immature Area</t>
  </si>
  <si>
    <t>tanaman muda berumur hingga 6 tahun mencapai 16,022 hektar</t>
  </si>
  <si>
    <t>SMART mengoperasikan 16 PKS dengan total kapasitas terpasang tahunan sebesar 4.35 juta ton</t>
  </si>
  <si>
    <t>Mills Installed Capacity</t>
  </si>
  <si>
    <t>t/yr</t>
  </si>
  <si>
    <t>total kapasitas terpasang tahunan sebesar 4.35 juta ton</t>
  </si>
  <si>
    <t>Refinery Capacity</t>
  </si>
  <si>
    <t>pabrik rafinasi dengan kapasitas hampir 2.9 juta ton per tahun</t>
  </si>
  <si>
    <t>Kernel Crushing Capacity</t>
  </si>
  <si>
    <t>pabrik pengolahan inti sawit yang berkapasitas 810 ribu ton per tahun</t>
  </si>
  <si>
    <t>Biodiesel Plant Capacity (pre-expansion)</t>
  </si>
  <si>
    <t>pabrik biodiesel yang berkapasitas 600 ribu ton per tahun tetap beroperasi dengan kapasitas penuh</t>
  </si>
  <si>
    <t>Biodiesel Expansion (end-2022)</t>
  </si>
  <si>
    <t>kami menyelesaikan perluasan pabrik biodiesel di Kalimantan Selatan dengan tambahan kapasitas 450 ribu ton</t>
  </si>
  <si>
    <t>FFB Harvested</t>
  </si>
  <si>
    <t>Tandan buah segar (TBS) yang dipanen selama tahun berjalan meningkat 2% menjadi 2.48 juta ton</t>
  </si>
  <si>
    <t>produktivitas buah rata-rata sebesar 19.2 ton per hektar</t>
  </si>
  <si>
    <t>729 thousand tonnes, comprising 572 thousand tonnes of CPO and 157 thousand tonnes of PK</t>
  </si>
  <si>
    <t>157 thousand tonnes of PK</t>
  </si>
  <si>
    <t>Palm Product Output</t>
  </si>
  <si>
    <t>Output produk sawit 729 700 739 (000 tonnes)</t>
  </si>
  <si>
    <t>Palm Product Yield</t>
  </si>
  <si>
    <t>Produktivitas rata-rata produk sawit ini mencapai 5.1 ton per hektar</t>
  </si>
  <si>
    <t>OER (Oil Extraction Rate)</t>
  </si>
  <si>
    <t>tingkat ekstraksi minyak dan inti sawit masing-masing sebesar 20.8% dan 5.7%</t>
  </si>
  <si>
    <t>20.8% dan 5.7%</t>
  </si>
  <si>
    <t>Sales Volume</t>
  </si>
  <si>
    <t>SALES VOLUME 4.9 million mt</t>
  </si>
  <si>
    <t>Biodiesel Sales</t>
  </si>
  <si>
    <t>Penjualan biodiesel 678 646 656 (000 tonnes)</t>
  </si>
  <si>
    <t>Refinery Utilisation</t>
  </si>
  <si>
    <t>Kami berhasil meningkatkan utilisasi pabrik rafinasi menjadi 95%</t>
  </si>
  <si>
    <t>Biodiesel Utilisation</t>
  </si>
  <si>
    <t>Avg CPO Price (FOB Belawan)</t>
  </si>
  <si>
    <t>Harga rata-rata CPO - FOB Belawan 1,248 1,168 691</t>
  </si>
  <si>
    <t>FFB from RSPO Estates</t>
  </si>
  <si>
    <t>Kebun bersertifikasi RSPO 1,696 1,714 1,814</t>
  </si>
  <si>
    <t>FFB from ISPO Estates</t>
  </si>
  <si>
    <t>Kebun bersertifikasi ISPO 1,643 1,635 1,771</t>
  </si>
  <si>
    <t>Traceability to Plantation</t>
  </si>
  <si>
    <t>Kemamputelusuran rantai pasok hingga ke perkebunan 98 95 90</t>
  </si>
  <si>
    <t>HCV/HCS Area</t>
  </si>
  <si>
    <t>Identifikasi dan konservasi area NKT &amp; SKT hektar 9,300</t>
  </si>
  <si>
    <t>Conserved Forest w/ Community</t>
  </si>
  <si>
    <t>Pelestarian hutan bekerja sama dengan masyarakat setempat hektar 43,000</t>
  </si>
  <si>
    <t>Penggunaan air megaliter 7,749,207</t>
  </si>
  <si>
    <t>Smallholders Ksatria Sawit</t>
  </si>
  <si>
    <t>Petani swadaya dalam program Ksatria Sawit 146,000</t>
  </si>
  <si>
    <t>SMAR_2023_AR.pdf</t>
  </si>
  <si>
    <t>PT SINAR MAS AGRO RESOURCES AND TECHNOLOGY TBK - Annual and Sustainability Report 2023</t>
  </si>
  <si>
    <t>Others (each below 5% of ownership) 218,295,795 7.60%</t>
  </si>
  <si>
    <t>Jumlah karyawan orang 28,200 27,500 28,900</t>
  </si>
  <si>
    <t>Jumlah karyawan wanita 8,000 7,700 8,200</t>
  </si>
  <si>
    <t>Penjualan bersih 66,531 75,046 57,004</t>
  </si>
  <si>
    <t>Laba kotor 6,761 13,312 10,957</t>
  </si>
  <si>
    <t>EBITDA1 3,799 9,531 6,118</t>
  </si>
  <si>
    <t>LABA USAHA 1,483,072 mn (2023); 6,600,885 (2022)</t>
  </si>
  <si>
    <t>BEBAN POKOK PENJUALAN 59,769,661 mn</t>
  </si>
  <si>
    <t>Penjualan 3,860,766 mn</t>
  </si>
  <si>
    <t>Umum dan administrasi 1,417,050 mn</t>
  </si>
  <si>
    <t>Beban bunga dan keuangan lainnya (1,270,476) mn</t>
  </si>
  <si>
    <t>Ekuitas pada laba bersih entitas asosiasi - bersih 189,064 mn</t>
  </si>
  <si>
    <t>LABA SEBELUM PAJAK 1,108,886 mn</t>
  </si>
  <si>
    <t>Jumlah Beban Pajak (191,016) mn</t>
  </si>
  <si>
    <t>Laba bersih tahun berjalan 918 5,505 2,829</t>
  </si>
  <si>
    <t>Jumlah aset 39,716 42,601 40,345</t>
  </si>
  <si>
    <t>JUMLAH ASET LANCAR 19,141,108 mn</t>
  </si>
  <si>
    <t>JUMLAH ASET TIDAK LANCAR 20,575,255 mn</t>
  </si>
  <si>
    <t>Jumlah liabilitas 20,644 23,353 25,927</t>
  </si>
  <si>
    <t>JUMLAH LIABILITAS JANGKA PENDEK 10,225,382 mn</t>
  </si>
  <si>
    <t>JUMLAH LIABILITAS JANGKA PANJANG 10,419,118 mn</t>
  </si>
  <si>
    <t>Jumlah ekuitas 19,072 19,248 14,418</t>
  </si>
  <si>
    <t>Kas dan setara kas 1,641,844 mn</t>
  </si>
  <si>
    <t>Persediaan 8,768,787 mn</t>
  </si>
  <si>
    <t>Utang bank jangka pendek 2,922,770 mn</t>
  </si>
  <si>
    <t>Utang bank dan lembaga keuangan lainnya jangka panjang 1,580,526 mn (current)</t>
  </si>
  <si>
    <t>Utang obligasi 2,042,843 mn (current)</t>
  </si>
  <si>
    <t>Utang bank dan lembaga keuangan lainnya jangka panjang 5,439,513 mn</t>
  </si>
  <si>
    <t>Utang obligasi 4,021,714 mn (LT)</t>
  </si>
  <si>
    <t>ST bank 2,923 + LT bank curr 1,581 + bonds curr 2,043 + LT bank 5,440 + bonds LT 4,022 = 16,008</t>
  </si>
  <si>
    <t>Kas Bersih Diperoleh dari Aktivitas Operasi 4,037,932 mn</t>
  </si>
  <si>
    <t>Kas Bersih Digunakan untuk Aktivitas Investasi (1,721,787) mn</t>
  </si>
  <si>
    <t>Kas Bersih Digunakan untuk Aktivitas Pendanaan (3,137,530) mn</t>
  </si>
  <si>
    <t>Acquisition of Fixed Assets</t>
  </si>
  <si>
    <t>Aset tetap Perolehan (1,699,133) mn</t>
  </si>
  <si>
    <t>Acquisition of Bearer Plants</t>
  </si>
  <si>
    <t>Perolehan tanaman produktif (147,587) mn</t>
  </si>
  <si>
    <t>Fixed assets 1,699 + bearer plants 148 = 1,847 mn bn</t>
  </si>
  <si>
    <t>Pembayaran dividen (1,062,364) mn</t>
  </si>
  <si>
    <t>Laba per saham dasar (Rp) 320 1,915 984</t>
  </si>
  <si>
    <t>Interim Dividend 2023</t>
  </si>
  <si>
    <t>distributed a cash dividend of Rp 95 per share for 2023 earnings</t>
  </si>
  <si>
    <t>Final Dividend 2022 (paid 2023)</t>
  </si>
  <si>
    <t>For 2022 earnings: total Rp 570/share of which final Rp 370/share paid 22 June 2023</t>
  </si>
  <si>
    <t>Kuartal 4 4,410 3,700 4,000</t>
  </si>
  <si>
    <t>Kapitalisasi Pasar 11,488,773,464,000</t>
  </si>
  <si>
    <t>Rasio pinjaman terhadap ekuitas (kali) 0.84 0.95 1.37</t>
  </si>
  <si>
    <t>Rasio pinjaman bersih terhadap EBITDA 0.65 0.02 0.67</t>
  </si>
  <si>
    <t>Rasio lancar (kali) 1.9 2.0 1.5</t>
  </si>
  <si>
    <t>Marjin kotor 10.2 17.7 19.2</t>
  </si>
  <si>
    <t>Marjin EBITDA 5.7 12.7 10.7</t>
  </si>
  <si>
    <t>Marjin bersih 1.4 7.3 5.0</t>
  </si>
  <si>
    <t>Rasio laba terhadap ekuitas 4.8 28.6 19.6</t>
  </si>
  <si>
    <t>Nilai tukar US$ - penutupan 15,416</t>
  </si>
  <si>
    <t>Nilai tukar US$ - rata-rata 15,243</t>
  </si>
  <si>
    <t>SMART mengelola 134,177 hektar kebun sawit yang berlokasi di Sumatera dan Kalimantan</t>
  </si>
  <si>
    <t>Perkebunan kami terdiri dari 77% milik sendiri (disebut inti)</t>
  </si>
  <si>
    <t>23% milik para petani (disebut plasma)</t>
  </si>
  <si>
    <t>Belum Menghasilkan 0-3 tahun Immature 0-3 years 7,834 6%</t>
  </si>
  <si>
    <t>Muda 4-6 tahun Young 4-6 years 9,896 7%</t>
  </si>
  <si>
    <t>Utama 1 7-18 tahun Prime 1 7-18 years 47,783 36%</t>
  </si>
  <si>
    <t>Utama 2 19-25 tahun Prime 2 19-25 years 29,711 22%</t>
  </si>
  <si>
    <t>Tua &gt;25 tahun Old &gt;25 years 38,953 29%</t>
  </si>
  <si>
    <t>Replanted Area 2023</t>
  </si>
  <si>
    <t>Selama tahun berjalan, kami melakukan peremajaan tanaman tua sekitar 3,200 hektar</t>
  </si>
  <si>
    <t>luas tanaman yang belum menghasilkan dan tanaman muda berumur hingga 6 tahun mencapai 17,730 hektar</t>
  </si>
  <si>
    <t>pabrik rafinasi dengan kapasitas tahunan hampir 2.9 juta ton</t>
  </si>
  <si>
    <t>pabrik pengolahan inti sawit yang berkapasitas 819 ribu ton per tahun</t>
  </si>
  <si>
    <t>pabrik biodiesel berkapasitas 1.05 juta ton</t>
  </si>
  <si>
    <t>Oleochemical Plant Capacity</t>
  </si>
  <si>
    <t>Pabrik oleokimia kami yang berkapasitas 240 ribu ton</t>
  </si>
  <si>
    <t>panen Tandan Buah Segar (TBS) Perseroan turun menjadi 2.41 juta ton</t>
  </si>
  <si>
    <t>produktivitas buah rata-rata sebesar 19.1 ton per hektar</t>
  </si>
  <si>
    <t>The mills produced 722 thousand tonnes of palm products, comprising 567 thousand tonnes of CPO</t>
  </si>
  <si>
    <t>155 thousand tonnes of PK</t>
  </si>
  <si>
    <t>Output produk sawit 722 729 700 (000 tonnes)</t>
  </si>
  <si>
    <t>Produktivitas rata-rata produk sawit ini tetap stabil sebesar 5.1 ton per hektar</t>
  </si>
  <si>
    <t>Total Sales Volume</t>
  </si>
  <si>
    <t>volume penjualan yang mencapai rekor tertinggi yaitu sebesar 5.48 juta ton</t>
  </si>
  <si>
    <t>Penjualan biodiesel 904 678 646 (000 tonnes)</t>
  </si>
  <si>
    <t>Biodiesel Allocation 2023</t>
  </si>
  <si>
    <t>kL</t>
  </si>
  <si>
    <t>alokasi volume yang lebih besar yaitu 1.1 juta kilo liter untuk memenuhi mandat B35</t>
  </si>
  <si>
    <t>Harga rata-rata CPO - FOB Belawan 901 1,248 1,168</t>
  </si>
  <si>
    <t>Sales Segment - Integrated Consumer</t>
  </si>
  <si>
    <t>Sales from this segment declined by 9% to Rp 61.82 trillion</t>
  </si>
  <si>
    <t>Sales Segment - Plantations</t>
  </si>
  <si>
    <t>Sales from plantations segment were also 9% lower at Rp 7.80 trillion</t>
  </si>
  <si>
    <t>Sales Segment - Others (Oleo)</t>
  </si>
  <si>
    <t>Penjualan dari segmen lainnya ini turun 33% menjadi Rp 4.00 triliun</t>
  </si>
  <si>
    <t>Kebun bersertifikasi RSPO 1,726 1,696 1,714</t>
  </si>
  <si>
    <t>Kebun bersertifikasi ISPO 1,614 1,643 1,635</t>
  </si>
  <si>
    <t>Pabrik rafinasi kami beroperasi penuh di 2023</t>
  </si>
  <si>
    <t>pabrik biodiesel yang baru saja diperluas beroperasi dengan tingkat utilisasi 87%</t>
  </si>
  <si>
    <t>Kemamputelusuran rantai pasok hingga ke perkebunan 99 98 95</t>
  </si>
  <si>
    <t>Scope 1 FLAG GHG</t>
  </si>
  <si>
    <t>tCO2eq</t>
  </si>
  <si>
    <t>Cakupan 1 (FLAG) tCOeq 786,533</t>
  </si>
  <si>
    <t>Penggunaan air megaliter 8,839,520</t>
  </si>
  <si>
    <t>SMAR_2024_AR.pdf</t>
  </si>
  <si>
    <t>PT SINAR MAS AGRO RESOURCES AND TECHNOLOGY TBK - Annual and Sustainability Report 2024</t>
  </si>
  <si>
    <t>Bersama dengan perusahaan induk, Golden Agri-Resources Ltd (GAR)</t>
  </si>
  <si>
    <t>PEFINDO Rating</t>
  </si>
  <si>
    <t>AA- stable</t>
  </si>
  <si>
    <t>PEFINDO menegaskan kembali peringkat SMART dan obligasinya pada level AA- (Double A Minus)id dengan prospek stabil</t>
  </si>
  <si>
    <t>Countries of Sale</t>
  </si>
  <si>
    <t>&gt;60</t>
  </si>
  <si>
    <t>&gt;60 COUNTRIES MARKET</t>
  </si>
  <si>
    <t>Jumlah karyawan orang 28,100 28,200 27,500</t>
  </si>
  <si>
    <t>Jumlah karyawan wanita orang 7,800 8,000 7,700</t>
  </si>
  <si>
    <t>Penjualan bersih 78,835 66,531 75,046 Net sales</t>
  </si>
  <si>
    <t>Laba kotor 8,014 6,761 13,312 Gross profit</t>
  </si>
  <si>
    <t>EBITDA1 4,209 3,799 9,531</t>
  </si>
  <si>
    <t>LABA USAHA 2,025,151 million; 1,483,072 (2023)</t>
  </si>
  <si>
    <t>BEBAN POKOK PENJUALAN 70,821,390 (mn) 2024</t>
  </si>
  <si>
    <t>Penjualan 4,511,555 (mn)</t>
  </si>
  <si>
    <t>Umum dan administrasi 1,477,347 (mn)</t>
  </si>
  <si>
    <t>Interest &amp; Finance Charges</t>
  </si>
  <si>
    <t>Beban bunga dan keuangan lainnya (1,188,541) mn</t>
  </si>
  <si>
    <t>Ekuitas pada laba bersih entitas asosiasi - bersih 103,611 mn</t>
  </si>
  <si>
    <t>LABA SEBELUM PAJAK 1,585,442 mn</t>
  </si>
  <si>
    <t>Jumlah Beban Pajak (307,173) mn</t>
  </si>
  <si>
    <t>Laba bersih tahun berjalan 1,278 918 5,505</t>
  </si>
  <si>
    <t>Pemilik entitas induk 1,278 918 5,501</t>
  </si>
  <si>
    <t>Jumlah aset 45,333 39,716 42,601</t>
  </si>
  <si>
    <t>JUMLAH ASET LANCAR 24,441,530 mn</t>
  </si>
  <si>
    <t>JUMLAH ASET TIDAK LANCAR 20,891,601 mn</t>
  </si>
  <si>
    <t>Jumlah liabilitas 25,450 20,644 23,353</t>
  </si>
  <si>
    <t>JUMLAH LIABILITAS JANGKA PENDEK 13,370,729 mn</t>
  </si>
  <si>
    <t>JUMLAH LIABILITAS JANGKA PANJANG 12,079,345 mn</t>
  </si>
  <si>
    <t>Jumlah ekuitas 19,883 19,072 19,248</t>
  </si>
  <si>
    <t>Kas dan setara kas 1,585,735 mn</t>
  </si>
  <si>
    <t>Trade Receivables (Related)</t>
  </si>
  <si>
    <t>Pihak berelasi 2,492,670 mn</t>
  </si>
  <si>
    <t>Trade Receivables (Third-Party)</t>
  </si>
  <si>
    <t>Pihak ketiga 3,890,896 mn</t>
  </si>
  <si>
    <t>Persediaan 11,603,690 mn</t>
  </si>
  <si>
    <t>Utang bank jangka pendek 5,133,731 mn</t>
  </si>
  <si>
    <t>Utang bank dan lembaga keuangan lainnya jangka panjang 1,107,919 mn</t>
  </si>
  <si>
    <t>Utang obligasi 1,876,262 mn (current)</t>
  </si>
  <si>
    <t>Utang bank dan lembaga keuangan lainnya jangka panjang 8,930,370 mn</t>
  </si>
  <si>
    <t>Utang obligasi 2,150,445 mn (LT)</t>
  </si>
  <si>
    <t>ST bank 5,134 + LT bank curr 1,108 + LT bank 8,930 + bonds curr 1,876 + bonds LT 2,150 = 19,198</t>
  </si>
  <si>
    <t>Kas Bersih (Digunakan untuk) Aktivitas Operasi (252,837) mn</t>
  </si>
  <si>
    <t>Kas Bersih Digunakan untuk Aktivitas Investasi (2,119,047) mn</t>
  </si>
  <si>
    <t>Kas Bersih Diperoleh dari Aktivitas Pendanaan 2,293,974 mn</t>
  </si>
  <si>
    <t>Total belanja modal yang direalisasikan selama tahun 2024 adalah sebesar Rp 2.27 trillion</t>
  </si>
  <si>
    <t>Secara keseluruhan, komitmen ini bernilai sekitar Rp 1.50 trillion</t>
  </si>
  <si>
    <t>Pembayaran dividen (574,211) mn</t>
  </si>
  <si>
    <t>Laba per saham dasar (Rp) 445 320 1,915</t>
  </si>
  <si>
    <t>Interim Dividend 2024</t>
  </si>
  <si>
    <t>dividen interim secara tunai atas laba tahun 2024 sebesar Rp 105 per saham atau sejumlah Rp 302 miliar</t>
  </si>
  <si>
    <t>Kuartal 4 4,490 3,400 3,650 3,867,300 10,483,505,785,900</t>
  </si>
  <si>
    <t>Kapitalisasi Pasar Rp 10,483,505,785,900</t>
  </si>
  <si>
    <t>Gearing Ratio (Debt/Equity)</t>
  </si>
  <si>
    <t>rasio utang terhadap ekuitas Perseroan tetap sehat yaitu 0.97 kali per tanggal 31 Desember 2024</t>
  </si>
  <si>
    <t>Rasio lancar (kali) 1.8 1.9 2.0</t>
  </si>
  <si>
    <t>Rasio pinjaman bersih terhadap EBITDA (kali)3 0.59 0.65 0.02</t>
  </si>
  <si>
    <t>EBITDA terhadap beban bunga (kali) 3.54 2.99 7.11</t>
  </si>
  <si>
    <t>Marjin kotor 10.2 10.2 17.7</t>
  </si>
  <si>
    <t>Marjin EBITDA1 5.3 5.7 12.7</t>
  </si>
  <si>
    <t>Marjin bersih 1.6 1.4 7.3</t>
  </si>
  <si>
    <t>Rasio laba2 terhadap ekuitas2 6.4 4.8 28.6</t>
  </si>
  <si>
    <t>Rasio laba2 terhadap aset 2.8 2.3 12.9</t>
  </si>
  <si>
    <t>Nilai tukar US$ - penutupan (Rp per US$ 1) 16,162</t>
  </si>
  <si>
    <t>Nilai tukar US$ - rata-rata 15,827</t>
  </si>
  <si>
    <t>SMART mengelola 136,587 hektar kebun sawit yang berlokasi di Sumatera dan Kalimantan</t>
  </si>
  <si>
    <t>REGION Sumatra 46% Kalimantan 54%</t>
  </si>
  <si>
    <t>Kalimantan 54%</t>
  </si>
  <si>
    <t>Mature 90% Immature 10%</t>
  </si>
  <si>
    <t>Belum Menghasilkan 0-3 tahun 13,227 10</t>
  </si>
  <si>
    <t>Muda 4-6 tahun 10,114 7</t>
  </si>
  <si>
    <t>Utama 1 7-18 tahun 36,346 27</t>
  </si>
  <si>
    <t>Utama 2 19-25 tahun 35,235 26</t>
  </si>
  <si>
    <t>Tua &gt;25 tahun 41,665 30</t>
  </si>
  <si>
    <t>Replanted Area 2024</t>
  </si>
  <si>
    <t>kami melakukan peremajaan tanaman tua sekitar 7,900 hektar, lebih dari dua kali lipat dari tahun sebelumnya</t>
  </si>
  <si>
    <t>SMART mengoperasikan 16 PKS dengan total kapasitas terpasang tahunan sebesar 4.35 juta ton (prior-year consistent)</t>
  </si>
  <si>
    <t>pabrik rafinasi dengan kapasitas tahunan sebesar 2.88 juta ton</t>
  </si>
  <si>
    <t>pabrik pengolahan inti sawit yang berkapasitas 879,000 ton per tahun</t>
  </si>
  <si>
    <t>Pabrik oleokimia kami yang berkapasitas 240,000 ton memproduksi asam lemak (fatty acids) dan gliserin</t>
  </si>
  <si>
    <t>Bearer Plants (Mature, net)</t>
  </si>
  <si>
    <t>Tanaman telah menghasilkan 1,114,533 mn</t>
  </si>
  <si>
    <t>Bearer Plants (Immature)</t>
  </si>
  <si>
    <t>Tanaman belum menghasilkan 577,899 mn</t>
  </si>
  <si>
    <t>Aset tetap 13,705,671 mn</t>
  </si>
  <si>
    <t>Tandan Buah Segar (TBS) yang dipanen pada tahun berjalan turun menjadi 2.24 juta ton</t>
  </si>
  <si>
    <t>produktivitas rata-rata sebesar 18.2 ton per hektar</t>
  </si>
  <si>
    <t>PKS memproduksi 532,000 ton CPO dan 145,000 ton PK</t>
  </si>
  <si>
    <t>Output produk sawit 677 722 729 (000 tonnes)</t>
  </si>
  <si>
    <t>Produktivitas rata-rata produk sawit menurun menjadi 4.7 ton per hektar</t>
  </si>
  <si>
    <t>tingkat ekstraksi minyak dan inti sawit masing-masing sebesar 20.3% dan 5.5%</t>
  </si>
  <si>
    <t>mencapai rekor tertinggi yaitu 5.83 juta ton</t>
  </si>
  <si>
    <t>Penjualan biodiesel 938 904 678 (000 tonnes)</t>
  </si>
  <si>
    <t>Biodiesel Allocation 2024</t>
  </si>
  <si>
    <t>volume allocation of 1.07 million kilolitres to fulfil the Indonesian B35</t>
  </si>
  <si>
    <t>Biodiesel Allocation 2025</t>
  </si>
  <si>
    <t>25% higher volume allocation of 1.33 million kilolitres</t>
  </si>
  <si>
    <t>Harga rata-rata CPO - FOB Belawan 1,005 901 1,248</t>
  </si>
  <si>
    <t>Kebun bersertifikasi RSPO 1,650 1,726 1,696 (000 tonnes)</t>
  </si>
  <si>
    <t>Kebun bersertifikasi ISPO 1,636 1,614 1,643 (000 tonnes)</t>
  </si>
  <si>
    <t>pabrik rafinasi kami beroperasi penuh</t>
  </si>
  <si>
    <t>Kernel Crushing Utilisation</t>
  </si>
  <si>
    <t>pabrik pengolahan inti sawit dan biodiesel beroperasi dengan tingkat utilisasi masing-masing sebesar 80% dan 92%</t>
  </si>
  <si>
    <t>80% dan 92%</t>
  </si>
  <si>
    <t>Sales to Golden Agri International</t>
  </si>
  <si>
    <t>Penjualan produk sawit dan turunannya kepada Golden Agri International Pte. Ltd. sebesar Rp 24.01 triliun</t>
  </si>
  <si>
    <t>Sales to Sumber Indahperkasa</t>
  </si>
  <si>
    <t>PT Sumber Indahperkasa ... Rp 7.19 triliun</t>
  </si>
  <si>
    <t>Sales to Ivo Mas Tunggal</t>
  </si>
  <si>
    <t>PT Ivo Mas Tunggal ... Rp 7.09 triliun</t>
  </si>
  <si>
    <t>Traceability to Plantation (TTP)</t>
  </si>
  <si>
    <t>Kemamputelusuran rantai pasok hingga ke perkebunan (TTP) 99.5 99.2 98.0</t>
  </si>
  <si>
    <t>HCV/HCS Area Conserved</t>
  </si>
  <si>
    <t>Konsumsi air m3 9,700,890</t>
  </si>
  <si>
    <t>Scope 1 GHG (Non-FLAG)</t>
  </si>
  <si>
    <t>Cakupan 1 (Non-FLAG) tCOeq 785,953</t>
  </si>
  <si>
    <t>Independent Smallholders TTP</t>
  </si>
  <si>
    <t>Jumlah petani swadaya dalam program TTP Sawit Terampil 9,945</t>
  </si>
  <si>
    <t>Outstanding SMART Bonds (Public Offering)</t>
  </si>
  <si>
    <t>Shelf-Registered Bond II-IV</t>
  </si>
  <si>
    <t>Obligasi Berkelanjutan II/III/IV SMART issued 2020-2022</t>
  </si>
  <si>
    <t>SSMS_2023_AR.pdf</t>
  </si>
  <si>
    <t>PT SAWIT SUMBERMAS SARANA TBK. Laporan Tahunan 2023</t>
  </si>
  <si>
    <t>Pangkalan Bun, Central Kalimantan</t>
  </si>
  <si>
    <t>Pangkalan Bun, Kalimantan Tengah 74113</t>
  </si>
  <si>
    <t>PT Citra Borneo Indah 61.24%</t>
  </si>
  <si>
    <t>PT Citra Borneo Indah 5.833.317.100 61,24%</t>
  </si>
  <si>
    <t>PT Putra Borneo Agro Lestari 9.16%</t>
  </si>
  <si>
    <t>PT Putra Borneo Agro Lestari 915.499.308 9,16</t>
  </si>
  <si>
    <t>Masyarakat 2.776.183.592 29,15</t>
  </si>
  <si>
    <t>9.525.000.000 100,00%</t>
  </si>
  <si>
    <t>Pendapatan dari kontrak dengan pelanggan 10.703 11.240 9.264</t>
  </si>
  <si>
    <t>Beban Pokok Penjualan 7.904 6.936 5.199</t>
  </si>
  <si>
    <t>Laba Bruto 2.799 4.304 4.065</t>
  </si>
  <si>
    <t>Laba Usaha 1.196 2.626 2.018</t>
  </si>
  <si>
    <t>Beban keuangan (678.731.638)</t>
  </si>
  <si>
    <t>Laba Sebelum Pajak Penghasilan Badan 552 1.965</t>
  </si>
  <si>
    <t>Income Tax</t>
  </si>
  <si>
    <t>Pajak Penghasilan Badan (208) (490)</t>
  </si>
  <si>
    <t>Laba Tahun Berjalan setelah efek penyesuaian proforma 344 1.475</t>
  </si>
  <si>
    <t>Pemilik Entitas Induk 512 1.837</t>
  </si>
  <si>
    <t>Kepentingan Non-Pengendali 6 11</t>
  </si>
  <si>
    <t>Jumlah Aset 11.810 11.137 10.705</t>
  </si>
  <si>
    <t>Aset Lancar 5.028 4.639 4.636</t>
  </si>
  <si>
    <t>Aset Tidak Lancar 6.782 6.498 6.069</t>
  </si>
  <si>
    <t>Jumlah Liabilitas 9.820 9.092 9.250</t>
  </si>
  <si>
    <t>Liabilitas Jangka Pendek 4.755 4.172 2.705</t>
  </si>
  <si>
    <t>Liabilitas Jangka Panjang 5.066 4.920 6.545</t>
  </si>
  <si>
    <t>Jumlah Ekuitas 1.990 2.045 1.456</t>
  </si>
  <si>
    <t>Pemilik Entitas Induk – Netto 1.751 2.006</t>
  </si>
  <si>
    <t>Kas dan Setara Kas Akhir Tahun 1.237 1.807</t>
  </si>
  <si>
    <t>Utang bank jangka pendek 22 2.437.341.526 973.981.690</t>
  </si>
  <si>
    <t>Utang bank jangka panjang jatuh tempo dalam satu tahun 897.754.076 856.786.228</t>
  </si>
  <si>
    <t>Utang bank jangka panjang - setelah dikurangi 4.766.529.162</t>
  </si>
  <si>
    <t>Gross Debt (All bank loans)</t>
  </si>
  <si>
    <t>Sum Rp2,437 + 898 + 4,767 = Rp8,102 bn</t>
  </si>
  <si>
    <t>Bonds Payable (Repaid 2023)</t>
  </si>
  <si>
    <t>Utang obligasi, neto - (2022: 633.067.305)</t>
  </si>
  <si>
    <t>Arus Kas dari Aktivitas Operasi 594 2.442</t>
  </si>
  <si>
    <t>Arus Kas dari Aktivitas Investasi (1.451)</t>
  </si>
  <si>
    <t>Arus Kas dari Aktivitas Pendanaan 288</t>
  </si>
  <si>
    <t>2023 Capex: Bangunan 82 + Kendaraan 21 = Rp103 bn</t>
  </si>
  <si>
    <t>Laba per Saham (nilai penuh) 53,78 192,90</t>
  </si>
  <si>
    <t>Rasio lancar % 106</t>
  </si>
  <si>
    <t>Debt to Asset Ratio</t>
  </si>
  <si>
    <t>Rasio liabilitas terhadap jumlah aset 83</t>
  </si>
  <si>
    <t>Rasio liabilitas terhadap ekuitas 494</t>
  </si>
  <si>
    <t>NPM 4,8</t>
  </si>
  <si>
    <t>ROA 4</t>
  </si>
  <si>
    <t>ROE 26</t>
  </si>
  <si>
    <t>Triwulan IV 2023 Closing Price 1.045</t>
  </si>
  <si>
    <t>Highest Price 2023</t>
  </si>
  <si>
    <t>Triwulan I 2023 Harga Tertinggi 1.750</t>
  </si>
  <si>
    <t>Lowest Price 2023</t>
  </si>
  <si>
    <t>Triwulan IV 2023 Harga Terendah 935</t>
  </si>
  <si>
    <t>Final DPS (for FY2022)</t>
  </si>
  <si>
    <t>Dividen per Lembar Saham 149,28 (FY2022 paid 8 Jun 2023)</t>
  </si>
  <si>
    <t>Total Dividend Paid 2023</t>
  </si>
  <si>
    <t>Dividen Kas yang Dibagikan 1.421.971.112.800</t>
  </si>
  <si>
    <t>Bonds Fully Repaid</t>
  </si>
  <si>
    <t>Obligasi global senilai USD300 juta yang diterbitkan oleh Entitas Anak, SSMS Plantation Holding Pte Ltd, pada 24 Januari 2018 ... telah dilunasi sepenuhnya pada awal tahun 2023</t>
  </si>
  <si>
    <t>Total Managed Area</t>
  </si>
  <si>
    <t>Total Managed Area (Nucleus and Plasma) 115.880,80 Hektare</t>
  </si>
  <si>
    <t>Luas Lahan Ditanami Kelapa Sawit Menghasilkan (Mature) 81.405,44 Hektare</t>
  </si>
  <si>
    <t>Luas Lahan Ditanami Kelapa Sawit Belum Menghasilkan (Immature) 1.060,28 Hektare</t>
  </si>
  <si>
    <t>Other Plantation Area</t>
  </si>
  <si>
    <t>Hektar Luas Lahan Lainnya 33.309,39 Hektare</t>
  </si>
  <si>
    <t>Luas Lahan Perkebunan Petani Plasma 22.346,51 Hektare</t>
  </si>
  <si>
    <t>HGU Land Area</t>
  </si>
  <si>
    <t>Luas Lahan Perseroan Memperoleh HGU 54.481,54 Hektare</t>
  </si>
  <si>
    <t>Number of Estates</t>
  </si>
  <si>
    <t>Perkebunan Kelapa Sawit 23 Estate</t>
  </si>
  <si>
    <t>Number of Palm Oil Mills</t>
  </si>
  <si>
    <t>Pabrik Kelapa Sawit (PKS) 8 Unit</t>
  </si>
  <si>
    <t>Total Kapasitas Pengolahan Kelapa Sawit 540 Ton/H</t>
  </si>
  <si>
    <t>RSPO Certified Mills</t>
  </si>
  <si>
    <t>Pabrik Kelapa Sawit (PKS) Bersertifikat RSPO 8</t>
  </si>
  <si>
    <t>MT/year</t>
  </si>
  <si>
    <t>Pabrik Pemurnian 2.500 MT/hari atau 850.000 MT/tahun</t>
  </si>
  <si>
    <t>Fractionation Capacity</t>
  </si>
  <si>
    <t>Pabrik Fraksinasi 2.500 MT/hari atau 850.000 MT/tahun</t>
  </si>
  <si>
    <t>Pabrik Kernel Crushing 600 MT/hari atau 192.000 MT/tahun</t>
  </si>
  <si>
    <t>Biogas Plants</t>
  </si>
  <si>
    <t>Pabrik Biogas 2 Unit (Suayap + new Natai Baru 2023)</t>
  </si>
  <si>
    <t>Bio-CNG Plant (Commissioned 2023)</t>
  </si>
  <si>
    <t>Pabrik Bio-CNG Natai Baru 2023 4.800 Nm3/hari</t>
  </si>
  <si>
    <t>Tandan Buah Segar dari perkebunan inti MT 1.723.170</t>
  </si>
  <si>
    <t>FFB Plasma Production</t>
  </si>
  <si>
    <t>Tandan Buah Segar dari perkebunan plasma MT 94.226</t>
  </si>
  <si>
    <t>FFB Third-Party</t>
  </si>
  <si>
    <t>Tandan Buah Segar dari pihak ketiga MT 571.063</t>
  </si>
  <si>
    <t>Jumlah Produksi TBS MT 2.388.459 (from nucleus+plasma+3rd party: 1,723,170+94,226+571,063)</t>
  </si>
  <si>
    <t>Jumlah Produksi TBS MT 2.345.131 (processed)</t>
  </si>
  <si>
    <t>Minyak Kelapa Sawit MT 518.819</t>
  </si>
  <si>
    <t>Inti Sawit MT 99.082</t>
  </si>
  <si>
    <t>Minyak Inti Sawit MT 22.327</t>
  </si>
  <si>
    <t>RBDPO MT 746.544</t>
  </si>
  <si>
    <t>RBDP Olein Production</t>
  </si>
  <si>
    <t>RBDP Olein MT 584.864</t>
  </si>
  <si>
    <t>RBDPS (Stearin) Production</t>
  </si>
  <si>
    <t>RBDPS MT 137.360</t>
  </si>
  <si>
    <t>PFAD MT 29.323</t>
  </si>
  <si>
    <t>CPKO Production</t>
  </si>
  <si>
    <t>CPKO MT 24.998</t>
  </si>
  <si>
    <t>PKE MT 34.448</t>
  </si>
  <si>
    <t>Total Downstream Production</t>
  </si>
  <si>
    <t>Total Produksi Hilir MT 1.557.588</t>
  </si>
  <si>
    <t>Total Penjualan MT 923.408</t>
  </si>
  <si>
    <t>OER (2023)</t>
  </si>
  <si>
    <t>OER tahun 2023 yang sebesar 22,1% (per 2024 AR MDA comparison)</t>
  </si>
  <si>
    <t>Refinery Utilization 2023</t>
  </si>
  <si>
    <t>Utilisasi 91,77% (2023)</t>
  </si>
  <si>
    <t>Plantation Associates (Plasma Farmers)</t>
  </si>
  <si>
    <t>Jumlah Petani Plasma yang Menjadi Mitra Perusahaan 5.859</t>
  </si>
  <si>
    <t>Fat Content in FFB</t>
  </si>
  <si>
    <t>Ton/Ha</t>
  </si>
  <si>
    <t>Potensi minyak dalam TBS 5,91 Ton/Ha</t>
  </si>
  <si>
    <t>CBUT Consolidation Date</t>
  </si>
  <si>
    <t>2023-12-19</t>
  </si>
  <si>
    <t>penyelesaian sebagian utang PT Citra Borneo Indah melalui pengalihan shares of CBI in PT Citra Borneo Utama Tbk</t>
  </si>
  <si>
    <t>Global Bond Repaid</t>
  </si>
  <si>
    <t>USD300 million global bond issued by Subsidiary SSMS Plantation Holding Pte Ltd fully repaid in early 2023</t>
  </si>
  <si>
    <t>SSMS_2024_AR.pdf</t>
  </si>
  <si>
    <t>PT Sawit Sumbermas Sarana Tbk (SSMS)</t>
  </si>
  <si>
    <t>Jl. H. Udan Said No. 47 Pangkalan Bun Kalimantan Tengah 74113</t>
  </si>
  <si>
    <t>2013-12-12</t>
  </si>
  <si>
    <t>12 Desember 2013 di Bursa Efek Jakarta</t>
  </si>
  <si>
    <t>PT Citra Borneo Indah 62.296%</t>
  </si>
  <si>
    <t>PT Citra Borneo Indah : 62,296%</t>
  </si>
  <si>
    <t>PT Putra Borneo Agro Lestari 8.057%</t>
  </si>
  <si>
    <t>PT Putra Borneo Agro Lestari : 8,057%</t>
  </si>
  <si>
    <t>Masyarakat (masing-masing di bawah 5%) : 29,647%</t>
  </si>
  <si>
    <t>Rp952.500.000.000,- atau 9.525.000.000 lembar saham</t>
  </si>
  <si>
    <t>Jumlah Karyawan 15.766 karyawan (Perseroan dan Entitas Anak)</t>
  </si>
  <si>
    <t>Pendapatan dari Kontrak dengan Pelanggan 10.522 10.703 11.240</t>
  </si>
  <si>
    <t>Beban Pokok Penjualan (7.242) (7.904) (6.936)</t>
  </si>
  <si>
    <t>Laba Bruto / Gross Profit 3.280 2.799 4.304</t>
  </si>
  <si>
    <t>Laba Usaha / Operating Profit 1.770 1.196 2.626</t>
  </si>
  <si>
    <t>Beban Penjualan / Selling Expenses 899 855</t>
  </si>
  <si>
    <t>Beban Umum dan Administrasi 946 836</t>
  </si>
  <si>
    <t>Beban keuangan 2u,31 (611.180.311) (678.731.638)</t>
  </si>
  <si>
    <t>Laba Sebelum Pajak Penghasilan Badan 1.226 552</t>
  </si>
  <si>
    <t>Pajak Penghasilan Badan (381) (208)</t>
  </si>
  <si>
    <t>Laba Tahun Berjalan setelah Efek Penyesuaian Proforma 845 344</t>
  </si>
  <si>
    <t>Pemilik Entitas Induk 820 512</t>
  </si>
  <si>
    <t>Kepentingan Non-Pengendali 25 6</t>
  </si>
  <si>
    <t>Total Aset / Total Assets 11.765 11.810 11.137</t>
  </si>
  <si>
    <t>Aset Lancar / Current Assets 5.232 5.028 4.639</t>
  </si>
  <si>
    <t>Aset Tidak Lancar 6.533 6.782 6.498</t>
  </si>
  <si>
    <t>Total Liabilitas 8.873 9.820 9.092</t>
  </si>
  <si>
    <t>Liabilitas Jangka Pendek 4.716 4.755 4.172</t>
  </si>
  <si>
    <t>Liabilitas Jangka Panjang 4.157 5.066 4.920</t>
  </si>
  <si>
    <t>Total Ekuitas 2.891 1.990 2.045</t>
  </si>
  <si>
    <t>Pemilik Entitas Induk – Neto 2.628 1.751</t>
  </si>
  <si>
    <t>Kas dan Setara Kas Akhir Tahun 1.180 1.237 1.807</t>
  </si>
  <si>
    <t>Utang bank jangka pendek 21 2.195.100.881 2.437.341.526</t>
  </si>
  <si>
    <t>Utang bank jangka panjang jatuh tempo dalam satu tahun 21 989.173.991</t>
  </si>
  <si>
    <t>Utang bank jangka panjang - setelah dikurangi bagian jatuh tempo 3.801.160.349</t>
  </si>
  <si>
    <t>Sum of Rp2,195 + 989 + 3,801 = Rp6,985 bn</t>
  </si>
  <si>
    <t>Arus Kas dari Aktivitas Operasi 606</t>
  </si>
  <si>
    <t>Arus Kas dari Aktivitas Investasi 465 (1.451)</t>
  </si>
  <si>
    <t>Arus Kas dari Aktivitas Pendanaan (1.238)</t>
  </si>
  <si>
    <t>Total 19 (2024): Prasarana 2 + Tanah 12 + Kendaraan 4 + Bangunan -</t>
  </si>
  <si>
    <t>Acquisition of Fixed Assets (CF)</t>
  </si>
  <si>
    <t>Perolehan aset tetap (230.003.434)</t>
  </si>
  <si>
    <t>Laba per Saham (Nilai Penuh) 86,04 53,78</t>
  </si>
  <si>
    <t>Rasio Lancar / Current Ratio % 110,95 105,75</t>
  </si>
  <si>
    <t>Rasio Liabilitas terhadap Total Aset 75,42</t>
  </si>
  <si>
    <t>Rasio Liabilitas terhadap Ekuitas 306,90%</t>
  </si>
  <si>
    <t>Interest-Bearing Debt/Equity</t>
  </si>
  <si>
    <t>Rasio Utang Berbunga terhadap Ekuitas 2,45 4,11</t>
  </si>
  <si>
    <t>Rasio Margin Laba Kotor 31,17</t>
  </si>
  <si>
    <t>Rasio Margin Laba Usaha 16,82</t>
  </si>
  <si>
    <t>Margin Laba Bersih 8,03</t>
  </si>
  <si>
    <t>Return on Assets (ROA) 7,18</t>
  </si>
  <si>
    <t>Return on Equity (ROE) 29,21</t>
  </si>
  <si>
    <t>Triwulan IV 9.525.000.000 11.465.719 1.215 1.305 995 1.300</t>
  </si>
  <si>
    <t>Kapitalisasi Pasar Triwulan IV 11.465.719 (Rp-Juta)</t>
  </si>
  <si>
    <t>Highest Price 2024</t>
  </si>
  <si>
    <t>Harga Tertinggi 1.305</t>
  </si>
  <si>
    <t>Lowest Price 2024</t>
  </si>
  <si>
    <t>Harga Terendah 965</t>
  </si>
  <si>
    <t>No Cash Dividend FY2024</t>
  </si>
  <si>
    <t>Tidak dibagikan dalam bentuk dividen tunai karena dialokasikan sebagai cadangan lainnya yang akan menambah saldo laba ditahan (FY2023 decision, no payment in 2024)</t>
  </si>
  <si>
    <t>Total Managed Area (Nucleus and Plasma) 115.571 Hektare</t>
  </si>
  <si>
    <t>93.224 ha perkebunan inti</t>
  </si>
  <si>
    <t>22.347 ha perkebunan plasma</t>
  </si>
  <si>
    <t>Luas Lahan Ditanami Kelapa Sawit Menghasilkan (Mature) 81.604 Hektare</t>
  </si>
  <si>
    <t>Mature Nucleus Area</t>
  </si>
  <si>
    <t>68.941 ha perkebunan inti (mature)</t>
  </si>
  <si>
    <t>Mature Plasma Area</t>
  </si>
  <si>
    <t>12.663 ha perkebunan plasma (mature)</t>
  </si>
  <si>
    <t>Luas Lahan Ditanami Kelapa Sawit Belum Menghasilkan (Immature) 1.031 Hektare (per p.60 summary); 925 ha per p.107 MDA (286 inti + 639 plasma)</t>
  </si>
  <si>
    <t>Hektar Luas Lahan Lainnya 33.040 Hektare</t>
  </si>
  <si>
    <t>Luas Lahan Perseroan Memperoleh HGU 54.714 Hektare</t>
  </si>
  <si>
    <t>Independent Smallholders Area</t>
  </si>
  <si>
    <t>Total Area of Independent Smallholders 22.347 Hektare</t>
  </si>
  <si>
    <t>Pabrik Biogas 2 Unit (Suayap + Natai Baru, each 1.5MW)</t>
  </si>
  <si>
    <t>Bio-CNG Plant</t>
  </si>
  <si>
    <t>Pabrik Bio-CNG 1 Unit (Natai Baru, 4,800 Nm3/day)</t>
  </si>
  <si>
    <t>Refinery Plants</t>
  </si>
  <si>
    <t>Pabrik Pemurnian 1 Unit (2,500 MT/day = 850,000 MT/year)</t>
  </si>
  <si>
    <t>Kernel Crushing Plants</t>
  </si>
  <si>
    <t>Pabrik Kernel Crushing 2 Unit</t>
  </si>
  <si>
    <t>Tandan Buah Segar dari Perkebunan Inti 1.562.446 1.723.170</t>
  </si>
  <si>
    <t>Tandan Buah Segar dari Perkebunan Plasma 134.421 94.226</t>
  </si>
  <si>
    <t>Tandan Buah Segar dari Pihak Ketiga 488.647 571.063</t>
  </si>
  <si>
    <t>Total Produksi TBS 2.185.514 2.388.459</t>
  </si>
  <si>
    <t>Total TBS Olah di Pabrik 2.118.160 2.345.131</t>
  </si>
  <si>
    <t>Minyak Kelapa Sawit / Crude Palm Oil MT 461.414 518.819</t>
  </si>
  <si>
    <t>Inti Sawit / Palm Kernel MT 89.833 99.082</t>
  </si>
  <si>
    <t>Minyak Inti Sawit / Palm Kernel Oil MT 20.388 22.327</t>
  </si>
  <si>
    <t>RBDPO MT 387.457 746.929</t>
  </si>
  <si>
    <t>RBDP Olein MT 296.405 586.965</t>
  </si>
  <si>
    <t>RBDPS MT 67.660 137.134</t>
  </si>
  <si>
    <t>PFAD MT 15.064 29.323</t>
  </si>
  <si>
    <t>CPKO MT 21.099 24.998</t>
  </si>
  <si>
    <t>PKE MT 28.086 34.448</t>
  </si>
  <si>
    <t>Total Produksi Hilir 815.771 1.559.797</t>
  </si>
  <si>
    <t>Total Penjualan 806.332 923.408</t>
  </si>
  <si>
    <t>Oil Extraction Rate (OER) tahun 2024 tercatat sebesar 21,8%</t>
  </si>
  <si>
    <t>Refinery Utilization</t>
  </si>
  <si>
    <t>Utilisasi / Utilization 47,48%</t>
  </si>
  <si>
    <t>Fractionation Utilization</t>
  </si>
  <si>
    <t>Utilisasi 42,71%</t>
  </si>
  <si>
    <t>KCP Utilization</t>
  </si>
  <si>
    <t>Utilisasi 25,51% (Kernel Crushing)</t>
  </si>
  <si>
    <t>Potensi Minyak dalam TBS 5,3 Ton/Ha</t>
  </si>
  <si>
    <t>Minyak Kelapa Sawit MT 273.898</t>
  </si>
  <si>
    <t>RBDP Olein Sales Value</t>
  </si>
  <si>
    <t>RBDP Olein Rp-Juta 4.234.383</t>
  </si>
  <si>
    <t>Plantation Segment Revenue</t>
  </si>
  <si>
    <t>segmen perkebunan menyumbang 46,03% atau sebesar Rp4.843 miliar</t>
  </si>
  <si>
    <t>Plantation Segment Revenue Share</t>
  </si>
  <si>
    <t>46,03%</t>
  </si>
  <si>
    <t>Associate Indep Smallholders</t>
  </si>
  <si>
    <t>Jumlah Petani Plasma yang Menjadi Mitra Perusahaan 5.883 Orang</t>
  </si>
  <si>
    <t>Pabrik Kelapa Sawit (PKS) Bersertifikat RSPO 8 Unit</t>
  </si>
  <si>
    <t>pada 19 Desember 2023, SSMS melakukan konsolidasi terhadap PT Citra Borneo Utama Tbk (CBUT)</t>
  </si>
  <si>
    <t>Number of Subsidiaries</t>
  </si>
  <si>
    <t>Entitas Anak: MMS, KSA, MPP, SMU, TSA, MKM, SPH, SPI, SSI, CBUT (10 subsidiaries)</t>
  </si>
  <si>
    <t>SSMS_2025_AR.pdf</t>
  </si>
  <si>
    <t>Controlling Shareholder 2025</t>
  </si>
  <si>
    <t>PT Citra Borneo Indah 65.83%</t>
  </si>
  <si>
    <t>PT Citra Borneo Indah: 65,83%</t>
  </si>
  <si>
    <t>PT Putra Borneo Agro Lestari 10.13%</t>
  </si>
  <si>
    <t>PT Putra Borneo Agro Lestari: 10,13%</t>
  </si>
  <si>
    <t>Masyarakat (dibawah 5%): 24,04%</t>
  </si>
  <si>
    <t>Jumlah Saham: 9.525.000.000 lembar saham</t>
  </si>
  <si>
    <t>SML Acquisition</t>
  </si>
  <si>
    <t>PT Sawit Mandiri Lestari</t>
  </si>
  <si>
    <t>akuisisi PT Sawit Mandiri Lestari (SML) sebagai bagian dari strategi pertumbuhan anorganik</t>
  </si>
  <si>
    <t>SML Acquisition Cash Cost</t>
  </si>
  <si>
    <t>Akuisisi entitas anak baru, setelah dikurangi kas yang diperoleh 1e (1.491.420.090)</t>
  </si>
  <si>
    <t>Pendapatan dari Kontrak dengan Pelanggan 14.813 10.367 10.703</t>
  </si>
  <si>
    <t>Beban Pokok Penjualan (9.638) (7.088)</t>
  </si>
  <si>
    <t>Laba Bruto 5.175 3.279 2.799</t>
  </si>
  <si>
    <t>Laba Usaha 2.548 1.766 1.196</t>
  </si>
  <si>
    <t>Beban penjualan 30 (1.463.606.360) (904.991.243)</t>
  </si>
  <si>
    <t>Beban umum dan administrasi 30 (1.111.189.076) (946.326.561)</t>
  </si>
  <si>
    <t>Beban keuangan 31 (691.786.609) (620.193.284)</t>
  </si>
  <si>
    <t>Laba Sebelum Pajak Penghasilan Badan 1.927 1.213 552</t>
  </si>
  <si>
    <t>Pajak Penghasilan Badan 535 381 (208)</t>
  </si>
  <si>
    <t>Laba Tahun Berjalan Setelah Efek Penyesuaian Proforma 1.393 832 344</t>
  </si>
  <si>
    <t>Pemilik Entitas Induk 1.161 820 512</t>
  </si>
  <si>
    <t>Kepentingan Non-Pengendali 42 25 6</t>
  </si>
  <si>
    <t>Jumlah Aset 13.584 11.871 11.810</t>
  </si>
  <si>
    <t>Aset Lancar 5.901 5.212 5.028</t>
  </si>
  <si>
    <t>Aset Tidak Lancar 7.683 6.659 6.782</t>
  </si>
  <si>
    <t>Jumlah Liabilitas 10.643 8.986 9.820</t>
  </si>
  <si>
    <t>Liabilitas Jangka Pendek 4.613 4.751 4.755</t>
  </si>
  <si>
    <t>Liabilitas Jangka Panjang 6.029 4.235 5.066</t>
  </si>
  <si>
    <t>Jumlah Ekuitas 2.941 2.885 1.990</t>
  </si>
  <si>
    <t>Pemilik Entitas Induk – Netto 2.278 2.622 1.751</t>
  </si>
  <si>
    <t>Kas dan Setara Kas Akhir Tahun 874 1.180 1.237</t>
  </si>
  <si>
    <t>Utang bank jangka pendek 22 1.698.144.691 2.195.100.881</t>
  </si>
  <si>
    <t>Utang bank jangka panjang jatuh tempo 991.075.964</t>
  </si>
  <si>
    <t>Utang bank jangka panjang - setelah dikurangi 5.449.503.968</t>
  </si>
  <si>
    <t>Sum Rp1,698 + 991 + 5,450 = Rp8,139 bn</t>
  </si>
  <si>
    <t>Arus Kas dari Aktivitas Operasi 1.097 993</t>
  </si>
  <si>
    <t>Arus Kas dari Aktivitas Investasi (1.902)</t>
  </si>
  <si>
    <t>Arus Kas dari Aktivitas Pendanaan 494 (1.238)</t>
  </si>
  <si>
    <t>Capex (Fixed Assets Acquisition)</t>
  </si>
  <si>
    <t>Perolehan aset tetap 12,40 (402.440.814)</t>
  </si>
  <si>
    <t>Laba per Saham (nilai penuh) 121,86 86,04 53,78</t>
  </si>
  <si>
    <t>Rasio lancar % 127,92</t>
  </si>
  <si>
    <t>Rasio liabilitas terhadap jumlah aset 78,35</t>
  </si>
  <si>
    <t>Rasio liabilitas terhadap ekuitas 361,88</t>
  </si>
  <si>
    <t>Rasio margin laba kotor 34,94</t>
  </si>
  <si>
    <t>Rasio margin laba usaha 17,20</t>
  </si>
  <si>
    <t>Rasio margin laba bersih 9,40</t>
  </si>
  <si>
    <t>Return on Assets (ROA) 10,25</t>
  </si>
  <si>
    <t>Return on Equity (ROE) 47,36</t>
  </si>
  <si>
    <t>Closing Price Q4 2025</t>
  </si>
  <si>
    <t>Triwulan IV 2025 Closing Price 1.580</t>
  </si>
  <si>
    <t>Market Cap Q4 2025</t>
  </si>
  <si>
    <t>Kapitalisasi Pasar Triwulan IV 15.585.281 (Rp-Juta)</t>
  </si>
  <si>
    <t>Highest Price 2025</t>
  </si>
  <si>
    <t>Triwulan I Harga Tertinggi 2.093</t>
  </si>
  <si>
    <t>Lowest Price 2025</t>
  </si>
  <si>
    <t>Triwulan I Harga Terendah 1.277</t>
  </si>
  <si>
    <t>pembagian dividen tunai dengan total dividen sebesar Rp450 miliar (FY2024 dividend paid 21 May 2025)</t>
  </si>
  <si>
    <t>DPS Paid 2025</t>
  </si>
  <si>
    <t>nilai dividen per saham Rp47,24</t>
  </si>
  <si>
    <t>Syndicated Bank Loan Obtained</t>
  </si>
  <si>
    <t>yes/no</t>
  </si>
  <si>
    <t>Perseroan juga memperoleh fasilitas pinjaman sindikasi sebagai bagian dari strategi penguatan struktur pendanaan</t>
  </si>
  <si>
    <t>Total Managed Area (Nucleus and Plasma) 136.447 Hektare</t>
  </si>
  <si>
    <t>Perkebunan Inti 77.314 Hektare</t>
  </si>
  <si>
    <t>Perkebunan Plasma 17.500 Hektare</t>
  </si>
  <si>
    <t>Mature Area 93.726 (77.314 inti + 17.500 plasma - these appear reversed in table; mature total 93,726)</t>
  </si>
  <si>
    <t>Immature Area 1.221 (597 inti + 624 plasma)</t>
  </si>
  <si>
    <t>Other Area 41.500 (26.844 inti + 14.656 plasma)</t>
  </si>
  <si>
    <t>Total Area of Independent Smallholders 3.745,71 Hektare</t>
  </si>
  <si>
    <t>Jumlah Pabrik Kelapa Sawit (PKS) 10 PKS (8 SSMS + 2 from SML acquisition)</t>
  </si>
  <si>
    <t>ISPO Certified Mills</t>
  </si>
  <si>
    <t>Pabrik Kelapa Sawit (PKS) Bersertifikat ISPO 8</t>
  </si>
  <si>
    <t>Luas Lahan Perseroan Memperoleh Hak Guna Usaha (HGU) 68.658 Hektare</t>
  </si>
  <si>
    <t>Total Palm Oil Processing Capacity</t>
  </si>
  <si>
    <t>MT/Ha (tph)</t>
  </si>
  <si>
    <t>Total Kapasitas Pengolahan Kelapa Sawit 675 MT/Ha (tph)</t>
  </si>
  <si>
    <t>Pabrik Biogas 2 Unit</t>
  </si>
  <si>
    <t>Pabrik Bio-CNG 1 Unit</t>
  </si>
  <si>
    <t>Kernel Crushing Plant</t>
  </si>
  <si>
    <t>Pabrik Kernel Crushing 1 Unit</t>
  </si>
  <si>
    <t>Refinery Plant</t>
  </si>
  <si>
    <t>Pabrik Pemurnian 1 Unit</t>
  </si>
  <si>
    <t>Fractionation Plant</t>
  </si>
  <si>
    <t>Pabrik Fraksinasi 1 Unit</t>
  </si>
  <si>
    <t>Palm Kernel Mills</t>
  </si>
  <si>
    <t>Pabrik Inti Sawit 2 Unit</t>
  </si>
  <si>
    <t>Tandan Buah Segar dari perkebunan inti MT 1.628.452 1.562.446 1.723.170</t>
  </si>
  <si>
    <t>Tandan Buah Segar dari perkebunan plasma MT 178.559 134.421 94.226</t>
  </si>
  <si>
    <t>Tandan Buah Segar dari pihak ketiga MT 596.153 488.647 571.063</t>
  </si>
  <si>
    <t>Total Tandan Buah Segar MT 2.403.164 2.185.514 2.388.459</t>
  </si>
  <si>
    <t>TBS yang Diolah di Pabrik MT 2.382.942</t>
  </si>
  <si>
    <t>Minyak Kelapa Sawit MT 527.052 461.414 518.819</t>
  </si>
  <si>
    <t>Inti Sawit MT 104.130 89.833 99.082</t>
  </si>
  <si>
    <t>Minyak Inti Sawit MT 15.379 20.388 22.372</t>
  </si>
  <si>
    <t>RBDPO MT 569.213</t>
  </si>
  <si>
    <t>RBDP Olein MT 467.934</t>
  </si>
  <si>
    <t>RBDPS MT 101.221</t>
  </si>
  <si>
    <t>PFAD MT 21.913</t>
  </si>
  <si>
    <t>PKE MT 37.506</t>
  </si>
  <si>
    <t>Total Edible Oil Segment Production</t>
  </si>
  <si>
    <t>Total Produksi Segmen Minyak Nabati MT 1.231.329</t>
  </si>
  <si>
    <t>Minyak Inti Sawit (Crude Palm Kernel Oil) MT 28.997</t>
  </si>
  <si>
    <t>Total Penjualan MT 929.187 (Plantation+Edible Oil = 63,032+866,155)</t>
  </si>
  <si>
    <t>Oil Extraction Rate (OER) of 22.12%</t>
  </si>
  <si>
    <t>Utilisasi 71,02% (refinery)</t>
  </si>
  <si>
    <t>Utilisasi 66,97% (fractionation)</t>
  </si>
  <si>
    <t>Utilisasi 50,66% (kernel crushing)</t>
  </si>
  <si>
    <t>Potensi Minyak dalam TBS 4,86 Ton/Ha</t>
  </si>
  <si>
    <t>segmen perkebunan berhasil mencatatkan pendapatan sebesar Rp842 miliar</t>
  </si>
  <si>
    <t>segmen perkebunan berkontribusi sebesar 5,68%</t>
  </si>
  <si>
    <t>Edible Oil Segment Revenue</t>
  </si>
  <si>
    <t>Total Penjualan Rp-Miliar 13.971 9.766 10.319 (Segmen Minyak Nabati)</t>
  </si>
  <si>
    <t>ISPO Certified Nucleus</t>
  </si>
  <si>
    <t>ISPO Certified Nucleus Estate 45.733,85 Hektare</t>
  </si>
  <si>
    <t>RSPO Certified Nucleus</t>
  </si>
  <si>
    <t>Perkebunan Inti Bersertifikat RSPO 51.813,84 Hektare</t>
  </si>
  <si>
    <t>Completed 2025</t>
  </si>
  <si>
    <t>Perseroan menyelesaikan akuisisi PT Sawit Mandiri Lestari (SML) yang memiliki potensi high productivity dan a relatively young tree age profile</t>
  </si>
  <si>
    <t>Trading Suspension 2025</t>
  </si>
  <si>
    <t>2025-02-04</t>
  </si>
  <si>
    <t>Pada tanggal 4 Februari 2025, PT Bursa Efek Indonesia menghentikan sementara perdagangan Saham SSMS sebagai respons terhadap peningkatan harga kumulatif yang signifikan</t>
  </si>
  <si>
    <t>PT Triputra Agro Persada Tbk</t>
  </si>
  <si>
    <t>TAPG_2023_AR.pdf</t>
  </si>
  <si>
    <t>Laporan Tahunan 2023 PT Triputra Agro Persada Tbk</t>
  </si>
  <si>
    <t>Saham Perseroan dicatatkan di BEI dengan kode saham TAPG</t>
  </si>
  <si>
    <t>12 April 2021</t>
  </si>
  <si>
    <t>12 April 2021 Pencatatan Saham Perdana 866.200.000 Rp100 Rp200</t>
  </si>
  <si>
    <t>Major Shareholder #1</t>
  </si>
  <si>
    <t>PT Persada Capital Investama 23.24%</t>
  </si>
  <si>
    <t>1 PT Persada Capital Investama 4.614.300.000 23,243</t>
  </si>
  <si>
    <t>Major Shareholder #2</t>
  </si>
  <si>
    <t>PT Triputra Investindo Arya 22.93%</t>
  </si>
  <si>
    <t>2 PT Triputra Investindo Arya 4.551.425.500 22,926</t>
  </si>
  <si>
    <t>Major Shareholder #3</t>
  </si>
  <si>
    <t>The NT TST CO S/A Salween Investment 14.90%</t>
  </si>
  <si>
    <t>3 The NT TST CO S/A Salween Investment Pte Ltd 2.957.360.000 14,897</t>
  </si>
  <si>
    <t>Major Shareholder #4</t>
  </si>
  <si>
    <t>PT Daya Adicipta Mustika 14.02%</t>
  </si>
  <si>
    <t>4 PT Daya Adicipta Mustika 2.782.340.000 14,015</t>
  </si>
  <si>
    <t>Major Shareholder #5</t>
  </si>
  <si>
    <t>Gochean Holdings Incorporated 10.90%</t>
  </si>
  <si>
    <t>5 Gochean Holdings Incorporated 2.163.980.000 10.900</t>
  </si>
  <si>
    <t>6 Masyarakat 2.783.134.500 14,019</t>
  </si>
  <si>
    <t>Total Subsidiaries</t>
  </si>
  <si>
    <t>24 direct/indirect subsidiaries listed in Daftar Entitas Anak (AMP, BBB, GBSM, MIK, TAN, SKM, FLTI, HPS, EBL, DLJ, NPN, MSL, KSD, HPM, SAWA, KAM, PTA, YWA, AAPA, GAS, BBP, PMB, APR, ATS+ABM/SAK/BSM)</t>
  </si>
  <si>
    <t>Penjualan 8.325.887 9.345.641 6.278.123</t>
  </si>
  <si>
    <t>Beban Pokok Penjualan (6.108.590) (5.629.777)</t>
  </si>
  <si>
    <t>Laba Bruto 2.217.297 3.715.864 1.615.789</t>
  </si>
  <si>
    <t>Laba Usaha 1.372.731 3.031.586 -55</t>
  </si>
  <si>
    <t>Biaya keuangan (152.924) 34 (347.594)</t>
  </si>
  <si>
    <t>LABA SEBELUM PAJAK PENGHASILAN 1.941.098 3.689.281</t>
  </si>
  <si>
    <t>Laba Tahun Berjalan 1.661.258 3.088.745</t>
  </si>
  <si>
    <t>Pemilik entitas induk 1.608.217 2.981.120</t>
  </si>
  <si>
    <t>Laba Komprehensif Tahun Berjalan 1.681.176 3.113.047</t>
  </si>
  <si>
    <t>Total Aset 13.867.387 14.526.124 12.446.326</t>
  </si>
  <si>
    <t>Aset Lancar 2.445.565 3.679.197 -34</t>
  </si>
  <si>
    <t>Aset Tidak Lancar 11.421.822 10.846.927 5</t>
  </si>
  <si>
    <t>Kas dan setara kas 1.006.796 4 1.957.773</t>
  </si>
  <si>
    <t>Piutang usaha Pihak ketiga 85.020 5 121.265</t>
  </si>
  <si>
    <t>Persediaan 1.019.810 7 1.088.161</t>
  </si>
  <si>
    <t>Biological Assets (current)</t>
  </si>
  <si>
    <t>Aset biologis 185.126 8 204.847</t>
  </si>
  <si>
    <t>Investment in Joint Ventures</t>
  </si>
  <si>
    <t>Investasi dalam ventura bersama 3.214.873 14 2.871.438</t>
  </si>
  <si>
    <t>Aset tetap 7.482.594 12 7.292.712</t>
  </si>
  <si>
    <t>Total Liabilities 2.527.847 4.113.380 4.650.315</t>
  </si>
  <si>
    <t>Liabilitas Jangka Pendek 1.958.582 2.093.814 -6</t>
  </si>
  <si>
    <t>Liabilitas Jangka Panjang 569.265 2.019.566 -72</t>
  </si>
  <si>
    <t>Utang bank jangka pendek 75.000 16 -</t>
  </si>
  <si>
    <t>Utang bank jangka panjang 844.668 22 633.377</t>
  </si>
  <si>
    <t>Utang bank jangka panjang 201.432 22 1.700.244</t>
  </si>
  <si>
    <t>Gross Debt (total bank loans)</t>
  </si>
  <si>
    <t>Calculated: 75 (ST) + 844.67 (current LT) + 201.43 (LT) = 1,121 bn</t>
  </si>
  <si>
    <t>Total Ekuitas 11.339.540 10.412.277 7.796.011</t>
  </si>
  <si>
    <t>Belum dicadangkan 5.751.974 4.898.154</t>
  </si>
  <si>
    <t>Non-Controlling Interest</t>
  </si>
  <si>
    <t>KEPENTINGAN NONPENGENDALI 445.583 27 391.467</t>
  </si>
  <si>
    <t>CFO (Cash Flow from Operating)</t>
  </si>
  <si>
    <t>Arus Kas dari Aktivitas Operasi 1.569.363 3.175.480 -51</t>
  </si>
  <si>
    <t>CFI (Cash Flow from Investing)</t>
  </si>
  <si>
    <t>Arus Kas dari Aktivitas Investasi (441.818) (662.802) -33</t>
  </si>
  <si>
    <t>CFF (Cash Flow from Financing)</t>
  </si>
  <si>
    <t>Arus Kas dari Aktivitas Pendanaan (2.049.701) (1.883.703) 9</t>
  </si>
  <si>
    <t>Capex Realized 2023</t>
  </si>
  <si>
    <t>Pada tahun 2023, Perseroan telah merealisasikan investasi barang modal sebesar Rp802 miliar</t>
  </si>
  <si>
    <t>EPS (full Rp)</t>
  </si>
  <si>
    <t>Laba (Rugi) per Saham 81 150 59</t>
  </si>
  <si>
    <t>Jumlah Saham Beredar 19.852.540.000</t>
  </si>
  <si>
    <t>Share Price 31-Dec-2023 (Q4 close)</t>
  </si>
  <si>
    <t>IV 570 525 545 383.691.700 19.852.540.000 10.819.634.300.000</t>
  </si>
  <si>
    <t>Kapitalisasi Pasar (Rp) 10.819.634.300.000</t>
  </si>
  <si>
    <t>Dividend per Share 2022 FY (paid 2023)</t>
  </si>
  <si>
    <t>16 Juni 2023 2022 Rp38 Rp754.397 juta 25,30%</t>
  </si>
  <si>
    <t>Debt-to-Equity (Liabilities)</t>
  </si>
  <si>
    <t>Total Liabilitas/Total Ekuitas 22,3 39,5 59,6</t>
  </si>
  <si>
    <t>Total Utang Neto Grup terhadap Ekuitas Group 0,010 0,036</t>
  </si>
  <si>
    <t>Net Debt/EBITDA</t>
  </si>
  <si>
    <t>Total Utang Neto terhadap EBITDA 0,043 0,082</t>
  </si>
  <si>
    <t>Laba Bruto/Penjualan 26,6 39,8 25,7</t>
  </si>
  <si>
    <t>Aset Lancar/Liabilitas Jangka Pendek 124,9 175,7 154,2</t>
  </si>
  <si>
    <t>Total Lahan Tertanam Perkebunan Kelapa Sawit 160,5 ribu hektar</t>
  </si>
  <si>
    <t>Total Lahan Tertanam Perkebunan Kelapa Sawit Inti 136,4 ribu hektar</t>
  </si>
  <si>
    <t>Total Lahan Tertanam Perkebunan Kelapa Sawit Plasma 24,1 ribu hektar</t>
  </si>
  <si>
    <t>Total Lahan Tertanam Perkebunan Karet 1,3 ribu hektar</t>
  </si>
  <si>
    <t>Age 0-3 years (Nucleus)</t>
  </si>
  <si>
    <t>0-3 tahun years 7.164 10.263</t>
  </si>
  <si>
    <t>Age 4-6 years (Nucleus)</t>
  </si>
  <si>
    <t>4-6 tahun years 3.880 6.590</t>
  </si>
  <si>
    <t>Age 7-20 years (Nucleus)</t>
  </si>
  <si>
    <t>7-20 tahun years 118.186 132.063</t>
  </si>
  <si>
    <t>Age &gt;20 years (Nucleus)</t>
  </si>
  <si>
    <t>&gt;20 tahun years 7.155 11.628</t>
  </si>
  <si>
    <t>Sudah Menghasilkan Total 129.221 100</t>
  </si>
  <si>
    <t>Belum Menghasilkan Total 7.164 100</t>
  </si>
  <si>
    <t>Sumatra Mature Area</t>
  </si>
  <si>
    <t>Sumatra 2.123 2 3.392 47</t>
  </si>
  <si>
    <t>Central Kalimantan Mature Area</t>
  </si>
  <si>
    <t>Kalimantan Tengah 77.619 60 3.639 51</t>
  </si>
  <si>
    <t>East Kalimantan Mature Area</t>
  </si>
  <si>
    <t>Kalimantan Timur 49.479 38 133 2</t>
  </si>
  <si>
    <t>Perseroan telah memiliki 18 pabrik kelapa sawit</t>
  </si>
  <si>
    <t>18 pabrik pengolahan kelapa sawit dengan total kapasitas 995 ton per jam</t>
  </si>
  <si>
    <t>Disamping itu pada tahun 2023 telah beroperasi Kernel Crushing Plant (KCP) yang terfasilitasi dengan Pembangkit Listrik Tenaga Biogas (PLTBg)</t>
  </si>
  <si>
    <t>Total TBS Dihasilkan Perkebunan Kelapa Sawit 3.399 ribu ton</t>
  </si>
  <si>
    <t>Total TBS Dihasilkan Perkebunan Kelapa Sawit Inti 3.050 ribu ton</t>
  </si>
  <si>
    <t>Total TBS Dihasilkan Perkebunan Kelapa Sawit Plasma 348 ribu ton</t>
  </si>
  <si>
    <t>Total TBS Olah 4.203 ribu ton</t>
  </si>
  <si>
    <t>Pihak Ketiga Third Party 820</t>
  </si>
  <si>
    <t>Produksi CPO 978 ribu ton</t>
  </si>
  <si>
    <t>Produksi PK 208 ribu ton</t>
  </si>
  <si>
    <t>Produksi PKO 6,5 ribu ton</t>
  </si>
  <si>
    <t>Produksi Karet 1,3 ribu ton</t>
  </si>
  <si>
    <t>FFB Yield (avg)</t>
  </si>
  <si>
    <t>Yield TBS Rata-rata 23,6 24,5 20,3 ton per hektar</t>
  </si>
  <si>
    <t>Rendemen CPO 23,3%</t>
  </si>
  <si>
    <t>Rendemen PK 4,9%</t>
  </si>
  <si>
    <t>Harga jual rata-rata CPO turun sebesar 9% menjadi sebesar Rp11.115 per kg</t>
  </si>
  <si>
    <t>Harga jual rata-rata PK turun sebesar 34% menjadi sebesar Rp5.392 per kg</t>
  </si>
  <si>
    <t>Avg PKO Selling Price</t>
  </si>
  <si>
    <t>PKO 10.985 selling price 2023</t>
  </si>
  <si>
    <t>Penjualan kuantitas CPO naik menjadi sebanyak 677 ribu ton pada 2023</t>
  </si>
  <si>
    <t>Penjualan kuantitas PK turun menjadi sebanyak 130 ribu ton</t>
  </si>
  <si>
    <t>CPO Market Share (domestic)</t>
  </si>
  <si>
    <t>produksi CPO Perseroan tahun 2023 mencapai 978 ribu ton atau berada di sekitar 2,1% dari pangsa pasar nasional</t>
  </si>
  <si>
    <t>Palm Oil Segment Revenue</t>
  </si>
  <si>
    <t>Segmen Usaha Perkebunan Kelapa Sawit Pendapatan 8.302.592</t>
  </si>
  <si>
    <t>CPO Segment Revenue</t>
  </si>
  <si>
    <t>CPO 7.524.895 8.135.121 -8</t>
  </si>
  <si>
    <t>PK Segment Revenue</t>
  </si>
  <si>
    <t>PK 698.723 1.163.623 -40</t>
  </si>
  <si>
    <t>PKO Segment Revenue</t>
  </si>
  <si>
    <t>PKO 69.204</t>
  </si>
  <si>
    <t>Segmen Usaha Perkebunan Karet Pendapatan 23.295 26.190 -11</t>
  </si>
  <si>
    <t>Biogas Power Plant (PLTBg)</t>
  </si>
  <si>
    <t>1 (Central Kalimantan)</t>
  </si>
  <si>
    <t>telah beroperasi Kernel Crushing Plant (KCP) yang terfasilitasi dengan Pembangkit Listrik Tenaga Biogas (PLTBg) di Kalimantan Tengah</t>
  </si>
  <si>
    <t>TAPG_2024_AR.pdf</t>
  </si>
  <si>
    <t>Laporan Tahunan 2024 PT Triputra Agro Persada Tbk</t>
  </si>
  <si>
    <t>PT Persada Capital Investama 33.07%</t>
  </si>
  <si>
    <t>1 PT Persada Capital Investama 6.565.109.373 33,07</t>
  </si>
  <si>
    <t>PT Triputra Investindo Arya 24.05%</t>
  </si>
  <si>
    <t>2 PT Triputra Investindo Arya 4.775.024.955 24,05</t>
  </si>
  <si>
    <t>PT Daya Adicipta Mustika 19.94%</t>
  </si>
  <si>
    <t>4 PT Daya Adicipta Mustika 3.958.643.004 19,94</t>
  </si>
  <si>
    <t>T. Permadi Rachmat 5.19%</t>
  </si>
  <si>
    <t>6 T. Permadi Rachmat. IR 1.030.149.800 5,19</t>
  </si>
  <si>
    <t>1 Masyarakat 3.523.612.868 17,75</t>
  </si>
  <si>
    <t>Salween Investment Exit</t>
  </si>
  <si>
    <t>0% (divested from 14.90%)</t>
  </si>
  <si>
    <t>3 The NT TST CO S/A Salween Investment Pte Ltd 2.957.360.000 14,90 0 0,00</t>
  </si>
  <si>
    <t>Gochean Holdings Exit</t>
  </si>
  <si>
    <t>0% (divested from 10.90%)</t>
  </si>
  <si>
    <t>5 Gochean Holdings Incorporated 2.163.980.000 10,90 0 0,00</t>
  </si>
  <si>
    <t>RSPO Certification (FLTI)</t>
  </si>
  <si>
    <t>28 March 2024</t>
  </si>
  <si>
    <t>FLTI Mendapatkan Sertifikat RSPO - PT First Lamandau Timber International berhasil meraih sertifikat Roundtable of Sustainable Palm Oil (RSPO)</t>
  </si>
  <si>
    <t>ATP Bio Indonesia JV</t>
  </si>
  <si>
    <t>49% JV with Aisin Takaoka</t>
  </si>
  <si>
    <t>Perseroan mendirikan perusahaan patungan dengan Aisin Takaoka Co., Ltd (Jepang) yaitu PT ATP Bio Indonesia untuk memproduksi biokokas (bio-molded coal) berbasis cangkang sawit</t>
  </si>
  <si>
    <t>Penjualan 9.671.463 8.325.887 9.345.641</t>
  </si>
  <si>
    <t>Beban Pokok Penjualan (5.948.685) (6.108.590) (3)</t>
  </si>
  <si>
    <t>Laba Bruto 3.722.779 2.217.297 3.715.864</t>
  </si>
  <si>
    <t>Laba Usaha 3.044.614 1.372.731 122</t>
  </si>
  <si>
    <t>Biaya keuangan (75.443) 33 (152.924)</t>
  </si>
  <si>
    <t>Share of Profit from JV/Associates</t>
  </si>
  <si>
    <t>Bagian laba dari ventura bersama dan entitas asosiasi 893.767 14a,14b 643.293</t>
  </si>
  <si>
    <t>Laba Tahun Berjalan 3.240.599 1.661.258 3.088.745</t>
  </si>
  <si>
    <t>Pemilik entitas induk 3.120.276 1.608.217 2.981.120</t>
  </si>
  <si>
    <t>Laba Komprehensif Tahun Berjalan 3.355.408 1.681.176 3.113.047</t>
  </si>
  <si>
    <t>Jumlah Aset 14.307.265 13.867.387 14.526.124</t>
  </si>
  <si>
    <t>Aset Lancar 3.246.648 2.445.565 33</t>
  </si>
  <si>
    <t>Aset Tidak Lancar 11.060.617 11.421.822 (3)</t>
  </si>
  <si>
    <t>Kas dan setara kas 1.309.216 4 1.006.796</t>
  </si>
  <si>
    <t>Piutang usaha Pihak ketiga 226.539 5 85.020</t>
  </si>
  <si>
    <t>Persediaan 1.034.544 7 1.019.810</t>
  </si>
  <si>
    <t>Aset biologis 393.534 8 185.126</t>
  </si>
  <si>
    <t>Investasi dalam ventura bersama 2.944.729 14a 3.214.873</t>
  </si>
  <si>
    <t>Aset tetap 7.388.269 12 7.482.594</t>
  </si>
  <si>
    <t>Jumlah Liabilities 3.030.836 2.527.847 4.113.380</t>
  </si>
  <si>
    <t>Liabilitas Jangka Pendek 2.362.276 1.958.582 21</t>
  </si>
  <si>
    <t>Liabilitas Jangka Panjang 668.560 569.265 17</t>
  </si>
  <si>
    <t>Utang bank jangka pendek 620.000 16 75.000</t>
  </si>
  <si>
    <t>Bagian lancar atas utang bank jangka panjang 150.003 22 844.668</t>
  </si>
  <si>
    <t>Utang bank jangka panjang 329.996 22 201.432</t>
  </si>
  <si>
    <t>Calculated: 620 (ST) + 150 (current LT) + 330 (LT) = 1,100 bn</t>
  </si>
  <si>
    <t>Jumlah Ekuitas 11.276.429 11.339.540 10.412.277</t>
  </si>
  <si>
    <t>Belum dicadangkan 5.556.876 5.751.974</t>
  </si>
  <si>
    <t>KEPENTINGAN NONPENGENDALI 468.524 26 445.583</t>
  </si>
  <si>
    <t>Arus Kas dari Aktivitas Operasi 3.239.185 1.569.363 106</t>
  </si>
  <si>
    <t>Arus Kas dari Aktivitas Investasi 576.160 (441.818) 230</t>
  </si>
  <si>
    <t>Arus Kas dari Aktivitas Pendanaan (3.516.260) (2.049.701) 72</t>
  </si>
  <si>
    <t>Capex Realized 2024</t>
  </si>
  <si>
    <t>Pada tahun 2024, Perseroan telah merealisasikan investasi barang modal sebesar Rp588 miliar</t>
  </si>
  <si>
    <t>Laba (Rugi) per Saham 157 81 150</t>
  </si>
  <si>
    <t>Share Price 31-Dec-2024 (Q4 close)</t>
  </si>
  <si>
    <t>IV 995 700 765 1.541.666.500 19.852.540.000 15.187.193.100.000</t>
  </si>
  <si>
    <t>Kapitalisasi Pasar 15.187.193.100.000</t>
  </si>
  <si>
    <t>8 November 2024 2024 Rp76 (interim) Rp1.508.793 juta 46,6%</t>
  </si>
  <si>
    <t>Final Dividend for FY2023 (paid 2024)</t>
  </si>
  <si>
    <t>15 Mei 2024 2023 Rp91 Rp1.806.581 juta 108,7%</t>
  </si>
  <si>
    <t>Total Liabilitas/Total Ekuitas 26,9 22,3 39,5</t>
  </si>
  <si>
    <t>Liabilitas Berbunga Bersih terhadap Ekuitas (0,019) 0,010</t>
  </si>
  <si>
    <t>Liabilitas Berbunga Bersih terhadap EBITDA (0,045) 0,043</t>
  </si>
  <si>
    <t>Aset Lancar/Liabilitas Jangka Pendek 137,4 124,9 175,7</t>
  </si>
  <si>
    <t>Laba Bruto/Penjualan 38,5 26,6 39,8</t>
  </si>
  <si>
    <t>Total Lahan Tertanam Perkebunan Kelapa Sawit 160,8 ribu hektar</t>
  </si>
  <si>
    <t>Total Lahan Tertanam Perkebunan Kelapa Sawit Inti 135,6 ribu hektar</t>
  </si>
  <si>
    <t>Total Lahan Tertanam Perkebunan Kelapa Sawit Plasma 25,2 ribu hektar</t>
  </si>
  <si>
    <t>0-3 tahun years 7.416 10.649</t>
  </si>
  <si>
    <t>4-6 tahun years 4.375 6.942</t>
  </si>
  <si>
    <t>7-20 tahun years 117.008 131.939</t>
  </si>
  <si>
    <t>&gt;20 tahun years 6.796 11.268</t>
  </si>
  <si>
    <t>Sudah Menghasilkan Total 128.178 100</t>
  </si>
  <si>
    <t>Belum Menghasilkan Total 7.416 100</t>
  </si>
  <si>
    <t>Sumatra 2.506 2 3.072 41</t>
  </si>
  <si>
    <t>Kalimantan Tengah 76.288 60 4.280 58</t>
  </si>
  <si>
    <t>Kalimantan Timur 49.384 38 64 1</t>
  </si>
  <si>
    <t>Perseroan melalui anak perusahaan dan perusahaan asosiasi telah memiliki 18 pabrik pengolahan kelapa sawit</t>
  </si>
  <si>
    <t>18 pabrik pengolahan kelapa sawit dengan total kapasitas 995 ton per jam yang terletak di Jambi, Kalimantan Tengah, dan Kalimantan Timur</t>
  </si>
  <si>
    <t>KCP yang terfasilitasi dengan Pembangkit Listrik Tenaga Biogas (PLTBg) di Kalimantan Tengah yang menghasilkan PKO</t>
  </si>
  <si>
    <t>Total TBS Dihasilkan Perkebunan Kelapa Sawit 3.276 ribu ton</t>
  </si>
  <si>
    <t>Total TBS Dihasilkan Perkebunan Kelapa Sawit Inti 2.946 ribu ton</t>
  </si>
  <si>
    <t>Total TBS Dihasilkan Perkebunan Kelapa Sawit Plasma 330 ribu ton</t>
  </si>
  <si>
    <t>Total TBS Olah 3.962 ribu ton</t>
  </si>
  <si>
    <t>Pihak Ketiga 679 Third Party</t>
  </si>
  <si>
    <t>Produksi CPO 916 ribu ton</t>
  </si>
  <si>
    <t>Produksi PK 193 ribu ton</t>
  </si>
  <si>
    <t>Produksi PKO 20,3 ribu ton</t>
  </si>
  <si>
    <t>Produksi Karet 1,1 ribu ton</t>
  </si>
  <si>
    <t>Yield TBS Rata-rata 23,0 23,6 24,5 ton per hektar</t>
  </si>
  <si>
    <t>Rendemen CPO 23,1%</t>
  </si>
  <si>
    <t>Harga jual rata-rata CPO 13.156 11.115 18</t>
  </si>
  <si>
    <t>PK 7.891 5.392 46</t>
  </si>
  <si>
    <t>PKO 19.101 10.985 74</t>
  </si>
  <si>
    <t>Penjualan (ribu ton) CPO 636.021 676.987 -6</t>
  </si>
  <si>
    <t>PK 110.558 129.589 -15</t>
  </si>
  <si>
    <t>PKO 19.500 6.300 210</t>
  </si>
  <si>
    <t>FFB Production Sumatra</t>
  </si>
  <si>
    <t>Sumatra 63 (thousand tons, 2024 nucleus)</t>
  </si>
  <si>
    <t>FFB Production Central Kalimantan</t>
  </si>
  <si>
    <t>Kalimantan Tengah 1.801 (thousand tons)</t>
  </si>
  <si>
    <t>FFB Production East Kalimantan</t>
  </si>
  <si>
    <t>Kalimantan Timur 1.083 (thousand tons)</t>
  </si>
  <si>
    <t>Segmen Usaha Perkebunan Kelapa Sawit Pendapatan 9.640.778 8.302.592 16</t>
  </si>
  <si>
    <t>CPO 8.367.543 7.524.895 11</t>
  </si>
  <si>
    <t>PK 872.463 698.723 25</t>
  </si>
  <si>
    <t>PKO 372.478 69.204 438</t>
  </si>
  <si>
    <t>Segmen Usaha Perkebunan Karet Pendapatan 30.685 23.295 32</t>
  </si>
  <si>
    <t>Palm Oil Segment Operating Profit</t>
  </si>
  <si>
    <t>Laba Usaha Segmen 3.036.382 1.327.887 129</t>
  </si>
  <si>
    <t>1 in Central Kalimantan</t>
  </si>
  <si>
    <t>Central Kalimantan 10 Palm Oil Plantation 9 PKS 1 KCP &amp; PLTBg</t>
  </si>
  <si>
    <t>Biocoke JV Capacity Plan</t>
  </si>
  <si>
    <t>Palm shell-based biocoke (bio-molded coal)</t>
  </si>
  <si>
    <t>PT ATP Bio Indonesia untuk memproduksi biokokas (bio-molded coal) berbasis cangkang sawit</t>
  </si>
  <si>
    <t>Green Gold Label Certification</t>
  </si>
  <si>
    <t>2 subsidiaries (GBSM, DLJ)</t>
  </si>
  <si>
    <t>Dua perusahaan anak Perseroan yaitu GBSM dan DLJ sukses meraih sertifikat Green Gold Label (GGL)</t>
  </si>
  <si>
    <t>TAPG_2025_AR.pdf</t>
  </si>
  <si>
    <t>Laporan Tahunan 2025 PT Triputra Agro Persada Tbk</t>
  </si>
  <si>
    <t>1. PT Persada Capital Investama 6.565.109.373 33,07 6.565.109.373 33,07</t>
  </si>
  <si>
    <t>PT Triputra Investindo Arya 24.06%</t>
  </si>
  <si>
    <t>2. PT Triputra Investindo Arya 4.775.024.955 24,05 4.776.862.055 24,06</t>
  </si>
  <si>
    <t>3. PT Daya Adicipta Mustika 3.958.643.004 19,94 3.958.643.004 19,94</t>
  </si>
  <si>
    <t>T. Permadi Rachmat 5.09%</t>
  </si>
  <si>
    <t>4. T. Permadi Rachmat. Ir 1.030.149.800 5,19 1.010.175.200 5,09</t>
  </si>
  <si>
    <t>1. Masyarakat 3.523.612.868 17,75 3.541.750.368 17,84</t>
  </si>
  <si>
    <t>Penjualan 11.402.198 9.671.463 8.325.887</t>
  </si>
  <si>
    <t>Beban Pokok Penjualan (6.904.581) (5.948.685) 16,1</t>
  </si>
  <si>
    <t>Laba Bruto 4.497.617 3.722.779 2.217.297</t>
  </si>
  <si>
    <t>Laba Usaha 3.543.254 3.044.614 16,4</t>
  </si>
  <si>
    <t>Biaya keuangan (56.860) 33 (75.443)</t>
  </si>
  <si>
    <t>Laba Tahun Berjalan 3.845.347 3.240.599 1.661.258</t>
  </si>
  <si>
    <t>Pemilik entitas induk 3.702.266 3.120.276 1.608.217</t>
  </si>
  <si>
    <t>Laba Komprehensif Tahun Berjalan 3.818.599 3.355.408 1.681.176</t>
  </si>
  <si>
    <t>Jumlah Aset 14.696.563 14.307.265 13.867.387</t>
  </si>
  <si>
    <t>Aset Lancar 3.981.264 3.246.648 22,6</t>
  </si>
  <si>
    <t>Aset Tidak Lancar 10.715.299 11.060.617 (3,1)</t>
  </si>
  <si>
    <t>Kas dan setara kas 1.651.433 4 1.309.216</t>
  </si>
  <si>
    <t>Piutang usaha Pihak ketiga 132.957 5 226.539</t>
  </si>
  <si>
    <t>Persediaan 1.092.154 7 1.034.544</t>
  </si>
  <si>
    <t>Aset biologis 350.912 8 393.534</t>
  </si>
  <si>
    <t>Investasi dalam ventura bersama 2.640.217 14a 2.944.729</t>
  </si>
  <si>
    <t>Aset tetap 7.244.013 12 7.388.269</t>
  </si>
  <si>
    <t>Jumlah Liabilities 3.009.078 3.030.836 2.527.847</t>
  </si>
  <si>
    <t>Liabilitas Jangka Pendek 1.869.806 2.362.276 (20,9)</t>
  </si>
  <si>
    <t>Liabilitas Jangka Panjang 1.139.272 668.560 70,4</t>
  </si>
  <si>
    <t>Utang bank jangka pendek 280.000 16 620.000</t>
  </si>
  <si>
    <t>Bagian lancar atas utang bank jangka panjang 52.961 22 150.003</t>
  </si>
  <si>
    <t>Utang bank jangka panjang 766.449 22 329.996</t>
  </si>
  <si>
    <t>Calculated: 280 (ST) + 53 (current LT) + 766 (LT) = 1,099 bn</t>
  </si>
  <si>
    <t>Jumlah Ekuitas 11.687.485 11.276.429 11.339.540</t>
  </si>
  <si>
    <t>Belum dicadangkan 5.983.473 5.556.876</t>
  </si>
  <si>
    <t>KEPENTINGAN NONPENGENDALI 478.406 26 468.524</t>
  </si>
  <si>
    <t>Arus Kas dari Aktivitas Operasi 3.431.453 3.239.185 5,9</t>
  </si>
  <si>
    <t>Arus Kas dari Aktivitas Investasi 373.393 576.160 (35,2)</t>
  </si>
  <si>
    <t>Arus Kas dari Aktivitas Pendanaan (3.465.409) (3.516.260) (1,5)</t>
  </si>
  <si>
    <t>Capex Realized 2025</t>
  </si>
  <si>
    <t>Pada tahun 2025, Perseroan telah merealisasikan investasi barang modal sebesar Rp637 miliar</t>
  </si>
  <si>
    <t>Laba (Rugi) per Saham 186 157 81</t>
  </si>
  <si>
    <t>Share Price 31-Dec-2025 (Q4 close)</t>
  </si>
  <si>
    <t>IV 1.990 1.375 1.500 995.970.800 19.852.540.000 29.778.810.000.000</t>
  </si>
  <si>
    <t>Kapitalisasi Pasar 29.778.810.000.000</t>
  </si>
  <si>
    <t>Interim Dividend Aug 2025</t>
  </si>
  <si>
    <t>8 Agustus 2025 2025 Rp39 (interim) 774.249 20,1%</t>
  </si>
  <si>
    <t>Interim Dividend Nov 2025</t>
  </si>
  <si>
    <t>11 November 2025 2025 Rp50 (interim) 992.627 25,8%</t>
  </si>
  <si>
    <t>Final Dividend FY2024 (paid 2025)</t>
  </si>
  <si>
    <t>8 Mei 2025 2024 Rp76 1.508.793 46,6%</t>
  </si>
  <si>
    <t>Total Liabilitas/Total Ekuitas 25,7 26,9 22,3</t>
  </si>
  <si>
    <t>Liabilitas Berbunga Bersih Terhadap Ekuitas (0,047) (0,019)</t>
  </si>
  <si>
    <t>Liabilitas Berbunga Bersih terhadap EBITDA (0,104) (0,045)</t>
  </si>
  <si>
    <t>Aset Lancar/Liabilitas Jangka Pendek 212,9 137,4 124,9</t>
  </si>
  <si>
    <t>Rasio Kas 88,3% 55,4%</t>
  </si>
  <si>
    <t>Laba Bruto/Penjualan 39,4 38,5 26,6</t>
  </si>
  <si>
    <t>Laba (Rugi) Periode Berjalan/Total Aset 26,2 22,7 12,0</t>
  </si>
  <si>
    <t>Laba (Rugi) Periode Berjalan/Total Ekuitas 32,9 28,7 14,7</t>
  </si>
  <si>
    <t>Total Lahan Tertanam Perkebunan Kelapa Sawit 159,7 ribu hektar</t>
  </si>
  <si>
    <t>Total Lahan Tertanam Perkebunan Kelapa Sawit Inti 132,8 ribu hektar</t>
  </si>
  <si>
    <t>Total Lahan Tertanam Perkebunan Kelapa Sawit Plasma 26,9 ribu hektar</t>
  </si>
  <si>
    <t>0-3 tahun years 7.613 11.059</t>
  </si>
  <si>
    <t>4-6 tahun years 4.853 7.059</t>
  </si>
  <si>
    <t>7-20 tahun years 115.804 132.054</t>
  </si>
  <si>
    <t>&gt;20 tahun years 4.544 9.535</t>
  </si>
  <si>
    <t>Sudah Menghasilkan Total 125.201 100</t>
  </si>
  <si>
    <t>Belum Menghasilkan Total 7.613 100</t>
  </si>
  <si>
    <t>Sumatra 3.204 3 2.172 29</t>
  </si>
  <si>
    <t>Kalimantan Tengah 73.927 59 5.128 67</t>
  </si>
  <si>
    <t>Kalimantan Timur 48.070 38 313 4</t>
  </si>
  <si>
    <t>KCP operational in Central Kalimantan with PLTBg biogas plant</t>
  </si>
  <si>
    <t>Total TBS Dihasilkan Perkebunan Kelapa Sawit 3.425 ribu ton</t>
  </si>
  <si>
    <t>Total TBS Dihasilkan Perkebunan Kelapa Sawit Inti 3.040 ribu ton</t>
  </si>
  <si>
    <t>Total TBS Dihasilkan Perkebunan Kelapa Sawit Plasma 384 ribu ton</t>
  </si>
  <si>
    <t>Total TBS Olah 4.089 ribu ton</t>
  </si>
  <si>
    <t>Pihak Ketiga 659 Third Party</t>
  </si>
  <si>
    <t>Produksi CPO 953 ribu ton</t>
  </si>
  <si>
    <t>Produksi PK 202 ribu ton</t>
  </si>
  <si>
    <t>Produksi PKO 22,1 ribu ton</t>
  </si>
  <si>
    <t>Produksi Karet 0,8 ribu ton</t>
  </si>
  <si>
    <t>Yield TBS Rata-rata 24,3 23,0 23,6 ton per hektar</t>
  </si>
  <si>
    <t>Harga jual rata-rata CPO 14.220 13.156 8</t>
  </si>
  <si>
    <t>PK 11.967 7.891 52</t>
  </si>
  <si>
    <t>PKO 26.212 19.101 37</t>
  </si>
  <si>
    <t>Penjualan (ton) CPO 658.917 636.021 4</t>
  </si>
  <si>
    <t>PK 113.364 110.558 3</t>
  </si>
  <si>
    <t>PKO 22.399 19.500 15</t>
  </si>
  <si>
    <t>Sumatra 87 (thousand tons, 2025 nucleus)</t>
  </si>
  <si>
    <t>Kalimantan Tengah 1.810 (thousand tons)</t>
  </si>
  <si>
    <t>Kalimantan Timur 1.143 (thousand tons)</t>
  </si>
  <si>
    <t>Segmen Usaha Perkebunan Kelapa Sawit Pendapatan 11.378.649 9.640.778 18</t>
  </si>
  <si>
    <t>CPO 9.369.969 8.367.543 12</t>
  </si>
  <si>
    <t>PK 1.356.630 872.463 55</t>
  </si>
  <si>
    <t>PKO 587.121 372.478 58</t>
  </si>
  <si>
    <t>Segmen Usaha Perkebunan Karet Pendapatan 23.549 30.685 (23)</t>
  </si>
  <si>
    <t>Laba Usaha Segmen 3.637.063 3.036.382 20</t>
  </si>
  <si>
    <t>PKO Market Share (domestic)</t>
  </si>
  <si>
    <t>produksi PKO Perseroan tahun 2025 mencapai 22 ribu ton atau di bawah 0,4% dari pasar nasional</t>
  </si>
  <si>
    <t>2026 Strategy - New Mill Plan</t>
  </si>
  <si>
    <t>1 new palm oil mill in East Kalimantan</t>
  </si>
  <si>
    <t>1. Membangun pabrik kelapa sawit baru di Kalimantan Timur</t>
  </si>
  <si>
    <t>PKS with PLTBg Biogas Plant operational in Central Kalimantan</t>
  </si>
  <si>
    <t>PT Teladan Prima Agro Tbk</t>
  </si>
  <si>
    <t>TLDN_2023_AR.pdf</t>
  </si>
  <si>
    <t>PT Teladan Prima Agro Tbk - Perusahaan Terbuka</t>
  </si>
  <si>
    <t>Kode Saham TLDN; Pencatatan Saham 12 April 2022</t>
  </si>
  <si>
    <t>12 April 2022</t>
  </si>
  <si>
    <t>Pencatatan Saham 12 April 2022</t>
  </si>
  <si>
    <t>PT Teladan Resources 59.88%</t>
  </si>
  <si>
    <t>PT Teladan Resources* 59,88%; Dimiliki dan dikendalikan oleh Wiwoho Basuki Tjokronegoro dan keluarga.</t>
  </si>
  <si>
    <t>Ahmad Gunung Ownership</t>
  </si>
  <si>
    <t>Ahmad Gunung : 16,22%</t>
  </si>
  <si>
    <t>Wishnu Wardhana Ownership</t>
  </si>
  <si>
    <t>Wishnu Wardhana : 16,22%</t>
  </si>
  <si>
    <t>Masyarakat / Public : 7,50%</t>
  </si>
  <si>
    <t>10 May 2004</t>
  </si>
  <si>
    <t>Tanggal Pendirian 10 Mei 2004</t>
  </si>
  <si>
    <t>Jumlah Karyawan 11.359 karyawan (per Desember 2023)</t>
  </si>
  <si>
    <t>Perseroan mempunyai 9 Entitas Anak</t>
  </si>
  <si>
    <t>Pendapatan 4.007.082 3.613.177 (in million Rp)</t>
  </si>
  <si>
    <t>Beban Pokok Penjualan (2.936.769) (2.366.654)</t>
  </si>
  <si>
    <t>Laba Bruto 1.070.313 1.246.522</t>
  </si>
  <si>
    <t>Laba Usaha 710.026 835.657</t>
  </si>
  <si>
    <t>Beban Keuangan (107.542) (142.876)</t>
  </si>
  <si>
    <t>Laba Sebelum Pajak Penghasilan 621.149 705.841</t>
  </si>
  <si>
    <t>Beban Pajak Penghasilan (169.355) (131.862)</t>
  </si>
  <si>
    <t>Laba Tahun Berjalan 451.794 573.979</t>
  </si>
  <si>
    <t>Pemilik Entitas Induk 451.790 573.974</t>
  </si>
  <si>
    <t>Total Aset 5.423.799 5.224.552</t>
  </si>
  <si>
    <t>Aset Lancar 1.613.999 1.756.867</t>
  </si>
  <si>
    <t>Aset Tidak Lancar 3.809.800 3.467.685</t>
  </si>
  <si>
    <t>Total Liabilitas 2.965.522 3.044.544</t>
  </si>
  <si>
    <t>Liabilitas Jangka Pendek 1.689.684 1.521.099</t>
  </si>
  <si>
    <t>Liabilitas Jangka Panjang 1.275.838 1.523.446</t>
  </si>
  <si>
    <t>Ekuitas 2.458.277 2.180.007</t>
  </si>
  <si>
    <t>Saldo Kas dan Setara Kas Akhir Tahun 583.295 587.555</t>
  </si>
  <si>
    <t>Long-term Bank Loans (Bank Mandiri)</t>
  </si>
  <si>
    <t>Notes 12</t>
  </si>
  <si>
    <t>Bank Mandiri 963.641.270 (in thousand Rp) - long-term bank loans</t>
  </si>
  <si>
    <t>Arus Kas Bersih yang Diperoleh dari Aktivitas Operasi 1.313.646 799.500</t>
  </si>
  <si>
    <t>Arus Kas Bersih yang Digunakan untuk Aktivitas Investasi (410.091) (124.281)</t>
  </si>
  <si>
    <t>Arus Kas Bersih yang Digunakan untuk Aktivitas Pendanaan (907.798) (328.531)</t>
  </si>
  <si>
    <t>Capex Realization (Total)</t>
  </si>
  <si>
    <t>Total 385.521 146.161 (million Rp). Komponen: Bangunan dan Prasarana 172.503, Aset dalam Penyelesaian 139.422, Tanah 26.700, Mesin dan Peralatan 21.671, Immature Plants 15.192, etc.</t>
  </si>
  <si>
    <t>Laba per Saham Dasar (Angka Penuh) 34,90 44,83</t>
  </si>
  <si>
    <t>Total Saham yang Beredar (Lembar Saham) 12.946.530.200</t>
  </si>
  <si>
    <t>Q4 462 376 450 (Harga Penutupan)</t>
  </si>
  <si>
    <t>Kapitalisasi Pasar Q4 2023: 5.825.938.590.000</t>
  </si>
  <si>
    <t>Rasio Lancar 1,0 1,2 0,8</t>
  </si>
  <si>
    <t>Rasio Kas 0,3 0,4 0,2</t>
  </si>
  <si>
    <t>Liabilities-to-Equity Ratio</t>
  </si>
  <si>
    <t>Rasio Liabilitas terhadap Ekuitas 1,2 1,4 2,3</t>
  </si>
  <si>
    <t>Bank Debt to Equity Ratio</t>
  </si>
  <si>
    <t>rasio utang bank terhadap ekuitas Perseroan tercatat sebesar 0,4 kali di tahun 2023</t>
  </si>
  <si>
    <t>Margin Laba Kotor 26,7 34,5 39,9</t>
  </si>
  <si>
    <t>Margin Laba Usaha 17,7 23,1 31,7</t>
  </si>
  <si>
    <t>Margin Laba Bersih 11,3 15,9 17,8</t>
  </si>
  <si>
    <t>Imbal Hasil atas Ekuitas 18,4 26,3 37,8</t>
  </si>
  <si>
    <t>Imbal Hasil atas Aset 8,3 11,0 11,5</t>
  </si>
  <si>
    <t>Final DPS (from FY2022)</t>
  </si>
  <si>
    <t>2022 Final 13,52 175.037.088.304 30,5% - paid 5/30 May 2023</t>
  </si>
  <si>
    <t>Capex Commitment (Outstanding)</t>
  </si>
  <si>
    <t>Perseroan memiliki komitmen atas pembelian barang modal sebesar Rp385,52 miliar</t>
  </si>
  <si>
    <t>Perseroan memiliki perkebunan kelapa sawit dengan area tertanam yang dikelola seluas 60.497 Ha</t>
  </si>
  <si>
    <t>48.524 Ha perkebunan inti</t>
  </si>
  <si>
    <t>11.973 Ha perkebunan plasma</t>
  </si>
  <si>
    <t>Nucleus Avg Tree Age</t>
  </si>
  <si>
    <t>Rata-Rata Usia (Tahun) 14,5 13,6 12,6 - Nucleus Plant Age Profile</t>
  </si>
  <si>
    <t>Plasma Avg Tree Age</t>
  </si>
  <si>
    <t>Rata-Rata Usia (Tahun) 12,5 11,5 10,5 - Plasma Plant Age Profile</t>
  </si>
  <si>
    <t>Nucleus &lt;4 Years Area</t>
  </si>
  <si>
    <t>&lt;4 Tahun 510 427 396 Nucleus</t>
  </si>
  <si>
    <t>Nucleus 4-7 Years Area</t>
  </si>
  <si>
    <t>4-7 Tahun 631 686 1.489 Nucleus</t>
  </si>
  <si>
    <t>Nucleus 8-20 Years Area</t>
  </si>
  <si>
    <t>8-20 Tahun 47.383 47.495 46.692 Nucleus</t>
  </si>
  <si>
    <t>Perseroan dan Entitas Anak memiliki 6 pabrik kelapa sawit (PKS) dengan total kapasitas ±335 ton TBS/jam</t>
  </si>
  <si>
    <t>t FFB/hr</t>
  </si>
  <si>
    <t>total kapasitas ±335 ton TBS/jam</t>
  </si>
  <si>
    <t>Storage Tank Capacity</t>
  </si>
  <si>
    <t>18 tangki penyimpanan (storage tanks) dengan kapasitas sebesar 43.500 ton</t>
  </si>
  <si>
    <t>Mill Utilization Rate 2023</t>
  </si>
  <si>
    <t>81,6% Rata-rata utilisasi pabrik tahun 2023</t>
  </si>
  <si>
    <t>Kutai Timur Area</t>
  </si>
  <si>
    <t>Kabupaten Kutai Timur 35.382 Ha | 3 Pabrik / Mills (PT Telen, PT Sawit Prima Nusantara, PT Telen Prima Sawit, PT Gemilang Sejahtera Abadi)</t>
  </si>
  <si>
    <t>Berau Area</t>
  </si>
  <si>
    <t>Kabupaten Berau 12.498 Ha | 1 Pabrik / Mill (PT Tanjung Buyu Perkasa Plantation, PT Inti Energi Kaltim)</t>
  </si>
  <si>
    <t>Paser Area</t>
  </si>
  <si>
    <t>Kabupaten Paser 6.267 Ha | 1 Pabrik / Mill (PT Multi Jayantara Abadi)</t>
  </si>
  <si>
    <t>Kutai Kartanegara Area</t>
  </si>
  <si>
    <t>Wilayah Kabupaten Kutai Kartanegara 6.350 Ha | 1 Pabrik / Mill (PT Cahaya Anugerah Plantation)</t>
  </si>
  <si>
    <t>Produksi Tandan Buah Segar (TBS) 1.213.068 1.201.230 1.092.668</t>
  </si>
  <si>
    <t>Inti 1.068.338 1.059.207 953.030</t>
  </si>
  <si>
    <t>Plasma 144.730 142.023 139.638</t>
  </si>
  <si>
    <t>Tandan Buah Segar (TBS) yang Diolah 1.409.552 1.343.526 1.204.998</t>
  </si>
  <si>
    <t>Produksi Minyak Kelapa Sawit 327.688 300.504 277.741</t>
  </si>
  <si>
    <t>Produksi Inti Kelapa Sawit 52.207 49.903 42.915</t>
  </si>
  <si>
    <t>CPO Extraction Rate</t>
  </si>
  <si>
    <t>Tingkat Ekstraksi Minyak Kelapa Sawit (%) 23,2 22,4 23,0</t>
  </si>
  <si>
    <t>PK Extraction Rate</t>
  </si>
  <si>
    <t>Tingkat Ekstraksi Inti Sawit (%) 3,7 3,7 3,6</t>
  </si>
  <si>
    <t>Volume Penjualan Minyak Kelapa Sawit 343.748 292.545 263.129</t>
  </si>
  <si>
    <t>Volume Penjualan Inti Kelapa Sawit 55.172 47.752 39.178</t>
  </si>
  <si>
    <t>Harga Rata-Rata Minyak Sawit 10.959 11.265 (dalam ribuan Rupiah per ton)</t>
  </si>
  <si>
    <t>PK Avg Selling Price</t>
  </si>
  <si>
    <t>Harga Rata-Rata Inti Sawit 4.339 6.648 (dalam ribuan Rupiah per ton)</t>
  </si>
  <si>
    <t>Excess Power Sales</t>
  </si>
  <si>
    <t>Penjualan Tenaga Listrik Lebih 177.594 167.342 689.403 (Renewable Energy)</t>
  </si>
  <si>
    <t>Key Customers</t>
  </si>
  <si>
    <t>Wilmar Group and Apical Group</t>
  </si>
  <si>
    <t>fokus pada segmen pasar produsen pengolahan CPO dan PK utama di Indonesia, yaitu Wilmar Grup dan Apical Grup</t>
  </si>
  <si>
    <t>ISPO Certifications (Mills)</t>
  </si>
  <si>
    <t>All 6 mills</t>
  </si>
  <si>
    <t>Entitas Anak Perseroan yang menjalankan aktivitas tersebut telah tersertifikasi Indonesia Sustainable Palm Oil (ISPO)</t>
  </si>
  <si>
    <t>TLDN_2024_AR.pdf</t>
  </si>
  <si>
    <t>PT Teladan Prima Agro Tbk - Identitas Perusahaan</t>
  </si>
  <si>
    <t>Kode Saham TLDN</t>
  </si>
  <si>
    <t>PT Teladan Resources: 59,88%</t>
  </si>
  <si>
    <t>Masyarakat / Public: 7,50%</t>
  </si>
  <si>
    <t>Ahmad Gunung: 16,22%</t>
  </si>
  <si>
    <t>Wishnu Wardhana: 16,22%</t>
  </si>
  <si>
    <t>Saham Perseroan tercatat di Bursa Efek Indonesia sejak 12 April 2022</t>
  </si>
  <si>
    <t>Pendapatan 4.211.482 4.007.082 (in million Rp)</t>
  </si>
  <si>
    <t>Beban Pokok Penjualan (2.755.325) (2.936.769)</t>
  </si>
  <si>
    <t>Laba Bruto 1.456.156 1.070.313</t>
  </si>
  <si>
    <t>Laba Usaha 1.110.149 710.026</t>
  </si>
  <si>
    <t>Beban Keuangan (67.775) (107.542)</t>
  </si>
  <si>
    <t>Laba Sebelum Pajak Penghasilan 1.058.376 621.149</t>
  </si>
  <si>
    <t>Beban Pajak Penghasilan (232.782) (169.355)</t>
  </si>
  <si>
    <t>Laba Tahun Berjalan 825.594 451.794</t>
  </si>
  <si>
    <t>Pemilik Entitas Induk 825.587 451.790</t>
  </si>
  <si>
    <t>EBITDA juga mengalami pertumbuhan positif sebesar 43,2% menjadi Rp1,39 triliun atau 39,7% lebih tinggi dari target</t>
  </si>
  <si>
    <t>Total Aset 5.664.445 5.423.799</t>
  </si>
  <si>
    <t>Aset Lancar 1.766.580 1.613.999</t>
  </si>
  <si>
    <t>Aset Tidak Lancar 3.897.865 3.809.800</t>
  </si>
  <si>
    <t>Total Liabilitas 2.519.627 2.965.522</t>
  </si>
  <si>
    <t>Liabilitas Jangka Pendek 1.572.692 1.689.684</t>
  </si>
  <si>
    <t>Liabilitas Jangka Panjang 946.936 1.275.838</t>
  </si>
  <si>
    <t>Ekuitas 3.144.818 2.458.277</t>
  </si>
  <si>
    <t>Saldo Kas dan Setara Kas Akhir Tahun 486.588 583.295</t>
  </si>
  <si>
    <t>Bank Mandiri 520.017.270 (thousand Rp) vs 963.641.270 in 2023</t>
  </si>
  <si>
    <t>Short-term Bank Loans (Bank Mandiri)</t>
  </si>
  <si>
    <t>Bank Mandiri 20.000.000 - (thousand Rp) short-term bank loans</t>
  </si>
  <si>
    <t>Arus Kas Bersih yang Diperoleh dari Aktivitas Operasi 1.140.257 1.313.646</t>
  </si>
  <si>
    <t>Arus Kas Bersih yang Digunakan untuk Aktivitas Investasi (415.471) (410.091)</t>
  </si>
  <si>
    <t>Arus Kas Bersih yang Digunakan untuk Aktivitas Pendanaan (821.536) (907.798)</t>
  </si>
  <si>
    <t>Total 401.708 385.521 (million Rp). Bangunan dan Prasarana 252.237; Mesin dan Peralatan 72.433; Tanah 27.270; Immature Plants 6.450; etc.</t>
  </si>
  <si>
    <t>Laba per Saham Dasar (Angka Penuh) 63,77 34,90</t>
  </si>
  <si>
    <t>Total Saham yang Beredar 12.946.530.200</t>
  </si>
  <si>
    <t>Q4 640 474 545 (Harga Penutupan)</t>
  </si>
  <si>
    <t>Kapitalisasi Pasar Q4 2024: 7.055.858.959.000</t>
  </si>
  <si>
    <t>Rasio Lancar 1,1 1,0 1,2</t>
  </si>
  <si>
    <t>Rasio Kas 0,3 0,3 0,4</t>
  </si>
  <si>
    <t>Rasio Liabilitas Terhadap Ekuitas 0,8 1,2 1,4</t>
  </si>
  <si>
    <t>Bank Debt to Equity</t>
  </si>
  <si>
    <t>rasio utang bank terhadap ekuitas menurun menjadi 0,2 kali, dibandingkan dengan 0,4 kali pada tahun 2023</t>
  </si>
  <si>
    <t>Margin Laba Kotor 34,6 26,7 34,5</t>
  </si>
  <si>
    <t>Margin Laba Usaha 26,4 17,7 23,1</t>
  </si>
  <si>
    <t>Margin Laba Bersih 19,6 11,3 15,9</t>
  </si>
  <si>
    <t>Imbal Hasil Atas Ekuitas 26,3 18,4 26,3</t>
  </si>
  <si>
    <t>Imbal Hasil Atas Aset 14,6 8,3 11,0</t>
  </si>
  <si>
    <t>Final DPS (from FY2023)</t>
  </si>
  <si>
    <t>2023 Final 12,21 158.077.133.742 35,0% - paid 8/21 May 2024</t>
  </si>
  <si>
    <t>Capex Commitment (Total)</t>
  </si>
  <si>
    <t>Pada tahun 2024, Perseroan memiliki komitmen pembelian barang modal sebesar Rp401,71 miliar</t>
  </si>
  <si>
    <t>Cost Reduction 2024</t>
  </si>
  <si>
    <t>strategi efisiensi yang mampu menekan biaya hingga 9,7%</t>
  </si>
  <si>
    <t>total area tertanam seluas 60.515 Ha, yang terdiri dari 48.542 Ha perkebunan inti dan 11.973 Ha perkebunan plasma</t>
  </si>
  <si>
    <t>Total 48.542 48.524 48.608 Nucleus Plant Age Profile</t>
  </si>
  <si>
    <t>Total 11.973 11.973 11.953 Plasma Plant Age Profile</t>
  </si>
  <si>
    <t>Rata-Rata Usia (Tahun) 15,5 14,5 13,6 - Nucleus</t>
  </si>
  <si>
    <t>Rata-Rata Usia (Tahun) 13,5 12,5 11,5 - Plasma</t>
  </si>
  <si>
    <t>Nucleus 8-20 Yr Area</t>
  </si>
  <si>
    <t>8-20 Tahun 47.416 47.383 47.495 Nucleus</t>
  </si>
  <si>
    <t>Perseroan dan Entitas Anak mengoperasikan 6 pabrik kelapa sawit (PKS) dengan total kapasitas 335 ton TBS/jam</t>
  </si>
  <si>
    <t>total kapasitas 335 ton TBS/jam</t>
  </si>
  <si>
    <t>1 pabrik pengolahan inti sawit mentah menjadi minyak inti sawit</t>
  </si>
  <si>
    <t>KCP Capacity</t>
  </si>
  <si>
    <t>t PK/day</t>
  </si>
  <si>
    <t>kernel crushing plant (KCP) dengan kapasitas 100 ton PK per hari</t>
  </si>
  <si>
    <t>Biogas Power Plant Capacity</t>
  </si>
  <si>
    <t>MW</t>
  </si>
  <si>
    <t>Biogas Power Plant (BPP) 1,7 MW (commissioned 5 Nov 2024 through PT DL and PT TPS collaboration, converting POME to green electricity)</t>
  </si>
  <si>
    <t>18 tangki penyimpanan dengan kapasitas total 43.500 ton</t>
  </si>
  <si>
    <t>Excess Power Generator Capacity</t>
  </si>
  <si>
    <t>kW</t>
  </si>
  <si>
    <t>PT Tanjung Buyu Perkasa Plantation (TBP) 200 kW + PT Telen (TLN) 200 kW = 400 kW total excess power</t>
  </si>
  <si>
    <t>Produksi Tandan Buah Segar (TBS) 1.219.294 1.213.068 1.201.230</t>
  </si>
  <si>
    <t>Inti 1.071.173 1.068.338 1.059.207</t>
  </si>
  <si>
    <t>Plasma 148.121 144.730 142.023</t>
  </si>
  <si>
    <t>Tandan Buah Segar (TBS) yang Diolah 1.381.677 1.409.552 1.343.526</t>
  </si>
  <si>
    <t>Produksi Minyak Kelapa Sawit 324.857 327.688 300.504</t>
  </si>
  <si>
    <t>Produksi Inti Kelapa Sawit 50.787 52.207 49.903</t>
  </si>
  <si>
    <t>Produksi Minyak Inti Kelapa Sawit 5.262 (new in 2024)</t>
  </si>
  <si>
    <t>Produksi Bungkil Kelapa Sawit 6.862 (new in 2024)</t>
  </si>
  <si>
    <t>Tingkat Ekstraksi Minyak Kelapa Sawit (%) 23,5 23,2 22,4</t>
  </si>
  <si>
    <t>Tingkat Ekstraksi Inti Sawit (%) 3,7 3,7 3,7</t>
  </si>
  <si>
    <t>PKO Extraction Rate</t>
  </si>
  <si>
    <t>Tingkat Ekstraksi Minyak Inti Sawit (%) 40,0 - Kernel Oil Extraction Rate</t>
  </si>
  <si>
    <t>Volume Penjualan Minyak Kelapa Sawit 314.457 343.748 292.545</t>
  </si>
  <si>
    <t>Volume Penjualan Inti Kelapa Sawit 40.102 55.172 47.752</t>
  </si>
  <si>
    <t>Volume Penjualan Minyak Inti Sawit 4.619 - (new 2024)</t>
  </si>
  <si>
    <t>Harga Rata-Rata Minyak Sawit 12.230 10.959 (ribu Rp per ton)</t>
  </si>
  <si>
    <t>Harga Rata-Rata Inti Sawit 6.782 4.339 (ribu Rp per ton)</t>
  </si>
  <si>
    <t>CPKO Avg Selling Price</t>
  </si>
  <si>
    <t>Harga Rata-Rata Minyak Inti Sawit 19.461 - (ribu Rp per ton)</t>
  </si>
  <si>
    <t>penjualan CPO Perseroan mencapai Rp3,85 triliun</t>
  </si>
  <si>
    <t>Wilmar Group Sales Share</t>
  </si>
  <si>
    <t>Wilmar Group menjadi penyumbang terbesar terhadap penjualan Perseroan, yakni sekitar 30%</t>
  </si>
  <si>
    <t>Wings Group Sales Share</t>
  </si>
  <si>
    <t>diikuti oleh Wings Group dan KPN Group yang masing-masing berkontribusi sekitar 15%</t>
  </si>
  <si>
    <t>KPN Group Sales Share</t>
  </si>
  <si>
    <t>KPN Group yang masing-masing berkontribusi sekitar 15%</t>
  </si>
  <si>
    <t>Penjualan Tenaga Listrik Lebih 149.413 177.594 167.342</t>
  </si>
  <si>
    <t>ISPO Certifications (all mills)</t>
  </si>
  <si>
    <t>Seluruh pabrik kelapa sawit (PKS) yang dikelola Entitas Anak telah tersertifikasi Indonesia Sustainable Palm Oil (ISPO)</t>
  </si>
  <si>
    <t>PROPER Green Rating 2023-2024</t>
  </si>
  <si>
    <t>All POMs</t>
  </si>
  <si>
    <t>predikat peringkat hijau untuk seluruh pabrik pengolahan kelapa sawit (PROPER Provinsi Kalimantan Timur periode 2023-2024)</t>
  </si>
  <si>
    <t>TLDN_2025_AR.pdf</t>
  </si>
  <si>
    <t>PT Teladan Resources 59.877%</t>
  </si>
  <si>
    <t>PT Teladan Resources 59,877%</t>
  </si>
  <si>
    <t>Masyarakat / Public 7,504%</t>
  </si>
  <si>
    <t>Ahmad Gunung 16,225%</t>
  </si>
  <si>
    <t>Wishnu Wardhana 16,225%</t>
  </si>
  <si>
    <t>sinergi dengan 10 Entitas Anak terus diperkuat</t>
  </si>
  <si>
    <t>CDM Acquisition</t>
  </si>
  <si>
    <t>PT Cipta Davia Mandiri acquired Jan 2025 from PT REA Kaltim Plantations</t>
  </si>
  <si>
    <t>Akuisisi 99,99% saham PT Cipta Davia Mandiri (CDM) (Januari 2025); PT Cipta Davia Mandiri (CDM) dari PT REA Kaltim Plantations</t>
  </si>
  <si>
    <t>Pendapatan 5.421.392 4.211.482 4.007.082 (in million Rp)</t>
  </si>
  <si>
    <t>Beban Pokok Penjualan (3.557.801) (2.755.325) (2.936.769)</t>
  </si>
  <si>
    <t>Laba Bruto 1.863.590 1.456.156 1.070.313</t>
  </si>
  <si>
    <t>Selling &amp; Distribution Expenses</t>
  </si>
  <si>
    <t>Beban Penjualan dan Distribusi (236.202) (173.790) (203.652)</t>
  </si>
  <si>
    <t>General &amp; Admin Expenses</t>
  </si>
  <si>
    <t>Beban Umum dan Administrasi (382.484) (258.644) (206.434)</t>
  </si>
  <si>
    <t>Laba Usaha 1.250.691 1.110.149 710.026</t>
  </si>
  <si>
    <t>Beban Keuangan (45.770) (67.775) (107.542)</t>
  </si>
  <si>
    <t>Gain on Bargain Purchase (CDM Acquisition)</t>
  </si>
  <si>
    <t>Keuntungan dari Pembelian dengan Diskon 172.479 - - Gain on Bargain Purchase</t>
  </si>
  <si>
    <t>Laba Sebelum Pajak Penghasilan 1.391.736 1.058.376 621.149</t>
  </si>
  <si>
    <t>Beban Pajak Penghasilan (285.122) (232.782) (169.355)</t>
  </si>
  <si>
    <t>Laba Tahun Berjalan 1.106.615 825.594 451.794</t>
  </si>
  <si>
    <t>Pemilik Entitas Induk 1.106.606 825.587 451.790</t>
  </si>
  <si>
    <t>Total Aset 6.018.032 5.664.445 5.423.799</t>
  </si>
  <si>
    <t>Aset Lancar 1.588.830 1.766.580 1.613.999</t>
  </si>
  <si>
    <t>Aset Tidak Lancar 4.429.202 3.897.865 3.809.800</t>
  </si>
  <si>
    <t>Total Liabilitas 2.373.123 2.519.627 2.965.522</t>
  </si>
  <si>
    <t>Liabilitas Jangka Pendek 1.425.414 1.572.692 1.689.684</t>
  </si>
  <si>
    <t>Liabilitas Jangka Panjang 947.709 946.936 1.275.838</t>
  </si>
  <si>
    <t>Ekuitas 3.644.909 3.144.818 2.458.277</t>
  </si>
  <si>
    <t>Saldo Kas dan Setara Kas Akhir Tahun 334.386 486.588 583.295</t>
  </si>
  <si>
    <t>Arus Kas Bersih yang Diperoleh dari Aktivitas Operasi 1.544.117 1.140.257 1.313.646</t>
  </si>
  <si>
    <t>Arus Kas Bersih yang Digunakan untuk Aktivitas Investasi (515.487) (415.471) (410.091)</t>
  </si>
  <si>
    <t>Arus Kas Bersih yang Digunakan untuk Aktivitas Pendanaan (1.180.867) (821.536) (907.798)</t>
  </si>
  <si>
    <t>Total 595.596 401.708 (million Rp). Mature Plants 478.890; Tanah 87.990; Bangunan dan Prasarana 18.934; etc.</t>
  </si>
  <si>
    <t>Laba per Saham Dasar (Angka Penuh) 85,48 63,77 34,90</t>
  </si>
  <si>
    <t>Q4 925 660 700 (Harga Penutupan)</t>
  </si>
  <si>
    <t>Market Cap (31 Dec 2025)</t>
  </si>
  <si>
    <t>Kapitalisasi Pasar Q4 2025: 9.062.571.140.000</t>
  </si>
  <si>
    <t>Rasio Lancar 1,1 1,1 1,0</t>
  </si>
  <si>
    <t>Rasio Kas 0,2 0,3 0,3</t>
  </si>
  <si>
    <t>Rasio Liabilitas terhadap Ekuitas 0,7 0,8 1,2</t>
  </si>
  <si>
    <t>rasio utang bank terhadap ekuitas mengalami peningkatan menjadi 0,23 kali, dibandingkan dengan 0,19 kali pada tahun sebelumnya</t>
  </si>
  <si>
    <t>Margin Laba Kotor 34,4 34,6 26,7</t>
  </si>
  <si>
    <t>Margin Laba Usaha 23,1 26,4 17,7</t>
  </si>
  <si>
    <t>Margin Laba Bersih 20,4 19,6 11,3</t>
  </si>
  <si>
    <t>Imbal Hasil atas Ekuitas 30,4 26,3 18,4</t>
  </si>
  <si>
    <t>Imbal Hasil atas Aset 18,4 14,6 8,3</t>
  </si>
  <si>
    <t>Final DPS (from FY2024)</t>
  </si>
  <si>
    <t>2024 Final 31 401.342.436.200 48,6% - paid 24 April/15 May 2025</t>
  </si>
  <si>
    <t>Interim DPS (FY2025)</t>
  </si>
  <si>
    <t>2025 Interim 15,5 200.671.218.100 18,1% - 3 Oktober/23 Oktober 2025</t>
  </si>
  <si>
    <t>Perseroan memiliki total area perkebunan kelapa sawit seluas 64.430 Ha, yang terdiri dari 51.960 Ha perkebunan inti dan 12.470 Ha perkebunan plasma</t>
  </si>
  <si>
    <t>Total 51.960 48.542 48.524 - Nucleus</t>
  </si>
  <si>
    <t>Total 12.470 11.973 11.973 - Plasma</t>
  </si>
  <si>
    <t>Rata-Rata Usia (Tahun) 16,1 15,5 14,5 - Nucleus</t>
  </si>
  <si>
    <t>Rata-Rata Usia (Tahun) 14,3 13,5 12,5 - Plasma</t>
  </si>
  <si>
    <t>8-20 Tahun 51.127 47.416 47.383 - Nucleus</t>
  </si>
  <si>
    <t>mengoperasikan 6 unit pabrik kelapa sawit (PKS) dengan total kapasitas olah sebesar 335 ton TBS per jam</t>
  </si>
  <si>
    <t>total kapasitas olah sebesar 335 ton TBS per jam</t>
  </si>
  <si>
    <t>1 unit pabrik pengolahan inti sawit dengan kapasitas produksi mencapai 100 ton inti sawit per hari</t>
  </si>
  <si>
    <t>kapasitas produksi mencapai 100 ton inti sawit per hari</t>
  </si>
  <si>
    <t>18 tangki penyimpanan berkapasitas total 43.500 ton</t>
  </si>
  <si>
    <t>Kabupaten Berau 12.400 Ha | 2 Pabrik / Mills (PT Tanjung Buyu Perkasa Plantation, PT Inti Energi Kaltim)</t>
  </si>
  <si>
    <t>Kabupaten Kutai Timur 39.300 Ha | 5 Pabrik / Mills (includes PT Cipta Davia Mandiri newly acquired)</t>
  </si>
  <si>
    <t>Di Kabupaten Kutai Kartanegara 6.365 Ha (PT Cahaya Anugerah Plantation)</t>
  </si>
  <si>
    <t>6.267 Ha di Kabupaten Paser (PT Multi Jayantara Abadi)</t>
  </si>
  <si>
    <t>CDM Additional Planted Area</t>
  </si>
  <si>
    <t>peningkatan luas wilayah kebun sebanyak 3.733 Ha menjadi 64.430 Ha</t>
  </si>
  <si>
    <t>Produksi Tandan Buah Segar (TBS) 1.271.034 1.219.294 1.213.068</t>
  </si>
  <si>
    <t>Inti 1.109.558 1.071.173 1.068.338</t>
  </si>
  <si>
    <t>Plasma 161.476 148.121 144.730</t>
  </si>
  <si>
    <t>Tandan Buah Segar (TBS) yang Diolah 1.463.439 1.381.677 1.409.552</t>
  </si>
  <si>
    <t>Produksi Minyak Sawit Mentah (CPO) 333.092 324.857 327.688</t>
  </si>
  <si>
    <t>Produksi Inti Sawit (PK) 52.197 50.787 52.207</t>
  </si>
  <si>
    <t>Produksi Inti Sawit Mentah (CPKO) 11.991 5.262</t>
  </si>
  <si>
    <t>Produksi Bungkil Sawit (PKE) 15.803 6.862</t>
  </si>
  <si>
    <t>Tingkat Ekstraksi Minyak Kelapa Sawit (%) 22,76 23,51 23,2</t>
  </si>
  <si>
    <t>Tingkat Ekstraksi Inti Sawit (%) 3,57 3,68 3,7</t>
  </si>
  <si>
    <t>CPKO Extraction Rate</t>
  </si>
  <si>
    <t>Tingkat Ekstraksi Minyak Inti Sawit (%) 41,0 40,0</t>
  </si>
  <si>
    <t>Volume Penjualan Minyak Kelapa Sawit 339.465 314.457 343.748</t>
  </si>
  <si>
    <t>Volume Penjualan Inti Kelapa Sawit 31.969 40.102 55.172</t>
  </si>
  <si>
    <t>Volume Penjualan Minyak Inti Sawit 12.012 4.619</t>
  </si>
  <si>
    <t>Harga Rata-Rata Minyak Sawit 14.004 12.230 (ribu Rp per ton)</t>
  </si>
  <si>
    <t>Harga Rata-Rata Inti Sawit 11.243 6.782 (ribu Rp per ton)</t>
  </si>
  <si>
    <t>Harga Rata-Rata Minyak Inti Sawit 24.696 19.461 (ribu Rp per ton)</t>
  </si>
  <si>
    <t>Wilmar Group tercatat sebagai pembeli terbesar dengan kontribusi sekitar 30% terhadap total penjualan</t>
  </si>
  <si>
    <t>Wings Group dan KPN Group menyusul dengan kontribusi masing-masing sekitar 15%</t>
  </si>
  <si>
    <t>KPN Group sekitar 15%</t>
  </si>
  <si>
    <t>Penjualan Tenaga Listrik Lebih - 149.413 177.594 (no excess power sold in 2025)</t>
  </si>
  <si>
    <t>BPP Capacity</t>
  </si>
  <si>
    <t>Biogas Power Plant (BPP) berkapasitas 1,7 MW (commissioned 5 Nov 2024, now converting POME to green electricity for PT TPS KCP)</t>
  </si>
  <si>
    <t>All 6 POMs</t>
  </si>
  <si>
    <t>Seluruh PKS telah memperoleh sertifikasi Indonesia Sustainable Palm Oil (ISPO)</t>
  </si>
  <si>
    <t>PT Bakrie Sumatera Plantations Tbk</t>
  </si>
  <si>
    <t>UNSP_2022_AR.pdf</t>
  </si>
  <si>
    <t>BSP Laporan Tahunan 2022</t>
  </si>
  <si>
    <t>Ticker / Listing</t>
  </si>
  <si>
    <t>UNSP (IDX)</t>
  </si>
  <si>
    <t>IDX : UNSP</t>
  </si>
  <si>
    <t>Controlling Shareholder - Bakrie Capital</t>
  </si>
  <si>
    <t>PT Bakrie Capital Indonesia 14.65%</t>
  </si>
  <si>
    <t>PT Bakrie Capital Indonesia 366.149.259 14,65</t>
  </si>
  <si>
    <t>Major Shareholder - Ernawati Ali</t>
  </si>
  <si>
    <t>Ernawati Ali 273.921.631 10,96</t>
  </si>
  <si>
    <t>Major Shareholder - Lie Leonard Djajali</t>
  </si>
  <si>
    <t>Lie Leonard Djajali 230.265.187 9,21</t>
  </si>
  <si>
    <t>Major Shareholder - Paradiso Resources</t>
  </si>
  <si>
    <t>Paradiso Resources Ltd. 146.663.232 5,87</t>
  </si>
  <si>
    <t>Major Shareholder - Anargya Superfund</t>
  </si>
  <si>
    <t>Reksadana Saham Anargya Superfund Equity Growth 134.328.300 5,37</t>
  </si>
  <si>
    <t>Masyarakat di bawah 5% 1.348.843.735 53,94</t>
  </si>
  <si>
    <t>Total Shares Outstanding (net of treasury)</t>
  </si>
  <si>
    <t>Subtotal 2.500.162.344 - Treasuri 6 = Total 2.500.162.338</t>
  </si>
  <si>
    <t>Total Shareholders</t>
  </si>
  <si>
    <t>Total 14.006 2.500.162.344 100,00%</t>
  </si>
  <si>
    <t>Penjualan neto 4.189.330 3.971.114 (2022 vs 2021)</t>
  </si>
  <si>
    <t>Beban pokok penjualan 3.403.447 2.988.820</t>
  </si>
  <si>
    <t>Laba bruto 785.883 982.294 (-20,00%)</t>
  </si>
  <si>
    <t>Beban penjualan (86.275) (97.441) (-11,46%)</t>
  </si>
  <si>
    <t>Beban umum dan administrasi (384.470) (375.519) 2,38%</t>
  </si>
  <si>
    <t>FX Loss</t>
  </si>
  <si>
    <t>Kerugian selisih kurs - neto (783.303) (167.355) 368,05%</t>
  </si>
  <si>
    <t>Impairment Loss Provision</t>
  </si>
  <si>
    <t>Penyisihan untuk kerugian penurunan nilai - neto (536.403) (48.139) 1.014,28%</t>
  </si>
  <si>
    <t>Loss on FV Biological Assets</t>
  </si>
  <si>
    <t>Keuntungan (kerugian) atas perubahan nilai wajar aset biologis - neto (127.864) 186.078</t>
  </si>
  <si>
    <t>Miscellaneous - net (DAP divestment gain)</t>
  </si>
  <si>
    <t>Lain-lain - neto 2.268.176 131.747 1.621,61%</t>
  </si>
  <si>
    <t>Finance Expenses - net</t>
  </si>
  <si>
    <t>Beban keuangan - neto (193.145) (296.113) (-34,77%)</t>
  </si>
  <si>
    <t>Laba sebelum manfaat (beban) pajak penghasilan 946.717 318.377</t>
  </si>
  <si>
    <t>Manfaat (beban) pajak penghasilan (16.510) (200.868)</t>
  </si>
  <si>
    <t>Laba (rugi) neto 930.207 117.509</t>
  </si>
  <si>
    <t>Laba neto yang dapat diatribusikan kepada pemilik entitas induk 216.770 128.686</t>
  </si>
  <si>
    <t>kepentingan nonpengendali 713.437 (11.177)</t>
  </si>
  <si>
    <t>Total penghasilan komprehensif 938.594 117.575 698,29%</t>
  </si>
  <si>
    <t>Aset lancar 707.427 1.459.764 (-51,54%)</t>
  </si>
  <si>
    <t>Aset tidak lancar 3.832.875 6.798.693 (-43,62%)</t>
  </si>
  <si>
    <t>Total aset 4.540.302 8.258.457 (-45,02%)</t>
  </si>
  <si>
    <t>Liabilitas jangka pendek 8.305.609 12.870.326 (-35,47%)</t>
  </si>
  <si>
    <t>Liabilitas jangka panjang 2.191.313 2.281.015 (-3,93%)</t>
  </si>
  <si>
    <t>Total liabilitas 10.496.922 15.151.341 (-30,72%)</t>
  </si>
  <si>
    <t>Capital Deficiency - Net</t>
  </si>
  <si>
    <t>Defisiensi modal - neto (5.956.620) (6.892.884)</t>
  </si>
  <si>
    <t>Modal kerja neto (7.598.182) (11.410.562)</t>
  </si>
  <si>
    <t>Cash &amp; Cash Equivalents (end)</t>
  </si>
  <si>
    <t>Kas dan setara kas 144.360 268.455 (-46,23%)</t>
  </si>
  <si>
    <t>Aset biologis 181.335 309.199 (-41,35%)</t>
  </si>
  <si>
    <t>Inventories - Net</t>
  </si>
  <si>
    <t>Persediaan - neto 215.281 318.600 (-32,43%)</t>
  </si>
  <si>
    <t>Arus kas neto diperoleh dari (digunakan untuk) aktivitas operasi (84.573) 140.207 (-160,32%)</t>
  </si>
  <si>
    <t>Arus kas neto digunakan untuk aktivitas investasi (61.314) (273.411) (-77,57%)</t>
  </si>
  <si>
    <t>Arus kas neto diperoleh dari aktivitas pendanaan 74.215 314.182 (-76,38%)</t>
  </si>
  <si>
    <t>Interest Payments (2022)</t>
  </si>
  <si>
    <t>peningkatan signifikan pada nilai pembayaran beban bunga dengan pada tahun 2022 sebesar Rp326,01 miliar dari sebelumnya Rp1,14 miliar</t>
  </si>
  <si>
    <t>Income Tax Payments (2022)</t>
  </si>
  <si>
    <t>peningkatan nilai pembayaran pajak penghasilan pada tahun berjalan Rp95,60 miliar dari sebelumnya Rp13,35 miliar</t>
  </si>
  <si>
    <t>Laba (rugi) neto per saham dasar (Rp) 86,71 51,47</t>
  </si>
  <si>
    <t>Market Capitalization 2022</t>
  </si>
  <si>
    <t>Rp full</t>
  </si>
  <si>
    <t>Nilai kapitalisasi pasar (Rp penuh) 320.020.780.032</t>
  </si>
  <si>
    <t>Closing Share Price 2022</t>
  </si>
  <si>
    <t>Harga pada akhir tahun 128 109</t>
  </si>
  <si>
    <t>Rasio lancar 8,52% 11,34%</t>
  </si>
  <si>
    <t>Liabilities-to-Assets Ratio</t>
  </si>
  <si>
    <t>Rasio kewajiban terhadap aset 231,19 183,46%</t>
  </si>
  <si>
    <t>EBITDA / Interest Coverage</t>
  </si>
  <si>
    <t>EBITDA terhadap beban bunga 2,63x 2,48x</t>
  </si>
  <si>
    <t>Tingkat pengembalian aset 20,49% 1,42% (boosted by one-off DAP gains)</t>
  </si>
  <si>
    <t>Marjin laba kotor 18,76% 24,74%</t>
  </si>
  <si>
    <t>Accumulated Retained Deficit (end 2022)</t>
  </si>
  <si>
    <t>2022 (14.083.964.415) (IDR 000)</t>
  </si>
  <si>
    <t>Restricted Funds Write-off (BNY Mellon)</t>
  </si>
  <si>
    <t>penghapusan dana yang dibatasi penggunaannya yang ditempatkan pada The Bank of New York Mellon sebesar Rp252,28 miliar</t>
  </si>
  <si>
    <t>Total Planted Area (palm+rubber)</t>
  </si>
  <si>
    <t>total luas lahan tertanam 67.591 Ha (2022); 67.714 Ha (2021)</t>
  </si>
  <si>
    <t>Palm Planted Area Total (inti+plasma)</t>
  </si>
  <si>
    <t>Total Area Tertanam 52.192 51.445 1,45%</t>
  </si>
  <si>
    <t>Palm Nucleus Area</t>
  </si>
  <si>
    <t>Total Inti 37.217 36.470 2,05%</t>
  </si>
  <si>
    <t>Palm Plasma Area</t>
  </si>
  <si>
    <t>Total Plasma 14.975 14.975</t>
  </si>
  <si>
    <t>45.968 Ha lahan tanaman menghasilkan</t>
  </si>
  <si>
    <t>6.223 Ha lahan tanaman belum menghasilkan</t>
  </si>
  <si>
    <t>Palm Area North Sumatra (nucleus)</t>
  </si>
  <si>
    <t>Sumatera Utara 18.104 17.850 1,42%</t>
  </si>
  <si>
    <t>Palm Area West Sumatra (nucleus)</t>
  </si>
  <si>
    <t>Sumatera Barat 10.906 10.906 -</t>
  </si>
  <si>
    <t>Palm Area Jambi (nucleus)</t>
  </si>
  <si>
    <t>Jambi 7.170 7.175 (0,07%)</t>
  </si>
  <si>
    <t>Palm Area S. Kalimantan (nucleus)</t>
  </si>
  <si>
    <t>Kalimantan Selatan 411 411</t>
  </si>
  <si>
    <t>Palm Area Bengkulu (nucleus)</t>
  </si>
  <si>
    <t>Bengkulu 626 128 389,06%</t>
  </si>
  <si>
    <t>Palm Mills Count</t>
  </si>
  <si>
    <t>5 (lima) pabrik minyak kelapa sawit</t>
  </si>
  <si>
    <t>Palm Mill Total Capacity</t>
  </si>
  <si>
    <t>total kapasitas produksi 240 ton TBS per jam, meningkat ... revitalisasi PKS Labuhan Batu dari 30 tph menjadi 45 tph</t>
  </si>
  <si>
    <t>Labuhan Batu Mill Revitalization</t>
  </si>
  <si>
    <t>Capacity expanded from 30 to 45 tph</t>
  </si>
  <si>
    <t>adanya revitalisasi pabrik minyak kelapa sawit yang berlokasi di Labuhan batu dari sebelumnya berkapasitas 30 ton TBS per jam menjadi 45 ton TBS per jam</t>
  </si>
  <si>
    <t>Mature Palm Plants Book Value</t>
  </si>
  <si>
    <t>Tanaman menghasilkan 694.585 78,41% (2022)</t>
  </si>
  <si>
    <t>Immature Palm Plants Book Value</t>
  </si>
  <si>
    <t>Tanaman belum menghasilkan 191.243 21,59%</t>
  </si>
  <si>
    <t>Palm Segment Total Assets</t>
  </si>
  <si>
    <t>Total aset segmen: 1.838.804 1.887.720</t>
  </si>
  <si>
    <t>Rubber Planted Area Total</t>
  </si>
  <si>
    <t>Total 15.399 16.270 (5,35%)</t>
  </si>
  <si>
    <t>15.277 Ha lahan tanaman menghasilkan</t>
  </si>
  <si>
    <t>122 Ha lahan tanaman belum menghasilkan</t>
  </si>
  <si>
    <t>Rubber Area N. Sumatra</t>
  </si>
  <si>
    <t>Sumatera Utara 10.209 10.561 (3,33%)</t>
  </si>
  <si>
    <t>Rubber Area Bengkulu</t>
  </si>
  <si>
    <t>Bengkulu 1.968 2.466 (20,18%)</t>
  </si>
  <si>
    <t>Rubber Area Lampung</t>
  </si>
  <si>
    <t>Lampung 3.222 3.243 (0,66%)</t>
  </si>
  <si>
    <t>Rubber Processing Plants Count</t>
  </si>
  <si>
    <t>3 (tiga) pabrik pengolahan produk karet alam berlokasi di Bunut, Ratu Agung, dan Tulang Bawang</t>
  </si>
  <si>
    <t>Rubber Plants Capacity</t>
  </si>
  <si>
    <t>Jumlah total kapasitas terpasang pabrik pada tahun 2022 adalah 46.383 MT per tahun</t>
  </si>
  <si>
    <t>Oleochemicals Refinery Capacity (post-30Jun2022)</t>
  </si>
  <si>
    <t>Palm Oil Refinery Plant 495.000</t>
  </si>
  <si>
    <t>Oleochemicals KCP Capacity (post-30Jun2022)</t>
  </si>
  <si>
    <t>Kernel Crushing Plant 165.000</t>
  </si>
  <si>
    <t>Fatty Acid Plants (divested 30 Jun 2022)</t>
  </si>
  <si>
    <t>Fatty Acid Plant 1: 99,000 t/yr; Fatty Acid Plant 2 (FSC 2): 82,500 t/yr. Beralih kepemilikan 30 Jun 2022 (divested via DAP to Poseidon)</t>
  </si>
  <si>
    <t>Fatty Acid Plant 1* 99.000; Fatty Acid Plant 2 (FSC 2)* 82.500; Beralih kepemilikan sejak 30 Juni 2022</t>
  </si>
  <si>
    <t>Fatty Alcohol Plants (divested 30 Jun 2022)</t>
  </si>
  <si>
    <t>Fatty Alcohol Plant 1: 33,000 t/yr; Fatty Alcohol Plant 2: 99,000 t/yr. Beralih kepemilikan 30 Jun 2022</t>
  </si>
  <si>
    <t>Fatty Alcohol Plant 1* 33.000; Fatty Alcohol Plant 2* 99.000</t>
  </si>
  <si>
    <t>FFB Harvested Production</t>
  </si>
  <si>
    <t>Total produksi TBS pada tahun 2022 adalah 376.655 ton (2021: 377.447 ton)</t>
  </si>
  <si>
    <t>FFB Unharvested (biological)</t>
  </si>
  <si>
    <t>TBS yang belum dipanen 116.773 ton</t>
  </si>
  <si>
    <t>22,80% menjadi 154.701 ton (CPO)</t>
  </si>
  <si>
    <t>24,28% menjadi 36.488 ton (PK)</t>
  </si>
  <si>
    <t>Latex Harvested</t>
  </si>
  <si>
    <t>12.904 ton getah yang sudah dipanen</t>
  </si>
  <si>
    <t>Rubber Plant Total Production</t>
  </si>
  <si>
    <t>Total produksi pabrik pengolahan karet pada tahun 2022 adalah 11.835 ton, 14,17% lebih rendah dari 13.789 ton (2021)</t>
  </si>
  <si>
    <t>Palm Segment Sales (before elim.)</t>
  </si>
  <si>
    <t>Sawit 2.198.860 1.823.756 20,57%</t>
  </si>
  <si>
    <t>Palm Segment Gross Profit</t>
  </si>
  <si>
    <t>Sawit 568.311 648.245 (12,33%)</t>
  </si>
  <si>
    <t>Oleochemicals Sales</t>
  </si>
  <si>
    <t>Oleokimia 1.795.036 1.836.820 (2,27%)</t>
  </si>
  <si>
    <t>Oleochemicals Gross Profit</t>
  </si>
  <si>
    <t>Oleokimia 163.986 201.046 (18,43%)</t>
  </si>
  <si>
    <t>Rubber Segment Sales</t>
  </si>
  <si>
    <t>Karet 304.514 414.441 (26,52%)</t>
  </si>
  <si>
    <t>Rubber Segment Gross Profit</t>
  </si>
  <si>
    <t>segmen usaha Karet menghasilkan laba bruto sebesar Rp53,59 miliar, 59,71% lebih rendah dibandingkan Rp133,00 miliar pada tahun 2021</t>
  </si>
  <si>
    <t>CPO % of Palm Segment Sales</t>
  </si>
  <si>
    <t>penjualan CPO yaitu 87,18%, sedangkan 10,93% PK dan 1,89% TBS</t>
  </si>
  <si>
    <t>Oleochemicals Contribution to Total Sales</t>
  </si>
  <si>
    <t>kontribusi sebesar 41,76% dari total penjualan neto pada tahun 2022</t>
  </si>
  <si>
    <t>Palm Segment Contribution to Sales</t>
  </si>
  <si>
    <t>Kontribusi 51,16% 44,75%</t>
  </si>
  <si>
    <t>Rubber Segment Contribution to Sales</t>
  </si>
  <si>
    <t>kontribusi terhadap total penjualan pada tahun 2022 sebesar 7,08%</t>
  </si>
  <si>
    <t>Certifications at Oleochem Facilities</t>
  </si>
  <si>
    <t>RSPO + ISO 9001:2015 + ISO 22000:2018 + HACCP + GMP + B2 + Halal (MUI) + Kosher (Orthodox Union) at Kuala Tanjung</t>
  </si>
  <si>
    <t>sertifikasi RSPO, ISO 9001:2015, ISO 22000:2018, HACCP, GMP dan GMP +B2, Halal dari MUI dan Kosher dari Orthodox Union</t>
  </si>
  <si>
    <t>DAP Divestment 30 Jun 2022</t>
  </si>
  <si>
    <t>Ownership of part of oleochemical facilities (fatty acid/alcohol plants) transferred via DAP to Poseidon Corporate Service Ltd on 30 Jun 2022; triggered deconsolidation</t>
  </si>
  <si>
    <t>kepemilikan sebagian fasilitas pengolahan oleokimia Perusahaan Anda telah dialihkan sejak 30 Juni 2022, sehubungan dengan pengurangan kepemilikan saham Perusahaan Anda melalui Anak Perusahaan BRC dalam DAP kepada Poseidon Corporate Service Ltd</t>
  </si>
  <si>
    <t>Credit Suisse Indicative Term Sheet</t>
  </si>
  <si>
    <t>Signed 13 Jan 2022 between BSP + certain subsidiaries (Obligor Group) and Credit Suisse AG Singapore Branch + other lenders; triggered write-off of Rp252.28 bn restricted funds at Bank of New York Mellon</t>
  </si>
  <si>
    <t>Indicative Restructuring Term Sheet ... Credit Suisse AG, Cabang Singapura ... Term Sheet pada tanggal 13 Januari 2022</t>
  </si>
  <si>
    <t>Equity-Linked Notes Interest Status</t>
  </si>
  <si>
    <t>USD 100 mn / 8% p.a. / SGX since 18 Feb 2010. No interest paid since 1 Sep 2014 through 1 Sep 2022 - all zero</t>
  </si>
  <si>
    <t>SGX-ST 18 Februari 2010 100.000.000 8% p.a. / 7 years; interest payments all zero from 2014 Sep onwards</t>
  </si>
  <si>
    <t>No Dividend</t>
  </si>
  <si>
    <t>No cash dividend distributed since 2012</t>
  </si>
  <si>
    <t>Dividend table 2013-2022 all zero payouts</t>
  </si>
  <si>
    <t>Tebo &amp; Sarolangun Fully Impaired</t>
  </si>
  <si>
    <t>Tebo 15,000 Ha and Sarolangun 10,000 Ha palm development projects fully impaired as of 31 Dec 2022 and 2021</t>
  </si>
  <si>
    <t>Pada tanggal 31 Desember 2022 dan 2021 kedua proyek pengembangan usaha ini mengalami penurunan nilai seluruhnya</t>
  </si>
  <si>
    <t>UNSP_2023_AR.pdf</t>
  </si>
  <si>
    <t>BSP Laporan Tahunan 2023</t>
  </si>
  <si>
    <t>PT Bakrie Capital Indonesia 14.70%</t>
  </si>
  <si>
    <t>PT Bakrie Capital Indonesia 367.629.259 14,70</t>
  </si>
  <si>
    <t>Masyarakat di bawah 5% 1.481.683.035 59,26</t>
  </si>
  <si>
    <t>Total 13.679 2.500.162.344 100,00%</t>
  </si>
  <si>
    <t>Penjualan neto 2.405.153 4.189.330 (2023 vs 2022)</t>
  </si>
  <si>
    <t>Beban pokok penjualan 1.928.151 3.403.447</t>
  </si>
  <si>
    <t>Laba bruto 477.002 785.883</t>
  </si>
  <si>
    <t>Beban penjualan (63.842) (86.275)</t>
  </si>
  <si>
    <t>Beban umum dan administrasi (370.334) (384.470)</t>
  </si>
  <si>
    <t>FX Gain/(Loss)</t>
  </si>
  <si>
    <t>Keuntungan (kerugian) selisih kurs - neto ... 146.007 (2023) vs (783.303) 2022</t>
  </si>
  <si>
    <t>Beban keuangan (168.188) (193.145)</t>
  </si>
  <si>
    <t>Laba sebelum manfaat (beban) pajak penghasilan 94.995 946.717</t>
  </si>
  <si>
    <t>Beban pajak penghasilan - neto (68.858) (16.510)</t>
  </si>
  <si>
    <t>Laba (rugi) neto 26.137 930.207 (2023 vs 2022)</t>
  </si>
  <si>
    <t>Laba neto yang dapat diatribusikan kepada pemilik entitas induk 62.691 216.770</t>
  </si>
  <si>
    <t>NCI Share of Loss</t>
  </si>
  <si>
    <t>kepentingan nonpengendali (36.554) 713.437</t>
  </si>
  <si>
    <t>Total penghasilan komprehensif 22.134 938.594</t>
  </si>
  <si>
    <t>Aset lancar 781.553 707.427 10,48%</t>
  </si>
  <si>
    <t>Aset tidak lancar 3.778.172 3.832.875 (1,43%)</t>
  </si>
  <si>
    <t>Total aset 4.559.725 4.540.302 0,43%</t>
  </si>
  <si>
    <t>Liabilitas jangka pendek 7.694.151 8.305.609 (7,36%)</t>
  </si>
  <si>
    <t>Liabilitas jangka panjang 2.798.444 2.191.313 27,71%</t>
  </si>
  <si>
    <t>Total liabilitas 10.492.595 10.496.922 (0,04%)</t>
  </si>
  <si>
    <t>Defisiensi modal - neto (5.932.870) (5.956.620) (0,40%)</t>
  </si>
  <si>
    <t>Modal kerja neto (6.912.598) (7.598.182)</t>
  </si>
  <si>
    <t>Kas dan setara kas 123.108 144.360 (14,72%)</t>
  </si>
  <si>
    <t>Arus kas neto digunakan untuk aktivitas operasi (50.287) (84.573)</t>
  </si>
  <si>
    <t>Arus kas neto digunakan untuk aktivitas investasi (58.677) (61.314)</t>
  </si>
  <si>
    <t>Arus kas neto diperoleh dari aktivitas pendanaan 88.144 74.215 18,77%</t>
  </si>
  <si>
    <t>Capex (Fixed Asset Additions)</t>
  </si>
  <si>
    <t>kas yang digunakan untuk penambahan aset tetap dari Rp212,02 miliar di 2023 (per 2024 AR comparison)</t>
  </si>
  <si>
    <t>Long-term Loans incl. Current Maturities</t>
  </si>
  <si>
    <t>2023 recorded at Rp4.492,56 miliar (per 2024 AR comparison at p.105)</t>
  </si>
  <si>
    <t>Laba (rugi) neto per saham dasar (Rp) 25,08 86,71</t>
  </si>
  <si>
    <t>Market Capitalization 2023</t>
  </si>
  <si>
    <t>Nilai kapitalisasi pasar (Rp penuh) 282.518.344.872</t>
  </si>
  <si>
    <t>Closing Share Price 2023</t>
  </si>
  <si>
    <t>Harga pada akhir tahun 113 128</t>
  </si>
  <si>
    <t>Rasio lancar 10,16% 8,52%</t>
  </si>
  <si>
    <t>Rasio kewajiban terhadap aset 230,11% 231,19%</t>
  </si>
  <si>
    <t>EBITDA terhadap beban bunga 1,23x 2,63x</t>
  </si>
  <si>
    <t>Tingkat pengembalian aset 0,57% 20,49%</t>
  </si>
  <si>
    <t>Marjin laba kotor 19,83% 18,76%</t>
  </si>
  <si>
    <t>Accumulated Retained Deficit (end 2023)</t>
  </si>
  <si>
    <t>2023 (14.021.273.123) (IDR 000)</t>
  </si>
  <si>
    <t>Dividend Per Share</t>
  </si>
  <si>
    <t>Dividen per saham (Rp) --- (no dividend)</t>
  </si>
  <si>
    <t>total luas lahan tertanam 69.713 Ha (2023); 67.591 Ha (2022)</t>
  </si>
  <si>
    <t>Total Area Tertanam 54.828 52.192 5,05%</t>
  </si>
  <si>
    <t>Total Inti 39.852 37.217 7,08% (39,853 per 2024 AR)</t>
  </si>
  <si>
    <t>47.912 Ha lahan tanaman menghasilkan</t>
  </si>
  <si>
    <t>6.915 Ha lahan tanaman belum menghasilkan</t>
  </si>
  <si>
    <t>Sumatera Utara 18.094 18.104 (0,05%)</t>
  </si>
  <si>
    <t>Sumatera Barat 10.947 10.906 0,38%</t>
  </si>
  <si>
    <t>Jambi 9.190 7.170 28,17%</t>
  </si>
  <si>
    <t>Bengkulu 1.211 626 93,48%</t>
  </si>
  <si>
    <t>5 (lima) pabrik minyak kelapa sawit, dengan total kapasitas produksi 240 ton TBS per jam</t>
  </si>
  <si>
    <t>total kapasitas produksi 240 ton TBS per jam</t>
  </si>
  <si>
    <t>Tanaman menghasilkan 765.829 82,02% (2023)</t>
  </si>
  <si>
    <t>Tanaman belum menghasilkan 167.914 17,98%</t>
  </si>
  <si>
    <t>Total aset segmen: 1.802.747 1.838.804</t>
  </si>
  <si>
    <t>Total 14.886 15.399 (3,33%)</t>
  </si>
  <si>
    <t>14.765 Ha lahan tanaman menghasilkan</t>
  </si>
  <si>
    <t>Sumatera Utara 10.209 10.209 -</t>
  </si>
  <si>
    <t>Bengkulu 1.456 1.968 (26,05%)</t>
  </si>
  <si>
    <t>Lampung 3.222 3.222 -</t>
  </si>
  <si>
    <t>2 (dua) pabrik pengolahan produk karet alam berlokasi di Bunut dan Tulang Bawang</t>
  </si>
  <si>
    <t>Rubber Plant Installed Capacity</t>
  </si>
  <si>
    <t>Jumlah total kapasitas terpasang pabrik pada tahun 2023 adalah 36.180 MT/tahun, berkurang dari 46.383 MT/tahun pada tahun sebelumnya</t>
  </si>
  <si>
    <t>Oleochemicals Refinery Capacity</t>
  </si>
  <si>
    <t>Oleochemicals KCP Capacity</t>
  </si>
  <si>
    <t>Total produksi TBS pada tahun 2023 adalah 366.113 ton (2022: 376.655 ton)</t>
  </si>
  <si>
    <t>TBS yang belum dipanen 102.533 ton</t>
  </si>
  <si>
    <t>volume produksi CPO ... penurunan 20,09% menjadi 123.628 ton</t>
  </si>
  <si>
    <t>21,64% menjadi 28.591 ton (PK)</t>
  </si>
  <si>
    <t>10.292 ton getah yang sudah dipanen</t>
  </si>
  <si>
    <t>Total produksi pabrik pengolahan karet pada tahun 2023 adalah 9.127 ton, 22,88% lebih rendah dari 11.835 ton (2022)</t>
  </si>
  <si>
    <t>Sawit 1.638.402 2.198.860 (25,49%)</t>
  </si>
  <si>
    <t>Sawit 437.016 568.311 (23,10%)</t>
  </si>
  <si>
    <t>Kontribusi 65,35% 51,16%</t>
  </si>
  <si>
    <t>Oleokimia 637.636 1.795.036 (64,48%)</t>
  </si>
  <si>
    <t>Oleokimia 57.201 163.986 (65,12%)</t>
  </si>
  <si>
    <t>Karet 231.252 304.514 (24,06%)</t>
  </si>
  <si>
    <t>penjualan CPO yaitu 91,70%, sedangkan 5,79% PK dan 2,51% TBS</t>
  </si>
  <si>
    <t>ISPO/RSPO/Certifications</t>
  </si>
  <si>
    <t>Oleochemicals facility Kuala Tanjung: RSPO + ISO 9001:2015 + ISO 22000:2018 + HACCP + GMP + Halal + Kosher. Multiple ISPO certificates at plantation units.</t>
  </si>
  <si>
    <t>sertifikasi RSPO, ISO 9001:2015, ISO 22000:2018, HACCP, GMP + B2, Halal MUI, Kosher Orthodox Union</t>
  </si>
  <si>
    <t>Bakrie Food and Energy Name Change</t>
  </si>
  <si>
    <t>PT Domas Agrointi Perkasa renamed to PT Bakrie Food and Energy per Deed of Decision of the Shareholders' Meeting No.35 dated 30 Mar 2023</t>
  </si>
  <si>
    <t>Berdasarkan Akta Keputusan Pemegang Saham No.35, pada tanggal 30 Maret 2023 para pemegang saham menyetujui untuk mengubah nama semula PT Domas Agrointi Perkasa menjadi PT Bakrie Food and Energy</t>
  </si>
  <si>
    <t>Credit Suisse Restructuring Term Sheet</t>
  </si>
  <si>
    <t>Indicative Restructuring Term Sheet signed 13 Jan 2022 with Credit Suisse AG Singapore Branch and other lenders; write-off of restricted funds at Bank of New York Mellon Rp252.28 bn in 2022</t>
  </si>
  <si>
    <t>amendemen Indicative Restructuring Term Sheet yang ditandatangani Perusahaan Anda dan Entitas Anak tertentu (Grup Obligor) dengan Credit Suisse AG, Cabang Singapura dan para pemberi pinjaman lainnya ... Term Sheet pada tanggal 13 Januari 2022</t>
  </si>
  <si>
    <t>Equity-Linked Notes Interest Payment Status</t>
  </si>
  <si>
    <t>No interest paid since 1 Sep 2014 (through 1 Sep 2023 - all zeros)</t>
  </si>
  <si>
    <t>24. 1 Maret 2023 -; 25. 1 September 2023 -</t>
  </si>
  <si>
    <t>USD 100 mn Equity-Linked Notes on SGX</t>
  </si>
  <si>
    <t>USD 100,000,000 at 8% p.a. / 7 years listed on SGX-ST 18 Feb 2010</t>
  </si>
  <si>
    <t>SGX-ST 18 Februari 2010 100.000.000 8% p.a. / 7 years</t>
  </si>
  <si>
    <t>Dividend table from 2013-2023 all zeros</t>
  </si>
  <si>
    <t>Tebo 15,000 Ha and Sarolangun 10,000 Ha palm development projects fully impaired as of 31 Dec 2023 and 2022</t>
  </si>
  <si>
    <t>Pada tanggal 31 Desember 2023 dan 2022 kedua proyek pengembangan usaha ini mengalami penurunan nilai seluruhnya</t>
  </si>
  <si>
    <t>UNSP_2024_AR.pdf</t>
  </si>
  <si>
    <t>BSP Laporan Tahunan 2024</t>
  </si>
  <si>
    <t>PT Bakrie Capital Indonesia 17.82%</t>
  </si>
  <si>
    <t>PT Bakrie Capital Indonesia 445.562.965 17,82</t>
  </si>
  <si>
    <t>Major Shareholder - Stefanie Djajali</t>
  </si>
  <si>
    <t>Stefanie Djajali 230.265.187 9,21</t>
  </si>
  <si>
    <t>Paradiso Resources Ltd. 153.023.232 6,12</t>
  </si>
  <si>
    <t>Masyarakat di bawah 5% 1.397.389.329 55,89</t>
  </si>
  <si>
    <t>Total 2.500.162.344 100,00</t>
  </si>
  <si>
    <t>Total 13.435 2.500.162.344 100,00%</t>
  </si>
  <si>
    <t>BoC Composition</t>
  </si>
  <si>
    <t>3 commissioners incl. 1 independent (Nalinkant Rathod - Pres., Anindya N. Bakrie, Nengah Rama Gautama)</t>
  </si>
  <si>
    <t>Komisaris Utama: Nalinkant A. Rathod; Komisaris: Anindya N. Bakrie; Komisaris Independen: Nengah Rama Gautama</t>
  </si>
  <si>
    <t>Net Sales (Revenue)</t>
  </si>
  <si>
    <t>Penjualan 2.327.870 2.405.153 4.189.330 (in jutaan)</t>
  </si>
  <si>
    <t>Beban pokok penjualan 1.723.352 (2024)</t>
  </si>
  <si>
    <t>Laba bruto 604.518 477.002 (2024 vs 2023)</t>
  </si>
  <si>
    <t>Beban penjualan (42.035) (63.842)</t>
  </si>
  <si>
    <t>Beban umum dan administrasi (353.455) (370.334)</t>
  </si>
  <si>
    <t>FX Gain/(Loss) - Net</t>
  </si>
  <si>
    <t>Keuntungan (kerugian) selisih kurs - neto (342.258) 146.007</t>
  </si>
  <si>
    <t>Gain from FV Biological Assets</t>
  </si>
  <si>
    <t>Keuntungan atas perubahan nilai wajar aset biologis - neto 25.583 (50.343)</t>
  </si>
  <si>
    <t>Penghasilan keuangan 10.987 3.553</t>
  </si>
  <si>
    <t>Beban keuangan (216.507) (168.188)</t>
  </si>
  <si>
    <t>Miscellaneous - net</t>
  </si>
  <si>
    <t>Lain-lain - neto 591.738 100.645 - 487,95%</t>
  </si>
  <si>
    <t>Laba sebelum beban pajak penghasilan 280.258 94.995</t>
  </si>
  <si>
    <t>Income Tax Expense - net</t>
  </si>
  <si>
    <t>Total beban pajak penghasilan - neto (141.369) (68.858)</t>
  </si>
  <si>
    <t>Laba neto 138.889 26.137 - 431,39%</t>
  </si>
  <si>
    <t>Laba neto yang dapat diatribusikan kepada pemilik entitas induk 138.889 62.691 216.770</t>
  </si>
  <si>
    <t>Total penghasilan komprehensif 147.345 22.134 - 565,70%</t>
  </si>
  <si>
    <t>Aset lancar 850.343 781.553</t>
  </si>
  <si>
    <t>Aset tidak lancar 2.363.737 3.778.172 (-37,44%)</t>
  </si>
  <si>
    <t>Total aset 3.214.080 4.559.725 (-29,51%)</t>
  </si>
  <si>
    <t>Liabilitas jangka pendek 8.145.219 7.694.151 - 5,86%</t>
  </si>
  <si>
    <t>Liabilitas jangka panjang 345.348 2.798.444 (-87,66%)</t>
  </si>
  <si>
    <t>Total liabilitas 8.490.567 10.492.595 (-19,08%)</t>
  </si>
  <si>
    <t>Defisiensi modal - neto (5.276.487) (5.932.870) (-11,06% improvement)</t>
  </si>
  <si>
    <t>Modal kerja neto (7.294.876) (6.912.598)</t>
  </si>
  <si>
    <t>Cash &amp; Cash Equivalents (end year)</t>
  </si>
  <si>
    <t>Kas dan setara kas 133.874 123.108 - 8,75%</t>
  </si>
  <si>
    <t>Trade Receivables Third Parties - Net</t>
  </si>
  <si>
    <t>Piutang usaha Pihak ketiga - neto 51.718 20.029</t>
  </si>
  <si>
    <t>Persediaan - neto 132.227 130.493</t>
  </si>
  <si>
    <t>Aset biologis 156.575 130.992</t>
  </si>
  <si>
    <t>Perusahaan Anda memiliki pinjaman jangka panjang, termasuk bagian yang jatuh tempo dalam satu tahun sebesar Rp4.666,92 miliar pada tahun 2024</t>
  </si>
  <si>
    <t>Credit Suisse AG Singapore Loan</t>
  </si>
  <si>
    <t>pinjaman dari Credit Suisse AG - Cabang Singapura sejumlah Rp3.371,95 miliar</t>
  </si>
  <si>
    <t>Guaranteed Equity-Linked Redeemable Notes</t>
  </si>
  <si>
    <t>wesel bayar yang dijamin pelunasannya terhubung dengan harga saham sejumlah Rp1.284,22 miliar</t>
  </si>
  <si>
    <t>CFO (Cash from Operations)</t>
  </si>
  <si>
    <t>Arus kas neto diperoleh dari aktivitas operasi 393.646 (2023: -50.287); naik Rp443,93 miliar atau 882,80%</t>
  </si>
  <si>
    <t>CFI (Investing Activities)</t>
  </si>
  <si>
    <t>Arus kas neto digunakan untuk aktivitas investasi (348.375)</t>
  </si>
  <si>
    <t>CFF (Financing Activities)</t>
  </si>
  <si>
    <t>Arus kas neto ... aktivitas pendanaan (25.218) 88.144</t>
  </si>
  <si>
    <t>Perusahaan Anda melakukan penambahan aset tetap sebesar Rp291,48 miliar</t>
  </si>
  <si>
    <t>Capex Breakdown - Bearer Plants</t>
  </si>
  <si>
    <t>tanaman produktif sebesar Rp197,43 miliar</t>
  </si>
  <si>
    <t>Capex Breakdown - Machinery</t>
  </si>
  <si>
    <t>Mesin dan peralatan ... 48.720</t>
  </si>
  <si>
    <t>Laba (rugi) neto per saham dasar (Rp) 55,56 (2024)</t>
  </si>
  <si>
    <t>Series A Shares Outstanding</t>
  </si>
  <si>
    <t>Saham Seri A 1.372.047.138</t>
  </si>
  <si>
    <t>Series B Shares Outstanding</t>
  </si>
  <si>
    <t>Saham Seri B 1.128.115.206</t>
  </si>
  <si>
    <t>Market Capitalization (end 2024)</t>
  </si>
  <si>
    <t>Nilai kapitalisasi pasar (Rp penuh) 242.515.747.368 (2024)</t>
  </si>
  <si>
    <t>Closing Share Price 2024</t>
  </si>
  <si>
    <t>Harga pada akhir tahun 97 113</t>
  </si>
  <si>
    <t>Dividen per saham (Rp) --- --- --- (no dividend distributed 2024)</t>
  </si>
  <si>
    <t>Rasio lancar 10,44% 10,16%</t>
  </si>
  <si>
    <t>Rasio kewajiban terhadap aset 264,17% 230,11%</t>
  </si>
  <si>
    <t>EBITDA terhadap beban bunga 1,72x 1,23x</t>
  </si>
  <si>
    <t>Tingkat pengembalian aset 4,32% 0,57%</t>
  </si>
  <si>
    <t>Marjin laba kotor 25,97% 19,83%</t>
  </si>
  <si>
    <t>Accumulated Retained Deficit (end 2024)</t>
  </si>
  <si>
    <t>2024 (12.661.964.958) (IDR 000)</t>
  </si>
  <si>
    <t>total luas lahan tertanam 56.147 Ha (2024); 54.739 Ha (2023)</t>
  </si>
  <si>
    <t>Palm Planted Area Total</t>
  </si>
  <si>
    <t>Total Area Tertanam 58.720 54.828 7,10%</t>
  </si>
  <si>
    <t>Total Inti 43.745 39.853 9,77%</t>
  </si>
  <si>
    <t>Total Plasma 14.975 14.975 -</t>
  </si>
  <si>
    <t>mencakup 46.027 Ha lahan tanaman menghasilkan</t>
  </si>
  <si>
    <t>12.693 Ha lahan tanaman belum menghasilkan</t>
  </si>
  <si>
    <t>Sumatera Utara 19.578 18.094 8,21%</t>
  </si>
  <si>
    <t>Sumatera Barat 10.930 10.947 (0,15%)</t>
  </si>
  <si>
    <t>Jambi 10.547 9.190 14,77%</t>
  </si>
  <si>
    <t>Palm Area South Kalimantan (nucleus)</t>
  </si>
  <si>
    <t>Kalimantan Selatan 411 411 -</t>
  </si>
  <si>
    <t>Bengkulu 2.278 1.211 88,11%</t>
  </si>
  <si>
    <t>Perusahaan Anda memiliki 5 (lima) pabrik minyak kelapa sawit</t>
  </si>
  <si>
    <t>nilai buku sebesar Rp741,63 miliar (mature palm)</t>
  </si>
  <si>
    <t>tanaman belum menghasilkan ... Rp324,25 miliar, meningkat 93,10%</t>
  </si>
  <si>
    <t>Total aset segmen: 1.906.054 1.801.368</t>
  </si>
  <si>
    <t>Total 12.403 14.887 (16,69%)</t>
  </si>
  <si>
    <t>12.281 Ha lahan tanaman menghasilkan</t>
  </si>
  <si>
    <t>121 Ha lahan tanaman belum menghasilkan</t>
  </si>
  <si>
    <t>Sumatera Utara 8.712 10.209 (14,66%)</t>
  </si>
  <si>
    <t>Bengkulu 469 1.456 (67,79%)</t>
  </si>
  <si>
    <t>mengoperasikan 1 (satu) pabrik pengolahan produk karet alam (Bunut N.Sumatra)</t>
  </si>
  <si>
    <t>Rubber Plant Capacity</t>
  </si>
  <si>
    <t>kapasitas terpasang pabrik pada tahun 2024 adalah 30.780 MT/tahun, lower than 36,180 (2023)</t>
  </si>
  <si>
    <t>Oleochemicals Refinery Capacity (until Jul 31 2024)</t>
  </si>
  <si>
    <t>Oleochemicals KCP Capacity (until Jul 31 2024)</t>
  </si>
  <si>
    <t>FFB Harvested (Total Palm Production)</t>
  </si>
  <si>
    <t>Total produksi TBS pada tahun 2024 adalah 347.865 ton (2023: 366.113 ton)</t>
  </si>
  <si>
    <t>TBS yang belum dipanen 99.593 ton</t>
  </si>
  <si>
    <t>volume produksi CPO ... penurunan 7,85% menjadi 113.918 ton</t>
  </si>
  <si>
    <t>penurunan 15,14% menjadi 24.263 ton (PK)</t>
  </si>
  <si>
    <t>7.499 ton getah yang sudah dipanen</t>
  </si>
  <si>
    <t>Total produksi pabrik pengolahan karet pada tahun 2024 adalah 5.838 ton, 36,04% lebih rendah dari 9.127 ton (2023)</t>
  </si>
  <si>
    <t>Palm Segment Sales (before elimination)</t>
  </si>
  <si>
    <t>Sawit 1.735.487 1.638.402 5,93%</t>
  </si>
  <si>
    <t>Sawit 544.197 437.016 24,53%</t>
  </si>
  <si>
    <t>Oleochemicals Sales (7 months to Jul 31 2024)</t>
  </si>
  <si>
    <t>Oleokimia 425.675 637.636 (33,24%) - 7-month period ended Jul 31 2024</t>
  </si>
  <si>
    <t>Oleochemicals Gross Profit (7 months)</t>
  </si>
  <si>
    <t>Oleokimia 35.434 57.201 (38,05%)</t>
  </si>
  <si>
    <t>Rubber Segment Contribution</t>
  </si>
  <si>
    <t>4.08%</t>
  </si>
  <si>
    <t>Rubber ramped up 2024; palm dominant at 72.91%</t>
  </si>
  <si>
    <t>CPO Sales as % of Palm Segment</t>
  </si>
  <si>
    <t>penjualan CPO yaitu 87,39%, sedangkan 10,12% merupakan penjualan PK serta 2,49% penjualan TBS</t>
  </si>
  <si>
    <t>PK Sales as % of Palm Segment</t>
  </si>
  <si>
    <t>10,12% merupakan penjualan PK</t>
  </si>
  <si>
    <t>Multiple units certified (AGW Jambi 1 etc.); PROPER Biru category</t>
  </si>
  <si>
    <t>ISPO Jambi 1 (AGW) Bureau Veritas Indonesia 10-09-2020 09-09-2025</t>
  </si>
  <si>
    <t>RSPO Certification</t>
  </si>
  <si>
    <t>Kuala Tanjung oleochemicals facility RSPO certified (until Jul 31 2024 via BRC)</t>
  </si>
  <si>
    <t>memperoleh sertifikasi RSPO, ISO 9001:2015, ISO 22000:2018, HACCP, GMP, Halal (MUI), Kosher (Orthodox Union)</t>
  </si>
  <si>
    <t>ISCC Certification</t>
  </si>
  <si>
    <t>ISCC EU - POME Sumbar (BPP) 2024</t>
  </si>
  <si>
    <t>ISCC EU - POME Sumbar (BPP) SBC Asia Sertifikasi 16-03-2024 15-03-2025</t>
  </si>
  <si>
    <t>Going Concern Note (Note 44)</t>
  </si>
  <si>
    <t>Going-concern qualification - loan restructuring ongoing</t>
  </si>
  <si>
    <t>Kondisi ini menimbulkan keraguan signifikan terkait dengan kemampuan Perusahaan Anda untuk melanjutkan usahanya secara berkesinambungan (loans being restructured; postponed principal/interest payments)</t>
  </si>
  <si>
    <t>No interest payments since 1 Sep 2014 to 1 Sep 2024 (all zeros)</t>
  </si>
  <si>
    <t>26. 1 Maret 2024 - ; 27. 1 September 2024 -</t>
  </si>
  <si>
    <t>BRC (Oleochem subsidiary) Deconsolidation</t>
  </si>
  <si>
    <t>BRC ceased to be subsidiary following dilution via share conversion to AT; derecognized Rp196.55 bn of BRC loans to Filini</t>
  </si>
  <si>
    <t>Perusahaan kehilangan pengendalian atas PT Bakrie Renewable Chemicals (BRC), sehingga Perusahaan menghentikan pengakuan pinjaman BRC kepada Filini sebesar Rp196,55 miliar</t>
  </si>
  <si>
    <t>Tebo &amp; Sarolangun Projects Write-Off</t>
  </si>
  <si>
    <t>Both palm development projects written off following revocation of plantation permits by Muara Tebo &amp; Sarolangun regencies in 2024</t>
  </si>
  <si>
    <t>Perusahaan Anda melalui Entitas Anak AGW menghapus buku proyek pengembangan usaha Tebo dan Sarolangun, sehubungan dengan pencabutan izin perkebunan kelapa sawit di Kabupaten Muara Tebo dan Sarolangun, Jambi</t>
  </si>
  <si>
    <t>USD 100 mn Equity-Linked Notes Listed SGX</t>
  </si>
  <si>
    <t>USD 100,000,000 at 8% p.a. listed on SGX-ST since 18 Feb 2010</t>
  </si>
  <si>
    <t>SGX-ST 18 Februari 2010 100.000.000 8% p.a.</t>
  </si>
  <si>
    <t>No Dividend Since 2012</t>
  </si>
  <si>
    <t>No cash dividend distributed from 2013 onwards</t>
  </si>
  <si>
    <t>Dividend table shows 0 dividend from 2013 to 2024</t>
  </si>
  <si>
    <t>Long-term Loan Payment 2024</t>
  </si>
  <si>
    <t>USD 3,500,000 (~Rp56.34 bn) paid in 2024</t>
  </si>
  <si>
    <t>Perusahaan Anda telah melakukan pembayaran pinjaman jangka panjang sebesar USD3.500.000 atau setara dengan Rp56,34 miliar</t>
  </si>
  <si>
    <t>PT Wahana Pronatural Tbk</t>
  </si>
  <si>
    <t>WAPO_2022_AR.pdf</t>
  </si>
  <si>
    <t>PT WAHANA PRONATURAL Tbk - Laporan Tahunan dan Laporan Keberlanjutan 2022</t>
  </si>
  <si>
    <t>PT Wahana Pronatural Tbk listed on IDX as WAPO since 22 June 2001</t>
  </si>
  <si>
    <t>Year of AR</t>
  </si>
  <si>
    <t>Laporan Tahunan dan Laporan Keberlanjutan 2022</t>
  </si>
  <si>
    <t>Surabaya, Indonesia</t>
  </si>
  <si>
    <t>Perseroan berdomisili di Surabaya, berkantor pusat di Gedung Japfa Indoland Center (ex Bumi Mandiri) Tower II Lt.9 R.907 Jl.Panglima Sudirman 66-68 Surabaya</t>
  </si>
  <si>
    <t>Founded / History</t>
  </si>
  <si>
    <t>Founded 1993 as PT Golden Phoenix; renamed multiple times; current name PT Wahana Pronatural Tbk since 2012.</t>
  </si>
  <si>
    <t>didirikan di Surabaya Indonesia pada tahun 1993 dengan nama PT Golden Phoenix ... berubah nama menjadi PT Wahana Pronatural Tbk ... 2012</t>
  </si>
  <si>
    <t>22 June 2001</t>
  </si>
  <si>
    <t>Pada tanggal 22 Juni 2001 Perseroan mencatatkan saham perdana di Bursa Efek Indonesia</t>
  </si>
  <si>
    <t>Primary Business (Articles of Association)</t>
  </si>
  <si>
    <t>Trading, construction, industrial, agricultural, transportation, rental/leasing, and other services. Main commercial activity: trading of agricultural and marine products + wholesale of non-alcoholic non-milk beverages.</t>
  </si>
  <si>
    <t>ruang lingkup kegiatan Perusahaan adalah dalam bidang perdagangan, pembangunan, peindustrian, pertanian ... perdagangan hasil pertanian dan kelautan serta perdagangan besar minuman non alkohol bukan susu</t>
  </si>
  <si>
    <t>Main Products 2022</t>
  </si>
  <si>
    <t>Coffee beans, dried seaweed, candy (factory in Bogor leased to third party), flavoured drinks (Sunkist Water C), bottled water (AirAlam)</t>
  </si>
  <si>
    <t>Produk utama yang dihasilkan adalah komoditas biji Kopi, Rumput Laut Kering, minuman rasa dan air mineral</t>
  </si>
  <si>
    <t>PT Hijau Sari 36.07%</t>
  </si>
  <si>
    <t>PT. Hijau Sari 447.562.500 36.07</t>
  </si>
  <si>
    <t>PT Mitra Niaga Sakti 32.44%</t>
  </si>
  <si>
    <t>PT. Mitra Niaga Sakti 402.562.500 32.44</t>
  </si>
  <si>
    <t>Masyarakat (dibawah 5%) 235.798.111 19.00</t>
  </si>
  <si>
    <t>Employees (headcount)</t>
  </si>
  <si>
    <t>Perseroan pada tahun 2024 memiliki 9 orang karyawan (consistent with 2022 small headcount; AR 2022 also shows single-digit employees)</t>
  </si>
  <si>
    <t>PENJUALAN BERSIH 22 330.020.475.370 (2022)</t>
  </si>
  <si>
    <t>BEBAN POKOK PENJUALAN 23 (327.261.833.448)</t>
  </si>
  <si>
    <t>LABA KOTOR 2.758.641.922</t>
  </si>
  <si>
    <t>Beban penjualan (57.537.200) + Beban umum dan administrasi (8.658.517.551) = 8,716,054,751</t>
  </si>
  <si>
    <t>Operating Loss (EBIT)</t>
  </si>
  <si>
    <t>RUGI USAHA (5.957.412.829)</t>
  </si>
  <si>
    <t>Other Income (Net)</t>
  </si>
  <si>
    <t>PENDAPATAN LAIN-LAIN BERSIH 1.632.358.864</t>
  </si>
  <si>
    <t>Finance Expense (Net)</t>
  </si>
  <si>
    <t>BEBAN KEUANGAN BERSIH (2.903.382)</t>
  </si>
  <si>
    <t>RUGI SEBELUM PAJAK PENGHASILAN (4.327.957.347)</t>
  </si>
  <si>
    <t>Tax Benefit</t>
  </si>
  <si>
    <t>BEBAN PAJAK PENGHASILAN 261.338.819 (benefit)</t>
  </si>
  <si>
    <t>RUGI BERSIH (4.066.618.528)</t>
  </si>
  <si>
    <t>JUMLAH RUGI KOMPREHENSIF (4.048.103.755)</t>
  </si>
  <si>
    <t>JUMLAH ASET 97.504.907.444 (2022)</t>
  </si>
  <si>
    <t>Jumlah Aset Lancar 53.626.590.283</t>
  </si>
  <si>
    <t>Jumlah Aset Tidak Lancar 43.878.317.161</t>
  </si>
  <si>
    <t>Jumlah Liabilitas 26.489.229.605</t>
  </si>
  <si>
    <t>Jumlah Liabilitas Jangka Pendek 25.769.993.504</t>
  </si>
  <si>
    <t>Jumlah Liabilitas Jangka Panjang 719.236.101</t>
  </si>
  <si>
    <t>Jumlah Ekuitas 71.015.677.839</t>
  </si>
  <si>
    <t>Kas dan setara kas 4 2.987.458.608</t>
  </si>
  <si>
    <t>Piutang usaha - Pihak ketiga ... 33.637.699.594</t>
  </si>
  <si>
    <t>Persediaan 7 13.708.080.135</t>
  </si>
  <si>
    <t>Investment Property</t>
  </si>
  <si>
    <t>Properti investasi 10 39.816.095.552</t>
  </si>
  <si>
    <t>Aset tetap 11 2.959.086.036</t>
  </si>
  <si>
    <t>Utang usaha - Pihak ketiga 14 24.833.168.653</t>
  </si>
  <si>
    <t>Lease Liability (LT)</t>
  </si>
  <si>
    <t>Liabilitas sewa 17 53.550.000</t>
  </si>
  <si>
    <t>Employee Benefit Obligation</t>
  </si>
  <si>
    <t>Liabilitas imbalan kerja 18 665.686.101</t>
  </si>
  <si>
    <t>Kas bersih diperoleh dari/(digunakan untuk) aktivitas operasi (1.731.191.507)</t>
  </si>
  <si>
    <t>CFI (Cash from Investing)</t>
  </si>
  <si>
    <t>Kas bersih digunakan untuk aktivitas investasi - (2022, no capex)</t>
  </si>
  <si>
    <t>RUGI PER LEMBAR SAHAM (3,26217)</t>
  </si>
  <si>
    <t>Jumlah 1.240.923.111 100.00</t>
  </si>
  <si>
    <t>Nilai Nominal Rp 100 Per Saham</t>
  </si>
  <si>
    <t>Modal ditempatkan dan disetor penuh - 1.240.923.111 saham 124.092.311.100</t>
  </si>
  <si>
    <t>Defisit (66.610.151.486)</t>
  </si>
  <si>
    <t>Closing Share Price Q4 2022</t>
  </si>
  <si>
    <t>TRIWULAN IV 308 139 250 (2022)</t>
  </si>
  <si>
    <t>Market Cap 31 Dec 2022</t>
  </si>
  <si>
    <t>KAPITALISASI PASAR 747.035.712.822 Q4 (2022 TTG 308); close 250 x 1,240,923,111 = Rp310.23 bn</t>
  </si>
  <si>
    <t>Laba Kotor / Penjualan Bersih 0.84 (2022)</t>
  </si>
  <si>
    <t>Laba (Rugi) Komprehensif / Penjualan Bersih (1.23) (2022)</t>
  </si>
  <si>
    <t>Laba (Rugi) Komprehensif / Jumlah Aset (4.15) (2022)</t>
  </si>
  <si>
    <t>Laba (Rugi) Komprehensif / Jumlah Ekuitas (5.70) (2022)</t>
  </si>
  <si>
    <t>Aset Lancar / Liabilitas Jangka Pendek (Current ratio) 208.09</t>
  </si>
  <si>
    <t>Liabilitas / Ekuitas (Debt to Equity) 37.30</t>
  </si>
  <si>
    <t>Liabilitas / Aset (Debt to Assets) 27.17</t>
  </si>
  <si>
    <t>Coffee Bean Sales Volume 2022</t>
  </si>
  <si>
    <t>2022 AR narrative focuses on coffee bean trading but explicit 2022 tonnage not broken out; 2024 volume 30,000 t was only recent figure reported</t>
  </si>
  <si>
    <t>Product Mix (Revenue Basis)</t>
  </si>
  <si>
    <t>Coffee Beans + Dried Seaweed + Sunkist Water C + AirAlam bottled water</t>
  </si>
  <si>
    <t>Biji Kopi, Rumput Laut Kering, Sunkist Water dan Air Mineral</t>
  </si>
  <si>
    <t>Distribution Areas</t>
  </si>
  <si>
    <t>National: Java, Sumatra, Bali, Sulawesi, Kalimantan</t>
  </si>
  <si>
    <t>Distribusi saat ini secara nasional mencakup pulau Jawa, Sumatera, Bali, Sulawesi dan Kalimantan</t>
  </si>
  <si>
    <t>Production Facilities</t>
  </si>
  <si>
    <t>Candy factory in Bogor West Java (currently leased to third party)</t>
  </si>
  <si>
    <t>pabrik permen di Bogor Jawa Barat disewakan kepada pihak ketiga</t>
  </si>
  <si>
    <t>Planted Oil-Palm Area</t>
  </si>
  <si>
    <t>Not applicable - WAPO has no oil-palm plantations. Zero area disclosed anywhere in AR.</t>
  </si>
  <si>
    <t>Palm Oil Mill (PKS) Count</t>
  </si>
  <si>
    <t>Not applicable - WAPO owns no palm oil mills.</t>
  </si>
  <si>
    <t>FFB / CPO / PKO Production</t>
  </si>
  <si>
    <t>Not applicable - no palm oil operations.</t>
  </si>
  <si>
    <t>Sustainability Report Scope</t>
  </si>
  <si>
    <t>Generic ESG narrative; no ISPO/RSPO references (not a palm producer)</t>
  </si>
  <si>
    <t>2022 Sustainability Report focuses on coffee/seaweed/beverage supply chain, no palm-related certifications</t>
  </si>
  <si>
    <t>Red Flag - Not a Palm Company</t>
  </si>
  <si>
    <t>WAPO is NOT a palm oil company; it trades coffee beans, dried seaweed, and beverages.</t>
  </si>
  <si>
    <t>flag</t>
  </si>
  <si>
    <t>Penjualan terdiri dari Biji Kopi 97%, Air Mineral 1.1%, Sunkist Water 1%, Rumput Laut 0.4% (2024 figures; 2022 business mix similar without palm)</t>
  </si>
  <si>
    <t>WAPO_2023_AR.pdf</t>
  </si>
  <si>
    <t>PT WAHANA PRONATURAL Tbk - Laporan Tahunan dan Laporan Keberlanjutan 2023</t>
  </si>
  <si>
    <t>PT Wahana Pronatural Tbk (IDX: WAPO)</t>
  </si>
  <si>
    <t>Laporan Tahunan dan Laporan Keberlanjutan 2023</t>
  </si>
  <si>
    <t>Perseroan berdomisili di Surabaya, berkantor pusat di Gedung Japfa Indoland Center Tower II</t>
  </si>
  <si>
    <t>Primary Business (AoA)</t>
  </si>
  <si>
    <t>Trading, construction, industrial, agricultural, transportation, rental/leasing, and other services. Main activity: trading of agricultural and marine products + wholesale of non-alcoholic non-milk beverages.</t>
  </si>
  <si>
    <t>ruang lingkup kegiatan Perusahaan ... perdagangan hasil pertanian dan kelautan serta perdagangan besar minuman non alkohol bukan susu</t>
  </si>
  <si>
    <t>Main Products 2023</t>
  </si>
  <si>
    <t>Coffee beans, dried seaweed, Sunkist Water C, AirAlam bottled water</t>
  </si>
  <si>
    <t>Directors</t>
  </si>
  <si>
    <t>Artha Lovie Aprillailie (Dirut), Iwan Setiawan (Direktur)</t>
  </si>
  <si>
    <t>Dewan Direksi: Direktur Utama Artha Lovie Aprillailie; Direktur Iwan Setiawan (appointed RUPS 6 Sep 2023)</t>
  </si>
  <si>
    <t>Commissioners</t>
  </si>
  <si>
    <t>Hendra Widjaya (Komut Independen), Chenny</t>
  </si>
  <si>
    <t>Dewan Komisaris: Komisaris Utama (Ind) Hendra Widjaya; Komisaris Chenny</t>
  </si>
  <si>
    <t>PENJUALAN BERSIH 22 420.953.775.283 (2023)</t>
  </si>
  <si>
    <t>BEBAN POKOK PENJUALAN 23 (409.055.891.751)</t>
  </si>
  <si>
    <t>LABA KOTOR 11.897.883.532</t>
  </si>
  <si>
    <t>Beban penjualan (48.624.662) + G&amp;A (12.208.076.430)</t>
  </si>
  <si>
    <t>RUGI USAHA (358.817.560)</t>
  </si>
  <si>
    <t>PENDAPATAN LAIN-LAIN BERSIH 1.087.320.569</t>
  </si>
  <si>
    <t>Finance Income/(Expense) Net</t>
  </si>
  <si>
    <t>PENDAPATAN KEUANGAN BERSIH (71.811.586)</t>
  </si>
  <si>
    <t>LABA (RUGI) SEBELUM PAJAK 656.691.423</t>
  </si>
  <si>
    <t>BEBAN PAJAK PENGHASILAN (438.119.434)</t>
  </si>
  <si>
    <t>LABA (RUGI) BERSIH 218.571.989</t>
  </si>
  <si>
    <t>Comprehensive Profit</t>
  </si>
  <si>
    <t>JUMLAH LABA (RUGI) KOMPREHENSIF 236.333.725</t>
  </si>
  <si>
    <t>JUMLAH ASET 131.935.413.522</t>
  </si>
  <si>
    <t>Jumlah Aset Lancar 85.785.537.615</t>
  </si>
  <si>
    <t>Jumlah Aset Tidak Lancar 46.149.875.907</t>
  </si>
  <si>
    <t>Jumlah Liabilitas 60.683.401.958</t>
  </si>
  <si>
    <t>Jumlah Liabilitas Jangka Pendek 59.917.119.966</t>
  </si>
  <si>
    <t>Jumlah Liabilitas Jangka Panjang 766.281.992</t>
  </si>
  <si>
    <t>Jumlah Ekuitas 71.252.011.564</t>
  </si>
  <si>
    <t>Kas dan setara kas 4 9.069.083.242</t>
  </si>
  <si>
    <t>Kas yang dibatasi penggunaannya 5 606.337.500</t>
  </si>
  <si>
    <t>Trade Receivables (Third Party)</t>
  </si>
  <si>
    <t>Piutang usaha Pihak ketiga 61.114.709.101</t>
  </si>
  <si>
    <t>Piutang usaha Pihak berelasi 577.196.433</t>
  </si>
  <si>
    <t>Persediaan 8 9.224.806.839</t>
  </si>
  <si>
    <t>Properti investasi 11 38.753.165.552</t>
  </si>
  <si>
    <t>Aset tetap 12 5.614.613.411</t>
  </si>
  <si>
    <t>Trade Payables (Third)</t>
  </si>
  <si>
    <t>Utang usaha - Pihak ketiga 15 59.330.973.153</t>
  </si>
  <si>
    <t>Kas bersih diperoleh dari aktivitas operasi 9.632.699.161</t>
  </si>
  <si>
    <t>Kas bersih digunakan untuk aktivitas investasi (2,944,737,027)</t>
  </si>
  <si>
    <t>Capex (Fixed asset acquisition)</t>
  </si>
  <si>
    <t>Perolehan aset tetap (2.944.737.027)</t>
  </si>
  <si>
    <t>LABA (RUGI) PER LEMBAR SAHAM 0,19045</t>
  </si>
  <si>
    <t>Jumlah 1.240.923.111</t>
  </si>
  <si>
    <t>Closing Share Price Q4 2023</t>
  </si>
  <si>
    <t>From share-price table: Q4 2023 closing approximately 136</t>
  </si>
  <si>
    <t>Aset Lancar / Liabilitas Jangka Pendek (Current ratio) 143.17 (2023)</t>
  </si>
  <si>
    <t>Liabilitas / Ekuitas (Debt to Equity) 85.17 (2023)</t>
  </si>
  <si>
    <t>Liabilitas / Aset (Debt to Assets) 45.99 (2023)</t>
  </si>
  <si>
    <t>Laba (Rugi) Komprehensif / Jumlah Aset 0.18 (2023)</t>
  </si>
  <si>
    <t>Laba (Rugi) Komprehensif / Jumlah Ekuitas 0.33 (2023)</t>
  </si>
  <si>
    <t>Product Mix</t>
  </si>
  <si>
    <t>Coffee beans (dominant) + dried seaweed + Sunkist Water C + AirAlam bottled water</t>
  </si>
  <si>
    <t>Produk utama: biji Kopi, Rumput Laut Kering, minuman rasa dan air mineral</t>
  </si>
  <si>
    <t>Distribusi secara nasional mencakup pulau Jawa, Sumatera, Bali, Sulawesi dan Kalimantan</t>
  </si>
  <si>
    <t>Candy factory in Bogor West Java (leased to third party in 2023)</t>
  </si>
  <si>
    <t>Not applicable - WAPO has no oil-palm plantations.</t>
  </si>
  <si>
    <t>Not applicable - no palm oil mills.</t>
  </si>
  <si>
    <t>FFB / CPO Production</t>
  </si>
  <si>
    <t>Not applicable - no palm operations.</t>
  </si>
  <si>
    <t>Generic ESG; no ISPO/RSPO certifications (not a palm producer)</t>
  </si>
  <si>
    <t>Sustainability Report 2023 covers coffee/seaweed/beverage; no palm certifications referenced.</t>
  </si>
  <si>
    <t>WAPO is NOT a palm oil company. Core business is coffee bean trading.</t>
  </si>
  <si>
    <t>Bidang Usaha: Perseroan bergerak di bidang perdagangan dan industri. Produk utama: biji Kopi, Rumput Laut Kering, minuman rasa dan air mineral.</t>
  </si>
  <si>
    <t>WAPO_2024_AR.pdf</t>
  </si>
  <si>
    <t>PT WAHANA PRONATURAL Tbk</t>
  </si>
  <si>
    <t>IDX: WAPO, listed 22 June 2001</t>
  </si>
  <si>
    <t>Laporan Tahunan dan Laporan Keberlanjutan 2024</t>
  </si>
  <si>
    <t>berkantor pusat di Gedung Japfa Indoland Center (ex Bumi Mandiri) Tower II Lt.9 R.907 Jl.Panglima Sudirman 66-68 Surabaya</t>
  </si>
  <si>
    <t>Founded</t>
  </si>
  <si>
    <t>1993 (as PT Golden Phoenix)</t>
  </si>
  <si>
    <t>didirikan di Surabaya Indonesia pada tahun 1993 dengan nama PT Golden Phoenix</t>
  </si>
  <si>
    <t>Main Products 2024 (Revenue Mix)</t>
  </si>
  <si>
    <t>Coffee Beans 97% (Rp 2.0 tn), AirAlam mineral water 1.1% (Rp 23 bn), Sunkist Water C 1% (Rp 20 bn), Dried Seaweed 0.4% (Rp 8 bn)</t>
  </si>
  <si>
    <t>Penjualan terdiri dari Biji Kopi sebesar 97% (Rp 2 triliun), disusul Air Mineral sebesar 1.1% (Rp 23 miliar), Sunkist Water C sebesar 1% (20 miliar), dan sisanya Rumput Laut Kering sebesar 0.4% (Rp 8 miliar)</t>
  </si>
  <si>
    <t>Coffee Bean Trading Volume 2024</t>
  </si>
  <si>
    <t>Tahun 2024 volume penjualan Biji Kopi sebesar 30.000 ton</t>
  </si>
  <si>
    <t>Dried Seaweed Trading Volume 2024</t>
  </si>
  <si>
    <t>Rumput Laut sebesar 1.200 ton</t>
  </si>
  <si>
    <t>Direktur Utama: Artha Lovie Aprillailie; Direktur: Iwan Setiawan</t>
  </si>
  <si>
    <t>Hendra Widjaya (Komut Independen), Chenny (Komisaris)</t>
  </si>
  <si>
    <t>Komisaris Utama (Ind): Hendra Widjaya; Komisaris: Chenny</t>
  </si>
  <si>
    <t>Perseroan pada tahun 2024 memiliki 9 orang adalah karyawan</t>
  </si>
  <si>
    <t>PENJUALAN BERSIH 22 2.122.330.244.473 (2024)</t>
  </si>
  <si>
    <t>BEBAN POKOK PENJUALAN 23 (2.097.681.521.460)</t>
  </si>
  <si>
    <t>LABA KOTOR 24.648.723.013</t>
  </si>
  <si>
    <t>Beban penjualan (55.950.200) + G&amp;A (24.073.628.217)</t>
  </si>
  <si>
    <t>LABA (RUGI) USAHA 519.144.596</t>
  </si>
  <si>
    <t>PENDAPATAN LAIN-LAIN BERSIH 25 4.934.520.630</t>
  </si>
  <si>
    <t>PENDAPATAN KEUANGAN BERSIH (620.779.090)</t>
  </si>
  <si>
    <t>LABA SEBELUM PAJAK 4.832.886.136</t>
  </si>
  <si>
    <t>BEBAN PAJAK PENGHASILAN (4.113.956.911)</t>
  </si>
  <si>
    <t>LABA BERSIH 718.929.225</t>
  </si>
  <si>
    <t>JUMLAH LABA KOMPREHENSIF 784.794.846</t>
  </si>
  <si>
    <t>JUMLAH ASET 86.586.841.700 (2024)</t>
  </si>
  <si>
    <t>Jumlah Aset Lancar 39.582.293.815</t>
  </si>
  <si>
    <t>Jumlah Aset Tidak Lancar 47.004.547.885</t>
  </si>
  <si>
    <t>Jumlah Liabilitas 14.550.035.290</t>
  </si>
  <si>
    <t>Jumlah Liabilitas Jangka Pendek 13.714.093.791</t>
  </si>
  <si>
    <t>Jumlah Liabilitas Jangka Panjang 835.941.499</t>
  </si>
  <si>
    <t>Jumlah Ekuitas 72.036.806.410</t>
  </si>
  <si>
    <t>Kas dan setara kas 4 8.574.202.140</t>
  </si>
  <si>
    <t>Kas yang dibatasi penggunaannya 5 2.200.000.000</t>
  </si>
  <si>
    <t>Piutang usaha Pihak ketiga 4.717.750.426</t>
  </si>
  <si>
    <t>Other Receivables</t>
  </si>
  <si>
    <t>Piutang lain-lain 7 10.563.658.296</t>
  </si>
  <si>
    <t>Persediaan 8 11.253.036.393</t>
  </si>
  <si>
    <t>Properti investasi 11 37.690.235.552</t>
  </si>
  <si>
    <t>Aset tetap 12 7.363.256.760</t>
  </si>
  <si>
    <t>Utang usaha - Pihak ketiga 15 13.488.877.272</t>
  </si>
  <si>
    <t>Lease Liability (Total)</t>
  </si>
  <si>
    <t>Liabilitas sewa ST 32.336.453 + LT 62.668.367 = 95,004,820</t>
  </si>
  <si>
    <t>Liabilitas imbalan kerja 18 773.273.132</t>
  </si>
  <si>
    <t>Kas bersih diperoleh dari aktivitas operasi 3.431.112.098</t>
  </si>
  <si>
    <t>Kas bersih digunakan untuk aktivitas investasi (2.332.330.700)</t>
  </si>
  <si>
    <t>Perolehan aset tetap (2.332.330.700)</t>
  </si>
  <si>
    <t>LABA PER LEMBAR SAHAM 0,63243</t>
  </si>
  <si>
    <t>Jumlah saham 1.240.923.111</t>
  </si>
  <si>
    <t>Modal ditempatkan dan disetor penuh 1.240.923.111 saham 124.092.311.100</t>
  </si>
  <si>
    <t>Defisit (65.672.650.272)</t>
  </si>
  <si>
    <t>Closing Share Price Q4 2024</t>
  </si>
  <si>
    <t>From share-price table Q4 2024; closing approx 91</t>
  </si>
  <si>
    <t>Aset Lancar / Liabilitas Jangka Pendek 288.62 (2024)</t>
  </si>
  <si>
    <t>Liabilitas / Ekuitas (Debt to Equity) 20.20</t>
  </si>
  <si>
    <t>Liabilitas / Aset (Debt to Assets) 16.80</t>
  </si>
  <si>
    <t>Laba Komprehensif / Jumlah Aset 0.91</t>
  </si>
  <si>
    <t>Laba Komprehensif / Jumlah Ekuitas 1.09</t>
  </si>
  <si>
    <t>Revenue YoY Growth</t>
  </si>
  <si>
    <t>Penjualan Perseroan selama tahun 2024 dan 2023 masing-masing sebesar Rp 2,1 triliun dan Rp 420 miliar, mengalami peningkatan 400%</t>
  </si>
  <si>
    <t>Primary Activity</t>
  </si>
  <si>
    <t>Coffee bean (green bean) trading = 97% of revenue</t>
  </si>
  <si>
    <t>Kontribusi penjualan terbesar disumbang komoditas Biji Kopi sebesar 97% (Rp 2 triliun)</t>
  </si>
  <si>
    <t>Candy factory in Bogor (leased to third party)</t>
  </si>
  <si>
    <t>pengelolaan pabrik permen di Bogor Jawa Barat disewakan kepada pihak ketiga</t>
  </si>
  <si>
    <t>Not applicable - no palm mills.</t>
  </si>
  <si>
    <t>Target 2025 Growth</t>
  </si>
  <si>
    <t>Perseroan menargetkan pertumbuhan 10%</t>
  </si>
  <si>
    <t>Sustainability Scope</t>
  </si>
  <si>
    <t>Generic ESG; no ISPO/RSPO (not a palm producer). Focus: coffee/seaweed/beverage supply chain.</t>
  </si>
  <si>
    <t>2024 Sustainability Report - coffee/seaweed/beverage narrative; no palm certifications.</t>
  </si>
  <si>
    <t>WAPO is NOT a palm oil company. Core business is coffee-bean trading. Ticker should be flagged for removal from palm long-list.</t>
  </si>
  <si>
    <t>Bidang Usaha: perdagangan dan industri. Produk utama: biji Kopi 97%, Air Mineral 1.1%, Sunkist 1%, Rumput Laut 0.4%.</t>
  </si>
  <si>
    <t>Exchange</t>
  </si>
  <si>
    <t>Report File</t>
  </si>
  <si>
    <t>Country</t>
  </si>
  <si>
    <t>Subsidiaries Note</t>
  </si>
  <si>
    <t>Shareholder Structure Note</t>
  </si>
  <si>
    <t>Listed Status</t>
  </si>
  <si>
    <t>Deal Structure Initial Thought</t>
  </si>
  <si>
    <t>Dealability Note</t>
  </si>
  <si>
    <t>Acquisition Note</t>
  </si>
  <si>
    <t>Key Red Flags</t>
  </si>
  <si>
    <t>Overall Comment</t>
  </si>
  <si>
    <t>IDX</t>
  </si>
  <si>
    <t>Jakarta, Indonesia</t>
  </si>
  <si>
    <t>Indonesia</t>
  </si>
  <si>
    <t>Sumatra/Kalimantan/Sulawesi (diversified)</t>
  </si>
  <si>
    <t>Part of Astra International group (PT Astra International Tbk parent)</t>
  </si>
  <si>
    <t>Listed (IDX: AALI)</t>
  </si>
  <si>
    <t>Palm oil plantation (upstream) + CPO/PKO refining + NPK blending</t>
  </si>
  <si>
    <t>Part of Astra International group (PT Astra International Tbk parent, 79.68% ownership); ultimate controller Jardine Cycle &amp; Carriage / Jardine Matheson.</t>
  </si>
  <si>
    <t>Multiple oil-palm plantation subsidiaries across Sumatra/Kalimantan/Sulawesi; refinery subsidiaries PT Tanjung Sarana Lestari (TSL, W. Sulawesi) and PT Tanjung Bina Lestari (TBL).</t>
  </si>
  <si>
    <t>PT Astra International Tbk 79.68%, Public 20.32% (each &lt;5%)</t>
  </si>
  <si>
    <t>FFB production down 14% YoY due to extreme weather and ageing trees (avg age 16.5 yrs, 62% of mature area &gt;15 yrs); third-party FFB availability tight; DMO/DPO export policies affect margins.</t>
  </si>
  <si>
    <t>Large diversified Indonesian palm producer with refinery and NPK integration. 2024 revenue +5% to Rp21.8 tn; net profit +9% to Rp1.19 tn on stronger CPO prices (+16% avg) offsetting 14% FFB volume decline. Low gearing (&lt;1%). 69% domestic / 31% export sales mix.</t>
  </si>
  <si>
    <t>Part of Astra International group (PT Astra International Tbk parent); ultimate controller Jardine Cycle &amp; Carriage / Jardine Matheson.</t>
  </si>
  <si>
    <t>Plantation subsidiaries across Sumatra/Kalimantan/Sulawesi; refinery subsidiaries PT Tanjung Sarana Lestari (TSL) and PT Tanjung Bina Lestari (TBL).</t>
  </si>
  <si>
    <t>PT Astra International Tbk ~79.68% (controlling), Public ~20.32%</t>
  </si>
  <si>
    <t>Ageing plantation profile (avg age 16.7 yrs, ~71% of mature area &gt;15 yrs); structural decline risk in productivity; dependence on replanting &amp; 3rd-party FFB.</t>
  </si>
  <si>
    <t>Strong 2025: revenue +31% to Rp28.7 tn, net profit +28% to Rp1.47 tn on +11% CPO ASP and +13% sales volume. Company repaid all bank loans; gearing &lt;1%, current ratio 4.3x, cash Rp2.76 tn. 64% domestic / 36% export. FFB total 3.82 mt (+2%), third-party FFB 2.41 mt (+11%), CPO 1.20 mt.</t>
  </si>
  <si>
    <t>Jakarta, Indonesia (HO); Banyuasin, South Sumatra (operations)</t>
  </si>
  <si>
    <t>South Sumatra (Banyuasin)</t>
  </si>
  <si>
    <t>Private, small single-site palm company. Controlling shareholder PT Central Energi Pratama 49.73%.</t>
  </si>
  <si>
    <t>No disclosed subsidiaries; single-entity issuer focused on Banyuasin estates.</t>
  </si>
  <si>
    <t>PT Central Energi Pratama 49.73%, PT Anugerah Perkasa Semesta 7.49%, Kejaksaan Agung (Attorney General's Office) 6.07%, Public 36.71%</t>
  </si>
  <si>
    <t>Listed (IDX: ANDI) since 16 Aug 2018</t>
  </si>
  <si>
    <t>Oil palm plantation + single palm oil mill (CPO and PK production)</t>
  </si>
  <si>
    <t>Loss-making (net loss Rp10.8 bn in 2022, 3rd consecutive loss year); 14.9x normalized CPO price declines hurt margins; share price stuck at Rp50 (listing floor); small scale (~4,453 ha HGU); high leverage (gross debt Rp166 bn vs equity Rp239 bn); Kejaksaan Agung 6.07% ownership unusual (post-suspected-case asset restitution).</t>
  </si>
  <si>
    <t>Small single-site palm producer in South Sumatra; 2022 revenue Rp317.9 bn (-8%), gross profit Rp22.8 bn (-40%), operating loss Rp10.5 bn (vs profit Rp9.8 bn in 2021), net loss Rp10.8 bn. FFB processed 121,298 t, CPO 21,524 t, PK 5,759 t. Mill capacity 30 tph. Share price Rp50 at IDX floor. Low trading liquidity. Assets Rp444 bn, equity Rp239 bn, gross bank debt Rp166 bn.</t>
  </si>
  <si>
    <t>Small single-site palm company. Controlling shareholder PT Central Energi Pratama 49.73%.</t>
  </si>
  <si>
    <t>No disclosed subsidiaries.</t>
  </si>
  <si>
    <t>PT Central Energi Pratama 49.73%, PT Anugerah Perkasa Semesta 7.49%, Kejaksaan Agung 6.07%, Public 36.71% (unchanged from 2022)</t>
  </si>
  <si>
    <t>Oil palm plantation + single palm oil mill (CPO and PK)</t>
  </si>
  <si>
    <t>Deteriorating: revenue -31% to Rp219.9 bn, gross profit collapsed -99% to Rp0.22 bn, operating loss Rp63.1 bn (vs Rp10.5 bn 2022), net loss Rp56.0 bn (vs Rp10.8 bn). D/E 1.069x. Current ratio 0.58 - liquidity warning. Equity -23% to Rp182.7 bn. FFB volume -18% to 99,141 t; CPO -20% to 17,178 t.</t>
  </si>
  <si>
    <t>Steep deterioration in 2023: revenue declined as CPO &amp; PK volumes shrank and prices eased. Gross margin fell from 7.2% to 0.1%. Large operating loss. Current ratio below 1x. Equity shrinking from accumulated losses. Share price unchanged at Rp50 (listing floor). High risk, possible going concern concern if trend continues.</t>
  </si>
  <si>
    <t>PT Central Energi Pratama ~49.73%, PT Anugerah Perkasa Semesta ~7.49%, Kejaksaan Agung ~6.07%, Public ~36.71% (per 2023; 2024 page 64 disclosure)</t>
  </si>
  <si>
    <t>Oil palm plantation + single palm oil mill (CPO, PK, cangkang)</t>
  </si>
  <si>
    <t>Severe share price collapse: Rp50 -&gt; Rp6 (from Q2 2024); market cap shrank from Rp467.5 bn to Rp56.1 bn. 3rd straight year of losses. Revenue -11% to Rp196.7 bn. Gross profit negative (-Rp12.0 bn, GP margin -6.08%). Operating loss Rp34.6 bn. Net loss Rp23.1 bn. D/E rose to 1.19x. FFB volume -27% to 71,988 t. Current ratio 0.77. Receivables collection period ballooned from 77 to 323 days - major working capital stress.</t>
  </si>
  <si>
    <t>PT Andira Agro continued to deteriorate in 2024; FFB volume down to 72k t, CPO down to 11,546 t. Share price collapsed from listing floor Rp50 to Rp6 in Q2-Q4. Working capital severely stressed (receivable days 323). Still loss-making with deeply negative gross margin. Going concern risk elevated.</t>
  </si>
  <si>
    <t>Sumatra/Kalimantan/Bangka Belitung/Southwest Papua</t>
  </si>
  <si>
    <t>Controlled by Tahija family via PT Memimpin Dengan Nurani (40.85%), PT Austindo Kencana Jaya (40.85%), George &amp; Sjakon Tahija (4.74% each); Public 8.83%</t>
  </si>
  <si>
    <t>ANJA, ANJAS, SMM, KAL, GSB, PPM, PMP, ANJAP, LSP, AANE, GMIT, ANJB</t>
  </si>
  <si>
    <t>Tahija family ~91%; Public ~9%; Foundation (Yayasan Tahija) 0.0003%</t>
  </si>
  <si>
    <t>Listed (IDX: ANJT) since May 8, 2013</t>
  </si>
  <si>
    <t>Palm oil plantation (upstream) + mills, sago, edamame, biogas renewable energy</t>
  </si>
  <si>
    <t>FY2023 net profit collapsed to USD 1.9mn (-91% YoY) on lower CPO ASP and higher interest/depreciation</t>
  </si>
  <si>
    <t>Filename ANJT_2022_AR.txt actually corresponds to the 2023 Annual Report; primary year extracted is 2023. Reports in USD; converted to IDR bn at year-end rate ~15,394 IDR/USD.</t>
  </si>
  <si>
    <t>Controlled by Tahija family via PT Memimpin Dengan Nurani, PT Austindo Kencana Jaya, and individual Tahija holdings</t>
  </si>
  <si>
    <t>Tahija family ~91%; Public ~9%</t>
  </si>
  <si>
    <t>Palm oil plantation (upstream) + mills, sago, edamame, renewable energy</t>
  </si>
  <si>
    <t>2022 profit halved vs 2021 (USD 21.2mn vs 36.6mn) on lower CPO ASP; consistent plasma share stagnating</t>
  </si>
  <si>
    <t>Filename ANJT_2023_AR.txt corresponds to FY2022 Annual Report. Primary year = 2022. Reports in USD; converted at year-end 2022 ~15,568 IDR/USD.</t>
  </si>
  <si>
    <t>Palm oil plantation (upstream) + 5 mills, sago concession, edamame, biogas renewable energy</t>
  </si>
  <si>
    <t>FFB production -11.7% YoY due to El Nino aftermath; North Sumatra II plantation suffered flooding; CPO production -13.5% YoY</t>
  </si>
  <si>
    <t>2024 was a recovery year with net income +107% YoY but FFB production down sharply from 2023 due to weather. Reports in USD; converted at ~16,162 IDR/USD year-end 2024.</t>
  </si>
  <si>
    <t>Sidoarjo, East Java, Indonesia</t>
  </si>
  <si>
    <t>Java (East Java HQ) - nationwide sales in Indonesia</t>
  </si>
  <si>
    <t>Part of Charoen Pokphand Group (Jiaravanon family controlling shareholder). Subsidiaries: PT Multi Sarana Indotani (99.91%), PT Tanindo Intertraco (99.96%)</t>
  </si>
  <si>
    <t>PT Multi Sarana Indotani (pesticide), PT Tanindo Intertraco (fertilizer/pesticide trading)</t>
  </si>
  <si>
    <t>PT Agrindo Pratama 31.00%; Field Investment Holdings 6.36%; Valley Investment Holdings 6.36%; Vista Investment Holdings 6.36%; SJ BISI Holdings 4.08%; Public 45.73% (Jiaravanon family control ~54%)</t>
  </si>
  <si>
    <t>Listed (IDX: BISI)</t>
  </si>
  <si>
    <t>Hybrid seed producer (corn, horticulture, rice) + pesticides + fertilizers - NOT palm oil</t>
  </si>
  <si>
    <t>Palm-specific operational metrics are N/A (BISI is a seeds/agritech company, not palm plantation). Revenue fell 4.86% on adverse weather affecting corn seed production</t>
  </si>
  <si>
    <t>BISI is a hybrid seeds and agrochemicals company affiliated with PT Charoen Pokphand Indonesia (offtaker). No palm plantation/mill operations; palm-specific fields left empty.</t>
  </si>
  <si>
    <t>Part of Charoen Pokphand Group (Jiaravanon family controlling shareholder). Subsidiaries: PT Multi Sarana Indotani, PT Tanindo Intertraco</t>
  </si>
  <si>
    <t>PT Agrindo Pratama 31.00%; Field/Valley/Vista Investment Holdings 6.36% each; SJ BISI Holdings 4.08%; Public ~45.7% (Jiaravanon family control)</t>
  </si>
  <si>
    <t>Hybrid seed producer (corn, horticulture, rice) + pesticides + fertilizers</t>
  </si>
  <si>
    <t>Revenue collapsed 40%; net profit -70% YoY due to weather-driven reduction in corn seed sales; operating CF was negative Rp 146 bn in 2024</t>
  </si>
  <si>
    <t>BISI is a seeds/agritech company, not palm oil; palm-specific operational fields are N/A. 2024 was a weak year due to adverse weather and delayed planting seasons.</t>
  </si>
  <si>
    <t>Part of Charoen Pokphand Group (Jiaravanon family controlling shareholder)</t>
  </si>
  <si>
    <t>Subsidiaries from prior AR: PT Multi Sarana Indotani, PT Tanindo Intertraco</t>
  </si>
  <si>
    <t>Controlled by Jiaravanon family via PT Agrindo Pratama (31%) and BVI holding companies</t>
  </si>
  <si>
    <t>Source file is consolidated financial statements only (audited FS, not full Annual Report). Operating CF still negative at Rp -263 bn in 2025; cash position fell sharply from Rp 568 bn to Rp 167 bn</t>
  </si>
  <si>
    <t>BISI_2025 source is only the consolidated audited financial statements (not a full AR). Operational/ESG sections not available. Revenue recovered 24% YoY to Rp 1,696 bn.</t>
  </si>
  <si>
    <t>Jakarta Timur, Indonesia</t>
  </si>
  <si>
    <t>Java (Tangerang) - cocoa processing</t>
  </si>
  <si>
    <t>Holding company with subsidiary PT Golden Harvest Cocoa Indonesia (cocoa bean processing); also owns Golden Harvest Cocoa Pte. Ltd. (Singapore).</t>
  </si>
  <si>
    <t>PT Golden Harvest Cocoa Indonesia; Golden Harvest Cocoa Pte. Ltd.</t>
  </si>
  <si>
    <t>Golden Harvest Cocoa Ltd 41.59%; Kejaksaan Agung 5.25%; public &lt;5%.</t>
  </si>
  <si>
    <t>Listed (IDX: BTEK)</t>
  </si>
  <si>
    <t>Cocoa bean processing (cocoa butter, cocoa cake, cocoa powder). Not a palm-oil producer.</t>
  </si>
  <si>
    <t>Not a palm oil company despite inclusion in palm longlist; cocoa processing. Current ratio 0.35, DER 2.44x, bank loans Rp 2,478 bn vs total equity Rp 1,203 bn; gross loss and net comprehensive loss Rp 358.68 bn (2022).</t>
  </si>
  <si>
    <t>BTEK is a cocoa (kakao) bean processor, not a palm oil producer. Financial statement in raw rupiah (header 'dalam Ribuan Rupiah' appears mislabeled; narrative figures confirm raw rupiah). Heavy leverage, continued losses.</t>
  </si>
  <si>
    <t>Java - Serang, Banten (GHCI cocoa plant)</t>
  </si>
  <si>
    <t>Holding company with subsidiary PT Golden Harvest Cocoa Indonesia (GHCI); also owns Golden Harvest Cocoa Pte. Ltd.</t>
  </si>
  <si>
    <t>Cocoa bean processing (cocoa butter, cake, powder). Not palm oil.</t>
  </si>
  <si>
    <t>Continued losses; current ratio 0.20; DER 2.67x; bank loans Rp 2,413.69 bn; revenue Rp 196.67 bn vs COGS Rp 202.70 bn. Not a palm oil company.</t>
  </si>
  <si>
    <t>2023 revenue +28.1% YoY (IDR 196.67 bn), gross loss narrowed. Production increased materially (butter 12,152 MT, cake 13,101 MT, powder 1,737 MT). Figures are raw rupiah despite 'dalam Ribuan Rupiah' header (consistency check via EPS -2.46 = -114 bn / 46.28 bn shares).</t>
  </si>
  <si>
    <t>Holding company with subsidiary PT Golden Harvest Cocoa Indonesia (GHCI), cocoa bean processing.</t>
  </si>
  <si>
    <t>Golden Harvest Cocoa Ltd ~41.59%; Kejaksaan Agung ~5.25%; public &lt;5%.</t>
  </si>
  <si>
    <t>Cocoa bean processing (butter, cake, powder). Not palm oil.</t>
  </si>
  <si>
    <t>Massive 2024 net loss Rp 719.27 bn (driven by impairments/deferred-tax adj); equity crashed from Rp 1,107 bn (2023) to Rp 462.5 bn; DER 7.42x; share price collapsed from Rp 50 to Rp 3. Not palm oil.</t>
  </si>
  <si>
    <t>2024 revenue tripled to IDR 635.63 bn (3x YoY) as processing volumes rose (butter 14,861 MT, cake 19,196 MT, powder 6,352 MT), yet gross loss widened and net loss was IDR 719 bn. Share price collapsed to Rp 3-4 in H2-2024. Raw rupiah figures (statements 'Disajikan dalam Rupiah').</t>
  </si>
  <si>
    <t>Kalimantan (major), Papua, Sumatra</t>
  </si>
  <si>
    <t>Owned by Green Eagle Holdings (Singapore) ~37.84%, FIC Properties Sdn Bhd ~37.00%, PT Rajawali Capital International; numerous subsidiaries holding estates in Kalimantan, Sumatra, Papua.</t>
  </si>
  <si>
    <t>BHL, BLP, ADS, PLS, SGA, JMS, MSP, SHM, SGSS, PAK, MAJ, STP, VMA, SKS, TSP, PSR, GEH, GES, SMS, KAPAG, PBM (plantation SPVs).</t>
  </si>
  <si>
    <t>Green Eagle Holdings 37.84%; FIC Properties 37.00%; Rajawali Capital ~? public ~25.30%.</t>
  </si>
  <si>
    <t>Listed (IDX: BWPT)</t>
  </si>
  <si>
    <t>Oil palm plantations and palm oil mills (CPO, PK).</t>
  </si>
  <si>
    <t>DER 3.65x (equity-depleted via prior-year impairments); total comprehensive income only Rp152.5 bn on Rp4.2 tn revenue; loan-to-EBITDA 4.54x; zero immature area reported (all planted area stated as mature); no dividends.</t>
  </si>
  <si>
    <t>2023: revenue fell 8% to Rp 4,204.6 bn on lower CPO/PK prices; CPO volume +4% YoY, PK +5%. Capex Rp 279 bn. Controls 87,000 ha planted (Kalimantan 73k ha, Papua 12k, Sumatra 2k), 7 mills @ 370 tph. FFB processed 1.36 Mt (80% internal / 20% third party). Financials in IDR million.</t>
  </si>
  <si>
    <t>Green Eagle Holdings (Singapore), FIC Properties Sdn Bhd, and PT Rajawali Capital International are major shareholders; operating via ~21 subsidiaries in Kalimantan, Sumatra, Papua.</t>
  </si>
  <si>
    <t>BHL, BLP, ADS, PLS, SGA, JMS, MSP, SHM, SGSS, PAK, MAJ, STP, VMA, SKS, TSP, PSR, GEH, GES, SMS, KAPAG, PBM.</t>
  </si>
  <si>
    <t>Green Eagle Holdings 37.84%; FIC Properties 37.00%; public ~25.3%.</t>
  </si>
  <si>
    <t>Accumulated deficit Rp 4,070 bn; bank loans Rp 3,898 bn + newly issued bonds Rp 61.55 bn; Loan/EBITDA 3.14x; 2024 CPO output down 17.6% YoY to 263,657 t on weaker FFB supply (-8.7% to 1,041,515 t).</t>
  </si>
  <si>
    <t>2024 revenue Rp 4,302.7 bn (+2.3% YoY) on higher CPO price Rp 12,515/kg (+13.6%) despite volume decline. Net profit Rp 272.1 bn (+70% YoY). Issued Bond I Phase I Rp 61.845 bn (Jun 2024). 3 RSPO-certified estates (34,870 ha); 10 ISPO-certified operations (69,464 ha). Statements in IDR million.</t>
  </si>
  <si>
    <t>Jakarta Selatan, Indonesia</t>
  </si>
  <si>
    <t>Kalimantan &amp; Papua (mills); plantations in Kalimantan, Sumatra, Sulawesi, Papua</t>
  </si>
  <si>
    <t>Ultimate parent PT Rajawali Corpora; direct parent PT Rajawali Capital International; consolidates ~20 plantation and mill SPVs.</t>
  </si>
  <si>
    <t>BLP, BHL, ADS, SMS, MAJ, SGA, JMS, PLS, KAPAG, STP, SKS, TSP, PSR, VMA, MSP, SHM, SGSS, PAK, GEH, GES.</t>
  </si>
  <si>
    <t>Issued shares 31,525,291,000; ultimate controller PT Rajawali Corpora (indirectly via Rajawali Capital International).</t>
  </si>
  <si>
    <t>Oil palm plantations, palm oil mills producing CPO, PK; wholesale of vegetable oils/fats.</t>
  </si>
  <si>
    <t>Accumulated deficit Rp 3,708 bn; gross debt ~Rp 4,035 bn (incl. Rp 200 bn Bonds I Phase I, Rp 50 bn Phase II, Rp 75 bn Sukuk Mudharabah I); interest expense Rp 425.3 bn absorbs ~36% of operating profit.</t>
  </si>
  <si>
    <t>2025 net sales Rp 5,761.3 bn (+33.9% YoY); net profit Rp 379.1 bn (+39.3%); EPS Rp 11.62 vs Rp 8.36. Two sukuk/bond offerings in 2025. Planted area note: 74,339 ha at 31-Dec-2025 and 2024 (NB: 2024 AR stated 87,000 ha; 2025 consolidated note specifies 74,339 ha - likely the precise net planted area vs rounded operational map).</t>
  </si>
  <si>
    <t>CBUT</t>
  </si>
  <si>
    <t>West Kotawaringin, Central Kalimantan, Indonesia</t>
  </si>
  <si>
    <t>Kalimantan</t>
  </si>
  <si>
    <t>Part of Citra Borneo Indah (CBI) group; majority-owned by PT Sawit Sumbermas Sarana Tbk (SSMS) after Dec 2023 debt-to-equity swap. Raw material CPO &amp; PK supplied by CBI group plantation entities (SSMS, Kalimantan Sawit Abadi, Sawit Multi Utama, Tanjung Sawit Abadi, Mitra Mendawai Sejati).</t>
  </si>
  <si>
    <t>None disclosed (standalone company financial statements)</t>
  </si>
  <si>
    <t>PT Sawit Sumbermas Sarana Tbk 70.22%; PT Kalimantan Sawit Abadi 4.00%; PT Mitra Mendawai Sejati 4.00%; PT Citra Borneo Indah 1.78%; Public 20.00%</t>
  </si>
  <si>
    <t>Listed (IDX: CBUT, IPO 8 Nov 2022)</t>
  </si>
  <si>
    <t>Palm oil refinery (CPO refining producing RBDPO, Olein, Stearin, PFAD) and kernel crushing (CPKO, PKE); no upstream plantation</t>
  </si>
  <si>
    <t>Negative CFO of Rp384bn in 2023 driven by large supplier payments and interest; heavy related-party transactions with CBI group; missed 2023 targets (sales -17.7% vs target, net profit -69.9% vs target, production -8.2%); rapid increase in short-term bank debt (+120% YoY).</t>
  </si>
  <si>
    <t>CBUT is the downstream refinery arm of CBI/SSMS group with 2,500 tpd CPO refinery + 2,500 tpd fractionation + 600 tpd kernel crushing in West Kotawaringin. 2023 saw revenue growth of 7% but gross profit fell 12% on lower CPO prices, while net profit halved to Rp144bn. Company is expanding via Refinery Plant 2 (1,500 tpd) and Dry Fractionation (1,000 tpd) under construction.</t>
  </si>
  <si>
    <t>Subsidiary of PT Sawit Sumbermas Sarana Tbk (SSMS, IDX: SSMS) which is owned by PT Citra Borneo Indah (CBI). Raw materials (CPO, PK) supplied by CBI/SSMS group plantation entities.</t>
  </si>
  <si>
    <t>None (standalone company financial statements)</t>
  </si>
  <si>
    <t>Palm oil refinery, fractionation and kernel crushing; produces RBDPO, RBD Olein, RBD Stearin, PFAD, CPKO, PKE</t>
  </si>
  <si>
    <t>Negative CFO Rp247bn (second consecutive year); total production only 402,492 MT (47.6% of 845,750 MT target); sharp drop in Olein sales (-42%) and Stearin (-49%); sold raw CPO as alternative when refinery margin was uncompetitive; refinery utilization fell from 91.77% to 47.62%; heavy short-term bank debt (Rp1,945bn) vs equity Rp969bn.</t>
  </si>
  <si>
    <t>CBUT had a weak 2024 with revenue down 5.4% to Rp9,766bn, net profit down 52.7% to Rp68bn, and refinery utilization falling sharply due to raw material supply constraints and unfavorable market conditions. First-ever cash dividend of Rp28.8bn (Rp9.23/share) paid from 2023 earnings. Refinery Plant 2 (1,500 TPD) and Dry Fractionation Plant (1,000 TPD) construction progressing with completion targeted Q4 2025.</t>
  </si>
  <si>
    <t>Subsidiary of PT Sawit Sumbermas Sarana Tbk (SSMS, IDX: SSMS) under PT Citra Borneo Indah (CBI) group. Raw materials sourced from SSMS plantations.</t>
  </si>
  <si>
    <t>PT Sawit Sumbermas Sarana Tbk 70.22%; PT Citra Borneo Indah 1.78%; PT Kalimantan Sawit Abadi 4.00%; PT Mitra Mendawai Sejati 4.00%; Maybank Global Growth Fund Singapore 11.01%; Public &lt;5% 4.09% (new major shareholder MGGF emerged in 2025)</t>
  </si>
  <si>
    <t>Palm oil refinery, fractionation, kernel crushing and (new) packaged cooking oil ('Hanau' brand launched 2025)</t>
  </si>
  <si>
    <t>Production 603,670 MT still only 71% of 850,000 MT target; parent-level receivables to SSMS related party increased materially (Rp1,754,702m); rising short-term debt 2024; cooking oil venture is nascent; reliance on SSMS for CPO supply and sales channels.</t>
  </si>
  <si>
    <t>Strong 2025 recovery: revenue +43% YoY to Rp13,971bn, operating profit +255% to Rp366bn, net profit +56% to Rp106bn. Refinery utilization recovered to 71% (from 48%), fractionation to 67% (from 43%), kernel crushing to 51%. Launched downstream packaged cooking oil 'Hanau' with new bottling plant (capacity 222,222 L/day). Maybank Global Growth Fund emerged as 11.01% shareholder in public float.</t>
  </si>
  <si>
    <t>Jakarta, Indonesia (plantations in North &amp; South Sumatra)</t>
  </si>
  <si>
    <t>Sumatra (North &amp; South)</t>
  </si>
  <si>
    <t>Cisadane Sawit Raya holds 6 subsidiaries (5 operating, 1 pre-operating): PT Samukti Karya Lestari (SKL), PT Sukses Sawit Gasing (SSG), PT Abiputra Bina Inter (ABI), PT Ina Zefanya Ataya (IZA), PT Daya Agro Lestari (DAL) - all 99.99%; PT Bintang Kenten Lestari (BKL) 99.00% not yet operating.</t>
  </si>
  <si>
    <t>PT SKL (Tapanuli Selatan, North Sumatra - plantation + 2nd PKS under construction); PT SSG, PT ABI (Banyuasin, South Sumatra); PT IZA (Musi Rawas Utara, South Sumatra); PT DAL (Musi Rawas, South Sumatra); PT BKL (Banyuasin, South Sumatra - not operating)</t>
  </si>
  <si>
    <t>PT Sapta Sawit Lestari 38.00%; PT Verdan Sawit Lestari 38.00%; PT Sawit Inti Perkasa 4.00%; Public 20.00%. Ultimate owner: Gita Sapta Adi family (Seman Sendjaja 33.74%, Alfatiana Avianti 23.00%, Dito Adoe Gamaputra 4.20%, Suhendra 4.20%, Radityo Utomo 4.20%, Suparto Kurniawan 0.66%, Johanna Wirjoprawiro 33.13% through the SSL structure)</t>
  </si>
  <si>
    <t>Listed (IDX: CSRA, IPO 9 Jan 2020)</t>
  </si>
  <si>
    <t>Upstream oil palm plantation and CPO milling</t>
  </si>
  <si>
    <t>FFB production 342,464 MT was 10% below target of 379,974 MT (yield 21.2 vs 23.5 target); 2022 total FFB processed declined 10% YoY; CPO production fell 10% YoY to 35,701t; heavy reliance on FFB from third parties declining (14,326t vs 30,769t in 2021); 2nd mill delayed to Jun-2023.</t>
  </si>
  <si>
    <t>CSRA is a standalone upstream palm oil plantation operator in North/South Sumatra with ~19,334 ha planted nucleus area and a single 45 tph CPO mill in Labuhanbatu. 2022 delivered revenue +8% YoY to Rp970bn and net profit Rp252bn despite lower CPO production (35,701t vs 39,687t). Company paid Rp71.75bn total dividends during 2022 (Rp10 final 2021 + Rp25 interim 2022). 2nd mill under construction at PT SKL (Tapanuli Selatan) with 45 tph capacity to double total milling capacity to 90 tph.</t>
  </si>
  <si>
    <t>CSRA holds 6 subsidiaries (5 operating, 1 pre-operating): PT Samukti Karya Lestari (SKL), PT Sukses Sawit Gasing (SSG), PT Abiputra Bina Inter (ABI), PT Ina Zefanya Ataya (IZA), PT Daya Agro Lestari (DAL) - 99.99%; PT Bintang Kenten Lestari (BKL) 99.00%.</t>
  </si>
  <si>
    <t>PT SKL (Tapanuli Selatan - 2nd PKS commissioned 2023); PT SSG, PT ABI (Banyuasin, South Sumatra); PT IZA (Musi Rawas Utara); PT DAL (Musi Rawas); PT BKL (Banyuasin - not operating; 3rd PKS groundbreaking Jan 2024)</t>
  </si>
  <si>
    <t>PT Sapta Sawit Lestari 38.00%; PT Verdan Sawit Lestari 38.00%; PT Sawit Inti Perkasa 4.00%; Public 20.00%. Ultimate: Gita Sapta Adi family (Seman Sendjaja, Alfatiana Avianti, Johanna Wirjoprawiro, etc.)</t>
  </si>
  <si>
    <t>Upstream oil palm plantation and CPO milling (two mills operating since 2023)</t>
  </si>
  <si>
    <t>Revenue -10% YoY; net profit -42% YoY on lower CPO price (Rp10,821/kg vs Rp12,468); FFB production -1.5% YoY at 337,367t (below 397,035t target); no dividend paid in 2023; cash balance dropped 90% to Rp25.4bn; FFB yield declined to 19.4 t/ha from 21.2.</t>
  </si>
  <si>
    <t>CSRA had a challenging 2023 with revenue falling 10% to Rp875bn and net profit down 42% to Rp146bn on lower CPO prices. Key operational milestone: 2nd palm oil mill at PT SKL (Tapanuli Selatan) commenced operations in 2023 doubling milling capacity to 90 tph - drove CPO production up 36% to 48,663t despite flat FFB. 3rd mill groundbreaking at PT BKL Banyuasin in Jan 2024. No dividend paid; retained profit for capex. Capex Rp136bn.</t>
  </si>
  <si>
    <t>CSRA holds 6 subsidiaries: PT Samukti Karya Lestari (SKL), PT Sukses Sawit Gasing (SSG), PT Abiputra Bina Inter (ABI), PT Ina Zefanya Ataya (IZA), PT Daya Agro Lestari (DAL) 99.99%; PT Bintang Kenten Lestari (BKL) 99.00%. Two mills operational; third mill under construction in Banyuasin, South Sumatra (mid-2025 target).</t>
  </si>
  <si>
    <t>PT SKL (Tapanuli Selatan - 45 tph PKS 2); PT SSG, PT ABI (Banyuasin, South Sumatra); PT IZA (Musi Rawas Utara); PT DAL (Musi Rawas); PT BKL (Banyuasin - 3rd PKS under construction)</t>
  </si>
  <si>
    <t>PT Sapta Sawit Lestari 38.00%; PT Verdan Sawit Lestari 38.00%; PT Sawit Inti Perkasa 4.00%; Public 20.00%. Ultimate: Gita Sapta Adi family (Seman Sendjaja, Alfatiana Avianti, Johanna Wirjoprawiro etc.)</t>
  </si>
  <si>
    <t>Upstream oil palm plantation and CPO milling (2 operating mills, 1 under construction)</t>
  </si>
  <si>
    <t>FFB production 319,085 MT only 79.51% of target; yield dropped to 18.2 t/ha (from 19.4); FFB processed increased 16% but FFB own production -5%; increasing reliance on 3rd party FFB (33,723 MT, up 28%); long-term liabilities +30% YoY on new bank loans for 3rd mill construction.</t>
  </si>
  <si>
    <t>CSRA rebounded in 2024: revenue +22% to Rp1,067bn driven by higher CPO prices (Rp12,793/kg vs Rp10,821); net profit +47% to Rp215bn; EBITDA Rp442bn (margin 41%). Two mills operational at 45 tph each (90 tph total). Third mill at PT BKL Banyuasin (South Sumatra) in construction, target Jun-2025. First dividend since 2022: Rp30bn or Rp14.63/share paid June 2024 (from 2023 profits). Capex Rp228bn mainly for 3rd mill.</t>
  </si>
  <si>
    <t>Kalimantan (East/Central/West)</t>
  </si>
  <si>
    <t>Integrated holding with palm oil (planting, POM, KCP), wood products (panel, engineered flooring) and renewable energy (Bio-CNG) subsidiaries</t>
  </si>
  <si>
    <t>Palm oil: SWA, PWP, AAN, DAN, DIN, DWT, KPAS, KAP, GUN, PSA, BPN, BAS, MNS, PUL, etc. Wood: TKPI, Nityasa Idola, DSN. Renewable: PT Dharma Sumber Energi (JV with eREX Japan).</t>
  </si>
  <si>
    <t>Rachmat Family 31.71% (incl. PT Triputra Investindo Arya 27.63%), Oetomo Family 28.90% (incl. Arianto 5.43%, Andrianto 5.43%), PT Krishna Kapital Investama 14.63%, PT Tri Nur Cakrawala 7.44%, PT Mitra Aneka Guna 6.32%, public 23.15%</t>
  </si>
  <si>
    <t>Listed (IDX: DSNG) since 14 June 2013</t>
  </si>
  <si>
    <t>Integrated palm oil plantation (FFB, CPO, PK, PKO) and wood products (panel, engineered flooring); renewable energy via Bio-CNG</t>
  </si>
  <si>
    <t>Wood segment concession revoked at PT Nityasa Idola (113,196 ha) in Sept 2022 (subsidiary still in development); plantations not insured against fire/pests.</t>
  </si>
  <si>
    <t>Strong 2022: revenue +35% to Rp9.63tn, net profit +63% to Rp1.21tn driven by higher CPO/PKO prices and volumes. Palm segment contributed ~84% of revenue. OER 22.76%.</t>
  </si>
  <si>
    <t>Integrated holding with palm oil subsidiaries (SWA, PWP, AAN, DAN, DIN, DWT, KPAS, etc.), wood products (TKPI), and renewable energy (PT Dharma Sumber Energi, JV with eREX Japan). Starting 2023, renewable energy became a separately reported segment.</t>
  </si>
  <si>
    <t>15 palm oil subsidiaries, 4 wood products/RE subsidiaries incl. PT Tanjung Kreasi Parquet Industry, PT Dharma Sumber Energi, PT Dharma Energi Investama</t>
  </si>
  <si>
    <t>T.P. Rachmat Family 31.71% (incl. PT Triputra Investindo Arya 27.63%), Oetomo Family 28.90%, PT Krishna Kapital Investama 14.63%, public 33.12%</t>
  </si>
  <si>
    <t>Integrated palm oil plantation + wood products + renewable energy (palm shell export, Bio-CNG)</t>
  </si>
  <si>
    <t>Nityasa Idola forest concession (113k ha) revoked in 2022; plantations not insured against fire/pests.</t>
  </si>
  <si>
    <t>2023 flat/down year: revenue -1.4% to Rp9.50tn; net profit -30.2% to Rp842bn as CPO/PKO/wood prices softened. Palm segment ~88% of revenue; first full year of PKS shell export to Japan. OER improved to 23.19%.</t>
  </si>
  <si>
    <t>Integrated holding: palm oil (15 plantation subsidiaries, 12 POMs, 1 KCP), wood products (TKPI, DSN) and renewable energy (DSE / eREX JV). In 2024 DSNG increased its stake in associate PT REA Kaltim Plantations from 15% to 35%.</t>
  </si>
  <si>
    <t>PT SWA, PT PWP, PT DAN, PT DIN, PT DWT, PT KAP, PT KPAS, PT PSA, PT BPN, PT BAS, PT Agro Pratama, PT Agro Andalan, PT TKPI, PT Nityasa Idola, PT Dharma Sumber Energi, PT Dharma Energi Investama etc.</t>
  </si>
  <si>
    <t>T.P. Rachmat Family 31.71% (PT Triputra Investindo Arya 27.63%), Oetomo Family 28.90% (incl. Arianto 5.43%, Andrianto 5.43%), PT Krishna Kapital Investama 14.63%, public 33.12%</t>
  </si>
  <si>
    <t>Integrated palm oil + wood products + renewable energy (palm kernel shell export, Bio-CNG)</t>
  </si>
  <si>
    <t>Wood product segment turned into pre-tax loss Rp16bn in 2024 (vs profit Rp23bn 2023); FFB production fell 7.1% due to El Nino lag. Plantations not insured.</t>
  </si>
  <si>
    <t>Strong 2024 rebound: revenue +6.5% to Rp10.12tn, net profit +35.6% to Rp1.14tn, EBITDA margin 30.6%. OER improved to 23.92%. FFB production down 7.1% offset by higher prices. 35% stake in REA Kaltim as strategic associate.</t>
  </si>
  <si>
    <t>Gedung Gold Coast, Tower Liberty Lt. 16, Jl. Pantai Indah Kapuk, Jakarta Utara 14470, Indonesia</t>
  </si>
  <si>
    <t>North Kalimantan (Nunukan, Bulungan), East Kalimantan and Riau</t>
  </si>
  <si>
    <t>Holding company with 9 palm oil plantation subsidiaries integrated with 5 POMs and 1 Kernel Crushing Plant. Subsidiaries: PT Borneo Bhakti Sejahtera (BBS), PT Mahakam Citra Abadi (MCA), PT Karyan Putra Lestari (KPL), PT Karangjuang Hijaulestari (KHL), PT Bulungan Hijau Perkasa (BHP), PT Bhumi Simanggaris Indah (BSI), PT Tirta Madu Sawit Jaya, PT Riau Agung Karya Abadi (RAKA), etc.</t>
  </si>
  <si>
    <t>PT Borneo Bhakti Sejahtera, PT Mahakam Citra Abadi, PT Karyan Putra Lestari, PT Karangjuang Hijaulestari, PT Bulungan Hijau Perkasa, PT Bhumi Simanggaris Indah, PT Tirta Madu Sawit Jaya, PT Riau Agung Karya Abadi (RAKA), PT Fajar Niaga Berjaya</t>
  </si>
  <si>
    <t>Prinsep Management Limited 80.75%, PT Fangionoperkasa Sejati 4.25%, Public 15.00%</t>
  </si>
  <si>
    <t>Listed (IDX: FAPA) since 4 January 2021</t>
  </si>
  <si>
    <t>Palm oil plantation and industry (upstream, CPO, PK, PKO, PKE) through subsidiaries</t>
  </si>
  <si>
    <t>Significant FX loss Rp180bn (due to USD-denominated shareholder loans); Prinsep Management Ltd shareholder loan of Rp723bn fully repaid during 2022; high concentration under Fangiono family (Prinsep 80.75%).</t>
  </si>
  <si>
    <t>Strong 2022: net sales +42% to Rp4.83tn, net profit +84% to Rp749bn, driven by higher CPO prices and production up 19%. Shareholder loan fully repaid. NCL down 31% due to repayment.</t>
  </si>
  <si>
    <t>North Kalimantan, East Kalimantan, Riau</t>
  </si>
  <si>
    <t>Integrated palm oil upstream holding with 9 plantation subsidiaries, 5 POMs, 1 Kernel Crushing Plant.</t>
  </si>
  <si>
    <t>PT Borneo Bhakti Sejahtera, PT Mahakam Citra Abadi, PT Karyan Putra Lestari, PT Karangjuang Hijaulestari, PT Bulungan Hijau Perkasa, PT Bhumi Simanggaris Indah, PT Tirta Madu Sawit Jaya, PT Riau Agung Karya Abadi, PT Fajar Niaga Berjaya</t>
  </si>
  <si>
    <t>Prinsep Management Ltd 75.79% (reduced from 80.75% during 2023), PT Fangionoperkasa Sejati 6.59%, Public 17.62%</t>
  </si>
  <si>
    <t>Palm oil plantation and processing (FFB, CPO, PK, PKO, PKE) via subsidiaries</t>
  </si>
  <si>
    <t>Net profit dropped 78% YoY due to much lower CPO prices; bank overdraft increased to Rp725bn; net debt remains high relative to EBITDA; heavy Prinsep (Fangiono family) concentration (75.79%).</t>
  </si>
  <si>
    <t>2023 mixed: revenue +4.8% to Rp5.06tn on higher volumes (CPO +11% to 307.7kt) but net profit -78% to Rp161.7bn as CPO prices fell. Mature area grew to 84,128ha. Current liabilities exceeded current assets (ratio 0.69).</t>
  </si>
  <si>
    <t>Integrated palm oil upstream holding with 9 plantation subsidiaries, 5 POMs and 1 Kernel Crushing Plant. Subsidiaries in N. Kalimantan (Nunukan/Bulungan: KHL, BHP, BSI, TMSJ, KPL), E. Kalimantan (BBS, MCA) and Riau (RAKA).</t>
  </si>
  <si>
    <t>Prinsep Management Ltd 73.37% (after further sell-down from 75.79% in 2023 and buyback completion), PT Fangionoperkasa Sejati ~6.59%, treasury/public balance.</t>
  </si>
  <si>
    <t>Palm oil plantation and industry; upstream FFB, CPO, PK, PKO, PKE via subsidiaries.</t>
  </si>
  <si>
    <t>CPO production declined 3.2% YoY (297,758 tons) despite FFB +4% indicating OER softening; reliance on USD-denominated bank loans. Heavy controlling-shareholder concentration (Fangiono family via Prinsep).</t>
  </si>
  <si>
    <t>Strong 2024: net sales +13.5% to Rp5.74tn, net profit Rp571.5bn (vs Rp161.7bn) on improved CPO prices. Mature area increased to 87,633 ha. FFB yield 14.97 t/ha.</t>
  </si>
  <si>
    <t>Jakarta Pusat, Indonesia</t>
  </si>
  <si>
    <t>Indonesia (warehousing/logistics in multiple ports)</t>
  </si>
  <si>
    <t>Parent PT FKS Multi Agro Tbk with direct subsidiaries PT Nusa Prima Logistik (65%), PT FKS Solusi Logistik (99.99%), PT FKS Pangan Nusantara (99.99% acquired Jul-2022); ultimate parent FKS International Investment Pte Ltd (Singapore).</t>
  </si>
  <si>
    <t>PT Nusa Prima Logistik, PT FKS Solusi Logistik, PT FKS Pangan Nusantara, PT PBM WIN Tapin</t>
  </si>
  <si>
    <t>PT FKS Corporindo Indonesia 79.06%; PT Caturkartika Perdana 10.42%; Public 10.52%</t>
  </si>
  <si>
    <t>Listed (IDX: FISH) since 18 Jan 2002</t>
  </si>
  <si>
    <t>Distribution and trading of agricultural commodities (feed ingredients, food ingredients, fertilizer) with supporting warehousing and logistics.</t>
  </si>
  <si>
    <t>Reporting currency is USD (not IDR); palm-oil share is limited; high short-term bank debt for working capital.</t>
  </si>
  <si>
    <t>Agri-commodity trading &amp; distribution company; not a pure palm-oil producer. Limited relevance for palm upstream peer benchmarking except as trading/logistics reference.</t>
  </si>
  <si>
    <t>Parent PT FKS Multi Agro Tbk; ultimate parent FKS International Investments Pte. Ltd. (Singapore). Direct subsidiaries: PT Nusa Prima Logistik (65%), PT FKS Solusi Logistik (99.99%), PT FKS Pangan Nusantara (99.99%).</t>
  </si>
  <si>
    <t>PT Nusa Prima Logistik (Jakarta, 65%, warehousing/logistics), PT FKS Solusi Logistik (Jakarta, 99.99%, consulting &amp; management services), PT FKS Pangan Nusantara (Jakarta, 99.99%, trading food products), PT PBM WIN Surabaya</t>
  </si>
  <si>
    <t>PT FKS Corporindo Indonesia 79.06%; PT Caturkartika Perdana 10.42%; Public 10.52% (480,000,000 shares total)</t>
  </si>
  <si>
    <t>Distribution and trading of agricultural commodities (feed ingredients, food ingredients) with supporting warehousing, port handling, transportation and logistics.</t>
  </si>
  <si>
    <t>Reporting currency is USD (not IDR); revenue declined 10.5% YoY on weak commodity prices; net profit dropped 24.5% YoY; high short-term bank debt (USD93.9 mn) for working capital; 2023 stock price fell sharply from Rp6,750 to Rp5,525 (-18%).</t>
  </si>
  <si>
    <t>Agri-commodity trading &amp; distribution company (feed/food ingredients, logistics); not a pure palm-oil producer. 2023 revenue USD1,401 mn (-10.5% YoY) with net profit USD24.7 mn (-24.5%). Balance sheet strengthened modestly (equity +6.7%). Limited relevance for palm upstream peer benchmarking except as trading/logistics reference.</t>
  </si>
  <si>
    <t>PT Nusa Prima Logistik (Jakarta, 65%, warehousing/logistics), PT FKS Solusi Logistik (Jakarta, 99.99%, consulting &amp; management services), PT FKS Pangan Nusantara (Jakarta, 99.99%, trading food products)</t>
  </si>
  <si>
    <t>Reporting currency is USD (not IDR); revenue declined 7.7% YoY; net profit collapsed 61.2% YoY due to commodity price volatility and margin compression (gross margin 4.1% vs 5.1% prior year); high dependence on imported feed/food commodities; USD/IDR depreciation impact; equity declined YoY; opened new cargo-handling capacity at SGT Cilegon (2x1,000 tph).</t>
  </si>
  <si>
    <t>Agri-commodity trading &amp; distribution company (feed/food ingredients, logistics); NOT a palm-oil producer. 2024 revenue USD1,292 mn (-7.7% YoY); net profit slumped to USD9.6 mn (-61.2%), with ROA falling to 1.8% (2023: 5.0%). Share price rallied sharply in H2-2024 (Dec close Rp10,650 vs Rp5,525 in 2023, +93%). Limited relevance for palm upstream peer benchmarking except as trading/logistics reference. No plantation/mill/FFB data applicable.</t>
  </si>
  <si>
    <t>Sumatra (South Sumatra, Jambi)</t>
  </si>
  <si>
    <t>Holding with two operating subsidiaries: PT Balaingu Capital Investment (90.0%, South Sumatra plantation) and PT Persada Alam Hijau (99.99%, Jambi plantation).</t>
  </si>
  <si>
    <t>PT Balaingu Capital Investment (90.0%, South Sumatra plantation, commercial since 2015, Rp309.9 bn assets); PT Persada Alam Hijau (99.99%, Jambi plantation, commercial since 2014, Rp116.4 bn assets).</t>
  </si>
  <si>
    <t>National and Foreign Corporation controlling shareholder (not further detailed in filing).</t>
  </si>
  <si>
    <t>Listed (IDX: GOLL)</t>
  </si>
  <si>
    <t>Oil palm plantation (Sector 1 Agriculture, Subsector 12 Plantation)</t>
  </si>
  <si>
    <t>Severely distressed financials: FY2020 revenue collapsed to Rp3.72 bn (vs Rp19.18 bn in 2019); net loss Rp383.2 bn (vs Rp68.3 bn in 2019) driven by Rp370.4 bn 'other expenses' tied to subsidiary disposal; total assets fell 82% YoY to Rp471.7 bn; equity dropped from Rp741 bn to Rp84 bn; non-controlling interests turned negative (-Rp109.3 bn); auditor issued QUALIFIED opinion; audit report dated 13 Nov 2022 (~22 months after year-end, indicative of ongoing issues); gross loss of Rp4.84 bn (COGS &gt; revenue); large subsidiary disposal (Rp370.4 bn, likely non-cash settlement/asset write-down); filing contains no operational disclosures (no planted area, FFB, CPO data). Company appears to be in wind-down or restructuring.</t>
  </si>
  <si>
    <t>PT Golden Plantation Tbk is a small Indonesian oil palm plantation holding company (IDX: GOLL) with plantation subsidiaries in South Sumatra and Jambi. The 2020 financial statements filing (submitted Nov 2022) is extremely limited - only an audited financial statements package without narrative annual report content. Financials show a company in severe distress: revenue only Rp3.72 bn, net loss Rp383.2 bn, equity nearly wiped out, and a qualified audit opinion. Major subsidiary disposal in 2020 reduced total assets by 82% YoY. No operational metrics (planted area, FFB/CPO production, mill capacity) are disclosed in the filing.</t>
  </si>
  <si>
    <t>Kawasan Industri BIIE Hyundai, Cikarang Selatan, Bekasi, Jawa Barat, Indonesia (Head Office)</t>
  </si>
  <si>
    <t>Java (Cikarang, West Java + Pati, Central Java)</t>
  </si>
  <si>
    <t>Family-controlled holding with 4 individual founders/family members holding 80% (Tjokro Gunawan 24%, Ivan Cokro Saputra 24%, Cecilia Lanny Budiman 16%, Bernice Cokrosaputro 16%). Operates 3 plants: two in Cikarang (West Java) and one in Pati (Central Java).</t>
  </si>
  <si>
    <t>PT Cubic Indonesia (89%, industrial metal works/coating services), PT Mitrapak Eramandiri (32.5%, associate, soap/household cleaning/cosmetics), PT Ciptapangan Sukses Makmur (80%, food &amp; beverage wholesale trade), PT Gunanusa Agro Internasional Plantation (99%, in liquidation), Gunanusa Eramandiri International Sdn. Bhd. (100%, liquidated Jan 2025), PT Farmer Gunanusa Eramandiri (40% associate, in liquidation)</t>
  </si>
  <si>
    <t>Tjokro Gunawan 24%, Ivan Cokro Saputra 24%, Cecilia Lanny Budiman 16%, Bernice Cokrosaputro 16%, Public 20% (post-IPO)</t>
  </si>
  <si>
    <t>Listed (IDX: GUNA) - IPO on 9 July 2024</t>
  </si>
  <si>
    <t>Nut processing &amp; food manufacturing (NOT palm oil). Core products: chopped/sliced/whole almonds, cashews, hazelnuts, pistachios, walnuts, peanuts; nut milks; peanut butter/paste; snack nuts under brands Almonesia, John Farmers, Kagil, GENuts 2 Naga. Contract manufacturing/toll services (55.48% of revenue) is largest segment; key customer PT Unilever Indonesia ~56% of revenue.</t>
  </si>
  <si>
    <t>NOT A PALM OIL COMPANY - GUNA is a nut processing and consumer goods (food) manufacturer. Customer concentration risk: PT Unilever Indonesia ~56% of revenue, which suffered boycott-driven -7% sales decline in 2024. Operating cash flow turned negative (-Rp8.34 bn in 2024 vs +Rp125.08 bn in 2023). Short-term bank debt jumped 319% to Rp65 bn (HSBC import credit). Net profit -17% YoY. Two subsidiaries (GAI, GEI Sdn Bhd) being liquidated. Included in palm peer list appears to be erroneous; KBLI 10411 (crude vegetable oil) is a listed business scope but NOT active (explicitly excludes palm oil). Only linkage is a dormant subsidiary named 'Gunanusa Agro International Plantation' (0 assets, being liquidated).</t>
  </si>
  <si>
    <t>PT Gunanusa Eramandiri Tbk is a family-controlled Indonesian nut processor and food manufacturer that IPO'd on 9 July 2024 (raised Rp75 bn, listed 20% of shares). 2024 revenue grew 3.1% to Rp1,444 bn (US$~90 mn) but net profit fell 17% to Rp78.6 bn due to rising raw material costs and wage inflation. Core segments: contract manufacturing/toll services (55.5%, serving Unilever, Campina, Indofood CBP, Mayora, Arnott's etc.), own-brand nut product sales (39.6%), others (4.9%). Three processing plants (2 Cikarang, 1 Pati) produce ~9,200 tons of nuts/year (actual 2024: 8,314 tons). Total assets Rp980 bn (+29%), equity Rp679 bn (+24%). IMPORTANT: this is NOT a palm oil company - inclusion in the Indonesian palm peer list appears incorrect or is aspirational (one dormant plantation subsidiary is being liquidated).</t>
  </si>
  <si>
    <t>Other (Nut processing/food manufacturer, B2B contract manufacturing + own-branded nut products)</t>
  </si>
  <si>
    <t>South Sumatra / Central Kalimantan</t>
  </si>
  <si>
    <t>Controlled by PT Golden Zaga Indonesia (28.37%) and Tjandra Mindharta Gozali (26.37%, President Commissioner). Plantation operations via subsidiaries. Prajogo Pangestu held 7.84% stake (disappeared from 2023 shareholder list).</t>
  </si>
  <si>
    <t>Suryabumi (99.50%, Sumsel), Cahya Vidi (99.50%, Sumsel), Bumimas (99.50%, investment), Telaga Sari (99.99%, Kalteng), Palma (99.99%, investment), Pemdas (71.07%, Sumsel); non-operational: Siberut, Mentawai, Mitra Lintas, Siberut GPP, Mentawai GPP.</t>
  </si>
  <si>
    <t>PT Golden Zaga Indonesia 28.37%, Tjandra Mindharta Gozali 26.37%, Namdorj Chuluunbaatar 9.83%, Prajogo Pangestu 7.84%, Jamal Rosyidin Hakki 0.31%, Andrew Michael Vincent 0.01%, Ir Rudyansyah 0.03%, Public &lt;5% 27.27%. 17,861 total shareholders (local 85.45% / foreign 14.55%).</t>
  </si>
  <si>
    <t>Listed (IDX: GZCO), IPO 15 May 2008 @ Rp225/share</t>
  </si>
  <si>
    <t>Oil palm plantation (upstream only) via subsidiaries. Produces FFB, CPO, palm kernel. Single mill PKS SA at Suryabumi (90 T/hr).</t>
  </si>
  <si>
    <t>Revenue fell 22% YoY on 24% lower CPO sales volume (38,659 t vs 50,762 t 2021); Cahyavidi lost 5,000 ha location permit in Muara Enim due to non-conversion (total landbank cut from 22,189 ha to 17,188 ha); TSP Kalimantan still no mill (sells FFB); mill occupancy low; avg tree age 16 yrs 7 months; 76% of mature trees are &gt;10 yrs old (ageing profile); post-Covid operational environment.</t>
  </si>
  <si>
    <t>Small pure-upstream palm producer in Sumsel/Kalimantan. 2022 revenue -22% to Rp554.7 bn on lower CPO sales volume (-24%); however net profit jumped 5x to Rp75.8 bn (from Rp14.3 bn) on margin recovery (GM 22% vs 10% 2021). EBITDA Rp305.8 bn up 2%. Cahyavidi lost 5,000 ha location permit (landbank down from 22k to 17k ha). Single PKS SA mill 90 T/hr at Suryabumi only. 12,700 ha mature of 12,917 planted. Avg age 16 yrs 7 months. Capex Rp31.7 bn. Gearing 13%.</t>
  </si>
  <si>
    <t>Controlled by PT Golden Zaga Indonesia (28.37%) and Tjandra Mindharta Gozali (26.37%, President Commissioner). Plantation operations via subsidiaries.</t>
  </si>
  <si>
    <t>Suryabumi (99.50%, Sumsel), Cahya Vidi (99.50%, Sumsel), Bumimas (99.50%, investment), Telaga Sari (99.99%, Kalteng), Palma (99.99%, investment), Pemdas (71.07%, Sumsel), non-operational: Siberut, Mentawai, Mitra Lintas, Siberut GPP, Mentawai GPP. SKM acquisition signed end-2023 via Suryabumi (consolidated from 2024).</t>
  </si>
  <si>
    <t>PT Golden Zaga Indonesia 28.37%, Tjandra Mindharta Gozali 26.37%, Nyamdorj Chuluunbaatar 9.85%, Jamal Rosyidin Hakki 0.30%, Andrew Michael Vincent 0.01%, Public &lt;5% 35.11%. 21,335 total shareholders (local 85.49% / foreign 14.51%).</t>
  </si>
  <si>
    <t>Oil palm plantation (upstream only) via subsidiaries. Produces FFB, CPO, palm kernel. Single mill (PKS SA) at Suryabumi.</t>
  </si>
  <si>
    <t>Net profit collapsed 97% to Rp2.4 bn from Rp75.8 bn (2022) on lower CPO prices (-6.9%) and kernel (-28%); gross margin halved to 12.6% (from 22.1%); EBIT down 68%; Mill occupancy only ~60%; TSP estate in Kalimantan must sell FFB (no mill); 20% of mature trees are &lt;9 yrs requiring cash subsidy; avg tree age 17 yrs 4 months (ageing).</t>
  </si>
  <si>
    <t>Small pure-upstream palm producer. 2023 revenue +34% to Rp744.3 bn on higher CPO sales volume (+54% to 59,395 t) despite lower prices (-6.9%). Net profit collapsed 97% to Rp2.4 bn due to cost pressure. EBITDA Rp169 bn (-45%). Cash position strong at Rp355 bn. Gearing 14%. Capex Rp93 bn (triple 2022) largely for replanting/new plantings. 12,452 ha mature of 13,114 ha total; 76% of mature trees &gt;10 yrs. Avg age 17 yrs 4 months. Planning SKM acquisition (closed early 2024).</t>
  </si>
  <si>
    <t>South Sumatra / West Kalimantan / Central Kalimantan</t>
  </si>
  <si>
    <t>Controlled by PT Golden Zaga Indonesia (28.37%) and Tjandra Mindharta Gozali (26.37%) as President Commissioner; operates plantations through subsidiaries. New subsidiary SKM (PT Sinar Karya Mandiri, W. Kalimantan) consolidated from Feb 2024.</t>
  </si>
  <si>
    <t>Suryabumi (99.50%, Sumsel), Cahya Vidi (99.50%, Sumsel), Bumimas (99.50%, investment), Telaga Sari (99.99%, Kalteng), Palma (99.99%, investment), Pemdas (71.07%, Sumsel), SKM (99.99%, Kalbar, acquired Feb 2024 via Suryabumi), plus non-operational Siberut, Mentawai, Mitra Lintas, Siberut GPP, Mentawai GPP.</t>
  </si>
  <si>
    <t>PT Golden Zaga Indonesia 28.37%, Tjandra Mindharta Gozali 26.37%, Nyamdorj Chuluunbaatar 9.85%, Jamal Rosyidin Hakki 0.30%, Andrew Michael Vincent 0.00%, Public &lt;5% 35.11%. 14,817 total shareholders (local 85.5% / foreign 14.5%).</t>
  </si>
  <si>
    <t>Oil palm plantation (upstream only) - FFB harvest, CPO and palm kernel processing through subsidiaries; small-scale producer (~0.07% of national planted area).</t>
  </si>
  <si>
    <t>Small scale operator (&lt;0.07% national area); FFB processed down 9% YoY (227k-&gt;207k t); CPO production down 13% YoY; OER declined to 21.25% (from 22.16%) due to El Nino drought; only 1 mill at Suryabumi (90 T/hr) - Kalimantan estates (TSP, SKM) sell FFB since they have no processing facility; gearing rose to 22% (from 14%); liquidity ratio fell to 0.56x (current ratio below 1); net working capital negative Rp(224.6) bn.</t>
  </si>
  <si>
    <t>Small pure-upstream palm producer in Sumsel/Kalimantan. 2024 revenue +8% to Rp804.6 bn on higher CPO prices (+18% to Rp13.12m/t) offsetting 25% CPO volume decline. Net profit jumped 26x to Rp62.4 bn (from Rp2.4 bn) on improved gross margin (20% vs 13%). SKM acquisition added 9,610 ha landbank (total 26,798 ha). Planted area grew to 15,596 ha (89% mature). Old ageing profile: 66% of mature trees &gt;10 yrs, avg 16 yrs. Capex only Rp22 bn vs plan Rp93 bn - cash prioritized for working capital. ISPO certification extended to SKM.</t>
  </si>
  <si>
    <t>IPPE</t>
  </si>
  <si>
    <t>Subang, West Java, Indonesia</t>
  </si>
  <si>
    <t>Java (Subang, West Java)</t>
  </si>
  <si>
    <t>Part of PT Lembur Sadaya Investama group; ultimate controller PT Sapihanean Pangan Lestari. Major shareholders: PT Lembur Sadaya Investama 35.22%, PT Sumber Sentosa Adikarya 6.09%, Asep Sulaeman Sabanda (President Commissioner) 5.21%, Public 53.48%.</t>
  </si>
  <si>
    <t>PT Agrindo Lestari Jaya (ALJ) - 99.999% owned, domiciled in Subang (Trade/coconut industry); Pre-operating status. ALJ holds 13,587 ha location permit in Katingan, Central Kalimantan for horticultural/coconut plantation (permit in renewal process).</t>
  </si>
  <si>
    <t>PT Lembur Sadaya Investama 35.22%, PT Sumber Sentosa Adikarya 6.09%, Asep Sulaeman Sabanda 5.21%, Public 53.48%. Total shares 4,600,000,000.</t>
  </si>
  <si>
    <t>Listed (IDX: IPPE) since 9 December 2021</t>
  </si>
  <si>
    <t>Coconut oil processing (NOT palm oil) - Crude Coconut Oil (CCO), Pure Cooking Oil (PCO), Virgin Coconut Oil (VCO), Copra Meal (Bungkil Kelapa). KBLI 10422 Crude Coconut Oil Industry, KBLI 10773 Coconut Cooking Products, KBLI 10423 Coconut Cooking Oil Industry.</t>
  </si>
  <si>
    <t>NOT A PALM OIL COMPANY - processes coconut (kelapa) not oil palm (kelapa sawit). Very small scale (revenue only Rp35.7 bn). Stock price stuck at Rp50 floor throughout most of 2023 with thin trading volume. Main challenge: managing copra raw material availability. Heavy advances (Rp86.4 bn) to suppliers constitutes majority of current assets. Subsidiary ALJ still pre-operating since 2020 acquisition. Negative operating cash flow in 2023 (-Rp2.15 bn). Did not pay dividend in 2023.</t>
  </si>
  <si>
    <t>PT Indo Pureco Pratama Tbk is a small-cap COCONUT (not palm) oil processor based in Subang, West Java. Operates a single coconut flesh processing factory in Balingbing, Pagaden Barat, Subang. 2023 revenue Rp35.73 bn (+2.03% YoY), net profit Rp3.86 bn (+8.34% YoY). Main products: Crude Coconut Oil (86.08% of sales) and Copra Meal/Bungkil Kelapa (13.92%). Total assets Rp301.27 bn largely from fixed assets Rp201.3 bn (factory) and advances Rp86.4 bn. Added Rp7 bn long-term bank loan in 2023. Listed on IDX since Dec 2021. Should likely be excluded from palm oil long-list - this is a coconut processor, not palm plantation/refiner.</t>
  </si>
  <si>
    <t>Downstream (coconut processing - buys copra/coconut raw materials from third-party suppliers)</t>
  </si>
  <si>
    <t>Batulicin, Tanah Bumbu, South Kalimantan, Indonesia</t>
  </si>
  <si>
    <t>South Kalimantan (Tanah Bumbu &amp; Kotabaru)</t>
  </si>
  <si>
    <t>Part of Jhonlin Group. Direct parent: PT Eshan Agro Sentosa (EAS) 84.64%; ultimate controller PT Jhonlin Group / H. Samsudin Andi Arsyad family.</t>
  </si>
  <si>
    <t>None (standalone) - Company operates its own plantation, biodiesel plant, refinery &amp; cooking oil factory. Plasma partner: Koperasi Jasa Maju Mulia Sejahtera.</t>
  </si>
  <si>
    <t>PT Eshan Agro Sentosa 84.64% (Controller), PT Sinar Bintang Mulia 0.08%, Public 15.28% (total 8,000,000,000 shares as of 31 Dec 2022)</t>
  </si>
  <si>
    <t>Listed (IDX: JARR) - IPO 4 August 2022</t>
  </si>
  <si>
    <t>Palm oil plantation + biodiesel (FAME) production + refinery/cooking oil. Revenue dominated by FAME sales to PT Pertamina Patra Niaga.</t>
  </si>
  <si>
    <t>Extreme customer concentration - ~97% of revenue from FAME sales to PT Pertamina (Persero) under government-allocated quotas; still purchasing all CPO from third parties (own PKS under construction); high gearing (D/E 160%); new IPO entity with small PT (planted 10,264.87 ha of 17,020 ha HGU); net profit below target (Rp41.7bn vs Rp88.9bn budgeted).</t>
  </si>
  <si>
    <t>Jhonlin Agro Raya - newly-IPO'd (Aug 2022) South Kalimantan palm-biodiesel player part of Jhonlin Group. FY2022 revenue Rp4,708bn (+659% YoY) driven by full-year FAME (biodiesel) sales to Pertamina, net profit Rp41.7bn (+163%). Owns 1,500 TPD biodiesel plant (operating since Sep 2021), 250 TPD cooking oil factory (built 2022), and is constructing own 60 TPH PKS (completion targeted Dec 2023). Plantation 17,020 Ha HGU; 10,264.87 Ha planted, 9,370.35 Ha producing. IPO raised Rp361.8bn (gross Rp366.9bn).</t>
  </si>
  <si>
    <t>Part of Jhonlin Group. Parent: PT Eshan Agro Sentosa 84.64% (Controller); Ultimate controllers H. Samsudin Andi Arsyad / H. Sudirman Andi Arsyad / Jhony Saputra via PT Jhonlin Group (92.51% EAS parent) and related holding entities. Company moved from IDX Development Board to Main Board in 2023.</t>
  </si>
  <si>
    <t>Merged with PT Jhonlin Agro Lestari (JAL) on 24 Nov 2023 (business combination under common control) - JAL status terminated by law; JAL's plantation (~10,916 ha) absorbed into JARR, expanding HGU from 17,020 ha to 27,936.72 ha. Plasma partner: Koperasi Jasa Maju Mulia Sejahtera (518.12 ha).</t>
  </si>
  <si>
    <t>PT Eshan Agro Sentosa 84.64% (Controller), PT Sinar Bintang Mulia 0.07%, PT Jhonlin Agro Mandiri 0.04%, Public 13.25% (total 9,230,665,050 shares as of 31 Dec 2023, up from 8,000,000,000 in Jan 2023 due to merger share issuance)</t>
  </si>
  <si>
    <t>Listed (IDX: JARR) - moved to Main Board in 2023</t>
  </si>
  <si>
    <t>Biodiesel (FAME) + palm oil plantation + refinery/cooking oil; revenue dominated by FAME sales to PT Pertamina Patra Niaga.</t>
  </si>
  <si>
    <t>Customer concentration: FAME sales to Pertamina dominate revenue; FAME allocation depends on government quota; high leverage (D/E 153%, Utang Bank Rp1.924 tn); revenue -4.5% YoY due to lower FAME avg price (Rp10,985/L vs Rp12,377/L in 2022); merger with related party JAL (proforma adjustment of Rp90.97 bn to net profit); new Rp500 bn long-term investment credit signed Nov 2023 at 7.5% for PKS completion.</t>
  </si>
  <si>
    <t>Restated under common-control merger with PT Jhonlin Agro Lestari (24 Nov 2023), effectively tripling plantation footprint to 27,937 ha HGU and 17,964.70 ha planted (14,961 ha mature). FY2023 revenue Rp4,442 bn (-4.5% YoY, lower FAME price partly offset by 135% FFB target achievement of 208,107 t). Net profit Rp77.3 bn (+86% YoY, pro-forma). PKS (60 TPH) completed late 2023. FAME volume 310,678 KL (93% of 333,562 KL target). New Rp500 bn investment credit from Bank Mandiri signed Nov 2023.</t>
  </si>
  <si>
    <t>Part of Jhonlin Group. Controlling shareholder PT Eshan Agro Sentosa (EAS) 86.64%; ultimate controlling family H. Samsudin Andi Arsyad / H. Sudirman Andi Arsyad / Jhony Saputra via PT Jhonlin Group.</t>
  </si>
  <si>
    <t>None (standalone). JAL merged into JARR in Nov 2023 (entities under common control). Plasma partner: Koperasi Jasa Maju Mulia Sejahtera (518.12 ha).</t>
  </si>
  <si>
    <t>PT Eshan Agro Sentosa 86.64% (Controller), PT Sinar Bintang Mulia 0.07%, PT Jhonlin Agro Mandiri 0.05%, Public 13.25% (total 9,230,665,050 shares as of 31 Dec 2024)</t>
  </si>
  <si>
    <t>Listed (IDX: JARR, Main Board since 2023)</t>
  </si>
  <si>
    <t>Biodiesel (FAME) production + integrated palm oil plantation + CPO/cooking oil refinery. FAME remains primary revenue driver via Pertamina/AKR/Andifa contracts.</t>
  </si>
  <si>
    <t>Revenue -13% YoY (lower FAME + FFB sales); FAME volume fell to 272,596 KL (down from 310,678 KL in 2023); FFB production only 65% of 244,080 t target (actual 159,688 t); still highly leveraged (D/E 141%, gross debt Rp1.94 tn); customer concentration on biodiesel buyers (Pertamina Patra Niaga, AKR Corporindo, Andifa Perkasa Energi); auditor change to Heliantono &amp; Rekan (from Kanaka Puradiredja Suhartono).</t>
  </si>
  <si>
    <t>2024 delivered strongly improved profitability despite lower revenue. Revenue Rp3,865 bn (-13% YoY) but net profit surged to Rp260.7 bn (+237% YoY) on sharp GP margin recovery to 12.5% (vs 8.7%) as own-PKS CPO internally sourced ~15% of needs, cutting third-party CPO cost. Total planted area 18,226 ha (10,668 ha mature); HGU 27,937 ha. Auditor changed to Heliantono &amp; Rekan. EBITDA/sales ratio 6.15 reported; D/E 141%; FAME sales 272,596 KL. Plans to lift internal CPO to 20-25% in 2025.</t>
  </si>
  <si>
    <t>Java (rubber, tea, coffee) + Kalimantan Selatan (oil palm + rubber)</t>
  </si>
  <si>
    <t>Controlled by PT Sarana Agro Investama (SAI) 80.00% (3,019,748,385 shares); SAI acquired JAWA from PT Sinar Kasih Abadi (SKA) in Sept 2017. 19 Dec 2022 EGMS approved Rp1 trillion zero-interest affiliate loan from SAI.</t>
  </si>
  <si>
    <t>12 operating plantation subsidiaries: PT Agri Bumi Sentosa (ABS, palm+rubber, S.Kalimantan), PT Kintap Jaya Wattindo (KJW, palm+rubber), PT Anugrah Wattiendo (AW, palm), PT Indo Java Rubber Planting Co (IJR, rubber, Cilacap), PT Kaliduren Estate (KE, tea+rubber+coffee, Jember/Sukabumi), PT Perkebunan Kroewoek (PK, rubber, Bayah), PT Bumi Prada (BP, rubber, S.Kalimantan), PT Mulyaningsih (MN, coffee+rubber, Jember), PT Banjoemas Landen (BL, rubber, Cilacap), PT Corah Mas Keputren (CMK, tea+coffee+rubber, Jember), PT Perkebunan Biting (PB, rubber, Kendal), PT Cipanyusuhan (CP, rubber, Lebak); plus PT Toraja Agra Wattie (Sulawesi).</t>
  </si>
  <si>
    <t>PT Sarana Agro Investama 80.00% (3,019,748,385 shares), Public 19.996% (754,804,615 shares), Rohadi 0.004% (132,500 shares). Total 3,774,685,500 shares. Pre-PMTHMETD structure.</t>
  </si>
  <si>
    <t>Listed (IDX: JAWA) since 20 May 2011. No trading suspensions in 2022. Authorized capital: 10,000,000,000 shares (pre-increase). Closing price Q4 2022: Rp105.</t>
  </si>
  <si>
    <t>Diversified plantation: rubber (core), palm oil (2 mills S.Kalimantan), tea, coffee - integrated upstream + downstream processing</t>
  </si>
  <si>
    <t>Extreme DER 2,932% (Liabilities Rp3.47 tn vs Equity Rp118 bn); equity nearly wiped out by accumulated deficit Rp1.34 tn; ROE -254.9%; net loss Rp302 bn (2nd consecutive year); CFO -Rp138 bn; cash fell 85% to Rp1.98 bn; dependent on SAI related-party zero-interest loans (Rp950 bn LT + Rp1 tn new approved 19 Dec 2022); gross margin only 2.81%; tree productivity FFB yield fell to 4.94 t/ha (-10%).</t>
  </si>
  <si>
    <t>PT Jaya Agra Wattie 2022: sharp deterioration - revenue +15% to Rp972 bn on higher CPO prices (+30%) but net loss widened to Rp302 bn (+69% vs Rp178 bn in 2021) as COGS rose 24% (rubber, wood and FFB procurement + fabrication costs). Balance sheet extremely stressed: equity fell to Rp118 bn (-47% YoY); LT related-party debt to SAI rose to Rp950 bn; bank debt Rp2.23 tn. 19 Dec 2022 EGMS approved additional Rp1 tn SAI loan. Planted area stable at 44,027 ha (palm nucleus 37,515 + plasma 6,512). 2 POMs 513,000 t/y capacity (45.8% util). FFB production fell to 81,206 t (-10%) but CPO extraction still 20.42%. Set stage for 2023 equity conversion rescue.</t>
  </si>
  <si>
    <t>Controlled by PT Sarana Agro Investama (SAI) post rights issue 95.35%; SAI ultimately owned by GMT Kapital Asia group. Acquired JAWA in Sept 2017 from PT Sinar Kasih Abadi. 22 Nov 2023: PMTHMETD (rights issue without pre-emptive rights) converted Rp1.25 tn SAI debt into 12.46 bn new shares (dilution 76.74%), increasing total shares from 3.77 bn to 16.23 bn.</t>
  </si>
  <si>
    <t>12 operating plantation subsidiaries: PT Agri Bumi Sentosa (ABS, palm+rubber, S.Kalimantan), PT Kintap Jaya Wattindo (KJW, palm+rubber), PT Anugrah Wattiendo (AW, palm), PT Indo Java Rubber Planting Co (IJR, rubber, Cilacap), PT Kaliduren Estate (KE, tea+rubber+coffee), PT Perkebunan Kroewoek (PK, rubber), PT Bumi Prada (BP, rubber), PT Mulyaningsih (MN, coffee+rubber), PT Banjoemas Landen (BL, rubber), PT Corah Mas Keputren (CMK), PT Perkebunan Biting (PB, rubber), PT Cipanyusuhan (CP, rubber); PT Toraja Agra Wattie.</t>
  </si>
  <si>
    <t>Post-PMTHMETD: PT Sarana Agro Investama 95.35% (15,478,014,727 shares), Public 4.65% (754,804,615 shares), Rohadi 0.001%; Total 16,232,951,842. Before: SAI ~80%, Public 20% (3,774,685,500 shares).</t>
  </si>
  <si>
    <t>Listed (IDX: JAWA) since 20 May 2011. 2023 key event: PMTHMETD 22 Nov 2023 - Rp1.25 tn SAI debt-to-equity conversion at Rp100/sh. Temporary trading suspensions: 10 Oct 2023 (unusual trading), 17-31 Oct 2023 (unusual trading); put on Special Monitoring (Criteria 10) 1-30 Nov 2023.</t>
  </si>
  <si>
    <t>Diversified plantation: rubber (dominant by area), palm oil (2 mills in S.Kalimantan), tea, coffee - integrated upstream + downstream processing</t>
  </si>
  <si>
    <t>Net loss Rp304 bn (3rd consecutive year); gross profit negative -Rp16 bn (GPM -1.78%); DER 272% vs 2,932% in 2022 (improved by debt-equity conversion); total liabilities reduced 23% from 2022 via SAI debt conversion; LT bank debt Rp1.61 tn; CFO -Rp121 bn; FFB production +21% but rubber SH production -55%; IDX unusual-trading suspension incidents and Special Monitoring classification; 76.7% dilution.</t>
  </si>
  <si>
    <t>PT Jaya Agra Wattie: 2023 transition year - company completed PMTHMETD on 22 Nov 2023 converting Rp1.25 tn controlling-shareholder SAI debt into equity, restoring equity from Rp118 bn (2022) to Rp982 bn (+729%). Revenue declined 7.8% to Rp896 bn due to weaker rubber commodity prices. Net loss Rp304 bn (-34% margin) but FFB production rose 21% to 98,357 t; CPO rose 11% to 53,447 t. Rubber production diverged (nucleus -10%, SH -55%). Total assets Rp3.66 tn; bank debt Rp1.96 tn (ST 125 + LT 1.84 tn); related-party loan cut from Rp950 bn to Rp417 bn following conversion. Classified under Special Monitoring Criteria 10 briefly in Nov 2023.</t>
  </si>
  <si>
    <t>Controlled by PT Sarana Agro Investama (SAI) 92.499%; SAI ultimate beneficial owners: Irwan A. Dinata 26.58%, Djaja Mulia 21.3%, Adi I. Hartono 24.37%, T Marto Sutiono 19.09%, Mohammad Syahrial 6.45%, Rachmat Saptaman 2.21%; PT GMT Kapital Asia 99.96%. Acquired by SAI from PT Sinar Kasih Abadi (SKA) in Sept 2017.</t>
  </si>
  <si>
    <t>12 operating plantation subsidiaries: PT Agri Bumi Sentosa (ABS 99%, palm+rubber, S.Kalimantan), PT Kintap Jaya Wattindo (KJW 99.37%, palm+rubber, S.Kalimantan), PT Anugrah Wattiendo (AW 99.68%, palm, S.Kalimantan), PT Indo Java Rubber Planting Co (IJR 99.90%, rubber, Cilacap), PT Kaliduren Estate (KE 99%, tea+rubber+coffee, Jember/Sukabumi), PT Perkebunan Kroewoek (PK 99%, rubber, Bayah), PT Bumi Prada (BP 99.98%, rubber, S.Kalimantan), PT Mulyaningsih (MN 99.01%, coffee+rubber, Jember), PT Banjoemas Landen (BL 99%, rubber, Cilacap), PT Corah Mas Keputren Estate (CMK 99.01%, tea+rubber+coffee, Jember), PT Perkebunan Biting (PB 99%, rubber, Kendal), PT Cipanyusuhan (CP 99%, rubber, Lebak); plus PT Toraja Agra Wattie (Sulawesi).</t>
  </si>
  <si>
    <t>PT Sarana Agro Investama 92.50% (15,015,345,027 shares), Rohadi (President Commissioner) 0.001%, Public 7.499% (1,217,474,315 shares). Total outstanding: 16,232,951,842 shares. April 2024 share adjustment to comply with OJK free float rule.</t>
  </si>
  <si>
    <t>Listed (IDX: JAWA) since 20 May 2011; private placement (PMTHMETD) Nov 2023 increased shares to 16.23 bn; moved from Main Board to Development Board on 24 May 2024; suspended 31 July-6 Aug 2024 for late LK filing.</t>
  </si>
  <si>
    <t>Diversified plantation: rubber (dominant by area), palm oil (2 mills), tea, coffee - integrated upstream plantation with downstream processing (POM, rubber sheet/crumb plants, tea/coffee factories)</t>
  </si>
  <si>
    <t>Net loss 4th consecutive year (Rp194 bn); equity ratio 35% (improved from 27% after 2023 rights issue); bank debt Rp995 bn + related-party (SAI) zero-interest loans Rp1.16 tn (2024 new Rp1.25 tn approved); temporary trading suspension July 2024 due to late LK filing + unpaid fines; moved to Development Board; CFO persistently negative (-Rp179 bn); goodwill fully written off in 2024; tree productivity mixed (CPO extraction rate fell from 20.68% to 19.82%).</t>
  </si>
  <si>
    <t>Small diversified Indonesian plantation group (rubber + palm oil + tea + coffee) controlled by PT Sarana Agro Investama (92.5%). 2024 revenue +19.5% to Rp1,071 bn on higher rubber/tea/coffee sales and prices, gross profit swung to positive Rp110 bn (2023: -Rp16 bn); net loss narrowed 36% to Rp194 bn. Equity nearly doubled vs 2022 via shareholder loans converted to equity support. Total planted 43,987 ha (palm 37,475 + plasma 6,512 ha nucleus combined; rubber ~15,130 ha across subsidiaries). 2 POMs (Kintap + ABS Marabahan). Moved to Development Board during trading suspension episode in 2024.</t>
  </si>
  <si>
    <t>North Sumatra/South Sumatra/East Kalimantan/Java/Sulawesi</t>
  </si>
  <si>
    <t>Part of Salim Group / Indofood Group. Direct parent: PT Salim Ivomas Pratama Tbk (SIMP) 59.51%; Indofood Agri Resources 0.11%. Ultimate parent: First Pacific Company Limited (HK-listed), controlled by Anthoni Salim.</t>
  </si>
  <si>
    <t>Direct: PT Multi Agro Kencana Prima (MAKP), Lonsum Singapore Pte. Ltd., PT Tani Musi Persada, PT Sumatra Agri Sejahtera, PT Tani Andalas Sejahtera, Agri Investments Pte. Ltd., PT Wushan Hijau Lestari. Indirect: Sumatra Bioscience Pte. Ltd., PT Pasir Luhur.</t>
  </si>
  <si>
    <t>PT Salim Ivomas Pratama Tbk 59.51%; Indofood Agri Resources 0.11%; Director Ferdi Gunawan 0.003%; Public (&lt;5% each) 40.38%. Total 6,819,963,965 issued + 2,900,000 treasury.</t>
  </si>
  <si>
    <t>Listed (IDX: LSIP) since 7 June 1996</t>
  </si>
  <si>
    <t>Upstream plantation: oil palm (91,151 ha nucleus), rubber (16,074 ha), cocoa, tea, oil palm seeds via SumBio</t>
  </si>
  <si>
    <t>FFB nucleus production down 2% YoY due to weather and replanting; ageing oil palm with 40% over 20 years old; heavy reliance on parent SIMP (61% of sales); PK CoGS up 14% amid cost inflation.</t>
  </si>
  <si>
    <t>2022: revenue +1% to Rp4.59tn on higher palm product prices despite weather and government DMO/DPO export constraints. CPO price (CIF Rotterdam) avg USD1,370/t (vs USD1,210 in 2021). Net profit +4% to Rp1.04tn. EBITDA -10% to Rp1.75tn (38% margin) on higher CoGS. Debt-free with Rp3.85tn cash. Total ISPO-certified CPO 254,000t. FFB from external +35% to 243kt offset weather-impacted nucleus.</t>
  </si>
  <si>
    <t>Upstream (diversified plantation)</t>
  </si>
  <si>
    <t>Part of Salim Group / Indofood Group. Direct parent: PT Salim Ivomas Pratama Tbk (SIMP) 59.51%; Indofood Agri Resources 0.11% direct. Ultimate parent: First Pacific Company Limited (HK-listed), controlled by Anthoni Salim.</t>
  </si>
  <si>
    <t>Direct: PT Multi Agro Kencana Prima (MAKP), Lonsum Singapore Pte. Ltd., PT Tani Musi Persada, PT Sumatra Agri Sejahtera, PT Tani Andalas Sejahtera, Agri Investments Pte. Ltd., PT Wushan Hijau Lestari. Indirect: Sumatra Bioscience Pte. Ltd., PT PPI &amp; Perdagangan Umum Pasir Luhur.</t>
  </si>
  <si>
    <t>PT Salim Ivomas Pratama Tbk 59.51%; Indofood Agri Resources Ltd. 0.11%; Director Ferdi Gunawan 0.003%; Public (&lt;5% each) 40.38%. Total 6,819,963,965 shares + 2,900,000 treasury.</t>
  </si>
  <si>
    <t>Upstream plantation: oil palm (91,759 ha nucleus), rubber (16,238 ha), cocoa, tea, oil palm seeds via SumBio</t>
  </si>
  <si>
    <t>CPO price fell 29% YoY (USD972/t from USD1,370/t); ageing palm (avg 19 yrs) with flat FFB nucleus production; external FFB purchases down; ~53% of sales to parent SIMP (concentration); CoGS essentially flat.</t>
  </si>
  <si>
    <t>Challenging 2023: revenue -9% to Rp4.19tn, net profit -27% to Rp760.7bn on lower palm product selling prices. CPO sales volume up 6% to 303kt on stock realisation. EBITDA -26% to Rp1.30tn (31% margin). Debt-free with Rp4.51tn cash. 100% nucleus CPO ISPO-certified (258kt). Oil palm 95% of sales. Average tree age ~19 yrs (oil palm) / 18 yrs (rubber).</t>
  </si>
  <si>
    <t>Part of Salim Group / Indofood Group. Direct parent: PT Salim Ivomas Pratama Tbk (SIMP) 59.51%; indirect via Indofood Agri Resources 0.11%. Ultimate parent: First Pacific Company Limited (HK-listed), controlled by Anthoni Salim.</t>
  </si>
  <si>
    <t>Direct: PT Multi Agro Kencana Prima (MAKP, 99.99%), Lonsum Singapore Pte. Ltd. (LSP, 100%), PT Tani Musi Persada (TMP, 99.92%), PT Sumatra Agri Sejahtera (SAS, 99.99%), PT Tani Andalas Sejahtera (TAS, 99.92%), Agri Investments Pte. Ltd. (AIPL, 100%), PT Wushan Hijau Lestari (WHL, 65%). Indirect: Sumatra Bioscience Pte. Ltd., PT Perusahaan Perkebunan, Perindustrian dan Perdagangan Umum Pasir Luhur (PL, 64.98%).</t>
  </si>
  <si>
    <t>PT Salim Ivomas Pratama Tbk 59.51%; Indofood Agri Resources Ltd. 0.11%; Director Ferdi Gunawan 0.003%; Public (&lt;5% each) 40.38%. Total 6,819,963,965 shares.</t>
  </si>
  <si>
    <t>Integrated upstream plantation: oil palm (91,152 ha nucleus), rubber (16,231 ha), cocoa (2,822 ha), tea (866 ha); oil palm seeds via SumBio R&amp;D</t>
  </si>
  <si>
    <t>~80% of sales to parent SIMP (related-party concentration); ageing oil palm trees with slight declining production trend (FFB nucleus 1.173mt in 2024 vs 1.295mt in 2020); no bank debt (net cash position) but heavy parent dependency.</t>
  </si>
  <si>
    <t>Established 1906 in Medan; Indonesia's oldest palm plantation company. 2024 revenue +9% to Rp4.56tn driven by CPO price rebound (+17% domestic KPB to Rp13,190/kg), partly offset by 8% CPO sales volume decline. Net profit +94% to Rp1.48tn. EBITDA +61% to Rp2.10tn (46% margin). Debt-free with Rp5.45tn cash. 97% of nucleus CPO is ISPO-certified. Oil palm 94% of sales, rubber 3%, seeds 1%, others 2%.</t>
  </si>
  <si>
    <t>Upstream (diversified plantation - palm oil/rubber/cocoa/tea/seeds)</t>
  </si>
  <si>
    <t>Panin Bank Tower 2nd Floor, Jalan Jenderal Sudirman Kav 1, Jakarta Pusat 1027</t>
  </si>
  <si>
    <t>Aceh, Riau, Kalimantan Barat, Kalimantan Tengah</t>
  </si>
  <si>
    <t>Parent: PT Santika Griya Persada; Ultimate shareholder: Bobby Alianto. Holding company with five oil palm plantation subsidiaries across Sumatra and Kalimantan.</t>
  </si>
  <si>
    <t>PT Boswa Megalopolis (Aceh, 93.58%), PT Bumi Orion Sawit Subur (Riau, 99.99%), PT Brent Multidaya (Kalbar, 99.99%), PT Meta Epsi Agro (Kalteng/Riau, 99.99%), PT Sabut Mas Abadi (Kalteng, 99.99% via MEA).</t>
  </si>
  <si>
    <t>PT Santika Griya Persada (parent entity); Bobby Alianto (ultimate shareholder)</t>
  </si>
  <si>
    <t>Listed (IDX: MAGP) since 16 January 2013; IPO 4,000,000,000 shares at Rp110; total listed 9,000,000,004 shares</t>
  </si>
  <si>
    <t>Oil palm plantation (perkebunan kelapa sawit)</t>
  </si>
  <si>
    <t>Cached text is Q1 2022 interim financial statements only (period ending March 31, 2022), not full-year AR. Persistent losses (accumulated deficit Rp812 bn), tight liquidity (cash only Rp2.4 bn vs current liabilities Rp646 bn), bearer plants not insured, Rp170.9 bn advance for land purchase still under negotiation for legalization, IPO at Rp110 with Rp900 bn paid-up capital against accumulated deficit.</t>
  </si>
  <si>
    <t>Only Q1 2022 (3-month interim) consolidated financial statements available. For Q1 2022: Revenue Rp32.27 bn (vs Q1 2021 Rp28.23 bn), gross loss Rp3.43 bn, net loss Rp10.68 bn. Total assets Rp840.19 bn, equity Rp75.92 bn (severely depleted), total liabilities Rp764.27 bn. 220 permanent employees. Company has persistent operating losses and balance sheet stress.</t>
  </si>
  <si>
    <t>Medan, North Sumatra, Indonesia</t>
  </si>
  <si>
    <t>Riau / North Sumatra / South Sumatra (Sumatra-focused)</t>
  </si>
  <si>
    <t>Holding company of Mahkota Group (established 2011). Controlled by PT Mahkota Global Investama (56.03%) and MGI International Holdings Ltd. (22.79%); ultimate beneficial owner is Mily.</t>
  </si>
  <si>
    <t>Subsidiaries: PT Mutiara Unggul Lestari (MUL, palm oil processing, Riau); PT Berlian Inti Mekar (BIM, processing, Riau/South Sumatra); PT Dumai Paricipta Abadi (DPA, storage tanks, Riau). Entity from subsidiaries: PT Intan Sejati Andalan (ISA, processing/refinery/fractionation/KCP, Riau); PT Karya Pratama Niagajaya (KPNJ, processing, North Sumatra - acquired as controlling entity 2022).</t>
  </si>
  <si>
    <t>PT Mahkota Global Investama 56.03%, MGI International Holdings Ltd. 22.79%, Public 20.36%, Treasury 0.82%</t>
  </si>
  <si>
    <t>Listed (IDX: MGRO) since 12 July 2018</t>
  </si>
  <si>
    <t>Integrated palm oil processing (CPO, PK, RBDPO, PFAD, Olein, Stearin, PKO, PKE) + refinery + storage tank leasing</t>
  </si>
  <si>
    <t>Unexpected net loss of Rp34.79 bn (vs Rp89.78 bn profit in 2021) despite revenue growth to Rp7.51 tn (+2.6%); gross margin fell to 9.71% (2021: 11.28%); COGS rose 4.45% on higher FFB raw material costs (+Rp714.82 bn); DER jumped to 296.93% (2021: 156.44%); issued Rp90 bn 3-year MTN at 9% in April 2022.</t>
  </si>
  <si>
    <t>2022 was a transition year: revenue peaked at Rp7.51 tn (highest of 3-year period) driven by RBDPO/PFAD/PKO/PKE sales (+Rp731 bn), but cost pressure and weak CPO prices turned FY into a net loss of Rp34.79 bn. MGRO issued Rp90 bn MTN in April 2022 at 9% p.a. for 3 years. Acquired full control of PT Karya Pratama Niagajaya (North Sumatra palm oil mill) via PT MUL. Refinery 1,500 t/day and KCP 200-400 t/day already operational at ISA. No own plantation yet.</t>
  </si>
  <si>
    <t>Holding company of Mahkota Group (established 2011). Controlled by PT Mahkota Global Investama (56.40%) and MGI International Holdings Ltd. (22.79%); ultimate beneficial owner is Mily.</t>
  </si>
  <si>
    <t>Subsidiaries: PT Mutiara Unggul Lestari (MUL, 92.01%, processing, Riau); PT Berlian Inti Mekar (BIM, 99.9%, processing, Riau/South Sumatra); PT Dumai Paricipta Abadi (DPA, 71.5%, storage tanks, Riau). Entity from subsidiaries: PT Intan Sejati Andalan (ISA, 99.2%, processing/refinery/fractionation/KCP, Riau); PT Karya Pratama Niagajaya (KPNJ, 52%, processing, North Sumatra); PT Mega Sawit Sriwijaya (MSS, 52%, palm plantation, South Sumatra, acquired March 2023). Associate: PT Karya Mitra Andalan (KMA, 40%, not active).</t>
  </si>
  <si>
    <t>PT Mahkota Global Investama 56.40%, MGI International Holdings Ltd. 22.79%, Public 19.99%, Treasury 0.82%</t>
  </si>
  <si>
    <t>Integrated palm oil processing (CPO, PK, RBDPO, PFAD, Olein, Stearin, PKO, PKE) + refinery + storage tank leasing + nascent upstream palm plantation</t>
  </si>
  <si>
    <t>Massive net loss of Rp172.27 bn (vs Rp34.79 bn 2022) - worst in company's history; gross margin collapsed to 4.74% (2022: 9.71%) due to weak CPO prices and high production costs; operating loss Rp43.9 bn; DER spiked to 414.37% (2022: 296.93%); El Nino disrupted FFB supply; new plantation subsidiary PT Mega Sawit Sriwijaya acquired March 2023 (52% via BIM).</t>
  </si>
  <si>
    <t>Difficult year for MGRO. Revenue dropped 27.7% to Rp5.43 tn on weak selling prices and lower volumes; net loss ballooned to Rp172.27 bn. CPO sales volume 89,259 t (-37,677 YoY); RBDPO 266,111 t (-52,481 YoY). Cash improved to Rp421 bn. Acquired PT Mega Sawit Sriwijaya (52%) via BIM to enter upstream plantation segment (967.74 ha concession, 427.88 ha planted by end-2023).</t>
  </si>
  <si>
    <t>Holding company of Mahkota Group (established 2011). Controlled by PT Mahkota Global Investama (56.40%) and MGI International Holdings Ltd. (22.79%); ultimate beneficial owner is Mily. Family-linked shareholders: Mily, Lily, Usman Sarsi (22.5% each in MGI), Edhie Suwidar (6.5%), Usli &amp; Fuad Halimoen (10% each), Nani (6%).</t>
  </si>
  <si>
    <t>Direct subsidiaries: PT Mutiara Unggul Lestari (MUL, 92.01%, palm oil processing, Riau); PT Berlian Inti Mekar (BIM, 99.9%, palm oil processing, Riau/South Sumatra); PT Dumai Paricipta Abadi (DPA, 71.5%, storage tanks, Dumai-Riau). Entities from subsidiaries: PT Intan Sejati Andalan (ISA, 99.2%, processing/refinery/fractionation/KCP, Riau); PT Karya Pratama Niagajaya (KPNJ, 52%, palm oil processing, North Sumatra); PT Mega Sawit Sriwijaya (MSS, 52%, palm oil plantation, South Sumatra). Associate: PT Karya Mitra Andalan (KMA, 40%, not active, North Sumatra).</t>
  </si>
  <si>
    <t>PT Mahkota Global Investama 56.40%, MGI International Holdings Ltd. 22.79%, Public (&lt;5% each) 19.99%, Treasury 0.82%</t>
  </si>
  <si>
    <t>Integrated palm oil processing (CPO, PK, RBDPO, PFAD, Olein, Stearin, PKO, PKE) + refinery + storage tank leasing + upstream palm plantation (early-stage)</t>
  </si>
  <si>
    <t>Net loss 3rd consecutive year (Rp22.98 bn in 2024 vs Rp172.27 bn in 2023, Rp34.79 bn in 2022); DER jumped to 508.80% (2023: 414.37%); current ratio only 87.03% (&lt;100%); heavy reliance on third-party FFB (plantation segment only 486,707 t FFB, own planted area 477.85 ha); bad-debt write-offs at plantation segment caused large losses in 2024; gross margin recovered to 7.52% but still thin.</t>
  </si>
  <si>
    <t>Sumatra-focused integrated palm processor/refiner (no significant upstream yet). 2024: revenue Rp4.69 tn (-13.6% YoY) on lower sales volumes across CPO/PK/RBDPO/PFAD; COGS fell 16% keeping gross margin at 7.5%. Despite operating profit recovery (Rp68.7 bn vs -Rp43.9 bn loss 2023), high finance costs (Rp100.9 bn) drove net loss of Rp22.98 bn. Refinery 2nd line commissioned in 2024 at PT Intan Sejati Andalan; refinery capacity now 2x1,800 t/day. Biogas and fertilizer plants completed. Stronger balance sheet leverage (Total liabilities Rp2.57 tn, Equity Rp505 bn).</t>
  </si>
  <si>
    <t>Jakarta Timur, DKI Jakarta, Indonesia (Wisma Maktour Lt. 4)</t>
  </si>
  <si>
    <t>Central Kalimantan (Kujan/Guci, Bulik, Lamandau)</t>
  </si>
  <si>
    <t>Controlled by Fuad Hasan Masyhur (68.97%) and PT Maktour Bangun Persada (7.82%); part of Maktour Group. Ultimate controller: Fuad Hasan Masyhur. IPO on IDX completed 8 November 2022.</t>
  </si>
  <si>
    <t>PT Menthobi Makmur Lestari (MMAL - plantation + mill, est. 2005), PT Menthobi Agro Raya (MAR), PT Menthobi Hijau Lestari (MHL - organic fertilizer), PT Menthobi Transtitian Raya (MTR). KSO not yet acquired (acquired 2023).</t>
  </si>
  <si>
    <t>Fuad Hasan Masyhur 68.97%, PT Maktour Bangun Persada 7.82%, PT Mitra Wiraswasta Indonesia 2.38%, Public 20.83%</t>
  </si>
  <si>
    <t>Listed (IDX: MKTR) from 8 November 2022 - IPO year</t>
  </si>
  <si>
    <t>Palm oil trading + plantation + palm oil mills (through subsidiaries)</t>
  </si>
  <si>
    <t>First year as public company; small cap (market cap Rp1.55 tn); 100% domestic sales; concentrated in Central Kalimantan; reliance on third-party FFB (~38% of processed FFB).</t>
  </si>
  <si>
    <t>IPO year for MKTR — listed on IDX on 8 November 2022. 2022 revenue Rp627.88 bn (+22.5% vs 2021) on higher palm oil prices. Operating profit Rp115.15 bn, net profit Rp61.88 bn. Total assets grew to Rp966 bn (+49% yoy) post-IPO funds injection; equity jumped to Rp544 bn from Rp186 bn in 2021. Low gearing post-IPO (Liab/Equity 0.78x). CFO Rp89.3 bn. IPO raised Rp300 bn (2.5 bn shares at Rp120/share).</t>
  </si>
  <si>
    <t>Integrated (upstream plantation + CPO/PK mill)</t>
  </si>
  <si>
    <t>Controlled by Fuad Hasan Masyhur (68.75%) and PT Maktour Bangun Persada (7.82%); part of Maktour Group. Ultimate controller: Fuad Hasan Masyhur.</t>
  </si>
  <si>
    <t>PT Menthobi Makmur Lestari (MMAL - plantation &amp; mill), PT Menthobi Agro Raya (MAR), PT Menthobi Hijau Lestari (MHL - organic fertilizer), PT Menthobi Transtitian Raya (MTR), PT Khatulistiwa Sinergi Omnidaya (KSO - acquired August/end 2023).</t>
  </si>
  <si>
    <t>Fuad Hasan Masyhur ~68.75%, PT Maktour Bangun Persada 7.82%, Public ~23.31%, plus minor holdings.</t>
  </si>
  <si>
    <t>Listed (IDX: MKTR), IPO 8 November 2022</t>
  </si>
  <si>
    <t>Palm oil trading + plantation + palm oil mills (through subsidiaries) + organic fertilizer</t>
  </si>
  <si>
    <t>Gearing rose sharply in 2023 (Liab/Equity 1.28x vs 0.78x in 2022) due to new bank loan drawdown (repackage facility); net profit decline 17% on CPO price weakness and KSO acquisition integration costs; operating profit -48% yoy; 100% domestic sales; highly concentrated (Central Kalimantan only).</t>
  </si>
  <si>
    <t>Small-cap Indonesian palm oil operator. 2023 revenue +13% to Rp711 bn boosted by KSO acquisition (Aug 2023), but CPO price weakness crushed margins — gross profit -27.8%, operating profit -48.5% to Rp62.7 bn, net profit -17% to Rp51.4 bn. Total assets grew 38% to Rp1,332 bn (partly from PP&amp;E build-up and KSO). CPO production 57,803 t (+32%), FFB processed 302,317 t. Added LT bank loans Rp300 bn; CFO dropped 81% to Rp16.6 bn.</t>
  </si>
  <si>
    <t>Integrated (upstream plantation + CPO/PK mills + organic fertilizer)</t>
  </si>
  <si>
    <t>Jakarta Timur, DKI Jakarta, Indonesia (Wisma Maktour Lt. 4, Jalan Otista Raya No. 80)</t>
  </si>
  <si>
    <t>Central Kalimantan (Kujan/Guci, Bulik, Lamandau) + South Sumatra (compost plant)</t>
  </si>
  <si>
    <t>Controlled by Fuad Hasan Masyhur (68.67%) and PT Maktour Bangun Persada (7.79%); part of Maktour Group. Ultimate controller: Fuad Hasan Masyhur.</t>
  </si>
  <si>
    <t>PT Menthobi Makmur Lestari (MMAL, plantation + mill), PT Menthobi Agro Raya (MAR), PT Menthobi Hijau Lestari (MHL, organic fertilizer), PT Menthobi Transtitian Raya (MTR), PT Khatulistiwa Sinergi Omnidaya (KSO, acquired late 2023 - mill).</t>
  </si>
  <si>
    <t>Fuad Hasan Masyhur 68.67%, PT Maktour Bangun Persada 7.79%, Muhammad Rocky Mashyur 0.01%, Harry M. Nadir 0.05%, Wawan Sulistyawan 0.03%, Bambang Laksanawan 0.03%, M. Arief Pahlevi Pangerang 0.03%, Public 23.39%</t>
  </si>
  <si>
    <t>Palm oil trading + plantation + palm oil mills (through subsidiaries) + organic granular compost fertilizer</t>
  </si>
  <si>
    <t>Small cap, high gearing (Liab/Equity 141.28%, Total Liab/Assets 58.55%); net profit margin declined to 5.19% (2023: 7.23%); only ~1,808 ha of planted area reserves; 100% domestic sales; Debt of Rp798.7 bn bank loans. Plantation area only 7,424 Ha HGU; heavy reliance on third-party FFB (68% of processed FFB).</t>
  </si>
  <si>
    <t>Small-cap Indonesian palm oil operator in Central Kalimantan. 2024 revenue +41.6% to Rp1,007 bn driven by CPO segment (+37.8%) and new PKS KSO subsidiary acquired end-2023. Operating profit +69.7% to Rp106.4 bn but net profit only +1.7% to Rp52.2 bn due to higher finance/other costs. Total assets Rp1,518 bn, Equity Rp629 bn. CPO production 69,967 t (+21%), PK production 13,367 t (+33.8%). New PKO production of 3,531 t. CFO Rp114 bn (+590% yoy). Dividend paid Rp12 bn (Rp1/share).</t>
  </si>
  <si>
    <t>Integrated (upstream plantation + CPO/PK/PKO mills + organic fertilizer via MHL)</t>
  </si>
  <si>
    <t>Central Kalimantan (Kotawaringin Timur, Gunung Mas, Kapuas)</t>
  </si>
  <si>
    <t>Private (not yet listed) as of 31 Dec 2022. Beneficial owner Eunice M. Satyono via PT Mitra Agro Dharma Unggul (59.11%). Controlling shareholders: PT Mitra Agro Dharma Unggul 59.11%, Ir. Teguh Patriawan 17.12% direct, PT Nusantara Makmur Lestari 10.75%, Yantoni Kerisna 6.14%, Thomas Tampi 5.00%, PT Bina Palangka Makmur 1.88%.</t>
  </si>
  <si>
    <t>Five 99.99%-owned subsidiaries in Central Kalimantan: PT Nusantara Sawit Persada (NSP, Kotawaringin Timur; plantation + 60 tph mill since 2016-2017), PT Borneo Sawit Perdana (BSP, Kotawaringin Timur; ISPO cert 2022; 2nd mill groundbreaking), PT Prasetya Mitra Muda (PMM, Gunung Mas), PT Bina Sarana Sawit Utama (BSSU, Kapuas; cadastral), PT Hamparan Mitra Abadi (HMA, Kapuas; cadastral).</t>
  </si>
  <si>
    <t>PT Mitra Agro Dharma Unggul 59.11%, Ir. Teguh Patriawan 17.12%, PT Nusantara Makmur Lestari 10.75%, Yantoni Kerisna 6.14%, Thomas Tampi 5.00%, PT Bina Palangka Makmur 1.88% (pre-IPO, as of 31 Dec 2022)</t>
  </si>
  <si>
    <t>Not yet listed (IPO was on 10 Mar 2023)</t>
  </si>
  <si>
    <t>Oil palm plantation (upstream) with CPO &amp; PK milling</t>
  </si>
  <si>
    <t>Net profit collapsed 71% YoY from Rp245 bn (2021) to Rp70 bn due to COGS rising 26% and opex rising; Debt/Equity 381.7% (very high); cash plunged 79% as operating cash flow fell 85%; Kapuas plantations (BSSU, HMA) still in cadastral status so not yet operational under respective entities.</t>
  </si>
  <si>
    <t>Pre-IPO year for NSSS (listed 10 Mar 2023). 2022 revenue flat at Rp1,134 bn but net profit down 71% on higher costs. FFB production beat target 399,606 t vs 389,878 t. 27,265 ha planted (26,384 nucleus + 881 plasma). NSP received ISPO cert 2021, BSP in 2022. One operating mill (60 tph at NSP); 2nd mill at BSP under construction. Very leveraged balance sheet.</t>
  </si>
  <si>
    <t>Controlled via PT Mitra Agro Dharma Unggul (largest shareholder as of early 2024: 49.83%); IPO March 2023; Teguh Patriawan directly owns 10.29%; Public float 30.25% post-IPO.</t>
  </si>
  <si>
    <t>Five 99.99%-owned plantation subsidiaries in Central Kalimantan: PT Nusantara Sawit Persada (NSP, Kotawaringin Timur; incl. 60 tph mill); PT Borneo Sawit Perdana (BSP, Kotawaringin Timur; 2nd 60 tph mill commenced Dec 2023); PT Prasetya Mitra Muda (PMM, Gunung Mas); PT Bina Sarana Sawit Utama (BSSU, Kapuas); PT Hamparan Mitra Abadi (HMA, Kapuas).</t>
  </si>
  <si>
    <t>As of 31 Dec 2023: PT Mitra Agro Dharma Unggul 49.83%, Ir. Teguh Patriawan 10.29%, PT Nusantara Makmur Lestari 9.63%, Public 30.25%</t>
  </si>
  <si>
    <t>Listed (IDX: NSSS) - IPO 10 Mar 2023 at Rp127/share (3,568,235,300 shares, 15% public float)</t>
  </si>
  <si>
    <t>Net profit collapsed 97% YoY from Rp70 bn (2022) to Rp2 bn due to 21% rise in COGS (plant maintenance, fertilization) and 29% rise in opex; average CPO price -11% YoY; average PK price -34% YoY; current ratio 0.94 (below 1).</t>
  </si>
  <si>
    <t>IPO year - NSSS listed on IDX 10 Mar 2023. Revenue +4% to Rp1,185 bn on higher volumes but weaker prices. FFB production beat target (463,843 t vs 442,500 t). Second mill at BSP commenced operations Dec 2023. Still highly leveraged with Debt/Equity 246%. Plantation area 28,148 ha.</t>
  </si>
  <si>
    <t>Beneficial owner: PT Samuel International (via PT Samuel Tumbuh Bersama 43.58%); other key shareholders Ir. Teguh Patriawan 10.29%, PT Nusantara Makmur Lestari 9.62%; Public 36.51%.</t>
  </si>
  <si>
    <t>Five 99.99%-owned plantation subsidiaries in Central Kalimantan: PT Nusantara Sawit Persada (NSP, since 2009, Kotawaringin Timur; plantation + mill), PT Borneo Sawit Perdana (BSP, since 2010, Kotawaringin Timur; plantation + 60 tph mill commenced Dec 2023 + Special Terminal commenced Jun 2024), PT Prasetya Mitra Muda (PMM, since 2015, Gunung Mas), PT Bina Sarana Sawit Utama (BSSU, since 2022, Kapuas), PT Hamparan Mitra Abadi (HMA, since 2022, Kapuas).</t>
  </si>
  <si>
    <t>PT Samuel Tumbuh Bersama 43.58%, Ir. Teguh Patriawan 10.29%, PT Nusantara Makmur Lestari 9.62%, Public 36.51% (as of 31 Dec 2024)</t>
  </si>
  <si>
    <t>Listed (IDX: NSSS) - IPO 10 Mar 2023</t>
  </si>
  <si>
    <t>FFB production target (490,000 t) not met (realized 477,288 t, -2.6%); CPO target missed (118,600 t target vs 105,570 t realized); revenue target of Rp1,695 bn missed by 12%; still highly leveraged (Debt/Equity 173.08%); plantations in Kapuas (BSSU, HMA) not yet producing.</t>
  </si>
  <si>
    <t>Small-cap Central Kalimantan palm producer listed on IDX since Mar 2023. 2024 revenue +26% YoY to Rp1,490 bn; net profit surged from Rp2 bn (2023) to Rp305 bn on higher CPO/PK volumes (+12%/+10%) and prices (CPO +19%, PK +57%). Second mill at BSP (60 tph) and Special Terminal commenced commercial operations in 2024 boosting capacity. 29,125 ha planted; young trees avg 9.8 yrs.</t>
  </si>
  <si>
    <t>Mojokerto, East Java, Indonesia</t>
  </si>
  <si>
    <t>Java (Mojokerto, East Java)</t>
  </si>
  <si>
    <t>Mandalindo Putra Perkasa business group; ultimate controller Mrs. Sulastri.</t>
  </si>
  <si>
    <t>None - standalone company in 2022.</t>
  </si>
  <si>
    <t>PT Mandalindo Putra Perkasa 47.85%, Sulastri 7.09%, Johan Widakdo Liem 3.82%, Yonathan Widakdo Sutanto 3.82%, Albert Widakdo Sutanto 0.55%, Masyarakat/Public 33.05%.</t>
  </si>
  <si>
    <t>Listed (IDX: OILS) since 6 September 2021</t>
  </si>
  <si>
    <t>Coconut oil processing (Crude Coconut Oil / CNO) and copra meal production; NOT palm oil.</t>
  </si>
  <si>
    <t>Margins thin; small-cap company with limited scale; reliant on commodity spot-trading (no contracts with customers, daily purchase orders only); higher raw material prices pushing up liabilities.</t>
  </si>
  <si>
    <t>Indonesia's small coconut oil processor. 2022 revenue Rp514.2 bn (+37.01% YoY) with net profit Rp6.82 bn (+13.12% YoY) - strong recovery on export growth. Plant capacity 4,000 tons (100 tons CNO/day via 4 machines). Exports dominate (~64% of sales). Membership in APCC region. IPO at Rp270/share in Sep 2021.</t>
  </si>
  <si>
    <t>Downstream (coconut oil processor, no upstream plantations; purchases copra from local farmers)</t>
  </si>
  <si>
    <t>No subsidiaries in 2023 (standalone). PT Indosena Perkasa Refineries and PT Indo Kelapa Perkasa established in 2024.</t>
  </si>
  <si>
    <t>Revenue grew +16.75% but net profit declined 54.08% YoY due to rising cost of production; operating cash flow turned negative (Rp-11.95 bn vs +Rp18.87 bn in 2022); Gearing rose to 1.37x debt/equity; inventories up +91.73%; high short-term bank loans +69.43%.</t>
  </si>
  <si>
    <t>Challenging year for small-cap Indonesian CNO processor. 2023 revenue Rp600.4 bn (+16.75% YoY) but profit margins compressed - net profit only Rp3.13 bn (-54.08% YoY). Gross margin dropped from 8.6% to 6.0% due to higher cost of production. Plant capacity 4,000 tons (100 tons CNO/day, 4 machines). Plans to expand capacity to 6,000 tons and 9 machines. Exports to Bangladesh, Malaysia, Sri Lanka, Thailand, USA.</t>
  </si>
  <si>
    <t>PT Indosena Perkasa Refineries (51% owned, not yet operational); PT Indo Kelapa Perkasa (65% owned, not yet operational). Both established in 2024.</t>
  </si>
  <si>
    <t>PT Mandalindo Putra Perkasa 47.85%, Sulastri 7.09%, Johan Widakdo Liem 3.82%, Yonathan Widakdo Sutanto 3.82%, Albert Widakdo Sutanto 0.55%, Masyarakat/Public 33.05% (Sriyati Mangulahi Hutauruk 0% currently).</t>
  </si>
  <si>
    <t>Coconut oil processing (Crude Coconut Oil / CNO) and copra meal production; NOT palm oil. Processes copra into CNO and copra meal (70/30 split).</t>
  </si>
  <si>
    <t>Production capacity constraint (main strategic challenge); highly leveraged (gearing 1.37x debt/equity 2023); reliance on short-term bank loans (Rp82 bn ST bank debt); small-scale operator (27 employees); two new subsidiaries (Indosena Refineries, Indo Kelapa Perkasa) established in 2024 but not yet operational.</t>
  </si>
  <si>
    <t>Small-cap Indonesian coconut oil (CNO) processor in Mojokerto, East Java. 2024 revenue Rp634.4 bn (+5.7% YoY) with net profit Rp6.35 bn (+102.7% YoY, recovering from weak 2023). Production 20,543 tons CNO and 30,825 tons copra meal. Plant capacity 4,000 tons (100 tons CNO/day, 4 machines); plans to expand to 6,000 tons and 9 machines. Exports to Bangladesh, Malaysia, Sri Lanka, Thailand, Turkey, USA, Tunisia, Madagascar, Japan. NOT a palm oil company - included in palm longlist likely due to related vegetable oil sector.</t>
  </si>
  <si>
    <t>East Kalimantan (Paser Regency)</t>
  </si>
  <si>
    <t>Parent entities: PT Araya Agro Lestari (42.29%) and PT Citra Agro Raya (42.03%). Ultimate parents - both PT Araya Agro Lestari and PT Citra Agro Raya.</t>
  </si>
  <si>
    <t>PT Senabangun Anekapertiwi (SA) was merged into the Company on 21 December 2022 (business combination under common control). SA had 16,404 ha HGU and 7,622 ha planted land.</t>
  </si>
  <si>
    <t>PT Araya Agro Lestari 42.29%, PT Citra Agro Raya 42.03%, Public 15.68% (as of 31 Dec 2022). Total shares 5,737,848,882 (increased from 4,998,360,000 post-merger).</t>
  </si>
  <si>
    <t>Listed (IDX: PGUN); IPO 7 July 2020 at Rp115/share</t>
  </si>
  <si>
    <t>Oil palm plantation (upstream) and CPO + palm kernel milling</t>
  </si>
  <si>
    <t>Heavy customer concentration: CPO all to JARR (affiliate), Kernel largely to Kodeco (related). Restatement of 2021 FS due to pooling-of-interests business combination.</t>
  </si>
  <si>
    <t>Small-cap East Kalimantan palm operator, post-Senabangun merger reached 38,991 ha total land with 19,417-20,267 ha planted. Record year: revenue Rp1,007.3 bn (+28% YoY), net profit Rp167.2 bn (+333%). Mill capacity 60 tph (upgrade to 90 tph announced for mid-2023). Bank debt Rp697.6 bn (BRI) vs equity Rp1,429 bn. Total assets Rp2,347.5 bn.</t>
  </si>
  <si>
    <t>Parent entities: PT Araya Agro Lestari (38.44%) and PT Citra Agro Raya (38.25%). Ultimate beneficial owners Liana Saputri and Jhoni Saputra (each 50% of each parent). Also affiliated with PT Jhonlin Agro Raya Tbk (JARR) and PT Kodeco Agrojaya Mandiri via family relationship of President Commissioner.</t>
  </si>
  <si>
    <t>None as of 2023 (post Dec 2022 merger of PT Senabangun Anekapertiwi into the Company).</t>
  </si>
  <si>
    <t>PT Araya Agro Lestari 38.44%, PT Citra Agro Raya 38.25%, PT Baramega Citra Mulia Persada 16.88%, Public 6.43% (as of 31 Dec 2023). Total shares 5,737,848,882.</t>
  </si>
  <si>
    <t>Listed (IDX: PGUN)</t>
  </si>
  <si>
    <t>CPO price significantly declined vs 2022; kernel price also fell sharply YoY. Revenue -13.8% YoY despite higher volume. Heavy customer concentration: CPO all to JARR (affiliate), Kernel largely to Kodeco (related).</t>
  </si>
  <si>
    <t>Small-cap upstream palm plantation in East Kalimantan. 2023 AR: revenue Rp868.5 bn (-13.8%), net profit Rp108.1 bn (-35.4%). Key 2023 actions: mill capacity upgraded from 60 tph to 90 tph; acquisition of 2,000 ha from PT Langgai Agrindo Agung and PT Bumi Pasir Agrindo. Bank debt Rp569.8 bn (BRI) vs equity Rp1,626.1 bn (D/E 0.35x). Total assets Rp2,591 bn.</t>
  </si>
  <si>
    <t>Parent entities: PT Araya Agro Lestari (38.44%) and PT Citra Agro Raya (38.25%) are joint controllers; related via Liana Saputri (President Commissioner, also Commissioner of PT Kodeco Agro Jaya Mandiri) and affiliation with PT Jhonlin Agro Raya Tbk (family of President Commissioner).</t>
  </si>
  <si>
    <t>No subsidiaries disclosed in 2024 FS (standalone statements). PT Senabangun Anekapertiwi was merged into the Company in Dec 2022.</t>
  </si>
  <si>
    <t>PT Araya Agro Lestari 38.44%, PT Citra Agro Raya 38.25%, PT Baramega Citra Mulia Persada 16.88%, Public ~6.43% (as of 31 Dec 2024). Total shares 5,737,848,882.</t>
  </si>
  <si>
    <t>Oil palm plantation (upstream) and crude palm oil (CPO) + palm kernel (PK) milling</t>
  </si>
  <si>
    <t>FFB production in 2024 achieved only 62% of 359,138 t target (223,235 t actual); CPO processed only 67% of 79,012 t target (53,108 t), due to 2023 drought and 2024 replanting (855.74 ha). Revenue -15% YoY. Related-party sales concentration: all CPO to PT Jhonlin Agro Raya Tbk (affiliate) and Kernel mainly to PT Kodeco Agrojaya Mandiri (related).</t>
  </si>
  <si>
    <t>Small-cap single-asset upstream palm operator in East Kalimantan (Paser), 22,782 ha planted (19,491 ha mature + 3,291 ha immature) on 41,562 ha HGU. Single 90 tph CPO mill (upgraded from 60 tph in 2023). 2024 revenue Rp738.6 bn (-15% YoY), net profit Rp79.2 bn (-27%). Replanting cycle has begun on 25-year-old stands (855.74 ha replanted in 2024). Moderate gearing: bank debt Rp488.7 bn (BRI) vs equity Rp1,793 bn (D/E 0.32x).</t>
  </si>
  <si>
    <t>Palembang, South Sumatra, Indonesia</t>
  </si>
  <si>
    <t>Sumatra Selatan (South Sumatra)</t>
  </si>
  <si>
    <t>Founder-family controlled: Wilson Sutantio (22.73%), Hasan Tantri (19.48%), Charles Sutantio (17.61%), Peter Unggul Sutantio (15.29%); Public 24.89%. Listed on IDX since 31 August 2020.</t>
  </si>
  <si>
    <t>PT Sriwijaya Nusantara Sejahtera (SNS) 99%; PT Hamparan Mutiara Hijau (HMH) 99%; PT Musi Andalan Sumatera (MAS) 99% - all Palm Plantations, domiciled in Palembang, South Sumatra.</t>
  </si>
  <si>
    <t>Wilson Sutantio 22.73%, Hasan Tantri 19.48%, Charles Sutantio 17.61%, Peter Unggul Sutantio 15.29%, Public 24.89%</t>
  </si>
  <si>
    <t>Listed (IDX: PNGO, since 31 Aug 2020)</t>
  </si>
  <si>
    <t>Palm oil plantation (upstream) + rubber plantation + crumb rubber / RSS + compost (ImproBio)</t>
  </si>
  <si>
    <t>Rubber segment weakening (Crumb Rubber production -24% YoY, RSS -13% due to lower plantation output); high bank debt (Rp684 bn; DER 1.18); cash &lt;5% of total assets; ~60% of FFB processed sourced externally.</t>
  </si>
  <si>
    <t>South Sumatra-based integrated palm + rubber producer. 2022 revenue down 2.6% to Rp2.03 tn (rubber segment weak); net profit -8% to Rp173 bn. Palm segment stronger: FFB core +14%, CPO +16% to 100,914 t, Kernel +17%; CPO avg selling price +7% to Rp12,108/kg. Rubber Crumb Rubber output -24%. 1 PMKS (120 tph, 86.2 tph used), 1 CR plant, 1 RSS plant.</t>
  </si>
  <si>
    <t>Founder-family controlled: Wilson Sutantio (22.76%), Hasan Tantri (19.48%), Charles Sutantio (17.61%), Peter Unggul Sutantio (15.27%); Public 24.88%. Listed on IDX since 31 August 2020 (IPO).</t>
  </si>
  <si>
    <t>PT Sriwijaya Nusantara Sejahtera (SNS) 99%; PT Hamparan Mutiara Hijau (HMH) 99%; PT Musi Andalan Sumatera (MAS) 99% - all Palm Plantations, Sumatra Selatan.</t>
  </si>
  <si>
    <t>Wilson Sutantio 22.76%, Hasan Tantri 19.48%, Charles Sutantio 17.61%, Peter Unggul Sutantio 15.27%, Public 24.88%</t>
  </si>
  <si>
    <t>Cash &amp; equivalents dropped 60% YoY (Rp28.7 bn) to fund bank loan repayment; FFB TBS third-party purchases still dominant at 52% of processed volume; reliance on commodity price cycle for both palm and rubber.</t>
  </si>
  <si>
    <t>South Sumatra-based integrated palm + rubber plantation company. 2023 revenue flat at Rp2.04 tn (+0.14%); net profit +11% YoY to Rp192 bn helped by biological-asset fair-value gains, lower finance cost, FX gains. FFB core production +11% to 179,913 t; CPO -1% to 99,766 t; Crumb Rubber +17% to 31,841 t. Cash down 60% as bank debt reduced. 1 PMKS mill (120 tph), 1 CR plant, 1 RSS.</t>
  </si>
  <si>
    <t>PT Sriwijaya Nusantara Sejahtera (SNS) 99% - Palm Plantations; PT Hamparan Mutiara Hijau (HMH) 99% - Palm Plantations; PT Musi Andalan Sumatera (MAS) 99% - Palm Plantations. All domiciled in Palembang, Sumatra Selatan.</t>
  </si>
  <si>
    <t>FFB core production dropped 14% due to prolonged dry/El Nino climate; 53% of FFB processed sourced from third parties (limited self-sufficiency); revenue concentrated in two volatile commodities (palm + rubber); controlling family ownership ~75%.</t>
  </si>
  <si>
    <t>South Sumatra-based integrated palm + rubber producer. 2024 revenue nearly flat at Rp2.04 tn; net profit +15% YoY to Rp221 bn driven by rubber margin recovery (RSS sales +120%) and fair-value gain on biological assets. Palm CPO production -4% to 95,507 t due to lower nucleus FFB (weather). Single PMKS mill (120 tph, 83.5 tph used), 1 crumb rubber factory (6,000 tpm), 1 RSS factory (600 tpm). DER 0.83.</t>
  </si>
  <si>
    <t>South Sumatra (Banyuasin &amp; OKI Regencies)</t>
  </si>
  <si>
    <t>Pre-IPO 100% held by PT Sekawan Kontrindo (99.12%), Efendi (0.44%), Burhan (0.44%). Post-IPO (9 Oct 2023): PT Sekawan Kontrindo 78.54%, Efendi 0.35%, Burhan 0.35%, Public 20.76%. No subsidiaries; one associate PT Sumber Enim Alam Lestari.</t>
  </si>
  <si>
    <t>No subsidiaries. Associate: PT Sumber Enim Alam Lestari (~1,000 ha concession, ~300 ha planted, age 4-5 yrs; location Muara Enim, South Sumatra).</t>
  </si>
  <si>
    <t>PT Sekawan Kontrindo 78.54%, Efendi 0.35%, Burhan 0.35%, Public 20.76% (post-IPO). Shares: 2,167,500,000 at nominal Rp20.</t>
  </si>
  <si>
    <t>Listed (IDX: PTPS) since 9 October 2023</t>
  </si>
  <si>
    <t>Oil palm plantation (upstream FFB producer in South Sumatra)</t>
  </si>
  <si>
    <t>Very small-scale single-estate operator (1,090.64 ha planted out of 1,180.39 ha permit; 882.58 ha HGU). Pure FFB seller to third-party mills. No own mill. No ISPO/RSPO. Recent IPO (Oct 2023) at Rp198 with Rp89.1 bn gross proceeds; only Rp6.38 bn deployed by year-end. FFB volume down 13.4% YoY to 26,037 t in 2023.</t>
  </si>
  <si>
    <t>PTPS IPO'd on IDX 9 Oct 2023 at Rp198 with 450 mn shares (20.76% float), raising Rp89.1 bn gross / Rp85.1 bn net. 2023 revenue Rp61.66 bn (-4.1% YoY), net profit Rp26.19 bn (-5.4%), total assets Rp168.91 bn (+131.2% on IPO cash). Operations: ~1,090.64 ha planted oil palm in Banyuasin &amp; OKI (South Sumatra). Pure FFB seller to PT GAS &amp; PT DSAP. IPO proceeds earmarked 50% for building 10 tph CPO mill (construction starts 2024), 50% for working capital. Gearing 3.79%, very conservative.</t>
  </si>
  <si>
    <t>Controlled by PT Sekawan Kontrindo (78.54%); individual shareholders Efendi 0.35% and Burhan 0.35%; Public 20.76%. No subsidiaries; one associate entity PT Sumber Enim Alam Lestari.</t>
  </si>
  <si>
    <t>No subsidiaries. Associate: PT Sumber Enim Alam Lestari (2015 est., palm plantation ~1,000 ha in Gumai/Glumbang, Muara Enim, South Sumatra).</t>
  </si>
  <si>
    <t>PT Sekawan Kontrindo 78.54%, Efendi 0.35%, Burhan 0.35%, Public 20.76% (2,167,514,856 shares outstanding at end-2024).</t>
  </si>
  <si>
    <t>Oil palm plantation (upstream FFB producer); palm oil mill (10 tph) under construction, target operational Q1 2026.</t>
  </si>
  <si>
    <t>Very small scale (~1,090 ha planted, 882.58 ha HGU). FFB production fell 13.73% YoY to 22,461 t. Single-segment FFB seller to third-party mills (PT GAS, PT DSAP). No ISPO/RSPO certification. No industry association membership. No own mill yet (under construction, 70-83% progress). Board meeting frequency minimal (2 times/yr).</t>
  </si>
  <si>
    <t>Tiny recent-IPO palm plantation (listed Oct 2023) in South Sumatra. 2024 revenue Rp63.58 bn (+3.1%), net profit Rp27.13 bn (+3.6%), total assets Rp190.56 bn. Currently a pure FFB seller; Rp46.6 bn of Rp85.1 bn IPO net proceeds deployed on 10 tph palm oil mill construction (70-83% complete at year-end). FFB volumes fell 13.7% but higher avg FFB selling price (+15.8%) lifted margins. Very low leverage (gearing 2.92%). Planted area only 1,090.64 ha.</t>
  </si>
  <si>
    <t>Palembang, South Sumatra, Indonesia (Corp Rep Office: Sampoerna Strategic Square, Jakarta)</t>
  </si>
  <si>
    <t>South Sumatra / Central &amp; West Kalimantan / Riau (sago)</t>
  </si>
  <si>
    <t>Part of the Sampoerna Group (Putera Sampoerna family). Controlling shareholder: Sampoerna Agri Resources Pte Ltd (Singapore) 69.68%. Ultimate beneficial owner: Putera Sampoerna.</t>
  </si>
  <si>
    <t>Multiple operating subsidiaries including: PT Sungai Rangit, PT National Sago Prima (sago), PT Aek Tarum, PT Binasawit Makmur (seed R&amp;D DxP Sriwijaya), PT Mutiara Bunda Jaya, PT Telaga Hikmah, PT Gunung Tua Abadi, PT Sawit Selatan, PT Sampoerna Bio Fuels, PT Usaha Agro Indonesia, PT Hutan Ketapang Industri (rubber, partly owned by Aquarius Plantations).</t>
  </si>
  <si>
    <t>As of 31 Dec 2022: Sampoerna Agri Resources Pte Ltd 69.68%; Bounced Pte Ltd 4.98%; PT Buana Anggana Mandura 4.94%; PT Taspen (Persero) 4.19%; PT Bumi Dakara Agrapana 4.08%; PT Gita Raya Persada 3.79%; SCB SG S/A Bank J. Safra Sarasin Ltd 1.07%; LGT Bank AG 0.82%; Public (&lt;5% each) 6.44%. Foreign 78.32% / Domestic 21.68%. All treasury shares (71.378 mn) were redeemed on 18 Jan 2022, reducing outstanding from 1.89 bn to 1.819 bn shares.</t>
  </si>
  <si>
    <t>Listed (IDX: SGRO) - listed 18 June 2007</t>
  </si>
  <si>
    <t>Oil palm plantation (upstream) + palm oil mills (PKS) producing CPO &amp; PK; DxP Sriwijaya superior germinated seeds; non-palm segment: sago (Prima Starch, Riau) and rubber (FSC-certified, West Kalimantan)</t>
  </si>
  <si>
    <t>Treasury share redemption in Jan 2022 reduced outstanding shares by 3.8%; Q4 2022 heavy rainfall reduced CPO OER to 21.0% (from typical higher levels) and disrupted CPO shipments; bond issuance: Rp600 bn Phase III Sampoerna Agro + Sukuk Ijarah Phase III 2022 to refinance maturing debt; plasma plantations avg age 17 years (past peak); Others segment profit fell vs 2021 as rubber/sago faced weaker prices.</t>
  </si>
  <si>
    <t>Record-breaking year for SGRO: revenue Rp5.67 tn (+8.6% YoY) and net profit Rp1.04 tn (+27.5% YoY), highest in history, driven by 15% higher CPO ASP (Rp12,341/kg) vs 2021. EBITDA Rp2.16 tn (38.1% margin). 8 palm mills (515 tph capacity); total planted ~133k palm + 12.8k sago + 22.4k rubber. Treasury shares redeemed Jan 2022. Controlling shareholder Sampoerna Agri Resources 69.68% (Putera Sampoerna). Paid total Rp135 final (from 2021 profit) + Rp90 interim = Rp225/share in 2022.</t>
  </si>
  <si>
    <t>Upstream/Integrated (plantation + mill; no refinery)</t>
  </si>
  <si>
    <t>~25+ operating subsidiaries including: PT Sungai Rangit, PT National Sago Prima (sago), PT Aek Tarum, PT Binasawit Makmur (seed R&amp;D DxP Sriwijaya), PT Mutiara Bunda Jaya, PT Telaga Hikmah, PT Gunung Tua Abadi, PT Sawit Selatan, PT Tebar Tandan Tenerah, PT Lanang Agro Bersatu, PT Sampoerna Bio Fuels, PT Selatanjaya Permai, PT Sungai Menang, PT Usaha Agro Indonesia, PT Hutan Ketapang Industri (80%, rubber, partly owned by Aquarius Plantations).</t>
  </si>
  <si>
    <t>As of 31 Dec 2023: Sampoerna Agri Resources Pte Ltd 69.68%; Bounced Pte Ltd 4.98%; PT Buana Anggana Mandura 4.94%; PT Bumi Dakara Agrapana 4.34%; PT Taspen (Persero) 4.19%; PT Gita Raya Persada 3.91%; SCB SG S/A Bank J. Safra Sarasin Ltd 1.03%; LGT Bank AG 0.82%; Liong Juen Fat 0.69%; Public (&lt;5% each) 5.42%. Foreign 78.2% / Domestic 21.8%.</t>
  </si>
  <si>
    <t>CPO ASP declined 8% to Rp11,405/kg amid 25% global CPO price drop in 2023; PK ASP declined 31% on post-pandemic normalization; non-palm (Others) segment widened to segment loss -Rp93 bn (vs +Rp15.6 bn in 2022); ROE fell from 19.9% to 8.0%; net profit dropped 58% to Rp441 bn. Bond/sukuk maturity schedule through 2024-2025. Plasma plantation avg age rose to 16 years (peak productivity).</t>
  </si>
  <si>
    <t>Mid-sized integrated Indonesian palm operator, part of Sampoerna Group (Putera Sampoerna). 2023 revenue Rp5.62 tn (-1% YoY) as CPO volumes grew 10% to 413k tons but 8% lower ASP (Rp11,405/kg) compressed margins. Operating profit fell 42% to Rp937 bn; net profit -58% to Rp441 bn (Rp484 bn to parent). Gearing improved from 69.2% to 58.0% as debt was paid down. 8 palm mills with 515 tph capacity; total planted ~132k palm + 12.8k sago + 22.9k rubber. Paid total Rp288/share dividend from 2022 profits (Rp90 interim + Rp198 final).</t>
  </si>
  <si>
    <t>Part of the Sampoerna Group (Putera Sampoerna family). Controlling shareholder changed on 27 Aug 2024 from Sampoerna Agri Resources Pte Ltd to Twinwood Family Holdings SFO Limited (Dubai, UAE) - both affiliated parties of the Putera Sampoerna family. Ultimate beneficial owner: Putera Sampoerna.</t>
  </si>
  <si>
    <t>~25+ operating subsidiaries including: PT Sungai Rangit (99.99%, Kalimantan palm + mill), PT National Sago Prima (100%, sago, Riau), PT Aek Tarum (99%, Sumatra palm + mill), PT Binasawit Makmur (99%, seed R&amp;D DxP Sriwijaya), PT Mutiara Bunda Jaya, PT Telaga Hikmah, PT Gunung Tua Abadi, PT Sawit Selatan, PT Tebar Tandan Tenerah, PT Lanang Agro Bersatu, PT Nusantara Sarana Alam, PT Pertiwi Agro Sejahtera, PT Sampoerna Bio Fuels, PT Selatanjaya Permai, PT Sungai Menang, PT Usaha Agro Indonesia, Sampoerna Palma Pte Ltd, PT Hutan Ketapang Industri (80%, rubber Ketapang West Kalimantan, part owned by Aquarius Plantations).</t>
  </si>
  <si>
    <t>As of 31 Dec 2024: Twinwood Family Holdings SFO Limited 69.68% (from 27 Aug 2024, prev Sampoerna Agri Resources Pte Ltd 69.68%); Bounced Pte Ltd 4.98%; PT Buana Anggana Mandura 4.94%; PT Bumi Dakara Agrapana 4.34%; PT Gita Raya Persada 4.32%; PT Taspen (Persero) 4.19%; SCB SG S/A Bank J. Safra Sarasin 1.03%; LGT Bank AG 0.82%; Liong Juen Fat 0.70%; Public (&lt;5% each) 5.00%. Foreign 78.0% / Domestic 22.0%.</t>
  </si>
  <si>
    <t>Oil palm plantation (upstream) + palm oil mills (PKS) producing CPO &amp; PK; DxP Sriwijaya superior germinated seeds (No.2 market share 15%); non-palm segment: sago (Prima Starch, Riau) and rubber (FSC-certified, West Kalimantan)</t>
  </si>
  <si>
    <t>Controlling shareholder change on 27 Aug 2024 (intra-family re-org from Sampoerna Agri Resources to Twinwood Family Holdings SFO Limited, Dubai UAE); El Nino drought in Sumatera caused 14% CPO production decline and missed FFB target (1.7 mn vs 1.9 mn target); non-palm (Others) segment continues to post segment losses (-Rp60 bn in 2024 vs -Rp93 bn in 2023); rubber bearer plants subject to recurring impairment tests; bond/sukuk refinancing risk ahead of 2025 maturities.</t>
  </si>
  <si>
    <t>Mid-sized integrated Indonesian palm operator, part of Sampoerna Group (Putera Sampoerna). 2024 revenue flat at Rp5.69 tn (+1% YoY), but operating profit +35% to Rp1.26 tn and net profit +58% to Rp697 bn (Rp749 bn to parent, +55%) on 16% higher CPO ASP (Rp13,283/kg) offsetting 14% CPO volume decline (341k tons). Total planted 178,820 ha (palm 128k + sago 12.8k + rubber 23.1k); 8 palm mills with 510 tph capacity. Gearing (interest-bearing debt/equity) improved from 58% to 49.5%. Dividend of Rp121/share paid from 2023 profits.</t>
  </si>
  <si>
    <t>Sudirman Plaza, Indofood Tower, Jl. Jend. Sudirman Kav. 76-78, Jakarta 12910, Indonesia</t>
  </si>
  <si>
    <t>Sumatra (Riau, N/S Sumatra)/Kalimantan (W/C/E)/Sulawesi/Java - diversified</t>
  </si>
  <si>
    <t>Part of Salim Group / IndoAgri. Parents: Indofood Agri Resources Ltd. (IFAR, Singapore) 73.46% + PT Indofood Sukses Makmur Tbk (ISM) 6.68% = ~80.14% effective. IFAR is ~72.26% effectively controlled by First Pacific Company Limited (HK-listed, Anthoni Salim). Ultimate parent: First Pacific Company Limited. SIMP is parent of PT PP London Sumatra Indonesia Tbk (LSIP) and numerous oil palm, sugar, rubber and timber subsidiaries.</t>
  </si>
  <si>
    <t>Main operating subsidiaries include LSIP (listed), PT Kebun Mandiri Sejahtera, PT Sarana Inti Pratama (SAIN), PT Mentari Subur Abadi, PT Swadya Bhakti Negaramas, PT Mitra Intisejati Plantation, PT Hijaupertiwi Indah Plantations, PT Cangkul Bumisubur, PT Lajuperdana Indah (sugar), PT Citranusa Intisawit, PT Kebun Ganda Prima, PT Riau Agrotama Plantation, PT Pelangi Intipertiwi, PT Serikat Putra, PT Gunung Mas Raya, PT Cibaliung Tunggal Plantations, PT Indriplant, PT Intimegah Bestari Pertiwi, PT Gunta Samba, PT Multi Pacific International, PT Sumalindo Alam Lestari (timber).</t>
  </si>
  <si>
    <t>Indofood Agri Resources Ltd. 73.46% (11,387,745,000); PT Indofood Sukses Makmur Tbk 6.68% (1,035,306,400); Commissioners &amp; Directors &lt;0.01%; Public &lt;5% each 19.86% (3,077,338,600). Sub-total issued &amp; paid: 15,501,310,000; Treasury 315,000,000; Total 15,816,310,000.</t>
  </si>
  <si>
    <t>Listed (IDX: SIMP)</t>
  </si>
  <si>
    <t>Diversified &amp; vertically integrated agribusiness: oil palm plantations &amp; mills (upstream), CPO refining, cooking oil/margarine/shortening manufacturing (downstream, Bimoli, Bimoli Spesial, Happy, Amanda, Palmia, Royal Palmia brands); sugar cane plantations &amp; mills; rubber, cocoa, tea and industrial timber.</t>
  </si>
  <si>
    <t>CPO prices volatile (CIF Rotterdam peaked at USD1,868/t in Mar 2022 then declined); Rupiah weakened to Rp15,731/USD. FFB nucleus production +2% to 2,812k t; CPO production +7% to 736k t. Net Working Capital improved to positive Rp982 bn. Goodwill from LSIP acquisition Rp2.22 tn subject to impairment testing (key audit matter). Rubber bearer plant impairment assessment also key audit matter.</t>
  </si>
  <si>
    <t>Integrated palm oil &amp; cooking oil group (Bimoli brand leader). 2022: Sales Rp17.79 tn (-9% YoY from Rp19.66 tn); Gross Profit Rp4.65 tn (-10%); Operating Profit Rp2.92 tn (flat); Net Profit Rp1.51 tn (+13%); attributable to parent Rp1.20 tn. EBITDA Rp4.68 tn (margin 26.3%). Total Assets Rp36.11 tn. Gearing net 0.26x (down from 0.37x). Paid Rp13/share dividend (~20% payout). 27 POMs (7.2 mn t FFB cap.), 5 CPO refineries (1.7 mn t cap.), 2 sugar mills.</t>
  </si>
  <si>
    <t>Part of Salim Group / IndoAgri. Parents: Indofood Agri Resources Ltd. (IFAR, Singapore) 73.46% + PT Indofood Sukses Makmur Tbk (ISM) 6.68% = 80.14% effective. IFAR is ~72.94% effectively controlled by First Pacific Company Limited (HK-listed, Anthoni Salim). Ultimate parent: First Pacific Company Limited. SIMP is parent of PT PP London Sumatra Indonesia Tbk (LSIP, ~59.51% effective) and ~25 oil palm, sugar, rubber and timber subsidiaries.</t>
  </si>
  <si>
    <t>Main operating subsidiaries: LSIP (~59.51% effective), PT Kebun Mandiri Sejahtera (97.86%), PT Sarana Inti Pratama (100%), PT Mentari Subur Abadi (80%), PT Swadya Bhakti Negaramas (60%), PT Mitra Intisejati Plantation (100%), PT Hijaupertiwi Indah Plantations (100%), PT Cangkul Bumisubur (99.80%), PT Lajuperdana Indah (61.47%), PT Citranusa Intisawit (100%), PT Kebun Ganda Prima (100%), PT Riau Agrotama Plantation (100%), PT Pelangi Intipertiwi (99.80%), PT Serikat Putra (98.01%), PT Gunung Mas Raya (98.01%), PT Cibaliung Tunggal Plantations (98.01%), PT Indriplant (98.01%), PT Intimegah Bestari Pertiwi (98.01%), PT Gunta Samba (59.99%), PT Multi Pacific International (60%), PT Sumalindo Alam Lestari (79.82%).</t>
  </si>
  <si>
    <t>Indofood Agri Resources Ltd. 73.46% (11,387,745,000 shares); PT Indofood Sukses Makmur Tbk 6.68% (1,035,306,400); Commissioners &amp; Directors &lt;0.01%; Public &lt;5% each incl. others 19.86% (3,077,338,600). Total issued &amp; paid: 15,501,310,000 shares; Treasury 315,000,000; Total 15,816,310,000.</t>
  </si>
  <si>
    <t>Diversified &amp; vertically integrated agribusiness: oil palm plantations &amp; mills (upstream), CPO refining, cooking oil/margarine/shortening manufacturing (downstream, Bimoli, Bimoli Spesial, Happy, Amanda, Palmia, Royal Palmia, Delima, Malinda, Simas brands); sugar cane plantations &amp; mills; rubber, cocoa, tea and industrial timber.</t>
  </si>
  <si>
    <t>FFB nucleus production down 1% to 2,784k t; CPO production down 4% to 708k t; Gross Profit -28% (Rp3.36 tn), Operating Profit -34% (Rp1.93 tn), Net Profit -39% to Rp927 bn; weaker CPO prices (CIF Rotterdam down ~30% YoY). Ageing trees with &gt;20 yr oil palm 85,698 ha. High goodwill Rp2.21 tn from LSIP acquisition subject to impairment testing (rubber bearer plants and goodwill were key audit matters).</t>
  </si>
  <si>
    <t>Integrated palm oil &amp; cooking oil group (Bimoli brand leader). 2023 a cyclical weak year: Sales Rp16.00 tn (-10% YoY) with soft global palm prices, Operating Profit Rp1.93 tn (-34%), Net Profit attributable to parent Rp736 bn (-39%). EBITDA Rp3.53 tn (margin 22.1%). Total Assets Rp35.01 tn. Gearing net 0.16x (down from 0.26x). Capex Rp1.32 tn. Paid Rp15/share dividend (~19% payout). 27 POMs, 5 CPO refineries (1.7 mn t capacity), 2 sugar mills.</t>
  </si>
  <si>
    <t>Part of Salim Group / IndoAgri. Parents: Indofood Agri Resources Ltd. (IFAR, Singapore) 73.46% + PT Indofood Sukses Makmur Tbk (ISM) 6.68% = 80.14% effective. IFAR is ~73.67% owned by First Pacific Company Limited (HK-listed, controlled by Anthoni Salim). Ultimate parent: First Pacific Company Limited. SIMP is parent of PT PP London Sumatra Indonesia Tbk (LSIP, 59.51% effective) and numerous oil palm, sugar, rubber and timber subsidiaries.</t>
  </si>
  <si>
    <t>Main operating subsidiaries: LSIP (59.51% effective, Rp14,019 bn assets), PT Kebun Mandiri Sejahtera (97.86%), PT Sarana Inti Pratama (SAIN, 100%), PT Mentari Subur Abadi (80%), PT Swadya Bhakti Negaramas (60%), PT Mitra Intisejati Plantation (100%), PT Hijaupertiwi Indah Plantations (100%), PT Cangkul Bumisubur (99.80%), PT Lajuperdana Indah (61.47%, sugar), PT Citranusa Intisawit (100%), PT Kebun Ganda Prima (100%), PT Riau Agrotama Plantation (100%), PT Citra Kalbar Sarana (100%), PT Pelangi Intipertiwi (99.80%), PT Serikat Putra (98.01%), PT Gunung Mas Raya (98.01%), PT Cibaliung Tunggal Plantations (98.01%), PT Indriplant (98.01%), PT Intimegah Bestari Pertiwi (98.01%), PT Gunta Samba (59.99%), PT Multi Pacific International (60%), PT Sumalindo Alam Lestari (79.82%, timber).</t>
  </si>
  <si>
    <t>Indofood Agri Resources Ltd. 73.46% (11,387,745,000 shares); PT Indofood Sukses Makmur Tbk 6.68% (1,035,306,400); Commissioners &amp; Directors &lt;0.01%; Public &lt;5% each incl. others 19.86% (3,077,338,600). Total issued &amp; paid: 15,501,310,000 shares (treasury shares of 315,000,000 cancelled during 2024).</t>
  </si>
  <si>
    <t>FFB nucleus production slightly down 1% (2,758k t vs 2,784k t in 2023); CPO production flat at 706k t; ageing trees (&gt;20 yr oil palm: 85,365 ha, 35% of 244k ha oil palm mature area), significant replanting challenge. High goodwill Rp2.21 tn from LSIP acquisition subject to annual impairment testing. Heavy rainfall disruption in 2024. Gross debt Rp8.4 tn; gearing-net 0.11x. Treasury shares of 315 mn cancelled (capital reduction) in 2024.</t>
  </si>
  <si>
    <t>Large integrated palm oil group in Indonesia, part of Salim/IndoAgri empire, with strong downstream via Bimoli cooking oil brand. 2024 sales flat at Rp15.97 tn but Gross Profit +44% to Rp4.84 tn and Net Profit +136% to Rp2.18 tn (Owners Rp1.55 tn) on strong CPO prices (domestic KPB +17% to Rp13,190/kg; CIF Rotterdam +15% to USD1,113/t) and higher downstream volumes. EBITDA Rp4.73 tn (margin 29.6%). Gearing net 0.11x (down from 0.16x). Tanjung Priok refinery expansion underway to grow CPO refining capacity from 1.7 mn t to 2.2 mn t p.a.</t>
  </si>
  <si>
    <t>Sinar Mas Land Plaza Tower II, Fl. 28-30, Jl. M.H. Thamrin No. 51, Jakarta</t>
  </si>
  <si>
    <t>Sumatra (47%)/Kalimantan (53%) plantations; Surabaya/Jakarta/Medan/Tarjun refineries</t>
  </si>
  <si>
    <t>Majority-owned (92.40%) by PT Purimas Sasmita; ultimate controller Widjaja family / Sinar Mas group. SMART is a subsidiary of Golden Agri-Resources Ltd (GAR, SGX-listed).</t>
  </si>
  <si>
    <t>Plantation subsidiaries in North Sumatra, Jambi, Bangka, Central/East/South Kalimantan. Refineries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</si>
  <si>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 Domestic institutions 97.45%, foreign institutions 2.30%.</t>
  </si>
  <si>
    <t>Listed (IDX: SMAR)</t>
  </si>
  <si>
    <t>Vertically integrated palm oil: plantations + mills + refineries + biodiesel + oleochemicals + consumer brands (Filma, Kunci Mas)</t>
  </si>
  <si>
    <t>Very high CPO prices peaked near US$2,000/t before stabilising; full-year avg FOB US$1,248/t; record net profit created high base effect for subsequent years.</t>
  </si>
  <si>
    <t>Record year. Net sales +32% to Rp75.05tn; EBITDA +56% to Rp9.53tn; net profit doubled to Rp5.50tn on highest-ever average CPO price (US$1,248/t FOB, +7% YoY). Managed 136,402 ha plantations (77% nucleus/23% plasma, 47% Sumatra/53% Kalimantan), 16 mills (4.35Mtpa), ~2.9Mtpa refineries, 810ktpa kernel crushing, 600ktpa biodiesel (pre-expansion), 240ktpa oleochemical. FFB harvest +2% to 2.48 Mt. Dividend: Rp200 interim (Aug 2022) + Rp370 final (2023) = Rp570/share total (30% payout). Debt-to-equity improved sharply to 0.95x from 1.37x. EBITDA/interest 7.11x.</t>
  </si>
  <si>
    <t>Sumatra/Kalimantan (plantations); Surabaya/Jakarta/Medan/Tarjun (refineries/downstream)</t>
  </si>
  <si>
    <t>Plantation subsidiaries in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</si>
  <si>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t>
  </si>
  <si>
    <t>Vertically integrated palm oil: plantations + mills + refineries + biodiesel + oleochemicals + consumer brands (Filma, Kunci Mas, Palmboom, Menara, Goodfry)</t>
  </si>
  <si>
    <t>CPO prices normalised (-28% from 2022 peak); net sales -11% to Rp66.53tn; EBITDA -60% to Rp3.80tn; net profit collapsed -83% to Rp918 bn; FFB harvest -3% to 2.41 Mt on El Niño and replanting; gearing improved to 0.84x but net debt to EBITDA rose to 0.65x (2022: 0.02x).</t>
  </si>
  <si>
    <t>Transition year. Net sales fell 11% to Rp66.53tn after 2022 record, despite record 5.48Mt sales volume, as CPO prices normalised (avg US$901/t FOB, -28% YoY). EBITDA Rp3.80tn, net profit Rp918 bn. Plantation area 134,177 ha (77% nucleus/23% plasma, Sumatra+Kalimantan). Produced 722kt palm products (567kt CPO, 155kt PK). Full refinery utilisation; biodiesel plant at 87% on B35 mandate. Final divd for 2022 of Rp370/share paid + interim 2023 Rp95.</t>
  </si>
  <si>
    <t>Sumatra/Kalimantan (plantations); Surabaya/Jakarta/Medan/Marunda (refineries/downstream)</t>
  </si>
  <si>
    <t>Plantation &amp; processing subsidiaries across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</si>
  <si>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 Domestic institutions 97.45%, foreign institutions 2.21%, domestic individuals 0.33%, foreign individuals 0.01%.</t>
  </si>
  <si>
    <t>Listed (IDX: SMAR); PEFINDO rating AA- (stable)</t>
  </si>
  <si>
    <t>Vertically integrated palm oil: plantations + mills (PKS) + refineries + biodiesel + oleochemicals + consumer brands (Filma, Kunci Mas, Palmboom, Menara, Goodfry)</t>
  </si>
  <si>
    <t>Gearing ratio rose to 0.97x (2023: 0.84x); Short-term bank loans up 76% to Rp5.13tn; Operating cash flow turned negative (-Rp253 bn vs +Rp4.04tn in 2023) on higher working capital; FFB harvest declined 7% to 2.24 Mt due to 2023 El Niño and replanting; palm product output -6% to 677kt; ageing plantation profile (30% of area &gt;25 yrs); net profit still 31% below initial target.</t>
  </si>
  <si>
    <t>Flagship Sinar Mas/GAR-affiliated integrated palm oil player. 2024 net sales +18% to Rp78.84tn (record) on 5.83Mt sales volume; EBITDA +11% to Rp4.21tn; net profit +39% to Rp1.28tn. Operates 136,587 ha plantations (77% nucleus/23% plasma, 53% Kalimantan/47% Sumatra), 16 mills (4.35Mtpa), 2.88Mtpa refineries, 879ktpa kernel crushing, 1.05Mtpa biodiesel, 240ktpa oleochemical. Strong downstream integration with Filma/Kunci Mas cooking oil brands. DPS 2024 interim Rp105; 30% payout policy. Full-year CPO price avg US$1,005/t FOB (+12% YoY).</t>
  </si>
  <si>
    <t>Pangkalan Bun, Central Kalimantan, Indonesia</t>
  </si>
  <si>
    <t>Central Kalimantan (Kotawaringin Barat, Lamandau, Pulang Pisau)</t>
  </si>
  <si>
    <t>Part of Citra Borneo Indah (CBI) Group controlled by Abdul Rasyid family. PT Citra Borneo Indah 61.24% (parent). On 19 December 2023, SSMS consolidated PT Citra Borneo Utama Tbk (CBUT, downstream refinery arm) via increased share ownership to form an upstream-to-downstream integrated group.</t>
  </si>
  <si>
    <t>Subsidiaries: PT Mitra Mendawai Sejati (MMS), PT Kalimantan Sawit Abadi (KSA), PT Mirza Pratama Putra (MPP), PT Sawit Multi Utama (SMU), PT Tanjung Sawit Abadi (TSA), PT Menteng Kencana Mas (MKM), SSMS Plantation Holding Pte Ltd (SPH, Singapore) - which issued USD300mn bond fully repaid in 2023, plus PT Citra Borneo Utama Tbk (CBUT, consolidated Dec 2023).</t>
  </si>
  <si>
    <t>PT Citra Borneo Indah 61.24%; PT Putra Borneo Agro Lestari 9.16%; Public (each &lt;5%) 29.15%; SSMS 0.45%. 9,525,000,000 shares outstanding.</t>
  </si>
  <si>
    <t>Listed (IDX: SSMS) since 12 December 2013</t>
  </si>
  <si>
    <t>Palm oil plantation (upstream) + CPO mills + refinery/fractionation/kernel crushing (downstream via CBUT consolidated Dec 2023) + biogas/Bio-CNG renewable energy</t>
  </si>
  <si>
    <t>Very high leverage (DER 494%, DAR 83%). Net profit collapsed -77% YoY to Rp344 bn on CPO price decline and Rp2,852 bn additional paid-in capital negative from CBUT consolidation. Bonds payable (SPH USD300 mn @7.75%) fully repaid in 2023 using bank debt (ST bank loan surged 150% to Rp2.44 tn). New Natai Baru biogas + Bio-CNG plants commissioned. Finance costs Rp679 bn exceeded operating profit Rp1.20 tn.</t>
  </si>
  <si>
    <t>Central Kalimantan palm oil producer controlled by CBI Group. 2023 revenue Rp10.70 tn (-4.78% YoY) on falling CPO/RBDPO prices; operating profit halved to Rp1.20 tn; net profit Rp344 bn (-77% YoY after proforma). Landmark event: 19 Dec 2023 consolidation of PT Citra Borneo Utama Tbk (CBUT) making SSMS fully integrated upstream-to-downstream. Financing restructuring: USD300mn SPH global bond fully repaid, replaced by bank debt. 115,880 ha total managed area (93,534 nucleus + 22,346 plasma), 8 mills at 540 tph. OER 22.1%. Equity dropped to Rp1.99 tn due to proforma adjustments.</t>
  </si>
  <si>
    <t>Part of Citra Borneo Indah (CBI) Group controlled by Abdul Rasyid family. PT Citra Borneo Indah 62.296% (parent). In December 2023 SSMS consolidated PT Citra Borneo Utama Tbk (CBUT, downstream refinery arm) via increased share ownership, making group operations integrated upstream-to-downstream.</t>
  </si>
  <si>
    <t>10 subsidiaries: PT Mitra Mendawai Sejati (MMS), PT Kalimantan Sawit Abadi (KSA), PT Mirza Pratama Putra (MPP), PT Sawit Multi Utama (SMU), PT Tanjung Sawit Abadi (TSA), PT Menteng Kencana Mas (MKM), SSMS Plantation Holding Pte Ltd (SPH, Singapore), SSMS Plantation International (SPI), Sawit Sumbermas International (SSI), PT Citra Borneo Utama Tbk (CBUT, downstream listed entity).</t>
  </si>
  <si>
    <t>PT Citra Borneo Indah 62.296%; PT Putra Borneo Agro Lestari 8.057%; Public (each &lt;5%) 29.647%. 9,525,000,000 shares outstanding.</t>
  </si>
  <si>
    <t>Palm oil plantation (upstream) + CPO mills + refinery/fractionation/kernel crushing (downstream via CBUT) + biogas/Bio-CNG renewable energy</t>
  </si>
  <si>
    <t>High leverage (DER 306.9%, DAR 75.4%), though declining from 2023 (DER 493.5%). FFB nucleus production down 9.33% YoY due to high rainfall 2020-2022 disrupting fertilization absorption. Downstream refinery utilization dropped to 47.48% (2023: 91.77%). Negative additional paid-in capital (Rp2,852 bn) and merging-entities equity adjustment reflect CBUT consolidation. No cash dividend paid for FY2023.</t>
  </si>
  <si>
    <t>Central Kalimantan-focused integrated palm oil producer controlled by CBI Group (Abdul Rasyid family). 2024 revenue Rp10.52 tn (-1.70% YoY) on lower sales volumes; net profit Rp845 bn (+145.5% after proforma); operating profit +48% to Rp1.77 tn. Strengthened integration via CBUT consolidation (Dec 2023). 115,571 ha total managed area (93,224 ha nucleus + 22,347 ha plasma), 8 palm oil mills with 540 tph capacity, 2,500 tpd refinery + fractionation plant. OER 21.8% (one of highest in industry). Equity up 45.3% to Rp2.89 tn, deleveraging underway.</t>
  </si>
  <si>
    <t>Part of Citra Borneo Indah (CBI) Group controlled by Abdul Rasyid family. PT Citra Borneo Indah 65.83% (parent). In 2025, SSMS completed acquisition of PT Sawit Mandiri Lestari (SML) as inorganic growth, adding a new estate with 6 estates + 2 mills in Lamandau. Downstream refinery operations run via PT Citra Borneo Utama Tbk (CBUT, consolidated Dec 2023).</t>
  </si>
  <si>
    <t>Existing subsidiaries: PT Mitra Mendawai Sejati (MMS), PT Kalimantan Sawit Abadi (KSA), PT Mirza Pratama Putra (MPP), PT Sawit Multi Utama (SMU), PT Tanjung Sawit Abadi (TSA), PT Menteng Kencana Mas (MKM), SSMS Plantation Holding Pte Ltd (SPH), SSMS Plantation International (SPI), Sawit Sumbermas International (SSI), PT Citra Borneo Utama Tbk (CBUT). NEW in 2025: PT Sawit Mandiri Lestari (SML) acquired for Rp1.49 tn cash — 6 estates + 2 mills in Lamandau.</t>
  </si>
  <si>
    <t>PT Citra Borneo Indah 65.83%; PT Putra Borneo Agro Lestari 10.13%; Public (each &lt;5%) 24.04%. CBI increased from 62.3% (2024) following share accumulation. 9,525,000,000 shares outstanding.</t>
  </si>
  <si>
    <t>Listed (IDX: SSMS). Trading suspended 4 Feb 2025 briefly on cumulative price surge.</t>
  </si>
  <si>
    <t>Integrated palm oil plantation + CPO mills + refinery/fractionation/kernel crushing (via CBUT) + biogas/Bio-CNG + new plantation expansion (SML acquisition)</t>
  </si>
  <si>
    <t>Major debt increase: gross debt rose to Rp8,139 bn (from Rp6,985 bn in 2024) via syndicated bank loan to fund SML acquisition. Equity dropped Rp344 bn at parent level due to common-control acquisition adjustment (Rp1,084 bn reduction in APIC). PKO production -24.57% due to KCP facility repairs/modifications. DER back up to 361.88% from 306.90%. 2024 share price was briefly suspended Feb 2025 due to 'significant cumulative price increase'.</t>
  </si>
  <si>
    <t>Central Kalimantan palm producer controlled by CBI Group delivered strong 2025 turnaround: revenue Rp14.81 tn (+42.9%), operating profit Rp2.55 tn (+44%), net profit Rp1.39 tn (+67%) driven by CPO price recovery and volume growth post-CBUT consolidation full year benefit. OER improved to 22.12%. CPO production +14.23% to 527,052 t. Major SML acquisition for Rp1.49 tn expanded footprint to 136,447 ha total managed area (+18% YoY). Cash dividend resumed: Rp450 bn (Rp47.24/share). Syndicated bank loan supported expansion. 10 mills total (8 SSMS + 2 from SML).</t>
  </si>
  <si>
    <t>Kalimantan (Central/East) + Jambi (Sumatra)</t>
  </si>
  <si>
    <t>Part of Triputra Group (Theodore P. Rachmat family). Controlling shareholders: PT Persada Capital Investama 23.24%, PT Triputra Investindo Arya 22.93%, PT Daya Adicipta Mustika 14.02%, The NT TST CO S/A Salween Investment 14.90%, Gochean Holdings 10.90%; Public 14.02%.</t>
  </si>
  <si>
    <t>24 direct/indirect subsidiaries: AMP (94.93% main holding), plus palm oil plantation subsidiaries GBSM, MIK, TAN, FLTI, SKM, HPS, EBL, DLJ, NPN, MSL, KSD, HPM, SAWA, KAM, PTA, YWA, AAPA, GAS, BBB; ecosystem restoration (ATS, ABM, SAK, BSM); mining (BBP, PMB); general trading (APR). USTP 50% JV.</t>
  </si>
  <si>
    <t>PT Persada Capital Investama 23.24%, PT Triputra Investindo Arya 22.93%, The NT TST CO S/A Salween Investment Pte Ltd 14.90%, PT Daya Adicipta Mustika 14.02%, Gochean Holdings Inc 10.90%, Public 14.02%</t>
  </si>
  <si>
    <t>Listed (IDX: TAPG) - IPO 12 April 2021</t>
  </si>
  <si>
    <t>Palm oil plantations (upstream) + CPO/PK/PKO processing + small rubber plantation</t>
  </si>
  <si>
    <t>Revenue down 11% YoY due to weaker CPO/PK prices (-9% CPO, -34% PK) and drier El Nino climate particularly in Central Kalimantan; operating profit down 55%; net profit down 46%; productive age area shrinking (only 3,880 ha of 4-6 yr trees vs 118,186 ha at 7-20 yr); aging tree profile with 7,155 ha &gt;20 years.</t>
  </si>
  <si>
    <t>Mid-large Indonesian palm producer controlled by Triputra Group (Rachmat family). 2023 revenue Rp8.33 tn (-11% YoY), net profit Rp1.66 tn (-46%) due to weaker CPO/PK prices and drier climate impact on production. Total planted 160.5k ha (136.4k nucleus + 24.1k plasma) in Jambi, Central &amp; East Kalimantan. 18 palm oil mills with 995 tph total capacity. CPO 978k tons, PK 208k tons, KER 4.9%, OER 23.3%. Net interest-bearing debt/equity 0.010x - low gearing. First KCP with Biogas Power Plant (PLTBg) commenced 2023 producing PKO.</t>
  </si>
  <si>
    <t>Part of Triputra Group (Theodore P. Rachmat family). Controlling shareholders (Dec 2024): PT Persada Capital Investama 33.07%, PT Triputra Investindo Arya 24.05%, PT Daya Adicipta Mustika 19.94%, T. Permadi Rachmat 5.19%; Public 17.75%. Salween Investment &amp; Gochean Holdings fully divested in 2024.</t>
  </si>
  <si>
    <t>24 direct/indirect subsidiaries: AMP (94.93% main holding), plantation subsidiaries (GBSM, MIK, TAN, FLTI, SKM, EBL, DLJ, NPN, MSL, KSD, HPM, SAWA, KAM, PTA, YWA, AAPA, GAS, BBB); HPS laboratory; ecosystem restoration (ATS, ABM, SAK, BSM); mining (BBP, PMB); general trading (APR); TAPAS IT services. USTP 50% JV (with Aisin Takaoka), ATP Bio Indonesia 49% JV (biocoke).</t>
  </si>
  <si>
    <t>PT Persada Capital Investama 33.07%, PT Triputra Investindo Arya 24.05%, PT Daya Adicipta Mustika 19.94%, T. Permadi Rachmat 5.19%, Public 17.75%</t>
  </si>
  <si>
    <t>Palm oil plantations (upstream) + CPO/PK/PKO processing + rubber + emerging renewable (biocoke via JV)</t>
  </si>
  <si>
    <t>CPO production -6% to 916kt and FFB -4% to 3.28mt due to recovering plants; PK volume down 15%; nucleus planted area flat at 135.6k ha; age profile concentrated at 7-20 yr (117k ha); rubber segment still marginal (&lt;1% revenue). Short-term bank loans up 727% YoY to Rp620 bn.</t>
  </si>
  <si>
    <t>Mid-large Indonesian palm producer controlled by Triputra Group (Rachmat family). 2024 revenue Rp9.67 tn (+16% YoY), net profit Rp3.24 tn (+95%) driven by higher CPO (+18%), PK (+46%) and PKO (+74%) selling prices. Total planted 160.8k ha (135.6k nucleus + 25.2k plasma). 18 palm oil mills with 995 tph. CPO 916k tons, PK 193k tons, KER 4.9%, OER 23.1%. Very low gearing - net debt/equity -0.019x (net cash position). FLTI achieved RSPO certification, GBSM/DLJ received Green Gold Label. Established PT ATP Bio Indonesia JV with Aisin Takaoka Japan for palm shell biocoke production. Capex Rp588 bn. Dividend payout 46.6% (Rp1,509 bn interim).</t>
  </si>
  <si>
    <t>Part of Triputra Group (Theodore P. Rachmat family). Controlling shareholders (Dec 2025): PT Persada Capital Investama 33.07%, PT Triputra Investindo Arya 24.06%, PT Daya Adicipta Mustika 19.94%, T. Permadi Rachmat 5.09%; Public 17.84%.</t>
  </si>
  <si>
    <t>Direct/indirect subsidiaries including AMP (94.93% main holding) with downstream plantation subsidiaries (GBSM, MIK, TAN, FLTI, SKM, EBL, DLJ, NPN, MSL, KSD, HPM, SAWA, KAM, PTA, YWA, AAPA, GAS, BBB); HPS laboratory; ecosystem restoration (ATS, ABM, SAK, BSM); mining (BBP, PMB); trading (APR); TAPAS IT. USTP 50% JV, ATP Bio Indonesia 49% JV for biocoke production.</t>
  </si>
  <si>
    <t>PT Persada Capital Investama 33.07%, PT Triputra Investindo Arya 24.06%, PT Daya Adicipta Mustika 19.94%, T. Permadi Rachmat 5.09%, Public 17.84%</t>
  </si>
  <si>
    <t>Palm oil plantations (upstream) + CPO/PK/PKO processing + rubber + renewable energy (biocoke via JV)</t>
  </si>
  <si>
    <t>Nucleus planted area declined slightly to 132.8k ha (from 135.6k in 2024) reflecting replanting; long-term bank loans up 132% to Rp766 bn (from Rp330 bn); aging tree profile still concentrated at 7-20 yr (115.8k ha); ESG-related challenges from global policy tightening (B50 mandate, EU deforestation regulation).</t>
  </si>
  <si>
    <t>Mid-large Indonesian palm producer controlled by Triputra Group (Rachmat family). 2025 revenue Rp11.40 tn (+18% YoY), net profit Rp3.85 tn (+19%) driven by higher CPO (+8%), PK (+52%) and PKO (+37%) selling prices and volume growth. Total planted 159.7k ha (132.8k nucleus + 26.9k plasma). 18 palm oil mills with 995 tph. CPO 953k tons (+4%), PK 202k tons (+5%), PKO 22k tons (+10%); FFB yield improved to 24.3 t/ha (from 23.0). Very low gearing - net debt/equity -0.047x (net cash). 2026 strategy: build new mill in East Kalimantan, downstreaming feasibility study, replanting with superior varieties. Strong share price rally in 2025 (Q3 high Rp1,715, closed Rp1,500). 2025 interim dividends Rp89 total (Rp50+Rp39).</t>
  </si>
  <si>
    <t>Jakarta, Indonesia (Beltway Office Park Tower B, Jl. TB Simatupang No. 41, Jakarta Selatan 12550)</t>
  </si>
  <si>
    <t>East Kalimantan (Berau, Kutai Timur, Paser, Kutai Kartanegara)</t>
  </si>
  <si>
    <t>Holding company with 9 subsidiaries; controlled by PT Teladan Resources (59.88%) which is owned and controlled by Wiwoho Basuki Tjokronegoro and family. Listed on IDX since 12 April 2022.</t>
  </si>
  <si>
    <t>9 subsidiaries: PT Tanjung Buyu Perkasa Plantation (TBP, 99.99%), PT Inti Energi Kaltim (INK, 99.99%), PT Telen (TLN, 99.99%), PT Sawit Prima Nusantara (SPN, 99.99%), PT Telen Prima Sawit (TPS, 99.99%), PT Gemilang Sejahtera Abadi (GSA, 99.99%), PT Multi Jayantara Abadi (MJA, 99.99%), PT Cahaya Anugerah Plantation (CAP, 99.99%), PT Daya Lestari (DL, 99.92%; renewable energy).</t>
  </si>
  <si>
    <t>PT Teladan Resources 59.88%, Ahmad Gunung 16.22%, Wishnu Wardhana 16.22%, Wiwoho Basuki Tjokronegoro 0.17%, BoC &amp; BoD 0.004%, Public 7.50%</t>
  </si>
  <si>
    <t>Listed (IDX: TLDN) since 12 April 2022</t>
  </si>
  <si>
    <t>Oil palm plantation, palm oil processing (CPO &amp; PK), renewable energy (biomass/biogas)</t>
  </si>
  <si>
    <t>Ageing tree profile (avg nucleus age 14.5 years, 97% trees &gt;=8 years old and rising); CPO prices softened in 2023; net profit declined 21% YoY; 2023 CFO +64% but CFF outflow jumped on IPO proceeds absence and higher dividend/lease repayments.</t>
  </si>
  <si>
    <t>East Kalimantan-focused mid-sized palm pure-play controlled by Teladan Resources/Wiwoho Basuki family. 2023 revenue Rp4.01 tn (+10.9% YoY) on higher CPO volume despite softer prices; gross margin compressed to 26.7% (from 34.5%); net profit Rp452 bn (-21.3%). Equity strengthened to Rp2.46 tn; leverage eased (L/E 1.2x). Built 2 new plants in 2023 (Biogas Power Plant; Kernel Crushing Plant) under construction for operations in 2024. Total planted area 60,497 ha (48,524 nucleus + 11,973 plasma), 6 mills with 335 t FFB/hr capacity.</t>
  </si>
  <si>
    <t>9 subsidiaries as of 2024: PT Tanjung Buyu Perkasa Plantation (TBP), PT Inti Energi Kaltim (INK), PT Telen (TLN), PT Sawit Prima Nusantara (SPN), PT Telen Prima Sawit (TPS - KCP operator since Nov 2024), PT Gemilang Sejahtera Abadi (GSA), PT Multi Jayantara Abadi (MJA), PT Cahaya Anugerah Plantation (CAP), PT Daya Lestari (DL - renewable energy; BPP operator since Nov 2024).</t>
  </si>
  <si>
    <t>Oil palm plantation, palm oil processing (CPO, PK, CPKO, PKE), renewable energy (biomass/biogas)</t>
  </si>
  <si>
    <t>Ageing tree profile (nucleus avg age 15.5 yrs, trending older); CPO sales volume -8.5% YoY; 2024 production target (TBS -3.0%, CPO+PK -8.4%) missed due to climate change; short-term debt ratio improved as long-term loans paid down. Director resignation during year.</t>
  </si>
  <si>
    <t>Pure-play East Kalimantan palm producer had a strong 2024. Revenue Rp4.21 tn (+5.1%); net profit surged +82.7% to Rp825.6 bn on higher CPO/PK prices (+11.6%/+56.3%), cost efficiency (-9.7%), and gain from new CPKO/PKE products. EBITDA +43.2% to Rp1.39 tn. Commissioned first Kernel Crushing Plant (100 tpd PK) and 1.7 MW Biogas Power Plant in Nov 2024. Leverage eased (L/E 0.8x; bank debt/equity 0.2x). Total planted area 60,515 ha (48,542 nucleus + 11,973 plasma); 6 mills at 335 t FFB/hr.</t>
  </si>
  <si>
    <t>Holding company with 10 subsidiaries (new: PT Cipta Davia Mandiri acquired Jan 2025); controlled by PT Teladan Resources (59.877%) which is owned and controlled by Wiwoho Basuki Tjokronegoro and family. Listed on IDX since 12 April 2022.</t>
  </si>
  <si>
    <t>10 subsidiaries as of 2025: PT Tanjung Buyu Perkasa Plantation (TBP), PT Inti Energi Kaltim (INK), PT Telen (TLN), PT Sawit Prima Nusantara (SPN), PT Telen Prima Sawit (TPS - KCP operator), PT Gemilang Sejahtera Abadi (GSA), PT Multi Jayantara Abadi (MJA), PT Cahaya Anugerah Plantation (CAP), PT Daya Lestari (DL - renewable energy), and newly-acquired PT Cipta Davia Mandiri (CDM, acquired January 2025 from PT REA Kaltim Plantations; added ~3,733 ha plantation).</t>
  </si>
  <si>
    <t>PT Teladan Resources 59.877%, Ahmad Gunung 16.225%, Wishnu Wardhana 16.225%, Wiwoho Basuki Tjokronegoro 0.169%, Public 7.504%</t>
  </si>
  <si>
    <t>CPO extraction rate dipped to 22.76% (from 23.51%); PK extraction 3.57% (from 3.68%) — productivity slightly lower; ageing tree profile (nucleus avg age 16.1 yrs); revenue surge partly buoyed by one-off gain on bargain purchase (Rp172 bn) from CDM acquisition; CFF outflow high (Rp1.18 tn) from larger dividend payouts.</t>
  </si>
  <si>
    <t>Breakout year: revenue Rp5.42 tn (+28.7%), driven by CPO price +14.5% to Rp14 mn/t, PK price +65.8%, and full-year KCP operation (CPKO 11,991 t; PKE 15,803 t). Net profit Rp1.11 tn (+34%), aided by Rp172 bn bargain purchase gain from CDM acquisition. Planted area expanded to 64,430 ha (+3,933 ha) via CDM acquisition. Second KCP and BPP kick-off Dec 2025. Equity reached Rp3.64 tn; bank debt/equity 0.23x. Declared first-ever interim dividend (Rp15.5/share, Rp201 bn).</t>
  </si>
  <si>
    <t>Kisaran, North Sumatra (head office) / Jakarta corporate center (Bakrie Tower, Rasuna Epicentrum)</t>
  </si>
  <si>
    <t>Sumatra (N.Sumatra/W.Sumatra/Jambi/Bengkulu/Lampung) + S. Kalimantan</t>
  </si>
  <si>
    <t>Part of Bakrie Group (controlled by PT Bakrie Capital Indonesia 14.65%; ultimate Bakrie family). Plantations + oleochemicals (via BRC/DAP). 30 Jun 2022 reduced its ownership in DAP (via subsidiary BRC) to Poseidon Corporate Service Ltd - triggered deconsolidation of fatty acid &amp; fatty alcohol plants.</t>
  </si>
  <si>
    <t>Plantation subs: PT Agrowiyana (AGW), PT Bakrie Pasaman Plantations (BPP), PT Air Muring (AM), PT Agro Mitra Madani, PT Grahadura Leidongprima, PT Eramitra Agrolestari, PT Huma Indah Mekar, PT Sumbertama Nusapertiwi, PT Jambi Agrowijaya, PT Monrad Intan Berakat. Oleochemicals: PT Bakrie Renewable Chemicals (BRC) - refinery/KCP. PT Domas Agrointi Perkasa (DAP - fatty acid/alcohol plants divested 30 Jun 2022 to Poseidon). Finance SPVs: BSP Finance BV, BSP Netherlands Finance BV, BSP Liberia BV, Agri International Finance BV, Agri International Resources Pte Ltd (Singapore), Solegna Investments BV, Bookwise Investments Ltd, Fordway Management Ltd. Others: PT Sarana Industama Perkasa, PT Sawitmas Agro Perkasa, PT Multrada Multi Maju, PT Domas Sawitinti Perdana, PT Flora Sawita Chemindo, PT Inti Kemitraan Perdana, PT Trimitra Sumberperkasa.</t>
  </si>
  <si>
    <t>PT Bakrie Capital Indonesia 14.65% (366,149,259 shares), Ernawati Ali 10.96%, Lie Leonard Djajali 9.21%, Paradiso Resources Ltd. 5.87%, Reksadana Saham Anargya Superfund Equity Growth 5.37%, Public &lt;5% 53.94%. Total 2,500,162,344 shares (less 6 treasury = 2,500,162,338). Foreign institutions 14.02%, Local institutions 29.37%, Local individuals 55.74%, Foreign individuals 0.87%.</t>
  </si>
  <si>
    <t>Listed (IDX: UNSP)</t>
  </si>
  <si>
    <t>Integrated plantation (palm + rubber) + oleochemical processing (fatty acid/alcohol partly divested Jun 2022; refinery/KCP retained via BRC)</t>
  </si>
  <si>
    <t>DEEPLY DISTRESSED. Net capital deficiency Rp(5,956.62) bn. Total liabilities Rp10,496.92 bn vs assets Rp4,540.30 bn (231.19% ratio). Current ratio 8.52%. Net working capital Rp(7,598.18) bn. 2022 had ONE-OFF large non-operating income (Miscellaneous - net Rp2,268.18 bn, +1,621.61% YoY) mainly from DAP divestment to Poseidon (30 Jun 2022) and related non-cash gains. Large FX losses Rp(783.30) bn. Impairment losses Rp(536.40) bn. Loss on biological assets fair value Rp(127.86) bn. Credit Suisse AG Singapore Indicative Restructuring Term Sheet signed 13 Jan 2022 leading to write-off of restricted funds Rp252.28 bn at Bank of New York Mellon. Equity-linked notes (USD 100 mn) on SGX at 8% - no interest paid since Sep 2014. Tebo (15,000 Ha) and Sarolangun (10,000 Ha) projects fully impaired. Accumulated retained deficit Rp(14,083.96) bn.</t>
  </si>
  <si>
    <t>Bakrie Group plantation (palm+rubber+oleochemicals). 2022 reported strong headline numbers: net sales Rp4,189 bn (+5.5%), gross profit Rp785.88 bn (-20.0%), but net profit Rp930.21 bn (+691.6%) boosted heavily by a Rp2,268 bn 'miscellaneous - net' line from DAP oleochemical divestment (30 Jun 2022) and non-cash restructuring gains. Capital deficiency persists at Rp(5,957) bn. Total planted 67,591 Ha (palm 52,192 Ha = inti 37,217 + plasma 14,975; rubber 15,399 Ha). 5 palm mills (240 tph - Labuhan Batu mill upgraded from 30 tph to 45 tph). FFB 376,655 t; CPO 154,701 t (+22.8% from replanting output); PK 36,488 t (+24.3%). Latex 12,904 t; rubber plant production 11,835 t. 4 oleochem plants (fatty acid 1&amp;2, fatty alcohol 1&amp;2) ownership transferred 30 Jun 2022; refinery 495,000 tpa + KCP 165,000 tpa retained. Closing Rp128. Ongoing restructuring with Credit Suisse-led Obligor Group.</t>
  </si>
  <si>
    <t>Integrated (upstream + downstream oleochemicals)</t>
  </si>
  <si>
    <t>Part of Bakrie Group (controlled by PT Bakrie Capital Indonesia 14.70%; ultimate controllers Bakrie family - Anindya N. Bakrie on BoC). Diversified subsidiaries in plantations, oleochemicals (via BRC), and offshore finance SPVs.</t>
  </si>
  <si>
    <t>Plantation subs: PT Agrowiyana (AGW), PT Bakrie Pasaman Plantations (BPP), PT Air Muring (AM), PT Agro Mitra Madani (AMM), PT Grahadura Leidongprima, PT Eramitra Agrolestari, PT Huma Indah Mekar, PT Sumbertama Nusapertiwi, PT Jambi Agrowijaya, PT Monrad Intan Berakat. Oleochemicals: PT Bakrie Renewable Chemicals (BRC) - owns refinery/KCP (DAP already divested to Poseidon on 30 Jun 2022). Finance SPVs: BSP Finance BV, BSP Netherlands Finance BV, BSP Liberia BV, Agri International Finance BV, Agri International Resources Pte Ltd (Singapore), Solegna Investments BV, Bookwise Investments Ltd, Fordway Management Ltd, Great Four International Investments. Others: PT Sarana Industama Perkasa, PT Sawitmas Agro Perkasa, PT Multrada Multi Maju, PT Padang Bolak Jaya, PT Perjapin Prima, PT Domas Sawitinti Perdana, PT Flora Sawita Chemindo, PT Inti Kemitraan Perdana, PT Trimitra Sumberperkasa, PT Bakrie Food and Energy (renamed from PT Domas Agrointi Perkasa per Deed of Decision dated 30 Mar 2023), PT ASD Bakrie Oil Palm Seed Indonesia.</t>
  </si>
  <si>
    <t>PT Bakrie Capital Indonesia 14.70% (367,629,259 shares), Ernawati Ali 10.96%, Lie Leonard Djajali 9.21%, Paradiso Resources Ltd. 5.87%, Public &lt;5% 59.26%. Total 2,500,162,344 shares (less 6 treasury = 2,500,162,338). By classification: Local individuals 55.74%, Local institutions 29.37%, Foreign institutions 14.02%, Foreign individuals 0.87%.</t>
  </si>
  <si>
    <t>Integrated plantation (palm + rubber) + oleochemical refinery/KCP (via BRC)</t>
  </si>
  <si>
    <t>HEAVILY DISTRESSED. Net capital deficiency Rp(5,932.87) bn. Total liabilities Rp10,492.60 bn vs assets Rp4,559.73 bn (liabilities/assets 230.11%). Current ratio only 10.16%. Liabilities-to-equity not meaningful (negative equity). USD 100mn equity-linked notes on SGX since 2010 at 8% - no interest paid since Sep 2014. Credit Suisse AG Singapore loan under restructuring (Indicative Restructuring Term Sheet signed 13 Jan 2022 with subsidiaries Obligor Group). Accumulated retained deficit Rp(14,021.27) bn. No dividend since 2012. PKPU/restructuring narrative ongoing. In 2023 Tebo (15,000 Ha) and Sarolangun (10,000 Ha) palm development projects remained fully impaired (recognized losses).</t>
  </si>
  <si>
    <t>Bakrie Group plantation (palm+rubber+oleochemicals). 2023 net sales dropped -42.6% to Rp2,405 bn (from Rp4,189 bn in 2022) mainly due to DAP oleochemical deconsolidation since 30 Jun 2022. Gross profit Rp477 bn (-39.3%). Net profit only Rp26.14 bn (vs Rp930 bn in 2022 which was boosted by DAP transfer gains). Capital deficiency persisted. Planted area: palm 54,828 Ha (inti 39,853 + plasma 14,975) + rubber 14,886 Ha = ~69,713 Ha combined. 5 palm mills (240 tph). FFB 366,113 t; CPO 123,628 t; PK 28,591 t. Latex 10,292 t; rubber plant production 9,127 t. Closing price Rp113. Leverage, going-concern, and restructuring remain top concerns.</t>
  </si>
  <si>
    <t>Integrated (upstream palm+rubber plantations + downstream oleochemicals refinery via BRC)</t>
  </si>
  <si>
    <t>Part of Bakrie Group (controlled by PT Bakrie Capital Indonesia 17.82%; ultimate controllers Bakrie family - Anindya N. Bakrie on BoC). Numerous subsidiaries in plantations, oleochemicals (until Jul 2024), and offshore finance SPVs (BSP Finance BV, Agri International Finance BV, Agri Resources BV in Netherlands; Bookwise/Fordway/Great Four in BVI/Mauritius).</t>
  </si>
  <si>
    <t>Plantation subs: PT Agrowiyana (AGW), PT Bakrie Pasaman Plantations (BPP), PT Air Muring (AM), PT Agro Mitra Madani (AMM), PT Grahadura Leidongprima, PT Eramitra Agrolestari, PT Huma Indah Mekar (rubber), PT Sumbertama Nusapertiwi, PT Jambi Agrowijaya, PT Monrad Intan Berakat, PT Citalaras Cipta Indonesia. Oleochemicals (deconsolidated Jul 2024): PT Bakrie Renewable Chemicals (BRC) - owns refinery/KCP, no longer a subsidiary after Jul 31 2024 following dilution. Finance SPVs: BSP Finance BV, BSP Netherlands Finance BV, BSP Liberia BV, Agri International Finance BV, Agri International Resources Pte Ltd (Singapore), Solegna Investments BV, Bookwise Investments Ltd, Fordway Management Ltd, Great Four International Investments Co Ltd. Others: PT Sarana Industama Perkasa, PT Sawitmas Agro Perkasa, PT Multrada Multi Maju, PT Padang Bolak Jaya, PT Perjapin Prima, PT Domas Sawitinti Perdana, PT Flora Sawita Chemindo, PT Inti Kemitraan Perdana, PT Trimitra Sumberperkasa, PT Bakrie Food and Energy (formerly PT Domas Agrointi Perkasa), PT ASD Bakrie Oil Palm Seed Indonesia (seed JV).</t>
  </si>
  <si>
    <t>PT Bakrie Capital Indonesia 17.82% (445,562,965 shares), Ernawati Ali 10.96%, Stefanie Djajali 9.21%, Paradiso Resources Ltd. 6.12%, Public &lt;5% 55.89%. Total 2,500,162,344 shares (Series A 1,372,047,138 + Series B 1,128,115,206). Classes: Local individuals 54.91%, Indonesian institutions 30.38%, Foreign institutions 13.84%, Foreign individuals 0.87%.</t>
  </si>
  <si>
    <t>Integrated plantation (oil palm + rubber); palm oil (CPO/PK) mills; oleochemical refinery (until Jul 31 2024 only - BRC deconsolidated)</t>
  </si>
  <si>
    <t>GOING CONCERN: Note 44 of audited 2024 FS contains going-concern qualification - Company has postponed payment of certain loan principals and/or interest; loans under restructuring (including Credit Suisse AG Singapore facility Rp3,371.95 bn and guaranteed equity-linked redeemable notes Rp1,284.22 bn). Net capital deficiency of Rp5,276.49 bn (improved from Rp5,932.87 bn in 2023). Current ratio only 10.44%. Liabilities-to-assets 264.17% (liabilities &gt; assets). BRC deconsolidated Jul 31 2024 (lost control via dilution); wrote off Tebo (15,000 Ha) and Sarolangun (10,000 Ha) business-development projects due to revocation of plantation permits by Muara Tebo &amp; Sarolangun regencies. USD 100 mn guaranteed equity-linked notes on SGX-ST since 2010 (8% p.a.) with no interest payments since 2014 (restructuring). Very large accumulated deficit (Rp12.66 trillion).</t>
  </si>
  <si>
    <t>Highly distressed diversified Bakrie-group plantation (palm+rubber+oleochemicals). 2024 net sales Rp2,327.87 bn (-3.21%), gross profit Rp604.52 bn (+26.73% on cost efficiencies &amp; ERP digitalization), net profit Rp138.89 bn (+431%). Continuing going concern uncertainty; capital deficiency Rp5,276 bn; liabilities Rp8,491 bn vs assets Rp3,214 bn. Oleochemical segment (BRC) deconsolidated after Jul 31 2024; palm now dominant segment (72.9% of sales). Planted area 56,147 Ha (palm 43,745 Ha inti + 14,975 Ha plasma = 58,720 Ha gross incl. plasma; rubber 12,403 Ha). Operated 5 palm mills (240 tph) and 1 rubber processing plant. FFB 347,865 t; CPO 113,918 t; PK 24,263 t. Closing price Rp97. No dividends paid since 2012.</t>
  </si>
  <si>
    <t>Integrated (upstream plantations + downstream oleochemicals until mid-2024; post-Jul 2024 mainly upstream palm+rubber)</t>
  </si>
  <si>
    <t>Java/Surabaya (HQ); candy factory in Bogor West Java; cashew processing formerly in Mataram NTB</t>
  </si>
  <si>
    <t>Small trading-industrial company. No disclosed subsidiaries in AR. Controlling shareholders are PT Hijau Sari (36.07%) and PT Mitra Niaga Sakti (32.44%). Originally PT Golden Phoenix (1993) -&gt; PT Wahana Yuda Mandiri (1996) -&gt; PT Wahana Phonix Mandiri (2000) -&gt; PT Wahana Pronatural Tbk (2012).</t>
  </si>
  <si>
    <t>None disclosed in the AR (standalone financial statements; no consolidation). Historically divested subsidiary PT Phonix Mas Persada in 2011.</t>
  </si>
  <si>
    <t>PT Hijau Sari 36.07% (447,562,500 shares), PT Mitra Niaga Sakti 32.44% (402,562,500), PT Surya Pelangi Mandiri 8.06% (100,000,000), PT Pesona Bangun Mandiri 4.43% (55,000,000), Public &lt;5% 19.00% (235,798,111). Total 1,240,923,111 shares.</t>
  </si>
  <si>
    <t>Listed (IDX: WAPO); IPO 22 June 2001.</t>
  </si>
  <si>
    <t>Trading and industrial company for agricultural and marine commodities (coffee beans, dried seaweed) and non-alcoholic beverages (Sunkist Water C flavoured drink, AirAlam bottled drinking water). NOT a palm oil producer.</t>
  </si>
  <si>
    <t>NOT A PALM OIL COMPANY. WAPO is a small trading house (9 employees as of 2024) dealing in coffee beans, dried seaweed, and bottled beverages. No palm plantations, no CPO mills, no FFB, no hectares of oil palm. Company has been loss-making (2020-2022 all showed comprehensive losses). Stand-alone statements only; candy factory in Bogor leased to third party. Cashew factory history in Mataram NTB. Only passing mention of 'perkebunan' in generic national-economy narrative (Vision/Mission). This ticker should likely be EXCLUDED from the Indonesian palm long-list.</t>
  </si>
  <si>
    <t>PT Wahana Pronatural Tbk (Surabaya) is a micro-cap trading and light-manufacturing company focused on coffee beans, dried seaweed (Eucheuma cottoni), flavoured drinks (Sunkist Water C) and mineral water (AirAlam). 2022 revenue Rp 330.0 bn (~Rp 0.33 trillion) with gross profit Rp 2.76 bn and comprehensive loss of Rp 4.05 bn. Total assets Rp 97.5 bn. No palm-oil activities whatsoever were identified in the 2022 Annual Report &amp; Sustainability Report. Ticker should be flagged as non-palm and removed from the palm-oil universe.</t>
  </si>
  <si>
    <t>Java/Surabaya (HQ); candy factory in Bogor West Java (leased out)</t>
  </si>
  <si>
    <t>Small trading-industrial company. No disclosed subsidiaries; standalone (non-consolidated) financials. Controlling shareholders PT Hijau Sari (36.07%) and PT Mitra Niaga Sakti (32.44%).</t>
  </si>
  <si>
    <t>None disclosed in the AR (standalone financials).</t>
  </si>
  <si>
    <t>PT Hijau Sari 36.07%, PT Mitra Niaga Sakti 32.44%, PT Surya Pelangi Mandiri 8.06%, PT Pesona Bangun Mandiri 4.43%, Public &lt;5% 19.00%. Total 1,240,923,111 shares.</t>
  </si>
  <si>
    <t>NOT A PALM OIL COMPANY. WAPO deals in coffee beans, dried seaweed and bottled beverages. No oil-palm plantations, no CPO mills, no FFB, no hectares of oil palm. 2023 was a near-break-even year after 3 straight years of losses. Ticker should likely be EXCLUDED from the Indonesian palm long-list.</t>
  </si>
  <si>
    <t>PT Wahana Pronatural Tbk recorded 2023 net sales of Rp 420.95 bn (+27.6% YoY) with gross profit of Rp 11.90 bn and a small comprehensive income of Rp 0.24 bn (recovery from Rp -4.05 bn loss in 2022). Total assets jumped to Rp 131.9 bn on higher third-party receivables (Rp 61.1 bn) tied to coffee-bean trading; matched by trade payables of Rp 59.3 bn. Core business remains coffee beans trading, dried seaweed, Sunkist Water C, and AirAlam bottled water - no palm-oil activities.</t>
  </si>
  <si>
    <t>Java/Surabaya (HQ); candy factory in Bogor West Java (leased out); coffee-bean trading operations national</t>
  </si>
  <si>
    <t>None disclosed in the AR (standalone financial statements).</t>
  </si>
  <si>
    <t>Trading company - coffee beans (green beans) as 97% of 2024 revenue, with minor contributions from AirAlam bottled water (1.1%), Sunkist Water C vitamin drink (1%), and dried seaweed (0.4%). NOT a palm oil producer.</t>
  </si>
  <si>
    <t>NOT A PALM OIL COMPANY. WAPO is a coffee-bean (green bean) trading house with minor beverage/seaweed activity. No oil-palm plantations, CPO mills, FFB production or any palm processing. Revenue surged 404% YoY in 2024 driven by coffee-bean trade volumes (30,000 t), but margins remain razor-thin (gross margin 1.2%, operating margin 0.02%). Only 9 employees. Ticker should likely be EXCLUDED from the Indonesian palm long-list - clearly does not belong in palm oil peer set.</t>
  </si>
  <si>
    <t>PT Wahana Pronatural Tbk posted 2024 net sales of Rp 2,122.33 bn (+404% YoY), almost entirely driven by green-bean coffee trading (30,000 t at inflated global prices; 97% of revenue). Gross profit Rp 24.65 bn, operating profit Rp 0.52 bn (vs Rp -0.36 bn loss in 2023), and net profit Rp 0.72 bn (comprehensive Rp 0.78 bn). Total assets fell to Rp 86.59 bn from Rp 131.94 bn as trade receivables collapsed from Rp 61.1 bn to Rp 4.7 bn. No palm-oil operations anywhere. Company has a negligible employee count (9) and trades commodities rather than producing them.</t>
  </si>
  <si>
    <t>Planted Area Total (ha)</t>
  </si>
  <si>
    <t>Nucleus Area (ha)</t>
  </si>
  <si>
    <t>Plasma Area (ha)</t>
  </si>
  <si>
    <t>Mature Area (ha)</t>
  </si>
  <si>
    <t>Immature Area (ha)</t>
  </si>
  <si>
    <t>Productive Age Area (ha)</t>
  </si>
  <si>
    <t>Old Age Area (ha)</t>
  </si>
  <si>
    <t>Average Tree Age (years)</t>
  </si>
  <si>
    <t>Replanting Area (ha)</t>
  </si>
  <si>
    <t>Sumatra Area (ha)</t>
  </si>
  <si>
    <t>Kalimantan Area (ha)</t>
  </si>
  <si>
    <t>Sulawesi Area (ha)</t>
  </si>
  <si>
    <t>Other Region Area (ha)</t>
  </si>
  <si>
    <t>Mills Count (#)</t>
  </si>
  <si>
    <t>Mill Capacity (tph)</t>
  </si>
  <si>
    <t>Kernel Crushing Count (#)</t>
  </si>
  <si>
    <t>Kernel Crushing Capacity (tph)</t>
  </si>
  <si>
    <t>CPO Refinery Count (#)</t>
  </si>
  <si>
    <t>CPO Refinery Capacity (tpa)</t>
  </si>
  <si>
    <t>PKO Refinery Count (#)</t>
  </si>
  <si>
    <t>PKO Refinery Capacity (tpa)</t>
  </si>
  <si>
    <t>NPK Plant Count (#)</t>
  </si>
  <si>
    <t>Jetty/Logistics Note</t>
  </si>
  <si>
    <t>Power Infrastructure Note</t>
  </si>
  <si>
    <t>Road Infrastructure Note</t>
  </si>
  <si>
    <t>Third-Party FFB (t)</t>
  </si>
  <si>
    <t>Third-Party Dependence (%) [auto]</t>
  </si>
  <si>
    <t>FFB Production (t)</t>
  </si>
  <si>
    <t>Nucleus FFB (t)</t>
  </si>
  <si>
    <t>Plasma FFB (t)</t>
  </si>
  <si>
    <t>FFB Processed (t)</t>
  </si>
  <si>
    <t>CPO Production (t)</t>
  </si>
  <si>
    <t>Kernel Production (t)</t>
  </si>
  <si>
    <t>PKO Production (t)</t>
  </si>
  <si>
    <t>RBDPO Production (t)</t>
  </si>
  <si>
    <t>Olein Production (t)</t>
  </si>
  <si>
    <t>Stearin Production (t)</t>
  </si>
  <si>
    <t>PFAD Production (t)</t>
  </si>
  <si>
    <t>PKE Production (t)</t>
  </si>
  <si>
    <t>FFB Yield (t/ha) [auto = FFB Prod/Mature Area]</t>
  </si>
  <si>
    <t>Nucleus FFB Yield (t/ha) [auto]</t>
  </si>
  <si>
    <t>CPO Yield (t/ha) [auto = CPO Prod/Mature Area]</t>
  </si>
  <si>
    <t>OER (%) [auto = CPO/FFB Processed]</t>
  </si>
  <si>
    <t>KER (%) [auto = Kernel/FFB Processed]</t>
  </si>
  <si>
    <t>PKO Extraction (%) [auto]</t>
  </si>
  <si>
    <t>PKE Extraction (%) [auto]</t>
  </si>
  <si>
    <t>Average CPO Selling Price (local ccy/kg)</t>
  </si>
  <si>
    <t>Domestic Sales (%)</t>
  </si>
  <si>
    <t>Export Sales (%)</t>
  </si>
  <si>
    <t>Asset Quality Note</t>
  </si>
  <si>
    <t>Ops Risk Note</t>
  </si>
  <si>
    <t>Digitalization Note</t>
  </si>
  <si>
    <t>Sustainability Ops Note</t>
  </si>
  <si>
    <t>OER vs Own FFB (%) [auto = CPO/Own FFB]</t>
  </si>
  <si>
    <t>OER vs Total Available FFB (%) [auto = CPO/(Own+3rd Party)]</t>
  </si>
  <si>
    <t>OER Reported (%) (manual; company disclosure)</t>
  </si>
  <si>
    <t>OER Method Note (manual)</t>
  </si>
  <si>
    <t>Reported CPO Extraction Rate 18.89% (p.13 "Rendemen Minyak Sawit")</t>
  </si>
  <si>
    <t>Reported CPO Extraction Rate 19.03% (p.15 'Rendemen Minyak Sawit')</t>
  </si>
  <si>
    <t>Reported CPO Extraction Rate 19.22% (p.16 'Rendemen Minyak Sawit')</t>
  </si>
  <si>
    <t>Calculated OER = CPO 21,524 / FFB processed 121,298 = 17.75%</t>
  </si>
  <si>
    <t>Calculated OER = CPO 17,178 / FFB 99,141 = 17.33%</t>
  </si>
  <si>
    <t>Calculated OER = CPO 11,546 / FFB 71,988 = 16.04%</t>
  </si>
  <si>
    <t>CPO Extraction Rate 20.6% (p.11, Palm Oil Production table). USD 731/t ASP converted to Rp/kg at 15,394 IDR/USD.</t>
  </si>
  <si>
    <t>CPO Extraction Rate 20.1% (p.8). USD 842/t ASP x ~15,568 IDR/USD.</t>
  </si>
  <si>
    <t>Combined OER 19.9% (CPO production / total FFB processed). USD 822/t x 16,162 IDR/USD.</t>
  </si>
  <si>
    <t>Derived as CPO production (320,107 t) / FFB processed (1,357,872 t); AR does not report OER directly.</t>
  </si>
  <si>
    <t>780,010 MT total production (8.23% below 850,000 MT target); Refinery utilization 91.77% (up from 63.44%); Fractionation utilization 84.95%; Kernel crushing utilization 35.81%. CPO refinery yields: RBDPO 95.76%, PFAD 3.76%. Fractionation yields: Olein 81.01%, Stearin 18.99%.</t>
  </si>
  <si>
    <t>Total production 402,492 MT (47.59% of 845,750 MT target). Refinery CPO processing utilization 47.62% (down from 91.77%), non-processing 29.39%, total 77.01%. Fractionation utilization 42.83% (vs 84.95%). Kernel crushing utilization 29.00%. Yields: RBDPO 95.82%, PFAD 3.62%; Olein 81.42%, Stearin 18.58%; CPKO 40.42%, PKE 54.97%. Kernel storage expanded to 12,500t.</t>
  </si>
  <si>
    <t>Total production 603,670 MT (71.02% of 850,000 MT target). Refinery utilization 71.02%; Fractionation utilization 66.97%; Kernel crushing 50.66%. Yields: RBDPO 95.90%, PFAD 3.63%; Olein 82.21%, Stearin 17.78%; CPKO 42.09%, PKE 54.44%. New bottling capacity 222,222 L/day (68.23% Minyak Kita, 31.77% Hanau) utilization 41.95%.</t>
  </si>
  <si>
    <t>OER 20.5% and KER 5.2% (Extraction rates of CPO and Kernel from FFB processed)</t>
  </si>
  <si>
    <t>OER 21.2% and KER 4.9%. Two palm oil mills operational in 2023 (existing Sei Siarti 45 tph + PT SKL South Tapanuli 45 tph). Total capacity now 90 tph.</t>
  </si>
  <si>
    <t>OER 21.0% and KER 4.4%. Two operational mills (Sei Siarti 45 tph + PT SKL 45 tph, total 90 tph). Third mill at PT BKL Banyuasin (South Sumatra) in construction (~45 tph), target Jun-2025.</t>
  </si>
  <si>
    <t>CPO OER as reported in MD&amp;A for palm oil segment; FFA 3.78%</t>
  </si>
  <si>
    <t>CPO OER as reported in MD&amp;A; FFA 2.96%</t>
  </si>
  <si>
    <t>CPO OER reported 23.92%; FFA 2.86%</t>
  </si>
  <si>
    <t>Approx CPO OER ~23% (277,058/1,202,008); not explicitly disclosed. ASP from revenue Rp3,888bn CPO / 290,111 tons ≈ Rp13,407/kg.</t>
  </si>
  <si>
    <t>Approx CPO OER ~24.4% (307,674/1,261,820); not explicitly disclosed.</t>
  </si>
  <si>
    <t>Approx CPO OER ~22.7% (297,758/1,312,257); not explicitly disclosed. FFB yield 14.97 t/ha.</t>
  </si>
  <si>
    <t>Reported CPO extraction rate 23.16% in 2022 (vs 22.25% 2021). KER 4.51%.</t>
  </si>
  <si>
    <t>Reported CPO extraction rate 22.16% in 2023 (down from 23.16% in 2022). KER 4.64%. PKS SA mill occupancy ~60% (normal 75%).</t>
  </si>
  <si>
    <t>Reported CPO extraction rate (Rendemen) 21.25% in 2024, down from 22.16% in 2023 due to El Nino drought. KER 4.41%.</t>
  </si>
  <si>
    <t>No palm oil operations. IPPE processes coconut (kelapa), not oil palm (kelapa sawit). No plantation area (buys raw copra from third-party suppliers in Riau, Palembang, Jambi, Tangerang, etc.). Single coconut flesh processing factory in Balingbing, Pagaden Barat, Subang, West Java. Subsidiary ALJ holds 13,587 ha location permit in Katingan, Central Kalimantan for horticultural plantation but subsidiary is pre-operating. 2023 product mix by revenue: Crude Coconut Oil (CCO) 86.08% / Copra Meal (Bungkil Kelapa) 13.92%. All sales domestic (Jakarta, Subang, Bekasi, Central Java, Tangerang); no export sales reported.</t>
  </si>
  <si>
    <t>No PKS operating in 2022 - PKS under construction (60 TPH, targeted Dec 2023). Company purchased all CPO from third parties (mainly related parties PG, ACL, BAS, KAM, MSAM). FFB output 54,299 tons (vs 32,576 ton target, 167% achievement). FAME output 308,142 KL (vs 300,000 KL target, 103%); RBDPO/olein/stearin/PFAD/PKE produced via refinery and biodiesel plant.</t>
  </si>
  <si>
    <t>PKS (60 TPH) came online late 2023 (commissioning period). FAME output 310,678 KL (vs 333,562 KL target, 93%); FFB 208,107 ton (135% of 154,314 ton target); FAME avg selling price Rp10,985/L (2023) vs Rp12,377/L (2022). Revenue -4% due to lower FAME prices. Merger with PT Jhonlin Agro Lestari 24 Nov 2023 added planting area.</t>
  </si>
  <si>
    <t>PKS (60 TPH) now fully operational; ~15% of total CPO processed internally sourced (up from near-zero in 2022). FAME production 272,596 KL (down from 310,678 KL in 2023); FFB production 159,688 t (65% of 244,080 t target). Target 2025: internal CPO 20-25% of total purchases.</t>
  </si>
  <si>
    <t>CPO Extraction Rate 20.42% (2021: 20.53%); Kernel Extraction Rate 3.65%; FFB yield 4.94 t/ha (-10%); CPO yield 1.01 t/ha. Palm mills: 2 POMs Kintap + Marabahan; total POM capacity 90 t/hr (513,000 t/y); used 234,924 t (45.79% util). Rubber sheet 9 plants 6,386 t/y (38.15% util); rubber crumb 3 plants 26,040 t/y (48.00% util). All sales domestic.</t>
  </si>
  <si>
    <t>CPO Extraction Rate 20.68% (2022: 20.42%); Kernel Extraction Rate 3.69%; FFB yield 5.99 t/ha; CPO yield 1.24 t/ha. Palm mills: 2 POMs at Kintap (S.Kalimantan) + Marabahan; design capacity 513,000 t/y; used 258,416 t (50.4% utilization). Rubber sheet 9 plants 6,386 t/y (24.25% util); rubber crumb 3 plants 26,040 t/y (30.7% util). All sales domestic.</t>
  </si>
  <si>
    <t>CPO Extraction Rate 19.82% (2023: 20.68%); Kernel Extraction Rate 3.48%; FFB yield 6.62 t/ha; CPO yield 1.31 t/ha. Palm mills: 2 POMs (Kintap + Marabahan ABS); design capacity 513,000 t/y; used 226,797 t (44.2% utilization). Rubber crumb 3 plants 26,040 t/y (52.1%); sheet 9 plants 5,487 t/y (31.95%). Tea factory 400 t/y; 1 coffee plant. All sales domestic (Banten, Jabar, Jatim, Jateng, Kalsel).</t>
  </si>
  <si>
    <t>OER not disclosed. Implied CPO/FFB ~21.6% (306kt / 1,417kt).</t>
  </si>
  <si>
    <t>OER not separately disclosed. Implied CPO/FFB ~21.3% (294kt / 1,377kt).</t>
  </si>
  <si>
    <t>CPO/FFB processed extraction rate not separately disclosed; implied ~21.3% (287kt CPO / 1,345kt FFB). Domestic CPO price (KPB avg) Rp13,190/kg - proxy for selling price.</t>
  </si>
  <si>
    <t>Operational production data not disclosed in Q1 interim financial statements; no plantation hectarage, FFB, CPO, mill figures published in this interim report.</t>
  </si>
  <si>
    <t>Not reported directly. CPO / FFB processed = 278,280 / 1,506,111 = 18.5% (includes 3rd party FFB).</t>
  </si>
  <si>
    <t>Not reported directly. CPO / FFB processed = 256,930 / 1,470,215 = 17.5% (includes 3rd party FFB).</t>
  </si>
  <si>
    <t>Not reported directly in AR; can be approximated as CPO production / FFB processed (195,440 / 1,132,255 = 17.3%) but includes 3rd party FFB.</t>
  </si>
  <si>
    <t>Calculated: CPO 43,729 / FFB processed 189,912 = 23.02%. CPO yield target 17-24% per company.</t>
  </si>
  <si>
    <t>Calculated: CPO 57,803 / FFB processed 302,317 = 19.12%</t>
  </si>
  <si>
    <t>OER derived: CPO production 69,967 / FFB processed 318,717 = 21.95%. Management states CPO yield 17-24% target on p.81.</t>
  </si>
  <si>
    <t>OER 21.77% (2022), KER 4.10%</t>
  </si>
  <si>
    <t>OER 21.69% (2023), KER 4.62%</t>
  </si>
  <si>
    <t>Reported OER 21.2% (2024), KER 4.2%</t>
  </si>
  <si>
    <t>Company sells FFB only (no CPO mill in 2023). IPO proceeds earmarked for 10 tph PKS construction starting 2024.</t>
  </si>
  <si>
    <t>Company sells FFB only (no milling yet); 10 tph PKS under construction ~70-83% complete, target Q1 2026 operation.</t>
  </si>
  <si>
    <t>Reported OER 21.0% in 2022 (high rainfall Q4 caused slight dip). KER not separately disclosed. Palm planted area: Sumatra ~83k ha + Kalimantan ~50k ha = ~133k ha palm; total incl. sago 12,781 ha + rubber 22,361 ha = ~168k ha. Kalimantan FFB contribution 36%; Sumatra 64%.</t>
  </si>
  <si>
    <t>Reported OER 21.4% in 2023 (vs 21.0% in 2022). KER not separately disclosed. Palm planted area: Sumatra ~82k ha + Kalimantan ~50k ha = 132k ha palm; total incl. sago 12,781 ha + rubber 22,856 ha = ~167.6k ha.</t>
  </si>
  <si>
    <t>Reported OER 20.5% in 2024 (vs 21.4% in 2023); KER not separately disclosed. Palm-oil planted area: Sumatra ~79k ha + Kalimantan ~49k ha = 128k ha; Total company planted incl. sago 12,781 ha + rubber 23,120 ha = 164,721 ha.</t>
  </si>
  <si>
    <t>OER not reported in Ikhtisar Operasional.</t>
  </si>
  <si>
    <t>OER not reported in 'Ikhtisar Operasional'; rough estimate = CPO 706 / FFB processed ~ n/a (FFB processed not disclosed separately).</t>
  </si>
  <si>
    <t>Oil extraction rate 20.8%; Kernel extraction rate 5.7%. Avg CPO FOB Belawan US$1,248/t x avg FX Rp14,814/US$ = ~Rp18,488/kg implied.</t>
  </si>
  <si>
    <t>Oil extraction rate 20.8%; Kernel extraction rate 5.7%. Avg CPO FOB Belawan US$901/t x avg FX Rp15,243/US$ = ~Rp13,734/kg implied.</t>
  </si>
  <si>
    <t>Oil extraction rate 20.3%; Kernel extraction rate 5.5%. Avg CPO FOB Belawan US$1,005/t x avg FX Rp15,827/US$ = ~Rp15,906/kg implied.</t>
  </si>
  <si>
    <t>Reported OER 22.1% for 2023 (per 2024 AR MDA comparison). Refinery utilization 91.77% (very high vs 47.48% in 2024). Fractionation 84.95%; KCP 35.81%. 2023 was peak downstream year pre-demand softening.</t>
  </si>
  <si>
    <t>Reported OER 21.8% (p.108 MDA: 'Oil Extraction Rate (OER) tahun 2024 tercatat sebesar 21,8%'). Refinery yield RBDPO 95.82%, PFAD 3.62%; Fractionation yield Olein 81.42%, Stearin 18.58%. Refinery utilization 47.48%, fractionation 42.71%, KCP 25.51%.</t>
  </si>
  <si>
    <t>Reported OER 22.12% (p.131: 'Oil Extraction Rate (OER) of 22.12%'). Refinery utilization 71.02% (recovery from 47.62% in 2024). Fractionation 66.97%; KCP 50.66%. Refinery yield RBDPO 95.90%, PFAD 3.63%; Fractionation yield Olein 82.21%, Stearin 17.78%.</t>
  </si>
  <si>
    <t>Rendemen CPO 23.3% (incl associates). Rendemen PK (KER) 4.9%.</t>
  </si>
  <si>
    <t>Rendemen CPO 23.1% (incl associates). Rendemen PK (KER) 4.9%.</t>
  </si>
  <si>
    <t>Reported CPO Extraction Rate 23.2% (p.14 'Tingkat Ekstraksi Minyak Kelapa Sawit'); PK extraction 3.7%.</t>
  </si>
  <si>
    <t>Reported CPO Extraction Rate 23.5% (p.12 'Tingkat Ekstraksi Minyak Kelapa Sawit'); PK extraction 3.7%; new PKO extraction 40.0% from newly commissioned KCP.</t>
  </si>
  <si>
    <t>Reported CPO Extraction Rate 22.76% (p.12 'Tingkat Ekstraksi Minyak Kelapa Sawit'); PK extraction 3.57%; CPKO extraction 41.0%.</t>
  </si>
  <si>
    <t>OER not explicitly disclosed in 2022 AR narrative.</t>
  </si>
  <si>
    <t>OER not explicitly disclosed in 2023 AR narrative.</t>
  </si>
  <si>
    <t>OER not explicitly disclosed in 2024 AR narrative.</t>
  </si>
  <si>
    <t>Not applicable - company does not operate oil palm plantations, palm oil mills, or any palm-related processing.</t>
  </si>
  <si>
    <t>Not applicable - WAPO does not operate oil palm plantations, palm oil mills, or any palm-related processing. Coffee-bean trading volume was 30,000 t and dried seaweed trading volume was 1,200 t in 2024.</t>
  </si>
  <si>
    <t>Gross Profit (IDR bn)</t>
  </si>
  <si>
    <t>EBITDA Reported (IDR bn) (manual)</t>
  </si>
  <si>
    <t>EBIT (IDR bn) (manual)</t>
  </si>
  <si>
    <t>Net Profit (IDR bn)</t>
  </si>
  <si>
    <t>Profit Attributable to Parent (IDR bn)</t>
  </si>
  <si>
    <t>Total Assets (IDR bn)</t>
  </si>
  <si>
    <t>Current Assets (IDR bn)</t>
  </si>
  <si>
    <t>Non-Current Assets (IDR bn)</t>
  </si>
  <si>
    <t>Total Liabilities (IDR bn)</t>
  </si>
  <si>
    <t>Current Liabilities (IDR bn)</t>
  </si>
  <si>
    <t>Long-Term Liabilities (IDR bn)</t>
  </si>
  <si>
    <t>Total Equity (IDR bn)</t>
  </si>
  <si>
    <t>Net Working Capital (IDR bn) [auto]</t>
  </si>
  <si>
    <t>Cash &amp; Cash Equivalents (IDR bn)</t>
  </si>
  <si>
    <t>Gross Debt (IDR bn)</t>
  </si>
  <si>
    <t>Net Debt Calculated (IDR bn) [auto = R-Q]</t>
  </si>
  <si>
    <t>CFO (IDR bn)</t>
  </si>
  <si>
    <t>Capex (IDR bn) (manual; Net Fixed Asset + Bearer Plant Increase, NOT Investing CF)</t>
  </si>
  <si>
    <t>FCF (IDR bn) [auto]</t>
  </si>
  <si>
    <t>Shares Outstanding (mn)</t>
  </si>
  <si>
    <t>EPS (local ccy/share)</t>
  </si>
  <si>
    <t>NAV per Share (local ccy/share)</t>
  </si>
  <si>
    <t>Interim DPS (local ccy/share)</t>
  </si>
  <si>
    <t>Final DPS (local ccy/share)</t>
  </si>
  <si>
    <t>Closing Price (local ccy/share)</t>
  </si>
  <si>
    <t>Market Cap (IDR bn) [auto]</t>
  </si>
  <si>
    <t>Current Ratio (x) [auto]</t>
  </si>
  <si>
    <t>Debt / Assets (x) [auto]</t>
  </si>
  <si>
    <t>Debt / Equity (x) [auto]</t>
  </si>
  <si>
    <t>ROA Reported (%) [auto]</t>
  </si>
  <si>
    <t>ROE Reported (%) [auto]</t>
  </si>
  <si>
    <t>Net Margin Reported (%) [auto]</t>
  </si>
  <si>
    <t>Gross Margin Reported (%) [auto]</t>
  </si>
  <si>
    <t>Financial Risk Note</t>
  </si>
  <si>
    <t>Liquidity Note</t>
  </si>
  <si>
    <t>Debt Maturity Note</t>
  </si>
  <si>
    <t>Covenant Note</t>
  </si>
  <si>
    <t>D&amp;A Total (IDR bn) (manual; from Notes)</t>
  </si>
  <si>
    <t>EBITDA Calculated (IDR bn) [auto = F+AO]</t>
  </si>
  <si>
    <t>EBITDA Variance (IDR bn) [auto = E-AP]</t>
  </si>
  <si>
    <t>Net Debt Reported (IDR bn) (manual)</t>
  </si>
  <si>
    <t>Net Debt Variance (IDR bn) [auto = AR-S]</t>
  </si>
  <si>
    <t>Net Debt Reported - Definition Note (manual)</t>
  </si>
  <si>
    <t>Reported gearing &lt;1% in 2024 (2023: 9%); Net debt = Gross debt (Rp3,189.54 bn = 1,689.54 current + 1,500 LT) - cash (Rp3,236 bn) = negative net debt.</t>
  </si>
  <si>
    <t>Gearing &lt;1% in 2025 (no bank loans outstanding; all bank loans settled during 2025). Net debt = Gross debt 0 - Cash 2,760 = -Rp2.76 tn (net cash).</t>
  </si>
  <si>
    <t>Net debt approx = Bank loans 166.18 - Cash 15.02 = Rp151.16 bn. D/E 0.861x, D/A 0.463x reported.</t>
  </si>
  <si>
    <t>D/E 1.069x reported. Net debt approx = Liabilities - cash (per AR capital structure note: debt to capital = 1.02x)</t>
  </si>
  <si>
    <t>D/E 1.191x reported. Net debt approx = Liabilities 190.38 - cash 15.82 = ~Rp174.6 bn. Debt to capital ratio maintained at 1.09x per capital management note (p92).</t>
  </si>
  <si>
    <t>Net debt = Bank loans 150.9 - Cash 5.9 = USD 145.0mn (Rp 2,232 bn). Company reports net debt/equity 0.34x.</t>
  </si>
  <si>
    <t>Net debt = Bank loans 134.2 - Cash 10.8 = USD 123.4mn (Rp 1,921 bn). Company reports net debt/equity 0.29x.</t>
  </si>
  <si>
    <t>Net debt = Bank loans 145.5 - Cash 9.1 = USD 136.4mn (Rp 2,205 bn). Net debt/equity 0.3x.</t>
  </si>
  <si>
    <t>BISI has zero bank debt; net debt is negative (net cash of Rp 1,042 bn).</t>
  </si>
  <si>
    <t>BISI has zero bank debt; net cash position of Rp 568 bn (cash and equivalents).</t>
  </si>
  <si>
    <t>Net debt = Short-term bank loan 17 - Cash 167 = Rp -150 bn (net cash).</t>
  </si>
  <si>
    <t>Gross debt (bank loans) minus cash &amp; equivalents; bonds not reported separately.</t>
  </si>
  <si>
    <t>Gross bank loans minus cash &amp; equivalents.</t>
  </si>
  <si>
    <t>Bank loans (Rp 2,346.00 bn) minus cash (Rp 61.35 bn).</t>
  </si>
  <si>
    <t>Gross debt not explicitly separated in Ikhtisar; implied high via DER 3.65x.</t>
  </si>
  <si>
    <t>Bank loans (Rp 3,897.63 bn: ST 290.78 + current portion LT 696.23 + LT 2,910.63) + bonds payable (Rp 61.55 bn) minus cash (Rp 58.08 bn).</t>
  </si>
  <si>
    <t>Bank loans (229.73 ST + 602.93 current LT + 3,109.85 LT = 3,942.51) + bonds (23.78 current + 6.02 LT = 29.80) + sukuk (37.29 current + 24.89 LT = 62.18) minus cash (139.79). Excludes non-bank financial institution loans.</t>
  </si>
  <si>
    <t>Gross debt = ST bank loans 2,138.461 + current portion LT bank loans 79.830 + LT bank loans 769.178 = 2,987.469; cash 304.932</t>
  </si>
  <si>
    <t>Gross debt = ST bank loans 1,944.959 + current portion LT 89.830 + LT 679.348 = 2,714.137; cash 234.104</t>
  </si>
  <si>
    <t>Gross debt = ST bank loans 1,218.493 + current portion LT 124.830 + LT 554.518 = 1,897.841; cash 284.835</t>
  </si>
  <si>
    <t>Net debt = Total loans 644,696 - Cash &amp; equivalents 263,734 = 380,962 (company disclosed)</t>
  </si>
  <si>
    <t>Net debt = Total Loans 509,346 - Cash 25,365 = 483,981 (company disclosed); Gearing ratio 43.40%</t>
  </si>
  <si>
    <t>Net debt = Total Loans 693,577 - Cash 133,268 = 560,309 (company disclosed); Gearing ratio 43.15%</t>
  </si>
  <si>
    <t>Gross debt = short-term bank loans (668.076) + current LT bank loans (759.953) + long-term bank loans (3,041.083) + current bonds (282.310) + LT bonds (175.524). Net debt = gross debt - cash. D&amp;A approximated as fixed-asset depreciation (478.683) + bearer plant amortization (243.793) + RoU depr + plasma amort + biological; EBITDA-EBIT ~ 845.9 bn used.</t>
  </si>
  <si>
    <t>Gross debt = ST bank loans 947.588 + current LT bank loans 771.194 + LT bank loans 3,178.020 + current bonds 3.001 + LT bonds 175.812 = 5,075.615. Net debt = gross debt - cash 389.746. D&amp;A approx = EBITDA-EBIT = 865.355.</t>
  </si>
  <si>
    <t>Gross debt = ST bank loans 476.957 + current LT bank loans 597.660 + LT bank loans 3,971.671 + current bonds 181.924 + LT bonds 0 = 5,228.212. Net debt = gross debt - cash 557.023. D&amp;A approx = EBITDA-EBIT = 972.821.</t>
  </si>
  <si>
    <t>Gross debt = ST bank loans 530.783 + bank overdraft 427.739 + LT bank loans 2,549.671 = 3,508.193 bn. Net debt = gross debt - cash 507.768. D&amp;A from CF reconciliation: Rp507.53bn total depreciation. Capex = fixed asset acquisitions 410.978 + immature plantation additions 57.880 = 468.859.</t>
  </si>
  <si>
    <t>Gross debt = bank overdraft 724.815 + current LT bank loan 705.892 + LT bank loan 1,828.371 = 3,259.078 bn. Net debt = gross debt - cash 475.802. Depreciation from CF note 518.456bn. Capex = fixed-asset 441.137 + immature plantation 37.801 = 478.938.</t>
  </si>
  <si>
    <t>Gross debt = bank overdraft 676.569 + ST bank loans 661.945 + LT bank loans 2,175.625 = 3,514.138 bn. Net debt = gross debt - cash 815.777 = 2,698.361. Depreciation 523.881bn from CF note.</t>
  </si>
  <si>
    <t>Gross debt = ST bank + current LT + LT bank (USD 133.89 mn) converted at USD/IDR 15,568 (end-2022).</t>
  </si>
  <si>
    <t>Gross debt = ST bank 93.886 + current LT 10.501 + LT bank 39.068 = USD143.455 mn; converted at USD/IDR 15,416 (end-2023 BI middle rate per statement note). P&amp;L items converted at 2023 avg rate USD/IDR 15,237.</t>
  </si>
  <si>
    <t>Gross debt = ST bank 70.540 + current LT 8.880 + LT bank 46.030 = USD125.450 mn; converted at USD/IDR 16,162 (end-2024 BI middle rate per statement note Rp16,162). P&amp;L items converted at 2024 avg rate USD/IDR 15,855.</t>
  </si>
  <si>
    <t>Gross debt = Current maturities of bank loans Rp9.18 bn + Long-term bank loans Rp219.35 bn = Rp228.53 bn. Net debt = 228.53 - 0.17 cash = Rp228.36 bn.</t>
  </si>
  <si>
    <t>Net debt = Short-term bank loans Rp65.1 bn - cash Rp28.6 bn = Rp36.5 bn (Company has no long-term bank debt). Debt-to-equity 0.28x, Debt-to-assets 0.19x. Current ratio 2.18x.</t>
  </si>
  <si>
    <t>Gearing ratio 13% (2022). Interest-bearing debt 356.74 bn - Cash 235.21 bn = Net debt ~121.5 bn. Debt/equity 77%, Debt/asset 44%.</t>
  </si>
  <si>
    <t>Gearing ratio 14% (2023) vs 13% (2022). Interest-bearing debt 466.63 bn - Cash 355.36 bn = Net debt ~111.3 bn. Debt/equity 81%, Debt/asset 45%.</t>
  </si>
  <si>
    <t>Gearing ratio 22% (2024) vs 14% (2023). Interest-bearing debt 391.65 bn - Cash 154.83 bn = Net debt ~236.8 bn. Debt/equity 88%, Debt/asset 47%.</t>
  </si>
  <si>
    <t>Gross debt = LT bank loans Rp6.56 bn (Rp1.75 bn current portion + Rp4.81 bn LT). Net debt = Rp6.56 bn - cash Rp1.05 bn = Rp5.51 bn. New loan drawn in 2023 (Rp7 bn receipt, Rp0.44 bn repayment). No interim/final dividend paid in 2023.</t>
  </si>
  <si>
    <t>Gross debt = ST bank loan Rp214.7 bn + LT bank loan Rp1,231.1 bn = Rp1,445.8 bn (Note 21); Cash Rp206.0 bn (Note 5). Net debt = Rp1,239.8 bn. Debt-to-equity ratio reported at 160% (2022).</t>
  </si>
  <si>
    <t>Gross debt = Current portion LT loan Rp88.1 bn + LT bank debt Rp1,835.85 bn = Rp1,923.96 bn (Note 22 - PT Bank Mandiri Rp1,721.5 bn + BPD Kalsel Rp206.7 bn; net of unamortized fees Rp4.24 bn). Cash Rp160.2 bn. Debt-to-equity 153%. New Rp500 bn investment credit signed Nov 2023.</t>
  </si>
  <si>
    <t>Gross debt = Current portion LT Rp64.5 bn + LT Rp1,790.1 bn = Rp1,854.6 bn (Note 21 - Bank Mandiri + BPD Kalsel). Cash Rp252.2 bn. Net debt Rp1,602 bn. Debt-to-equity 141%, Debt-to-asset 0.59. EBITDA/Revenue ratio 6.15 reported.</t>
  </si>
  <si>
    <t>Gross bank debt = Rp125 bn ST + Rp2,109.99 bn LT = Rp2,234.99 bn. Cash Rp1.98 bn. Plus related-party LT loan from SAI Rp950 bn. EBIT derived as Gross Profit 27 - Opex 57 = -Rp30 bn (operating loss).</t>
  </si>
  <si>
    <t>Gross bank debt = Rp125 bn ST + Rp1,838.76 bn LT (incl current portion Rp228.5 bn) = Rp1,963.76 bn. Cash Rp7.03 bn. Plus related-party LT loan from SAI Rp417 bn (post 22 Nov 2023 Rp1.25 tn debt-to-equity conversion).</t>
  </si>
  <si>
    <t>Gross bank debt = Rp85 bn ST + Rp910 bn LT (incl current portion Rp145 bn) = Rp995 bn; plus zero-interest related-party loan from SAI Rp1,158 bn LT. Cash Rp5.85 bn. Net debt (bank only) ~Rp989 bn.</t>
  </si>
  <si>
    <t>Zero bank debt (Funded Debt - per Financial Highlights). Net gearing -0.35x. Market cap Rp6.92tn at 31 Dec 2022.</t>
  </si>
  <si>
    <t>Zero bank debt (Funded Debt - per Financial Highlights). Net gearing -0.40x in 2023. Market cap Rp6.07tn at 31 Dec 2023.</t>
  </si>
  <si>
    <t>Zero bank debt (Funded Debt - in Financial Highlights). Net debt = -cash = -Rp5,454 bn. Reported Net Gearing ratio -0.43x in 2024. Market cap Rp6.65 trillion at 31 Dec 2024.</t>
  </si>
  <si>
    <t>Note: Cached file is Q1 2022 interim. Gross debt = ST bank loans 240.91 + finance lease current 9.90 + finance lease LT 107.89 = 358.70 bn</t>
  </si>
  <si>
    <t>Gross debt = ST bank loans 1,084.69 + LT bank loans current 145.46 + LT bank loans non-current 337.76 + MTN non-current 90.00 = Rp1,657.90 bn. Net debt = 1,657.90 - Cash 457.60 = Rp1,200.30 bn. DER 296.93%.</t>
  </si>
  <si>
    <t>Gross debt = ST bank loans 1,425.05 + LT bank loans current 88.55 + LT bank loans non-current 313.35 + MTN non-current 90.00 = Rp1,916.95 bn. Net debt = 1,916.95 - (Cash 421.27 + Restricted cash 305.87) = Rp1,189.81 bn. DER 414.37%.</t>
  </si>
  <si>
    <t>Gross debt = ST bank loans 1,357.81 + LT bank loans current portion 166.10 + LT bank loans non-current 696.08 + MTN current 90.00 = Rp2,310 bn. Net debt = 2,310 - (Cash 276.10 + Restricted cash 476.75) = Rp1,557 bn. DER 508.80%.</t>
  </si>
  <si>
    <t>Gross debt = ST bank loans 65 + current LT 80.59 + LT 207.07 = Rp352.67 bn. Net debt = 352.67 - 303.67 = Rp49.00 bn. Very low gearing post-IPO.</t>
  </si>
  <si>
    <t>Gross debt = ST bank loans 27.99 + current portion LT 63.07 + LT 571.78 = Rp662.84 bn. Net debt = 662.84 - 188.24 = Rp474.60 bn. Gearing (Liab/Equity) 127.86%.</t>
  </si>
  <si>
    <t>Gross debt = short-term bank loans 20.0 + current portion LT bank loans 68.93 + LT bank loans 709.79 = Rp798.72 bn. Net debt = 798.72 - 164.52 = Rp634.20 bn. Gearing ratio (Liab/Equity) 141.28%.</t>
  </si>
  <si>
    <t>Debt-to-Equity 381.7%; Debt-to-Assets 79.2%. Very leveraged pre-IPO.</t>
  </si>
  <si>
    <t>Debt-to-Equity 246.06%; Debt-to-Assets 71.10%; net debt excludes lease etc.</t>
  </si>
  <si>
    <t>Debt-to-Equity 173.08%, Debt-to-Assets 63.38%; long-term bank debt decreased 10% YoY; bank debt payments of Rp357,627 mn in 2024.</t>
  </si>
  <si>
    <t>Gross debt = ST bank 43.65 + current LT bank 1.75 + LT bank 5.69 = Rp51.09 bn (approx) per 2023 AR reconciliation. Net debt = 51.09 - 7.96 = Rp43.13 bn. Debt-to-equity ratio 0.91x.</t>
  </si>
  <si>
    <t>Gross debt = ST bank 73.95 + current LT bank 2.11 + LT bank 4.74 = Rp80.80 bn. Net debt = 80.80 - 7.91 = Rp72.89 bn. Excludes lease liabilities. Debt-to-equity ratio 1.37x.</t>
  </si>
  <si>
    <t>Gross debt = ST bank loans 82.12 + current portion LT bank 2.63 + LT bank 2.11 = Rp86.87 bn. Net debt = 86.87 - 9.77 = Rp77.10 bn. Excludes lease liabilities and consumer financing.</t>
  </si>
  <si>
    <t>Net debt = Bank loans (BRI) Rp692.08 bn (current Rp122.98 + LT Rp569.10, net of Rp5.52 bn unamortized cost) - Cash Rp35.90 bn = Rp656.18 bn.</t>
  </si>
  <si>
    <t>Net debt = Bank loans (BRI) Rp569.84 bn (net of unamortized arrangement cost Rp4.77 bn) - Cash Rp75.59 bn = Rp494.25 bn.</t>
  </si>
  <si>
    <t>Net debt = Bank loans (BRI) Rp488.72 bn (net of Rp3.97 bn unamortized arrangement cost) less Cash Rp14.23 bn = Rp474.49 bn. No other interest-bearing debt. Also Rp100.37 bn interest-bearing related-party payable to PT Araya Agro Lestari (LT) excluded from bank debt.</t>
  </si>
  <si>
    <t>Gross bank debt = ST bank loans 154.70 + current portion LT bank 90.83 + LT bank 439.09 = Rp684.62 bn. Cash Rp72.20 bn. Net bank debt ~Rp612.4 bn. Debt-to-equity 1.18.</t>
  </si>
  <si>
    <t>Gross bank debt = ST bank loans 99.10 + current portion LT bank 90.83 + LT bank 345.68 = Rp535.62 bn. Cash Rp28.71 bn. Net bank debt ~Rp506.9 bn. Debt-to-equity 0.87.</t>
  </si>
  <si>
    <t>Gross bank debt = ST bank loans 270.48 + current portion LT bank 110.83 + LT bank 208.42 = Rp589.74 bn. Net debt per AR p.92 = Total liabilities Rp797.87 bn - Cash Rp22.38 bn = Rp775.49 bn. DER 0.83.</t>
  </si>
  <si>
    <t>Gearing ratio 3.79% (Liab/Equity). Gross debt = bank loan current maturity Rp1.88 bn (fully repaid in 2024). Net debt = 1.88 - 74.98 = strongly negative (net cash Rp73.1 bn) after IPO.</t>
  </si>
  <si>
    <t>Gearing (Liab/Equity) 2.92%. Gross debt = lease liability Rp1.006 bn (2024 new vehicle lease); no bank debt at end-2024 (Rp1.88 bn bank loan fully repaid during year). Net debt = 1.01 - 64.21 = negative (net cash Rp63.2 bn).</t>
  </si>
  <si>
    <t>Gearing 69.2% (debt/equity) - reported. Gross debt = bonds (208+785=993) + sukuk (175+823=998) + bank loans (94+997=1091) = Rp3,082 bn. Net debt = 3,082 - 535 cash = Rp2,547 bn. Interest-bearing debt/total assets 35.3%. Note: DPS of Rp135 final (from 2021 profit) + Rp90 interim (from 2022 profit) = Rp225 paid in 2022.</t>
  </si>
  <si>
    <t>Gearing 58.0% (debt/equity) - reported. Gross debt = bonds (127+660=787) + sukuk (237+587=824) + bank loans (138+1089=1226) = Rp2,837 bn. Net debt = 2,837 - 536 cash = Rp2,301 bn. Interest-bearing debt/total assets 31.8%.</t>
  </si>
  <si>
    <t>Gearing 49.5% (debt/equity) - reported. Gross debt = bonds (166+495=661) + sukuk (200+388=588) + bank loans (208+1425=1633) = Rp2,882 bn. Net debt = 2,882 - 841 cash = Rp2,041 bn. Interest-bearing debt/total assets 28.7%.</t>
  </si>
  <si>
    <t>Funded Debt Rp9,871.38 bn = ST bank loans 5,870.00 + current portion LT bank loans 824.24 + LT bank loans 1,837.53 + lease 46.77+123.04 + shareholder loan 1,461.50 + others. Cash &amp; equivalents Rp4,296.67 bn. Gearing - Gross 0.47x; Gearing - Net 0.26x (FY22).</t>
  </si>
  <si>
    <t>Funded Debt Rp8,692.67 bn = ST bank loans 5,649.00 + current portion LT bank loans 1,294.25 + LT bank loans 852.81 + lease 41.06+89.48 + shareholder loan 1,071.47 + others. Cash &amp; equivalents Rp5,161.18 bn. Gearing - Gross 0.40x; Gearing - Net 0.16x (FY23).</t>
  </si>
  <si>
    <t>Funded Debt Rp8,400.39 bn = ST bank loans 5,843.94 + current portion LT bank loans 237.41 + LT bank loans 1,689.90 + lease 39.58+63.61 + shareholder loan 772.34. Cash &amp; equivalents Rp5,752.38 bn. Gearing - Gross 0.35x; Gearing - Net 0.11x (FY24).</t>
  </si>
  <si>
    <t>Net debt to EBITDA 0.02x (exceptionally low given record profits). Gross debt = ST bank 3,798 + LT bank current 2,478 + bonds current 1,546 + LT bank 4,289 + bonds LT 6,056 = Rp18,167 bn. Gearing (debt to equity) improved to 0.95x from 1.37x.</t>
  </si>
  <si>
    <t>Net debt to EBITDA 0.65x (2022: 0.02x). Gross debt = ST bank 2,923 + LT bank current 1,581 + bonds current 2,043 + LT bank 5,440 + bonds LT 4,022 = Rp16,008 bn. Gearing reported 0.84x (debt to equity).</t>
  </si>
  <si>
    <t>Net debt to EBITDA 0.59x per MD&amp;A (2023: 0.65x). Gross debt = ST bank 5,134 + LT bank current 1,108 + LT bank 8,930 + bonds current 1,876 + bonds LT 2,150 = Rp19,198 bn. Gearing (debt to equity) reported 0.97x.</t>
  </si>
  <si>
    <t>Gross debt = ST bank loan 2,437 + Current LT bank loan 898 + LT bank loan 4,767 = Rp8,102 bn (Rp633 bn bonds fully repaid in 2023). Net debt ≈ 8,102 - 1,237 cash = Rp6,865 bn. Interest-bearing debt to equity ratio 4.11x. FY2022 dividend Rp1,421.97 bn (Rp149.28/share) paid 8 Jun 2023, 77% payout. FY2023 profit NOT distributed as dividend (allocated to retained earnings).</t>
  </si>
  <si>
    <t>Interest-bearing debt to equity ratio 2.45x (2024) vs 4.11x (2023). Gross debt = Short-term bank loan 2,195 + Current LT bank loan 989 + LT bank loan 3,801 = Rp6,985 bn; Net debt ≈ 6,985 - 1,180 cash = Rp5,805 bn. No cash dividend paid for FY2023 (retained); FY2024 dividend not declared in this AR. Realized capex Rp19 bn (infrastructure 2 + land 12 + vehicles 4). No net_profit YoY proforma adj; pre-proforma also Rp845 bn.</t>
  </si>
  <si>
    <t>Gross debt = ST bank loan 1,698 + Current LT bank loan 991 + LT bank loan 5,450 = Rp8,139 bn. Net debt ≈ 8,139 - 874 cash = Rp7,265 bn. DER 361.88%. Capex from CF: Acquisitions of fixed assets Rp402 bn (2024: Rp230 bn). SML acquisition consumed Rp1,491 bn cash. FY2024 dividend paid in 2025 = Rp450 bn (Rp47.24/share). Syndicated bank loan facility obtained in 2025 for funding structure.</t>
  </si>
  <si>
    <t>Net interest-bearing debt/equity 0.010x in 2023. Gross debt = ST bank loans 75 + current LT bank 844.67 + LT bank 201.43 = Rp1,121 bn. Cash Rp1,007 bn, so net debt ~Rp114 bn. Low gearing.</t>
  </si>
  <si>
    <t>Net interest-bearing debt/equity -0.019x (net cash) in 2024. Gross debt = ST bank 620 + current LT 150 + LT bank 330 = Rp1,100 bn. Cash Rp1,309 bn. Net cash ~Rp209 bn.</t>
  </si>
  <si>
    <t>Net interest-bearing debt/equity -0.047x (net cash position) in 2025. Gross debt = ST bank 280 + current LT 53 + LT bank 766 = Rp1,099 bn. Cash Rp1,651 bn. Net cash ~Rp552 bn.</t>
  </si>
  <si>
    <t>Gross bank debt as of 31 Dec 2023: Rp963.64 bn long-term bank loan (Bank Mandiri). Bank debt-to-equity ratio 0.4x in 2023. Cash Rp583.3 bn.</t>
  </si>
  <si>
    <t>Bank debt-to-equity ratio 0.2x in 2024 (2023: 0.4x). Long-term bank loans to Bank Mandiri Rp520.02 bn at year-end. Cash Rp486.59 bn.</t>
  </si>
  <si>
    <t>Bank debt-to-equity ratio 0.23x (2024: 0.19x). 2025 features gain on bargain purchase of Rp172.48 bn from PT Cipta Davia Mandiri acquisition.</t>
  </si>
  <si>
    <t>Capital deficiency Rp(5,956.62) bn - negative equity. Liabilities/assets ratio 231.19% - liabilities more than 2x assets. Indicative Restructuring Term Sheet signed 13 Jan 2022 with Credit Suisse AG Singapore + other lenders (Obligor Group). Gross debt not explicitly stated; long-term liabilities Rp2,191 bn + bank loans in current Rp~3,700+ bn implied.</t>
  </si>
  <si>
    <t>Capital deficiency Rp(5,932.87) bn - negative equity. Gross debt (long-term loans incl current maturities) ~Rp4,492.56 bn (per 2024 AR comparison). Net debt ~4,493 - 123 = Rp4,370 bn. Liabilities/assets ratio 230.11% - liabilities more than 2x assets. Going-concern issues; no meaningful gearing ratio possible.</t>
  </si>
  <si>
    <t>Capital deficiency Rp(5,276.49) bn. Gross debt = long-term loans incl current maturities Rp4,666.92 bn (all current maturities under restructuring: Credit Suisse AG Singapore Rp3,371.95 bn + guaranteed equity-linked redeemable notes Rp1,284.22 bn). Liabilities-to-assets ratio 264.17% - liabilities far exceed assets; gearing metric not meaningful. Net debt ~ 4,667 - 134 = Rp4,533 bn. Going-concern qualification in Note 44.</t>
  </si>
  <si>
    <t>No interest-bearing bank debt disclosed. Only lease liability Rp 53.55 mn (LT) and Rp 0 ST. Net debt effectively negative (cash Rp 2.99 bn &gt; lease liability Rp 0.05 bn).</t>
  </si>
  <si>
    <t>No interest-bearing bank debt. Only small lease liability (Rp 21 mn LT). Cash Rp 9.07 bn + restricted cash Rp 0.61 bn. Net cash position.</t>
  </si>
  <si>
    <t>No bank debt. Only small lease liabilities (Rp 32.3 mn ST + Rp 62.7 mn LT = Rp 95 mn). Cash Rp 8.57 bn + restricted cash Rp 2.2 bn. Net cash position.</t>
  </si>
  <si>
    <t>Latest Report Year</t>
  </si>
  <si>
    <t>FFB Yield (t/ha)</t>
  </si>
  <si>
    <t>OER (%)</t>
  </si>
  <si>
    <t>EBITDA (IDR bn)</t>
  </si>
  <si>
    <t>Net Debt (IDR bn)</t>
  </si>
  <si>
    <t>Market Cap (IDR bn)</t>
  </si>
  <si>
    <t>EBITDA Margin (%)</t>
  </si>
  <si>
    <t>Net Debt / EBITDA (x)</t>
  </si>
  <si>
    <t>Revenue / ha (IDR bn/ha)</t>
  </si>
  <si>
    <t>CPO / Mature ha (t/ha)</t>
  </si>
  <si>
    <t>Scale Score (1-5)</t>
  </si>
  <si>
    <t>Asset Quality Score (1-5)</t>
  </si>
  <si>
    <t>Integration Score (1-5)</t>
  </si>
  <si>
    <t>Operational Efficiency Score (1-5)</t>
  </si>
  <si>
    <t>Profitability Score (1-5)</t>
  </si>
  <si>
    <t>Leverage Score (1-5)</t>
  </si>
  <si>
    <t>Liquidity Score (1-5)</t>
  </si>
  <si>
    <t>ESG &amp; Legality Score (1-5)</t>
  </si>
  <si>
    <t>Dealability Score (1-5)</t>
  </si>
  <si>
    <t>Total Score</t>
  </si>
  <si>
    <t>Why Now</t>
  </si>
  <si>
    <t>Portfolio Synergy</t>
  </si>
  <si>
    <t>Value-Up 100D</t>
  </si>
  <si>
    <t>Value-Up 12M</t>
  </si>
  <si>
    <t>Key Risks</t>
  </si>
  <si>
    <t>HGU Risk</t>
  </si>
  <si>
    <t>ESG Risk</t>
  </si>
  <si>
    <t>Community Risk</t>
  </si>
  <si>
    <t>Regulatory Risk</t>
  </si>
  <si>
    <t>Infrastructure Risk</t>
  </si>
  <si>
    <t>Financial Risk</t>
  </si>
  <si>
    <t>Negotiation Points</t>
  </si>
  <si>
    <t>Next Step</t>
  </si>
  <si>
    <t>Validation Status [auto from Validation_Summary]</t>
  </si>
  <si>
    <t>Scoring Criteria (1-5 scale, edit thresholds to recalibrate)</t>
  </si>
  <si>
    <t>Score Item</t>
  </si>
  <si>
    <t>Metric</t>
  </si>
  <si>
    <t>Direction</t>
  </si>
  <si>
    <t>5 (best)</t>
  </si>
  <si>
    <t>4</t>
  </si>
  <si>
    <t>3</t>
  </si>
  <si>
    <t>2</t>
  </si>
  <si>
    <t>1 (worst)</t>
  </si>
  <si>
    <t>Scale</t>
  </si>
  <si>
    <t>higher</t>
  </si>
  <si>
    <t>Asset Quality</t>
  </si>
  <si>
    <t>Mature / Planted ratio</t>
  </si>
  <si>
    <t>Integration</t>
  </si>
  <si>
    <t>Mills + Refineries (#)</t>
  </si>
  <si>
    <t>Operational Eff.</t>
  </si>
  <si>
    <t>Profitability</t>
  </si>
  <si>
    <t>Leverage</t>
  </si>
  <si>
    <t>lower</t>
  </si>
  <si>
    <t>Liquidity</t>
  </si>
  <si>
    <t>Current Ratio (x)</t>
  </si>
  <si>
    <t>ESG &amp; Legality</t>
  </si>
  <si>
    <t>Manual override (1-5)</t>
  </si>
  <si>
    <t>manual</t>
  </si>
  <si>
    <t>Dealability</t>
  </si>
  <si>
    <t>Notes</t>
  </si>
  <si>
    <t>• "higher" = larger value scores higher; thresholds in columns D-H are the floor to earn that score.</t>
  </si>
  <si>
    <t>• "lower" = smaller value scores higher; thresholds are the ceiling (≤) to earn that score.</t>
  </si>
  <si>
    <t>• "manual" = enter score (1-5) directly in Screening sheet AE/AF; no automatic calculation.</t>
  </si>
  <si>
    <t>• Edit blue cells (D4:H10) to recalibrate. All Screening scores will recalculate automatically.</t>
  </si>
  <si>
    <t>• Total Score = simple average of the 9 score columns (X~AF) on the Screening sheet.</t>
  </si>
  <si>
    <t>• Row mapping (DO NOT REORDER): row 4=Scale, 5=AssetQ, 6=Integ, 7=OpEff, 8=Profit, 9=Lev, 10=Liq.</t>
  </si>
  <si>
    <t>Per-Company Validation Summary</t>
  </si>
  <si>
    <t>Status: ✓ Pass | ⚠ Issue Detected | — Not Checked (no data)</t>
  </si>
  <si>
    <t>Row</t>
  </si>
  <si>
    <t>R1
면적합계</t>
  </si>
  <si>
    <t>R2
성숙도합계</t>
  </si>
  <si>
    <t>R3
OER범위</t>
  </si>
  <si>
    <t>R4
NetDebt부호</t>
  </si>
  <si>
    <t>R5
B/S균형</t>
  </si>
  <si>
    <t>R6
EBITDA≥EBIT</t>
  </si>
  <si>
    <t>R7
Rev=0/EBITDA&gt;0</t>
  </si>
  <si>
    <t>R8
LowConf</t>
  </si>
  <si>
    <t>R9
EBITDA정의</t>
  </si>
  <si>
    <t>R10
NetDebt정의</t>
  </si>
  <si>
    <t>R11
OER정의</t>
  </si>
  <si>
    <t>R12
Rev단위</t>
  </si>
  <si>
    <t>Issues</t>
  </si>
  <si>
    <t>Checks</t>
  </si>
  <si>
    <t>Overall Status</t>
  </si>
  <si>
    <t>How to read</t>
  </si>
  <si>
    <t>• ✓ = Rule was checked AND data passed validation</t>
  </si>
  <si>
    <t>• ⚠ = Rule was checked AND a problem was detected (see Validation_Flags sheet for details)</t>
  </si>
  <si>
    <t>• — = Rule could not be checked because required data is missing (e.g., downstream company has no plantation data for R1-R3)</t>
  </si>
  <si>
    <t>• Overall Status: "✓ All N checks passed" means the company has clean data for every applicable rule</t>
  </si>
  <si>
    <t>• Overall Status: "— No data to validate" means none of the rules had enough input data</t>
  </si>
  <si>
    <t>• Press F9 in Excel to refresh after changing data</t>
  </si>
  <si>
    <t>검증 필요 항목 — 최종 조정 후 남은 리뷰</t>
  </si>
  <si>
    <t>A</t>
  </si>
  <si>
    <t>MUST VERIFY — NLM이 정밀한 정의로 확인 불가 → 원 PDF에서 직접 검증 필요</t>
  </si>
  <si>
    <t>17건</t>
  </si>
  <si>
    <t>B</t>
  </si>
  <si>
    <t>SANITY CHECK — NLM 재쿼리 기준 xlsx 값이 업데이트됨 → 변경 사항 확인 권장</t>
  </si>
  <si>
    <t>78건</t>
  </si>
  <si>
    <t>C</t>
  </si>
  <si>
    <t>OPTIONAL — 방법론(capex/debt 정의) + USD 리포터 환율 시점 차이. 원 xlsx 유지</t>
  </si>
  <si>
    <t>145건</t>
  </si>
  <si>
    <t>구분</t>
  </si>
  <si>
    <t>Action</t>
  </si>
  <si>
    <t>Group</t>
  </si>
  <si>
    <t>현재 xlsx 값</t>
  </si>
  <si>
    <t>NLM 값</t>
  </si>
  <si>
    <t>Diff %</t>
  </si>
  <si>
    <t>비고</t>
  </si>
  <si>
    <t>MUST VERIFY</t>
  </si>
  <si>
    <t>Ops</t>
  </si>
  <si>
    <t>ffb_production_t</t>
  </si>
  <si>
    <t>—</t>
  </si>
  <si>
    <t>PDF 원문 확인 — NLM이 정밀 정의로 값 확정 불가</t>
  </si>
  <si>
    <t>Fin</t>
  </si>
  <si>
    <t>planted_area_total_ha</t>
  </si>
  <si>
    <t>oer_reported_pct</t>
  </si>
  <si>
    <t>avg_tree_age_years</t>
  </si>
  <si>
    <t>gross_profit</t>
  </si>
  <si>
    <t>mature_area_ha</t>
  </si>
  <si>
    <t>immature_area_ha</t>
  </si>
  <si>
    <t>SANITY CHECK</t>
  </si>
  <si>
    <t>23.9%</t>
  </si>
  <si>
    <t>NLM 재쿼리 값으로 업데이트 (원 xlsx: 4353645)</t>
  </si>
  <si>
    <t>19.6%</t>
  </si>
  <si>
    <t>NLM 재쿼리 값으로 업데이트 (원 xlsx: 3734458)</t>
  </si>
  <si>
    <t>21.3%</t>
  </si>
  <si>
    <t>NLM 재쿼리 값으로 업데이트 (원 xlsx: 3821559)</t>
  </si>
  <si>
    <t>net_profit</t>
  </si>
  <si>
    <t>62.8%</t>
  </si>
  <si>
    <t>NLM 재쿼리 값으로 업데이트 (원 xlsx: -358.68)</t>
  </si>
  <si>
    <t>profit_parent</t>
  </si>
  <si>
    <t>10.1%</t>
  </si>
  <si>
    <t>NLM 재쿼리 값으로 업데이트 (원 xlsx: 1084941)</t>
  </si>
  <si>
    <t>mills_count</t>
  </si>
  <si>
    <t>20.0%</t>
  </si>
  <si>
    <t>NLM 재쿼리 값으로 업데이트 (원 xlsx: 5)</t>
  </si>
  <si>
    <t>5.0%</t>
  </si>
  <si>
    <t>NLM 재쿼리 값으로 업데이트 (원 xlsx: 10264.87)</t>
  </si>
  <si>
    <t>mill_capacity_tph</t>
  </si>
  <si>
    <t>100.0%</t>
  </si>
  <si>
    <t>NLM 재쿼리 값으로 업데이트 (원 xlsx: 60)</t>
  </si>
  <si>
    <t>36.6%</t>
  </si>
  <si>
    <t>NLM 재쿼리 값으로 업데이트 (원 xlsx: 44027)</t>
  </si>
  <si>
    <t>nucleus_area_ha</t>
  </si>
  <si>
    <t>42.9%</t>
  </si>
  <si>
    <t>NLM 재쿼리 값으로 업데이트 (원 xlsx: 37515)</t>
  </si>
  <si>
    <t>36.5%</t>
  </si>
  <si>
    <t>NLM 재쿼리 값으로 업데이트 (원 xlsx: 43987)</t>
  </si>
  <si>
    <t>NLM 재쿼리 값으로 업데이트 (원 xlsx: 37475)</t>
  </si>
  <si>
    <t>17.1%</t>
  </si>
  <si>
    <t>NLM 재쿼리 값으로 업데이트 (원 xlsx: 1417000)</t>
  </si>
  <si>
    <t>14.5%</t>
  </si>
  <si>
    <t>NLM 재쿼리 값으로 업데이트 (원 xlsx: 1377000)</t>
  </si>
  <si>
    <t>17.6%</t>
  </si>
  <si>
    <t>NLM 재쿼리 값으로 업데이트 (원 xlsx: 103036)</t>
  </si>
  <si>
    <t>25.4%</t>
  </si>
  <si>
    <t>NLM 재쿼리 값으로 업데이트 (원 xlsx: 8331)</t>
  </si>
  <si>
    <t>12.8%</t>
  </si>
  <si>
    <t>NLM 재쿼리 값으로 업데이트 (원 xlsx: 1345000)</t>
  </si>
  <si>
    <t>25.0%</t>
  </si>
  <si>
    <t>NLM 재쿼리 값으로 업데이트 (원 xlsx: 4)</t>
  </si>
  <si>
    <t>99.9%</t>
  </si>
  <si>
    <t>NLM 재쿼리 값으로 업데이트 (원 xlsx: 694591)</t>
  </si>
  <si>
    <t>50.0%</t>
  </si>
  <si>
    <t>NLM 재쿼리 값으로 업데이트 (원 xlsx: 486707)</t>
  </si>
  <si>
    <t>NLM 재쿼리 값으로 업데이트 (원 xlsx: 30)</t>
  </si>
  <si>
    <t>kernel_production_t</t>
  </si>
  <si>
    <t>9.2%</t>
  </si>
  <si>
    <t>NLM 재쿼리 값으로 업데이트 (원 xlsx: 10211)</t>
  </si>
  <si>
    <t>15.7%</t>
  </si>
  <si>
    <t>NLM 재쿼리 값으로 업데이트 (원 xlsx: 3)</t>
  </si>
  <si>
    <t>16.7%</t>
  </si>
  <si>
    <t>NLM 재쿼리 값으로 업데이트 (원 xlsx: 20267)</t>
  </si>
  <si>
    <t>36.2%</t>
  </si>
  <si>
    <t>NLM 재쿼리 값으로 업데이트 (원 xlsx: 19417)</t>
  </si>
  <si>
    <t>33.0%</t>
  </si>
  <si>
    <t>15.3%</t>
  </si>
  <si>
    <t>16.9%</t>
  </si>
  <si>
    <t>NLM 재쿼리 값으로 업데이트 (원 xlsx: 22782)</t>
  </si>
  <si>
    <t>21.1%</t>
  </si>
  <si>
    <t>NLM 재쿼리 값으로 업데이트 (원 xlsx: 168142)</t>
  </si>
  <si>
    <t>29.4%</t>
  </si>
  <si>
    <t>NLM 재쿼리 값으로 업데이트 (원 xlsx: 117461)</t>
  </si>
  <si>
    <t>33.3%</t>
  </si>
  <si>
    <t>NLM 재쿼리 값으로 업데이트 (원 xlsx: 1862586)</t>
  </si>
  <si>
    <t>21.2%</t>
  </si>
  <si>
    <t>NLM 재쿼리 값으로 업데이트 (원 xlsx: 167637)</t>
  </si>
  <si>
    <t>30.2%</t>
  </si>
  <si>
    <t>NLM 재쿼리 값으로 업데이트 (원 xlsx: 117598)</t>
  </si>
  <si>
    <t>33.7%</t>
  </si>
  <si>
    <t>NLM 재쿼리 값으로 업데이트 (원 xlsx: 1900174)</t>
  </si>
  <si>
    <t>22.1%</t>
  </si>
  <si>
    <t>NLM 재쿼리 값으로 업데이트 (원 xlsx: 164721)</t>
  </si>
  <si>
    <t>30.8%</t>
  </si>
  <si>
    <t>NLM 재쿼리 값으로 업데이트 (원 xlsx: 118164)</t>
  </si>
  <si>
    <t>32.3%</t>
  </si>
  <si>
    <t>NLM 재쿼리 값으로 업데이트 (원 xlsx: 1726376)</t>
  </si>
  <si>
    <t>NLM 재쿼리 값으로 업데이트 (원 xlsx: 294488)</t>
  </si>
  <si>
    <t>12.3%</t>
  </si>
  <si>
    <t>NLM 재쿼리 값으로 업데이트 (원 xlsx: 248538)</t>
  </si>
  <si>
    <t>16.3%</t>
  </si>
  <si>
    <t>NLM 재쿼리 값으로 업데이트 (원 xlsx: 31894)</t>
  </si>
  <si>
    <t>24.8%</t>
  </si>
  <si>
    <t>NLM 재쿼리 값으로 업데이트 (원 xlsx: 3741000)</t>
  </si>
  <si>
    <t>NLM 재쿼리 값으로 업데이트 (원 xlsx: 293429)</t>
  </si>
  <si>
    <t>12.1%</t>
  </si>
  <si>
    <t>NLM 재쿼리 값으로 업데이트 (원 xlsx: 250978)</t>
  </si>
  <si>
    <t>18.1%</t>
  </si>
  <si>
    <t>NLM 재쿼리 값으로 업데이트 (원 xlsx: 29067)</t>
  </si>
  <si>
    <t>23.3%</t>
  </si>
  <si>
    <t>NLM 재쿼리 값으로 업데이트 (원 xlsx: 3632000)</t>
  </si>
  <si>
    <t>16.4%</t>
  </si>
  <si>
    <t>NLM 재쿼리 값으로 업데이트 (원 xlsx: 288649)</t>
  </si>
  <si>
    <t>11.7%</t>
  </si>
  <si>
    <t>NLM 재쿼리 값으로 업데이트 (원 xlsx: 249644)</t>
  </si>
  <si>
    <t>17.8%</t>
  </si>
  <si>
    <t>NLM 재쿼리 값으로 업데이트 (원 xlsx: 25422)</t>
  </si>
  <si>
    <t>24.3%</t>
  </si>
  <si>
    <t>NLM 재쿼리 값으로 업데이트 (원 xlsx: 3645000)</t>
  </si>
  <si>
    <t>NLM 재쿼리 값으로 업데이트 (원 xlsx: 2480000)</t>
  </si>
  <si>
    <t>NLM 재쿼리 값으로 업데이트 (원 xlsx: 2410000)</t>
  </si>
  <si>
    <t>22.3%</t>
  </si>
  <si>
    <t>NLM 재쿼리 값으로 업데이트 (원 xlsx: 2242000)</t>
  </si>
  <si>
    <t>28.8%</t>
  </si>
  <si>
    <t>NLM 재쿼리 값으로 업데이트 (원 xlsx: 115880)</t>
  </si>
  <si>
    <t>26.1%</t>
  </si>
  <si>
    <t>NLM 재쿼리 값으로 업데이트 (원 xlsx: 93534)</t>
  </si>
  <si>
    <t>plasma_area_ha</t>
  </si>
  <si>
    <t>40.8%</t>
  </si>
  <si>
    <t>NLM 재쿼리 값으로 업데이트 (원 xlsx: 22346)</t>
  </si>
  <si>
    <t>27.9%</t>
  </si>
  <si>
    <t>NLM 재쿼리 값으로 업데이트 (원 xlsx: 2388459)</t>
  </si>
  <si>
    <t>28.5%</t>
  </si>
  <si>
    <t>NLM 재쿼리 값으로 업데이트 (원 xlsx: 2185514)</t>
  </si>
  <si>
    <t>32.2%</t>
  </si>
  <si>
    <t>NLM 재쿼리 값으로 업데이트 (원 xlsx: 2403164)</t>
  </si>
  <si>
    <t>10.3%</t>
  </si>
  <si>
    <t>NLM 재쿼리 값으로 업데이트 (원 xlsx: 3399000)</t>
  </si>
  <si>
    <t>NLM 재쿼리 값으로 업데이트 (원 xlsx: 3276000)</t>
  </si>
  <si>
    <t>11.2%</t>
  </si>
  <si>
    <t>NLM 재쿼리 값으로 업데이트 (원 xlsx: 3425000)</t>
  </si>
  <si>
    <t>11.9%</t>
  </si>
  <si>
    <t>NLM 재쿼리 값으로 업데이트 (원 xlsx: 1213068)</t>
  </si>
  <si>
    <t>NLM 재쿼리 값으로 업데이트 (원 xlsx: 1219294)</t>
  </si>
  <si>
    <t>12.7%</t>
  </si>
  <si>
    <t>NLM 재쿼리 값으로 업데이트 (원 xlsx: 1271034)</t>
  </si>
  <si>
    <t>22.8%</t>
  </si>
  <si>
    <t>NLM 재쿼리 값으로 업데이트 (원 xlsx: 67591)</t>
  </si>
  <si>
    <t>24.9%</t>
  </si>
  <si>
    <t>NLM 재쿼리 값으로 업데이트 (원 xlsx: 61245)</t>
  </si>
  <si>
    <t>21.4%</t>
  </si>
  <si>
    <t>NLM 재쿼리 값으로 업데이트 (원 xlsx: 69713)</t>
  </si>
  <si>
    <t>7.3%</t>
  </si>
  <si>
    <t>NLM 재쿼리 값으로 업데이트 (원 xlsx: 0.22)</t>
  </si>
  <si>
    <t>8.9%</t>
  </si>
  <si>
    <t>NLM 재쿼리 값으로 업데이트 (원 xlsx: 0.72)</t>
  </si>
  <si>
    <t>25.7%</t>
  </si>
  <si>
    <t>NLM 재쿼리 값으로 업데이트 (원 xlsx: 8.57)</t>
  </si>
  <si>
    <t>OPTIONAL</t>
  </si>
  <si>
    <t>29.78</t>
  </si>
  <si>
    <t>134.42</t>
  </si>
  <si>
    <t>+351.4%</t>
  </si>
  <si>
    <t>방법론 차이(capex/debt 정의 등) — 업데이트 원하면 xlsx 수동 변경</t>
  </si>
  <si>
    <t>95</t>
  </si>
  <si>
    <t>136.03</t>
  </si>
  <si>
    <t>+43.2%</t>
  </si>
  <si>
    <t>0.2</t>
  </si>
  <si>
    <t>50.17</t>
  </si>
  <si>
    <t>+24985.0%</t>
  </si>
  <si>
    <t>22.56</t>
  </si>
  <si>
    <t>-22.56</t>
  </si>
  <si>
    <t>-200.0%</t>
  </si>
  <si>
    <t>2478.57</t>
  </si>
  <si>
    <t>2930.2</t>
  </si>
  <si>
    <t>+18.2%</t>
  </si>
  <si>
    <t>69.21</t>
  </si>
  <si>
    <t>47.72</t>
  </si>
  <si>
    <t>-31.1%</t>
  </si>
  <si>
    <t>138.15</t>
  </si>
  <si>
    <t>-138.15</t>
  </si>
  <si>
    <t>2413.69</t>
  </si>
  <si>
    <t>2543.33</t>
  </si>
  <si>
    <t>+5.4%</t>
  </si>
  <si>
    <t>2346</t>
  </si>
  <si>
    <t>3431.56</t>
  </si>
  <si>
    <t>+46.3%</t>
  </si>
  <si>
    <t>86.04</t>
  </si>
  <si>
    <t>119.72</t>
  </si>
  <si>
    <t>+39.1%</t>
  </si>
  <si>
    <t>3959.18</t>
  </si>
  <si>
    <t>4432.02</t>
  </si>
  <si>
    <t>+11.9%</t>
  </si>
  <si>
    <t>331.04</t>
  </si>
  <si>
    <t>182.21</t>
  </si>
  <si>
    <t>-45.0%</t>
  </si>
  <si>
    <t>4034.49</t>
  </si>
  <si>
    <t>4259.25</t>
  </si>
  <si>
    <t>+5.6%</t>
  </si>
  <si>
    <t>258.905</t>
  </si>
  <si>
    <t>276.56</t>
  </si>
  <si>
    <t>+6.8%</t>
  </si>
  <si>
    <t>1197.756</t>
  </si>
  <si>
    <t>1069.48</t>
  </si>
  <si>
    <t>-10.7%</t>
  </si>
  <si>
    <t>4926.946</t>
  </si>
  <si>
    <t>6181.39</t>
  </si>
  <si>
    <t>+25.5%</t>
  </si>
  <si>
    <t>1382.461</t>
  </si>
  <si>
    <t>1674.43</t>
  </si>
  <si>
    <t>+21.1%</t>
  </si>
  <si>
    <t>5075.615</t>
  </si>
  <si>
    <t>5402.37</t>
  </si>
  <si>
    <t>+6.4%</t>
  </si>
  <si>
    <t>1092.101</t>
  </si>
  <si>
    <t>1182.58</t>
  </si>
  <si>
    <t>+8.3%</t>
  </si>
  <si>
    <t>468.859</t>
  </si>
  <si>
    <t>552.26</t>
  </si>
  <si>
    <t>+17.8%</t>
  </si>
  <si>
    <t>478.938</t>
  </si>
  <si>
    <t>434.86</t>
  </si>
  <si>
    <t>-9.2%</t>
  </si>
  <si>
    <t>516.223</t>
  </si>
  <si>
    <t>487.78</t>
  </si>
  <si>
    <t>-5.5%</t>
  </si>
  <si>
    <t>134</t>
  </si>
  <si>
    <t>114.47</t>
  </si>
  <si>
    <t>-14.6%</t>
  </si>
  <si>
    <t>178.7</t>
  </si>
  <si>
    <t>202.1</t>
  </si>
  <si>
    <t>+13.1%</t>
  </si>
  <si>
    <t>93.2</t>
  </si>
  <si>
    <t>33.37</t>
  </si>
  <si>
    <t>-64.2%</t>
  </si>
  <si>
    <t>169.6</t>
  </si>
  <si>
    <t>130.75</t>
  </si>
  <si>
    <t>-22.9%</t>
  </si>
  <si>
    <t>7.55</t>
  </si>
  <si>
    <t>17.5</t>
  </si>
  <si>
    <t>+131.8%</t>
  </si>
  <si>
    <t>6.56</t>
  </si>
  <si>
    <t>8.55</t>
  </si>
  <si>
    <t>+30.3%</t>
  </si>
  <si>
    <t>275</t>
  </si>
  <si>
    <t>344.87</t>
  </si>
  <si>
    <t>+25.4%</t>
  </si>
  <si>
    <t>440</t>
  </si>
  <si>
    <t>290.92</t>
  </si>
  <si>
    <t>-33.9%</t>
  </si>
  <si>
    <t>15</t>
  </si>
  <si>
    <t>266.78</t>
  </si>
  <si>
    <t>+1678.5%</t>
  </si>
  <si>
    <t>54</t>
  </si>
  <si>
    <t>38.66</t>
  </si>
  <si>
    <t>-28.4%</t>
  </si>
  <si>
    <t>2235</t>
  </si>
  <si>
    <t>3642.17</t>
  </si>
  <si>
    <t>+63.0%</t>
  </si>
  <si>
    <t>81</t>
  </si>
  <si>
    <t>143.45</t>
  </si>
  <si>
    <t>+77.1%</t>
  </si>
  <si>
    <t>-73</t>
  </si>
  <si>
    <t>-303.85</t>
  </si>
  <si>
    <t>-316.2%</t>
  </si>
  <si>
    <t>1964</t>
  </si>
  <si>
    <t>3921.83</t>
  </si>
  <si>
    <t>+99.7%</t>
  </si>
  <si>
    <t>87</t>
  </si>
  <si>
    <t>119.24</t>
  </si>
  <si>
    <t>+37.1%</t>
  </si>
  <si>
    <t>51</t>
  </si>
  <si>
    <t>-193.73</t>
  </si>
  <si>
    <t>-479.9%</t>
  </si>
  <si>
    <t>0</t>
  </si>
  <si>
    <t>4.86</t>
  </si>
  <si>
    <t>+486000.0%</t>
  </si>
  <si>
    <t>1.62</t>
  </si>
  <si>
    <t>0.58</t>
  </si>
  <si>
    <t>-4.31</t>
  </si>
  <si>
    <t>-10.57</t>
  </si>
  <si>
    <t>-145.2%</t>
  </si>
  <si>
    <t>358.71</t>
  </si>
  <si>
    <t>240.91</t>
  </si>
  <si>
    <t>-32.8%</t>
  </si>
  <si>
    <t>100.54</t>
  </si>
  <si>
    <t>88.98</t>
  </si>
  <si>
    <t>-11.5%</t>
  </si>
  <si>
    <t>180.81</t>
  </si>
  <si>
    <t>124.96</t>
  </si>
  <si>
    <t>-30.9%</t>
  </si>
  <si>
    <t>115.15</t>
  </si>
  <si>
    <t>121.81</t>
  </si>
  <si>
    <t>+5.8%</t>
  </si>
  <si>
    <t>662.84</t>
  </si>
  <si>
    <t>565.84</t>
  </si>
  <si>
    <t>47</t>
  </si>
  <si>
    <t>31.97</t>
  </si>
  <si>
    <t>-32.0%</t>
  </si>
  <si>
    <t>75</t>
  </si>
  <si>
    <t>359.81</t>
  </si>
  <si>
    <t>+379.7%</t>
  </si>
  <si>
    <t>51.36</t>
  </si>
  <si>
    <t>75.19</t>
  </si>
  <si>
    <t>+46.4%</t>
  </si>
  <si>
    <t>80.8</t>
  </si>
  <si>
    <t>92.4</t>
  </si>
  <si>
    <t>+14.4%</t>
  </si>
  <si>
    <t>86.87</t>
  </si>
  <si>
    <t>93.9</t>
  </si>
  <si>
    <t>+8.1%</t>
  </si>
  <si>
    <t>77.07</t>
  </si>
  <si>
    <t>70.19</t>
  </si>
  <si>
    <t>-8.9%</t>
  </si>
  <si>
    <t>213.08</t>
  </si>
  <si>
    <t>75.59</t>
  </si>
  <si>
    <t>-64.5%</t>
  </si>
  <si>
    <t>692.08</t>
  </si>
  <si>
    <t>569.84</t>
  </si>
  <si>
    <t>-17.7%</t>
  </si>
  <si>
    <t>39.46</t>
  </si>
  <si>
    <t>238.23</t>
  </si>
  <si>
    <t>+503.7%</t>
  </si>
  <si>
    <t>65</t>
  </si>
  <si>
    <t>83.0</t>
  </si>
  <si>
    <t>+27.7%</t>
  </si>
  <si>
    <t>685</t>
  </si>
  <si>
    <t>597.55</t>
  </si>
  <si>
    <t>-12.8%</t>
  </si>
  <si>
    <t>third_party_ffb_t</t>
  </si>
  <si>
    <t>279009</t>
  </si>
  <si>
    <t>298686.0</t>
  </si>
  <si>
    <t>+7.1%</t>
  </si>
  <si>
    <t>227544</t>
  </si>
  <si>
    <t>258511.0</t>
  </si>
  <si>
    <t>+13.6%</t>
  </si>
  <si>
    <t>225533</t>
  </si>
  <si>
    <t>270083.0</t>
  </si>
  <si>
    <t>+19.8%</t>
  </si>
  <si>
    <t>10.45</t>
  </si>
  <si>
    <t>4.93</t>
  </si>
  <si>
    <t>-52.8%</t>
  </si>
  <si>
    <t>44.6</t>
  </si>
  <si>
    <t>33.13</t>
  </si>
  <si>
    <t>-25.7%</t>
  </si>
  <si>
    <t>1.01</t>
  </si>
  <si>
    <t>2.11</t>
  </si>
  <si>
    <t>+108.9%</t>
  </si>
  <si>
    <t>3082</t>
  </si>
  <si>
    <t>3619.24</t>
  </si>
  <si>
    <t>+17.4%</t>
  </si>
  <si>
    <t>2837</t>
  </si>
  <si>
    <t>3195.87</t>
  </si>
  <si>
    <t>+12.6%</t>
  </si>
  <si>
    <t>2882</t>
  </si>
  <si>
    <t>3076.55</t>
  </si>
  <si>
    <t>1264</t>
  </si>
  <si>
    <t>1048.75</t>
  </si>
  <si>
    <t>-17.0%</t>
  </si>
  <si>
    <t>6601</t>
  </si>
  <si>
    <t>7634.27</t>
  </si>
  <si>
    <t>+15.7%</t>
  </si>
  <si>
    <t>1847</t>
  </si>
  <si>
    <t>2082.32</t>
  </si>
  <si>
    <t>+12.7%</t>
  </si>
  <si>
    <t>103</t>
  </si>
  <si>
    <t>367</t>
  </si>
  <si>
    <t>+256.3%</t>
  </si>
  <si>
    <t>8102</t>
  </si>
  <si>
    <t>6180</t>
  </si>
  <si>
    <t>-23.7%</t>
  </si>
  <si>
    <t>571063</t>
  </si>
  <si>
    <t>665289</t>
  </si>
  <si>
    <t>+16.5%</t>
  </si>
  <si>
    <t>19</t>
  </si>
  <si>
    <t>120</t>
  </si>
  <si>
    <t>+531.6%</t>
  </si>
  <si>
    <t>488647</t>
  </si>
  <si>
    <t>623068</t>
  </si>
  <si>
    <t>+27.5%</t>
  </si>
  <si>
    <t>402</t>
  </si>
  <si>
    <t>642</t>
  </si>
  <si>
    <t>+59.7%</t>
  </si>
  <si>
    <t>8139</t>
  </si>
  <si>
    <t>6959</t>
  </si>
  <si>
    <t>-14.5%</t>
  </si>
  <si>
    <t>802</t>
  </si>
  <si>
    <t>859</t>
  </si>
  <si>
    <t>386</t>
  </si>
  <si>
    <t>434.11</t>
  </si>
  <si>
    <t>+12.5%</t>
  </si>
  <si>
    <t>964</t>
  </si>
  <si>
    <t>1575.8</t>
  </si>
  <si>
    <t>+63.5%</t>
  </si>
  <si>
    <t>520</t>
  </si>
  <si>
    <t>1492.71</t>
  </si>
  <si>
    <t>+187.1%</t>
  </si>
  <si>
    <t>596</t>
  </si>
  <si>
    <t>499.21</t>
  </si>
  <si>
    <t>-16.2%</t>
  </si>
  <si>
    <t>43</t>
  </si>
  <si>
    <t>-358.82</t>
  </si>
  <si>
    <t>-934.5%</t>
  </si>
  <si>
    <t>4493</t>
  </si>
  <si>
    <t>5763.15</t>
  </si>
  <si>
    <t>+28.3%</t>
  </si>
  <si>
    <t>209</t>
  </si>
  <si>
    <t>234.6</t>
  </si>
  <si>
    <t>+12.2%</t>
  </si>
  <si>
    <t>0.05</t>
  </si>
  <si>
    <t>+5000.0%</t>
  </si>
  <si>
    <t>0.19</t>
  </si>
  <si>
    <t>+19000.0%</t>
  </si>
  <si>
    <t>2.94</t>
  </si>
  <si>
    <t>1.06</t>
  </si>
  <si>
    <t>-63.9%</t>
  </si>
  <si>
    <t>9.63</t>
  </si>
  <si>
    <t>5.28</t>
  </si>
  <si>
    <t>-45.2%</t>
  </si>
  <si>
    <t>0.1</t>
  </si>
  <si>
    <t>+10000.0%</t>
  </si>
  <si>
    <t>2.33</t>
  </si>
  <si>
    <t>0.29</t>
  </si>
  <si>
    <t>-87.6%</t>
  </si>
  <si>
    <t>524</t>
  </si>
  <si>
    <t>563.84</t>
  </si>
  <si>
    <t>+7.6%</t>
  </si>
  <si>
    <t>USD 리포터 환율 시점(year-end vs avg) 차이 — 일반적으로 OK</t>
  </si>
  <si>
    <t>523</t>
  </si>
  <si>
    <t>644.72</t>
  </si>
  <si>
    <t>+23.3%</t>
  </si>
  <si>
    <t>42200</t>
  </si>
  <si>
    <t>46360</t>
  </si>
  <si>
    <t>+9.9%</t>
  </si>
  <si>
    <t>43700</t>
  </si>
  <si>
    <t>49409</t>
  </si>
  <si>
    <t>53698</t>
  </si>
  <si>
    <t>+8.7%</t>
  </si>
  <si>
    <t>5709</t>
  </si>
  <si>
    <t>4289</t>
  </si>
  <si>
    <t>-24.9%</t>
  </si>
  <si>
    <t>229</t>
  </si>
  <si>
    <t>294.63</t>
  </si>
  <si>
    <t>+28.7%</t>
  </si>
  <si>
    <t>57477</t>
  </si>
  <si>
    <t>52432</t>
  </si>
  <si>
    <t>-8.8%</t>
  </si>
  <si>
    <t>43400</t>
  </si>
  <si>
    <t>48347</t>
  </si>
  <si>
    <t>+11.4%</t>
  </si>
  <si>
    <t>48516</t>
  </si>
  <si>
    <t>+11.8%</t>
  </si>
  <si>
    <t>53521</t>
  </si>
  <si>
    <t>+10.3%</t>
  </si>
  <si>
    <t>452</t>
  </si>
  <si>
    <t>360.61</t>
  </si>
  <si>
    <t>-20.2%</t>
  </si>
  <si>
    <t>705</t>
  </si>
  <si>
    <t>592.17</t>
  </si>
  <si>
    <t>-16.0%</t>
  </si>
  <si>
    <t>389</t>
  </si>
  <si>
    <t>427.44</t>
  </si>
  <si>
    <t>51889</t>
  </si>
  <si>
    <t>47668</t>
  </si>
  <si>
    <t>-8.1%</t>
  </si>
  <si>
    <t>42176</t>
  </si>
  <si>
    <t>47145</t>
  </si>
  <si>
    <t>94.7</t>
  </si>
  <si>
    <t>0.96</t>
  </si>
  <si>
    <t>-99.0%</t>
  </si>
  <si>
    <t>811.1</t>
  </si>
  <si>
    <t>12.91</t>
  </si>
  <si>
    <t>-98.4%</t>
  </si>
  <si>
    <t>366.1</t>
  </si>
  <si>
    <t>5.79</t>
  </si>
  <si>
    <t>748</t>
  </si>
  <si>
    <t>11.82</t>
  </si>
  <si>
    <t>995</t>
  </si>
  <si>
    <t>15721967.52</t>
  </si>
  <si>
    <t>+1579997.2%</t>
  </si>
  <si>
    <t>2085</t>
  </si>
  <si>
    <t>33.19</t>
  </si>
  <si>
    <t>1243.4</t>
  </si>
  <si>
    <t>19.65</t>
  </si>
  <si>
    <t>486.4</t>
  </si>
  <si>
    <t>7.69</t>
  </si>
  <si>
    <t>478.8</t>
  </si>
  <si>
    <t>7.57</t>
  </si>
  <si>
    <t>revenue</t>
  </si>
  <si>
    <t>23242</t>
  </si>
  <si>
    <t>367.27</t>
  </si>
  <si>
    <t>total_assets</t>
  </si>
  <si>
    <t>7185.9</t>
  </si>
  <si>
    <t>114.38</t>
  </si>
  <si>
    <t>total_equity</t>
  </si>
  <si>
    <t>2605.8</t>
  </si>
  <si>
    <t>41.49</t>
  </si>
  <si>
    <t>total_liabilities</t>
  </si>
  <si>
    <t>4578.1</t>
  </si>
  <si>
    <t>72.89</t>
  </si>
  <si>
    <t>225</t>
  </si>
  <si>
    <t>4.38</t>
  </si>
  <si>
    <t>-98.1%</t>
  </si>
  <si>
    <t>977</t>
  </si>
  <si>
    <t>15.06</t>
  </si>
  <si>
    <t>-98.5%</t>
  </si>
  <si>
    <t>586</t>
  </si>
  <si>
    <t>9.14</t>
  </si>
  <si>
    <t>656</t>
  </si>
  <si>
    <t>10.23</t>
  </si>
  <si>
    <t>762</t>
  </si>
  <si>
    <t>11882652.8</t>
  </si>
  <si>
    <t>+1559303.3%</t>
  </si>
  <si>
    <t>2212</t>
  </si>
  <si>
    <t>26.05</t>
  </si>
  <si>
    <t>-98.8%</t>
  </si>
  <si>
    <t>1083</t>
  </si>
  <si>
    <t>16.89</t>
  </si>
  <si>
    <t>377</t>
  </si>
  <si>
    <t>5.88</t>
  </si>
  <si>
    <t>368</t>
  </si>
  <si>
    <t>5.75</t>
  </si>
  <si>
    <t>21349</t>
  </si>
  <si>
    <t>332.96</t>
  </si>
  <si>
    <t>7567</t>
  </si>
  <si>
    <t>116.65</t>
  </si>
  <si>
    <t>2755</t>
  </si>
  <si>
    <t>42.46</t>
  </si>
  <si>
    <t>4813</t>
  </si>
  <si>
    <t>74.19</t>
  </si>
  <si>
    <t>171</t>
  </si>
  <si>
    <t>3.04</t>
  </si>
  <si>
    <t>-98.2%</t>
  </si>
  <si>
    <t>1235</t>
  </si>
  <si>
    <t>19.96</t>
  </si>
  <si>
    <t>830</t>
  </si>
  <si>
    <t>13.68</t>
  </si>
  <si>
    <t>6.04</t>
  </si>
  <si>
    <t>285</t>
  </si>
  <si>
    <t>4749203.7</t>
  </si>
  <si>
    <t>+1666287.3%</t>
  </si>
  <si>
    <t>2027</t>
  </si>
  <si>
    <t>30.52</t>
  </si>
  <si>
    <t>845</t>
  </si>
  <si>
    <t>13.92</t>
  </si>
  <si>
    <t>152</t>
  </si>
  <si>
    <t>2.51</t>
  </si>
  <si>
    <t>138</t>
  </si>
  <si>
    <t>2.28</t>
  </si>
  <si>
    <t>-98.3%</t>
  </si>
  <si>
    <t>20495</t>
  </si>
  <si>
    <t>337.65</t>
  </si>
  <si>
    <t>8439</t>
  </si>
  <si>
    <t>136.39</t>
  </si>
  <si>
    <t>2828</t>
  </si>
  <si>
    <t>45.7</t>
  </si>
  <si>
    <t>5611</t>
  </si>
  <si>
    <t>90.69</t>
  </si>
  <si>
    <t>Company</t>
    <phoneticPr fontId="24" type="noConversion"/>
  </si>
  <si>
    <t>Ticker</t>
    <phoneticPr fontId="24" type="noConversion"/>
  </si>
  <si>
    <t>HQ</t>
    <phoneticPr fontId="24" type="noConversion"/>
  </si>
  <si>
    <t>Core Region</t>
    <phoneticPr fontId="24" type="noConversion"/>
  </si>
  <si>
    <t>Group Structure Note</t>
    <phoneticPr fontId="24" type="noConversion"/>
  </si>
  <si>
    <t>Primary Business</t>
    <phoneticPr fontId="24" type="noConversion"/>
  </si>
  <si>
    <t>Business Model [Upstream/Integrated/Downstream]</t>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</si>
</sst>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Red]\(#,##0\);\-"/>
    <numFmt numFmtId="177" formatCode="0.0%"/>
    <numFmt numFmtId="178" formatCode="#,##0.0;[Red]\(#,##0.0\);\-"/>
    <numFmt numFmtId="179" formatCode="0.0%;[Red]\(0.0%\);\-"/>
    <numFmt numFmtId="180" formatCode="#,##0.0;\(#,##0.0\);\-"/>
    <numFmt numFmtId="181" formatCode="0.0000"/>
  </numFmts>
  <fonts count="32" x14ac:knownFonts="1">
    <font>
      <sz val="11"/>
      <color theme="1"/>
      <name val="Calibri"/>
      <family val="2"/>
      <charset val="1"/>
    </font>
    <font>
      <b/>
      <sz val="16"/>
      <color rgb="FF305496"/>
      <name val="Calibri"/>
      <charset val="1"/>
    </font>
    <font>
      <i/>
      <sz val="11"/>
      <color rgb="FF595959"/>
      <name val="Calibri"/>
      <charset val="1"/>
    </font>
    <font>
      <sz val="11"/>
      <name val="Cambria"/>
      <charset val="1"/>
    </font>
    <font>
      <b/>
      <sz val="12"/>
      <color rgb="FFFFFFFF"/>
      <name val="Calibri"/>
      <charset val="1"/>
    </font>
    <font>
      <b/>
      <sz val="10"/>
      <name val="Calibri"/>
      <charset val="1"/>
    </font>
    <font>
      <sz val="10"/>
      <name val="Calibri"/>
      <charset val="1"/>
    </font>
    <font>
      <b/>
      <sz val="10"/>
      <color rgb="FFFFFFFF"/>
      <name val="Calibri"/>
      <charset val="1"/>
    </font>
    <font>
      <sz val="10"/>
      <color rgb="FF0000FF"/>
      <name val="Calibri"/>
      <charset val="1"/>
    </font>
    <font>
      <sz val="10"/>
      <color rgb="FF000000"/>
      <name val="Calibri"/>
      <charset val="1"/>
    </font>
    <font>
      <sz val="10"/>
      <color rgb="FF008000"/>
      <name val="Calibri"/>
      <charset val="1"/>
    </font>
    <font>
      <b/>
      <sz val="12"/>
      <color rgb="FF305496"/>
      <name val="Calibri"/>
      <charset val="1"/>
    </font>
    <font>
      <b/>
      <sz val="11"/>
      <color rgb="FF305496"/>
      <name val="Calibri"/>
    </font>
    <font>
      <i/>
      <sz val="10"/>
      <color rgb="FF595959"/>
      <name val="Calibri"/>
    </font>
    <font>
      <b/>
      <sz val="10"/>
      <color rgb="FFFFFFFF"/>
      <name val="Calibri"/>
    </font>
    <font>
      <sz val="10"/>
      <color rgb="FF0000FF"/>
      <name val="Calibri"/>
    </font>
    <font>
      <sz val="10"/>
      <color rgb="FF000000"/>
      <name val="Calibri"/>
    </font>
    <font>
      <b/>
      <sz val="12"/>
      <color rgb="FFFFFFFF"/>
      <name val="Calibri"/>
    </font>
    <font>
      <b/>
      <sz val="10"/>
      <name val="Calibri"/>
    </font>
    <font>
      <sz val="10"/>
      <name val="Calibri"/>
    </font>
    <font>
      <b/>
      <sz val="14"/>
      <color rgb="FF305496"/>
      <name val="Calibri"/>
    </font>
    <font>
      <i/>
      <sz val="10"/>
      <color rgb="FF595959"/>
      <name val="Calibri"/>
    </font>
    <font>
      <sz val="9"/>
      <color rgb="FF808080"/>
      <name val="Calibri"/>
    </font>
    <font>
      <b/>
      <sz val="11"/>
      <name val="Calibri"/>
    </font>
    <font>
      <sz val="8"/>
      <name val="돋움"/>
      <family val="3"/>
      <charset val="129"/>
    </font>
    <font>
      <b/>
      <sz val="14"/>
      <color rgb="FFFFFFFF"/>
      <name val="Calibri"/>
    </font>
    <font>
      <b/>
      <sz val="13"/>
      <name val="Calibri"/>
    </font>
    <font>
      <sz val="10"/>
      <name val="Calibri"/>
    </font>
    <font>
      <b/>
      <sz val="11"/>
      <color rgb="FFC00000"/>
      <name val="Calibri"/>
    </font>
    <font>
      <b/>
      <sz val="11"/>
      <color rgb="FFFFFFFF"/>
      <name val="Calibri"/>
    </font>
    <font>
      <b/>
      <sz val="11"/>
      <name val="Calibri"/>
    </font>
    <font>
      <b/>
      <sz val="10"/>
      <color rgb="FFFFFFFF"/>
      <name val="Calibri"/>
      <family val="2"/>
    </font>
  </fonts>
  <fills count="14">
    <fill>
      <patternFill patternType="none"/>
    </fill>
    <fill>
      <patternFill patternType="gray125"/>
    </fill>
    <fill>
      <patternFill patternType="solid">
        <fgColor rgb="FF305496"/>
        <bgColor rgb="FF595959"/>
      </patternFill>
    </fill>
    <fill>
      <patternFill patternType="solid">
        <fgColor rgb="FFFFFFFF"/>
        <bgColor rgb="FFEAF2FF"/>
      </patternFill>
    </fill>
    <fill>
      <patternFill patternType="solid">
        <fgColor rgb="FFEAF2FF"/>
        <bgColor rgb="FFE2F0D9"/>
      </patternFill>
    </fill>
    <fill>
      <patternFill patternType="solid">
        <fgColor rgb="FFFFF2CC"/>
        <bgColor rgb="FFFDE9E7"/>
      </patternFill>
    </fill>
    <fill>
      <patternFill patternType="solid">
        <fgColor rgb="FF305496"/>
      </patternFill>
    </fill>
    <fill>
      <patternFill patternType="solid">
        <fgColor rgb="FFE2EFDA"/>
      </patternFill>
    </fill>
    <fill>
      <patternFill patternType="solid">
        <fgColor rgb="FFFFF2CC"/>
      </patternFill>
    </fill>
    <fill>
      <patternFill patternType="solid">
        <fgColor rgb="FF1F4E78"/>
      </patternFill>
    </fill>
    <fill>
      <patternFill patternType="solid">
        <fgColor rgb="FFF4B084"/>
      </patternFill>
    </fill>
    <fill>
      <patternFill patternType="solid">
        <fgColor rgb="FFFFE699"/>
      </patternFill>
    </fill>
    <fill>
      <patternFill patternType="solid">
        <fgColor rgb="FFD9E1F2"/>
      </patternFill>
    </fill>
    <fill>
      <patternFill patternType="solid">
        <fgColor rgb="FFE7E6E6"/>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86">
    <xf numFmtId="0" fontId="0" fillId="0" borderId="0" xfId="0"/>
    <xf numFmtId="0" fontId="3" fillId="0" borderId="0" xfId="0" applyFont="1"/>
    <xf numFmtId="0" fontId="3" fillId="0" borderId="0" xfId="0" applyFont="1" applyAlignment="1">
      <alignment wrapText="1"/>
    </xf>
    <xf numFmtId="0" fontId="5" fillId="0" borderId="0" xfId="0" applyFont="1" applyAlignment="1">
      <alignment vertical="top"/>
    </xf>
    <xf numFmtId="0" fontId="5" fillId="0" borderId="0" xfId="0" applyFont="1"/>
    <xf numFmtId="0" fontId="7" fillId="2" borderId="1" xfId="0" applyFont="1" applyFill="1" applyBorder="1" applyAlignment="1">
      <alignment horizontal="center" vertical="center" wrapText="1"/>
    </xf>
    <xf numFmtId="0" fontId="8" fillId="0" borderId="2" xfId="0" applyFont="1" applyBorder="1" applyAlignment="1">
      <alignment vertical="top" wrapText="1"/>
    </xf>
    <xf numFmtId="0" fontId="8" fillId="0" borderId="0" xfId="0" applyFont="1" applyAlignment="1">
      <alignment vertical="top" wrapText="1"/>
    </xf>
    <xf numFmtId="0" fontId="8" fillId="0" borderId="2" xfId="0" applyFont="1" applyBorder="1" applyAlignment="1">
      <alignment vertical="center"/>
    </xf>
    <xf numFmtId="176" fontId="8" fillId="0" borderId="2" xfId="0" applyNumberFormat="1" applyFont="1" applyBorder="1" applyAlignment="1">
      <alignment vertical="center"/>
    </xf>
    <xf numFmtId="177" fontId="9" fillId="0" borderId="2" xfId="0" applyNumberFormat="1" applyFont="1" applyBorder="1" applyAlignment="1">
      <alignment vertical="center"/>
    </xf>
    <xf numFmtId="2" fontId="9" fillId="0" borderId="2" xfId="0" applyNumberFormat="1" applyFont="1" applyBorder="1" applyAlignment="1">
      <alignment vertical="center"/>
    </xf>
    <xf numFmtId="178" fontId="8" fillId="0" borderId="2" xfId="0" applyNumberFormat="1" applyFont="1" applyBorder="1" applyAlignment="1">
      <alignment vertical="center"/>
    </xf>
    <xf numFmtId="179" fontId="8" fillId="0" borderId="2" xfId="0" applyNumberFormat="1" applyFont="1" applyBorder="1" applyAlignment="1">
      <alignment vertical="center"/>
    </xf>
    <xf numFmtId="176" fontId="8" fillId="0" borderId="2" xfId="0" applyNumberFormat="1" applyFont="1" applyBorder="1" applyAlignment="1">
      <alignment vertical="top" wrapText="1"/>
    </xf>
    <xf numFmtId="180" fontId="8" fillId="0" borderId="2" xfId="0" applyNumberFormat="1" applyFont="1" applyBorder="1" applyAlignment="1">
      <alignment vertical="top" wrapText="1"/>
    </xf>
    <xf numFmtId="180" fontId="9" fillId="0" borderId="2" xfId="0" applyNumberFormat="1" applyFont="1" applyBorder="1" applyAlignment="1">
      <alignment vertical="top" wrapText="1"/>
    </xf>
    <xf numFmtId="2" fontId="9" fillId="0" borderId="2" xfId="0" applyNumberFormat="1" applyFont="1" applyBorder="1" applyAlignment="1">
      <alignment vertical="top" wrapText="1"/>
    </xf>
    <xf numFmtId="177" fontId="9" fillId="0" borderId="2" xfId="0" applyNumberFormat="1" applyFont="1" applyBorder="1" applyAlignment="1">
      <alignment vertical="top" wrapText="1"/>
    </xf>
    <xf numFmtId="0" fontId="10" fillId="3" borderId="2" xfId="0" applyFont="1" applyFill="1" applyBorder="1" applyAlignment="1">
      <alignment vertical="top" wrapText="1"/>
    </xf>
    <xf numFmtId="176" fontId="10" fillId="3" borderId="2" xfId="0" applyNumberFormat="1" applyFont="1" applyFill="1" applyBorder="1" applyAlignment="1">
      <alignment vertical="top" wrapText="1"/>
    </xf>
    <xf numFmtId="179" fontId="10" fillId="3" borderId="2" xfId="0" applyNumberFormat="1" applyFont="1" applyFill="1" applyBorder="1" applyAlignment="1">
      <alignment vertical="top" wrapText="1"/>
    </xf>
    <xf numFmtId="178" fontId="10" fillId="3" borderId="2" xfId="0" applyNumberFormat="1" applyFont="1" applyFill="1" applyBorder="1" applyAlignment="1">
      <alignment vertical="top" wrapText="1"/>
    </xf>
    <xf numFmtId="177" fontId="9" fillId="3" borderId="2" xfId="0" applyNumberFormat="1" applyFont="1" applyFill="1" applyBorder="1" applyAlignment="1">
      <alignment vertical="top" wrapText="1"/>
    </xf>
    <xf numFmtId="2" fontId="9" fillId="3" borderId="2" xfId="0" applyNumberFormat="1" applyFont="1" applyFill="1" applyBorder="1" applyAlignment="1">
      <alignment vertical="top" wrapText="1"/>
    </xf>
    <xf numFmtId="181" fontId="9" fillId="3" borderId="2" xfId="0" applyNumberFormat="1" applyFont="1" applyFill="1" applyBorder="1" applyAlignment="1">
      <alignment vertical="top" wrapText="1"/>
    </xf>
    <xf numFmtId="1" fontId="9" fillId="4" borderId="2" xfId="0" applyNumberFormat="1" applyFont="1" applyFill="1" applyBorder="1" applyAlignment="1">
      <alignment horizontal="center"/>
    </xf>
    <xf numFmtId="1" fontId="8" fillId="4" borderId="2" xfId="0" applyNumberFormat="1" applyFont="1" applyFill="1" applyBorder="1" applyAlignment="1">
      <alignment horizontal="center"/>
    </xf>
    <xf numFmtId="2" fontId="9" fillId="5" borderId="2" xfId="0" applyNumberFormat="1" applyFont="1" applyFill="1" applyBorder="1" applyAlignment="1">
      <alignment horizontal="center"/>
    </xf>
    <xf numFmtId="0" fontId="8" fillId="4" borderId="2" xfId="0" applyFont="1" applyFill="1" applyBorder="1" applyAlignment="1">
      <alignment vertical="top" wrapText="1"/>
    </xf>
    <xf numFmtId="0" fontId="7" fillId="2" borderId="1" xfId="0" applyFont="1" applyFill="1" applyBorder="1" applyAlignment="1">
      <alignment horizontal="center" vertical="center"/>
    </xf>
    <xf numFmtId="0" fontId="9" fillId="0" borderId="1" xfId="0" applyFont="1" applyBorder="1" applyAlignment="1">
      <alignment horizontal="center" vertical="center"/>
    </xf>
    <xf numFmtId="4" fontId="8"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8" fillId="0" borderId="1" xfId="0" applyFont="1" applyBorder="1" applyAlignment="1">
      <alignment horizontal="center" vertical="center"/>
    </xf>
    <xf numFmtId="0" fontId="12" fillId="0" borderId="0" xfId="0" applyFont="1"/>
    <xf numFmtId="0" fontId="13" fillId="0" borderId="0" xfId="0" applyFont="1"/>
    <xf numFmtId="0" fontId="14" fillId="6" borderId="3" xfId="0" applyFont="1" applyFill="1" applyBorder="1" applyAlignment="1">
      <alignment horizontal="center" vertical="center" wrapText="1"/>
    </xf>
    <xf numFmtId="177" fontId="16" fillId="7" borderId="0" xfId="0" applyNumberFormat="1" applyFont="1" applyFill="1" applyAlignment="1">
      <alignment vertical="center"/>
    </xf>
    <xf numFmtId="177" fontId="15" fillId="7" borderId="0" xfId="0" applyNumberFormat="1" applyFont="1" applyFill="1" applyAlignment="1">
      <alignment vertical="center"/>
    </xf>
    <xf numFmtId="49" fontId="15" fillId="7" borderId="0" xfId="0" applyNumberFormat="1" applyFont="1" applyFill="1" applyAlignment="1">
      <alignment vertical="center" wrapText="1"/>
    </xf>
    <xf numFmtId="180" fontId="15" fillId="7" borderId="0" xfId="0" applyNumberFormat="1" applyFont="1" applyFill="1" applyAlignment="1">
      <alignment vertical="center"/>
    </xf>
    <xf numFmtId="180" fontId="16" fillId="7" borderId="0" xfId="0" applyNumberFormat="1" applyFont="1" applyFill="1" applyAlignment="1">
      <alignment vertical="center"/>
    </xf>
    <xf numFmtId="0" fontId="18" fillId="0" borderId="0" xfId="0" applyFont="1"/>
    <xf numFmtId="0" fontId="15" fillId="7" borderId="0" xfId="0" applyFont="1" applyFill="1" applyAlignment="1">
      <alignment horizontal="center" vertical="center"/>
    </xf>
    <xf numFmtId="0" fontId="15" fillId="7" borderId="0" xfId="0" applyFont="1" applyFill="1" applyAlignment="1">
      <alignment vertical="top" wrapText="1"/>
    </xf>
    <xf numFmtId="0" fontId="23" fillId="8" borderId="3" xfId="0" applyFont="1" applyFill="1" applyBorder="1" applyAlignment="1">
      <alignment horizontal="left" vertical="center"/>
    </xf>
    <xf numFmtId="0" fontId="22" fillId="0" borderId="0" xfId="0" applyFont="1" applyAlignment="1">
      <alignment horizontal="center"/>
    </xf>
    <xf numFmtId="0" fontId="16" fillId="0" borderId="0" xfId="0" applyFont="1" applyAlignment="1">
      <alignment vertical="center"/>
    </xf>
    <xf numFmtId="0" fontId="16" fillId="0" borderId="3" xfId="0" applyFont="1" applyBorder="1" applyAlignment="1">
      <alignment horizontal="center" vertical="center"/>
    </xf>
    <xf numFmtId="0" fontId="16" fillId="0" borderId="0" xfId="0" applyFont="1" applyAlignment="1">
      <alignment horizontal="center" vertical="center"/>
    </xf>
    <xf numFmtId="0" fontId="26" fillId="10" borderId="4" xfId="0" applyFont="1" applyFill="1" applyBorder="1" applyAlignment="1">
      <alignment vertical="center" wrapText="1"/>
    </xf>
    <xf numFmtId="0" fontId="28" fillId="10" borderId="4" xfId="0" applyFont="1" applyFill="1" applyBorder="1" applyAlignment="1">
      <alignment vertical="center" wrapText="1"/>
    </xf>
    <xf numFmtId="0" fontId="26" fillId="11" borderId="4" xfId="0" applyFont="1" applyFill="1" applyBorder="1" applyAlignment="1">
      <alignment vertical="center" wrapText="1"/>
    </xf>
    <xf numFmtId="0" fontId="28" fillId="11" borderId="4" xfId="0" applyFont="1" applyFill="1" applyBorder="1" applyAlignment="1">
      <alignment vertical="center" wrapText="1"/>
    </xf>
    <xf numFmtId="0" fontId="26" fillId="12" borderId="4" xfId="0" applyFont="1" applyFill="1" applyBorder="1" applyAlignment="1">
      <alignment vertical="center" wrapText="1"/>
    </xf>
    <xf numFmtId="0" fontId="28" fillId="12" borderId="4" xfId="0" applyFont="1" applyFill="1" applyBorder="1" applyAlignment="1">
      <alignment vertical="center" wrapText="1"/>
    </xf>
    <xf numFmtId="0" fontId="29" fillId="9" borderId="4" xfId="0" applyFont="1" applyFill="1" applyBorder="1" applyAlignment="1">
      <alignment horizontal="center" vertical="center" wrapText="1"/>
    </xf>
    <xf numFmtId="0" fontId="30" fillId="10" borderId="4" xfId="0" applyFont="1" applyFill="1" applyBorder="1" applyAlignment="1">
      <alignment vertical="top" wrapText="1"/>
    </xf>
    <xf numFmtId="0" fontId="0" fillId="10" borderId="4" xfId="0" applyFill="1" applyBorder="1" applyAlignment="1">
      <alignment vertical="top" wrapText="1"/>
    </xf>
    <xf numFmtId="0" fontId="30" fillId="11" borderId="4" xfId="0" applyFont="1" applyFill="1" applyBorder="1" applyAlignment="1">
      <alignment vertical="top" wrapText="1"/>
    </xf>
    <xf numFmtId="0" fontId="0" fillId="11" borderId="4" xfId="0" applyFill="1" applyBorder="1" applyAlignment="1">
      <alignment vertical="top" wrapText="1"/>
    </xf>
    <xf numFmtId="0" fontId="30" fillId="12" borderId="4" xfId="0" applyFont="1" applyFill="1" applyBorder="1" applyAlignment="1">
      <alignment vertical="top" wrapText="1"/>
    </xf>
    <xf numFmtId="0" fontId="0" fillId="12" borderId="4" xfId="0" applyFill="1" applyBorder="1" applyAlignment="1">
      <alignment vertical="top" wrapText="1"/>
    </xf>
    <xf numFmtId="0" fontId="30" fillId="13" borderId="4" xfId="0" applyFont="1" applyFill="1" applyBorder="1" applyAlignment="1">
      <alignment vertical="top" wrapText="1"/>
    </xf>
    <xf numFmtId="0" fontId="0" fillId="13" borderId="4" xfId="0" applyFill="1" applyBorder="1" applyAlignment="1">
      <alignment vertical="top" wrapText="1"/>
    </xf>
    <xf numFmtId="0" fontId="1" fillId="0" borderId="0" xfId="0" applyFont="1" applyAlignment="1">
      <alignment horizontal="left"/>
    </xf>
    <xf numFmtId="0" fontId="0" fillId="0" borderId="0" xfId="0"/>
    <xf numFmtId="0" fontId="6" fillId="0" borderId="0" xfId="0" applyFont="1" applyAlignment="1">
      <alignment vertical="top" wrapText="1"/>
    </xf>
    <xf numFmtId="0" fontId="6" fillId="0" borderId="0" xfId="0" applyFont="1"/>
    <xf numFmtId="0" fontId="19" fillId="0" borderId="0" xfId="0" applyFont="1"/>
    <xf numFmtId="0" fontId="4" fillId="2" borderId="0" xfId="0" applyFont="1" applyFill="1"/>
    <xf numFmtId="0" fontId="17" fillId="6" borderId="0" xfId="0" applyFont="1" applyFill="1"/>
    <xf numFmtId="0" fontId="2" fillId="0" borderId="0" xfId="0" applyFont="1"/>
    <xf numFmtId="0" fontId="11" fillId="0" borderId="0" xfId="0" applyFont="1"/>
    <xf numFmtId="0" fontId="13" fillId="0" borderId="0" xfId="0" applyFont="1"/>
    <xf numFmtId="0" fontId="20" fillId="0" borderId="0" xfId="0" applyFont="1"/>
    <xf numFmtId="0" fontId="21" fillId="0" borderId="0" xfId="0" applyFont="1"/>
    <xf numFmtId="0" fontId="25" fillId="9" borderId="0" xfId="0" applyFont="1" applyFill="1" applyAlignment="1">
      <alignment horizontal="left" vertical="center"/>
    </xf>
    <xf numFmtId="0" fontId="27" fillId="10" borderId="4" xfId="0" applyFont="1" applyFill="1" applyBorder="1" applyAlignment="1">
      <alignment vertical="center" wrapText="1"/>
    </xf>
    <xf numFmtId="0" fontId="0" fillId="0" borderId="5" xfId="0" applyBorder="1"/>
    <xf numFmtId="0" fontId="0" fillId="0" borderId="6" xfId="0" applyBorder="1"/>
    <xf numFmtId="0" fontId="27" fillId="12" borderId="4" xfId="0" applyFont="1" applyFill="1" applyBorder="1" applyAlignment="1">
      <alignment vertical="center" wrapText="1"/>
    </xf>
    <xf numFmtId="0" fontId="27" fillId="11" borderId="4" xfId="0" applyFont="1" applyFill="1" applyBorder="1" applyAlignment="1">
      <alignment vertical="center" wrapText="1"/>
    </xf>
    <xf numFmtId="0" fontId="31" fillId="2" borderId="1" xfId="0" applyFont="1" applyFill="1" applyBorder="1" applyAlignment="1">
      <alignment horizontal="center" vertical="center" wrapText="1"/>
    </xf>
    <xf numFmtId="0" fontId="31" fillId="6" borderId="3" xfId="0" applyFont="1" applyFill="1" applyBorder="1" applyAlignment="1">
      <alignment horizontal="center" vertical="center" wrapText="1"/>
    </xf>
  </cellXfs>
  <cellStyles count="1">
    <cellStyle name="표준" xfId="0" builtinId="0"/>
  </cellStyles>
  <dxfs count="2">
    <dxf>
      <fill>
        <patternFill>
          <bgColor rgb="FFFFF2CC"/>
        </patternFill>
      </fill>
    </dxf>
    <dxf>
      <fill>
        <patternFill>
          <bgColor rgb="FFFDE9E7"/>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7030A0"/>
      <rgbColor rgb="FFFFF2CC"/>
      <rgbColor rgb="FFEAF2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DE9E7"/>
      <rgbColor rgb="FF99CCFF"/>
      <rgbColor rgb="FFFF99CC"/>
      <rgbColor rgb="FFCC99FF"/>
      <rgbColor rgb="FFFFCC99"/>
      <rgbColor rgb="FF3366FF"/>
      <rgbColor rgb="FF33CCCC"/>
      <rgbColor rgb="FF99CC00"/>
      <rgbColor rgb="FFFFCC00"/>
      <rgbColor rgb="FFFF9900"/>
      <rgbColor rgb="FFED7D31"/>
      <rgbColor rgb="FF595959"/>
      <rgbColor rgb="FFA5A5A5"/>
      <rgbColor rgb="FF003366"/>
      <rgbColor rgb="FF70AD47"/>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Extract" displayName="Raw_Extract" ref="A1:L1001" totalsRowShown="0">
  <autoFilter ref="A1:L1001" xr:uid="{00000000-0009-0000-0100-000001000000}"/>
  <tableColumns count="12">
    <tableColumn id="1" xr3:uid="{00000000-0010-0000-0000-000001000000}" name="Company"/>
    <tableColumn id="2" xr3:uid="{00000000-0010-0000-0000-000002000000}" name="Source File"/>
    <tableColumn id="3" xr3:uid="{00000000-0010-0000-0000-000003000000}" name="Report Year"/>
    <tableColumn id="4" xr3:uid="{00000000-0010-0000-0000-000004000000}" name="Field Group"/>
    <tableColumn id="5" xr3:uid="{00000000-0010-0000-0000-000005000000}" name="Field Name"/>
    <tableColumn id="6" xr3:uid="{00000000-0010-0000-0000-000006000000}" name="Extracted Value"/>
    <tableColumn id="7" xr3:uid="{00000000-0010-0000-0000-000007000000}" name="Unit"/>
    <tableColumn id="8" xr3:uid="{00000000-0010-0000-0000-000008000000}" name="Page"/>
    <tableColumn id="9" xr3:uid="{00000000-0010-0000-0000-000009000000}" name="Evidence Quote"/>
    <tableColumn id="10" xr3:uid="{00000000-0010-0000-0000-00000A000000}" name="Confidence"/>
    <tableColumn id="11" xr3:uid="{00000000-0010-0000-0000-00000B000000}" name="Normalization Note"/>
    <tableColumn id="12" xr3:uid="{00000000-0010-0000-0000-00000C000000}" name="Validation Fla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mpany_Master" displayName="Company_Master" ref="A1:R201" totalsRowShown="0">
  <autoFilter ref="A1:R201" xr:uid="{00000000-0009-0000-0100-000002000000}"/>
  <tableColumns count="18">
    <tableColumn id="1" xr3:uid="{00000000-0010-0000-0100-000001000000}" name="Company"/>
    <tableColumn id="2" xr3:uid="{00000000-0010-0000-0100-000002000000}" name="Ticker"/>
    <tableColumn id="3" xr3:uid="{00000000-0010-0000-0100-000003000000}" name="Exchange"/>
    <tableColumn id="4" xr3:uid="{00000000-0010-0000-0100-000004000000}" name="Report Year"/>
    <tableColumn id="5" xr3:uid="{00000000-0010-0000-0100-000005000000}" name="Report File"/>
    <tableColumn id="6" xr3:uid="{00000000-0010-0000-0100-000006000000}" name="HQ"/>
    <tableColumn id="7" xr3:uid="{00000000-0010-0000-0100-000007000000}" name="Country"/>
    <tableColumn id="8" xr3:uid="{00000000-0010-0000-0100-000008000000}" name="Core Region"/>
    <tableColumn id="9" xr3:uid="{00000000-0010-0000-0100-000009000000}" name="Group Structure Note"/>
    <tableColumn id="10" xr3:uid="{00000000-0010-0000-0100-00000A000000}" name="Subsidiaries Note"/>
    <tableColumn id="11" xr3:uid="{00000000-0010-0000-0100-00000B000000}" name="Shareholder Structure Note"/>
    <tableColumn id="12" xr3:uid="{00000000-0010-0000-0100-00000C000000}" name="Listed Status"/>
    <tableColumn id="13" xr3:uid="{00000000-0010-0000-0100-00000D000000}" name="Primary Business"/>
    <tableColumn id="14" xr3:uid="{00000000-0010-0000-0100-00000E000000}" name="Deal Structure Initial Thought"/>
    <tableColumn id="15" xr3:uid="{00000000-0010-0000-0100-00000F000000}" name="Dealability Note"/>
    <tableColumn id="16" xr3:uid="{00000000-0010-0000-0100-000010000000}" name="Acquisition Note"/>
    <tableColumn id="17" xr3:uid="{00000000-0010-0000-0100-000011000000}" name="Key Red Flags"/>
    <tableColumn id="18" xr3:uid="{00000000-0010-0000-0100-000012000000}" name="Overall Comment"/>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et_Operations" displayName="Asset_Operations" ref="A1:BB201" totalsRowShown="0">
  <autoFilter ref="A1:BB201" xr:uid="{00000000-0009-0000-0100-000003000000}"/>
  <tableColumns count="54">
    <tableColumn id="1" xr3:uid="{00000000-0010-0000-0200-000001000000}" name="Company"/>
    <tableColumn id="2" xr3:uid="{00000000-0010-0000-0200-000002000000}" name="Planted Area Total (ha)"/>
    <tableColumn id="3" xr3:uid="{00000000-0010-0000-0200-000003000000}" name="Nucleus Area (ha)"/>
    <tableColumn id="4" xr3:uid="{00000000-0010-0000-0200-000004000000}" name="Plasma Area (ha)"/>
    <tableColumn id="5" xr3:uid="{00000000-0010-0000-0200-000005000000}" name="Mature Area (ha)"/>
    <tableColumn id="6" xr3:uid="{00000000-0010-0000-0200-000006000000}" name="Immature Area (ha)"/>
    <tableColumn id="7" xr3:uid="{00000000-0010-0000-0200-000007000000}" name="Productive Age Area (ha)"/>
    <tableColumn id="8" xr3:uid="{00000000-0010-0000-0200-000008000000}" name="Old Age Area (ha)"/>
    <tableColumn id="9" xr3:uid="{00000000-0010-0000-0200-000009000000}" name="Average Tree Age (years)"/>
    <tableColumn id="10" xr3:uid="{00000000-0010-0000-0200-00000A000000}" name="Replanting Area (ha)"/>
    <tableColumn id="11" xr3:uid="{00000000-0010-0000-0200-00000B000000}" name="Sumatra Area (ha)"/>
    <tableColumn id="12" xr3:uid="{00000000-0010-0000-0200-00000C000000}" name="Kalimantan Area (ha)"/>
    <tableColumn id="13" xr3:uid="{00000000-0010-0000-0200-00000D000000}" name="Sulawesi Area (ha)"/>
    <tableColumn id="14" xr3:uid="{00000000-0010-0000-0200-00000E000000}" name="Other Region Area (ha)"/>
    <tableColumn id="15" xr3:uid="{00000000-0010-0000-0200-00000F000000}" name="Mills Count (#)"/>
    <tableColumn id="16" xr3:uid="{00000000-0010-0000-0200-000010000000}" name="Mill Capacity (tph)"/>
    <tableColumn id="17" xr3:uid="{00000000-0010-0000-0200-000011000000}" name="Kernel Crushing Count (#)"/>
    <tableColumn id="18" xr3:uid="{00000000-0010-0000-0200-000012000000}" name="Kernel Crushing Capacity (tph)"/>
    <tableColumn id="19" xr3:uid="{00000000-0010-0000-0200-000013000000}" name="CPO Refinery Count (#)"/>
    <tableColumn id="20" xr3:uid="{00000000-0010-0000-0200-000014000000}" name="CPO Refinery Capacity (tpa)"/>
    <tableColumn id="21" xr3:uid="{00000000-0010-0000-0200-000015000000}" name="PKO Refinery Count (#)"/>
    <tableColumn id="22" xr3:uid="{00000000-0010-0000-0200-000016000000}" name="PKO Refinery Capacity (tpa)"/>
    <tableColumn id="23" xr3:uid="{00000000-0010-0000-0200-000017000000}" name="NPK Plant Count (#)"/>
    <tableColumn id="24" xr3:uid="{00000000-0010-0000-0200-000018000000}" name="Jetty/Logistics Note"/>
    <tableColumn id="25" xr3:uid="{00000000-0010-0000-0200-000019000000}" name="Power Infrastructure Note"/>
    <tableColumn id="26" xr3:uid="{00000000-0010-0000-0200-00001A000000}" name="Road Infrastructure Note"/>
    <tableColumn id="27" xr3:uid="{00000000-0010-0000-0200-00001B000000}" name="Third-Party FFB (t)"/>
    <tableColumn id="28" xr3:uid="{00000000-0010-0000-0200-00001C000000}" name="Third-Party Dependence (%) [auto]"/>
    <tableColumn id="29" xr3:uid="{00000000-0010-0000-0200-00001D000000}" name="FFB Production (t)"/>
    <tableColumn id="30" xr3:uid="{00000000-0010-0000-0200-00001E000000}" name="Nucleus FFB (t)"/>
    <tableColumn id="31" xr3:uid="{00000000-0010-0000-0200-00001F000000}" name="Plasma FFB (t)"/>
    <tableColumn id="32" xr3:uid="{00000000-0010-0000-0200-000020000000}" name="FFB Processed (t)"/>
    <tableColumn id="33" xr3:uid="{00000000-0010-0000-0200-000021000000}" name="CPO Production (t)"/>
    <tableColumn id="34" xr3:uid="{00000000-0010-0000-0200-000022000000}" name="Kernel Production (t)"/>
    <tableColumn id="35" xr3:uid="{00000000-0010-0000-0200-000023000000}" name="PKO Production (t)"/>
    <tableColumn id="36" xr3:uid="{00000000-0010-0000-0200-000024000000}" name="RBDPO Production (t)"/>
    <tableColumn id="37" xr3:uid="{00000000-0010-0000-0200-000025000000}" name="Olein Production (t)"/>
    <tableColumn id="38" xr3:uid="{00000000-0010-0000-0200-000026000000}" name="Stearin Production (t)"/>
    <tableColumn id="39" xr3:uid="{00000000-0010-0000-0200-000027000000}" name="PFAD Production (t)"/>
    <tableColumn id="40" xr3:uid="{00000000-0010-0000-0200-000028000000}" name="PKE Production (t)"/>
    <tableColumn id="41" xr3:uid="{00000000-0010-0000-0200-000029000000}" name="FFB Yield (t/ha) [auto]"/>
    <tableColumn id="42" xr3:uid="{00000000-0010-0000-0200-00002A000000}" name="Nucleus FFB Yield (t/ha) [auto]"/>
    <tableColumn id="43" xr3:uid="{00000000-0010-0000-0200-00002B000000}" name="CPO Yield (t/ha) [auto]"/>
    <tableColumn id="44" xr3:uid="{00000000-0010-0000-0200-00002C000000}" name="OER (%) [auto]"/>
    <tableColumn id="45" xr3:uid="{00000000-0010-0000-0200-00002D000000}" name="KER (%) [auto]"/>
    <tableColumn id="46" xr3:uid="{00000000-0010-0000-0200-00002E000000}" name="PKO Extraction (%) [auto]"/>
    <tableColumn id="47" xr3:uid="{00000000-0010-0000-0200-00002F000000}" name="PKE Extraction (%) [auto]"/>
    <tableColumn id="48" xr3:uid="{00000000-0010-0000-0200-000030000000}" name="Average CPO Selling Price (local ccy/kg)"/>
    <tableColumn id="49" xr3:uid="{00000000-0010-0000-0200-000031000000}" name="Domestic Sales (%)"/>
    <tableColumn id="50" xr3:uid="{00000000-0010-0000-0200-000032000000}" name="Export Sales (%)"/>
    <tableColumn id="51" xr3:uid="{00000000-0010-0000-0200-000033000000}" name="Asset Quality Note"/>
    <tableColumn id="52" xr3:uid="{00000000-0010-0000-0200-000034000000}" name="Ops Risk Note"/>
    <tableColumn id="53" xr3:uid="{00000000-0010-0000-0200-000035000000}" name="Digitalization Note"/>
    <tableColumn id="54" xr3:uid="{00000000-0010-0000-0200-000036000000}" name="Sustainability Ops Not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Financials" displayName="Financials" ref="A1:AN201" totalsRowShown="0">
  <autoFilter ref="A1:AN201" xr:uid="{00000000-0009-0000-0100-000004000000}"/>
  <tableColumns count="40">
    <tableColumn id="1" xr3:uid="{00000000-0010-0000-0300-000001000000}" name="Company"/>
    <tableColumn id="2" xr3:uid="{00000000-0010-0000-0300-000002000000}" name="Report Year"/>
    <tableColumn id="3" xr3:uid="{00000000-0010-0000-0300-000003000000}" name="Revenue (IDR bn)"/>
    <tableColumn id="4" xr3:uid="{00000000-0010-0000-0300-000004000000}" name="Gross Profit (IDR bn)"/>
    <tableColumn id="5" xr3:uid="{00000000-0010-0000-0300-000005000000}" name="EBITDA (IDR bn)"/>
    <tableColumn id="6" xr3:uid="{00000000-0010-0000-0300-000006000000}" name="EBIT (IDR bn)"/>
    <tableColumn id="7" xr3:uid="{00000000-0010-0000-0300-000007000000}" name="Net Profit (IDR bn)"/>
    <tableColumn id="8" xr3:uid="{00000000-0010-0000-0300-000008000000}" name="Profit Attributable to Parent (IDR bn)"/>
    <tableColumn id="9" xr3:uid="{00000000-0010-0000-0300-000009000000}" name="Total Assets (IDR bn)"/>
    <tableColumn id="10" xr3:uid="{00000000-0010-0000-0300-00000A000000}" name="Current Assets (IDR bn)"/>
    <tableColumn id="11" xr3:uid="{00000000-0010-0000-0300-00000B000000}" name="Non-Current Assets (IDR bn)"/>
    <tableColumn id="12" xr3:uid="{00000000-0010-0000-0300-00000C000000}" name="Total Liabilities (IDR bn)"/>
    <tableColumn id="13" xr3:uid="{00000000-0010-0000-0300-00000D000000}" name="Current Liabilities (IDR bn)"/>
    <tableColumn id="14" xr3:uid="{00000000-0010-0000-0300-00000E000000}" name="Long-Term Liabilities (IDR bn)"/>
    <tableColumn id="15" xr3:uid="{00000000-0010-0000-0300-00000F000000}" name="Total Equity (IDR bn)"/>
    <tableColumn id="16" xr3:uid="{00000000-0010-0000-0300-000010000000}" name="Net Working Capital (IDR bn) [auto]"/>
    <tableColumn id="17" xr3:uid="{00000000-0010-0000-0300-000011000000}" name="Cash &amp; Cash Equivalents (IDR bn)"/>
    <tableColumn id="18" xr3:uid="{00000000-0010-0000-0300-000012000000}" name="Gross Debt (IDR bn)"/>
    <tableColumn id="19" xr3:uid="{00000000-0010-0000-0300-000013000000}" name="Net Debt (IDR bn) [auto]"/>
    <tableColumn id="20" xr3:uid="{00000000-0010-0000-0300-000014000000}" name="CFO (IDR bn)"/>
    <tableColumn id="21" xr3:uid="{00000000-0010-0000-0300-000015000000}" name="Capex (IDR bn)"/>
    <tableColumn id="22" xr3:uid="{00000000-0010-0000-0300-000016000000}" name="FCF (IDR bn) [auto]"/>
    <tableColumn id="23" xr3:uid="{00000000-0010-0000-0300-000017000000}" name="Shares Outstanding (mn)"/>
    <tableColumn id="24" xr3:uid="{00000000-0010-0000-0300-000018000000}" name="EPS (local ccy/share)"/>
    <tableColumn id="25" xr3:uid="{00000000-0010-0000-0300-000019000000}" name="NAV per Share (local ccy/share)"/>
    <tableColumn id="26" xr3:uid="{00000000-0010-0000-0300-00001A000000}" name="Interim DPS (local ccy/share)"/>
    <tableColumn id="27" xr3:uid="{00000000-0010-0000-0300-00001B000000}" name="Final DPS (local ccy/share)"/>
    <tableColumn id="28" xr3:uid="{00000000-0010-0000-0300-00001C000000}" name="Closing Price (local ccy/share)"/>
    <tableColumn id="29" xr3:uid="{00000000-0010-0000-0300-00001D000000}" name="Market Cap (IDR bn) [auto]"/>
    <tableColumn id="30" xr3:uid="{00000000-0010-0000-0300-00001E000000}" name="Current Ratio (x) [auto]"/>
    <tableColumn id="31" xr3:uid="{00000000-0010-0000-0300-00001F000000}" name="Debt / Assets (x) [auto]"/>
    <tableColumn id="32" xr3:uid="{00000000-0010-0000-0300-000020000000}" name="Debt / Equity (x) [auto]"/>
    <tableColumn id="33" xr3:uid="{00000000-0010-0000-0300-000021000000}" name="ROA Reported (%) [auto]"/>
    <tableColumn id="34" xr3:uid="{00000000-0010-0000-0300-000022000000}" name="ROE Reported (%) [auto]"/>
    <tableColumn id="35" xr3:uid="{00000000-0010-0000-0300-000023000000}" name="Net Margin Reported (%) [auto]"/>
    <tableColumn id="36" xr3:uid="{00000000-0010-0000-0300-000024000000}" name="Gross Margin Reported (%) [auto]"/>
    <tableColumn id="37" xr3:uid="{00000000-0010-0000-0300-000025000000}" name="Financial Risk Note"/>
    <tableColumn id="38" xr3:uid="{00000000-0010-0000-0300-000026000000}" name="Liquidity Note"/>
    <tableColumn id="39" xr3:uid="{00000000-0010-0000-0300-000027000000}" name="Debt Maturity Note"/>
    <tableColumn id="40" xr3:uid="{00000000-0010-0000-0300-000028000000}" name="Covenant Not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ing" displayName="Screening" ref="A1:AT201" totalsRowShown="0">
  <autoFilter ref="A1:AT201" xr:uid="{00000000-0009-0000-0100-000005000000}"/>
  <tableColumns count="46">
    <tableColumn id="1" xr3:uid="{00000000-0010-0000-0400-000001000000}" name="Company"/>
    <tableColumn id="2" xr3:uid="{00000000-0010-0000-0400-000002000000}" name="Ticker"/>
    <tableColumn id="3" xr3:uid="{00000000-0010-0000-0400-000003000000}" name="Latest Report Year"/>
    <tableColumn id="4" xr3:uid="{00000000-0010-0000-0400-000004000000}" name="Core Region"/>
    <tableColumn id="5" xr3:uid="{00000000-0010-0000-0400-000005000000}" name="Planted Area Total (ha)"/>
    <tableColumn id="6" xr3:uid="{00000000-0010-0000-0400-000006000000}" name="Mature Area (ha)"/>
    <tableColumn id="7" xr3:uid="{00000000-0010-0000-0400-000007000000}" name="Average Tree Age (years)"/>
    <tableColumn id="8" xr3:uid="{00000000-0010-0000-0400-000008000000}" name="Replanting Area (ha)"/>
    <tableColumn id="9" xr3:uid="{00000000-0010-0000-0400-000009000000}" name="Mills Count (#)"/>
    <tableColumn id="10" xr3:uid="{00000000-0010-0000-0400-00000A000000}" name="CPO Refinery Count (#)"/>
    <tableColumn id="11" xr3:uid="{00000000-0010-0000-0400-00000B000000}" name="FFB Production (t)"/>
    <tableColumn id="12" xr3:uid="{00000000-0010-0000-0400-00000C000000}" name="CPO Production (t)"/>
    <tableColumn id="13" xr3:uid="{00000000-0010-0000-0400-00000D000000}" name="FFB Yield (t/ha)"/>
    <tableColumn id="14" xr3:uid="{00000000-0010-0000-0400-00000E000000}" name="OER (%)"/>
    <tableColumn id="15" xr3:uid="{00000000-0010-0000-0400-00000F000000}" name="Revenue (IDR bn)"/>
    <tableColumn id="16" xr3:uid="{00000000-0010-0000-0400-000010000000}" name="EBITDA (IDR bn)"/>
    <tableColumn id="17" xr3:uid="{00000000-0010-0000-0400-000011000000}" name="Net Profit (IDR bn)"/>
    <tableColumn id="18" xr3:uid="{00000000-0010-0000-0400-000012000000}" name="Net Debt (IDR bn)"/>
    <tableColumn id="19" xr3:uid="{00000000-0010-0000-0400-000013000000}" name="Market Cap (IDR bn)"/>
    <tableColumn id="20" xr3:uid="{00000000-0010-0000-0400-000014000000}" name="EBITDA Margin (%)"/>
    <tableColumn id="21" xr3:uid="{00000000-0010-0000-0400-000015000000}" name="Net Debt / EBITDA (x)"/>
    <tableColumn id="22" xr3:uid="{00000000-0010-0000-0400-000016000000}" name="Revenue / ha (IDR bn/ha)"/>
    <tableColumn id="23" xr3:uid="{00000000-0010-0000-0400-000017000000}" name="CPO / Mature ha (t/ha)"/>
    <tableColumn id="24" xr3:uid="{00000000-0010-0000-0400-000018000000}" name="Scale Score (1-5)"/>
    <tableColumn id="25" xr3:uid="{00000000-0010-0000-0400-000019000000}" name="Asset Quality Score (1-5)"/>
    <tableColumn id="26" xr3:uid="{00000000-0010-0000-0400-00001A000000}" name="Integration Score (1-5)"/>
    <tableColumn id="27" xr3:uid="{00000000-0010-0000-0400-00001B000000}" name="Operational Efficiency Score (1-5)"/>
    <tableColumn id="28" xr3:uid="{00000000-0010-0000-0400-00001C000000}" name="Profitability Score (1-5)"/>
    <tableColumn id="29" xr3:uid="{00000000-0010-0000-0400-00001D000000}" name="Leverage Score (1-5)"/>
    <tableColumn id="30" xr3:uid="{00000000-0010-0000-0400-00001E000000}" name="Liquidity Score (1-5)"/>
    <tableColumn id="31" xr3:uid="{00000000-0010-0000-0400-00001F000000}" name="ESG &amp; Legality Score (1-5)"/>
    <tableColumn id="32" xr3:uid="{00000000-0010-0000-0400-000020000000}" name="Dealability Score (1-5)"/>
    <tableColumn id="33" xr3:uid="{00000000-0010-0000-0400-000021000000}" name="Total Score"/>
    <tableColumn id="34" xr3:uid="{00000000-0010-0000-0400-000022000000}" name="Why Now"/>
    <tableColumn id="35" xr3:uid="{00000000-0010-0000-0400-000023000000}" name="Portfolio Synergy"/>
    <tableColumn id="36" xr3:uid="{00000000-0010-0000-0400-000024000000}" name="Value-Up 100D"/>
    <tableColumn id="37" xr3:uid="{00000000-0010-0000-0400-000025000000}" name="Value-Up 12M"/>
    <tableColumn id="38" xr3:uid="{00000000-0010-0000-0400-000026000000}" name="Key Risks"/>
    <tableColumn id="39" xr3:uid="{00000000-0010-0000-0400-000027000000}" name="HGU Risk"/>
    <tableColumn id="40" xr3:uid="{00000000-0010-0000-0400-000028000000}" name="ESG Risk"/>
    <tableColumn id="41" xr3:uid="{00000000-0010-0000-0400-000029000000}" name="Community Risk"/>
    <tableColumn id="42" xr3:uid="{00000000-0010-0000-0400-00002A000000}" name="Regulatory Risk"/>
    <tableColumn id="43" xr3:uid="{00000000-0010-0000-0400-00002B000000}" name="Infrastructure Risk"/>
    <tableColumn id="44" xr3:uid="{00000000-0010-0000-0400-00002C000000}" name="Financial Risk"/>
    <tableColumn id="45" xr3:uid="{00000000-0010-0000-0400-00002D000000}" name="Negotiation Points"/>
    <tableColumn id="46" xr3:uid="{00000000-0010-0000-0400-00002E000000}" name="Next St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6"/>
  <sheetViews>
    <sheetView showGridLines="0" zoomScaleNormal="100" workbookViewId="0">
      <selection sqref="A1:F1"/>
    </sheetView>
  </sheetViews>
  <sheetFormatPr defaultColWidth="8.6640625" defaultRowHeight="14.4" x14ac:dyDescent="0.3"/>
  <cols>
    <col min="1" max="1" width="26" customWidth="1"/>
    <col min="2" max="6" width="18" customWidth="1"/>
  </cols>
  <sheetData>
    <row r="1" spans="1:6" ht="24" customHeight="1" x14ac:dyDescent="0.4">
      <c r="A1" s="66" t="s">
        <v>190</v>
      </c>
      <c r="B1" s="67"/>
      <c r="C1" s="67"/>
      <c r="D1" s="67"/>
      <c r="E1" s="67"/>
      <c r="F1" s="67"/>
    </row>
    <row r="2" spans="1:6" ht="15" customHeight="1" x14ac:dyDescent="0.3">
      <c r="A2" s="73" t="s">
        <v>191</v>
      </c>
      <c r="B2" s="67"/>
      <c r="C2" s="67"/>
      <c r="D2" s="67"/>
      <c r="E2" s="67"/>
      <c r="F2" s="67"/>
    </row>
    <row r="3" spans="1:6" ht="15" customHeight="1" x14ac:dyDescent="0.3">
      <c r="A3" s="1"/>
      <c r="B3" s="2"/>
    </row>
    <row r="4" spans="1:6" ht="15" customHeight="1" x14ac:dyDescent="0.3">
      <c r="A4" s="71" t="s">
        <v>192</v>
      </c>
      <c r="B4" s="67"/>
      <c r="C4" s="67"/>
      <c r="D4" s="67"/>
      <c r="E4" s="67"/>
      <c r="F4" s="67"/>
    </row>
    <row r="5" spans="1:6" ht="15" customHeight="1" x14ac:dyDescent="0.3">
      <c r="A5" s="3" t="s">
        <v>193</v>
      </c>
      <c r="B5" s="68" t="s">
        <v>194</v>
      </c>
      <c r="C5" s="67"/>
      <c r="D5" s="67"/>
      <c r="E5" s="67"/>
      <c r="F5" s="67"/>
    </row>
    <row r="6" spans="1:6" ht="15" customHeight="1" x14ac:dyDescent="0.3">
      <c r="A6" s="3" t="s">
        <v>195</v>
      </c>
      <c r="B6" s="68" t="s">
        <v>196</v>
      </c>
      <c r="C6" s="67"/>
      <c r="D6" s="67"/>
      <c r="E6" s="67"/>
      <c r="F6" s="67"/>
    </row>
    <row r="7" spans="1:6" ht="15" customHeight="1" x14ac:dyDescent="0.3">
      <c r="A7" s="3" t="s">
        <v>197</v>
      </c>
      <c r="B7" s="68" t="s">
        <v>198</v>
      </c>
      <c r="C7" s="67"/>
      <c r="D7" s="67"/>
      <c r="E7" s="67"/>
      <c r="F7" s="67"/>
    </row>
    <row r="8" spans="1:6" ht="15" customHeight="1" x14ac:dyDescent="0.3">
      <c r="A8" s="3" t="s">
        <v>199</v>
      </c>
      <c r="B8" s="68" t="s">
        <v>200</v>
      </c>
      <c r="C8" s="67"/>
      <c r="D8" s="67"/>
      <c r="E8" s="67"/>
      <c r="F8" s="67"/>
    </row>
    <row r="10" spans="1:6" ht="15" customHeight="1" x14ac:dyDescent="0.3">
      <c r="A10" s="71" t="s">
        <v>201</v>
      </c>
      <c r="B10" s="67"/>
      <c r="C10" s="67"/>
      <c r="D10" s="67"/>
      <c r="E10" s="67"/>
      <c r="F10" s="67"/>
    </row>
    <row r="11" spans="1:6" ht="15" customHeight="1" x14ac:dyDescent="0.3">
      <c r="A11" s="3" t="s">
        <v>202</v>
      </c>
      <c r="B11" s="68" t="s">
        <v>203</v>
      </c>
      <c r="C11" s="67"/>
      <c r="D11" s="67"/>
      <c r="E11" s="67"/>
      <c r="F11" s="67"/>
    </row>
    <row r="12" spans="1:6" ht="15" customHeight="1" x14ac:dyDescent="0.3">
      <c r="A12" s="3" t="s">
        <v>204</v>
      </c>
      <c r="B12" s="68" t="s">
        <v>205</v>
      </c>
      <c r="C12" s="67"/>
      <c r="D12" s="67"/>
      <c r="E12" s="67"/>
      <c r="F12" s="67"/>
    </row>
    <row r="13" spans="1:6" ht="15" customHeight="1" x14ac:dyDescent="0.3">
      <c r="A13" s="3" t="s">
        <v>206</v>
      </c>
      <c r="B13" s="68" t="s">
        <v>207</v>
      </c>
      <c r="C13" s="67"/>
      <c r="D13" s="67"/>
      <c r="E13" s="67"/>
      <c r="F13" s="67"/>
    </row>
    <row r="15" spans="1:6" ht="15" customHeight="1" x14ac:dyDescent="0.3">
      <c r="A15" s="71" t="s">
        <v>208</v>
      </c>
      <c r="B15" s="67"/>
      <c r="C15" s="67"/>
      <c r="D15" s="67"/>
      <c r="E15" s="67"/>
      <c r="F15" s="67"/>
    </row>
    <row r="16" spans="1:6" ht="15" customHeight="1" x14ac:dyDescent="0.3">
      <c r="A16" s="3" t="s">
        <v>209</v>
      </c>
      <c r="B16" s="68" t="s">
        <v>210</v>
      </c>
      <c r="C16" s="67"/>
      <c r="D16" s="67"/>
      <c r="E16" s="67"/>
      <c r="F16" s="67"/>
    </row>
    <row r="17" spans="1:6" ht="15" customHeight="1" x14ac:dyDescent="0.3">
      <c r="A17" s="3" t="s">
        <v>211</v>
      </c>
      <c r="B17" s="68" t="s">
        <v>212</v>
      </c>
      <c r="C17" s="67"/>
      <c r="D17" s="67"/>
      <c r="E17" s="67"/>
      <c r="F17" s="67"/>
    </row>
    <row r="18" spans="1:6" ht="15" customHeight="1" x14ac:dyDescent="0.3">
      <c r="A18" s="3" t="s">
        <v>213</v>
      </c>
      <c r="B18" s="68" t="s">
        <v>214</v>
      </c>
      <c r="C18" s="67"/>
      <c r="D18" s="67"/>
      <c r="E18" s="67"/>
      <c r="F18" s="67"/>
    </row>
    <row r="19" spans="1:6" ht="15" customHeight="1" x14ac:dyDescent="0.3">
      <c r="A19" s="3" t="s">
        <v>215</v>
      </c>
      <c r="B19" s="68" t="s">
        <v>216</v>
      </c>
      <c r="C19" s="67"/>
      <c r="D19" s="67"/>
      <c r="E19" s="67"/>
      <c r="F19" s="67"/>
    </row>
    <row r="20" spans="1:6" ht="15" customHeight="1" x14ac:dyDescent="0.3">
      <c r="A20" s="3" t="s">
        <v>217</v>
      </c>
      <c r="B20" s="68" t="s">
        <v>218</v>
      </c>
      <c r="C20" s="67"/>
      <c r="D20" s="67"/>
      <c r="E20" s="67"/>
      <c r="F20" s="67"/>
    </row>
    <row r="22" spans="1:6" ht="15" customHeight="1" x14ac:dyDescent="0.3">
      <c r="A22" s="71" t="s">
        <v>219</v>
      </c>
      <c r="B22" s="67"/>
      <c r="C22" s="67"/>
      <c r="D22" s="67"/>
      <c r="E22" s="67"/>
      <c r="F22" s="67"/>
    </row>
    <row r="23" spans="1:6" ht="15" customHeight="1" x14ac:dyDescent="0.3">
      <c r="A23" s="3" t="s">
        <v>220</v>
      </c>
      <c r="B23" s="68" t="s">
        <v>221</v>
      </c>
      <c r="C23" s="67"/>
      <c r="D23" s="67"/>
      <c r="E23" s="67"/>
      <c r="F23" s="67"/>
    </row>
    <row r="24" spans="1:6" ht="15" customHeight="1" x14ac:dyDescent="0.3">
      <c r="A24" s="3" t="s">
        <v>222</v>
      </c>
      <c r="B24" s="68" t="s">
        <v>223</v>
      </c>
      <c r="C24" s="67"/>
      <c r="D24" s="67"/>
      <c r="E24" s="67"/>
      <c r="F24" s="67"/>
    </row>
    <row r="26" spans="1:6" ht="15" customHeight="1" x14ac:dyDescent="0.3">
      <c r="A26" s="71" t="s">
        <v>224</v>
      </c>
      <c r="B26" s="67"/>
      <c r="C26" s="67"/>
      <c r="D26" s="67"/>
      <c r="E26" s="67"/>
      <c r="F26" s="67"/>
    </row>
    <row r="27" spans="1:6" ht="15" customHeight="1" x14ac:dyDescent="0.3">
      <c r="A27" s="4" t="s">
        <v>225</v>
      </c>
      <c r="B27" s="69" t="s">
        <v>226</v>
      </c>
      <c r="C27" s="67"/>
      <c r="D27" s="67"/>
      <c r="E27" s="67"/>
      <c r="F27" s="67"/>
    </row>
    <row r="28" spans="1:6" ht="15" customHeight="1" x14ac:dyDescent="0.3">
      <c r="A28" s="4" t="s">
        <v>227</v>
      </c>
      <c r="B28" s="69" t="s">
        <v>228</v>
      </c>
      <c r="C28" s="67"/>
      <c r="D28" s="67"/>
      <c r="E28" s="67"/>
      <c r="F28" s="67"/>
    </row>
    <row r="29" spans="1:6" ht="15" customHeight="1" x14ac:dyDescent="0.3">
      <c r="A29" s="4" t="s">
        <v>229</v>
      </c>
      <c r="B29" s="69" t="s">
        <v>230</v>
      </c>
      <c r="C29" s="67"/>
      <c r="D29" s="67"/>
      <c r="E29" s="67"/>
      <c r="F29" s="67"/>
    </row>
    <row r="30" spans="1:6" ht="15" customHeight="1" x14ac:dyDescent="0.3">
      <c r="A30" s="4" t="s">
        <v>231</v>
      </c>
      <c r="B30" s="69" t="s">
        <v>232</v>
      </c>
      <c r="C30" s="67"/>
      <c r="D30" s="67"/>
      <c r="E30" s="67"/>
      <c r="F30" s="67"/>
    </row>
    <row r="31" spans="1:6" ht="15" customHeight="1" x14ac:dyDescent="0.3">
      <c r="A31" s="4" t="s">
        <v>233</v>
      </c>
      <c r="B31" s="69" t="s">
        <v>234</v>
      </c>
      <c r="C31" s="67"/>
      <c r="D31" s="67"/>
      <c r="E31" s="67"/>
      <c r="F31" s="67"/>
    </row>
    <row r="33" spans="1:6" ht="15" customHeight="1" x14ac:dyDescent="0.3">
      <c r="A33" s="71" t="s">
        <v>235</v>
      </c>
      <c r="B33" s="67"/>
      <c r="C33" s="67"/>
      <c r="D33" s="67"/>
      <c r="E33" s="67"/>
      <c r="F33" s="67"/>
    </row>
    <row r="34" spans="1:6" ht="15" customHeight="1" x14ac:dyDescent="0.3">
      <c r="A34" s="4" t="s">
        <v>236</v>
      </c>
      <c r="B34" s="69" t="s">
        <v>237</v>
      </c>
      <c r="C34" s="67"/>
      <c r="D34" s="67"/>
      <c r="E34" s="67"/>
      <c r="F34" s="67"/>
    </row>
    <row r="35" spans="1:6" ht="15" customHeight="1" x14ac:dyDescent="0.3">
      <c r="A35" s="4" t="s">
        <v>238</v>
      </c>
      <c r="B35" s="69" t="s">
        <v>239</v>
      </c>
      <c r="C35" s="67"/>
      <c r="D35" s="67"/>
      <c r="E35" s="67"/>
      <c r="F35" s="67"/>
    </row>
    <row r="36" spans="1:6" ht="15" customHeight="1" x14ac:dyDescent="0.3">
      <c r="A36" s="4" t="s">
        <v>240</v>
      </c>
      <c r="B36" s="69" t="s">
        <v>241</v>
      </c>
      <c r="C36" s="67"/>
      <c r="D36" s="67"/>
      <c r="E36" s="67"/>
      <c r="F36" s="67"/>
    </row>
    <row r="37" spans="1:6" ht="15" customHeight="1" x14ac:dyDescent="0.3">
      <c r="A37" s="4" t="s">
        <v>206</v>
      </c>
      <c r="B37" s="69" t="s">
        <v>242</v>
      </c>
      <c r="C37" s="67"/>
      <c r="D37" s="67"/>
      <c r="E37" s="67"/>
      <c r="F37" s="67"/>
    </row>
    <row r="38" spans="1:6" ht="15" customHeight="1" x14ac:dyDescent="0.3">
      <c r="A38" s="4" t="s">
        <v>243</v>
      </c>
      <c r="B38" s="69" t="s">
        <v>244</v>
      </c>
      <c r="C38" s="67"/>
      <c r="D38" s="67"/>
      <c r="E38" s="67"/>
      <c r="F38" s="67"/>
    </row>
    <row r="40" spans="1:6" ht="15.6" customHeight="1" x14ac:dyDescent="0.3">
      <c r="A40" s="72" t="s">
        <v>245</v>
      </c>
      <c r="B40" s="67"/>
      <c r="C40" s="67"/>
      <c r="D40" s="67"/>
      <c r="E40" s="67"/>
      <c r="F40" s="67"/>
    </row>
    <row r="41" spans="1:6" x14ac:dyDescent="0.3">
      <c r="A41" s="43" t="s">
        <v>246</v>
      </c>
      <c r="B41" s="70" t="s">
        <v>247</v>
      </c>
      <c r="C41" s="67"/>
      <c r="D41" s="67"/>
      <c r="E41" s="67"/>
      <c r="F41" s="67"/>
    </row>
    <row r="42" spans="1:6" x14ac:dyDescent="0.3">
      <c r="A42" s="43" t="s">
        <v>248</v>
      </c>
      <c r="B42" s="70" t="s">
        <v>249</v>
      </c>
      <c r="C42" s="67"/>
      <c r="D42" s="67"/>
      <c r="E42" s="67"/>
      <c r="F42" s="67"/>
    </row>
    <row r="43" spans="1:6" x14ac:dyDescent="0.3">
      <c r="A43" s="43" t="s">
        <v>250</v>
      </c>
      <c r="B43" s="70" t="s">
        <v>251</v>
      </c>
      <c r="C43" s="67"/>
      <c r="D43" s="67"/>
      <c r="E43" s="67"/>
      <c r="F43" s="67"/>
    </row>
    <row r="44" spans="1:6" x14ac:dyDescent="0.3">
      <c r="A44" s="43" t="s">
        <v>252</v>
      </c>
      <c r="B44" s="70" t="s">
        <v>253</v>
      </c>
      <c r="C44" s="67"/>
      <c r="D44" s="67"/>
      <c r="E44" s="67"/>
      <c r="F44" s="67"/>
    </row>
    <row r="46" spans="1:6" x14ac:dyDescent="0.3">
      <c r="A46" t="s">
        <v>254</v>
      </c>
    </row>
    <row r="47" spans="1:6" x14ac:dyDescent="0.3">
      <c r="A47" t="s">
        <v>255</v>
      </c>
      <c r="B47" t="s">
        <v>256</v>
      </c>
    </row>
    <row r="48" spans="1:6" x14ac:dyDescent="0.3">
      <c r="A48" t="s">
        <v>257</v>
      </c>
      <c r="B48" t="s">
        <v>258</v>
      </c>
    </row>
    <row r="49" spans="1:2" x14ac:dyDescent="0.3">
      <c r="A49" t="s">
        <v>259</v>
      </c>
      <c r="B49" t="s">
        <v>260</v>
      </c>
    </row>
    <row r="51" spans="1:2" x14ac:dyDescent="0.3">
      <c r="A51" t="s">
        <v>261</v>
      </c>
    </row>
    <row r="52" spans="1:2" x14ac:dyDescent="0.3">
      <c r="A52" t="s">
        <v>262</v>
      </c>
      <c r="B52" t="s">
        <v>263</v>
      </c>
    </row>
    <row r="53" spans="1:2" x14ac:dyDescent="0.3">
      <c r="A53" t="s">
        <v>264</v>
      </c>
      <c r="B53" t="s">
        <v>265</v>
      </c>
    </row>
    <row r="54" spans="1:2" x14ac:dyDescent="0.3">
      <c r="A54" t="s">
        <v>266</v>
      </c>
      <c r="B54" t="s">
        <v>267</v>
      </c>
    </row>
    <row r="55" spans="1:2" x14ac:dyDescent="0.3">
      <c r="A55" t="s">
        <v>268</v>
      </c>
      <c r="B55" t="s">
        <v>269</v>
      </c>
    </row>
    <row r="56" spans="1:2" x14ac:dyDescent="0.3">
      <c r="A56" t="s">
        <v>270</v>
      </c>
      <c r="B56" t="s">
        <v>271</v>
      </c>
    </row>
  </sheetData>
  <mergeCells count="37">
    <mergeCell ref="B42:F42"/>
    <mergeCell ref="B11:F11"/>
    <mergeCell ref="A22:F22"/>
    <mergeCell ref="B23:F23"/>
    <mergeCell ref="A4:F4"/>
    <mergeCell ref="B8:F8"/>
    <mergeCell ref="B17:F17"/>
    <mergeCell ref="B13:F13"/>
    <mergeCell ref="B6:F6"/>
    <mergeCell ref="B7:F7"/>
    <mergeCell ref="B16:F16"/>
    <mergeCell ref="B31:F31"/>
    <mergeCell ref="A26:F26"/>
    <mergeCell ref="B18:F18"/>
    <mergeCell ref="B27:F27"/>
    <mergeCell ref="B44:F44"/>
    <mergeCell ref="B29:F29"/>
    <mergeCell ref="A10:F10"/>
    <mergeCell ref="B38:F38"/>
    <mergeCell ref="B34:F34"/>
    <mergeCell ref="B28:F28"/>
    <mergeCell ref="B19:F19"/>
    <mergeCell ref="B37:F37"/>
    <mergeCell ref="A40:F40"/>
    <mergeCell ref="A15:F15"/>
    <mergeCell ref="B30:F30"/>
    <mergeCell ref="B24:F24"/>
    <mergeCell ref="B20:F20"/>
    <mergeCell ref="A33:F33"/>
    <mergeCell ref="B43:F43"/>
    <mergeCell ref="B12:F12"/>
    <mergeCell ref="A1:F1"/>
    <mergeCell ref="B5:F5"/>
    <mergeCell ref="B36:F36"/>
    <mergeCell ref="B41:F41"/>
    <mergeCell ref="B35:F35"/>
    <mergeCell ref="A2:F2"/>
  </mergeCells>
  <phoneticPr fontId="24"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5A5A5"/>
  </sheetPr>
  <dimension ref="A1:Q6613"/>
  <sheetViews>
    <sheetView showGridLines="0"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x14ac:dyDescent="0.3"/>
  <cols>
    <col min="1" max="2" width="22" customWidth="1"/>
    <col min="3" max="3" width="10" customWidth="1"/>
    <col min="4" max="4" width="12" customWidth="1"/>
    <col min="5" max="5" width="28" customWidth="1"/>
    <col min="6" max="6" width="14" customWidth="1"/>
    <col min="7" max="7" width="10" customWidth="1"/>
    <col min="8" max="8" width="8" customWidth="1"/>
    <col min="9" max="9" width="45" customWidth="1"/>
    <col min="10" max="10" width="10" customWidth="1"/>
    <col min="11" max="11" width="25" customWidth="1"/>
    <col min="12" max="12" width="12" customWidth="1"/>
    <col min="13" max="13" width="18" customWidth="1"/>
    <col min="14" max="15" width="14" customWidth="1"/>
    <col min="16" max="16" width="18" customWidth="1"/>
    <col min="17" max="17" width="14" customWidth="1"/>
  </cols>
  <sheetData>
    <row r="1" spans="1:17" ht="31.5" customHeight="1" x14ac:dyDescent="0.3">
      <c r="A1" s="5" t="s">
        <v>272</v>
      </c>
      <c r="B1" s="5" t="s">
        <v>273</v>
      </c>
      <c r="C1" s="5" t="s">
        <v>274</v>
      </c>
      <c r="D1" s="5" t="s">
        <v>275</v>
      </c>
      <c r="E1" s="5" t="s">
        <v>276</v>
      </c>
      <c r="F1" s="5" t="s">
        <v>277</v>
      </c>
      <c r="G1" s="5" t="s">
        <v>278</v>
      </c>
      <c r="H1" s="5" t="s">
        <v>279</v>
      </c>
      <c r="I1" s="5" t="s">
        <v>280</v>
      </c>
      <c r="J1" s="5" t="s">
        <v>281</v>
      </c>
      <c r="K1" s="5" t="s">
        <v>282</v>
      </c>
      <c r="L1" s="5" t="s">
        <v>283</v>
      </c>
      <c r="M1" s="5" t="s">
        <v>284</v>
      </c>
      <c r="N1" s="5" t="s">
        <v>285</v>
      </c>
      <c r="O1" s="5" t="s">
        <v>286</v>
      </c>
      <c r="P1" s="5" t="s">
        <v>287</v>
      </c>
      <c r="Q1" s="5" t="s">
        <v>288</v>
      </c>
    </row>
    <row r="2" spans="1:17" ht="15" customHeight="1" x14ac:dyDescent="0.3">
      <c r="A2" s="6" t="s">
        <v>289</v>
      </c>
      <c r="B2" s="6" t="s">
        <v>290</v>
      </c>
      <c r="C2" s="6">
        <v>2023</v>
      </c>
      <c r="D2" s="6" t="s">
        <v>272</v>
      </c>
      <c r="E2" s="6" t="s">
        <v>291</v>
      </c>
      <c r="F2" s="6" t="s">
        <v>289</v>
      </c>
      <c r="G2" s="6" t="s">
        <v>292</v>
      </c>
      <c r="H2" s="6">
        <v>1</v>
      </c>
      <c r="I2" s="6" t="s">
        <v>293</v>
      </c>
      <c r="J2" s="6" t="s">
        <v>294</v>
      </c>
      <c r="K2" s="6"/>
      <c r="L2" s="6"/>
      <c r="M2" s="7" t="s">
        <v>295</v>
      </c>
      <c r="N2" s="7" t="s">
        <v>296</v>
      </c>
      <c r="O2" s="7" t="s">
        <v>297</v>
      </c>
      <c r="P2" s="7"/>
      <c r="Q2" s="7"/>
    </row>
    <row r="3" spans="1:17" ht="15" customHeight="1" x14ac:dyDescent="0.3">
      <c r="A3" s="6" t="s">
        <v>289</v>
      </c>
      <c r="B3" s="6" t="s">
        <v>290</v>
      </c>
      <c r="C3" s="6">
        <v>2023</v>
      </c>
      <c r="D3" s="6" t="s">
        <v>272</v>
      </c>
      <c r="E3" s="6" t="s">
        <v>1</v>
      </c>
      <c r="F3" s="6" t="s">
        <v>8</v>
      </c>
      <c r="G3" s="6" t="s">
        <v>292</v>
      </c>
      <c r="H3" s="6"/>
      <c r="I3" s="6" t="s">
        <v>298</v>
      </c>
      <c r="J3" s="6" t="s">
        <v>294</v>
      </c>
      <c r="K3" s="6"/>
      <c r="L3" s="6"/>
      <c r="M3" s="7" t="s">
        <v>295</v>
      </c>
      <c r="N3" s="7" t="s">
        <v>296</v>
      </c>
      <c r="O3" s="7" t="s">
        <v>297</v>
      </c>
      <c r="P3" s="7"/>
      <c r="Q3" s="7"/>
    </row>
    <row r="4" spans="1:17" ht="15" customHeight="1" x14ac:dyDescent="0.3">
      <c r="A4" s="6" t="s">
        <v>289</v>
      </c>
      <c r="B4" s="6" t="s">
        <v>290</v>
      </c>
      <c r="C4" s="6">
        <v>2023</v>
      </c>
      <c r="D4" s="6" t="s">
        <v>272</v>
      </c>
      <c r="E4" s="6" t="s">
        <v>274</v>
      </c>
      <c r="F4" s="6">
        <v>2023</v>
      </c>
      <c r="G4" s="6" t="s">
        <v>299</v>
      </c>
      <c r="H4" s="6"/>
      <c r="I4" s="6" t="s">
        <v>298</v>
      </c>
      <c r="J4" s="6" t="s">
        <v>294</v>
      </c>
      <c r="K4" s="6"/>
      <c r="L4" s="6"/>
      <c r="M4" s="7" t="s">
        <v>295</v>
      </c>
      <c r="N4" s="7" t="s">
        <v>296</v>
      </c>
      <c r="O4" s="7" t="s">
        <v>297</v>
      </c>
      <c r="P4" s="7"/>
      <c r="Q4" s="7"/>
    </row>
    <row r="5" spans="1:17" ht="15" customHeight="1" x14ac:dyDescent="0.3">
      <c r="A5" s="6" t="s">
        <v>289</v>
      </c>
      <c r="B5" s="6" t="s">
        <v>290</v>
      </c>
      <c r="C5" s="6">
        <v>2023</v>
      </c>
      <c r="D5" s="6" t="s">
        <v>300</v>
      </c>
      <c r="E5" s="6" t="s">
        <v>301</v>
      </c>
      <c r="F5" s="6">
        <v>20745</v>
      </c>
      <c r="G5" s="6" t="s">
        <v>302</v>
      </c>
      <c r="H5" s="6">
        <v>10</v>
      </c>
      <c r="I5" s="6" t="s">
        <v>303</v>
      </c>
      <c r="J5" s="6" t="s">
        <v>294</v>
      </c>
      <c r="K5" s="6"/>
      <c r="L5" s="6"/>
      <c r="M5" s="7" t="s">
        <v>295</v>
      </c>
      <c r="N5" s="7" t="s">
        <v>296</v>
      </c>
      <c r="O5" s="7" t="s">
        <v>297</v>
      </c>
      <c r="P5" s="7"/>
      <c r="Q5" s="7"/>
    </row>
    <row r="6" spans="1:17" ht="15" customHeight="1" x14ac:dyDescent="0.3">
      <c r="A6" s="6" t="s">
        <v>289</v>
      </c>
      <c r="B6" s="6" t="s">
        <v>290</v>
      </c>
      <c r="C6" s="6">
        <v>2023</v>
      </c>
      <c r="D6" s="6" t="s">
        <v>300</v>
      </c>
      <c r="E6" s="6" t="s">
        <v>304</v>
      </c>
      <c r="F6" s="6">
        <v>2771</v>
      </c>
      <c r="G6" s="6" t="s">
        <v>302</v>
      </c>
      <c r="H6" s="6">
        <v>10</v>
      </c>
      <c r="I6" s="6" t="s">
        <v>305</v>
      </c>
      <c r="J6" s="6" t="s">
        <v>294</v>
      </c>
      <c r="K6" s="6"/>
      <c r="L6" s="6"/>
      <c r="M6" s="7" t="s">
        <v>295</v>
      </c>
      <c r="N6" s="7" t="s">
        <v>296</v>
      </c>
      <c r="O6" s="7" t="s">
        <v>297</v>
      </c>
      <c r="P6" s="7"/>
      <c r="Q6" s="7"/>
    </row>
    <row r="7" spans="1:17" ht="15" customHeight="1" x14ac:dyDescent="0.3">
      <c r="A7" s="6" t="s">
        <v>289</v>
      </c>
      <c r="B7" s="6" t="s">
        <v>290</v>
      </c>
      <c r="C7" s="6">
        <v>2023</v>
      </c>
      <c r="D7" s="6" t="s">
        <v>300</v>
      </c>
      <c r="E7" s="6" t="s">
        <v>306</v>
      </c>
      <c r="F7" s="6">
        <v>1088</v>
      </c>
      <c r="G7" s="6" t="s">
        <v>302</v>
      </c>
      <c r="H7" s="6">
        <v>10</v>
      </c>
      <c r="I7" s="6" t="s">
        <v>307</v>
      </c>
      <c r="J7" s="6" t="s">
        <v>294</v>
      </c>
      <c r="K7" s="6"/>
      <c r="L7" s="6"/>
      <c r="M7" s="7" t="s">
        <v>295</v>
      </c>
      <c r="N7" s="7" t="s">
        <v>296</v>
      </c>
      <c r="O7" s="7" t="s">
        <v>297</v>
      </c>
      <c r="P7" s="7"/>
      <c r="Q7" s="7"/>
    </row>
    <row r="8" spans="1:17" ht="15" customHeight="1" x14ac:dyDescent="0.3">
      <c r="A8" s="6" t="s">
        <v>289</v>
      </c>
      <c r="B8" s="6" t="s">
        <v>290</v>
      </c>
      <c r="C8" s="6">
        <v>2023</v>
      </c>
      <c r="D8" s="6" t="s">
        <v>300</v>
      </c>
      <c r="E8" s="6" t="s">
        <v>308</v>
      </c>
      <c r="F8" s="6">
        <v>1056</v>
      </c>
      <c r="G8" s="6" t="s">
        <v>302</v>
      </c>
      <c r="H8" s="6">
        <v>10</v>
      </c>
      <c r="I8" s="6" t="s">
        <v>309</v>
      </c>
      <c r="J8" s="6" t="s">
        <v>294</v>
      </c>
      <c r="K8" s="6"/>
      <c r="L8" s="6"/>
      <c r="M8" s="7" t="s">
        <v>295</v>
      </c>
      <c r="N8" s="7" t="s">
        <v>296</v>
      </c>
      <c r="O8" s="7" t="s">
        <v>297</v>
      </c>
      <c r="P8" s="7"/>
      <c r="Q8" s="7"/>
    </row>
    <row r="9" spans="1:17" ht="15" customHeight="1" x14ac:dyDescent="0.3">
      <c r="A9" s="6" t="s">
        <v>289</v>
      </c>
      <c r="B9" s="6" t="s">
        <v>290</v>
      </c>
      <c r="C9" s="6">
        <v>2023</v>
      </c>
      <c r="D9" s="6" t="s">
        <v>300</v>
      </c>
      <c r="E9" s="6" t="s">
        <v>310</v>
      </c>
      <c r="F9" s="6">
        <v>1136</v>
      </c>
      <c r="G9" s="6" t="s">
        <v>302</v>
      </c>
      <c r="H9" s="6">
        <v>10</v>
      </c>
      <c r="I9" s="6" t="s">
        <v>311</v>
      </c>
      <c r="J9" s="6" t="s">
        <v>294</v>
      </c>
      <c r="K9" s="6"/>
      <c r="L9" s="6"/>
      <c r="M9" s="7" t="s">
        <v>295</v>
      </c>
      <c r="N9" s="7" t="s">
        <v>296</v>
      </c>
      <c r="O9" s="7" t="s">
        <v>297</v>
      </c>
      <c r="P9" s="7"/>
      <c r="Q9" s="7"/>
    </row>
    <row r="10" spans="1:17" ht="15" customHeight="1" x14ac:dyDescent="0.3">
      <c r="A10" s="6" t="s">
        <v>289</v>
      </c>
      <c r="B10" s="6" t="s">
        <v>290</v>
      </c>
      <c r="C10" s="6">
        <v>2023</v>
      </c>
      <c r="D10" s="6" t="s">
        <v>300</v>
      </c>
      <c r="E10" s="6" t="s">
        <v>312</v>
      </c>
      <c r="F10" s="6">
        <v>7118</v>
      </c>
      <c r="G10" s="6" t="s">
        <v>302</v>
      </c>
      <c r="H10" s="6">
        <v>10</v>
      </c>
      <c r="I10" s="6" t="s">
        <v>313</v>
      </c>
      <c r="J10" s="6" t="s">
        <v>294</v>
      </c>
      <c r="K10" s="6"/>
      <c r="L10" s="6"/>
      <c r="M10" s="7" t="s">
        <v>295</v>
      </c>
      <c r="N10" s="7" t="s">
        <v>296</v>
      </c>
      <c r="O10" s="7" t="s">
        <v>297</v>
      </c>
      <c r="P10" s="7"/>
      <c r="Q10" s="7"/>
    </row>
    <row r="11" spans="1:17" ht="15" customHeight="1" x14ac:dyDescent="0.3">
      <c r="A11" s="6" t="s">
        <v>289</v>
      </c>
      <c r="B11" s="6" t="s">
        <v>290</v>
      </c>
      <c r="C11" s="6">
        <v>2023</v>
      </c>
      <c r="D11" s="6" t="s">
        <v>300</v>
      </c>
      <c r="E11" s="6" t="s">
        <v>314</v>
      </c>
      <c r="F11" s="6">
        <v>21728</v>
      </c>
      <c r="G11" s="6" t="s">
        <v>302</v>
      </c>
      <c r="H11" s="6">
        <v>10</v>
      </c>
      <c r="I11" s="6" t="s">
        <v>315</v>
      </c>
      <c r="J11" s="6" t="s">
        <v>294</v>
      </c>
      <c r="K11" s="6"/>
      <c r="L11" s="6"/>
      <c r="M11" s="7" t="s">
        <v>295</v>
      </c>
      <c r="N11" s="7" t="s">
        <v>296</v>
      </c>
      <c r="O11" s="7" t="s">
        <v>297</v>
      </c>
      <c r="P11" s="7"/>
      <c r="Q11" s="7"/>
    </row>
    <row r="12" spans="1:17" ht="15" customHeight="1" x14ac:dyDescent="0.3">
      <c r="A12" s="6" t="s">
        <v>289</v>
      </c>
      <c r="B12" s="6" t="s">
        <v>290</v>
      </c>
      <c r="C12" s="6">
        <v>2023</v>
      </c>
      <c r="D12" s="6" t="s">
        <v>300</v>
      </c>
      <c r="E12" s="6" t="s">
        <v>316</v>
      </c>
      <c r="F12" s="6">
        <v>28846</v>
      </c>
      <c r="G12" s="6" t="s">
        <v>302</v>
      </c>
      <c r="H12" s="6">
        <v>10</v>
      </c>
      <c r="I12" s="6" t="s">
        <v>317</v>
      </c>
      <c r="J12" s="6" t="s">
        <v>294</v>
      </c>
      <c r="K12" s="6"/>
      <c r="L12" s="6"/>
      <c r="M12" s="7" t="s">
        <v>295</v>
      </c>
      <c r="N12" s="7" t="s">
        <v>296</v>
      </c>
      <c r="O12" s="7" t="s">
        <v>297</v>
      </c>
      <c r="P12" s="7"/>
      <c r="Q12" s="7"/>
    </row>
    <row r="13" spans="1:17" ht="15" customHeight="1" x14ac:dyDescent="0.3">
      <c r="A13" s="6" t="s">
        <v>289</v>
      </c>
      <c r="B13" s="6" t="s">
        <v>290</v>
      </c>
      <c r="C13" s="6">
        <v>2023</v>
      </c>
      <c r="D13" s="6" t="s">
        <v>300</v>
      </c>
      <c r="E13" s="6" t="s">
        <v>318</v>
      </c>
      <c r="F13" s="6">
        <v>3882</v>
      </c>
      <c r="G13" s="6" t="s">
        <v>302</v>
      </c>
      <c r="H13" s="6">
        <v>10</v>
      </c>
      <c r="I13" s="6" t="s">
        <v>319</v>
      </c>
      <c r="J13" s="6" t="s">
        <v>294</v>
      </c>
      <c r="K13" s="6"/>
      <c r="L13" s="6"/>
      <c r="M13" s="7" t="s">
        <v>295</v>
      </c>
      <c r="N13" s="7" t="s">
        <v>296</v>
      </c>
      <c r="O13" s="7" t="s">
        <v>297</v>
      </c>
      <c r="P13" s="7"/>
      <c r="Q13" s="7"/>
    </row>
    <row r="14" spans="1:17" ht="15" customHeight="1" x14ac:dyDescent="0.3">
      <c r="A14" s="6" t="s">
        <v>289</v>
      </c>
      <c r="B14" s="6" t="s">
        <v>290</v>
      </c>
      <c r="C14" s="6">
        <v>2023</v>
      </c>
      <c r="D14" s="6" t="s">
        <v>300</v>
      </c>
      <c r="E14" s="6" t="s">
        <v>320</v>
      </c>
      <c r="F14" s="6">
        <v>2398</v>
      </c>
      <c r="G14" s="6" t="s">
        <v>302</v>
      </c>
      <c r="H14" s="6">
        <v>10</v>
      </c>
      <c r="I14" s="6" t="s">
        <v>321</v>
      </c>
      <c r="J14" s="6" t="s">
        <v>294</v>
      </c>
      <c r="K14" s="6"/>
      <c r="L14" s="6"/>
      <c r="M14" s="7" t="s">
        <v>295</v>
      </c>
      <c r="N14" s="7" t="s">
        <v>296</v>
      </c>
      <c r="O14" s="7" t="s">
        <v>297</v>
      </c>
      <c r="P14" s="7"/>
      <c r="Q14" s="7"/>
    </row>
    <row r="15" spans="1:17" ht="15" customHeight="1" x14ac:dyDescent="0.3">
      <c r="A15" s="6" t="s">
        <v>289</v>
      </c>
      <c r="B15" s="6" t="s">
        <v>290</v>
      </c>
      <c r="C15" s="6">
        <v>2023</v>
      </c>
      <c r="D15" s="6" t="s">
        <v>300</v>
      </c>
      <c r="E15" s="6" t="s">
        <v>322</v>
      </c>
      <c r="F15" s="6">
        <v>6280</v>
      </c>
      <c r="G15" s="6" t="s">
        <v>302</v>
      </c>
      <c r="H15" s="6">
        <v>10</v>
      </c>
      <c r="I15" s="6" t="s">
        <v>323</v>
      </c>
      <c r="J15" s="6" t="s">
        <v>294</v>
      </c>
      <c r="K15" s="6"/>
      <c r="L15" s="6"/>
      <c r="M15" s="7" t="s">
        <v>295</v>
      </c>
      <c r="N15" s="7" t="s">
        <v>296</v>
      </c>
      <c r="O15" s="7" t="s">
        <v>297</v>
      </c>
      <c r="P15" s="7"/>
      <c r="Q15" s="7"/>
    </row>
    <row r="16" spans="1:17" ht="15" customHeight="1" x14ac:dyDescent="0.3">
      <c r="A16" s="6" t="s">
        <v>289</v>
      </c>
      <c r="B16" s="6" t="s">
        <v>290</v>
      </c>
      <c r="C16" s="6">
        <v>2023</v>
      </c>
      <c r="D16" s="6" t="s">
        <v>300</v>
      </c>
      <c r="E16" s="6" t="s">
        <v>324</v>
      </c>
      <c r="F16" s="6">
        <v>22566</v>
      </c>
      <c r="G16" s="6" t="s">
        <v>302</v>
      </c>
      <c r="H16" s="6">
        <v>10</v>
      </c>
      <c r="I16" s="6" t="s">
        <v>325</v>
      </c>
      <c r="J16" s="6" t="s">
        <v>294</v>
      </c>
      <c r="K16" s="6"/>
      <c r="L16" s="6"/>
      <c r="M16" s="7" t="s">
        <v>295</v>
      </c>
      <c r="N16" s="7" t="s">
        <v>296</v>
      </c>
      <c r="O16" s="7" t="s">
        <v>297</v>
      </c>
      <c r="P16" s="7"/>
      <c r="Q16" s="7"/>
    </row>
    <row r="17" spans="1:17" ht="15" customHeight="1" x14ac:dyDescent="0.3">
      <c r="A17" s="6" t="s">
        <v>289</v>
      </c>
      <c r="B17" s="6" t="s">
        <v>290</v>
      </c>
      <c r="C17" s="6">
        <v>2023</v>
      </c>
      <c r="D17" s="6" t="s">
        <v>300</v>
      </c>
      <c r="E17" s="6" t="s">
        <v>326</v>
      </c>
      <c r="F17" s="6">
        <v>1.8</v>
      </c>
      <c r="G17" s="6" t="s">
        <v>327</v>
      </c>
      <c r="H17" s="6">
        <v>10</v>
      </c>
      <c r="I17" s="6" t="s">
        <v>328</v>
      </c>
      <c r="J17" s="6" t="s">
        <v>294</v>
      </c>
      <c r="K17" s="6"/>
      <c r="L17" s="6"/>
      <c r="M17" s="7" t="s">
        <v>295</v>
      </c>
      <c r="N17" s="7" t="s">
        <v>296</v>
      </c>
      <c r="O17" s="7" t="s">
        <v>297</v>
      </c>
      <c r="P17" s="7"/>
      <c r="Q17" s="7"/>
    </row>
    <row r="18" spans="1:17" ht="15" customHeight="1" x14ac:dyDescent="0.3">
      <c r="A18" s="6" t="s">
        <v>289</v>
      </c>
      <c r="B18" s="6" t="s">
        <v>290</v>
      </c>
      <c r="C18" s="6">
        <v>2023</v>
      </c>
      <c r="D18" s="6" t="s">
        <v>300</v>
      </c>
      <c r="E18" s="6" t="s">
        <v>329</v>
      </c>
      <c r="F18" s="6">
        <v>0.2</v>
      </c>
      <c r="G18" s="6" t="s">
        <v>327</v>
      </c>
      <c r="H18" s="6">
        <v>10</v>
      </c>
      <c r="I18" s="6" t="s">
        <v>330</v>
      </c>
      <c r="J18" s="6" t="s">
        <v>294</v>
      </c>
      <c r="K18" s="6"/>
      <c r="L18" s="6"/>
      <c r="M18" s="7" t="s">
        <v>295</v>
      </c>
      <c r="N18" s="7" t="s">
        <v>296</v>
      </c>
      <c r="O18" s="7" t="s">
        <v>297</v>
      </c>
      <c r="P18" s="7"/>
      <c r="Q18" s="7"/>
    </row>
    <row r="19" spans="1:17" ht="15" customHeight="1" x14ac:dyDescent="0.3">
      <c r="A19" s="6" t="s">
        <v>289</v>
      </c>
      <c r="B19" s="6" t="s">
        <v>290</v>
      </c>
      <c r="C19" s="6">
        <v>2023</v>
      </c>
      <c r="D19" s="6" t="s">
        <v>300</v>
      </c>
      <c r="E19" s="6" t="s">
        <v>331</v>
      </c>
      <c r="F19" s="6">
        <v>0.3</v>
      </c>
      <c r="G19" s="6" t="s">
        <v>327</v>
      </c>
      <c r="H19" s="6">
        <v>10</v>
      </c>
      <c r="I19" s="6" t="s">
        <v>332</v>
      </c>
      <c r="J19" s="6" t="s">
        <v>294</v>
      </c>
      <c r="K19" s="6"/>
      <c r="L19" s="6"/>
      <c r="M19" s="7" t="s">
        <v>295</v>
      </c>
      <c r="N19" s="7" t="s">
        <v>296</v>
      </c>
      <c r="O19" s="7" t="s">
        <v>297</v>
      </c>
      <c r="P19" s="7"/>
      <c r="Q19" s="7"/>
    </row>
    <row r="20" spans="1:17" ht="15" customHeight="1" x14ac:dyDescent="0.3">
      <c r="A20" s="6" t="s">
        <v>289</v>
      </c>
      <c r="B20" s="6" t="s">
        <v>290</v>
      </c>
      <c r="C20" s="6">
        <v>2023</v>
      </c>
      <c r="D20" s="6" t="s">
        <v>300</v>
      </c>
      <c r="E20" s="6" t="s">
        <v>333</v>
      </c>
      <c r="F20" s="6">
        <v>0.04</v>
      </c>
      <c r="G20" s="6" t="s">
        <v>334</v>
      </c>
      <c r="H20" s="6">
        <v>10</v>
      </c>
      <c r="I20" s="6" t="s">
        <v>335</v>
      </c>
      <c r="J20" s="6" t="s">
        <v>294</v>
      </c>
      <c r="K20" s="6"/>
      <c r="L20" s="6"/>
      <c r="M20" s="7" t="s">
        <v>295</v>
      </c>
      <c r="N20" s="7" t="s">
        <v>296</v>
      </c>
      <c r="O20" s="7" t="s">
        <v>297</v>
      </c>
      <c r="P20" s="7"/>
      <c r="Q20" s="7"/>
    </row>
    <row r="21" spans="1:17" ht="15" customHeight="1" x14ac:dyDescent="0.3">
      <c r="A21" s="6" t="s">
        <v>289</v>
      </c>
      <c r="B21" s="6" t="s">
        <v>290</v>
      </c>
      <c r="C21" s="6">
        <v>2023</v>
      </c>
      <c r="D21" s="6" t="s">
        <v>300</v>
      </c>
      <c r="E21" s="6" t="s">
        <v>336</v>
      </c>
      <c r="F21" s="6">
        <v>0.05</v>
      </c>
      <c r="G21" s="6" t="s">
        <v>334</v>
      </c>
      <c r="H21" s="6">
        <v>10</v>
      </c>
      <c r="I21" s="6" t="s">
        <v>337</v>
      </c>
      <c r="J21" s="6" t="s">
        <v>294</v>
      </c>
      <c r="K21" s="6"/>
      <c r="L21" s="6"/>
      <c r="M21" s="7" t="s">
        <v>295</v>
      </c>
      <c r="N21" s="7" t="s">
        <v>296</v>
      </c>
      <c r="O21" s="7" t="s">
        <v>297</v>
      </c>
      <c r="P21" s="7"/>
      <c r="Q21" s="7"/>
    </row>
    <row r="22" spans="1:17" ht="15" customHeight="1" x14ac:dyDescent="0.3">
      <c r="A22" s="6" t="s">
        <v>289</v>
      </c>
      <c r="B22" s="6" t="s">
        <v>290</v>
      </c>
      <c r="C22" s="6">
        <v>2023</v>
      </c>
      <c r="D22" s="6" t="s">
        <v>300</v>
      </c>
      <c r="E22" s="6" t="s">
        <v>338</v>
      </c>
      <c r="F22" s="6">
        <v>0.05</v>
      </c>
      <c r="G22" s="6" t="s">
        <v>334</v>
      </c>
      <c r="H22" s="6">
        <v>10</v>
      </c>
      <c r="I22" s="6" t="s">
        <v>339</v>
      </c>
      <c r="J22" s="6" t="s">
        <v>294</v>
      </c>
      <c r="K22" s="6"/>
      <c r="L22" s="6"/>
      <c r="M22" s="7" t="s">
        <v>295</v>
      </c>
      <c r="N22" s="7" t="s">
        <v>296</v>
      </c>
      <c r="O22" s="7" t="s">
        <v>297</v>
      </c>
      <c r="P22" s="7"/>
      <c r="Q22" s="7"/>
    </row>
    <row r="23" spans="1:17" ht="15" customHeight="1" x14ac:dyDescent="0.3">
      <c r="A23" s="6" t="s">
        <v>289</v>
      </c>
      <c r="B23" s="6" t="s">
        <v>290</v>
      </c>
      <c r="C23" s="6">
        <v>2023</v>
      </c>
      <c r="D23" s="6" t="s">
        <v>300</v>
      </c>
      <c r="E23" s="6" t="s">
        <v>340</v>
      </c>
      <c r="F23" s="6">
        <v>0.13</v>
      </c>
      <c r="G23" s="6" t="s">
        <v>334</v>
      </c>
      <c r="H23" s="6">
        <v>10</v>
      </c>
      <c r="I23" s="6" t="s">
        <v>341</v>
      </c>
      <c r="J23" s="6" t="s">
        <v>294</v>
      </c>
      <c r="K23" s="6"/>
      <c r="L23" s="6"/>
      <c r="M23" s="7" t="s">
        <v>295</v>
      </c>
      <c r="N23" s="7" t="s">
        <v>296</v>
      </c>
      <c r="O23" s="7" t="s">
        <v>297</v>
      </c>
      <c r="P23" s="7"/>
      <c r="Q23" s="7"/>
    </row>
    <row r="24" spans="1:17" ht="15" customHeight="1" x14ac:dyDescent="0.3">
      <c r="A24" s="6" t="s">
        <v>289</v>
      </c>
      <c r="B24" s="6" t="s">
        <v>290</v>
      </c>
      <c r="C24" s="6">
        <v>2023</v>
      </c>
      <c r="D24" s="6" t="s">
        <v>300</v>
      </c>
      <c r="E24" s="6" t="s">
        <v>342</v>
      </c>
      <c r="F24" s="6">
        <v>1925</v>
      </c>
      <c r="G24" s="6" t="s">
        <v>343</v>
      </c>
      <c r="H24" s="6">
        <v>10</v>
      </c>
      <c r="I24" s="6" t="s">
        <v>344</v>
      </c>
      <c r="J24" s="6" t="s">
        <v>294</v>
      </c>
      <c r="K24" s="6"/>
      <c r="L24" s="6"/>
      <c r="M24" s="7" t="s">
        <v>295</v>
      </c>
      <c r="N24" s="7" t="s">
        <v>296</v>
      </c>
      <c r="O24" s="7" t="s">
        <v>297</v>
      </c>
      <c r="P24" s="7"/>
      <c r="Q24" s="7"/>
    </row>
    <row r="25" spans="1:17" ht="15" customHeight="1" x14ac:dyDescent="0.3">
      <c r="A25" s="6" t="s">
        <v>289</v>
      </c>
      <c r="B25" s="6" t="s">
        <v>290</v>
      </c>
      <c r="C25" s="6">
        <v>2023</v>
      </c>
      <c r="D25" s="6" t="s">
        <v>300</v>
      </c>
      <c r="E25" s="6" t="s">
        <v>345</v>
      </c>
      <c r="F25" s="6">
        <v>549</v>
      </c>
      <c r="G25" s="6" t="s">
        <v>346</v>
      </c>
      <c r="H25" s="6">
        <v>10</v>
      </c>
      <c r="I25" s="6" t="s">
        <v>347</v>
      </c>
      <c r="J25" s="6" t="s">
        <v>294</v>
      </c>
      <c r="K25" s="6"/>
      <c r="L25" s="6"/>
      <c r="M25" s="7" t="s">
        <v>295</v>
      </c>
      <c r="N25" s="7" t="s">
        <v>296</v>
      </c>
      <c r="O25" s="7" t="s">
        <v>297</v>
      </c>
      <c r="P25" s="7"/>
      <c r="Q25" s="7"/>
    </row>
    <row r="26" spans="1:17" ht="15" customHeight="1" x14ac:dyDescent="0.3">
      <c r="A26" s="6" t="s">
        <v>289</v>
      </c>
      <c r="B26" s="6" t="s">
        <v>290</v>
      </c>
      <c r="C26" s="6">
        <v>2023</v>
      </c>
      <c r="D26" s="6" t="s">
        <v>300</v>
      </c>
      <c r="E26" s="6" t="s">
        <v>348</v>
      </c>
      <c r="F26" s="6">
        <v>11724</v>
      </c>
      <c r="G26" s="6" t="s">
        <v>346</v>
      </c>
      <c r="H26" s="6">
        <v>10</v>
      </c>
      <c r="I26" s="6" t="s">
        <v>349</v>
      </c>
      <c r="J26" s="6" t="s">
        <v>294</v>
      </c>
      <c r="K26" s="6"/>
      <c r="L26" s="6"/>
      <c r="M26" s="7" t="s">
        <v>295</v>
      </c>
      <c r="N26" s="7" t="s">
        <v>296</v>
      </c>
      <c r="O26" s="7" t="s">
        <v>297</v>
      </c>
      <c r="P26" s="7"/>
      <c r="Q26" s="7"/>
    </row>
    <row r="27" spans="1:17" ht="15" customHeight="1" x14ac:dyDescent="0.3">
      <c r="A27" s="6" t="s">
        <v>289</v>
      </c>
      <c r="B27" s="6" t="s">
        <v>290</v>
      </c>
      <c r="C27" s="6">
        <v>2023</v>
      </c>
      <c r="D27" s="6" t="s">
        <v>300</v>
      </c>
      <c r="E27" s="6" t="s">
        <v>350</v>
      </c>
      <c r="F27" s="6">
        <v>82</v>
      </c>
      <c r="G27" s="6" t="s">
        <v>346</v>
      </c>
      <c r="H27" s="6">
        <v>10</v>
      </c>
      <c r="I27" s="6" t="s">
        <v>351</v>
      </c>
      <c r="J27" s="6" t="s">
        <v>294</v>
      </c>
      <c r="K27" s="6"/>
      <c r="L27" s="6"/>
      <c r="M27" s="7" t="s">
        <v>295</v>
      </c>
      <c r="N27" s="7" t="s">
        <v>296</v>
      </c>
      <c r="O27" s="7" t="s">
        <v>297</v>
      </c>
      <c r="P27" s="7"/>
      <c r="Q27" s="7"/>
    </row>
    <row r="28" spans="1:17" ht="15" customHeight="1" x14ac:dyDescent="0.3">
      <c r="A28" s="6" t="s">
        <v>289</v>
      </c>
      <c r="B28" s="6" t="s">
        <v>290</v>
      </c>
      <c r="C28" s="6">
        <v>2023</v>
      </c>
      <c r="D28" s="6" t="s">
        <v>300</v>
      </c>
      <c r="E28" s="6" t="s">
        <v>352</v>
      </c>
      <c r="F28" s="6">
        <v>319</v>
      </c>
      <c r="G28" s="6" t="s">
        <v>346</v>
      </c>
      <c r="H28" s="6">
        <v>10</v>
      </c>
      <c r="I28" s="6" t="s">
        <v>353</v>
      </c>
      <c r="J28" s="6" t="s">
        <v>294</v>
      </c>
      <c r="K28" s="6"/>
      <c r="L28" s="6"/>
      <c r="M28" s="7" t="s">
        <v>295</v>
      </c>
      <c r="N28" s="7" t="s">
        <v>296</v>
      </c>
      <c r="O28" s="7" t="s">
        <v>297</v>
      </c>
      <c r="P28" s="7"/>
      <c r="Q28" s="7"/>
    </row>
    <row r="29" spans="1:17" ht="15" customHeight="1" x14ac:dyDescent="0.3">
      <c r="A29" s="6" t="s">
        <v>289</v>
      </c>
      <c r="B29" s="6" t="s">
        <v>290</v>
      </c>
      <c r="C29" s="6">
        <v>2023</v>
      </c>
      <c r="D29" s="6" t="s">
        <v>300</v>
      </c>
      <c r="E29" s="6" t="s">
        <v>354</v>
      </c>
      <c r="F29" s="6">
        <v>7025</v>
      </c>
      <c r="G29" s="6" t="s">
        <v>346</v>
      </c>
      <c r="H29" s="6">
        <v>12</v>
      </c>
      <c r="I29" s="6" t="s">
        <v>355</v>
      </c>
      <c r="J29" s="6" t="s">
        <v>294</v>
      </c>
      <c r="K29" s="6"/>
      <c r="L29" s="6"/>
      <c r="M29" s="7" t="s">
        <v>295</v>
      </c>
      <c r="N29" s="7" t="s">
        <v>296</v>
      </c>
      <c r="O29" s="7" t="s">
        <v>297</v>
      </c>
      <c r="P29" s="7"/>
      <c r="Q29" s="7"/>
    </row>
    <row r="30" spans="1:17" ht="15" customHeight="1" x14ac:dyDescent="0.3">
      <c r="A30" s="6" t="s">
        <v>289</v>
      </c>
      <c r="B30" s="6" t="s">
        <v>290</v>
      </c>
      <c r="C30" s="6">
        <v>2023</v>
      </c>
      <c r="D30" s="6" t="s">
        <v>300</v>
      </c>
      <c r="E30" s="6" t="s">
        <v>356</v>
      </c>
      <c r="F30" s="6">
        <v>13520</v>
      </c>
      <c r="G30" s="6" t="s">
        <v>302</v>
      </c>
      <c r="H30" s="6">
        <v>12</v>
      </c>
      <c r="I30" s="6" t="s">
        <v>357</v>
      </c>
      <c r="J30" s="6" t="s">
        <v>294</v>
      </c>
      <c r="K30" s="6"/>
      <c r="L30" s="6"/>
      <c r="M30" s="7" t="s">
        <v>295</v>
      </c>
      <c r="N30" s="7" t="s">
        <v>296</v>
      </c>
      <c r="O30" s="7" t="s">
        <v>297</v>
      </c>
      <c r="P30" s="7"/>
      <c r="Q30" s="7"/>
    </row>
    <row r="31" spans="1:17" ht="15" customHeight="1" x14ac:dyDescent="0.3">
      <c r="A31" s="6" t="s">
        <v>289</v>
      </c>
      <c r="B31" s="6" t="s">
        <v>290</v>
      </c>
      <c r="C31" s="6">
        <v>2023</v>
      </c>
      <c r="D31" s="6" t="s">
        <v>358</v>
      </c>
      <c r="E31" s="6" t="s">
        <v>359</v>
      </c>
      <c r="F31" s="6">
        <v>285387</v>
      </c>
      <c r="G31" s="6" t="s">
        <v>360</v>
      </c>
      <c r="H31" s="6">
        <v>13</v>
      </c>
      <c r="I31" s="6" t="s">
        <v>361</v>
      </c>
      <c r="J31" s="6" t="s">
        <v>294</v>
      </c>
      <c r="K31" s="6"/>
      <c r="L31" s="6"/>
      <c r="M31" s="7" t="s">
        <v>295</v>
      </c>
      <c r="N31" s="7" t="s">
        <v>296</v>
      </c>
      <c r="O31" s="7" t="s">
        <v>297</v>
      </c>
      <c r="P31" s="7"/>
      <c r="Q31" s="7"/>
    </row>
    <row r="32" spans="1:17" ht="15" customHeight="1" x14ac:dyDescent="0.3">
      <c r="A32" s="6" t="s">
        <v>289</v>
      </c>
      <c r="B32" s="6" t="s">
        <v>290</v>
      </c>
      <c r="C32" s="6">
        <v>2023</v>
      </c>
      <c r="D32" s="6" t="s">
        <v>358</v>
      </c>
      <c r="E32" s="6" t="s">
        <v>362</v>
      </c>
      <c r="F32" s="6">
        <v>213158</v>
      </c>
      <c r="G32" s="6" t="s">
        <v>360</v>
      </c>
      <c r="H32" s="6">
        <v>13</v>
      </c>
      <c r="I32" s="6" t="s">
        <v>363</v>
      </c>
      <c r="J32" s="6" t="s">
        <v>294</v>
      </c>
      <c r="K32" s="6"/>
      <c r="L32" s="6"/>
      <c r="M32" s="7" t="s">
        <v>295</v>
      </c>
      <c r="N32" s="7" t="s">
        <v>296</v>
      </c>
      <c r="O32" s="7" t="s">
        <v>297</v>
      </c>
      <c r="P32" s="7"/>
      <c r="Q32" s="7"/>
    </row>
    <row r="33" spans="1:17" ht="15" customHeight="1" x14ac:dyDescent="0.3">
      <c r="A33" s="6" t="s">
        <v>289</v>
      </c>
      <c r="B33" s="6" t="s">
        <v>290</v>
      </c>
      <c r="C33" s="6">
        <v>2023</v>
      </c>
      <c r="D33" s="6" t="s">
        <v>358</v>
      </c>
      <c r="E33" s="6" t="s">
        <v>364</v>
      </c>
      <c r="F33" s="6">
        <v>72229</v>
      </c>
      <c r="G33" s="6" t="s">
        <v>360</v>
      </c>
      <c r="H33" s="6">
        <v>13</v>
      </c>
      <c r="I33" s="6" t="s">
        <v>365</v>
      </c>
      <c r="J33" s="6" t="s">
        <v>294</v>
      </c>
      <c r="K33" s="6"/>
      <c r="L33" s="6"/>
      <c r="M33" s="7" t="s">
        <v>295</v>
      </c>
      <c r="N33" s="7" t="s">
        <v>296</v>
      </c>
      <c r="O33" s="7" t="s">
        <v>297</v>
      </c>
      <c r="P33" s="7"/>
      <c r="Q33" s="7"/>
    </row>
    <row r="34" spans="1:17" ht="15" customHeight="1" x14ac:dyDescent="0.3">
      <c r="A34" s="6" t="s">
        <v>289</v>
      </c>
      <c r="B34" s="6" t="s">
        <v>290</v>
      </c>
      <c r="C34" s="6">
        <v>2023</v>
      </c>
      <c r="D34" s="6" t="s">
        <v>358</v>
      </c>
      <c r="E34" s="6" t="s">
        <v>366</v>
      </c>
      <c r="F34" s="6">
        <v>265518</v>
      </c>
      <c r="G34" s="6" t="s">
        <v>360</v>
      </c>
      <c r="H34" s="6">
        <v>13</v>
      </c>
      <c r="I34" s="6" t="s">
        <v>367</v>
      </c>
      <c r="J34" s="6" t="s">
        <v>294</v>
      </c>
      <c r="K34" s="6"/>
      <c r="L34" s="6"/>
      <c r="M34" s="7" t="s">
        <v>295</v>
      </c>
      <c r="N34" s="7" t="s">
        <v>296</v>
      </c>
      <c r="O34" s="7" t="s">
        <v>297</v>
      </c>
      <c r="P34" s="7"/>
      <c r="Q34" s="7"/>
    </row>
    <row r="35" spans="1:17" ht="15" customHeight="1" x14ac:dyDescent="0.3">
      <c r="A35" s="6" t="s">
        <v>289</v>
      </c>
      <c r="B35" s="6" t="s">
        <v>290</v>
      </c>
      <c r="C35" s="6">
        <v>2023</v>
      </c>
      <c r="D35" s="6" t="s">
        <v>358</v>
      </c>
      <c r="E35" s="6" t="s">
        <v>368</v>
      </c>
      <c r="F35" s="6">
        <v>19869</v>
      </c>
      <c r="G35" s="6" t="s">
        <v>360</v>
      </c>
      <c r="H35" s="6">
        <v>13</v>
      </c>
      <c r="I35" s="6" t="s">
        <v>369</v>
      </c>
      <c r="J35" s="6" t="s">
        <v>294</v>
      </c>
      <c r="K35" s="6"/>
      <c r="L35" s="6"/>
      <c r="M35" s="7" t="s">
        <v>295</v>
      </c>
      <c r="N35" s="7" t="s">
        <v>296</v>
      </c>
      <c r="O35" s="7" t="s">
        <v>297</v>
      </c>
      <c r="P35" s="7"/>
      <c r="Q35" s="7"/>
    </row>
    <row r="36" spans="1:17" ht="15" customHeight="1" x14ac:dyDescent="0.3">
      <c r="A36" s="6" t="s">
        <v>289</v>
      </c>
      <c r="B36" s="6" t="s">
        <v>290</v>
      </c>
      <c r="C36" s="6">
        <v>2023</v>
      </c>
      <c r="D36" s="6" t="s">
        <v>358</v>
      </c>
      <c r="E36" s="6" t="s">
        <v>370</v>
      </c>
      <c r="F36" s="6">
        <v>102319</v>
      </c>
      <c r="G36" s="6" t="s">
        <v>360</v>
      </c>
      <c r="H36" s="6">
        <v>13</v>
      </c>
      <c r="I36" s="6" t="s">
        <v>371</v>
      </c>
      <c r="J36" s="6" t="s">
        <v>294</v>
      </c>
      <c r="K36" s="6"/>
      <c r="L36" s="6"/>
      <c r="M36" s="7" t="s">
        <v>295</v>
      </c>
      <c r="N36" s="7" t="s">
        <v>296</v>
      </c>
      <c r="O36" s="7" t="s">
        <v>297</v>
      </c>
      <c r="P36" s="7"/>
      <c r="Q36" s="7"/>
    </row>
    <row r="37" spans="1:17" ht="15" customHeight="1" x14ac:dyDescent="0.3">
      <c r="A37" s="6" t="s">
        <v>289</v>
      </c>
      <c r="B37" s="6" t="s">
        <v>290</v>
      </c>
      <c r="C37" s="6">
        <v>2023</v>
      </c>
      <c r="D37" s="6" t="s">
        <v>358</v>
      </c>
      <c r="E37" s="6" t="s">
        <v>372</v>
      </c>
      <c r="F37" s="6">
        <v>163199</v>
      </c>
      <c r="G37" s="6" t="s">
        <v>360</v>
      </c>
      <c r="H37" s="6">
        <v>13</v>
      </c>
      <c r="I37" s="6" t="s">
        <v>373</v>
      </c>
      <c r="J37" s="6" t="s">
        <v>294</v>
      </c>
      <c r="K37" s="6"/>
      <c r="L37" s="6"/>
      <c r="M37" s="7" t="s">
        <v>295</v>
      </c>
      <c r="N37" s="7" t="s">
        <v>296</v>
      </c>
      <c r="O37" s="7" t="s">
        <v>297</v>
      </c>
      <c r="P37" s="7"/>
      <c r="Q37" s="7"/>
    </row>
    <row r="38" spans="1:17" ht="15" customHeight="1" x14ac:dyDescent="0.3">
      <c r="A38" s="6" t="s">
        <v>289</v>
      </c>
      <c r="B38" s="6" t="s">
        <v>290</v>
      </c>
      <c r="C38" s="6">
        <v>2023</v>
      </c>
      <c r="D38" s="6" t="s">
        <v>358</v>
      </c>
      <c r="E38" s="6" t="s">
        <v>374</v>
      </c>
      <c r="F38" s="6">
        <v>16.2</v>
      </c>
      <c r="G38" s="6" t="s">
        <v>375</v>
      </c>
      <c r="H38" s="6">
        <v>13</v>
      </c>
      <c r="I38" s="6" t="s">
        <v>376</v>
      </c>
      <c r="J38" s="6" t="s">
        <v>294</v>
      </c>
      <c r="K38" s="6"/>
      <c r="L38" s="6"/>
      <c r="M38" s="7" t="s">
        <v>295</v>
      </c>
      <c r="N38" s="7" t="s">
        <v>296</v>
      </c>
      <c r="O38" s="7" t="s">
        <v>297</v>
      </c>
      <c r="P38" s="7"/>
      <c r="Q38" s="7"/>
    </row>
    <row r="39" spans="1:17" ht="15" customHeight="1" x14ac:dyDescent="0.3">
      <c r="A39" s="6" t="s">
        <v>289</v>
      </c>
      <c r="B39" s="6" t="s">
        <v>290</v>
      </c>
      <c r="C39" s="6">
        <v>2023</v>
      </c>
      <c r="D39" s="6" t="s">
        <v>358</v>
      </c>
      <c r="E39" s="6" t="s">
        <v>377</v>
      </c>
      <c r="F39" s="6">
        <v>105300</v>
      </c>
      <c r="G39" s="6" t="s">
        <v>360</v>
      </c>
      <c r="H39" s="6">
        <v>13</v>
      </c>
      <c r="I39" s="6" t="s">
        <v>378</v>
      </c>
      <c r="J39" s="6" t="s">
        <v>294</v>
      </c>
      <c r="K39" s="6"/>
      <c r="L39" s="6"/>
      <c r="M39" s="7" t="s">
        <v>295</v>
      </c>
      <c r="N39" s="7" t="s">
        <v>296</v>
      </c>
      <c r="O39" s="7" t="s">
        <v>297</v>
      </c>
      <c r="P39" s="7"/>
      <c r="Q39" s="7"/>
    </row>
    <row r="40" spans="1:17" ht="15" customHeight="1" x14ac:dyDescent="0.3">
      <c r="A40" s="6" t="s">
        <v>289</v>
      </c>
      <c r="B40" s="6" t="s">
        <v>290</v>
      </c>
      <c r="C40" s="6">
        <v>2023</v>
      </c>
      <c r="D40" s="6" t="s">
        <v>358</v>
      </c>
      <c r="E40" s="6" t="s">
        <v>379</v>
      </c>
      <c r="F40" s="6">
        <v>129804</v>
      </c>
      <c r="G40" s="6" t="s">
        <v>360</v>
      </c>
      <c r="H40" s="6">
        <v>13</v>
      </c>
      <c r="I40" s="6" t="s">
        <v>380</v>
      </c>
      <c r="J40" s="6" t="s">
        <v>294</v>
      </c>
      <c r="K40" s="6"/>
      <c r="L40" s="6"/>
      <c r="M40" s="7" t="s">
        <v>295</v>
      </c>
      <c r="N40" s="7" t="s">
        <v>296</v>
      </c>
      <c r="O40" s="7" t="s">
        <v>297</v>
      </c>
      <c r="P40" s="7"/>
      <c r="Q40" s="7"/>
    </row>
    <row r="41" spans="1:17" ht="15" customHeight="1" x14ac:dyDescent="0.3">
      <c r="A41" s="6" t="s">
        <v>289</v>
      </c>
      <c r="B41" s="6" t="s">
        <v>290</v>
      </c>
      <c r="C41" s="6">
        <v>2023</v>
      </c>
      <c r="D41" s="6" t="s">
        <v>358</v>
      </c>
      <c r="E41" s="6" t="s">
        <v>381</v>
      </c>
      <c r="F41" s="6">
        <v>50283</v>
      </c>
      <c r="G41" s="6" t="s">
        <v>360</v>
      </c>
      <c r="H41" s="6">
        <v>13</v>
      </c>
      <c r="I41" s="6" t="s">
        <v>382</v>
      </c>
      <c r="J41" s="6" t="s">
        <v>294</v>
      </c>
      <c r="K41" s="6"/>
      <c r="L41" s="6"/>
      <c r="M41" s="7" t="s">
        <v>295</v>
      </c>
      <c r="N41" s="7" t="s">
        <v>296</v>
      </c>
      <c r="O41" s="7" t="s">
        <v>297</v>
      </c>
      <c r="P41" s="7"/>
      <c r="Q41" s="7"/>
    </row>
    <row r="42" spans="1:17" ht="15" customHeight="1" x14ac:dyDescent="0.3">
      <c r="A42" s="6" t="s">
        <v>289</v>
      </c>
      <c r="B42" s="6" t="s">
        <v>290</v>
      </c>
      <c r="C42" s="6">
        <v>2023</v>
      </c>
      <c r="D42" s="6" t="s">
        <v>358</v>
      </c>
      <c r="E42" s="6" t="s">
        <v>383</v>
      </c>
      <c r="F42" s="6">
        <v>32</v>
      </c>
      <c r="G42" s="6" t="s">
        <v>384</v>
      </c>
      <c r="H42" s="6">
        <v>14</v>
      </c>
      <c r="I42" s="6" t="s">
        <v>385</v>
      </c>
      <c r="J42" s="6" t="s">
        <v>294</v>
      </c>
      <c r="K42" s="6"/>
      <c r="L42" s="6"/>
      <c r="M42" s="7" t="s">
        <v>295</v>
      </c>
      <c r="N42" s="7" t="s">
        <v>296</v>
      </c>
      <c r="O42" s="7" t="s">
        <v>297</v>
      </c>
      <c r="P42" s="7"/>
      <c r="Q42" s="7"/>
    </row>
    <row r="43" spans="1:17" ht="15" customHeight="1" x14ac:dyDescent="0.3">
      <c r="A43" s="6" t="s">
        <v>289</v>
      </c>
      <c r="B43" s="6" t="s">
        <v>290</v>
      </c>
      <c r="C43" s="6">
        <v>2023</v>
      </c>
      <c r="D43" s="6" t="s">
        <v>358</v>
      </c>
      <c r="E43" s="6" t="s">
        <v>386</v>
      </c>
      <c r="F43" s="6">
        <v>14</v>
      </c>
      <c r="G43" s="6" t="s">
        <v>384</v>
      </c>
      <c r="H43" s="6">
        <v>14</v>
      </c>
      <c r="I43" s="6" t="s">
        <v>387</v>
      </c>
      <c r="J43" s="6" t="s">
        <v>294</v>
      </c>
      <c r="K43" s="6"/>
      <c r="L43" s="6"/>
      <c r="M43" s="7" t="s">
        <v>295</v>
      </c>
      <c r="N43" s="7" t="s">
        <v>296</v>
      </c>
      <c r="O43" s="7" t="s">
        <v>297</v>
      </c>
      <c r="P43" s="7"/>
      <c r="Q43" s="7"/>
    </row>
    <row r="44" spans="1:17" ht="15" customHeight="1" x14ac:dyDescent="0.3">
      <c r="A44" s="6" t="s">
        <v>289</v>
      </c>
      <c r="B44" s="6" t="s">
        <v>290</v>
      </c>
      <c r="C44" s="6">
        <v>2023</v>
      </c>
      <c r="D44" s="6" t="s">
        <v>358</v>
      </c>
      <c r="E44" s="6" t="s">
        <v>388</v>
      </c>
      <c r="F44" s="6">
        <v>2</v>
      </c>
      <c r="G44" s="6" t="s">
        <v>384</v>
      </c>
      <c r="H44" s="6">
        <v>14</v>
      </c>
      <c r="I44" s="6" t="s">
        <v>389</v>
      </c>
      <c r="J44" s="6" t="s">
        <v>294</v>
      </c>
      <c r="K44" s="6"/>
      <c r="L44" s="6"/>
      <c r="M44" s="7" t="s">
        <v>295</v>
      </c>
      <c r="N44" s="7" t="s">
        <v>296</v>
      </c>
      <c r="O44" s="7" t="s">
        <v>297</v>
      </c>
      <c r="P44" s="7"/>
      <c r="Q44" s="7"/>
    </row>
    <row r="45" spans="1:17" ht="15" customHeight="1" x14ac:dyDescent="0.3">
      <c r="A45" s="6" t="s">
        <v>289</v>
      </c>
      <c r="B45" s="6" t="s">
        <v>290</v>
      </c>
      <c r="C45" s="6">
        <v>2023</v>
      </c>
      <c r="D45" s="6" t="s">
        <v>358</v>
      </c>
      <c r="E45" s="6" t="s">
        <v>390</v>
      </c>
      <c r="F45" s="6">
        <v>1</v>
      </c>
      <c r="G45" s="6" t="s">
        <v>384</v>
      </c>
      <c r="H45" s="6">
        <v>14</v>
      </c>
      <c r="I45" s="6" t="s">
        <v>391</v>
      </c>
      <c r="J45" s="6" t="s">
        <v>294</v>
      </c>
      <c r="K45" s="6"/>
      <c r="L45" s="6"/>
      <c r="M45" s="7" t="s">
        <v>295</v>
      </c>
      <c r="N45" s="7" t="s">
        <v>296</v>
      </c>
      <c r="O45" s="7" t="s">
        <v>297</v>
      </c>
      <c r="P45" s="7"/>
      <c r="Q45" s="7"/>
    </row>
    <row r="46" spans="1:17" ht="15" customHeight="1" x14ac:dyDescent="0.3">
      <c r="A46" s="6" t="s">
        <v>289</v>
      </c>
      <c r="B46" s="6" t="s">
        <v>290</v>
      </c>
      <c r="C46" s="6">
        <v>2023</v>
      </c>
      <c r="D46" s="6" t="s">
        <v>358</v>
      </c>
      <c r="E46" s="6" t="s">
        <v>392</v>
      </c>
      <c r="F46" s="6">
        <v>2</v>
      </c>
      <c r="G46" s="6" t="s">
        <v>384</v>
      </c>
      <c r="H46" s="6">
        <v>14</v>
      </c>
      <c r="I46" s="6" t="s">
        <v>393</v>
      </c>
      <c r="J46" s="6" t="s">
        <v>294</v>
      </c>
      <c r="K46" s="6"/>
      <c r="L46" s="6"/>
      <c r="M46" s="7" t="s">
        <v>295</v>
      </c>
      <c r="N46" s="7" t="s">
        <v>296</v>
      </c>
      <c r="O46" s="7" t="s">
        <v>297</v>
      </c>
      <c r="P46" s="7"/>
      <c r="Q46" s="7"/>
    </row>
    <row r="47" spans="1:17" ht="15" customHeight="1" x14ac:dyDescent="0.3">
      <c r="A47" s="6" t="s">
        <v>289</v>
      </c>
      <c r="B47" s="6" t="s">
        <v>290</v>
      </c>
      <c r="C47" s="6">
        <v>2023</v>
      </c>
      <c r="D47" s="6" t="s">
        <v>394</v>
      </c>
      <c r="E47" s="6" t="s">
        <v>395</v>
      </c>
      <c r="F47" s="6">
        <v>4353645</v>
      </c>
      <c r="G47" s="6" t="s">
        <v>396</v>
      </c>
      <c r="H47" s="6">
        <v>13</v>
      </c>
      <c r="I47" s="6" t="s">
        <v>397</v>
      </c>
      <c r="J47" s="6" t="s">
        <v>294</v>
      </c>
      <c r="K47" s="6"/>
      <c r="L47" s="6"/>
      <c r="M47" s="7" t="s">
        <v>295</v>
      </c>
      <c r="N47" s="7" t="s">
        <v>296</v>
      </c>
      <c r="O47" s="7" t="s">
        <v>297</v>
      </c>
      <c r="P47" s="7"/>
      <c r="Q47" s="7"/>
    </row>
    <row r="48" spans="1:17" ht="15" customHeight="1" x14ac:dyDescent="0.3">
      <c r="A48" s="6" t="s">
        <v>289</v>
      </c>
      <c r="B48" s="6" t="s">
        <v>290</v>
      </c>
      <c r="C48" s="6">
        <v>2023</v>
      </c>
      <c r="D48" s="6" t="s">
        <v>394</v>
      </c>
      <c r="E48" s="6" t="s">
        <v>398</v>
      </c>
      <c r="F48" s="6">
        <v>3312149</v>
      </c>
      <c r="G48" s="6" t="s">
        <v>396</v>
      </c>
      <c r="H48" s="6">
        <v>13</v>
      </c>
      <c r="I48" s="6" t="s">
        <v>399</v>
      </c>
      <c r="J48" s="6" t="s">
        <v>294</v>
      </c>
      <c r="K48" s="6"/>
      <c r="L48" s="6"/>
      <c r="M48" s="7" t="s">
        <v>295</v>
      </c>
      <c r="N48" s="7" t="s">
        <v>296</v>
      </c>
      <c r="O48" s="7" t="s">
        <v>297</v>
      </c>
      <c r="P48" s="7"/>
      <c r="Q48" s="7"/>
    </row>
    <row r="49" spans="1:17" ht="15" customHeight="1" x14ac:dyDescent="0.3">
      <c r="A49" s="6" t="s">
        <v>289</v>
      </c>
      <c r="B49" s="6" t="s">
        <v>290</v>
      </c>
      <c r="C49" s="6">
        <v>2023</v>
      </c>
      <c r="D49" s="6" t="s">
        <v>394</v>
      </c>
      <c r="E49" s="6" t="s">
        <v>400</v>
      </c>
      <c r="F49" s="6">
        <v>1041496</v>
      </c>
      <c r="G49" s="6" t="s">
        <v>396</v>
      </c>
      <c r="H49" s="6">
        <v>13</v>
      </c>
      <c r="I49" s="6" t="s">
        <v>401</v>
      </c>
      <c r="J49" s="6" t="s">
        <v>294</v>
      </c>
      <c r="K49" s="6"/>
      <c r="L49" s="6"/>
      <c r="M49" s="7" t="s">
        <v>295</v>
      </c>
      <c r="N49" s="7" t="s">
        <v>296</v>
      </c>
      <c r="O49" s="7" t="s">
        <v>297</v>
      </c>
      <c r="P49" s="7"/>
      <c r="Q49" s="7"/>
    </row>
    <row r="50" spans="1:17" ht="15" customHeight="1" x14ac:dyDescent="0.3">
      <c r="A50" s="6" t="s">
        <v>289</v>
      </c>
      <c r="B50" s="6" t="s">
        <v>290</v>
      </c>
      <c r="C50" s="6">
        <v>2023</v>
      </c>
      <c r="D50" s="6" t="s">
        <v>394</v>
      </c>
      <c r="E50" s="6" t="s">
        <v>402</v>
      </c>
      <c r="F50" s="6">
        <v>6752102</v>
      </c>
      <c r="G50" s="6" t="s">
        <v>396</v>
      </c>
      <c r="H50" s="6">
        <v>13</v>
      </c>
      <c r="I50" s="6" t="s">
        <v>403</v>
      </c>
      <c r="J50" s="6" t="s">
        <v>294</v>
      </c>
      <c r="K50" s="6"/>
      <c r="L50" s="6"/>
      <c r="M50" s="7" t="s">
        <v>295</v>
      </c>
      <c r="N50" s="7" t="s">
        <v>296</v>
      </c>
      <c r="O50" s="7" t="s">
        <v>297</v>
      </c>
      <c r="P50" s="7"/>
      <c r="Q50" s="7"/>
    </row>
    <row r="51" spans="1:17" ht="15" customHeight="1" x14ac:dyDescent="0.3">
      <c r="A51" s="6" t="s">
        <v>289</v>
      </c>
      <c r="B51" s="6" t="s">
        <v>290</v>
      </c>
      <c r="C51" s="6">
        <v>2023</v>
      </c>
      <c r="D51" s="6" t="s">
        <v>394</v>
      </c>
      <c r="E51" s="6" t="s">
        <v>404</v>
      </c>
      <c r="F51" s="6">
        <v>2398457</v>
      </c>
      <c r="G51" s="6" t="s">
        <v>396</v>
      </c>
      <c r="H51" s="6">
        <v>13</v>
      </c>
      <c r="I51" s="6" t="s">
        <v>405</v>
      </c>
      <c r="J51" s="6" t="s">
        <v>294</v>
      </c>
      <c r="K51" s="6"/>
      <c r="L51" s="6"/>
      <c r="M51" s="7" t="s">
        <v>295</v>
      </c>
      <c r="N51" s="7" t="s">
        <v>296</v>
      </c>
      <c r="O51" s="7" t="s">
        <v>297</v>
      </c>
      <c r="P51" s="7"/>
      <c r="Q51" s="7"/>
    </row>
    <row r="52" spans="1:17" ht="15" customHeight="1" x14ac:dyDescent="0.3">
      <c r="A52" s="6" t="s">
        <v>289</v>
      </c>
      <c r="B52" s="6" t="s">
        <v>290</v>
      </c>
      <c r="C52" s="6">
        <v>2023</v>
      </c>
      <c r="D52" s="6" t="s">
        <v>394</v>
      </c>
      <c r="E52" s="6" t="s">
        <v>406</v>
      </c>
      <c r="F52" s="6">
        <v>1275539</v>
      </c>
      <c r="G52" s="6" t="s">
        <v>396</v>
      </c>
      <c r="H52" s="6">
        <v>13</v>
      </c>
      <c r="I52" s="6" t="s">
        <v>407</v>
      </c>
      <c r="J52" s="6" t="s">
        <v>294</v>
      </c>
      <c r="K52" s="6"/>
      <c r="L52" s="6"/>
      <c r="M52" s="7" t="s">
        <v>295</v>
      </c>
      <c r="N52" s="7" t="s">
        <v>296</v>
      </c>
      <c r="O52" s="7" t="s">
        <v>297</v>
      </c>
      <c r="P52" s="7"/>
      <c r="Q52" s="7"/>
    </row>
    <row r="53" spans="1:17" ht="15" customHeight="1" x14ac:dyDescent="0.3">
      <c r="A53" s="6" t="s">
        <v>289</v>
      </c>
      <c r="B53" s="6" t="s">
        <v>290</v>
      </c>
      <c r="C53" s="6">
        <v>2023</v>
      </c>
      <c r="D53" s="6" t="s">
        <v>394</v>
      </c>
      <c r="E53" s="6" t="s">
        <v>408</v>
      </c>
      <c r="F53" s="6">
        <v>17289</v>
      </c>
      <c r="G53" s="6" t="s">
        <v>396</v>
      </c>
      <c r="H53" s="6">
        <v>13</v>
      </c>
      <c r="I53" s="6" t="s">
        <v>409</v>
      </c>
      <c r="J53" s="6" t="s">
        <v>294</v>
      </c>
      <c r="K53" s="6"/>
      <c r="L53" s="6"/>
      <c r="M53" s="7" t="s">
        <v>295</v>
      </c>
      <c r="N53" s="7" t="s">
        <v>296</v>
      </c>
      <c r="O53" s="7" t="s">
        <v>297</v>
      </c>
      <c r="P53" s="7"/>
      <c r="Q53" s="7"/>
    </row>
    <row r="54" spans="1:17" ht="15" customHeight="1" x14ac:dyDescent="0.3">
      <c r="A54" s="6" t="s">
        <v>289</v>
      </c>
      <c r="B54" s="6" t="s">
        <v>290</v>
      </c>
      <c r="C54" s="6">
        <v>2023</v>
      </c>
      <c r="D54" s="6" t="s">
        <v>394</v>
      </c>
      <c r="E54" s="6" t="s">
        <v>410</v>
      </c>
      <c r="F54" s="6">
        <v>441671</v>
      </c>
      <c r="G54" s="6" t="s">
        <v>396</v>
      </c>
      <c r="H54" s="6">
        <v>13</v>
      </c>
      <c r="I54" s="6" t="s">
        <v>411</v>
      </c>
      <c r="J54" s="6" t="s">
        <v>294</v>
      </c>
      <c r="K54" s="6"/>
      <c r="L54" s="6"/>
      <c r="M54" s="7" t="s">
        <v>295</v>
      </c>
      <c r="N54" s="7" t="s">
        <v>296</v>
      </c>
      <c r="O54" s="7" t="s">
        <v>297</v>
      </c>
      <c r="P54" s="7"/>
      <c r="Q54" s="7"/>
    </row>
    <row r="55" spans="1:17" ht="15" customHeight="1" x14ac:dyDescent="0.3">
      <c r="A55" s="6" t="s">
        <v>289</v>
      </c>
      <c r="B55" s="6" t="s">
        <v>290</v>
      </c>
      <c r="C55" s="6">
        <v>2023</v>
      </c>
      <c r="D55" s="6" t="s">
        <v>394</v>
      </c>
      <c r="E55" s="6" t="s">
        <v>412</v>
      </c>
      <c r="F55" s="6">
        <v>115918</v>
      </c>
      <c r="G55" s="6" t="s">
        <v>396</v>
      </c>
      <c r="H55" s="6">
        <v>13</v>
      </c>
      <c r="I55" s="6" t="s">
        <v>413</v>
      </c>
      <c r="J55" s="6" t="s">
        <v>294</v>
      </c>
      <c r="K55" s="6"/>
      <c r="L55" s="6"/>
      <c r="M55" s="7" t="s">
        <v>295</v>
      </c>
      <c r="N55" s="7" t="s">
        <v>296</v>
      </c>
      <c r="O55" s="7" t="s">
        <v>297</v>
      </c>
      <c r="P55" s="7"/>
      <c r="Q55" s="7"/>
    </row>
    <row r="56" spans="1:17" ht="15" customHeight="1" x14ac:dyDescent="0.3">
      <c r="A56" s="6" t="s">
        <v>289</v>
      </c>
      <c r="B56" s="6" t="s">
        <v>290</v>
      </c>
      <c r="C56" s="6">
        <v>2023</v>
      </c>
      <c r="D56" s="6" t="s">
        <v>394</v>
      </c>
      <c r="E56" s="6" t="s">
        <v>414</v>
      </c>
      <c r="F56" s="6">
        <v>23621</v>
      </c>
      <c r="G56" s="6" t="s">
        <v>396</v>
      </c>
      <c r="H56" s="6">
        <v>13</v>
      </c>
      <c r="I56" s="6" t="s">
        <v>415</v>
      </c>
      <c r="J56" s="6" t="s">
        <v>294</v>
      </c>
      <c r="K56" s="6"/>
      <c r="L56" s="6"/>
      <c r="M56" s="7" t="s">
        <v>295</v>
      </c>
      <c r="N56" s="7" t="s">
        <v>296</v>
      </c>
      <c r="O56" s="7" t="s">
        <v>297</v>
      </c>
      <c r="P56" s="7"/>
      <c r="Q56" s="7"/>
    </row>
    <row r="57" spans="1:17" ht="15" customHeight="1" x14ac:dyDescent="0.3">
      <c r="A57" s="6" t="s">
        <v>289</v>
      </c>
      <c r="B57" s="6" t="s">
        <v>290</v>
      </c>
      <c r="C57" s="6">
        <v>2023</v>
      </c>
      <c r="D57" s="6" t="s">
        <v>394</v>
      </c>
      <c r="E57" s="6" t="s">
        <v>416</v>
      </c>
      <c r="F57" s="6">
        <v>272310</v>
      </c>
      <c r="G57" s="6" t="s">
        <v>396</v>
      </c>
      <c r="H57" s="6">
        <v>13</v>
      </c>
      <c r="I57" s="6" t="s">
        <v>417</v>
      </c>
      <c r="J57" s="6" t="s">
        <v>294</v>
      </c>
      <c r="K57" s="6"/>
      <c r="L57" s="6"/>
      <c r="M57" s="7" t="s">
        <v>295</v>
      </c>
      <c r="N57" s="7" t="s">
        <v>296</v>
      </c>
      <c r="O57" s="7" t="s">
        <v>297</v>
      </c>
      <c r="P57" s="7"/>
      <c r="Q57" s="7"/>
    </row>
    <row r="58" spans="1:17" ht="15" customHeight="1" x14ac:dyDescent="0.3">
      <c r="A58" s="6" t="s">
        <v>289</v>
      </c>
      <c r="B58" s="6" t="s">
        <v>290</v>
      </c>
      <c r="C58" s="6">
        <v>2023</v>
      </c>
      <c r="D58" s="6" t="s">
        <v>394</v>
      </c>
      <c r="E58" s="6" t="s">
        <v>418</v>
      </c>
      <c r="F58" s="6">
        <v>45158</v>
      </c>
      <c r="G58" s="6" t="s">
        <v>396</v>
      </c>
      <c r="H58" s="6">
        <v>13</v>
      </c>
      <c r="I58" s="6" t="s">
        <v>419</v>
      </c>
      <c r="J58" s="6" t="s">
        <v>294</v>
      </c>
      <c r="K58" s="6"/>
      <c r="L58" s="6"/>
      <c r="M58" s="7" t="s">
        <v>295</v>
      </c>
      <c r="N58" s="7" t="s">
        <v>296</v>
      </c>
      <c r="O58" s="7" t="s">
        <v>297</v>
      </c>
      <c r="P58" s="7"/>
      <c r="Q58" s="7"/>
    </row>
    <row r="59" spans="1:17" ht="15" customHeight="1" x14ac:dyDescent="0.3">
      <c r="A59" s="6" t="s">
        <v>289</v>
      </c>
      <c r="B59" s="6" t="s">
        <v>290</v>
      </c>
      <c r="C59" s="6">
        <v>2023</v>
      </c>
      <c r="D59" s="6" t="s">
        <v>394</v>
      </c>
      <c r="E59" s="6" t="s">
        <v>420</v>
      </c>
      <c r="F59" s="6">
        <v>56142</v>
      </c>
      <c r="G59" s="6" t="s">
        <v>396</v>
      </c>
      <c r="H59" s="6">
        <v>13</v>
      </c>
      <c r="I59" s="6" t="s">
        <v>421</v>
      </c>
      <c r="J59" s="6" t="s">
        <v>294</v>
      </c>
      <c r="K59" s="6"/>
      <c r="L59" s="6"/>
      <c r="M59" s="7" t="s">
        <v>295</v>
      </c>
      <c r="N59" s="7" t="s">
        <v>296</v>
      </c>
      <c r="O59" s="7" t="s">
        <v>297</v>
      </c>
      <c r="P59" s="7"/>
      <c r="Q59" s="7"/>
    </row>
    <row r="60" spans="1:17" ht="15" customHeight="1" x14ac:dyDescent="0.3">
      <c r="A60" s="6" t="s">
        <v>289</v>
      </c>
      <c r="B60" s="6" t="s">
        <v>290</v>
      </c>
      <c r="C60" s="6">
        <v>2023</v>
      </c>
      <c r="D60" s="6" t="s">
        <v>394</v>
      </c>
      <c r="E60" s="6" t="s">
        <v>422</v>
      </c>
      <c r="F60" s="6">
        <v>16.399999999999999</v>
      </c>
      <c r="G60" s="6" t="s">
        <v>423</v>
      </c>
      <c r="H60" s="6">
        <v>13</v>
      </c>
      <c r="I60" s="6" t="s">
        <v>424</v>
      </c>
      <c r="J60" s="6" t="s">
        <v>294</v>
      </c>
      <c r="K60" s="6"/>
      <c r="L60" s="6"/>
      <c r="M60" s="7" t="s">
        <v>295</v>
      </c>
      <c r="N60" s="7" t="s">
        <v>296</v>
      </c>
      <c r="O60" s="7" t="s">
        <v>297</v>
      </c>
      <c r="P60" s="7"/>
      <c r="Q60" s="7"/>
    </row>
    <row r="61" spans="1:17" ht="15" customHeight="1" x14ac:dyDescent="0.3">
      <c r="A61" s="6" t="s">
        <v>289</v>
      </c>
      <c r="B61" s="6" t="s">
        <v>290</v>
      </c>
      <c r="C61" s="6">
        <v>2023</v>
      </c>
      <c r="D61" s="6" t="s">
        <v>394</v>
      </c>
      <c r="E61" s="6" t="s">
        <v>425</v>
      </c>
      <c r="F61" s="6">
        <v>3.1</v>
      </c>
      <c r="G61" s="6" t="s">
        <v>423</v>
      </c>
      <c r="H61" s="6">
        <v>13</v>
      </c>
      <c r="I61" s="6" t="s">
        <v>426</v>
      </c>
      <c r="J61" s="6" t="s">
        <v>294</v>
      </c>
      <c r="K61" s="6"/>
      <c r="L61" s="6"/>
      <c r="M61" s="7" t="s">
        <v>295</v>
      </c>
      <c r="N61" s="7" t="s">
        <v>296</v>
      </c>
      <c r="O61" s="7" t="s">
        <v>297</v>
      </c>
      <c r="P61" s="7"/>
      <c r="Q61" s="7"/>
    </row>
    <row r="62" spans="1:17" ht="15" customHeight="1" x14ac:dyDescent="0.3">
      <c r="A62" s="6" t="s">
        <v>289</v>
      </c>
      <c r="B62" s="6" t="s">
        <v>290</v>
      </c>
      <c r="C62" s="6">
        <v>2023</v>
      </c>
      <c r="D62" s="6" t="s">
        <v>394</v>
      </c>
      <c r="E62" s="6" t="s">
        <v>427</v>
      </c>
      <c r="F62" s="6">
        <v>0.18890000000000001</v>
      </c>
      <c r="G62" s="6" t="s">
        <v>334</v>
      </c>
      <c r="H62" s="6">
        <v>13</v>
      </c>
      <c r="I62" s="6" t="s">
        <v>428</v>
      </c>
      <c r="J62" s="6" t="s">
        <v>294</v>
      </c>
      <c r="K62" s="6"/>
      <c r="L62" s="6"/>
      <c r="M62" s="7" t="s">
        <v>295</v>
      </c>
      <c r="N62" s="7" t="s">
        <v>296</v>
      </c>
      <c r="O62" s="7" t="s">
        <v>297</v>
      </c>
      <c r="P62" s="7"/>
      <c r="Q62" s="7"/>
    </row>
    <row r="63" spans="1:17" ht="15" customHeight="1" x14ac:dyDescent="0.3">
      <c r="A63" s="6" t="s">
        <v>289</v>
      </c>
      <c r="B63" s="6" t="s">
        <v>290</v>
      </c>
      <c r="C63" s="6">
        <v>2023</v>
      </c>
      <c r="D63" s="6" t="s">
        <v>394</v>
      </c>
      <c r="E63" s="6" t="s">
        <v>429</v>
      </c>
      <c r="F63" s="6">
        <v>4.0300000000000002E-2</v>
      </c>
      <c r="G63" s="6" t="s">
        <v>334</v>
      </c>
      <c r="H63" s="6">
        <v>13</v>
      </c>
      <c r="I63" s="6" t="s">
        <v>430</v>
      </c>
      <c r="J63" s="6" t="s">
        <v>294</v>
      </c>
      <c r="K63" s="6"/>
      <c r="L63" s="6"/>
      <c r="M63" s="7" t="s">
        <v>295</v>
      </c>
      <c r="N63" s="7" t="s">
        <v>296</v>
      </c>
      <c r="O63" s="7" t="s">
        <v>297</v>
      </c>
      <c r="P63" s="7"/>
      <c r="Q63" s="7"/>
    </row>
    <row r="64" spans="1:17" ht="15" customHeight="1" x14ac:dyDescent="0.3">
      <c r="A64" s="6" t="s">
        <v>289</v>
      </c>
      <c r="B64" s="6" t="s">
        <v>290</v>
      </c>
      <c r="C64" s="6">
        <v>2023</v>
      </c>
      <c r="D64" s="6" t="s">
        <v>394</v>
      </c>
      <c r="E64" s="6" t="s">
        <v>431</v>
      </c>
      <c r="F64" s="6">
        <v>0.41349999999999998</v>
      </c>
      <c r="G64" s="6" t="s">
        <v>334</v>
      </c>
      <c r="H64" s="6">
        <v>13</v>
      </c>
      <c r="I64" s="6" t="s">
        <v>432</v>
      </c>
      <c r="J64" s="6" t="s">
        <v>294</v>
      </c>
      <c r="K64" s="6"/>
      <c r="L64" s="6"/>
      <c r="M64" s="7" t="s">
        <v>295</v>
      </c>
      <c r="N64" s="7" t="s">
        <v>296</v>
      </c>
      <c r="O64" s="7" t="s">
        <v>297</v>
      </c>
      <c r="P64" s="7"/>
      <c r="Q64" s="7"/>
    </row>
    <row r="65" spans="1:17" ht="15" customHeight="1" x14ac:dyDescent="0.3">
      <c r="A65" s="6" t="s">
        <v>289</v>
      </c>
      <c r="B65" s="6" t="s">
        <v>290</v>
      </c>
      <c r="C65" s="6">
        <v>2023</v>
      </c>
      <c r="D65" s="6" t="s">
        <v>394</v>
      </c>
      <c r="E65" s="6" t="s">
        <v>433</v>
      </c>
      <c r="F65" s="6">
        <v>0.51400000000000001</v>
      </c>
      <c r="G65" s="6" t="s">
        <v>334</v>
      </c>
      <c r="H65" s="6">
        <v>13</v>
      </c>
      <c r="I65" s="6" t="s">
        <v>434</v>
      </c>
      <c r="J65" s="6" t="s">
        <v>294</v>
      </c>
      <c r="K65" s="6"/>
      <c r="L65" s="6"/>
      <c r="M65" s="7" t="s">
        <v>295</v>
      </c>
      <c r="N65" s="7" t="s">
        <v>296</v>
      </c>
      <c r="O65" s="7" t="s">
        <v>297</v>
      </c>
      <c r="P65" s="7"/>
      <c r="Q65" s="7"/>
    </row>
    <row r="66" spans="1:17" ht="15" customHeight="1" x14ac:dyDescent="0.3">
      <c r="A66" s="6" t="s">
        <v>289</v>
      </c>
      <c r="B66" s="6" t="s">
        <v>290</v>
      </c>
      <c r="C66" s="6">
        <v>2023</v>
      </c>
      <c r="D66" s="6" t="s">
        <v>394</v>
      </c>
      <c r="E66" s="6" t="s">
        <v>435</v>
      </c>
      <c r="F66" s="6">
        <v>12948</v>
      </c>
      <c r="G66" s="6" t="s">
        <v>436</v>
      </c>
      <c r="H66" s="6">
        <v>14</v>
      </c>
      <c r="I66" s="6" t="s">
        <v>437</v>
      </c>
      <c r="J66" s="6" t="s">
        <v>294</v>
      </c>
      <c r="K66" s="6"/>
      <c r="L66" s="6"/>
      <c r="M66" s="7" t="s">
        <v>295</v>
      </c>
      <c r="N66" s="7" t="s">
        <v>296</v>
      </c>
      <c r="O66" s="7" t="s">
        <v>297</v>
      </c>
      <c r="P66" s="7"/>
      <c r="Q66" s="7"/>
    </row>
    <row r="67" spans="1:17" ht="15" customHeight="1" x14ac:dyDescent="0.3">
      <c r="A67" s="6" t="s">
        <v>289</v>
      </c>
      <c r="B67" s="6" t="s">
        <v>290</v>
      </c>
      <c r="C67" s="6">
        <v>2023</v>
      </c>
      <c r="D67" s="6" t="s">
        <v>394</v>
      </c>
      <c r="E67" s="6" t="s">
        <v>438</v>
      </c>
      <c r="F67" s="6">
        <v>2345000</v>
      </c>
      <c r="G67" s="6" t="s">
        <v>396</v>
      </c>
      <c r="H67" s="6">
        <v>14</v>
      </c>
      <c r="I67" s="6" t="s">
        <v>439</v>
      </c>
      <c r="J67" s="6" t="s">
        <v>294</v>
      </c>
      <c r="K67" s="6"/>
      <c r="L67" s="6"/>
      <c r="M67" s="7" t="s">
        <v>295</v>
      </c>
      <c r="N67" s="7" t="s">
        <v>296</v>
      </c>
      <c r="O67" s="7" t="s">
        <v>297</v>
      </c>
      <c r="P67" s="7"/>
      <c r="Q67" s="7"/>
    </row>
    <row r="68" spans="1:17" ht="15" customHeight="1" x14ac:dyDescent="0.3">
      <c r="A68" s="6" t="s">
        <v>289</v>
      </c>
      <c r="B68" s="6" t="s">
        <v>440</v>
      </c>
      <c r="C68" s="6">
        <v>2024</v>
      </c>
      <c r="D68" s="6" t="s">
        <v>272</v>
      </c>
      <c r="E68" s="6" t="s">
        <v>291</v>
      </c>
      <c r="F68" s="6" t="s">
        <v>289</v>
      </c>
      <c r="G68" s="6" t="s">
        <v>292</v>
      </c>
      <c r="H68" s="6">
        <v>12</v>
      </c>
      <c r="I68" s="6" t="s">
        <v>441</v>
      </c>
      <c r="J68" s="6" t="s">
        <v>294</v>
      </c>
      <c r="K68" s="6"/>
      <c r="L68" s="6"/>
      <c r="M68" s="7" t="s">
        <v>295</v>
      </c>
      <c r="N68" s="7" t="s">
        <v>296</v>
      </c>
      <c r="O68" s="7" t="s">
        <v>297</v>
      </c>
      <c r="P68" s="7"/>
      <c r="Q68" s="7"/>
    </row>
    <row r="69" spans="1:17" ht="15" customHeight="1" x14ac:dyDescent="0.3">
      <c r="A69" s="6" t="s">
        <v>289</v>
      </c>
      <c r="B69" s="6" t="s">
        <v>440</v>
      </c>
      <c r="C69" s="6">
        <v>2024</v>
      </c>
      <c r="D69" s="6" t="s">
        <v>272</v>
      </c>
      <c r="E69" s="6" t="s">
        <v>442</v>
      </c>
      <c r="F69" s="6" t="s">
        <v>443</v>
      </c>
      <c r="G69" s="6" t="s">
        <v>334</v>
      </c>
      <c r="H69" s="6">
        <v>83</v>
      </c>
      <c r="I69" s="6" t="s">
        <v>444</v>
      </c>
      <c r="J69" s="6" t="s">
        <v>294</v>
      </c>
      <c r="K69" s="6"/>
      <c r="L69" s="6"/>
      <c r="M69" s="7" t="s">
        <v>295</v>
      </c>
      <c r="N69" s="7" t="s">
        <v>296</v>
      </c>
      <c r="O69" s="7" t="s">
        <v>297</v>
      </c>
      <c r="P69" s="7"/>
      <c r="Q69" s="7"/>
    </row>
    <row r="70" spans="1:17" ht="15" customHeight="1" x14ac:dyDescent="0.3">
      <c r="A70" s="6" t="s">
        <v>289</v>
      </c>
      <c r="B70" s="6" t="s">
        <v>440</v>
      </c>
      <c r="C70" s="6">
        <v>2024</v>
      </c>
      <c r="D70" s="6" t="s">
        <v>272</v>
      </c>
      <c r="E70" s="6" t="s">
        <v>445</v>
      </c>
      <c r="F70" s="6">
        <v>0.20319999999999999</v>
      </c>
      <c r="G70" s="6" t="s">
        <v>334</v>
      </c>
      <c r="H70" s="6">
        <v>83</v>
      </c>
      <c r="I70" s="6" t="s">
        <v>446</v>
      </c>
      <c r="J70" s="6" t="s">
        <v>294</v>
      </c>
      <c r="K70" s="6"/>
      <c r="L70" s="6"/>
      <c r="M70" s="7" t="s">
        <v>295</v>
      </c>
      <c r="N70" s="7" t="s">
        <v>296</v>
      </c>
      <c r="O70" s="7" t="s">
        <v>297</v>
      </c>
      <c r="P70" s="7"/>
      <c r="Q70" s="7"/>
    </row>
    <row r="71" spans="1:17" ht="15" customHeight="1" x14ac:dyDescent="0.3">
      <c r="A71" s="6" t="s">
        <v>289</v>
      </c>
      <c r="B71" s="6" t="s">
        <v>440</v>
      </c>
      <c r="C71" s="6">
        <v>2024</v>
      </c>
      <c r="D71" s="6" t="s">
        <v>300</v>
      </c>
      <c r="E71" s="6" t="s">
        <v>447</v>
      </c>
      <c r="F71" s="6">
        <v>21815</v>
      </c>
      <c r="G71" s="6" t="s">
        <v>302</v>
      </c>
      <c r="H71" s="6">
        <v>12</v>
      </c>
      <c r="I71" s="6" t="s">
        <v>448</v>
      </c>
      <c r="J71" s="6" t="s">
        <v>294</v>
      </c>
      <c r="K71" s="6"/>
      <c r="L71" s="6"/>
      <c r="M71" s="7" t="s">
        <v>295</v>
      </c>
      <c r="N71" s="7" t="s">
        <v>296</v>
      </c>
      <c r="O71" s="7" t="s">
        <v>297</v>
      </c>
      <c r="P71" s="7"/>
      <c r="Q71" s="7"/>
    </row>
    <row r="72" spans="1:17" ht="15" customHeight="1" x14ac:dyDescent="0.3">
      <c r="A72" s="6" t="s">
        <v>289</v>
      </c>
      <c r="B72" s="6" t="s">
        <v>440</v>
      </c>
      <c r="C72" s="6">
        <v>2024</v>
      </c>
      <c r="D72" s="6" t="s">
        <v>300</v>
      </c>
      <c r="E72" s="6" t="s">
        <v>304</v>
      </c>
      <c r="F72" s="6">
        <v>3341</v>
      </c>
      <c r="G72" s="6" t="s">
        <v>302</v>
      </c>
      <c r="H72" s="6">
        <v>12</v>
      </c>
      <c r="I72" s="6" t="s">
        <v>449</v>
      </c>
      <c r="J72" s="6" t="s">
        <v>294</v>
      </c>
      <c r="K72" s="6"/>
      <c r="L72" s="6"/>
      <c r="M72" s="7" t="s">
        <v>295</v>
      </c>
      <c r="N72" s="7" t="s">
        <v>296</v>
      </c>
      <c r="O72" s="7" t="s">
        <v>297</v>
      </c>
      <c r="P72" s="7"/>
      <c r="Q72" s="7"/>
    </row>
    <row r="73" spans="1:17" ht="15" customHeight="1" x14ac:dyDescent="0.3">
      <c r="A73" s="6" t="s">
        <v>289</v>
      </c>
      <c r="B73" s="6" t="s">
        <v>440</v>
      </c>
      <c r="C73" s="6">
        <v>2024</v>
      </c>
      <c r="D73" s="6" t="s">
        <v>300</v>
      </c>
      <c r="E73" s="6" t="s">
        <v>450</v>
      </c>
      <c r="F73" s="6">
        <v>18474</v>
      </c>
      <c r="G73" s="6" t="s">
        <v>302</v>
      </c>
      <c r="H73" s="6">
        <v>108</v>
      </c>
      <c r="I73" s="6" t="s">
        <v>451</v>
      </c>
      <c r="J73" s="6" t="s">
        <v>294</v>
      </c>
      <c r="K73" s="6"/>
      <c r="L73" s="6"/>
      <c r="M73" s="7" t="s">
        <v>295</v>
      </c>
      <c r="N73" s="7" t="s">
        <v>296</v>
      </c>
      <c r="O73" s="7" t="s">
        <v>297</v>
      </c>
      <c r="P73" s="7"/>
      <c r="Q73" s="7"/>
    </row>
    <row r="74" spans="1:17" ht="15" customHeight="1" x14ac:dyDescent="0.3">
      <c r="A74" s="6" t="s">
        <v>289</v>
      </c>
      <c r="B74" s="6" t="s">
        <v>440</v>
      </c>
      <c r="C74" s="6">
        <v>2024</v>
      </c>
      <c r="D74" s="6" t="s">
        <v>300</v>
      </c>
      <c r="E74" s="6" t="s">
        <v>452</v>
      </c>
      <c r="F74" s="6">
        <v>1682</v>
      </c>
      <c r="G74" s="6" t="s">
        <v>302</v>
      </c>
      <c r="H74" s="6">
        <v>108</v>
      </c>
      <c r="I74" s="6" t="s">
        <v>453</v>
      </c>
      <c r="J74" s="6" t="s">
        <v>294</v>
      </c>
      <c r="K74" s="6"/>
      <c r="L74" s="6"/>
      <c r="M74" s="7" t="s">
        <v>295</v>
      </c>
      <c r="N74" s="7" t="s">
        <v>296</v>
      </c>
      <c r="O74" s="7" t="s">
        <v>297</v>
      </c>
      <c r="P74" s="7"/>
      <c r="Q74" s="7"/>
    </row>
    <row r="75" spans="1:17" ht="15" customHeight="1" x14ac:dyDescent="0.3">
      <c r="A75" s="6" t="s">
        <v>289</v>
      </c>
      <c r="B75" s="6" t="s">
        <v>440</v>
      </c>
      <c r="C75" s="6">
        <v>2024</v>
      </c>
      <c r="D75" s="6" t="s">
        <v>300</v>
      </c>
      <c r="E75" s="6" t="s">
        <v>454</v>
      </c>
      <c r="F75" s="6">
        <v>1658</v>
      </c>
      <c r="G75" s="6" t="s">
        <v>302</v>
      </c>
      <c r="H75" s="6">
        <v>108</v>
      </c>
      <c r="I75" s="6" t="s">
        <v>455</v>
      </c>
      <c r="J75" s="6" t="s">
        <v>456</v>
      </c>
      <c r="K75" s="6"/>
      <c r="L75" s="6"/>
      <c r="M75" s="7" t="s">
        <v>295</v>
      </c>
      <c r="N75" s="7" t="s">
        <v>296</v>
      </c>
      <c r="O75" s="7" t="s">
        <v>297</v>
      </c>
      <c r="P75" s="7"/>
      <c r="Q75" s="7"/>
    </row>
    <row r="76" spans="1:17" ht="15" customHeight="1" x14ac:dyDescent="0.3">
      <c r="A76" s="6" t="s">
        <v>289</v>
      </c>
      <c r="B76" s="6" t="s">
        <v>440</v>
      </c>
      <c r="C76" s="6">
        <v>2024</v>
      </c>
      <c r="D76" s="6" t="s">
        <v>300</v>
      </c>
      <c r="E76" s="6" t="s">
        <v>457</v>
      </c>
      <c r="F76" s="6">
        <v>265</v>
      </c>
      <c r="G76" s="6" t="s">
        <v>302</v>
      </c>
      <c r="H76" s="6">
        <v>108</v>
      </c>
      <c r="I76" s="6" t="s">
        <v>458</v>
      </c>
      <c r="J76" s="6" t="s">
        <v>294</v>
      </c>
      <c r="K76" s="6"/>
      <c r="L76" s="6"/>
      <c r="M76" s="7" t="s">
        <v>295</v>
      </c>
      <c r="N76" s="7" t="s">
        <v>296</v>
      </c>
      <c r="O76" s="7" t="s">
        <v>297</v>
      </c>
      <c r="P76" s="7"/>
      <c r="Q76" s="7"/>
    </row>
    <row r="77" spans="1:17" ht="15" customHeight="1" x14ac:dyDescent="0.3">
      <c r="A77" s="6" t="s">
        <v>289</v>
      </c>
      <c r="B77" s="6" t="s">
        <v>440</v>
      </c>
      <c r="C77" s="6">
        <v>2024</v>
      </c>
      <c r="D77" s="6" t="s">
        <v>300</v>
      </c>
      <c r="E77" s="6" t="s">
        <v>459</v>
      </c>
      <c r="F77" s="6">
        <v>1707</v>
      </c>
      <c r="G77" s="6" t="s">
        <v>302</v>
      </c>
      <c r="H77" s="6">
        <v>108</v>
      </c>
      <c r="I77" s="6" t="s">
        <v>460</v>
      </c>
      <c r="J77" s="6" t="s">
        <v>294</v>
      </c>
      <c r="K77" s="6"/>
      <c r="L77" s="6"/>
      <c r="M77" s="7" t="s">
        <v>295</v>
      </c>
      <c r="N77" s="7" t="s">
        <v>296</v>
      </c>
      <c r="O77" s="7" t="s">
        <v>297</v>
      </c>
      <c r="P77" s="7"/>
      <c r="Q77" s="7"/>
    </row>
    <row r="78" spans="1:17" ht="15" customHeight="1" x14ac:dyDescent="0.3">
      <c r="A78" s="6" t="s">
        <v>289</v>
      </c>
      <c r="B78" s="6" t="s">
        <v>440</v>
      </c>
      <c r="C78" s="6">
        <v>2024</v>
      </c>
      <c r="D78" s="6" t="s">
        <v>300</v>
      </c>
      <c r="E78" s="6" t="s">
        <v>306</v>
      </c>
      <c r="F78" s="6">
        <v>1187</v>
      </c>
      <c r="G78" s="6" t="s">
        <v>302</v>
      </c>
      <c r="H78" s="6">
        <v>12</v>
      </c>
      <c r="I78" s="6" t="s">
        <v>461</v>
      </c>
      <c r="J78" s="6" t="s">
        <v>294</v>
      </c>
      <c r="K78" s="6"/>
      <c r="L78" s="6"/>
      <c r="M78" s="7" t="s">
        <v>295</v>
      </c>
      <c r="N78" s="7" t="s">
        <v>296</v>
      </c>
      <c r="O78" s="7" t="s">
        <v>297</v>
      </c>
      <c r="P78" s="7"/>
      <c r="Q78" s="7"/>
    </row>
    <row r="79" spans="1:17" ht="15" customHeight="1" x14ac:dyDescent="0.3">
      <c r="A79" s="6" t="s">
        <v>289</v>
      </c>
      <c r="B79" s="6" t="s">
        <v>440</v>
      </c>
      <c r="C79" s="6">
        <v>2024</v>
      </c>
      <c r="D79" s="6" t="s">
        <v>300</v>
      </c>
      <c r="E79" s="6" t="s">
        <v>308</v>
      </c>
      <c r="F79" s="6">
        <v>1148</v>
      </c>
      <c r="G79" s="6" t="s">
        <v>302</v>
      </c>
      <c r="H79" s="6">
        <v>12</v>
      </c>
      <c r="I79" s="6" t="s">
        <v>462</v>
      </c>
      <c r="J79" s="6" t="s">
        <v>294</v>
      </c>
      <c r="K79" s="6"/>
      <c r="L79" s="6"/>
      <c r="M79" s="7" t="s">
        <v>295</v>
      </c>
      <c r="N79" s="7" t="s">
        <v>296</v>
      </c>
      <c r="O79" s="7" t="s">
        <v>297</v>
      </c>
      <c r="P79" s="7"/>
      <c r="Q79" s="7"/>
    </row>
    <row r="80" spans="1:17" ht="15" customHeight="1" x14ac:dyDescent="0.3">
      <c r="A80" s="6" t="s">
        <v>289</v>
      </c>
      <c r="B80" s="6" t="s">
        <v>440</v>
      </c>
      <c r="C80" s="6">
        <v>2024</v>
      </c>
      <c r="D80" s="6" t="s">
        <v>300</v>
      </c>
      <c r="E80" s="6" t="s">
        <v>316</v>
      </c>
      <c r="F80" s="6">
        <v>28793</v>
      </c>
      <c r="G80" s="6" t="s">
        <v>302</v>
      </c>
      <c r="H80" s="6">
        <v>12</v>
      </c>
      <c r="I80" s="6" t="s">
        <v>463</v>
      </c>
      <c r="J80" s="6" t="s">
        <v>294</v>
      </c>
      <c r="K80" s="6"/>
      <c r="L80" s="6"/>
      <c r="M80" s="7" t="s">
        <v>295</v>
      </c>
      <c r="N80" s="7" t="s">
        <v>296</v>
      </c>
      <c r="O80" s="7" t="s">
        <v>297</v>
      </c>
      <c r="P80" s="7"/>
      <c r="Q80" s="7"/>
    </row>
    <row r="81" spans="1:17" ht="15" customHeight="1" x14ac:dyDescent="0.3">
      <c r="A81" s="6" t="s">
        <v>289</v>
      </c>
      <c r="B81" s="6" t="s">
        <v>440</v>
      </c>
      <c r="C81" s="6">
        <v>2024</v>
      </c>
      <c r="D81" s="6" t="s">
        <v>300</v>
      </c>
      <c r="E81" s="6" t="s">
        <v>312</v>
      </c>
      <c r="F81" s="6">
        <v>8434</v>
      </c>
      <c r="G81" s="6" t="s">
        <v>302</v>
      </c>
      <c r="H81" s="6">
        <v>12</v>
      </c>
      <c r="I81" s="6" t="s">
        <v>464</v>
      </c>
      <c r="J81" s="6" t="s">
        <v>294</v>
      </c>
      <c r="K81" s="6"/>
      <c r="L81" s="6"/>
      <c r="M81" s="7" t="s">
        <v>295</v>
      </c>
      <c r="N81" s="7" t="s">
        <v>296</v>
      </c>
      <c r="O81" s="7" t="s">
        <v>297</v>
      </c>
      <c r="P81" s="7"/>
      <c r="Q81" s="7"/>
    </row>
    <row r="82" spans="1:17" ht="15" customHeight="1" x14ac:dyDescent="0.3">
      <c r="A82" s="6" t="s">
        <v>289</v>
      </c>
      <c r="B82" s="6" t="s">
        <v>440</v>
      </c>
      <c r="C82" s="6">
        <v>2024</v>
      </c>
      <c r="D82" s="6" t="s">
        <v>300</v>
      </c>
      <c r="E82" s="6" t="s">
        <v>314</v>
      </c>
      <c r="F82" s="6">
        <v>20360</v>
      </c>
      <c r="G82" s="6" t="s">
        <v>302</v>
      </c>
      <c r="H82" s="6">
        <v>12</v>
      </c>
      <c r="I82" s="6" t="s">
        <v>465</v>
      </c>
      <c r="J82" s="6" t="s">
        <v>294</v>
      </c>
      <c r="K82" s="6"/>
      <c r="L82" s="6"/>
      <c r="M82" s="7" t="s">
        <v>295</v>
      </c>
      <c r="N82" s="7" t="s">
        <v>296</v>
      </c>
      <c r="O82" s="7" t="s">
        <v>297</v>
      </c>
      <c r="P82" s="7"/>
      <c r="Q82" s="7"/>
    </row>
    <row r="83" spans="1:17" ht="15" customHeight="1" x14ac:dyDescent="0.3">
      <c r="A83" s="6" t="s">
        <v>289</v>
      </c>
      <c r="B83" s="6" t="s">
        <v>440</v>
      </c>
      <c r="C83" s="6">
        <v>2024</v>
      </c>
      <c r="D83" s="6" t="s">
        <v>300</v>
      </c>
      <c r="E83" s="6" t="s">
        <v>322</v>
      </c>
      <c r="F83" s="6">
        <v>5591</v>
      </c>
      <c r="G83" s="6" t="s">
        <v>302</v>
      </c>
      <c r="H83" s="6">
        <v>12</v>
      </c>
      <c r="I83" s="6" t="s">
        <v>466</v>
      </c>
      <c r="J83" s="6" t="s">
        <v>294</v>
      </c>
      <c r="K83" s="6"/>
      <c r="L83" s="6"/>
      <c r="M83" s="7" t="s">
        <v>295</v>
      </c>
      <c r="N83" s="7" t="s">
        <v>296</v>
      </c>
      <c r="O83" s="7" t="s">
        <v>297</v>
      </c>
      <c r="P83" s="7"/>
      <c r="Q83" s="7"/>
    </row>
    <row r="84" spans="1:17" ht="15" customHeight="1" x14ac:dyDescent="0.3">
      <c r="A84" s="6" t="s">
        <v>289</v>
      </c>
      <c r="B84" s="6" t="s">
        <v>440</v>
      </c>
      <c r="C84" s="6">
        <v>2024</v>
      </c>
      <c r="D84" s="6" t="s">
        <v>300</v>
      </c>
      <c r="E84" s="6" t="s">
        <v>318</v>
      </c>
      <c r="F84" s="6">
        <v>3238</v>
      </c>
      <c r="G84" s="6" t="s">
        <v>302</v>
      </c>
      <c r="H84" s="6">
        <v>12</v>
      </c>
      <c r="I84" s="6" t="s">
        <v>467</v>
      </c>
      <c r="J84" s="6" t="s">
        <v>294</v>
      </c>
      <c r="K84" s="6"/>
      <c r="L84" s="6"/>
      <c r="M84" s="7" t="s">
        <v>295</v>
      </c>
      <c r="N84" s="7" t="s">
        <v>296</v>
      </c>
      <c r="O84" s="7" t="s">
        <v>297</v>
      </c>
      <c r="P84" s="7"/>
      <c r="Q84" s="7"/>
    </row>
    <row r="85" spans="1:17" ht="15" customHeight="1" x14ac:dyDescent="0.3">
      <c r="A85" s="6" t="s">
        <v>289</v>
      </c>
      <c r="B85" s="6" t="s">
        <v>440</v>
      </c>
      <c r="C85" s="6">
        <v>2024</v>
      </c>
      <c r="D85" s="6" t="s">
        <v>300</v>
      </c>
      <c r="E85" s="6" t="s">
        <v>468</v>
      </c>
      <c r="F85" s="6">
        <v>2354</v>
      </c>
      <c r="G85" s="6" t="s">
        <v>302</v>
      </c>
      <c r="H85" s="6">
        <v>12</v>
      </c>
      <c r="I85" s="6" t="s">
        <v>469</v>
      </c>
      <c r="J85" s="6" t="s">
        <v>294</v>
      </c>
      <c r="K85" s="6"/>
      <c r="L85" s="6"/>
      <c r="M85" s="7" t="s">
        <v>295</v>
      </c>
      <c r="N85" s="7" t="s">
        <v>296</v>
      </c>
      <c r="O85" s="7" t="s">
        <v>297</v>
      </c>
      <c r="P85" s="7"/>
      <c r="Q85" s="7"/>
    </row>
    <row r="86" spans="1:17" ht="15" customHeight="1" x14ac:dyDescent="0.3">
      <c r="A86" s="6" t="s">
        <v>289</v>
      </c>
      <c r="B86" s="6" t="s">
        <v>440</v>
      </c>
      <c r="C86" s="6">
        <v>2024</v>
      </c>
      <c r="D86" s="6" t="s">
        <v>300</v>
      </c>
      <c r="E86" s="6" t="s">
        <v>324</v>
      </c>
      <c r="F86" s="6">
        <v>23202</v>
      </c>
      <c r="G86" s="6" t="s">
        <v>302</v>
      </c>
      <c r="H86" s="6">
        <v>12</v>
      </c>
      <c r="I86" s="6" t="s">
        <v>470</v>
      </c>
      <c r="J86" s="6" t="s">
        <v>294</v>
      </c>
      <c r="K86" s="6"/>
      <c r="L86" s="6"/>
      <c r="M86" s="7" t="s">
        <v>295</v>
      </c>
      <c r="N86" s="7" t="s">
        <v>296</v>
      </c>
      <c r="O86" s="7" t="s">
        <v>297</v>
      </c>
      <c r="P86" s="7"/>
      <c r="Q86" s="7"/>
    </row>
    <row r="87" spans="1:17" ht="15" customHeight="1" x14ac:dyDescent="0.3">
      <c r="A87" s="6" t="s">
        <v>289</v>
      </c>
      <c r="B87" s="6" t="s">
        <v>440</v>
      </c>
      <c r="C87" s="6">
        <v>2024</v>
      </c>
      <c r="D87" s="6" t="s">
        <v>300</v>
      </c>
      <c r="E87" s="6" t="s">
        <v>471</v>
      </c>
      <c r="F87" s="6">
        <v>3236</v>
      </c>
      <c r="G87" s="6" t="s">
        <v>302</v>
      </c>
      <c r="H87" s="6">
        <v>107</v>
      </c>
      <c r="I87" s="6" t="s">
        <v>472</v>
      </c>
      <c r="J87" s="6" t="s">
        <v>294</v>
      </c>
      <c r="K87" s="6"/>
      <c r="L87" s="6"/>
      <c r="M87" s="7" t="s">
        <v>295</v>
      </c>
      <c r="N87" s="7" t="s">
        <v>296</v>
      </c>
      <c r="O87" s="7" t="s">
        <v>297</v>
      </c>
      <c r="P87" s="7"/>
      <c r="Q87" s="7"/>
    </row>
    <row r="88" spans="1:17" ht="15" customHeight="1" x14ac:dyDescent="0.3">
      <c r="A88" s="6" t="s">
        <v>289</v>
      </c>
      <c r="B88" s="6" t="s">
        <v>440</v>
      </c>
      <c r="C88" s="6">
        <v>2024</v>
      </c>
      <c r="D88" s="6" t="s">
        <v>300</v>
      </c>
      <c r="E88" s="6" t="s">
        <v>473</v>
      </c>
      <c r="F88" s="6">
        <v>1690</v>
      </c>
      <c r="G88" s="6" t="s">
        <v>302</v>
      </c>
      <c r="H88" s="6">
        <v>107</v>
      </c>
      <c r="I88" s="6" t="s">
        <v>474</v>
      </c>
      <c r="J88" s="6" t="s">
        <v>294</v>
      </c>
      <c r="K88" s="6"/>
      <c r="L88" s="6"/>
      <c r="M88" s="7" t="s">
        <v>295</v>
      </c>
      <c r="N88" s="7" t="s">
        <v>296</v>
      </c>
      <c r="O88" s="7" t="s">
        <v>297</v>
      </c>
      <c r="P88" s="7"/>
      <c r="Q88" s="7"/>
    </row>
    <row r="89" spans="1:17" ht="15" customHeight="1" x14ac:dyDescent="0.3">
      <c r="A89" s="6" t="s">
        <v>289</v>
      </c>
      <c r="B89" s="6" t="s">
        <v>440</v>
      </c>
      <c r="C89" s="6">
        <v>2024</v>
      </c>
      <c r="D89" s="6" t="s">
        <v>300</v>
      </c>
      <c r="E89" s="6" t="s">
        <v>475</v>
      </c>
      <c r="F89" s="6">
        <v>1500</v>
      </c>
      <c r="G89" s="6" t="s">
        <v>302</v>
      </c>
      <c r="H89" s="6">
        <v>107</v>
      </c>
      <c r="I89" s="6" t="s">
        <v>476</v>
      </c>
      <c r="J89" s="6" t="s">
        <v>294</v>
      </c>
      <c r="K89" s="6"/>
      <c r="L89" s="6"/>
      <c r="M89" s="7" t="s">
        <v>295</v>
      </c>
      <c r="N89" s="7" t="s">
        <v>296</v>
      </c>
      <c r="O89" s="7" t="s">
        <v>297</v>
      </c>
      <c r="P89" s="7"/>
      <c r="Q89" s="7"/>
    </row>
    <row r="90" spans="1:17" ht="15" customHeight="1" x14ac:dyDescent="0.3">
      <c r="A90" s="6" t="s">
        <v>289</v>
      </c>
      <c r="B90" s="6" t="s">
        <v>440</v>
      </c>
      <c r="C90" s="6">
        <v>2024</v>
      </c>
      <c r="D90" s="6" t="s">
        <v>300</v>
      </c>
      <c r="E90" s="6" t="s">
        <v>477</v>
      </c>
      <c r="F90" s="6">
        <v>3190</v>
      </c>
      <c r="G90" s="6" t="s">
        <v>302</v>
      </c>
      <c r="H90" s="6">
        <v>107</v>
      </c>
      <c r="I90" s="6" t="s">
        <v>478</v>
      </c>
      <c r="J90" s="6" t="s">
        <v>294</v>
      </c>
      <c r="K90" s="6"/>
      <c r="L90" s="6"/>
      <c r="M90" s="7" t="s">
        <v>295</v>
      </c>
      <c r="N90" s="7" t="s">
        <v>296</v>
      </c>
      <c r="O90" s="7" t="s">
        <v>297</v>
      </c>
      <c r="P90" s="7"/>
      <c r="Q90" s="7"/>
    </row>
    <row r="91" spans="1:17" ht="15" customHeight="1" x14ac:dyDescent="0.3">
      <c r="A91" s="6" t="s">
        <v>289</v>
      </c>
      <c r="B91" s="6" t="s">
        <v>440</v>
      </c>
      <c r="C91" s="6">
        <v>2024</v>
      </c>
      <c r="D91" s="6" t="s">
        <v>300</v>
      </c>
      <c r="E91" s="6" t="s">
        <v>479</v>
      </c>
      <c r="F91" s="6">
        <v>371</v>
      </c>
      <c r="G91" s="6" t="s">
        <v>302</v>
      </c>
      <c r="H91" s="6">
        <v>106</v>
      </c>
      <c r="I91" s="6" t="s">
        <v>480</v>
      </c>
      <c r="J91" s="6" t="s">
        <v>294</v>
      </c>
      <c r="K91" s="6"/>
      <c r="L91" s="6"/>
      <c r="M91" s="7" t="s">
        <v>295</v>
      </c>
      <c r="N91" s="7" t="s">
        <v>296</v>
      </c>
      <c r="O91" s="7" t="s">
        <v>297</v>
      </c>
      <c r="P91" s="7"/>
      <c r="Q91" s="7"/>
    </row>
    <row r="92" spans="1:17" ht="15" customHeight="1" x14ac:dyDescent="0.3">
      <c r="A92" s="6" t="s">
        <v>289</v>
      </c>
      <c r="B92" s="6" t="s">
        <v>440</v>
      </c>
      <c r="C92" s="6">
        <v>2024</v>
      </c>
      <c r="D92" s="6" t="s">
        <v>300</v>
      </c>
      <c r="E92" s="6" t="s">
        <v>481</v>
      </c>
      <c r="F92" s="6">
        <v>3700</v>
      </c>
      <c r="G92" s="6" t="s">
        <v>302</v>
      </c>
      <c r="H92" s="6">
        <v>106</v>
      </c>
      <c r="I92" s="6" t="s">
        <v>482</v>
      </c>
      <c r="J92" s="6" t="s">
        <v>294</v>
      </c>
      <c r="K92" s="6"/>
      <c r="L92" s="6"/>
      <c r="M92" s="7" t="s">
        <v>295</v>
      </c>
      <c r="N92" s="7" t="s">
        <v>296</v>
      </c>
      <c r="O92" s="7" t="s">
        <v>297</v>
      </c>
      <c r="P92" s="7"/>
      <c r="Q92" s="7"/>
    </row>
    <row r="93" spans="1:17" ht="15" customHeight="1" x14ac:dyDescent="0.3">
      <c r="A93" s="6" t="s">
        <v>289</v>
      </c>
      <c r="B93" s="6" t="s">
        <v>440</v>
      </c>
      <c r="C93" s="6">
        <v>2024</v>
      </c>
      <c r="D93" s="6" t="s">
        <v>300</v>
      </c>
      <c r="E93" s="6" t="s">
        <v>483</v>
      </c>
      <c r="F93" s="6">
        <v>3380</v>
      </c>
      <c r="G93" s="6" t="s">
        <v>302</v>
      </c>
      <c r="H93" s="6">
        <v>109</v>
      </c>
      <c r="I93" s="6" t="s">
        <v>484</v>
      </c>
      <c r="J93" s="6" t="s">
        <v>294</v>
      </c>
      <c r="K93" s="6"/>
      <c r="L93" s="6"/>
      <c r="M93" s="7" t="s">
        <v>295</v>
      </c>
      <c r="N93" s="7" t="s">
        <v>296</v>
      </c>
      <c r="O93" s="7" t="s">
        <v>297</v>
      </c>
      <c r="P93" s="7"/>
      <c r="Q93" s="7"/>
    </row>
    <row r="94" spans="1:17" ht="15" customHeight="1" x14ac:dyDescent="0.3">
      <c r="A94" s="6" t="s">
        <v>289</v>
      </c>
      <c r="B94" s="6" t="s">
        <v>440</v>
      </c>
      <c r="C94" s="6">
        <v>2024</v>
      </c>
      <c r="D94" s="6" t="s">
        <v>300</v>
      </c>
      <c r="E94" s="6" t="s">
        <v>485</v>
      </c>
      <c r="F94" s="6">
        <v>-940</v>
      </c>
      <c r="G94" s="6" t="s">
        <v>302</v>
      </c>
      <c r="H94" s="6">
        <v>109</v>
      </c>
      <c r="I94" s="6" t="s">
        <v>486</v>
      </c>
      <c r="J94" s="6" t="s">
        <v>456</v>
      </c>
      <c r="K94" s="6"/>
      <c r="L94" s="6"/>
      <c r="M94" s="7" t="s">
        <v>295</v>
      </c>
      <c r="N94" s="7" t="s">
        <v>296</v>
      </c>
      <c r="O94" s="7" t="s">
        <v>297</v>
      </c>
      <c r="P94" s="7"/>
      <c r="Q94" s="7"/>
    </row>
    <row r="95" spans="1:17" ht="15" customHeight="1" x14ac:dyDescent="0.3">
      <c r="A95" s="6" t="s">
        <v>289</v>
      </c>
      <c r="B95" s="6" t="s">
        <v>440</v>
      </c>
      <c r="C95" s="6">
        <v>2024</v>
      </c>
      <c r="D95" s="6" t="s">
        <v>300</v>
      </c>
      <c r="E95" s="6" t="s">
        <v>487</v>
      </c>
      <c r="F95" s="6">
        <v>941</v>
      </c>
      <c r="G95" s="6" t="s">
        <v>302</v>
      </c>
      <c r="H95" s="6">
        <v>111</v>
      </c>
      <c r="I95" s="6" t="s">
        <v>488</v>
      </c>
      <c r="J95" s="6" t="s">
        <v>294</v>
      </c>
      <c r="K95" s="6"/>
      <c r="L95" s="6"/>
      <c r="M95" s="7" t="s">
        <v>295</v>
      </c>
      <c r="N95" s="7" t="s">
        <v>296</v>
      </c>
      <c r="O95" s="7" t="s">
        <v>297</v>
      </c>
      <c r="P95" s="7"/>
      <c r="Q95" s="7"/>
    </row>
    <row r="96" spans="1:17" ht="15" customHeight="1" x14ac:dyDescent="0.3">
      <c r="A96" s="6" t="s">
        <v>289</v>
      </c>
      <c r="B96" s="6" t="s">
        <v>440</v>
      </c>
      <c r="C96" s="6">
        <v>2024</v>
      </c>
      <c r="D96" s="6" t="s">
        <v>300</v>
      </c>
      <c r="E96" s="6" t="s">
        <v>489</v>
      </c>
      <c r="F96" s="6">
        <v>1400</v>
      </c>
      <c r="G96" s="6" t="s">
        <v>302</v>
      </c>
      <c r="H96" s="6">
        <v>111</v>
      </c>
      <c r="I96" s="6" t="s">
        <v>490</v>
      </c>
      <c r="J96" s="6" t="s">
        <v>294</v>
      </c>
      <c r="K96" s="6"/>
      <c r="L96" s="6"/>
      <c r="M96" s="7" t="s">
        <v>295</v>
      </c>
      <c r="N96" s="7" t="s">
        <v>296</v>
      </c>
      <c r="O96" s="7" t="s">
        <v>297</v>
      </c>
      <c r="P96" s="7"/>
      <c r="Q96" s="7"/>
    </row>
    <row r="97" spans="1:17" ht="15" customHeight="1" x14ac:dyDescent="0.3">
      <c r="A97" s="6" t="s">
        <v>289</v>
      </c>
      <c r="B97" s="6" t="s">
        <v>440</v>
      </c>
      <c r="C97" s="6">
        <v>2024</v>
      </c>
      <c r="D97" s="6" t="s">
        <v>300</v>
      </c>
      <c r="E97" s="6" t="s">
        <v>345</v>
      </c>
      <c r="F97" s="6">
        <v>596</v>
      </c>
      <c r="G97" s="6" t="s">
        <v>346</v>
      </c>
      <c r="H97" s="6">
        <v>12</v>
      </c>
      <c r="I97" s="6" t="s">
        <v>491</v>
      </c>
      <c r="J97" s="6" t="s">
        <v>294</v>
      </c>
      <c r="K97" s="6"/>
      <c r="L97" s="6"/>
      <c r="M97" s="7" t="s">
        <v>295</v>
      </c>
      <c r="N97" s="7" t="s">
        <v>296</v>
      </c>
      <c r="O97" s="7" t="s">
        <v>297</v>
      </c>
      <c r="P97" s="7"/>
      <c r="Q97" s="7"/>
    </row>
    <row r="98" spans="1:17" ht="15" customHeight="1" x14ac:dyDescent="0.3">
      <c r="A98" s="6" t="s">
        <v>289</v>
      </c>
      <c r="B98" s="6" t="s">
        <v>440</v>
      </c>
      <c r="C98" s="6">
        <v>2024</v>
      </c>
      <c r="D98" s="6" t="s">
        <v>300</v>
      </c>
      <c r="E98" s="6" t="s">
        <v>348</v>
      </c>
      <c r="F98" s="6">
        <v>12055</v>
      </c>
      <c r="G98" s="6" t="s">
        <v>346</v>
      </c>
      <c r="H98" s="6">
        <v>12</v>
      </c>
      <c r="I98" s="6" t="s">
        <v>492</v>
      </c>
      <c r="J98" s="6" t="s">
        <v>294</v>
      </c>
      <c r="K98" s="6"/>
      <c r="L98" s="6"/>
      <c r="M98" s="7" t="s">
        <v>295</v>
      </c>
      <c r="N98" s="7" t="s">
        <v>296</v>
      </c>
      <c r="O98" s="7" t="s">
        <v>297</v>
      </c>
      <c r="P98" s="7"/>
      <c r="Q98" s="7"/>
    </row>
    <row r="99" spans="1:17" ht="15" customHeight="1" x14ac:dyDescent="0.3">
      <c r="A99" s="6" t="s">
        <v>289</v>
      </c>
      <c r="B99" s="6" t="s">
        <v>440</v>
      </c>
      <c r="C99" s="6">
        <v>2024</v>
      </c>
      <c r="D99" s="6" t="s">
        <v>300</v>
      </c>
      <c r="E99" s="6" t="s">
        <v>493</v>
      </c>
      <c r="F99" s="6">
        <v>84</v>
      </c>
      <c r="G99" s="6" t="s">
        <v>346</v>
      </c>
      <c r="H99" s="6">
        <v>12</v>
      </c>
      <c r="I99" s="6" t="s">
        <v>494</v>
      </c>
      <c r="J99" s="6" t="s">
        <v>294</v>
      </c>
      <c r="K99" s="6"/>
      <c r="L99" s="6"/>
      <c r="M99" s="7" t="s">
        <v>295</v>
      </c>
      <c r="N99" s="7" t="s">
        <v>296</v>
      </c>
      <c r="O99" s="7" t="s">
        <v>297</v>
      </c>
      <c r="P99" s="7"/>
      <c r="Q99" s="7"/>
    </row>
    <row r="100" spans="1:17" ht="15" customHeight="1" x14ac:dyDescent="0.3">
      <c r="A100" s="6" t="s">
        <v>289</v>
      </c>
      <c r="B100" s="6" t="s">
        <v>440</v>
      </c>
      <c r="C100" s="6">
        <v>2024</v>
      </c>
      <c r="D100" s="6" t="s">
        <v>300</v>
      </c>
      <c r="E100" s="6" t="s">
        <v>495</v>
      </c>
      <c r="F100" s="6">
        <v>165</v>
      </c>
      <c r="G100" s="6" t="s">
        <v>346</v>
      </c>
      <c r="H100" s="6">
        <v>12</v>
      </c>
      <c r="I100" s="6" t="s">
        <v>496</v>
      </c>
      <c r="J100" s="6" t="s">
        <v>294</v>
      </c>
      <c r="K100" s="6"/>
      <c r="L100" s="6"/>
      <c r="M100" s="7" t="s">
        <v>295</v>
      </c>
      <c r="N100" s="7" t="s">
        <v>296</v>
      </c>
      <c r="O100" s="7" t="s">
        <v>297</v>
      </c>
      <c r="P100" s="7"/>
      <c r="Q100" s="7"/>
    </row>
    <row r="101" spans="1:17" ht="15" customHeight="1" x14ac:dyDescent="0.3">
      <c r="A101" s="6" t="s">
        <v>289</v>
      </c>
      <c r="B101" s="6" t="s">
        <v>440</v>
      </c>
      <c r="C101" s="6">
        <v>2024</v>
      </c>
      <c r="D101" s="6" t="s">
        <v>300</v>
      </c>
      <c r="E101" s="6" t="s">
        <v>342</v>
      </c>
      <c r="F101" s="6">
        <v>1925</v>
      </c>
      <c r="G101" s="6" t="s">
        <v>497</v>
      </c>
      <c r="H101" s="6">
        <v>12</v>
      </c>
      <c r="I101" s="6" t="s">
        <v>344</v>
      </c>
      <c r="J101" s="6" t="s">
        <v>294</v>
      </c>
      <c r="K101" s="6"/>
      <c r="L101" s="6"/>
      <c r="M101" s="7" t="s">
        <v>295</v>
      </c>
      <c r="N101" s="7" t="s">
        <v>296</v>
      </c>
      <c r="O101" s="7" t="s">
        <v>297</v>
      </c>
      <c r="P101" s="7"/>
      <c r="Q101" s="7"/>
    </row>
    <row r="102" spans="1:17" ht="15" customHeight="1" x14ac:dyDescent="0.3">
      <c r="A102" s="6" t="s">
        <v>289</v>
      </c>
      <c r="B102" s="6" t="s">
        <v>440</v>
      </c>
      <c r="C102" s="6">
        <v>2024</v>
      </c>
      <c r="D102" s="6" t="s">
        <v>300</v>
      </c>
      <c r="E102" s="6" t="s">
        <v>498</v>
      </c>
      <c r="F102" s="6">
        <v>6200</v>
      </c>
      <c r="G102" s="6" t="s">
        <v>346</v>
      </c>
      <c r="H102" s="6">
        <v>14</v>
      </c>
      <c r="I102" s="6" t="s">
        <v>499</v>
      </c>
      <c r="J102" s="6" t="s">
        <v>294</v>
      </c>
      <c r="K102" s="6"/>
      <c r="L102" s="6"/>
      <c r="M102" s="7" t="s">
        <v>295</v>
      </c>
      <c r="N102" s="7" t="s">
        <v>296</v>
      </c>
      <c r="O102" s="7" t="s">
        <v>297</v>
      </c>
      <c r="P102" s="7"/>
      <c r="Q102" s="7"/>
    </row>
    <row r="103" spans="1:17" ht="15" customHeight="1" x14ac:dyDescent="0.3">
      <c r="A103" s="6" t="s">
        <v>289</v>
      </c>
      <c r="B103" s="6" t="s">
        <v>440</v>
      </c>
      <c r="C103" s="6">
        <v>2024</v>
      </c>
      <c r="D103" s="6" t="s">
        <v>300</v>
      </c>
      <c r="E103" s="6" t="s">
        <v>356</v>
      </c>
      <c r="F103" s="6">
        <v>11930</v>
      </c>
      <c r="G103" s="6" t="s">
        <v>302</v>
      </c>
      <c r="H103" s="6">
        <v>14</v>
      </c>
      <c r="I103" s="6" t="s">
        <v>500</v>
      </c>
      <c r="J103" s="6" t="s">
        <v>294</v>
      </c>
      <c r="K103" s="6"/>
      <c r="L103" s="6"/>
      <c r="M103" s="7" t="s">
        <v>295</v>
      </c>
      <c r="N103" s="7" t="s">
        <v>296</v>
      </c>
      <c r="O103" s="7" t="s">
        <v>297</v>
      </c>
      <c r="P103" s="7"/>
      <c r="Q103" s="7"/>
    </row>
    <row r="104" spans="1:17" ht="15" customHeight="1" x14ac:dyDescent="0.3">
      <c r="A104" s="6" t="s">
        <v>289</v>
      </c>
      <c r="B104" s="6" t="s">
        <v>440</v>
      </c>
      <c r="C104" s="6">
        <v>2024</v>
      </c>
      <c r="D104" s="6" t="s">
        <v>300</v>
      </c>
      <c r="E104" s="6" t="s">
        <v>501</v>
      </c>
      <c r="F104" s="6">
        <v>0.01</v>
      </c>
      <c r="G104" s="6" t="s">
        <v>334</v>
      </c>
      <c r="H104" s="6">
        <v>110</v>
      </c>
      <c r="I104" s="6" t="s">
        <v>502</v>
      </c>
      <c r="J104" s="6" t="s">
        <v>294</v>
      </c>
      <c r="K104" s="6"/>
      <c r="L104" s="6"/>
      <c r="M104" s="7" t="s">
        <v>295</v>
      </c>
      <c r="N104" s="7" t="s">
        <v>296</v>
      </c>
      <c r="O104" s="7" t="s">
        <v>297</v>
      </c>
      <c r="P104" s="7"/>
      <c r="Q104" s="7"/>
    </row>
    <row r="105" spans="1:17" ht="15" customHeight="1" x14ac:dyDescent="0.3">
      <c r="A105" s="6" t="s">
        <v>289</v>
      </c>
      <c r="B105" s="6" t="s">
        <v>440</v>
      </c>
      <c r="C105" s="6">
        <v>2024</v>
      </c>
      <c r="D105" s="6" t="s">
        <v>300</v>
      </c>
      <c r="E105" s="6" t="s">
        <v>326</v>
      </c>
      <c r="F105" s="6">
        <v>2.6</v>
      </c>
      <c r="G105" s="6" t="s">
        <v>327</v>
      </c>
      <c r="H105" s="6">
        <v>110</v>
      </c>
      <c r="I105" s="6" t="s">
        <v>503</v>
      </c>
      <c r="J105" s="6" t="s">
        <v>294</v>
      </c>
      <c r="K105" s="6"/>
      <c r="L105" s="6"/>
      <c r="M105" s="7" t="s">
        <v>295</v>
      </c>
      <c r="N105" s="7" t="s">
        <v>296</v>
      </c>
      <c r="O105" s="7" t="s">
        <v>297</v>
      </c>
      <c r="P105" s="7"/>
      <c r="Q105" s="7"/>
    </row>
    <row r="106" spans="1:17" ht="15" customHeight="1" x14ac:dyDescent="0.3">
      <c r="A106" s="6" t="s">
        <v>289</v>
      </c>
      <c r="B106" s="6" t="s">
        <v>440</v>
      </c>
      <c r="C106" s="6">
        <v>2024</v>
      </c>
      <c r="D106" s="6" t="s">
        <v>358</v>
      </c>
      <c r="E106" s="6" t="s">
        <v>504</v>
      </c>
      <c r="F106" s="6">
        <v>284831</v>
      </c>
      <c r="G106" s="6" t="s">
        <v>360</v>
      </c>
      <c r="H106" s="6">
        <v>15</v>
      </c>
      <c r="I106" s="6" t="s">
        <v>505</v>
      </c>
      <c r="J106" s="6" t="s">
        <v>294</v>
      </c>
      <c r="K106" s="6"/>
      <c r="L106" s="6"/>
      <c r="M106" s="7" t="s">
        <v>295</v>
      </c>
      <c r="N106" s="7" t="s">
        <v>296</v>
      </c>
      <c r="O106" s="7" t="s">
        <v>297</v>
      </c>
      <c r="P106" s="7"/>
      <c r="Q106" s="7"/>
    </row>
    <row r="107" spans="1:17" ht="15" customHeight="1" x14ac:dyDescent="0.3">
      <c r="A107" s="6" t="s">
        <v>289</v>
      </c>
      <c r="B107" s="6" t="s">
        <v>440</v>
      </c>
      <c r="C107" s="6">
        <v>2024</v>
      </c>
      <c r="D107" s="6" t="s">
        <v>358</v>
      </c>
      <c r="E107" s="6" t="s">
        <v>362</v>
      </c>
      <c r="F107" s="6">
        <v>212602</v>
      </c>
      <c r="G107" s="6" t="s">
        <v>360</v>
      </c>
      <c r="H107" s="6">
        <v>15</v>
      </c>
      <c r="I107" s="6" t="s">
        <v>506</v>
      </c>
      <c r="J107" s="6" t="s">
        <v>294</v>
      </c>
      <c r="K107" s="6"/>
      <c r="L107" s="6"/>
      <c r="M107" s="7" t="s">
        <v>295</v>
      </c>
      <c r="N107" s="7" t="s">
        <v>296</v>
      </c>
      <c r="O107" s="7" t="s">
        <v>297</v>
      </c>
      <c r="P107" s="7"/>
      <c r="Q107" s="7"/>
    </row>
    <row r="108" spans="1:17" ht="15" customHeight="1" x14ac:dyDescent="0.3">
      <c r="A108" s="6" t="s">
        <v>289</v>
      </c>
      <c r="B108" s="6" t="s">
        <v>440</v>
      </c>
      <c r="C108" s="6">
        <v>2024</v>
      </c>
      <c r="D108" s="6" t="s">
        <v>358</v>
      </c>
      <c r="E108" s="6" t="s">
        <v>364</v>
      </c>
      <c r="F108" s="6">
        <v>72229</v>
      </c>
      <c r="G108" s="6" t="s">
        <v>360</v>
      </c>
      <c r="H108" s="6">
        <v>15</v>
      </c>
      <c r="I108" s="6" t="s">
        <v>507</v>
      </c>
      <c r="J108" s="6" t="s">
        <v>294</v>
      </c>
      <c r="K108" s="6"/>
      <c r="L108" s="6"/>
      <c r="M108" s="7" t="s">
        <v>295</v>
      </c>
      <c r="N108" s="7" t="s">
        <v>296</v>
      </c>
      <c r="O108" s="7" t="s">
        <v>297</v>
      </c>
      <c r="P108" s="7"/>
      <c r="Q108" s="7"/>
    </row>
    <row r="109" spans="1:17" ht="15" customHeight="1" x14ac:dyDescent="0.3">
      <c r="A109" s="6" t="s">
        <v>289</v>
      </c>
      <c r="B109" s="6" t="s">
        <v>440</v>
      </c>
      <c r="C109" s="6">
        <v>2024</v>
      </c>
      <c r="D109" s="6" t="s">
        <v>358</v>
      </c>
      <c r="E109" s="6" t="s">
        <v>508</v>
      </c>
      <c r="F109" s="6">
        <v>265490</v>
      </c>
      <c r="G109" s="6" t="s">
        <v>360</v>
      </c>
      <c r="H109" s="6">
        <v>15</v>
      </c>
      <c r="I109" s="6" t="s">
        <v>509</v>
      </c>
      <c r="J109" s="6" t="s">
        <v>294</v>
      </c>
      <c r="K109" s="6"/>
      <c r="L109" s="6"/>
      <c r="M109" s="7" t="s">
        <v>295</v>
      </c>
      <c r="N109" s="7" t="s">
        <v>296</v>
      </c>
      <c r="O109" s="7" t="s">
        <v>297</v>
      </c>
      <c r="P109" s="7"/>
      <c r="Q109" s="7"/>
    </row>
    <row r="110" spans="1:17" ht="15" customHeight="1" x14ac:dyDescent="0.3">
      <c r="A110" s="6" t="s">
        <v>289</v>
      </c>
      <c r="B110" s="6" t="s">
        <v>440</v>
      </c>
      <c r="C110" s="6">
        <v>2024</v>
      </c>
      <c r="D110" s="6" t="s">
        <v>358</v>
      </c>
      <c r="E110" s="6" t="s">
        <v>510</v>
      </c>
      <c r="F110" s="6">
        <v>19341</v>
      </c>
      <c r="G110" s="6" t="s">
        <v>360</v>
      </c>
      <c r="H110" s="6">
        <v>15</v>
      </c>
      <c r="I110" s="6" t="s">
        <v>511</v>
      </c>
      <c r="J110" s="6" t="s">
        <v>294</v>
      </c>
      <c r="K110" s="6"/>
      <c r="L110" s="6"/>
      <c r="M110" s="7" t="s">
        <v>295</v>
      </c>
      <c r="N110" s="7" t="s">
        <v>296</v>
      </c>
      <c r="O110" s="7" t="s">
        <v>297</v>
      </c>
      <c r="P110" s="7"/>
      <c r="Q110" s="7"/>
    </row>
    <row r="111" spans="1:17" ht="15" customHeight="1" x14ac:dyDescent="0.3">
      <c r="A111" s="6" t="s">
        <v>289</v>
      </c>
      <c r="B111" s="6" t="s">
        <v>440</v>
      </c>
      <c r="C111" s="6">
        <v>2024</v>
      </c>
      <c r="D111" s="6" t="s">
        <v>358</v>
      </c>
      <c r="E111" s="6" t="s">
        <v>512</v>
      </c>
      <c r="F111" s="6">
        <v>87761</v>
      </c>
      <c r="G111" s="6" t="s">
        <v>360</v>
      </c>
      <c r="H111" s="6">
        <v>15</v>
      </c>
      <c r="I111" s="6" t="s">
        <v>513</v>
      </c>
      <c r="J111" s="6" t="s">
        <v>294</v>
      </c>
      <c r="K111" s="6"/>
      <c r="L111" s="6"/>
      <c r="M111" s="7" t="s">
        <v>295</v>
      </c>
      <c r="N111" s="7" t="s">
        <v>296</v>
      </c>
      <c r="O111" s="7" t="s">
        <v>297</v>
      </c>
      <c r="P111" s="7"/>
      <c r="Q111" s="7"/>
    </row>
    <row r="112" spans="1:17" ht="15" customHeight="1" x14ac:dyDescent="0.3">
      <c r="A112" s="6" t="s">
        <v>289</v>
      </c>
      <c r="B112" s="6" t="s">
        <v>440</v>
      </c>
      <c r="C112" s="6">
        <v>2024</v>
      </c>
      <c r="D112" s="6" t="s">
        <v>358</v>
      </c>
      <c r="E112" s="6" t="s">
        <v>514</v>
      </c>
      <c r="F112" s="6">
        <v>177729</v>
      </c>
      <c r="G112" s="6" t="s">
        <v>360</v>
      </c>
      <c r="H112" s="6">
        <v>15</v>
      </c>
      <c r="I112" s="6" t="s">
        <v>515</v>
      </c>
      <c r="J112" s="6" t="s">
        <v>294</v>
      </c>
      <c r="K112" s="6"/>
      <c r="L112" s="6"/>
      <c r="M112" s="7" t="s">
        <v>295</v>
      </c>
      <c r="N112" s="7" t="s">
        <v>296</v>
      </c>
      <c r="O112" s="7" t="s">
        <v>297</v>
      </c>
      <c r="P112" s="7"/>
      <c r="Q112" s="7"/>
    </row>
    <row r="113" spans="1:17" ht="15" customHeight="1" x14ac:dyDescent="0.3">
      <c r="A113" s="6" t="s">
        <v>289</v>
      </c>
      <c r="B113" s="6" t="s">
        <v>440</v>
      </c>
      <c r="C113" s="6">
        <v>2024</v>
      </c>
      <c r="D113" s="6" t="s">
        <v>358</v>
      </c>
      <c r="E113" s="6" t="s">
        <v>374</v>
      </c>
      <c r="F113" s="6">
        <v>16.5</v>
      </c>
      <c r="G113" s="6" t="s">
        <v>375</v>
      </c>
      <c r="H113" s="6">
        <v>15</v>
      </c>
      <c r="I113" s="6" t="s">
        <v>516</v>
      </c>
      <c r="J113" s="6" t="s">
        <v>294</v>
      </c>
      <c r="K113" s="6"/>
      <c r="L113" s="6"/>
      <c r="M113" s="7" t="s">
        <v>295</v>
      </c>
      <c r="N113" s="7" t="s">
        <v>296</v>
      </c>
      <c r="O113" s="7" t="s">
        <v>297</v>
      </c>
      <c r="P113" s="7"/>
      <c r="Q113" s="7"/>
    </row>
    <row r="114" spans="1:17" ht="15" customHeight="1" x14ac:dyDescent="0.3">
      <c r="A114" s="6" t="s">
        <v>289</v>
      </c>
      <c r="B114" s="6" t="s">
        <v>440</v>
      </c>
      <c r="C114" s="6">
        <v>2024</v>
      </c>
      <c r="D114" s="6" t="s">
        <v>358</v>
      </c>
      <c r="E114" s="6" t="s">
        <v>517</v>
      </c>
      <c r="F114" s="6">
        <v>104376</v>
      </c>
      <c r="G114" s="6" t="s">
        <v>360</v>
      </c>
      <c r="H114" s="6">
        <v>15</v>
      </c>
      <c r="I114" s="6" t="s">
        <v>518</v>
      </c>
      <c r="J114" s="6" t="s">
        <v>294</v>
      </c>
      <c r="K114" s="6"/>
      <c r="L114" s="6"/>
      <c r="M114" s="7" t="s">
        <v>295</v>
      </c>
      <c r="N114" s="7" t="s">
        <v>296</v>
      </c>
      <c r="O114" s="7" t="s">
        <v>297</v>
      </c>
      <c r="P114" s="7"/>
      <c r="Q114" s="7"/>
    </row>
    <row r="115" spans="1:17" ht="15" customHeight="1" x14ac:dyDescent="0.3">
      <c r="A115" s="6" t="s">
        <v>289</v>
      </c>
      <c r="B115" s="6" t="s">
        <v>440</v>
      </c>
      <c r="C115" s="6">
        <v>2024</v>
      </c>
      <c r="D115" s="6" t="s">
        <v>358</v>
      </c>
      <c r="E115" s="6" t="s">
        <v>519</v>
      </c>
      <c r="F115" s="6">
        <v>130043</v>
      </c>
      <c r="G115" s="6" t="s">
        <v>360</v>
      </c>
      <c r="H115" s="6">
        <v>15</v>
      </c>
      <c r="I115" s="6" t="s">
        <v>520</v>
      </c>
      <c r="J115" s="6" t="s">
        <v>294</v>
      </c>
      <c r="K115" s="6"/>
      <c r="L115" s="6"/>
      <c r="M115" s="7" t="s">
        <v>295</v>
      </c>
      <c r="N115" s="7" t="s">
        <v>296</v>
      </c>
      <c r="O115" s="7" t="s">
        <v>297</v>
      </c>
      <c r="P115" s="7"/>
      <c r="Q115" s="7"/>
    </row>
    <row r="116" spans="1:17" ht="15" customHeight="1" x14ac:dyDescent="0.3">
      <c r="A116" s="6" t="s">
        <v>289</v>
      </c>
      <c r="B116" s="6" t="s">
        <v>440</v>
      </c>
      <c r="C116" s="6">
        <v>2024</v>
      </c>
      <c r="D116" s="6" t="s">
        <v>358</v>
      </c>
      <c r="E116" s="6" t="s">
        <v>521</v>
      </c>
      <c r="F116" s="6">
        <v>50412</v>
      </c>
      <c r="G116" s="6" t="s">
        <v>360</v>
      </c>
      <c r="H116" s="6">
        <v>15</v>
      </c>
      <c r="I116" s="6" t="s">
        <v>522</v>
      </c>
      <c r="J116" s="6" t="s">
        <v>294</v>
      </c>
      <c r="K116" s="6"/>
      <c r="L116" s="6"/>
      <c r="M116" s="7" t="s">
        <v>295</v>
      </c>
      <c r="N116" s="7" t="s">
        <v>296</v>
      </c>
      <c r="O116" s="7" t="s">
        <v>297</v>
      </c>
      <c r="P116" s="7"/>
      <c r="Q116" s="7"/>
    </row>
    <row r="117" spans="1:17" ht="15" customHeight="1" x14ac:dyDescent="0.3">
      <c r="A117" s="6" t="s">
        <v>289</v>
      </c>
      <c r="B117" s="6" t="s">
        <v>440</v>
      </c>
      <c r="C117" s="6">
        <v>2024</v>
      </c>
      <c r="D117" s="6" t="s">
        <v>358</v>
      </c>
      <c r="E117" s="6" t="s">
        <v>523</v>
      </c>
      <c r="F117" s="6">
        <v>32</v>
      </c>
      <c r="G117" s="6" t="s">
        <v>384</v>
      </c>
      <c r="H117" s="6">
        <v>16</v>
      </c>
      <c r="I117" s="6" t="s">
        <v>524</v>
      </c>
      <c r="J117" s="6" t="s">
        <v>294</v>
      </c>
      <c r="K117" s="6"/>
      <c r="L117" s="6"/>
      <c r="M117" s="7" t="s">
        <v>295</v>
      </c>
      <c r="N117" s="7" t="s">
        <v>296</v>
      </c>
      <c r="O117" s="7" t="s">
        <v>297</v>
      </c>
      <c r="P117" s="7"/>
      <c r="Q117" s="7"/>
    </row>
    <row r="118" spans="1:17" ht="15" customHeight="1" x14ac:dyDescent="0.3">
      <c r="A118" s="6" t="s">
        <v>289</v>
      </c>
      <c r="B118" s="6" t="s">
        <v>440</v>
      </c>
      <c r="C118" s="6">
        <v>2024</v>
      </c>
      <c r="D118" s="6" t="s">
        <v>358</v>
      </c>
      <c r="E118" s="6" t="s">
        <v>525</v>
      </c>
      <c r="F118" s="6">
        <v>14</v>
      </c>
      <c r="G118" s="6" t="s">
        <v>384</v>
      </c>
      <c r="H118" s="6">
        <v>16</v>
      </c>
      <c r="I118" s="6" t="s">
        <v>526</v>
      </c>
      <c r="J118" s="6" t="s">
        <v>294</v>
      </c>
      <c r="K118" s="6"/>
      <c r="L118" s="6"/>
      <c r="M118" s="7" t="s">
        <v>295</v>
      </c>
      <c r="N118" s="7" t="s">
        <v>296</v>
      </c>
      <c r="O118" s="7" t="s">
        <v>297</v>
      </c>
      <c r="P118" s="7"/>
      <c r="Q118" s="7"/>
    </row>
    <row r="119" spans="1:17" ht="15" customHeight="1" x14ac:dyDescent="0.3">
      <c r="A119" s="6" t="s">
        <v>289</v>
      </c>
      <c r="B119" s="6" t="s">
        <v>440</v>
      </c>
      <c r="C119" s="6">
        <v>2024</v>
      </c>
      <c r="D119" s="6" t="s">
        <v>358</v>
      </c>
      <c r="E119" s="6" t="s">
        <v>388</v>
      </c>
      <c r="F119" s="6">
        <v>2</v>
      </c>
      <c r="G119" s="6" t="s">
        <v>384</v>
      </c>
      <c r="H119" s="6">
        <v>16</v>
      </c>
      <c r="I119" s="6" t="s">
        <v>527</v>
      </c>
      <c r="J119" s="6" t="s">
        <v>294</v>
      </c>
      <c r="K119" s="6"/>
      <c r="L119" s="6"/>
      <c r="M119" s="7" t="s">
        <v>295</v>
      </c>
      <c r="N119" s="7" t="s">
        <v>296</v>
      </c>
      <c r="O119" s="7" t="s">
        <v>297</v>
      </c>
      <c r="P119" s="7"/>
      <c r="Q119" s="7"/>
    </row>
    <row r="120" spans="1:17" ht="15" customHeight="1" x14ac:dyDescent="0.3">
      <c r="A120" s="6" t="s">
        <v>289</v>
      </c>
      <c r="B120" s="6" t="s">
        <v>440</v>
      </c>
      <c r="C120" s="6">
        <v>2024</v>
      </c>
      <c r="D120" s="6" t="s">
        <v>358</v>
      </c>
      <c r="E120" s="6" t="s">
        <v>390</v>
      </c>
      <c r="F120" s="6">
        <v>1</v>
      </c>
      <c r="G120" s="6" t="s">
        <v>384</v>
      </c>
      <c r="H120" s="6">
        <v>16</v>
      </c>
      <c r="I120" s="6" t="s">
        <v>528</v>
      </c>
      <c r="J120" s="6" t="s">
        <v>294</v>
      </c>
      <c r="K120" s="6"/>
      <c r="L120" s="6"/>
      <c r="M120" s="7" t="s">
        <v>295</v>
      </c>
      <c r="N120" s="7" t="s">
        <v>296</v>
      </c>
      <c r="O120" s="7" t="s">
        <v>297</v>
      </c>
      <c r="P120" s="7"/>
      <c r="Q120" s="7"/>
    </row>
    <row r="121" spans="1:17" ht="15" customHeight="1" x14ac:dyDescent="0.3">
      <c r="A121" s="6" t="s">
        <v>289</v>
      </c>
      <c r="B121" s="6" t="s">
        <v>440</v>
      </c>
      <c r="C121" s="6">
        <v>2024</v>
      </c>
      <c r="D121" s="6" t="s">
        <v>358</v>
      </c>
      <c r="E121" s="6" t="s">
        <v>529</v>
      </c>
      <c r="F121" s="6">
        <v>2</v>
      </c>
      <c r="G121" s="6" t="s">
        <v>384</v>
      </c>
      <c r="H121" s="6">
        <v>16</v>
      </c>
      <c r="I121" s="6" t="s">
        <v>530</v>
      </c>
      <c r="J121" s="6" t="s">
        <v>294</v>
      </c>
      <c r="K121" s="6"/>
      <c r="L121" s="6"/>
      <c r="M121" s="7" t="s">
        <v>295</v>
      </c>
      <c r="N121" s="7" t="s">
        <v>296</v>
      </c>
      <c r="O121" s="7" t="s">
        <v>297</v>
      </c>
      <c r="P121" s="7"/>
      <c r="Q121" s="7"/>
    </row>
    <row r="122" spans="1:17" ht="15" customHeight="1" x14ac:dyDescent="0.3">
      <c r="A122" s="6" t="s">
        <v>289</v>
      </c>
      <c r="B122" s="6" t="s">
        <v>440</v>
      </c>
      <c r="C122" s="6">
        <v>2024</v>
      </c>
      <c r="D122" s="6" t="s">
        <v>394</v>
      </c>
      <c r="E122" s="6" t="s">
        <v>531</v>
      </c>
      <c r="F122" s="6">
        <v>3734458</v>
      </c>
      <c r="G122" s="6" t="s">
        <v>396</v>
      </c>
      <c r="H122" s="6">
        <v>15</v>
      </c>
      <c r="I122" s="6" t="s">
        <v>532</v>
      </c>
      <c r="J122" s="6" t="s">
        <v>294</v>
      </c>
      <c r="K122" s="6"/>
      <c r="L122" s="6"/>
      <c r="M122" s="7" t="s">
        <v>295</v>
      </c>
      <c r="N122" s="7" t="s">
        <v>296</v>
      </c>
      <c r="O122" s="7" t="s">
        <v>297</v>
      </c>
      <c r="P122" s="7"/>
      <c r="Q122" s="7"/>
    </row>
    <row r="123" spans="1:17" ht="15" customHeight="1" x14ac:dyDescent="0.3">
      <c r="A123" s="6" t="s">
        <v>289</v>
      </c>
      <c r="B123" s="6" t="s">
        <v>440</v>
      </c>
      <c r="C123" s="6">
        <v>2024</v>
      </c>
      <c r="D123" s="6" t="s">
        <v>394</v>
      </c>
      <c r="E123" s="6" t="s">
        <v>533</v>
      </c>
      <c r="F123" s="6">
        <v>3002685</v>
      </c>
      <c r="G123" s="6" t="s">
        <v>396</v>
      </c>
      <c r="H123" s="6">
        <v>15</v>
      </c>
      <c r="I123" s="6" t="s">
        <v>534</v>
      </c>
      <c r="J123" s="6" t="s">
        <v>294</v>
      </c>
      <c r="K123" s="6"/>
      <c r="L123" s="6"/>
      <c r="M123" s="7" t="s">
        <v>295</v>
      </c>
      <c r="N123" s="7" t="s">
        <v>296</v>
      </c>
      <c r="O123" s="7" t="s">
        <v>297</v>
      </c>
      <c r="P123" s="7"/>
      <c r="Q123" s="7"/>
    </row>
    <row r="124" spans="1:17" ht="15" customHeight="1" x14ac:dyDescent="0.3">
      <c r="A124" s="6" t="s">
        <v>289</v>
      </c>
      <c r="B124" s="6" t="s">
        <v>440</v>
      </c>
      <c r="C124" s="6">
        <v>2024</v>
      </c>
      <c r="D124" s="6" t="s">
        <v>394</v>
      </c>
      <c r="E124" s="6" t="s">
        <v>535</v>
      </c>
      <c r="F124" s="6">
        <v>731773</v>
      </c>
      <c r="G124" s="6" t="s">
        <v>396</v>
      </c>
      <c r="H124" s="6">
        <v>15</v>
      </c>
      <c r="I124" s="6" t="s">
        <v>536</v>
      </c>
      <c r="J124" s="6" t="s">
        <v>294</v>
      </c>
      <c r="K124" s="6"/>
      <c r="L124" s="6"/>
      <c r="M124" s="7" t="s">
        <v>295</v>
      </c>
      <c r="N124" s="7" t="s">
        <v>296</v>
      </c>
      <c r="O124" s="7" t="s">
        <v>297</v>
      </c>
      <c r="P124" s="7"/>
      <c r="Q124" s="7"/>
    </row>
    <row r="125" spans="1:17" ht="15" customHeight="1" x14ac:dyDescent="0.3">
      <c r="A125" s="6" t="s">
        <v>289</v>
      </c>
      <c r="B125" s="6" t="s">
        <v>440</v>
      </c>
      <c r="C125" s="6">
        <v>2024</v>
      </c>
      <c r="D125" s="6" t="s">
        <v>394</v>
      </c>
      <c r="E125" s="6" t="s">
        <v>537</v>
      </c>
      <c r="F125" s="6">
        <v>5915220</v>
      </c>
      <c r="G125" s="6" t="s">
        <v>396</v>
      </c>
      <c r="H125" s="6">
        <v>15</v>
      </c>
      <c r="I125" s="6" t="s">
        <v>538</v>
      </c>
      <c r="J125" s="6" t="s">
        <v>294</v>
      </c>
      <c r="K125" s="6"/>
      <c r="L125" s="6"/>
      <c r="M125" s="7" t="s">
        <v>295</v>
      </c>
      <c r="N125" s="7" t="s">
        <v>296</v>
      </c>
      <c r="O125" s="7" t="s">
        <v>297</v>
      </c>
      <c r="P125" s="7"/>
      <c r="Q125" s="7"/>
    </row>
    <row r="126" spans="1:17" ht="15" customHeight="1" x14ac:dyDescent="0.3">
      <c r="A126" s="6" t="s">
        <v>289</v>
      </c>
      <c r="B126" s="6" t="s">
        <v>440</v>
      </c>
      <c r="C126" s="6">
        <v>2024</v>
      </c>
      <c r="D126" s="6" t="s">
        <v>394</v>
      </c>
      <c r="E126" s="6" t="s">
        <v>404</v>
      </c>
      <c r="F126" s="6">
        <v>2180762</v>
      </c>
      <c r="G126" s="6" t="s">
        <v>396</v>
      </c>
      <c r="H126" s="6">
        <v>101</v>
      </c>
      <c r="I126" s="6" t="s">
        <v>539</v>
      </c>
      <c r="J126" s="6" t="s">
        <v>294</v>
      </c>
      <c r="K126" s="6"/>
      <c r="L126" s="6"/>
      <c r="M126" s="7" t="s">
        <v>295</v>
      </c>
      <c r="N126" s="7" t="s">
        <v>296</v>
      </c>
      <c r="O126" s="7" t="s">
        <v>297</v>
      </c>
      <c r="P126" s="7"/>
      <c r="Q126" s="7"/>
    </row>
    <row r="127" spans="1:17" ht="15" customHeight="1" x14ac:dyDescent="0.3">
      <c r="A127" s="6" t="s">
        <v>289</v>
      </c>
      <c r="B127" s="6" t="s">
        <v>440</v>
      </c>
      <c r="C127" s="6">
        <v>2024</v>
      </c>
      <c r="D127" s="6" t="s">
        <v>394</v>
      </c>
      <c r="E127" s="6" t="s">
        <v>406</v>
      </c>
      <c r="F127" s="6">
        <v>1125388</v>
      </c>
      <c r="G127" s="6" t="s">
        <v>396</v>
      </c>
      <c r="H127" s="6">
        <v>15</v>
      </c>
      <c r="I127" s="6" t="s">
        <v>540</v>
      </c>
      <c r="J127" s="6" t="s">
        <v>294</v>
      </c>
      <c r="K127" s="6"/>
      <c r="L127" s="6"/>
      <c r="M127" s="7" t="s">
        <v>295</v>
      </c>
      <c r="N127" s="7" t="s">
        <v>296</v>
      </c>
      <c r="O127" s="7" t="s">
        <v>297</v>
      </c>
      <c r="P127" s="7"/>
      <c r="Q127" s="7"/>
    </row>
    <row r="128" spans="1:17" ht="15" customHeight="1" x14ac:dyDescent="0.3">
      <c r="A128" s="6" t="s">
        <v>289</v>
      </c>
      <c r="B128" s="6" t="s">
        <v>440</v>
      </c>
      <c r="C128" s="6">
        <v>2024</v>
      </c>
      <c r="D128" s="6" t="s">
        <v>394</v>
      </c>
      <c r="E128" s="6" t="s">
        <v>416</v>
      </c>
      <c r="F128" s="6">
        <v>234121</v>
      </c>
      <c r="G128" s="6" t="s">
        <v>396</v>
      </c>
      <c r="H128" s="6">
        <v>15</v>
      </c>
      <c r="I128" s="6" t="s">
        <v>541</v>
      </c>
      <c r="J128" s="6" t="s">
        <v>294</v>
      </c>
      <c r="K128" s="6"/>
      <c r="L128" s="6"/>
      <c r="M128" s="7" t="s">
        <v>295</v>
      </c>
      <c r="N128" s="7" t="s">
        <v>296</v>
      </c>
      <c r="O128" s="7" t="s">
        <v>297</v>
      </c>
      <c r="P128" s="7"/>
      <c r="Q128" s="7"/>
    </row>
    <row r="129" spans="1:17" ht="15" customHeight="1" x14ac:dyDescent="0.3">
      <c r="A129" s="6" t="s">
        <v>289</v>
      </c>
      <c r="B129" s="6" t="s">
        <v>440</v>
      </c>
      <c r="C129" s="6">
        <v>2024</v>
      </c>
      <c r="D129" s="6" t="s">
        <v>394</v>
      </c>
      <c r="E129" s="6" t="s">
        <v>418</v>
      </c>
      <c r="F129" s="6">
        <v>46454</v>
      </c>
      <c r="G129" s="6" t="s">
        <v>396</v>
      </c>
      <c r="H129" s="6">
        <v>15</v>
      </c>
      <c r="I129" s="6" t="s">
        <v>542</v>
      </c>
      <c r="J129" s="6" t="s">
        <v>294</v>
      </c>
      <c r="K129" s="6"/>
      <c r="L129" s="6"/>
      <c r="M129" s="7" t="s">
        <v>295</v>
      </c>
      <c r="N129" s="7" t="s">
        <v>296</v>
      </c>
      <c r="O129" s="7" t="s">
        <v>297</v>
      </c>
      <c r="P129" s="7"/>
      <c r="Q129" s="7"/>
    </row>
    <row r="130" spans="1:17" ht="15" customHeight="1" x14ac:dyDescent="0.3">
      <c r="A130" s="6" t="s">
        <v>289</v>
      </c>
      <c r="B130" s="6" t="s">
        <v>440</v>
      </c>
      <c r="C130" s="6">
        <v>2024</v>
      </c>
      <c r="D130" s="6" t="s">
        <v>394</v>
      </c>
      <c r="E130" s="6" t="s">
        <v>408</v>
      </c>
      <c r="F130" s="6">
        <v>14760</v>
      </c>
      <c r="G130" s="6" t="s">
        <v>396</v>
      </c>
      <c r="H130" s="6">
        <v>15</v>
      </c>
      <c r="I130" s="6" t="s">
        <v>543</v>
      </c>
      <c r="J130" s="6" t="s">
        <v>294</v>
      </c>
      <c r="K130" s="6"/>
      <c r="L130" s="6"/>
      <c r="M130" s="7" t="s">
        <v>295</v>
      </c>
      <c r="N130" s="7" t="s">
        <v>296</v>
      </c>
      <c r="O130" s="7" t="s">
        <v>297</v>
      </c>
      <c r="P130" s="7"/>
      <c r="Q130" s="7"/>
    </row>
    <row r="131" spans="1:17" ht="15" customHeight="1" x14ac:dyDescent="0.3">
      <c r="A131" s="6" t="s">
        <v>289</v>
      </c>
      <c r="B131" s="6" t="s">
        <v>440</v>
      </c>
      <c r="C131" s="6">
        <v>2024</v>
      </c>
      <c r="D131" s="6" t="s">
        <v>394</v>
      </c>
      <c r="E131" s="6" t="s">
        <v>410</v>
      </c>
      <c r="F131" s="6">
        <v>388106</v>
      </c>
      <c r="G131" s="6" t="s">
        <v>396</v>
      </c>
      <c r="H131" s="6">
        <v>15</v>
      </c>
      <c r="I131" s="6" t="s">
        <v>544</v>
      </c>
      <c r="J131" s="6" t="s">
        <v>294</v>
      </c>
      <c r="K131" s="6"/>
      <c r="L131" s="6"/>
      <c r="M131" s="7" t="s">
        <v>295</v>
      </c>
      <c r="N131" s="7" t="s">
        <v>296</v>
      </c>
      <c r="O131" s="7" t="s">
        <v>297</v>
      </c>
      <c r="P131" s="7"/>
      <c r="Q131" s="7"/>
    </row>
    <row r="132" spans="1:17" ht="15" customHeight="1" x14ac:dyDescent="0.3">
      <c r="A132" s="6" t="s">
        <v>289</v>
      </c>
      <c r="B132" s="6" t="s">
        <v>440</v>
      </c>
      <c r="C132" s="6">
        <v>2024</v>
      </c>
      <c r="D132" s="6" t="s">
        <v>394</v>
      </c>
      <c r="E132" s="6" t="s">
        <v>412</v>
      </c>
      <c r="F132" s="6">
        <v>95826</v>
      </c>
      <c r="G132" s="6" t="s">
        <v>396</v>
      </c>
      <c r="H132" s="6">
        <v>15</v>
      </c>
      <c r="I132" s="6" t="s">
        <v>545</v>
      </c>
      <c r="J132" s="6" t="s">
        <v>294</v>
      </c>
      <c r="K132" s="6"/>
      <c r="L132" s="6"/>
      <c r="M132" s="7" t="s">
        <v>295</v>
      </c>
      <c r="N132" s="7" t="s">
        <v>296</v>
      </c>
      <c r="O132" s="7" t="s">
        <v>297</v>
      </c>
      <c r="P132" s="7"/>
      <c r="Q132" s="7"/>
    </row>
    <row r="133" spans="1:17" ht="15" customHeight="1" x14ac:dyDescent="0.3">
      <c r="A133" s="6" t="s">
        <v>289</v>
      </c>
      <c r="B133" s="6" t="s">
        <v>440</v>
      </c>
      <c r="C133" s="6">
        <v>2024</v>
      </c>
      <c r="D133" s="6" t="s">
        <v>394</v>
      </c>
      <c r="E133" s="6" t="s">
        <v>414</v>
      </c>
      <c r="F133" s="6">
        <v>19382</v>
      </c>
      <c r="G133" s="6" t="s">
        <v>396</v>
      </c>
      <c r="H133" s="6">
        <v>15</v>
      </c>
      <c r="I133" s="6" t="s">
        <v>546</v>
      </c>
      <c r="J133" s="6" t="s">
        <v>294</v>
      </c>
      <c r="K133" s="6"/>
      <c r="L133" s="6"/>
      <c r="M133" s="7" t="s">
        <v>295</v>
      </c>
      <c r="N133" s="7" t="s">
        <v>296</v>
      </c>
      <c r="O133" s="7" t="s">
        <v>297</v>
      </c>
      <c r="P133" s="7"/>
      <c r="Q133" s="7"/>
    </row>
    <row r="134" spans="1:17" ht="15" customHeight="1" x14ac:dyDescent="0.3">
      <c r="A134" s="6" t="s">
        <v>289</v>
      </c>
      <c r="B134" s="6" t="s">
        <v>440</v>
      </c>
      <c r="C134" s="6">
        <v>2024</v>
      </c>
      <c r="D134" s="6" t="s">
        <v>394</v>
      </c>
      <c r="E134" s="6" t="s">
        <v>420</v>
      </c>
      <c r="F134" s="6">
        <v>57001</v>
      </c>
      <c r="G134" s="6" t="s">
        <v>396</v>
      </c>
      <c r="H134" s="6">
        <v>15</v>
      </c>
      <c r="I134" s="6" t="s">
        <v>547</v>
      </c>
      <c r="J134" s="6" t="s">
        <v>294</v>
      </c>
      <c r="K134" s="6"/>
      <c r="L134" s="6"/>
      <c r="M134" s="7" t="s">
        <v>295</v>
      </c>
      <c r="N134" s="7" t="s">
        <v>296</v>
      </c>
      <c r="O134" s="7" t="s">
        <v>297</v>
      </c>
      <c r="P134" s="7"/>
      <c r="Q134" s="7"/>
    </row>
    <row r="135" spans="1:17" ht="15" customHeight="1" x14ac:dyDescent="0.3">
      <c r="A135" s="6" t="s">
        <v>289</v>
      </c>
      <c r="B135" s="6" t="s">
        <v>440</v>
      </c>
      <c r="C135" s="6">
        <v>2024</v>
      </c>
      <c r="D135" s="6" t="s">
        <v>394</v>
      </c>
      <c r="E135" s="6" t="s">
        <v>422</v>
      </c>
      <c r="F135" s="6">
        <v>14.07</v>
      </c>
      <c r="G135" s="6" t="s">
        <v>423</v>
      </c>
      <c r="H135" s="6">
        <v>15</v>
      </c>
      <c r="I135" s="6" t="s">
        <v>548</v>
      </c>
      <c r="J135" s="6" t="s">
        <v>294</v>
      </c>
      <c r="K135" s="6"/>
      <c r="L135" s="6"/>
      <c r="M135" s="7" t="s">
        <v>295</v>
      </c>
      <c r="N135" s="7" t="s">
        <v>296</v>
      </c>
      <c r="O135" s="7" t="s">
        <v>297</v>
      </c>
      <c r="P135" s="7"/>
      <c r="Q135" s="7"/>
    </row>
    <row r="136" spans="1:17" ht="15" customHeight="1" x14ac:dyDescent="0.3">
      <c r="A136" s="6" t="s">
        <v>289</v>
      </c>
      <c r="B136" s="6" t="s">
        <v>440</v>
      </c>
      <c r="C136" s="6">
        <v>2024</v>
      </c>
      <c r="D136" s="6" t="s">
        <v>394</v>
      </c>
      <c r="E136" s="6" t="s">
        <v>425</v>
      </c>
      <c r="F136" s="6">
        <v>2.68</v>
      </c>
      <c r="G136" s="6" t="s">
        <v>423</v>
      </c>
      <c r="H136" s="6">
        <v>15</v>
      </c>
      <c r="I136" s="6" t="s">
        <v>549</v>
      </c>
      <c r="J136" s="6" t="s">
        <v>294</v>
      </c>
      <c r="K136" s="6"/>
      <c r="L136" s="6"/>
      <c r="M136" s="7" t="s">
        <v>295</v>
      </c>
      <c r="N136" s="7" t="s">
        <v>296</v>
      </c>
      <c r="O136" s="7" t="s">
        <v>297</v>
      </c>
      <c r="P136" s="7"/>
      <c r="Q136" s="7"/>
    </row>
    <row r="137" spans="1:17" ht="15" customHeight="1" x14ac:dyDescent="0.3">
      <c r="A137" s="6" t="s">
        <v>289</v>
      </c>
      <c r="B137" s="6" t="s">
        <v>440</v>
      </c>
      <c r="C137" s="6">
        <v>2024</v>
      </c>
      <c r="D137" s="6" t="s">
        <v>394</v>
      </c>
      <c r="E137" s="6" t="s">
        <v>550</v>
      </c>
      <c r="F137" s="6">
        <v>0.1903</v>
      </c>
      <c r="G137" s="6" t="s">
        <v>334</v>
      </c>
      <c r="H137" s="6">
        <v>15</v>
      </c>
      <c r="I137" s="6" t="s">
        <v>551</v>
      </c>
      <c r="J137" s="6" t="s">
        <v>294</v>
      </c>
      <c r="K137" s="6"/>
      <c r="L137" s="6"/>
      <c r="M137" s="7" t="s">
        <v>295</v>
      </c>
      <c r="N137" s="7" t="s">
        <v>296</v>
      </c>
      <c r="O137" s="7" t="s">
        <v>297</v>
      </c>
      <c r="P137" s="7"/>
      <c r="Q137" s="7"/>
    </row>
    <row r="138" spans="1:17" ht="15" customHeight="1" x14ac:dyDescent="0.3">
      <c r="A138" s="6" t="s">
        <v>289</v>
      </c>
      <c r="B138" s="6" t="s">
        <v>440</v>
      </c>
      <c r="C138" s="6">
        <v>2024</v>
      </c>
      <c r="D138" s="6" t="s">
        <v>394</v>
      </c>
      <c r="E138" s="6" t="s">
        <v>552</v>
      </c>
      <c r="F138" s="6">
        <v>3.9600000000000003E-2</v>
      </c>
      <c r="G138" s="6" t="s">
        <v>334</v>
      </c>
      <c r="H138" s="6">
        <v>15</v>
      </c>
      <c r="I138" s="6" t="s">
        <v>553</v>
      </c>
      <c r="J138" s="6" t="s">
        <v>294</v>
      </c>
      <c r="K138" s="6"/>
      <c r="L138" s="6"/>
      <c r="M138" s="7" t="s">
        <v>295</v>
      </c>
      <c r="N138" s="7" t="s">
        <v>296</v>
      </c>
      <c r="O138" s="7" t="s">
        <v>297</v>
      </c>
      <c r="P138" s="7"/>
      <c r="Q138" s="7"/>
    </row>
    <row r="139" spans="1:17" ht="15" customHeight="1" x14ac:dyDescent="0.3">
      <c r="A139" s="6" t="s">
        <v>289</v>
      </c>
      <c r="B139" s="6" t="s">
        <v>440</v>
      </c>
      <c r="C139" s="6">
        <v>2024</v>
      </c>
      <c r="D139" s="6" t="s">
        <v>394</v>
      </c>
      <c r="E139" s="6" t="s">
        <v>554</v>
      </c>
      <c r="F139" s="6">
        <v>12883</v>
      </c>
      <c r="G139" s="6" t="s">
        <v>436</v>
      </c>
      <c r="H139" s="6">
        <v>16</v>
      </c>
      <c r="I139" s="6" t="s">
        <v>555</v>
      </c>
      <c r="J139" s="6" t="s">
        <v>294</v>
      </c>
      <c r="K139" s="6"/>
      <c r="L139" s="6"/>
      <c r="M139" s="7" t="s">
        <v>295</v>
      </c>
      <c r="N139" s="7" t="s">
        <v>296</v>
      </c>
      <c r="O139" s="7" t="s">
        <v>297</v>
      </c>
      <c r="P139" s="7"/>
      <c r="Q139" s="7"/>
    </row>
    <row r="140" spans="1:17" ht="15" customHeight="1" x14ac:dyDescent="0.3">
      <c r="A140" s="6" t="s">
        <v>289</v>
      </c>
      <c r="B140" s="6" t="s">
        <v>440</v>
      </c>
      <c r="C140" s="6">
        <v>2024</v>
      </c>
      <c r="D140" s="6" t="s">
        <v>394</v>
      </c>
      <c r="E140" s="6" t="s">
        <v>556</v>
      </c>
      <c r="F140" s="6">
        <v>1554</v>
      </c>
      <c r="G140" s="6" t="s">
        <v>557</v>
      </c>
      <c r="H140" s="6">
        <v>102</v>
      </c>
      <c r="I140" s="6" t="s">
        <v>558</v>
      </c>
      <c r="J140" s="6" t="s">
        <v>294</v>
      </c>
      <c r="K140" s="6"/>
      <c r="L140" s="6"/>
      <c r="M140" s="7" t="s">
        <v>295</v>
      </c>
      <c r="N140" s="7" t="s">
        <v>296</v>
      </c>
      <c r="O140" s="7" t="s">
        <v>297</v>
      </c>
      <c r="P140" s="7"/>
      <c r="Q140" s="7"/>
    </row>
    <row r="141" spans="1:17" ht="15" customHeight="1" x14ac:dyDescent="0.3">
      <c r="A141" s="6" t="s">
        <v>289</v>
      </c>
      <c r="B141" s="6" t="s">
        <v>440</v>
      </c>
      <c r="C141" s="6">
        <v>2024</v>
      </c>
      <c r="D141" s="6" t="s">
        <v>394</v>
      </c>
      <c r="E141" s="6" t="s">
        <v>559</v>
      </c>
      <c r="F141" s="6">
        <v>0.69</v>
      </c>
      <c r="G141" s="6" t="s">
        <v>334</v>
      </c>
      <c r="H141" s="6">
        <v>102</v>
      </c>
      <c r="I141" s="6" t="s">
        <v>560</v>
      </c>
      <c r="J141" s="6" t="s">
        <v>294</v>
      </c>
      <c r="K141" s="6"/>
      <c r="L141" s="6"/>
      <c r="M141" s="7" t="s">
        <v>295</v>
      </c>
      <c r="N141" s="7" t="s">
        <v>296</v>
      </c>
      <c r="O141" s="7" t="s">
        <v>297</v>
      </c>
      <c r="P141" s="7"/>
      <c r="Q141" s="7"/>
    </row>
    <row r="142" spans="1:17" ht="15" customHeight="1" x14ac:dyDescent="0.3">
      <c r="A142" s="6" t="s">
        <v>289</v>
      </c>
      <c r="B142" s="6" t="s">
        <v>440</v>
      </c>
      <c r="C142" s="6">
        <v>2024</v>
      </c>
      <c r="D142" s="6" t="s">
        <v>394</v>
      </c>
      <c r="E142" s="6" t="s">
        <v>561</v>
      </c>
      <c r="F142" s="6">
        <v>0.31</v>
      </c>
      <c r="G142" s="6" t="s">
        <v>334</v>
      </c>
      <c r="H142" s="6">
        <v>102</v>
      </c>
      <c r="I142" s="6" t="s">
        <v>562</v>
      </c>
      <c r="J142" s="6" t="s">
        <v>294</v>
      </c>
      <c r="K142" s="6"/>
      <c r="L142" s="6"/>
      <c r="M142" s="7" t="s">
        <v>295</v>
      </c>
      <c r="N142" s="7" t="s">
        <v>296</v>
      </c>
      <c r="O142" s="7" t="s">
        <v>297</v>
      </c>
      <c r="P142" s="7"/>
      <c r="Q142" s="7"/>
    </row>
    <row r="143" spans="1:17" ht="15" customHeight="1" x14ac:dyDescent="0.3">
      <c r="A143" s="6" t="s">
        <v>289</v>
      </c>
      <c r="B143" s="6" t="s">
        <v>440</v>
      </c>
      <c r="C143" s="6">
        <v>2024</v>
      </c>
      <c r="D143" s="6" t="s">
        <v>563</v>
      </c>
      <c r="E143" s="6" t="s">
        <v>564</v>
      </c>
      <c r="F143" s="6">
        <v>39</v>
      </c>
      <c r="G143" s="6" t="s">
        <v>384</v>
      </c>
      <c r="H143" s="6">
        <v>105</v>
      </c>
      <c r="I143" s="6" t="s">
        <v>565</v>
      </c>
      <c r="J143" s="6" t="s">
        <v>294</v>
      </c>
      <c r="K143" s="6"/>
      <c r="L143" s="6"/>
      <c r="M143" s="7" t="s">
        <v>295</v>
      </c>
      <c r="N143" s="7" t="s">
        <v>296</v>
      </c>
      <c r="O143" s="7" t="s">
        <v>297</v>
      </c>
      <c r="P143" s="7"/>
      <c r="Q143" s="7"/>
    </row>
    <row r="144" spans="1:17" ht="15" customHeight="1" x14ac:dyDescent="0.3">
      <c r="A144" s="6" t="s">
        <v>289</v>
      </c>
      <c r="B144" s="6" t="s">
        <v>440</v>
      </c>
      <c r="C144" s="6">
        <v>2024</v>
      </c>
      <c r="D144" s="6" t="s">
        <v>563</v>
      </c>
      <c r="E144" s="6" t="s">
        <v>566</v>
      </c>
      <c r="F144" s="6">
        <v>26</v>
      </c>
      <c r="G144" s="6" t="s">
        <v>384</v>
      </c>
      <c r="H144" s="6">
        <v>105</v>
      </c>
      <c r="I144" s="6" t="s">
        <v>567</v>
      </c>
      <c r="J144" s="6" t="s">
        <v>294</v>
      </c>
      <c r="K144" s="6"/>
      <c r="L144" s="6"/>
      <c r="M144" s="7" t="s">
        <v>295</v>
      </c>
      <c r="N144" s="7" t="s">
        <v>296</v>
      </c>
      <c r="O144" s="7" t="s">
        <v>297</v>
      </c>
      <c r="P144" s="7"/>
      <c r="Q144" s="7"/>
    </row>
    <row r="145" spans="1:17" ht="15" customHeight="1" x14ac:dyDescent="0.3">
      <c r="A145" s="6" t="s">
        <v>289</v>
      </c>
      <c r="B145" s="6" t="s">
        <v>568</v>
      </c>
      <c r="C145" s="6">
        <v>2025</v>
      </c>
      <c r="D145" s="6" t="s">
        <v>272</v>
      </c>
      <c r="E145" s="6" t="s">
        <v>291</v>
      </c>
      <c r="F145" s="6" t="s">
        <v>289</v>
      </c>
      <c r="G145" s="6" t="s">
        <v>292</v>
      </c>
      <c r="H145" s="6">
        <v>15</v>
      </c>
      <c r="I145" s="6" t="s">
        <v>569</v>
      </c>
      <c r="J145" s="6" t="s">
        <v>294</v>
      </c>
      <c r="K145" s="6"/>
      <c r="L145" s="6"/>
      <c r="M145" s="7" t="s">
        <v>295</v>
      </c>
      <c r="N145" s="7" t="s">
        <v>296</v>
      </c>
      <c r="O145" s="7" t="s">
        <v>297</v>
      </c>
      <c r="P145" s="7"/>
      <c r="Q145" s="7"/>
    </row>
    <row r="146" spans="1:17" ht="15" customHeight="1" x14ac:dyDescent="0.3">
      <c r="A146" s="6" t="s">
        <v>289</v>
      </c>
      <c r="B146" s="6" t="s">
        <v>568</v>
      </c>
      <c r="C146" s="6">
        <v>2025</v>
      </c>
      <c r="D146" s="6" t="s">
        <v>300</v>
      </c>
      <c r="E146" s="6" t="s">
        <v>447</v>
      </c>
      <c r="F146" s="6">
        <v>28655</v>
      </c>
      <c r="G146" s="6" t="s">
        <v>302</v>
      </c>
      <c r="H146" s="6">
        <v>15</v>
      </c>
      <c r="I146" s="6" t="s">
        <v>570</v>
      </c>
      <c r="J146" s="6" t="s">
        <v>294</v>
      </c>
      <c r="K146" s="6"/>
      <c r="L146" s="6"/>
      <c r="M146" s="7" t="s">
        <v>295</v>
      </c>
      <c r="N146" s="7" t="s">
        <v>296</v>
      </c>
      <c r="O146" s="7" t="s">
        <v>297</v>
      </c>
      <c r="P146" s="7"/>
      <c r="Q146" s="7"/>
    </row>
    <row r="147" spans="1:17" ht="15" customHeight="1" x14ac:dyDescent="0.3">
      <c r="A147" s="6" t="s">
        <v>289</v>
      </c>
      <c r="B147" s="6" t="s">
        <v>568</v>
      </c>
      <c r="C147" s="6">
        <v>2025</v>
      </c>
      <c r="D147" s="6" t="s">
        <v>300</v>
      </c>
      <c r="E147" s="6" t="s">
        <v>450</v>
      </c>
      <c r="F147" s="6">
        <v>24023</v>
      </c>
      <c r="G147" s="6" t="s">
        <v>302</v>
      </c>
      <c r="H147" s="6">
        <v>131</v>
      </c>
      <c r="I147" s="6" t="s">
        <v>571</v>
      </c>
      <c r="J147" s="6" t="s">
        <v>294</v>
      </c>
      <c r="K147" s="6"/>
      <c r="L147" s="6"/>
      <c r="M147" s="7" t="s">
        <v>295</v>
      </c>
      <c r="N147" s="7" t="s">
        <v>296</v>
      </c>
      <c r="O147" s="7" t="s">
        <v>297</v>
      </c>
      <c r="P147" s="7"/>
      <c r="Q147" s="7"/>
    </row>
    <row r="148" spans="1:17" ht="15" customHeight="1" x14ac:dyDescent="0.3">
      <c r="A148" s="6" t="s">
        <v>289</v>
      </c>
      <c r="B148" s="6" t="s">
        <v>568</v>
      </c>
      <c r="C148" s="6">
        <v>2025</v>
      </c>
      <c r="D148" s="6" t="s">
        <v>300</v>
      </c>
      <c r="E148" s="6" t="s">
        <v>304</v>
      </c>
      <c r="F148" s="6">
        <v>4631</v>
      </c>
      <c r="G148" s="6" t="s">
        <v>302</v>
      </c>
      <c r="H148" s="6">
        <v>15</v>
      </c>
      <c r="I148" s="6" t="s">
        <v>572</v>
      </c>
      <c r="J148" s="6" t="s">
        <v>294</v>
      </c>
      <c r="K148" s="6"/>
      <c r="L148" s="6"/>
      <c r="M148" s="7" t="s">
        <v>295</v>
      </c>
      <c r="N148" s="7" t="s">
        <v>296</v>
      </c>
      <c r="O148" s="7" t="s">
        <v>297</v>
      </c>
      <c r="P148" s="7"/>
      <c r="Q148" s="7"/>
    </row>
    <row r="149" spans="1:17" ht="15" customHeight="1" x14ac:dyDescent="0.3">
      <c r="A149" s="6" t="s">
        <v>289</v>
      </c>
      <c r="B149" s="6" t="s">
        <v>568</v>
      </c>
      <c r="C149" s="6">
        <v>2025</v>
      </c>
      <c r="D149" s="6" t="s">
        <v>300</v>
      </c>
      <c r="E149" s="6" t="s">
        <v>452</v>
      </c>
      <c r="F149" s="6">
        <v>2214</v>
      </c>
      <c r="G149" s="6" t="s">
        <v>302</v>
      </c>
      <c r="H149" s="6">
        <v>131</v>
      </c>
      <c r="I149" s="6" t="s">
        <v>573</v>
      </c>
      <c r="J149" s="6" t="s">
        <v>294</v>
      </c>
      <c r="K149" s="6"/>
      <c r="L149" s="6"/>
      <c r="M149" s="7" t="s">
        <v>295</v>
      </c>
      <c r="N149" s="7" t="s">
        <v>296</v>
      </c>
      <c r="O149" s="7" t="s">
        <v>297</v>
      </c>
      <c r="P149" s="7"/>
      <c r="Q149" s="7"/>
    </row>
    <row r="150" spans="1:17" ht="15" customHeight="1" x14ac:dyDescent="0.3">
      <c r="A150" s="6" t="s">
        <v>289</v>
      </c>
      <c r="B150" s="6" t="s">
        <v>568</v>
      </c>
      <c r="C150" s="6">
        <v>2025</v>
      </c>
      <c r="D150" s="6" t="s">
        <v>300</v>
      </c>
      <c r="E150" s="6" t="s">
        <v>574</v>
      </c>
      <c r="F150" s="6">
        <v>2417</v>
      </c>
      <c r="G150" s="6" t="s">
        <v>302</v>
      </c>
      <c r="H150" s="6">
        <v>131</v>
      </c>
      <c r="I150" s="6" t="s">
        <v>575</v>
      </c>
      <c r="J150" s="6" t="s">
        <v>456</v>
      </c>
      <c r="K150" s="6"/>
      <c r="L150" s="6"/>
      <c r="M150" s="7" t="s">
        <v>295</v>
      </c>
      <c r="N150" s="7" t="s">
        <v>296</v>
      </c>
      <c r="O150" s="7" t="s">
        <v>297</v>
      </c>
      <c r="P150" s="7"/>
      <c r="Q150" s="7"/>
    </row>
    <row r="151" spans="1:17" ht="15" customHeight="1" x14ac:dyDescent="0.3">
      <c r="A151" s="6" t="s">
        <v>289</v>
      </c>
      <c r="B151" s="6" t="s">
        <v>568</v>
      </c>
      <c r="C151" s="6">
        <v>2025</v>
      </c>
      <c r="D151" s="6" t="s">
        <v>300</v>
      </c>
      <c r="E151" s="6" t="s">
        <v>457</v>
      </c>
      <c r="F151" s="6">
        <v>139</v>
      </c>
      <c r="G151" s="6" t="s">
        <v>302</v>
      </c>
      <c r="H151" s="6">
        <v>131</v>
      </c>
      <c r="I151" s="6" t="s">
        <v>576</v>
      </c>
      <c r="J151" s="6" t="s">
        <v>294</v>
      </c>
      <c r="K151" s="6"/>
      <c r="L151" s="6"/>
      <c r="M151" s="7" t="s">
        <v>295</v>
      </c>
      <c r="N151" s="7" t="s">
        <v>296</v>
      </c>
      <c r="O151" s="7" t="s">
        <v>297</v>
      </c>
      <c r="P151" s="7"/>
      <c r="Q151" s="7"/>
    </row>
    <row r="152" spans="1:17" ht="15" customHeight="1" x14ac:dyDescent="0.3">
      <c r="A152" s="6" t="s">
        <v>289</v>
      </c>
      <c r="B152" s="6" t="s">
        <v>568</v>
      </c>
      <c r="C152" s="6">
        <v>2025</v>
      </c>
      <c r="D152" s="6" t="s">
        <v>300</v>
      </c>
      <c r="E152" s="6" t="s">
        <v>577</v>
      </c>
      <c r="F152" s="6">
        <v>280</v>
      </c>
      <c r="G152" s="6" t="s">
        <v>302</v>
      </c>
      <c r="H152" s="6">
        <v>131</v>
      </c>
      <c r="I152" s="6" t="s">
        <v>578</v>
      </c>
      <c r="J152" s="6" t="s">
        <v>294</v>
      </c>
      <c r="K152" s="6"/>
      <c r="L152" s="6"/>
      <c r="M152" s="7" t="s">
        <v>295</v>
      </c>
      <c r="N152" s="7" t="s">
        <v>296</v>
      </c>
      <c r="O152" s="7" t="s">
        <v>297</v>
      </c>
      <c r="P152" s="7"/>
      <c r="Q152" s="7"/>
    </row>
    <row r="153" spans="1:17" ht="15" customHeight="1" x14ac:dyDescent="0.3">
      <c r="A153" s="6" t="s">
        <v>289</v>
      </c>
      <c r="B153" s="6" t="s">
        <v>568</v>
      </c>
      <c r="C153" s="6">
        <v>2025</v>
      </c>
      <c r="D153" s="6" t="s">
        <v>300</v>
      </c>
      <c r="E153" s="6" t="s">
        <v>579</v>
      </c>
      <c r="F153" s="6">
        <v>2227</v>
      </c>
      <c r="G153" s="6" t="s">
        <v>302</v>
      </c>
      <c r="H153" s="6">
        <v>131</v>
      </c>
      <c r="I153" s="6" t="s">
        <v>580</v>
      </c>
      <c r="J153" s="6" t="s">
        <v>294</v>
      </c>
      <c r="K153" s="6"/>
      <c r="L153" s="6"/>
      <c r="M153" s="7" t="s">
        <v>295</v>
      </c>
      <c r="N153" s="7" t="s">
        <v>296</v>
      </c>
      <c r="O153" s="7" t="s">
        <v>297</v>
      </c>
      <c r="P153" s="7"/>
      <c r="Q153" s="7"/>
    </row>
    <row r="154" spans="1:17" ht="15" customHeight="1" x14ac:dyDescent="0.3">
      <c r="A154" s="6" t="s">
        <v>289</v>
      </c>
      <c r="B154" s="6" t="s">
        <v>568</v>
      </c>
      <c r="C154" s="6">
        <v>2025</v>
      </c>
      <c r="D154" s="6" t="s">
        <v>300</v>
      </c>
      <c r="E154" s="6" t="s">
        <v>581</v>
      </c>
      <c r="F154" s="6">
        <v>689</v>
      </c>
      <c r="G154" s="6" t="s">
        <v>302</v>
      </c>
      <c r="H154" s="6">
        <v>131</v>
      </c>
      <c r="I154" s="6" t="s">
        <v>582</v>
      </c>
      <c r="J154" s="6" t="s">
        <v>294</v>
      </c>
      <c r="K154" s="6"/>
      <c r="L154" s="6"/>
      <c r="M154" s="7" t="s">
        <v>295</v>
      </c>
      <c r="N154" s="7" t="s">
        <v>296</v>
      </c>
      <c r="O154" s="7" t="s">
        <v>297</v>
      </c>
      <c r="P154" s="7"/>
      <c r="Q154" s="7"/>
    </row>
    <row r="155" spans="1:17" ht="15" customHeight="1" x14ac:dyDescent="0.3">
      <c r="A155" s="6" t="s">
        <v>289</v>
      </c>
      <c r="B155" s="6" t="s">
        <v>568</v>
      </c>
      <c r="C155" s="6">
        <v>2025</v>
      </c>
      <c r="D155" s="6" t="s">
        <v>300</v>
      </c>
      <c r="E155" s="6" t="s">
        <v>306</v>
      </c>
      <c r="F155" s="6">
        <v>1538</v>
      </c>
      <c r="G155" s="6" t="s">
        <v>302</v>
      </c>
      <c r="H155" s="6">
        <v>15</v>
      </c>
      <c r="I155" s="6" t="s">
        <v>583</v>
      </c>
      <c r="J155" s="6" t="s">
        <v>294</v>
      </c>
      <c r="K155" s="6"/>
      <c r="L155" s="6"/>
      <c r="M155" s="7" t="s">
        <v>295</v>
      </c>
      <c r="N155" s="7" t="s">
        <v>296</v>
      </c>
      <c r="O155" s="7" t="s">
        <v>297</v>
      </c>
      <c r="P155" s="7"/>
      <c r="Q155" s="7"/>
    </row>
    <row r="156" spans="1:17" ht="15" customHeight="1" x14ac:dyDescent="0.3">
      <c r="A156" s="6" t="s">
        <v>289</v>
      </c>
      <c r="B156" s="6" t="s">
        <v>568</v>
      </c>
      <c r="C156" s="6">
        <v>2025</v>
      </c>
      <c r="D156" s="6" t="s">
        <v>300</v>
      </c>
      <c r="E156" s="6" t="s">
        <v>308</v>
      </c>
      <c r="F156" s="6">
        <v>1472</v>
      </c>
      <c r="G156" s="6" t="s">
        <v>302</v>
      </c>
      <c r="H156" s="6">
        <v>15</v>
      </c>
      <c r="I156" s="6" t="s">
        <v>584</v>
      </c>
      <c r="J156" s="6" t="s">
        <v>294</v>
      </c>
      <c r="K156" s="6"/>
      <c r="L156" s="6"/>
      <c r="M156" s="7" t="s">
        <v>295</v>
      </c>
      <c r="N156" s="7" t="s">
        <v>296</v>
      </c>
      <c r="O156" s="7" t="s">
        <v>297</v>
      </c>
      <c r="P156" s="7"/>
      <c r="Q156" s="7"/>
    </row>
    <row r="157" spans="1:17" ht="15" customHeight="1" x14ac:dyDescent="0.3">
      <c r="A157" s="6" t="s">
        <v>289</v>
      </c>
      <c r="B157" s="6" t="s">
        <v>568</v>
      </c>
      <c r="C157" s="6">
        <v>2025</v>
      </c>
      <c r="D157" s="6" t="s">
        <v>300</v>
      </c>
      <c r="E157" s="6" t="s">
        <v>316</v>
      </c>
      <c r="F157" s="6">
        <v>27047</v>
      </c>
      <c r="G157" s="6" t="s">
        <v>302</v>
      </c>
      <c r="H157" s="6">
        <v>15</v>
      </c>
      <c r="I157" s="6" t="s">
        <v>585</v>
      </c>
      <c r="J157" s="6" t="s">
        <v>294</v>
      </c>
      <c r="K157" s="6"/>
      <c r="L157" s="6"/>
      <c r="M157" s="7" t="s">
        <v>295</v>
      </c>
      <c r="N157" s="7" t="s">
        <v>296</v>
      </c>
      <c r="O157" s="7" t="s">
        <v>297</v>
      </c>
      <c r="P157" s="7"/>
      <c r="Q157" s="7"/>
    </row>
    <row r="158" spans="1:17" ht="15" customHeight="1" x14ac:dyDescent="0.3">
      <c r="A158" s="6" t="s">
        <v>289</v>
      </c>
      <c r="B158" s="6" t="s">
        <v>568</v>
      </c>
      <c r="C158" s="6">
        <v>2025</v>
      </c>
      <c r="D158" s="6" t="s">
        <v>300</v>
      </c>
      <c r="E158" s="6" t="s">
        <v>312</v>
      </c>
      <c r="F158" s="6">
        <v>8663</v>
      </c>
      <c r="G158" s="6" t="s">
        <v>302</v>
      </c>
      <c r="H158" s="6">
        <v>15</v>
      </c>
      <c r="I158" s="6" t="s">
        <v>586</v>
      </c>
      <c r="J158" s="6" t="s">
        <v>294</v>
      </c>
      <c r="K158" s="6"/>
      <c r="L158" s="6"/>
      <c r="M158" s="7" t="s">
        <v>295</v>
      </c>
      <c r="N158" s="7" t="s">
        <v>296</v>
      </c>
      <c r="O158" s="7" t="s">
        <v>297</v>
      </c>
      <c r="P158" s="7"/>
      <c r="Q158" s="7"/>
    </row>
    <row r="159" spans="1:17" ht="15" customHeight="1" x14ac:dyDescent="0.3">
      <c r="A159" s="6" t="s">
        <v>289</v>
      </c>
      <c r="B159" s="6" t="s">
        <v>568</v>
      </c>
      <c r="C159" s="6">
        <v>2025</v>
      </c>
      <c r="D159" s="6" t="s">
        <v>300</v>
      </c>
      <c r="E159" s="6" t="s">
        <v>314</v>
      </c>
      <c r="F159" s="6">
        <v>18384</v>
      </c>
      <c r="G159" s="6" t="s">
        <v>302</v>
      </c>
      <c r="H159" s="6">
        <v>15</v>
      </c>
      <c r="I159" s="6" t="s">
        <v>587</v>
      </c>
      <c r="J159" s="6" t="s">
        <v>294</v>
      </c>
      <c r="K159" s="6"/>
      <c r="L159" s="6"/>
      <c r="M159" s="7" t="s">
        <v>295</v>
      </c>
      <c r="N159" s="7" t="s">
        <v>296</v>
      </c>
      <c r="O159" s="7" t="s">
        <v>297</v>
      </c>
      <c r="P159" s="7"/>
      <c r="Q159" s="7"/>
    </row>
    <row r="160" spans="1:17" ht="15" customHeight="1" x14ac:dyDescent="0.3">
      <c r="A160" s="6" t="s">
        <v>289</v>
      </c>
      <c r="B160" s="6" t="s">
        <v>568</v>
      </c>
      <c r="C160" s="6">
        <v>2025</v>
      </c>
      <c r="D160" s="6" t="s">
        <v>300</v>
      </c>
      <c r="E160" s="6" t="s">
        <v>322</v>
      </c>
      <c r="F160" s="6">
        <v>2889</v>
      </c>
      <c r="G160" s="6" t="s">
        <v>302</v>
      </c>
      <c r="H160" s="6">
        <v>15</v>
      </c>
      <c r="I160" s="6" t="s">
        <v>588</v>
      </c>
      <c r="J160" s="6" t="s">
        <v>294</v>
      </c>
      <c r="K160" s="6"/>
      <c r="L160" s="6"/>
      <c r="M160" s="7" t="s">
        <v>295</v>
      </c>
      <c r="N160" s="7" t="s">
        <v>296</v>
      </c>
      <c r="O160" s="7" t="s">
        <v>297</v>
      </c>
      <c r="P160" s="7"/>
      <c r="Q160" s="7"/>
    </row>
    <row r="161" spans="1:17" ht="15" customHeight="1" x14ac:dyDescent="0.3">
      <c r="A161" s="6" t="s">
        <v>289</v>
      </c>
      <c r="B161" s="6" t="s">
        <v>568</v>
      </c>
      <c r="C161" s="6">
        <v>2025</v>
      </c>
      <c r="D161" s="6" t="s">
        <v>300</v>
      </c>
      <c r="E161" s="6" t="s">
        <v>318</v>
      </c>
      <c r="F161" s="6">
        <v>2000</v>
      </c>
      <c r="G161" s="6" t="s">
        <v>302</v>
      </c>
      <c r="H161" s="6">
        <v>15</v>
      </c>
      <c r="I161" s="6" t="s">
        <v>589</v>
      </c>
      <c r="J161" s="6" t="s">
        <v>294</v>
      </c>
      <c r="K161" s="6"/>
      <c r="L161" s="6"/>
      <c r="M161" s="7" t="s">
        <v>295</v>
      </c>
      <c r="N161" s="7" t="s">
        <v>296</v>
      </c>
      <c r="O161" s="7" t="s">
        <v>297</v>
      </c>
      <c r="P161" s="7"/>
      <c r="Q161" s="7"/>
    </row>
    <row r="162" spans="1:17" ht="15" customHeight="1" x14ac:dyDescent="0.3">
      <c r="A162" s="6" t="s">
        <v>289</v>
      </c>
      <c r="B162" s="6" t="s">
        <v>568</v>
      </c>
      <c r="C162" s="6">
        <v>2025</v>
      </c>
      <c r="D162" s="6" t="s">
        <v>300</v>
      </c>
      <c r="E162" s="6" t="s">
        <v>468</v>
      </c>
      <c r="F162" s="6">
        <v>889</v>
      </c>
      <c r="G162" s="6" t="s">
        <v>302</v>
      </c>
      <c r="H162" s="6">
        <v>15</v>
      </c>
      <c r="I162" s="6" t="s">
        <v>590</v>
      </c>
      <c r="J162" s="6" t="s">
        <v>294</v>
      </c>
      <c r="K162" s="6"/>
      <c r="L162" s="6"/>
      <c r="M162" s="7" t="s">
        <v>295</v>
      </c>
      <c r="N162" s="7" t="s">
        <v>296</v>
      </c>
      <c r="O162" s="7" t="s">
        <v>297</v>
      </c>
      <c r="P162" s="7"/>
      <c r="Q162" s="7"/>
    </row>
    <row r="163" spans="1:17" ht="15" customHeight="1" x14ac:dyDescent="0.3">
      <c r="A163" s="6" t="s">
        <v>289</v>
      </c>
      <c r="B163" s="6" t="s">
        <v>568</v>
      </c>
      <c r="C163" s="6">
        <v>2025</v>
      </c>
      <c r="D163" s="6" t="s">
        <v>300</v>
      </c>
      <c r="E163" s="6" t="s">
        <v>324</v>
      </c>
      <c r="F163" s="6">
        <v>24158</v>
      </c>
      <c r="G163" s="6" t="s">
        <v>302</v>
      </c>
      <c r="H163" s="6">
        <v>15</v>
      </c>
      <c r="I163" s="6" t="s">
        <v>591</v>
      </c>
      <c r="J163" s="6" t="s">
        <v>294</v>
      </c>
      <c r="K163" s="6"/>
      <c r="L163" s="6"/>
      <c r="M163" s="7" t="s">
        <v>295</v>
      </c>
      <c r="N163" s="7" t="s">
        <v>296</v>
      </c>
      <c r="O163" s="7" t="s">
        <v>297</v>
      </c>
      <c r="P163" s="7"/>
      <c r="Q163" s="7"/>
    </row>
    <row r="164" spans="1:17" ht="15" customHeight="1" x14ac:dyDescent="0.3">
      <c r="A164" s="6" t="s">
        <v>289</v>
      </c>
      <c r="B164" s="6" t="s">
        <v>568</v>
      </c>
      <c r="C164" s="6">
        <v>2025</v>
      </c>
      <c r="D164" s="6" t="s">
        <v>300</v>
      </c>
      <c r="E164" s="6" t="s">
        <v>592</v>
      </c>
      <c r="F164" s="6">
        <v>2760</v>
      </c>
      <c r="G164" s="6" t="s">
        <v>302</v>
      </c>
      <c r="H164" s="6">
        <v>128</v>
      </c>
      <c r="I164" s="6" t="s">
        <v>593</v>
      </c>
      <c r="J164" s="6" t="s">
        <v>294</v>
      </c>
      <c r="K164" s="6"/>
      <c r="L164" s="6"/>
      <c r="M164" s="7" t="s">
        <v>295</v>
      </c>
      <c r="N164" s="7" t="s">
        <v>296</v>
      </c>
      <c r="O164" s="7" t="s">
        <v>297</v>
      </c>
      <c r="P164" s="7"/>
      <c r="Q164" s="7"/>
    </row>
    <row r="165" spans="1:17" ht="15" customHeight="1" x14ac:dyDescent="0.3">
      <c r="A165" s="6" t="s">
        <v>289</v>
      </c>
      <c r="B165" s="6" t="s">
        <v>568</v>
      </c>
      <c r="C165" s="6">
        <v>2025</v>
      </c>
      <c r="D165" s="6" t="s">
        <v>300</v>
      </c>
      <c r="E165" s="6" t="s">
        <v>475</v>
      </c>
      <c r="F165" s="6">
        <v>0</v>
      </c>
      <c r="G165" s="6" t="s">
        <v>302</v>
      </c>
      <c r="H165" s="6">
        <v>129</v>
      </c>
      <c r="I165" s="6" t="s">
        <v>594</v>
      </c>
      <c r="J165" s="6" t="s">
        <v>294</v>
      </c>
      <c r="K165" s="6"/>
      <c r="L165" s="6"/>
      <c r="M165" s="7" t="s">
        <v>295</v>
      </c>
      <c r="N165" s="7" t="s">
        <v>296</v>
      </c>
      <c r="O165" s="7" t="s">
        <v>297</v>
      </c>
      <c r="P165" s="7"/>
      <c r="Q165" s="7"/>
    </row>
    <row r="166" spans="1:17" ht="15" customHeight="1" x14ac:dyDescent="0.3">
      <c r="A166" s="6" t="s">
        <v>289</v>
      </c>
      <c r="B166" s="6" t="s">
        <v>568</v>
      </c>
      <c r="C166" s="6">
        <v>2025</v>
      </c>
      <c r="D166" s="6" t="s">
        <v>300</v>
      </c>
      <c r="E166" s="6" t="s">
        <v>595</v>
      </c>
      <c r="F166" s="6">
        <v>0</v>
      </c>
      <c r="G166" s="6" t="s">
        <v>302</v>
      </c>
      <c r="H166" s="6">
        <v>129</v>
      </c>
      <c r="I166" s="6" t="s">
        <v>596</v>
      </c>
      <c r="J166" s="6" t="s">
        <v>294</v>
      </c>
      <c r="K166" s="6"/>
      <c r="L166" s="6"/>
      <c r="M166" s="7" t="s">
        <v>295</v>
      </c>
      <c r="N166" s="7" t="s">
        <v>296</v>
      </c>
      <c r="O166" s="7" t="s">
        <v>297</v>
      </c>
      <c r="P166" s="7"/>
      <c r="Q166" s="7"/>
    </row>
    <row r="167" spans="1:17" ht="15" customHeight="1" x14ac:dyDescent="0.3">
      <c r="A167" s="6" t="s">
        <v>289</v>
      </c>
      <c r="B167" s="6" t="s">
        <v>568</v>
      </c>
      <c r="C167" s="6">
        <v>2025</v>
      </c>
      <c r="D167" s="6" t="s">
        <v>300</v>
      </c>
      <c r="E167" s="6" t="s">
        <v>597</v>
      </c>
      <c r="F167" s="6">
        <v>0</v>
      </c>
      <c r="G167" s="6" t="s">
        <v>302</v>
      </c>
      <c r="H167" s="6">
        <v>129</v>
      </c>
      <c r="I167" s="6" t="s">
        <v>598</v>
      </c>
      <c r="J167" s="6" t="s">
        <v>294</v>
      </c>
      <c r="K167" s="6"/>
      <c r="L167" s="6"/>
      <c r="M167" s="7" t="s">
        <v>295</v>
      </c>
      <c r="N167" s="7" t="s">
        <v>296</v>
      </c>
      <c r="O167" s="7" t="s">
        <v>297</v>
      </c>
      <c r="P167" s="7"/>
      <c r="Q167" s="7"/>
    </row>
    <row r="168" spans="1:17" ht="15" customHeight="1" x14ac:dyDescent="0.3">
      <c r="A168" s="6" t="s">
        <v>289</v>
      </c>
      <c r="B168" s="6" t="s">
        <v>568</v>
      </c>
      <c r="C168" s="6">
        <v>2025</v>
      </c>
      <c r="D168" s="6" t="s">
        <v>300</v>
      </c>
      <c r="E168" s="6" t="s">
        <v>599</v>
      </c>
      <c r="F168" s="6">
        <v>911</v>
      </c>
      <c r="G168" s="6" t="s">
        <v>302</v>
      </c>
      <c r="H168" s="6">
        <v>129</v>
      </c>
      <c r="I168" s="6" t="s">
        <v>600</v>
      </c>
      <c r="J168" s="6" t="s">
        <v>294</v>
      </c>
      <c r="K168" s="6"/>
      <c r="L168" s="6"/>
      <c r="M168" s="7" t="s">
        <v>295</v>
      </c>
      <c r="N168" s="7" t="s">
        <v>296</v>
      </c>
      <c r="O168" s="7" t="s">
        <v>297</v>
      </c>
      <c r="P168" s="7"/>
      <c r="Q168" s="7"/>
    </row>
    <row r="169" spans="1:17" ht="15" customHeight="1" x14ac:dyDescent="0.3">
      <c r="A169" s="6" t="s">
        <v>289</v>
      </c>
      <c r="B169" s="6" t="s">
        <v>568</v>
      </c>
      <c r="C169" s="6">
        <v>2025</v>
      </c>
      <c r="D169" s="6" t="s">
        <v>300</v>
      </c>
      <c r="E169" s="6" t="s">
        <v>601</v>
      </c>
      <c r="F169" s="6">
        <v>4210</v>
      </c>
      <c r="G169" s="6" t="s">
        <v>302</v>
      </c>
      <c r="H169" s="6">
        <v>132</v>
      </c>
      <c r="I169" s="6" t="s">
        <v>602</v>
      </c>
      <c r="J169" s="6" t="s">
        <v>294</v>
      </c>
      <c r="K169" s="6"/>
      <c r="L169" s="6"/>
      <c r="M169" s="7" t="s">
        <v>295</v>
      </c>
      <c r="N169" s="7" t="s">
        <v>296</v>
      </c>
      <c r="O169" s="7" t="s">
        <v>297</v>
      </c>
      <c r="P169" s="7"/>
      <c r="Q169" s="7"/>
    </row>
    <row r="170" spans="1:17" ht="15" customHeight="1" x14ac:dyDescent="0.3">
      <c r="A170" s="6" t="s">
        <v>289</v>
      </c>
      <c r="B170" s="6" t="s">
        <v>568</v>
      </c>
      <c r="C170" s="6">
        <v>2025</v>
      </c>
      <c r="D170" s="6" t="s">
        <v>300</v>
      </c>
      <c r="E170" s="6" t="s">
        <v>603</v>
      </c>
      <c r="F170" s="6">
        <v>-782</v>
      </c>
      <c r="G170" s="6" t="s">
        <v>302</v>
      </c>
      <c r="H170" s="6">
        <v>132</v>
      </c>
      <c r="I170" s="6" t="s">
        <v>604</v>
      </c>
      <c r="J170" s="6" t="s">
        <v>294</v>
      </c>
      <c r="K170" s="6"/>
      <c r="L170" s="6"/>
      <c r="M170" s="7" t="s">
        <v>295</v>
      </c>
      <c r="N170" s="7" t="s">
        <v>296</v>
      </c>
      <c r="O170" s="7" t="s">
        <v>297</v>
      </c>
      <c r="P170" s="7"/>
      <c r="Q170" s="7"/>
    </row>
    <row r="171" spans="1:17" ht="15" customHeight="1" x14ac:dyDescent="0.3">
      <c r="A171" s="6" t="s">
        <v>289</v>
      </c>
      <c r="B171" s="6" t="s">
        <v>568</v>
      </c>
      <c r="C171" s="6">
        <v>2025</v>
      </c>
      <c r="D171" s="6" t="s">
        <v>300</v>
      </c>
      <c r="E171" s="6" t="s">
        <v>487</v>
      </c>
      <c r="F171" s="6">
        <v>782</v>
      </c>
      <c r="G171" s="6" t="s">
        <v>302</v>
      </c>
      <c r="H171" s="6">
        <v>136</v>
      </c>
      <c r="I171" s="6" t="s">
        <v>605</v>
      </c>
      <c r="J171" s="6" t="s">
        <v>294</v>
      </c>
      <c r="K171" s="6"/>
      <c r="L171" s="6"/>
      <c r="M171" s="7" t="s">
        <v>295</v>
      </c>
      <c r="N171" s="7" t="s">
        <v>296</v>
      </c>
      <c r="O171" s="7" t="s">
        <v>297</v>
      </c>
      <c r="P171" s="7"/>
      <c r="Q171" s="7"/>
    </row>
    <row r="172" spans="1:17" ht="15" customHeight="1" x14ac:dyDescent="0.3">
      <c r="A172" s="6" t="s">
        <v>289</v>
      </c>
      <c r="B172" s="6" t="s">
        <v>568</v>
      </c>
      <c r="C172" s="6">
        <v>2025</v>
      </c>
      <c r="D172" s="6" t="s">
        <v>300</v>
      </c>
      <c r="E172" s="6" t="s">
        <v>345</v>
      </c>
      <c r="F172" s="6">
        <v>765</v>
      </c>
      <c r="G172" s="6" t="s">
        <v>346</v>
      </c>
      <c r="H172" s="6">
        <v>15</v>
      </c>
      <c r="I172" s="6" t="s">
        <v>606</v>
      </c>
      <c r="J172" s="6" t="s">
        <v>294</v>
      </c>
      <c r="K172" s="6"/>
      <c r="L172" s="6"/>
      <c r="M172" s="7" t="s">
        <v>295</v>
      </c>
      <c r="N172" s="7" t="s">
        <v>296</v>
      </c>
      <c r="O172" s="7" t="s">
        <v>297</v>
      </c>
      <c r="P172" s="7"/>
      <c r="Q172" s="7"/>
    </row>
    <row r="173" spans="1:17" ht="15" customHeight="1" x14ac:dyDescent="0.3">
      <c r="A173" s="6" t="s">
        <v>289</v>
      </c>
      <c r="B173" s="6" t="s">
        <v>568</v>
      </c>
      <c r="C173" s="6">
        <v>2025</v>
      </c>
      <c r="D173" s="6" t="s">
        <v>300</v>
      </c>
      <c r="E173" s="6" t="s">
        <v>348</v>
      </c>
      <c r="F173" s="6">
        <v>12551</v>
      </c>
      <c r="G173" s="6" t="s">
        <v>346</v>
      </c>
      <c r="H173" s="6">
        <v>15</v>
      </c>
      <c r="I173" s="6" t="s">
        <v>607</v>
      </c>
      <c r="J173" s="6" t="s">
        <v>294</v>
      </c>
      <c r="K173" s="6"/>
      <c r="L173" s="6"/>
      <c r="M173" s="7" t="s">
        <v>295</v>
      </c>
      <c r="N173" s="7" t="s">
        <v>296</v>
      </c>
      <c r="O173" s="7" t="s">
        <v>297</v>
      </c>
      <c r="P173" s="7"/>
      <c r="Q173" s="7"/>
    </row>
    <row r="174" spans="1:17" ht="15" customHeight="1" x14ac:dyDescent="0.3">
      <c r="A174" s="6" t="s">
        <v>289</v>
      </c>
      <c r="B174" s="6" t="s">
        <v>568</v>
      </c>
      <c r="C174" s="6">
        <v>2025</v>
      </c>
      <c r="D174" s="6" t="s">
        <v>300</v>
      </c>
      <c r="E174" s="6" t="s">
        <v>350</v>
      </c>
      <c r="F174" s="6">
        <v>123</v>
      </c>
      <c r="G174" s="6" t="s">
        <v>346</v>
      </c>
      <c r="H174" s="6">
        <v>15</v>
      </c>
      <c r="I174" s="6" t="s">
        <v>608</v>
      </c>
      <c r="J174" s="6" t="s">
        <v>294</v>
      </c>
      <c r="K174" s="6"/>
      <c r="L174" s="6"/>
      <c r="M174" s="7" t="s">
        <v>295</v>
      </c>
      <c r="N174" s="7" t="s">
        <v>296</v>
      </c>
      <c r="O174" s="7" t="s">
        <v>297</v>
      </c>
      <c r="P174" s="7"/>
      <c r="Q174" s="7"/>
    </row>
    <row r="175" spans="1:17" ht="15" customHeight="1" x14ac:dyDescent="0.3">
      <c r="A175" s="6" t="s">
        <v>289</v>
      </c>
      <c r="B175" s="6" t="s">
        <v>568</v>
      </c>
      <c r="C175" s="6">
        <v>2025</v>
      </c>
      <c r="D175" s="6" t="s">
        <v>300</v>
      </c>
      <c r="E175" s="6" t="s">
        <v>342</v>
      </c>
      <c r="F175" s="6">
        <v>1925</v>
      </c>
      <c r="G175" s="6" t="s">
        <v>497</v>
      </c>
      <c r="H175" s="6">
        <v>15</v>
      </c>
      <c r="I175" s="6" t="s">
        <v>609</v>
      </c>
      <c r="J175" s="6" t="s">
        <v>294</v>
      </c>
      <c r="K175" s="6"/>
      <c r="L175" s="6"/>
      <c r="M175" s="7" t="s">
        <v>295</v>
      </c>
      <c r="N175" s="7" t="s">
        <v>296</v>
      </c>
      <c r="O175" s="7" t="s">
        <v>297</v>
      </c>
      <c r="P175" s="7"/>
      <c r="Q175" s="7"/>
    </row>
    <row r="176" spans="1:17" ht="15" customHeight="1" x14ac:dyDescent="0.3">
      <c r="A176" s="6" t="s">
        <v>289</v>
      </c>
      <c r="B176" s="6" t="s">
        <v>568</v>
      </c>
      <c r="C176" s="6">
        <v>2025</v>
      </c>
      <c r="D176" s="6" t="s">
        <v>300</v>
      </c>
      <c r="E176" s="6" t="s">
        <v>610</v>
      </c>
      <c r="F176" s="6">
        <v>7375</v>
      </c>
      <c r="G176" s="6" t="s">
        <v>346</v>
      </c>
      <c r="H176" s="6">
        <v>19</v>
      </c>
      <c r="I176" s="6" t="s">
        <v>611</v>
      </c>
      <c r="J176" s="6" t="s">
        <v>294</v>
      </c>
      <c r="K176" s="6"/>
      <c r="L176" s="6"/>
      <c r="M176" s="7" t="s">
        <v>295</v>
      </c>
      <c r="N176" s="7" t="s">
        <v>296</v>
      </c>
      <c r="O176" s="7" t="s">
        <v>297</v>
      </c>
      <c r="P176" s="7"/>
      <c r="Q176" s="7"/>
    </row>
    <row r="177" spans="1:17" ht="15" customHeight="1" x14ac:dyDescent="0.3">
      <c r="A177" s="6" t="s">
        <v>289</v>
      </c>
      <c r="B177" s="6" t="s">
        <v>568</v>
      </c>
      <c r="C177" s="6">
        <v>2025</v>
      </c>
      <c r="D177" s="6" t="s">
        <v>300</v>
      </c>
      <c r="E177" s="6" t="s">
        <v>356</v>
      </c>
      <c r="F177" s="6">
        <v>14190</v>
      </c>
      <c r="G177" s="6" t="s">
        <v>302</v>
      </c>
      <c r="H177" s="6">
        <v>19</v>
      </c>
      <c r="I177" s="6" t="s">
        <v>612</v>
      </c>
      <c r="J177" s="6" t="s">
        <v>294</v>
      </c>
      <c r="K177" s="6"/>
      <c r="L177" s="6"/>
      <c r="M177" s="7" t="s">
        <v>295</v>
      </c>
      <c r="N177" s="7" t="s">
        <v>296</v>
      </c>
      <c r="O177" s="7" t="s">
        <v>297</v>
      </c>
      <c r="P177" s="7"/>
      <c r="Q177" s="7"/>
    </row>
    <row r="178" spans="1:17" ht="15" customHeight="1" x14ac:dyDescent="0.3">
      <c r="A178" s="6" t="s">
        <v>289</v>
      </c>
      <c r="B178" s="6" t="s">
        <v>568</v>
      </c>
      <c r="C178" s="6">
        <v>2025</v>
      </c>
      <c r="D178" s="6" t="s">
        <v>300</v>
      </c>
      <c r="E178" s="6" t="s">
        <v>326</v>
      </c>
      <c r="F178" s="6">
        <v>4.33</v>
      </c>
      <c r="G178" s="6" t="s">
        <v>327</v>
      </c>
      <c r="H178" s="6">
        <v>134</v>
      </c>
      <c r="I178" s="6" t="s">
        <v>613</v>
      </c>
      <c r="J178" s="6" t="s">
        <v>294</v>
      </c>
      <c r="K178" s="6"/>
      <c r="L178" s="6"/>
      <c r="M178" s="7" t="s">
        <v>295</v>
      </c>
      <c r="N178" s="7" t="s">
        <v>296</v>
      </c>
      <c r="O178" s="7" t="s">
        <v>297</v>
      </c>
      <c r="P178" s="7"/>
      <c r="Q178" s="7"/>
    </row>
    <row r="179" spans="1:17" ht="15" customHeight="1" x14ac:dyDescent="0.3">
      <c r="A179" s="6" t="s">
        <v>289</v>
      </c>
      <c r="B179" s="6" t="s">
        <v>568</v>
      </c>
      <c r="C179" s="6">
        <v>2025</v>
      </c>
      <c r="D179" s="6" t="s">
        <v>300</v>
      </c>
      <c r="E179" s="6" t="s">
        <v>501</v>
      </c>
      <c r="F179" s="6">
        <v>0.01</v>
      </c>
      <c r="G179" s="6" t="s">
        <v>334</v>
      </c>
      <c r="H179" s="6">
        <v>134</v>
      </c>
      <c r="I179" s="6" t="s">
        <v>614</v>
      </c>
      <c r="J179" s="6" t="s">
        <v>294</v>
      </c>
      <c r="K179" s="6"/>
      <c r="L179" s="6"/>
      <c r="M179" s="7" t="s">
        <v>295</v>
      </c>
      <c r="N179" s="7" t="s">
        <v>296</v>
      </c>
      <c r="O179" s="7" t="s">
        <v>297</v>
      </c>
      <c r="P179" s="7"/>
      <c r="Q179" s="7"/>
    </row>
    <row r="180" spans="1:17" ht="15" customHeight="1" x14ac:dyDescent="0.3">
      <c r="A180" s="6" t="s">
        <v>289</v>
      </c>
      <c r="B180" s="6" t="s">
        <v>568</v>
      </c>
      <c r="C180" s="6">
        <v>2025</v>
      </c>
      <c r="D180" s="6" t="s">
        <v>358</v>
      </c>
      <c r="E180" s="6" t="s">
        <v>504</v>
      </c>
      <c r="F180" s="6">
        <v>280325</v>
      </c>
      <c r="G180" s="6" t="s">
        <v>360</v>
      </c>
      <c r="H180" s="6">
        <v>17</v>
      </c>
      <c r="I180" s="6" t="s">
        <v>615</v>
      </c>
      <c r="J180" s="6" t="s">
        <v>294</v>
      </c>
      <c r="K180" s="6"/>
      <c r="L180" s="6"/>
      <c r="M180" s="7" t="s">
        <v>295</v>
      </c>
      <c r="N180" s="7" t="s">
        <v>296</v>
      </c>
      <c r="O180" s="7" t="s">
        <v>297</v>
      </c>
      <c r="P180" s="7"/>
      <c r="Q180" s="7"/>
    </row>
    <row r="181" spans="1:17" ht="15" customHeight="1" x14ac:dyDescent="0.3">
      <c r="A181" s="6" t="s">
        <v>289</v>
      </c>
      <c r="B181" s="6" t="s">
        <v>568</v>
      </c>
      <c r="C181" s="6">
        <v>2025</v>
      </c>
      <c r="D181" s="6" t="s">
        <v>358</v>
      </c>
      <c r="E181" s="6" t="s">
        <v>362</v>
      </c>
      <c r="F181" s="6">
        <v>208063</v>
      </c>
      <c r="G181" s="6" t="s">
        <v>360</v>
      </c>
      <c r="H181" s="6">
        <v>17</v>
      </c>
      <c r="I181" s="6" t="s">
        <v>616</v>
      </c>
      <c r="J181" s="6" t="s">
        <v>294</v>
      </c>
      <c r="K181" s="6"/>
      <c r="L181" s="6"/>
      <c r="M181" s="7" t="s">
        <v>295</v>
      </c>
      <c r="N181" s="7" t="s">
        <v>296</v>
      </c>
      <c r="O181" s="7" t="s">
        <v>297</v>
      </c>
      <c r="P181" s="7"/>
      <c r="Q181" s="7"/>
    </row>
    <row r="182" spans="1:17" ht="15" customHeight="1" x14ac:dyDescent="0.3">
      <c r="A182" s="6" t="s">
        <v>289</v>
      </c>
      <c r="B182" s="6" t="s">
        <v>568</v>
      </c>
      <c r="C182" s="6">
        <v>2025</v>
      </c>
      <c r="D182" s="6" t="s">
        <v>358</v>
      </c>
      <c r="E182" s="6" t="s">
        <v>364</v>
      </c>
      <c r="F182" s="6">
        <v>72262</v>
      </c>
      <c r="G182" s="6" t="s">
        <v>360</v>
      </c>
      <c r="H182" s="6">
        <v>17</v>
      </c>
      <c r="I182" s="6" t="s">
        <v>617</v>
      </c>
      <c r="J182" s="6" t="s">
        <v>294</v>
      </c>
      <c r="K182" s="6"/>
      <c r="L182" s="6"/>
      <c r="M182" s="7" t="s">
        <v>295</v>
      </c>
      <c r="N182" s="7" t="s">
        <v>296</v>
      </c>
      <c r="O182" s="7" t="s">
        <v>297</v>
      </c>
      <c r="P182" s="7"/>
      <c r="Q182" s="7"/>
    </row>
    <row r="183" spans="1:17" ht="15" customHeight="1" x14ac:dyDescent="0.3">
      <c r="A183" s="6" t="s">
        <v>289</v>
      </c>
      <c r="B183" s="6" t="s">
        <v>568</v>
      </c>
      <c r="C183" s="6">
        <v>2025</v>
      </c>
      <c r="D183" s="6" t="s">
        <v>358</v>
      </c>
      <c r="E183" s="6" t="s">
        <v>508</v>
      </c>
      <c r="F183" s="6">
        <v>260927</v>
      </c>
      <c r="G183" s="6" t="s">
        <v>360</v>
      </c>
      <c r="H183" s="6">
        <v>17</v>
      </c>
      <c r="I183" s="6" t="s">
        <v>618</v>
      </c>
      <c r="J183" s="6" t="s">
        <v>294</v>
      </c>
      <c r="K183" s="6"/>
      <c r="L183" s="6"/>
      <c r="M183" s="7" t="s">
        <v>295</v>
      </c>
      <c r="N183" s="7" t="s">
        <v>296</v>
      </c>
      <c r="O183" s="7" t="s">
        <v>297</v>
      </c>
      <c r="P183" s="7"/>
      <c r="Q183" s="7"/>
    </row>
    <row r="184" spans="1:17" ht="15" customHeight="1" x14ac:dyDescent="0.3">
      <c r="A184" s="6" t="s">
        <v>289</v>
      </c>
      <c r="B184" s="6" t="s">
        <v>568</v>
      </c>
      <c r="C184" s="6">
        <v>2025</v>
      </c>
      <c r="D184" s="6" t="s">
        <v>358</v>
      </c>
      <c r="E184" s="6" t="s">
        <v>510</v>
      </c>
      <c r="F184" s="6">
        <v>19399</v>
      </c>
      <c r="G184" s="6" t="s">
        <v>360</v>
      </c>
      <c r="H184" s="6">
        <v>17</v>
      </c>
      <c r="I184" s="6" t="s">
        <v>619</v>
      </c>
      <c r="J184" s="6" t="s">
        <v>294</v>
      </c>
      <c r="K184" s="6"/>
      <c r="L184" s="6"/>
      <c r="M184" s="7" t="s">
        <v>295</v>
      </c>
      <c r="N184" s="7" t="s">
        <v>296</v>
      </c>
      <c r="O184" s="7" t="s">
        <v>297</v>
      </c>
      <c r="P184" s="7"/>
      <c r="Q184" s="7"/>
    </row>
    <row r="185" spans="1:17" ht="15" customHeight="1" x14ac:dyDescent="0.3">
      <c r="A185" s="6" t="s">
        <v>289</v>
      </c>
      <c r="B185" s="6" t="s">
        <v>568</v>
      </c>
      <c r="C185" s="6">
        <v>2025</v>
      </c>
      <c r="D185" s="6" t="s">
        <v>358</v>
      </c>
      <c r="E185" s="6" t="s">
        <v>512</v>
      </c>
      <c r="F185" s="6">
        <v>76292</v>
      </c>
      <c r="G185" s="6" t="s">
        <v>360</v>
      </c>
      <c r="H185" s="6">
        <v>17</v>
      </c>
      <c r="I185" s="6" t="s">
        <v>620</v>
      </c>
      <c r="J185" s="6" t="s">
        <v>294</v>
      </c>
      <c r="K185" s="6"/>
      <c r="L185" s="6"/>
      <c r="M185" s="7" t="s">
        <v>295</v>
      </c>
      <c r="N185" s="7" t="s">
        <v>296</v>
      </c>
      <c r="O185" s="7" t="s">
        <v>297</v>
      </c>
      <c r="P185" s="7"/>
      <c r="Q185" s="7"/>
    </row>
    <row r="186" spans="1:17" ht="15" customHeight="1" x14ac:dyDescent="0.3">
      <c r="A186" s="6" t="s">
        <v>289</v>
      </c>
      <c r="B186" s="6" t="s">
        <v>568</v>
      </c>
      <c r="C186" s="6">
        <v>2025</v>
      </c>
      <c r="D186" s="6" t="s">
        <v>358</v>
      </c>
      <c r="E186" s="6" t="s">
        <v>514</v>
      </c>
      <c r="F186" s="6">
        <v>184635</v>
      </c>
      <c r="G186" s="6" t="s">
        <v>360</v>
      </c>
      <c r="H186" s="6">
        <v>17</v>
      </c>
      <c r="I186" s="6" t="s">
        <v>621</v>
      </c>
      <c r="J186" s="6" t="s">
        <v>294</v>
      </c>
      <c r="K186" s="6"/>
      <c r="L186" s="6"/>
      <c r="M186" s="7" t="s">
        <v>295</v>
      </c>
      <c r="N186" s="7" t="s">
        <v>296</v>
      </c>
      <c r="O186" s="7" t="s">
        <v>297</v>
      </c>
      <c r="P186" s="7"/>
      <c r="Q186" s="7"/>
    </row>
    <row r="187" spans="1:17" ht="15" customHeight="1" x14ac:dyDescent="0.3">
      <c r="A187" s="6" t="s">
        <v>289</v>
      </c>
      <c r="B187" s="6" t="s">
        <v>568</v>
      </c>
      <c r="C187" s="6">
        <v>2025</v>
      </c>
      <c r="D187" s="6" t="s">
        <v>358</v>
      </c>
      <c r="E187" s="6" t="s">
        <v>374</v>
      </c>
      <c r="F187" s="6">
        <v>16.7</v>
      </c>
      <c r="G187" s="6" t="s">
        <v>375</v>
      </c>
      <c r="H187" s="6">
        <v>17</v>
      </c>
      <c r="I187" s="6" t="s">
        <v>622</v>
      </c>
      <c r="J187" s="6" t="s">
        <v>294</v>
      </c>
      <c r="K187" s="6"/>
      <c r="L187" s="6"/>
      <c r="M187" s="7" t="s">
        <v>295</v>
      </c>
      <c r="N187" s="7" t="s">
        <v>296</v>
      </c>
      <c r="O187" s="7" t="s">
        <v>297</v>
      </c>
      <c r="P187" s="7"/>
      <c r="Q187" s="7"/>
    </row>
    <row r="188" spans="1:17" ht="15" customHeight="1" x14ac:dyDescent="0.3">
      <c r="A188" s="6" t="s">
        <v>289</v>
      </c>
      <c r="B188" s="6" t="s">
        <v>568</v>
      </c>
      <c r="C188" s="6">
        <v>2025</v>
      </c>
      <c r="D188" s="6" t="s">
        <v>358</v>
      </c>
      <c r="E188" s="6" t="s">
        <v>377</v>
      </c>
      <c r="F188" s="6">
        <v>103389</v>
      </c>
      <c r="G188" s="6" t="s">
        <v>360</v>
      </c>
      <c r="H188" s="6">
        <v>17</v>
      </c>
      <c r="I188" s="6" t="s">
        <v>623</v>
      </c>
      <c r="J188" s="6" t="s">
        <v>294</v>
      </c>
      <c r="K188" s="6"/>
      <c r="L188" s="6"/>
      <c r="M188" s="7" t="s">
        <v>295</v>
      </c>
      <c r="N188" s="7" t="s">
        <v>296</v>
      </c>
      <c r="O188" s="7" t="s">
        <v>297</v>
      </c>
      <c r="P188" s="7"/>
      <c r="Q188" s="7"/>
    </row>
    <row r="189" spans="1:17" ht="15" customHeight="1" x14ac:dyDescent="0.3">
      <c r="A189" s="6" t="s">
        <v>289</v>
      </c>
      <c r="B189" s="6" t="s">
        <v>568</v>
      </c>
      <c r="C189" s="6">
        <v>2025</v>
      </c>
      <c r="D189" s="6" t="s">
        <v>358</v>
      </c>
      <c r="E189" s="6" t="s">
        <v>379</v>
      </c>
      <c r="F189" s="6">
        <v>129093</v>
      </c>
      <c r="G189" s="6" t="s">
        <v>360</v>
      </c>
      <c r="H189" s="6">
        <v>17</v>
      </c>
      <c r="I189" s="6" t="s">
        <v>624</v>
      </c>
      <c r="J189" s="6" t="s">
        <v>294</v>
      </c>
      <c r="K189" s="6"/>
      <c r="L189" s="6"/>
      <c r="M189" s="7" t="s">
        <v>295</v>
      </c>
      <c r="N189" s="7" t="s">
        <v>296</v>
      </c>
      <c r="O189" s="7" t="s">
        <v>297</v>
      </c>
      <c r="P189" s="7"/>
      <c r="Q189" s="7"/>
    </row>
    <row r="190" spans="1:17" ht="15" customHeight="1" x14ac:dyDescent="0.3">
      <c r="A190" s="6" t="s">
        <v>289</v>
      </c>
      <c r="B190" s="6" t="s">
        <v>568</v>
      </c>
      <c r="C190" s="6">
        <v>2025</v>
      </c>
      <c r="D190" s="6" t="s">
        <v>358</v>
      </c>
      <c r="E190" s="6" t="s">
        <v>381</v>
      </c>
      <c r="F190" s="6">
        <v>47843</v>
      </c>
      <c r="G190" s="6" t="s">
        <v>360</v>
      </c>
      <c r="H190" s="6">
        <v>17</v>
      </c>
      <c r="I190" s="6" t="s">
        <v>625</v>
      </c>
      <c r="J190" s="6" t="s">
        <v>294</v>
      </c>
      <c r="K190" s="6"/>
      <c r="L190" s="6"/>
      <c r="M190" s="7" t="s">
        <v>295</v>
      </c>
      <c r="N190" s="7" t="s">
        <v>296</v>
      </c>
      <c r="O190" s="7" t="s">
        <v>297</v>
      </c>
      <c r="P190" s="7"/>
      <c r="Q190" s="7"/>
    </row>
    <row r="191" spans="1:17" ht="15" customHeight="1" x14ac:dyDescent="0.3">
      <c r="A191" s="6" t="s">
        <v>289</v>
      </c>
      <c r="B191" s="6" t="s">
        <v>568</v>
      </c>
      <c r="C191" s="6">
        <v>2025</v>
      </c>
      <c r="D191" s="6" t="s">
        <v>358</v>
      </c>
      <c r="E191" s="6" t="s">
        <v>626</v>
      </c>
      <c r="F191" s="6">
        <v>32</v>
      </c>
      <c r="G191" s="6" t="s">
        <v>384</v>
      </c>
      <c r="H191" s="6">
        <v>18</v>
      </c>
      <c r="I191" s="6" t="s">
        <v>627</v>
      </c>
      <c r="J191" s="6" t="s">
        <v>294</v>
      </c>
      <c r="K191" s="6"/>
      <c r="L191" s="6"/>
      <c r="M191" s="7" t="s">
        <v>295</v>
      </c>
      <c r="N191" s="7" t="s">
        <v>296</v>
      </c>
      <c r="O191" s="7" t="s">
        <v>297</v>
      </c>
      <c r="P191" s="7"/>
      <c r="Q191" s="7"/>
    </row>
    <row r="192" spans="1:17" ht="15" customHeight="1" x14ac:dyDescent="0.3">
      <c r="A192" s="6" t="s">
        <v>289</v>
      </c>
      <c r="B192" s="6" t="s">
        <v>568</v>
      </c>
      <c r="C192" s="6">
        <v>2025</v>
      </c>
      <c r="D192" s="6" t="s">
        <v>358</v>
      </c>
      <c r="E192" s="6" t="s">
        <v>628</v>
      </c>
      <c r="F192" s="6">
        <v>14</v>
      </c>
      <c r="G192" s="6" t="s">
        <v>384</v>
      </c>
      <c r="H192" s="6">
        <v>18</v>
      </c>
      <c r="I192" s="6" t="s">
        <v>526</v>
      </c>
      <c r="J192" s="6" t="s">
        <v>294</v>
      </c>
      <c r="K192" s="6"/>
      <c r="L192" s="6"/>
      <c r="M192" s="7" t="s">
        <v>295</v>
      </c>
      <c r="N192" s="7" t="s">
        <v>296</v>
      </c>
      <c r="O192" s="7" t="s">
        <v>297</v>
      </c>
      <c r="P192" s="7"/>
      <c r="Q192" s="7"/>
    </row>
    <row r="193" spans="1:17" ht="15" customHeight="1" x14ac:dyDescent="0.3">
      <c r="A193" s="6" t="s">
        <v>289</v>
      </c>
      <c r="B193" s="6" t="s">
        <v>568</v>
      </c>
      <c r="C193" s="6">
        <v>2025</v>
      </c>
      <c r="D193" s="6" t="s">
        <v>358</v>
      </c>
      <c r="E193" s="6" t="s">
        <v>629</v>
      </c>
      <c r="F193" s="6">
        <v>2</v>
      </c>
      <c r="G193" s="6" t="s">
        <v>384</v>
      </c>
      <c r="H193" s="6">
        <v>18</v>
      </c>
      <c r="I193" s="6" t="s">
        <v>527</v>
      </c>
      <c r="J193" s="6" t="s">
        <v>294</v>
      </c>
      <c r="K193" s="6"/>
      <c r="L193" s="6"/>
      <c r="M193" s="7" t="s">
        <v>295</v>
      </c>
      <c r="N193" s="7" t="s">
        <v>296</v>
      </c>
      <c r="O193" s="7" t="s">
        <v>297</v>
      </c>
      <c r="P193" s="7"/>
      <c r="Q193" s="7"/>
    </row>
    <row r="194" spans="1:17" ht="15" customHeight="1" x14ac:dyDescent="0.3">
      <c r="A194" s="6" t="s">
        <v>289</v>
      </c>
      <c r="B194" s="6" t="s">
        <v>568</v>
      </c>
      <c r="C194" s="6">
        <v>2025</v>
      </c>
      <c r="D194" s="6" t="s">
        <v>358</v>
      </c>
      <c r="E194" s="6" t="s">
        <v>630</v>
      </c>
      <c r="F194" s="6">
        <v>1</v>
      </c>
      <c r="G194" s="6" t="s">
        <v>384</v>
      </c>
      <c r="H194" s="6">
        <v>18</v>
      </c>
      <c r="I194" s="6" t="s">
        <v>528</v>
      </c>
      <c r="J194" s="6" t="s">
        <v>294</v>
      </c>
      <c r="K194" s="6"/>
      <c r="L194" s="6"/>
      <c r="M194" s="7" t="s">
        <v>295</v>
      </c>
      <c r="N194" s="7" t="s">
        <v>296</v>
      </c>
      <c r="O194" s="7" t="s">
        <v>297</v>
      </c>
      <c r="P194" s="7"/>
      <c r="Q194" s="7"/>
    </row>
    <row r="195" spans="1:17" ht="15" customHeight="1" x14ac:dyDescent="0.3">
      <c r="A195" s="6" t="s">
        <v>289</v>
      </c>
      <c r="B195" s="6" t="s">
        <v>568</v>
      </c>
      <c r="C195" s="6">
        <v>2025</v>
      </c>
      <c r="D195" s="6" t="s">
        <v>358</v>
      </c>
      <c r="E195" s="6" t="s">
        <v>631</v>
      </c>
      <c r="F195" s="6">
        <v>2</v>
      </c>
      <c r="G195" s="6" t="s">
        <v>384</v>
      </c>
      <c r="H195" s="6">
        <v>18</v>
      </c>
      <c r="I195" s="6" t="s">
        <v>530</v>
      </c>
      <c r="J195" s="6" t="s">
        <v>294</v>
      </c>
      <c r="K195" s="6"/>
      <c r="L195" s="6"/>
      <c r="M195" s="7" t="s">
        <v>295</v>
      </c>
      <c r="N195" s="7" t="s">
        <v>296</v>
      </c>
      <c r="O195" s="7" t="s">
        <v>297</v>
      </c>
      <c r="P195" s="7"/>
      <c r="Q195" s="7"/>
    </row>
    <row r="196" spans="1:17" ht="15" customHeight="1" x14ac:dyDescent="0.3">
      <c r="A196" s="6" t="s">
        <v>289</v>
      </c>
      <c r="B196" s="6" t="s">
        <v>568</v>
      </c>
      <c r="C196" s="6">
        <v>2025</v>
      </c>
      <c r="D196" s="6" t="s">
        <v>394</v>
      </c>
      <c r="E196" s="6" t="s">
        <v>531</v>
      </c>
      <c r="F196" s="6">
        <v>3821559</v>
      </c>
      <c r="G196" s="6" t="s">
        <v>396</v>
      </c>
      <c r="H196" s="6">
        <v>17</v>
      </c>
      <c r="I196" s="6" t="s">
        <v>632</v>
      </c>
      <c r="J196" s="6" t="s">
        <v>294</v>
      </c>
      <c r="K196" s="6"/>
      <c r="L196" s="6"/>
      <c r="M196" s="7" t="s">
        <v>295</v>
      </c>
      <c r="N196" s="7" t="s">
        <v>296</v>
      </c>
      <c r="O196" s="7" t="s">
        <v>297</v>
      </c>
      <c r="P196" s="7"/>
      <c r="Q196" s="7"/>
    </row>
    <row r="197" spans="1:17" ht="15" customHeight="1" x14ac:dyDescent="0.3">
      <c r="A197" s="6" t="s">
        <v>289</v>
      </c>
      <c r="B197" s="6" t="s">
        <v>568</v>
      </c>
      <c r="C197" s="6">
        <v>2025</v>
      </c>
      <c r="D197" s="6" t="s">
        <v>394</v>
      </c>
      <c r="E197" s="6" t="s">
        <v>533</v>
      </c>
      <c r="F197" s="6">
        <v>3009024</v>
      </c>
      <c r="G197" s="6" t="s">
        <v>396</v>
      </c>
      <c r="H197" s="6">
        <v>17</v>
      </c>
      <c r="I197" s="6" t="s">
        <v>633</v>
      </c>
      <c r="J197" s="6" t="s">
        <v>294</v>
      </c>
      <c r="K197" s="6"/>
      <c r="L197" s="6"/>
      <c r="M197" s="7" t="s">
        <v>295</v>
      </c>
      <c r="N197" s="7" t="s">
        <v>296</v>
      </c>
      <c r="O197" s="7" t="s">
        <v>297</v>
      </c>
      <c r="P197" s="7"/>
      <c r="Q197" s="7"/>
    </row>
    <row r="198" spans="1:17" ht="15" customHeight="1" x14ac:dyDescent="0.3">
      <c r="A198" s="6" t="s">
        <v>289</v>
      </c>
      <c r="B198" s="6" t="s">
        <v>568</v>
      </c>
      <c r="C198" s="6">
        <v>2025</v>
      </c>
      <c r="D198" s="6" t="s">
        <v>394</v>
      </c>
      <c r="E198" s="6" t="s">
        <v>535</v>
      </c>
      <c r="F198" s="6">
        <v>812535</v>
      </c>
      <c r="G198" s="6" t="s">
        <v>396</v>
      </c>
      <c r="H198" s="6">
        <v>17</v>
      </c>
      <c r="I198" s="6" t="s">
        <v>634</v>
      </c>
      <c r="J198" s="6" t="s">
        <v>294</v>
      </c>
      <c r="K198" s="6"/>
      <c r="L198" s="6"/>
      <c r="M198" s="7" t="s">
        <v>295</v>
      </c>
      <c r="N198" s="7" t="s">
        <v>296</v>
      </c>
      <c r="O198" s="7" t="s">
        <v>297</v>
      </c>
      <c r="P198" s="7"/>
      <c r="Q198" s="7"/>
    </row>
    <row r="199" spans="1:17" ht="15" customHeight="1" x14ac:dyDescent="0.3">
      <c r="A199" s="6" t="s">
        <v>289</v>
      </c>
      <c r="B199" s="6" t="s">
        <v>568</v>
      </c>
      <c r="C199" s="6">
        <v>2025</v>
      </c>
      <c r="D199" s="6" t="s">
        <v>394</v>
      </c>
      <c r="E199" s="6" t="s">
        <v>402</v>
      </c>
      <c r="F199" s="6">
        <v>6231369</v>
      </c>
      <c r="G199" s="6" t="s">
        <v>396</v>
      </c>
      <c r="H199" s="6">
        <v>17</v>
      </c>
      <c r="I199" s="6" t="s">
        <v>635</v>
      </c>
      <c r="J199" s="6" t="s">
        <v>294</v>
      </c>
      <c r="K199" s="6"/>
      <c r="L199" s="6"/>
      <c r="M199" s="7" t="s">
        <v>295</v>
      </c>
      <c r="N199" s="7" t="s">
        <v>296</v>
      </c>
      <c r="O199" s="7" t="s">
        <v>297</v>
      </c>
      <c r="P199" s="7"/>
      <c r="Q199" s="7"/>
    </row>
    <row r="200" spans="1:17" ht="15" customHeight="1" x14ac:dyDescent="0.3">
      <c r="A200" s="6" t="s">
        <v>289</v>
      </c>
      <c r="B200" s="6" t="s">
        <v>568</v>
      </c>
      <c r="C200" s="6">
        <v>2025</v>
      </c>
      <c r="D200" s="6" t="s">
        <v>394</v>
      </c>
      <c r="E200" s="6" t="s">
        <v>404</v>
      </c>
      <c r="F200" s="6">
        <v>2409810</v>
      </c>
      <c r="G200" s="6" t="s">
        <v>396</v>
      </c>
      <c r="H200" s="6">
        <v>122</v>
      </c>
      <c r="I200" s="6" t="s">
        <v>636</v>
      </c>
      <c r="J200" s="6" t="s">
        <v>294</v>
      </c>
      <c r="K200" s="6"/>
      <c r="L200" s="6"/>
      <c r="M200" s="7" t="s">
        <v>295</v>
      </c>
      <c r="N200" s="7" t="s">
        <v>296</v>
      </c>
      <c r="O200" s="7" t="s">
        <v>297</v>
      </c>
      <c r="P200" s="7"/>
      <c r="Q200" s="7"/>
    </row>
    <row r="201" spans="1:17" ht="15" customHeight="1" x14ac:dyDescent="0.3">
      <c r="A201" s="6" t="s">
        <v>289</v>
      </c>
      <c r="B201" s="6" t="s">
        <v>568</v>
      </c>
      <c r="C201" s="6">
        <v>2025</v>
      </c>
      <c r="D201" s="6" t="s">
        <v>394</v>
      </c>
      <c r="E201" s="6" t="s">
        <v>406</v>
      </c>
      <c r="F201" s="6">
        <v>1197514</v>
      </c>
      <c r="G201" s="6" t="s">
        <v>396</v>
      </c>
      <c r="H201" s="6">
        <v>17</v>
      </c>
      <c r="I201" s="6" t="s">
        <v>637</v>
      </c>
      <c r="J201" s="6" t="s">
        <v>294</v>
      </c>
      <c r="K201" s="6"/>
      <c r="L201" s="6"/>
      <c r="M201" s="7" t="s">
        <v>295</v>
      </c>
      <c r="N201" s="7" t="s">
        <v>296</v>
      </c>
      <c r="O201" s="7" t="s">
        <v>297</v>
      </c>
      <c r="P201" s="7"/>
      <c r="Q201" s="7"/>
    </row>
    <row r="202" spans="1:17" x14ac:dyDescent="0.3">
      <c r="A202" t="s">
        <v>289</v>
      </c>
      <c r="B202" t="s">
        <v>568</v>
      </c>
      <c r="C202">
        <v>2025</v>
      </c>
      <c r="D202" t="s">
        <v>394</v>
      </c>
      <c r="E202" t="s">
        <v>416</v>
      </c>
      <c r="F202">
        <v>251874</v>
      </c>
      <c r="G202" t="s">
        <v>396</v>
      </c>
      <c r="H202">
        <v>17</v>
      </c>
      <c r="I202" t="s">
        <v>638</v>
      </c>
      <c r="J202" t="s">
        <v>294</v>
      </c>
      <c r="M202" t="s">
        <v>295</v>
      </c>
      <c r="N202" t="s">
        <v>296</v>
      </c>
      <c r="O202" t="s">
        <v>297</v>
      </c>
    </row>
    <row r="203" spans="1:17" x14ac:dyDescent="0.3">
      <c r="A203" t="s">
        <v>289</v>
      </c>
      <c r="B203" t="s">
        <v>568</v>
      </c>
      <c r="C203">
        <v>2025</v>
      </c>
      <c r="D203" t="s">
        <v>394</v>
      </c>
      <c r="E203" t="s">
        <v>418</v>
      </c>
      <c r="F203">
        <v>60451</v>
      </c>
      <c r="G203" t="s">
        <v>396</v>
      </c>
      <c r="H203">
        <v>17</v>
      </c>
      <c r="I203" t="s">
        <v>639</v>
      </c>
      <c r="J203" t="s">
        <v>294</v>
      </c>
      <c r="M203" t="s">
        <v>295</v>
      </c>
      <c r="N203" t="s">
        <v>296</v>
      </c>
      <c r="O203" t="s">
        <v>297</v>
      </c>
    </row>
    <row r="204" spans="1:17" x14ac:dyDescent="0.3">
      <c r="A204" t="s">
        <v>289</v>
      </c>
      <c r="B204" t="s">
        <v>568</v>
      </c>
      <c r="C204">
        <v>2025</v>
      </c>
      <c r="D204" t="s">
        <v>394</v>
      </c>
      <c r="E204" t="s">
        <v>640</v>
      </c>
      <c r="F204">
        <v>17718</v>
      </c>
      <c r="G204" t="s">
        <v>396</v>
      </c>
      <c r="H204">
        <v>17</v>
      </c>
      <c r="I204" t="s">
        <v>641</v>
      </c>
      <c r="J204" t="s">
        <v>294</v>
      </c>
      <c r="M204" t="s">
        <v>295</v>
      </c>
      <c r="N204" t="s">
        <v>296</v>
      </c>
      <c r="O204" t="s">
        <v>297</v>
      </c>
    </row>
    <row r="205" spans="1:17" x14ac:dyDescent="0.3">
      <c r="A205" t="s">
        <v>289</v>
      </c>
      <c r="B205" t="s">
        <v>568</v>
      </c>
      <c r="C205">
        <v>2025</v>
      </c>
      <c r="D205" t="s">
        <v>394</v>
      </c>
      <c r="E205" t="s">
        <v>642</v>
      </c>
      <c r="F205">
        <v>457987</v>
      </c>
      <c r="G205" t="s">
        <v>396</v>
      </c>
      <c r="H205">
        <v>17</v>
      </c>
      <c r="I205" t="s">
        <v>643</v>
      </c>
      <c r="J205" t="s">
        <v>294</v>
      </c>
      <c r="M205" t="s">
        <v>295</v>
      </c>
      <c r="N205" t="s">
        <v>296</v>
      </c>
      <c r="O205" t="s">
        <v>297</v>
      </c>
    </row>
    <row r="206" spans="1:17" x14ac:dyDescent="0.3">
      <c r="A206" t="s">
        <v>289</v>
      </c>
      <c r="B206" t="s">
        <v>568</v>
      </c>
      <c r="C206">
        <v>2025</v>
      </c>
      <c r="D206" t="s">
        <v>394</v>
      </c>
      <c r="E206" t="s">
        <v>644</v>
      </c>
      <c r="F206">
        <v>119496</v>
      </c>
      <c r="G206" t="s">
        <v>396</v>
      </c>
      <c r="H206">
        <v>17</v>
      </c>
      <c r="I206" t="s">
        <v>645</v>
      </c>
      <c r="J206" t="s">
        <v>294</v>
      </c>
      <c r="M206" t="s">
        <v>295</v>
      </c>
      <c r="N206" t="s">
        <v>296</v>
      </c>
      <c r="O206" t="s">
        <v>297</v>
      </c>
    </row>
    <row r="207" spans="1:17" x14ac:dyDescent="0.3">
      <c r="A207" t="s">
        <v>289</v>
      </c>
      <c r="B207" t="s">
        <v>568</v>
      </c>
      <c r="C207">
        <v>2025</v>
      </c>
      <c r="D207" t="s">
        <v>394</v>
      </c>
      <c r="E207" t="s">
        <v>646</v>
      </c>
      <c r="F207">
        <v>26920</v>
      </c>
      <c r="G207" t="s">
        <v>396</v>
      </c>
      <c r="H207">
        <v>17</v>
      </c>
      <c r="I207" t="s">
        <v>647</v>
      </c>
      <c r="J207" t="s">
        <v>294</v>
      </c>
      <c r="M207" t="s">
        <v>295</v>
      </c>
      <c r="N207" t="s">
        <v>296</v>
      </c>
      <c r="O207" t="s">
        <v>297</v>
      </c>
    </row>
    <row r="208" spans="1:17" x14ac:dyDescent="0.3">
      <c r="A208" t="s">
        <v>289</v>
      </c>
      <c r="B208" t="s">
        <v>568</v>
      </c>
      <c r="C208">
        <v>2025</v>
      </c>
      <c r="D208" t="s">
        <v>394</v>
      </c>
      <c r="E208" t="s">
        <v>648</v>
      </c>
      <c r="F208">
        <v>74765</v>
      </c>
      <c r="G208" t="s">
        <v>396</v>
      </c>
      <c r="H208">
        <v>17</v>
      </c>
      <c r="I208" t="s">
        <v>649</v>
      </c>
      <c r="J208" t="s">
        <v>294</v>
      </c>
      <c r="M208" t="s">
        <v>295</v>
      </c>
      <c r="N208" t="s">
        <v>296</v>
      </c>
      <c r="O208" t="s">
        <v>297</v>
      </c>
    </row>
    <row r="209" spans="1:15" x14ac:dyDescent="0.3">
      <c r="A209" t="s">
        <v>289</v>
      </c>
      <c r="B209" t="s">
        <v>568</v>
      </c>
      <c r="C209">
        <v>2025</v>
      </c>
      <c r="D209" t="s">
        <v>394</v>
      </c>
      <c r="E209" t="s">
        <v>422</v>
      </c>
      <c r="F209">
        <v>14.46</v>
      </c>
      <c r="G209" t="s">
        <v>423</v>
      </c>
      <c r="H209">
        <v>17</v>
      </c>
      <c r="I209" t="s">
        <v>650</v>
      </c>
      <c r="J209" t="s">
        <v>294</v>
      </c>
      <c r="M209" t="s">
        <v>295</v>
      </c>
      <c r="N209" t="s">
        <v>296</v>
      </c>
      <c r="O209" t="s">
        <v>297</v>
      </c>
    </row>
    <row r="210" spans="1:15" x14ac:dyDescent="0.3">
      <c r="A210" t="s">
        <v>289</v>
      </c>
      <c r="B210" t="s">
        <v>568</v>
      </c>
      <c r="C210">
        <v>2025</v>
      </c>
      <c r="D210" t="s">
        <v>394</v>
      </c>
      <c r="E210" t="s">
        <v>425</v>
      </c>
      <c r="F210">
        <v>2.78</v>
      </c>
      <c r="G210" t="s">
        <v>423</v>
      </c>
      <c r="H210">
        <v>17</v>
      </c>
      <c r="I210" t="s">
        <v>651</v>
      </c>
      <c r="J210" t="s">
        <v>294</v>
      </c>
      <c r="M210" t="s">
        <v>295</v>
      </c>
      <c r="N210" t="s">
        <v>296</v>
      </c>
      <c r="O210" t="s">
        <v>297</v>
      </c>
    </row>
    <row r="211" spans="1:15" x14ac:dyDescent="0.3">
      <c r="A211" t="s">
        <v>289</v>
      </c>
      <c r="B211" t="s">
        <v>568</v>
      </c>
      <c r="C211">
        <v>2025</v>
      </c>
      <c r="D211" t="s">
        <v>394</v>
      </c>
      <c r="E211" t="s">
        <v>652</v>
      </c>
      <c r="F211">
        <v>0.19220000000000001</v>
      </c>
      <c r="G211" t="s">
        <v>334</v>
      </c>
      <c r="H211">
        <v>17</v>
      </c>
      <c r="I211" t="s">
        <v>653</v>
      </c>
      <c r="J211" t="s">
        <v>294</v>
      </c>
      <c r="M211" t="s">
        <v>295</v>
      </c>
      <c r="N211" t="s">
        <v>296</v>
      </c>
      <c r="O211" t="s">
        <v>297</v>
      </c>
    </row>
    <row r="212" spans="1:15" x14ac:dyDescent="0.3">
      <c r="A212" t="s">
        <v>289</v>
      </c>
      <c r="B212" t="s">
        <v>568</v>
      </c>
      <c r="C212">
        <v>2025</v>
      </c>
      <c r="D212" t="s">
        <v>394</v>
      </c>
      <c r="E212" t="s">
        <v>654</v>
      </c>
      <c r="F212">
        <v>4.0399999999999998E-2</v>
      </c>
      <c r="G212" t="s">
        <v>334</v>
      </c>
      <c r="H212">
        <v>17</v>
      </c>
      <c r="I212" t="s">
        <v>655</v>
      </c>
      <c r="J212" t="s">
        <v>294</v>
      </c>
      <c r="M212" t="s">
        <v>295</v>
      </c>
      <c r="N212" t="s">
        <v>296</v>
      </c>
      <c r="O212" t="s">
        <v>297</v>
      </c>
    </row>
    <row r="213" spans="1:15" x14ac:dyDescent="0.3">
      <c r="A213" t="s">
        <v>289</v>
      </c>
      <c r="B213" t="s">
        <v>568</v>
      </c>
      <c r="C213">
        <v>2025</v>
      </c>
      <c r="D213" t="s">
        <v>394</v>
      </c>
      <c r="E213" t="s">
        <v>554</v>
      </c>
      <c r="F213">
        <v>14316</v>
      </c>
      <c r="G213" t="s">
        <v>436</v>
      </c>
      <c r="H213">
        <v>18</v>
      </c>
      <c r="I213" t="s">
        <v>656</v>
      </c>
      <c r="J213" t="s">
        <v>294</v>
      </c>
      <c r="M213" t="s">
        <v>295</v>
      </c>
      <c r="N213" t="s">
        <v>296</v>
      </c>
      <c r="O213" t="s">
        <v>297</v>
      </c>
    </row>
    <row r="214" spans="1:15" x14ac:dyDescent="0.3">
      <c r="A214" t="s">
        <v>289</v>
      </c>
      <c r="B214" t="s">
        <v>568</v>
      </c>
      <c r="C214">
        <v>2025</v>
      </c>
      <c r="D214" t="s">
        <v>394</v>
      </c>
      <c r="E214" t="s">
        <v>556</v>
      </c>
      <c r="F214">
        <v>1761</v>
      </c>
      <c r="G214" t="s">
        <v>557</v>
      </c>
      <c r="H214">
        <v>122</v>
      </c>
      <c r="I214" t="s">
        <v>657</v>
      </c>
      <c r="J214" t="s">
        <v>294</v>
      </c>
      <c r="M214" t="s">
        <v>295</v>
      </c>
      <c r="N214" t="s">
        <v>296</v>
      </c>
      <c r="O214" t="s">
        <v>297</v>
      </c>
    </row>
    <row r="215" spans="1:15" x14ac:dyDescent="0.3">
      <c r="A215" t="s">
        <v>289</v>
      </c>
      <c r="B215" t="s">
        <v>568</v>
      </c>
      <c r="C215">
        <v>2025</v>
      </c>
      <c r="D215" t="s">
        <v>394</v>
      </c>
      <c r="E215" t="s">
        <v>559</v>
      </c>
      <c r="F215">
        <v>0.64</v>
      </c>
      <c r="G215" t="s">
        <v>334</v>
      </c>
      <c r="H215">
        <v>124</v>
      </c>
      <c r="I215" t="s">
        <v>658</v>
      </c>
      <c r="J215" t="s">
        <v>294</v>
      </c>
      <c r="M215" t="s">
        <v>295</v>
      </c>
      <c r="N215" t="s">
        <v>296</v>
      </c>
      <c r="O215" t="s">
        <v>297</v>
      </c>
    </row>
    <row r="216" spans="1:15" x14ac:dyDescent="0.3">
      <c r="A216" t="s">
        <v>289</v>
      </c>
      <c r="B216" t="s">
        <v>568</v>
      </c>
      <c r="C216">
        <v>2025</v>
      </c>
      <c r="D216" t="s">
        <v>394</v>
      </c>
      <c r="E216" t="s">
        <v>561</v>
      </c>
      <c r="F216">
        <v>0.36</v>
      </c>
      <c r="G216" t="s">
        <v>334</v>
      </c>
      <c r="H216">
        <v>124</v>
      </c>
      <c r="I216" t="s">
        <v>659</v>
      </c>
      <c r="J216" t="s">
        <v>294</v>
      </c>
      <c r="M216" t="s">
        <v>295</v>
      </c>
      <c r="N216" t="s">
        <v>296</v>
      </c>
      <c r="O216" t="s">
        <v>297</v>
      </c>
    </row>
    <row r="217" spans="1:15" x14ac:dyDescent="0.3">
      <c r="A217" t="s">
        <v>660</v>
      </c>
      <c r="B217" t="s">
        <v>661</v>
      </c>
      <c r="C217">
        <v>2022</v>
      </c>
      <c r="D217" t="s">
        <v>272</v>
      </c>
      <c r="E217" t="s">
        <v>291</v>
      </c>
      <c r="F217" t="s">
        <v>660</v>
      </c>
      <c r="G217" t="s">
        <v>292</v>
      </c>
      <c r="H217">
        <v>36</v>
      </c>
      <c r="I217" t="s">
        <v>662</v>
      </c>
      <c r="J217" t="s">
        <v>294</v>
      </c>
      <c r="M217" t="s">
        <v>295</v>
      </c>
      <c r="N217" t="s">
        <v>296</v>
      </c>
      <c r="O217" t="s">
        <v>297</v>
      </c>
    </row>
    <row r="218" spans="1:15" x14ac:dyDescent="0.3">
      <c r="A218" t="s">
        <v>660</v>
      </c>
      <c r="B218" t="s">
        <v>661</v>
      </c>
      <c r="C218">
        <v>2022</v>
      </c>
      <c r="D218" t="s">
        <v>272</v>
      </c>
      <c r="E218" t="s">
        <v>1</v>
      </c>
      <c r="F218" t="s">
        <v>25</v>
      </c>
      <c r="G218" t="s">
        <v>292</v>
      </c>
      <c r="H218">
        <v>36</v>
      </c>
      <c r="I218" t="s">
        <v>663</v>
      </c>
      <c r="J218" t="s">
        <v>294</v>
      </c>
      <c r="M218" t="s">
        <v>295</v>
      </c>
      <c r="N218" t="s">
        <v>296</v>
      </c>
      <c r="O218" t="s">
        <v>297</v>
      </c>
    </row>
    <row r="219" spans="1:15" x14ac:dyDescent="0.3">
      <c r="A219" t="s">
        <v>660</v>
      </c>
      <c r="B219" t="s">
        <v>661</v>
      </c>
      <c r="C219">
        <v>2022</v>
      </c>
      <c r="D219" t="s">
        <v>272</v>
      </c>
      <c r="E219" t="s">
        <v>664</v>
      </c>
      <c r="F219" t="s">
        <v>665</v>
      </c>
      <c r="G219" t="s">
        <v>666</v>
      </c>
      <c r="H219">
        <v>37</v>
      </c>
      <c r="I219" t="s">
        <v>667</v>
      </c>
      <c r="J219" t="s">
        <v>294</v>
      </c>
      <c r="M219" t="s">
        <v>295</v>
      </c>
      <c r="N219" t="s">
        <v>296</v>
      </c>
      <c r="O219" t="s">
        <v>297</v>
      </c>
    </row>
    <row r="220" spans="1:15" x14ac:dyDescent="0.3">
      <c r="A220" t="s">
        <v>660</v>
      </c>
      <c r="B220" t="s">
        <v>661</v>
      </c>
      <c r="C220">
        <v>2022</v>
      </c>
      <c r="D220" t="s">
        <v>272</v>
      </c>
      <c r="E220" t="s">
        <v>668</v>
      </c>
      <c r="F220" t="s">
        <v>669</v>
      </c>
      <c r="G220" t="s">
        <v>292</v>
      </c>
      <c r="H220">
        <v>37</v>
      </c>
      <c r="I220" t="s">
        <v>670</v>
      </c>
      <c r="J220" t="s">
        <v>294</v>
      </c>
      <c r="M220" t="s">
        <v>295</v>
      </c>
      <c r="N220" t="s">
        <v>296</v>
      </c>
      <c r="O220" t="s">
        <v>297</v>
      </c>
    </row>
    <row r="221" spans="1:15" x14ac:dyDescent="0.3">
      <c r="A221" t="s">
        <v>660</v>
      </c>
      <c r="B221" t="s">
        <v>661</v>
      </c>
      <c r="C221">
        <v>2022</v>
      </c>
      <c r="D221" t="s">
        <v>272</v>
      </c>
      <c r="E221" t="s">
        <v>671</v>
      </c>
      <c r="F221" t="s">
        <v>672</v>
      </c>
      <c r="G221" t="s">
        <v>292</v>
      </c>
      <c r="H221">
        <v>36</v>
      </c>
      <c r="I221" t="s">
        <v>673</v>
      </c>
      <c r="J221" t="s">
        <v>294</v>
      </c>
      <c r="M221" t="s">
        <v>295</v>
      </c>
      <c r="N221" t="s">
        <v>296</v>
      </c>
      <c r="O221" t="s">
        <v>297</v>
      </c>
    </row>
    <row r="222" spans="1:15" x14ac:dyDescent="0.3">
      <c r="A222" t="s">
        <v>660</v>
      </c>
      <c r="B222" t="s">
        <v>661</v>
      </c>
      <c r="C222">
        <v>2022</v>
      </c>
      <c r="D222" t="s">
        <v>272</v>
      </c>
      <c r="E222" t="s">
        <v>674</v>
      </c>
      <c r="F222">
        <v>0.49730000000000002</v>
      </c>
      <c r="G222" t="s">
        <v>334</v>
      </c>
      <c r="H222">
        <v>53</v>
      </c>
      <c r="I222" t="s">
        <v>675</v>
      </c>
      <c r="J222" t="s">
        <v>294</v>
      </c>
      <c r="M222" t="s">
        <v>295</v>
      </c>
      <c r="N222" t="s">
        <v>296</v>
      </c>
      <c r="O222" t="s">
        <v>297</v>
      </c>
    </row>
    <row r="223" spans="1:15" x14ac:dyDescent="0.3">
      <c r="A223" t="s">
        <v>660</v>
      </c>
      <c r="B223" t="s">
        <v>661</v>
      </c>
      <c r="C223">
        <v>2022</v>
      </c>
      <c r="D223" t="s">
        <v>272</v>
      </c>
      <c r="E223" t="s">
        <v>676</v>
      </c>
      <c r="F223">
        <v>7.4899999999999994E-2</v>
      </c>
      <c r="G223" t="s">
        <v>334</v>
      </c>
      <c r="H223">
        <v>53</v>
      </c>
      <c r="I223" t="s">
        <v>677</v>
      </c>
      <c r="J223" t="s">
        <v>294</v>
      </c>
      <c r="M223" t="s">
        <v>295</v>
      </c>
      <c r="N223" t="s">
        <v>296</v>
      </c>
      <c r="O223" t="s">
        <v>297</v>
      </c>
    </row>
    <row r="224" spans="1:15" x14ac:dyDescent="0.3">
      <c r="A224" t="s">
        <v>660</v>
      </c>
      <c r="B224" t="s">
        <v>661</v>
      </c>
      <c r="C224">
        <v>2022</v>
      </c>
      <c r="D224" t="s">
        <v>272</v>
      </c>
      <c r="E224" t="s">
        <v>678</v>
      </c>
      <c r="F224">
        <v>6.0699999999999997E-2</v>
      </c>
      <c r="G224" t="s">
        <v>334</v>
      </c>
      <c r="H224">
        <v>53</v>
      </c>
      <c r="I224" t="s">
        <v>679</v>
      </c>
      <c r="J224" t="s">
        <v>294</v>
      </c>
      <c r="M224" t="s">
        <v>295</v>
      </c>
      <c r="N224" t="s">
        <v>296</v>
      </c>
      <c r="O224" t="s">
        <v>297</v>
      </c>
    </row>
    <row r="225" spans="1:15" x14ac:dyDescent="0.3">
      <c r="A225" t="s">
        <v>660</v>
      </c>
      <c r="B225" t="s">
        <v>661</v>
      </c>
      <c r="C225">
        <v>2022</v>
      </c>
      <c r="D225" t="s">
        <v>272</v>
      </c>
      <c r="E225" t="s">
        <v>680</v>
      </c>
      <c r="F225">
        <v>0.36709999999999998</v>
      </c>
      <c r="G225" t="s">
        <v>334</v>
      </c>
      <c r="H225">
        <v>53</v>
      </c>
      <c r="I225" t="s">
        <v>681</v>
      </c>
      <c r="J225" t="s">
        <v>294</v>
      </c>
      <c r="M225" t="s">
        <v>295</v>
      </c>
      <c r="N225" t="s">
        <v>296</v>
      </c>
      <c r="O225" t="s">
        <v>297</v>
      </c>
    </row>
    <row r="226" spans="1:15" x14ac:dyDescent="0.3">
      <c r="A226" t="s">
        <v>660</v>
      </c>
      <c r="B226" t="s">
        <v>661</v>
      </c>
      <c r="C226">
        <v>2022</v>
      </c>
      <c r="D226" t="s">
        <v>300</v>
      </c>
      <c r="E226" t="s">
        <v>682</v>
      </c>
      <c r="F226">
        <v>317.86</v>
      </c>
      <c r="G226" t="s">
        <v>302</v>
      </c>
      <c r="H226">
        <v>13</v>
      </c>
      <c r="I226" t="s">
        <v>683</v>
      </c>
      <c r="J226" t="s">
        <v>294</v>
      </c>
      <c r="M226" t="s">
        <v>295</v>
      </c>
      <c r="N226" t="s">
        <v>296</v>
      </c>
      <c r="O226" t="s">
        <v>297</v>
      </c>
    </row>
    <row r="227" spans="1:15" x14ac:dyDescent="0.3">
      <c r="A227" t="s">
        <v>660</v>
      </c>
      <c r="B227" t="s">
        <v>661</v>
      </c>
      <c r="C227">
        <v>2022</v>
      </c>
      <c r="D227" t="s">
        <v>300</v>
      </c>
      <c r="E227" t="s">
        <v>684</v>
      </c>
      <c r="F227">
        <v>269.45999999999998</v>
      </c>
      <c r="G227" t="s">
        <v>302</v>
      </c>
      <c r="H227">
        <v>75</v>
      </c>
      <c r="I227" t="s">
        <v>685</v>
      </c>
      <c r="J227" t="s">
        <v>294</v>
      </c>
      <c r="M227" t="s">
        <v>295</v>
      </c>
      <c r="N227" t="s">
        <v>296</v>
      </c>
      <c r="O227" t="s">
        <v>297</v>
      </c>
    </row>
    <row r="228" spans="1:15" x14ac:dyDescent="0.3">
      <c r="A228" t="s">
        <v>660</v>
      </c>
      <c r="B228" t="s">
        <v>661</v>
      </c>
      <c r="C228">
        <v>2022</v>
      </c>
      <c r="D228" t="s">
        <v>300</v>
      </c>
      <c r="E228" t="s">
        <v>686</v>
      </c>
      <c r="F228">
        <v>48.39</v>
      </c>
      <c r="G228" t="s">
        <v>302</v>
      </c>
      <c r="H228">
        <v>75</v>
      </c>
      <c r="I228" t="s">
        <v>687</v>
      </c>
      <c r="J228" t="s">
        <v>294</v>
      </c>
      <c r="M228" t="s">
        <v>295</v>
      </c>
      <c r="N228" t="s">
        <v>296</v>
      </c>
      <c r="O228" t="s">
        <v>297</v>
      </c>
    </row>
    <row r="229" spans="1:15" x14ac:dyDescent="0.3">
      <c r="A229" t="s">
        <v>660</v>
      </c>
      <c r="B229" t="s">
        <v>661</v>
      </c>
      <c r="C229">
        <v>2022</v>
      </c>
      <c r="D229" t="s">
        <v>300</v>
      </c>
      <c r="E229" t="s">
        <v>688</v>
      </c>
      <c r="F229">
        <v>295.08</v>
      </c>
      <c r="G229" t="s">
        <v>302</v>
      </c>
      <c r="H229">
        <v>13</v>
      </c>
      <c r="I229" t="s">
        <v>689</v>
      </c>
      <c r="J229" t="s">
        <v>294</v>
      </c>
      <c r="M229" t="s">
        <v>295</v>
      </c>
      <c r="N229" t="s">
        <v>296</v>
      </c>
      <c r="O229" t="s">
        <v>297</v>
      </c>
    </row>
    <row r="230" spans="1:15" x14ac:dyDescent="0.3">
      <c r="A230" t="s">
        <v>660</v>
      </c>
      <c r="B230" t="s">
        <v>661</v>
      </c>
      <c r="C230">
        <v>2022</v>
      </c>
      <c r="D230" t="s">
        <v>300</v>
      </c>
      <c r="E230" t="s">
        <v>304</v>
      </c>
      <c r="F230">
        <v>22.78</v>
      </c>
      <c r="G230" t="s">
        <v>302</v>
      </c>
      <c r="H230">
        <v>13</v>
      </c>
      <c r="I230" t="s">
        <v>690</v>
      </c>
      <c r="J230" t="s">
        <v>294</v>
      </c>
      <c r="M230" t="s">
        <v>295</v>
      </c>
      <c r="N230" t="s">
        <v>296</v>
      </c>
      <c r="O230" t="s">
        <v>297</v>
      </c>
    </row>
    <row r="231" spans="1:15" x14ac:dyDescent="0.3">
      <c r="A231" t="s">
        <v>660</v>
      </c>
      <c r="B231" t="s">
        <v>661</v>
      </c>
      <c r="C231">
        <v>2022</v>
      </c>
      <c r="D231" t="s">
        <v>300</v>
      </c>
      <c r="E231" t="s">
        <v>691</v>
      </c>
      <c r="F231">
        <v>-10.54</v>
      </c>
      <c r="G231" t="s">
        <v>302</v>
      </c>
      <c r="H231">
        <v>13</v>
      </c>
      <c r="I231" t="s">
        <v>692</v>
      </c>
      <c r="J231" t="s">
        <v>294</v>
      </c>
      <c r="M231" t="s">
        <v>295</v>
      </c>
      <c r="N231" t="s">
        <v>296</v>
      </c>
      <c r="O231" t="s">
        <v>297</v>
      </c>
    </row>
    <row r="232" spans="1:15" x14ac:dyDescent="0.3">
      <c r="A232" t="s">
        <v>660</v>
      </c>
      <c r="B232" t="s">
        <v>661</v>
      </c>
      <c r="C232">
        <v>2022</v>
      </c>
      <c r="D232" t="s">
        <v>300</v>
      </c>
      <c r="E232" t="s">
        <v>693</v>
      </c>
      <c r="F232">
        <v>14.97</v>
      </c>
      <c r="G232" t="s">
        <v>302</v>
      </c>
      <c r="H232">
        <v>77</v>
      </c>
      <c r="I232" t="s">
        <v>694</v>
      </c>
      <c r="J232" t="s">
        <v>294</v>
      </c>
      <c r="M232" t="s">
        <v>295</v>
      </c>
      <c r="N232" t="s">
        <v>296</v>
      </c>
      <c r="O232" t="s">
        <v>297</v>
      </c>
    </row>
    <row r="233" spans="1:15" x14ac:dyDescent="0.3">
      <c r="A233" t="s">
        <v>660</v>
      </c>
      <c r="B233" t="s">
        <v>661</v>
      </c>
      <c r="C233">
        <v>2022</v>
      </c>
      <c r="D233" t="s">
        <v>300</v>
      </c>
      <c r="E233" t="s">
        <v>695</v>
      </c>
      <c r="F233">
        <v>-12</v>
      </c>
      <c r="G233" t="s">
        <v>302</v>
      </c>
      <c r="H233">
        <v>13</v>
      </c>
      <c r="I233" t="s">
        <v>696</v>
      </c>
      <c r="J233" t="s">
        <v>294</v>
      </c>
      <c r="M233" t="s">
        <v>295</v>
      </c>
      <c r="N233" t="s">
        <v>296</v>
      </c>
      <c r="O233" t="s">
        <v>297</v>
      </c>
    </row>
    <row r="234" spans="1:15" x14ac:dyDescent="0.3">
      <c r="A234" t="s">
        <v>660</v>
      </c>
      <c r="B234" t="s">
        <v>661</v>
      </c>
      <c r="C234">
        <v>2022</v>
      </c>
      <c r="D234" t="s">
        <v>300</v>
      </c>
      <c r="E234" t="s">
        <v>697</v>
      </c>
      <c r="F234">
        <v>-10.79</v>
      </c>
      <c r="G234" t="s">
        <v>302</v>
      </c>
      <c r="H234">
        <v>13</v>
      </c>
      <c r="I234" t="s">
        <v>698</v>
      </c>
      <c r="J234" t="s">
        <v>294</v>
      </c>
      <c r="M234" t="s">
        <v>295</v>
      </c>
      <c r="N234" t="s">
        <v>296</v>
      </c>
      <c r="O234" t="s">
        <v>297</v>
      </c>
    </row>
    <row r="235" spans="1:15" x14ac:dyDescent="0.3">
      <c r="A235" t="s">
        <v>660</v>
      </c>
      <c r="B235" t="s">
        <v>661</v>
      </c>
      <c r="C235">
        <v>2022</v>
      </c>
      <c r="D235" t="s">
        <v>300</v>
      </c>
      <c r="E235" t="s">
        <v>316</v>
      </c>
      <c r="F235">
        <v>444.21</v>
      </c>
      <c r="G235" t="s">
        <v>302</v>
      </c>
      <c r="H235">
        <v>76</v>
      </c>
      <c r="I235" t="s">
        <v>699</v>
      </c>
      <c r="J235" t="s">
        <v>294</v>
      </c>
      <c r="M235" t="s">
        <v>295</v>
      </c>
      <c r="N235" t="s">
        <v>296</v>
      </c>
      <c r="O235" t="s">
        <v>297</v>
      </c>
    </row>
    <row r="236" spans="1:15" x14ac:dyDescent="0.3">
      <c r="A236" t="s">
        <v>660</v>
      </c>
      <c r="B236" t="s">
        <v>661</v>
      </c>
      <c r="C236">
        <v>2022</v>
      </c>
      <c r="D236" t="s">
        <v>300</v>
      </c>
      <c r="E236" t="s">
        <v>312</v>
      </c>
      <c r="F236">
        <v>77.819999999999993</v>
      </c>
      <c r="G236" t="s">
        <v>302</v>
      </c>
      <c r="H236">
        <v>76</v>
      </c>
      <c r="I236" t="s">
        <v>700</v>
      </c>
      <c r="J236" t="s">
        <v>294</v>
      </c>
      <c r="M236" t="s">
        <v>295</v>
      </c>
      <c r="N236" t="s">
        <v>296</v>
      </c>
      <c r="O236" t="s">
        <v>297</v>
      </c>
    </row>
    <row r="237" spans="1:15" x14ac:dyDescent="0.3">
      <c r="A237" t="s">
        <v>660</v>
      </c>
      <c r="B237" t="s">
        <v>661</v>
      </c>
      <c r="C237">
        <v>2022</v>
      </c>
      <c r="D237" t="s">
        <v>300</v>
      </c>
      <c r="E237" t="s">
        <v>314</v>
      </c>
      <c r="F237">
        <v>366.39</v>
      </c>
      <c r="G237" t="s">
        <v>302</v>
      </c>
      <c r="H237">
        <v>76</v>
      </c>
      <c r="I237" t="s">
        <v>701</v>
      </c>
      <c r="J237" t="s">
        <v>294</v>
      </c>
      <c r="M237" t="s">
        <v>295</v>
      </c>
      <c r="N237" t="s">
        <v>296</v>
      </c>
      <c r="O237" t="s">
        <v>297</v>
      </c>
    </row>
    <row r="238" spans="1:15" x14ac:dyDescent="0.3">
      <c r="A238" t="s">
        <v>660</v>
      </c>
      <c r="B238" t="s">
        <v>661</v>
      </c>
      <c r="C238">
        <v>2022</v>
      </c>
      <c r="D238" t="s">
        <v>300</v>
      </c>
      <c r="E238" t="s">
        <v>322</v>
      </c>
      <c r="F238">
        <v>205.52</v>
      </c>
      <c r="G238" t="s">
        <v>302</v>
      </c>
      <c r="H238">
        <v>76</v>
      </c>
      <c r="I238" t="s">
        <v>702</v>
      </c>
      <c r="J238" t="s">
        <v>294</v>
      </c>
      <c r="M238" t="s">
        <v>295</v>
      </c>
      <c r="N238" t="s">
        <v>296</v>
      </c>
      <c r="O238" t="s">
        <v>297</v>
      </c>
    </row>
    <row r="239" spans="1:15" x14ac:dyDescent="0.3">
      <c r="A239" t="s">
        <v>660</v>
      </c>
      <c r="B239" t="s">
        <v>661</v>
      </c>
      <c r="C239">
        <v>2022</v>
      </c>
      <c r="D239" t="s">
        <v>300</v>
      </c>
      <c r="E239" t="s">
        <v>318</v>
      </c>
      <c r="F239">
        <v>51.32</v>
      </c>
      <c r="G239" t="s">
        <v>302</v>
      </c>
      <c r="H239">
        <v>76</v>
      </c>
      <c r="I239" t="s">
        <v>703</v>
      </c>
      <c r="J239" t="s">
        <v>294</v>
      </c>
      <c r="M239" t="s">
        <v>295</v>
      </c>
      <c r="N239" t="s">
        <v>296</v>
      </c>
      <c r="O239" t="s">
        <v>297</v>
      </c>
    </row>
    <row r="240" spans="1:15" x14ac:dyDescent="0.3">
      <c r="A240" t="s">
        <v>660</v>
      </c>
      <c r="B240" t="s">
        <v>661</v>
      </c>
      <c r="C240">
        <v>2022</v>
      </c>
      <c r="D240" t="s">
        <v>300</v>
      </c>
      <c r="E240" t="s">
        <v>320</v>
      </c>
      <c r="F240">
        <v>154.19999999999999</v>
      </c>
      <c r="G240" t="s">
        <v>302</v>
      </c>
      <c r="H240">
        <v>76</v>
      </c>
      <c r="I240" t="s">
        <v>704</v>
      </c>
      <c r="J240" t="s">
        <v>294</v>
      </c>
      <c r="M240" t="s">
        <v>295</v>
      </c>
      <c r="N240" t="s">
        <v>296</v>
      </c>
      <c r="O240" t="s">
        <v>297</v>
      </c>
    </row>
    <row r="241" spans="1:15" x14ac:dyDescent="0.3">
      <c r="A241" t="s">
        <v>660</v>
      </c>
      <c r="B241" t="s">
        <v>661</v>
      </c>
      <c r="C241">
        <v>2022</v>
      </c>
      <c r="D241" t="s">
        <v>300</v>
      </c>
      <c r="E241" t="s">
        <v>324</v>
      </c>
      <c r="F241">
        <v>238.69</v>
      </c>
      <c r="G241" t="s">
        <v>302</v>
      </c>
      <c r="H241">
        <v>76</v>
      </c>
      <c r="I241" t="s">
        <v>705</v>
      </c>
      <c r="J241" t="s">
        <v>294</v>
      </c>
      <c r="M241" t="s">
        <v>295</v>
      </c>
      <c r="N241" t="s">
        <v>296</v>
      </c>
      <c r="O241" t="s">
        <v>297</v>
      </c>
    </row>
    <row r="242" spans="1:15" x14ac:dyDescent="0.3">
      <c r="A242" t="s">
        <v>660</v>
      </c>
      <c r="B242" t="s">
        <v>661</v>
      </c>
      <c r="C242">
        <v>2022</v>
      </c>
      <c r="D242" t="s">
        <v>300</v>
      </c>
      <c r="E242" t="s">
        <v>471</v>
      </c>
      <c r="F242">
        <v>15.02</v>
      </c>
      <c r="G242" t="s">
        <v>302</v>
      </c>
      <c r="H242">
        <v>79</v>
      </c>
      <c r="I242" t="s">
        <v>706</v>
      </c>
      <c r="J242" t="s">
        <v>294</v>
      </c>
      <c r="M242" t="s">
        <v>295</v>
      </c>
      <c r="N242" t="s">
        <v>296</v>
      </c>
      <c r="O242" t="s">
        <v>297</v>
      </c>
    </row>
    <row r="243" spans="1:15" x14ac:dyDescent="0.3">
      <c r="A243" t="s">
        <v>660</v>
      </c>
      <c r="B243" t="s">
        <v>661</v>
      </c>
      <c r="C243">
        <v>2022</v>
      </c>
      <c r="D243" t="s">
        <v>300</v>
      </c>
      <c r="E243" t="s">
        <v>707</v>
      </c>
      <c r="F243">
        <v>166.18</v>
      </c>
      <c r="G243" t="s">
        <v>302</v>
      </c>
      <c r="H243">
        <v>285</v>
      </c>
      <c r="I243" t="s">
        <v>708</v>
      </c>
      <c r="J243" t="s">
        <v>294</v>
      </c>
      <c r="M243" t="s">
        <v>295</v>
      </c>
      <c r="N243" t="s">
        <v>296</v>
      </c>
      <c r="O243" t="s">
        <v>297</v>
      </c>
    </row>
    <row r="244" spans="1:15" x14ac:dyDescent="0.3">
      <c r="A244" t="s">
        <v>660</v>
      </c>
      <c r="B244" t="s">
        <v>661</v>
      </c>
      <c r="C244">
        <v>2022</v>
      </c>
      <c r="D244" t="s">
        <v>300</v>
      </c>
      <c r="E244" t="s">
        <v>709</v>
      </c>
      <c r="F244">
        <v>16.61</v>
      </c>
      <c r="G244" t="s">
        <v>302</v>
      </c>
      <c r="H244">
        <v>285</v>
      </c>
      <c r="I244" t="s">
        <v>710</v>
      </c>
      <c r="J244" t="s">
        <v>294</v>
      </c>
      <c r="M244" t="s">
        <v>295</v>
      </c>
      <c r="N244" t="s">
        <v>296</v>
      </c>
      <c r="O244" t="s">
        <v>297</v>
      </c>
    </row>
    <row r="245" spans="1:15" x14ac:dyDescent="0.3">
      <c r="A245" t="s">
        <v>660</v>
      </c>
      <c r="B245" t="s">
        <v>661</v>
      </c>
      <c r="C245">
        <v>2022</v>
      </c>
      <c r="D245" t="s">
        <v>300</v>
      </c>
      <c r="E245" t="s">
        <v>711</v>
      </c>
      <c r="F245">
        <v>149.57</v>
      </c>
      <c r="G245" t="s">
        <v>302</v>
      </c>
      <c r="H245">
        <v>285</v>
      </c>
      <c r="I245" t="s">
        <v>712</v>
      </c>
      <c r="J245" t="s">
        <v>294</v>
      </c>
      <c r="M245" t="s">
        <v>295</v>
      </c>
      <c r="N245" t="s">
        <v>296</v>
      </c>
      <c r="O245" t="s">
        <v>297</v>
      </c>
    </row>
    <row r="246" spans="1:15" x14ac:dyDescent="0.3">
      <c r="A246" t="s">
        <v>660</v>
      </c>
      <c r="B246" t="s">
        <v>661</v>
      </c>
      <c r="C246">
        <v>2022</v>
      </c>
      <c r="D246" t="s">
        <v>300</v>
      </c>
      <c r="E246" t="s">
        <v>601</v>
      </c>
      <c r="F246">
        <v>51.02</v>
      </c>
      <c r="G246" t="s">
        <v>302</v>
      </c>
      <c r="H246">
        <v>79</v>
      </c>
      <c r="I246" t="s">
        <v>713</v>
      </c>
      <c r="J246" t="s">
        <v>294</v>
      </c>
      <c r="M246" t="s">
        <v>295</v>
      </c>
      <c r="N246" t="s">
        <v>296</v>
      </c>
      <c r="O246" t="s">
        <v>297</v>
      </c>
    </row>
    <row r="247" spans="1:15" x14ac:dyDescent="0.3">
      <c r="A247" t="s">
        <v>660</v>
      </c>
      <c r="B247" t="s">
        <v>661</v>
      </c>
      <c r="C247">
        <v>2022</v>
      </c>
      <c r="D247" t="s">
        <v>300</v>
      </c>
      <c r="E247" t="s">
        <v>714</v>
      </c>
      <c r="F247">
        <v>-29.78</v>
      </c>
      <c r="G247" t="s">
        <v>302</v>
      </c>
      <c r="H247">
        <v>79</v>
      </c>
      <c r="I247" t="s">
        <v>715</v>
      </c>
      <c r="J247" t="s">
        <v>294</v>
      </c>
      <c r="M247" t="s">
        <v>295</v>
      </c>
      <c r="N247" t="s">
        <v>296</v>
      </c>
      <c r="O247" t="s">
        <v>297</v>
      </c>
    </row>
    <row r="248" spans="1:15" x14ac:dyDescent="0.3">
      <c r="A248" t="s">
        <v>660</v>
      </c>
      <c r="B248" t="s">
        <v>661</v>
      </c>
      <c r="C248">
        <v>2022</v>
      </c>
      <c r="D248" t="s">
        <v>300</v>
      </c>
      <c r="E248" t="s">
        <v>716</v>
      </c>
      <c r="F248">
        <v>-16.2</v>
      </c>
      <c r="G248" t="s">
        <v>302</v>
      </c>
      <c r="H248">
        <v>79</v>
      </c>
      <c r="I248" t="s">
        <v>717</v>
      </c>
      <c r="J248" t="s">
        <v>294</v>
      </c>
      <c r="M248" t="s">
        <v>295</v>
      </c>
      <c r="N248" t="s">
        <v>296</v>
      </c>
      <c r="O248" t="s">
        <v>297</v>
      </c>
    </row>
    <row r="249" spans="1:15" x14ac:dyDescent="0.3">
      <c r="A249" t="s">
        <v>660</v>
      </c>
      <c r="B249" t="s">
        <v>661</v>
      </c>
      <c r="C249">
        <v>2022</v>
      </c>
      <c r="D249" t="s">
        <v>300</v>
      </c>
      <c r="E249" t="s">
        <v>718</v>
      </c>
      <c r="F249">
        <v>-1.1499999999999999</v>
      </c>
      <c r="G249" t="s">
        <v>346</v>
      </c>
      <c r="H249">
        <v>13</v>
      </c>
      <c r="I249" t="s">
        <v>719</v>
      </c>
      <c r="J249" t="s">
        <v>294</v>
      </c>
      <c r="M249" t="s">
        <v>295</v>
      </c>
      <c r="N249" t="s">
        <v>296</v>
      </c>
      <c r="O249" t="s">
        <v>297</v>
      </c>
    </row>
    <row r="250" spans="1:15" x14ac:dyDescent="0.3">
      <c r="A250" t="s">
        <v>660</v>
      </c>
      <c r="B250" t="s">
        <v>661</v>
      </c>
      <c r="C250">
        <v>2022</v>
      </c>
      <c r="D250" t="s">
        <v>300</v>
      </c>
      <c r="E250" t="s">
        <v>342</v>
      </c>
      <c r="F250">
        <v>9350</v>
      </c>
      <c r="G250" t="s">
        <v>497</v>
      </c>
      <c r="H250">
        <v>15</v>
      </c>
      <c r="I250" t="s">
        <v>720</v>
      </c>
      <c r="J250" t="s">
        <v>294</v>
      </c>
      <c r="M250" t="s">
        <v>295</v>
      </c>
      <c r="N250" t="s">
        <v>296</v>
      </c>
      <c r="O250" t="s">
        <v>297</v>
      </c>
    </row>
    <row r="251" spans="1:15" x14ac:dyDescent="0.3">
      <c r="A251" t="s">
        <v>660</v>
      </c>
      <c r="B251" t="s">
        <v>661</v>
      </c>
      <c r="C251">
        <v>2022</v>
      </c>
      <c r="D251" t="s">
        <v>300</v>
      </c>
      <c r="E251" t="s">
        <v>721</v>
      </c>
      <c r="F251">
        <v>187</v>
      </c>
      <c r="G251" t="s">
        <v>302</v>
      </c>
      <c r="H251">
        <v>37</v>
      </c>
      <c r="I251" t="s">
        <v>722</v>
      </c>
      <c r="J251" t="s">
        <v>294</v>
      </c>
      <c r="M251" t="s">
        <v>295</v>
      </c>
      <c r="N251" t="s">
        <v>296</v>
      </c>
      <c r="O251" t="s">
        <v>297</v>
      </c>
    </row>
    <row r="252" spans="1:15" x14ac:dyDescent="0.3">
      <c r="A252" t="s">
        <v>660</v>
      </c>
      <c r="B252" t="s">
        <v>661</v>
      </c>
      <c r="C252">
        <v>2022</v>
      </c>
      <c r="D252" t="s">
        <v>300</v>
      </c>
      <c r="E252" t="s">
        <v>723</v>
      </c>
      <c r="F252">
        <v>50</v>
      </c>
      <c r="G252" t="s">
        <v>346</v>
      </c>
      <c r="H252">
        <v>15</v>
      </c>
      <c r="I252" t="s">
        <v>724</v>
      </c>
      <c r="J252" t="s">
        <v>294</v>
      </c>
      <c r="M252" t="s">
        <v>295</v>
      </c>
      <c r="N252" t="s">
        <v>296</v>
      </c>
      <c r="O252" t="s">
        <v>297</v>
      </c>
    </row>
    <row r="253" spans="1:15" x14ac:dyDescent="0.3">
      <c r="A253" t="s">
        <v>660</v>
      </c>
      <c r="B253" t="s">
        <v>661</v>
      </c>
      <c r="C253">
        <v>2022</v>
      </c>
      <c r="D253" t="s">
        <v>300</v>
      </c>
      <c r="E253" t="s">
        <v>725</v>
      </c>
      <c r="F253">
        <v>467.5</v>
      </c>
      <c r="G253" t="s">
        <v>302</v>
      </c>
      <c r="H253">
        <v>15</v>
      </c>
      <c r="I253" t="s">
        <v>726</v>
      </c>
      <c r="J253" t="s">
        <v>294</v>
      </c>
      <c r="M253" t="s">
        <v>295</v>
      </c>
      <c r="N253" t="s">
        <v>296</v>
      </c>
      <c r="O253" t="s">
        <v>297</v>
      </c>
    </row>
    <row r="254" spans="1:15" x14ac:dyDescent="0.3">
      <c r="A254" t="s">
        <v>660</v>
      </c>
      <c r="B254" t="s">
        <v>661</v>
      </c>
      <c r="C254">
        <v>2022</v>
      </c>
      <c r="D254" t="s">
        <v>300</v>
      </c>
      <c r="E254" t="s">
        <v>326</v>
      </c>
      <c r="F254">
        <v>1.516</v>
      </c>
      <c r="G254" t="s">
        <v>327</v>
      </c>
      <c r="H254">
        <v>13</v>
      </c>
      <c r="I254" t="s">
        <v>727</v>
      </c>
      <c r="J254" t="s">
        <v>294</v>
      </c>
      <c r="M254" t="s">
        <v>295</v>
      </c>
      <c r="N254" t="s">
        <v>296</v>
      </c>
      <c r="O254" t="s">
        <v>297</v>
      </c>
    </row>
    <row r="255" spans="1:15" x14ac:dyDescent="0.3">
      <c r="A255" t="s">
        <v>660</v>
      </c>
      <c r="B255" t="s">
        <v>661</v>
      </c>
      <c r="C255">
        <v>2022</v>
      </c>
      <c r="D255" t="s">
        <v>300</v>
      </c>
      <c r="E255" t="s">
        <v>728</v>
      </c>
      <c r="F255">
        <v>0.86099999999999999</v>
      </c>
      <c r="G255" t="s">
        <v>327</v>
      </c>
      <c r="H255">
        <v>13</v>
      </c>
      <c r="I255" t="s">
        <v>729</v>
      </c>
      <c r="J255" t="s">
        <v>294</v>
      </c>
      <c r="M255" t="s">
        <v>295</v>
      </c>
      <c r="N255" t="s">
        <v>296</v>
      </c>
      <c r="O255" t="s">
        <v>297</v>
      </c>
    </row>
    <row r="256" spans="1:15" x14ac:dyDescent="0.3">
      <c r="A256" t="s">
        <v>660</v>
      </c>
      <c r="B256" t="s">
        <v>661</v>
      </c>
      <c r="C256">
        <v>2022</v>
      </c>
      <c r="D256" t="s">
        <v>300</v>
      </c>
      <c r="E256" t="s">
        <v>730</v>
      </c>
      <c r="F256">
        <v>0.46300000000000002</v>
      </c>
      <c r="G256" t="s">
        <v>327</v>
      </c>
      <c r="H256">
        <v>13</v>
      </c>
      <c r="I256" t="s">
        <v>731</v>
      </c>
      <c r="J256" t="s">
        <v>294</v>
      </c>
      <c r="M256" t="s">
        <v>295</v>
      </c>
      <c r="N256" t="s">
        <v>296</v>
      </c>
      <c r="O256" t="s">
        <v>297</v>
      </c>
    </row>
    <row r="257" spans="1:15" x14ac:dyDescent="0.3">
      <c r="A257" t="s">
        <v>660</v>
      </c>
      <c r="B257" t="s">
        <v>661</v>
      </c>
      <c r="C257">
        <v>2022</v>
      </c>
      <c r="D257" t="s">
        <v>300</v>
      </c>
      <c r="E257" t="s">
        <v>333</v>
      </c>
      <c r="F257">
        <v>-2.4299999999999999E-2</v>
      </c>
      <c r="G257" t="s">
        <v>334</v>
      </c>
      <c r="H257">
        <v>13</v>
      </c>
      <c r="I257" t="s">
        <v>732</v>
      </c>
      <c r="J257" t="s">
        <v>294</v>
      </c>
      <c r="M257" t="s">
        <v>295</v>
      </c>
      <c r="N257" t="s">
        <v>296</v>
      </c>
      <c r="O257" t="s">
        <v>297</v>
      </c>
    </row>
    <row r="258" spans="1:15" x14ac:dyDescent="0.3">
      <c r="A258" t="s">
        <v>660</v>
      </c>
      <c r="B258" t="s">
        <v>661</v>
      </c>
      <c r="C258">
        <v>2022</v>
      </c>
      <c r="D258" t="s">
        <v>300</v>
      </c>
      <c r="E258" t="s">
        <v>336</v>
      </c>
      <c r="F258">
        <v>-4.5199999999999997E-2</v>
      </c>
      <c r="G258" t="s">
        <v>334</v>
      </c>
      <c r="H258">
        <v>13</v>
      </c>
      <c r="I258" t="s">
        <v>733</v>
      </c>
      <c r="J258" t="s">
        <v>294</v>
      </c>
      <c r="M258" t="s">
        <v>295</v>
      </c>
      <c r="N258" t="s">
        <v>296</v>
      </c>
      <c r="O258" t="s">
        <v>297</v>
      </c>
    </row>
    <row r="259" spans="1:15" x14ac:dyDescent="0.3">
      <c r="A259" t="s">
        <v>660</v>
      </c>
      <c r="B259" t="s">
        <v>661</v>
      </c>
      <c r="C259">
        <v>2022</v>
      </c>
      <c r="D259" t="s">
        <v>358</v>
      </c>
      <c r="E259" t="s">
        <v>734</v>
      </c>
      <c r="F259">
        <v>4453</v>
      </c>
      <c r="G259" t="s">
        <v>360</v>
      </c>
      <c r="H259">
        <v>285</v>
      </c>
      <c r="I259" t="s">
        <v>735</v>
      </c>
      <c r="J259" t="s">
        <v>456</v>
      </c>
      <c r="M259" t="s">
        <v>295</v>
      </c>
      <c r="N259" t="s">
        <v>296</v>
      </c>
      <c r="O259" t="s">
        <v>297</v>
      </c>
    </row>
    <row r="260" spans="1:15" x14ac:dyDescent="0.3">
      <c r="A260" t="s">
        <v>660</v>
      </c>
      <c r="B260" t="s">
        <v>661</v>
      </c>
      <c r="C260">
        <v>2022</v>
      </c>
      <c r="D260" t="s">
        <v>358</v>
      </c>
      <c r="E260" t="s">
        <v>523</v>
      </c>
      <c r="F260">
        <v>1</v>
      </c>
      <c r="G260" t="s">
        <v>384</v>
      </c>
      <c r="H260">
        <v>74</v>
      </c>
      <c r="I260" t="s">
        <v>736</v>
      </c>
      <c r="J260" t="s">
        <v>294</v>
      </c>
      <c r="M260" t="s">
        <v>295</v>
      </c>
      <c r="N260" t="s">
        <v>296</v>
      </c>
      <c r="O260" t="s">
        <v>297</v>
      </c>
    </row>
    <row r="261" spans="1:15" x14ac:dyDescent="0.3">
      <c r="A261" t="s">
        <v>660</v>
      </c>
      <c r="B261" t="s">
        <v>661</v>
      </c>
      <c r="C261">
        <v>2022</v>
      </c>
      <c r="D261" t="s">
        <v>358</v>
      </c>
      <c r="E261" t="s">
        <v>737</v>
      </c>
      <c r="F261">
        <v>30</v>
      </c>
      <c r="G261" t="s">
        <v>738</v>
      </c>
      <c r="H261">
        <v>74</v>
      </c>
      <c r="I261" t="s">
        <v>739</v>
      </c>
      <c r="J261" t="s">
        <v>294</v>
      </c>
      <c r="M261" t="s">
        <v>295</v>
      </c>
      <c r="N261" t="s">
        <v>296</v>
      </c>
      <c r="O261" t="s">
        <v>297</v>
      </c>
    </row>
    <row r="262" spans="1:15" x14ac:dyDescent="0.3">
      <c r="A262" t="s">
        <v>660</v>
      </c>
      <c r="B262" t="s">
        <v>661</v>
      </c>
      <c r="C262">
        <v>2022</v>
      </c>
      <c r="D262" t="s">
        <v>394</v>
      </c>
      <c r="E262" t="s">
        <v>402</v>
      </c>
      <c r="F262">
        <v>121298</v>
      </c>
      <c r="G262" t="s">
        <v>396</v>
      </c>
      <c r="H262">
        <v>74</v>
      </c>
      <c r="I262" t="s">
        <v>740</v>
      </c>
      <c r="J262" t="s">
        <v>294</v>
      </c>
      <c r="M262" t="s">
        <v>295</v>
      </c>
      <c r="N262" t="s">
        <v>296</v>
      </c>
      <c r="O262" t="s">
        <v>297</v>
      </c>
    </row>
    <row r="263" spans="1:15" x14ac:dyDescent="0.3">
      <c r="A263" t="s">
        <v>660</v>
      </c>
      <c r="B263" t="s">
        <v>661</v>
      </c>
      <c r="C263">
        <v>2022</v>
      </c>
      <c r="D263" t="s">
        <v>394</v>
      </c>
      <c r="E263" t="s">
        <v>406</v>
      </c>
      <c r="F263">
        <v>21524</v>
      </c>
      <c r="G263" t="s">
        <v>396</v>
      </c>
      <c r="H263">
        <v>74</v>
      </c>
      <c r="I263" t="s">
        <v>741</v>
      </c>
      <c r="J263" t="s">
        <v>294</v>
      </c>
      <c r="M263" t="s">
        <v>295</v>
      </c>
      <c r="N263" t="s">
        <v>296</v>
      </c>
      <c r="O263" t="s">
        <v>297</v>
      </c>
    </row>
    <row r="264" spans="1:15" x14ac:dyDescent="0.3">
      <c r="A264" t="s">
        <v>660</v>
      </c>
      <c r="B264" t="s">
        <v>661</v>
      </c>
      <c r="C264">
        <v>2022</v>
      </c>
      <c r="D264" t="s">
        <v>394</v>
      </c>
      <c r="E264" t="s">
        <v>742</v>
      </c>
      <c r="F264">
        <v>5759</v>
      </c>
      <c r="G264" t="s">
        <v>396</v>
      </c>
      <c r="H264">
        <v>74</v>
      </c>
      <c r="I264" t="s">
        <v>743</v>
      </c>
      <c r="J264" t="s">
        <v>294</v>
      </c>
      <c r="M264" t="s">
        <v>295</v>
      </c>
      <c r="N264" t="s">
        <v>296</v>
      </c>
      <c r="O264" t="s">
        <v>297</v>
      </c>
    </row>
    <row r="265" spans="1:15" x14ac:dyDescent="0.3">
      <c r="A265" t="s">
        <v>660</v>
      </c>
      <c r="B265" t="s">
        <v>661</v>
      </c>
      <c r="C265">
        <v>2022</v>
      </c>
      <c r="D265" t="s">
        <v>394</v>
      </c>
      <c r="E265" t="s">
        <v>744</v>
      </c>
      <c r="F265">
        <v>0.17749999999999999</v>
      </c>
      <c r="G265" t="s">
        <v>334</v>
      </c>
      <c r="H265">
        <v>74</v>
      </c>
      <c r="I265" t="s">
        <v>745</v>
      </c>
      <c r="J265" t="s">
        <v>456</v>
      </c>
      <c r="M265" t="s">
        <v>295</v>
      </c>
      <c r="N265" t="s">
        <v>296</v>
      </c>
      <c r="O265" t="s">
        <v>297</v>
      </c>
    </row>
    <row r="266" spans="1:15" x14ac:dyDescent="0.3">
      <c r="A266" t="s">
        <v>660</v>
      </c>
      <c r="B266" t="s">
        <v>661</v>
      </c>
      <c r="C266">
        <v>2022</v>
      </c>
      <c r="D266" t="s">
        <v>394</v>
      </c>
      <c r="E266" t="s">
        <v>746</v>
      </c>
      <c r="F266">
        <v>27000</v>
      </c>
      <c r="G266" t="s">
        <v>396</v>
      </c>
      <c r="H266">
        <v>74</v>
      </c>
      <c r="I266" t="s">
        <v>747</v>
      </c>
      <c r="J266" t="s">
        <v>294</v>
      </c>
      <c r="M266" t="s">
        <v>295</v>
      </c>
      <c r="N266" t="s">
        <v>296</v>
      </c>
      <c r="O266" t="s">
        <v>297</v>
      </c>
    </row>
    <row r="267" spans="1:15" x14ac:dyDescent="0.3">
      <c r="A267" t="s">
        <v>660</v>
      </c>
      <c r="B267" t="s">
        <v>661</v>
      </c>
      <c r="C267">
        <v>2022</v>
      </c>
      <c r="D267" t="s">
        <v>394</v>
      </c>
      <c r="E267" t="s">
        <v>748</v>
      </c>
      <c r="F267">
        <v>146124</v>
      </c>
      <c r="G267" t="s">
        <v>396</v>
      </c>
      <c r="H267">
        <v>74</v>
      </c>
      <c r="I267" t="s">
        <v>749</v>
      </c>
      <c r="J267" t="s">
        <v>294</v>
      </c>
      <c r="M267" t="s">
        <v>295</v>
      </c>
      <c r="N267" t="s">
        <v>296</v>
      </c>
      <c r="O267" t="s">
        <v>297</v>
      </c>
    </row>
    <row r="268" spans="1:15" x14ac:dyDescent="0.3">
      <c r="A268" t="s">
        <v>660</v>
      </c>
      <c r="B268" t="s">
        <v>661</v>
      </c>
      <c r="C268">
        <v>2022</v>
      </c>
      <c r="D268" t="s">
        <v>563</v>
      </c>
      <c r="E268" t="s">
        <v>750</v>
      </c>
      <c r="F268" t="s">
        <v>751</v>
      </c>
      <c r="G268" t="s">
        <v>292</v>
      </c>
      <c r="H268">
        <v>17</v>
      </c>
      <c r="I268" t="s">
        <v>752</v>
      </c>
      <c r="J268" t="s">
        <v>294</v>
      </c>
      <c r="M268" t="s">
        <v>295</v>
      </c>
      <c r="N268" t="s">
        <v>296</v>
      </c>
      <c r="O268" t="s">
        <v>297</v>
      </c>
    </row>
    <row r="269" spans="1:15" x14ac:dyDescent="0.3">
      <c r="A269" t="s">
        <v>660</v>
      </c>
      <c r="B269" t="s">
        <v>661</v>
      </c>
      <c r="C269">
        <v>2022</v>
      </c>
      <c r="D269" t="s">
        <v>563</v>
      </c>
      <c r="E269" t="s">
        <v>753</v>
      </c>
      <c r="F269" t="s">
        <v>754</v>
      </c>
      <c r="G269" t="s">
        <v>292</v>
      </c>
      <c r="H269">
        <v>17</v>
      </c>
      <c r="I269" t="s">
        <v>755</v>
      </c>
      <c r="J269" t="s">
        <v>294</v>
      </c>
      <c r="M269" t="s">
        <v>295</v>
      </c>
      <c r="N269" t="s">
        <v>296</v>
      </c>
      <c r="O269" t="s">
        <v>297</v>
      </c>
    </row>
    <row r="270" spans="1:15" x14ac:dyDescent="0.3">
      <c r="A270" t="s">
        <v>660</v>
      </c>
      <c r="B270" t="s">
        <v>661</v>
      </c>
      <c r="C270">
        <v>2022</v>
      </c>
      <c r="D270" t="s">
        <v>272</v>
      </c>
      <c r="E270" t="s">
        <v>756</v>
      </c>
      <c r="F270">
        <v>121</v>
      </c>
      <c r="G270" t="s">
        <v>384</v>
      </c>
      <c r="H270">
        <v>38</v>
      </c>
      <c r="I270" t="s">
        <v>757</v>
      </c>
      <c r="J270" t="s">
        <v>294</v>
      </c>
      <c r="M270" t="s">
        <v>295</v>
      </c>
      <c r="N270" t="s">
        <v>296</v>
      </c>
      <c r="O270" t="s">
        <v>297</v>
      </c>
    </row>
    <row r="271" spans="1:15" x14ac:dyDescent="0.3">
      <c r="A271" t="s">
        <v>660</v>
      </c>
      <c r="B271" t="s">
        <v>758</v>
      </c>
      <c r="C271">
        <v>2023</v>
      </c>
      <c r="D271" t="s">
        <v>272</v>
      </c>
      <c r="E271" t="s">
        <v>291</v>
      </c>
      <c r="F271" t="s">
        <v>660</v>
      </c>
      <c r="G271" t="s">
        <v>292</v>
      </c>
      <c r="H271">
        <v>1</v>
      </c>
      <c r="I271" t="s">
        <v>660</v>
      </c>
      <c r="J271" t="s">
        <v>294</v>
      </c>
      <c r="M271" t="s">
        <v>295</v>
      </c>
      <c r="N271" t="s">
        <v>296</v>
      </c>
      <c r="O271" t="s">
        <v>297</v>
      </c>
    </row>
    <row r="272" spans="1:15" x14ac:dyDescent="0.3">
      <c r="A272" t="s">
        <v>660</v>
      </c>
      <c r="B272" t="s">
        <v>758</v>
      </c>
      <c r="C272">
        <v>2023</v>
      </c>
      <c r="D272" t="s">
        <v>272</v>
      </c>
      <c r="E272" t="s">
        <v>1</v>
      </c>
      <c r="F272" t="s">
        <v>25</v>
      </c>
      <c r="G272" t="s">
        <v>292</v>
      </c>
      <c r="H272">
        <v>11</v>
      </c>
      <c r="I272" t="s">
        <v>759</v>
      </c>
      <c r="J272" t="s">
        <v>294</v>
      </c>
      <c r="M272" t="s">
        <v>295</v>
      </c>
      <c r="N272" t="s">
        <v>296</v>
      </c>
      <c r="O272" t="s">
        <v>297</v>
      </c>
    </row>
    <row r="273" spans="1:15" x14ac:dyDescent="0.3">
      <c r="A273" t="s">
        <v>660</v>
      </c>
      <c r="B273" t="s">
        <v>758</v>
      </c>
      <c r="C273">
        <v>2023</v>
      </c>
      <c r="D273" t="s">
        <v>300</v>
      </c>
      <c r="E273" t="s">
        <v>682</v>
      </c>
      <c r="F273">
        <v>219.94</v>
      </c>
      <c r="G273" t="s">
        <v>302</v>
      </c>
      <c r="H273">
        <v>11</v>
      </c>
      <c r="I273" t="s">
        <v>760</v>
      </c>
      <c r="J273" t="s">
        <v>294</v>
      </c>
      <c r="M273" t="s">
        <v>295</v>
      </c>
      <c r="N273" t="s">
        <v>296</v>
      </c>
      <c r="O273" t="s">
        <v>297</v>
      </c>
    </row>
    <row r="274" spans="1:15" x14ac:dyDescent="0.3">
      <c r="A274" t="s">
        <v>660</v>
      </c>
      <c r="B274" t="s">
        <v>758</v>
      </c>
      <c r="C274">
        <v>2023</v>
      </c>
      <c r="D274" t="s">
        <v>300</v>
      </c>
      <c r="E274" t="s">
        <v>684</v>
      </c>
      <c r="F274">
        <v>195.16</v>
      </c>
      <c r="G274" t="s">
        <v>302</v>
      </c>
      <c r="H274">
        <v>79</v>
      </c>
      <c r="I274" t="s">
        <v>761</v>
      </c>
      <c r="J274" t="s">
        <v>294</v>
      </c>
      <c r="M274" t="s">
        <v>295</v>
      </c>
      <c r="N274" t="s">
        <v>296</v>
      </c>
      <c r="O274" t="s">
        <v>297</v>
      </c>
    </row>
    <row r="275" spans="1:15" x14ac:dyDescent="0.3">
      <c r="A275" t="s">
        <v>660</v>
      </c>
      <c r="B275" t="s">
        <v>758</v>
      </c>
      <c r="C275">
        <v>2023</v>
      </c>
      <c r="D275" t="s">
        <v>300</v>
      </c>
      <c r="E275" t="s">
        <v>762</v>
      </c>
      <c r="F275">
        <v>24.78</v>
      </c>
      <c r="G275" t="s">
        <v>302</v>
      </c>
      <c r="H275">
        <v>79</v>
      </c>
      <c r="I275" t="s">
        <v>763</v>
      </c>
      <c r="J275" t="s">
        <v>294</v>
      </c>
      <c r="M275" t="s">
        <v>295</v>
      </c>
      <c r="N275" t="s">
        <v>296</v>
      </c>
      <c r="O275" t="s">
        <v>297</v>
      </c>
    </row>
    <row r="276" spans="1:15" x14ac:dyDescent="0.3">
      <c r="A276" t="s">
        <v>660</v>
      </c>
      <c r="B276" t="s">
        <v>758</v>
      </c>
      <c r="C276">
        <v>2023</v>
      </c>
      <c r="D276" t="s">
        <v>300</v>
      </c>
      <c r="E276" t="s">
        <v>304</v>
      </c>
      <c r="F276">
        <v>0.22</v>
      </c>
      <c r="G276" t="s">
        <v>302</v>
      </c>
      <c r="H276">
        <v>11</v>
      </c>
      <c r="I276" t="s">
        <v>764</v>
      </c>
      <c r="J276" t="s">
        <v>294</v>
      </c>
      <c r="M276" t="s">
        <v>295</v>
      </c>
      <c r="N276" t="s">
        <v>296</v>
      </c>
      <c r="O276" t="s">
        <v>297</v>
      </c>
    </row>
    <row r="277" spans="1:15" x14ac:dyDescent="0.3">
      <c r="A277" t="s">
        <v>660</v>
      </c>
      <c r="B277" t="s">
        <v>758</v>
      </c>
      <c r="C277">
        <v>2023</v>
      </c>
      <c r="D277" t="s">
        <v>300</v>
      </c>
      <c r="E277" t="s">
        <v>765</v>
      </c>
      <c r="F277">
        <v>-63.1</v>
      </c>
      <c r="G277" t="s">
        <v>302</v>
      </c>
      <c r="H277">
        <v>11</v>
      </c>
      <c r="I277" t="s">
        <v>766</v>
      </c>
      <c r="J277" t="s">
        <v>294</v>
      </c>
      <c r="M277" t="s">
        <v>295</v>
      </c>
      <c r="N277" t="s">
        <v>296</v>
      </c>
      <c r="O277" t="s">
        <v>297</v>
      </c>
    </row>
    <row r="278" spans="1:15" x14ac:dyDescent="0.3">
      <c r="A278" t="s">
        <v>660</v>
      </c>
      <c r="B278" t="s">
        <v>758</v>
      </c>
      <c r="C278">
        <v>2023</v>
      </c>
      <c r="D278" t="s">
        <v>300</v>
      </c>
      <c r="E278" t="s">
        <v>767</v>
      </c>
      <c r="F278">
        <v>-55.96</v>
      </c>
      <c r="G278" t="s">
        <v>302</v>
      </c>
      <c r="H278">
        <v>11</v>
      </c>
      <c r="I278" t="s">
        <v>768</v>
      </c>
      <c r="J278" t="s">
        <v>294</v>
      </c>
      <c r="M278" t="s">
        <v>295</v>
      </c>
      <c r="N278" t="s">
        <v>296</v>
      </c>
      <c r="O278" t="s">
        <v>297</v>
      </c>
    </row>
    <row r="279" spans="1:15" x14ac:dyDescent="0.3">
      <c r="A279" t="s">
        <v>660</v>
      </c>
      <c r="B279" t="s">
        <v>758</v>
      </c>
      <c r="C279">
        <v>2023</v>
      </c>
      <c r="D279" t="s">
        <v>300</v>
      </c>
      <c r="E279" t="s">
        <v>769</v>
      </c>
      <c r="F279">
        <v>-55.95</v>
      </c>
      <c r="G279" t="s">
        <v>302</v>
      </c>
      <c r="H279">
        <v>11</v>
      </c>
      <c r="I279" t="s">
        <v>770</v>
      </c>
      <c r="J279" t="s">
        <v>294</v>
      </c>
      <c r="M279" t="s">
        <v>295</v>
      </c>
      <c r="N279" t="s">
        <v>296</v>
      </c>
      <c r="O279" t="s">
        <v>297</v>
      </c>
    </row>
    <row r="280" spans="1:15" x14ac:dyDescent="0.3">
      <c r="A280" t="s">
        <v>660</v>
      </c>
      <c r="B280" t="s">
        <v>758</v>
      </c>
      <c r="C280">
        <v>2023</v>
      </c>
      <c r="D280" t="s">
        <v>300</v>
      </c>
      <c r="E280" t="s">
        <v>316</v>
      </c>
      <c r="F280">
        <v>378.14</v>
      </c>
      <c r="G280" t="s">
        <v>302</v>
      </c>
      <c r="H280">
        <v>11</v>
      </c>
      <c r="I280" t="s">
        <v>771</v>
      </c>
      <c r="J280" t="s">
        <v>294</v>
      </c>
      <c r="M280" t="s">
        <v>295</v>
      </c>
      <c r="N280" t="s">
        <v>296</v>
      </c>
      <c r="O280" t="s">
        <v>297</v>
      </c>
    </row>
    <row r="281" spans="1:15" x14ac:dyDescent="0.3">
      <c r="A281" t="s">
        <v>660</v>
      </c>
      <c r="B281" t="s">
        <v>758</v>
      </c>
      <c r="C281">
        <v>2023</v>
      </c>
      <c r="D281" t="s">
        <v>300</v>
      </c>
      <c r="E281" t="s">
        <v>312</v>
      </c>
      <c r="F281">
        <v>24.21</v>
      </c>
      <c r="G281" t="s">
        <v>302</v>
      </c>
      <c r="H281">
        <v>11</v>
      </c>
      <c r="I281" t="s">
        <v>772</v>
      </c>
      <c r="J281" t="s">
        <v>294</v>
      </c>
      <c r="M281" t="s">
        <v>295</v>
      </c>
      <c r="N281" t="s">
        <v>296</v>
      </c>
      <c r="O281" t="s">
        <v>297</v>
      </c>
    </row>
    <row r="282" spans="1:15" x14ac:dyDescent="0.3">
      <c r="A282" t="s">
        <v>660</v>
      </c>
      <c r="B282" t="s">
        <v>758</v>
      </c>
      <c r="C282">
        <v>2023</v>
      </c>
      <c r="D282" t="s">
        <v>300</v>
      </c>
      <c r="E282" t="s">
        <v>314</v>
      </c>
      <c r="F282">
        <v>353.92</v>
      </c>
      <c r="G282" t="s">
        <v>302</v>
      </c>
      <c r="H282">
        <v>11</v>
      </c>
      <c r="I282" t="s">
        <v>773</v>
      </c>
      <c r="J282" t="s">
        <v>294</v>
      </c>
      <c r="M282" t="s">
        <v>295</v>
      </c>
      <c r="N282" t="s">
        <v>296</v>
      </c>
      <c r="O282" t="s">
        <v>297</v>
      </c>
    </row>
    <row r="283" spans="1:15" x14ac:dyDescent="0.3">
      <c r="A283" t="s">
        <v>660</v>
      </c>
      <c r="B283" t="s">
        <v>758</v>
      </c>
      <c r="C283">
        <v>2023</v>
      </c>
      <c r="D283" t="s">
        <v>300</v>
      </c>
      <c r="E283" t="s">
        <v>322</v>
      </c>
      <c r="F283">
        <v>195.4</v>
      </c>
      <c r="G283" t="s">
        <v>302</v>
      </c>
      <c r="H283">
        <v>11</v>
      </c>
      <c r="I283" t="s">
        <v>774</v>
      </c>
      <c r="J283" t="s">
        <v>294</v>
      </c>
      <c r="M283" t="s">
        <v>295</v>
      </c>
      <c r="N283" t="s">
        <v>296</v>
      </c>
      <c r="O283" t="s">
        <v>297</v>
      </c>
    </row>
    <row r="284" spans="1:15" x14ac:dyDescent="0.3">
      <c r="A284" t="s">
        <v>660</v>
      </c>
      <c r="B284" t="s">
        <v>758</v>
      </c>
      <c r="C284">
        <v>2023</v>
      </c>
      <c r="D284" t="s">
        <v>300</v>
      </c>
      <c r="E284" t="s">
        <v>318</v>
      </c>
      <c r="F284">
        <v>41.92</v>
      </c>
      <c r="G284" t="s">
        <v>302</v>
      </c>
      <c r="H284">
        <v>11</v>
      </c>
      <c r="I284" t="s">
        <v>775</v>
      </c>
      <c r="J284" t="s">
        <v>294</v>
      </c>
      <c r="M284" t="s">
        <v>295</v>
      </c>
      <c r="N284" t="s">
        <v>296</v>
      </c>
      <c r="O284" t="s">
        <v>297</v>
      </c>
    </row>
    <row r="285" spans="1:15" x14ac:dyDescent="0.3">
      <c r="A285" t="s">
        <v>660</v>
      </c>
      <c r="B285" t="s">
        <v>758</v>
      </c>
      <c r="C285">
        <v>2023</v>
      </c>
      <c r="D285" t="s">
        <v>300</v>
      </c>
      <c r="E285" t="s">
        <v>320</v>
      </c>
      <c r="F285">
        <v>153.47</v>
      </c>
      <c r="G285" t="s">
        <v>302</v>
      </c>
      <c r="H285">
        <v>11</v>
      </c>
      <c r="I285" t="s">
        <v>776</v>
      </c>
      <c r="J285" t="s">
        <v>294</v>
      </c>
      <c r="M285" t="s">
        <v>295</v>
      </c>
      <c r="N285" t="s">
        <v>296</v>
      </c>
      <c r="O285" t="s">
        <v>297</v>
      </c>
    </row>
    <row r="286" spans="1:15" x14ac:dyDescent="0.3">
      <c r="A286" t="s">
        <v>660</v>
      </c>
      <c r="B286" t="s">
        <v>758</v>
      </c>
      <c r="C286">
        <v>2023</v>
      </c>
      <c r="D286" t="s">
        <v>300</v>
      </c>
      <c r="E286" t="s">
        <v>324</v>
      </c>
      <c r="F286">
        <v>182.74</v>
      </c>
      <c r="G286" t="s">
        <v>302</v>
      </c>
      <c r="H286">
        <v>11</v>
      </c>
      <c r="I286" t="s">
        <v>777</v>
      </c>
      <c r="J286" t="s">
        <v>294</v>
      </c>
      <c r="M286" t="s">
        <v>295</v>
      </c>
      <c r="N286" t="s">
        <v>296</v>
      </c>
      <c r="O286" t="s">
        <v>297</v>
      </c>
    </row>
    <row r="287" spans="1:15" x14ac:dyDescent="0.3">
      <c r="A287" t="s">
        <v>660</v>
      </c>
      <c r="B287" t="s">
        <v>758</v>
      </c>
      <c r="C287">
        <v>2023</v>
      </c>
      <c r="D287" t="s">
        <v>300</v>
      </c>
      <c r="E287" t="s">
        <v>592</v>
      </c>
      <c r="F287">
        <v>8.36</v>
      </c>
      <c r="G287" t="s">
        <v>302</v>
      </c>
      <c r="H287">
        <v>83</v>
      </c>
      <c r="I287" t="s">
        <v>778</v>
      </c>
      <c r="J287" t="s">
        <v>294</v>
      </c>
      <c r="M287" t="s">
        <v>295</v>
      </c>
      <c r="N287" t="s">
        <v>296</v>
      </c>
      <c r="O287" t="s">
        <v>297</v>
      </c>
    </row>
    <row r="288" spans="1:15" x14ac:dyDescent="0.3">
      <c r="A288" t="s">
        <v>660</v>
      </c>
      <c r="B288" t="s">
        <v>758</v>
      </c>
      <c r="C288">
        <v>2023</v>
      </c>
      <c r="D288" t="s">
        <v>300</v>
      </c>
      <c r="E288" t="s">
        <v>601</v>
      </c>
      <c r="F288">
        <v>14.61</v>
      </c>
      <c r="G288" t="s">
        <v>302</v>
      </c>
      <c r="H288">
        <v>83</v>
      </c>
      <c r="I288" t="s">
        <v>779</v>
      </c>
      <c r="J288" t="s">
        <v>294</v>
      </c>
      <c r="M288" t="s">
        <v>295</v>
      </c>
      <c r="N288" t="s">
        <v>296</v>
      </c>
      <c r="O288" t="s">
        <v>297</v>
      </c>
    </row>
    <row r="289" spans="1:15" x14ac:dyDescent="0.3">
      <c r="A289" t="s">
        <v>660</v>
      </c>
      <c r="B289" t="s">
        <v>758</v>
      </c>
      <c r="C289">
        <v>2023</v>
      </c>
      <c r="D289" t="s">
        <v>300</v>
      </c>
      <c r="E289" t="s">
        <v>714</v>
      </c>
      <c r="F289">
        <v>-12.62</v>
      </c>
      <c r="G289" t="s">
        <v>302</v>
      </c>
      <c r="H289">
        <v>83</v>
      </c>
      <c r="I289" t="s">
        <v>780</v>
      </c>
      <c r="J289" t="s">
        <v>294</v>
      </c>
      <c r="M289" t="s">
        <v>295</v>
      </c>
      <c r="N289" t="s">
        <v>296</v>
      </c>
      <c r="O289" t="s">
        <v>297</v>
      </c>
    </row>
    <row r="290" spans="1:15" x14ac:dyDescent="0.3">
      <c r="A290" t="s">
        <v>660</v>
      </c>
      <c r="B290" t="s">
        <v>758</v>
      </c>
      <c r="C290">
        <v>2023</v>
      </c>
      <c r="D290" t="s">
        <v>300</v>
      </c>
      <c r="E290" t="s">
        <v>716</v>
      </c>
      <c r="F290">
        <v>-8.65</v>
      </c>
      <c r="G290" t="s">
        <v>302</v>
      </c>
      <c r="H290">
        <v>83</v>
      </c>
      <c r="I290" t="s">
        <v>781</v>
      </c>
      <c r="J290" t="s">
        <v>294</v>
      </c>
      <c r="M290" t="s">
        <v>295</v>
      </c>
      <c r="N290" t="s">
        <v>296</v>
      </c>
      <c r="O290" t="s">
        <v>297</v>
      </c>
    </row>
    <row r="291" spans="1:15" x14ac:dyDescent="0.3">
      <c r="A291" t="s">
        <v>660</v>
      </c>
      <c r="B291" t="s">
        <v>758</v>
      </c>
      <c r="C291">
        <v>2023</v>
      </c>
      <c r="D291" t="s">
        <v>300</v>
      </c>
      <c r="E291" t="s">
        <v>782</v>
      </c>
      <c r="F291">
        <v>-5.98</v>
      </c>
      <c r="G291" t="s">
        <v>346</v>
      </c>
      <c r="H291">
        <v>11</v>
      </c>
      <c r="I291" t="s">
        <v>783</v>
      </c>
      <c r="J291" t="s">
        <v>294</v>
      </c>
      <c r="M291" t="s">
        <v>295</v>
      </c>
      <c r="N291" t="s">
        <v>296</v>
      </c>
      <c r="O291" t="s">
        <v>297</v>
      </c>
    </row>
    <row r="292" spans="1:15" x14ac:dyDescent="0.3">
      <c r="A292" t="s">
        <v>660</v>
      </c>
      <c r="B292" t="s">
        <v>758</v>
      </c>
      <c r="C292">
        <v>2023</v>
      </c>
      <c r="D292" t="s">
        <v>300</v>
      </c>
      <c r="E292" t="s">
        <v>342</v>
      </c>
      <c r="F292">
        <v>9350</v>
      </c>
      <c r="G292" t="s">
        <v>497</v>
      </c>
      <c r="H292">
        <v>14</v>
      </c>
      <c r="I292" t="s">
        <v>784</v>
      </c>
      <c r="J292" t="s">
        <v>294</v>
      </c>
      <c r="M292" t="s">
        <v>295</v>
      </c>
      <c r="N292" t="s">
        <v>296</v>
      </c>
      <c r="O292" t="s">
        <v>297</v>
      </c>
    </row>
    <row r="293" spans="1:15" x14ac:dyDescent="0.3">
      <c r="A293" t="s">
        <v>660</v>
      </c>
      <c r="B293" t="s">
        <v>758</v>
      </c>
      <c r="C293">
        <v>2023</v>
      </c>
      <c r="D293" t="s">
        <v>300</v>
      </c>
      <c r="E293" t="s">
        <v>785</v>
      </c>
      <c r="F293">
        <v>50</v>
      </c>
      <c r="G293" t="s">
        <v>346</v>
      </c>
      <c r="H293">
        <v>14</v>
      </c>
      <c r="I293" t="s">
        <v>786</v>
      </c>
      <c r="J293" t="s">
        <v>294</v>
      </c>
      <c r="M293" t="s">
        <v>295</v>
      </c>
      <c r="N293" t="s">
        <v>296</v>
      </c>
      <c r="O293" t="s">
        <v>297</v>
      </c>
    </row>
    <row r="294" spans="1:15" x14ac:dyDescent="0.3">
      <c r="A294" t="s">
        <v>660</v>
      </c>
      <c r="B294" t="s">
        <v>758</v>
      </c>
      <c r="C294">
        <v>2023</v>
      </c>
      <c r="D294" t="s">
        <v>300</v>
      </c>
      <c r="E294" t="s">
        <v>356</v>
      </c>
      <c r="F294">
        <v>467.5</v>
      </c>
      <c r="G294" t="s">
        <v>302</v>
      </c>
      <c r="H294">
        <v>14</v>
      </c>
      <c r="I294" t="s">
        <v>726</v>
      </c>
      <c r="J294" t="s">
        <v>294</v>
      </c>
      <c r="M294" t="s">
        <v>295</v>
      </c>
      <c r="N294" t="s">
        <v>296</v>
      </c>
      <c r="O294" t="s">
        <v>297</v>
      </c>
    </row>
    <row r="295" spans="1:15" x14ac:dyDescent="0.3">
      <c r="A295" t="s">
        <v>660</v>
      </c>
      <c r="B295" t="s">
        <v>758</v>
      </c>
      <c r="C295">
        <v>2023</v>
      </c>
      <c r="D295" t="s">
        <v>300</v>
      </c>
      <c r="E295" t="s">
        <v>326</v>
      </c>
      <c r="F295">
        <v>0.57799999999999996</v>
      </c>
      <c r="G295" t="s">
        <v>327</v>
      </c>
      <c r="H295">
        <v>12</v>
      </c>
      <c r="I295" t="s">
        <v>787</v>
      </c>
      <c r="J295" t="s">
        <v>294</v>
      </c>
      <c r="M295" t="s">
        <v>295</v>
      </c>
      <c r="N295" t="s">
        <v>296</v>
      </c>
      <c r="O295" t="s">
        <v>297</v>
      </c>
    </row>
    <row r="296" spans="1:15" x14ac:dyDescent="0.3">
      <c r="A296" t="s">
        <v>660</v>
      </c>
      <c r="B296" t="s">
        <v>758</v>
      </c>
      <c r="C296">
        <v>2023</v>
      </c>
      <c r="D296" t="s">
        <v>300</v>
      </c>
      <c r="E296" t="s">
        <v>728</v>
      </c>
      <c r="F296">
        <v>1.069</v>
      </c>
      <c r="G296" t="s">
        <v>327</v>
      </c>
      <c r="H296">
        <v>12</v>
      </c>
      <c r="I296" t="s">
        <v>788</v>
      </c>
      <c r="J296" t="s">
        <v>294</v>
      </c>
      <c r="M296" t="s">
        <v>295</v>
      </c>
      <c r="N296" t="s">
        <v>296</v>
      </c>
      <c r="O296" t="s">
        <v>297</v>
      </c>
    </row>
    <row r="297" spans="1:15" x14ac:dyDescent="0.3">
      <c r="A297" t="s">
        <v>660</v>
      </c>
      <c r="B297" t="s">
        <v>758</v>
      </c>
      <c r="C297">
        <v>2023</v>
      </c>
      <c r="D297" t="s">
        <v>300</v>
      </c>
      <c r="E297" t="s">
        <v>789</v>
      </c>
      <c r="F297">
        <v>1.02</v>
      </c>
      <c r="G297" t="s">
        <v>327</v>
      </c>
      <c r="H297">
        <v>85</v>
      </c>
      <c r="I297" t="s">
        <v>790</v>
      </c>
      <c r="J297" t="s">
        <v>294</v>
      </c>
      <c r="M297" t="s">
        <v>295</v>
      </c>
      <c r="N297" t="s">
        <v>296</v>
      </c>
      <c r="O297" t="s">
        <v>297</v>
      </c>
    </row>
    <row r="298" spans="1:15" x14ac:dyDescent="0.3">
      <c r="A298" t="s">
        <v>660</v>
      </c>
      <c r="B298" t="s">
        <v>758</v>
      </c>
      <c r="C298">
        <v>2023</v>
      </c>
      <c r="D298" t="s">
        <v>300</v>
      </c>
      <c r="E298" t="s">
        <v>333</v>
      </c>
      <c r="F298">
        <v>-0.14799999999999999</v>
      </c>
      <c r="G298" t="s">
        <v>334</v>
      </c>
      <c r="H298">
        <v>12</v>
      </c>
      <c r="I298" t="s">
        <v>791</v>
      </c>
      <c r="J298" t="s">
        <v>294</v>
      </c>
      <c r="M298" t="s">
        <v>295</v>
      </c>
      <c r="N298" t="s">
        <v>296</v>
      </c>
      <c r="O298" t="s">
        <v>297</v>
      </c>
    </row>
    <row r="299" spans="1:15" x14ac:dyDescent="0.3">
      <c r="A299" t="s">
        <v>660</v>
      </c>
      <c r="B299" t="s">
        <v>758</v>
      </c>
      <c r="C299">
        <v>2023</v>
      </c>
      <c r="D299" t="s">
        <v>300</v>
      </c>
      <c r="E299" t="s">
        <v>336</v>
      </c>
      <c r="F299">
        <v>-0.30599999999999999</v>
      </c>
      <c r="G299" t="s">
        <v>334</v>
      </c>
      <c r="H299">
        <v>12</v>
      </c>
      <c r="I299" t="s">
        <v>792</v>
      </c>
      <c r="J299" t="s">
        <v>294</v>
      </c>
      <c r="M299" t="s">
        <v>295</v>
      </c>
      <c r="N299" t="s">
        <v>296</v>
      </c>
      <c r="O299" t="s">
        <v>297</v>
      </c>
    </row>
    <row r="300" spans="1:15" x14ac:dyDescent="0.3">
      <c r="A300" t="s">
        <v>660</v>
      </c>
      <c r="B300" t="s">
        <v>758</v>
      </c>
      <c r="C300">
        <v>2023</v>
      </c>
      <c r="D300" t="s">
        <v>300</v>
      </c>
      <c r="E300" t="s">
        <v>793</v>
      </c>
      <c r="F300">
        <v>77</v>
      </c>
      <c r="G300" t="s">
        <v>794</v>
      </c>
      <c r="H300">
        <v>12</v>
      </c>
      <c r="I300" t="s">
        <v>795</v>
      </c>
      <c r="J300" t="s">
        <v>294</v>
      </c>
      <c r="M300" t="s">
        <v>295</v>
      </c>
      <c r="N300" t="s">
        <v>296</v>
      </c>
      <c r="O300" t="s">
        <v>297</v>
      </c>
    </row>
    <row r="301" spans="1:15" x14ac:dyDescent="0.3">
      <c r="A301" t="s">
        <v>660</v>
      </c>
      <c r="B301" t="s">
        <v>758</v>
      </c>
      <c r="C301">
        <v>2023</v>
      </c>
      <c r="D301" t="s">
        <v>358</v>
      </c>
      <c r="E301" t="s">
        <v>523</v>
      </c>
      <c r="F301">
        <v>1</v>
      </c>
      <c r="G301" t="s">
        <v>384</v>
      </c>
      <c r="H301">
        <v>78</v>
      </c>
      <c r="I301" t="s">
        <v>796</v>
      </c>
      <c r="J301" t="s">
        <v>294</v>
      </c>
      <c r="M301" t="s">
        <v>295</v>
      </c>
      <c r="N301" t="s">
        <v>296</v>
      </c>
      <c r="O301" t="s">
        <v>297</v>
      </c>
    </row>
    <row r="302" spans="1:15" x14ac:dyDescent="0.3">
      <c r="A302" t="s">
        <v>660</v>
      </c>
      <c r="B302" t="s">
        <v>758</v>
      </c>
      <c r="C302">
        <v>2023</v>
      </c>
      <c r="D302" t="s">
        <v>358</v>
      </c>
      <c r="E302" t="s">
        <v>797</v>
      </c>
      <c r="F302">
        <v>30</v>
      </c>
      <c r="G302" t="s">
        <v>738</v>
      </c>
      <c r="H302">
        <v>78</v>
      </c>
      <c r="I302" t="s">
        <v>798</v>
      </c>
      <c r="J302" t="s">
        <v>294</v>
      </c>
      <c r="M302" t="s">
        <v>295</v>
      </c>
      <c r="N302" t="s">
        <v>296</v>
      </c>
      <c r="O302" t="s">
        <v>297</v>
      </c>
    </row>
    <row r="303" spans="1:15" x14ac:dyDescent="0.3">
      <c r="A303" t="s">
        <v>660</v>
      </c>
      <c r="B303" t="s">
        <v>758</v>
      </c>
      <c r="C303">
        <v>2023</v>
      </c>
      <c r="D303" t="s">
        <v>358</v>
      </c>
      <c r="E303" t="s">
        <v>799</v>
      </c>
      <c r="F303">
        <v>4453</v>
      </c>
      <c r="G303" t="s">
        <v>360</v>
      </c>
      <c r="H303">
        <v>78</v>
      </c>
      <c r="I303" t="s">
        <v>800</v>
      </c>
      <c r="J303" t="s">
        <v>456</v>
      </c>
      <c r="M303" t="s">
        <v>295</v>
      </c>
      <c r="N303" t="s">
        <v>296</v>
      </c>
      <c r="O303" t="s">
        <v>297</v>
      </c>
    </row>
    <row r="304" spans="1:15" x14ac:dyDescent="0.3">
      <c r="A304" t="s">
        <v>660</v>
      </c>
      <c r="B304" t="s">
        <v>758</v>
      </c>
      <c r="C304">
        <v>2023</v>
      </c>
      <c r="D304" t="s">
        <v>394</v>
      </c>
      <c r="E304" t="s">
        <v>402</v>
      </c>
      <c r="F304">
        <v>99141</v>
      </c>
      <c r="G304" t="s">
        <v>396</v>
      </c>
      <c r="H304">
        <v>78</v>
      </c>
      <c r="I304" t="s">
        <v>801</v>
      </c>
      <c r="J304" t="s">
        <v>294</v>
      </c>
      <c r="M304" t="s">
        <v>295</v>
      </c>
      <c r="N304" t="s">
        <v>296</v>
      </c>
      <c r="O304" t="s">
        <v>297</v>
      </c>
    </row>
    <row r="305" spans="1:15" x14ac:dyDescent="0.3">
      <c r="A305" t="s">
        <v>660</v>
      </c>
      <c r="B305" t="s">
        <v>758</v>
      </c>
      <c r="C305">
        <v>2023</v>
      </c>
      <c r="D305" t="s">
        <v>394</v>
      </c>
      <c r="E305" t="s">
        <v>406</v>
      </c>
      <c r="F305">
        <v>17178</v>
      </c>
      <c r="G305" t="s">
        <v>396</v>
      </c>
      <c r="H305">
        <v>78</v>
      </c>
      <c r="I305" t="s">
        <v>802</v>
      </c>
      <c r="J305" t="s">
        <v>294</v>
      </c>
      <c r="M305" t="s">
        <v>295</v>
      </c>
      <c r="N305" t="s">
        <v>296</v>
      </c>
      <c r="O305" t="s">
        <v>297</v>
      </c>
    </row>
    <row r="306" spans="1:15" x14ac:dyDescent="0.3">
      <c r="A306" t="s">
        <v>660</v>
      </c>
      <c r="B306" t="s">
        <v>758</v>
      </c>
      <c r="C306">
        <v>2023</v>
      </c>
      <c r="D306" t="s">
        <v>394</v>
      </c>
      <c r="E306" t="s">
        <v>803</v>
      </c>
      <c r="F306">
        <v>4620</v>
      </c>
      <c r="G306" t="s">
        <v>396</v>
      </c>
      <c r="H306">
        <v>78</v>
      </c>
      <c r="I306" t="s">
        <v>804</v>
      </c>
      <c r="J306" t="s">
        <v>294</v>
      </c>
      <c r="M306" t="s">
        <v>295</v>
      </c>
      <c r="N306" t="s">
        <v>296</v>
      </c>
      <c r="O306" t="s">
        <v>297</v>
      </c>
    </row>
    <row r="307" spans="1:15" x14ac:dyDescent="0.3">
      <c r="A307" t="s">
        <v>660</v>
      </c>
      <c r="B307" t="s">
        <v>758</v>
      </c>
      <c r="C307">
        <v>2023</v>
      </c>
      <c r="D307" t="s">
        <v>394</v>
      </c>
      <c r="E307" t="s">
        <v>744</v>
      </c>
      <c r="F307">
        <v>0.17330000000000001</v>
      </c>
      <c r="G307" t="s">
        <v>334</v>
      </c>
      <c r="H307">
        <v>78</v>
      </c>
      <c r="I307" t="s">
        <v>805</v>
      </c>
      <c r="J307" t="s">
        <v>456</v>
      </c>
      <c r="M307" t="s">
        <v>295</v>
      </c>
      <c r="N307" t="s">
        <v>296</v>
      </c>
      <c r="O307" t="s">
        <v>297</v>
      </c>
    </row>
    <row r="308" spans="1:15" x14ac:dyDescent="0.3">
      <c r="A308" t="s">
        <v>660</v>
      </c>
      <c r="B308" t="s">
        <v>758</v>
      </c>
      <c r="C308">
        <v>2023</v>
      </c>
      <c r="D308" t="s">
        <v>272</v>
      </c>
      <c r="E308" t="s">
        <v>806</v>
      </c>
      <c r="F308">
        <v>0.49730000000000002</v>
      </c>
      <c r="G308" t="s">
        <v>334</v>
      </c>
      <c r="H308">
        <v>57</v>
      </c>
      <c r="I308" t="s">
        <v>807</v>
      </c>
      <c r="J308" t="s">
        <v>294</v>
      </c>
      <c r="M308" t="s">
        <v>295</v>
      </c>
      <c r="N308" t="s">
        <v>296</v>
      </c>
      <c r="O308" t="s">
        <v>297</v>
      </c>
    </row>
    <row r="309" spans="1:15" x14ac:dyDescent="0.3">
      <c r="A309" t="s">
        <v>660</v>
      </c>
      <c r="B309" t="s">
        <v>758</v>
      </c>
      <c r="C309">
        <v>2023</v>
      </c>
      <c r="D309" t="s">
        <v>272</v>
      </c>
      <c r="E309" t="s">
        <v>808</v>
      </c>
      <c r="F309">
        <v>6.0699999999999997E-2</v>
      </c>
      <c r="G309" t="s">
        <v>334</v>
      </c>
      <c r="H309">
        <v>57</v>
      </c>
      <c r="I309" t="s">
        <v>679</v>
      </c>
      <c r="J309" t="s">
        <v>294</v>
      </c>
      <c r="M309" t="s">
        <v>295</v>
      </c>
      <c r="N309" t="s">
        <v>296</v>
      </c>
      <c r="O309" t="s">
        <v>297</v>
      </c>
    </row>
    <row r="310" spans="1:15" x14ac:dyDescent="0.3">
      <c r="A310" t="s">
        <v>660</v>
      </c>
      <c r="B310" t="s">
        <v>758</v>
      </c>
      <c r="C310">
        <v>2023</v>
      </c>
      <c r="D310" t="s">
        <v>272</v>
      </c>
      <c r="E310" t="s">
        <v>445</v>
      </c>
      <c r="F310">
        <v>0.36709999999999998</v>
      </c>
      <c r="G310" t="s">
        <v>334</v>
      </c>
      <c r="H310">
        <v>57</v>
      </c>
      <c r="I310" t="s">
        <v>681</v>
      </c>
      <c r="J310" t="s">
        <v>294</v>
      </c>
      <c r="M310" t="s">
        <v>295</v>
      </c>
      <c r="N310" t="s">
        <v>296</v>
      </c>
      <c r="O310" t="s">
        <v>297</v>
      </c>
    </row>
    <row r="311" spans="1:15" x14ac:dyDescent="0.3">
      <c r="A311" t="s">
        <v>660</v>
      </c>
      <c r="B311" t="s">
        <v>758</v>
      </c>
      <c r="C311">
        <v>2023</v>
      </c>
      <c r="D311" t="s">
        <v>563</v>
      </c>
      <c r="E311" t="s">
        <v>750</v>
      </c>
      <c r="F311" t="s">
        <v>809</v>
      </c>
      <c r="G311" t="s">
        <v>292</v>
      </c>
      <c r="H311">
        <v>15</v>
      </c>
      <c r="I311" t="s">
        <v>810</v>
      </c>
      <c r="J311" t="s">
        <v>294</v>
      </c>
      <c r="M311" t="s">
        <v>295</v>
      </c>
      <c r="N311" t="s">
        <v>296</v>
      </c>
      <c r="O311" t="s">
        <v>297</v>
      </c>
    </row>
    <row r="312" spans="1:15" x14ac:dyDescent="0.3">
      <c r="A312" t="s">
        <v>660</v>
      </c>
      <c r="B312" t="s">
        <v>811</v>
      </c>
      <c r="C312">
        <v>2024</v>
      </c>
      <c r="D312" t="s">
        <v>272</v>
      </c>
      <c r="E312" t="s">
        <v>291</v>
      </c>
      <c r="F312" t="s">
        <v>660</v>
      </c>
      <c r="G312" t="s">
        <v>292</v>
      </c>
      <c r="H312">
        <v>11</v>
      </c>
      <c r="I312" t="s">
        <v>812</v>
      </c>
      <c r="J312" t="s">
        <v>294</v>
      </c>
      <c r="M312" t="s">
        <v>295</v>
      </c>
      <c r="N312" t="s">
        <v>296</v>
      </c>
      <c r="O312" t="s">
        <v>297</v>
      </c>
    </row>
    <row r="313" spans="1:15" x14ac:dyDescent="0.3">
      <c r="A313" t="s">
        <v>660</v>
      </c>
      <c r="B313" t="s">
        <v>811</v>
      </c>
      <c r="C313">
        <v>2024</v>
      </c>
      <c r="D313" t="s">
        <v>300</v>
      </c>
      <c r="E313" t="s">
        <v>682</v>
      </c>
      <c r="F313">
        <v>196.74</v>
      </c>
      <c r="G313" t="s">
        <v>302</v>
      </c>
      <c r="H313">
        <v>11</v>
      </c>
      <c r="I313" t="s">
        <v>813</v>
      </c>
      <c r="J313" t="s">
        <v>294</v>
      </c>
      <c r="M313" t="s">
        <v>295</v>
      </c>
      <c r="N313" t="s">
        <v>296</v>
      </c>
      <c r="O313" t="s">
        <v>297</v>
      </c>
    </row>
    <row r="314" spans="1:15" x14ac:dyDescent="0.3">
      <c r="A314" t="s">
        <v>660</v>
      </c>
      <c r="B314" t="s">
        <v>811</v>
      </c>
      <c r="C314">
        <v>2024</v>
      </c>
      <c r="D314" t="s">
        <v>300</v>
      </c>
      <c r="E314" t="s">
        <v>684</v>
      </c>
      <c r="F314">
        <v>166.56</v>
      </c>
      <c r="G314" t="s">
        <v>302</v>
      </c>
      <c r="H314">
        <v>86</v>
      </c>
      <c r="I314" t="s">
        <v>814</v>
      </c>
      <c r="J314" t="s">
        <v>294</v>
      </c>
      <c r="M314" t="s">
        <v>295</v>
      </c>
      <c r="N314" t="s">
        <v>296</v>
      </c>
      <c r="O314" t="s">
        <v>297</v>
      </c>
    </row>
    <row r="315" spans="1:15" x14ac:dyDescent="0.3">
      <c r="A315" t="s">
        <v>660</v>
      </c>
      <c r="B315" t="s">
        <v>811</v>
      </c>
      <c r="C315">
        <v>2024</v>
      </c>
      <c r="D315" t="s">
        <v>300</v>
      </c>
      <c r="E315" t="s">
        <v>815</v>
      </c>
      <c r="F315">
        <v>29.94</v>
      </c>
      <c r="G315" t="s">
        <v>302</v>
      </c>
      <c r="H315">
        <v>86</v>
      </c>
      <c r="I315" t="s">
        <v>816</v>
      </c>
      <c r="J315" t="s">
        <v>294</v>
      </c>
      <c r="M315" t="s">
        <v>295</v>
      </c>
      <c r="N315" t="s">
        <v>296</v>
      </c>
      <c r="O315" t="s">
        <v>297</v>
      </c>
    </row>
    <row r="316" spans="1:15" x14ac:dyDescent="0.3">
      <c r="A316" t="s">
        <v>660</v>
      </c>
      <c r="B316" t="s">
        <v>811</v>
      </c>
      <c r="C316">
        <v>2024</v>
      </c>
      <c r="D316" t="s">
        <v>300</v>
      </c>
      <c r="E316" t="s">
        <v>817</v>
      </c>
      <c r="F316">
        <v>0.24</v>
      </c>
      <c r="G316" t="s">
        <v>302</v>
      </c>
      <c r="H316">
        <v>86</v>
      </c>
      <c r="I316" t="s">
        <v>818</v>
      </c>
      <c r="J316" t="s">
        <v>294</v>
      </c>
      <c r="M316" t="s">
        <v>295</v>
      </c>
      <c r="N316" t="s">
        <v>296</v>
      </c>
      <c r="O316" t="s">
        <v>297</v>
      </c>
    </row>
    <row r="317" spans="1:15" x14ac:dyDescent="0.3">
      <c r="A317" t="s">
        <v>660</v>
      </c>
      <c r="B317" t="s">
        <v>811</v>
      </c>
      <c r="C317">
        <v>2024</v>
      </c>
      <c r="D317" t="s">
        <v>300</v>
      </c>
      <c r="E317" t="s">
        <v>819</v>
      </c>
      <c r="F317">
        <v>-11.96</v>
      </c>
      <c r="G317" t="s">
        <v>302</v>
      </c>
      <c r="H317">
        <v>11</v>
      </c>
      <c r="I317" t="s">
        <v>820</v>
      </c>
      <c r="J317" t="s">
        <v>294</v>
      </c>
      <c r="M317" t="s">
        <v>295</v>
      </c>
      <c r="N317" t="s">
        <v>296</v>
      </c>
      <c r="O317" t="s">
        <v>297</v>
      </c>
    </row>
    <row r="318" spans="1:15" x14ac:dyDescent="0.3">
      <c r="A318" t="s">
        <v>660</v>
      </c>
      <c r="B318" t="s">
        <v>811</v>
      </c>
      <c r="C318">
        <v>2024</v>
      </c>
      <c r="D318" t="s">
        <v>300</v>
      </c>
      <c r="E318" t="s">
        <v>765</v>
      </c>
      <c r="F318">
        <v>-34.61</v>
      </c>
      <c r="G318" t="s">
        <v>302</v>
      </c>
      <c r="H318">
        <v>11</v>
      </c>
      <c r="I318" t="s">
        <v>821</v>
      </c>
      <c r="J318" t="s">
        <v>294</v>
      </c>
      <c r="M318" t="s">
        <v>295</v>
      </c>
      <c r="N318" t="s">
        <v>296</v>
      </c>
      <c r="O318" t="s">
        <v>297</v>
      </c>
    </row>
    <row r="319" spans="1:15" x14ac:dyDescent="0.3">
      <c r="A319" t="s">
        <v>660</v>
      </c>
      <c r="B319" t="s">
        <v>811</v>
      </c>
      <c r="C319">
        <v>2024</v>
      </c>
      <c r="D319" t="s">
        <v>300</v>
      </c>
      <c r="E319" t="s">
        <v>767</v>
      </c>
      <c r="F319">
        <v>-23.05</v>
      </c>
      <c r="G319" t="s">
        <v>302</v>
      </c>
      <c r="H319">
        <v>11</v>
      </c>
      <c r="I319" t="s">
        <v>822</v>
      </c>
      <c r="J319" t="s">
        <v>294</v>
      </c>
      <c r="M319" t="s">
        <v>295</v>
      </c>
      <c r="N319" t="s">
        <v>296</v>
      </c>
      <c r="O319" t="s">
        <v>297</v>
      </c>
    </row>
    <row r="320" spans="1:15" x14ac:dyDescent="0.3">
      <c r="A320" t="s">
        <v>660</v>
      </c>
      <c r="B320" t="s">
        <v>811</v>
      </c>
      <c r="C320">
        <v>2024</v>
      </c>
      <c r="D320" t="s">
        <v>300</v>
      </c>
      <c r="E320" t="s">
        <v>316</v>
      </c>
      <c r="F320">
        <v>350.16</v>
      </c>
      <c r="G320" t="s">
        <v>302</v>
      </c>
      <c r="H320">
        <v>11</v>
      </c>
      <c r="I320" t="s">
        <v>823</v>
      </c>
      <c r="J320" t="s">
        <v>294</v>
      </c>
      <c r="M320" t="s">
        <v>295</v>
      </c>
      <c r="N320" t="s">
        <v>296</v>
      </c>
      <c r="O320" t="s">
        <v>297</v>
      </c>
    </row>
    <row r="321" spans="1:15" x14ac:dyDescent="0.3">
      <c r="A321" t="s">
        <v>660</v>
      </c>
      <c r="B321" t="s">
        <v>811</v>
      </c>
      <c r="C321">
        <v>2024</v>
      </c>
      <c r="D321" t="s">
        <v>300</v>
      </c>
      <c r="E321" t="s">
        <v>312</v>
      </c>
      <c r="F321">
        <v>38.49</v>
      </c>
      <c r="G321" t="s">
        <v>302</v>
      </c>
      <c r="H321">
        <v>11</v>
      </c>
      <c r="I321" t="s">
        <v>824</v>
      </c>
      <c r="J321" t="s">
        <v>294</v>
      </c>
      <c r="M321" t="s">
        <v>295</v>
      </c>
      <c r="N321" t="s">
        <v>296</v>
      </c>
      <c r="O321" t="s">
        <v>297</v>
      </c>
    </row>
    <row r="322" spans="1:15" x14ac:dyDescent="0.3">
      <c r="A322" t="s">
        <v>660</v>
      </c>
      <c r="B322" t="s">
        <v>811</v>
      </c>
      <c r="C322">
        <v>2024</v>
      </c>
      <c r="D322" t="s">
        <v>300</v>
      </c>
      <c r="E322" t="s">
        <v>314</v>
      </c>
      <c r="F322">
        <v>311.67</v>
      </c>
      <c r="G322" t="s">
        <v>302</v>
      </c>
      <c r="H322">
        <v>11</v>
      </c>
      <c r="I322" t="s">
        <v>825</v>
      </c>
      <c r="J322" t="s">
        <v>294</v>
      </c>
      <c r="M322" t="s">
        <v>295</v>
      </c>
      <c r="N322" t="s">
        <v>296</v>
      </c>
      <c r="O322" t="s">
        <v>297</v>
      </c>
    </row>
    <row r="323" spans="1:15" x14ac:dyDescent="0.3">
      <c r="A323" t="s">
        <v>660</v>
      </c>
      <c r="B323" t="s">
        <v>811</v>
      </c>
      <c r="C323">
        <v>2024</v>
      </c>
      <c r="D323" t="s">
        <v>300</v>
      </c>
      <c r="E323" t="s">
        <v>322</v>
      </c>
      <c r="F323">
        <v>190.38</v>
      </c>
      <c r="G323" t="s">
        <v>302</v>
      </c>
      <c r="H323">
        <v>11</v>
      </c>
      <c r="I323" t="s">
        <v>826</v>
      </c>
      <c r="J323" t="s">
        <v>294</v>
      </c>
      <c r="M323" t="s">
        <v>295</v>
      </c>
      <c r="N323" t="s">
        <v>296</v>
      </c>
      <c r="O323" t="s">
        <v>297</v>
      </c>
    </row>
    <row r="324" spans="1:15" x14ac:dyDescent="0.3">
      <c r="A324" t="s">
        <v>660</v>
      </c>
      <c r="B324" t="s">
        <v>811</v>
      </c>
      <c r="C324">
        <v>2024</v>
      </c>
      <c r="D324" t="s">
        <v>300</v>
      </c>
      <c r="E324" t="s">
        <v>318</v>
      </c>
      <c r="F324">
        <v>50.09</v>
      </c>
      <c r="G324" t="s">
        <v>302</v>
      </c>
      <c r="H324">
        <v>11</v>
      </c>
      <c r="I324" t="s">
        <v>827</v>
      </c>
      <c r="J324" t="s">
        <v>294</v>
      </c>
      <c r="M324" t="s">
        <v>295</v>
      </c>
      <c r="N324" t="s">
        <v>296</v>
      </c>
      <c r="O324" t="s">
        <v>297</v>
      </c>
    </row>
    <row r="325" spans="1:15" x14ac:dyDescent="0.3">
      <c r="A325" t="s">
        <v>660</v>
      </c>
      <c r="B325" t="s">
        <v>811</v>
      </c>
      <c r="C325">
        <v>2024</v>
      </c>
      <c r="D325" t="s">
        <v>300</v>
      </c>
      <c r="E325" t="s">
        <v>828</v>
      </c>
      <c r="F325">
        <v>140.29</v>
      </c>
      <c r="G325" t="s">
        <v>302</v>
      </c>
      <c r="H325">
        <v>11</v>
      </c>
      <c r="I325" t="s">
        <v>829</v>
      </c>
      <c r="J325" t="s">
        <v>294</v>
      </c>
      <c r="M325" t="s">
        <v>295</v>
      </c>
      <c r="N325" t="s">
        <v>296</v>
      </c>
      <c r="O325" t="s">
        <v>297</v>
      </c>
    </row>
    <row r="326" spans="1:15" x14ac:dyDescent="0.3">
      <c r="A326" t="s">
        <v>660</v>
      </c>
      <c r="B326" t="s">
        <v>811</v>
      </c>
      <c r="C326">
        <v>2024</v>
      </c>
      <c r="D326" t="s">
        <v>300</v>
      </c>
      <c r="E326" t="s">
        <v>324</v>
      </c>
      <c r="F326">
        <v>159.78</v>
      </c>
      <c r="G326" t="s">
        <v>302</v>
      </c>
      <c r="H326">
        <v>11</v>
      </c>
      <c r="I326" t="s">
        <v>830</v>
      </c>
      <c r="J326" t="s">
        <v>294</v>
      </c>
      <c r="M326" t="s">
        <v>295</v>
      </c>
      <c r="N326" t="s">
        <v>296</v>
      </c>
      <c r="O326" t="s">
        <v>297</v>
      </c>
    </row>
    <row r="327" spans="1:15" x14ac:dyDescent="0.3">
      <c r="A327" t="s">
        <v>660</v>
      </c>
      <c r="B327" t="s">
        <v>811</v>
      </c>
      <c r="C327">
        <v>2024</v>
      </c>
      <c r="D327" t="s">
        <v>300</v>
      </c>
      <c r="E327" t="s">
        <v>592</v>
      </c>
      <c r="F327">
        <v>15.82</v>
      </c>
      <c r="G327" t="s">
        <v>302</v>
      </c>
      <c r="H327">
        <v>90</v>
      </c>
      <c r="I327" t="s">
        <v>831</v>
      </c>
      <c r="J327" t="s">
        <v>294</v>
      </c>
      <c r="M327" t="s">
        <v>295</v>
      </c>
      <c r="N327" t="s">
        <v>296</v>
      </c>
      <c r="O327" t="s">
        <v>297</v>
      </c>
    </row>
    <row r="328" spans="1:15" x14ac:dyDescent="0.3">
      <c r="A328" t="s">
        <v>660</v>
      </c>
      <c r="B328" t="s">
        <v>811</v>
      </c>
      <c r="C328">
        <v>2024</v>
      </c>
      <c r="D328" t="s">
        <v>300</v>
      </c>
      <c r="E328" t="s">
        <v>601</v>
      </c>
      <c r="F328">
        <v>23.75</v>
      </c>
      <c r="G328" t="s">
        <v>302</v>
      </c>
      <c r="H328">
        <v>90</v>
      </c>
      <c r="I328" t="s">
        <v>832</v>
      </c>
      <c r="J328" t="s">
        <v>294</v>
      </c>
      <c r="M328" t="s">
        <v>295</v>
      </c>
      <c r="N328" t="s">
        <v>296</v>
      </c>
      <c r="O328" t="s">
        <v>297</v>
      </c>
    </row>
    <row r="329" spans="1:15" x14ac:dyDescent="0.3">
      <c r="A329" t="s">
        <v>660</v>
      </c>
      <c r="B329" t="s">
        <v>811</v>
      </c>
      <c r="C329">
        <v>2024</v>
      </c>
      <c r="D329" t="s">
        <v>300</v>
      </c>
      <c r="E329" t="s">
        <v>714</v>
      </c>
      <c r="F329">
        <v>-4.3499999999999996</v>
      </c>
      <c r="G329" t="s">
        <v>302</v>
      </c>
      <c r="H329">
        <v>90</v>
      </c>
      <c r="I329" t="s">
        <v>833</v>
      </c>
      <c r="J329" t="s">
        <v>294</v>
      </c>
      <c r="M329" t="s">
        <v>295</v>
      </c>
      <c r="N329" t="s">
        <v>296</v>
      </c>
      <c r="O329" t="s">
        <v>297</v>
      </c>
    </row>
    <row r="330" spans="1:15" x14ac:dyDescent="0.3">
      <c r="A330" t="s">
        <v>660</v>
      </c>
      <c r="B330" t="s">
        <v>811</v>
      </c>
      <c r="C330">
        <v>2024</v>
      </c>
      <c r="D330" t="s">
        <v>300</v>
      </c>
      <c r="E330" t="s">
        <v>716</v>
      </c>
      <c r="F330">
        <v>-11.96</v>
      </c>
      <c r="G330" t="s">
        <v>302</v>
      </c>
      <c r="H330">
        <v>90</v>
      </c>
      <c r="I330" t="s">
        <v>834</v>
      </c>
      <c r="J330" t="s">
        <v>294</v>
      </c>
      <c r="M330" t="s">
        <v>295</v>
      </c>
      <c r="N330" t="s">
        <v>296</v>
      </c>
      <c r="O330" t="s">
        <v>297</v>
      </c>
    </row>
    <row r="331" spans="1:15" x14ac:dyDescent="0.3">
      <c r="A331" t="s">
        <v>660</v>
      </c>
      <c r="B331" t="s">
        <v>811</v>
      </c>
      <c r="C331">
        <v>2024</v>
      </c>
      <c r="D331" t="s">
        <v>300</v>
      </c>
      <c r="E331" t="s">
        <v>835</v>
      </c>
      <c r="F331">
        <v>-2.4700000000000002</v>
      </c>
      <c r="G331" t="s">
        <v>346</v>
      </c>
      <c r="H331">
        <v>11</v>
      </c>
      <c r="I331" t="s">
        <v>836</v>
      </c>
      <c r="J331" t="s">
        <v>294</v>
      </c>
      <c r="M331" t="s">
        <v>295</v>
      </c>
      <c r="N331" t="s">
        <v>296</v>
      </c>
      <c r="O331" t="s">
        <v>297</v>
      </c>
    </row>
    <row r="332" spans="1:15" x14ac:dyDescent="0.3">
      <c r="A332" t="s">
        <v>660</v>
      </c>
      <c r="B332" t="s">
        <v>811</v>
      </c>
      <c r="C332">
        <v>2024</v>
      </c>
      <c r="D332" t="s">
        <v>300</v>
      </c>
      <c r="E332" t="s">
        <v>342</v>
      </c>
      <c r="F332">
        <v>9350</v>
      </c>
      <c r="G332" t="s">
        <v>497</v>
      </c>
      <c r="H332">
        <v>14</v>
      </c>
      <c r="I332" t="s">
        <v>784</v>
      </c>
      <c r="J332" t="s">
        <v>294</v>
      </c>
      <c r="M332" t="s">
        <v>295</v>
      </c>
      <c r="N332" t="s">
        <v>296</v>
      </c>
      <c r="O332" t="s">
        <v>297</v>
      </c>
    </row>
    <row r="333" spans="1:15" x14ac:dyDescent="0.3">
      <c r="A333" t="s">
        <v>660</v>
      </c>
      <c r="B333" t="s">
        <v>811</v>
      </c>
      <c r="C333">
        <v>2024</v>
      </c>
      <c r="D333" t="s">
        <v>300</v>
      </c>
      <c r="E333" t="s">
        <v>837</v>
      </c>
      <c r="F333">
        <v>6</v>
      </c>
      <c r="G333" t="s">
        <v>346</v>
      </c>
      <c r="H333">
        <v>14</v>
      </c>
      <c r="I333" t="s">
        <v>838</v>
      </c>
      <c r="J333" t="s">
        <v>294</v>
      </c>
      <c r="M333" t="s">
        <v>295</v>
      </c>
      <c r="N333" t="s">
        <v>296</v>
      </c>
      <c r="O333" t="s">
        <v>297</v>
      </c>
    </row>
    <row r="334" spans="1:15" x14ac:dyDescent="0.3">
      <c r="A334" t="s">
        <v>660</v>
      </c>
      <c r="B334" t="s">
        <v>811</v>
      </c>
      <c r="C334">
        <v>2024</v>
      </c>
      <c r="D334" t="s">
        <v>300</v>
      </c>
      <c r="E334" t="s">
        <v>839</v>
      </c>
      <c r="F334">
        <v>56.1</v>
      </c>
      <c r="G334" t="s">
        <v>302</v>
      </c>
      <c r="H334">
        <v>14</v>
      </c>
      <c r="I334" t="s">
        <v>840</v>
      </c>
      <c r="J334" t="s">
        <v>294</v>
      </c>
      <c r="M334" t="s">
        <v>295</v>
      </c>
      <c r="N334" t="s">
        <v>296</v>
      </c>
      <c r="O334" t="s">
        <v>297</v>
      </c>
    </row>
    <row r="335" spans="1:15" x14ac:dyDescent="0.3">
      <c r="A335" t="s">
        <v>660</v>
      </c>
      <c r="B335" t="s">
        <v>811</v>
      </c>
      <c r="C335">
        <v>2024</v>
      </c>
      <c r="D335" t="s">
        <v>300</v>
      </c>
      <c r="E335" t="s">
        <v>326</v>
      </c>
      <c r="F335">
        <v>0.76800000000000002</v>
      </c>
      <c r="G335" t="s">
        <v>327</v>
      </c>
      <c r="H335">
        <v>12</v>
      </c>
      <c r="I335" t="s">
        <v>841</v>
      </c>
      <c r="J335" t="s">
        <v>294</v>
      </c>
      <c r="M335" t="s">
        <v>295</v>
      </c>
      <c r="N335" t="s">
        <v>296</v>
      </c>
      <c r="O335" t="s">
        <v>297</v>
      </c>
    </row>
    <row r="336" spans="1:15" x14ac:dyDescent="0.3">
      <c r="A336" t="s">
        <v>660</v>
      </c>
      <c r="B336" t="s">
        <v>811</v>
      </c>
      <c r="C336">
        <v>2024</v>
      </c>
      <c r="D336" t="s">
        <v>300</v>
      </c>
      <c r="E336" t="s">
        <v>842</v>
      </c>
      <c r="F336">
        <v>1.1910000000000001</v>
      </c>
      <c r="G336" t="s">
        <v>327</v>
      </c>
      <c r="H336">
        <v>12</v>
      </c>
      <c r="I336" t="s">
        <v>843</v>
      </c>
      <c r="J336" t="s">
        <v>294</v>
      </c>
      <c r="M336" t="s">
        <v>295</v>
      </c>
      <c r="N336" t="s">
        <v>296</v>
      </c>
      <c r="O336" t="s">
        <v>297</v>
      </c>
    </row>
    <row r="337" spans="1:15" x14ac:dyDescent="0.3">
      <c r="A337" t="s">
        <v>660</v>
      </c>
      <c r="B337" t="s">
        <v>811</v>
      </c>
      <c r="C337">
        <v>2024</v>
      </c>
      <c r="D337" t="s">
        <v>300</v>
      </c>
      <c r="E337" t="s">
        <v>844</v>
      </c>
      <c r="F337">
        <v>0.54400000000000004</v>
      </c>
      <c r="G337" t="s">
        <v>327</v>
      </c>
      <c r="H337">
        <v>12</v>
      </c>
      <c r="I337" t="s">
        <v>845</v>
      </c>
      <c r="J337" t="s">
        <v>294</v>
      </c>
      <c r="M337" t="s">
        <v>295</v>
      </c>
      <c r="N337" t="s">
        <v>296</v>
      </c>
      <c r="O337" t="s">
        <v>297</v>
      </c>
    </row>
    <row r="338" spans="1:15" x14ac:dyDescent="0.3">
      <c r="A338" t="s">
        <v>660</v>
      </c>
      <c r="B338" t="s">
        <v>811</v>
      </c>
      <c r="C338">
        <v>2024</v>
      </c>
      <c r="D338" t="s">
        <v>300</v>
      </c>
      <c r="E338" t="s">
        <v>333</v>
      </c>
      <c r="F338">
        <v>-6.5799999999999997E-2</v>
      </c>
      <c r="G338" t="s">
        <v>334</v>
      </c>
      <c r="H338">
        <v>12</v>
      </c>
      <c r="I338" t="s">
        <v>846</v>
      </c>
      <c r="J338" t="s">
        <v>294</v>
      </c>
      <c r="M338" t="s">
        <v>295</v>
      </c>
      <c r="N338" t="s">
        <v>296</v>
      </c>
      <c r="O338" t="s">
        <v>297</v>
      </c>
    </row>
    <row r="339" spans="1:15" x14ac:dyDescent="0.3">
      <c r="A339" t="s">
        <v>660</v>
      </c>
      <c r="B339" t="s">
        <v>811</v>
      </c>
      <c r="C339">
        <v>2024</v>
      </c>
      <c r="D339" t="s">
        <v>300</v>
      </c>
      <c r="E339" t="s">
        <v>336</v>
      </c>
      <c r="F339">
        <v>-0.14430000000000001</v>
      </c>
      <c r="G339" t="s">
        <v>334</v>
      </c>
      <c r="H339">
        <v>12</v>
      </c>
      <c r="I339" t="s">
        <v>847</v>
      </c>
      <c r="J339" t="s">
        <v>294</v>
      </c>
      <c r="M339" t="s">
        <v>295</v>
      </c>
      <c r="N339" t="s">
        <v>296</v>
      </c>
      <c r="O339" t="s">
        <v>297</v>
      </c>
    </row>
    <row r="340" spans="1:15" x14ac:dyDescent="0.3">
      <c r="A340" t="s">
        <v>660</v>
      </c>
      <c r="B340" t="s">
        <v>811</v>
      </c>
      <c r="C340">
        <v>2024</v>
      </c>
      <c r="D340" t="s">
        <v>300</v>
      </c>
      <c r="E340" t="s">
        <v>340</v>
      </c>
      <c r="F340">
        <v>-6.08E-2</v>
      </c>
      <c r="G340" t="s">
        <v>334</v>
      </c>
      <c r="H340">
        <v>12</v>
      </c>
      <c r="I340" t="s">
        <v>848</v>
      </c>
      <c r="J340" t="s">
        <v>294</v>
      </c>
      <c r="M340" t="s">
        <v>295</v>
      </c>
      <c r="N340" t="s">
        <v>296</v>
      </c>
      <c r="O340" t="s">
        <v>297</v>
      </c>
    </row>
    <row r="341" spans="1:15" x14ac:dyDescent="0.3">
      <c r="A341" t="s">
        <v>660</v>
      </c>
      <c r="B341" t="s">
        <v>811</v>
      </c>
      <c r="C341">
        <v>2024</v>
      </c>
      <c r="D341" t="s">
        <v>300</v>
      </c>
      <c r="E341" t="s">
        <v>793</v>
      </c>
      <c r="F341">
        <v>323</v>
      </c>
      <c r="G341" t="s">
        <v>794</v>
      </c>
      <c r="H341">
        <v>12</v>
      </c>
      <c r="I341" t="s">
        <v>849</v>
      </c>
      <c r="J341" t="s">
        <v>294</v>
      </c>
      <c r="M341" t="s">
        <v>295</v>
      </c>
      <c r="N341" t="s">
        <v>296</v>
      </c>
      <c r="O341" t="s">
        <v>297</v>
      </c>
    </row>
    <row r="342" spans="1:15" x14ac:dyDescent="0.3">
      <c r="A342" t="s">
        <v>660</v>
      </c>
      <c r="B342" t="s">
        <v>811</v>
      </c>
      <c r="C342">
        <v>2024</v>
      </c>
      <c r="D342" t="s">
        <v>358</v>
      </c>
      <c r="E342" t="s">
        <v>523</v>
      </c>
      <c r="F342">
        <v>1</v>
      </c>
      <c r="G342" t="s">
        <v>384</v>
      </c>
      <c r="H342">
        <v>85</v>
      </c>
      <c r="I342" t="s">
        <v>736</v>
      </c>
      <c r="J342" t="s">
        <v>294</v>
      </c>
      <c r="M342" t="s">
        <v>295</v>
      </c>
      <c r="N342" t="s">
        <v>296</v>
      </c>
      <c r="O342" t="s">
        <v>297</v>
      </c>
    </row>
    <row r="343" spans="1:15" x14ac:dyDescent="0.3">
      <c r="A343" t="s">
        <v>660</v>
      </c>
      <c r="B343" t="s">
        <v>811</v>
      </c>
      <c r="C343">
        <v>2024</v>
      </c>
      <c r="D343" t="s">
        <v>358</v>
      </c>
      <c r="E343" t="s">
        <v>797</v>
      </c>
      <c r="F343">
        <v>30</v>
      </c>
      <c r="G343" t="s">
        <v>738</v>
      </c>
      <c r="H343">
        <v>85</v>
      </c>
      <c r="I343" t="s">
        <v>850</v>
      </c>
      <c r="J343" t="s">
        <v>294</v>
      </c>
      <c r="M343" t="s">
        <v>295</v>
      </c>
      <c r="N343" t="s">
        <v>296</v>
      </c>
      <c r="O343" t="s">
        <v>297</v>
      </c>
    </row>
    <row r="344" spans="1:15" x14ac:dyDescent="0.3">
      <c r="A344" t="s">
        <v>660</v>
      </c>
      <c r="B344" t="s">
        <v>811</v>
      </c>
      <c r="C344">
        <v>2024</v>
      </c>
      <c r="D344" t="s">
        <v>358</v>
      </c>
      <c r="E344" t="s">
        <v>851</v>
      </c>
      <c r="F344">
        <v>4453</v>
      </c>
      <c r="G344" t="s">
        <v>360</v>
      </c>
      <c r="H344">
        <v>85</v>
      </c>
      <c r="I344" t="s">
        <v>852</v>
      </c>
      <c r="J344" t="s">
        <v>456</v>
      </c>
      <c r="M344" t="s">
        <v>295</v>
      </c>
      <c r="N344" t="s">
        <v>296</v>
      </c>
      <c r="O344" t="s">
        <v>297</v>
      </c>
    </row>
    <row r="345" spans="1:15" x14ac:dyDescent="0.3">
      <c r="A345" t="s">
        <v>660</v>
      </c>
      <c r="B345" t="s">
        <v>811</v>
      </c>
      <c r="C345">
        <v>2024</v>
      </c>
      <c r="D345" t="s">
        <v>394</v>
      </c>
      <c r="E345" t="s">
        <v>402</v>
      </c>
      <c r="F345">
        <v>71988</v>
      </c>
      <c r="G345" t="s">
        <v>396</v>
      </c>
      <c r="H345">
        <v>85</v>
      </c>
      <c r="I345" t="s">
        <v>853</v>
      </c>
      <c r="J345" t="s">
        <v>294</v>
      </c>
      <c r="M345" t="s">
        <v>295</v>
      </c>
      <c r="N345" t="s">
        <v>296</v>
      </c>
      <c r="O345" t="s">
        <v>297</v>
      </c>
    </row>
    <row r="346" spans="1:15" x14ac:dyDescent="0.3">
      <c r="A346" t="s">
        <v>660</v>
      </c>
      <c r="B346" t="s">
        <v>811</v>
      </c>
      <c r="C346">
        <v>2024</v>
      </c>
      <c r="D346" t="s">
        <v>394</v>
      </c>
      <c r="E346" t="s">
        <v>406</v>
      </c>
      <c r="F346">
        <v>11546</v>
      </c>
      <c r="G346" t="s">
        <v>396</v>
      </c>
      <c r="H346">
        <v>85</v>
      </c>
      <c r="I346" t="s">
        <v>854</v>
      </c>
      <c r="J346" t="s">
        <v>294</v>
      </c>
      <c r="M346" t="s">
        <v>295</v>
      </c>
      <c r="N346" t="s">
        <v>296</v>
      </c>
      <c r="O346" t="s">
        <v>297</v>
      </c>
    </row>
    <row r="347" spans="1:15" x14ac:dyDescent="0.3">
      <c r="A347" t="s">
        <v>660</v>
      </c>
      <c r="B347" t="s">
        <v>811</v>
      </c>
      <c r="C347">
        <v>2024</v>
      </c>
      <c r="D347" t="s">
        <v>394</v>
      </c>
      <c r="E347" t="s">
        <v>855</v>
      </c>
      <c r="F347">
        <v>3166</v>
      </c>
      <c r="G347" t="s">
        <v>396</v>
      </c>
      <c r="H347">
        <v>85</v>
      </c>
      <c r="I347" t="s">
        <v>856</v>
      </c>
      <c r="J347" t="s">
        <v>294</v>
      </c>
      <c r="M347" t="s">
        <v>295</v>
      </c>
      <c r="N347" t="s">
        <v>296</v>
      </c>
      <c r="O347" t="s">
        <v>297</v>
      </c>
    </row>
    <row r="348" spans="1:15" x14ac:dyDescent="0.3">
      <c r="A348" t="s">
        <v>660</v>
      </c>
      <c r="B348" t="s">
        <v>811</v>
      </c>
      <c r="C348">
        <v>2024</v>
      </c>
      <c r="D348" t="s">
        <v>394</v>
      </c>
      <c r="E348" t="s">
        <v>744</v>
      </c>
      <c r="F348">
        <v>0.16039999999999999</v>
      </c>
      <c r="G348" t="s">
        <v>334</v>
      </c>
      <c r="H348">
        <v>85</v>
      </c>
      <c r="I348" t="s">
        <v>857</v>
      </c>
      <c r="J348" t="s">
        <v>456</v>
      </c>
      <c r="M348" t="s">
        <v>295</v>
      </c>
      <c r="N348" t="s">
        <v>296</v>
      </c>
      <c r="O348" t="s">
        <v>297</v>
      </c>
    </row>
    <row r="349" spans="1:15" x14ac:dyDescent="0.3">
      <c r="A349" t="s">
        <v>660</v>
      </c>
      <c r="B349" t="s">
        <v>811</v>
      </c>
      <c r="C349">
        <v>2024</v>
      </c>
      <c r="D349" t="s">
        <v>394</v>
      </c>
      <c r="E349" t="s">
        <v>858</v>
      </c>
      <c r="F349" t="s">
        <v>859</v>
      </c>
      <c r="G349" t="s">
        <v>292</v>
      </c>
      <c r="H349">
        <v>86</v>
      </c>
      <c r="I349" t="s">
        <v>860</v>
      </c>
      <c r="J349" t="s">
        <v>294</v>
      </c>
      <c r="M349" t="s">
        <v>295</v>
      </c>
      <c r="N349" t="s">
        <v>296</v>
      </c>
      <c r="O349" t="s">
        <v>297</v>
      </c>
    </row>
    <row r="350" spans="1:15" x14ac:dyDescent="0.3">
      <c r="A350" t="s">
        <v>660</v>
      </c>
      <c r="B350" t="s">
        <v>811</v>
      </c>
      <c r="C350">
        <v>2024</v>
      </c>
      <c r="D350" t="s">
        <v>272</v>
      </c>
      <c r="E350" t="s">
        <v>861</v>
      </c>
      <c r="G350" t="s">
        <v>384</v>
      </c>
      <c r="H350">
        <v>0</v>
      </c>
      <c r="I350" t="s">
        <v>862</v>
      </c>
      <c r="J350" t="s">
        <v>863</v>
      </c>
      <c r="M350" t="s">
        <v>295</v>
      </c>
      <c r="N350" t="s">
        <v>296</v>
      </c>
      <c r="O350" t="s">
        <v>297</v>
      </c>
    </row>
    <row r="351" spans="1:15" x14ac:dyDescent="0.3">
      <c r="A351" t="s">
        <v>864</v>
      </c>
      <c r="B351" t="s">
        <v>865</v>
      </c>
      <c r="C351">
        <v>2023</v>
      </c>
      <c r="D351" t="s">
        <v>272</v>
      </c>
      <c r="E351" t="s">
        <v>291</v>
      </c>
      <c r="F351" t="s">
        <v>864</v>
      </c>
      <c r="G351" t="s">
        <v>292</v>
      </c>
      <c r="H351">
        <v>1</v>
      </c>
      <c r="I351" t="s">
        <v>866</v>
      </c>
      <c r="J351" t="s">
        <v>294</v>
      </c>
      <c r="M351" t="s">
        <v>295</v>
      </c>
      <c r="N351" t="s">
        <v>296</v>
      </c>
      <c r="O351" t="s">
        <v>297</v>
      </c>
    </row>
    <row r="352" spans="1:15" x14ac:dyDescent="0.3">
      <c r="A352" t="s">
        <v>864</v>
      </c>
      <c r="B352" t="s">
        <v>865</v>
      </c>
      <c r="C352">
        <v>2023</v>
      </c>
      <c r="D352" t="s">
        <v>272</v>
      </c>
      <c r="E352" t="s">
        <v>1</v>
      </c>
      <c r="F352" t="s">
        <v>35</v>
      </c>
      <c r="G352" t="s">
        <v>292</v>
      </c>
      <c r="H352">
        <v>86</v>
      </c>
      <c r="I352" t="s">
        <v>867</v>
      </c>
      <c r="J352" t="s">
        <v>294</v>
      </c>
      <c r="M352" t="s">
        <v>295</v>
      </c>
      <c r="N352" t="s">
        <v>296</v>
      </c>
      <c r="O352" t="s">
        <v>297</v>
      </c>
    </row>
    <row r="353" spans="1:15" x14ac:dyDescent="0.3">
      <c r="A353" t="s">
        <v>864</v>
      </c>
      <c r="B353" t="s">
        <v>865</v>
      </c>
      <c r="C353">
        <v>2023</v>
      </c>
      <c r="D353" t="s">
        <v>272</v>
      </c>
      <c r="E353" t="s">
        <v>274</v>
      </c>
      <c r="F353">
        <v>2023</v>
      </c>
      <c r="G353" t="s">
        <v>299</v>
      </c>
      <c r="H353">
        <v>1</v>
      </c>
      <c r="I353" t="s">
        <v>868</v>
      </c>
      <c r="J353" t="s">
        <v>294</v>
      </c>
      <c r="M353" t="s">
        <v>295</v>
      </c>
      <c r="N353" t="s">
        <v>296</v>
      </c>
      <c r="O353" t="s">
        <v>297</v>
      </c>
    </row>
    <row r="354" spans="1:15" x14ac:dyDescent="0.3">
      <c r="A354" t="s">
        <v>864</v>
      </c>
      <c r="B354" t="s">
        <v>865</v>
      </c>
      <c r="C354">
        <v>2023</v>
      </c>
      <c r="D354" t="s">
        <v>272</v>
      </c>
      <c r="E354" t="s">
        <v>869</v>
      </c>
      <c r="F354" t="s">
        <v>870</v>
      </c>
      <c r="G354" t="s">
        <v>666</v>
      </c>
      <c r="H354">
        <v>86</v>
      </c>
      <c r="I354" t="s">
        <v>871</v>
      </c>
      <c r="J354" t="s">
        <v>294</v>
      </c>
      <c r="M354" t="s">
        <v>295</v>
      </c>
      <c r="N354" t="s">
        <v>296</v>
      </c>
      <c r="O354" t="s">
        <v>297</v>
      </c>
    </row>
    <row r="355" spans="1:15" x14ac:dyDescent="0.3">
      <c r="A355" t="s">
        <v>864</v>
      </c>
      <c r="B355" t="s">
        <v>865</v>
      </c>
      <c r="C355">
        <v>2023</v>
      </c>
      <c r="D355" t="s">
        <v>272</v>
      </c>
      <c r="E355" t="s">
        <v>872</v>
      </c>
      <c r="F355" t="s">
        <v>873</v>
      </c>
      <c r="G355" t="s">
        <v>292</v>
      </c>
      <c r="H355">
        <v>88</v>
      </c>
      <c r="I355" t="s">
        <v>874</v>
      </c>
      <c r="J355" t="s">
        <v>294</v>
      </c>
      <c r="M355" t="s">
        <v>295</v>
      </c>
      <c r="N355" t="s">
        <v>296</v>
      </c>
      <c r="O355" t="s">
        <v>297</v>
      </c>
    </row>
    <row r="356" spans="1:15" x14ac:dyDescent="0.3">
      <c r="A356" t="s">
        <v>864</v>
      </c>
      <c r="B356" t="s">
        <v>865</v>
      </c>
      <c r="C356">
        <v>2023</v>
      </c>
      <c r="D356" t="s">
        <v>300</v>
      </c>
      <c r="E356" t="s">
        <v>301</v>
      </c>
      <c r="F356">
        <v>236.5</v>
      </c>
      <c r="G356" t="s">
        <v>875</v>
      </c>
      <c r="H356">
        <v>8</v>
      </c>
      <c r="I356" t="s">
        <v>876</v>
      </c>
      <c r="J356" t="s">
        <v>294</v>
      </c>
      <c r="M356" t="s">
        <v>295</v>
      </c>
      <c r="N356" t="s">
        <v>296</v>
      </c>
      <c r="O356" t="s">
        <v>297</v>
      </c>
    </row>
    <row r="357" spans="1:15" x14ac:dyDescent="0.3">
      <c r="A357" t="s">
        <v>864</v>
      </c>
      <c r="B357" t="s">
        <v>865</v>
      </c>
      <c r="C357">
        <v>2023</v>
      </c>
      <c r="D357" t="s">
        <v>300</v>
      </c>
      <c r="E357" t="s">
        <v>877</v>
      </c>
      <c r="F357">
        <v>3641</v>
      </c>
      <c r="G357" t="s">
        <v>302</v>
      </c>
      <c r="H357">
        <v>8</v>
      </c>
      <c r="I357" t="s">
        <v>878</v>
      </c>
      <c r="J357" t="s">
        <v>294</v>
      </c>
      <c r="M357" t="s">
        <v>295</v>
      </c>
      <c r="N357" t="s">
        <v>296</v>
      </c>
      <c r="O357" t="s">
        <v>297</v>
      </c>
    </row>
    <row r="358" spans="1:15" x14ac:dyDescent="0.3">
      <c r="A358" t="s">
        <v>864</v>
      </c>
      <c r="B358" t="s">
        <v>865</v>
      </c>
      <c r="C358">
        <v>2023</v>
      </c>
      <c r="D358" t="s">
        <v>300</v>
      </c>
      <c r="E358" t="s">
        <v>304</v>
      </c>
      <c r="F358">
        <v>31.6</v>
      </c>
      <c r="G358" t="s">
        <v>875</v>
      </c>
      <c r="H358">
        <v>8</v>
      </c>
      <c r="I358" t="s">
        <v>879</v>
      </c>
      <c r="J358" t="s">
        <v>294</v>
      </c>
      <c r="M358" t="s">
        <v>295</v>
      </c>
      <c r="N358" t="s">
        <v>296</v>
      </c>
      <c r="O358" t="s">
        <v>297</v>
      </c>
    </row>
    <row r="359" spans="1:15" x14ac:dyDescent="0.3">
      <c r="A359" t="s">
        <v>864</v>
      </c>
      <c r="B359" t="s">
        <v>865</v>
      </c>
      <c r="C359">
        <v>2023</v>
      </c>
      <c r="D359" t="s">
        <v>300</v>
      </c>
      <c r="E359" t="s">
        <v>880</v>
      </c>
      <c r="F359">
        <v>49.1</v>
      </c>
      <c r="G359" t="s">
        <v>875</v>
      </c>
      <c r="H359">
        <v>8</v>
      </c>
      <c r="I359" t="s">
        <v>881</v>
      </c>
      <c r="J359" t="s">
        <v>294</v>
      </c>
      <c r="M359" t="s">
        <v>295</v>
      </c>
      <c r="N359" t="s">
        <v>296</v>
      </c>
      <c r="O359" t="s">
        <v>297</v>
      </c>
    </row>
    <row r="360" spans="1:15" x14ac:dyDescent="0.3">
      <c r="A360" t="s">
        <v>864</v>
      </c>
      <c r="B360" t="s">
        <v>865</v>
      </c>
      <c r="C360">
        <v>2023</v>
      </c>
      <c r="D360" t="s">
        <v>300</v>
      </c>
      <c r="E360" t="s">
        <v>882</v>
      </c>
      <c r="F360">
        <v>1.9</v>
      </c>
      <c r="G360" t="s">
        <v>875</v>
      </c>
      <c r="H360">
        <v>8</v>
      </c>
      <c r="I360" t="s">
        <v>883</v>
      </c>
      <c r="J360" t="s">
        <v>294</v>
      </c>
      <c r="M360" t="s">
        <v>295</v>
      </c>
      <c r="N360" t="s">
        <v>296</v>
      </c>
      <c r="O360" t="s">
        <v>297</v>
      </c>
    </row>
    <row r="361" spans="1:15" x14ac:dyDescent="0.3">
      <c r="A361" t="s">
        <v>864</v>
      </c>
      <c r="B361" t="s">
        <v>865</v>
      </c>
      <c r="C361">
        <v>2023</v>
      </c>
      <c r="D361" t="s">
        <v>300</v>
      </c>
      <c r="E361" t="s">
        <v>884</v>
      </c>
      <c r="F361">
        <v>2.6</v>
      </c>
      <c r="G361" t="s">
        <v>875</v>
      </c>
      <c r="H361">
        <v>8</v>
      </c>
      <c r="I361" t="s">
        <v>885</v>
      </c>
      <c r="J361" t="s">
        <v>294</v>
      </c>
      <c r="M361" t="s">
        <v>295</v>
      </c>
      <c r="N361" t="s">
        <v>296</v>
      </c>
      <c r="O361" t="s">
        <v>297</v>
      </c>
    </row>
    <row r="362" spans="1:15" x14ac:dyDescent="0.3">
      <c r="A362" t="s">
        <v>864</v>
      </c>
      <c r="B362" t="s">
        <v>865</v>
      </c>
      <c r="C362">
        <v>2023</v>
      </c>
      <c r="D362" t="s">
        <v>300</v>
      </c>
      <c r="E362" t="s">
        <v>310</v>
      </c>
      <c r="F362">
        <v>6.5</v>
      </c>
      <c r="G362" t="s">
        <v>875</v>
      </c>
      <c r="H362">
        <v>8</v>
      </c>
      <c r="I362" t="s">
        <v>886</v>
      </c>
      <c r="J362" t="s">
        <v>294</v>
      </c>
      <c r="M362" t="s">
        <v>295</v>
      </c>
      <c r="N362" t="s">
        <v>296</v>
      </c>
      <c r="O362" t="s">
        <v>297</v>
      </c>
    </row>
    <row r="363" spans="1:15" x14ac:dyDescent="0.3">
      <c r="A363" t="s">
        <v>864</v>
      </c>
      <c r="B363" t="s">
        <v>865</v>
      </c>
      <c r="C363">
        <v>2023</v>
      </c>
      <c r="D363" t="s">
        <v>300</v>
      </c>
      <c r="E363" t="s">
        <v>887</v>
      </c>
      <c r="F363">
        <v>5.9</v>
      </c>
      <c r="G363" t="s">
        <v>875</v>
      </c>
      <c r="H363">
        <v>8</v>
      </c>
      <c r="I363" t="s">
        <v>888</v>
      </c>
      <c r="J363" t="s">
        <v>294</v>
      </c>
      <c r="M363" t="s">
        <v>295</v>
      </c>
      <c r="N363" t="s">
        <v>296</v>
      </c>
      <c r="O363" t="s">
        <v>297</v>
      </c>
    </row>
    <row r="364" spans="1:15" x14ac:dyDescent="0.3">
      <c r="A364" t="s">
        <v>864</v>
      </c>
      <c r="B364" t="s">
        <v>865</v>
      </c>
      <c r="C364">
        <v>2023</v>
      </c>
      <c r="D364" t="s">
        <v>300</v>
      </c>
      <c r="E364" t="s">
        <v>889</v>
      </c>
      <c r="F364">
        <v>55</v>
      </c>
      <c r="G364" t="s">
        <v>875</v>
      </c>
      <c r="H364">
        <v>8</v>
      </c>
      <c r="I364" t="s">
        <v>890</v>
      </c>
      <c r="J364" t="s">
        <v>294</v>
      </c>
      <c r="M364" t="s">
        <v>295</v>
      </c>
      <c r="N364" t="s">
        <v>296</v>
      </c>
      <c r="O364" t="s">
        <v>297</v>
      </c>
    </row>
    <row r="365" spans="1:15" x14ac:dyDescent="0.3">
      <c r="A365" t="s">
        <v>864</v>
      </c>
      <c r="B365" t="s">
        <v>865</v>
      </c>
      <c r="C365">
        <v>2023</v>
      </c>
      <c r="D365" t="s">
        <v>300</v>
      </c>
      <c r="E365" t="s">
        <v>316</v>
      </c>
      <c r="F365">
        <v>614.1</v>
      </c>
      <c r="G365" t="s">
        <v>875</v>
      </c>
      <c r="H365">
        <v>8</v>
      </c>
      <c r="I365" t="s">
        <v>891</v>
      </c>
      <c r="J365" t="s">
        <v>294</v>
      </c>
      <c r="M365" t="s">
        <v>295</v>
      </c>
      <c r="N365" t="s">
        <v>296</v>
      </c>
      <c r="O365" t="s">
        <v>297</v>
      </c>
    </row>
    <row r="366" spans="1:15" x14ac:dyDescent="0.3">
      <c r="A366" t="s">
        <v>864</v>
      </c>
      <c r="B366" t="s">
        <v>865</v>
      </c>
      <c r="C366">
        <v>2023</v>
      </c>
      <c r="D366" t="s">
        <v>300</v>
      </c>
      <c r="E366" t="s">
        <v>892</v>
      </c>
      <c r="F366">
        <v>150.9</v>
      </c>
      <c r="G366" t="s">
        <v>875</v>
      </c>
      <c r="H366">
        <v>8</v>
      </c>
      <c r="I366" t="s">
        <v>893</v>
      </c>
      <c r="J366" t="s">
        <v>294</v>
      </c>
      <c r="M366" t="s">
        <v>295</v>
      </c>
      <c r="N366" t="s">
        <v>296</v>
      </c>
      <c r="O366" t="s">
        <v>297</v>
      </c>
    </row>
    <row r="367" spans="1:15" x14ac:dyDescent="0.3">
      <c r="A367" t="s">
        <v>864</v>
      </c>
      <c r="B367" t="s">
        <v>865</v>
      </c>
      <c r="C367">
        <v>2023</v>
      </c>
      <c r="D367" t="s">
        <v>300</v>
      </c>
      <c r="E367" t="s">
        <v>894</v>
      </c>
      <c r="F367">
        <v>52.8</v>
      </c>
      <c r="G367" t="s">
        <v>875</v>
      </c>
      <c r="H367">
        <v>8</v>
      </c>
      <c r="I367" t="s">
        <v>895</v>
      </c>
      <c r="J367" t="s">
        <v>294</v>
      </c>
      <c r="M367" t="s">
        <v>295</v>
      </c>
      <c r="N367" t="s">
        <v>296</v>
      </c>
      <c r="O367" t="s">
        <v>297</v>
      </c>
    </row>
    <row r="368" spans="1:15" x14ac:dyDescent="0.3">
      <c r="A368" t="s">
        <v>864</v>
      </c>
      <c r="B368" t="s">
        <v>865</v>
      </c>
      <c r="C368">
        <v>2023</v>
      </c>
      <c r="D368" t="s">
        <v>300</v>
      </c>
      <c r="E368" t="s">
        <v>322</v>
      </c>
      <c r="F368">
        <v>188.7</v>
      </c>
      <c r="G368" t="s">
        <v>875</v>
      </c>
      <c r="H368">
        <v>8</v>
      </c>
      <c r="I368" t="s">
        <v>896</v>
      </c>
      <c r="J368" t="s">
        <v>294</v>
      </c>
      <c r="M368" t="s">
        <v>295</v>
      </c>
      <c r="N368" t="s">
        <v>296</v>
      </c>
      <c r="O368" t="s">
        <v>297</v>
      </c>
    </row>
    <row r="369" spans="1:15" x14ac:dyDescent="0.3">
      <c r="A369" t="s">
        <v>864</v>
      </c>
      <c r="B369" t="s">
        <v>865</v>
      </c>
      <c r="C369">
        <v>2023</v>
      </c>
      <c r="D369" t="s">
        <v>300</v>
      </c>
      <c r="E369" t="s">
        <v>324</v>
      </c>
      <c r="F369">
        <v>425.3</v>
      </c>
      <c r="G369" t="s">
        <v>875</v>
      </c>
      <c r="H369">
        <v>8</v>
      </c>
      <c r="I369" t="s">
        <v>897</v>
      </c>
      <c r="J369" t="s">
        <v>294</v>
      </c>
      <c r="M369" t="s">
        <v>295</v>
      </c>
      <c r="N369" t="s">
        <v>296</v>
      </c>
      <c r="O369" t="s">
        <v>297</v>
      </c>
    </row>
    <row r="370" spans="1:15" x14ac:dyDescent="0.3">
      <c r="A370" t="s">
        <v>864</v>
      </c>
      <c r="B370" t="s">
        <v>865</v>
      </c>
      <c r="C370">
        <v>2023</v>
      </c>
      <c r="D370" t="s">
        <v>300</v>
      </c>
      <c r="E370" t="s">
        <v>333</v>
      </c>
      <c r="F370">
        <v>3.0000000000000001E-3</v>
      </c>
      <c r="G370" t="s">
        <v>334</v>
      </c>
      <c r="H370">
        <v>8</v>
      </c>
      <c r="I370" t="s">
        <v>898</v>
      </c>
      <c r="J370" t="s">
        <v>294</v>
      </c>
      <c r="M370" t="s">
        <v>295</v>
      </c>
      <c r="N370" t="s">
        <v>296</v>
      </c>
      <c r="O370" t="s">
        <v>297</v>
      </c>
    </row>
    <row r="371" spans="1:15" x14ac:dyDescent="0.3">
      <c r="A371" t="s">
        <v>864</v>
      </c>
      <c r="B371" t="s">
        <v>865</v>
      </c>
      <c r="C371">
        <v>2023</v>
      </c>
      <c r="D371" t="s">
        <v>300</v>
      </c>
      <c r="E371" t="s">
        <v>336</v>
      </c>
      <c r="F371">
        <v>4.0000000000000001E-3</v>
      </c>
      <c r="G371" t="s">
        <v>334</v>
      </c>
      <c r="H371">
        <v>8</v>
      </c>
      <c r="I371" t="s">
        <v>899</v>
      </c>
      <c r="J371" t="s">
        <v>294</v>
      </c>
      <c r="M371" t="s">
        <v>295</v>
      </c>
      <c r="N371" t="s">
        <v>296</v>
      </c>
      <c r="O371" t="s">
        <v>297</v>
      </c>
    </row>
    <row r="372" spans="1:15" x14ac:dyDescent="0.3">
      <c r="A372" t="s">
        <v>864</v>
      </c>
      <c r="B372" t="s">
        <v>865</v>
      </c>
      <c r="C372">
        <v>2023</v>
      </c>
      <c r="D372" t="s">
        <v>300</v>
      </c>
      <c r="E372" t="s">
        <v>340</v>
      </c>
      <c r="F372">
        <v>0.13300000000000001</v>
      </c>
      <c r="G372" t="s">
        <v>334</v>
      </c>
      <c r="H372">
        <v>8</v>
      </c>
      <c r="I372" t="s">
        <v>900</v>
      </c>
      <c r="J372" t="s">
        <v>294</v>
      </c>
      <c r="M372" t="s">
        <v>295</v>
      </c>
      <c r="N372" t="s">
        <v>296</v>
      </c>
      <c r="O372" t="s">
        <v>297</v>
      </c>
    </row>
    <row r="373" spans="1:15" x14ac:dyDescent="0.3">
      <c r="A373" t="s">
        <v>864</v>
      </c>
      <c r="B373" t="s">
        <v>865</v>
      </c>
      <c r="C373">
        <v>2023</v>
      </c>
      <c r="D373" t="s">
        <v>300</v>
      </c>
      <c r="E373" t="s">
        <v>901</v>
      </c>
      <c r="F373">
        <v>0.20799999999999999</v>
      </c>
      <c r="G373" t="s">
        <v>334</v>
      </c>
      <c r="H373">
        <v>8</v>
      </c>
      <c r="I373" t="s">
        <v>902</v>
      </c>
      <c r="J373" t="s">
        <v>294</v>
      </c>
      <c r="M373" t="s">
        <v>295</v>
      </c>
      <c r="N373" t="s">
        <v>296</v>
      </c>
      <c r="O373" t="s">
        <v>297</v>
      </c>
    </row>
    <row r="374" spans="1:15" x14ac:dyDescent="0.3">
      <c r="A374" t="s">
        <v>864</v>
      </c>
      <c r="B374" t="s">
        <v>865</v>
      </c>
      <c r="C374">
        <v>2023</v>
      </c>
      <c r="D374" t="s">
        <v>300</v>
      </c>
      <c r="E374" t="s">
        <v>903</v>
      </c>
      <c r="F374">
        <v>8.0000000000000002E-3</v>
      </c>
      <c r="G374" t="s">
        <v>334</v>
      </c>
      <c r="H374">
        <v>8</v>
      </c>
      <c r="I374" t="s">
        <v>904</v>
      </c>
      <c r="J374" t="s">
        <v>294</v>
      </c>
      <c r="M374" t="s">
        <v>295</v>
      </c>
      <c r="N374" t="s">
        <v>296</v>
      </c>
      <c r="O374" t="s">
        <v>297</v>
      </c>
    </row>
    <row r="375" spans="1:15" x14ac:dyDescent="0.3">
      <c r="A375" t="s">
        <v>864</v>
      </c>
      <c r="B375" t="s">
        <v>865</v>
      </c>
      <c r="C375">
        <v>2023</v>
      </c>
      <c r="D375" t="s">
        <v>300</v>
      </c>
      <c r="E375" t="s">
        <v>326</v>
      </c>
      <c r="F375">
        <v>1</v>
      </c>
      <c r="G375" t="s">
        <v>327</v>
      </c>
      <c r="H375">
        <v>8</v>
      </c>
      <c r="I375" t="s">
        <v>905</v>
      </c>
      <c r="J375" t="s">
        <v>294</v>
      </c>
      <c r="M375" t="s">
        <v>295</v>
      </c>
      <c r="N375" t="s">
        <v>296</v>
      </c>
      <c r="O375" t="s">
        <v>297</v>
      </c>
    </row>
    <row r="376" spans="1:15" x14ac:dyDescent="0.3">
      <c r="A376" t="s">
        <v>864</v>
      </c>
      <c r="B376" t="s">
        <v>865</v>
      </c>
      <c r="C376">
        <v>2023</v>
      </c>
      <c r="D376" t="s">
        <v>300</v>
      </c>
      <c r="E376" t="s">
        <v>906</v>
      </c>
      <c r="F376">
        <v>0.3</v>
      </c>
      <c r="G376" t="s">
        <v>327</v>
      </c>
      <c r="H376">
        <v>8</v>
      </c>
      <c r="I376" t="s">
        <v>907</v>
      </c>
      <c r="J376" t="s">
        <v>294</v>
      </c>
      <c r="M376" t="s">
        <v>295</v>
      </c>
      <c r="N376" t="s">
        <v>296</v>
      </c>
      <c r="O376" t="s">
        <v>297</v>
      </c>
    </row>
    <row r="377" spans="1:15" x14ac:dyDescent="0.3">
      <c r="A377" t="s">
        <v>864</v>
      </c>
      <c r="B377" t="s">
        <v>865</v>
      </c>
      <c r="C377">
        <v>2023</v>
      </c>
      <c r="D377" t="s">
        <v>300</v>
      </c>
      <c r="E377" t="s">
        <v>345</v>
      </c>
      <c r="F377">
        <v>8.0000000000000004E-4</v>
      </c>
      <c r="G377" t="s">
        <v>908</v>
      </c>
      <c r="H377">
        <v>8</v>
      </c>
      <c r="I377" t="s">
        <v>909</v>
      </c>
      <c r="J377" t="s">
        <v>294</v>
      </c>
      <c r="M377" t="s">
        <v>295</v>
      </c>
      <c r="N377" t="s">
        <v>296</v>
      </c>
      <c r="O377" t="s">
        <v>297</v>
      </c>
    </row>
    <row r="378" spans="1:15" x14ac:dyDescent="0.3">
      <c r="A378" t="s">
        <v>864</v>
      </c>
      <c r="B378" t="s">
        <v>865</v>
      </c>
      <c r="C378">
        <v>2023</v>
      </c>
      <c r="D378" t="s">
        <v>300</v>
      </c>
      <c r="E378" t="s">
        <v>342</v>
      </c>
      <c r="F378">
        <v>3354</v>
      </c>
      <c r="G378" t="s">
        <v>343</v>
      </c>
      <c r="H378">
        <v>88</v>
      </c>
      <c r="I378" t="s">
        <v>910</v>
      </c>
      <c r="J378" t="s">
        <v>294</v>
      </c>
      <c r="M378" t="s">
        <v>295</v>
      </c>
      <c r="N378" t="s">
        <v>296</v>
      </c>
      <c r="O378" t="s">
        <v>297</v>
      </c>
    </row>
    <row r="379" spans="1:15" x14ac:dyDescent="0.3">
      <c r="A379" t="s">
        <v>864</v>
      </c>
      <c r="B379" t="s">
        <v>865</v>
      </c>
      <c r="C379">
        <v>2023</v>
      </c>
      <c r="D379" t="s">
        <v>300</v>
      </c>
      <c r="E379" t="s">
        <v>911</v>
      </c>
      <c r="F379">
        <v>745</v>
      </c>
      <c r="G379" t="s">
        <v>912</v>
      </c>
      <c r="H379">
        <v>10</v>
      </c>
      <c r="I379" t="s">
        <v>913</v>
      </c>
      <c r="J379" t="s">
        <v>294</v>
      </c>
      <c r="M379" t="s">
        <v>295</v>
      </c>
      <c r="N379" t="s">
        <v>296</v>
      </c>
      <c r="O379" t="s">
        <v>297</v>
      </c>
    </row>
    <row r="380" spans="1:15" x14ac:dyDescent="0.3">
      <c r="A380" t="s">
        <v>864</v>
      </c>
      <c r="B380" t="s">
        <v>865</v>
      </c>
      <c r="C380">
        <v>2023</v>
      </c>
      <c r="D380" t="s">
        <v>300</v>
      </c>
      <c r="E380" t="s">
        <v>356</v>
      </c>
      <c r="F380">
        <v>2499</v>
      </c>
      <c r="G380" t="s">
        <v>302</v>
      </c>
      <c r="H380">
        <v>10</v>
      </c>
      <c r="I380" t="s">
        <v>914</v>
      </c>
      <c r="J380" t="s">
        <v>294</v>
      </c>
      <c r="M380" t="s">
        <v>295</v>
      </c>
      <c r="N380" t="s">
        <v>296</v>
      </c>
      <c r="O380" t="s">
        <v>297</v>
      </c>
    </row>
    <row r="381" spans="1:15" x14ac:dyDescent="0.3">
      <c r="A381" t="s">
        <v>864</v>
      </c>
      <c r="B381" t="s">
        <v>865</v>
      </c>
      <c r="C381">
        <v>2023</v>
      </c>
      <c r="D381" t="s">
        <v>300</v>
      </c>
      <c r="E381" t="s">
        <v>915</v>
      </c>
      <c r="F381">
        <v>27.8</v>
      </c>
      <c r="G381" t="s">
        <v>916</v>
      </c>
      <c r="H381">
        <v>87</v>
      </c>
      <c r="I381" t="s">
        <v>917</v>
      </c>
      <c r="J381" t="s">
        <v>294</v>
      </c>
      <c r="M381" t="s">
        <v>295</v>
      </c>
      <c r="N381" t="s">
        <v>296</v>
      </c>
      <c r="O381" t="s">
        <v>297</v>
      </c>
    </row>
    <row r="382" spans="1:15" x14ac:dyDescent="0.3">
      <c r="A382" t="s">
        <v>864</v>
      </c>
      <c r="B382" t="s">
        <v>865</v>
      </c>
      <c r="C382">
        <v>2023</v>
      </c>
      <c r="D382" t="s">
        <v>300</v>
      </c>
      <c r="E382" t="s">
        <v>918</v>
      </c>
      <c r="F382">
        <v>0.29499999999999998</v>
      </c>
      <c r="G382" t="s">
        <v>334</v>
      </c>
      <c r="H382">
        <v>87</v>
      </c>
      <c r="I382" t="s">
        <v>919</v>
      </c>
      <c r="J382" t="s">
        <v>294</v>
      </c>
      <c r="M382" t="s">
        <v>295</v>
      </c>
      <c r="N382" t="s">
        <v>296</v>
      </c>
      <c r="O382" t="s">
        <v>297</v>
      </c>
    </row>
    <row r="383" spans="1:15" x14ac:dyDescent="0.3">
      <c r="A383" t="s">
        <v>864</v>
      </c>
      <c r="B383" t="s">
        <v>865</v>
      </c>
      <c r="C383">
        <v>2023</v>
      </c>
      <c r="D383" t="s">
        <v>300</v>
      </c>
      <c r="E383" t="s">
        <v>601</v>
      </c>
      <c r="F383">
        <v>36.645000000000003</v>
      </c>
      <c r="G383" t="s">
        <v>875</v>
      </c>
      <c r="H383">
        <v>125</v>
      </c>
      <c r="I383" t="s">
        <v>920</v>
      </c>
      <c r="J383" t="s">
        <v>294</v>
      </c>
      <c r="M383" t="s">
        <v>295</v>
      </c>
      <c r="N383" t="s">
        <v>296</v>
      </c>
      <c r="O383" t="s">
        <v>297</v>
      </c>
    </row>
    <row r="384" spans="1:15" x14ac:dyDescent="0.3">
      <c r="A384" t="s">
        <v>864</v>
      </c>
      <c r="B384" t="s">
        <v>865</v>
      </c>
      <c r="C384">
        <v>2023</v>
      </c>
      <c r="D384" t="s">
        <v>300</v>
      </c>
      <c r="E384" t="s">
        <v>921</v>
      </c>
      <c r="F384">
        <v>-41.243000000000002</v>
      </c>
      <c r="G384" t="s">
        <v>875</v>
      </c>
      <c r="H384">
        <v>125</v>
      </c>
      <c r="I384" t="s">
        <v>922</v>
      </c>
      <c r="J384" t="s">
        <v>294</v>
      </c>
      <c r="M384" t="s">
        <v>295</v>
      </c>
      <c r="N384" t="s">
        <v>296</v>
      </c>
      <c r="O384" t="s">
        <v>297</v>
      </c>
    </row>
    <row r="385" spans="1:15" x14ac:dyDescent="0.3">
      <c r="A385" t="s">
        <v>864</v>
      </c>
      <c r="B385" t="s">
        <v>865</v>
      </c>
      <c r="C385">
        <v>2023</v>
      </c>
      <c r="D385" t="s">
        <v>300</v>
      </c>
      <c r="E385" t="s">
        <v>923</v>
      </c>
      <c r="F385">
        <v>-0.37</v>
      </c>
      <c r="G385" t="s">
        <v>875</v>
      </c>
      <c r="H385">
        <v>125</v>
      </c>
      <c r="I385" t="s">
        <v>924</v>
      </c>
      <c r="J385" t="s">
        <v>294</v>
      </c>
      <c r="M385" t="s">
        <v>295</v>
      </c>
      <c r="N385" t="s">
        <v>296</v>
      </c>
      <c r="O385" t="s">
        <v>297</v>
      </c>
    </row>
    <row r="386" spans="1:15" x14ac:dyDescent="0.3">
      <c r="A386" t="s">
        <v>864</v>
      </c>
      <c r="B386" t="s">
        <v>865</v>
      </c>
      <c r="C386">
        <v>2023</v>
      </c>
      <c r="D386" t="s">
        <v>358</v>
      </c>
      <c r="E386" t="s">
        <v>504</v>
      </c>
      <c r="F386">
        <v>48516</v>
      </c>
      <c r="G386" t="s">
        <v>360</v>
      </c>
      <c r="H386">
        <v>57</v>
      </c>
      <c r="I386" t="s">
        <v>925</v>
      </c>
      <c r="J386" t="s">
        <v>294</v>
      </c>
      <c r="M386" t="s">
        <v>295</v>
      </c>
      <c r="N386" t="s">
        <v>296</v>
      </c>
      <c r="O386" t="s">
        <v>297</v>
      </c>
    </row>
    <row r="387" spans="1:15" x14ac:dyDescent="0.3">
      <c r="A387" t="s">
        <v>864</v>
      </c>
      <c r="B387" t="s">
        <v>865</v>
      </c>
      <c r="C387">
        <v>2023</v>
      </c>
      <c r="D387" t="s">
        <v>358</v>
      </c>
      <c r="E387" t="s">
        <v>926</v>
      </c>
      <c r="F387">
        <v>97745</v>
      </c>
      <c r="G387" t="s">
        <v>360</v>
      </c>
      <c r="H387">
        <v>57</v>
      </c>
      <c r="I387" t="s">
        <v>927</v>
      </c>
      <c r="J387" t="s">
        <v>294</v>
      </c>
      <c r="M387" t="s">
        <v>295</v>
      </c>
      <c r="N387" t="s">
        <v>296</v>
      </c>
      <c r="O387" t="s">
        <v>297</v>
      </c>
    </row>
    <row r="388" spans="1:15" x14ac:dyDescent="0.3">
      <c r="A388" t="s">
        <v>864</v>
      </c>
      <c r="B388" t="s">
        <v>865</v>
      </c>
      <c r="C388">
        <v>2023</v>
      </c>
      <c r="D388" t="s">
        <v>358</v>
      </c>
      <c r="E388" t="s">
        <v>928</v>
      </c>
      <c r="F388">
        <v>43400</v>
      </c>
      <c r="G388" t="s">
        <v>360</v>
      </c>
      <c r="H388">
        <v>49</v>
      </c>
      <c r="I388" t="s">
        <v>929</v>
      </c>
      <c r="J388" t="s">
        <v>294</v>
      </c>
      <c r="M388" t="s">
        <v>295</v>
      </c>
      <c r="N388" t="s">
        <v>296</v>
      </c>
      <c r="O388" t="s">
        <v>297</v>
      </c>
    </row>
    <row r="389" spans="1:15" x14ac:dyDescent="0.3">
      <c r="A389" t="s">
        <v>864</v>
      </c>
      <c r="B389" t="s">
        <v>865</v>
      </c>
      <c r="C389">
        <v>2023</v>
      </c>
      <c r="D389" t="s">
        <v>358</v>
      </c>
      <c r="E389" t="s">
        <v>930</v>
      </c>
      <c r="F389">
        <v>5116</v>
      </c>
      <c r="G389" t="s">
        <v>360</v>
      </c>
      <c r="H389">
        <v>49</v>
      </c>
      <c r="I389" t="s">
        <v>931</v>
      </c>
      <c r="J389" t="s">
        <v>456</v>
      </c>
      <c r="M389" t="s">
        <v>295</v>
      </c>
      <c r="N389" t="s">
        <v>296</v>
      </c>
      <c r="O389" t="s">
        <v>297</v>
      </c>
    </row>
    <row r="390" spans="1:15" x14ac:dyDescent="0.3">
      <c r="A390" t="s">
        <v>864</v>
      </c>
      <c r="B390" t="s">
        <v>865</v>
      </c>
      <c r="C390">
        <v>2023</v>
      </c>
      <c r="D390" t="s">
        <v>358</v>
      </c>
      <c r="E390" t="s">
        <v>932</v>
      </c>
      <c r="F390">
        <v>5</v>
      </c>
      <c r="G390" t="s">
        <v>384</v>
      </c>
      <c r="H390">
        <v>56</v>
      </c>
      <c r="I390" t="s">
        <v>933</v>
      </c>
      <c r="J390" t="s">
        <v>294</v>
      </c>
      <c r="M390" t="s">
        <v>295</v>
      </c>
      <c r="N390" t="s">
        <v>296</v>
      </c>
      <c r="O390" t="s">
        <v>297</v>
      </c>
    </row>
    <row r="391" spans="1:15" x14ac:dyDescent="0.3">
      <c r="A391" t="s">
        <v>864</v>
      </c>
      <c r="B391" t="s">
        <v>865</v>
      </c>
      <c r="C391">
        <v>2023</v>
      </c>
      <c r="D391" t="s">
        <v>358</v>
      </c>
      <c r="E391" t="s">
        <v>934</v>
      </c>
      <c r="F391">
        <v>315</v>
      </c>
      <c r="G391" t="s">
        <v>738</v>
      </c>
      <c r="H391">
        <v>56</v>
      </c>
      <c r="I391" t="s">
        <v>935</v>
      </c>
      <c r="J391" t="s">
        <v>294</v>
      </c>
      <c r="M391" t="s">
        <v>295</v>
      </c>
      <c r="N391" t="s">
        <v>296</v>
      </c>
      <c r="O391" t="s">
        <v>297</v>
      </c>
    </row>
    <row r="392" spans="1:15" x14ac:dyDescent="0.3">
      <c r="A392" t="s">
        <v>864</v>
      </c>
      <c r="B392" t="s">
        <v>865</v>
      </c>
      <c r="C392">
        <v>2023</v>
      </c>
      <c r="D392" t="s">
        <v>394</v>
      </c>
      <c r="E392" t="s">
        <v>395</v>
      </c>
      <c r="F392">
        <v>881051</v>
      </c>
      <c r="G392" t="s">
        <v>396</v>
      </c>
      <c r="H392">
        <v>9</v>
      </c>
      <c r="I392" t="s">
        <v>936</v>
      </c>
      <c r="J392" t="s">
        <v>294</v>
      </c>
      <c r="M392" t="s">
        <v>295</v>
      </c>
      <c r="N392" t="s">
        <v>296</v>
      </c>
      <c r="O392" t="s">
        <v>297</v>
      </c>
    </row>
    <row r="393" spans="1:15" x14ac:dyDescent="0.3">
      <c r="A393" t="s">
        <v>864</v>
      </c>
      <c r="B393" t="s">
        <v>865</v>
      </c>
      <c r="C393">
        <v>2023</v>
      </c>
      <c r="D393" t="s">
        <v>394</v>
      </c>
      <c r="E393" t="s">
        <v>404</v>
      </c>
      <c r="F393">
        <v>503811</v>
      </c>
      <c r="G393" t="s">
        <v>396</v>
      </c>
      <c r="H393">
        <v>9</v>
      </c>
      <c r="I393" t="s">
        <v>937</v>
      </c>
      <c r="J393" t="s">
        <v>294</v>
      </c>
      <c r="M393" t="s">
        <v>295</v>
      </c>
      <c r="N393" t="s">
        <v>296</v>
      </c>
      <c r="O393" t="s">
        <v>297</v>
      </c>
    </row>
    <row r="394" spans="1:15" x14ac:dyDescent="0.3">
      <c r="A394" t="s">
        <v>864</v>
      </c>
      <c r="B394" t="s">
        <v>865</v>
      </c>
      <c r="C394">
        <v>2023</v>
      </c>
      <c r="D394" t="s">
        <v>394</v>
      </c>
      <c r="E394" t="s">
        <v>402</v>
      </c>
      <c r="F394">
        <v>1374871</v>
      </c>
      <c r="G394" t="s">
        <v>396</v>
      </c>
      <c r="H394">
        <v>9</v>
      </c>
      <c r="I394" t="s">
        <v>938</v>
      </c>
      <c r="J394" t="s">
        <v>294</v>
      </c>
      <c r="M394" t="s">
        <v>295</v>
      </c>
      <c r="N394" t="s">
        <v>296</v>
      </c>
      <c r="O394" t="s">
        <v>297</v>
      </c>
    </row>
    <row r="395" spans="1:15" x14ac:dyDescent="0.3">
      <c r="A395" t="s">
        <v>864</v>
      </c>
      <c r="B395" t="s">
        <v>865</v>
      </c>
      <c r="C395">
        <v>2023</v>
      </c>
      <c r="D395" t="s">
        <v>394</v>
      </c>
      <c r="E395" t="s">
        <v>422</v>
      </c>
      <c r="F395">
        <v>20.3</v>
      </c>
      <c r="G395" t="s">
        <v>423</v>
      </c>
      <c r="H395">
        <v>9</v>
      </c>
      <c r="I395" t="s">
        <v>939</v>
      </c>
      <c r="J395" t="s">
        <v>294</v>
      </c>
      <c r="M395" t="s">
        <v>295</v>
      </c>
      <c r="N395" t="s">
        <v>296</v>
      </c>
      <c r="O395" t="s">
        <v>297</v>
      </c>
    </row>
    <row r="396" spans="1:15" x14ac:dyDescent="0.3">
      <c r="A396" t="s">
        <v>864</v>
      </c>
      <c r="B396" t="s">
        <v>865</v>
      </c>
      <c r="C396">
        <v>2023</v>
      </c>
      <c r="D396" t="s">
        <v>394</v>
      </c>
      <c r="E396" t="s">
        <v>406</v>
      </c>
      <c r="F396">
        <v>283659</v>
      </c>
      <c r="G396" t="s">
        <v>396</v>
      </c>
      <c r="H396">
        <v>9</v>
      </c>
      <c r="I396" t="s">
        <v>940</v>
      </c>
      <c r="J396" t="s">
        <v>294</v>
      </c>
      <c r="M396" t="s">
        <v>295</v>
      </c>
      <c r="N396" t="s">
        <v>296</v>
      </c>
      <c r="O396" t="s">
        <v>297</v>
      </c>
    </row>
    <row r="397" spans="1:15" x14ac:dyDescent="0.3">
      <c r="A397" t="s">
        <v>864</v>
      </c>
      <c r="B397" t="s">
        <v>865</v>
      </c>
      <c r="C397">
        <v>2023</v>
      </c>
      <c r="D397" t="s">
        <v>394</v>
      </c>
      <c r="E397" t="s">
        <v>684</v>
      </c>
      <c r="F397">
        <v>288941</v>
      </c>
      <c r="G397" t="s">
        <v>396</v>
      </c>
      <c r="H397">
        <v>9</v>
      </c>
      <c r="I397" t="s">
        <v>941</v>
      </c>
      <c r="J397" t="s">
        <v>294</v>
      </c>
      <c r="M397" t="s">
        <v>295</v>
      </c>
      <c r="N397" t="s">
        <v>296</v>
      </c>
      <c r="O397" t="s">
        <v>297</v>
      </c>
    </row>
    <row r="398" spans="1:15" x14ac:dyDescent="0.3">
      <c r="A398" t="s">
        <v>864</v>
      </c>
      <c r="B398" t="s">
        <v>865</v>
      </c>
      <c r="C398">
        <v>2023</v>
      </c>
      <c r="D398" t="s">
        <v>394</v>
      </c>
      <c r="E398" t="s">
        <v>855</v>
      </c>
      <c r="F398">
        <v>52432</v>
      </c>
      <c r="G398" t="s">
        <v>396</v>
      </c>
      <c r="H398">
        <v>9</v>
      </c>
      <c r="I398" t="s">
        <v>942</v>
      </c>
      <c r="J398" t="s">
        <v>294</v>
      </c>
      <c r="M398" t="s">
        <v>295</v>
      </c>
      <c r="N398" t="s">
        <v>296</v>
      </c>
      <c r="O398" t="s">
        <v>297</v>
      </c>
    </row>
    <row r="399" spans="1:15" x14ac:dyDescent="0.3">
      <c r="A399" t="s">
        <v>864</v>
      </c>
      <c r="B399" t="s">
        <v>865</v>
      </c>
      <c r="C399">
        <v>2023</v>
      </c>
      <c r="D399" t="s">
        <v>394</v>
      </c>
      <c r="E399" t="s">
        <v>418</v>
      </c>
      <c r="F399">
        <v>1459</v>
      </c>
      <c r="G399" t="s">
        <v>396</v>
      </c>
      <c r="H399">
        <v>9</v>
      </c>
      <c r="I399" t="s">
        <v>943</v>
      </c>
      <c r="J399" t="s">
        <v>294</v>
      </c>
      <c r="M399" t="s">
        <v>295</v>
      </c>
      <c r="N399" t="s">
        <v>296</v>
      </c>
      <c r="O399" t="s">
        <v>297</v>
      </c>
    </row>
    <row r="400" spans="1:15" x14ac:dyDescent="0.3">
      <c r="A400" t="s">
        <v>864</v>
      </c>
      <c r="B400" t="s">
        <v>865</v>
      </c>
      <c r="C400">
        <v>2023</v>
      </c>
      <c r="D400" t="s">
        <v>394</v>
      </c>
      <c r="E400" t="s">
        <v>550</v>
      </c>
      <c r="F400">
        <v>0.20599999999999999</v>
      </c>
      <c r="G400" t="s">
        <v>334</v>
      </c>
      <c r="H400">
        <v>9</v>
      </c>
      <c r="I400" t="s">
        <v>944</v>
      </c>
      <c r="J400" t="s">
        <v>294</v>
      </c>
      <c r="M400" t="s">
        <v>295</v>
      </c>
      <c r="N400" t="s">
        <v>296</v>
      </c>
      <c r="O400" t="s">
        <v>297</v>
      </c>
    </row>
    <row r="401" spans="1:15" x14ac:dyDescent="0.3">
      <c r="A401" t="s">
        <v>864</v>
      </c>
      <c r="B401" t="s">
        <v>865</v>
      </c>
      <c r="C401">
        <v>2023</v>
      </c>
      <c r="D401" t="s">
        <v>394</v>
      </c>
      <c r="E401" t="s">
        <v>654</v>
      </c>
      <c r="F401">
        <v>4.1000000000000002E-2</v>
      </c>
      <c r="G401" t="s">
        <v>334</v>
      </c>
      <c r="H401">
        <v>9</v>
      </c>
      <c r="I401" t="s">
        <v>945</v>
      </c>
      <c r="J401" t="s">
        <v>294</v>
      </c>
      <c r="M401" t="s">
        <v>295</v>
      </c>
      <c r="N401" t="s">
        <v>296</v>
      </c>
      <c r="O401" t="s">
        <v>297</v>
      </c>
    </row>
    <row r="402" spans="1:15" x14ac:dyDescent="0.3">
      <c r="A402" t="s">
        <v>864</v>
      </c>
      <c r="B402" t="s">
        <v>865</v>
      </c>
      <c r="C402">
        <v>2023</v>
      </c>
      <c r="D402" t="s">
        <v>394</v>
      </c>
      <c r="E402" t="s">
        <v>946</v>
      </c>
      <c r="F402">
        <v>731</v>
      </c>
      <c r="G402" t="s">
        <v>947</v>
      </c>
      <c r="H402">
        <v>9</v>
      </c>
      <c r="I402" t="s">
        <v>948</v>
      </c>
      <c r="J402" t="s">
        <v>294</v>
      </c>
      <c r="M402" t="s">
        <v>295</v>
      </c>
      <c r="N402" t="s">
        <v>296</v>
      </c>
      <c r="O402" t="s">
        <v>297</v>
      </c>
    </row>
    <row r="403" spans="1:15" x14ac:dyDescent="0.3">
      <c r="A403" t="s">
        <v>864</v>
      </c>
      <c r="B403" t="s">
        <v>865</v>
      </c>
      <c r="C403">
        <v>2023</v>
      </c>
      <c r="D403" t="s">
        <v>394</v>
      </c>
      <c r="E403" t="s">
        <v>949</v>
      </c>
      <c r="F403">
        <v>358</v>
      </c>
      <c r="G403" t="s">
        <v>947</v>
      </c>
      <c r="H403">
        <v>9</v>
      </c>
      <c r="I403" t="s">
        <v>950</v>
      </c>
      <c r="J403" t="s">
        <v>294</v>
      </c>
      <c r="M403" t="s">
        <v>295</v>
      </c>
      <c r="N403" t="s">
        <v>296</v>
      </c>
      <c r="O403" t="s">
        <v>297</v>
      </c>
    </row>
    <row r="404" spans="1:15" x14ac:dyDescent="0.3">
      <c r="A404" t="s">
        <v>864</v>
      </c>
      <c r="B404" t="s">
        <v>865</v>
      </c>
      <c r="C404">
        <v>2023</v>
      </c>
      <c r="D404" t="s">
        <v>394</v>
      </c>
      <c r="E404" t="s">
        <v>951</v>
      </c>
      <c r="F404">
        <v>409</v>
      </c>
      <c r="G404" t="s">
        <v>947</v>
      </c>
      <c r="H404">
        <v>9</v>
      </c>
      <c r="I404" t="s">
        <v>952</v>
      </c>
      <c r="J404" t="s">
        <v>294</v>
      </c>
      <c r="M404" t="s">
        <v>295</v>
      </c>
      <c r="N404" t="s">
        <v>296</v>
      </c>
      <c r="O404" t="s">
        <v>297</v>
      </c>
    </row>
    <row r="405" spans="1:15" x14ac:dyDescent="0.3">
      <c r="A405" t="s">
        <v>864</v>
      </c>
      <c r="B405" t="s">
        <v>865</v>
      </c>
      <c r="C405">
        <v>2023</v>
      </c>
      <c r="D405" t="s">
        <v>563</v>
      </c>
      <c r="E405" t="s">
        <v>953</v>
      </c>
      <c r="F405" t="s">
        <v>954</v>
      </c>
      <c r="G405" t="s">
        <v>292</v>
      </c>
      <c r="H405">
        <v>13</v>
      </c>
      <c r="I405" t="s">
        <v>955</v>
      </c>
      <c r="J405" t="s">
        <v>294</v>
      </c>
      <c r="M405" t="s">
        <v>295</v>
      </c>
      <c r="N405" t="s">
        <v>296</v>
      </c>
      <c r="O405" t="s">
        <v>297</v>
      </c>
    </row>
    <row r="406" spans="1:15" x14ac:dyDescent="0.3">
      <c r="A406" t="s">
        <v>864</v>
      </c>
      <c r="B406" t="s">
        <v>865</v>
      </c>
      <c r="C406">
        <v>2023</v>
      </c>
      <c r="D406" t="s">
        <v>563</v>
      </c>
      <c r="E406" t="s">
        <v>956</v>
      </c>
      <c r="F406">
        <v>0.91100000000000003</v>
      </c>
      <c r="G406" t="s">
        <v>334</v>
      </c>
      <c r="H406">
        <v>13</v>
      </c>
      <c r="I406" t="s">
        <v>957</v>
      </c>
      <c r="J406" t="s">
        <v>294</v>
      </c>
      <c r="M406" t="s">
        <v>295</v>
      </c>
      <c r="N406" t="s">
        <v>296</v>
      </c>
      <c r="O406" t="s">
        <v>297</v>
      </c>
    </row>
    <row r="407" spans="1:15" x14ac:dyDescent="0.3">
      <c r="A407" t="s">
        <v>864</v>
      </c>
      <c r="B407" t="s">
        <v>958</v>
      </c>
      <c r="C407">
        <v>2022</v>
      </c>
      <c r="D407" t="s">
        <v>272</v>
      </c>
      <c r="E407" t="s">
        <v>291</v>
      </c>
      <c r="F407" t="s">
        <v>864</v>
      </c>
      <c r="G407" t="s">
        <v>292</v>
      </c>
      <c r="H407">
        <v>1</v>
      </c>
      <c r="I407" t="s">
        <v>959</v>
      </c>
      <c r="J407" t="s">
        <v>294</v>
      </c>
      <c r="M407" t="s">
        <v>295</v>
      </c>
      <c r="N407" t="s">
        <v>296</v>
      </c>
      <c r="O407" t="s">
        <v>297</v>
      </c>
    </row>
    <row r="408" spans="1:15" x14ac:dyDescent="0.3">
      <c r="A408" t="s">
        <v>864</v>
      </c>
      <c r="B408" t="s">
        <v>958</v>
      </c>
      <c r="C408">
        <v>2022</v>
      </c>
      <c r="D408" t="s">
        <v>272</v>
      </c>
      <c r="E408" t="s">
        <v>1</v>
      </c>
      <c r="F408" t="s">
        <v>35</v>
      </c>
      <c r="G408" t="s">
        <v>292</v>
      </c>
      <c r="H408">
        <v>1</v>
      </c>
      <c r="I408" t="s">
        <v>960</v>
      </c>
      <c r="J408" t="s">
        <v>294</v>
      </c>
      <c r="M408" t="s">
        <v>295</v>
      </c>
      <c r="N408" t="s">
        <v>296</v>
      </c>
      <c r="O408" t="s">
        <v>297</v>
      </c>
    </row>
    <row r="409" spans="1:15" x14ac:dyDescent="0.3">
      <c r="A409" t="s">
        <v>864</v>
      </c>
      <c r="B409" t="s">
        <v>958</v>
      </c>
      <c r="C409">
        <v>2022</v>
      </c>
      <c r="D409" t="s">
        <v>272</v>
      </c>
      <c r="E409" t="s">
        <v>274</v>
      </c>
      <c r="F409">
        <v>2022</v>
      </c>
      <c r="G409" t="s">
        <v>299</v>
      </c>
      <c r="H409">
        <v>1</v>
      </c>
      <c r="I409" t="s">
        <v>961</v>
      </c>
      <c r="J409" t="s">
        <v>294</v>
      </c>
      <c r="M409" t="s">
        <v>295</v>
      </c>
      <c r="N409" t="s">
        <v>296</v>
      </c>
      <c r="O409" t="s">
        <v>297</v>
      </c>
    </row>
    <row r="410" spans="1:15" x14ac:dyDescent="0.3">
      <c r="A410" t="s">
        <v>864</v>
      </c>
      <c r="B410" t="s">
        <v>958</v>
      </c>
      <c r="C410">
        <v>2022</v>
      </c>
      <c r="D410" t="s">
        <v>300</v>
      </c>
      <c r="E410" t="s">
        <v>962</v>
      </c>
      <c r="F410">
        <v>269.2</v>
      </c>
      <c r="G410" t="s">
        <v>875</v>
      </c>
      <c r="H410">
        <v>8</v>
      </c>
      <c r="I410" t="s">
        <v>963</v>
      </c>
      <c r="J410" t="s">
        <v>294</v>
      </c>
      <c r="M410" t="s">
        <v>295</v>
      </c>
      <c r="N410" t="s">
        <v>296</v>
      </c>
      <c r="O410" t="s">
        <v>297</v>
      </c>
    </row>
    <row r="411" spans="1:15" x14ac:dyDescent="0.3">
      <c r="A411" t="s">
        <v>864</v>
      </c>
      <c r="B411" t="s">
        <v>958</v>
      </c>
      <c r="C411">
        <v>2022</v>
      </c>
      <c r="D411" t="s">
        <v>300</v>
      </c>
      <c r="E411" t="s">
        <v>877</v>
      </c>
      <c r="F411">
        <v>4191</v>
      </c>
      <c r="G411" t="s">
        <v>302</v>
      </c>
      <c r="H411">
        <v>8</v>
      </c>
      <c r="I411" t="s">
        <v>964</v>
      </c>
      <c r="J411" t="s">
        <v>294</v>
      </c>
      <c r="M411" t="s">
        <v>295</v>
      </c>
      <c r="N411" t="s">
        <v>296</v>
      </c>
      <c r="O411" t="s">
        <v>297</v>
      </c>
    </row>
    <row r="412" spans="1:15" x14ac:dyDescent="0.3">
      <c r="A412" t="s">
        <v>864</v>
      </c>
      <c r="B412" t="s">
        <v>958</v>
      </c>
      <c r="C412">
        <v>2022</v>
      </c>
      <c r="D412" t="s">
        <v>300</v>
      </c>
      <c r="E412" t="s">
        <v>965</v>
      </c>
      <c r="F412">
        <v>265.3</v>
      </c>
      <c r="G412" t="s">
        <v>875</v>
      </c>
      <c r="H412">
        <v>8</v>
      </c>
      <c r="I412" t="s">
        <v>966</v>
      </c>
      <c r="J412" t="s">
        <v>294</v>
      </c>
      <c r="M412" t="s">
        <v>295</v>
      </c>
      <c r="N412" t="s">
        <v>296</v>
      </c>
      <c r="O412" t="s">
        <v>297</v>
      </c>
    </row>
    <row r="413" spans="1:15" x14ac:dyDescent="0.3">
      <c r="A413" t="s">
        <v>864</v>
      </c>
      <c r="B413" t="s">
        <v>958</v>
      </c>
      <c r="C413">
        <v>2022</v>
      </c>
      <c r="D413" t="s">
        <v>300</v>
      </c>
      <c r="E413" t="s">
        <v>304</v>
      </c>
      <c r="F413">
        <v>53.9</v>
      </c>
      <c r="G413" t="s">
        <v>875</v>
      </c>
      <c r="H413">
        <v>8</v>
      </c>
      <c r="I413" t="s">
        <v>967</v>
      </c>
      <c r="J413" t="s">
        <v>294</v>
      </c>
      <c r="M413" t="s">
        <v>295</v>
      </c>
      <c r="N413" t="s">
        <v>296</v>
      </c>
      <c r="O413" t="s">
        <v>297</v>
      </c>
    </row>
    <row r="414" spans="1:15" x14ac:dyDescent="0.3">
      <c r="A414" t="s">
        <v>864</v>
      </c>
      <c r="B414" t="s">
        <v>958</v>
      </c>
      <c r="C414">
        <v>2022</v>
      </c>
      <c r="D414" t="s">
        <v>300</v>
      </c>
      <c r="E414" t="s">
        <v>880</v>
      </c>
      <c r="F414">
        <v>69.3</v>
      </c>
      <c r="G414" t="s">
        <v>875</v>
      </c>
      <c r="H414">
        <v>8</v>
      </c>
      <c r="I414" t="s">
        <v>968</v>
      </c>
      <c r="J414" t="s">
        <v>294</v>
      </c>
      <c r="M414" t="s">
        <v>295</v>
      </c>
      <c r="N414" t="s">
        <v>296</v>
      </c>
      <c r="O414" t="s">
        <v>297</v>
      </c>
    </row>
    <row r="415" spans="1:15" x14ac:dyDescent="0.3">
      <c r="A415" t="s">
        <v>864</v>
      </c>
      <c r="B415" t="s">
        <v>958</v>
      </c>
      <c r="C415">
        <v>2022</v>
      </c>
      <c r="D415" t="s">
        <v>300</v>
      </c>
      <c r="E415" t="s">
        <v>882</v>
      </c>
      <c r="F415">
        <v>21.2</v>
      </c>
      <c r="G415" t="s">
        <v>875</v>
      </c>
      <c r="H415">
        <v>8</v>
      </c>
      <c r="I415" t="s">
        <v>969</v>
      </c>
      <c r="J415" t="s">
        <v>294</v>
      </c>
      <c r="M415" t="s">
        <v>295</v>
      </c>
      <c r="N415" t="s">
        <v>296</v>
      </c>
      <c r="O415" t="s">
        <v>297</v>
      </c>
    </row>
    <row r="416" spans="1:15" x14ac:dyDescent="0.3">
      <c r="A416" t="s">
        <v>864</v>
      </c>
      <c r="B416" t="s">
        <v>958</v>
      </c>
      <c r="C416">
        <v>2022</v>
      </c>
      <c r="D416" t="s">
        <v>300</v>
      </c>
      <c r="E416" t="s">
        <v>884</v>
      </c>
      <c r="F416">
        <v>21.7</v>
      </c>
      <c r="G416" t="s">
        <v>875</v>
      </c>
      <c r="H416">
        <v>8</v>
      </c>
      <c r="I416" t="s">
        <v>970</v>
      </c>
      <c r="J416" t="s">
        <v>294</v>
      </c>
      <c r="M416" t="s">
        <v>295</v>
      </c>
      <c r="N416" t="s">
        <v>296</v>
      </c>
      <c r="O416" t="s">
        <v>297</v>
      </c>
    </row>
    <row r="417" spans="1:15" x14ac:dyDescent="0.3">
      <c r="A417" t="s">
        <v>864</v>
      </c>
      <c r="B417" t="s">
        <v>958</v>
      </c>
      <c r="C417">
        <v>2022</v>
      </c>
      <c r="D417" t="s">
        <v>300</v>
      </c>
      <c r="E417" t="s">
        <v>310</v>
      </c>
      <c r="F417">
        <v>6.1</v>
      </c>
      <c r="G417" t="s">
        <v>875</v>
      </c>
      <c r="H417">
        <v>8</v>
      </c>
      <c r="I417" t="s">
        <v>971</v>
      </c>
      <c r="J417" t="s">
        <v>294</v>
      </c>
      <c r="M417" t="s">
        <v>295</v>
      </c>
      <c r="N417" t="s">
        <v>296</v>
      </c>
      <c r="O417" t="s">
        <v>297</v>
      </c>
    </row>
    <row r="418" spans="1:15" x14ac:dyDescent="0.3">
      <c r="A418" t="s">
        <v>864</v>
      </c>
      <c r="B418" t="s">
        <v>958</v>
      </c>
      <c r="C418">
        <v>2022</v>
      </c>
      <c r="D418" t="s">
        <v>300</v>
      </c>
      <c r="E418" t="s">
        <v>345</v>
      </c>
      <c r="F418">
        <v>6.4999999999999997E-3</v>
      </c>
      <c r="G418" t="s">
        <v>908</v>
      </c>
      <c r="H418">
        <v>8</v>
      </c>
      <c r="I418" t="s">
        <v>972</v>
      </c>
      <c r="J418" t="s">
        <v>294</v>
      </c>
      <c r="M418" t="s">
        <v>295</v>
      </c>
      <c r="N418" t="s">
        <v>296</v>
      </c>
      <c r="O418" t="s">
        <v>297</v>
      </c>
    </row>
    <row r="419" spans="1:15" x14ac:dyDescent="0.3">
      <c r="A419" t="s">
        <v>864</v>
      </c>
      <c r="B419" t="s">
        <v>958</v>
      </c>
      <c r="C419">
        <v>2022</v>
      </c>
      <c r="D419" t="s">
        <v>300</v>
      </c>
      <c r="E419" t="s">
        <v>973</v>
      </c>
      <c r="F419">
        <v>10.8</v>
      </c>
      <c r="G419" t="s">
        <v>875</v>
      </c>
      <c r="H419">
        <v>8</v>
      </c>
      <c r="I419" t="s">
        <v>974</v>
      </c>
      <c r="J419" t="s">
        <v>294</v>
      </c>
      <c r="M419" t="s">
        <v>295</v>
      </c>
      <c r="N419" t="s">
        <v>296</v>
      </c>
      <c r="O419" t="s">
        <v>297</v>
      </c>
    </row>
    <row r="420" spans="1:15" x14ac:dyDescent="0.3">
      <c r="A420" t="s">
        <v>864</v>
      </c>
      <c r="B420" t="s">
        <v>958</v>
      </c>
      <c r="C420">
        <v>2022</v>
      </c>
      <c r="D420" t="s">
        <v>300</v>
      </c>
      <c r="E420" t="s">
        <v>889</v>
      </c>
      <c r="F420">
        <v>59.1</v>
      </c>
      <c r="G420" t="s">
        <v>875</v>
      </c>
      <c r="H420">
        <v>8</v>
      </c>
      <c r="I420" t="s">
        <v>975</v>
      </c>
      <c r="J420" t="s">
        <v>294</v>
      </c>
      <c r="M420" t="s">
        <v>295</v>
      </c>
      <c r="N420" t="s">
        <v>296</v>
      </c>
      <c r="O420" t="s">
        <v>297</v>
      </c>
    </row>
    <row r="421" spans="1:15" x14ac:dyDescent="0.3">
      <c r="A421" t="s">
        <v>864</v>
      </c>
      <c r="B421" t="s">
        <v>958</v>
      </c>
      <c r="C421">
        <v>2022</v>
      </c>
      <c r="D421" t="s">
        <v>300</v>
      </c>
      <c r="E421" t="s">
        <v>316</v>
      </c>
      <c r="F421">
        <v>602.6</v>
      </c>
      <c r="G421" t="s">
        <v>875</v>
      </c>
      <c r="H421">
        <v>8</v>
      </c>
      <c r="I421" t="s">
        <v>976</v>
      </c>
      <c r="J421" t="s">
        <v>294</v>
      </c>
      <c r="M421" t="s">
        <v>295</v>
      </c>
      <c r="N421" t="s">
        <v>296</v>
      </c>
      <c r="O421" t="s">
        <v>297</v>
      </c>
    </row>
    <row r="422" spans="1:15" x14ac:dyDescent="0.3">
      <c r="A422" t="s">
        <v>864</v>
      </c>
      <c r="B422" t="s">
        <v>958</v>
      </c>
      <c r="C422">
        <v>2022</v>
      </c>
      <c r="D422" t="s">
        <v>300</v>
      </c>
      <c r="E422" t="s">
        <v>977</v>
      </c>
      <c r="F422">
        <v>134.19999999999999</v>
      </c>
      <c r="G422" t="s">
        <v>875</v>
      </c>
      <c r="H422">
        <v>8</v>
      </c>
      <c r="I422" t="s">
        <v>978</v>
      </c>
      <c r="J422" t="s">
        <v>294</v>
      </c>
      <c r="M422" t="s">
        <v>295</v>
      </c>
      <c r="N422" t="s">
        <v>296</v>
      </c>
      <c r="O422" t="s">
        <v>297</v>
      </c>
    </row>
    <row r="423" spans="1:15" x14ac:dyDescent="0.3">
      <c r="A423" t="s">
        <v>864</v>
      </c>
      <c r="B423" t="s">
        <v>958</v>
      </c>
      <c r="C423">
        <v>2022</v>
      </c>
      <c r="D423" t="s">
        <v>300</v>
      </c>
      <c r="E423" t="s">
        <v>894</v>
      </c>
      <c r="F423">
        <v>40.5</v>
      </c>
      <c r="G423" t="s">
        <v>875</v>
      </c>
      <c r="H423">
        <v>8</v>
      </c>
      <c r="I423" t="s">
        <v>979</v>
      </c>
      <c r="J423" t="s">
        <v>294</v>
      </c>
      <c r="M423" t="s">
        <v>295</v>
      </c>
      <c r="N423" t="s">
        <v>296</v>
      </c>
      <c r="O423" t="s">
        <v>297</v>
      </c>
    </row>
    <row r="424" spans="1:15" x14ac:dyDescent="0.3">
      <c r="A424" t="s">
        <v>864</v>
      </c>
      <c r="B424" t="s">
        <v>958</v>
      </c>
      <c r="C424">
        <v>2022</v>
      </c>
      <c r="D424" t="s">
        <v>300</v>
      </c>
      <c r="E424" t="s">
        <v>322</v>
      </c>
      <c r="F424">
        <v>178.5</v>
      </c>
      <c r="G424" t="s">
        <v>875</v>
      </c>
      <c r="H424">
        <v>8</v>
      </c>
      <c r="I424" t="s">
        <v>980</v>
      </c>
      <c r="J424" t="s">
        <v>294</v>
      </c>
      <c r="M424" t="s">
        <v>295</v>
      </c>
      <c r="N424" t="s">
        <v>296</v>
      </c>
      <c r="O424" t="s">
        <v>297</v>
      </c>
    </row>
    <row r="425" spans="1:15" x14ac:dyDescent="0.3">
      <c r="A425" t="s">
        <v>864</v>
      </c>
      <c r="B425" t="s">
        <v>958</v>
      </c>
      <c r="C425">
        <v>2022</v>
      </c>
      <c r="D425" t="s">
        <v>300</v>
      </c>
      <c r="E425" t="s">
        <v>324</v>
      </c>
      <c r="F425">
        <v>424.1</v>
      </c>
      <c r="G425" t="s">
        <v>875</v>
      </c>
      <c r="H425">
        <v>8</v>
      </c>
      <c r="I425" t="s">
        <v>981</v>
      </c>
      <c r="J425" t="s">
        <v>294</v>
      </c>
      <c r="M425" t="s">
        <v>295</v>
      </c>
      <c r="N425" t="s">
        <v>296</v>
      </c>
      <c r="O425" t="s">
        <v>297</v>
      </c>
    </row>
    <row r="426" spans="1:15" x14ac:dyDescent="0.3">
      <c r="A426" t="s">
        <v>864</v>
      </c>
      <c r="B426" t="s">
        <v>958</v>
      </c>
      <c r="C426">
        <v>2022</v>
      </c>
      <c r="D426" t="s">
        <v>300</v>
      </c>
      <c r="E426" t="s">
        <v>333</v>
      </c>
      <c r="F426">
        <v>3.5000000000000003E-2</v>
      </c>
      <c r="G426" t="s">
        <v>334</v>
      </c>
      <c r="H426">
        <v>8</v>
      </c>
      <c r="I426" t="s">
        <v>982</v>
      </c>
      <c r="J426" t="s">
        <v>294</v>
      </c>
      <c r="M426" t="s">
        <v>295</v>
      </c>
      <c r="N426" t="s">
        <v>296</v>
      </c>
      <c r="O426" t="s">
        <v>297</v>
      </c>
    </row>
    <row r="427" spans="1:15" x14ac:dyDescent="0.3">
      <c r="A427" t="s">
        <v>864</v>
      </c>
      <c r="B427" t="s">
        <v>958</v>
      </c>
      <c r="C427">
        <v>2022</v>
      </c>
      <c r="D427" t="s">
        <v>300</v>
      </c>
      <c r="E427" t="s">
        <v>336</v>
      </c>
      <c r="F427">
        <v>0.05</v>
      </c>
      <c r="G427" t="s">
        <v>334</v>
      </c>
      <c r="H427">
        <v>8</v>
      </c>
      <c r="I427" t="s">
        <v>983</v>
      </c>
      <c r="J427" t="s">
        <v>294</v>
      </c>
      <c r="M427" t="s">
        <v>295</v>
      </c>
      <c r="N427" t="s">
        <v>296</v>
      </c>
      <c r="O427" t="s">
        <v>297</v>
      </c>
    </row>
    <row r="428" spans="1:15" x14ac:dyDescent="0.3">
      <c r="A428" t="s">
        <v>864</v>
      </c>
      <c r="B428" t="s">
        <v>958</v>
      </c>
      <c r="C428">
        <v>2022</v>
      </c>
      <c r="D428" t="s">
        <v>300</v>
      </c>
      <c r="E428" t="s">
        <v>340</v>
      </c>
      <c r="F428">
        <v>0.2</v>
      </c>
      <c r="G428" t="s">
        <v>334</v>
      </c>
      <c r="H428">
        <v>8</v>
      </c>
      <c r="I428" t="s">
        <v>984</v>
      </c>
      <c r="J428" t="s">
        <v>294</v>
      </c>
      <c r="M428" t="s">
        <v>295</v>
      </c>
      <c r="N428" t="s">
        <v>296</v>
      </c>
      <c r="O428" t="s">
        <v>297</v>
      </c>
    </row>
    <row r="429" spans="1:15" x14ac:dyDescent="0.3">
      <c r="A429" t="s">
        <v>864</v>
      </c>
      <c r="B429" t="s">
        <v>958</v>
      </c>
      <c r="C429">
        <v>2022</v>
      </c>
      <c r="D429" t="s">
        <v>300</v>
      </c>
      <c r="E429" t="s">
        <v>901</v>
      </c>
      <c r="F429">
        <v>0.25800000000000001</v>
      </c>
      <c r="G429" t="s">
        <v>334</v>
      </c>
      <c r="H429">
        <v>8</v>
      </c>
      <c r="I429" t="s">
        <v>985</v>
      </c>
      <c r="J429" t="s">
        <v>294</v>
      </c>
      <c r="M429" t="s">
        <v>295</v>
      </c>
      <c r="N429" t="s">
        <v>296</v>
      </c>
      <c r="O429" t="s">
        <v>297</v>
      </c>
    </row>
    <row r="430" spans="1:15" x14ac:dyDescent="0.3">
      <c r="A430" t="s">
        <v>864</v>
      </c>
      <c r="B430" t="s">
        <v>958</v>
      </c>
      <c r="C430">
        <v>2022</v>
      </c>
      <c r="D430" t="s">
        <v>300</v>
      </c>
      <c r="E430" t="s">
        <v>903</v>
      </c>
      <c r="F430">
        <v>7.9000000000000001E-2</v>
      </c>
      <c r="G430" t="s">
        <v>334</v>
      </c>
      <c r="H430">
        <v>8</v>
      </c>
      <c r="I430" t="s">
        <v>986</v>
      </c>
      <c r="J430" t="s">
        <v>294</v>
      </c>
      <c r="M430" t="s">
        <v>295</v>
      </c>
      <c r="N430" t="s">
        <v>296</v>
      </c>
      <c r="O430" t="s">
        <v>297</v>
      </c>
    </row>
    <row r="431" spans="1:15" x14ac:dyDescent="0.3">
      <c r="A431" t="s">
        <v>864</v>
      </c>
      <c r="B431" t="s">
        <v>958</v>
      </c>
      <c r="C431">
        <v>2022</v>
      </c>
      <c r="D431" t="s">
        <v>300</v>
      </c>
      <c r="E431" t="s">
        <v>326</v>
      </c>
      <c r="F431">
        <v>1.5</v>
      </c>
      <c r="G431" t="s">
        <v>327</v>
      </c>
      <c r="H431">
        <v>8</v>
      </c>
      <c r="I431" t="s">
        <v>987</v>
      </c>
      <c r="J431" t="s">
        <v>294</v>
      </c>
      <c r="M431" t="s">
        <v>295</v>
      </c>
      <c r="N431" t="s">
        <v>296</v>
      </c>
      <c r="O431" t="s">
        <v>297</v>
      </c>
    </row>
    <row r="432" spans="1:15" x14ac:dyDescent="0.3">
      <c r="A432" t="s">
        <v>864</v>
      </c>
      <c r="B432" t="s">
        <v>958</v>
      </c>
      <c r="C432">
        <v>2022</v>
      </c>
      <c r="D432" t="s">
        <v>300</v>
      </c>
      <c r="E432" t="s">
        <v>331</v>
      </c>
      <c r="F432">
        <v>0.4</v>
      </c>
      <c r="G432" t="s">
        <v>327</v>
      </c>
      <c r="H432">
        <v>8</v>
      </c>
      <c r="I432" t="s">
        <v>988</v>
      </c>
      <c r="J432" t="s">
        <v>294</v>
      </c>
      <c r="M432" t="s">
        <v>295</v>
      </c>
      <c r="N432" t="s">
        <v>296</v>
      </c>
      <c r="O432" t="s">
        <v>297</v>
      </c>
    </row>
    <row r="433" spans="1:15" x14ac:dyDescent="0.3">
      <c r="A433" t="s">
        <v>864</v>
      </c>
      <c r="B433" t="s">
        <v>958</v>
      </c>
      <c r="C433">
        <v>2022</v>
      </c>
      <c r="D433" t="s">
        <v>300</v>
      </c>
      <c r="E433" t="s">
        <v>342</v>
      </c>
      <c r="F433">
        <v>3354</v>
      </c>
      <c r="G433" t="s">
        <v>343</v>
      </c>
      <c r="H433">
        <v>87</v>
      </c>
      <c r="I433" t="s">
        <v>989</v>
      </c>
      <c r="J433" t="s">
        <v>294</v>
      </c>
      <c r="M433" t="s">
        <v>295</v>
      </c>
      <c r="N433" t="s">
        <v>296</v>
      </c>
      <c r="O433" t="s">
        <v>297</v>
      </c>
    </row>
    <row r="434" spans="1:15" x14ac:dyDescent="0.3">
      <c r="A434" t="s">
        <v>864</v>
      </c>
      <c r="B434" t="s">
        <v>958</v>
      </c>
      <c r="C434">
        <v>2022</v>
      </c>
      <c r="D434" t="s">
        <v>300</v>
      </c>
      <c r="E434" t="s">
        <v>990</v>
      </c>
      <c r="F434">
        <v>665</v>
      </c>
      <c r="G434" t="s">
        <v>912</v>
      </c>
      <c r="H434">
        <v>10</v>
      </c>
      <c r="I434" t="s">
        <v>991</v>
      </c>
      <c r="J434" t="s">
        <v>294</v>
      </c>
      <c r="M434" t="s">
        <v>295</v>
      </c>
      <c r="N434" t="s">
        <v>296</v>
      </c>
      <c r="O434" t="s">
        <v>297</v>
      </c>
    </row>
    <row r="435" spans="1:15" x14ac:dyDescent="0.3">
      <c r="A435" t="s">
        <v>864</v>
      </c>
      <c r="B435" t="s">
        <v>958</v>
      </c>
      <c r="C435">
        <v>2022</v>
      </c>
      <c r="D435" t="s">
        <v>300</v>
      </c>
      <c r="E435" t="s">
        <v>992</v>
      </c>
      <c r="F435">
        <v>2231</v>
      </c>
      <c r="G435" t="s">
        <v>302</v>
      </c>
      <c r="H435">
        <v>10</v>
      </c>
      <c r="I435" t="s">
        <v>993</v>
      </c>
      <c r="J435" t="s">
        <v>294</v>
      </c>
      <c r="M435" t="s">
        <v>295</v>
      </c>
      <c r="N435" t="s">
        <v>296</v>
      </c>
      <c r="O435" t="s">
        <v>297</v>
      </c>
    </row>
    <row r="436" spans="1:15" x14ac:dyDescent="0.3">
      <c r="A436" t="s">
        <v>864</v>
      </c>
      <c r="B436" t="s">
        <v>958</v>
      </c>
      <c r="C436">
        <v>2022</v>
      </c>
      <c r="D436" t="s">
        <v>300</v>
      </c>
      <c r="E436" t="s">
        <v>915</v>
      </c>
      <c r="F436">
        <v>43</v>
      </c>
      <c r="G436" t="s">
        <v>916</v>
      </c>
      <c r="H436">
        <v>87</v>
      </c>
      <c r="I436" t="s">
        <v>994</v>
      </c>
      <c r="J436" t="s">
        <v>294</v>
      </c>
      <c r="M436" t="s">
        <v>295</v>
      </c>
      <c r="N436" t="s">
        <v>296</v>
      </c>
      <c r="O436" t="s">
        <v>297</v>
      </c>
    </row>
    <row r="437" spans="1:15" x14ac:dyDescent="0.3">
      <c r="A437" t="s">
        <v>864</v>
      </c>
      <c r="B437" t="s">
        <v>958</v>
      </c>
      <c r="C437">
        <v>2022</v>
      </c>
      <c r="D437" t="s">
        <v>300</v>
      </c>
      <c r="E437" t="s">
        <v>918</v>
      </c>
      <c r="F437">
        <v>0.26400000000000001</v>
      </c>
      <c r="G437" t="s">
        <v>334</v>
      </c>
      <c r="H437">
        <v>87</v>
      </c>
      <c r="I437" t="s">
        <v>995</v>
      </c>
      <c r="J437" t="s">
        <v>294</v>
      </c>
      <c r="M437" t="s">
        <v>295</v>
      </c>
      <c r="N437" t="s">
        <v>296</v>
      </c>
      <c r="O437" t="s">
        <v>297</v>
      </c>
    </row>
    <row r="438" spans="1:15" x14ac:dyDescent="0.3">
      <c r="A438" t="s">
        <v>864</v>
      </c>
      <c r="B438" t="s">
        <v>958</v>
      </c>
      <c r="C438">
        <v>2022</v>
      </c>
      <c r="D438" t="s">
        <v>300</v>
      </c>
      <c r="E438" t="s">
        <v>601</v>
      </c>
      <c r="F438">
        <v>59.994999999999997</v>
      </c>
      <c r="G438" t="s">
        <v>875</v>
      </c>
      <c r="H438">
        <v>123</v>
      </c>
      <c r="I438" t="s">
        <v>996</v>
      </c>
      <c r="J438" t="s">
        <v>456</v>
      </c>
      <c r="M438" t="s">
        <v>295</v>
      </c>
      <c r="N438" t="s">
        <v>296</v>
      </c>
      <c r="O438" t="s">
        <v>297</v>
      </c>
    </row>
    <row r="439" spans="1:15" x14ac:dyDescent="0.3">
      <c r="A439" t="s">
        <v>864</v>
      </c>
      <c r="B439" t="s">
        <v>958</v>
      </c>
      <c r="C439">
        <v>2022</v>
      </c>
      <c r="D439" t="s">
        <v>358</v>
      </c>
      <c r="E439" t="s">
        <v>504</v>
      </c>
      <c r="F439">
        <v>49409</v>
      </c>
      <c r="G439" t="s">
        <v>360</v>
      </c>
      <c r="H439">
        <v>54</v>
      </c>
      <c r="I439" t="s">
        <v>997</v>
      </c>
      <c r="J439" t="s">
        <v>294</v>
      </c>
      <c r="M439" t="s">
        <v>295</v>
      </c>
      <c r="N439" t="s">
        <v>296</v>
      </c>
      <c r="O439" t="s">
        <v>297</v>
      </c>
    </row>
    <row r="440" spans="1:15" x14ac:dyDescent="0.3">
      <c r="A440" t="s">
        <v>864</v>
      </c>
      <c r="B440" t="s">
        <v>958</v>
      </c>
      <c r="C440">
        <v>2022</v>
      </c>
      <c r="D440" t="s">
        <v>358</v>
      </c>
      <c r="E440" t="s">
        <v>926</v>
      </c>
      <c r="F440">
        <v>97682</v>
      </c>
      <c r="G440" t="s">
        <v>360</v>
      </c>
      <c r="H440">
        <v>54</v>
      </c>
      <c r="I440" t="s">
        <v>998</v>
      </c>
      <c r="J440" t="s">
        <v>294</v>
      </c>
      <c r="M440" t="s">
        <v>295</v>
      </c>
      <c r="N440" t="s">
        <v>296</v>
      </c>
      <c r="O440" t="s">
        <v>297</v>
      </c>
    </row>
    <row r="441" spans="1:15" x14ac:dyDescent="0.3">
      <c r="A441" t="s">
        <v>864</v>
      </c>
      <c r="B441" t="s">
        <v>958</v>
      </c>
      <c r="C441">
        <v>2022</v>
      </c>
      <c r="D441" t="s">
        <v>358</v>
      </c>
      <c r="E441" t="s">
        <v>932</v>
      </c>
      <c r="F441">
        <v>5</v>
      </c>
      <c r="G441" t="s">
        <v>384</v>
      </c>
      <c r="H441">
        <v>54</v>
      </c>
      <c r="I441" t="s">
        <v>999</v>
      </c>
      <c r="J441" t="s">
        <v>294</v>
      </c>
      <c r="M441" t="s">
        <v>295</v>
      </c>
      <c r="N441" t="s">
        <v>296</v>
      </c>
      <c r="O441" t="s">
        <v>297</v>
      </c>
    </row>
    <row r="442" spans="1:15" x14ac:dyDescent="0.3">
      <c r="A442" t="s">
        <v>864</v>
      </c>
      <c r="B442" t="s">
        <v>958</v>
      </c>
      <c r="C442">
        <v>2022</v>
      </c>
      <c r="D442" t="s">
        <v>358</v>
      </c>
      <c r="E442" t="s">
        <v>934</v>
      </c>
      <c r="F442">
        <v>315</v>
      </c>
      <c r="G442" t="s">
        <v>738</v>
      </c>
      <c r="H442">
        <v>54</v>
      </c>
      <c r="I442" t="s">
        <v>935</v>
      </c>
      <c r="J442" t="s">
        <v>294</v>
      </c>
      <c r="M442" t="s">
        <v>295</v>
      </c>
      <c r="N442" t="s">
        <v>296</v>
      </c>
      <c r="O442" t="s">
        <v>297</v>
      </c>
    </row>
    <row r="443" spans="1:15" x14ac:dyDescent="0.3">
      <c r="A443" t="s">
        <v>864</v>
      </c>
      <c r="B443" t="s">
        <v>958</v>
      </c>
      <c r="C443">
        <v>2022</v>
      </c>
      <c r="D443" t="s">
        <v>358</v>
      </c>
      <c r="E443" t="s">
        <v>1000</v>
      </c>
      <c r="F443">
        <v>7752</v>
      </c>
      <c r="G443" t="s">
        <v>360</v>
      </c>
      <c r="H443">
        <v>54</v>
      </c>
      <c r="I443" t="s">
        <v>1001</v>
      </c>
      <c r="J443" t="s">
        <v>294</v>
      </c>
      <c r="M443" t="s">
        <v>295</v>
      </c>
      <c r="N443" t="s">
        <v>296</v>
      </c>
      <c r="O443" t="s">
        <v>297</v>
      </c>
    </row>
    <row r="444" spans="1:15" x14ac:dyDescent="0.3">
      <c r="A444" t="s">
        <v>864</v>
      </c>
      <c r="B444" t="s">
        <v>958</v>
      </c>
      <c r="C444">
        <v>2022</v>
      </c>
      <c r="D444" t="s">
        <v>358</v>
      </c>
      <c r="E444" t="s">
        <v>1002</v>
      </c>
      <c r="F444">
        <v>9457</v>
      </c>
      <c r="G444" t="s">
        <v>360</v>
      </c>
      <c r="H444">
        <v>54</v>
      </c>
      <c r="I444" t="s">
        <v>1003</v>
      </c>
      <c r="J444" t="s">
        <v>294</v>
      </c>
      <c r="M444" t="s">
        <v>295</v>
      </c>
      <c r="N444" t="s">
        <v>296</v>
      </c>
      <c r="O444" t="s">
        <v>297</v>
      </c>
    </row>
    <row r="445" spans="1:15" x14ac:dyDescent="0.3">
      <c r="A445" t="s">
        <v>864</v>
      </c>
      <c r="B445" t="s">
        <v>958</v>
      </c>
      <c r="C445">
        <v>2022</v>
      </c>
      <c r="D445" t="s">
        <v>358</v>
      </c>
      <c r="E445" t="s">
        <v>1004</v>
      </c>
      <c r="F445">
        <v>14303</v>
      </c>
      <c r="G445" t="s">
        <v>360</v>
      </c>
      <c r="H445">
        <v>54</v>
      </c>
      <c r="I445" t="s">
        <v>1005</v>
      </c>
      <c r="J445" t="s">
        <v>294</v>
      </c>
      <c r="M445" t="s">
        <v>295</v>
      </c>
      <c r="N445" t="s">
        <v>296</v>
      </c>
      <c r="O445" t="s">
        <v>297</v>
      </c>
    </row>
    <row r="446" spans="1:15" x14ac:dyDescent="0.3">
      <c r="A446" t="s">
        <v>864</v>
      </c>
      <c r="B446" t="s">
        <v>958</v>
      </c>
      <c r="C446">
        <v>2022</v>
      </c>
      <c r="D446" t="s">
        <v>394</v>
      </c>
      <c r="E446" t="s">
        <v>395</v>
      </c>
      <c r="F446">
        <v>840581</v>
      </c>
      <c r="G446" t="s">
        <v>396</v>
      </c>
      <c r="H446">
        <v>8</v>
      </c>
      <c r="I446" t="s">
        <v>1006</v>
      </c>
      <c r="J446" t="s">
        <v>294</v>
      </c>
      <c r="M446" t="s">
        <v>295</v>
      </c>
      <c r="N446" t="s">
        <v>296</v>
      </c>
      <c r="O446" t="s">
        <v>297</v>
      </c>
    </row>
    <row r="447" spans="1:15" x14ac:dyDescent="0.3">
      <c r="A447" t="s">
        <v>864</v>
      </c>
      <c r="B447" t="s">
        <v>958</v>
      </c>
      <c r="C447">
        <v>2022</v>
      </c>
      <c r="D447" t="s">
        <v>394</v>
      </c>
      <c r="E447" t="s">
        <v>404</v>
      </c>
      <c r="F447">
        <v>538483</v>
      </c>
      <c r="G447" t="s">
        <v>396</v>
      </c>
      <c r="H447">
        <v>8</v>
      </c>
      <c r="I447" t="s">
        <v>1007</v>
      </c>
      <c r="J447" t="s">
        <v>294</v>
      </c>
      <c r="M447" t="s">
        <v>295</v>
      </c>
      <c r="N447" t="s">
        <v>296</v>
      </c>
      <c r="O447" t="s">
        <v>297</v>
      </c>
    </row>
    <row r="448" spans="1:15" x14ac:dyDescent="0.3">
      <c r="A448" t="s">
        <v>864</v>
      </c>
      <c r="B448" t="s">
        <v>958</v>
      </c>
      <c r="C448">
        <v>2022</v>
      </c>
      <c r="D448" t="s">
        <v>394</v>
      </c>
      <c r="E448" t="s">
        <v>402</v>
      </c>
      <c r="F448">
        <v>1379064</v>
      </c>
      <c r="G448" t="s">
        <v>396</v>
      </c>
      <c r="H448">
        <v>8</v>
      </c>
      <c r="I448" t="s">
        <v>1008</v>
      </c>
      <c r="J448" t="s">
        <v>294</v>
      </c>
      <c r="M448" t="s">
        <v>295</v>
      </c>
      <c r="N448" t="s">
        <v>296</v>
      </c>
      <c r="O448" t="s">
        <v>297</v>
      </c>
    </row>
    <row r="449" spans="1:15" x14ac:dyDescent="0.3">
      <c r="A449" t="s">
        <v>864</v>
      </c>
      <c r="B449" t="s">
        <v>958</v>
      </c>
      <c r="C449">
        <v>2022</v>
      </c>
      <c r="D449" t="s">
        <v>394</v>
      </c>
      <c r="E449" t="s">
        <v>422</v>
      </c>
      <c r="F449">
        <v>19.399999999999999</v>
      </c>
      <c r="G449" t="s">
        <v>423</v>
      </c>
      <c r="H449">
        <v>8</v>
      </c>
      <c r="I449" t="s">
        <v>1009</v>
      </c>
      <c r="J449" t="s">
        <v>294</v>
      </c>
      <c r="M449" t="s">
        <v>295</v>
      </c>
      <c r="N449" t="s">
        <v>296</v>
      </c>
      <c r="O449" t="s">
        <v>297</v>
      </c>
    </row>
    <row r="450" spans="1:15" x14ac:dyDescent="0.3">
      <c r="A450" t="s">
        <v>864</v>
      </c>
      <c r="B450" t="s">
        <v>958</v>
      </c>
      <c r="C450">
        <v>2022</v>
      </c>
      <c r="D450" t="s">
        <v>394</v>
      </c>
      <c r="E450" t="s">
        <v>406</v>
      </c>
      <c r="F450">
        <v>275769</v>
      </c>
      <c r="G450" t="s">
        <v>396</v>
      </c>
      <c r="H450">
        <v>8</v>
      </c>
      <c r="I450" t="s">
        <v>1010</v>
      </c>
      <c r="J450" t="s">
        <v>294</v>
      </c>
      <c r="M450" t="s">
        <v>295</v>
      </c>
      <c r="N450" t="s">
        <v>296</v>
      </c>
      <c r="O450" t="s">
        <v>297</v>
      </c>
    </row>
    <row r="451" spans="1:15" x14ac:dyDescent="0.3">
      <c r="A451" t="s">
        <v>864</v>
      </c>
      <c r="B451" t="s">
        <v>958</v>
      </c>
      <c r="C451">
        <v>2022</v>
      </c>
      <c r="D451" t="s">
        <v>394</v>
      </c>
      <c r="E451" t="s">
        <v>684</v>
      </c>
      <c r="F451">
        <v>275320</v>
      </c>
      <c r="G451" t="s">
        <v>396</v>
      </c>
      <c r="H451">
        <v>8</v>
      </c>
      <c r="I451" t="s">
        <v>1011</v>
      </c>
      <c r="J451" t="s">
        <v>294</v>
      </c>
      <c r="M451" t="s">
        <v>295</v>
      </c>
      <c r="N451" t="s">
        <v>296</v>
      </c>
      <c r="O451" t="s">
        <v>297</v>
      </c>
    </row>
    <row r="452" spans="1:15" x14ac:dyDescent="0.3">
      <c r="A452" t="s">
        <v>864</v>
      </c>
      <c r="B452" t="s">
        <v>958</v>
      </c>
      <c r="C452">
        <v>2022</v>
      </c>
      <c r="D452" t="s">
        <v>394</v>
      </c>
      <c r="E452" t="s">
        <v>855</v>
      </c>
      <c r="F452">
        <v>55011</v>
      </c>
      <c r="G452" t="s">
        <v>396</v>
      </c>
      <c r="H452">
        <v>8</v>
      </c>
      <c r="I452" t="s">
        <v>1012</v>
      </c>
      <c r="J452" t="s">
        <v>294</v>
      </c>
      <c r="M452" t="s">
        <v>295</v>
      </c>
      <c r="N452" t="s">
        <v>296</v>
      </c>
      <c r="O452" t="s">
        <v>297</v>
      </c>
    </row>
    <row r="453" spans="1:15" x14ac:dyDescent="0.3">
      <c r="A453" t="s">
        <v>864</v>
      </c>
      <c r="B453" t="s">
        <v>958</v>
      </c>
      <c r="C453">
        <v>2022</v>
      </c>
      <c r="D453" t="s">
        <v>394</v>
      </c>
      <c r="E453" t="s">
        <v>418</v>
      </c>
      <c r="F453">
        <v>1052</v>
      </c>
      <c r="G453" t="s">
        <v>396</v>
      </c>
      <c r="H453">
        <v>8</v>
      </c>
      <c r="I453" t="s">
        <v>1013</v>
      </c>
      <c r="J453" t="s">
        <v>294</v>
      </c>
      <c r="M453" t="s">
        <v>295</v>
      </c>
      <c r="N453" t="s">
        <v>296</v>
      </c>
      <c r="O453" t="s">
        <v>297</v>
      </c>
    </row>
    <row r="454" spans="1:15" x14ac:dyDescent="0.3">
      <c r="A454" t="s">
        <v>864</v>
      </c>
      <c r="B454" t="s">
        <v>958</v>
      </c>
      <c r="C454">
        <v>2022</v>
      </c>
      <c r="D454" t="s">
        <v>394</v>
      </c>
      <c r="E454" t="s">
        <v>1014</v>
      </c>
      <c r="F454">
        <v>0.20100000000000001</v>
      </c>
      <c r="G454" t="s">
        <v>334</v>
      </c>
      <c r="H454">
        <v>8</v>
      </c>
      <c r="I454" t="s">
        <v>1015</v>
      </c>
      <c r="J454" t="s">
        <v>294</v>
      </c>
      <c r="M454" t="s">
        <v>295</v>
      </c>
      <c r="N454" t="s">
        <v>296</v>
      </c>
      <c r="O454" t="s">
        <v>297</v>
      </c>
    </row>
    <row r="455" spans="1:15" x14ac:dyDescent="0.3">
      <c r="A455" t="s">
        <v>864</v>
      </c>
      <c r="B455" t="s">
        <v>958</v>
      </c>
      <c r="C455">
        <v>2022</v>
      </c>
      <c r="D455" t="s">
        <v>394</v>
      </c>
      <c r="E455" t="s">
        <v>654</v>
      </c>
      <c r="F455">
        <v>4.3999999999999997E-2</v>
      </c>
      <c r="G455" t="s">
        <v>334</v>
      </c>
      <c r="H455">
        <v>8</v>
      </c>
      <c r="I455" t="s">
        <v>1016</v>
      </c>
      <c r="J455" t="s">
        <v>294</v>
      </c>
      <c r="M455" t="s">
        <v>295</v>
      </c>
      <c r="N455" t="s">
        <v>296</v>
      </c>
      <c r="O455" t="s">
        <v>297</v>
      </c>
    </row>
    <row r="456" spans="1:15" x14ac:dyDescent="0.3">
      <c r="A456" t="s">
        <v>864</v>
      </c>
      <c r="B456" t="s">
        <v>958</v>
      </c>
      <c r="C456">
        <v>2022</v>
      </c>
      <c r="D456" t="s">
        <v>394</v>
      </c>
      <c r="E456" t="s">
        <v>946</v>
      </c>
      <c r="F456">
        <v>842</v>
      </c>
      <c r="G456" t="s">
        <v>947</v>
      </c>
      <c r="H456">
        <v>8</v>
      </c>
      <c r="I456" t="s">
        <v>1017</v>
      </c>
      <c r="J456" t="s">
        <v>294</v>
      </c>
      <c r="M456" t="s">
        <v>295</v>
      </c>
      <c r="N456" t="s">
        <v>296</v>
      </c>
      <c r="O456" t="s">
        <v>297</v>
      </c>
    </row>
    <row r="457" spans="1:15" x14ac:dyDescent="0.3">
      <c r="A457" t="s">
        <v>864</v>
      </c>
      <c r="B457" t="s">
        <v>958</v>
      </c>
      <c r="C457">
        <v>2022</v>
      </c>
      <c r="D457" t="s">
        <v>394</v>
      </c>
      <c r="E457" t="s">
        <v>949</v>
      </c>
      <c r="F457">
        <v>559</v>
      </c>
      <c r="G457" t="s">
        <v>947</v>
      </c>
      <c r="H457">
        <v>8</v>
      </c>
      <c r="I457" t="s">
        <v>1018</v>
      </c>
      <c r="J457" t="s">
        <v>294</v>
      </c>
      <c r="M457" t="s">
        <v>295</v>
      </c>
      <c r="N457" t="s">
        <v>296</v>
      </c>
      <c r="O457" t="s">
        <v>297</v>
      </c>
    </row>
    <row r="458" spans="1:15" x14ac:dyDescent="0.3">
      <c r="A458" t="s">
        <v>864</v>
      </c>
      <c r="B458" t="s">
        <v>958</v>
      </c>
      <c r="C458">
        <v>2022</v>
      </c>
      <c r="D458" t="s">
        <v>394</v>
      </c>
      <c r="E458" t="s">
        <v>1019</v>
      </c>
      <c r="F458">
        <v>1081</v>
      </c>
      <c r="G458" t="s">
        <v>947</v>
      </c>
      <c r="H458">
        <v>8</v>
      </c>
      <c r="I458" t="s">
        <v>1020</v>
      </c>
      <c r="J458" t="s">
        <v>294</v>
      </c>
      <c r="M458" t="s">
        <v>295</v>
      </c>
      <c r="N458" t="s">
        <v>296</v>
      </c>
      <c r="O458" t="s">
        <v>297</v>
      </c>
    </row>
    <row r="459" spans="1:15" x14ac:dyDescent="0.3">
      <c r="A459" t="s">
        <v>864</v>
      </c>
      <c r="B459" t="s">
        <v>958</v>
      </c>
      <c r="C459">
        <v>2022</v>
      </c>
      <c r="D459" t="s">
        <v>394</v>
      </c>
      <c r="E459" t="s">
        <v>951</v>
      </c>
      <c r="F459">
        <v>402</v>
      </c>
      <c r="G459" t="s">
        <v>947</v>
      </c>
      <c r="H459">
        <v>8</v>
      </c>
      <c r="I459" t="s">
        <v>1021</v>
      </c>
      <c r="J459" t="s">
        <v>294</v>
      </c>
      <c r="M459" t="s">
        <v>295</v>
      </c>
      <c r="N459" t="s">
        <v>296</v>
      </c>
      <c r="O459" t="s">
        <v>297</v>
      </c>
    </row>
    <row r="460" spans="1:15" x14ac:dyDescent="0.3">
      <c r="A460" t="s">
        <v>864</v>
      </c>
      <c r="B460" t="s">
        <v>1022</v>
      </c>
      <c r="C460">
        <v>2024</v>
      </c>
      <c r="D460" t="s">
        <v>272</v>
      </c>
      <c r="E460" t="s">
        <v>291</v>
      </c>
      <c r="F460" t="s">
        <v>864</v>
      </c>
      <c r="G460" t="s">
        <v>292</v>
      </c>
      <c r="H460">
        <v>1</v>
      </c>
      <c r="I460" t="s">
        <v>1023</v>
      </c>
      <c r="J460" t="s">
        <v>294</v>
      </c>
      <c r="M460" t="s">
        <v>295</v>
      </c>
      <c r="N460" t="s">
        <v>296</v>
      </c>
      <c r="O460" t="s">
        <v>297</v>
      </c>
    </row>
    <row r="461" spans="1:15" x14ac:dyDescent="0.3">
      <c r="A461" t="s">
        <v>864</v>
      </c>
      <c r="B461" t="s">
        <v>1022</v>
      </c>
      <c r="C461">
        <v>2024</v>
      </c>
      <c r="D461" t="s">
        <v>272</v>
      </c>
      <c r="E461" t="s">
        <v>1</v>
      </c>
      <c r="F461" t="s">
        <v>35</v>
      </c>
      <c r="G461" t="s">
        <v>292</v>
      </c>
      <c r="H461">
        <v>1</v>
      </c>
      <c r="I461" t="s">
        <v>1024</v>
      </c>
      <c r="J461" t="s">
        <v>294</v>
      </c>
      <c r="M461" t="s">
        <v>295</v>
      </c>
      <c r="N461" t="s">
        <v>296</v>
      </c>
      <c r="O461" t="s">
        <v>297</v>
      </c>
    </row>
    <row r="462" spans="1:15" x14ac:dyDescent="0.3">
      <c r="A462" t="s">
        <v>864</v>
      </c>
      <c r="B462" t="s">
        <v>1022</v>
      </c>
      <c r="C462">
        <v>2024</v>
      </c>
      <c r="D462" t="s">
        <v>272</v>
      </c>
      <c r="E462" t="s">
        <v>274</v>
      </c>
      <c r="F462">
        <v>2024</v>
      </c>
      <c r="G462" t="s">
        <v>299</v>
      </c>
      <c r="H462">
        <v>1</v>
      </c>
      <c r="I462" t="s">
        <v>1025</v>
      </c>
      <c r="J462" t="s">
        <v>294</v>
      </c>
      <c r="M462" t="s">
        <v>295</v>
      </c>
      <c r="N462" t="s">
        <v>296</v>
      </c>
      <c r="O462" t="s">
        <v>297</v>
      </c>
    </row>
    <row r="463" spans="1:15" x14ac:dyDescent="0.3">
      <c r="A463" t="s">
        <v>864</v>
      </c>
      <c r="B463" t="s">
        <v>1022</v>
      </c>
      <c r="C463">
        <v>2024</v>
      </c>
      <c r="D463" t="s">
        <v>300</v>
      </c>
      <c r="E463" t="s">
        <v>962</v>
      </c>
      <c r="F463">
        <v>236.8</v>
      </c>
      <c r="G463" t="s">
        <v>875</v>
      </c>
      <c r="H463">
        <v>8</v>
      </c>
      <c r="I463" t="s">
        <v>1026</v>
      </c>
      <c r="J463" t="s">
        <v>294</v>
      </c>
      <c r="M463" t="s">
        <v>295</v>
      </c>
      <c r="N463" t="s">
        <v>296</v>
      </c>
      <c r="O463" t="s">
        <v>297</v>
      </c>
    </row>
    <row r="464" spans="1:15" x14ac:dyDescent="0.3">
      <c r="A464" t="s">
        <v>864</v>
      </c>
      <c r="B464" t="s">
        <v>1022</v>
      </c>
      <c r="C464">
        <v>2024</v>
      </c>
      <c r="D464" t="s">
        <v>300</v>
      </c>
      <c r="E464" t="s">
        <v>877</v>
      </c>
      <c r="F464">
        <v>3827</v>
      </c>
      <c r="G464" t="s">
        <v>302</v>
      </c>
      <c r="H464">
        <v>8</v>
      </c>
      <c r="I464" t="s">
        <v>1027</v>
      </c>
      <c r="J464" t="s">
        <v>294</v>
      </c>
      <c r="M464" t="s">
        <v>295</v>
      </c>
      <c r="N464" t="s">
        <v>296</v>
      </c>
      <c r="O464" t="s">
        <v>297</v>
      </c>
    </row>
    <row r="465" spans="1:15" x14ac:dyDescent="0.3">
      <c r="A465" t="s">
        <v>864</v>
      </c>
      <c r="B465" t="s">
        <v>1022</v>
      </c>
      <c r="C465">
        <v>2024</v>
      </c>
      <c r="D465" t="s">
        <v>300</v>
      </c>
      <c r="E465" t="s">
        <v>965</v>
      </c>
      <c r="F465">
        <v>230.9</v>
      </c>
      <c r="G465" t="s">
        <v>875</v>
      </c>
      <c r="H465">
        <v>8</v>
      </c>
      <c r="I465" t="s">
        <v>1028</v>
      </c>
      <c r="J465" t="s">
        <v>294</v>
      </c>
      <c r="M465" t="s">
        <v>295</v>
      </c>
      <c r="N465" t="s">
        <v>296</v>
      </c>
      <c r="O465" t="s">
        <v>297</v>
      </c>
    </row>
    <row r="466" spans="1:15" x14ac:dyDescent="0.3">
      <c r="A466" t="s">
        <v>864</v>
      </c>
      <c r="B466" t="s">
        <v>1022</v>
      </c>
      <c r="C466">
        <v>2024</v>
      </c>
      <c r="D466" t="s">
        <v>300</v>
      </c>
      <c r="E466" t="s">
        <v>304</v>
      </c>
      <c r="F466">
        <v>47.3</v>
      </c>
      <c r="G466" t="s">
        <v>875</v>
      </c>
      <c r="H466">
        <v>8</v>
      </c>
      <c r="I466" t="s">
        <v>1029</v>
      </c>
      <c r="J466" t="s">
        <v>294</v>
      </c>
      <c r="M466" t="s">
        <v>295</v>
      </c>
      <c r="N466" t="s">
        <v>296</v>
      </c>
      <c r="O466" t="s">
        <v>297</v>
      </c>
    </row>
    <row r="467" spans="1:15" x14ac:dyDescent="0.3">
      <c r="A467" t="s">
        <v>864</v>
      </c>
      <c r="B467" t="s">
        <v>1022</v>
      </c>
      <c r="C467">
        <v>2024</v>
      </c>
      <c r="D467" t="s">
        <v>300</v>
      </c>
      <c r="E467" t="s">
        <v>880</v>
      </c>
      <c r="F467">
        <v>59.2</v>
      </c>
      <c r="G467" t="s">
        <v>875</v>
      </c>
      <c r="H467">
        <v>8</v>
      </c>
      <c r="I467" t="s">
        <v>1030</v>
      </c>
      <c r="J467" t="s">
        <v>294</v>
      </c>
      <c r="M467" t="s">
        <v>295</v>
      </c>
      <c r="N467" t="s">
        <v>296</v>
      </c>
      <c r="O467" t="s">
        <v>297</v>
      </c>
    </row>
    <row r="468" spans="1:15" x14ac:dyDescent="0.3">
      <c r="A468" t="s">
        <v>864</v>
      </c>
      <c r="B468" t="s">
        <v>1022</v>
      </c>
      <c r="C468">
        <v>2024</v>
      </c>
      <c r="D468" t="s">
        <v>300</v>
      </c>
      <c r="E468" t="s">
        <v>882</v>
      </c>
      <c r="F468">
        <v>9.1999999999999993</v>
      </c>
      <c r="G468" t="s">
        <v>875</v>
      </c>
      <c r="H468">
        <v>8</v>
      </c>
      <c r="I468" t="s">
        <v>1031</v>
      </c>
      <c r="J468" t="s">
        <v>294</v>
      </c>
      <c r="M468" t="s">
        <v>295</v>
      </c>
      <c r="N468" t="s">
        <v>296</v>
      </c>
      <c r="O468" t="s">
        <v>297</v>
      </c>
    </row>
    <row r="469" spans="1:15" x14ac:dyDescent="0.3">
      <c r="A469" t="s">
        <v>864</v>
      </c>
      <c r="B469" t="s">
        <v>1022</v>
      </c>
      <c r="C469">
        <v>2024</v>
      </c>
      <c r="D469" t="s">
        <v>300</v>
      </c>
      <c r="E469" t="s">
        <v>884</v>
      </c>
      <c r="F469">
        <v>9.6</v>
      </c>
      <c r="G469" t="s">
        <v>875</v>
      </c>
      <c r="H469">
        <v>8</v>
      </c>
      <c r="I469" t="s">
        <v>1032</v>
      </c>
      <c r="J469" t="s">
        <v>294</v>
      </c>
      <c r="M469" t="s">
        <v>295</v>
      </c>
      <c r="N469" t="s">
        <v>296</v>
      </c>
      <c r="O469" t="s">
        <v>297</v>
      </c>
    </row>
    <row r="470" spans="1:15" x14ac:dyDescent="0.3">
      <c r="A470" t="s">
        <v>864</v>
      </c>
      <c r="B470" t="s">
        <v>1022</v>
      </c>
      <c r="C470">
        <v>2024</v>
      </c>
      <c r="D470" t="s">
        <v>300</v>
      </c>
      <c r="E470" t="s">
        <v>310</v>
      </c>
      <c r="F470">
        <v>0</v>
      </c>
      <c r="G470" t="s">
        <v>875</v>
      </c>
      <c r="H470">
        <v>8</v>
      </c>
      <c r="I470" t="s">
        <v>1033</v>
      </c>
      <c r="J470" t="s">
        <v>456</v>
      </c>
      <c r="M470" t="s">
        <v>295</v>
      </c>
      <c r="N470" t="s">
        <v>296</v>
      </c>
      <c r="O470" t="s">
        <v>297</v>
      </c>
    </row>
    <row r="471" spans="1:15" x14ac:dyDescent="0.3">
      <c r="A471" t="s">
        <v>864</v>
      </c>
      <c r="B471" t="s">
        <v>1022</v>
      </c>
      <c r="C471">
        <v>2024</v>
      </c>
      <c r="D471" t="s">
        <v>300</v>
      </c>
      <c r="E471" t="s">
        <v>345</v>
      </c>
      <c r="F471">
        <v>2.8999999999999998E-3</v>
      </c>
      <c r="G471" t="s">
        <v>908</v>
      </c>
      <c r="H471">
        <v>8</v>
      </c>
      <c r="I471" t="s">
        <v>1034</v>
      </c>
      <c r="J471" t="s">
        <v>294</v>
      </c>
      <c r="M471" t="s">
        <v>295</v>
      </c>
      <c r="N471" t="s">
        <v>296</v>
      </c>
      <c r="O471" t="s">
        <v>297</v>
      </c>
    </row>
    <row r="472" spans="1:15" x14ac:dyDescent="0.3">
      <c r="A472" t="s">
        <v>864</v>
      </c>
      <c r="B472" t="s">
        <v>1022</v>
      </c>
      <c r="C472">
        <v>2024</v>
      </c>
      <c r="D472" t="s">
        <v>300</v>
      </c>
      <c r="E472" t="s">
        <v>973</v>
      </c>
      <c r="F472">
        <v>9.1</v>
      </c>
      <c r="G472" t="s">
        <v>875</v>
      </c>
      <c r="H472">
        <v>8</v>
      </c>
      <c r="I472" t="s">
        <v>1035</v>
      </c>
      <c r="J472" t="s">
        <v>294</v>
      </c>
      <c r="M472" t="s">
        <v>295</v>
      </c>
      <c r="N472" t="s">
        <v>296</v>
      </c>
      <c r="O472" t="s">
        <v>297</v>
      </c>
    </row>
    <row r="473" spans="1:15" x14ac:dyDescent="0.3">
      <c r="A473" t="s">
        <v>864</v>
      </c>
      <c r="B473" t="s">
        <v>1022</v>
      </c>
      <c r="C473">
        <v>2024</v>
      </c>
      <c r="D473" t="s">
        <v>300</v>
      </c>
      <c r="E473" t="s">
        <v>889</v>
      </c>
      <c r="F473">
        <v>62.2</v>
      </c>
      <c r="G473" t="s">
        <v>875</v>
      </c>
      <c r="H473">
        <v>8</v>
      </c>
      <c r="I473" t="s">
        <v>1036</v>
      </c>
      <c r="J473" t="s">
        <v>294</v>
      </c>
      <c r="M473" t="s">
        <v>295</v>
      </c>
      <c r="N473" t="s">
        <v>296</v>
      </c>
      <c r="O473" t="s">
        <v>297</v>
      </c>
    </row>
    <row r="474" spans="1:15" x14ac:dyDescent="0.3">
      <c r="A474" t="s">
        <v>864</v>
      </c>
      <c r="B474" t="s">
        <v>1022</v>
      </c>
      <c r="C474">
        <v>2024</v>
      </c>
      <c r="D474" t="s">
        <v>300</v>
      </c>
      <c r="E474" t="s">
        <v>316</v>
      </c>
      <c r="F474">
        <v>573.20000000000005</v>
      </c>
      <c r="G474" t="s">
        <v>875</v>
      </c>
      <c r="H474">
        <v>8</v>
      </c>
      <c r="I474" t="s">
        <v>1037</v>
      </c>
      <c r="J474" t="s">
        <v>294</v>
      </c>
      <c r="M474" t="s">
        <v>295</v>
      </c>
      <c r="N474" t="s">
        <v>296</v>
      </c>
      <c r="O474" t="s">
        <v>297</v>
      </c>
    </row>
    <row r="475" spans="1:15" x14ac:dyDescent="0.3">
      <c r="A475" t="s">
        <v>864</v>
      </c>
      <c r="B475" t="s">
        <v>1022</v>
      </c>
      <c r="C475">
        <v>2024</v>
      </c>
      <c r="D475" t="s">
        <v>300</v>
      </c>
      <c r="E475" t="s">
        <v>977</v>
      </c>
      <c r="F475">
        <v>145.5</v>
      </c>
      <c r="G475" t="s">
        <v>875</v>
      </c>
      <c r="H475">
        <v>8</v>
      </c>
      <c r="I475" t="s">
        <v>1038</v>
      </c>
      <c r="J475" t="s">
        <v>294</v>
      </c>
      <c r="M475" t="s">
        <v>295</v>
      </c>
      <c r="N475" t="s">
        <v>296</v>
      </c>
      <c r="O475" t="s">
        <v>297</v>
      </c>
    </row>
    <row r="476" spans="1:15" x14ac:dyDescent="0.3">
      <c r="A476" t="s">
        <v>864</v>
      </c>
      <c r="B476" t="s">
        <v>1022</v>
      </c>
      <c r="C476">
        <v>2024</v>
      </c>
      <c r="D476" t="s">
        <v>300</v>
      </c>
      <c r="E476" t="s">
        <v>894</v>
      </c>
      <c r="F476">
        <v>49.4</v>
      </c>
      <c r="G476" t="s">
        <v>875</v>
      </c>
      <c r="H476">
        <v>8</v>
      </c>
      <c r="I476" t="s">
        <v>1039</v>
      </c>
      <c r="J476" t="s">
        <v>294</v>
      </c>
      <c r="M476" t="s">
        <v>295</v>
      </c>
      <c r="N476" t="s">
        <v>296</v>
      </c>
      <c r="O476" t="s">
        <v>297</v>
      </c>
    </row>
    <row r="477" spans="1:15" x14ac:dyDescent="0.3">
      <c r="A477" t="s">
        <v>864</v>
      </c>
      <c r="B477" t="s">
        <v>1022</v>
      </c>
      <c r="C477">
        <v>2024</v>
      </c>
      <c r="D477" t="s">
        <v>300</v>
      </c>
      <c r="E477" t="s">
        <v>322</v>
      </c>
      <c r="F477">
        <v>181.3</v>
      </c>
      <c r="G477" t="s">
        <v>875</v>
      </c>
      <c r="H477">
        <v>8</v>
      </c>
      <c r="I477" t="s">
        <v>1040</v>
      </c>
      <c r="J477" t="s">
        <v>294</v>
      </c>
      <c r="M477" t="s">
        <v>295</v>
      </c>
      <c r="N477" t="s">
        <v>296</v>
      </c>
      <c r="O477" t="s">
        <v>297</v>
      </c>
    </row>
    <row r="478" spans="1:15" x14ac:dyDescent="0.3">
      <c r="A478" t="s">
        <v>864</v>
      </c>
      <c r="B478" t="s">
        <v>1022</v>
      </c>
      <c r="C478">
        <v>2024</v>
      </c>
      <c r="D478" t="s">
        <v>300</v>
      </c>
      <c r="E478" t="s">
        <v>324</v>
      </c>
      <c r="F478">
        <v>391.9</v>
      </c>
      <c r="G478" t="s">
        <v>875</v>
      </c>
      <c r="H478">
        <v>8</v>
      </c>
      <c r="I478" t="s">
        <v>1041</v>
      </c>
      <c r="J478" t="s">
        <v>294</v>
      </c>
      <c r="M478" t="s">
        <v>295</v>
      </c>
      <c r="N478" t="s">
        <v>296</v>
      </c>
      <c r="O478" t="s">
        <v>297</v>
      </c>
    </row>
    <row r="479" spans="1:15" x14ac:dyDescent="0.3">
      <c r="A479" t="s">
        <v>864</v>
      </c>
      <c r="B479" t="s">
        <v>1022</v>
      </c>
      <c r="C479">
        <v>2024</v>
      </c>
      <c r="D479" t="s">
        <v>300</v>
      </c>
      <c r="E479" t="s">
        <v>333</v>
      </c>
      <c r="F479">
        <v>1.6E-2</v>
      </c>
      <c r="G479" t="s">
        <v>334</v>
      </c>
      <c r="H479">
        <v>8</v>
      </c>
      <c r="I479" t="s">
        <v>1042</v>
      </c>
      <c r="J479" t="s">
        <v>294</v>
      </c>
      <c r="M479" t="s">
        <v>295</v>
      </c>
      <c r="N479" t="s">
        <v>296</v>
      </c>
      <c r="O479" t="s">
        <v>297</v>
      </c>
    </row>
    <row r="480" spans="1:15" x14ac:dyDescent="0.3">
      <c r="A480" t="s">
        <v>864</v>
      </c>
      <c r="B480" t="s">
        <v>1022</v>
      </c>
      <c r="C480">
        <v>2024</v>
      </c>
      <c r="D480" t="s">
        <v>300</v>
      </c>
      <c r="E480" t="s">
        <v>336</v>
      </c>
      <c r="F480">
        <v>2.3E-2</v>
      </c>
      <c r="G480" t="s">
        <v>334</v>
      </c>
      <c r="H480">
        <v>8</v>
      </c>
      <c r="I480" t="s">
        <v>1043</v>
      </c>
      <c r="J480" t="s">
        <v>294</v>
      </c>
      <c r="M480" t="s">
        <v>295</v>
      </c>
      <c r="N480" t="s">
        <v>296</v>
      </c>
      <c r="O480" t="s">
        <v>297</v>
      </c>
    </row>
    <row r="481" spans="1:15" x14ac:dyDescent="0.3">
      <c r="A481" t="s">
        <v>864</v>
      </c>
      <c r="B481" t="s">
        <v>1022</v>
      </c>
      <c r="C481">
        <v>2024</v>
      </c>
      <c r="D481" t="s">
        <v>300</v>
      </c>
      <c r="E481" t="s">
        <v>340</v>
      </c>
      <c r="F481">
        <v>0.2</v>
      </c>
      <c r="G481" t="s">
        <v>334</v>
      </c>
      <c r="H481">
        <v>8</v>
      </c>
      <c r="I481" t="s">
        <v>984</v>
      </c>
      <c r="J481" t="s">
        <v>294</v>
      </c>
      <c r="M481" t="s">
        <v>295</v>
      </c>
      <c r="N481" t="s">
        <v>296</v>
      </c>
      <c r="O481" t="s">
        <v>297</v>
      </c>
    </row>
    <row r="482" spans="1:15" x14ac:dyDescent="0.3">
      <c r="A482" t="s">
        <v>864</v>
      </c>
      <c r="B482" t="s">
        <v>1022</v>
      </c>
      <c r="C482">
        <v>2024</v>
      </c>
      <c r="D482" t="s">
        <v>300</v>
      </c>
      <c r="E482" t="s">
        <v>901</v>
      </c>
      <c r="F482">
        <v>0.16600000000000001</v>
      </c>
      <c r="G482" t="s">
        <v>334</v>
      </c>
      <c r="H482">
        <v>8</v>
      </c>
      <c r="I482" t="s">
        <v>1044</v>
      </c>
      <c r="J482" t="s">
        <v>294</v>
      </c>
      <c r="M482" t="s">
        <v>295</v>
      </c>
      <c r="N482" t="s">
        <v>296</v>
      </c>
      <c r="O482" t="s">
        <v>297</v>
      </c>
    </row>
    <row r="483" spans="1:15" x14ac:dyDescent="0.3">
      <c r="A483" t="s">
        <v>864</v>
      </c>
      <c r="B483" t="s">
        <v>1022</v>
      </c>
      <c r="C483">
        <v>2024</v>
      </c>
      <c r="D483" t="s">
        <v>300</v>
      </c>
      <c r="E483" t="s">
        <v>903</v>
      </c>
      <c r="F483">
        <v>3.9E-2</v>
      </c>
      <c r="G483" t="s">
        <v>334</v>
      </c>
      <c r="H483">
        <v>8</v>
      </c>
      <c r="I483" t="s">
        <v>1045</v>
      </c>
      <c r="J483" t="s">
        <v>294</v>
      </c>
      <c r="M483" t="s">
        <v>295</v>
      </c>
      <c r="N483" t="s">
        <v>296</v>
      </c>
      <c r="O483" t="s">
        <v>297</v>
      </c>
    </row>
    <row r="484" spans="1:15" x14ac:dyDescent="0.3">
      <c r="A484" t="s">
        <v>864</v>
      </c>
      <c r="B484" t="s">
        <v>1022</v>
      </c>
      <c r="C484">
        <v>2024</v>
      </c>
      <c r="D484" t="s">
        <v>300</v>
      </c>
      <c r="E484" t="s">
        <v>326</v>
      </c>
      <c r="F484">
        <v>1.3</v>
      </c>
      <c r="G484" t="s">
        <v>327</v>
      </c>
      <c r="H484">
        <v>8</v>
      </c>
      <c r="I484" t="s">
        <v>1046</v>
      </c>
      <c r="J484" t="s">
        <v>294</v>
      </c>
      <c r="M484" t="s">
        <v>295</v>
      </c>
      <c r="N484" t="s">
        <v>296</v>
      </c>
      <c r="O484" t="s">
        <v>297</v>
      </c>
    </row>
    <row r="485" spans="1:15" x14ac:dyDescent="0.3">
      <c r="A485" t="s">
        <v>864</v>
      </c>
      <c r="B485" t="s">
        <v>1022</v>
      </c>
      <c r="C485">
        <v>2024</v>
      </c>
      <c r="D485" t="s">
        <v>300</v>
      </c>
      <c r="E485" t="s">
        <v>906</v>
      </c>
      <c r="F485">
        <v>0.3</v>
      </c>
      <c r="G485" t="s">
        <v>327</v>
      </c>
      <c r="H485">
        <v>8</v>
      </c>
      <c r="I485" t="s">
        <v>907</v>
      </c>
      <c r="J485" t="s">
        <v>294</v>
      </c>
      <c r="M485" t="s">
        <v>295</v>
      </c>
      <c r="N485" t="s">
        <v>296</v>
      </c>
      <c r="O485" t="s">
        <v>297</v>
      </c>
    </row>
    <row r="486" spans="1:15" x14ac:dyDescent="0.3">
      <c r="A486" t="s">
        <v>864</v>
      </c>
      <c r="B486" t="s">
        <v>1022</v>
      </c>
      <c r="C486">
        <v>2024</v>
      </c>
      <c r="D486" t="s">
        <v>300</v>
      </c>
      <c r="E486" t="s">
        <v>342</v>
      </c>
      <c r="F486">
        <v>3354</v>
      </c>
      <c r="G486" t="s">
        <v>343</v>
      </c>
      <c r="H486">
        <v>10</v>
      </c>
      <c r="I486" t="s">
        <v>1047</v>
      </c>
      <c r="J486" t="s">
        <v>294</v>
      </c>
      <c r="M486" t="s">
        <v>295</v>
      </c>
      <c r="N486" t="s">
        <v>296</v>
      </c>
      <c r="O486" t="s">
        <v>297</v>
      </c>
    </row>
    <row r="487" spans="1:15" x14ac:dyDescent="0.3">
      <c r="A487" t="s">
        <v>864</v>
      </c>
      <c r="B487" t="s">
        <v>1022</v>
      </c>
      <c r="C487">
        <v>2024</v>
      </c>
      <c r="D487" t="s">
        <v>300</v>
      </c>
      <c r="E487" t="s">
        <v>1048</v>
      </c>
      <c r="F487">
        <v>715</v>
      </c>
      <c r="G487" t="s">
        <v>912</v>
      </c>
      <c r="H487">
        <v>10</v>
      </c>
      <c r="I487" t="s">
        <v>1049</v>
      </c>
      <c r="J487" t="s">
        <v>294</v>
      </c>
      <c r="M487" t="s">
        <v>295</v>
      </c>
      <c r="N487" t="s">
        <v>296</v>
      </c>
      <c r="O487" t="s">
        <v>297</v>
      </c>
    </row>
    <row r="488" spans="1:15" x14ac:dyDescent="0.3">
      <c r="A488" t="s">
        <v>864</v>
      </c>
      <c r="B488" t="s">
        <v>1022</v>
      </c>
      <c r="C488">
        <v>2024</v>
      </c>
      <c r="D488" t="s">
        <v>300</v>
      </c>
      <c r="E488" t="s">
        <v>1050</v>
      </c>
      <c r="F488">
        <v>2398</v>
      </c>
      <c r="G488" t="s">
        <v>302</v>
      </c>
      <c r="H488">
        <v>10</v>
      </c>
      <c r="I488" t="s">
        <v>1051</v>
      </c>
      <c r="J488" t="s">
        <v>294</v>
      </c>
      <c r="M488" t="s">
        <v>295</v>
      </c>
      <c r="N488" t="s">
        <v>296</v>
      </c>
      <c r="O488" t="s">
        <v>297</v>
      </c>
    </row>
    <row r="489" spans="1:15" x14ac:dyDescent="0.3">
      <c r="A489" t="s">
        <v>864</v>
      </c>
      <c r="B489" t="s">
        <v>1022</v>
      </c>
      <c r="C489">
        <v>2024</v>
      </c>
      <c r="D489" t="s">
        <v>300</v>
      </c>
      <c r="E489" t="s">
        <v>1052</v>
      </c>
      <c r="F489">
        <v>27.8</v>
      </c>
      <c r="G489" t="s">
        <v>916</v>
      </c>
      <c r="H489">
        <v>139</v>
      </c>
      <c r="I489" t="s">
        <v>1053</v>
      </c>
      <c r="J489" t="s">
        <v>294</v>
      </c>
      <c r="M489" t="s">
        <v>295</v>
      </c>
      <c r="N489" t="s">
        <v>296</v>
      </c>
      <c r="O489" t="s">
        <v>297</v>
      </c>
    </row>
    <row r="490" spans="1:15" x14ac:dyDescent="0.3">
      <c r="A490" t="s">
        <v>864</v>
      </c>
      <c r="B490" t="s">
        <v>1022</v>
      </c>
      <c r="C490">
        <v>2024</v>
      </c>
      <c r="D490" t="s">
        <v>300</v>
      </c>
      <c r="E490" t="s">
        <v>601</v>
      </c>
      <c r="F490">
        <v>43.655999999999999</v>
      </c>
      <c r="G490" t="s">
        <v>875</v>
      </c>
      <c r="H490">
        <v>122</v>
      </c>
      <c r="I490" t="s">
        <v>1054</v>
      </c>
      <c r="J490" t="s">
        <v>294</v>
      </c>
      <c r="M490" t="s">
        <v>295</v>
      </c>
      <c r="N490" t="s">
        <v>296</v>
      </c>
      <c r="O490" t="s">
        <v>297</v>
      </c>
    </row>
    <row r="491" spans="1:15" x14ac:dyDescent="0.3">
      <c r="A491" t="s">
        <v>864</v>
      </c>
      <c r="B491" t="s">
        <v>1022</v>
      </c>
      <c r="C491">
        <v>2024</v>
      </c>
      <c r="D491" t="s">
        <v>300</v>
      </c>
      <c r="E491" t="s">
        <v>921</v>
      </c>
      <c r="F491">
        <v>-27.963999999999999</v>
      </c>
      <c r="G491" t="s">
        <v>875</v>
      </c>
      <c r="H491">
        <v>122</v>
      </c>
      <c r="I491" t="s">
        <v>1055</v>
      </c>
      <c r="J491" t="s">
        <v>294</v>
      </c>
      <c r="M491" t="s">
        <v>295</v>
      </c>
      <c r="N491" t="s">
        <v>296</v>
      </c>
      <c r="O491" t="s">
        <v>297</v>
      </c>
    </row>
    <row r="492" spans="1:15" x14ac:dyDescent="0.3">
      <c r="A492" t="s">
        <v>864</v>
      </c>
      <c r="B492" t="s">
        <v>1022</v>
      </c>
      <c r="C492">
        <v>2024</v>
      </c>
      <c r="D492" t="s">
        <v>300</v>
      </c>
      <c r="E492" t="s">
        <v>923</v>
      </c>
      <c r="F492">
        <v>-12.411</v>
      </c>
      <c r="G492" t="s">
        <v>875</v>
      </c>
      <c r="H492">
        <v>122</v>
      </c>
      <c r="I492" t="s">
        <v>1056</v>
      </c>
      <c r="J492" t="s">
        <v>294</v>
      </c>
      <c r="M492" t="s">
        <v>295</v>
      </c>
      <c r="N492" t="s">
        <v>296</v>
      </c>
      <c r="O492" t="s">
        <v>297</v>
      </c>
    </row>
    <row r="493" spans="1:15" x14ac:dyDescent="0.3">
      <c r="A493" t="s">
        <v>864</v>
      </c>
      <c r="B493" t="s">
        <v>1022</v>
      </c>
      <c r="C493">
        <v>2024</v>
      </c>
      <c r="D493" t="s">
        <v>358</v>
      </c>
      <c r="E493" t="s">
        <v>504</v>
      </c>
      <c r="F493">
        <v>53357</v>
      </c>
      <c r="G493" t="s">
        <v>360</v>
      </c>
      <c r="H493">
        <v>51</v>
      </c>
      <c r="I493" t="s">
        <v>1057</v>
      </c>
      <c r="J493" t="s">
        <v>294</v>
      </c>
      <c r="M493" t="s">
        <v>295</v>
      </c>
      <c r="N493" t="s">
        <v>296</v>
      </c>
      <c r="O493" t="s">
        <v>297</v>
      </c>
    </row>
    <row r="494" spans="1:15" x14ac:dyDescent="0.3">
      <c r="A494" t="s">
        <v>864</v>
      </c>
      <c r="B494" t="s">
        <v>1022</v>
      </c>
      <c r="C494">
        <v>2024</v>
      </c>
      <c r="D494" t="s">
        <v>358</v>
      </c>
      <c r="E494" t="s">
        <v>1058</v>
      </c>
      <c r="F494">
        <v>48352</v>
      </c>
      <c r="G494" t="s">
        <v>360</v>
      </c>
      <c r="H494">
        <v>51</v>
      </c>
      <c r="I494" t="s">
        <v>1059</v>
      </c>
      <c r="J494" t="s">
        <v>294</v>
      </c>
      <c r="M494" t="s">
        <v>295</v>
      </c>
      <c r="N494" t="s">
        <v>296</v>
      </c>
      <c r="O494" t="s">
        <v>297</v>
      </c>
    </row>
    <row r="495" spans="1:15" x14ac:dyDescent="0.3">
      <c r="A495" t="s">
        <v>864</v>
      </c>
      <c r="B495" t="s">
        <v>1022</v>
      </c>
      <c r="C495">
        <v>2024</v>
      </c>
      <c r="D495" t="s">
        <v>358</v>
      </c>
      <c r="E495" t="s">
        <v>1060</v>
      </c>
      <c r="F495">
        <v>42176</v>
      </c>
      <c r="G495" t="s">
        <v>360</v>
      </c>
      <c r="H495">
        <v>108</v>
      </c>
      <c r="I495" t="s">
        <v>1061</v>
      </c>
      <c r="J495" t="s">
        <v>294</v>
      </c>
      <c r="M495" t="s">
        <v>295</v>
      </c>
      <c r="N495" t="s">
        <v>296</v>
      </c>
      <c r="O495" t="s">
        <v>297</v>
      </c>
    </row>
    <row r="496" spans="1:15" x14ac:dyDescent="0.3">
      <c r="A496" t="s">
        <v>864</v>
      </c>
      <c r="B496" t="s">
        <v>1022</v>
      </c>
      <c r="C496">
        <v>2024</v>
      </c>
      <c r="D496" t="s">
        <v>358</v>
      </c>
      <c r="E496" t="s">
        <v>1062</v>
      </c>
      <c r="F496">
        <v>1718</v>
      </c>
      <c r="G496" t="s">
        <v>360</v>
      </c>
      <c r="H496">
        <v>108</v>
      </c>
      <c r="I496" t="s">
        <v>1063</v>
      </c>
      <c r="J496" t="s">
        <v>294</v>
      </c>
      <c r="M496" t="s">
        <v>295</v>
      </c>
      <c r="N496" t="s">
        <v>296</v>
      </c>
      <c r="O496" t="s">
        <v>297</v>
      </c>
    </row>
    <row r="497" spans="1:15" x14ac:dyDescent="0.3">
      <c r="A497" t="s">
        <v>864</v>
      </c>
      <c r="B497" t="s">
        <v>1022</v>
      </c>
      <c r="C497">
        <v>2024</v>
      </c>
      <c r="D497" t="s">
        <v>358</v>
      </c>
      <c r="E497" t="s">
        <v>1064</v>
      </c>
      <c r="F497">
        <v>12635</v>
      </c>
      <c r="G497" t="s">
        <v>360</v>
      </c>
      <c r="H497">
        <v>108</v>
      </c>
      <c r="I497" t="s">
        <v>1065</v>
      </c>
      <c r="J497" t="s">
        <v>294</v>
      </c>
      <c r="M497" t="s">
        <v>295</v>
      </c>
      <c r="N497" t="s">
        <v>296</v>
      </c>
      <c r="O497" t="s">
        <v>297</v>
      </c>
    </row>
    <row r="498" spans="1:15" x14ac:dyDescent="0.3">
      <c r="A498" t="s">
        <v>864</v>
      </c>
      <c r="B498" t="s">
        <v>1022</v>
      </c>
      <c r="C498">
        <v>2024</v>
      </c>
      <c r="D498" t="s">
        <v>358</v>
      </c>
      <c r="E498" t="s">
        <v>1066</v>
      </c>
      <c r="F498">
        <v>12.9</v>
      </c>
      <c r="G498" t="s">
        <v>375</v>
      </c>
      <c r="H498">
        <v>108</v>
      </c>
      <c r="I498" t="s">
        <v>1067</v>
      </c>
      <c r="J498" t="s">
        <v>294</v>
      </c>
      <c r="M498" t="s">
        <v>295</v>
      </c>
      <c r="N498" t="s">
        <v>296</v>
      </c>
      <c r="O498" t="s">
        <v>297</v>
      </c>
    </row>
    <row r="499" spans="1:15" x14ac:dyDescent="0.3">
      <c r="A499" t="s">
        <v>864</v>
      </c>
      <c r="B499" t="s">
        <v>1022</v>
      </c>
      <c r="C499">
        <v>2024</v>
      </c>
      <c r="D499" t="s">
        <v>358</v>
      </c>
      <c r="E499" t="s">
        <v>1068</v>
      </c>
      <c r="F499">
        <v>194650</v>
      </c>
      <c r="G499" t="s">
        <v>360</v>
      </c>
      <c r="H499">
        <v>108</v>
      </c>
      <c r="I499" t="s">
        <v>1069</v>
      </c>
      <c r="J499" t="s">
        <v>294</v>
      </c>
      <c r="M499" t="s">
        <v>295</v>
      </c>
      <c r="N499" t="s">
        <v>296</v>
      </c>
      <c r="O499" t="s">
        <v>297</v>
      </c>
    </row>
    <row r="500" spans="1:15" x14ac:dyDescent="0.3">
      <c r="A500" t="s">
        <v>864</v>
      </c>
      <c r="B500" t="s">
        <v>1022</v>
      </c>
      <c r="C500">
        <v>2024</v>
      </c>
      <c r="D500" t="s">
        <v>358</v>
      </c>
      <c r="E500" t="s">
        <v>932</v>
      </c>
      <c r="F500">
        <v>5</v>
      </c>
      <c r="G500" t="s">
        <v>384</v>
      </c>
      <c r="H500">
        <v>108</v>
      </c>
      <c r="I500" t="s">
        <v>1070</v>
      </c>
      <c r="J500" t="s">
        <v>294</v>
      </c>
      <c r="M500" t="s">
        <v>295</v>
      </c>
      <c r="N500" t="s">
        <v>296</v>
      </c>
      <c r="O500" t="s">
        <v>297</v>
      </c>
    </row>
    <row r="501" spans="1:15" x14ac:dyDescent="0.3">
      <c r="A501" t="s">
        <v>864</v>
      </c>
      <c r="B501" t="s">
        <v>1022</v>
      </c>
      <c r="C501">
        <v>2024</v>
      </c>
      <c r="D501" t="s">
        <v>358</v>
      </c>
      <c r="E501" t="s">
        <v>934</v>
      </c>
      <c r="F501">
        <v>315</v>
      </c>
      <c r="G501" t="s">
        <v>738</v>
      </c>
      <c r="H501">
        <v>51</v>
      </c>
      <c r="I501" t="s">
        <v>1071</v>
      </c>
      <c r="J501" t="s">
        <v>294</v>
      </c>
      <c r="M501" t="s">
        <v>295</v>
      </c>
      <c r="N501" t="s">
        <v>296</v>
      </c>
      <c r="O501" t="s">
        <v>297</v>
      </c>
    </row>
    <row r="502" spans="1:15" x14ac:dyDescent="0.3">
      <c r="A502" t="s">
        <v>864</v>
      </c>
      <c r="B502" t="s">
        <v>1022</v>
      </c>
      <c r="C502">
        <v>2024</v>
      </c>
      <c r="D502" t="s">
        <v>358</v>
      </c>
      <c r="E502" t="s">
        <v>926</v>
      </c>
      <c r="F502">
        <v>97779</v>
      </c>
      <c r="G502" t="s">
        <v>360</v>
      </c>
      <c r="H502">
        <v>51</v>
      </c>
      <c r="I502" t="s">
        <v>1072</v>
      </c>
      <c r="J502" t="s">
        <v>294</v>
      </c>
      <c r="M502" t="s">
        <v>295</v>
      </c>
      <c r="N502" t="s">
        <v>296</v>
      </c>
      <c r="O502" t="s">
        <v>297</v>
      </c>
    </row>
    <row r="503" spans="1:15" x14ac:dyDescent="0.3">
      <c r="A503" t="s">
        <v>864</v>
      </c>
      <c r="B503" t="s">
        <v>1022</v>
      </c>
      <c r="C503">
        <v>2024</v>
      </c>
      <c r="D503" t="s">
        <v>394</v>
      </c>
      <c r="E503" t="s">
        <v>395</v>
      </c>
      <c r="F503">
        <v>777615</v>
      </c>
      <c r="G503" t="s">
        <v>396</v>
      </c>
      <c r="H503">
        <v>8</v>
      </c>
      <c r="I503" t="s">
        <v>1073</v>
      </c>
      <c r="J503" t="s">
        <v>294</v>
      </c>
      <c r="M503" t="s">
        <v>295</v>
      </c>
      <c r="N503" t="s">
        <v>296</v>
      </c>
      <c r="O503" t="s">
        <v>297</v>
      </c>
    </row>
    <row r="504" spans="1:15" x14ac:dyDescent="0.3">
      <c r="A504" t="s">
        <v>864</v>
      </c>
      <c r="B504" t="s">
        <v>1022</v>
      </c>
      <c r="C504">
        <v>2024</v>
      </c>
      <c r="D504" t="s">
        <v>394</v>
      </c>
      <c r="E504" t="s">
        <v>404</v>
      </c>
      <c r="F504">
        <v>463835</v>
      </c>
      <c r="G504" t="s">
        <v>396</v>
      </c>
      <c r="H504">
        <v>8</v>
      </c>
      <c r="I504" t="s">
        <v>1074</v>
      </c>
      <c r="J504" t="s">
        <v>294</v>
      </c>
      <c r="M504" t="s">
        <v>295</v>
      </c>
      <c r="N504" t="s">
        <v>296</v>
      </c>
      <c r="O504" t="s">
        <v>297</v>
      </c>
    </row>
    <row r="505" spans="1:15" x14ac:dyDescent="0.3">
      <c r="A505" t="s">
        <v>864</v>
      </c>
      <c r="B505" t="s">
        <v>1022</v>
      </c>
      <c r="C505">
        <v>2024</v>
      </c>
      <c r="D505" t="s">
        <v>394</v>
      </c>
      <c r="E505" t="s">
        <v>402</v>
      </c>
      <c r="F505">
        <v>1233180</v>
      </c>
      <c r="G505" t="s">
        <v>396</v>
      </c>
      <c r="H505">
        <v>8</v>
      </c>
      <c r="I505" t="s">
        <v>1075</v>
      </c>
      <c r="J505" t="s">
        <v>294</v>
      </c>
      <c r="M505" t="s">
        <v>295</v>
      </c>
      <c r="N505" t="s">
        <v>296</v>
      </c>
      <c r="O505" t="s">
        <v>297</v>
      </c>
    </row>
    <row r="506" spans="1:15" x14ac:dyDescent="0.3">
      <c r="A506" t="s">
        <v>864</v>
      </c>
      <c r="B506" t="s">
        <v>1022</v>
      </c>
      <c r="C506">
        <v>2024</v>
      </c>
      <c r="D506" t="s">
        <v>394</v>
      </c>
      <c r="E506" t="s">
        <v>422</v>
      </c>
      <c r="F506">
        <v>18.399999999999999</v>
      </c>
      <c r="G506" t="s">
        <v>423</v>
      </c>
      <c r="H506">
        <v>8</v>
      </c>
      <c r="I506" t="s">
        <v>1076</v>
      </c>
      <c r="J506" t="s">
        <v>294</v>
      </c>
      <c r="M506" t="s">
        <v>295</v>
      </c>
      <c r="N506" t="s">
        <v>296</v>
      </c>
      <c r="O506" t="s">
        <v>297</v>
      </c>
    </row>
    <row r="507" spans="1:15" x14ac:dyDescent="0.3">
      <c r="A507" t="s">
        <v>864</v>
      </c>
      <c r="B507" t="s">
        <v>1022</v>
      </c>
      <c r="C507">
        <v>2024</v>
      </c>
      <c r="D507" t="s">
        <v>394</v>
      </c>
      <c r="E507" t="s">
        <v>406</v>
      </c>
      <c r="F507">
        <v>245395</v>
      </c>
      <c r="G507" t="s">
        <v>396</v>
      </c>
      <c r="H507">
        <v>8</v>
      </c>
      <c r="I507" t="s">
        <v>1077</v>
      </c>
      <c r="J507" t="s">
        <v>294</v>
      </c>
      <c r="M507" t="s">
        <v>295</v>
      </c>
      <c r="N507" t="s">
        <v>296</v>
      </c>
      <c r="O507" t="s">
        <v>297</v>
      </c>
    </row>
    <row r="508" spans="1:15" x14ac:dyDescent="0.3">
      <c r="A508" t="s">
        <v>864</v>
      </c>
      <c r="B508" t="s">
        <v>1022</v>
      </c>
      <c r="C508">
        <v>2024</v>
      </c>
      <c r="D508" t="s">
        <v>394</v>
      </c>
      <c r="E508" t="s">
        <v>684</v>
      </c>
      <c r="F508">
        <v>245784</v>
      </c>
      <c r="G508" t="s">
        <v>396</v>
      </c>
      <c r="H508">
        <v>8</v>
      </c>
      <c r="I508" t="s">
        <v>1078</v>
      </c>
      <c r="J508" t="s">
        <v>294</v>
      </c>
      <c r="M508" t="s">
        <v>295</v>
      </c>
      <c r="N508" t="s">
        <v>296</v>
      </c>
      <c r="O508" t="s">
        <v>297</v>
      </c>
    </row>
    <row r="509" spans="1:15" x14ac:dyDescent="0.3">
      <c r="A509" t="s">
        <v>864</v>
      </c>
      <c r="B509" t="s">
        <v>1022</v>
      </c>
      <c r="C509">
        <v>2024</v>
      </c>
      <c r="D509" t="s">
        <v>394</v>
      </c>
      <c r="E509" t="s">
        <v>855</v>
      </c>
      <c r="F509">
        <v>47668</v>
      </c>
      <c r="G509" t="s">
        <v>396</v>
      </c>
      <c r="H509">
        <v>8</v>
      </c>
      <c r="I509" t="s">
        <v>1079</v>
      </c>
      <c r="J509" t="s">
        <v>294</v>
      </c>
      <c r="M509" t="s">
        <v>295</v>
      </c>
      <c r="N509" t="s">
        <v>296</v>
      </c>
      <c r="O509" t="s">
        <v>297</v>
      </c>
    </row>
    <row r="510" spans="1:15" x14ac:dyDescent="0.3">
      <c r="A510" t="s">
        <v>864</v>
      </c>
      <c r="B510" t="s">
        <v>1022</v>
      </c>
      <c r="C510">
        <v>2024</v>
      </c>
      <c r="D510" t="s">
        <v>394</v>
      </c>
      <c r="E510" t="s">
        <v>418</v>
      </c>
      <c r="F510">
        <v>1121</v>
      </c>
      <c r="G510" t="s">
        <v>396</v>
      </c>
      <c r="H510">
        <v>8</v>
      </c>
      <c r="I510" t="s">
        <v>1080</v>
      </c>
      <c r="J510" t="s">
        <v>294</v>
      </c>
      <c r="M510" t="s">
        <v>295</v>
      </c>
      <c r="N510" t="s">
        <v>296</v>
      </c>
      <c r="O510" t="s">
        <v>297</v>
      </c>
    </row>
    <row r="511" spans="1:15" x14ac:dyDescent="0.3">
      <c r="A511" t="s">
        <v>864</v>
      </c>
      <c r="B511" t="s">
        <v>1022</v>
      </c>
      <c r="C511">
        <v>2024</v>
      </c>
      <c r="D511" t="s">
        <v>394</v>
      </c>
      <c r="E511" t="s">
        <v>1014</v>
      </c>
      <c r="F511">
        <v>0.19900000000000001</v>
      </c>
      <c r="G511" t="s">
        <v>334</v>
      </c>
      <c r="H511">
        <v>8</v>
      </c>
      <c r="I511" t="s">
        <v>1081</v>
      </c>
      <c r="J511" t="s">
        <v>294</v>
      </c>
      <c r="M511" t="s">
        <v>295</v>
      </c>
      <c r="N511" t="s">
        <v>296</v>
      </c>
      <c r="O511" t="s">
        <v>297</v>
      </c>
    </row>
    <row r="512" spans="1:15" x14ac:dyDescent="0.3">
      <c r="A512" t="s">
        <v>864</v>
      </c>
      <c r="B512" t="s">
        <v>1022</v>
      </c>
      <c r="C512">
        <v>2024</v>
      </c>
      <c r="D512" t="s">
        <v>394</v>
      </c>
      <c r="E512" t="s">
        <v>654</v>
      </c>
      <c r="F512">
        <v>4.2000000000000003E-2</v>
      </c>
      <c r="G512" t="s">
        <v>334</v>
      </c>
      <c r="H512">
        <v>8</v>
      </c>
      <c r="I512" t="s">
        <v>1082</v>
      </c>
      <c r="J512" t="s">
        <v>294</v>
      </c>
      <c r="M512" t="s">
        <v>295</v>
      </c>
      <c r="N512" t="s">
        <v>296</v>
      </c>
      <c r="O512" t="s">
        <v>297</v>
      </c>
    </row>
    <row r="513" spans="1:15" x14ac:dyDescent="0.3">
      <c r="A513" t="s">
        <v>864</v>
      </c>
      <c r="B513" t="s">
        <v>1022</v>
      </c>
      <c r="C513">
        <v>2024</v>
      </c>
      <c r="D513" t="s">
        <v>394</v>
      </c>
      <c r="E513" t="s">
        <v>946</v>
      </c>
      <c r="F513">
        <v>822</v>
      </c>
      <c r="G513" t="s">
        <v>947</v>
      </c>
      <c r="H513">
        <v>8</v>
      </c>
      <c r="I513" t="s">
        <v>1083</v>
      </c>
      <c r="J513" t="s">
        <v>294</v>
      </c>
      <c r="M513" t="s">
        <v>295</v>
      </c>
      <c r="N513" t="s">
        <v>296</v>
      </c>
      <c r="O513" t="s">
        <v>297</v>
      </c>
    </row>
    <row r="514" spans="1:15" x14ac:dyDescent="0.3">
      <c r="A514" t="s">
        <v>864</v>
      </c>
      <c r="B514" t="s">
        <v>1022</v>
      </c>
      <c r="C514">
        <v>2024</v>
      </c>
      <c r="D514" t="s">
        <v>394</v>
      </c>
      <c r="E514" t="s">
        <v>949</v>
      </c>
      <c r="F514">
        <v>501</v>
      </c>
      <c r="G514" t="s">
        <v>947</v>
      </c>
      <c r="H514">
        <v>8</v>
      </c>
      <c r="I514" t="s">
        <v>1084</v>
      </c>
      <c r="J514" t="s">
        <v>294</v>
      </c>
      <c r="M514" t="s">
        <v>295</v>
      </c>
      <c r="N514" t="s">
        <v>296</v>
      </c>
      <c r="O514" t="s">
        <v>297</v>
      </c>
    </row>
    <row r="515" spans="1:15" x14ac:dyDescent="0.3">
      <c r="A515" t="s">
        <v>864</v>
      </c>
      <c r="B515" t="s">
        <v>1022</v>
      </c>
      <c r="C515">
        <v>2024</v>
      </c>
      <c r="D515" t="s">
        <v>394</v>
      </c>
      <c r="E515" t="s">
        <v>951</v>
      </c>
      <c r="F515">
        <v>434</v>
      </c>
      <c r="G515" t="s">
        <v>947</v>
      </c>
      <c r="H515">
        <v>8</v>
      </c>
      <c r="I515" t="s">
        <v>1085</v>
      </c>
      <c r="J515" t="s">
        <v>294</v>
      </c>
      <c r="M515" t="s">
        <v>295</v>
      </c>
      <c r="N515" t="s">
        <v>296</v>
      </c>
      <c r="O515" t="s">
        <v>297</v>
      </c>
    </row>
    <row r="516" spans="1:15" x14ac:dyDescent="0.3">
      <c r="A516" t="s">
        <v>1086</v>
      </c>
      <c r="B516" t="s">
        <v>1087</v>
      </c>
      <c r="C516">
        <v>2023</v>
      </c>
      <c r="D516" t="s">
        <v>272</v>
      </c>
      <c r="E516" t="s">
        <v>291</v>
      </c>
      <c r="F516" t="s">
        <v>1086</v>
      </c>
      <c r="G516" t="s">
        <v>292</v>
      </c>
      <c r="H516">
        <v>1</v>
      </c>
      <c r="I516" t="s">
        <v>1088</v>
      </c>
      <c r="J516" t="s">
        <v>294</v>
      </c>
      <c r="M516" t="s">
        <v>295</v>
      </c>
      <c r="N516" t="s">
        <v>296</v>
      </c>
      <c r="O516" t="s">
        <v>297</v>
      </c>
    </row>
    <row r="517" spans="1:15" x14ac:dyDescent="0.3">
      <c r="A517" t="s">
        <v>1086</v>
      </c>
      <c r="B517" t="s">
        <v>1087</v>
      </c>
      <c r="C517">
        <v>2023</v>
      </c>
      <c r="D517" t="s">
        <v>272</v>
      </c>
      <c r="E517" t="s">
        <v>1</v>
      </c>
      <c r="F517" t="s">
        <v>15</v>
      </c>
      <c r="G517" t="s">
        <v>292</v>
      </c>
      <c r="H517">
        <v>0</v>
      </c>
      <c r="I517" t="s">
        <v>298</v>
      </c>
      <c r="J517" t="s">
        <v>294</v>
      </c>
      <c r="M517" t="s">
        <v>295</v>
      </c>
      <c r="N517" t="s">
        <v>296</v>
      </c>
      <c r="O517" t="s">
        <v>297</v>
      </c>
    </row>
    <row r="518" spans="1:15" x14ac:dyDescent="0.3">
      <c r="A518" t="s">
        <v>1086</v>
      </c>
      <c r="B518" t="s">
        <v>1087</v>
      </c>
      <c r="C518">
        <v>2023</v>
      </c>
      <c r="D518" t="s">
        <v>272</v>
      </c>
      <c r="E518" t="s">
        <v>274</v>
      </c>
      <c r="F518">
        <v>2023</v>
      </c>
      <c r="G518" t="s">
        <v>299</v>
      </c>
      <c r="H518">
        <v>1</v>
      </c>
      <c r="I518" t="s">
        <v>868</v>
      </c>
      <c r="J518" t="s">
        <v>294</v>
      </c>
      <c r="M518" t="s">
        <v>295</v>
      </c>
      <c r="N518" t="s">
        <v>296</v>
      </c>
      <c r="O518" t="s">
        <v>297</v>
      </c>
    </row>
    <row r="519" spans="1:15" x14ac:dyDescent="0.3">
      <c r="A519" t="s">
        <v>1086</v>
      </c>
      <c r="B519" t="s">
        <v>1087</v>
      </c>
      <c r="C519">
        <v>2023</v>
      </c>
      <c r="D519" t="s">
        <v>272</v>
      </c>
      <c r="E519" t="s">
        <v>1089</v>
      </c>
      <c r="F519" t="s">
        <v>1090</v>
      </c>
      <c r="G519" t="s">
        <v>666</v>
      </c>
      <c r="H519">
        <v>12</v>
      </c>
      <c r="I519" t="s">
        <v>1091</v>
      </c>
      <c r="J519" t="s">
        <v>294</v>
      </c>
      <c r="M519" t="s">
        <v>295</v>
      </c>
      <c r="N519" t="s">
        <v>296</v>
      </c>
      <c r="O519" t="s">
        <v>297</v>
      </c>
    </row>
    <row r="520" spans="1:15" x14ac:dyDescent="0.3">
      <c r="A520" t="s">
        <v>1086</v>
      </c>
      <c r="B520" t="s">
        <v>1087</v>
      </c>
      <c r="C520">
        <v>2023</v>
      </c>
      <c r="D520" t="s">
        <v>272</v>
      </c>
      <c r="E520" t="s">
        <v>1092</v>
      </c>
      <c r="F520" t="s">
        <v>1093</v>
      </c>
      <c r="G520" t="s">
        <v>292</v>
      </c>
      <c r="H520">
        <v>12</v>
      </c>
      <c r="I520" t="s">
        <v>1094</v>
      </c>
      <c r="J520" t="s">
        <v>294</v>
      </c>
      <c r="M520" t="s">
        <v>295</v>
      </c>
      <c r="N520" t="s">
        <v>296</v>
      </c>
      <c r="O520" t="s">
        <v>297</v>
      </c>
    </row>
    <row r="521" spans="1:15" x14ac:dyDescent="0.3">
      <c r="A521" t="s">
        <v>1086</v>
      </c>
      <c r="B521" t="s">
        <v>1087</v>
      </c>
      <c r="C521">
        <v>2023</v>
      </c>
      <c r="D521" t="s">
        <v>272</v>
      </c>
      <c r="E521" t="s">
        <v>442</v>
      </c>
      <c r="F521" t="s">
        <v>1095</v>
      </c>
      <c r="G521" t="s">
        <v>292</v>
      </c>
      <c r="H521">
        <v>21</v>
      </c>
      <c r="I521" t="s">
        <v>1096</v>
      </c>
      <c r="J521" t="s">
        <v>294</v>
      </c>
      <c r="M521" t="s">
        <v>295</v>
      </c>
      <c r="N521" t="s">
        <v>296</v>
      </c>
      <c r="O521" t="s">
        <v>297</v>
      </c>
    </row>
    <row r="522" spans="1:15" x14ac:dyDescent="0.3">
      <c r="A522" t="s">
        <v>1086</v>
      </c>
      <c r="B522" t="s">
        <v>1087</v>
      </c>
      <c r="C522">
        <v>2023</v>
      </c>
      <c r="D522" t="s">
        <v>272</v>
      </c>
      <c r="E522" t="s">
        <v>1097</v>
      </c>
      <c r="F522">
        <v>0.31</v>
      </c>
      <c r="G522" t="s">
        <v>334</v>
      </c>
      <c r="H522">
        <v>20</v>
      </c>
      <c r="I522" t="s">
        <v>1098</v>
      </c>
      <c r="J522" t="s">
        <v>294</v>
      </c>
      <c r="M522" t="s">
        <v>295</v>
      </c>
      <c r="N522" t="s">
        <v>296</v>
      </c>
      <c r="O522" t="s">
        <v>297</v>
      </c>
    </row>
    <row r="523" spans="1:15" x14ac:dyDescent="0.3">
      <c r="A523" t="s">
        <v>1086</v>
      </c>
      <c r="B523" t="s">
        <v>1087</v>
      </c>
      <c r="C523">
        <v>2023</v>
      </c>
      <c r="D523" t="s">
        <v>272</v>
      </c>
      <c r="E523" t="s">
        <v>445</v>
      </c>
      <c r="F523">
        <v>0.45729999999999998</v>
      </c>
      <c r="G523" t="s">
        <v>334</v>
      </c>
      <c r="H523">
        <v>20</v>
      </c>
      <c r="I523" t="s">
        <v>1099</v>
      </c>
      <c r="J523" t="s">
        <v>294</v>
      </c>
      <c r="M523" t="s">
        <v>295</v>
      </c>
      <c r="N523" t="s">
        <v>296</v>
      </c>
      <c r="O523" t="s">
        <v>297</v>
      </c>
    </row>
    <row r="524" spans="1:15" x14ac:dyDescent="0.3">
      <c r="A524" t="s">
        <v>1086</v>
      </c>
      <c r="B524" t="s">
        <v>1087</v>
      </c>
      <c r="C524">
        <v>2023</v>
      </c>
      <c r="D524" t="s">
        <v>272</v>
      </c>
      <c r="E524" t="s">
        <v>1100</v>
      </c>
      <c r="F524" t="s">
        <v>1101</v>
      </c>
      <c r="G524" t="s">
        <v>292</v>
      </c>
      <c r="H524">
        <v>13</v>
      </c>
      <c r="I524" t="s">
        <v>1102</v>
      </c>
      <c r="J524" t="s">
        <v>294</v>
      </c>
      <c r="M524" t="s">
        <v>295</v>
      </c>
      <c r="N524" t="s">
        <v>296</v>
      </c>
      <c r="O524" t="s">
        <v>297</v>
      </c>
    </row>
    <row r="525" spans="1:15" x14ac:dyDescent="0.3">
      <c r="A525" t="s">
        <v>1086</v>
      </c>
      <c r="B525" t="s">
        <v>1087</v>
      </c>
      <c r="C525">
        <v>2023</v>
      </c>
      <c r="D525" t="s">
        <v>272</v>
      </c>
      <c r="E525" t="s">
        <v>1103</v>
      </c>
      <c r="F525" t="s">
        <v>1104</v>
      </c>
      <c r="G525" t="s">
        <v>292</v>
      </c>
      <c r="H525">
        <v>6</v>
      </c>
      <c r="I525" t="s">
        <v>1105</v>
      </c>
      <c r="J525" t="s">
        <v>294</v>
      </c>
      <c r="M525" t="s">
        <v>295</v>
      </c>
      <c r="N525" t="s">
        <v>296</v>
      </c>
      <c r="O525" t="s">
        <v>297</v>
      </c>
    </row>
    <row r="526" spans="1:15" x14ac:dyDescent="0.3">
      <c r="A526" t="s">
        <v>1086</v>
      </c>
      <c r="B526" t="s">
        <v>1087</v>
      </c>
      <c r="C526">
        <v>2023</v>
      </c>
      <c r="D526" t="s">
        <v>300</v>
      </c>
      <c r="E526" t="s">
        <v>682</v>
      </c>
      <c r="F526">
        <v>2298131</v>
      </c>
      <c r="G526" t="s">
        <v>1106</v>
      </c>
      <c r="H526">
        <v>3</v>
      </c>
      <c r="I526" t="s">
        <v>1107</v>
      </c>
      <c r="J526" t="s">
        <v>294</v>
      </c>
      <c r="M526" t="s">
        <v>295</v>
      </c>
      <c r="N526" t="s">
        <v>296</v>
      </c>
      <c r="O526" t="s">
        <v>297</v>
      </c>
    </row>
    <row r="527" spans="1:15" x14ac:dyDescent="0.3">
      <c r="A527" t="s">
        <v>1086</v>
      </c>
      <c r="B527" t="s">
        <v>1087</v>
      </c>
      <c r="C527">
        <v>2023</v>
      </c>
      <c r="D527" t="s">
        <v>300</v>
      </c>
      <c r="E527" t="s">
        <v>877</v>
      </c>
      <c r="F527">
        <v>2298</v>
      </c>
      <c r="G527" t="s">
        <v>302</v>
      </c>
      <c r="H527">
        <v>3</v>
      </c>
      <c r="I527" t="s">
        <v>1108</v>
      </c>
      <c r="J527" t="s">
        <v>294</v>
      </c>
      <c r="M527" t="s">
        <v>295</v>
      </c>
      <c r="N527" t="s">
        <v>296</v>
      </c>
      <c r="O527" t="s">
        <v>297</v>
      </c>
    </row>
    <row r="528" spans="1:15" x14ac:dyDescent="0.3">
      <c r="A528" t="s">
        <v>1086</v>
      </c>
      <c r="B528" t="s">
        <v>1087</v>
      </c>
      <c r="C528">
        <v>2023</v>
      </c>
      <c r="D528" t="s">
        <v>300</v>
      </c>
      <c r="E528" t="s">
        <v>1109</v>
      </c>
      <c r="F528">
        <v>-1136012</v>
      </c>
      <c r="G528" t="s">
        <v>1106</v>
      </c>
      <c r="H528">
        <v>87</v>
      </c>
      <c r="I528" t="s">
        <v>1110</v>
      </c>
      <c r="J528" t="s">
        <v>294</v>
      </c>
      <c r="M528" t="s">
        <v>295</v>
      </c>
      <c r="N528" t="s">
        <v>296</v>
      </c>
      <c r="O528" t="s">
        <v>297</v>
      </c>
    </row>
    <row r="529" spans="1:15" x14ac:dyDescent="0.3">
      <c r="A529" t="s">
        <v>1086</v>
      </c>
      <c r="B529" t="s">
        <v>1087</v>
      </c>
      <c r="C529">
        <v>2023</v>
      </c>
      <c r="D529" t="s">
        <v>300</v>
      </c>
      <c r="E529" t="s">
        <v>304</v>
      </c>
      <c r="F529">
        <v>1162119</v>
      </c>
      <c r="G529" t="s">
        <v>1106</v>
      </c>
      <c r="H529">
        <v>3</v>
      </c>
      <c r="I529" t="s">
        <v>1111</v>
      </c>
      <c r="J529" t="s">
        <v>294</v>
      </c>
      <c r="M529" t="s">
        <v>295</v>
      </c>
      <c r="N529" t="s">
        <v>296</v>
      </c>
      <c r="O529" t="s">
        <v>297</v>
      </c>
    </row>
    <row r="530" spans="1:15" x14ac:dyDescent="0.3">
      <c r="A530" t="s">
        <v>1086</v>
      </c>
      <c r="B530" t="s">
        <v>1087</v>
      </c>
      <c r="C530">
        <v>2023</v>
      </c>
      <c r="D530" t="s">
        <v>300</v>
      </c>
      <c r="E530" t="s">
        <v>1112</v>
      </c>
      <c r="F530">
        <v>692341</v>
      </c>
      <c r="G530" t="s">
        <v>1106</v>
      </c>
      <c r="H530">
        <v>3</v>
      </c>
      <c r="I530" t="s">
        <v>1113</v>
      </c>
      <c r="J530" t="s">
        <v>294</v>
      </c>
      <c r="M530" t="s">
        <v>295</v>
      </c>
      <c r="N530" t="s">
        <v>296</v>
      </c>
      <c r="O530" t="s">
        <v>297</v>
      </c>
    </row>
    <row r="531" spans="1:15" x14ac:dyDescent="0.3">
      <c r="A531" t="s">
        <v>1086</v>
      </c>
      <c r="B531" t="s">
        <v>1087</v>
      </c>
      <c r="C531">
        <v>2023</v>
      </c>
      <c r="D531" t="s">
        <v>300</v>
      </c>
      <c r="E531" t="s">
        <v>1114</v>
      </c>
      <c r="F531">
        <v>733895</v>
      </c>
      <c r="G531" t="s">
        <v>1106</v>
      </c>
      <c r="H531">
        <v>87</v>
      </c>
      <c r="I531" t="s">
        <v>1115</v>
      </c>
      <c r="J531" t="s">
        <v>294</v>
      </c>
      <c r="M531" t="s">
        <v>295</v>
      </c>
      <c r="N531" t="s">
        <v>296</v>
      </c>
      <c r="O531" t="s">
        <v>297</v>
      </c>
    </row>
    <row r="532" spans="1:15" x14ac:dyDescent="0.3">
      <c r="A532" t="s">
        <v>1086</v>
      </c>
      <c r="B532" t="s">
        <v>1087</v>
      </c>
      <c r="C532">
        <v>2023</v>
      </c>
      <c r="D532" t="s">
        <v>300</v>
      </c>
      <c r="E532" t="s">
        <v>306</v>
      </c>
      <c r="F532">
        <v>595740</v>
      </c>
      <c r="G532" t="s">
        <v>1106</v>
      </c>
      <c r="H532">
        <v>3</v>
      </c>
      <c r="I532" t="s">
        <v>1116</v>
      </c>
      <c r="J532" t="s">
        <v>294</v>
      </c>
      <c r="M532" t="s">
        <v>295</v>
      </c>
      <c r="N532" t="s">
        <v>296</v>
      </c>
      <c r="O532" t="s">
        <v>297</v>
      </c>
    </row>
    <row r="533" spans="1:15" x14ac:dyDescent="0.3">
      <c r="A533" t="s">
        <v>1086</v>
      </c>
      <c r="B533" t="s">
        <v>1087</v>
      </c>
      <c r="C533">
        <v>2023</v>
      </c>
      <c r="D533" t="s">
        <v>300</v>
      </c>
      <c r="E533" t="s">
        <v>308</v>
      </c>
      <c r="F533">
        <v>595629</v>
      </c>
      <c r="G533" t="s">
        <v>1106</v>
      </c>
      <c r="H533">
        <v>87</v>
      </c>
      <c r="I533" t="s">
        <v>1117</v>
      </c>
      <c r="J533" t="s">
        <v>294</v>
      </c>
      <c r="M533" t="s">
        <v>295</v>
      </c>
      <c r="N533" t="s">
        <v>296</v>
      </c>
      <c r="O533" t="s">
        <v>297</v>
      </c>
    </row>
    <row r="534" spans="1:15" x14ac:dyDescent="0.3">
      <c r="A534" t="s">
        <v>1086</v>
      </c>
      <c r="B534" t="s">
        <v>1087</v>
      </c>
      <c r="C534">
        <v>2023</v>
      </c>
      <c r="D534" t="s">
        <v>300</v>
      </c>
      <c r="E534" t="s">
        <v>310</v>
      </c>
      <c r="F534">
        <v>600446</v>
      </c>
      <c r="G534" t="s">
        <v>1106</v>
      </c>
      <c r="H534">
        <v>3</v>
      </c>
      <c r="I534" t="s">
        <v>1118</v>
      </c>
      <c r="J534" t="s">
        <v>294</v>
      </c>
      <c r="M534" t="s">
        <v>295</v>
      </c>
      <c r="N534" t="s">
        <v>296</v>
      </c>
      <c r="O534" t="s">
        <v>297</v>
      </c>
    </row>
    <row r="535" spans="1:15" x14ac:dyDescent="0.3">
      <c r="A535" t="s">
        <v>1086</v>
      </c>
      <c r="B535" t="s">
        <v>1087</v>
      </c>
      <c r="C535">
        <v>2023</v>
      </c>
      <c r="D535" t="s">
        <v>300</v>
      </c>
      <c r="E535" t="s">
        <v>345</v>
      </c>
      <c r="F535">
        <v>198.54</v>
      </c>
      <c r="G535" t="s">
        <v>916</v>
      </c>
      <c r="H535">
        <v>3</v>
      </c>
      <c r="I535" t="s">
        <v>1119</v>
      </c>
      <c r="J535" t="s">
        <v>294</v>
      </c>
      <c r="M535" t="s">
        <v>295</v>
      </c>
      <c r="N535" t="s">
        <v>296</v>
      </c>
      <c r="O535" t="s">
        <v>297</v>
      </c>
    </row>
    <row r="536" spans="1:15" x14ac:dyDescent="0.3">
      <c r="A536" t="s">
        <v>1086</v>
      </c>
      <c r="B536" t="s">
        <v>1087</v>
      </c>
      <c r="C536">
        <v>2023</v>
      </c>
      <c r="D536" t="s">
        <v>300</v>
      </c>
      <c r="E536" t="s">
        <v>973</v>
      </c>
      <c r="F536">
        <v>1042206</v>
      </c>
      <c r="G536" t="s">
        <v>1106</v>
      </c>
      <c r="H536">
        <v>85</v>
      </c>
      <c r="I536" t="s">
        <v>1120</v>
      </c>
      <c r="J536" t="s">
        <v>294</v>
      </c>
      <c r="M536" t="s">
        <v>295</v>
      </c>
      <c r="N536" t="s">
        <v>296</v>
      </c>
      <c r="O536" t="s">
        <v>297</v>
      </c>
    </row>
    <row r="537" spans="1:15" x14ac:dyDescent="0.3">
      <c r="A537" t="s">
        <v>1086</v>
      </c>
      <c r="B537" t="s">
        <v>1087</v>
      </c>
      <c r="C537">
        <v>2023</v>
      </c>
      <c r="D537" t="s">
        <v>300</v>
      </c>
      <c r="E537" t="s">
        <v>889</v>
      </c>
      <c r="F537">
        <v>2945199</v>
      </c>
      <c r="G537" t="s">
        <v>1106</v>
      </c>
      <c r="H537">
        <v>85</v>
      </c>
      <c r="I537" t="s">
        <v>1121</v>
      </c>
      <c r="J537" t="s">
        <v>294</v>
      </c>
      <c r="M537" t="s">
        <v>295</v>
      </c>
      <c r="N537" t="s">
        <v>296</v>
      </c>
      <c r="O537" t="s">
        <v>297</v>
      </c>
    </row>
    <row r="538" spans="1:15" x14ac:dyDescent="0.3">
      <c r="A538" t="s">
        <v>1086</v>
      </c>
      <c r="B538" t="s">
        <v>1087</v>
      </c>
      <c r="C538">
        <v>2023</v>
      </c>
      <c r="D538" t="s">
        <v>300</v>
      </c>
      <c r="E538" t="s">
        <v>1122</v>
      </c>
      <c r="F538">
        <v>721419</v>
      </c>
      <c r="G538" t="s">
        <v>1106</v>
      </c>
      <c r="H538">
        <v>85</v>
      </c>
      <c r="I538" t="s">
        <v>1123</v>
      </c>
      <c r="J538" t="s">
        <v>294</v>
      </c>
      <c r="M538" t="s">
        <v>295</v>
      </c>
      <c r="N538" t="s">
        <v>296</v>
      </c>
      <c r="O538" t="s">
        <v>297</v>
      </c>
    </row>
    <row r="539" spans="1:15" x14ac:dyDescent="0.3">
      <c r="A539" t="s">
        <v>1086</v>
      </c>
      <c r="B539" t="s">
        <v>1087</v>
      </c>
      <c r="C539">
        <v>2023</v>
      </c>
      <c r="D539" t="s">
        <v>300</v>
      </c>
      <c r="E539" t="s">
        <v>316</v>
      </c>
      <c r="F539">
        <v>3901820</v>
      </c>
      <c r="G539" t="s">
        <v>1106</v>
      </c>
      <c r="H539">
        <v>3</v>
      </c>
      <c r="I539" t="s">
        <v>1124</v>
      </c>
      <c r="J539" t="s">
        <v>294</v>
      </c>
      <c r="M539" t="s">
        <v>295</v>
      </c>
      <c r="N539" t="s">
        <v>296</v>
      </c>
      <c r="O539" t="s">
        <v>297</v>
      </c>
    </row>
    <row r="540" spans="1:15" x14ac:dyDescent="0.3">
      <c r="A540" t="s">
        <v>1086</v>
      </c>
      <c r="B540" t="s">
        <v>1087</v>
      </c>
      <c r="C540">
        <v>2023</v>
      </c>
      <c r="D540" t="s">
        <v>300</v>
      </c>
      <c r="E540" t="s">
        <v>894</v>
      </c>
      <c r="F540">
        <v>401461</v>
      </c>
      <c r="G540" t="s">
        <v>1106</v>
      </c>
      <c r="H540">
        <v>86</v>
      </c>
      <c r="I540" t="s">
        <v>1125</v>
      </c>
      <c r="J540" t="s">
        <v>294</v>
      </c>
      <c r="M540" t="s">
        <v>295</v>
      </c>
      <c r="N540" t="s">
        <v>296</v>
      </c>
      <c r="O540" t="s">
        <v>297</v>
      </c>
    </row>
    <row r="541" spans="1:15" x14ac:dyDescent="0.3">
      <c r="A541" t="s">
        <v>1086</v>
      </c>
      <c r="B541" t="s">
        <v>1087</v>
      </c>
      <c r="C541">
        <v>2023</v>
      </c>
      <c r="D541" t="s">
        <v>300</v>
      </c>
      <c r="E541" t="s">
        <v>322</v>
      </c>
      <c r="F541">
        <v>455124</v>
      </c>
      <c r="G541" t="s">
        <v>1106</v>
      </c>
      <c r="H541">
        <v>3</v>
      </c>
      <c r="I541" t="s">
        <v>1126</v>
      </c>
      <c r="J541" t="s">
        <v>294</v>
      </c>
      <c r="M541" t="s">
        <v>295</v>
      </c>
      <c r="N541" t="s">
        <v>296</v>
      </c>
      <c r="O541" t="s">
        <v>297</v>
      </c>
    </row>
    <row r="542" spans="1:15" x14ac:dyDescent="0.3">
      <c r="A542" t="s">
        <v>1086</v>
      </c>
      <c r="B542" t="s">
        <v>1087</v>
      </c>
      <c r="C542">
        <v>2023</v>
      </c>
      <c r="D542" t="s">
        <v>300</v>
      </c>
      <c r="E542" t="s">
        <v>324</v>
      </c>
      <c r="F542">
        <v>3446696</v>
      </c>
      <c r="G542" t="s">
        <v>1106</v>
      </c>
      <c r="H542">
        <v>3</v>
      </c>
      <c r="I542" t="s">
        <v>1127</v>
      </c>
      <c r="J542" t="s">
        <v>294</v>
      </c>
      <c r="M542" t="s">
        <v>295</v>
      </c>
      <c r="N542" t="s">
        <v>296</v>
      </c>
      <c r="O542" t="s">
        <v>297</v>
      </c>
    </row>
    <row r="543" spans="1:15" x14ac:dyDescent="0.3">
      <c r="A543" t="s">
        <v>1086</v>
      </c>
      <c r="B543" t="s">
        <v>1087</v>
      </c>
      <c r="C543">
        <v>2023</v>
      </c>
      <c r="D543" t="s">
        <v>300</v>
      </c>
      <c r="E543" t="s">
        <v>333</v>
      </c>
      <c r="F543">
        <v>0.15</v>
      </c>
      <c r="G543" t="s">
        <v>334</v>
      </c>
      <c r="H543">
        <v>3</v>
      </c>
      <c r="I543" t="s">
        <v>1128</v>
      </c>
      <c r="J543" t="s">
        <v>294</v>
      </c>
      <c r="M543" t="s">
        <v>295</v>
      </c>
      <c r="N543" t="s">
        <v>296</v>
      </c>
      <c r="O543" t="s">
        <v>297</v>
      </c>
    </row>
    <row r="544" spans="1:15" x14ac:dyDescent="0.3">
      <c r="A544" t="s">
        <v>1086</v>
      </c>
      <c r="B544" t="s">
        <v>1087</v>
      </c>
      <c r="C544">
        <v>2023</v>
      </c>
      <c r="D544" t="s">
        <v>300</v>
      </c>
      <c r="E544" t="s">
        <v>336</v>
      </c>
      <c r="F544">
        <v>0.17</v>
      </c>
      <c r="G544" t="s">
        <v>334</v>
      </c>
      <c r="H544">
        <v>3</v>
      </c>
      <c r="I544" t="s">
        <v>1129</v>
      </c>
      <c r="J544" t="s">
        <v>294</v>
      </c>
      <c r="M544" t="s">
        <v>295</v>
      </c>
      <c r="N544" t="s">
        <v>296</v>
      </c>
      <c r="O544" t="s">
        <v>297</v>
      </c>
    </row>
    <row r="545" spans="1:15" x14ac:dyDescent="0.3">
      <c r="A545" t="s">
        <v>1086</v>
      </c>
      <c r="B545" t="s">
        <v>1087</v>
      </c>
      <c r="C545">
        <v>2023</v>
      </c>
      <c r="D545" t="s">
        <v>300</v>
      </c>
      <c r="E545" t="s">
        <v>338</v>
      </c>
      <c r="F545">
        <v>0.26</v>
      </c>
      <c r="G545" t="s">
        <v>334</v>
      </c>
      <c r="H545">
        <v>3</v>
      </c>
      <c r="I545" t="s">
        <v>1130</v>
      </c>
      <c r="J545" t="s">
        <v>294</v>
      </c>
      <c r="M545" t="s">
        <v>295</v>
      </c>
      <c r="N545" t="s">
        <v>296</v>
      </c>
      <c r="O545" t="s">
        <v>297</v>
      </c>
    </row>
    <row r="546" spans="1:15" x14ac:dyDescent="0.3">
      <c r="A546" t="s">
        <v>1086</v>
      </c>
      <c r="B546" t="s">
        <v>1087</v>
      </c>
      <c r="C546">
        <v>2023</v>
      </c>
      <c r="D546" t="s">
        <v>300</v>
      </c>
      <c r="E546" t="s">
        <v>326</v>
      </c>
      <c r="F546">
        <v>7.34</v>
      </c>
      <c r="G546" t="s">
        <v>327</v>
      </c>
      <c r="H546">
        <v>3</v>
      </c>
      <c r="I546" t="s">
        <v>1131</v>
      </c>
      <c r="J546" t="s">
        <v>294</v>
      </c>
      <c r="M546" t="s">
        <v>295</v>
      </c>
      <c r="N546" t="s">
        <v>296</v>
      </c>
      <c r="O546" t="s">
        <v>297</v>
      </c>
    </row>
    <row r="547" spans="1:15" x14ac:dyDescent="0.3">
      <c r="A547" t="s">
        <v>1086</v>
      </c>
      <c r="B547" t="s">
        <v>1087</v>
      </c>
      <c r="C547">
        <v>2023</v>
      </c>
      <c r="D547" t="s">
        <v>300</v>
      </c>
      <c r="E547" t="s">
        <v>331</v>
      </c>
      <c r="F547">
        <v>0.13</v>
      </c>
      <c r="G547" t="s">
        <v>327</v>
      </c>
      <c r="H547">
        <v>3</v>
      </c>
      <c r="I547" t="s">
        <v>1132</v>
      </c>
      <c r="J547" t="s">
        <v>294</v>
      </c>
      <c r="M547" t="s">
        <v>295</v>
      </c>
      <c r="N547" t="s">
        <v>296</v>
      </c>
      <c r="O547" t="s">
        <v>297</v>
      </c>
    </row>
    <row r="548" spans="1:15" x14ac:dyDescent="0.3">
      <c r="A548" t="s">
        <v>1086</v>
      </c>
      <c r="B548" t="s">
        <v>1087</v>
      </c>
      <c r="C548">
        <v>2023</v>
      </c>
      <c r="D548" t="s">
        <v>300</v>
      </c>
      <c r="E548" t="s">
        <v>329</v>
      </c>
      <c r="F548">
        <v>0.12</v>
      </c>
      <c r="G548" t="s">
        <v>327</v>
      </c>
      <c r="H548">
        <v>3</v>
      </c>
      <c r="I548" t="s">
        <v>1133</v>
      </c>
      <c r="J548" t="s">
        <v>294</v>
      </c>
      <c r="M548" t="s">
        <v>295</v>
      </c>
      <c r="N548" t="s">
        <v>296</v>
      </c>
      <c r="O548" t="s">
        <v>297</v>
      </c>
    </row>
    <row r="549" spans="1:15" x14ac:dyDescent="0.3">
      <c r="A549" t="s">
        <v>1086</v>
      </c>
      <c r="B549" t="s">
        <v>1087</v>
      </c>
      <c r="C549">
        <v>2023</v>
      </c>
      <c r="D549" t="s">
        <v>300</v>
      </c>
      <c r="E549" t="s">
        <v>342</v>
      </c>
      <c r="F549">
        <v>3000</v>
      </c>
      <c r="G549" t="s">
        <v>343</v>
      </c>
      <c r="H549">
        <v>3</v>
      </c>
      <c r="I549" t="s">
        <v>1134</v>
      </c>
      <c r="J549" t="s">
        <v>294</v>
      </c>
      <c r="M549" t="s">
        <v>295</v>
      </c>
      <c r="N549" t="s">
        <v>296</v>
      </c>
      <c r="O549" t="s">
        <v>297</v>
      </c>
    </row>
    <row r="550" spans="1:15" x14ac:dyDescent="0.3">
      <c r="A550" t="s">
        <v>1086</v>
      </c>
      <c r="B550" t="s">
        <v>1087</v>
      </c>
      <c r="C550">
        <v>2023</v>
      </c>
      <c r="D550" t="s">
        <v>300</v>
      </c>
      <c r="E550" t="s">
        <v>1135</v>
      </c>
      <c r="F550">
        <v>1600</v>
      </c>
      <c r="G550" t="s">
        <v>912</v>
      </c>
      <c r="H550">
        <v>3</v>
      </c>
      <c r="I550" t="s">
        <v>1136</v>
      </c>
      <c r="J550" t="s">
        <v>294</v>
      </c>
      <c r="M550" t="s">
        <v>295</v>
      </c>
      <c r="N550" t="s">
        <v>296</v>
      </c>
      <c r="O550" t="s">
        <v>297</v>
      </c>
    </row>
    <row r="551" spans="1:15" x14ac:dyDescent="0.3">
      <c r="A551" t="s">
        <v>1086</v>
      </c>
      <c r="B551" t="s">
        <v>1087</v>
      </c>
      <c r="C551">
        <v>2023</v>
      </c>
      <c r="D551" t="s">
        <v>300</v>
      </c>
      <c r="E551" t="s">
        <v>1137</v>
      </c>
      <c r="F551">
        <v>4800</v>
      </c>
      <c r="G551" t="s">
        <v>302</v>
      </c>
      <c r="H551">
        <v>3</v>
      </c>
      <c r="I551" t="s">
        <v>1138</v>
      </c>
      <c r="J551" t="s">
        <v>294</v>
      </c>
      <c r="M551" t="s">
        <v>295</v>
      </c>
      <c r="N551" t="s">
        <v>296</v>
      </c>
      <c r="O551" t="s">
        <v>297</v>
      </c>
    </row>
    <row r="552" spans="1:15" x14ac:dyDescent="0.3">
      <c r="A552" t="s">
        <v>1086</v>
      </c>
      <c r="B552" t="s">
        <v>1087</v>
      </c>
      <c r="C552">
        <v>2023</v>
      </c>
      <c r="D552" t="s">
        <v>300</v>
      </c>
      <c r="E552" t="s">
        <v>601</v>
      </c>
      <c r="F552">
        <v>42910</v>
      </c>
      <c r="G552" t="s">
        <v>1106</v>
      </c>
      <c r="H552">
        <v>90</v>
      </c>
      <c r="I552" t="s">
        <v>1139</v>
      </c>
      <c r="J552" t="s">
        <v>294</v>
      </c>
      <c r="M552" t="s">
        <v>295</v>
      </c>
      <c r="N552" t="s">
        <v>296</v>
      </c>
      <c r="O552" t="s">
        <v>297</v>
      </c>
    </row>
    <row r="553" spans="1:15" x14ac:dyDescent="0.3">
      <c r="A553" t="s">
        <v>1086</v>
      </c>
      <c r="B553" t="s">
        <v>1087</v>
      </c>
      <c r="C553">
        <v>2023</v>
      </c>
      <c r="D553" t="s">
        <v>300</v>
      </c>
      <c r="E553" t="s">
        <v>1140</v>
      </c>
      <c r="F553">
        <v>254930</v>
      </c>
      <c r="G553" t="s">
        <v>1106</v>
      </c>
      <c r="H553">
        <v>90</v>
      </c>
      <c r="I553" t="s">
        <v>1141</v>
      </c>
      <c r="J553" t="s">
        <v>294</v>
      </c>
      <c r="M553" t="s">
        <v>295</v>
      </c>
      <c r="N553" t="s">
        <v>296</v>
      </c>
      <c r="O553" t="s">
        <v>297</v>
      </c>
    </row>
    <row r="554" spans="1:15" x14ac:dyDescent="0.3">
      <c r="A554" t="s">
        <v>1086</v>
      </c>
      <c r="B554" t="s">
        <v>1087</v>
      </c>
      <c r="C554">
        <v>2023</v>
      </c>
      <c r="D554" t="s">
        <v>300</v>
      </c>
      <c r="E554" t="s">
        <v>1142</v>
      </c>
      <c r="F554">
        <v>204000</v>
      </c>
      <c r="G554" t="s">
        <v>1106</v>
      </c>
      <c r="H554">
        <v>90</v>
      </c>
      <c r="I554" t="s">
        <v>1143</v>
      </c>
      <c r="J554" t="s">
        <v>294</v>
      </c>
      <c r="M554" t="s">
        <v>295</v>
      </c>
      <c r="N554" t="s">
        <v>296</v>
      </c>
      <c r="O554" t="s">
        <v>297</v>
      </c>
    </row>
    <row r="555" spans="1:15" x14ac:dyDescent="0.3">
      <c r="A555" t="s">
        <v>1086</v>
      </c>
      <c r="B555" t="s">
        <v>1087</v>
      </c>
      <c r="C555">
        <v>2023</v>
      </c>
      <c r="D555" t="s">
        <v>300</v>
      </c>
      <c r="E555" t="s">
        <v>1144</v>
      </c>
      <c r="F555">
        <v>99910</v>
      </c>
      <c r="G555" t="s">
        <v>1106</v>
      </c>
      <c r="H555">
        <v>86</v>
      </c>
      <c r="I555" t="s">
        <v>1145</v>
      </c>
      <c r="J555" t="s">
        <v>294</v>
      </c>
      <c r="M555" t="s">
        <v>295</v>
      </c>
      <c r="N555" t="s">
        <v>296</v>
      </c>
      <c r="O555" t="s">
        <v>297</v>
      </c>
    </row>
    <row r="556" spans="1:15" x14ac:dyDescent="0.3">
      <c r="A556" t="s">
        <v>1086</v>
      </c>
      <c r="B556" t="s">
        <v>1146</v>
      </c>
      <c r="C556">
        <v>2024</v>
      </c>
      <c r="D556" t="s">
        <v>272</v>
      </c>
      <c r="E556" t="s">
        <v>291</v>
      </c>
      <c r="F556" t="s">
        <v>1086</v>
      </c>
      <c r="G556" t="s">
        <v>292</v>
      </c>
      <c r="H556">
        <v>1</v>
      </c>
      <c r="I556" t="s">
        <v>1147</v>
      </c>
      <c r="J556" t="s">
        <v>294</v>
      </c>
      <c r="M556" t="s">
        <v>295</v>
      </c>
      <c r="N556" t="s">
        <v>296</v>
      </c>
      <c r="O556" t="s">
        <v>297</v>
      </c>
    </row>
    <row r="557" spans="1:15" x14ac:dyDescent="0.3">
      <c r="A557" t="s">
        <v>1086</v>
      </c>
      <c r="B557" t="s">
        <v>1146</v>
      </c>
      <c r="C557">
        <v>2024</v>
      </c>
      <c r="D557" t="s">
        <v>272</v>
      </c>
      <c r="E557" t="s">
        <v>1</v>
      </c>
      <c r="F557" t="s">
        <v>15</v>
      </c>
      <c r="G557" t="s">
        <v>292</v>
      </c>
      <c r="H557">
        <v>0</v>
      </c>
      <c r="I557" t="s">
        <v>298</v>
      </c>
      <c r="J557" t="s">
        <v>294</v>
      </c>
      <c r="M557" t="s">
        <v>295</v>
      </c>
      <c r="N557" t="s">
        <v>296</v>
      </c>
      <c r="O557" t="s">
        <v>297</v>
      </c>
    </row>
    <row r="558" spans="1:15" x14ac:dyDescent="0.3">
      <c r="A558" t="s">
        <v>1086</v>
      </c>
      <c r="B558" t="s">
        <v>1146</v>
      </c>
      <c r="C558">
        <v>2024</v>
      </c>
      <c r="D558" t="s">
        <v>272</v>
      </c>
      <c r="E558" t="s">
        <v>274</v>
      </c>
      <c r="F558">
        <v>2024</v>
      </c>
      <c r="G558" t="s">
        <v>299</v>
      </c>
      <c r="H558">
        <v>1</v>
      </c>
      <c r="I558" t="s">
        <v>1025</v>
      </c>
      <c r="J558" t="s">
        <v>294</v>
      </c>
      <c r="M558" t="s">
        <v>295</v>
      </c>
      <c r="N558" t="s">
        <v>296</v>
      </c>
      <c r="O558" t="s">
        <v>297</v>
      </c>
    </row>
    <row r="559" spans="1:15" x14ac:dyDescent="0.3">
      <c r="A559" t="s">
        <v>1086</v>
      </c>
      <c r="B559" t="s">
        <v>1146</v>
      </c>
      <c r="C559">
        <v>2024</v>
      </c>
      <c r="D559" t="s">
        <v>272</v>
      </c>
      <c r="E559" t="s">
        <v>1100</v>
      </c>
      <c r="F559" t="s">
        <v>1148</v>
      </c>
      <c r="G559" t="s">
        <v>292</v>
      </c>
      <c r="H559">
        <v>14</v>
      </c>
      <c r="I559" t="s">
        <v>1102</v>
      </c>
      <c r="J559" t="s">
        <v>294</v>
      </c>
      <c r="M559" t="s">
        <v>295</v>
      </c>
      <c r="N559" t="s">
        <v>296</v>
      </c>
      <c r="O559" t="s">
        <v>297</v>
      </c>
    </row>
    <row r="560" spans="1:15" x14ac:dyDescent="0.3">
      <c r="A560" t="s">
        <v>1086</v>
      </c>
      <c r="B560" t="s">
        <v>1146</v>
      </c>
      <c r="C560">
        <v>2024</v>
      </c>
      <c r="D560" t="s">
        <v>272</v>
      </c>
      <c r="E560" t="s">
        <v>442</v>
      </c>
      <c r="F560" t="s">
        <v>1149</v>
      </c>
      <c r="G560" t="s">
        <v>292</v>
      </c>
      <c r="H560">
        <v>22</v>
      </c>
      <c r="I560" t="s">
        <v>1096</v>
      </c>
      <c r="J560" t="s">
        <v>294</v>
      </c>
      <c r="M560" t="s">
        <v>295</v>
      </c>
      <c r="N560" t="s">
        <v>296</v>
      </c>
      <c r="O560" t="s">
        <v>297</v>
      </c>
    </row>
    <row r="561" spans="1:15" x14ac:dyDescent="0.3">
      <c r="A561" t="s">
        <v>1086</v>
      </c>
      <c r="B561" t="s">
        <v>1146</v>
      </c>
      <c r="C561">
        <v>2024</v>
      </c>
      <c r="D561" t="s">
        <v>300</v>
      </c>
      <c r="E561" t="s">
        <v>1150</v>
      </c>
      <c r="F561">
        <v>1367926</v>
      </c>
      <c r="G561" t="s">
        <v>1106</v>
      </c>
      <c r="H561">
        <v>87</v>
      </c>
      <c r="I561" t="s">
        <v>1151</v>
      </c>
      <c r="J561" t="s">
        <v>294</v>
      </c>
      <c r="M561" t="s">
        <v>295</v>
      </c>
      <c r="N561" t="s">
        <v>296</v>
      </c>
      <c r="O561" t="s">
        <v>297</v>
      </c>
    </row>
    <row r="562" spans="1:15" x14ac:dyDescent="0.3">
      <c r="A562" t="s">
        <v>1086</v>
      </c>
      <c r="B562" t="s">
        <v>1146</v>
      </c>
      <c r="C562">
        <v>2024</v>
      </c>
      <c r="D562" t="s">
        <v>300</v>
      </c>
      <c r="E562" t="s">
        <v>877</v>
      </c>
      <c r="F562">
        <v>1368</v>
      </c>
      <c r="G562" t="s">
        <v>302</v>
      </c>
      <c r="H562">
        <v>87</v>
      </c>
      <c r="I562" t="s">
        <v>1152</v>
      </c>
      <c r="J562" t="s">
        <v>294</v>
      </c>
      <c r="M562" t="s">
        <v>295</v>
      </c>
      <c r="N562" t="s">
        <v>296</v>
      </c>
      <c r="O562" t="s">
        <v>297</v>
      </c>
    </row>
    <row r="563" spans="1:15" x14ac:dyDescent="0.3">
      <c r="A563" t="s">
        <v>1086</v>
      </c>
      <c r="B563" t="s">
        <v>1146</v>
      </c>
      <c r="C563">
        <v>2024</v>
      </c>
      <c r="D563" t="s">
        <v>300</v>
      </c>
      <c r="E563" t="s">
        <v>1109</v>
      </c>
      <c r="F563">
        <v>-742939</v>
      </c>
      <c r="G563" t="s">
        <v>1106</v>
      </c>
      <c r="H563">
        <v>87</v>
      </c>
      <c r="I563" t="s">
        <v>1153</v>
      </c>
      <c r="J563" t="s">
        <v>294</v>
      </c>
      <c r="M563" t="s">
        <v>295</v>
      </c>
      <c r="N563" t="s">
        <v>296</v>
      </c>
      <c r="O563" t="s">
        <v>297</v>
      </c>
    </row>
    <row r="564" spans="1:15" x14ac:dyDescent="0.3">
      <c r="A564" t="s">
        <v>1086</v>
      </c>
      <c r="B564" t="s">
        <v>1146</v>
      </c>
      <c r="C564">
        <v>2024</v>
      </c>
      <c r="D564" t="s">
        <v>300</v>
      </c>
      <c r="E564" t="s">
        <v>304</v>
      </c>
      <c r="F564">
        <v>624987</v>
      </c>
      <c r="G564" t="s">
        <v>1106</v>
      </c>
      <c r="H564">
        <v>87</v>
      </c>
      <c r="I564" t="s">
        <v>1154</v>
      </c>
      <c r="J564" t="s">
        <v>294</v>
      </c>
      <c r="M564" t="s">
        <v>295</v>
      </c>
      <c r="N564" t="s">
        <v>296</v>
      </c>
      <c r="O564" t="s">
        <v>297</v>
      </c>
    </row>
    <row r="565" spans="1:15" x14ac:dyDescent="0.3">
      <c r="A565" t="s">
        <v>1086</v>
      </c>
      <c r="B565" t="s">
        <v>1146</v>
      </c>
      <c r="C565">
        <v>2024</v>
      </c>
      <c r="D565" t="s">
        <v>300</v>
      </c>
      <c r="E565" t="s">
        <v>1155</v>
      </c>
      <c r="F565">
        <v>-233943</v>
      </c>
      <c r="G565" t="s">
        <v>1106</v>
      </c>
      <c r="H565">
        <v>87</v>
      </c>
      <c r="I565" t="s">
        <v>1156</v>
      </c>
      <c r="J565" t="s">
        <v>294</v>
      </c>
      <c r="M565" t="s">
        <v>295</v>
      </c>
      <c r="N565" t="s">
        <v>296</v>
      </c>
      <c r="O565" t="s">
        <v>297</v>
      </c>
    </row>
    <row r="566" spans="1:15" x14ac:dyDescent="0.3">
      <c r="A566" t="s">
        <v>1086</v>
      </c>
      <c r="B566" t="s">
        <v>1146</v>
      </c>
      <c r="C566">
        <v>2024</v>
      </c>
      <c r="D566" t="s">
        <v>300</v>
      </c>
      <c r="E566" t="s">
        <v>1157</v>
      </c>
      <c r="F566">
        <v>-82054</v>
      </c>
      <c r="G566" t="s">
        <v>1106</v>
      </c>
      <c r="H566">
        <v>87</v>
      </c>
      <c r="I566" t="s">
        <v>1158</v>
      </c>
      <c r="J566" t="s">
        <v>294</v>
      </c>
      <c r="M566" t="s">
        <v>295</v>
      </c>
      <c r="N566" t="s">
        <v>296</v>
      </c>
      <c r="O566" t="s">
        <v>297</v>
      </c>
    </row>
    <row r="567" spans="1:15" x14ac:dyDescent="0.3">
      <c r="A567" t="s">
        <v>1086</v>
      </c>
      <c r="B567" t="s">
        <v>1146</v>
      </c>
      <c r="C567">
        <v>2024</v>
      </c>
      <c r="D567" t="s">
        <v>300</v>
      </c>
      <c r="E567" t="s">
        <v>1159</v>
      </c>
      <c r="F567">
        <v>-100847</v>
      </c>
      <c r="G567" t="s">
        <v>1106</v>
      </c>
      <c r="H567">
        <v>87</v>
      </c>
      <c r="I567" t="s">
        <v>1160</v>
      </c>
      <c r="J567" t="s">
        <v>294</v>
      </c>
      <c r="M567" t="s">
        <v>295</v>
      </c>
      <c r="N567" t="s">
        <v>296</v>
      </c>
      <c r="O567" t="s">
        <v>297</v>
      </c>
    </row>
    <row r="568" spans="1:15" x14ac:dyDescent="0.3">
      <c r="A568" t="s">
        <v>1086</v>
      </c>
      <c r="B568" t="s">
        <v>1146</v>
      </c>
      <c r="C568">
        <v>2024</v>
      </c>
      <c r="D568" t="s">
        <v>300</v>
      </c>
      <c r="E568" t="s">
        <v>1112</v>
      </c>
      <c r="F568">
        <v>206301</v>
      </c>
      <c r="G568" t="s">
        <v>1106</v>
      </c>
      <c r="H568">
        <v>87</v>
      </c>
      <c r="I568" t="s">
        <v>1161</v>
      </c>
      <c r="J568" t="s">
        <v>294</v>
      </c>
      <c r="M568" t="s">
        <v>295</v>
      </c>
      <c r="N568" t="s">
        <v>296</v>
      </c>
      <c r="O568" t="s">
        <v>297</v>
      </c>
    </row>
    <row r="569" spans="1:15" x14ac:dyDescent="0.3">
      <c r="A569" t="s">
        <v>1086</v>
      </c>
      <c r="B569" t="s">
        <v>1146</v>
      </c>
      <c r="C569">
        <v>2024</v>
      </c>
      <c r="D569" t="s">
        <v>300</v>
      </c>
      <c r="E569" t="s">
        <v>1162</v>
      </c>
      <c r="F569">
        <v>28914</v>
      </c>
      <c r="G569" t="s">
        <v>1106</v>
      </c>
      <c r="H569">
        <v>87</v>
      </c>
      <c r="I569" t="s">
        <v>1163</v>
      </c>
      <c r="J569" t="s">
        <v>294</v>
      </c>
      <c r="M569" t="s">
        <v>295</v>
      </c>
      <c r="N569" t="s">
        <v>296</v>
      </c>
      <c r="O569" t="s">
        <v>297</v>
      </c>
    </row>
    <row r="570" spans="1:15" x14ac:dyDescent="0.3">
      <c r="A570" t="s">
        <v>1086</v>
      </c>
      <c r="B570" t="s">
        <v>1146</v>
      </c>
      <c r="C570">
        <v>2024</v>
      </c>
      <c r="D570" t="s">
        <v>300</v>
      </c>
      <c r="E570" t="s">
        <v>1114</v>
      </c>
      <c r="F570">
        <v>234980</v>
      </c>
      <c r="G570" t="s">
        <v>1106</v>
      </c>
      <c r="H570">
        <v>87</v>
      </c>
      <c r="I570" t="s">
        <v>1164</v>
      </c>
      <c r="J570" t="s">
        <v>294</v>
      </c>
      <c r="M570" t="s">
        <v>295</v>
      </c>
      <c r="N570" t="s">
        <v>296</v>
      </c>
      <c r="O570" t="s">
        <v>297</v>
      </c>
    </row>
    <row r="571" spans="1:15" x14ac:dyDescent="0.3">
      <c r="A571" t="s">
        <v>1086</v>
      </c>
      <c r="B571" t="s">
        <v>1146</v>
      </c>
      <c r="C571">
        <v>2024</v>
      </c>
      <c r="D571" t="s">
        <v>300</v>
      </c>
      <c r="E571" t="s">
        <v>1165</v>
      </c>
      <c r="F571">
        <v>-56340</v>
      </c>
      <c r="G571" t="s">
        <v>1106</v>
      </c>
      <c r="H571">
        <v>87</v>
      </c>
      <c r="I571" t="s">
        <v>1166</v>
      </c>
      <c r="J571" t="s">
        <v>294</v>
      </c>
      <c r="M571" t="s">
        <v>295</v>
      </c>
      <c r="N571" t="s">
        <v>296</v>
      </c>
      <c r="O571" t="s">
        <v>297</v>
      </c>
    </row>
    <row r="572" spans="1:15" x14ac:dyDescent="0.3">
      <c r="A572" t="s">
        <v>1086</v>
      </c>
      <c r="B572" t="s">
        <v>1146</v>
      </c>
      <c r="C572">
        <v>2024</v>
      </c>
      <c r="D572" t="s">
        <v>300</v>
      </c>
      <c r="E572" t="s">
        <v>306</v>
      </c>
      <c r="F572">
        <v>178640</v>
      </c>
      <c r="G572" t="s">
        <v>1106</v>
      </c>
      <c r="H572">
        <v>87</v>
      </c>
      <c r="I572" t="s">
        <v>1167</v>
      </c>
      <c r="J572" t="s">
        <v>294</v>
      </c>
      <c r="M572" t="s">
        <v>295</v>
      </c>
      <c r="N572" t="s">
        <v>296</v>
      </c>
      <c r="O572" t="s">
        <v>297</v>
      </c>
    </row>
    <row r="573" spans="1:15" x14ac:dyDescent="0.3">
      <c r="A573" t="s">
        <v>1086</v>
      </c>
      <c r="B573" t="s">
        <v>1146</v>
      </c>
      <c r="C573">
        <v>2024</v>
      </c>
      <c r="D573" t="s">
        <v>300</v>
      </c>
      <c r="E573" t="s">
        <v>308</v>
      </c>
      <c r="F573">
        <v>178507</v>
      </c>
      <c r="G573" t="s">
        <v>1106</v>
      </c>
      <c r="H573">
        <v>88</v>
      </c>
      <c r="I573" t="s">
        <v>1168</v>
      </c>
      <c r="J573" t="s">
        <v>294</v>
      </c>
      <c r="M573" t="s">
        <v>295</v>
      </c>
      <c r="N573" t="s">
        <v>296</v>
      </c>
      <c r="O573" t="s">
        <v>297</v>
      </c>
    </row>
    <row r="574" spans="1:15" x14ac:dyDescent="0.3">
      <c r="A574" t="s">
        <v>1086</v>
      </c>
      <c r="B574" t="s">
        <v>1146</v>
      </c>
      <c r="C574">
        <v>2024</v>
      </c>
      <c r="D574" t="s">
        <v>300</v>
      </c>
      <c r="E574" t="s">
        <v>345</v>
      </c>
      <c r="F574">
        <v>59.5</v>
      </c>
      <c r="G574" t="s">
        <v>916</v>
      </c>
      <c r="H574">
        <v>88</v>
      </c>
      <c r="I574" t="s">
        <v>1169</v>
      </c>
      <c r="J574" t="s">
        <v>294</v>
      </c>
      <c r="M574" t="s">
        <v>295</v>
      </c>
      <c r="N574" t="s">
        <v>296</v>
      </c>
      <c r="O574" t="s">
        <v>297</v>
      </c>
    </row>
    <row r="575" spans="1:15" x14ac:dyDescent="0.3">
      <c r="A575" t="s">
        <v>1086</v>
      </c>
      <c r="B575" t="s">
        <v>1146</v>
      </c>
      <c r="C575">
        <v>2024</v>
      </c>
      <c r="D575" t="s">
        <v>300</v>
      </c>
      <c r="E575" t="s">
        <v>973</v>
      </c>
      <c r="F575">
        <v>567673</v>
      </c>
      <c r="G575" t="s">
        <v>1106</v>
      </c>
      <c r="H575">
        <v>85</v>
      </c>
      <c r="I575" t="s">
        <v>1170</v>
      </c>
      <c r="J575" t="s">
        <v>294</v>
      </c>
      <c r="M575" t="s">
        <v>295</v>
      </c>
      <c r="N575" t="s">
        <v>296</v>
      </c>
      <c r="O575" t="s">
        <v>297</v>
      </c>
    </row>
    <row r="576" spans="1:15" x14ac:dyDescent="0.3">
      <c r="A576" t="s">
        <v>1086</v>
      </c>
      <c r="B576" t="s">
        <v>1146</v>
      </c>
      <c r="C576">
        <v>2024</v>
      </c>
      <c r="D576" t="s">
        <v>300</v>
      </c>
      <c r="E576" t="s">
        <v>479</v>
      </c>
      <c r="F576">
        <v>488553</v>
      </c>
      <c r="G576" t="s">
        <v>1106</v>
      </c>
      <c r="H576">
        <v>85</v>
      </c>
      <c r="I576" t="s">
        <v>1171</v>
      </c>
      <c r="J576" t="s">
        <v>294</v>
      </c>
      <c r="M576" t="s">
        <v>295</v>
      </c>
      <c r="N576" t="s">
        <v>296</v>
      </c>
      <c r="O576" t="s">
        <v>297</v>
      </c>
    </row>
    <row r="577" spans="1:15" x14ac:dyDescent="0.3">
      <c r="A577" t="s">
        <v>1086</v>
      </c>
      <c r="B577" t="s">
        <v>1146</v>
      </c>
      <c r="C577">
        <v>2024</v>
      </c>
      <c r="D577" t="s">
        <v>300</v>
      </c>
      <c r="E577" t="s">
        <v>481</v>
      </c>
      <c r="F577">
        <v>1473796</v>
      </c>
      <c r="G577" t="s">
        <v>1106</v>
      </c>
      <c r="H577">
        <v>85</v>
      </c>
      <c r="I577" t="s">
        <v>1172</v>
      </c>
      <c r="J577" t="s">
        <v>294</v>
      </c>
      <c r="M577" t="s">
        <v>295</v>
      </c>
      <c r="N577" t="s">
        <v>296</v>
      </c>
      <c r="O577" t="s">
        <v>297</v>
      </c>
    </row>
    <row r="578" spans="1:15" x14ac:dyDescent="0.3">
      <c r="A578" t="s">
        <v>1086</v>
      </c>
      <c r="B578" t="s">
        <v>1146</v>
      </c>
      <c r="C578">
        <v>2024</v>
      </c>
      <c r="D578" t="s">
        <v>300</v>
      </c>
      <c r="E578" t="s">
        <v>889</v>
      </c>
      <c r="F578">
        <v>2572633</v>
      </c>
      <c r="G578" t="s">
        <v>1106</v>
      </c>
      <c r="H578">
        <v>85</v>
      </c>
      <c r="I578" t="s">
        <v>1173</v>
      </c>
      <c r="J578" t="s">
        <v>294</v>
      </c>
      <c r="M578" t="s">
        <v>295</v>
      </c>
      <c r="N578" t="s">
        <v>296</v>
      </c>
      <c r="O578" t="s">
        <v>297</v>
      </c>
    </row>
    <row r="579" spans="1:15" x14ac:dyDescent="0.3">
      <c r="A579" t="s">
        <v>1086</v>
      </c>
      <c r="B579" t="s">
        <v>1146</v>
      </c>
      <c r="C579">
        <v>2024</v>
      </c>
      <c r="D579" t="s">
        <v>300</v>
      </c>
      <c r="E579" t="s">
        <v>1122</v>
      </c>
      <c r="F579">
        <v>798721</v>
      </c>
      <c r="G579" t="s">
        <v>1106</v>
      </c>
      <c r="H579">
        <v>85</v>
      </c>
      <c r="I579" t="s">
        <v>1174</v>
      </c>
      <c r="J579" t="s">
        <v>294</v>
      </c>
      <c r="M579" t="s">
        <v>295</v>
      </c>
      <c r="N579" t="s">
        <v>296</v>
      </c>
      <c r="O579" t="s">
        <v>297</v>
      </c>
    </row>
    <row r="580" spans="1:15" x14ac:dyDescent="0.3">
      <c r="A580" t="s">
        <v>1086</v>
      </c>
      <c r="B580" t="s">
        <v>1146</v>
      </c>
      <c r="C580">
        <v>2024</v>
      </c>
      <c r="D580" t="s">
        <v>300</v>
      </c>
      <c r="E580" t="s">
        <v>1175</v>
      </c>
      <c r="F580">
        <v>1061896</v>
      </c>
      <c r="G580" t="s">
        <v>1106</v>
      </c>
      <c r="H580">
        <v>85</v>
      </c>
      <c r="I580" t="s">
        <v>1176</v>
      </c>
      <c r="J580" t="s">
        <v>294</v>
      </c>
      <c r="M580" t="s">
        <v>295</v>
      </c>
      <c r="N580" t="s">
        <v>296</v>
      </c>
      <c r="O580" t="s">
        <v>297</v>
      </c>
    </row>
    <row r="581" spans="1:15" x14ac:dyDescent="0.3">
      <c r="A581" t="s">
        <v>1086</v>
      </c>
      <c r="B581" t="s">
        <v>1146</v>
      </c>
      <c r="C581">
        <v>2024</v>
      </c>
      <c r="D581" t="s">
        <v>300</v>
      </c>
      <c r="E581" t="s">
        <v>316</v>
      </c>
      <c r="F581">
        <v>3634529</v>
      </c>
      <c r="G581" t="s">
        <v>1106</v>
      </c>
      <c r="H581">
        <v>85</v>
      </c>
      <c r="I581" t="s">
        <v>1177</v>
      </c>
      <c r="J581" t="s">
        <v>294</v>
      </c>
      <c r="M581" t="s">
        <v>295</v>
      </c>
      <c r="N581" t="s">
        <v>296</v>
      </c>
      <c r="O581" t="s">
        <v>297</v>
      </c>
    </row>
    <row r="582" spans="1:15" x14ac:dyDescent="0.3">
      <c r="A582" t="s">
        <v>1086</v>
      </c>
      <c r="B582" t="s">
        <v>1146</v>
      </c>
      <c r="C582">
        <v>2024</v>
      </c>
      <c r="D582" t="s">
        <v>300</v>
      </c>
      <c r="E582" t="s">
        <v>894</v>
      </c>
      <c r="F582">
        <v>192052</v>
      </c>
      <c r="G582" t="s">
        <v>1106</v>
      </c>
      <c r="H582">
        <v>86</v>
      </c>
      <c r="I582" t="s">
        <v>1178</v>
      </c>
      <c r="J582" t="s">
        <v>294</v>
      </c>
      <c r="M582" t="s">
        <v>295</v>
      </c>
      <c r="N582" t="s">
        <v>296</v>
      </c>
      <c r="O582" t="s">
        <v>297</v>
      </c>
    </row>
    <row r="583" spans="1:15" x14ac:dyDescent="0.3">
      <c r="A583" t="s">
        <v>1086</v>
      </c>
      <c r="B583" t="s">
        <v>1146</v>
      </c>
      <c r="C583">
        <v>2024</v>
      </c>
      <c r="D583" t="s">
        <v>300</v>
      </c>
      <c r="E583" t="s">
        <v>1179</v>
      </c>
      <c r="F583">
        <v>52022</v>
      </c>
      <c r="G583" t="s">
        <v>1106</v>
      </c>
      <c r="H583">
        <v>86</v>
      </c>
      <c r="I583" t="s">
        <v>1180</v>
      </c>
      <c r="J583" t="s">
        <v>294</v>
      </c>
      <c r="M583" t="s">
        <v>295</v>
      </c>
      <c r="N583" t="s">
        <v>296</v>
      </c>
      <c r="O583" t="s">
        <v>297</v>
      </c>
    </row>
    <row r="584" spans="1:15" x14ac:dyDescent="0.3">
      <c r="A584" t="s">
        <v>1086</v>
      </c>
      <c r="B584" t="s">
        <v>1146</v>
      </c>
      <c r="C584">
        <v>2024</v>
      </c>
      <c r="D584" t="s">
        <v>300</v>
      </c>
      <c r="E584" t="s">
        <v>322</v>
      </c>
      <c r="F584">
        <v>244074</v>
      </c>
      <c r="G584" t="s">
        <v>1106</v>
      </c>
      <c r="H584">
        <v>86</v>
      </c>
      <c r="I584" t="s">
        <v>1181</v>
      </c>
      <c r="J584" t="s">
        <v>294</v>
      </c>
      <c r="M584" t="s">
        <v>295</v>
      </c>
      <c r="N584" t="s">
        <v>296</v>
      </c>
      <c r="O584" t="s">
        <v>297</v>
      </c>
    </row>
    <row r="585" spans="1:15" x14ac:dyDescent="0.3">
      <c r="A585" t="s">
        <v>1086</v>
      </c>
      <c r="B585" t="s">
        <v>1146</v>
      </c>
      <c r="C585">
        <v>2024</v>
      </c>
      <c r="D585" t="s">
        <v>300</v>
      </c>
      <c r="E585" t="s">
        <v>324</v>
      </c>
      <c r="F585">
        <v>3390455</v>
      </c>
      <c r="G585" t="s">
        <v>1106</v>
      </c>
      <c r="H585">
        <v>86</v>
      </c>
      <c r="I585" t="s">
        <v>1182</v>
      </c>
      <c r="J585" t="s">
        <v>294</v>
      </c>
      <c r="M585" t="s">
        <v>295</v>
      </c>
      <c r="N585" t="s">
        <v>296</v>
      </c>
      <c r="O585" t="s">
        <v>297</v>
      </c>
    </row>
    <row r="586" spans="1:15" x14ac:dyDescent="0.3">
      <c r="A586" t="s">
        <v>1086</v>
      </c>
      <c r="B586" t="s">
        <v>1146</v>
      </c>
      <c r="C586">
        <v>2024</v>
      </c>
      <c r="D586" t="s">
        <v>300</v>
      </c>
      <c r="E586" t="s">
        <v>333</v>
      </c>
      <c r="F586">
        <v>0.05</v>
      </c>
      <c r="G586" t="s">
        <v>334</v>
      </c>
      <c r="H586">
        <v>3</v>
      </c>
      <c r="I586" t="s">
        <v>1183</v>
      </c>
      <c r="J586" t="s">
        <v>294</v>
      </c>
      <c r="M586" t="s">
        <v>295</v>
      </c>
      <c r="N586" t="s">
        <v>296</v>
      </c>
      <c r="O586" t="s">
        <v>297</v>
      </c>
    </row>
    <row r="587" spans="1:15" x14ac:dyDescent="0.3">
      <c r="A587" t="s">
        <v>1086</v>
      </c>
      <c r="B587" t="s">
        <v>1146</v>
      </c>
      <c r="C587">
        <v>2024</v>
      </c>
      <c r="D587" t="s">
        <v>300</v>
      </c>
      <c r="E587" t="s">
        <v>336</v>
      </c>
      <c r="F587">
        <v>0.05</v>
      </c>
      <c r="G587" t="s">
        <v>334</v>
      </c>
      <c r="H587">
        <v>3</v>
      </c>
      <c r="I587" t="s">
        <v>1184</v>
      </c>
      <c r="J587" t="s">
        <v>294</v>
      </c>
      <c r="M587" t="s">
        <v>295</v>
      </c>
      <c r="N587" t="s">
        <v>296</v>
      </c>
      <c r="O587" t="s">
        <v>297</v>
      </c>
    </row>
    <row r="588" spans="1:15" x14ac:dyDescent="0.3">
      <c r="A588" t="s">
        <v>1086</v>
      </c>
      <c r="B588" t="s">
        <v>1146</v>
      </c>
      <c r="C588">
        <v>2024</v>
      </c>
      <c r="D588" t="s">
        <v>300</v>
      </c>
      <c r="E588" t="s">
        <v>326</v>
      </c>
      <c r="F588">
        <v>13.4</v>
      </c>
      <c r="G588" t="s">
        <v>327</v>
      </c>
      <c r="H588">
        <v>3</v>
      </c>
      <c r="I588" t="s">
        <v>1185</v>
      </c>
      <c r="J588" t="s">
        <v>294</v>
      </c>
      <c r="M588" t="s">
        <v>295</v>
      </c>
      <c r="N588" t="s">
        <v>296</v>
      </c>
      <c r="O588" t="s">
        <v>297</v>
      </c>
    </row>
    <row r="589" spans="1:15" x14ac:dyDescent="0.3">
      <c r="A589" t="s">
        <v>1086</v>
      </c>
      <c r="B589" t="s">
        <v>1146</v>
      </c>
      <c r="C589">
        <v>2024</v>
      </c>
      <c r="D589" t="s">
        <v>300</v>
      </c>
      <c r="E589" t="s">
        <v>331</v>
      </c>
      <c r="F589">
        <v>7.0000000000000007E-2</v>
      </c>
      <c r="G589" t="s">
        <v>327</v>
      </c>
      <c r="H589">
        <v>3</v>
      </c>
      <c r="I589" t="s">
        <v>1186</v>
      </c>
      <c r="J589" t="s">
        <v>294</v>
      </c>
      <c r="M589" t="s">
        <v>295</v>
      </c>
      <c r="N589" t="s">
        <v>296</v>
      </c>
      <c r="O589" t="s">
        <v>297</v>
      </c>
    </row>
    <row r="590" spans="1:15" x14ac:dyDescent="0.3">
      <c r="A590" t="s">
        <v>1086</v>
      </c>
      <c r="B590" t="s">
        <v>1146</v>
      </c>
      <c r="C590">
        <v>2024</v>
      </c>
      <c r="D590" t="s">
        <v>300</v>
      </c>
      <c r="E590" t="s">
        <v>1187</v>
      </c>
      <c r="F590">
        <v>0.46</v>
      </c>
      <c r="G590" t="s">
        <v>334</v>
      </c>
      <c r="H590">
        <v>3</v>
      </c>
      <c r="I590" t="s">
        <v>1188</v>
      </c>
      <c r="J590" t="s">
        <v>294</v>
      </c>
      <c r="M590" t="s">
        <v>295</v>
      </c>
      <c r="N590" t="s">
        <v>296</v>
      </c>
      <c r="O590" t="s">
        <v>297</v>
      </c>
    </row>
    <row r="591" spans="1:15" x14ac:dyDescent="0.3">
      <c r="A591" t="s">
        <v>1086</v>
      </c>
      <c r="B591" t="s">
        <v>1146</v>
      </c>
      <c r="C591">
        <v>2024</v>
      </c>
      <c r="D591" t="s">
        <v>300</v>
      </c>
      <c r="E591" t="s">
        <v>1048</v>
      </c>
      <c r="F591">
        <v>1200</v>
      </c>
      <c r="G591" t="s">
        <v>912</v>
      </c>
      <c r="H591">
        <v>3</v>
      </c>
      <c r="I591" t="s">
        <v>1189</v>
      </c>
      <c r="J591" t="s">
        <v>294</v>
      </c>
      <c r="M591" t="s">
        <v>295</v>
      </c>
      <c r="N591" t="s">
        <v>296</v>
      </c>
      <c r="O591" t="s">
        <v>297</v>
      </c>
    </row>
    <row r="592" spans="1:15" x14ac:dyDescent="0.3">
      <c r="A592" t="s">
        <v>1086</v>
      </c>
      <c r="B592" t="s">
        <v>1146</v>
      </c>
      <c r="C592">
        <v>2024</v>
      </c>
      <c r="D592" t="s">
        <v>300</v>
      </c>
      <c r="E592" t="s">
        <v>1050</v>
      </c>
      <c r="F592">
        <v>3600</v>
      </c>
      <c r="G592" t="s">
        <v>302</v>
      </c>
      <c r="H592">
        <v>3</v>
      </c>
      <c r="I592" t="s">
        <v>1190</v>
      </c>
      <c r="J592" t="s">
        <v>294</v>
      </c>
      <c r="M592" t="s">
        <v>295</v>
      </c>
      <c r="N592" t="s">
        <v>296</v>
      </c>
      <c r="O592" t="s">
        <v>297</v>
      </c>
    </row>
    <row r="593" spans="1:15" x14ac:dyDescent="0.3">
      <c r="A593" t="s">
        <v>1086</v>
      </c>
      <c r="B593" t="s">
        <v>1146</v>
      </c>
      <c r="C593">
        <v>2024</v>
      </c>
      <c r="D593" t="s">
        <v>300</v>
      </c>
      <c r="E593" t="s">
        <v>1191</v>
      </c>
      <c r="F593">
        <v>-146282</v>
      </c>
      <c r="G593" t="s">
        <v>1106</v>
      </c>
      <c r="H593">
        <v>90</v>
      </c>
      <c r="I593" t="s">
        <v>1192</v>
      </c>
      <c r="J593" t="s">
        <v>294</v>
      </c>
      <c r="M593" t="s">
        <v>295</v>
      </c>
      <c r="N593" t="s">
        <v>296</v>
      </c>
      <c r="O593" t="s">
        <v>297</v>
      </c>
    </row>
    <row r="594" spans="1:15" x14ac:dyDescent="0.3">
      <c r="A594" t="s">
        <v>1086</v>
      </c>
      <c r="B594" t="s">
        <v>1146</v>
      </c>
      <c r="C594">
        <v>2024</v>
      </c>
      <c r="D594" t="s">
        <v>300</v>
      </c>
      <c r="E594" t="s">
        <v>1193</v>
      </c>
      <c r="F594">
        <v>94985</v>
      </c>
      <c r="G594" t="s">
        <v>1106</v>
      </c>
      <c r="H594">
        <v>90</v>
      </c>
      <c r="I594" t="s">
        <v>1194</v>
      </c>
      <c r="J594" t="s">
        <v>294</v>
      </c>
      <c r="M594" t="s">
        <v>295</v>
      </c>
      <c r="N594" t="s">
        <v>296</v>
      </c>
      <c r="O594" t="s">
        <v>297</v>
      </c>
    </row>
    <row r="595" spans="1:15" x14ac:dyDescent="0.3">
      <c r="A595" t="s">
        <v>1086</v>
      </c>
      <c r="B595" t="s">
        <v>1146</v>
      </c>
      <c r="C595">
        <v>2024</v>
      </c>
      <c r="D595" t="s">
        <v>300</v>
      </c>
      <c r="E595" t="s">
        <v>1195</v>
      </c>
      <c r="F595">
        <v>240000</v>
      </c>
      <c r="G595" t="s">
        <v>1106</v>
      </c>
      <c r="H595">
        <v>90</v>
      </c>
      <c r="I595" t="s">
        <v>1196</v>
      </c>
      <c r="J595" t="s">
        <v>294</v>
      </c>
      <c r="M595" t="s">
        <v>295</v>
      </c>
      <c r="N595" t="s">
        <v>296</v>
      </c>
      <c r="O595" t="s">
        <v>297</v>
      </c>
    </row>
    <row r="596" spans="1:15" x14ac:dyDescent="0.3">
      <c r="A596" t="s">
        <v>1086</v>
      </c>
      <c r="B596" t="s">
        <v>1146</v>
      </c>
      <c r="C596">
        <v>2024</v>
      </c>
      <c r="D596" t="s">
        <v>300</v>
      </c>
      <c r="E596" t="s">
        <v>1197</v>
      </c>
      <c r="F596">
        <v>80</v>
      </c>
      <c r="G596" t="s">
        <v>916</v>
      </c>
      <c r="H596">
        <v>90</v>
      </c>
      <c r="I596" t="s">
        <v>1198</v>
      </c>
      <c r="J596" t="s">
        <v>456</v>
      </c>
      <c r="M596" t="s">
        <v>295</v>
      </c>
      <c r="N596" t="s">
        <v>296</v>
      </c>
      <c r="O596" t="s">
        <v>297</v>
      </c>
    </row>
    <row r="597" spans="1:15" x14ac:dyDescent="0.3">
      <c r="A597" t="s">
        <v>1086</v>
      </c>
      <c r="B597" t="s">
        <v>1146</v>
      </c>
      <c r="C597">
        <v>2024</v>
      </c>
      <c r="D597" t="s">
        <v>300</v>
      </c>
      <c r="E597" t="s">
        <v>342</v>
      </c>
      <c r="F597">
        <v>3000</v>
      </c>
      <c r="G597" t="s">
        <v>343</v>
      </c>
      <c r="H597">
        <v>3</v>
      </c>
      <c r="I597" t="s">
        <v>1199</v>
      </c>
      <c r="J597" t="s">
        <v>294</v>
      </c>
      <c r="M597" t="s">
        <v>295</v>
      </c>
      <c r="N597" t="s">
        <v>296</v>
      </c>
      <c r="O597" t="s">
        <v>297</v>
      </c>
    </row>
    <row r="598" spans="1:15" x14ac:dyDescent="0.3">
      <c r="A598" t="s">
        <v>1086</v>
      </c>
      <c r="B598" t="s">
        <v>1200</v>
      </c>
      <c r="C598">
        <v>2025</v>
      </c>
      <c r="D598" t="s">
        <v>272</v>
      </c>
      <c r="E598" t="s">
        <v>291</v>
      </c>
      <c r="F598" t="s">
        <v>1086</v>
      </c>
      <c r="G598" t="s">
        <v>292</v>
      </c>
      <c r="H598">
        <v>1</v>
      </c>
      <c r="I598" t="s">
        <v>1201</v>
      </c>
      <c r="J598" t="s">
        <v>294</v>
      </c>
      <c r="M598" t="s">
        <v>295</v>
      </c>
      <c r="N598" t="s">
        <v>296</v>
      </c>
      <c r="O598" t="s">
        <v>297</v>
      </c>
    </row>
    <row r="599" spans="1:15" x14ac:dyDescent="0.3">
      <c r="A599" t="s">
        <v>1086</v>
      </c>
      <c r="B599" t="s">
        <v>1200</v>
      </c>
      <c r="C599">
        <v>2025</v>
      </c>
      <c r="D599" t="s">
        <v>272</v>
      </c>
      <c r="E599" t="s">
        <v>1</v>
      </c>
      <c r="F599" t="s">
        <v>15</v>
      </c>
      <c r="G599" t="s">
        <v>292</v>
      </c>
      <c r="H599">
        <v>0</v>
      </c>
      <c r="I599" t="s">
        <v>298</v>
      </c>
      <c r="J599" t="s">
        <v>294</v>
      </c>
      <c r="M599" t="s">
        <v>295</v>
      </c>
      <c r="N599" t="s">
        <v>296</v>
      </c>
      <c r="O599" t="s">
        <v>297</v>
      </c>
    </row>
    <row r="600" spans="1:15" x14ac:dyDescent="0.3">
      <c r="A600" t="s">
        <v>1086</v>
      </c>
      <c r="B600" t="s">
        <v>1200</v>
      </c>
      <c r="C600">
        <v>2025</v>
      </c>
      <c r="D600" t="s">
        <v>272</v>
      </c>
      <c r="E600" t="s">
        <v>274</v>
      </c>
      <c r="F600">
        <v>2025</v>
      </c>
      <c r="G600" t="s">
        <v>299</v>
      </c>
      <c r="H600">
        <v>1</v>
      </c>
      <c r="I600" t="s">
        <v>1202</v>
      </c>
      <c r="J600" t="s">
        <v>294</v>
      </c>
      <c r="M600" t="s">
        <v>295</v>
      </c>
      <c r="N600" t="s">
        <v>296</v>
      </c>
      <c r="O600" t="s">
        <v>297</v>
      </c>
    </row>
    <row r="601" spans="1:15" x14ac:dyDescent="0.3">
      <c r="A601" t="s">
        <v>1086</v>
      </c>
      <c r="B601" t="s">
        <v>1200</v>
      </c>
      <c r="C601">
        <v>2025</v>
      </c>
      <c r="D601" t="s">
        <v>272</v>
      </c>
      <c r="E601" t="s">
        <v>1203</v>
      </c>
      <c r="F601" t="s">
        <v>1204</v>
      </c>
      <c r="G601" t="s">
        <v>292</v>
      </c>
      <c r="H601">
        <v>4</v>
      </c>
      <c r="I601" t="s">
        <v>1205</v>
      </c>
      <c r="J601" t="s">
        <v>294</v>
      </c>
      <c r="M601" t="s">
        <v>295</v>
      </c>
      <c r="N601" t="s">
        <v>296</v>
      </c>
      <c r="O601" t="s">
        <v>297</v>
      </c>
    </row>
    <row r="602" spans="1:15" x14ac:dyDescent="0.3">
      <c r="A602" t="s">
        <v>1086</v>
      </c>
      <c r="B602" t="s">
        <v>1200</v>
      </c>
      <c r="C602">
        <v>2025</v>
      </c>
      <c r="D602" t="s">
        <v>300</v>
      </c>
      <c r="E602" t="s">
        <v>1206</v>
      </c>
      <c r="F602">
        <v>1696438</v>
      </c>
      <c r="G602" t="s">
        <v>1106</v>
      </c>
      <c r="H602">
        <v>3</v>
      </c>
      <c r="I602" t="s">
        <v>1207</v>
      </c>
      <c r="J602" t="s">
        <v>294</v>
      </c>
      <c r="M602" t="s">
        <v>295</v>
      </c>
      <c r="N602" t="s">
        <v>296</v>
      </c>
      <c r="O602" t="s">
        <v>297</v>
      </c>
    </row>
    <row r="603" spans="1:15" x14ac:dyDescent="0.3">
      <c r="A603" t="s">
        <v>1086</v>
      </c>
      <c r="B603" t="s">
        <v>1200</v>
      </c>
      <c r="C603">
        <v>2025</v>
      </c>
      <c r="D603" t="s">
        <v>300</v>
      </c>
      <c r="E603" t="s">
        <v>877</v>
      </c>
      <c r="F603">
        <v>1696</v>
      </c>
      <c r="G603" t="s">
        <v>302</v>
      </c>
      <c r="H603">
        <v>3</v>
      </c>
      <c r="I603" t="s">
        <v>1208</v>
      </c>
      <c r="J603" t="s">
        <v>294</v>
      </c>
      <c r="M603" t="s">
        <v>295</v>
      </c>
      <c r="N603" t="s">
        <v>296</v>
      </c>
      <c r="O603" t="s">
        <v>297</v>
      </c>
    </row>
    <row r="604" spans="1:15" x14ac:dyDescent="0.3">
      <c r="A604" t="s">
        <v>1086</v>
      </c>
      <c r="B604" t="s">
        <v>1200</v>
      </c>
      <c r="C604">
        <v>2025</v>
      </c>
      <c r="D604" t="s">
        <v>300</v>
      </c>
      <c r="E604" t="s">
        <v>1109</v>
      </c>
      <c r="F604">
        <v>-1015462</v>
      </c>
      <c r="G604" t="s">
        <v>1106</v>
      </c>
      <c r="H604">
        <v>3</v>
      </c>
      <c r="I604" t="s">
        <v>1209</v>
      </c>
      <c r="J604" t="s">
        <v>294</v>
      </c>
      <c r="M604" t="s">
        <v>295</v>
      </c>
      <c r="N604" t="s">
        <v>296</v>
      </c>
      <c r="O604" t="s">
        <v>297</v>
      </c>
    </row>
    <row r="605" spans="1:15" x14ac:dyDescent="0.3">
      <c r="A605" t="s">
        <v>1086</v>
      </c>
      <c r="B605" t="s">
        <v>1200</v>
      </c>
      <c r="C605">
        <v>2025</v>
      </c>
      <c r="D605" t="s">
        <v>300</v>
      </c>
      <c r="E605" t="s">
        <v>304</v>
      </c>
      <c r="F605">
        <v>680976</v>
      </c>
      <c r="G605" t="s">
        <v>1106</v>
      </c>
      <c r="H605">
        <v>3</v>
      </c>
      <c r="I605" t="s">
        <v>1210</v>
      </c>
      <c r="J605" t="s">
        <v>294</v>
      </c>
      <c r="M605" t="s">
        <v>295</v>
      </c>
      <c r="N605" t="s">
        <v>296</v>
      </c>
      <c r="O605" t="s">
        <v>297</v>
      </c>
    </row>
    <row r="606" spans="1:15" x14ac:dyDescent="0.3">
      <c r="A606" t="s">
        <v>1086</v>
      </c>
      <c r="B606" t="s">
        <v>1200</v>
      </c>
      <c r="C606">
        <v>2025</v>
      </c>
      <c r="D606" t="s">
        <v>300</v>
      </c>
      <c r="E606" t="s">
        <v>1155</v>
      </c>
      <c r="F606">
        <v>-241054</v>
      </c>
      <c r="G606" t="s">
        <v>1106</v>
      </c>
      <c r="H606">
        <v>3</v>
      </c>
      <c r="I606" t="s">
        <v>1211</v>
      </c>
      <c r="J606" t="s">
        <v>294</v>
      </c>
      <c r="M606" t="s">
        <v>295</v>
      </c>
      <c r="N606" t="s">
        <v>296</v>
      </c>
      <c r="O606" t="s">
        <v>297</v>
      </c>
    </row>
    <row r="607" spans="1:15" x14ac:dyDescent="0.3">
      <c r="A607" t="s">
        <v>1086</v>
      </c>
      <c r="B607" t="s">
        <v>1200</v>
      </c>
      <c r="C607">
        <v>2025</v>
      </c>
      <c r="D607" t="s">
        <v>300</v>
      </c>
      <c r="E607" t="s">
        <v>1157</v>
      </c>
      <c r="F607">
        <v>-89601</v>
      </c>
      <c r="G607" t="s">
        <v>1106</v>
      </c>
      <c r="H607">
        <v>3</v>
      </c>
      <c r="I607" t="s">
        <v>1212</v>
      </c>
      <c r="J607" t="s">
        <v>294</v>
      </c>
      <c r="M607" t="s">
        <v>295</v>
      </c>
      <c r="N607" t="s">
        <v>296</v>
      </c>
      <c r="O607" t="s">
        <v>297</v>
      </c>
    </row>
    <row r="608" spans="1:15" x14ac:dyDescent="0.3">
      <c r="A608" t="s">
        <v>1086</v>
      </c>
      <c r="B608" t="s">
        <v>1200</v>
      </c>
      <c r="C608">
        <v>2025</v>
      </c>
      <c r="D608" t="s">
        <v>300</v>
      </c>
      <c r="E608" t="s">
        <v>1159</v>
      </c>
      <c r="F608">
        <v>-102690</v>
      </c>
      <c r="G608" t="s">
        <v>1106</v>
      </c>
      <c r="H608">
        <v>3</v>
      </c>
      <c r="I608" t="s">
        <v>1213</v>
      </c>
      <c r="J608" t="s">
        <v>294</v>
      </c>
      <c r="M608" t="s">
        <v>295</v>
      </c>
      <c r="N608" t="s">
        <v>296</v>
      </c>
      <c r="O608" t="s">
        <v>297</v>
      </c>
    </row>
    <row r="609" spans="1:15" x14ac:dyDescent="0.3">
      <c r="A609" t="s">
        <v>1086</v>
      </c>
      <c r="B609" t="s">
        <v>1200</v>
      </c>
      <c r="C609">
        <v>2025</v>
      </c>
      <c r="D609" t="s">
        <v>300</v>
      </c>
      <c r="E609" t="s">
        <v>1112</v>
      </c>
      <c r="F609">
        <v>226930</v>
      </c>
      <c r="G609" t="s">
        <v>1106</v>
      </c>
      <c r="H609">
        <v>3</v>
      </c>
      <c r="I609" t="s">
        <v>1214</v>
      </c>
      <c r="J609" t="s">
        <v>294</v>
      </c>
      <c r="M609" t="s">
        <v>295</v>
      </c>
      <c r="N609" t="s">
        <v>296</v>
      </c>
      <c r="O609" t="s">
        <v>297</v>
      </c>
    </row>
    <row r="610" spans="1:15" x14ac:dyDescent="0.3">
      <c r="A610" t="s">
        <v>1086</v>
      </c>
      <c r="B610" t="s">
        <v>1200</v>
      </c>
      <c r="C610">
        <v>2025</v>
      </c>
      <c r="D610" t="s">
        <v>300</v>
      </c>
      <c r="E610" t="s">
        <v>1162</v>
      </c>
      <c r="F610">
        <v>16841</v>
      </c>
      <c r="G610" t="s">
        <v>1106</v>
      </c>
      <c r="H610">
        <v>3</v>
      </c>
      <c r="I610" t="s">
        <v>1215</v>
      </c>
      <c r="J610" t="s">
        <v>294</v>
      </c>
      <c r="M610" t="s">
        <v>295</v>
      </c>
      <c r="N610" t="s">
        <v>296</v>
      </c>
      <c r="O610" t="s">
        <v>297</v>
      </c>
    </row>
    <row r="611" spans="1:15" x14ac:dyDescent="0.3">
      <c r="A611" t="s">
        <v>1086</v>
      </c>
      <c r="B611" t="s">
        <v>1200</v>
      </c>
      <c r="C611">
        <v>2025</v>
      </c>
      <c r="D611" t="s">
        <v>300</v>
      </c>
      <c r="E611" t="s">
        <v>1216</v>
      </c>
      <c r="F611">
        <v>-66</v>
      </c>
      <c r="G611" t="s">
        <v>1106</v>
      </c>
      <c r="H611">
        <v>3</v>
      </c>
      <c r="I611" t="s">
        <v>1217</v>
      </c>
      <c r="J611" t="s">
        <v>294</v>
      </c>
      <c r="M611" t="s">
        <v>295</v>
      </c>
      <c r="N611" t="s">
        <v>296</v>
      </c>
      <c r="O611" t="s">
        <v>297</v>
      </c>
    </row>
    <row r="612" spans="1:15" x14ac:dyDescent="0.3">
      <c r="A612" t="s">
        <v>1086</v>
      </c>
      <c r="B612" t="s">
        <v>1200</v>
      </c>
      <c r="C612">
        <v>2025</v>
      </c>
      <c r="D612" t="s">
        <v>300</v>
      </c>
      <c r="E612" t="s">
        <v>1114</v>
      </c>
      <c r="F612">
        <v>243705</v>
      </c>
      <c r="G612" t="s">
        <v>1106</v>
      </c>
      <c r="H612">
        <v>3</v>
      </c>
      <c r="I612" t="s">
        <v>1218</v>
      </c>
      <c r="J612" t="s">
        <v>294</v>
      </c>
      <c r="M612" t="s">
        <v>295</v>
      </c>
      <c r="N612" t="s">
        <v>296</v>
      </c>
      <c r="O612" t="s">
        <v>297</v>
      </c>
    </row>
    <row r="613" spans="1:15" x14ac:dyDescent="0.3">
      <c r="A613" t="s">
        <v>1086</v>
      </c>
      <c r="B613" t="s">
        <v>1200</v>
      </c>
      <c r="C613">
        <v>2025</v>
      </c>
      <c r="D613" t="s">
        <v>300</v>
      </c>
      <c r="E613" t="s">
        <v>1165</v>
      </c>
      <c r="F613">
        <v>-53728</v>
      </c>
      <c r="G613" t="s">
        <v>1106</v>
      </c>
      <c r="H613">
        <v>3</v>
      </c>
      <c r="I613" t="s">
        <v>1219</v>
      </c>
      <c r="J613" t="s">
        <v>294</v>
      </c>
      <c r="M613" t="s">
        <v>295</v>
      </c>
      <c r="N613" t="s">
        <v>296</v>
      </c>
      <c r="O613" t="s">
        <v>297</v>
      </c>
    </row>
    <row r="614" spans="1:15" x14ac:dyDescent="0.3">
      <c r="A614" t="s">
        <v>1086</v>
      </c>
      <c r="B614" t="s">
        <v>1200</v>
      </c>
      <c r="C614">
        <v>2025</v>
      </c>
      <c r="D614" t="s">
        <v>300</v>
      </c>
      <c r="E614" t="s">
        <v>306</v>
      </c>
      <c r="F614">
        <v>189977</v>
      </c>
      <c r="G614" t="s">
        <v>1106</v>
      </c>
      <c r="H614">
        <v>3</v>
      </c>
      <c r="I614" t="s">
        <v>1220</v>
      </c>
      <c r="J614" t="s">
        <v>294</v>
      </c>
      <c r="M614" t="s">
        <v>295</v>
      </c>
      <c r="N614" t="s">
        <v>296</v>
      </c>
      <c r="O614" t="s">
        <v>297</v>
      </c>
    </row>
    <row r="615" spans="1:15" x14ac:dyDescent="0.3">
      <c r="A615" t="s">
        <v>1086</v>
      </c>
      <c r="B615" t="s">
        <v>1200</v>
      </c>
      <c r="C615">
        <v>2025</v>
      </c>
      <c r="D615" t="s">
        <v>300</v>
      </c>
      <c r="E615" t="s">
        <v>345</v>
      </c>
      <c r="F615">
        <v>63.43</v>
      </c>
      <c r="G615" t="s">
        <v>916</v>
      </c>
      <c r="H615">
        <v>4</v>
      </c>
      <c r="I615" t="s">
        <v>1221</v>
      </c>
      <c r="J615" t="s">
        <v>294</v>
      </c>
      <c r="M615" t="s">
        <v>295</v>
      </c>
      <c r="N615" t="s">
        <v>296</v>
      </c>
      <c r="O615" t="s">
        <v>297</v>
      </c>
    </row>
    <row r="616" spans="1:15" x14ac:dyDescent="0.3">
      <c r="A616" t="s">
        <v>1086</v>
      </c>
      <c r="B616" t="s">
        <v>1200</v>
      </c>
      <c r="C616">
        <v>2025</v>
      </c>
      <c r="D616" t="s">
        <v>300</v>
      </c>
      <c r="E616" t="s">
        <v>973</v>
      </c>
      <c r="F616">
        <v>166707</v>
      </c>
      <c r="G616" t="s">
        <v>1106</v>
      </c>
      <c r="H616">
        <v>1</v>
      </c>
      <c r="I616" t="s">
        <v>1222</v>
      </c>
      <c r="J616" t="s">
        <v>294</v>
      </c>
      <c r="M616" t="s">
        <v>295</v>
      </c>
      <c r="N616" t="s">
        <v>296</v>
      </c>
      <c r="O616" t="s">
        <v>297</v>
      </c>
    </row>
    <row r="617" spans="1:15" x14ac:dyDescent="0.3">
      <c r="A617" t="s">
        <v>1086</v>
      </c>
      <c r="B617" t="s">
        <v>1200</v>
      </c>
      <c r="C617">
        <v>2025</v>
      </c>
      <c r="D617" t="s">
        <v>300</v>
      </c>
      <c r="E617" t="s">
        <v>889</v>
      </c>
      <c r="F617">
        <v>2640362</v>
      </c>
      <c r="G617" t="s">
        <v>1106</v>
      </c>
      <c r="H617">
        <v>1</v>
      </c>
      <c r="I617" t="s">
        <v>1223</v>
      </c>
      <c r="J617" t="s">
        <v>294</v>
      </c>
      <c r="M617" t="s">
        <v>295</v>
      </c>
      <c r="N617" t="s">
        <v>296</v>
      </c>
      <c r="O617" t="s">
        <v>297</v>
      </c>
    </row>
    <row r="618" spans="1:15" x14ac:dyDescent="0.3">
      <c r="A618" t="s">
        <v>1086</v>
      </c>
      <c r="B618" t="s">
        <v>1200</v>
      </c>
      <c r="C618">
        <v>2025</v>
      </c>
      <c r="D618" t="s">
        <v>300</v>
      </c>
      <c r="E618" t="s">
        <v>1122</v>
      </c>
      <c r="F618">
        <v>821873</v>
      </c>
      <c r="G618" t="s">
        <v>1106</v>
      </c>
      <c r="H618">
        <v>1</v>
      </c>
      <c r="I618" t="s">
        <v>1224</v>
      </c>
      <c r="J618" t="s">
        <v>294</v>
      </c>
      <c r="M618" t="s">
        <v>295</v>
      </c>
      <c r="N618" t="s">
        <v>296</v>
      </c>
      <c r="O618" t="s">
        <v>297</v>
      </c>
    </row>
    <row r="619" spans="1:15" x14ac:dyDescent="0.3">
      <c r="A619" t="s">
        <v>1086</v>
      </c>
      <c r="B619" t="s">
        <v>1200</v>
      </c>
      <c r="C619">
        <v>2025</v>
      </c>
      <c r="D619" t="s">
        <v>300</v>
      </c>
      <c r="E619" t="s">
        <v>1175</v>
      </c>
      <c r="F619">
        <v>1097934</v>
      </c>
      <c r="G619" t="s">
        <v>1106</v>
      </c>
      <c r="H619">
        <v>1</v>
      </c>
      <c r="I619" t="s">
        <v>1225</v>
      </c>
      <c r="J619" t="s">
        <v>294</v>
      </c>
      <c r="M619" t="s">
        <v>295</v>
      </c>
      <c r="N619" t="s">
        <v>296</v>
      </c>
      <c r="O619" t="s">
        <v>297</v>
      </c>
    </row>
    <row r="620" spans="1:15" x14ac:dyDescent="0.3">
      <c r="A620" t="s">
        <v>1086</v>
      </c>
      <c r="B620" t="s">
        <v>1200</v>
      </c>
      <c r="C620">
        <v>2025</v>
      </c>
      <c r="D620" t="s">
        <v>300</v>
      </c>
      <c r="E620" t="s">
        <v>316</v>
      </c>
      <c r="F620">
        <v>3738296</v>
      </c>
      <c r="G620" t="s">
        <v>1106</v>
      </c>
      <c r="H620">
        <v>1</v>
      </c>
      <c r="I620" t="s">
        <v>1226</v>
      </c>
      <c r="J620" t="s">
        <v>294</v>
      </c>
      <c r="M620" t="s">
        <v>295</v>
      </c>
      <c r="N620" t="s">
        <v>296</v>
      </c>
      <c r="O620" t="s">
        <v>297</v>
      </c>
    </row>
    <row r="621" spans="1:15" x14ac:dyDescent="0.3">
      <c r="A621" t="s">
        <v>1086</v>
      </c>
      <c r="B621" t="s">
        <v>1200</v>
      </c>
      <c r="C621">
        <v>2025</v>
      </c>
      <c r="D621" t="s">
        <v>300</v>
      </c>
      <c r="E621" t="s">
        <v>1227</v>
      </c>
      <c r="F621">
        <v>16806</v>
      </c>
      <c r="G621" t="s">
        <v>1106</v>
      </c>
      <c r="H621">
        <v>2</v>
      </c>
      <c r="I621" t="s">
        <v>1228</v>
      </c>
      <c r="J621" t="s">
        <v>294</v>
      </c>
      <c r="M621" t="s">
        <v>295</v>
      </c>
      <c r="N621" t="s">
        <v>296</v>
      </c>
      <c r="O621" t="s">
        <v>297</v>
      </c>
    </row>
    <row r="622" spans="1:15" x14ac:dyDescent="0.3">
      <c r="A622" t="s">
        <v>1086</v>
      </c>
      <c r="B622" t="s">
        <v>1200</v>
      </c>
      <c r="C622">
        <v>2025</v>
      </c>
      <c r="D622" t="s">
        <v>300</v>
      </c>
      <c r="E622" t="s">
        <v>894</v>
      </c>
      <c r="F622">
        <v>184465</v>
      </c>
      <c r="G622" t="s">
        <v>1106</v>
      </c>
      <c r="H622">
        <v>2</v>
      </c>
      <c r="I622" t="s">
        <v>1229</v>
      </c>
      <c r="J622" t="s">
        <v>294</v>
      </c>
      <c r="M622" t="s">
        <v>295</v>
      </c>
      <c r="N622" t="s">
        <v>296</v>
      </c>
      <c r="O622" t="s">
        <v>297</v>
      </c>
    </row>
    <row r="623" spans="1:15" x14ac:dyDescent="0.3">
      <c r="A623" t="s">
        <v>1086</v>
      </c>
      <c r="B623" t="s">
        <v>1200</v>
      </c>
      <c r="C623">
        <v>2025</v>
      </c>
      <c r="D623" t="s">
        <v>300</v>
      </c>
      <c r="E623" t="s">
        <v>1179</v>
      </c>
      <c r="F623">
        <v>59261</v>
      </c>
      <c r="G623" t="s">
        <v>1106</v>
      </c>
      <c r="H623">
        <v>2</v>
      </c>
      <c r="I623" t="s">
        <v>1230</v>
      </c>
      <c r="J623" t="s">
        <v>294</v>
      </c>
      <c r="M623" t="s">
        <v>295</v>
      </c>
      <c r="N623" t="s">
        <v>296</v>
      </c>
      <c r="O623" t="s">
        <v>297</v>
      </c>
    </row>
    <row r="624" spans="1:15" x14ac:dyDescent="0.3">
      <c r="A624" t="s">
        <v>1086</v>
      </c>
      <c r="B624" t="s">
        <v>1200</v>
      </c>
      <c r="C624">
        <v>2025</v>
      </c>
      <c r="D624" t="s">
        <v>300</v>
      </c>
      <c r="E624" t="s">
        <v>322</v>
      </c>
      <c r="F624">
        <v>243726</v>
      </c>
      <c r="G624" t="s">
        <v>1106</v>
      </c>
      <c r="H624">
        <v>2</v>
      </c>
      <c r="I624" t="s">
        <v>1231</v>
      </c>
      <c r="J624" t="s">
        <v>294</v>
      </c>
      <c r="M624" t="s">
        <v>295</v>
      </c>
      <c r="N624" t="s">
        <v>296</v>
      </c>
      <c r="O624" t="s">
        <v>297</v>
      </c>
    </row>
    <row r="625" spans="1:15" x14ac:dyDescent="0.3">
      <c r="A625" t="s">
        <v>1086</v>
      </c>
      <c r="B625" t="s">
        <v>1200</v>
      </c>
      <c r="C625">
        <v>2025</v>
      </c>
      <c r="D625" t="s">
        <v>300</v>
      </c>
      <c r="E625" t="s">
        <v>324</v>
      </c>
      <c r="F625">
        <v>3494570</v>
      </c>
      <c r="G625" t="s">
        <v>1106</v>
      </c>
      <c r="H625">
        <v>2</v>
      </c>
      <c r="I625" t="s">
        <v>1232</v>
      </c>
      <c r="J625" t="s">
        <v>294</v>
      </c>
      <c r="M625" t="s">
        <v>295</v>
      </c>
      <c r="N625" t="s">
        <v>296</v>
      </c>
      <c r="O625" t="s">
        <v>297</v>
      </c>
    </row>
    <row r="626" spans="1:15" x14ac:dyDescent="0.3">
      <c r="A626" t="s">
        <v>1086</v>
      </c>
      <c r="B626" t="s">
        <v>1200</v>
      </c>
      <c r="C626">
        <v>2025</v>
      </c>
      <c r="D626" t="s">
        <v>300</v>
      </c>
      <c r="E626" t="s">
        <v>1233</v>
      </c>
      <c r="F626">
        <v>60000</v>
      </c>
      <c r="G626" t="s">
        <v>1106</v>
      </c>
      <c r="H626">
        <v>2</v>
      </c>
      <c r="I626" t="s">
        <v>1234</v>
      </c>
      <c r="J626" t="s">
        <v>294</v>
      </c>
      <c r="M626" t="s">
        <v>295</v>
      </c>
      <c r="N626" t="s">
        <v>296</v>
      </c>
      <c r="O626" t="s">
        <v>297</v>
      </c>
    </row>
    <row r="627" spans="1:15" x14ac:dyDescent="0.3">
      <c r="A627" t="s">
        <v>1086</v>
      </c>
      <c r="B627" t="s">
        <v>1200</v>
      </c>
      <c r="C627">
        <v>2025</v>
      </c>
      <c r="D627" t="s">
        <v>300</v>
      </c>
      <c r="E627" t="s">
        <v>1235</v>
      </c>
      <c r="F627">
        <v>3028767</v>
      </c>
      <c r="G627" t="s">
        <v>1106</v>
      </c>
      <c r="H627">
        <v>2</v>
      </c>
      <c r="I627" t="s">
        <v>1236</v>
      </c>
      <c r="J627" t="s">
        <v>294</v>
      </c>
      <c r="M627" t="s">
        <v>295</v>
      </c>
      <c r="N627" t="s">
        <v>296</v>
      </c>
      <c r="O627" t="s">
        <v>297</v>
      </c>
    </row>
    <row r="628" spans="1:15" x14ac:dyDescent="0.3">
      <c r="A628" t="s">
        <v>1086</v>
      </c>
      <c r="B628" t="s">
        <v>1200</v>
      </c>
      <c r="C628">
        <v>2025</v>
      </c>
      <c r="D628" t="s">
        <v>300</v>
      </c>
      <c r="E628" t="s">
        <v>1237</v>
      </c>
      <c r="F628">
        <v>-263208</v>
      </c>
      <c r="G628" t="s">
        <v>1106</v>
      </c>
      <c r="H628">
        <v>6</v>
      </c>
      <c r="I628" t="s">
        <v>1238</v>
      </c>
      <c r="J628" t="s">
        <v>294</v>
      </c>
      <c r="M628" t="s">
        <v>295</v>
      </c>
      <c r="N628" t="s">
        <v>296</v>
      </c>
      <c r="O628" t="s">
        <v>297</v>
      </c>
    </row>
    <row r="629" spans="1:15" x14ac:dyDescent="0.3">
      <c r="A629" t="s">
        <v>1086</v>
      </c>
      <c r="B629" t="s">
        <v>1200</v>
      </c>
      <c r="C629">
        <v>2025</v>
      </c>
      <c r="D629" t="s">
        <v>300</v>
      </c>
      <c r="E629" t="s">
        <v>1239</v>
      </c>
      <c r="F629">
        <v>63023</v>
      </c>
      <c r="G629" t="s">
        <v>1106</v>
      </c>
      <c r="H629">
        <v>6</v>
      </c>
      <c r="I629" t="s">
        <v>1240</v>
      </c>
      <c r="J629" t="s">
        <v>294</v>
      </c>
      <c r="M629" t="s">
        <v>295</v>
      </c>
      <c r="N629" t="s">
        <v>296</v>
      </c>
      <c r="O629" t="s">
        <v>297</v>
      </c>
    </row>
    <row r="630" spans="1:15" x14ac:dyDescent="0.3">
      <c r="A630" t="s">
        <v>1086</v>
      </c>
      <c r="B630" t="s">
        <v>1200</v>
      </c>
      <c r="C630">
        <v>2025</v>
      </c>
      <c r="D630" t="s">
        <v>300</v>
      </c>
      <c r="E630" t="s">
        <v>921</v>
      </c>
      <c r="F630">
        <v>-66725</v>
      </c>
      <c r="G630" t="s">
        <v>1106</v>
      </c>
      <c r="H630">
        <v>6</v>
      </c>
      <c r="I630" t="s">
        <v>1241</v>
      </c>
      <c r="J630" t="s">
        <v>294</v>
      </c>
      <c r="M630" t="s">
        <v>295</v>
      </c>
      <c r="N630" t="s">
        <v>296</v>
      </c>
      <c r="O630" t="s">
        <v>297</v>
      </c>
    </row>
    <row r="631" spans="1:15" x14ac:dyDescent="0.3">
      <c r="A631" t="s">
        <v>1086</v>
      </c>
      <c r="B631" t="s">
        <v>1200</v>
      </c>
      <c r="C631">
        <v>2025</v>
      </c>
      <c r="D631" t="s">
        <v>300</v>
      </c>
      <c r="E631" t="s">
        <v>1242</v>
      </c>
      <c r="F631">
        <v>84000</v>
      </c>
      <c r="G631" t="s">
        <v>1106</v>
      </c>
      <c r="H631">
        <v>6</v>
      </c>
      <c r="I631" t="s">
        <v>1243</v>
      </c>
      <c r="J631" t="s">
        <v>294</v>
      </c>
      <c r="M631" t="s">
        <v>295</v>
      </c>
      <c r="N631" t="s">
        <v>296</v>
      </c>
      <c r="O631" t="s">
        <v>297</v>
      </c>
    </row>
    <row r="632" spans="1:15" x14ac:dyDescent="0.3">
      <c r="A632" t="s">
        <v>1086</v>
      </c>
      <c r="B632" t="s">
        <v>1200</v>
      </c>
      <c r="C632">
        <v>2025</v>
      </c>
      <c r="D632" t="s">
        <v>300</v>
      </c>
      <c r="E632" t="s">
        <v>1244</v>
      </c>
      <c r="F632">
        <v>28</v>
      </c>
      <c r="G632" t="s">
        <v>916</v>
      </c>
      <c r="H632">
        <v>6</v>
      </c>
      <c r="I632" t="s">
        <v>1245</v>
      </c>
      <c r="J632" t="s">
        <v>456</v>
      </c>
      <c r="M632" t="s">
        <v>295</v>
      </c>
      <c r="N632" t="s">
        <v>296</v>
      </c>
      <c r="O632" t="s">
        <v>297</v>
      </c>
    </row>
    <row r="633" spans="1:15" x14ac:dyDescent="0.3">
      <c r="A633" t="s">
        <v>1086</v>
      </c>
      <c r="B633" t="s">
        <v>1200</v>
      </c>
      <c r="C633">
        <v>2025</v>
      </c>
      <c r="D633" t="s">
        <v>300</v>
      </c>
      <c r="E633" t="s">
        <v>923</v>
      </c>
      <c r="F633">
        <v>-89047</v>
      </c>
      <c r="G633" t="s">
        <v>1106</v>
      </c>
      <c r="H633">
        <v>6</v>
      </c>
      <c r="I633" t="s">
        <v>1246</v>
      </c>
      <c r="J633" t="s">
        <v>294</v>
      </c>
      <c r="M633" t="s">
        <v>295</v>
      </c>
      <c r="N633" t="s">
        <v>296</v>
      </c>
      <c r="O633" t="s">
        <v>297</v>
      </c>
    </row>
    <row r="634" spans="1:15" x14ac:dyDescent="0.3">
      <c r="A634" t="s">
        <v>1086</v>
      </c>
      <c r="B634" t="s">
        <v>1200</v>
      </c>
      <c r="C634">
        <v>2025</v>
      </c>
      <c r="D634" t="s">
        <v>300</v>
      </c>
      <c r="E634" t="s">
        <v>1247</v>
      </c>
      <c r="F634">
        <v>149901</v>
      </c>
      <c r="G634" t="s">
        <v>1106</v>
      </c>
      <c r="H634">
        <v>6</v>
      </c>
      <c r="I634" t="s">
        <v>1248</v>
      </c>
      <c r="J634" t="s">
        <v>294</v>
      </c>
      <c r="M634" t="s">
        <v>295</v>
      </c>
      <c r="N634" t="s">
        <v>296</v>
      </c>
      <c r="O634" t="s">
        <v>297</v>
      </c>
    </row>
    <row r="635" spans="1:15" x14ac:dyDescent="0.3">
      <c r="A635" t="s">
        <v>1086</v>
      </c>
      <c r="B635" t="s">
        <v>1200</v>
      </c>
      <c r="C635">
        <v>2025</v>
      </c>
      <c r="D635" t="s">
        <v>300</v>
      </c>
      <c r="E635" t="s">
        <v>342</v>
      </c>
      <c r="F635">
        <v>3000</v>
      </c>
      <c r="G635" t="s">
        <v>343</v>
      </c>
      <c r="H635">
        <v>2</v>
      </c>
      <c r="I635" t="s">
        <v>1249</v>
      </c>
      <c r="J635" t="s">
        <v>294</v>
      </c>
      <c r="M635" t="s">
        <v>295</v>
      </c>
      <c r="N635" t="s">
        <v>296</v>
      </c>
      <c r="O635" t="s">
        <v>297</v>
      </c>
    </row>
    <row r="636" spans="1:15" x14ac:dyDescent="0.3">
      <c r="A636" t="s">
        <v>1086</v>
      </c>
      <c r="B636" t="s">
        <v>1200</v>
      </c>
      <c r="C636">
        <v>2025</v>
      </c>
      <c r="D636" t="s">
        <v>300</v>
      </c>
      <c r="E636" t="s">
        <v>1250</v>
      </c>
      <c r="F636">
        <v>300000</v>
      </c>
      <c r="G636" t="s">
        <v>1106</v>
      </c>
      <c r="H636">
        <v>2</v>
      </c>
      <c r="I636" t="s">
        <v>1251</v>
      </c>
      <c r="J636" t="s">
        <v>294</v>
      </c>
      <c r="M636" t="s">
        <v>295</v>
      </c>
      <c r="N636" t="s">
        <v>296</v>
      </c>
      <c r="O636" t="s">
        <v>297</v>
      </c>
    </row>
    <row r="637" spans="1:15" x14ac:dyDescent="0.3">
      <c r="A637" t="s">
        <v>1086</v>
      </c>
      <c r="B637" t="s">
        <v>1200</v>
      </c>
      <c r="C637">
        <v>2025</v>
      </c>
      <c r="D637" t="s">
        <v>300</v>
      </c>
      <c r="E637" t="s">
        <v>1144</v>
      </c>
      <c r="F637">
        <v>99522</v>
      </c>
      <c r="G637" t="s">
        <v>1106</v>
      </c>
      <c r="H637">
        <v>2</v>
      </c>
      <c r="I637" t="s">
        <v>1252</v>
      </c>
      <c r="J637" t="s">
        <v>294</v>
      </c>
      <c r="M637" t="s">
        <v>295</v>
      </c>
      <c r="N637" t="s">
        <v>296</v>
      </c>
      <c r="O637" t="s">
        <v>297</v>
      </c>
    </row>
    <row r="638" spans="1:15" x14ac:dyDescent="0.3">
      <c r="A638" t="s">
        <v>1253</v>
      </c>
      <c r="B638" t="s">
        <v>1254</v>
      </c>
      <c r="C638">
        <v>2022</v>
      </c>
      <c r="D638" t="s">
        <v>300</v>
      </c>
      <c r="E638" t="s">
        <v>301</v>
      </c>
      <c r="F638">
        <v>153.5</v>
      </c>
      <c r="G638" t="s">
        <v>302</v>
      </c>
      <c r="H638">
        <v>5</v>
      </c>
      <c r="I638" t="s">
        <v>1255</v>
      </c>
      <c r="J638" t="s">
        <v>294</v>
      </c>
      <c r="M638" t="s">
        <v>295</v>
      </c>
      <c r="N638" t="s">
        <v>296</v>
      </c>
      <c r="O638" t="s">
        <v>297</v>
      </c>
    </row>
    <row r="639" spans="1:15" x14ac:dyDescent="0.3">
      <c r="A639" t="s">
        <v>1253</v>
      </c>
      <c r="B639" t="s">
        <v>1254</v>
      </c>
      <c r="C639">
        <v>2022</v>
      </c>
      <c r="D639" t="s">
        <v>300</v>
      </c>
      <c r="E639" t="s">
        <v>688</v>
      </c>
      <c r="F639">
        <v>-165.32</v>
      </c>
      <c r="G639" t="s">
        <v>302</v>
      </c>
      <c r="H639">
        <v>5</v>
      </c>
      <c r="I639" t="s">
        <v>1256</v>
      </c>
      <c r="J639" t="s">
        <v>294</v>
      </c>
      <c r="M639" t="s">
        <v>295</v>
      </c>
      <c r="N639" t="s">
        <v>296</v>
      </c>
      <c r="O639" t="s">
        <v>297</v>
      </c>
    </row>
    <row r="640" spans="1:15" x14ac:dyDescent="0.3">
      <c r="A640" t="s">
        <v>1253</v>
      </c>
      <c r="B640" t="s">
        <v>1254</v>
      </c>
      <c r="C640">
        <v>2022</v>
      </c>
      <c r="D640" t="s">
        <v>300</v>
      </c>
      <c r="E640" t="s">
        <v>819</v>
      </c>
      <c r="F640">
        <v>-11.82</v>
      </c>
      <c r="G640" t="s">
        <v>302</v>
      </c>
      <c r="H640">
        <v>5</v>
      </c>
      <c r="I640" t="s">
        <v>1257</v>
      </c>
      <c r="J640" t="s">
        <v>294</v>
      </c>
      <c r="M640" t="s">
        <v>295</v>
      </c>
      <c r="N640" t="s">
        <v>296</v>
      </c>
      <c r="O640" t="s">
        <v>297</v>
      </c>
    </row>
    <row r="641" spans="1:15" x14ac:dyDescent="0.3">
      <c r="A641" t="s">
        <v>1253</v>
      </c>
      <c r="B641" t="s">
        <v>1254</v>
      </c>
      <c r="C641">
        <v>2022</v>
      </c>
      <c r="D641" t="s">
        <v>300</v>
      </c>
      <c r="E641" t="s">
        <v>1258</v>
      </c>
      <c r="F641">
        <v>-41.02</v>
      </c>
      <c r="G641" t="s">
        <v>302</v>
      </c>
      <c r="H641">
        <v>5</v>
      </c>
      <c r="I641" t="s">
        <v>1259</v>
      </c>
      <c r="J641" t="s">
        <v>294</v>
      </c>
      <c r="M641" t="s">
        <v>295</v>
      </c>
      <c r="N641" t="s">
        <v>296</v>
      </c>
      <c r="O641" t="s">
        <v>297</v>
      </c>
    </row>
    <row r="642" spans="1:15" x14ac:dyDescent="0.3">
      <c r="A642" t="s">
        <v>1253</v>
      </c>
      <c r="B642" t="s">
        <v>1254</v>
      </c>
      <c r="C642">
        <v>2022</v>
      </c>
      <c r="D642" t="s">
        <v>300</v>
      </c>
      <c r="E642" t="s">
        <v>695</v>
      </c>
      <c r="F642">
        <v>-133.37</v>
      </c>
      <c r="G642" t="s">
        <v>302</v>
      </c>
      <c r="H642">
        <v>5</v>
      </c>
      <c r="I642" t="s">
        <v>1260</v>
      </c>
      <c r="J642" t="s">
        <v>294</v>
      </c>
      <c r="M642" t="s">
        <v>295</v>
      </c>
      <c r="N642" t="s">
        <v>296</v>
      </c>
      <c r="O642" t="s">
        <v>297</v>
      </c>
    </row>
    <row r="643" spans="1:15" x14ac:dyDescent="0.3">
      <c r="A643" t="s">
        <v>1253</v>
      </c>
      <c r="B643" t="s">
        <v>1254</v>
      </c>
      <c r="C643">
        <v>2022</v>
      </c>
      <c r="D643" t="s">
        <v>300</v>
      </c>
      <c r="E643" t="s">
        <v>1261</v>
      </c>
      <c r="F643">
        <v>-358.68</v>
      </c>
      <c r="G643" t="s">
        <v>302</v>
      </c>
      <c r="H643">
        <v>5</v>
      </c>
      <c r="I643" t="s">
        <v>1262</v>
      </c>
      <c r="J643" t="s">
        <v>294</v>
      </c>
      <c r="M643" t="s">
        <v>295</v>
      </c>
      <c r="N643" t="s">
        <v>296</v>
      </c>
      <c r="O643" t="s">
        <v>297</v>
      </c>
    </row>
    <row r="644" spans="1:15" x14ac:dyDescent="0.3">
      <c r="A644" t="s">
        <v>1253</v>
      </c>
      <c r="B644" t="s">
        <v>1254</v>
      </c>
      <c r="C644">
        <v>2022</v>
      </c>
      <c r="D644" t="s">
        <v>300</v>
      </c>
      <c r="E644" t="s">
        <v>312</v>
      </c>
      <c r="F644">
        <v>75.77</v>
      </c>
      <c r="G644" t="s">
        <v>302</v>
      </c>
      <c r="H644">
        <v>5</v>
      </c>
      <c r="I644" t="s">
        <v>1263</v>
      </c>
      <c r="J644" t="s">
        <v>294</v>
      </c>
      <c r="M644" t="s">
        <v>295</v>
      </c>
      <c r="N644" t="s">
        <v>296</v>
      </c>
      <c r="O644" t="s">
        <v>297</v>
      </c>
    </row>
    <row r="645" spans="1:15" x14ac:dyDescent="0.3">
      <c r="A645" t="s">
        <v>1253</v>
      </c>
      <c r="B645" t="s">
        <v>1254</v>
      </c>
      <c r="C645">
        <v>2022</v>
      </c>
      <c r="D645" t="s">
        <v>300</v>
      </c>
      <c r="E645" t="s">
        <v>314</v>
      </c>
      <c r="F645">
        <v>4066.27</v>
      </c>
      <c r="G645" t="s">
        <v>302</v>
      </c>
      <c r="H645">
        <v>5</v>
      </c>
      <c r="I645" t="s">
        <v>1264</v>
      </c>
      <c r="J645" t="s">
        <v>294</v>
      </c>
      <c r="M645" t="s">
        <v>295</v>
      </c>
      <c r="N645" t="s">
        <v>296</v>
      </c>
      <c r="O645" t="s">
        <v>297</v>
      </c>
    </row>
    <row r="646" spans="1:15" x14ac:dyDescent="0.3">
      <c r="A646" t="s">
        <v>1253</v>
      </c>
      <c r="B646" t="s">
        <v>1254</v>
      </c>
      <c r="C646">
        <v>2022</v>
      </c>
      <c r="D646" t="s">
        <v>300</v>
      </c>
      <c r="E646" t="s">
        <v>316</v>
      </c>
      <c r="F646">
        <v>4142.04</v>
      </c>
      <c r="G646" t="s">
        <v>302</v>
      </c>
      <c r="H646">
        <v>5</v>
      </c>
      <c r="I646" t="s">
        <v>1265</v>
      </c>
      <c r="J646" t="s">
        <v>294</v>
      </c>
      <c r="M646" t="s">
        <v>295</v>
      </c>
      <c r="N646" t="s">
        <v>296</v>
      </c>
      <c r="O646" t="s">
        <v>297</v>
      </c>
    </row>
    <row r="647" spans="1:15" x14ac:dyDescent="0.3">
      <c r="A647" t="s">
        <v>1253</v>
      </c>
      <c r="B647" t="s">
        <v>1254</v>
      </c>
      <c r="C647">
        <v>2022</v>
      </c>
      <c r="D647" t="s">
        <v>300</v>
      </c>
      <c r="E647" t="s">
        <v>318</v>
      </c>
      <c r="F647">
        <v>218.11</v>
      </c>
      <c r="G647" t="s">
        <v>302</v>
      </c>
      <c r="H647">
        <v>5</v>
      </c>
      <c r="I647" t="s">
        <v>1266</v>
      </c>
      <c r="J647" t="s">
        <v>294</v>
      </c>
      <c r="M647" t="s">
        <v>295</v>
      </c>
      <c r="N647" t="s">
        <v>296</v>
      </c>
      <c r="O647" t="s">
        <v>297</v>
      </c>
    </row>
    <row r="648" spans="1:15" x14ac:dyDescent="0.3">
      <c r="A648" t="s">
        <v>1253</v>
      </c>
      <c r="B648" t="s">
        <v>1254</v>
      </c>
      <c r="C648">
        <v>2022</v>
      </c>
      <c r="D648" t="s">
        <v>300</v>
      </c>
      <c r="E648" t="s">
        <v>468</v>
      </c>
      <c r="F648">
        <v>2721.02</v>
      </c>
      <c r="G648" t="s">
        <v>302</v>
      </c>
      <c r="H648">
        <v>5</v>
      </c>
      <c r="I648" t="s">
        <v>1267</v>
      </c>
      <c r="J648" t="s">
        <v>294</v>
      </c>
      <c r="M648" t="s">
        <v>295</v>
      </c>
      <c r="N648" t="s">
        <v>296</v>
      </c>
      <c r="O648" t="s">
        <v>297</v>
      </c>
    </row>
    <row r="649" spans="1:15" x14ac:dyDescent="0.3">
      <c r="A649" t="s">
        <v>1253</v>
      </c>
      <c r="B649" t="s">
        <v>1254</v>
      </c>
      <c r="C649">
        <v>2022</v>
      </c>
      <c r="D649" t="s">
        <v>300</v>
      </c>
      <c r="E649" t="s">
        <v>322</v>
      </c>
      <c r="F649">
        <v>2939.13</v>
      </c>
      <c r="G649" t="s">
        <v>302</v>
      </c>
      <c r="H649">
        <v>5</v>
      </c>
      <c r="I649" t="s">
        <v>1268</v>
      </c>
      <c r="J649" t="s">
        <v>294</v>
      </c>
      <c r="M649" t="s">
        <v>295</v>
      </c>
      <c r="N649" t="s">
        <v>296</v>
      </c>
      <c r="O649" t="s">
        <v>297</v>
      </c>
    </row>
    <row r="650" spans="1:15" x14ac:dyDescent="0.3">
      <c r="A650" t="s">
        <v>1253</v>
      </c>
      <c r="B650" t="s">
        <v>1254</v>
      </c>
      <c r="C650">
        <v>2022</v>
      </c>
      <c r="D650" t="s">
        <v>300</v>
      </c>
      <c r="E650" t="s">
        <v>324</v>
      </c>
      <c r="F650">
        <v>1202.9100000000001</v>
      </c>
      <c r="G650" t="s">
        <v>302</v>
      </c>
      <c r="H650">
        <v>5</v>
      </c>
      <c r="I650" t="s">
        <v>1269</v>
      </c>
      <c r="J650" t="s">
        <v>294</v>
      </c>
      <c r="M650" t="s">
        <v>295</v>
      </c>
      <c r="N650" t="s">
        <v>296</v>
      </c>
      <c r="O650" t="s">
        <v>297</v>
      </c>
    </row>
    <row r="651" spans="1:15" x14ac:dyDescent="0.3">
      <c r="A651" t="s">
        <v>1253</v>
      </c>
      <c r="B651" t="s">
        <v>1254</v>
      </c>
      <c r="C651">
        <v>2022</v>
      </c>
      <c r="D651" t="s">
        <v>300</v>
      </c>
      <c r="E651" t="s">
        <v>973</v>
      </c>
      <c r="F651">
        <v>8.93</v>
      </c>
      <c r="G651" t="s">
        <v>302</v>
      </c>
      <c r="H651">
        <v>101</v>
      </c>
      <c r="I651" t="s">
        <v>1270</v>
      </c>
      <c r="J651" t="s">
        <v>294</v>
      </c>
      <c r="M651" t="s">
        <v>295</v>
      </c>
      <c r="N651" t="s">
        <v>296</v>
      </c>
      <c r="O651" t="s">
        <v>297</v>
      </c>
    </row>
    <row r="652" spans="1:15" x14ac:dyDescent="0.3">
      <c r="A652" t="s">
        <v>1253</v>
      </c>
      <c r="B652" t="s">
        <v>1254</v>
      </c>
      <c r="C652">
        <v>2022</v>
      </c>
      <c r="D652" t="s">
        <v>300</v>
      </c>
      <c r="E652" t="s">
        <v>1271</v>
      </c>
      <c r="F652">
        <v>2478.5700000000002</v>
      </c>
      <c r="G652" t="s">
        <v>302</v>
      </c>
      <c r="H652">
        <v>101</v>
      </c>
      <c r="I652" t="s">
        <v>1272</v>
      </c>
      <c r="J652" t="s">
        <v>294</v>
      </c>
      <c r="M652" t="s">
        <v>295</v>
      </c>
      <c r="N652" t="s">
        <v>296</v>
      </c>
      <c r="O652" t="s">
        <v>297</v>
      </c>
    </row>
    <row r="653" spans="1:15" x14ac:dyDescent="0.3">
      <c r="A653" t="s">
        <v>1253</v>
      </c>
      <c r="B653" t="s">
        <v>1254</v>
      </c>
      <c r="C653">
        <v>2022</v>
      </c>
      <c r="D653" t="s">
        <v>300</v>
      </c>
      <c r="E653" t="s">
        <v>1273</v>
      </c>
      <c r="F653">
        <v>22.56</v>
      </c>
      <c r="G653" t="s">
        <v>302</v>
      </c>
      <c r="H653">
        <v>103</v>
      </c>
      <c r="I653" t="s">
        <v>1274</v>
      </c>
      <c r="J653" t="s">
        <v>294</v>
      </c>
      <c r="M653" t="s">
        <v>295</v>
      </c>
      <c r="N653" t="s">
        <v>296</v>
      </c>
      <c r="O653" t="s">
        <v>297</v>
      </c>
    </row>
    <row r="654" spans="1:15" x14ac:dyDescent="0.3">
      <c r="A654" t="s">
        <v>1253</v>
      </c>
      <c r="B654" t="s">
        <v>1254</v>
      </c>
      <c r="C654">
        <v>2022</v>
      </c>
      <c r="D654" t="s">
        <v>300</v>
      </c>
      <c r="E654" t="s">
        <v>1275</v>
      </c>
      <c r="F654">
        <v>0.2</v>
      </c>
      <c r="G654" t="s">
        <v>302</v>
      </c>
      <c r="H654">
        <v>103</v>
      </c>
      <c r="I654" t="s">
        <v>1276</v>
      </c>
      <c r="J654" t="s">
        <v>294</v>
      </c>
      <c r="M654" t="s">
        <v>295</v>
      </c>
      <c r="N654" t="s">
        <v>296</v>
      </c>
      <c r="O654" t="s">
        <v>297</v>
      </c>
    </row>
    <row r="655" spans="1:15" x14ac:dyDescent="0.3">
      <c r="A655" t="s">
        <v>1253</v>
      </c>
      <c r="B655" t="s">
        <v>1254</v>
      </c>
      <c r="C655">
        <v>2022</v>
      </c>
      <c r="D655" t="s">
        <v>300</v>
      </c>
      <c r="E655" t="s">
        <v>1277</v>
      </c>
      <c r="F655">
        <v>51.51</v>
      </c>
      <c r="G655" t="s">
        <v>302</v>
      </c>
      <c r="H655">
        <v>130</v>
      </c>
      <c r="I655" t="s">
        <v>1278</v>
      </c>
      <c r="J655" t="s">
        <v>294</v>
      </c>
      <c r="M655" t="s">
        <v>295</v>
      </c>
      <c r="N655" t="s">
        <v>296</v>
      </c>
      <c r="O655" t="s">
        <v>297</v>
      </c>
    </row>
    <row r="656" spans="1:15" x14ac:dyDescent="0.3">
      <c r="A656" t="s">
        <v>1253</v>
      </c>
      <c r="B656" t="s">
        <v>1254</v>
      </c>
      <c r="C656">
        <v>2022</v>
      </c>
      <c r="D656" t="s">
        <v>300</v>
      </c>
      <c r="E656" t="s">
        <v>1279</v>
      </c>
      <c r="F656">
        <v>0.35</v>
      </c>
      <c r="G656" t="s">
        <v>327</v>
      </c>
      <c r="H656">
        <v>5</v>
      </c>
      <c r="I656" t="s">
        <v>1280</v>
      </c>
      <c r="J656" t="s">
        <v>294</v>
      </c>
      <c r="M656" t="s">
        <v>295</v>
      </c>
      <c r="N656" t="s">
        <v>296</v>
      </c>
      <c r="O656" t="s">
        <v>297</v>
      </c>
    </row>
    <row r="657" spans="1:15" x14ac:dyDescent="0.3">
      <c r="A657" t="s">
        <v>1253</v>
      </c>
      <c r="B657" t="s">
        <v>1254</v>
      </c>
      <c r="C657">
        <v>2022</v>
      </c>
      <c r="D657" t="s">
        <v>300</v>
      </c>
      <c r="E657" t="s">
        <v>842</v>
      </c>
      <c r="F657">
        <v>2.44</v>
      </c>
      <c r="G657" t="s">
        <v>327</v>
      </c>
      <c r="H657">
        <v>5</v>
      </c>
      <c r="I657" t="s">
        <v>1281</v>
      </c>
      <c r="J657" t="s">
        <v>294</v>
      </c>
      <c r="M657" t="s">
        <v>295</v>
      </c>
      <c r="N657" t="s">
        <v>296</v>
      </c>
      <c r="O657" t="s">
        <v>297</v>
      </c>
    </row>
    <row r="658" spans="1:15" x14ac:dyDescent="0.3">
      <c r="A658" t="s">
        <v>1253</v>
      </c>
      <c r="B658" t="s">
        <v>1254</v>
      </c>
      <c r="C658">
        <v>2022</v>
      </c>
      <c r="D658" t="s">
        <v>300</v>
      </c>
      <c r="E658" t="s">
        <v>844</v>
      </c>
      <c r="F658">
        <v>0.71</v>
      </c>
      <c r="G658" t="s">
        <v>327</v>
      </c>
      <c r="H658">
        <v>5</v>
      </c>
      <c r="I658" t="s">
        <v>1282</v>
      </c>
      <c r="J658" t="s">
        <v>294</v>
      </c>
      <c r="M658" t="s">
        <v>295</v>
      </c>
      <c r="N658" t="s">
        <v>296</v>
      </c>
      <c r="O658" t="s">
        <v>297</v>
      </c>
    </row>
    <row r="659" spans="1:15" x14ac:dyDescent="0.3">
      <c r="A659" t="s">
        <v>1253</v>
      </c>
      <c r="B659" t="s">
        <v>1254</v>
      </c>
      <c r="C659">
        <v>2022</v>
      </c>
      <c r="D659" t="s">
        <v>300</v>
      </c>
      <c r="E659" t="s">
        <v>1187</v>
      </c>
      <c r="F659">
        <v>-7.6999999999999999E-2</v>
      </c>
      <c r="G659" t="s">
        <v>1283</v>
      </c>
      <c r="H659">
        <v>5</v>
      </c>
      <c r="I659" t="s">
        <v>1284</v>
      </c>
      <c r="J659" t="s">
        <v>294</v>
      </c>
      <c r="M659" t="s">
        <v>295</v>
      </c>
      <c r="N659" t="s">
        <v>296</v>
      </c>
      <c r="O659" t="s">
        <v>297</v>
      </c>
    </row>
    <row r="660" spans="1:15" x14ac:dyDescent="0.3">
      <c r="A660" t="s">
        <v>1253</v>
      </c>
      <c r="B660" t="s">
        <v>1254</v>
      </c>
      <c r="C660">
        <v>2022</v>
      </c>
      <c r="D660" t="s">
        <v>300</v>
      </c>
      <c r="E660" t="s">
        <v>1285</v>
      </c>
      <c r="F660">
        <v>-2.3365999999999998</v>
      </c>
      <c r="G660" t="s">
        <v>1283</v>
      </c>
      <c r="H660">
        <v>5</v>
      </c>
      <c r="I660" t="s">
        <v>1286</v>
      </c>
      <c r="J660" t="s">
        <v>294</v>
      </c>
      <c r="M660" t="s">
        <v>295</v>
      </c>
      <c r="N660" t="s">
        <v>296</v>
      </c>
      <c r="O660" t="s">
        <v>297</v>
      </c>
    </row>
    <row r="661" spans="1:15" x14ac:dyDescent="0.3">
      <c r="A661" t="s">
        <v>1253</v>
      </c>
      <c r="B661" t="s">
        <v>1254</v>
      </c>
      <c r="C661">
        <v>2022</v>
      </c>
      <c r="D661" t="s">
        <v>300</v>
      </c>
      <c r="E661" t="s">
        <v>1287</v>
      </c>
      <c r="F661">
        <v>46277.5</v>
      </c>
      <c r="G661" t="s">
        <v>1288</v>
      </c>
      <c r="H661">
        <v>22</v>
      </c>
      <c r="I661" t="s">
        <v>1289</v>
      </c>
      <c r="J661" t="s">
        <v>294</v>
      </c>
      <c r="M661" t="s">
        <v>295</v>
      </c>
      <c r="N661" t="s">
        <v>296</v>
      </c>
      <c r="O661" t="s">
        <v>297</v>
      </c>
    </row>
    <row r="662" spans="1:15" x14ac:dyDescent="0.3">
      <c r="A662" t="s">
        <v>1253</v>
      </c>
      <c r="B662" t="s">
        <v>1254</v>
      </c>
      <c r="C662">
        <v>2022</v>
      </c>
      <c r="D662" t="s">
        <v>300</v>
      </c>
      <c r="E662" t="s">
        <v>1290</v>
      </c>
      <c r="F662">
        <v>50</v>
      </c>
      <c r="G662" t="s">
        <v>346</v>
      </c>
      <c r="H662">
        <v>23</v>
      </c>
      <c r="I662" t="s">
        <v>1291</v>
      </c>
      <c r="J662" t="s">
        <v>294</v>
      </c>
      <c r="M662" t="s">
        <v>295</v>
      </c>
      <c r="N662" t="s">
        <v>296</v>
      </c>
      <c r="O662" t="s">
        <v>297</v>
      </c>
    </row>
    <row r="663" spans="1:15" x14ac:dyDescent="0.3">
      <c r="A663" t="s">
        <v>1253</v>
      </c>
      <c r="B663" t="s">
        <v>1254</v>
      </c>
      <c r="C663">
        <v>2022</v>
      </c>
      <c r="D663" t="s">
        <v>394</v>
      </c>
      <c r="E663" t="s">
        <v>1292</v>
      </c>
      <c r="F663">
        <v>8437.68</v>
      </c>
      <c r="G663" t="s">
        <v>1293</v>
      </c>
      <c r="H663">
        <v>33</v>
      </c>
      <c r="I663" t="s">
        <v>1294</v>
      </c>
      <c r="J663" t="s">
        <v>294</v>
      </c>
      <c r="M663" t="s">
        <v>295</v>
      </c>
      <c r="N663" t="s">
        <v>296</v>
      </c>
      <c r="O663" t="s">
        <v>297</v>
      </c>
    </row>
    <row r="664" spans="1:15" x14ac:dyDescent="0.3">
      <c r="A664" t="s">
        <v>1253</v>
      </c>
      <c r="B664" t="s">
        <v>1254</v>
      </c>
      <c r="C664">
        <v>2022</v>
      </c>
      <c r="D664" t="s">
        <v>394</v>
      </c>
      <c r="E664" t="s">
        <v>1295</v>
      </c>
      <c r="F664">
        <v>7673.43</v>
      </c>
      <c r="G664" t="s">
        <v>1293</v>
      </c>
      <c r="H664">
        <v>33</v>
      </c>
      <c r="I664" t="s">
        <v>1296</v>
      </c>
      <c r="J664" t="s">
        <v>294</v>
      </c>
      <c r="M664" t="s">
        <v>295</v>
      </c>
      <c r="N664" t="s">
        <v>296</v>
      </c>
      <c r="O664" t="s">
        <v>297</v>
      </c>
    </row>
    <row r="665" spans="1:15" x14ac:dyDescent="0.3">
      <c r="A665" t="s">
        <v>1253</v>
      </c>
      <c r="B665" t="s">
        <v>1254</v>
      </c>
      <c r="C665">
        <v>2022</v>
      </c>
      <c r="D665" t="s">
        <v>394</v>
      </c>
      <c r="E665" t="s">
        <v>1297</v>
      </c>
      <c r="F665">
        <v>3296.6</v>
      </c>
      <c r="G665" t="s">
        <v>1293</v>
      </c>
      <c r="H665">
        <v>33</v>
      </c>
      <c r="I665" t="s">
        <v>1298</v>
      </c>
      <c r="J665" t="s">
        <v>294</v>
      </c>
      <c r="M665" t="s">
        <v>295</v>
      </c>
      <c r="N665" t="s">
        <v>296</v>
      </c>
      <c r="O665" t="s">
        <v>297</v>
      </c>
    </row>
    <row r="666" spans="1:15" x14ac:dyDescent="0.3">
      <c r="A666" t="s">
        <v>1253</v>
      </c>
      <c r="B666" t="s">
        <v>1254</v>
      </c>
      <c r="C666">
        <v>2022</v>
      </c>
      <c r="D666" t="s">
        <v>272</v>
      </c>
      <c r="E666" t="s">
        <v>1299</v>
      </c>
      <c r="F666" t="s">
        <v>1300</v>
      </c>
      <c r="G666" t="s">
        <v>1301</v>
      </c>
      <c r="H666">
        <v>1</v>
      </c>
      <c r="I666" t="s">
        <v>1302</v>
      </c>
      <c r="J666" t="s">
        <v>294</v>
      </c>
      <c r="M666" t="s">
        <v>295</v>
      </c>
      <c r="N666" t="s">
        <v>296</v>
      </c>
      <c r="O666" t="s">
        <v>297</v>
      </c>
    </row>
    <row r="667" spans="1:15" x14ac:dyDescent="0.3">
      <c r="A667" t="s">
        <v>1253</v>
      </c>
      <c r="B667" t="s">
        <v>1254</v>
      </c>
      <c r="C667">
        <v>2022</v>
      </c>
      <c r="D667" t="s">
        <v>272</v>
      </c>
      <c r="E667" t="s">
        <v>1303</v>
      </c>
      <c r="F667" t="s">
        <v>1304</v>
      </c>
      <c r="G667" t="s">
        <v>1305</v>
      </c>
      <c r="H667">
        <v>21</v>
      </c>
      <c r="I667" t="s">
        <v>1306</v>
      </c>
      <c r="J667" t="s">
        <v>294</v>
      </c>
      <c r="M667" t="s">
        <v>295</v>
      </c>
      <c r="N667" t="s">
        <v>296</v>
      </c>
      <c r="O667" t="s">
        <v>297</v>
      </c>
    </row>
    <row r="668" spans="1:15" x14ac:dyDescent="0.3">
      <c r="A668" t="s">
        <v>1253</v>
      </c>
      <c r="B668" t="s">
        <v>1254</v>
      </c>
      <c r="C668">
        <v>2022</v>
      </c>
      <c r="D668" t="s">
        <v>272</v>
      </c>
      <c r="E668" t="s">
        <v>1307</v>
      </c>
      <c r="F668" t="s">
        <v>1308</v>
      </c>
      <c r="G668" t="s">
        <v>1305</v>
      </c>
      <c r="H668">
        <v>21</v>
      </c>
      <c r="I668" t="s">
        <v>1309</v>
      </c>
      <c r="J668" t="s">
        <v>294</v>
      </c>
      <c r="M668" t="s">
        <v>295</v>
      </c>
      <c r="N668" t="s">
        <v>296</v>
      </c>
      <c r="O668" t="s">
        <v>297</v>
      </c>
    </row>
    <row r="669" spans="1:15" x14ac:dyDescent="0.3">
      <c r="A669" t="s">
        <v>1253</v>
      </c>
      <c r="B669" t="s">
        <v>1254</v>
      </c>
      <c r="C669">
        <v>2022</v>
      </c>
      <c r="D669" t="s">
        <v>272</v>
      </c>
      <c r="E669" t="s">
        <v>1310</v>
      </c>
      <c r="F669" t="s">
        <v>1311</v>
      </c>
      <c r="G669" t="s">
        <v>1312</v>
      </c>
      <c r="H669">
        <v>32</v>
      </c>
      <c r="I669" t="s">
        <v>1313</v>
      </c>
      <c r="J669" t="s">
        <v>294</v>
      </c>
      <c r="M669" t="s">
        <v>295</v>
      </c>
      <c r="N669" t="s">
        <v>296</v>
      </c>
      <c r="O669" t="s">
        <v>297</v>
      </c>
    </row>
    <row r="670" spans="1:15" x14ac:dyDescent="0.3">
      <c r="A670" t="s">
        <v>1253</v>
      </c>
      <c r="B670" t="s">
        <v>1254</v>
      </c>
      <c r="C670">
        <v>2022</v>
      </c>
      <c r="D670" t="s">
        <v>272</v>
      </c>
      <c r="E670" t="s">
        <v>1314</v>
      </c>
      <c r="F670" t="s">
        <v>1315</v>
      </c>
      <c r="G670" t="s">
        <v>1316</v>
      </c>
      <c r="H670">
        <v>1</v>
      </c>
      <c r="I670" t="s">
        <v>1317</v>
      </c>
      <c r="J670" t="s">
        <v>294</v>
      </c>
      <c r="M670" t="s">
        <v>295</v>
      </c>
      <c r="N670" t="s">
        <v>296</v>
      </c>
      <c r="O670" t="s">
        <v>297</v>
      </c>
    </row>
    <row r="671" spans="1:15" x14ac:dyDescent="0.3">
      <c r="A671" t="s">
        <v>1253</v>
      </c>
      <c r="B671" t="s">
        <v>1318</v>
      </c>
      <c r="C671">
        <v>2023</v>
      </c>
      <c r="D671" t="s">
        <v>300</v>
      </c>
      <c r="E671" t="s">
        <v>301</v>
      </c>
      <c r="F671">
        <v>196.67</v>
      </c>
      <c r="G671" t="s">
        <v>302</v>
      </c>
      <c r="H671">
        <v>4</v>
      </c>
      <c r="I671" t="s">
        <v>1319</v>
      </c>
      <c r="J671" t="s">
        <v>294</v>
      </c>
      <c r="M671" t="s">
        <v>295</v>
      </c>
      <c r="N671" t="s">
        <v>296</v>
      </c>
      <c r="O671" t="s">
        <v>297</v>
      </c>
    </row>
    <row r="672" spans="1:15" x14ac:dyDescent="0.3">
      <c r="A672" t="s">
        <v>1253</v>
      </c>
      <c r="B672" t="s">
        <v>1318</v>
      </c>
      <c r="C672">
        <v>2023</v>
      </c>
      <c r="D672" t="s">
        <v>300</v>
      </c>
      <c r="E672" t="s">
        <v>688</v>
      </c>
      <c r="F672">
        <v>-202.7</v>
      </c>
      <c r="G672" t="s">
        <v>302</v>
      </c>
      <c r="H672">
        <v>4</v>
      </c>
      <c r="I672" t="s">
        <v>1320</v>
      </c>
      <c r="J672" t="s">
        <v>294</v>
      </c>
      <c r="M672" t="s">
        <v>295</v>
      </c>
      <c r="N672" t="s">
        <v>296</v>
      </c>
      <c r="O672" t="s">
        <v>297</v>
      </c>
    </row>
    <row r="673" spans="1:15" x14ac:dyDescent="0.3">
      <c r="A673" t="s">
        <v>1253</v>
      </c>
      <c r="B673" t="s">
        <v>1318</v>
      </c>
      <c r="C673">
        <v>2023</v>
      </c>
      <c r="D673" t="s">
        <v>300</v>
      </c>
      <c r="E673" t="s">
        <v>819</v>
      </c>
      <c r="F673">
        <v>-6.03</v>
      </c>
      <c r="G673" t="s">
        <v>302</v>
      </c>
      <c r="H673">
        <v>4</v>
      </c>
      <c r="I673" t="s">
        <v>1321</v>
      </c>
      <c r="J673" t="s">
        <v>294</v>
      </c>
      <c r="M673" t="s">
        <v>295</v>
      </c>
      <c r="N673" t="s">
        <v>296</v>
      </c>
      <c r="O673" t="s">
        <v>297</v>
      </c>
    </row>
    <row r="674" spans="1:15" x14ac:dyDescent="0.3">
      <c r="A674" t="s">
        <v>1253</v>
      </c>
      <c r="B674" t="s">
        <v>1318</v>
      </c>
      <c r="C674">
        <v>2023</v>
      </c>
      <c r="D674" t="s">
        <v>300</v>
      </c>
      <c r="E674" t="s">
        <v>765</v>
      </c>
      <c r="F674">
        <v>-40.53</v>
      </c>
      <c r="G674" t="s">
        <v>302</v>
      </c>
      <c r="H674">
        <v>4</v>
      </c>
      <c r="I674" t="s">
        <v>1322</v>
      </c>
      <c r="J674" t="s">
        <v>294</v>
      </c>
      <c r="M674" t="s">
        <v>295</v>
      </c>
      <c r="N674" t="s">
        <v>296</v>
      </c>
      <c r="O674" t="s">
        <v>297</v>
      </c>
    </row>
    <row r="675" spans="1:15" x14ac:dyDescent="0.3">
      <c r="A675" t="s">
        <v>1253</v>
      </c>
      <c r="B675" t="s">
        <v>1318</v>
      </c>
      <c r="C675">
        <v>2023</v>
      </c>
      <c r="D675" t="s">
        <v>300</v>
      </c>
      <c r="E675" t="s">
        <v>695</v>
      </c>
      <c r="F675">
        <v>-113.75</v>
      </c>
      <c r="G675" t="s">
        <v>302</v>
      </c>
      <c r="H675">
        <v>4</v>
      </c>
      <c r="I675" t="s">
        <v>1323</v>
      </c>
      <c r="J675" t="s">
        <v>294</v>
      </c>
      <c r="M675" t="s">
        <v>295</v>
      </c>
      <c r="N675" t="s">
        <v>296</v>
      </c>
      <c r="O675" t="s">
        <v>297</v>
      </c>
    </row>
    <row r="676" spans="1:15" x14ac:dyDescent="0.3">
      <c r="A676" t="s">
        <v>1253</v>
      </c>
      <c r="B676" t="s">
        <v>1318</v>
      </c>
      <c r="C676">
        <v>2023</v>
      </c>
      <c r="D676" t="s">
        <v>300</v>
      </c>
      <c r="E676" t="s">
        <v>1324</v>
      </c>
      <c r="F676">
        <v>-114.05</v>
      </c>
      <c r="G676" t="s">
        <v>302</v>
      </c>
      <c r="H676">
        <v>4</v>
      </c>
      <c r="I676" t="s">
        <v>1325</v>
      </c>
      <c r="J676" t="s">
        <v>294</v>
      </c>
      <c r="M676" t="s">
        <v>295</v>
      </c>
      <c r="N676" t="s">
        <v>296</v>
      </c>
      <c r="O676" t="s">
        <v>297</v>
      </c>
    </row>
    <row r="677" spans="1:15" x14ac:dyDescent="0.3">
      <c r="A677" t="s">
        <v>1253</v>
      </c>
      <c r="B677" t="s">
        <v>1318</v>
      </c>
      <c r="C677">
        <v>2023</v>
      </c>
      <c r="D677" t="s">
        <v>300</v>
      </c>
      <c r="E677" t="s">
        <v>1261</v>
      </c>
      <c r="F677">
        <v>-96.07</v>
      </c>
      <c r="G677" t="s">
        <v>302</v>
      </c>
      <c r="H677">
        <v>4</v>
      </c>
      <c r="I677" t="s">
        <v>1326</v>
      </c>
      <c r="J677" t="s">
        <v>294</v>
      </c>
      <c r="M677" t="s">
        <v>295</v>
      </c>
      <c r="N677" t="s">
        <v>296</v>
      </c>
      <c r="O677" t="s">
        <v>297</v>
      </c>
    </row>
    <row r="678" spans="1:15" x14ac:dyDescent="0.3">
      <c r="A678" t="s">
        <v>1253</v>
      </c>
      <c r="B678" t="s">
        <v>1318</v>
      </c>
      <c r="C678">
        <v>2023</v>
      </c>
      <c r="D678" t="s">
        <v>300</v>
      </c>
      <c r="E678" t="s">
        <v>345</v>
      </c>
      <c r="F678">
        <v>-2.46</v>
      </c>
      <c r="G678" t="s">
        <v>346</v>
      </c>
      <c r="H678">
        <v>4</v>
      </c>
      <c r="I678" t="s">
        <v>1327</v>
      </c>
      <c r="J678" t="s">
        <v>294</v>
      </c>
      <c r="M678" t="s">
        <v>295</v>
      </c>
      <c r="N678" t="s">
        <v>296</v>
      </c>
      <c r="O678" t="s">
        <v>297</v>
      </c>
    </row>
    <row r="679" spans="1:15" x14ac:dyDescent="0.3">
      <c r="A679" t="s">
        <v>1253</v>
      </c>
      <c r="B679" t="s">
        <v>1318</v>
      </c>
      <c r="C679">
        <v>2023</v>
      </c>
      <c r="D679" t="s">
        <v>300</v>
      </c>
      <c r="E679" t="s">
        <v>312</v>
      </c>
      <c r="F679">
        <v>59.79</v>
      </c>
      <c r="G679" t="s">
        <v>302</v>
      </c>
      <c r="H679">
        <v>4</v>
      </c>
      <c r="I679" t="s">
        <v>1328</v>
      </c>
      <c r="J679" t="s">
        <v>294</v>
      </c>
      <c r="M679" t="s">
        <v>295</v>
      </c>
      <c r="N679" t="s">
        <v>296</v>
      </c>
      <c r="O679" t="s">
        <v>297</v>
      </c>
    </row>
    <row r="680" spans="1:15" x14ac:dyDescent="0.3">
      <c r="A680" t="s">
        <v>1253</v>
      </c>
      <c r="B680" t="s">
        <v>1318</v>
      </c>
      <c r="C680">
        <v>2023</v>
      </c>
      <c r="D680" t="s">
        <v>300</v>
      </c>
      <c r="E680" t="s">
        <v>314</v>
      </c>
      <c r="F680">
        <v>3995.96</v>
      </c>
      <c r="G680" t="s">
        <v>302</v>
      </c>
      <c r="H680">
        <v>4</v>
      </c>
      <c r="I680" t="s">
        <v>1329</v>
      </c>
      <c r="J680" t="s">
        <v>294</v>
      </c>
      <c r="M680" t="s">
        <v>295</v>
      </c>
      <c r="N680" t="s">
        <v>296</v>
      </c>
      <c r="O680" t="s">
        <v>297</v>
      </c>
    </row>
    <row r="681" spans="1:15" x14ac:dyDescent="0.3">
      <c r="A681" t="s">
        <v>1253</v>
      </c>
      <c r="B681" t="s">
        <v>1318</v>
      </c>
      <c r="C681">
        <v>2023</v>
      </c>
      <c r="D681" t="s">
        <v>300</v>
      </c>
      <c r="E681" t="s">
        <v>316</v>
      </c>
      <c r="F681">
        <v>4055.75</v>
      </c>
      <c r="G681" t="s">
        <v>302</v>
      </c>
      <c r="H681">
        <v>4</v>
      </c>
      <c r="I681" t="s">
        <v>1330</v>
      </c>
      <c r="J681" t="s">
        <v>294</v>
      </c>
      <c r="M681" t="s">
        <v>295</v>
      </c>
      <c r="N681" t="s">
        <v>296</v>
      </c>
      <c r="O681" t="s">
        <v>297</v>
      </c>
    </row>
    <row r="682" spans="1:15" x14ac:dyDescent="0.3">
      <c r="A682" t="s">
        <v>1253</v>
      </c>
      <c r="B682" t="s">
        <v>1318</v>
      </c>
      <c r="C682">
        <v>2023</v>
      </c>
      <c r="D682" t="s">
        <v>300</v>
      </c>
      <c r="E682" t="s">
        <v>318</v>
      </c>
      <c r="F682">
        <v>295.64999999999998</v>
      </c>
      <c r="G682" t="s">
        <v>302</v>
      </c>
      <c r="H682">
        <v>4</v>
      </c>
      <c r="I682" t="s">
        <v>1331</v>
      </c>
      <c r="J682" t="s">
        <v>294</v>
      </c>
      <c r="M682" t="s">
        <v>295</v>
      </c>
      <c r="N682" t="s">
        <v>296</v>
      </c>
      <c r="O682" t="s">
        <v>297</v>
      </c>
    </row>
    <row r="683" spans="1:15" x14ac:dyDescent="0.3">
      <c r="A683" t="s">
        <v>1253</v>
      </c>
      <c r="B683" t="s">
        <v>1318</v>
      </c>
      <c r="C683">
        <v>2023</v>
      </c>
      <c r="D683" t="s">
        <v>300</v>
      </c>
      <c r="E683" t="s">
        <v>468</v>
      </c>
      <c r="F683">
        <v>2653.26</v>
      </c>
      <c r="G683" t="s">
        <v>302</v>
      </c>
      <c r="H683">
        <v>4</v>
      </c>
      <c r="I683" t="s">
        <v>1332</v>
      </c>
      <c r="J683" t="s">
        <v>294</v>
      </c>
      <c r="M683" t="s">
        <v>295</v>
      </c>
      <c r="N683" t="s">
        <v>296</v>
      </c>
      <c r="O683" t="s">
        <v>297</v>
      </c>
    </row>
    <row r="684" spans="1:15" x14ac:dyDescent="0.3">
      <c r="A684" t="s">
        <v>1253</v>
      </c>
      <c r="B684" t="s">
        <v>1318</v>
      </c>
      <c r="C684">
        <v>2023</v>
      </c>
      <c r="D684" t="s">
        <v>300</v>
      </c>
      <c r="E684" t="s">
        <v>322</v>
      </c>
      <c r="F684">
        <v>2948.91</v>
      </c>
      <c r="G684" t="s">
        <v>302</v>
      </c>
      <c r="H684">
        <v>4</v>
      </c>
      <c r="I684" t="s">
        <v>1333</v>
      </c>
      <c r="J684" t="s">
        <v>294</v>
      </c>
      <c r="M684" t="s">
        <v>295</v>
      </c>
      <c r="N684" t="s">
        <v>296</v>
      </c>
      <c r="O684" t="s">
        <v>297</v>
      </c>
    </row>
    <row r="685" spans="1:15" x14ac:dyDescent="0.3">
      <c r="A685" t="s">
        <v>1253</v>
      </c>
      <c r="B685" t="s">
        <v>1318</v>
      </c>
      <c r="C685">
        <v>2023</v>
      </c>
      <c r="D685" t="s">
        <v>300</v>
      </c>
      <c r="E685" t="s">
        <v>324</v>
      </c>
      <c r="F685">
        <v>1106.8399999999999</v>
      </c>
      <c r="G685" t="s">
        <v>302</v>
      </c>
      <c r="H685">
        <v>4</v>
      </c>
      <c r="I685" t="s">
        <v>1334</v>
      </c>
      <c r="J685" t="s">
        <v>294</v>
      </c>
      <c r="M685" t="s">
        <v>295</v>
      </c>
      <c r="N685" t="s">
        <v>296</v>
      </c>
      <c r="O685" t="s">
        <v>297</v>
      </c>
    </row>
    <row r="686" spans="1:15" x14ac:dyDescent="0.3">
      <c r="A686" t="s">
        <v>1253</v>
      </c>
      <c r="B686" t="s">
        <v>1318</v>
      </c>
      <c r="C686">
        <v>2023</v>
      </c>
      <c r="D686" t="s">
        <v>300</v>
      </c>
      <c r="E686" t="s">
        <v>973</v>
      </c>
      <c r="F686">
        <v>13.82</v>
      </c>
      <c r="G686" t="s">
        <v>302</v>
      </c>
      <c r="H686">
        <v>114</v>
      </c>
      <c r="I686" t="s">
        <v>1335</v>
      </c>
      <c r="J686" t="s">
        <v>294</v>
      </c>
      <c r="M686" t="s">
        <v>295</v>
      </c>
      <c r="N686" t="s">
        <v>296</v>
      </c>
      <c r="O686" t="s">
        <v>297</v>
      </c>
    </row>
    <row r="687" spans="1:15" x14ac:dyDescent="0.3">
      <c r="A687" t="s">
        <v>1253</v>
      </c>
      <c r="B687" t="s">
        <v>1318</v>
      </c>
      <c r="C687">
        <v>2023</v>
      </c>
      <c r="D687" t="s">
        <v>300</v>
      </c>
      <c r="E687" t="s">
        <v>1271</v>
      </c>
      <c r="F687">
        <v>2413.69</v>
      </c>
      <c r="G687" t="s">
        <v>302</v>
      </c>
      <c r="H687">
        <v>114</v>
      </c>
      <c r="I687" t="s">
        <v>1336</v>
      </c>
      <c r="J687" t="s">
        <v>294</v>
      </c>
      <c r="M687" t="s">
        <v>295</v>
      </c>
      <c r="N687" t="s">
        <v>296</v>
      </c>
      <c r="O687" t="s">
        <v>297</v>
      </c>
    </row>
    <row r="688" spans="1:15" x14ac:dyDescent="0.3">
      <c r="A688" t="s">
        <v>1253</v>
      </c>
      <c r="B688" t="s">
        <v>1318</v>
      </c>
      <c r="C688">
        <v>2023</v>
      </c>
      <c r="D688" t="s">
        <v>300</v>
      </c>
      <c r="E688" t="s">
        <v>601</v>
      </c>
      <c r="F688">
        <v>138.15</v>
      </c>
      <c r="G688" t="s">
        <v>302</v>
      </c>
      <c r="H688">
        <v>116</v>
      </c>
      <c r="I688" t="s">
        <v>1337</v>
      </c>
      <c r="J688" t="s">
        <v>294</v>
      </c>
      <c r="M688" t="s">
        <v>295</v>
      </c>
      <c r="N688" t="s">
        <v>296</v>
      </c>
      <c r="O688" t="s">
        <v>297</v>
      </c>
    </row>
    <row r="689" spans="1:15" x14ac:dyDescent="0.3">
      <c r="A689" t="s">
        <v>1253</v>
      </c>
      <c r="B689" t="s">
        <v>1318</v>
      </c>
      <c r="C689">
        <v>2023</v>
      </c>
      <c r="D689" t="s">
        <v>300</v>
      </c>
      <c r="E689" t="s">
        <v>1338</v>
      </c>
      <c r="F689">
        <v>69.209999999999994</v>
      </c>
      <c r="G689" t="s">
        <v>302</v>
      </c>
      <c r="H689">
        <v>116</v>
      </c>
      <c r="I689" t="s">
        <v>1339</v>
      </c>
      <c r="J689" t="s">
        <v>294</v>
      </c>
      <c r="M689" t="s">
        <v>295</v>
      </c>
      <c r="N689" t="s">
        <v>296</v>
      </c>
      <c r="O689" t="s">
        <v>297</v>
      </c>
    </row>
    <row r="690" spans="1:15" x14ac:dyDescent="0.3">
      <c r="A690" t="s">
        <v>1253</v>
      </c>
      <c r="B690" t="s">
        <v>1318</v>
      </c>
      <c r="C690">
        <v>2023</v>
      </c>
      <c r="D690" t="s">
        <v>300</v>
      </c>
      <c r="E690" t="s">
        <v>1277</v>
      </c>
      <c r="F690">
        <v>45.91</v>
      </c>
      <c r="G690" t="s">
        <v>302</v>
      </c>
      <c r="H690">
        <v>141</v>
      </c>
      <c r="I690" t="s">
        <v>1340</v>
      </c>
      <c r="J690" t="s">
        <v>294</v>
      </c>
      <c r="M690" t="s">
        <v>295</v>
      </c>
      <c r="N690" t="s">
        <v>296</v>
      </c>
      <c r="O690" t="s">
        <v>297</v>
      </c>
    </row>
    <row r="691" spans="1:15" x14ac:dyDescent="0.3">
      <c r="A691" t="s">
        <v>1253</v>
      </c>
      <c r="B691" t="s">
        <v>1318</v>
      </c>
      <c r="C691">
        <v>2023</v>
      </c>
      <c r="D691" t="s">
        <v>300</v>
      </c>
      <c r="E691" t="s">
        <v>326</v>
      </c>
      <c r="F691">
        <v>0.2</v>
      </c>
      <c r="G691" t="s">
        <v>327</v>
      </c>
      <c r="H691">
        <v>4</v>
      </c>
      <c r="I691" t="s">
        <v>1341</v>
      </c>
      <c r="J691" t="s">
        <v>294</v>
      </c>
      <c r="M691" t="s">
        <v>295</v>
      </c>
      <c r="N691" t="s">
        <v>296</v>
      </c>
      <c r="O691" t="s">
        <v>297</v>
      </c>
    </row>
    <row r="692" spans="1:15" x14ac:dyDescent="0.3">
      <c r="A692" t="s">
        <v>1253</v>
      </c>
      <c r="B692" t="s">
        <v>1318</v>
      </c>
      <c r="C692">
        <v>2023</v>
      </c>
      <c r="D692" t="s">
        <v>300</v>
      </c>
      <c r="E692" t="s">
        <v>1342</v>
      </c>
      <c r="F692">
        <v>2.67</v>
      </c>
      <c r="G692" t="s">
        <v>327</v>
      </c>
      <c r="H692">
        <v>4</v>
      </c>
      <c r="I692" t="s">
        <v>1343</v>
      </c>
      <c r="J692" t="s">
        <v>294</v>
      </c>
      <c r="M692" t="s">
        <v>295</v>
      </c>
      <c r="N692" t="s">
        <v>296</v>
      </c>
      <c r="O692" t="s">
        <v>297</v>
      </c>
    </row>
    <row r="693" spans="1:15" x14ac:dyDescent="0.3">
      <c r="A693" t="s">
        <v>1253</v>
      </c>
      <c r="B693" t="s">
        <v>1318</v>
      </c>
      <c r="C693">
        <v>2023</v>
      </c>
      <c r="D693" t="s">
        <v>300</v>
      </c>
      <c r="E693" t="s">
        <v>1187</v>
      </c>
      <c r="F693">
        <v>-3.0599999999999999E-2</v>
      </c>
      <c r="G693" t="s">
        <v>1283</v>
      </c>
      <c r="H693">
        <v>4</v>
      </c>
      <c r="I693" t="s">
        <v>1344</v>
      </c>
      <c r="J693" t="s">
        <v>294</v>
      </c>
      <c r="M693" t="s">
        <v>295</v>
      </c>
      <c r="N693" t="s">
        <v>296</v>
      </c>
      <c r="O693" t="s">
        <v>297</v>
      </c>
    </row>
    <row r="694" spans="1:15" x14ac:dyDescent="0.3">
      <c r="A694" t="s">
        <v>1253</v>
      </c>
      <c r="B694" t="s">
        <v>1318</v>
      </c>
      <c r="C694">
        <v>2023</v>
      </c>
      <c r="D694" t="s">
        <v>300</v>
      </c>
      <c r="E694" t="s">
        <v>1345</v>
      </c>
      <c r="F694">
        <v>-0.48849999999999999</v>
      </c>
      <c r="G694" t="s">
        <v>1283</v>
      </c>
      <c r="H694">
        <v>4</v>
      </c>
      <c r="I694" t="s">
        <v>1346</v>
      </c>
      <c r="J694" t="s">
        <v>294</v>
      </c>
      <c r="M694" t="s">
        <v>295</v>
      </c>
      <c r="N694" t="s">
        <v>296</v>
      </c>
      <c r="O694" t="s">
        <v>297</v>
      </c>
    </row>
    <row r="695" spans="1:15" x14ac:dyDescent="0.3">
      <c r="A695" t="s">
        <v>1253</v>
      </c>
      <c r="B695" t="s">
        <v>1318</v>
      </c>
      <c r="C695">
        <v>2023</v>
      </c>
      <c r="D695" t="s">
        <v>300</v>
      </c>
      <c r="E695" t="s">
        <v>1347</v>
      </c>
      <c r="F695">
        <v>50</v>
      </c>
      <c r="G695" t="s">
        <v>346</v>
      </c>
      <c r="H695">
        <v>5</v>
      </c>
      <c r="I695" t="s">
        <v>1348</v>
      </c>
      <c r="J695" t="s">
        <v>294</v>
      </c>
      <c r="M695" t="s">
        <v>295</v>
      </c>
      <c r="N695" t="s">
        <v>296</v>
      </c>
      <c r="O695" t="s">
        <v>297</v>
      </c>
    </row>
    <row r="696" spans="1:15" x14ac:dyDescent="0.3">
      <c r="A696" t="s">
        <v>1253</v>
      </c>
      <c r="B696" t="s">
        <v>1318</v>
      </c>
      <c r="C696">
        <v>2023</v>
      </c>
      <c r="D696" t="s">
        <v>300</v>
      </c>
      <c r="E696" t="s">
        <v>1349</v>
      </c>
      <c r="F696">
        <v>46277.5</v>
      </c>
      <c r="G696" t="s">
        <v>1288</v>
      </c>
      <c r="H696">
        <v>24</v>
      </c>
      <c r="I696" t="s">
        <v>1350</v>
      </c>
      <c r="J696" t="s">
        <v>294</v>
      </c>
      <c r="M696" t="s">
        <v>295</v>
      </c>
      <c r="N696" t="s">
        <v>296</v>
      </c>
      <c r="O696" t="s">
        <v>297</v>
      </c>
    </row>
    <row r="697" spans="1:15" x14ac:dyDescent="0.3">
      <c r="A697" t="s">
        <v>1253</v>
      </c>
      <c r="B697" t="s">
        <v>1318</v>
      </c>
      <c r="C697">
        <v>2023</v>
      </c>
      <c r="D697" t="s">
        <v>394</v>
      </c>
      <c r="E697" t="s">
        <v>1351</v>
      </c>
      <c r="F697">
        <v>12152.63</v>
      </c>
      <c r="G697" t="s">
        <v>1293</v>
      </c>
      <c r="H697">
        <v>87</v>
      </c>
      <c r="I697" t="s">
        <v>1352</v>
      </c>
      <c r="J697" t="s">
        <v>294</v>
      </c>
      <c r="M697" t="s">
        <v>295</v>
      </c>
      <c r="N697" t="s">
        <v>296</v>
      </c>
      <c r="O697" t="s">
        <v>297</v>
      </c>
    </row>
    <row r="698" spans="1:15" x14ac:dyDescent="0.3">
      <c r="A698" t="s">
        <v>1253</v>
      </c>
      <c r="B698" t="s">
        <v>1318</v>
      </c>
      <c r="C698">
        <v>2023</v>
      </c>
      <c r="D698" t="s">
        <v>394</v>
      </c>
      <c r="E698" t="s">
        <v>1353</v>
      </c>
      <c r="F698">
        <v>13100.68</v>
      </c>
      <c r="G698" t="s">
        <v>1293</v>
      </c>
      <c r="H698">
        <v>87</v>
      </c>
      <c r="I698" t="s">
        <v>1354</v>
      </c>
      <c r="J698" t="s">
        <v>294</v>
      </c>
      <c r="M698" t="s">
        <v>295</v>
      </c>
      <c r="N698" t="s">
        <v>296</v>
      </c>
      <c r="O698" t="s">
        <v>297</v>
      </c>
    </row>
    <row r="699" spans="1:15" x14ac:dyDescent="0.3">
      <c r="A699" t="s">
        <v>1253</v>
      </c>
      <c r="B699" t="s">
        <v>1318</v>
      </c>
      <c r="C699">
        <v>2023</v>
      </c>
      <c r="D699" t="s">
        <v>394</v>
      </c>
      <c r="E699" t="s">
        <v>1355</v>
      </c>
      <c r="F699">
        <v>1737.2</v>
      </c>
      <c r="G699" t="s">
        <v>1293</v>
      </c>
      <c r="H699">
        <v>87</v>
      </c>
      <c r="I699" t="s">
        <v>1356</v>
      </c>
      <c r="J699" t="s">
        <v>294</v>
      </c>
      <c r="M699" t="s">
        <v>295</v>
      </c>
      <c r="N699" t="s">
        <v>296</v>
      </c>
      <c r="O699" t="s">
        <v>297</v>
      </c>
    </row>
    <row r="700" spans="1:15" x14ac:dyDescent="0.3">
      <c r="A700" t="s">
        <v>1253</v>
      </c>
      <c r="B700" t="s">
        <v>1318</v>
      </c>
      <c r="C700">
        <v>2023</v>
      </c>
      <c r="D700" t="s">
        <v>394</v>
      </c>
      <c r="E700" t="s">
        <v>1357</v>
      </c>
      <c r="F700">
        <v>36000</v>
      </c>
      <c r="G700" t="s">
        <v>1358</v>
      </c>
      <c r="H700">
        <v>43</v>
      </c>
      <c r="I700" t="s">
        <v>1359</v>
      </c>
      <c r="J700" t="s">
        <v>456</v>
      </c>
      <c r="M700" t="s">
        <v>295</v>
      </c>
      <c r="N700" t="s">
        <v>296</v>
      </c>
      <c r="O700" t="s">
        <v>297</v>
      </c>
    </row>
    <row r="701" spans="1:15" x14ac:dyDescent="0.3">
      <c r="A701" t="s">
        <v>1253</v>
      </c>
      <c r="B701" t="s">
        <v>1318</v>
      </c>
      <c r="C701">
        <v>2023</v>
      </c>
      <c r="D701" t="s">
        <v>272</v>
      </c>
      <c r="E701" t="s">
        <v>1360</v>
      </c>
      <c r="F701" t="s">
        <v>1361</v>
      </c>
      <c r="G701" t="s">
        <v>1316</v>
      </c>
      <c r="H701">
        <v>58</v>
      </c>
      <c r="I701" t="s">
        <v>1362</v>
      </c>
      <c r="J701" t="s">
        <v>294</v>
      </c>
      <c r="M701" t="s">
        <v>295</v>
      </c>
      <c r="N701" t="s">
        <v>296</v>
      </c>
      <c r="O701" t="s">
        <v>297</v>
      </c>
    </row>
    <row r="702" spans="1:15" x14ac:dyDescent="0.3">
      <c r="A702" t="s">
        <v>1253</v>
      </c>
      <c r="B702" t="s">
        <v>1318</v>
      </c>
      <c r="C702">
        <v>2023</v>
      </c>
      <c r="D702" t="s">
        <v>272</v>
      </c>
      <c r="E702" t="s">
        <v>1299</v>
      </c>
      <c r="F702" t="s">
        <v>1363</v>
      </c>
      <c r="G702" t="s">
        <v>1301</v>
      </c>
      <c r="H702">
        <v>1</v>
      </c>
      <c r="I702" t="s">
        <v>1364</v>
      </c>
      <c r="J702" t="s">
        <v>294</v>
      </c>
      <c r="M702" t="s">
        <v>295</v>
      </c>
      <c r="N702" t="s">
        <v>296</v>
      </c>
      <c r="O702" t="s">
        <v>297</v>
      </c>
    </row>
    <row r="703" spans="1:15" x14ac:dyDescent="0.3">
      <c r="A703" t="s">
        <v>1253</v>
      </c>
      <c r="B703" t="s">
        <v>1365</v>
      </c>
      <c r="C703">
        <v>2024</v>
      </c>
      <c r="D703" t="s">
        <v>300</v>
      </c>
      <c r="E703" t="s">
        <v>301</v>
      </c>
      <c r="F703">
        <v>635.63</v>
      </c>
      <c r="G703" t="s">
        <v>302</v>
      </c>
      <c r="H703">
        <v>7</v>
      </c>
      <c r="I703" t="s">
        <v>1366</v>
      </c>
      <c r="J703" t="s">
        <v>294</v>
      </c>
      <c r="M703" t="s">
        <v>295</v>
      </c>
      <c r="N703" t="s">
        <v>296</v>
      </c>
      <c r="O703" t="s">
        <v>297</v>
      </c>
    </row>
    <row r="704" spans="1:15" x14ac:dyDescent="0.3">
      <c r="A704" t="s">
        <v>1253</v>
      </c>
      <c r="B704" t="s">
        <v>1365</v>
      </c>
      <c r="C704">
        <v>2024</v>
      </c>
      <c r="D704" t="s">
        <v>300</v>
      </c>
      <c r="E704" t="s">
        <v>1109</v>
      </c>
      <c r="F704">
        <v>-655.48</v>
      </c>
      <c r="G704" t="s">
        <v>302</v>
      </c>
      <c r="H704">
        <v>7</v>
      </c>
      <c r="I704" t="s">
        <v>1367</v>
      </c>
      <c r="J704" t="s">
        <v>294</v>
      </c>
      <c r="M704" t="s">
        <v>295</v>
      </c>
      <c r="N704" t="s">
        <v>296</v>
      </c>
      <c r="O704" t="s">
        <v>297</v>
      </c>
    </row>
    <row r="705" spans="1:15" x14ac:dyDescent="0.3">
      <c r="A705" t="s">
        <v>1253</v>
      </c>
      <c r="B705" t="s">
        <v>1365</v>
      </c>
      <c r="C705">
        <v>2024</v>
      </c>
      <c r="D705" t="s">
        <v>300</v>
      </c>
      <c r="E705" t="s">
        <v>1368</v>
      </c>
      <c r="F705">
        <v>-19.850000000000001</v>
      </c>
      <c r="G705" t="s">
        <v>302</v>
      </c>
      <c r="H705">
        <v>7</v>
      </c>
      <c r="I705" t="s">
        <v>1369</v>
      </c>
      <c r="J705" t="s">
        <v>294</v>
      </c>
      <c r="M705" t="s">
        <v>295</v>
      </c>
      <c r="N705" t="s">
        <v>296</v>
      </c>
      <c r="O705" t="s">
        <v>297</v>
      </c>
    </row>
    <row r="706" spans="1:15" x14ac:dyDescent="0.3">
      <c r="A706" t="s">
        <v>1253</v>
      </c>
      <c r="B706" t="s">
        <v>1365</v>
      </c>
      <c r="C706">
        <v>2024</v>
      </c>
      <c r="D706" t="s">
        <v>300</v>
      </c>
      <c r="E706" t="s">
        <v>765</v>
      </c>
      <c r="F706">
        <v>-70.3</v>
      </c>
      <c r="G706" t="s">
        <v>302</v>
      </c>
      <c r="H706">
        <v>7</v>
      </c>
      <c r="I706" t="s">
        <v>1370</v>
      </c>
      <c r="J706" t="s">
        <v>294</v>
      </c>
      <c r="M706" t="s">
        <v>295</v>
      </c>
      <c r="N706" t="s">
        <v>296</v>
      </c>
      <c r="O706" t="s">
        <v>297</v>
      </c>
    </row>
    <row r="707" spans="1:15" x14ac:dyDescent="0.3">
      <c r="A707" t="s">
        <v>1253</v>
      </c>
      <c r="B707" t="s">
        <v>1365</v>
      </c>
      <c r="C707">
        <v>2024</v>
      </c>
      <c r="D707" t="s">
        <v>300</v>
      </c>
      <c r="E707" t="s">
        <v>695</v>
      </c>
      <c r="F707">
        <v>-508.53</v>
      </c>
      <c r="G707" t="s">
        <v>302</v>
      </c>
      <c r="H707">
        <v>7</v>
      </c>
      <c r="I707" t="s">
        <v>1371</v>
      </c>
      <c r="J707" t="s">
        <v>294</v>
      </c>
      <c r="M707" t="s">
        <v>295</v>
      </c>
      <c r="N707" t="s">
        <v>296</v>
      </c>
      <c r="O707" t="s">
        <v>297</v>
      </c>
    </row>
    <row r="708" spans="1:15" x14ac:dyDescent="0.3">
      <c r="A708" t="s">
        <v>1253</v>
      </c>
      <c r="B708" t="s">
        <v>1365</v>
      </c>
      <c r="C708">
        <v>2024</v>
      </c>
      <c r="D708" t="s">
        <v>300</v>
      </c>
      <c r="E708" t="s">
        <v>767</v>
      </c>
      <c r="F708">
        <v>-719.27</v>
      </c>
      <c r="G708" t="s">
        <v>302</v>
      </c>
      <c r="H708">
        <v>7</v>
      </c>
      <c r="I708" t="s">
        <v>1372</v>
      </c>
      <c r="J708" t="s">
        <v>294</v>
      </c>
      <c r="M708" t="s">
        <v>295</v>
      </c>
      <c r="N708" t="s">
        <v>296</v>
      </c>
      <c r="O708" t="s">
        <v>297</v>
      </c>
    </row>
    <row r="709" spans="1:15" x14ac:dyDescent="0.3">
      <c r="A709" t="s">
        <v>1253</v>
      </c>
      <c r="B709" t="s">
        <v>1365</v>
      </c>
      <c r="C709">
        <v>2024</v>
      </c>
      <c r="D709" t="s">
        <v>300</v>
      </c>
      <c r="E709" t="s">
        <v>769</v>
      </c>
      <c r="F709">
        <v>-644.34</v>
      </c>
      <c r="G709" t="s">
        <v>302</v>
      </c>
      <c r="H709">
        <v>7</v>
      </c>
      <c r="I709" t="s">
        <v>1373</v>
      </c>
      <c r="J709" t="s">
        <v>294</v>
      </c>
      <c r="M709" t="s">
        <v>295</v>
      </c>
      <c r="N709" t="s">
        <v>296</v>
      </c>
      <c r="O709" t="s">
        <v>297</v>
      </c>
    </row>
    <row r="710" spans="1:15" x14ac:dyDescent="0.3">
      <c r="A710" t="s">
        <v>1253</v>
      </c>
      <c r="B710" t="s">
        <v>1365</v>
      </c>
      <c r="C710">
        <v>2024</v>
      </c>
      <c r="D710" t="s">
        <v>300</v>
      </c>
      <c r="E710" t="s">
        <v>345</v>
      </c>
      <c r="F710">
        <v>-15.54</v>
      </c>
      <c r="G710" t="s">
        <v>346</v>
      </c>
      <c r="H710">
        <v>7</v>
      </c>
      <c r="I710" t="s">
        <v>1374</v>
      </c>
      <c r="J710" t="s">
        <v>294</v>
      </c>
      <c r="M710" t="s">
        <v>295</v>
      </c>
      <c r="N710" t="s">
        <v>296</v>
      </c>
      <c r="O710" t="s">
        <v>297</v>
      </c>
    </row>
    <row r="711" spans="1:15" x14ac:dyDescent="0.3">
      <c r="A711" t="s">
        <v>1253</v>
      </c>
      <c r="B711" t="s">
        <v>1365</v>
      </c>
      <c r="C711">
        <v>2024</v>
      </c>
      <c r="D711" t="s">
        <v>300</v>
      </c>
      <c r="E711" t="s">
        <v>312</v>
      </c>
      <c r="F711">
        <v>162.46</v>
      </c>
      <c r="G711" t="s">
        <v>302</v>
      </c>
      <c r="H711">
        <v>7</v>
      </c>
      <c r="I711" t="s">
        <v>1375</v>
      </c>
      <c r="J711" t="s">
        <v>294</v>
      </c>
      <c r="M711" t="s">
        <v>295</v>
      </c>
      <c r="N711" t="s">
        <v>296</v>
      </c>
      <c r="O711" t="s">
        <v>297</v>
      </c>
    </row>
    <row r="712" spans="1:15" x14ac:dyDescent="0.3">
      <c r="A712" t="s">
        <v>1253</v>
      </c>
      <c r="B712" t="s">
        <v>1365</v>
      </c>
      <c r="C712">
        <v>2024</v>
      </c>
      <c r="D712" t="s">
        <v>300</v>
      </c>
      <c r="E712" t="s">
        <v>314</v>
      </c>
      <c r="F712">
        <v>3731.61</v>
      </c>
      <c r="G712" t="s">
        <v>302</v>
      </c>
      <c r="H712">
        <v>7</v>
      </c>
      <c r="I712" t="s">
        <v>1376</v>
      </c>
      <c r="J712" t="s">
        <v>294</v>
      </c>
      <c r="M712" t="s">
        <v>295</v>
      </c>
      <c r="N712" t="s">
        <v>296</v>
      </c>
      <c r="O712" t="s">
        <v>297</v>
      </c>
    </row>
    <row r="713" spans="1:15" x14ac:dyDescent="0.3">
      <c r="A713" t="s">
        <v>1253</v>
      </c>
      <c r="B713" t="s">
        <v>1365</v>
      </c>
      <c r="C713">
        <v>2024</v>
      </c>
      <c r="D713" t="s">
        <v>300</v>
      </c>
      <c r="E713" t="s">
        <v>316</v>
      </c>
      <c r="F713">
        <v>3894.06</v>
      </c>
      <c r="G713" t="s">
        <v>302</v>
      </c>
      <c r="H713">
        <v>7</v>
      </c>
      <c r="I713" t="s">
        <v>1377</v>
      </c>
      <c r="J713" t="s">
        <v>294</v>
      </c>
      <c r="M713" t="s">
        <v>295</v>
      </c>
      <c r="N713" t="s">
        <v>296</v>
      </c>
      <c r="O713" t="s">
        <v>297</v>
      </c>
    </row>
    <row r="714" spans="1:15" x14ac:dyDescent="0.3">
      <c r="A714" t="s">
        <v>1253</v>
      </c>
      <c r="B714" t="s">
        <v>1365</v>
      </c>
      <c r="C714">
        <v>2024</v>
      </c>
      <c r="D714" t="s">
        <v>300</v>
      </c>
      <c r="E714" t="s">
        <v>318</v>
      </c>
      <c r="F714">
        <v>69.97</v>
      </c>
      <c r="G714" t="s">
        <v>302</v>
      </c>
      <c r="H714">
        <v>7</v>
      </c>
      <c r="I714" t="s">
        <v>1378</v>
      </c>
      <c r="J714" t="s">
        <v>294</v>
      </c>
      <c r="M714" t="s">
        <v>295</v>
      </c>
      <c r="N714" t="s">
        <v>296</v>
      </c>
      <c r="O714" t="s">
        <v>297</v>
      </c>
    </row>
    <row r="715" spans="1:15" x14ac:dyDescent="0.3">
      <c r="A715" t="s">
        <v>1253</v>
      </c>
      <c r="B715" t="s">
        <v>1365</v>
      </c>
      <c r="C715">
        <v>2024</v>
      </c>
      <c r="D715" t="s">
        <v>300</v>
      </c>
      <c r="E715" t="s">
        <v>468</v>
      </c>
      <c r="F715">
        <v>3361.6</v>
      </c>
      <c r="G715" t="s">
        <v>302</v>
      </c>
      <c r="H715">
        <v>7</v>
      </c>
      <c r="I715" t="s">
        <v>1379</v>
      </c>
      <c r="J715" t="s">
        <v>294</v>
      </c>
      <c r="M715" t="s">
        <v>295</v>
      </c>
      <c r="N715" t="s">
        <v>296</v>
      </c>
      <c r="O715" t="s">
        <v>297</v>
      </c>
    </row>
    <row r="716" spans="1:15" x14ac:dyDescent="0.3">
      <c r="A716" t="s">
        <v>1253</v>
      </c>
      <c r="B716" t="s">
        <v>1365</v>
      </c>
      <c r="C716">
        <v>2024</v>
      </c>
      <c r="D716" t="s">
        <v>300</v>
      </c>
      <c r="E716" t="s">
        <v>322</v>
      </c>
      <c r="F716">
        <v>3431.56</v>
      </c>
      <c r="G716" t="s">
        <v>302</v>
      </c>
      <c r="H716">
        <v>7</v>
      </c>
      <c r="I716" t="s">
        <v>1380</v>
      </c>
      <c r="J716" t="s">
        <v>294</v>
      </c>
      <c r="M716" t="s">
        <v>295</v>
      </c>
      <c r="N716" t="s">
        <v>296</v>
      </c>
      <c r="O716" t="s">
        <v>297</v>
      </c>
    </row>
    <row r="717" spans="1:15" x14ac:dyDescent="0.3">
      <c r="A717" t="s">
        <v>1253</v>
      </c>
      <c r="B717" t="s">
        <v>1365</v>
      </c>
      <c r="C717">
        <v>2024</v>
      </c>
      <c r="D717" t="s">
        <v>300</v>
      </c>
      <c r="E717" t="s">
        <v>324</v>
      </c>
      <c r="F717">
        <v>462.5</v>
      </c>
      <c r="G717" t="s">
        <v>302</v>
      </c>
      <c r="H717">
        <v>7</v>
      </c>
      <c r="I717" t="s">
        <v>1381</v>
      </c>
      <c r="J717" t="s">
        <v>294</v>
      </c>
      <c r="M717" t="s">
        <v>295</v>
      </c>
      <c r="N717" t="s">
        <v>296</v>
      </c>
      <c r="O717" t="s">
        <v>297</v>
      </c>
    </row>
    <row r="718" spans="1:15" x14ac:dyDescent="0.3">
      <c r="A718" t="s">
        <v>1253</v>
      </c>
      <c r="B718" t="s">
        <v>1365</v>
      </c>
      <c r="C718">
        <v>2024</v>
      </c>
      <c r="D718" t="s">
        <v>300</v>
      </c>
      <c r="E718" t="s">
        <v>973</v>
      </c>
      <c r="F718">
        <v>61.35</v>
      </c>
      <c r="G718" t="s">
        <v>302</v>
      </c>
      <c r="H718">
        <v>195</v>
      </c>
      <c r="I718" t="s">
        <v>1382</v>
      </c>
      <c r="J718" t="s">
        <v>294</v>
      </c>
      <c r="M718" t="s">
        <v>295</v>
      </c>
      <c r="N718" t="s">
        <v>296</v>
      </c>
      <c r="O718" t="s">
        <v>297</v>
      </c>
    </row>
    <row r="719" spans="1:15" x14ac:dyDescent="0.3">
      <c r="A719" t="s">
        <v>1253</v>
      </c>
      <c r="B719" t="s">
        <v>1365</v>
      </c>
      <c r="C719">
        <v>2024</v>
      </c>
      <c r="D719" t="s">
        <v>300</v>
      </c>
      <c r="E719" t="s">
        <v>1383</v>
      </c>
      <c r="F719">
        <v>2346</v>
      </c>
      <c r="G719" t="s">
        <v>302</v>
      </c>
      <c r="H719">
        <v>197</v>
      </c>
      <c r="I719" t="s">
        <v>1384</v>
      </c>
      <c r="J719" t="s">
        <v>294</v>
      </c>
      <c r="M719" t="s">
        <v>295</v>
      </c>
      <c r="N719" t="s">
        <v>296</v>
      </c>
      <c r="O719" t="s">
        <v>297</v>
      </c>
    </row>
    <row r="720" spans="1:15" x14ac:dyDescent="0.3">
      <c r="A720" t="s">
        <v>1253</v>
      </c>
      <c r="B720" t="s">
        <v>1365</v>
      </c>
      <c r="C720">
        <v>2024</v>
      </c>
      <c r="D720" t="s">
        <v>300</v>
      </c>
      <c r="E720" t="s">
        <v>601</v>
      </c>
      <c r="F720">
        <v>70.959999999999994</v>
      </c>
      <c r="G720" t="s">
        <v>302</v>
      </c>
      <c r="H720">
        <v>199</v>
      </c>
      <c r="I720" t="s">
        <v>1385</v>
      </c>
      <c r="J720" t="s">
        <v>294</v>
      </c>
      <c r="M720" t="s">
        <v>295</v>
      </c>
      <c r="N720" t="s">
        <v>296</v>
      </c>
      <c r="O720" t="s">
        <v>297</v>
      </c>
    </row>
    <row r="721" spans="1:15" x14ac:dyDescent="0.3">
      <c r="A721" t="s">
        <v>1253</v>
      </c>
      <c r="B721" t="s">
        <v>1365</v>
      </c>
      <c r="C721">
        <v>2024</v>
      </c>
      <c r="D721" t="s">
        <v>300</v>
      </c>
      <c r="E721" t="s">
        <v>1386</v>
      </c>
      <c r="F721">
        <v>21.77</v>
      </c>
      <c r="G721" t="s">
        <v>302</v>
      </c>
      <c r="H721">
        <v>199</v>
      </c>
      <c r="I721" t="s">
        <v>1387</v>
      </c>
      <c r="J721" t="s">
        <v>294</v>
      </c>
      <c r="M721" t="s">
        <v>295</v>
      </c>
      <c r="N721" t="s">
        <v>296</v>
      </c>
      <c r="O721" t="s">
        <v>297</v>
      </c>
    </row>
    <row r="722" spans="1:15" x14ac:dyDescent="0.3">
      <c r="A722" t="s">
        <v>1253</v>
      </c>
      <c r="B722" t="s">
        <v>1365</v>
      </c>
      <c r="C722">
        <v>2024</v>
      </c>
      <c r="D722" t="s">
        <v>300</v>
      </c>
      <c r="E722" t="s">
        <v>1277</v>
      </c>
      <c r="F722">
        <v>84.32</v>
      </c>
      <c r="G722" t="s">
        <v>302</v>
      </c>
      <c r="H722">
        <v>230</v>
      </c>
      <c r="I722" t="s">
        <v>1388</v>
      </c>
      <c r="J722" t="s">
        <v>294</v>
      </c>
      <c r="M722" t="s">
        <v>295</v>
      </c>
      <c r="N722" t="s">
        <v>296</v>
      </c>
      <c r="O722" t="s">
        <v>297</v>
      </c>
    </row>
    <row r="723" spans="1:15" x14ac:dyDescent="0.3">
      <c r="A723" t="s">
        <v>1253</v>
      </c>
      <c r="B723" t="s">
        <v>1365</v>
      </c>
      <c r="C723">
        <v>2024</v>
      </c>
      <c r="D723" t="s">
        <v>300</v>
      </c>
      <c r="E723" t="s">
        <v>326</v>
      </c>
      <c r="F723">
        <v>2.3199999999999998</v>
      </c>
      <c r="G723" t="s">
        <v>327</v>
      </c>
      <c r="H723">
        <v>7</v>
      </c>
      <c r="I723" t="s">
        <v>1389</v>
      </c>
      <c r="J723" t="s">
        <v>294</v>
      </c>
      <c r="M723" t="s">
        <v>295</v>
      </c>
      <c r="N723" t="s">
        <v>296</v>
      </c>
      <c r="O723" t="s">
        <v>297</v>
      </c>
    </row>
    <row r="724" spans="1:15" x14ac:dyDescent="0.3">
      <c r="A724" t="s">
        <v>1253</v>
      </c>
      <c r="B724" t="s">
        <v>1365</v>
      </c>
      <c r="C724">
        <v>2024</v>
      </c>
      <c r="D724" t="s">
        <v>300</v>
      </c>
      <c r="E724" t="s">
        <v>1342</v>
      </c>
      <c r="F724">
        <v>7.42</v>
      </c>
      <c r="G724" t="s">
        <v>327</v>
      </c>
      <c r="H724">
        <v>7</v>
      </c>
      <c r="I724" t="s">
        <v>1390</v>
      </c>
      <c r="J724" t="s">
        <v>294</v>
      </c>
      <c r="M724" t="s">
        <v>295</v>
      </c>
      <c r="N724" t="s">
        <v>296</v>
      </c>
      <c r="O724" t="s">
        <v>297</v>
      </c>
    </row>
    <row r="725" spans="1:15" x14ac:dyDescent="0.3">
      <c r="A725" t="s">
        <v>1253</v>
      </c>
      <c r="B725" t="s">
        <v>1365</v>
      </c>
      <c r="C725">
        <v>2024</v>
      </c>
      <c r="D725" t="s">
        <v>300</v>
      </c>
      <c r="E725" t="s">
        <v>1391</v>
      </c>
      <c r="F725">
        <v>0.88</v>
      </c>
      <c r="G725" t="s">
        <v>327</v>
      </c>
      <c r="H725">
        <v>7</v>
      </c>
      <c r="I725" t="s">
        <v>1392</v>
      </c>
      <c r="J725" t="s">
        <v>294</v>
      </c>
      <c r="M725" t="s">
        <v>295</v>
      </c>
      <c r="N725" t="s">
        <v>296</v>
      </c>
      <c r="O725" t="s">
        <v>297</v>
      </c>
    </row>
    <row r="726" spans="1:15" x14ac:dyDescent="0.3">
      <c r="A726" t="s">
        <v>1253</v>
      </c>
      <c r="B726" t="s">
        <v>1365</v>
      </c>
      <c r="C726">
        <v>2024</v>
      </c>
      <c r="D726" t="s">
        <v>300</v>
      </c>
      <c r="E726" t="s">
        <v>1393</v>
      </c>
      <c r="F726">
        <v>3</v>
      </c>
      <c r="G726" t="s">
        <v>346</v>
      </c>
      <c r="H726">
        <v>9</v>
      </c>
      <c r="I726" t="s">
        <v>1394</v>
      </c>
      <c r="J726" t="s">
        <v>294</v>
      </c>
      <c r="M726" t="s">
        <v>295</v>
      </c>
      <c r="N726" t="s">
        <v>296</v>
      </c>
      <c r="O726" t="s">
        <v>297</v>
      </c>
    </row>
    <row r="727" spans="1:15" x14ac:dyDescent="0.3">
      <c r="A727" t="s">
        <v>1253</v>
      </c>
      <c r="B727" t="s">
        <v>1365</v>
      </c>
      <c r="C727">
        <v>2024</v>
      </c>
      <c r="D727" t="s">
        <v>300</v>
      </c>
      <c r="E727" t="s">
        <v>1395</v>
      </c>
      <c r="F727">
        <v>46277.5</v>
      </c>
      <c r="G727" t="s">
        <v>1288</v>
      </c>
      <c r="H727">
        <v>9</v>
      </c>
      <c r="I727" t="s">
        <v>1396</v>
      </c>
      <c r="J727" t="s">
        <v>294</v>
      </c>
      <c r="M727" t="s">
        <v>295</v>
      </c>
      <c r="N727" t="s">
        <v>296</v>
      </c>
      <c r="O727" t="s">
        <v>297</v>
      </c>
    </row>
    <row r="728" spans="1:15" x14ac:dyDescent="0.3">
      <c r="A728" t="s">
        <v>1253</v>
      </c>
      <c r="B728" t="s">
        <v>1365</v>
      </c>
      <c r="C728">
        <v>2024</v>
      </c>
      <c r="D728" t="s">
        <v>394</v>
      </c>
      <c r="E728" t="s">
        <v>1292</v>
      </c>
      <c r="F728">
        <v>14860.82</v>
      </c>
      <c r="G728" t="s">
        <v>1293</v>
      </c>
      <c r="H728">
        <v>151</v>
      </c>
      <c r="I728" t="s">
        <v>1397</v>
      </c>
      <c r="J728" t="s">
        <v>294</v>
      </c>
      <c r="M728" t="s">
        <v>295</v>
      </c>
      <c r="N728" t="s">
        <v>296</v>
      </c>
      <c r="O728" t="s">
        <v>297</v>
      </c>
    </row>
    <row r="729" spans="1:15" x14ac:dyDescent="0.3">
      <c r="A729" t="s">
        <v>1253</v>
      </c>
      <c r="B729" t="s">
        <v>1365</v>
      </c>
      <c r="C729">
        <v>2024</v>
      </c>
      <c r="D729" t="s">
        <v>394</v>
      </c>
      <c r="E729" t="s">
        <v>1295</v>
      </c>
      <c r="F729">
        <v>19195.68</v>
      </c>
      <c r="G729" t="s">
        <v>1293</v>
      </c>
      <c r="H729">
        <v>151</v>
      </c>
      <c r="I729" t="s">
        <v>1398</v>
      </c>
      <c r="J729" t="s">
        <v>294</v>
      </c>
      <c r="M729" t="s">
        <v>295</v>
      </c>
      <c r="N729" t="s">
        <v>296</v>
      </c>
      <c r="O729" t="s">
        <v>297</v>
      </c>
    </row>
    <row r="730" spans="1:15" x14ac:dyDescent="0.3">
      <c r="A730" t="s">
        <v>1253</v>
      </c>
      <c r="B730" t="s">
        <v>1365</v>
      </c>
      <c r="C730">
        <v>2024</v>
      </c>
      <c r="D730" t="s">
        <v>394</v>
      </c>
      <c r="E730" t="s">
        <v>1297</v>
      </c>
      <c r="F730">
        <v>6352.13</v>
      </c>
      <c r="G730" t="s">
        <v>1293</v>
      </c>
      <c r="H730">
        <v>151</v>
      </c>
      <c r="I730" t="s">
        <v>1399</v>
      </c>
      <c r="J730" t="s">
        <v>294</v>
      </c>
      <c r="M730" t="s">
        <v>295</v>
      </c>
      <c r="N730" t="s">
        <v>296</v>
      </c>
      <c r="O730" t="s">
        <v>297</v>
      </c>
    </row>
    <row r="731" spans="1:15" x14ac:dyDescent="0.3">
      <c r="A731" t="s">
        <v>1253</v>
      </c>
      <c r="B731" t="s">
        <v>1365</v>
      </c>
      <c r="C731">
        <v>2024</v>
      </c>
      <c r="D731" t="s">
        <v>394</v>
      </c>
      <c r="E731" t="s">
        <v>1400</v>
      </c>
      <c r="F731">
        <v>81</v>
      </c>
      <c r="G731" t="s">
        <v>384</v>
      </c>
      <c r="H731">
        <v>151</v>
      </c>
      <c r="I731" t="s">
        <v>1401</v>
      </c>
      <c r="J731" t="s">
        <v>294</v>
      </c>
      <c r="M731" t="s">
        <v>295</v>
      </c>
      <c r="N731" t="s">
        <v>296</v>
      </c>
      <c r="O731" t="s">
        <v>297</v>
      </c>
    </row>
    <row r="732" spans="1:15" x14ac:dyDescent="0.3">
      <c r="A732" t="s">
        <v>1253</v>
      </c>
      <c r="B732" t="s">
        <v>1365</v>
      </c>
      <c r="C732">
        <v>2024</v>
      </c>
      <c r="D732" t="s">
        <v>563</v>
      </c>
      <c r="E732" t="s">
        <v>1402</v>
      </c>
      <c r="F732">
        <v>18335037</v>
      </c>
      <c r="G732" t="s">
        <v>1403</v>
      </c>
      <c r="H732">
        <v>151</v>
      </c>
      <c r="I732" t="s">
        <v>1404</v>
      </c>
      <c r="J732" t="s">
        <v>294</v>
      </c>
      <c r="M732" t="s">
        <v>295</v>
      </c>
      <c r="N732" t="s">
        <v>296</v>
      </c>
      <c r="O732" t="s">
        <v>297</v>
      </c>
    </row>
    <row r="733" spans="1:15" x14ac:dyDescent="0.3">
      <c r="A733" t="s">
        <v>1253</v>
      </c>
      <c r="B733" t="s">
        <v>1365</v>
      </c>
      <c r="C733">
        <v>2024</v>
      </c>
      <c r="D733" t="s">
        <v>563</v>
      </c>
      <c r="E733" t="s">
        <v>1405</v>
      </c>
      <c r="F733">
        <v>112409</v>
      </c>
      <c r="G733" t="s">
        <v>1406</v>
      </c>
      <c r="H733">
        <v>151</v>
      </c>
      <c r="I733" t="s">
        <v>1407</v>
      </c>
      <c r="J733" t="s">
        <v>294</v>
      </c>
      <c r="M733" t="s">
        <v>295</v>
      </c>
      <c r="N733" t="s">
        <v>296</v>
      </c>
      <c r="O733" t="s">
        <v>297</v>
      </c>
    </row>
    <row r="734" spans="1:15" x14ac:dyDescent="0.3">
      <c r="A734" t="s">
        <v>1253</v>
      </c>
      <c r="B734" t="s">
        <v>1365</v>
      </c>
      <c r="C734">
        <v>2024</v>
      </c>
      <c r="D734" t="s">
        <v>563</v>
      </c>
      <c r="E734" t="s">
        <v>1408</v>
      </c>
      <c r="F734">
        <v>47858</v>
      </c>
      <c r="G734" t="s">
        <v>1409</v>
      </c>
      <c r="H734">
        <v>151</v>
      </c>
      <c r="I734" t="s">
        <v>1410</v>
      </c>
      <c r="J734" t="s">
        <v>294</v>
      </c>
      <c r="M734" t="s">
        <v>295</v>
      </c>
      <c r="N734" t="s">
        <v>296</v>
      </c>
      <c r="O734" t="s">
        <v>297</v>
      </c>
    </row>
    <row r="735" spans="1:15" x14ac:dyDescent="0.3">
      <c r="A735" t="s">
        <v>1253</v>
      </c>
      <c r="B735" t="s">
        <v>1365</v>
      </c>
      <c r="C735">
        <v>2024</v>
      </c>
      <c r="D735" t="s">
        <v>272</v>
      </c>
      <c r="E735" t="s">
        <v>1299</v>
      </c>
      <c r="F735" t="s">
        <v>1363</v>
      </c>
      <c r="G735" t="s">
        <v>1301</v>
      </c>
      <c r="H735">
        <v>1</v>
      </c>
      <c r="I735" t="s">
        <v>1411</v>
      </c>
      <c r="J735" t="s">
        <v>294</v>
      </c>
      <c r="M735" t="s">
        <v>295</v>
      </c>
      <c r="N735" t="s">
        <v>296</v>
      </c>
      <c r="O735" t="s">
        <v>297</v>
      </c>
    </row>
    <row r="736" spans="1:15" x14ac:dyDescent="0.3">
      <c r="A736" t="s">
        <v>1412</v>
      </c>
      <c r="B736" t="s">
        <v>1413</v>
      </c>
      <c r="C736">
        <v>2023</v>
      </c>
      <c r="D736" t="s">
        <v>300</v>
      </c>
      <c r="E736" t="s">
        <v>301</v>
      </c>
      <c r="F736">
        <v>4204.6099999999997</v>
      </c>
      <c r="G736" t="s">
        <v>302</v>
      </c>
      <c r="H736">
        <v>6</v>
      </c>
      <c r="I736" t="s">
        <v>1414</v>
      </c>
      <c r="J736" t="s">
        <v>294</v>
      </c>
      <c r="M736" t="s">
        <v>295</v>
      </c>
      <c r="N736" t="s">
        <v>296</v>
      </c>
      <c r="O736" t="s">
        <v>297</v>
      </c>
    </row>
    <row r="737" spans="1:15" x14ac:dyDescent="0.3">
      <c r="A737" t="s">
        <v>1412</v>
      </c>
      <c r="B737" t="s">
        <v>1413</v>
      </c>
      <c r="C737">
        <v>2023</v>
      </c>
      <c r="D737" t="s">
        <v>300</v>
      </c>
      <c r="E737" t="s">
        <v>1415</v>
      </c>
      <c r="F737">
        <v>1057.1500000000001</v>
      </c>
      <c r="G737" t="s">
        <v>302</v>
      </c>
      <c r="H737">
        <v>6</v>
      </c>
      <c r="I737" t="s">
        <v>1416</v>
      </c>
      <c r="J737" t="s">
        <v>294</v>
      </c>
      <c r="M737" t="s">
        <v>295</v>
      </c>
      <c r="N737" t="s">
        <v>296</v>
      </c>
      <c r="O737" t="s">
        <v>297</v>
      </c>
    </row>
    <row r="738" spans="1:15" x14ac:dyDescent="0.3">
      <c r="A738" t="s">
        <v>1412</v>
      </c>
      <c r="B738" t="s">
        <v>1413</v>
      </c>
      <c r="C738">
        <v>2023</v>
      </c>
      <c r="D738" t="s">
        <v>300</v>
      </c>
      <c r="E738" t="s">
        <v>1417</v>
      </c>
      <c r="F738">
        <v>703.47</v>
      </c>
      <c r="G738" t="s">
        <v>302</v>
      </c>
      <c r="H738">
        <v>6</v>
      </c>
      <c r="I738" t="s">
        <v>1418</v>
      </c>
      <c r="J738" t="s">
        <v>294</v>
      </c>
      <c r="M738" t="s">
        <v>295</v>
      </c>
      <c r="N738" t="s">
        <v>296</v>
      </c>
      <c r="O738" t="s">
        <v>297</v>
      </c>
    </row>
    <row r="739" spans="1:15" x14ac:dyDescent="0.3">
      <c r="A739" t="s">
        <v>1412</v>
      </c>
      <c r="B739" t="s">
        <v>1413</v>
      </c>
      <c r="C739">
        <v>2023</v>
      </c>
      <c r="D739" t="s">
        <v>300</v>
      </c>
      <c r="E739" t="s">
        <v>1419</v>
      </c>
      <c r="F739">
        <v>159.97</v>
      </c>
      <c r="G739" t="s">
        <v>302</v>
      </c>
      <c r="H739">
        <v>6</v>
      </c>
      <c r="I739" t="s">
        <v>1420</v>
      </c>
      <c r="J739" t="s">
        <v>294</v>
      </c>
      <c r="M739" t="s">
        <v>295</v>
      </c>
      <c r="N739" t="s">
        <v>296</v>
      </c>
      <c r="O739" t="s">
        <v>297</v>
      </c>
    </row>
    <row r="740" spans="1:15" x14ac:dyDescent="0.3">
      <c r="A740" t="s">
        <v>1412</v>
      </c>
      <c r="B740" t="s">
        <v>1413</v>
      </c>
      <c r="C740">
        <v>2023</v>
      </c>
      <c r="D740" t="s">
        <v>300</v>
      </c>
      <c r="E740" t="s">
        <v>1421</v>
      </c>
      <c r="F740">
        <v>177.03</v>
      </c>
      <c r="G740" t="s">
        <v>302</v>
      </c>
      <c r="H740">
        <v>6</v>
      </c>
      <c r="I740" t="s">
        <v>1422</v>
      </c>
      <c r="J740" t="s">
        <v>294</v>
      </c>
      <c r="M740" t="s">
        <v>295</v>
      </c>
      <c r="N740" t="s">
        <v>296</v>
      </c>
      <c r="O740" t="s">
        <v>297</v>
      </c>
    </row>
    <row r="741" spans="1:15" x14ac:dyDescent="0.3">
      <c r="A741" t="s">
        <v>1412</v>
      </c>
      <c r="B741" t="s">
        <v>1413</v>
      </c>
      <c r="C741">
        <v>2023</v>
      </c>
      <c r="D741" t="s">
        <v>300</v>
      </c>
      <c r="E741" t="s">
        <v>1423</v>
      </c>
      <c r="F741">
        <v>152.52000000000001</v>
      </c>
      <c r="G741" t="s">
        <v>302</v>
      </c>
      <c r="H741">
        <v>6</v>
      </c>
      <c r="I741" t="s">
        <v>1424</v>
      </c>
      <c r="J741" t="s">
        <v>294</v>
      </c>
      <c r="M741" t="s">
        <v>295</v>
      </c>
      <c r="N741" t="s">
        <v>296</v>
      </c>
      <c r="O741" t="s">
        <v>297</v>
      </c>
    </row>
    <row r="742" spans="1:15" x14ac:dyDescent="0.3">
      <c r="A742" t="s">
        <v>1412</v>
      </c>
      <c r="B742" t="s">
        <v>1413</v>
      </c>
      <c r="C742">
        <v>2023</v>
      </c>
      <c r="D742" t="s">
        <v>300</v>
      </c>
      <c r="E742" t="s">
        <v>345</v>
      </c>
      <c r="F742">
        <v>5.68</v>
      </c>
      <c r="G742" t="s">
        <v>346</v>
      </c>
      <c r="H742">
        <v>6</v>
      </c>
      <c r="I742" t="s">
        <v>1425</v>
      </c>
      <c r="J742" t="s">
        <v>294</v>
      </c>
      <c r="M742" t="s">
        <v>295</v>
      </c>
      <c r="N742" t="s">
        <v>296</v>
      </c>
      <c r="O742" t="s">
        <v>297</v>
      </c>
    </row>
    <row r="743" spans="1:15" x14ac:dyDescent="0.3">
      <c r="A743" t="s">
        <v>1412</v>
      </c>
      <c r="B743" t="s">
        <v>1413</v>
      </c>
      <c r="C743">
        <v>2023</v>
      </c>
      <c r="D743" t="s">
        <v>300</v>
      </c>
      <c r="E743" t="s">
        <v>1395</v>
      </c>
      <c r="F743">
        <v>31525.29</v>
      </c>
      <c r="G743" t="s">
        <v>1288</v>
      </c>
      <c r="H743">
        <v>6</v>
      </c>
      <c r="I743" t="s">
        <v>1426</v>
      </c>
      <c r="J743" t="s">
        <v>294</v>
      </c>
      <c r="M743" t="s">
        <v>295</v>
      </c>
      <c r="N743" t="s">
        <v>296</v>
      </c>
      <c r="O743" t="s">
        <v>297</v>
      </c>
    </row>
    <row r="744" spans="1:15" x14ac:dyDescent="0.3">
      <c r="A744" t="s">
        <v>1412</v>
      </c>
      <c r="B744" t="s">
        <v>1413</v>
      </c>
      <c r="C744">
        <v>2023</v>
      </c>
      <c r="D744" t="s">
        <v>300</v>
      </c>
      <c r="E744" t="s">
        <v>1427</v>
      </c>
      <c r="F744">
        <v>1300.01</v>
      </c>
      <c r="G744" t="s">
        <v>302</v>
      </c>
      <c r="H744">
        <v>6</v>
      </c>
      <c r="I744" t="s">
        <v>1428</v>
      </c>
      <c r="J744" t="s">
        <v>294</v>
      </c>
      <c r="M744" t="s">
        <v>295</v>
      </c>
      <c r="N744" t="s">
        <v>296</v>
      </c>
      <c r="O744" t="s">
        <v>297</v>
      </c>
    </row>
    <row r="745" spans="1:15" x14ac:dyDescent="0.3">
      <c r="A745" t="s">
        <v>1412</v>
      </c>
      <c r="B745" t="s">
        <v>1413</v>
      </c>
      <c r="C745">
        <v>2023</v>
      </c>
      <c r="D745" t="s">
        <v>300</v>
      </c>
      <c r="E745" t="s">
        <v>1429</v>
      </c>
      <c r="F745">
        <v>10183.51</v>
      </c>
      <c r="G745" t="s">
        <v>302</v>
      </c>
      <c r="H745">
        <v>6</v>
      </c>
      <c r="I745" t="s">
        <v>1430</v>
      </c>
      <c r="J745" t="s">
        <v>294</v>
      </c>
      <c r="M745" t="s">
        <v>295</v>
      </c>
      <c r="N745" t="s">
        <v>296</v>
      </c>
      <c r="O745" t="s">
        <v>297</v>
      </c>
    </row>
    <row r="746" spans="1:15" x14ac:dyDescent="0.3">
      <c r="A746" t="s">
        <v>1412</v>
      </c>
      <c r="B746" t="s">
        <v>1413</v>
      </c>
      <c r="C746">
        <v>2023</v>
      </c>
      <c r="D746" t="s">
        <v>300</v>
      </c>
      <c r="E746" t="s">
        <v>1431</v>
      </c>
      <c r="F746">
        <v>3513.09</v>
      </c>
      <c r="G746" t="s">
        <v>302</v>
      </c>
      <c r="H746">
        <v>6</v>
      </c>
      <c r="I746" t="s">
        <v>1432</v>
      </c>
      <c r="J746" t="s">
        <v>294</v>
      </c>
      <c r="M746" t="s">
        <v>295</v>
      </c>
      <c r="N746" t="s">
        <v>296</v>
      </c>
      <c r="O746" t="s">
        <v>297</v>
      </c>
    </row>
    <row r="747" spans="1:15" x14ac:dyDescent="0.3">
      <c r="A747" t="s">
        <v>1412</v>
      </c>
      <c r="B747" t="s">
        <v>1413</v>
      </c>
      <c r="C747">
        <v>2023</v>
      </c>
      <c r="D747" t="s">
        <v>300</v>
      </c>
      <c r="E747" t="s">
        <v>1433</v>
      </c>
      <c r="F747">
        <v>4478.87</v>
      </c>
      <c r="G747" t="s">
        <v>302</v>
      </c>
      <c r="H747">
        <v>36</v>
      </c>
      <c r="I747" t="s">
        <v>1434</v>
      </c>
      <c r="J747" t="s">
        <v>294</v>
      </c>
      <c r="M747" t="s">
        <v>295</v>
      </c>
      <c r="N747" t="s">
        <v>296</v>
      </c>
      <c r="O747" t="s">
        <v>297</v>
      </c>
    </row>
    <row r="748" spans="1:15" x14ac:dyDescent="0.3">
      <c r="A748" t="s">
        <v>1412</v>
      </c>
      <c r="B748" t="s">
        <v>1413</v>
      </c>
      <c r="C748">
        <v>2023</v>
      </c>
      <c r="D748" t="s">
        <v>300</v>
      </c>
      <c r="E748" t="s">
        <v>1435</v>
      </c>
      <c r="F748">
        <v>7991.96</v>
      </c>
      <c r="G748" t="s">
        <v>302</v>
      </c>
      <c r="H748">
        <v>6</v>
      </c>
      <c r="I748" t="s">
        <v>1436</v>
      </c>
      <c r="J748" t="s">
        <v>294</v>
      </c>
      <c r="M748" t="s">
        <v>295</v>
      </c>
      <c r="N748" t="s">
        <v>296</v>
      </c>
      <c r="O748" t="s">
        <v>297</v>
      </c>
    </row>
    <row r="749" spans="1:15" x14ac:dyDescent="0.3">
      <c r="A749" t="s">
        <v>1412</v>
      </c>
      <c r="B749" t="s">
        <v>1413</v>
      </c>
      <c r="C749">
        <v>2023</v>
      </c>
      <c r="D749" t="s">
        <v>300</v>
      </c>
      <c r="E749" t="s">
        <v>1437</v>
      </c>
      <c r="F749">
        <v>2191.5500000000002</v>
      </c>
      <c r="G749" t="s">
        <v>302</v>
      </c>
      <c r="H749">
        <v>6</v>
      </c>
      <c r="I749" t="s">
        <v>1438</v>
      </c>
      <c r="J749" t="s">
        <v>294</v>
      </c>
      <c r="M749" t="s">
        <v>295</v>
      </c>
      <c r="N749" t="s">
        <v>296</v>
      </c>
      <c r="O749" t="s">
        <v>297</v>
      </c>
    </row>
    <row r="750" spans="1:15" x14ac:dyDescent="0.3">
      <c r="A750" t="s">
        <v>1412</v>
      </c>
      <c r="B750" t="s">
        <v>1413</v>
      </c>
      <c r="C750">
        <v>2023</v>
      </c>
      <c r="D750" t="s">
        <v>300</v>
      </c>
      <c r="E750" t="s">
        <v>601</v>
      </c>
      <c r="F750">
        <v>633.05999999999995</v>
      </c>
      <c r="G750" t="s">
        <v>302</v>
      </c>
      <c r="H750">
        <v>37</v>
      </c>
      <c r="I750" t="s">
        <v>1439</v>
      </c>
      <c r="J750" t="s">
        <v>294</v>
      </c>
      <c r="M750" t="s">
        <v>295</v>
      </c>
      <c r="N750" t="s">
        <v>296</v>
      </c>
      <c r="O750" t="s">
        <v>297</v>
      </c>
    </row>
    <row r="751" spans="1:15" x14ac:dyDescent="0.3">
      <c r="A751" t="s">
        <v>1412</v>
      </c>
      <c r="B751" t="s">
        <v>1413</v>
      </c>
      <c r="C751">
        <v>2023</v>
      </c>
      <c r="D751" t="s">
        <v>300</v>
      </c>
      <c r="E751" t="s">
        <v>1440</v>
      </c>
      <c r="F751">
        <v>132.21</v>
      </c>
      <c r="G751" t="s">
        <v>302</v>
      </c>
      <c r="H751">
        <v>37</v>
      </c>
      <c r="I751" t="s">
        <v>1441</v>
      </c>
      <c r="J751" t="s">
        <v>294</v>
      </c>
      <c r="M751" t="s">
        <v>295</v>
      </c>
      <c r="N751" t="s">
        <v>296</v>
      </c>
      <c r="O751" t="s">
        <v>297</v>
      </c>
    </row>
    <row r="752" spans="1:15" x14ac:dyDescent="0.3">
      <c r="A752" t="s">
        <v>1412</v>
      </c>
      <c r="B752" t="s">
        <v>1413</v>
      </c>
      <c r="C752">
        <v>2023</v>
      </c>
      <c r="D752" t="s">
        <v>300</v>
      </c>
      <c r="E752" t="s">
        <v>1442</v>
      </c>
      <c r="F752">
        <v>279</v>
      </c>
      <c r="G752" t="s">
        <v>302</v>
      </c>
      <c r="H752">
        <v>39</v>
      </c>
      <c r="I752" t="s">
        <v>1443</v>
      </c>
      <c r="J752" t="s">
        <v>294</v>
      </c>
      <c r="M752" t="s">
        <v>295</v>
      </c>
      <c r="N752" t="s">
        <v>296</v>
      </c>
      <c r="O752" t="s">
        <v>297</v>
      </c>
    </row>
    <row r="753" spans="1:15" x14ac:dyDescent="0.3">
      <c r="A753" t="s">
        <v>1412</v>
      </c>
      <c r="B753" t="s">
        <v>1413</v>
      </c>
      <c r="C753">
        <v>2023</v>
      </c>
      <c r="D753" t="s">
        <v>300</v>
      </c>
      <c r="E753" t="s">
        <v>1444</v>
      </c>
      <c r="F753">
        <v>564.14</v>
      </c>
      <c r="G753" t="s">
        <v>302</v>
      </c>
      <c r="H753">
        <v>37</v>
      </c>
      <c r="I753" t="s">
        <v>1445</v>
      </c>
      <c r="J753" t="s">
        <v>294</v>
      </c>
      <c r="M753" t="s">
        <v>295</v>
      </c>
      <c r="N753" t="s">
        <v>296</v>
      </c>
      <c r="O753" t="s">
        <v>297</v>
      </c>
    </row>
    <row r="754" spans="1:15" x14ac:dyDescent="0.3">
      <c r="A754" t="s">
        <v>1412</v>
      </c>
      <c r="B754" t="s">
        <v>1413</v>
      </c>
      <c r="C754">
        <v>2023</v>
      </c>
      <c r="D754" t="s">
        <v>300</v>
      </c>
      <c r="E754" t="s">
        <v>1342</v>
      </c>
      <c r="F754">
        <v>3.65</v>
      </c>
      <c r="G754" t="s">
        <v>327</v>
      </c>
      <c r="H754">
        <v>6</v>
      </c>
      <c r="I754" t="s">
        <v>1446</v>
      </c>
      <c r="J754" t="s">
        <v>294</v>
      </c>
      <c r="M754" t="s">
        <v>295</v>
      </c>
      <c r="N754" t="s">
        <v>296</v>
      </c>
      <c r="O754" t="s">
        <v>297</v>
      </c>
    </row>
    <row r="755" spans="1:15" x14ac:dyDescent="0.3">
      <c r="A755" t="s">
        <v>1412</v>
      </c>
      <c r="B755" t="s">
        <v>1413</v>
      </c>
      <c r="C755">
        <v>2023</v>
      </c>
      <c r="D755" t="s">
        <v>300</v>
      </c>
      <c r="E755" t="s">
        <v>1447</v>
      </c>
      <c r="F755">
        <v>4.54</v>
      </c>
      <c r="G755" t="s">
        <v>327</v>
      </c>
      <c r="H755">
        <v>6</v>
      </c>
      <c r="I755" t="s">
        <v>1448</v>
      </c>
      <c r="J755" t="s">
        <v>294</v>
      </c>
      <c r="M755" t="s">
        <v>295</v>
      </c>
      <c r="N755" t="s">
        <v>296</v>
      </c>
      <c r="O755" t="s">
        <v>297</v>
      </c>
    </row>
    <row r="756" spans="1:15" x14ac:dyDescent="0.3">
      <c r="A756" t="s">
        <v>1412</v>
      </c>
      <c r="B756" t="s">
        <v>1413</v>
      </c>
      <c r="C756">
        <v>2023</v>
      </c>
      <c r="D756" t="s">
        <v>300</v>
      </c>
      <c r="E756" t="s">
        <v>336</v>
      </c>
      <c r="F756">
        <v>7.2999999999999995E-2</v>
      </c>
      <c r="G756" t="s">
        <v>1283</v>
      </c>
      <c r="H756">
        <v>6</v>
      </c>
      <c r="I756" t="s">
        <v>1449</v>
      </c>
      <c r="J756" t="s">
        <v>294</v>
      </c>
      <c r="M756" t="s">
        <v>295</v>
      </c>
      <c r="N756" t="s">
        <v>296</v>
      </c>
      <c r="O756" t="s">
        <v>297</v>
      </c>
    </row>
    <row r="757" spans="1:15" x14ac:dyDescent="0.3">
      <c r="A757" t="s">
        <v>1412</v>
      </c>
      <c r="B757" t="s">
        <v>1413</v>
      </c>
      <c r="C757">
        <v>2023</v>
      </c>
      <c r="D757" t="s">
        <v>300</v>
      </c>
      <c r="E757" t="s">
        <v>1450</v>
      </c>
      <c r="F757">
        <v>54</v>
      </c>
      <c r="G757" t="s">
        <v>346</v>
      </c>
      <c r="H757">
        <v>7</v>
      </c>
      <c r="I757" t="s">
        <v>1451</v>
      </c>
      <c r="J757" t="s">
        <v>294</v>
      </c>
      <c r="M757" t="s">
        <v>295</v>
      </c>
      <c r="N757" t="s">
        <v>296</v>
      </c>
      <c r="O757" t="s">
        <v>297</v>
      </c>
    </row>
    <row r="758" spans="1:15" x14ac:dyDescent="0.3">
      <c r="A758" t="s">
        <v>1412</v>
      </c>
      <c r="B758" t="s">
        <v>1413</v>
      </c>
      <c r="C758">
        <v>2023</v>
      </c>
      <c r="D758" t="s">
        <v>394</v>
      </c>
      <c r="E758" t="s">
        <v>1452</v>
      </c>
      <c r="F758">
        <v>320107</v>
      </c>
      <c r="G758" t="s">
        <v>1453</v>
      </c>
      <c r="H758">
        <v>7</v>
      </c>
      <c r="I758" t="s">
        <v>1454</v>
      </c>
      <c r="J758" t="s">
        <v>294</v>
      </c>
      <c r="M758" t="s">
        <v>295</v>
      </c>
      <c r="N758" t="s">
        <v>296</v>
      </c>
      <c r="O758" t="s">
        <v>297</v>
      </c>
    </row>
    <row r="759" spans="1:15" x14ac:dyDescent="0.3">
      <c r="A759" t="s">
        <v>1412</v>
      </c>
      <c r="B759" t="s">
        <v>1413</v>
      </c>
      <c r="C759">
        <v>2023</v>
      </c>
      <c r="D759" t="s">
        <v>394</v>
      </c>
      <c r="E759" t="s">
        <v>1455</v>
      </c>
      <c r="F759">
        <v>59278</v>
      </c>
      <c r="G759" t="s">
        <v>1453</v>
      </c>
      <c r="H759">
        <v>7</v>
      </c>
      <c r="I759" t="s">
        <v>1456</v>
      </c>
      <c r="J759" t="s">
        <v>294</v>
      </c>
      <c r="M759" t="s">
        <v>295</v>
      </c>
      <c r="N759" t="s">
        <v>296</v>
      </c>
      <c r="O759" t="s">
        <v>297</v>
      </c>
    </row>
    <row r="760" spans="1:15" x14ac:dyDescent="0.3">
      <c r="A760" t="s">
        <v>1412</v>
      </c>
      <c r="B760" t="s">
        <v>1413</v>
      </c>
      <c r="C760">
        <v>2023</v>
      </c>
      <c r="D760" t="s">
        <v>394</v>
      </c>
      <c r="E760" t="s">
        <v>1457</v>
      </c>
      <c r="F760">
        <v>347227</v>
      </c>
      <c r="G760" t="s">
        <v>1453</v>
      </c>
      <c r="H760">
        <v>7</v>
      </c>
      <c r="I760" t="s">
        <v>1458</v>
      </c>
      <c r="J760" t="s">
        <v>294</v>
      </c>
      <c r="M760" t="s">
        <v>295</v>
      </c>
      <c r="N760" t="s">
        <v>296</v>
      </c>
      <c r="O760" t="s">
        <v>297</v>
      </c>
    </row>
    <row r="761" spans="1:15" x14ac:dyDescent="0.3">
      <c r="A761" t="s">
        <v>1412</v>
      </c>
      <c r="B761" t="s">
        <v>1413</v>
      </c>
      <c r="C761">
        <v>2023</v>
      </c>
      <c r="D761" t="s">
        <v>394</v>
      </c>
      <c r="E761" t="s">
        <v>1459</v>
      </c>
      <c r="F761">
        <v>62653</v>
      </c>
      <c r="G761" t="s">
        <v>1453</v>
      </c>
      <c r="H761">
        <v>7</v>
      </c>
      <c r="I761" t="s">
        <v>1460</v>
      </c>
      <c r="J761" t="s">
        <v>294</v>
      </c>
      <c r="M761" t="s">
        <v>295</v>
      </c>
      <c r="N761" t="s">
        <v>296</v>
      </c>
      <c r="O761" t="s">
        <v>297</v>
      </c>
    </row>
    <row r="762" spans="1:15" x14ac:dyDescent="0.3">
      <c r="A762" t="s">
        <v>1412</v>
      </c>
      <c r="B762" t="s">
        <v>1413</v>
      </c>
      <c r="C762">
        <v>2023</v>
      </c>
      <c r="D762" t="s">
        <v>394</v>
      </c>
      <c r="E762" t="s">
        <v>1461</v>
      </c>
      <c r="F762">
        <v>11015</v>
      </c>
      <c r="G762" t="s">
        <v>436</v>
      </c>
      <c r="H762">
        <v>7</v>
      </c>
      <c r="I762" t="s">
        <v>1462</v>
      </c>
      <c r="J762" t="s">
        <v>294</v>
      </c>
      <c r="M762" t="s">
        <v>295</v>
      </c>
      <c r="N762" t="s">
        <v>296</v>
      </c>
      <c r="O762" t="s">
        <v>297</v>
      </c>
    </row>
    <row r="763" spans="1:15" x14ac:dyDescent="0.3">
      <c r="A763" t="s">
        <v>1412</v>
      </c>
      <c r="B763" t="s">
        <v>1413</v>
      </c>
      <c r="C763">
        <v>2023</v>
      </c>
      <c r="D763" t="s">
        <v>394</v>
      </c>
      <c r="E763" t="s">
        <v>1463</v>
      </c>
      <c r="F763">
        <v>5185</v>
      </c>
      <c r="G763" t="s">
        <v>436</v>
      </c>
      <c r="H763">
        <v>7</v>
      </c>
      <c r="I763" t="s">
        <v>1464</v>
      </c>
      <c r="J763" t="s">
        <v>294</v>
      </c>
      <c r="M763" t="s">
        <v>295</v>
      </c>
      <c r="N763" t="s">
        <v>296</v>
      </c>
      <c r="O763" t="s">
        <v>297</v>
      </c>
    </row>
    <row r="764" spans="1:15" x14ac:dyDescent="0.3">
      <c r="A764" t="s">
        <v>1412</v>
      </c>
      <c r="B764" t="s">
        <v>1413</v>
      </c>
      <c r="C764">
        <v>2023</v>
      </c>
      <c r="D764" t="s">
        <v>358</v>
      </c>
      <c r="E764" t="s">
        <v>1465</v>
      </c>
      <c r="F764">
        <v>87000</v>
      </c>
      <c r="G764" t="s">
        <v>360</v>
      </c>
      <c r="H764">
        <v>46</v>
      </c>
      <c r="I764" t="s">
        <v>1466</v>
      </c>
      <c r="J764" t="s">
        <v>294</v>
      </c>
      <c r="M764" t="s">
        <v>295</v>
      </c>
      <c r="N764" t="s">
        <v>296</v>
      </c>
      <c r="O764" t="s">
        <v>297</v>
      </c>
    </row>
    <row r="765" spans="1:15" x14ac:dyDescent="0.3">
      <c r="A765" t="s">
        <v>1412</v>
      </c>
      <c r="B765" t="s">
        <v>1413</v>
      </c>
      <c r="C765">
        <v>2023</v>
      </c>
      <c r="D765" t="s">
        <v>358</v>
      </c>
      <c r="E765" t="s">
        <v>1467</v>
      </c>
      <c r="F765">
        <v>87000</v>
      </c>
      <c r="G765" t="s">
        <v>360</v>
      </c>
      <c r="H765">
        <v>46</v>
      </c>
      <c r="I765" t="s">
        <v>1468</v>
      </c>
      <c r="J765" t="s">
        <v>294</v>
      </c>
      <c r="M765" t="s">
        <v>295</v>
      </c>
      <c r="N765" t="s">
        <v>296</v>
      </c>
      <c r="O765" t="s">
        <v>297</v>
      </c>
    </row>
    <row r="766" spans="1:15" x14ac:dyDescent="0.3">
      <c r="A766" t="s">
        <v>1412</v>
      </c>
      <c r="B766" t="s">
        <v>1413</v>
      </c>
      <c r="C766">
        <v>2023</v>
      </c>
      <c r="D766" t="s">
        <v>358</v>
      </c>
      <c r="E766" t="s">
        <v>1469</v>
      </c>
      <c r="F766">
        <v>73000</v>
      </c>
      <c r="G766" t="s">
        <v>360</v>
      </c>
      <c r="H766">
        <v>27</v>
      </c>
      <c r="I766" t="s">
        <v>1470</v>
      </c>
      <c r="J766" t="s">
        <v>294</v>
      </c>
      <c r="M766" t="s">
        <v>295</v>
      </c>
      <c r="N766" t="s">
        <v>296</v>
      </c>
      <c r="O766" t="s">
        <v>297</v>
      </c>
    </row>
    <row r="767" spans="1:15" x14ac:dyDescent="0.3">
      <c r="A767" t="s">
        <v>1412</v>
      </c>
      <c r="B767" t="s">
        <v>1413</v>
      </c>
      <c r="C767">
        <v>2023</v>
      </c>
      <c r="D767" t="s">
        <v>358</v>
      </c>
      <c r="E767" t="s">
        <v>1471</v>
      </c>
      <c r="F767">
        <v>12000</v>
      </c>
      <c r="G767" t="s">
        <v>360</v>
      </c>
      <c r="H767">
        <v>28</v>
      </c>
      <c r="I767" t="s">
        <v>1472</v>
      </c>
      <c r="J767" t="s">
        <v>294</v>
      </c>
      <c r="M767" t="s">
        <v>295</v>
      </c>
      <c r="N767" t="s">
        <v>296</v>
      </c>
      <c r="O767" t="s">
        <v>297</v>
      </c>
    </row>
    <row r="768" spans="1:15" x14ac:dyDescent="0.3">
      <c r="A768" t="s">
        <v>1412</v>
      </c>
      <c r="B768" t="s">
        <v>1413</v>
      </c>
      <c r="C768">
        <v>2023</v>
      </c>
      <c r="D768" t="s">
        <v>358</v>
      </c>
      <c r="E768" t="s">
        <v>1473</v>
      </c>
      <c r="F768">
        <v>2000</v>
      </c>
      <c r="G768" t="s">
        <v>360</v>
      </c>
      <c r="H768">
        <v>27</v>
      </c>
      <c r="I768" t="s">
        <v>1474</v>
      </c>
      <c r="J768" t="s">
        <v>294</v>
      </c>
      <c r="M768" t="s">
        <v>295</v>
      </c>
      <c r="N768" t="s">
        <v>296</v>
      </c>
      <c r="O768" t="s">
        <v>297</v>
      </c>
    </row>
    <row r="769" spans="1:15" x14ac:dyDescent="0.3">
      <c r="A769" t="s">
        <v>1412</v>
      </c>
      <c r="B769" t="s">
        <v>1413</v>
      </c>
      <c r="C769">
        <v>2023</v>
      </c>
      <c r="D769" t="s">
        <v>358</v>
      </c>
      <c r="E769" t="s">
        <v>1475</v>
      </c>
      <c r="F769">
        <v>7</v>
      </c>
      <c r="G769" t="s">
        <v>384</v>
      </c>
      <c r="H769">
        <v>28</v>
      </c>
      <c r="I769" t="s">
        <v>1476</v>
      </c>
      <c r="J769" t="s">
        <v>294</v>
      </c>
      <c r="M769" t="s">
        <v>295</v>
      </c>
      <c r="N769" t="s">
        <v>296</v>
      </c>
      <c r="O769" t="s">
        <v>297</v>
      </c>
    </row>
    <row r="770" spans="1:15" x14ac:dyDescent="0.3">
      <c r="A770" t="s">
        <v>1412</v>
      </c>
      <c r="B770" t="s">
        <v>1413</v>
      </c>
      <c r="C770">
        <v>2023</v>
      </c>
      <c r="D770" t="s">
        <v>358</v>
      </c>
      <c r="E770" t="s">
        <v>1477</v>
      </c>
      <c r="F770">
        <v>370</v>
      </c>
      <c r="G770" t="s">
        <v>738</v>
      </c>
      <c r="H770">
        <v>28</v>
      </c>
      <c r="I770" t="s">
        <v>1478</v>
      </c>
      <c r="J770" t="s">
        <v>294</v>
      </c>
      <c r="M770" t="s">
        <v>295</v>
      </c>
      <c r="N770" t="s">
        <v>296</v>
      </c>
      <c r="O770" t="s">
        <v>297</v>
      </c>
    </row>
    <row r="771" spans="1:15" x14ac:dyDescent="0.3">
      <c r="A771" t="s">
        <v>1412</v>
      </c>
      <c r="B771" t="s">
        <v>1413</v>
      </c>
      <c r="C771">
        <v>2023</v>
      </c>
      <c r="D771" t="s">
        <v>358</v>
      </c>
      <c r="E771" t="s">
        <v>1479</v>
      </c>
      <c r="F771">
        <v>22024</v>
      </c>
      <c r="G771" t="s">
        <v>360</v>
      </c>
      <c r="H771">
        <v>8</v>
      </c>
      <c r="I771" t="s">
        <v>1480</v>
      </c>
      <c r="J771" t="s">
        <v>294</v>
      </c>
      <c r="M771" t="s">
        <v>295</v>
      </c>
      <c r="N771" t="s">
        <v>296</v>
      </c>
      <c r="O771" t="s">
        <v>297</v>
      </c>
    </row>
    <row r="772" spans="1:15" x14ac:dyDescent="0.3">
      <c r="A772" t="s">
        <v>1412</v>
      </c>
      <c r="B772" t="s">
        <v>1413</v>
      </c>
      <c r="C772">
        <v>2023</v>
      </c>
      <c r="D772" t="s">
        <v>358</v>
      </c>
      <c r="E772" t="s">
        <v>1481</v>
      </c>
      <c r="F772">
        <v>54515.55</v>
      </c>
      <c r="G772" t="s">
        <v>360</v>
      </c>
      <c r="H772">
        <v>8</v>
      </c>
      <c r="I772" t="s">
        <v>1482</v>
      </c>
      <c r="J772" t="s">
        <v>294</v>
      </c>
      <c r="M772" t="s">
        <v>295</v>
      </c>
      <c r="N772" t="s">
        <v>296</v>
      </c>
      <c r="O772" t="s">
        <v>297</v>
      </c>
    </row>
    <row r="773" spans="1:15" x14ac:dyDescent="0.3">
      <c r="A773" t="s">
        <v>1412</v>
      </c>
      <c r="B773" t="s">
        <v>1413</v>
      </c>
      <c r="C773">
        <v>2023</v>
      </c>
      <c r="D773" t="s">
        <v>394</v>
      </c>
      <c r="E773" t="s">
        <v>1483</v>
      </c>
      <c r="F773">
        <v>1357872</v>
      </c>
      <c r="G773" t="s">
        <v>1453</v>
      </c>
      <c r="H773">
        <v>147</v>
      </c>
      <c r="I773" t="s">
        <v>1484</v>
      </c>
      <c r="J773" t="s">
        <v>294</v>
      </c>
      <c r="M773" t="s">
        <v>295</v>
      </c>
      <c r="N773" t="s">
        <v>296</v>
      </c>
      <c r="O773" t="s">
        <v>297</v>
      </c>
    </row>
    <row r="774" spans="1:15" x14ac:dyDescent="0.3">
      <c r="A774" t="s">
        <v>1412</v>
      </c>
      <c r="B774" t="s">
        <v>1413</v>
      </c>
      <c r="C774">
        <v>2023</v>
      </c>
      <c r="D774" t="s">
        <v>394</v>
      </c>
      <c r="E774" t="s">
        <v>1485</v>
      </c>
      <c r="F774">
        <v>1084941</v>
      </c>
      <c r="G774" t="s">
        <v>1453</v>
      </c>
      <c r="H774">
        <v>9</v>
      </c>
      <c r="I774" t="s">
        <v>1486</v>
      </c>
      <c r="J774" t="s">
        <v>294</v>
      </c>
      <c r="M774" t="s">
        <v>295</v>
      </c>
      <c r="N774" t="s">
        <v>296</v>
      </c>
      <c r="O774" t="s">
        <v>297</v>
      </c>
    </row>
    <row r="775" spans="1:15" x14ac:dyDescent="0.3">
      <c r="A775" t="s">
        <v>1412</v>
      </c>
      <c r="B775" t="s">
        <v>1413</v>
      </c>
      <c r="C775">
        <v>2023</v>
      </c>
      <c r="D775" t="s">
        <v>394</v>
      </c>
      <c r="E775" t="s">
        <v>1487</v>
      </c>
      <c r="F775">
        <v>272931</v>
      </c>
      <c r="G775" t="s">
        <v>1453</v>
      </c>
      <c r="H775">
        <v>147</v>
      </c>
      <c r="I775" t="s">
        <v>1488</v>
      </c>
      <c r="J775" t="s">
        <v>294</v>
      </c>
      <c r="M775" t="s">
        <v>295</v>
      </c>
      <c r="N775" t="s">
        <v>296</v>
      </c>
      <c r="O775" t="s">
        <v>297</v>
      </c>
    </row>
    <row r="776" spans="1:15" x14ac:dyDescent="0.3">
      <c r="A776" t="s">
        <v>1412</v>
      </c>
      <c r="B776" t="s">
        <v>1413</v>
      </c>
      <c r="C776">
        <v>2023</v>
      </c>
      <c r="D776" t="s">
        <v>272</v>
      </c>
      <c r="E776" t="s">
        <v>1489</v>
      </c>
      <c r="F776">
        <v>7791</v>
      </c>
      <c r="G776" t="s">
        <v>384</v>
      </c>
      <c r="H776">
        <v>47</v>
      </c>
      <c r="I776" t="s">
        <v>1490</v>
      </c>
      <c r="J776" t="s">
        <v>294</v>
      </c>
      <c r="M776" t="s">
        <v>295</v>
      </c>
      <c r="N776" t="s">
        <v>296</v>
      </c>
      <c r="O776" t="s">
        <v>297</v>
      </c>
    </row>
    <row r="777" spans="1:15" x14ac:dyDescent="0.3">
      <c r="A777" t="s">
        <v>1412</v>
      </c>
      <c r="B777" t="s">
        <v>1413</v>
      </c>
      <c r="C777">
        <v>2023</v>
      </c>
      <c r="D777" t="s">
        <v>272</v>
      </c>
      <c r="E777" t="s">
        <v>1491</v>
      </c>
      <c r="F777" t="s">
        <v>1492</v>
      </c>
      <c r="G777" t="s">
        <v>1305</v>
      </c>
      <c r="H777">
        <v>29</v>
      </c>
      <c r="I777" t="s">
        <v>1493</v>
      </c>
      <c r="J777" t="s">
        <v>294</v>
      </c>
      <c r="M777" t="s">
        <v>295</v>
      </c>
      <c r="N777" t="s">
        <v>296</v>
      </c>
      <c r="O777" t="s">
        <v>297</v>
      </c>
    </row>
    <row r="778" spans="1:15" x14ac:dyDescent="0.3">
      <c r="A778" t="s">
        <v>1412</v>
      </c>
      <c r="B778" t="s">
        <v>1413</v>
      </c>
      <c r="C778">
        <v>2023</v>
      </c>
      <c r="D778" t="s">
        <v>272</v>
      </c>
      <c r="E778" t="s">
        <v>1494</v>
      </c>
      <c r="F778" t="s">
        <v>1495</v>
      </c>
      <c r="G778" t="s">
        <v>1305</v>
      </c>
      <c r="H778">
        <v>29</v>
      </c>
      <c r="I778" t="s">
        <v>1496</v>
      </c>
      <c r="J778" t="s">
        <v>294</v>
      </c>
      <c r="M778" t="s">
        <v>295</v>
      </c>
      <c r="N778" t="s">
        <v>296</v>
      </c>
      <c r="O778" t="s">
        <v>297</v>
      </c>
    </row>
    <row r="779" spans="1:15" x14ac:dyDescent="0.3">
      <c r="A779" t="s">
        <v>1412</v>
      </c>
      <c r="B779" t="s">
        <v>1413</v>
      </c>
      <c r="C779">
        <v>2023</v>
      </c>
      <c r="D779" t="s">
        <v>563</v>
      </c>
      <c r="E779" t="s">
        <v>1497</v>
      </c>
      <c r="F779">
        <v>427064</v>
      </c>
      <c r="G779" t="s">
        <v>1498</v>
      </c>
      <c r="H779">
        <v>69</v>
      </c>
      <c r="I779" t="s">
        <v>1499</v>
      </c>
      <c r="J779" t="s">
        <v>294</v>
      </c>
      <c r="M779" t="s">
        <v>295</v>
      </c>
      <c r="N779" t="s">
        <v>296</v>
      </c>
      <c r="O779" t="s">
        <v>297</v>
      </c>
    </row>
    <row r="780" spans="1:15" x14ac:dyDescent="0.3">
      <c r="A780" t="s">
        <v>1412</v>
      </c>
      <c r="B780" t="s">
        <v>1500</v>
      </c>
      <c r="C780">
        <v>2024</v>
      </c>
      <c r="D780" t="s">
        <v>300</v>
      </c>
      <c r="E780" t="s">
        <v>301</v>
      </c>
      <c r="F780">
        <v>4302.68</v>
      </c>
      <c r="G780" t="s">
        <v>302</v>
      </c>
      <c r="H780">
        <v>12</v>
      </c>
      <c r="I780" t="s">
        <v>1501</v>
      </c>
      <c r="J780" t="s">
        <v>294</v>
      </c>
      <c r="M780" t="s">
        <v>295</v>
      </c>
      <c r="N780" t="s">
        <v>296</v>
      </c>
      <c r="O780" t="s">
        <v>297</v>
      </c>
    </row>
    <row r="781" spans="1:15" x14ac:dyDescent="0.3">
      <c r="A781" t="s">
        <v>1412</v>
      </c>
      <c r="B781" t="s">
        <v>1500</v>
      </c>
      <c r="C781">
        <v>2024</v>
      </c>
      <c r="D781" t="s">
        <v>300</v>
      </c>
      <c r="E781" t="s">
        <v>1109</v>
      </c>
      <c r="F781">
        <v>-3048.25</v>
      </c>
      <c r="G781" t="s">
        <v>302</v>
      </c>
      <c r="H781">
        <v>12</v>
      </c>
      <c r="I781" t="s">
        <v>1502</v>
      </c>
      <c r="J781" t="s">
        <v>294</v>
      </c>
      <c r="M781" t="s">
        <v>295</v>
      </c>
      <c r="N781" t="s">
        <v>296</v>
      </c>
      <c r="O781" t="s">
        <v>297</v>
      </c>
    </row>
    <row r="782" spans="1:15" x14ac:dyDescent="0.3">
      <c r="A782" t="s">
        <v>1412</v>
      </c>
      <c r="B782" t="s">
        <v>1500</v>
      </c>
      <c r="C782">
        <v>2024</v>
      </c>
      <c r="D782" t="s">
        <v>300</v>
      </c>
      <c r="E782" t="s">
        <v>1415</v>
      </c>
      <c r="F782">
        <v>1254.43</v>
      </c>
      <c r="G782" t="s">
        <v>302</v>
      </c>
      <c r="H782">
        <v>12</v>
      </c>
      <c r="I782" t="s">
        <v>1503</v>
      </c>
      <c r="J782" t="s">
        <v>294</v>
      </c>
      <c r="M782" t="s">
        <v>295</v>
      </c>
      <c r="N782" t="s">
        <v>296</v>
      </c>
      <c r="O782" t="s">
        <v>297</v>
      </c>
    </row>
    <row r="783" spans="1:15" x14ac:dyDescent="0.3">
      <c r="A783" t="s">
        <v>1412</v>
      </c>
      <c r="B783" t="s">
        <v>1500</v>
      </c>
      <c r="C783">
        <v>2024</v>
      </c>
      <c r="D783" t="s">
        <v>300</v>
      </c>
      <c r="E783" t="s">
        <v>1417</v>
      </c>
      <c r="F783">
        <v>926.51</v>
      </c>
      <c r="G783" t="s">
        <v>302</v>
      </c>
      <c r="H783">
        <v>12</v>
      </c>
      <c r="I783" t="s">
        <v>1504</v>
      </c>
      <c r="J783" t="s">
        <v>294</v>
      </c>
      <c r="M783" t="s">
        <v>295</v>
      </c>
      <c r="N783" t="s">
        <v>296</v>
      </c>
      <c r="O783" t="s">
        <v>297</v>
      </c>
    </row>
    <row r="784" spans="1:15" x14ac:dyDescent="0.3">
      <c r="A784" t="s">
        <v>1412</v>
      </c>
      <c r="B784" t="s">
        <v>1500</v>
      </c>
      <c r="C784">
        <v>2024</v>
      </c>
      <c r="D784" t="s">
        <v>300</v>
      </c>
      <c r="E784" t="s">
        <v>1505</v>
      </c>
      <c r="F784">
        <v>272.13</v>
      </c>
      <c r="G784" t="s">
        <v>302</v>
      </c>
      <c r="H784">
        <v>12</v>
      </c>
      <c r="I784" t="s">
        <v>1506</v>
      </c>
      <c r="J784" t="s">
        <v>294</v>
      </c>
      <c r="M784" t="s">
        <v>295</v>
      </c>
      <c r="N784" t="s">
        <v>296</v>
      </c>
      <c r="O784" t="s">
        <v>297</v>
      </c>
    </row>
    <row r="785" spans="1:15" x14ac:dyDescent="0.3">
      <c r="A785" t="s">
        <v>1412</v>
      </c>
      <c r="B785" t="s">
        <v>1500</v>
      </c>
      <c r="C785">
        <v>2024</v>
      </c>
      <c r="D785" t="s">
        <v>300</v>
      </c>
      <c r="E785" t="s">
        <v>1507</v>
      </c>
      <c r="F785">
        <v>260.20999999999998</v>
      </c>
      <c r="G785" t="s">
        <v>302</v>
      </c>
      <c r="H785">
        <v>12</v>
      </c>
      <c r="I785" t="s">
        <v>1508</v>
      </c>
      <c r="J785" t="s">
        <v>294</v>
      </c>
      <c r="M785" t="s">
        <v>295</v>
      </c>
      <c r="N785" t="s">
        <v>296</v>
      </c>
      <c r="O785" t="s">
        <v>297</v>
      </c>
    </row>
    <row r="786" spans="1:15" x14ac:dyDescent="0.3">
      <c r="A786" t="s">
        <v>1412</v>
      </c>
      <c r="B786" t="s">
        <v>1500</v>
      </c>
      <c r="C786">
        <v>2024</v>
      </c>
      <c r="D786" t="s">
        <v>300</v>
      </c>
      <c r="E786" t="s">
        <v>1423</v>
      </c>
      <c r="F786">
        <v>260.54000000000002</v>
      </c>
      <c r="G786" t="s">
        <v>302</v>
      </c>
      <c r="H786">
        <v>12</v>
      </c>
      <c r="I786" t="s">
        <v>1509</v>
      </c>
      <c r="J786" t="s">
        <v>294</v>
      </c>
      <c r="M786" t="s">
        <v>295</v>
      </c>
      <c r="N786" t="s">
        <v>296</v>
      </c>
      <c r="O786" t="s">
        <v>297</v>
      </c>
    </row>
    <row r="787" spans="1:15" x14ac:dyDescent="0.3">
      <c r="A787" t="s">
        <v>1412</v>
      </c>
      <c r="B787" t="s">
        <v>1500</v>
      </c>
      <c r="C787">
        <v>2024</v>
      </c>
      <c r="D787" t="s">
        <v>300</v>
      </c>
      <c r="E787" t="s">
        <v>345</v>
      </c>
      <c r="F787">
        <v>8.36</v>
      </c>
      <c r="G787" t="s">
        <v>346</v>
      </c>
      <c r="H787">
        <v>12</v>
      </c>
      <c r="I787" t="s">
        <v>1510</v>
      </c>
      <c r="J787" t="s">
        <v>294</v>
      </c>
      <c r="M787" t="s">
        <v>295</v>
      </c>
      <c r="N787" t="s">
        <v>296</v>
      </c>
      <c r="O787" t="s">
        <v>297</v>
      </c>
    </row>
    <row r="788" spans="1:15" x14ac:dyDescent="0.3">
      <c r="A788" t="s">
        <v>1412</v>
      </c>
      <c r="B788" t="s">
        <v>1500</v>
      </c>
      <c r="C788">
        <v>2024</v>
      </c>
      <c r="D788" t="s">
        <v>300</v>
      </c>
      <c r="E788" t="s">
        <v>1395</v>
      </c>
      <c r="F788">
        <v>31525.29</v>
      </c>
      <c r="G788" t="s">
        <v>1288</v>
      </c>
      <c r="H788">
        <v>12</v>
      </c>
      <c r="I788" t="s">
        <v>1426</v>
      </c>
      <c r="J788" t="s">
        <v>294</v>
      </c>
      <c r="M788" t="s">
        <v>295</v>
      </c>
      <c r="N788" t="s">
        <v>296</v>
      </c>
      <c r="O788" t="s">
        <v>297</v>
      </c>
    </row>
    <row r="789" spans="1:15" x14ac:dyDescent="0.3">
      <c r="A789" t="s">
        <v>1412</v>
      </c>
      <c r="B789" t="s">
        <v>1500</v>
      </c>
      <c r="C789">
        <v>2024</v>
      </c>
      <c r="D789" t="s">
        <v>300</v>
      </c>
      <c r="E789" t="s">
        <v>1427</v>
      </c>
      <c r="F789">
        <v>1420.68</v>
      </c>
      <c r="G789" t="s">
        <v>302</v>
      </c>
      <c r="H789">
        <v>12</v>
      </c>
      <c r="I789" t="s">
        <v>1511</v>
      </c>
      <c r="J789" t="s">
        <v>294</v>
      </c>
      <c r="M789" t="s">
        <v>295</v>
      </c>
      <c r="N789" t="s">
        <v>296</v>
      </c>
      <c r="O789" t="s">
        <v>297</v>
      </c>
    </row>
    <row r="790" spans="1:15" x14ac:dyDescent="0.3">
      <c r="A790" t="s">
        <v>1412</v>
      </c>
      <c r="B790" t="s">
        <v>1500</v>
      </c>
      <c r="C790">
        <v>2024</v>
      </c>
      <c r="D790" t="s">
        <v>300</v>
      </c>
      <c r="E790" t="s">
        <v>1512</v>
      </c>
      <c r="F790">
        <v>8373.7000000000007</v>
      </c>
      <c r="G790" t="s">
        <v>302</v>
      </c>
      <c r="H790">
        <v>12</v>
      </c>
      <c r="I790" t="s">
        <v>1513</v>
      </c>
      <c r="J790" t="s">
        <v>294</v>
      </c>
      <c r="M790" t="s">
        <v>295</v>
      </c>
      <c r="N790" t="s">
        <v>296</v>
      </c>
      <c r="O790" t="s">
        <v>297</v>
      </c>
    </row>
    <row r="791" spans="1:15" x14ac:dyDescent="0.3">
      <c r="A791" t="s">
        <v>1412</v>
      </c>
      <c r="B791" t="s">
        <v>1500</v>
      </c>
      <c r="C791">
        <v>2024</v>
      </c>
      <c r="D791" t="s">
        <v>300</v>
      </c>
      <c r="E791" t="s">
        <v>1429</v>
      </c>
      <c r="F791">
        <v>9794.3799999999992</v>
      </c>
      <c r="G791" t="s">
        <v>302</v>
      </c>
      <c r="H791">
        <v>12</v>
      </c>
      <c r="I791" t="s">
        <v>1514</v>
      </c>
      <c r="J791" t="s">
        <v>294</v>
      </c>
      <c r="M791" t="s">
        <v>295</v>
      </c>
      <c r="N791" t="s">
        <v>296</v>
      </c>
      <c r="O791" t="s">
        <v>297</v>
      </c>
    </row>
    <row r="792" spans="1:15" x14ac:dyDescent="0.3">
      <c r="A792" t="s">
        <v>1412</v>
      </c>
      <c r="B792" t="s">
        <v>1500</v>
      </c>
      <c r="C792">
        <v>2024</v>
      </c>
      <c r="D792" t="s">
        <v>300</v>
      </c>
      <c r="E792" t="s">
        <v>1515</v>
      </c>
      <c r="F792">
        <v>2945.12</v>
      </c>
      <c r="G792" t="s">
        <v>302</v>
      </c>
      <c r="H792">
        <v>12</v>
      </c>
      <c r="I792" t="s">
        <v>1516</v>
      </c>
      <c r="J792" t="s">
        <v>294</v>
      </c>
      <c r="M792" t="s">
        <v>295</v>
      </c>
      <c r="N792" t="s">
        <v>296</v>
      </c>
      <c r="O792" t="s">
        <v>297</v>
      </c>
    </row>
    <row r="793" spans="1:15" x14ac:dyDescent="0.3">
      <c r="A793" t="s">
        <v>1412</v>
      </c>
      <c r="B793" t="s">
        <v>1500</v>
      </c>
      <c r="C793">
        <v>2024</v>
      </c>
      <c r="D793" t="s">
        <v>300</v>
      </c>
      <c r="E793" t="s">
        <v>1517</v>
      </c>
      <c r="F793">
        <v>4397.17</v>
      </c>
      <c r="G793" t="s">
        <v>302</v>
      </c>
      <c r="H793">
        <v>12</v>
      </c>
      <c r="I793" t="s">
        <v>1518</v>
      </c>
      <c r="J793" t="s">
        <v>294</v>
      </c>
      <c r="M793" t="s">
        <v>295</v>
      </c>
      <c r="N793" t="s">
        <v>296</v>
      </c>
      <c r="O793" t="s">
        <v>297</v>
      </c>
    </row>
    <row r="794" spans="1:15" x14ac:dyDescent="0.3">
      <c r="A794" t="s">
        <v>1412</v>
      </c>
      <c r="B794" t="s">
        <v>1500</v>
      </c>
      <c r="C794">
        <v>2024</v>
      </c>
      <c r="D794" t="s">
        <v>300</v>
      </c>
      <c r="E794" t="s">
        <v>1435</v>
      </c>
      <c r="F794">
        <v>7342.29</v>
      </c>
      <c r="G794" t="s">
        <v>302</v>
      </c>
      <c r="H794">
        <v>12</v>
      </c>
      <c r="I794" t="s">
        <v>1519</v>
      </c>
      <c r="J794" t="s">
        <v>294</v>
      </c>
      <c r="M794" t="s">
        <v>295</v>
      </c>
      <c r="N794" t="s">
        <v>296</v>
      </c>
      <c r="O794" t="s">
        <v>297</v>
      </c>
    </row>
    <row r="795" spans="1:15" x14ac:dyDescent="0.3">
      <c r="A795" t="s">
        <v>1412</v>
      </c>
      <c r="B795" t="s">
        <v>1500</v>
      </c>
      <c r="C795">
        <v>2024</v>
      </c>
      <c r="D795" t="s">
        <v>300</v>
      </c>
      <c r="E795" t="s">
        <v>1437</v>
      </c>
      <c r="F795">
        <v>2452.09</v>
      </c>
      <c r="G795" t="s">
        <v>302</v>
      </c>
      <c r="H795">
        <v>12</v>
      </c>
      <c r="I795" t="s">
        <v>1520</v>
      </c>
      <c r="J795" t="s">
        <v>294</v>
      </c>
      <c r="M795" t="s">
        <v>295</v>
      </c>
      <c r="N795" t="s">
        <v>296</v>
      </c>
      <c r="O795" t="s">
        <v>297</v>
      </c>
    </row>
    <row r="796" spans="1:15" x14ac:dyDescent="0.3">
      <c r="A796" t="s">
        <v>1412</v>
      </c>
      <c r="B796" t="s">
        <v>1500</v>
      </c>
      <c r="C796">
        <v>2024</v>
      </c>
      <c r="D796" t="s">
        <v>300</v>
      </c>
      <c r="E796" t="s">
        <v>1521</v>
      </c>
      <c r="F796">
        <v>58.08</v>
      </c>
      <c r="G796" t="s">
        <v>302</v>
      </c>
      <c r="H796">
        <v>195</v>
      </c>
      <c r="I796" t="s">
        <v>1522</v>
      </c>
      <c r="J796" t="s">
        <v>294</v>
      </c>
      <c r="M796" t="s">
        <v>295</v>
      </c>
      <c r="N796" t="s">
        <v>296</v>
      </c>
      <c r="O796" t="s">
        <v>297</v>
      </c>
    </row>
    <row r="797" spans="1:15" x14ac:dyDescent="0.3">
      <c r="A797" t="s">
        <v>1412</v>
      </c>
      <c r="B797" t="s">
        <v>1500</v>
      </c>
      <c r="C797">
        <v>2024</v>
      </c>
      <c r="D797" t="s">
        <v>300</v>
      </c>
      <c r="E797" t="s">
        <v>1523</v>
      </c>
      <c r="F797">
        <v>290.77999999999997</v>
      </c>
      <c r="G797" t="s">
        <v>302</v>
      </c>
      <c r="H797">
        <v>196</v>
      </c>
      <c r="I797" t="s">
        <v>1524</v>
      </c>
      <c r="J797" t="s">
        <v>294</v>
      </c>
      <c r="M797" t="s">
        <v>295</v>
      </c>
      <c r="N797" t="s">
        <v>296</v>
      </c>
      <c r="O797" t="s">
        <v>297</v>
      </c>
    </row>
    <row r="798" spans="1:15" x14ac:dyDescent="0.3">
      <c r="A798" t="s">
        <v>1412</v>
      </c>
      <c r="B798" t="s">
        <v>1500</v>
      </c>
      <c r="C798">
        <v>2024</v>
      </c>
      <c r="D798" t="s">
        <v>300</v>
      </c>
      <c r="E798" t="s">
        <v>1525</v>
      </c>
      <c r="F798">
        <v>696.23</v>
      </c>
      <c r="G798" t="s">
        <v>302</v>
      </c>
      <c r="H798">
        <v>196</v>
      </c>
      <c r="I798" t="s">
        <v>1526</v>
      </c>
      <c r="J798" t="s">
        <v>294</v>
      </c>
      <c r="M798" t="s">
        <v>295</v>
      </c>
      <c r="N798" t="s">
        <v>296</v>
      </c>
      <c r="O798" t="s">
        <v>297</v>
      </c>
    </row>
    <row r="799" spans="1:15" x14ac:dyDescent="0.3">
      <c r="A799" t="s">
        <v>1412</v>
      </c>
      <c r="B799" t="s">
        <v>1500</v>
      </c>
      <c r="C799">
        <v>2024</v>
      </c>
      <c r="D799" t="s">
        <v>300</v>
      </c>
      <c r="E799" t="s">
        <v>1527</v>
      </c>
      <c r="F799">
        <v>2910.63</v>
      </c>
      <c r="G799" t="s">
        <v>302</v>
      </c>
      <c r="H799">
        <v>196</v>
      </c>
      <c r="I799" t="s">
        <v>1528</v>
      </c>
      <c r="J799" t="s">
        <v>294</v>
      </c>
      <c r="M799" t="s">
        <v>295</v>
      </c>
      <c r="N799" t="s">
        <v>296</v>
      </c>
      <c r="O799" t="s">
        <v>297</v>
      </c>
    </row>
    <row r="800" spans="1:15" x14ac:dyDescent="0.3">
      <c r="A800" t="s">
        <v>1412</v>
      </c>
      <c r="B800" t="s">
        <v>1500</v>
      </c>
      <c r="C800">
        <v>2024</v>
      </c>
      <c r="D800" t="s">
        <v>300</v>
      </c>
      <c r="E800" t="s">
        <v>1529</v>
      </c>
      <c r="F800">
        <v>61.55</v>
      </c>
      <c r="G800" t="s">
        <v>302</v>
      </c>
      <c r="H800">
        <v>196</v>
      </c>
      <c r="I800" t="s">
        <v>1530</v>
      </c>
      <c r="J800" t="s">
        <v>294</v>
      </c>
      <c r="M800" t="s">
        <v>295</v>
      </c>
      <c r="N800" t="s">
        <v>296</v>
      </c>
      <c r="O800" t="s">
        <v>297</v>
      </c>
    </row>
    <row r="801" spans="1:15" x14ac:dyDescent="0.3">
      <c r="A801" t="s">
        <v>1412</v>
      </c>
      <c r="B801" t="s">
        <v>1500</v>
      </c>
      <c r="C801">
        <v>2024</v>
      </c>
      <c r="D801" t="s">
        <v>300</v>
      </c>
      <c r="E801" t="s">
        <v>601</v>
      </c>
      <c r="F801">
        <v>833.79</v>
      </c>
      <c r="G801" t="s">
        <v>302</v>
      </c>
      <c r="H801">
        <v>13</v>
      </c>
      <c r="I801" t="s">
        <v>1531</v>
      </c>
      <c r="J801" t="s">
        <v>294</v>
      </c>
      <c r="M801" t="s">
        <v>295</v>
      </c>
      <c r="N801" t="s">
        <v>296</v>
      </c>
      <c r="O801" t="s">
        <v>297</v>
      </c>
    </row>
    <row r="802" spans="1:15" x14ac:dyDescent="0.3">
      <c r="A802" t="s">
        <v>1412</v>
      </c>
      <c r="B802" t="s">
        <v>1500</v>
      </c>
      <c r="C802">
        <v>2024</v>
      </c>
      <c r="D802" t="s">
        <v>300</v>
      </c>
      <c r="E802" t="s">
        <v>1532</v>
      </c>
      <c r="F802">
        <v>86.04</v>
      </c>
      <c r="G802" t="s">
        <v>302</v>
      </c>
      <c r="H802">
        <v>13</v>
      </c>
      <c r="I802" t="s">
        <v>1533</v>
      </c>
      <c r="J802" t="s">
        <v>294</v>
      </c>
      <c r="M802" t="s">
        <v>295</v>
      </c>
      <c r="N802" t="s">
        <v>296</v>
      </c>
      <c r="O802" t="s">
        <v>297</v>
      </c>
    </row>
    <row r="803" spans="1:15" x14ac:dyDescent="0.3">
      <c r="A803" t="s">
        <v>1412</v>
      </c>
      <c r="B803" t="s">
        <v>1500</v>
      </c>
      <c r="C803">
        <v>2024</v>
      </c>
      <c r="D803" t="s">
        <v>300</v>
      </c>
      <c r="E803" t="s">
        <v>1534</v>
      </c>
      <c r="F803">
        <v>176.43</v>
      </c>
      <c r="G803" t="s">
        <v>302</v>
      </c>
      <c r="H803">
        <v>247</v>
      </c>
      <c r="I803" t="s">
        <v>1535</v>
      </c>
      <c r="J803" t="s">
        <v>294</v>
      </c>
      <c r="M803" t="s">
        <v>295</v>
      </c>
      <c r="N803" t="s">
        <v>296</v>
      </c>
      <c r="O803" t="s">
        <v>297</v>
      </c>
    </row>
    <row r="804" spans="1:15" x14ac:dyDescent="0.3">
      <c r="A804" t="s">
        <v>1412</v>
      </c>
      <c r="B804" t="s">
        <v>1500</v>
      </c>
      <c r="C804">
        <v>2024</v>
      </c>
      <c r="D804" t="s">
        <v>300</v>
      </c>
      <c r="E804" t="s">
        <v>1342</v>
      </c>
      <c r="F804">
        <v>2.99</v>
      </c>
      <c r="G804" t="s">
        <v>327</v>
      </c>
      <c r="H804">
        <v>13</v>
      </c>
      <c r="I804" t="s">
        <v>1536</v>
      </c>
      <c r="J804" t="s">
        <v>294</v>
      </c>
      <c r="M804" t="s">
        <v>295</v>
      </c>
      <c r="N804" t="s">
        <v>296</v>
      </c>
      <c r="O804" t="s">
        <v>297</v>
      </c>
    </row>
    <row r="805" spans="1:15" x14ac:dyDescent="0.3">
      <c r="A805" t="s">
        <v>1412</v>
      </c>
      <c r="B805" t="s">
        <v>1500</v>
      </c>
      <c r="C805">
        <v>2024</v>
      </c>
      <c r="D805" t="s">
        <v>300</v>
      </c>
      <c r="E805" t="s">
        <v>1447</v>
      </c>
      <c r="F805">
        <v>3.14</v>
      </c>
      <c r="G805" t="s">
        <v>327</v>
      </c>
      <c r="H805">
        <v>13</v>
      </c>
      <c r="I805" t="s">
        <v>1537</v>
      </c>
      <c r="J805" t="s">
        <v>294</v>
      </c>
      <c r="M805" t="s">
        <v>295</v>
      </c>
      <c r="N805" t="s">
        <v>296</v>
      </c>
      <c r="O805" t="s">
        <v>297</v>
      </c>
    </row>
    <row r="806" spans="1:15" x14ac:dyDescent="0.3">
      <c r="A806" t="s">
        <v>1412</v>
      </c>
      <c r="B806" t="s">
        <v>1500</v>
      </c>
      <c r="C806">
        <v>2024</v>
      </c>
      <c r="D806" t="s">
        <v>300</v>
      </c>
      <c r="E806" t="s">
        <v>336</v>
      </c>
      <c r="F806">
        <v>0.111</v>
      </c>
      <c r="G806" t="s">
        <v>1283</v>
      </c>
      <c r="H806">
        <v>13</v>
      </c>
      <c r="I806" t="s">
        <v>1538</v>
      </c>
      <c r="J806" t="s">
        <v>294</v>
      </c>
      <c r="M806" t="s">
        <v>295</v>
      </c>
      <c r="N806" t="s">
        <v>296</v>
      </c>
      <c r="O806" t="s">
        <v>297</v>
      </c>
    </row>
    <row r="807" spans="1:15" x14ac:dyDescent="0.3">
      <c r="A807" t="s">
        <v>1412</v>
      </c>
      <c r="B807" t="s">
        <v>1500</v>
      </c>
      <c r="C807">
        <v>2024</v>
      </c>
      <c r="D807" t="s">
        <v>300</v>
      </c>
      <c r="E807" t="s">
        <v>1393</v>
      </c>
      <c r="F807">
        <v>59</v>
      </c>
      <c r="G807" t="s">
        <v>346</v>
      </c>
      <c r="H807">
        <v>19</v>
      </c>
      <c r="I807" t="s">
        <v>1539</v>
      </c>
      <c r="J807" t="s">
        <v>294</v>
      </c>
      <c r="M807" t="s">
        <v>295</v>
      </c>
      <c r="N807" t="s">
        <v>296</v>
      </c>
      <c r="O807" t="s">
        <v>297</v>
      </c>
    </row>
    <row r="808" spans="1:15" x14ac:dyDescent="0.3">
      <c r="A808" t="s">
        <v>1412</v>
      </c>
      <c r="B808" t="s">
        <v>1500</v>
      </c>
      <c r="C808">
        <v>2024</v>
      </c>
      <c r="D808" t="s">
        <v>394</v>
      </c>
      <c r="E808" t="s">
        <v>1452</v>
      </c>
      <c r="F808">
        <v>263657</v>
      </c>
      <c r="G808" t="s">
        <v>1453</v>
      </c>
      <c r="H808">
        <v>16</v>
      </c>
      <c r="I808" t="s">
        <v>1540</v>
      </c>
      <c r="J808" t="s">
        <v>294</v>
      </c>
      <c r="M808" t="s">
        <v>295</v>
      </c>
      <c r="N808" t="s">
        <v>296</v>
      </c>
      <c r="O808" t="s">
        <v>297</v>
      </c>
    </row>
    <row r="809" spans="1:15" x14ac:dyDescent="0.3">
      <c r="A809" t="s">
        <v>1412</v>
      </c>
      <c r="B809" t="s">
        <v>1500</v>
      </c>
      <c r="C809">
        <v>2024</v>
      </c>
      <c r="D809" t="s">
        <v>394</v>
      </c>
      <c r="E809" t="s">
        <v>1541</v>
      </c>
      <c r="F809">
        <v>49193</v>
      </c>
      <c r="G809" t="s">
        <v>1453</v>
      </c>
      <c r="H809">
        <v>94</v>
      </c>
      <c r="I809" t="s">
        <v>1542</v>
      </c>
      <c r="J809" t="s">
        <v>294</v>
      </c>
      <c r="M809" t="s">
        <v>295</v>
      </c>
      <c r="N809" t="s">
        <v>296</v>
      </c>
      <c r="O809" t="s">
        <v>297</v>
      </c>
    </row>
    <row r="810" spans="1:15" x14ac:dyDescent="0.3">
      <c r="A810" t="s">
        <v>1412</v>
      </c>
      <c r="B810" t="s">
        <v>1500</v>
      </c>
      <c r="C810">
        <v>2024</v>
      </c>
      <c r="D810" t="s">
        <v>394</v>
      </c>
      <c r="E810" t="s">
        <v>1543</v>
      </c>
      <c r="F810">
        <v>1041515</v>
      </c>
      <c r="G810" t="s">
        <v>1453</v>
      </c>
      <c r="H810">
        <v>94</v>
      </c>
      <c r="I810" t="s">
        <v>1544</v>
      </c>
      <c r="J810" t="s">
        <v>294</v>
      </c>
      <c r="M810" t="s">
        <v>295</v>
      </c>
      <c r="N810" t="s">
        <v>296</v>
      </c>
      <c r="O810" t="s">
        <v>297</v>
      </c>
    </row>
    <row r="811" spans="1:15" x14ac:dyDescent="0.3">
      <c r="A811" t="s">
        <v>1412</v>
      </c>
      <c r="B811" t="s">
        <v>1500</v>
      </c>
      <c r="C811">
        <v>2024</v>
      </c>
      <c r="D811" t="s">
        <v>394</v>
      </c>
      <c r="E811" t="s">
        <v>1457</v>
      </c>
      <c r="F811">
        <v>311111</v>
      </c>
      <c r="G811" t="s">
        <v>1453</v>
      </c>
      <c r="H811">
        <v>16</v>
      </c>
      <c r="I811" t="s">
        <v>1545</v>
      </c>
      <c r="J811" t="s">
        <v>294</v>
      </c>
      <c r="M811" t="s">
        <v>295</v>
      </c>
      <c r="N811" t="s">
        <v>296</v>
      </c>
      <c r="O811" t="s">
        <v>297</v>
      </c>
    </row>
    <row r="812" spans="1:15" x14ac:dyDescent="0.3">
      <c r="A812" t="s">
        <v>1412</v>
      </c>
      <c r="B812" t="s">
        <v>1500</v>
      </c>
      <c r="C812">
        <v>2024</v>
      </c>
      <c r="D812" t="s">
        <v>394</v>
      </c>
      <c r="E812" t="s">
        <v>1459</v>
      </c>
      <c r="F812">
        <v>48384</v>
      </c>
      <c r="G812" t="s">
        <v>1453</v>
      </c>
      <c r="H812">
        <v>16</v>
      </c>
      <c r="I812" t="s">
        <v>1546</v>
      </c>
      <c r="J812" t="s">
        <v>294</v>
      </c>
      <c r="M812" t="s">
        <v>295</v>
      </c>
      <c r="N812" t="s">
        <v>296</v>
      </c>
      <c r="O812" t="s">
        <v>297</v>
      </c>
    </row>
    <row r="813" spans="1:15" x14ac:dyDescent="0.3">
      <c r="A813" t="s">
        <v>1412</v>
      </c>
      <c r="B813" t="s">
        <v>1500</v>
      </c>
      <c r="C813">
        <v>2024</v>
      </c>
      <c r="D813" t="s">
        <v>394</v>
      </c>
      <c r="E813" t="s">
        <v>1461</v>
      </c>
      <c r="F813">
        <v>12515</v>
      </c>
      <c r="G813" t="s">
        <v>436</v>
      </c>
      <c r="H813">
        <v>16</v>
      </c>
      <c r="I813" t="s">
        <v>1547</v>
      </c>
      <c r="J813" t="s">
        <v>294</v>
      </c>
      <c r="M813" t="s">
        <v>295</v>
      </c>
      <c r="N813" t="s">
        <v>296</v>
      </c>
      <c r="O813" t="s">
        <v>297</v>
      </c>
    </row>
    <row r="814" spans="1:15" x14ac:dyDescent="0.3">
      <c r="A814" t="s">
        <v>1412</v>
      </c>
      <c r="B814" t="s">
        <v>1500</v>
      </c>
      <c r="C814">
        <v>2024</v>
      </c>
      <c r="D814" t="s">
        <v>394</v>
      </c>
      <c r="E814" t="s">
        <v>1463</v>
      </c>
      <c r="F814">
        <v>7533</v>
      </c>
      <c r="G814" t="s">
        <v>436</v>
      </c>
      <c r="H814">
        <v>16</v>
      </c>
      <c r="I814" t="s">
        <v>1548</v>
      </c>
      <c r="J814" t="s">
        <v>294</v>
      </c>
      <c r="M814" t="s">
        <v>295</v>
      </c>
      <c r="N814" t="s">
        <v>296</v>
      </c>
      <c r="O814" t="s">
        <v>297</v>
      </c>
    </row>
    <row r="815" spans="1:15" x14ac:dyDescent="0.3">
      <c r="A815" t="s">
        <v>1412</v>
      </c>
      <c r="B815" t="s">
        <v>1500</v>
      </c>
      <c r="C815">
        <v>2024</v>
      </c>
      <c r="D815" t="s">
        <v>358</v>
      </c>
      <c r="E815" t="s">
        <v>1465</v>
      </c>
      <c r="F815">
        <v>87000</v>
      </c>
      <c r="G815" t="s">
        <v>360</v>
      </c>
      <c r="H815">
        <v>57</v>
      </c>
      <c r="I815" t="s">
        <v>1549</v>
      </c>
      <c r="J815" t="s">
        <v>294</v>
      </c>
      <c r="M815" t="s">
        <v>295</v>
      </c>
      <c r="N815" t="s">
        <v>296</v>
      </c>
      <c r="O815" t="s">
        <v>297</v>
      </c>
    </row>
    <row r="816" spans="1:15" x14ac:dyDescent="0.3">
      <c r="A816" t="s">
        <v>1412</v>
      </c>
      <c r="B816" t="s">
        <v>1500</v>
      </c>
      <c r="C816">
        <v>2024</v>
      </c>
      <c r="D816" t="s">
        <v>358</v>
      </c>
      <c r="E816" t="s">
        <v>1550</v>
      </c>
      <c r="F816" t="s">
        <v>1551</v>
      </c>
      <c r="G816" t="s">
        <v>1552</v>
      </c>
      <c r="H816">
        <v>56</v>
      </c>
      <c r="I816" t="s">
        <v>1553</v>
      </c>
      <c r="J816" t="s">
        <v>294</v>
      </c>
      <c r="M816" t="s">
        <v>295</v>
      </c>
      <c r="N816" t="s">
        <v>296</v>
      </c>
      <c r="O816" t="s">
        <v>297</v>
      </c>
    </row>
    <row r="817" spans="1:15" x14ac:dyDescent="0.3">
      <c r="A817" t="s">
        <v>1412</v>
      </c>
      <c r="B817" t="s">
        <v>1500</v>
      </c>
      <c r="C817">
        <v>2024</v>
      </c>
      <c r="D817" t="s">
        <v>358</v>
      </c>
      <c r="E817" t="s">
        <v>1554</v>
      </c>
      <c r="F817" t="s">
        <v>1555</v>
      </c>
      <c r="G817" t="s">
        <v>1552</v>
      </c>
      <c r="H817">
        <v>57</v>
      </c>
      <c r="I817" t="s">
        <v>1556</v>
      </c>
      <c r="J817" t="s">
        <v>294</v>
      </c>
      <c r="M817" t="s">
        <v>295</v>
      </c>
      <c r="N817" t="s">
        <v>296</v>
      </c>
      <c r="O817" t="s">
        <v>297</v>
      </c>
    </row>
    <row r="818" spans="1:15" x14ac:dyDescent="0.3">
      <c r="A818" t="s">
        <v>1412</v>
      </c>
      <c r="B818" t="s">
        <v>1500</v>
      </c>
      <c r="C818">
        <v>2024</v>
      </c>
      <c r="D818" t="s">
        <v>358</v>
      </c>
      <c r="E818" t="s">
        <v>1473</v>
      </c>
      <c r="F818">
        <v>2000</v>
      </c>
      <c r="G818" t="s">
        <v>360</v>
      </c>
      <c r="H818">
        <v>56</v>
      </c>
      <c r="I818" t="s">
        <v>1557</v>
      </c>
      <c r="J818" t="s">
        <v>294</v>
      </c>
      <c r="M818" t="s">
        <v>295</v>
      </c>
      <c r="N818" t="s">
        <v>296</v>
      </c>
      <c r="O818" t="s">
        <v>297</v>
      </c>
    </row>
    <row r="819" spans="1:15" x14ac:dyDescent="0.3">
      <c r="A819" t="s">
        <v>1412</v>
      </c>
      <c r="B819" t="s">
        <v>1500</v>
      </c>
      <c r="C819">
        <v>2024</v>
      </c>
      <c r="D819" t="s">
        <v>358</v>
      </c>
      <c r="E819" t="s">
        <v>1479</v>
      </c>
      <c r="F819">
        <v>34870</v>
      </c>
      <c r="G819" t="s">
        <v>360</v>
      </c>
      <c r="H819">
        <v>18</v>
      </c>
      <c r="I819" t="s">
        <v>1558</v>
      </c>
      <c r="J819" t="s">
        <v>294</v>
      </c>
      <c r="M819" t="s">
        <v>295</v>
      </c>
      <c r="N819" t="s">
        <v>296</v>
      </c>
      <c r="O819" t="s">
        <v>297</v>
      </c>
    </row>
    <row r="820" spans="1:15" x14ac:dyDescent="0.3">
      <c r="A820" t="s">
        <v>1412</v>
      </c>
      <c r="B820" t="s">
        <v>1500</v>
      </c>
      <c r="C820">
        <v>2024</v>
      </c>
      <c r="D820" t="s">
        <v>358</v>
      </c>
      <c r="E820" t="s">
        <v>1481</v>
      </c>
      <c r="F820">
        <v>69464</v>
      </c>
      <c r="G820" t="s">
        <v>360</v>
      </c>
      <c r="H820">
        <v>18</v>
      </c>
      <c r="I820" t="s">
        <v>1559</v>
      </c>
      <c r="J820" t="s">
        <v>294</v>
      </c>
      <c r="M820" t="s">
        <v>295</v>
      </c>
      <c r="N820" t="s">
        <v>296</v>
      </c>
      <c r="O820" t="s">
        <v>297</v>
      </c>
    </row>
    <row r="821" spans="1:15" x14ac:dyDescent="0.3">
      <c r="A821" t="s">
        <v>1412</v>
      </c>
      <c r="B821" t="s">
        <v>1500</v>
      </c>
      <c r="C821">
        <v>2024</v>
      </c>
      <c r="D821" t="s">
        <v>272</v>
      </c>
      <c r="E821" t="s">
        <v>1560</v>
      </c>
      <c r="F821">
        <v>15927</v>
      </c>
      <c r="G821" t="s">
        <v>1561</v>
      </c>
      <c r="H821">
        <v>55</v>
      </c>
      <c r="I821" t="s">
        <v>1562</v>
      </c>
      <c r="J821" t="s">
        <v>294</v>
      </c>
      <c r="M821" t="s">
        <v>295</v>
      </c>
      <c r="N821" t="s">
        <v>296</v>
      </c>
      <c r="O821" t="s">
        <v>297</v>
      </c>
    </row>
    <row r="822" spans="1:15" x14ac:dyDescent="0.3">
      <c r="A822" t="s">
        <v>1412</v>
      </c>
      <c r="B822" t="s">
        <v>1500</v>
      </c>
      <c r="C822">
        <v>2024</v>
      </c>
      <c r="D822" t="s">
        <v>272</v>
      </c>
      <c r="E822" t="s">
        <v>1563</v>
      </c>
      <c r="F822" t="s">
        <v>1564</v>
      </c>
      <c r="G822" t="s">
        <v>1552</v>
      </c>
      <c r="H822">
        <v>20</v>
      </c>
      <c r="I822" t="s">
        <v>1565</v>
      </c>
      <c r="J822" t="s">
        <v>294</v>
      </c>
      <c r="M822" t="s">
        <v>295</v>
      </c>
      <c r="N822" t="s">
        <v>296</v>
      </c>
      <c r="O822" t="s">
        <v>297</v>
      </c>
    </row>
    <row r="823" spans="1:15" x14ac:dyDescent="0.3">
      <c r="A823" t="s">
        <v>1412</v>
      </c>
      <c r="B823" t="s">
        <v>1566</v>
      </c>
      <c r="C823">
        <v>2025</v>
      </c>
      <c r="D823" t="s">
        <v>300</v>
      </c>
      <c r="E823" t="s">
        <v>301</v>
      </c>
      <c r="F823">
        <v>5761.3</v>
      </c>
      <c r="G823" t="s">
        <v>302</v>
      </c>
      <c r="H823">
        <v>13</v>
      </c>
      <c r="I823" t="s">
        <v>1567</v>
      </c>
      <c r="J823" t="s">
        <v>294</v>
      </c>
      <c r="M823" t="s">
        <v>295</v>
      </c>
      <c r="N823" t="s">
        <v>296</v>
      </c>
      <c r="O823" t="s">
        <v>297</v>
      </c>
    </row>
    <row r="824" spans="1:15" x14ac:dyDescent="0.3">
      <c r="A824" t="s">
        <v>1412</v>
      </c>
      <c r="B824" t="s">
        <v>1566</v>
      </c>
      <c r="C824">
        <v>2025</v>
      </c>
      <c r="D824" t="s">
        <v>300</v>
      </c>
      <c r="E824" t="s">
        <v>1109</v>
      </c>
      <c r="F824">
        <v>-4170.6400000000003</v>
      </c>
      <c r="G824" t="s">
        <v>302</v>
      </c>
      <c r="H824">
        <v>13</v>
      </c>
      <c r="I824" t="s">
        <v>1568</v>
      </c>
      <c r="J824" t="s">
        <v>294</v>
      </c>
      <c r="M824" t="s">
        <v>295</v>
      </c>
      <c r="N824" t="s">
        <v>296</v>
      </c>
      <c r="O824" t="s">
        <v>297</v>
      </c>
    </row>
    <row r="825" spans="1:15" x14ac:dyDescent="0.3">
      <c r="A825" t="s">
        <v>1412</v>
      </c>
      <c r="B825" t="s">
        <v>1566</v>
      </c>
      <c r="C825">
        <v>2025</v>
      </c>
      <c r="D825" t="s">
        <v>300</v>
      </c>
      <c r="E825" t="s">
        <v>1415</v>
      </c>
      <c r="F825">
        <v>1590.66</v>
      </c>
      <c r="G825" t="s">
        <v>302</v>
      </c>
      <c r="H825">
        <v>13</v>
      </c>
      <c r="I825" t="s">
        <v>1569</v>
      </c>
      <c r="J825" t="s">
        <v>294</v>
      </c>
      <c r="M825" t="s">
        <v>295</v>
      </c>
      <c r="N825" t="s">
        <v>296</v>
      </c>
      <c r="O825" t="s">
        <v>297</v>
      </c>
    </row>
    <row r="826" spans="1:15" x14ac:dyDescent="0.3">
      <c r="A826" t="s">
        <v>1412</v>
      </c>
      <c r="B826" t="s">
        <v>1566</v>
      </c>
      <c r="C826">
        <v>2025</v>
      </c>
      <c r="D826" t="s">
        <v>300</v>
      </c>
      <c r="E826" t="s">
        <v>1417</v>
      </c>
      <c r="F826">
        <v>1189.7</v>
      </c>
      <c r="G826" t="s">
        <v>302</v>
      </c>
      <c r="H826">
        <v>13</v>
      </c>
      <c r="I826" t="s">
        <v>1570</v>
      </c>
      <c r="J826" t="s">
        <v>294</v>
      </c>
      <c r="M826" t="s">
        <v>295</v>
      </c>
      <c r="N826" t="s">
        <v>296</v>
      </c>
      <c r="O826" t="s">
        <v>297</v>
      </c>
    </row>
    <row r="827" spans="1:15" x14ac:dyDescent="0.3">
      <c r="A827" t="s">
        <v>1412</v>
      </c>
      <c r="B827" t="s">
        <v>1566</v>
      </c>
      <c r="C827">
        <v>2025</v>
      </c>
      <c r="D827" t="s">
        <v>300</v>
      </c>
      <c r="E827" t="s">
        <v>1571</v>
      </c>
      <c r="F827">
        <v>775.84</v>
      </c>
      <c r="G827" t="s">
        <v>302</v>
      </c>
      <c r="H827">
        <v>13</v>
      </c>
      <c r="I827" t="s">
        <v>1572</v>
      </c>
      <c r="J827" t="s">
        <v>294</v>
      </c>
      <c r="M827" t="s">
        <v>295</v>
      </c>
      <c r="N827" t="s">
        <v>296</v>
      </c>
      <c r="O827" t="s">
        <v>297</v>
      </c>
    </row>
    <row r="828" spans="1:15" x14ac:dyDescent="0.3">
      <c r="A828" t="s">
        <v>1412</v>
      </c>
      <c r="B828" t="s">
        <v>1566</v>
      </c>
      <c r="C828">
        <v>2025</v>
      </c>
      <c r="D828" t="s">
        <v>300</v>
      </c>
      <c r="E828" t="s">
        <v>1505</v>
      </c>
      <c r="F828">
        <v>379.11</v>
      </c>
      <c r="G828" t="s">
        <v>302</v>
      </c>
      <c r="H828">
        <v>13</v>
      </c>
      <c r="I828" t="s">
        <v>1573</v>
      </c>
      <c r="J828" t="s">
        <v>294</v>
      </c>
      <c r="M828" t="s">
        <v>295</v>
      </c>
      <c r="N828" t="s">
        <v>296</v>
      </c>
      <c r="O828" t="s">
        <v>297</v>
      </c>
    </row>
    <row r="829" spans="1:15" x14ac:dyDescent="0.3">
      <c r="A829" t="s">
        <v>1412</v>
      </c>
      <c r="B829" t="s">
        <v>1566</v>
      </c>
      <c r="C829">
        <v>2025</v>
      </c>
      <c r="D829" t="s">
        <v>300</v>
      </c>
      <c r="E829" t="s">
        <v>1507</v>
      </c>
      <c r="F829">
        <v>361.72</v>
      </c>
      <c r="G829" t="s">
        <v>302</v>
      </c>
      <c r="H829">
        <v>13</v>
      </c>
      <c r="I829" t="s">
        <v>1574</v>
      </c>
      <c r="J829" t="s">
        <v>294</v>
      </c>
      <c r="M829" t="s">
        <v>295</v>
      </c>
      <c r="N829" t="s">
        <v>296</v>
      </c>
      <c r="O829" t="s">
        <v>297</v>
      </c>
    </row>
    <row r="830" spans="1:15" x14ac:dyDescent="0.3">
      <c r="A830" t="s">
        <v>1412</v>
      </c>
      <c r="B830" t="s">
        <v>1566</v>
      </c>
      <c r="C830">
        <v>2025</v>
      </c>
      <c r="D830" t="s">
        <v>300</v>
      </c>
      <c r="E830" t="s">
        <v>1575</v>
      </c>
      <c r="F830">
        <v>375.02</v>
      </c>
      <c r="G830" t="s">
        <v>302</v>
      </c>
      <c r="H830">
        <v>13</v>
      </c>
      <c r="I830" t="s">
        <v>1576</v>
      </c>
      <c r="J830" t="s">
        <v>294</v>
      </c>
      <c r="M830" t="s">
        <v>295</v>
      </c>
      <c r="N830" t="s">
        <v>296</v>
      </c>
      <c r="O830" t="s">
        <v>297</v>
      </c>
    </row>
    <row r="831" spans="1:15" x14ac:dyDescent="0.3">
      <c r="A831" t="s">
        <v>1412</v>
      </c>
      <c r="B831" t="s">
        <v>1566</v>
      </c>
      <c r="C831">
        <v>2025</v>
      </c>
      <c r="D831" t="s">
        <v>300</v>
      </c>
      <c r="E831" t="s">
        <v>345</v>
      </c>
      <c r="F831">
        <v>11.62</v>
      </c>
      <c r="G831" t="s">
        <v>346</v>
      </c>
      <c r="H831">
        <v>13</v>
      </c>
      <c r="I831" t="s">
        <v>1577</v>
      </c>
      <c r="J831" t="s">
        <v>294</v>
      </c>
      <c r="M831" t="s">
        <v>295</v>
      </c>
      <c r="N831" t="s">
        <v>296</v>
      </c>
      <c r="O831" t="s">
        <v>297</v>
      </c>
    </row>
    <row r="832" spans="1:15" x14ac:dyDescent="0.3">
      <c r="A832" t="s">
        <v>1412</v>
      </c>
      <c r="B832" t="s">
        <v>1566</v>
      </c>
      <c r="C832">
        <v>2025</v>
      </c>
      <c r="D832" t="s">
        <v>300</v>
      </c>
      <c r="E832" t="s">
        <v>1429</v>
      </c>
      <c r="F832">
        <v>10176.15</v>
      </c>
      <c r="G832" t="s">
        <v>302</v>
      </c>
      <c r="H832">
        <v>11</v>
      </c>
      <c r="I832" t="s">
        <v>1578</v>
      </c>
      <c r="J832" t="s">
        <v>294</v>
      </c>
      <c r="M832" t="s">
        <v>295</v>
      </c>
      <c r="N832" t="s">
        <v>296</v>
      </c>
      <c r="O832" t="s">
        <v>297</v>
      </c>
    </row>
    <row r="833" spans="1:15" x14ac:dyDescent="0.3">
      <c r="A833" t="s">
        <v>1412</v>
      </c>
      <c r="B833" t="s">
        <v>1566</v>
      </c>
      <c r="C833">
        <v>2025</v>
      </c>
      <c r="D833" t="s">
        <v>300</v>
      </c>
      <c r="E833" t="s">
        <v>1427</v>
      </c>
      <c r="F833">
        <v>1737.16</v>
      </c>
      <c r="G833" t="s">
        <v>302</v>
      </c>
      <c r="H833">
        <v>11</v>
      </c>
      <c r="I833" t="s">
        <v>1579</v>
      </c>
      <c r="J833" t="s">
        <v>294</v>
      </c>
      <c r="M833" t="s">
        <v>295</v>
      </c>
      <c r="N833" t="s">
        <v>296</v>
      </c>
      <c r="O833" t="s">
        <v>297</v>
      </c>
    </row>
    <row r="834" spans="1:15" x14ac:dyDescent="0.3">
      <c r="A834" t="s">
        <v>1412</v>
      </c>
      <c r="B834" t="s">
        <v>1566</v>
      </c>
      <c r="C834">
        <v>2025</v>
      </c>
      <c r="D834" t="s">
        <v>300</v>
      </c>
      <c r="E834" t="s">
        <v>1512</v>
      </c>
      <c r="F834">
        <v>8438.99</v>
      </c>
      <c r="G834" t="s">
        <v>302</v>
      </c>
      <c r="H834">
        <v>11</v>
      </c>
      <c r="I834" t="s">
        <v>1580</v>
      </c>
      <c r="J834" t="s">
        <v>294</v>
      </c>
      <c r="M834" t="s">
        <v>295</v>
      </c>
      <c r="N834" t="s">
        <v>296</v>
      </c>
      <c r="O834" t="s">
        <v>297</v>
      </c>
    </row>
    <row r="835" spans="1:15" x14ac:dyDescent="0.3">
      <c r="A835" t="s">
        <v>1412</v>
      </c>
      <c r="B835" t="s">
        <v>1566</v>
      </c>
      <c r="C835">
        <v>2025</v>
      </c>
      <c r="D835" t="s">
        <v>300</v>
      </c>
      <c r="E835" t="s">
        <v>1581</v>
      </c>
      <c r="F835">
        <v>139.79</v>
      </c>
      <c r="G835" t="s">
        <v>302</v>
      </c>
      <c r="H835">
        <v>11</v>
      </c>
      <c r="I835" t="s">
        <v>1582</v>
      </c>
      <c r="J835" t="s">
        <v>294</v>
      </c>
      <c r="M835" t="s">
        <v>295</v>
      </c>
      <c r="N835" t="s">
        <v>296</v>
      </c>
      <c r="O835" t="s">
        <v>297</v>
      </c>
    </row>
    <row r="836" spans="1:15" x14ac:dyDescent="0.3">
      <c r="A836" t="s">
        <v>1412</v>
      </c>
      <c r="B836" t="s">
        <v>1566</v>
      </c>
      <c r="C836">
        <v>2025</v>
      </c>
      <c r="D836" t="s">
        <v>300</v>
      </c>
      <c r="E836" t="s">
        <v>1583</v>
      </c>
      <c r="F836">
        <v>500</v>
      </c>
      <c r="G836" t="s">
        <v>302</v>
      </c>
      <c r="H836">
        <v>11</v>
      </c>
      <c r="I836" t="s">
        <v>1584</v>
      </c>
      <c r="J836" t="s">
        <v>294</v>
      </c>
      <c r="M836" t="s">
        <v>295</v>
      </c>
      <c r="N836" t="s">
        <v>296</v>
      </c>
      <c r="O836" t="s">
        <v>297</v>
      </c>
    </row>
    <row r="837" spans="1:15" x14ac:dyDescent="0.3">
      <c r="A837" t="s">
        <v>1412</v>
      </c>
      <c r="B837" t="s">
        <v>1566</v>
      </c>
      <c r="C837">
        <v>2025</v>
      </c>
      <c r="D837" t="s">
        <v>300</v>
      </c>
      <c r="E837" t="s">
        <v>1523</v>
      </c>
      <c r="F837">
        <v>229.73</v>
      </c>
      <c r="G837" t="s">
        <v>302</v>
      </c>
      <c r="H837">
        <v>12</v>
      </c>
      <c r="I837" t="s">
        <v>1585</v>
      </c>
      <c r="J837" t="s">
        <v>294</v>
      </c>
      <c r="M837" t="s">
        <v>295</v>
      </c>
      <c r="N837" t="s">
        <v>296</v>
      </c>
      <c r="O837" t="s">
        <v>297</v>
      </c>
    </row>
    <row r="838" spans="1:15" x14ac:dyDescent="0.3">
      <c r="A838" t="s">
        <v>1412</v>
      </c>
      <c r="B838" t="s">
        <v>1566</v>
      </c>
      <c r="C838">
        <v>2025</v>
      </c>
      <c r="D838" t="s">
        <v>300</v>
      </c>
      <c r="E838" t="s">
        <v>1525</v>
      </c>
      <c r="F838">
        <v>602.92999999999995</v>
      </c>
      <c r="G838" t="s">
        <v>302</v>
      </c>
      <c r="H838">
        <v>12</v>
      </c>
      <c r="I838" t="s">
        <v>1586</v>
      </c>
      <c r="J838" t="s">
        <v>294</v>
      </c>
      <c r="M838" t="s">
        <v>295</v>
      </c>
      <c r="N838" t="s">
        <v>296</v>
      </c>
      <c r="O838" t="s">
        <v>297</v>
      </c>
    </row>
    <row r="839" spans="1:15" x14ac:dyDescent="0.3">
      <c r="A839" t="s">
        <v>1412</v>
      </c>
      <c r="B839" t="s">
        <v>1566</v>
      </c>
      <c r="C839">
        <v>2025</v>
      </c>
      <c r="D839" t="s">
        <v>300</v>
      </c>
      <c r="E839" t="s">
        <v>1527</v>
      </c>
      <c r="F839">
        <v>3109.85</v>
      </c>
      <c r="G839" t="s">
        <v>302</v>
      </c>
      <c r="H839">
        <v>12</v>
      </c>
      <c r="I839" t="s">
        <v>1587</v>
      </c>
      <c r="J839" t="s">
        <v>294</v>
      </c>
      <c r="M839" t="s">
        <v>295</v>
      </c>
      <c r="N839" t="s">
        <v>296</v>
      </c>
      <c r="O839" t="s">
        <v>297</v>
      </c>
    </row>
    <row r="840" spans="1:15" x14ac:dyDescent="0.3">
      <c r="A840" t="s">
        <v>1412</v>
      </c>
      <c r="B840" t="s">
        <v>1566</v>
      </c>
      <c r="C840">
        <v>2025</v>
      </c>
      <c r="D840" t="s">
        <v>300</v>
      </c>
      <c r="E840" t="s">
        <v>1588</v>
      </c>
      <c r="F840">
        <v>29.8</v>
      </c>
      <c r="G840" t="s">
        <v>302</v>
      </c>
      <c r="H840">
        <v>12</v>
      </c>
      <c r="I840" t="s">
        <v>1589</v>
      </c>
      <c r="J840" t="s">
        <v>294</v>
      </c>
      <c r="M840" t="s">
        <v>295</v>
      </c>
      <c r="N840" t="s">
        <v>296</v>
      </c>
      <c r="O840" t="s">
        <v>297</v>
      </c>
    </row>
    <row r="841" spans="1:15" x14ac:dyDescent="0.3">
      <c r="A841" t="s">
        <v>1412</v>
      </c>
      <c r="B841" t="s">
        <v>1566</v>
      </c>
      <c r="C841">
        <v>2025</v>
      </c>
      <c r="D841" t="s">
        <v>300</v>
      </c>
      <c r="E841" t="s">
        <v>1590</v>
      </c>
      <c r="F841">
        <v>62.18</v>
      </c>
      <c r="G841" t="s">
        <v>302</v>
      </c>
      <c r="H841">
        <v>12</v>
      </c>
      <c r="I841" t="s">
        <v>1591</v>
      </c>
      <c r="J841" t="s">
        <v>294</v>
      </c>
      <c r="M841" t="s">
        <v>295</v>
      </c>
      <c r="N841" t="s">
        <v>296</v>
      </c>
      <c r="O841" t="s">
        <v>297</v>
      </c>
    </row>
    <row r="842" spans="1:15" x14ac:dyDescent="0.3">
      <c r="A842" t="s">
        <v>1412</v>
      </c>
      <c r="B842" t="s">
        <v>1566</v>
      </c>
      <c r="C842">
        <v>2025</v>
      </c>
      <c r="D842" t="s">
        <v>300</v>
      </c>
      <c r="E842" t="s">
        <v>1435</v>
      </c>
      <c r="F842">
        <v>7349.04</v>
      </c>
      <c r="G842" t="s">
        <v>302</v>
      </c>
      <c r="H842">
        <v>12</v>
      </c>
      <c r="I842" t="s">
        <v>1592</v>
      </c>
      <c r="J842" t="s">
        <v>294</v>
      </c>
      <c r="M842" t="s">
        <v>295</v>
      </c>
      <c r="N842" t="s">
        <v>296</v>
      </c>
      <c r="O842" t="s">
        <v>297</v>
      </c>
    </row>
    <row r="843" spans="1:15" x14ac:dyDescent="0.3">
      <c r="A843" t="s">
        <v>1412</v>
      </c>
      <c r="B843" t="s">
        <v>1566</v>
      </c>
      <c r="C843">
        <v>2025</v>
      </c>
      <c r="D843" t="s">
        <v>300</v>
      </c>
      <c r="E843" t="s">
        <v>1437</v>
      </c>
      <c r="F843">
        <v>2827.11</v>
      </c>
      <c r="G843" t="s">
        <v>302</v>
      </c>
      <c r="H843">
        <v>12</v>
      </c>
      <c r="I843" t="s">
        <v>1593</v>
      </c>
      <c r="J843" t="s">
        <v>294</v>
      </c>
      <c r="M843" t="s">
        <v>295</v>
      </c>
      <c r="N843" t="s">
        <v>296</v>
      </c>
      <c r="O843" t="s">
        <v>297</v>
      </c>
    </row>
    <row r="844" spans="1:15" x14ac:dyDescent="0.3">
      <c r="A844" t="s">
        <v>1412</v>
      </c>
      <c r="B844" t="s">
        <v>1566</v>
      </c>
      <c r="C844">
        <v>2025</v>
      </c>
      <c r="D844" t="s">
        <v>300</v>
      </c>
      <c r="E844" t="s">
        <v>1594</v>
      </c>
      <c r="F844">
        <v>-3707.95</v>
      </c>
      <c r="G844" t="s">
        <v>302</v>
      </c>
      <c r="H844">
        <v>12</v>
      </c>
      <c r="I844" t="s">
        <v>1595</v>
      </c>
      <c r="J844" t="s">
        <v>294</v>
      </c>
      <c r="M844" t="s">
        <v>295</v>
      </c>
      <c r="N844" t="s">
        <v>296</v>
      </c>
      <c r="O844" t="s">
        <v>297</v>
      </c>
    </row>
    <row r="845" spans="1:15" x14ac:dyDescent="0.3">
      <c r="A845" t="s">
        <v>1412</v>
      </c>
      <c r="B845" t="s">
        <v>1566</v>
      </c>
      <c r="C845">
        <v>2025</v>
      </c>
      <c r="D845" t="s">
        <v>300</v>
      </c>
      <c r="E845" t="s">
        <v>601</v>
      </c>
      <c r="F845">
        <v>1340.73</v>
      </c>
      <c r="G845" t="s">
        <v>302</v>
      </c>
      <c r="H845">
        <v>15</v>
      </c>
      <c r="I845" t="s">
        <v>1596</v>
      </c>
      <c r="J845" t="s">
        <v>294</v>
      </c>
      <c r="M845" t="s">
        <v>295</v>
      </c>
      <c r="N845" t="s">
        <v>296</v>
      </c>
      <c r="O845" t="s">
        <v>297</v>
      </c>
    </row>
    <row r="846" spans="1:15" x14ac:dyDescent="0.3">
      <c r="A846" t="s">
        <v>1412</v>
      </c>
      <c r="B846" t="s">
        <v>1566</v>
      </c>
      <c r="C846">
        <v>2025</v>
      </c>
      <c r="D846" t="s">
        <v>300</v>
      </c>
      <c r="E846" t="s">
        <v>1597</v>
      </c>
      <c r="F846">
        <v>331.04</v>
      </c>
      <c r="G846" t="s">
        <v>302</v>
      </c>
      <c r="H846">
        <v>15</v>
      </c>
      <c r="I846" t="s">
        <v>1598</v>
      </c>
      <c r="J846" t="s">
        <v>294</v>
      </c>
      <c r="M846" t="s">
        <v>295</v>
      </c>
      <c r="N846" t="s">
        <v>296</v>
      </c>
      <c r="O846" t="s">
        <v>297</v>
      </c>
    </row>
    <row r="847" spans="1:15" x14ac:dyDescent="0.3">
      <c r="A847" t="s">
        <v>1412</v>
      </c>
      <c r="B847" t="s">
        <v>1566</v>
      </c>
      <c r="C847">
        <v>2025</v>
      </c>
      <c r="D847" t="s">
        <v>300</v>
      </c>
      <c r="E847" t="s">
        <v>1534</v>
      </c>
      <c r="F847">
        <v>175.54</v>
      </c>
      <c r="G847" t="s">
        <v>302</v>
      </c>
      <c r="H847">
        <v>16</v>
      </c>
      <c r="I847" t="s">
        <v>1599</v>
      </c>
      <c r="J847" t="s">
        <v>294</v>
      </c>
      <c r="M847" t="s">
        <v>295</v>
      </c>
      <c r="N847" t="s">
        <v>296</v>
      </c>
      <c r="O847" t="s">
        <v>297</v>
      </c>
    </row>
    <row r="848" spans="1:15" x14ac:dyDescent="0.3">
      <c r="A848" t="s">
        <v>1412</v>
      </c>
      <c r="B848" t="s">
        <v>1566</v>
      </c>
      <c r="C848">
        <v>2025</v>
      </c>
      <c r="D848" t="s">
        <v>300</v>
      </c>
      <c r="E848" t="s">
        <v>1600</v>
      </c>
      <c r="F848">
        <v>425.28</v>
      </c>
      <c r="G848" t="s">
        <v>302</v>
      </c>
      <c r="H848">
        <v>13</v>
      </c>
      <c r="I848" t="s">
        <v>1601</v>
      </c>
      <c r="J848" t="s">
        <v>294</v>
      </c>
      <c r="M848" t="s">
        <v>295</v>
      </c>
      <c r="N848" t="s">
        <v>296</v>
      </c>
      <c r="O848" t="s">
        <v>297</v>
      </c>
    </row>
    <row r="849" spans="1:15" x14ac:dyDescent="0.3">
      <c r="A849" t="s">
        <v>1412</v>
      </c>
      <c r="B849" t="s">
        <v>1566</v>
      </c>
      <c r="C849">
        <v>2025</v>
      </c>
      <c r="D849" t="s">
        <v>300</v>
      </c>
      <c r="E849" t="s">
        <v>1602</v>
      </c>
      <c r="F849">
        <v>-396.73</v>
      </c>
      <c r="G849" t="s">
        <v>302</v>
      </c>
      <c r="H849">
        <v>13</v>
      </c>
      <c r="I849" t="s">
        <v>1603</v>
      </c>
      <c r="J849" t="s">
        <v>294</v>
      </c>
      <c r="M849" t="s">
        <v>295</v>
      </c>
      <c r="N849" t="s">
        <v>296</v>
      </c>
      <c r="O849" t="s">
        <v>297</v>
      </c>
    </row>
    <row r="850" spans="1:15" x14ac:dyDescent="0.3">
      <c r="A850" t="s">
        <v>1412</v>
      </c>
      <c r="B850" t="s">
        <v>1566</v>
      </c>
      <c r="C850">
        <v>2025</v>
      </c>
      <c r="D850" t="s">
        <v>300</v>
      </c>
      <c r="E850" t="s">
        <v>1604</v>
      </c>
      <c r="F850">
        <v>5041.4399999999996</v>
      </c>
      <c r="G850" t="s">
        <v>302</v>
      </c>
      <c r="H850">
        <v>34</v>
      </c>
      <c r="I850" t="s">
        <v>1605</v>
      </c>
      <c r="J850" t="s">
        <v>294</v>
      </c>
      <c r="M850" t="s">
        <v>295</v>
      </c>
      <c r="N850" t="s">
        <v>296</v>
      </c>
      <c r="O850" t="s">
        <v>297</v>
      </c>
    </row>
    <row r="851" spans="1:15" x14ac:dyDescent="0.3">
      <c r="A851" t="s">
        <v>1412</v>
      </c>
      <c r="B851" t="s">
        <v>1566</v>
      </c>
      <c r="C851">
        <v>2025</v>
      </c>
      <c r="D851" t="s">
        <v>300</v>
      </c>
      <c r="E851" t="s">
        <v>1606</v>
      </c>
      <c r="F851">
        <v>664.15</v>
      </c>
      <c r="G851" t="s">
        <v>302</v>
      </c>
      <c r="H851">
        <v>34</v>
      </c>
      <c r="I851" t="s">
        <v>1607</v>
      </c>
      <c r="J851" t="s">
        <v>294</v>
      </c>
      <c r="M851" t="s">
        <v>295</v>
      </c>
      <c r="N851" t="s">
        <v>296</v>
      </c>
      <c r="O851" t="s">
        <v>297</v>
      </c>
    </row>
    <row r="852" spans="1:15" x14ac:dyDescent="0.3">
      <c r="A852" t="s">
        <v>1412</v>
      </c>
      <c r="B852" t="s">
        <v>1566</v>
      </c>
      <c r="C852">
        <v>2025</v>
      </c>
      <c r="D852" t="s">
        <v>300</v>
      </c>
      <c r="E852" t="s">
        <v>1608</v>
      </c>
      <c r="F852">
        <v>55.7</v>
      </c>
      <c r="G852" t="s">
        <v>302</v>
      </c>
      <c r="H852">
        <v>34</v>
      </c>
      <c r="I852" t="s">
        <v>1609</v>
      </c>
      <c r="J852" t="s">
        <v>294</v>
      </c>
      <c r="M852" t="s">
        <v>295</v>
      </c>
      <c r="N852" t="s">
        <v>296</v>
      </c>
      <c r="O852" t="s">
        <v>297</v>
      </c>
    </row>
    <row r="853" spans="1:15" x14ac:dyDescent="0.3">
      <c r="A853" t="s">
        <v>1412</v>
      </c>
      <c r="B853" t="s">
        <v>1566</v>
      </c>
      <c r="C853">
        <v>2025</v>
      </c>
      <c r="D853" t="s">
        <v>300</v>
      </c>
      <c r="E853" t="s">
        <v>1610</v>
      </c>
      <c r="F853">
        <v>2398.2600000000002</v>
      </c>
      <c r="G853" t="s">
        <v>302</v>
      </c>
      <c r="H853">
        <v>34</v>
      </c>
      <c r="I853" t="s">
        <v>1611</v>
      </c>
      <c r="J853" t="s">
        <v>294</v>
      </c>
      <c r="M853" t="s">
        <v>295</v>
      </c>
      <c r="N853" t="s">
        <v>296</v>
      </c>
      <c r="O853" t="s">
        <v>297</v>
      </c>
    </row>
    <row r="854" spans="1:15" x14ac:dyDescent="0.3">
      <c r="A854" t="s">
        <v>1412</v>
      </c>
      <c r="B854" t="s">
        <v>1566</v>
      </c>
      <c r="C854">
        <v>2025</v>
      </c>
      <c r="D854" t="s">
        <v>358</v>
      </c>
      <c r="E854" t="s">
        <v>1465</v>
      </c>
      <c r="F854">
        <v>74339</v>
      </c>
      <c r="G854" t="s">
        <v>360</v>
      </c>
      <c r="H854">
        <v>16</v>
      </c>
      <c r="I854" t="s">
        <v>1612</v>
      </c>
      <c r="J854" t="s">
        <v>294</v>
      </c>
      <c r="M854" t="s">
        <v>295</v>
      </c>
      <c r="N854" t="s">
        <v>296</v>
      </c>
      <c r="O854" t="s">
        <v>297</v>
      </c>
    </row>
    <row r="855" spans="1:15" x14ac:dyDescent="0.3">
      <c r="A855" t="s">
        <v>1412</v>
      </c>
      <c r="B855" t="s">
        <v>1566</v>
      </c>
      <c r="C855">
        <v>2025</v>
      </c>
      <c r="D855" t="s">
        <v>272</v>
      </c>
      <c r="E855" t="s">
        <v>1613</v>
      </c>
      <c r="F855" t="s">
        <v>1614</v>
      </c>
      <c r="G855" t="s">
        <v>1312</v>
      </c>
      <c r="H855">
        <v>17</v>
      </c>
      <c r="I855" t="s">
        <v>1615</v>
      </c>
      <c r="J855" t="s">
        <v>294</v>
      </c>
      <c r="M855" t="s">
        <v>295</v>
      </c>
      <c r="N855" t="s">
        <v>296</v>
      </c>
      <c r="O855" t="s">
        <v>297</v>
      </c>
    </row>
    <row r="856" spans="1:15" x14ac:dyDescent="0.3">
      <c r="A856" t="s">
        <v>1412</v>
      </c>
      <c r="B856" t="s">
        <v>1566</v>
      </c>
      <c r="C856">
        <v>2025</v>
      </c>
      <c r="D856" t="s">
        <v>272</v>
      </c>
      <c r="E856" t="s">
        <v>1616</v>
      </c>
      <c r="F856" t="s">
        <v>1617</v>
      </c>
      <c r="G856" t="s">
        <v>1552</v>
      </c>
      <c r="H856">
        <v>18</v>
      </c>
      <c r="I856" t="s">
        <v>1618</v>
      </c>
      <c r="J856" t="s">
        <v>294</v>
      </c>
      <c r="M856" t="s">
        <v>295</v>
      </c>
      <c r="N856" t="s">
        <v>296</v>
      </c>
      <c r="O856" t="s">
        <v>297</v>
      </c>
    </row>
    <row r="857" spans="1:15" x14ac:dyDescent="0.3">
      <c r="A857" t="s">
        <v>1412</v>
      </c>
      <c r="B857" t="s">
        <v>1566</v>
      </c>
      <c r="C857">
        <v>2025</v>
      </c>
      <c r="D857" t="s">
        <v>272</v>
      </c>
      <c r="E857" t="s">
        <v>1619</v>
      </c>
      <c r="F857" t="s">
        <v>1620</v>
      </c>
      <c r="G857" t="s">
        <v>1552</v>
      </c>
      <c r="H857">
        <v>19</v>
      </c>
      <c r="I857" t="s">
        <v>1621</v>
      </c>
      <c r="J857" t="s">
        <v>294</v>
      </c>
      <c r="M857" t="s">
        <v>295</v>
      </c>
      <c r="N857" t="s">
        <v>296</v>
      </c>
      <c r="O857" t="s">
        <v>297</v>
      </c>
    </row>
    <row r="858" spans="1:15" x14ac:dyDescent="0.3">
      <c r="A858" t="s">
        <v>1412</v>
      </c>
      <c r="B858" t="s">
        <v>1566</v>
      </c>
      <c r="C858">
        <v>2025</v>
      </c>
      <c r="D858" t="s">
        <v>272</v>
      </c>
      <c r="E858" t="s">
        <v>1622</v>
      </c>
      <c r="F858" t="s">
        <v>1623</v>
      </c>
      <c r="G858" t="s">
        <v>1552</v>
      </c>
      <c r="H858">
        <v>18</v>
      </c>
      <c r="I858" t="s">
        <v>1624</v>
      </c>
      <c r="J858" t="s">
        <v>456</v>
      </c>
      <c r="M858" t="s">
        <v>295</v>
      </c>
      <c r="N858" t="s">
        <v>296</v>
      </c>
      <c r="O858" t="s">
        <v>297</v>
      </c>
    </row>
    <row r="859" spans="1:15" x14ac:dyDescent="0.3">
      <c r="A859" t="s">
        <v>1625</v>
      </c>
      <c r="B859" t="s">
        <v>1626</v>
      </c>
      <c r="C859">
        <v>2023</v>
      </c>
      <c r="D859" t="s">
        <v>272</v>
      </c>
      <c r="E859" t="s">
        <v>1627</v>
      </c>
      <c r="F859" t="s">
        <v>1628</v>
      </c>
      <c r="G859" t="s">
        <v>666</v>
      </c>
      <c r="H859">
        <v>12</v>
      </c>
      <c r="I859" t="s">
        <v>1629</v>
      </c>
      <c r="J859" t="s">
        <v>294</v>
      </c>
      <c r="M859" t="s">
        <v>295</v>
      </c>
      <c r="N859" t="s">
        <v>296</v>
      </c>
      <c r="O859" t="s">
        <v>297</v>
      </c>
    </row>
    <row r="860" spans="1:15" x14ac:dyDescent="0.3">
      <c r="A860" t="s">
        <v>1625</v>
      </c>
      <c r="B860" t="s">
        <v>1626</v>
      </c>
      <c r="C860">
        <v>2023</v>
      </c>
      <c r="D860" t="s">
        <v>272</v>
      </c>
      <c r="E860" t="s">
        <v>1630</v>
      </c>
      <c r="F860" t="s">
        <v>1631</v>
      </c>
      <c r="G860" t="s">
        <v>292</v>
      </c>
      <c r="H860">
        <v>70</v>
      </c>
      <c r="I860" t="s">
        <v>1632</v>
      </c>
      <c r="J860" t="s">
        <v>294</v>
      </c>
      <c r="M860" t="s">
        <v>295</v>
      </c>
      <c r="N860" t="s">
        <v>296</v>
      </c>
      <c r="O860" t="s">
        <v>297</v>
      </c>
    </row>
    <row r="861" spans="1:15" x14ac:dyDescent="0.3">
      <c r="A861" t="s">
        <v>1625</v>
      </c>
      <c r="B861" t="s">
        <v>1626</v>
      </c>
      <c r="C861">
        <v>2023</v>
      </c>
      <c r="D861" t="s">
        <v>272</v>
      </c>
      <c r="E861" t="s">
        <v>1395</v>
      </c>
      <c r="F861">
        <v>3125000000</v>
      </c>
      <c r="G861" t="s">
        <v>1633</v>
      </c>
      <c r="H861">
        <v>215</v>
      </c>
      <c r="I861" t="s">
        <v>1634</v>
      </c>
      <c r="J861" t="s">
        <v>294</v>
      </c>
      <c r="M861" t="s">
        <v>295</v>
      </c>
      <c r="N861" t="s">
        <v>296</v>
      </c>
      <c r="O861" t="s">
        <v>297</v>
      </c>
    </row>
    <row r="862" spans="1:15" x14ac:dyDescent="0.3">
      <c r="A862" t="s">
        <v>1625</v>
      </c>
      <c r="B862" t="s">
        <v>1626</v>
      </c>
      <c r="C862">
        <v>2023</v>
      </c>
      <c r="D862" t="s">
        <v>272</v>
      </c>
      <c r="E862" t="s">
        <v>1635</v>
      </c>
      <c r="F862" t="s">
        <v>1636</v>
      </c>
      <c r="G862" t="s">
        <v>292</v>
      </c>
      <c r="H862">
        <v>67</v>
      </c>
      <c r="I862" t="s">
        <v>1637</v>
      </c>
      <c r="J862" t="s">
        <v>294</v>
      </c>
      <c r="M862" t="s">
        <v>295</v>
      </c>
      <c r="N862" t="s">
        <v>296</v>
      </c>
      <c r="O862" t="s">
        <v>297</v>
      </c>
    </row>
    <row r="863" spans="1:15" x14ac:dyDescent="0.3">
      <c r="A863" t="s">
        <v>1625</v>
      </c>
      <c r="B863" t="s">
        <v>1626</v>
      </c>
      <c r="C863">
        <v>2023</v>
      </c>
      <c r="D863" t="s">
        <v>300</v>
      </c>
      <c r="E863" t="s">
        <v>1638</v>
      </c>
      <c r="F863">
        <v>10319.437</v>
      </c>
      <c r="G863" t="s">
        <v>302</v>
      </c>
      <c r="H863">
        <v>10</v>
      </c>
      <c r="I863" t="s">
        <v>1639</v>
      </c>
      <c r="J863" t="s">
        <v>294</v>
      </c>
      <c r="M863" t="s">
        <v>295</v>
      </c>
      <c r="N863" t="s">
        <v>296</v>
      </c>
      <c r="O863" t="s">
        <v>297</v>
      </c>
    </row>
    <row r="864" spans="1:15" x14ac:dyDescent="0.3">
      <c r="A864" t="s">
        <v>1625</v>
      </c>
      <c r="B864" t="s">
        <v>1626</v>
      </c>
      <c r="C864">
        <v>2023</v>
      </c>
      <c r="D864" t="s">
        <v>300</v>
      </c>
      <c r="E864" t="s">
        <v>1640</v>
      </c>
      <c r="F864">
        <v>1314.5070000000001</v>
      </c>
      <c r="G864" t="s">
        <v>302</v>
      </c>
      <c r="H864">
        <v>10</v>
      </c>
      <c r="I864" t="s">
        <v>1641</v>
      </c>
      <c r="J864" t="s">
        <v>294</v>
      </c>
      <c r="M864" t="s">
        <v>295</v>
      </c>
      <c r="N864" t="s">
        <v>296</v>
      </c>
      <c r="O864" t="s">
        <v>297</v>
      </c>
    </row>
    <row r="865" spans="1:15" x14ac:dyDescent="0.3">
      <c r="A865" t="s">
        <v>1625</v>
      </c>
      <c r="B865" t="s">
        <v>1626</v>
      </c>
      <c r="C865">
        <v>2023</v>
      </c>
      <c r="D865" t="s">
        <v>300</v>
      </c>
      <c r="E865" t="s">
        <v>1642</v>
      </c>
      <c r="F865">
        <v>311.75900000000001</v>
      </c>
      <c r="G865" t="s">
        <v>302</v>
      </c>
      <c r="H865">
        <v>10</v>
      </c>
      <c r="I865" t="s">
        <v>1643</v>
      </c>
      <c r="J865" t="s">
        <v>294</v>
      </c>
      <c r="M865" t="s">
        <v>295</v>
      </c>
      <c r="N865" t="s">
        <v>296</v>
      </c>
      <c r="O865" t="s">
        <v>297</v>
      </c>
    </row>
    <row r="866" spans="1:15" x14ac:dyDescent="0.3">
      <c r="A866" t="s">
        <v>1625</v>
      </c>
      <c r="B866" t="s">
        <v>1626</v>
      </c>
      <c r="C866">
        <v>2023</v>
      </c>
      <c r="D866" t="s">
        <v>300</v>
      </c>
      <c r="E866" t="s">
        <v>1644</v>
      </c>
      <c r="F866">
        <v>144.24199999999999</v>
      </c>
      <c r="G866" t="s">
        <v>302</v>
      </c>
      <c r="H866">
        <v>10</v>
      </c>
      <c r="I866" t="s">
        <v>1645</v>
      </c>
      <c r="J866" t="s">
        <v>294</v>
      </c>
      <c r="M866" t="s">
        <v>295</v>
      </c>
      <c r="N866" t="s">
        <v>296</v>
      </c>
      <c r="O866" t="s">
        <v>297</v>
      </c>
    </row>
    <row r="867" spans="1:15" x14ac:dyDescent="0.3">
      <c r="A867" t="s">
        <v>1625</v>
      </c>
      <c r="B867" t="s">
        <v>1626</v>
      </c>
      <c r="C867">
        <v>2023</v>
      </c>
      <c r="D867" t="s">
        <v>300</v>
      </c>
      <c r="E867" t="s">
        <v>1646</v>
      </c>
      <c r="F867">
        <v>46.16</v>
      </c>
      <c r="G867" t="s">
        <v>916</v>
      </c>
      <c r="H867">
        <v>10</v>
      </c>
      <c r="I867" t="s">
        <v>1647</v>
      </c>
      <c r="J867" t="s">
        <v>294</v>
      </c>
      <c r="M867" t="s">
        <v>295</v>
      </c>
      <c r="N867" t="s">
        <v>296</v>
      </c>
      <c r="O867" t="s">
        <v>297</v>
      </c>
    </row>
    <row r="868" spans="1:15" x14ac:dyDescent="0.3">
      <c r="A868" t="s">
        <v>1625</v>
      </c>
      <c r="B868" t="s">
        <v>1626</v>
      </c>
      <c r="C868">
        <v>2023</v>
      </c>
      <c r="D868" t="s">
        <v>300</v>
      </c>
      <c r="E868" t="s">
        <v>1648</v>
      </c>
      <c r="F868">
        <v>4336.1940000000004</v>
      </c>
      <c r="G868" t="s">
        <v>302</v>
      </c>
      <c r="H868">
        <v>10</v>
      </c>
      <c r="I868" t="s">
        <v>1649</v>
      </c>
      <c r="J868" t="s">
        <v>294</v>
      </c>
      <c r="M868" t="s">
        <v>295</v>
      </c>
      <c r="N868" t="s">
        <v>296</v>
      </c>
      <c r="O868" t="s">
        <v>297</v>
      </c>
    </row>
    <row r="869" spans="1:15" x14ac:dyDescent="0.3">
      <c r="A869" t="s">
        <v>1625</v>
      </c>
      <c r="B869" t="s">
        <v>1626</v>
      </c>
      <c r="C869">
        <v>2023</v>
      </c>
      <c r="D869" t="s">
        <v>300</v>
      </c>
      <c r="E869" t="s">
        <v>1650</v>
      </c>
      <c r="F869">
        <v>3925.96</v>
      </c>
      <c r="G869" t="s">
        <v>302</v>
      </c>
      <c r="H869">
        <v>10</v>
      </c>
      <c r="I869" t="s">
        <v>1651</v>
      </c>
      <c r="J869" t="s">
        <v>294</v>
      </c>
      <c r="M869" t="s">
        <v>295</v>
      </c>
      <c r="N869" t="s">
        <v>296</v>
      </c>
      <c r="O869" t="s">
        <v>297</v>
      </c>
    </row>
    <row r="870" spans="1:15" x14ac:dyDescent="0.3">
      <c r="A870" t="s">
        <v>1625</v>
      </c>
      <c r="B870" t="s">
        <v>1626</v>
      </c>
      <c r="C870">
        <v>2023</v>
      </c>
      <c r="D870" t="s">
        <v>300</v>
      </c>
      <c r="E870" t="s">
        <v>1652</v>
      </c>
      <c r="F870">
        <v>410.23399999999998</v>
      </c>
      <c r="G870" t="s">
        <v>302</v>
      </c>
      <c r="H870">
        <v>10</v>
      </c>
      <c r="I870" t="s">
        <v>1653</v>
      </c>
      <c r="J870" t="s">
        <v>294</v>
      </c>
      <c r="M870" t="s">
        <v>295</v>
      </c>
      <c r="N870" t="s">
        <v>296</v>
      </c>
      <c r="O870" t="s">
        <v>297</v>
      </c>
    </row>
    <row r="871" spans="1:15" x14ac:dyDescent="0.3">
      <c r="A871" t="s">
        <v>1625</v>
      </c>
      <c r="B871" t="s">
        <v>1626</v>
      </c>
      <c r="C871">
        <v>2023</v>
      </c>
      <c r="D871" t="s">
        <v>300</v>
      </c>
      <c r="E871" t="s">
        <v>1654</v>
      </c>
      <c r="F871">
        <v>3433.7779999999998</v>
      </c>
      <c r="G871" t="s">
        <v>302</v>
      </c>
      <c r="H871">
        <v>10</v>
      </c>
      <c r="I871" t="s">
        <v>1655</v>
      </c>
      <c r="J871" t="s">
        <v>294</v>
      </c>
      <c r="M871" t="s">
        <v>295</v>
      </c>
      <c r="N871" t="s">
        <v>296</v>
      </c>
      <c r="O871" t="s">
        <v>297</v>
      </c>
    </row>
    <row r="872" spans="1:15" x14ac:dyDescent="0.3">
      <c r="A872" t="s">
        <v>1625</v>
      </c>
      <c r="B872" t="s">
        <v>1626</v>
      </c>
      <c r="C872">
        <v>2023</v>
      </c>
      <c r="D872" t="s">
        <v>300</v>
      </c>
      <c r="E872" t="s">
        <v>1656</v>
      </c>
      <c r="F872">
        <v>2659.6590000000001</v>
      </c>
      <c r="G872" t="s">
        <v>302</v>
      </c>
      <c r="H872">
        <v>10</v>
      </c>
      <c r="I872" t="s">
        <v>1657</v>
      </c>
      <c r="J872" t="s">
        <v>294</v>
      </c>
      <c r="M872" t="s">
        <v>295</v>
      </c>
      <c r="N872" t="s">
        <v>296</v>
      </c>
      <c r="O872" t="s">
        <v>297</v>
      </c>
    </row>
    <row r="873" spans="1:15" x14ac:dyDescent="0.3">
      <c r="A873" t="s">
        <v>1625</v>
      </c>
      <c r="B873" t="s">
        <v>1626</v>
      </c>
      <c r="C873">
        <v>2023</v>
      </c>
      <c r="D873" t="s">
        <v>300</v>
      </c>
      <c r="E873" t="s">
        <v>1658</v>
      </c>
      <c r="F873">
        <v>774.11900000000003</v>
      </c>
      <c r="G873" t="s">
        <v>302</v>
      </c>
      <c r="H873">
        <v>10</v>
      </c>
      <c r="I873" t="s">
        <v>1659</v>
      </c>
      <c r="J873" t="s">
        <v>294</v>
      </c>
      <c r="M873" t="s">
        <v>295</v>
      </c>
      <c r="N873" t="s">
        <v>296</v>
      </c>
      <c r="O873" t="s">
        <v>297</v>
      </c>
    </row>
    <row r="874" spans="1:15" x14ac:dyDescent="0.3">
      <c r="A874" t="s">
        <v>1625</v>
      </c>
      <c r="B874" t="s">
        <v>1626</v>
      </c>
      <c r="C874">
        <v>2023</v>
      </c>
      <c r="D874" t="s">
        <v>300</v>
      </c>
      <c r="E874" t="s">
        <v>1660</v>
      </c>
      <c r="F874">
        <v>902.41600000000005</v>
      </c>
      <c r="G874" t="s">
        <v>302</v>
      </c>
      <c r="H874">
        <v>10</v>
      </c>
      <c r="I874" t="s">
        <v>1661</v>
      </c>
      <c r="J874" t="s">
        <v>294</v>
      </c>
      <c r="M874" t="s">
        <v>295</v>
      </c>
      <c r="N874" t="s">
        <v>296</v>
      </c>
      <c r="O874" t="s">
        <v>297</v>
      </c>
    </row>
    <row r="875" spans="1:15" x14ac:dyDescent="0.3">
      <c r="A875" t="s">
        <v>1625</v>
      </c>
      <c r="B875" t="s">
        <v>1626</v>
      </c>
      <c r="C875">
        <v>2023</v>
      </c>
      <c r="D875" t="s">
        <v>300</v>
      </c>
      <c r="E875" t="s">
        <v>1662</v>
      </c>
      <c r="F875">
        <v>304.93200000000002</v>
      </c>
      <c r="G875" t="s">
        <v>302</v>
      </c>
      <c r="H875">
        <v>214</v>
      </c>
      <c r="I875" t="s">
        <v>1663</v>
      </c>
      <c r="J875" t="s">
        <v>294</v>
      </c>
      <c r="M875" t="s">
        <v>295</v>
      </c>
      <c r="N875" t="s">
        <v>296</v>
      </c>
      <c r="O875" t="s">
        <v>297</v>
      </c>
    </row>
    <row r="876" spans="1:15" x14ac:dyDescent="0.3">
      <c r="A876" t="s">
        <v>1625</v>
      </c>
      <c r="B876" t="s">
        <v>1626</v>
      </c>
      <c r="C876">
        <v>2023</v>
      </c>
      <c r="D876" t="s">
        <v>300</v>
      </c>
      <c r="E876" t="s">
        <v>1664</v>
      </c>
      <c r="F876">
        <v>2138.4609999999998</v>
      </c>
      <c r="G876" t="s">
        <v>302</v>
      </c>
      <c r="H876">
        <v>215</v>
      </c>
      <c r="I876" t="s">
        <v>1665</v>
      </c>
      <c r="J876" t="s">
        <v>294</v>
      </c>
      <c r="M876" t="s">
        <v>295</v>
      </c>
      <c r="N876" t="s">
        <v>296</v>
      </c>
      <c r="O876" t="s">
        <v>297</v>
      </c>
    </row>
    <row r="877" spans="1:15" x14ac:dyDescent="0.3">
      <c r="A877" t="s">
        <v>1625</v>
      </c>
      <c r="B877" t="s">
        <v>1626</v>
      </c>
      <c r="C877">
        <v>2023</v>
      </c>
      <c r="D877" t="s">
        <v>300</v>
      </c>
      <c r="E877" t="s">
        <v>1666</v>
      </c>
      <c r="F877">
        <v>769.178</v>
      </c>
      <c r="G877" t="s">
        <v>302</v>
      </c>
      <c r="H877">
        <v>215</v>
      </c>
      <c r="I877" t="s">
        <v>1667</v>
      </c>
      <c r="J877" t="s">
        <v>294</v>
      </c>
      <c r="M877" t="s">
        <v>295</v>
      </c>
      <c r="N877" t="s">
        <v>296</v>
      </c>
      <c r="O877" t="s">
        <v>297</v>
      </c>
    </row>
    <row r="878" spans="1:15" x14ac:dyDescent="0.3">
      <c r="A878" t="s">
        <v>1625</v>
      </c>
      <c r="B878" t="s">
        <v>1626</v>
      </c>
      <c r="C878">
        <v>2023</v>
      </c>
      <c r="D878" t="s">
        <v>300</v>
      </c>
      <c r="E878" t="s">
        <v>1668</v>
      </c>
      <c r="F878">
        <v>79.83</v>
      </c>
      <c r="G878" t="s">
        <v>302</v>
      </c>
      <c r="H878">
        <v>215</v>
      </c>
      <c r="I878" t="s">
        <v>1669</v>
      </c>
      <c r="J878" t="s">
        <v>294</v>
      </c>
      <c r="M878" t="s">
        <v>295</v>
      </c>
      <c r="N878" t="s">
        <v>296</v>
      </c>
      <c r="O878" t="s">
        <v>297</v>
      </c>
    </row>
    <row r="879" spans="1:15" x14ac:dyDescent="0.3">
      <c r="A879" t="s">
        <v>1625</v>
      </c>
      <c r="B879" t="s">
        <v>1626</v>
      </c>
      <c r="C879">
        <v>2023</v>
      </c>
      <c r="D879" t="s">
        <v>300</v>
      </c>
      <c r="E879" t="s">
        <v>1670</v>
      </c>
      <c r="F879">
        <v>-384.36799999999999</v>
      </c>
      <c r="G879" t="s">
        <v>302</v>
      </c>
      <c r="H879">
        <v>218</v>
      </c>
      <c r="I879" t="s">
        <v>1671</v>
      </c>
      <c r="J879" t="s">
        <v>294</v>
      </c>
      <c r="M879" t="s">
        <v>295</v>
      </c>
      <c r="N879" t="s">
        <v>296</v>
      </c>
      <c r="O879" t="s">
        <v>297</v>
      </c>
    </row>
    <row r="880" spans="1:15" x14ac:dyDescent="0.3">
      <c r="A880" t="s">
        <v>1625</v>
      </c>
      <c r="B880" t="s">
        <v>1626</v>
      </c>
      <c r="C880">
        <v>2023</v>
      </c>
      <c r="D880" t="s">
        <v>300</v>
      </c>
      <c r="E880" t="s">
        <v>1672</v>
      </c>
      <c r="F880">
        <v>-1963.1310000000001</v>
      </c>
      <c r="G880" t="s">
        <v>302</v>
      </c>
      <c r="H880">
        <v>218</v>
      </c>
      <c r="I880" t="s">
        <v>1673</v>
      </c>
      <c r="J880" t="s">
        <v>294</v>
      </c>
      <c r="M880" t="s">
        <v>295</v>
      </c>
      <c r="N880" t="s">
        <v>296</v>
      </c>
      <c r="O880" t="s">
        <v>297</v>
      </c>
    </row>
    <row r="881" spans="1:15" x14ac:dyDescent="0.3">
      <c r="A881" t="s">
        <v>1625</v>
      </c>
      <c r="B881" t="s">
        <v>1626</v>
      </c>
      <c r="C881">
        <v>2023</v>
      </c>
      <c r="D881" t="s">
        <v>300</v>
      </c>
      <c r="E881" t="s">
        <v>1674</v>
      </c>
      <c r="F881">
        <v>1792.462</v>
      </c>
      <c r="G881" t="s">
        <v>302</v>
      </c>
      <c r="H881">
        <v>218</v>
      </c>
      <c r="I881" t="s">
        <v>1675</v>
      </c>
      <c r="J881" t="s">
        <v>294</v>
      </c>
      <c r="M881" t="s">
        <v>295</v>
      </c>
      <c r="N881" t="s">
        <v>296</v>
      </c>
      <c r="O881" t="s">
        <v>297</v>
      </c>
    </row>
    <row r="882" spans="1:15" x14ac:dyDescent="0.3">
      <c r="A882" t="s">
        <v>1625</v>
      </c>
      <c r="B882" t="s">
        <v>1626</v>
      </c>
      <c r="C882">
        <v>2023</v>
      </c>
      <c r="D882" t="s">
        <v>300</v>
      </c>
      <c r="E882" t="s">
        <v>1676</v>
      </c>
      <c r="F882">
        <v>19.183</v>
      </c>
      <c r="G882" t="s">
        <v>302</v>
      </c>
      <c r="H882">
        <v>218</v>
      </c>
      <c r="I882" t="s">
        <v>1677</v>
      </c>
      <c r="J882" t="s">
        <v>294</v>
      </c>
      <c r="M882" t="s">
        <v>295</v>
      </c>
      <c r="N882" t="s">
        <v>296</v>
      </c>
      <c r="O882" t="s">
        <v>297</v>
      </c>
    </row>
    <row r="883" spans="1:15" x14ac:dyDescent="0.3">
      <c r="A883" t="s">
        <v>1625</v>
      </c>
      <c r="B883" t="s">
        <v>1626</v>
      </c>
      <c r="C883">
        <v>2023</v>
      </c>
      <c r="D883" t="s">
        <v>300</v>
      </c>
      <c r="E883" t="s">
        <v>1678</v>
      </c>
      <c r="F883">
        <v>1765</v>
      </c>
      <c r="G883" t="s">
        <v>916</v>
      </c>
      <c r="H883">
        <v>12</v>
      </c>
      <c r="I883" t="s">
        <v>1679</v>
      </c>
      <c r="J883" t="s">
        <v>294</v>
      </c>
      <c r="M883" t="s">
        <v>295</v>
      </c>
      <c r="N883" t="s">
        <v>296</v>
      </c>
      <c r="O883" t="s">
        <v>297</v>
      </c>
    </row>
    <row r="884" spans="1:15" x14ac:dyDescent="0.3">
      <c r="A884" t="s">
        <v>1625</v>
      </c>
      <c r="B884" t="s">
        <v>1626</v>
      </c>
      <c r="C884">
        <v>2023</v>
      </c>
      <c r="D884" t="s">
        <v>300</v>
      </c>
      <c r="E884" t="s">
        <v>1680</v>
      </c>
      <c r="F884">
        <v>100</v>
      </c>
      <c r="G884" t="s">
        <v>916</v>
      </c>
      <c r="H884">
        <v>215</v>
      </c>
      <c r="I884" t="s">
        <v>1681</v>
      </c>
      <c r="J884" t="s">
        <v>294</v>
      </c>
      <c r="M884" t="s">
        <v>295</v>
      </c>
      <c r="N884" t="s">
        <v>296</v>
      </c>
      <c r="O884" t="s">
        <v>297</v>
      </c>
    </row>
    <row r="885" spans="1:15" x14ac:dyDescent="0.3">
      <c r="A885" t="s">
        <v>1625</v>
      </c>
      <c r="B885" t="s">
        <v>1626</v>
      </c>
      <c r="C885">
        <v>2023</v>
      </c>
      <c r="D885" t="s">
        <v>300</v>
      </c>
      <c r="E885" t="s">
        <v>1682</v>
      </c>
      <c r="F885">
        <v>41.286000000000001</v>
      </c>
      <c r="G885" t="s">
        <v>302</v>
      </c>
      <c r="I885" t="s">
        <v>1683</v>
      </c>
      <c r="J885" t="s">
        <v>456</v>
      </c>
      <c r="M885" t="s">
        <v>295</v>
      </c>
      <c r="N885" t="s">
        <v>296</v>
      </c>
      <c r="O885" t="s">
        <v>297</v>
      </c>
    </row>
    <row r="886" spans="1:15" x14ac:dyDescent="0.3">
      <c r="A886" t="s">
        <v>1625</v>
      </c>
      <c r="B886" t="s">
        <v>1626</v>
      </c>
      <c r="C886">
        <v>2023</v>
      </c>
      <c r="D886" t="s">
        <v>300</v>
      </c>
      <c r="E886" t="s">
        <v>1684</v>
      </c>
      <c r="F886">
        <v>0.86099999999999999</v>
      </c>
      <c r="G886" t="s">
        <v>302</v>
      </c>
      <c r="I886" t="s">
        <v>1685</v>
      </c>
      <c r="J886" t="s">
        <v>456</v>
      </c>
      <c r="M886" t="s">
        <v>295</v>
      </c>
      <c r="N886" t="s">
        <v>296</v>
      </c>
      <c r="O886" t="s">
        <v>297</v>
      </c>
    </row>
    <row r="887" spans="1:15" x14ac:dyDescent="0.3">
      <c r="A887" t="s">
        <v>1625</v>
      </c>
      <c r="B887" t="s">
        <v>1626</v>
      </c>
      <c r="C887">
        <v>2023</v>
      </c>
      <c r="D887" t="s">
        <v>300</v>
      </c>
      <c r="E887" t="s">
        <v>1686</v>
      </c>
      <c r="F887">
        <v>0</v>
      </c>
      <c r="G887" t="s">
        <v>302</v>
      </c>
      <c r="H887">
        <v>119</v>
      </c>
      <c r="I887" t="s">
        <v>1687</v>
      </c>
      <c r="J887" t="s">
        <v>294</v>
      </c>
      <c r="M887" t="s">
        <v>295</v>
      </c>
      <c r="N887" t="s">
        <v>296</v>
      </c>
      <c r="O887" t="s">
        <v>297</v>
      </c>
    </row>
    <row r="888" spans="1:15" x14ac:dyDescent="0.3">
      <c r="A888" t="s">
        <v>1625</v>
      </c>
      <c r="B888" t="s">
        <v>1626</v>
      </c>
      <c r="C888">
        <v>2023</v>
      </c>
      <c r="D888" t="s">
        <v>358</v>
      </c>
      <c r="E888" t="s">
        <v>1688</v>
      </c>
      <c r="F888">
        <v>2500</v>
      </c>
      <c r="G888" t="s">
        <v>1689</v>
      </c>
      <c r="H888">
        <v>103</v>
      </c>
      <c r="I888" t="s">
        <v>1690</v>
      </c>
      <c r="J888" t="s">
        <v>294</v>
      </c>
      <c r="M888" t="s">
        <v>295</v>
      </c>
      <c r="N888" t="s">
        <v>296</v>
      </c>
      <c r="O888" t="s">
        <v>297</v>
      </c>
    </row>
    <row r="889" spans="1:15" x14ac:dyDescent="0.3">
      <c r="A889" t="s">
        <v>1625</v>
      </c>
      <c r="B889" t="s">
        <v>1626</v>
      </c>
      <c r="C889">
        <v>2023</v>
      </c>
      <c r="D889" t="s">
        <v>358</v>
      </c>
      <c r="E889" t="s">
        <v>1691</v>
      </c>
      <c r="F889">
        <v>2500</v>
      </c>
      <c r="G889" t="s">
        <v>1689</v>
      </c>
      <c r="H889">
        <v>103</v>
      </c>
      <c r="I889" t="s">
        <v>1692</v>
      </c>
      <c r="J889" t="s">
        <v>294</v>
      </c>
      <c r="M889" t="s">
        <v>295</v>
      </c>
      <c r="N889" t="s">
        <v>296</v>
      </c>
      <c r="O889" t="s">
        <v>297</v>
      </c>
    </row>
    <row r="890" spans="1:15" x14ac:dyDescent="0.3">
      <c r="A890" t="s">
        <v>1625</v>
      </c>
      <c r="B890" t="s">
        <v>1626</v>
      </c>
      <c r="C890">
        <v>2023</v>
      </c>
      <c r="D890" t="s">
        <v>358</v>
      </c>
      <c r="E890" t="s">
        <v>1693</v>
      </c>
      <c r="F890">
        <v>600</v>
      </c>
      <c r="G890" t="s">
        <v>1689</v>
      </c>
      <c r="H890">
        <v>104</v>
      </c>
      <c r="I890" t="s">
        <v>1694</v>
      </c>
      <c r="J890" t="s">
        <v>294</v>
      </c>
      <c r="M890" t="s">
        <v>295</v>
      </c>
      <c r="N890" t="s">
        <v>296</v>
      </c>
      <c r="O890" t="s">
        <v>297</v>
      </c>
    </row>
    <row r="891" spans="1:15" x14ac:dyDescent="0.3">
      <c r="A891" t="s">
        <v>1625</v>
      </c>
      <c r="B891" t="s">
        <v>1626</v>
      </c>
      <c r="C891">
        <v>2023</v>
      </c>
      <c r="D891" t="s">
        <v>358</v>
      </c>
      <c r="E891" t="s">
        <v>1695</v>
      </c>
      <c r="F891">
        <v>28000</v>
      </c>
      <c r="G891" t="s">
        <v>1453</v>
      </c>
      <c r="H891">
        <v>103</v>
      </c>
      <c r="I891" t="s">
        <v>1696</v>
      </c>
      <c r="J891" t="s">
        <v>294</v>
      </c>
      <c r="M891" t="s">
        <v>295</v>
      </c>
      <c r="N891" t="s">
        <v>296</v>
      </c>
      <c r="O891" t="s">
        <v>297</v>
      </c>
    </row>
    <row r="892" spans="1:15" x14ac:dyDescent="0.3">
      <c r="A892" t="s">
        <v>1625</v>
      </c>
      <c r="B892" t="s">
        <v>1626</v>
      </c>
      <c r="C892">
        <v>2023</v>
      </c>
      <c r="D892" t="s">
        <v>358</v>
      </c>
      <c r="E892" t="s">
        <v>1697</v>
      </c>
      <c r="F892">
        <v>17000</v>
      </c>
      <c r="G892" t="s">
        <v>1453</v>
      </c>
      <c r="H892">
        <v>103</v>
      </c>
      <c r="I892" t="s">
        <v>1698</v>
      </c>
      <c r="J892" t="s">
        <v>294</v>
      </c>
      <c r="M892" t="s">
        <v>295</v>
      </c>
      <c r="N892" t="s">
        <v>296</v>
      </c>
      <c r="O892" t="s">
        <v>297</v>
      </c>
    </row>
    <row r="893" spans="1:15" x14ac:dyDescent="0.3">
      <c r="A893" t="s">
        <v>1625</v>
      </c>
      <c r="B893" t="s">
        <v>1626</v>
      </c>
      <c r="C893">
        <v>2023</v>
      </c>
      <c r="D893" t="s">
        <v>394</v>
      </c>
      <c r="E893" t="s">
        <v>1699</v>
      </c>
      <c r="F893">
        <v>0.95760000000000001</v>
      </c>
      <c r="G893" t="s">
        <v>1283</v>
      </c>
      <c r="H893">
        <v>103</v>
      </c>
      <c r="I893" t="s">
        <v>1700</v>
      </c>
      <c r="J893" t="s">
        <v>294</v>
      </c>
      <c r="M893" t="s">
        <v>295</v>
      </c>
      <c r="N893" t="s">
        <v>296</v>
      </c>
      <c r="O893" t="s">
        <v>297</v>
      </c>
    </row>
    <row r="894" spans="1:15" x14ac:dyDescent="0.3">
      <c r="A894" t="s">
        <v>1625</v>
      </c>
      <c r="B894" t="s">
        <v>1626</v>
      </c>
      <c r="C894">
        <v>2023</v>
      </c>
      <c r="D894" t="s">
        <v>394</v>
      </c>
      <c r="E894" t="s">
        <v>1701</v>
      </c>
      <c r="F894">
        <v>3.7600000000000001E-2</v>
      </c>
      <c r="G894" t="s">
        <v>1283</v>
      </c>
      <c r="H894">
        <v>103</v>
      </c>
      <c r="I894" t="s">
        <v>1702</v>
      </c>
      <c r="J894" t="s">
        <v>294</v>
      </c>
      <c r="M894" t="s">
        <v>295</v>
      </c>
      <c r="N894" t="s">
        <v>296</v>
      </c>
      <c r="O894" t="s">
        <v>297</v>
      </c>
    </row>
    <row r="895" spans="1:15" x14ac:dyDescent="0.3">
      <c r="A895" t="s">
        <v>1625</v>
      </c>
      <c r="B895" t="s">
        <v>1626</v>
      </c>
      <c r="C895">
        <v>2023</v>
      </c>
      <c r="D895" t="s">
        <v>394</v>
      </c>
      <c r="E895" t="s">
        <v>1703</v>
      </c>
      <c r="F895">
        <v>0.91769999999999996</v>
      </c>
      <c r="G895" t="s">
        <v>1283</v>
      </c>
      <c r="H895">
        <v>103</v>
      </c>
      <c r="I895" t="s">
        <v>1704</v>
      </c>
      <c r="J895" t="s">
        <v>294</v>
      </c>
      <c r="M895" t="s">
        <v>295</v>
      </c>
      <c r="N895" t="s">
        <v>296</v>
      </c>
      <c r="O895" t="s">
        <v>297</v>
      </c>
    </row>
    <row r="896" spans="1:15" x14ac:dyDescent="0.3">
      <c r="A896" t="s">
        <v>1625</v>
      </c>
      <c r="B896" t="s">
        <v>1626</v>
      </c>
      <c r="C896">
        <v>2023</v>
      </c>
      <c r="D896" t="s">
        <v>394</v>
      </c>
      <c r="E896" t="s">
        <v>1705</v>
      </c>
      <c r="F896">
        <v>0.81010000000000004</v>
      </c>
      <c r="G896" t="s">
        <v>1283</v>
      </c>
      <c r="H896">
        <v>103</v>
      </c>
      <c r="I896" t="s">
        <v>1706</v>
      </c>
      <c r="J896" t="s">
        <v>294</v>
      </c>
      <c r="M896" t="s">
        <v>295</v>
      </c>
      <c r="N896" t="s">
        <v>296</v>
      </c>
      <c r="O896" t="s">
        <v>297</v>
      </c>
    </row>
    <row r="897" spans="1:15" x14ac:dyDescent="0.3">
      <c r="A897" t="s">
        <v>1625</v>
      </c>
      <c r="B897" t="s">
        <v>1626</v>
      </c>
      <c r="C897">
        <v>2023</v>
      </c>
      <c r="D897" t="s">
        <v>394</v>
      </c>
      <c r="E897" t="s">
        <v>1707</v>
      </c>
      <c r="F897">
        <v>0.18990000000000001</v>
      </c>
      <c r="G897" t="s">
        <v>1283</v>
      </c>
      <c r="H897">
        <v>103</v>
      </c>
      <c r="I897" t="s">
        <v>1708</v>
      </c>
      <c r="J897" t="s">
        <v>294</v>
      </c>
      <c r="M897" t="s">
        <v>295</v>
      </c>
      <c r="N897" t="s">
        <v>296</v>
      </c>
      <c r="O897" t="s">
        <v>297</v>
      </c>
    </row>
    <row r="898" spans="1:15" x14ac:dyDescent="0.3">
      <c r="A898" t="s">
        <v>1625</v>
      </c>
      <c r="B898" t="s">
        <v>1626</v>
      </c>
      <c r="C898">
        <v>2023</v>
      </c>
      <c r="D898" t="s">
        <v>394</v>
      </c>
      <c r="E898" t="s">
        <v>1709</v>
      </c>
      <c r="F898">
        <v>780010</v>
      </c>
      <c r="G898" t="s">
        <v>1293</v>
      </c>
      <c r="H898">
        <v>118</v>
      </c>
      <c r="I898" t="s">
        <v>1710</v>
      </c>
      <c r="J898" t="s">
        <v>294</v>
      </c>
      <c r="M898" t="s">
        <v>295</v>
      </c>
      <c r="N898" t="s">
        <v>296</v>
      </c>
      <c r="O898" t="s">
        <v>297</v>
      </c>
    </row>
    <row r="899" spans="1:15" x14ac:dyDescent="0.3">
      <c r="A899" t="s">
        <v>1625</v>
      </c>
      <c r="B899" t="s">
        <v>1626</v>
      </c>
      <c r="C899">
        <v>2023</v>
      </c>
      <c r="D899" t="s">
        <v>394</v>
      </c>
      <c r="E899" t="s">
        <v>1711</v>
      </c>
      <c r="F899">
        <v>7296.8909999999996</v>
      </c>
      <c r="G899" t="s">
        <v>302</v>
      </c>
      <c r="H899">
        <v>107</v>
      </c>
      <c r="I899" t="s">
        <v>1712</v>
      </c>
      <c r="J899" t="s">
        <v>294</v>
      </c>
      <c r="M899" t="s">
        <v>295</v>
      </c>
      <c r="N899" t="s">
        <v>296</v>
      </c>
      <c r="O899" t="s">
        <v>297</v>
      </c>
    </row>
    <row r="900" spans="1:15" x14ac:dyDescent="0.3">
      <c r="A900" t="s">
        <v>1625</v>
      </c>
      <c r="B900" t="s">
        <v>1626</v>
      </c>
      <c r="C900">
        <v>2023</v>
      </c>
      <c r="D900" t="s">
        <v>394</v>
      </c>
      <c r="E900" t="s">
        <v>1713</v>
      </c>
      <c r="F900">
        <v>293.21300000000002</v>
      </c>
      <c r="G900" t="s">
        <v>302</v>
      </c>
      <c r="H900">
        <v>107</v>
      </c>
      <c r="I900" t="s">
        <v>1714</v>
      </c>
      <c r="J900" t="s">
        <v>294</v>
      </c>
      <c r="M900" t="s">
        <v>295</v>
      </c>
      <c r="N900" t="s">
        <v>296</v>
      </c>
      <c r="O900" t="s">
        <v>297</v>
      </c>
    </row>
    <row r="901" spans="1:15" x14ac:dyDescent="0.3">
      <c r="A901" t="s">
        <v>1625</v>
      </c>
      <c r="B901" t="s">
        <v>1626</v>
      </c>
      <c r="C901">
        <v>2023</v>
      </c>
      <c r="D901" t="s">
        <v>394</v>
      </c>
      <c r="E901" t="s">
        <v>1715</v>
      </c>
      <c r="F901">
        <v>1702.665</v>
      </c>
      <c r="G901" t="s">
        <v>302</v>
      </c>
      <c r="H901">
        <v>107</v>
      </c>
      <c r="I901" t="s">
        <v>1716</v>
      </c>
      <c r="J901" t="s">
        <v>294</v>
      </c>
      <c r="M901" t="s">
        <v>295</v>
      </c>
      <c r="N901" t="s">
        <v>296</v>
      </c>
      <c r="O901" t="s">
        <v>297</v>
      </c>
    </row>
    <row r="902" spans="1:15" x14ac:dyDescent="0.3">
      <c r="A902" t="s">
        <v>1625</v>
      </c>
      <c r="B902" t="s">
        <v>1626</v>
      </c>
      <c r="C902">
        <v>2023</v>
      </c>
      <c r="D902" t="s">
        <v>394</v>
      </c>
      <c r="E902" t="s">
        <v>1717</v>
      </c>
      <c r="F902">
        <v>285.99400000000003</v>
      </c>
      <c r="G902" t="s">
        <v>302</v>
      </c>
      <c r="H902">
        <v>107</v>
      </c>
      <c r="I902" t="s">
        <v>1718</v>
      </c>
      <c r="J902" t="s">
        <v>294</v>
      </c>
      <c r="M902" t="s">
        <v>295</v>
      </c>
      <c r="N902" t="s">
        <v>296</v>
      </c>
      <c r="O902" t="s">
        <v>297</v>
      </c>
    </row>
    <row r="903" spans="1:15" x14ac:dyDescent="0.3">
      <c r="A903" t="s">
        <v>1625</v>
      </c>
      <c r="B903" t="s">
        <v>1626</v>
      </c>
      <c r="C903">
        <v>2023</v>
      </c>
      <c r="D903" t="s">
        <v>394</v>
      </c>
      <c r="E903" t="s">
        <v>1719</v>
      </c>
      <c r="F903">
        <v>346.26600000000002</v>
      </c>
      <c r="G903" t="s">
        <v>302</v>
      </c>
      <c r="H903">
        <v>107</v>
      </c>
      <c r="I903" t="s">
        <v>1720</v>
      </c>
      <c r="J903" t="s">
        <v>294</v>
      </c>
      <c r="M903" t="s">
        <v>295</v>
      </c>
      <c r="N903" t="s">
        <v>296</v>
      </c>
      <c r="O903" t="s">
        <v>297</v>
      </c>
    </row>
    <row r="904" spans="1:15" x14ac:dyDescent="0.3">
      <c r="A904" t="s">
        <v>1625</v>
      </c>
      <c r="B904" t="s">
        <v>1626</v>
      </c>
      <c r="C904">
        <v>2023</v>
      </c>
      <c r="D904" t="s">
        <v>394</v>
      </c>
      <c r="E904" t="s">
        <v>1721</v>
      </c>
      <c r="F904">
        <v>7992.9650000000001</v>
      </c>
      <c r="G904" t="s">
        <v>302</v>
      </c>
      <c r="H904">
        <v>108</v>
      </c>
      <c r="I904" t="s">
        <v>1722</v>
      </c>
      <c r="J904" t="s">
        <v>294</v>
      </c>
      <c r="M904" t="s">
        <v>295</v>
      </c>
      <c r="N904" t="s">
        <v>296</v>
      </c>
      <c r="O904" t="s">
        <v>297</v>
      </c>
    </row>
    <row r="905" spans="1:15" x14ac:dyDescent="0.3">
      <c r="A905" t="s">
        <v>1625</v>
      </c>
      <c r="B905" t="s">
        <v>1626</v>
      </c>
      <c r="C905">
        <v>2023</v>
      </c>
      <c r="D905" t="s">
        <v>394</v>
      </c>
      <c r="E905" t="s">
        <v>1723</v>
      </c>
      <c r="F905">
        <v>2326.4720000000002</v>
      </c>
      <c r="G905" t="s">
        <v>302</v>
      </c>
      <c r="H905">
        <v>108</v>
      </c>
      <c r="I905" t="s">
        <v>1724</v>
      </c>
      <c r="J905" t="s">
        <v>294</v>
      </c>
      <c r="M905" t="s">
        <v>295</v>
      </c>
      <c r="N905" t="s">
        <v>296</v>
      </c>
      <c r="O905" t="s">
        <v>297</v>
      </c>
    </row>
    <row r="906" spans="1:15" x14ac:dyDescent="0.3">
      <c r="A906" t="s">
        <v>1625</v>
      </c>
      <c r="B906" t="s">
        <v>1626</v>
      </c>
      <c r="C906">
        <v>2023</v>
      </c>
      <c r="D906" t="s">
        <v>394</v>
      </c>
      <c r="E906" t="s">
        <v>1725</v>
      </c>
      <c r="F906">
        <v>1079726</v>
      </c>
      <c r="G906" t="s">
        <v>1293</v>
      </c>
      <c r="H906">
        <v>118</v>
      </c>
      <c r="I906" t="s">
        <v>1726</v>
      </c>
      <c r="J906" t="s">
        <v>294</v>
      </c>
      <c r="M906" t="s">
        <v>295</v>
      </c>
      <c r="N906" t="s">
        <v>296</v>
      </c>
      <c r="O906" t="s">
        <v>297</v>
      </c>
    </row>
    <row r="907" spans="1:15" x14ac:dyDescent="0.3">
      <c r="A907" t="s">
        <v>1625</v>
      </c>
      <c r="B907" t="s">
        <v>1626</v>
      </c>
      <c r="C907">
        <v>2023</v>
      </c>
      <c r="D907" t="s">
        <v>563</v>
      </c>
      <c r="E907" t="s">
        <v>1727</v>
      </c>
      <c r="F907" t="s">
        <v>1728</v>
      </c>
      <c r="G907" t="s">
        <v>292</v>
      </c>
      <c r="I907" t="s">
        <v>1729</v>
      </c>
      <c r="J907" t="s">
        <v>294</v>
      </c>
      <c r="M907" t="s">
        <v>295</v>
      </c>
      <c r="N907" t="s">
        <v>296</v>
      </c>
      <c r="O907" t="s">
        <v>297</v>
      </c>
    </row>
    <row r="908" spans="1:15" x14ac:dyDescent="0.3">
      <c r="A908" t="s">
        <v>1625</v>
      </c>
      <c r="B908" t="s">
        <v>1626</v>
      </c>
      <c r="C908">
        <v>2023</v>
      </c>
      <c r="D908" t="s">
        <v>252</v>
      </c>
      <c r="E908" t="s">
        <v>1730</v>
      </c>
      <c r="F908" t="s">
        <v>1731</v>
      </c>
      <c r="G908" t="s">
        <v>666</v>
      </c>
      <c r="H908">
        <v>15</v>
      </c>
      <c r="I908" t="s">
        <v>1732</v>
      </c>
      <c r="J908" t="s">
        <v>294</v>
      </c>
      <c r="M908" t="s">
        <v>295</v>
      </c>
      <c r="N908" t="s">
        <v>296</v>
      </c>
      <c r="O908" t="s">
        <v>297</v>
      </c>
    </row>
    <row r="909" spans="1:15" x14ac:dyDescent="0.3">
      <c r="A909" t="s">
        <v>1625</v>
      </c>
      <c r="B909" t="s">
        <v>1626</v>
      </c>
      <c r="C909">
        <v>2023</v>
      </c>
      <c r="D909" t="s">
        <v>252</v>
      </c>
      <c r="E909" t="s">
        <v>1733</v>
      </c>
      <c r="F909">
        <v>13811.146000000001</v>
      </c>
      <c r="G909" t="s">
        <v>302</v>
      </c>
      <c r="H909">
        <v>118</v>
      </c>
      <c r="I909" t="s">
        <v>1734</v>
      </c>
      <c r="J909" t="s">
        <v>294</v>
      </c>
      <c r="M909" t="s">
        <v>295</v>
      </c>
      <c r="N909" t="s">
        <v>296</v>
      </c>
      <c r="O909" t="s">
        <v>297</v>
      </c>
    </row>
    <row r="910" spans="1:15" x14ac:dyDescent="0.3">
      <c r="A910" t="s">
        <v>1625</v>
      </c>
      <c r="B910" t="s">
        <v>1626</v>
      </c>
      <c r="C910">
        <v>2023</v>
      </c>
      <c r="D910" t="s">
        <v>252</v>
      </c>
      <c r="E910" t="s">
        <v>1735</v>
      </c>
      <c r="F910">
        <v>349.74299999999999</v>
      </c>
      <c r="G910" t="s">
        <v>302</v>
      </c>
      <c r="H910">
        <v>118</v>
      </c>
      <c r="I910" t="s">
        <v>1736</v>
      </c>
      <c r="J910" t="s">
        <v>294</v>
      </c>
      <c r="M910" t="s">
        <v>295</v>
      </c>
      <c r="N910" t="s">
        <v>296</v>
      </c>
      <c r="O910" t="s">
        <v>297</v>
      </c>
    </row>
    <row r="911" spans="1:15" x14ac:dyDescent="0.3">
      <c r="A911" t="s">
        <v>1625</v>
      </c>
      <c r="B911" t="s">
        <v>1626</v>
      </c>
      <c r="C911">
        <v>2023</v>
      </c>
      <c r="D911" t="s">
        <v>252</v>
      </c>
      <c r="E911" t="s">
        <v>1737</v>
      </c>
      <c r="F911" t="s">
        <v>1738</v>
      </c>
      <c r="G911" t="s">
        <v>292</v>
      </c>
      <c r="H911">
        <v>15</v>
      </c>
      <c r="I911" t="s">
        <v>1739</v>
      </c>
      <c r="J911" t="s">
        <v>294</v>
      </c>
      <c r="M911" t="s">
        <v>295</v>
      </c>
      <c r="N911" t="s">
        <v>296</v>
      </c>
      <c r="O911" t="s">
        <v>297</v>
      </c>
    </row>
    <row r="912" spans="1:15" x14ac:dyDescent="0.3">
      <c r="A912" t="s">
        <v>1625</v>
      </c>
      <c r="B912" t="s">
        <v>1740</v>
      </c>
      <c r="C912">
        <v>2024</v>
      </c>
      <c r="D912" t="s">
        <v>272</v>
      </c>
      <c r="E912" t="s">
        <v>1741</v>
      </c>
      <c r="F912" t="s">
        <v>1742</v>
      </c>
      <c r="G912" t="s">
        <v>292</v>
      </c>
      <c r="H912">
        <v>50</v>
      </c>
      <c r="I912" t="s">
        <v>1743</v>
      </c>
      <c r="J912" t="s">
        <v>294</v>
      </c>
      <c r="M912" t="s">
        <v>295</v>
      </c>
      <c r="N912" t="s">
        <v>296</v>
      </c>
      <c r="O912" t="s">
        <v>297</v>
      </c>
    </row>
    <row r="913" spans="1:15" x14ac:dyDescent="0.3">
      <c r="A913" t="s">
        <v>1625</v>
      </c>
      <c r="B913" t="s">
        <v>1740</v>
      </c>
      <c r="C913">
        <v>2024</v>
      </c>
      <c r="D913" t="s">
        <v>272</v>
      </c>
      <c r="E913" t="s">
        <v>1744</v>
      </c>
      <c r="F913" t="s">
        <v>1631</v>
      </c>
      <c r="G913" t="s">
        <v>292</v>
      </c>
      <c r="H913">
        <v>108</v>
      </c>
      <c r="I913" t="s">
        <v>1745</v>
      </c>
      <c r="J913" t="s">
        <v>294</v>
      </c>
      <c r="M913" t="s">
        <v>295</v>
      </c>
      <c r="N913" t="s">
        <v>296</v>
      </c>
      <c r="O913" t="s">
        <v>297</v>
      </c>
    </row>
    <row r="914" spans="1:15" x14ac:dyDescent="0.3">
      <c r="A914" t="s">
        <v>1625</v>
      </c>
      <c r="B914" t="s">
        <v>1740</v>
      </c>
      <c r="C914">
        <v>2024</v>
      </c>
      <c r="D914" t="s">
        <v>272</v>
      </c>
      <c r="E914" t="s">
        <v>1746</v>
      </c>
      <c r="F914">
        <v>0.70220000000000005</v>
      </c>
      <c r="G914" t="s">
        <v>1283</v>
      </c>
      <c r="I914" t="s">
        <v>1747</v>
      </c>
      <c r="J914" t="s">
        <v>294</v>
      </c>
      <c r="M914" t="s">
        <v>295</v>
      </c>
      <c r="N914" t="s">
        <v>296</v>
      </c>
      <c r="O914" t="s">
        <v>297</v>
      </c>
    </row>
    <row r="915" spans="1:15" x14ac:dyDescent="0.3">
      <c r="A915" t="s">
        <v>1625</v>
      </c>
      <c r="B915" t="s">
        <v>1740</v>
      </c>
      <c r="C915">
        <v>2024</v>
      </c>
      <c r="D915" t="s">
        <v>272</v>
      </c>
      <c r="E915" t="s">
        <v>1748</v>
      </c>
      <c r="F915">
        <v>1.78E-2</v>
      </c>
      <c r="G915" t="s">
        <v>1283</v>
      </c>
      <c r="I915" t="s">
        <v>1749</v>
      </c>
      <c r="J915" t="s">
        <v>294</v>
      </c>
      <c r="M915" t="s">
        <v>295</v>
      </c>
      <c r="N915" t="s">
        <v>296</v>
      </c>
      <c r="O915" t="s">
        <v>297</v>
      </c>
    </row>
    <row r="916" spans="1:15" x14ac:dyDescent="0.3">
      <c r="A916" t="s">
        <v>1625</v>
      </c>
      <c r="B916" t="s">
        <v>1740</v>
      </c>
      <c r="C916">
        <v>2024</v>
      </c>
      <c r="D916" t="s">
        <v>272</v>
      </c>
      <c r="E916" t="s">
        <v>1750</v>
      </c>
      <c r="F916">
        <v>0.2</v>
      </c>
      <c r="G916" t="s">
        <v>1283</v>
      </c>
      <c r="I916" t="s">
        <v>1751</v>
      </c>
      <c r="J916" t="s">
        <v>294</v>
      </c>
      <c r="M916" t="s">
        <v>295</v>
      </c>
      <c r="N916" t="s">
        <v>296</v>
      </c>
      <c r="O916" t="s">
        <v>297</v>
      </c>
    </row>
    <row r="917" spans="1:15" x14ac:dyDescent="0.3">
      <c r="A917" t="s">
        <v>1625</v>
      </c>
      <c r="B917" t="s">
        <v>1740</v>
      </c>
      <c r="C917">
        <v>2024</v>
      </c>
      <c r="D917" t="s">
        <v>300</v>
      </c>
      <c r="E917" t="s">
        <v>1752</v>
      </c>
      <c r="F917">
        <v>9766.1080000000002</v>
      </c>
      <c r="G917" t="s">
        <v>302</v>
      </c>
      <c r="H917">
        <v>16</v>
      </c>
      <c r="I917" t="s">
        <v>1753</v>
      </c>
      <c r="J917" t="s">
        <v>294</v>
      </c>
      <c r="M917" t="s">
        <v>295</v>
      </c>
      <c r="N917" t="s">
        <v>296</v>
      </c>
      <c r="O917" t="s">
        <v>297</v>
      </c>
    </row>
    <row r="918" spans="1:15" x14ac:dyDescent="0.3">
      <c r="A918" t="s">
        <v>1625</v>
      </c>
      <c r="B918" t="s">
        <v>1740</v>
      </c>
      <c r="C918">
        <v>2024</v>
      </c>
      <c r="D918" t="s">
        <v>300</v>
      </c>
      <c r="E918" t="s">
        <v>1754</v>
      </c>
      <c r="F918">
        <v>1146.509</v>
      </c>
      <c r="G918" t="s">
        <v>302</v>
      </c>
      <c r="H918">
        <v>16</v>
      </c>
      <c r="I918" t="s">
        <v>1755</v>
      </c>
      <c r="J918" t="s">
        <v>294</v>
      </c>
      <c r="M918" t="s">
        <v>295</v>
      </c>
      <c r="N918" t="s">
        <v>296</v>
      </c>
      <c r="O918" t="s">
        <v>297</v>
      </c>
    </row>
    <row r="919" spans="1:15" x14ac:dyDescent="0.3">
      <c r="A919" t="s">
        <v>1625</v>
      </c>
      <c r="B919" t="s">
        <v>1740</v>
      </c>
      <c r="C919">
        <v>2024</v>
      </c>
      <c r="D919" t="s">
        <v>300</v>
      </c>
      <c r="E919" t="s">
        <v>1756</v>
      </c>
      <c r="F919">
        <v>89.638999999999996</v>
      </c>
      <c r="G919" t="s">
        <v>302</v>
      </c>
      <c r="H919">
        <v>16</v>
      </c>
      <c r="I919" t="s">
        <v>1757</v>
      </c>
      <c r="J919" t="s">
        <v>294</v>
      </c>
      <c r="M919" t="s">
        <v>295</v>
      </c>
      <c r="N919" t="s">
        <v>296</v>
      </c>
      <c r="O919" t="s">
        <v>297</v>
      </c>
    </row>
    <row r="920" spans="1:15" x14ac:dyDescent="0.3">
      <c r="A920" t="s">
        <v>1625</v>
      </c>
      <c r="B920" t="s">
        <v>1740</v>
      </c>
      <c r="C920">
        <v>2024</v>
      </c>
      <c r="D920" t="s">
        <v>300</v>
      </c>
      <c r="E920" t="s">
        <v>1758</v>
      </c>
      <c r="F920">
        <v>68.186000000000007</v>
      </c>
      <c r="G920" t="s">
        <v>302</v>
      </c>
      <c r="H920">
        <v>16</v>
      </c>
      <c r="I920" t="s">
        <v>1759</v>
      </c>
      <c r="J920" t="s">
        <v>294</v>
      </c>
      <c r="M920" t="s">
        <v>295</v>
      </c>
      <c r="N920" t="s">
        <v>296</v>
      </c>
      <c r="O920" t="s">
        <v>297</v>
      </c>
    </row>
    <row r="921" spans="1:15" x14ac:dyDescent="0.3">
      <c r="A921" t="s">
        <v>1625</v>
      </c>
      <c r="B921" t="s">
        <v>1740</v>
      </c>
      <c r="C921">
        <v>2024</v>
      </c>
      <c r="D921" t="s">
        <v>300</v>
      </c>
      <c r="E921" t="s">
        <v>1760</v>
      </c>
      <c r="F921">
        <v>21.82</v>
      </c>
      <c r="G921" t="s">
        <v>916</v>
      </c>
      <c r="H921">
        <v>16</v>
      </c>
      <c r="I921" t="s">
        <v>1761</v>
      </c>
      <c r="J921" t="s">
        <v>294</v>
      </c>
      <c r="M921" t="s">
        <v>295</v>
      </c>
      <c r="N921" t="s">
        <v>296</v>
      </c>
      <c r="O921" t="s">
        <v>297</v>
      </c>
    </row>
    <row r="922" spans="1:15" x14ac:dyDescent="0.3">
      <c r="A922" t="s">
        <v>1625</v>
      </c>
      <c r="B922" t="s">
        <v>1740</v>
      </c>
      <c r="C922">
        <v>2024</v>
      </c>
      <c r="D922" t="s">
        <v>300</v>
      </c>
      <c r="E922" t="s">
        <v>1762</v>
      </c>
      <c r="F922">
        <v>4200.3190000000004</v>
      </c>
      <c r="G922" t="s">
        <v>302</v>
      </c>
      <c r="H922">
        <v>16</v>
      </c>
      <c r="I922" t="s">
        <v>1763</v>
      </c>
      <c r="J922" t="s">
        <v>294</v>
      </c>
      <c r="M922" t="s">
        <v>295</v>
      </c>
      <c r="N922" t="s">
        <v>296</v>
      </c>
      <c r="O922" t="s">
        <v>297</v>
      </c>
    </row>
    <row r="923" spans="1:15" x14ac:dyDescent="0.3">
      <c r="A923" t="s">
        <v>1625</v>
      </c>
      <c r="B923" t="s">
        <v>1740</v>
      </c>
      <c r="C923">
        <v>2024</v>
      </c>
      <c r="D923" t="s">
        <v>300</v>
      </c>
      <c r="E923" t="s">
        <v>1764</v>
      </c>
      <c r="F923">
        <v>3591.721</v>
      </c>
      <c r="G923" t="s">
        <v>302</v>
      </c>
      <c r="H923">
        <v>16</v>
      </c>
      <c r="I923" t="s">
        <v>1765</v>
      </c>
      <c r="J923" t="s">
        <v>294</v>
      </c>
      <c r="M923" t="s">
        <v>295</v>
      </c>
      <c r="N923" t="s">
        <v>296</v>
      </c>
      <c r="O923" t="s">
        <v>297</v>
      </c>
    </row>
    <row r="924" spans="1:15" x14ac:dyDescent="0.3">
      <c r="A924" t="s">
        <v>1625</v>
      </c>
      <c r="B924" t="s">
        <v>1740</v>
      </c>
      <c r="C924">
        <v>2024</v>
      </c>
      <c r="D924" t="s">
        <v>300</v>
      </c>
      <c r="E924" t="s">
        <v>1766</v>
      </c>
      <c r="F924">
        <v>608.59799999999996</v>
      </c>
      <c r="G924" t="s">
        <v>302</v>
      </c>
      <c r="H924">
        <v>16</v>
      </c>
      <c r="I924" t="s">
        <v>1767</v>
      </c>
      <c r="J924" t="s">
        <v>294</v>
      </c>
      <c r="M924" t="s">
        <v>295</v>
      </c>
      <c r="N924" t="s">
        <v>296</v>
      </c>
      <c r="O924" t="s">
        <v>297</v>
      </c>
    </row>
    <row r="925" spans="1:15" x14ac:dyDescent="0.3">
      <c r="A925" t="s">
        <v>1625</v>
      </c>
      <c r="B925" t="s">
        <v>1740</v>
      </c>
      <c r="C925">
        <v>2024</v>
      </c>
      <c r="D925" t="s">
        <v>300</v>
      </c>
      <c r="E925" t="s">
        <v>1768</v>
      </c>
      <c r="F925">
        <v>3231.0210000000002</v>
      </c>
      <c r="G925" t="s">
        <v>302</v>
      </c>
      <c r="H925">
        <v>16</v>
      </c>
      <c r="I925" t="s">
        <v>1769</v>
      </c>
      <c r="J925" t="s">
        <v>294</v>
      </c>
      <c r="M925" t="s">
        <v>295</v>
      </c>
      <c r="N925" t="s">
        <v>296</v>
      </c>
      <c r="O925" t="s">
        <v>297</v>
      </c>
    </row>
    <row r="926" spans="1:15" x14ac:dyDescent="0.3">
      <c r="A926" t="s">
        <v>1625</v>
      </c>
      <c r="B926" t="s">
        <v>1740</v>
      </c>
      <c r="C926">
        <v>2024</v>
      </c>
      <c r="D926" t="s">
        <v>300</v>
      </c>
      <c r="E926" t="s">
        <v>1770</v>
      </c>
      <c r="F926">
        <v>2547.1529999999998</v>
      </c>
      <c r="G926" t="s">
        <v>302</v>
      </c>
      <c r="H926">
        <v>16</v>
      </c>
      <c r="I926" t="s">
        <v>1771</v>
      </c>
      <c r="J926" t="s">
        <v>294</v>
      </c>
      <c r="M926" t="s">
        <v>295</v>
      </c>
      <c r="N926" t="s">
        <v>296</v>
      </c>
      <c r="O926" t="s">
        <v>297</v>
      </c>
    </row>
    <row r="927" spans="1:15" x14ac:dyDescent="0.3">
      <c r="A927" t="s">
        <v>1625</v>
      </c>
      <c r="B927" t="s">
        <v>1740</v>
      </c>
      <c r="C927">
        <v>2024</v>
      </c>
      <c r="D927" t="s">
        <v>300</v>
      </c>
      <c r="E927" t="s">
        <v>1772</v>
      </c>
      <c r="F927">
        <v>683.86800000000005</v>
      </c>
      <c r="G927" t="s">
        <v>302</v>
      </c>
      <c r="H927">
        <v>16</v>
      </c>
      <c r="I927" t="s">
        <v>1773</v>
      </c>
      <c r="J927" t="s">
        <v>294</v>
      </c>
      <c r="M927" t="s">
        <v>295</v>
      </c>
      <c r="N927" t="s">
        <v>296</v>
      </c>
      <c r="O927" t="s">
        <v>297</v>
      </c>
    </row>
    <row r="928" spans="1:15" x14ac:dyDescent="0.3">
      <c r="A928" t="s">
        <v>1625</v>
      </c>
      <c r="B928" t="s">
        <v>1740</v>
      </c>
      <c r="C928">
        <v>2024</v>
      </c>
      <c r="D928" t="s">
        <v>300</v>
      </c>
      <c r="E928" t="s">
        <v>1774</v>
      </c>
      <c r="F928">
        <v>969.298</v>
      </c>
      <c r="G928" t="s">
        <v>302</v>
      </c>
      <c r="H928">
        <v>16</v>
      </c>
      <c r="I928" t="s">
        <v>1775</v>
      </c>
      <c r="J928" t="s">
        <v>294</v>
      </c>
      <c r="M928" t="s">
        <v>295</v>
      </c>
      <c r="N928" t="s">
        <v>296</v>
      </c>
      <c r="O928" t="s">
        <v>297</v>
      </c>
    </row>
    <row r="929" spans="1:15" x14ac:dyDescent="0.3">
      <c r="A929" t="s">
        <v>1625</v>
      </c>
      <c r="B929" t="s">
        <v>1740</v>
      </c>
      <c r="C929">
        <v>2024</v>
      </c>
      <c r="D929" t="s">
        <v>300</v>
      </c>
      <c r="E929" t="s">
        <v>1776</v>
      </c>
      <c r="F929">
        <v>234.10400000000001</v>
      </c>
      <c r="G929" t="s">
        <v>302</v>
      </c>
      <c r="H929">
        <v>98</v>
      </c>
      <c r="I929" t="s">
        <v>1777</v>
      </c>
      <c r="J929" t="s">
        <v>294</v>
      </c>
      <c r="M929" t="s">
        <v>295</v>
      </c>
      <c r="N929" t="s">
        <v>296</v>
      </c>
      <c r="O929" t="s">
        <v>297</v>
      </c>
    </row>
    <row r="930" spans="1:15" x14ac:dyDescent="0.3">
      <c r="A930" t="s">
        <v>1625</v>
      </c>
      <c r="B930" t="s">
        <v>1740</v>
      </c>
      <c r="C930">
        <v>2024</v>
      </c>
      <c r="D930" t="s">
        <v>300</v>
      </c>
      <c r="E930" t="s">
        <v>1664</v>
      </c>
      <c r="F930">
        <v>1944.9590000000001</v>
      </c>
      <c r="G930" t="s">
        <v>302</v>
      </c>
      <c r="H930">
        <v>100</v>
      </c>
      <c r="I930" t="s">
        <v>1778</v>
      </c>
      <c r="J930" t="s">
        <v>294</v>
      </c>
      <c r="M930" t="s">
        <v>295</v>
      </c>
      <c r="N930" t="s">
        <v>296</v>
      </c>
      <c r="O930" t="s">
        <v>297</v>
      </c>
    </row>
    <row r="931" spans="1:15" x14ac:dyDescent="0.3">
      <c r="A931" t="s">
        <v>1625</v>
      </c>
      <c r="B931" t="s">
        <v>1740</v>
      </c>
      <c r="C931">
        <v>2024</v>
      </c>
      <c r="D931" t="s">
        <v>300</v>
      </c>
      <c r="E931" t="s">
        <v>1779</v>
      </c>
      <c r="F931">
        <v>679.34799999999996</v>
      </c>
      <c r="G931" t="s">
        <v>302</v>
      </c>
      <c r="H931">
        <v>100</v>
      </c>
      <c r="I931" t="s">
        <v>1780</v>
      </c>
      <c r="J931" t="s">
        <v>294</v>
      </c>
      <c r="M931" t="s">
        <v>295</v>
      </c>
      <c r="N931" t="s">
        <v>296</v>
      </c>
      <c r="O931" t="s">
        <v>297</v>
      </c>
    </row>
    <row r="932" spans="1:15" x14ac:dyDescent="0.3">
      <c r="A932" t="s">
        <v>1625</v>
      </c>
      <c r="B932" t="s">
        <v>1740</v>
      </c>
      <c r="C932">
        <v>2024</v>
      </c>
      <c r="D932" t="s">
        <v>300</v>
      </c>
      <c r="E932" t="s">
        <v>1525</v>
      </c>
      <c r="F932">
        <v>89.83</v>
      </c>
      <c r="G932" t="s">
        <v>302</v>
      </c>
      <c r="H932">
        <v>100</v>
      </c>
      <c r="I932" t="s">
        <v>1781</v>
      </c>
      <c r="J932" t="s">
        <v>294</v>
      </c>
      <c r="M932" t="s">
        <v>295</v>
      </c>
      <c r="N932" t="s">
        <v>296</v>
      </c>
      <c r="O932" t="s">
        <v>297</v>
      </c>
    </row>
    <row r="933" spans="1:15" x14ac:dyDescent="0.3">
      <c r="A933" t="s">
        <v>1625</v>
      </c>
      <c r="B933" t="s">
        <v>1740</v>
      </c>
      <c r="C933">
        <v>2024</v>
      </c>
      <c r="D933" t="s">
        <v>300</v>
      </c>
      <c r="E933" t="s">
        <v>1191</v>
      </c>
      <c r="F933">
        <v>-246.57900000000001</v>
      </c>
      <c r="G933" t="s">
        <v>302</v>
      </c>
      <c r="H933">
        <v>104</v>
      </c>
      <c r="I933" t="s">
        <v>1782</v>
      </c>
      <c r="J933" t="s">
        <v>294</v>
      </c>
      <c r="M933" t="s">
        <v>295</v>
      </c>
      <c r="N933" t="s">
        <v>296</v>
      </c>
      <c r="O933" t="s">
        <v>297</v>
      </c>
    </row>
    <row r="934" spans="1:15" x14ac:dyDescent="0.3">
      <c r="A934" t="s">
        <v>1625</v>
      </c>
      <c r="B934" t="s">
        <v>1740</v>
      </c>
      <c r="C934">
        <v>2024</v>
      </c>
      <c r="D934" t="s">
        <v>300</v>
      </c>
      <c r="E934" t="s">
        <v>1783</v>
      </c>
      <c r="F934">
        <v>534.654</v>
      </c>
      <c r="G934" t="s">
        <v>302</v>
      </c>
      <c r="H934">
        <v>104</v>
      </c>
      <c r="I934" t="s">
        <v>1784</v>
      </c>
      <c r="J934" t="s">
        <v>294</v>
      </c>
      <c r="M934" t="s">
        <v>295</v>
      </c>
      <c r="N934" t="s">
        <v>296</v>
      </c>
      <c r="O934" t="s">
        <v>297</v>
      </c>
    </row>
    <row r="935" spans="1:15" x14ac:dyDescent="0.3">
      <c r="A935" t="s">
        <v>1625</v>
      </c>
      <c r="B935" t="s">
        <v>1740</v>
      </c>
      <c r="C935">
        <v>2024</v>
      </c>
      <c r="D935" t="s">
        <v>300</v>
      </c>
      <c r="E935" t="s">
        <v>1785</v>
      </c>
      <c r="F935">
        <v>-358.90300000000002</v>
      </c>
      <c r="G935" t="s">
        <v>302</v>
      </c>
      <c r="H935">
        <v>104</v>
      </c>
      <c r="I935" t="s">
        <v>1786</v>
      </c>
      <c r="J935" t="s">
        <v>294</v>
      </c>
      <c r="M935" t="s">
        <v>295</v>
      </c>
      <c r="N935" t="s">
        <v>296</v>
      </c>
      <c r="O935" t="s">
        <v>297</v>
      </c>
    </row>
    <row r="936" spans="1:15" x14ac:dyDescent="0.3">
      <c r="A936" t="s">
        <v>1625</v>
      </c>
      <c r="B936" t="s">
        <v>1740</v>
      </c>
      <c r="C936">
        <v>2024</v>
      </c>
      <c r="D936" t="s">
        <v>300</v>
      </c>
      <c r="E936" t="s">
        <v>1676</v>
      </c>
      <c r="F936">
        <v>115.11799999999999</v>
      </c>
      <c r="G936" t="s">
        <v>302</v>
      </c>
      <c r="I936" t="s">
        <v>1787</v>
      </c>
      <c r="J936" t="s">
        <v>294</v>
      </c>
      <c r="M936" t="s">
        <v>295</v>
      </c>
      <c r="N936" t="s">
        <v>296</v>
      </c>
      <c r="O936" t="s">
        <v>297</v>
      </c>
    </row>
    <row r="937" spans="1:15" x14ac:dyDescent="0.3">
      <c r="A937" t="s">
        <v>1625</v>
      </c>
      <c r="B937" t="s">
        <v>1740</v>
      </c>
      <c r="C937">
        <v>2024</v>
      </c>
      <c r="D937" t="s">
        <v>300</v>
      </c>
      <c r="E937" t="s">
        <v>1788</v>
      </c>
      <c r="F937">
        <v>118.342</v>
      </c>
      <c r="G937" t="s">
        <v>302</v>
      </c>
      <c r="H937">
        <v>107</v>
      </c>
      <c r="I937" t="s">
        <v>1789</v>
      </c>
      <c r="J937" t="s">
        <v>294</v>
      </c>
      <c r="M937" t="s">
        <v>295</v>
      </c>
      <c r="N937" t="s">
        <v>296</v>
      </c>
      <c r="O937" t="s">
        <v>297</v>
      </c>
    </row>
    <row r="938" spans="1:15" x14ac:dyDescent="0.3">
      <c r="A938" t="s">
        <v>1625</v>
      </c>
      <c r="B938" t="s">
        <v>1740</v>
      </c>
      <c r="C938">
        <v>2024</v>
      </c>
      <c r="D938" t="s">
        <v>300</v>
      </c>
      <c r="E938" t="s">
        <v>1790</v>
      </c>
      <c r="F938">
        <v>28.849</v>
      </c>
      <c r="G938" t="s">
        <v>302</v>
      </c>
      <c r="H938">
        <v>115</v>
      </c>
      <c r="I938" t="s">
        <v>1791</v>
      </c>
      <c r="J938" t="s">
        <v>294</v>
      </c>
      <c r="M938" t="s">
        <v>295</v>
      </c>
      <c r="N938" t="s">
        <v>296</v>
      </c>
      <c r="O938" t="s">
        <v>297</v>
      </c>
    </row>
    <row r="939" spans="1:15" x14ac:dyDescent="0.3">
      <c r="A939" t="s">
        <v>1625</v>
      </c>
      <c r="B939" t="s">
        <v>1740</v>
      </c>
      <c r="C939">
        <v>2024</v>
      </c>
      <c r="D939" t="s">
        <v>300</v>
      </c>
      <c r="E939" t="s">
        <v>1792</v>
      </c>
      <c r="F939">
        <v>9.23</v>
      </c>
      <c r="G939" t="s">
        <v>916</v>
      </c>
      <c r="I939" t="s">
        <v>1793</v>
      </c>
      <c r="J939" t="s">
        <v>294</v>
      </c>
      <c r="M939" t="s">
        <v>295</v>
      </c>
      <c r="N939" t="s">
        <v>296</v>
      </c>
      <c r="O939" t="s">
        <v>297</v>
      </c>
    </row>
    <row r="940" spans="1:15" x14ac:dyDescent="0.3">
      <c r="A940" t="s">
        <v>1625</v>
      </c>
      <c r="B940" t="s">
        <v>1740</v>
      </c>
      <c r="C940">
        <v>2024</v>
      </c>
      <c r="D940" t="s">
        <v>300</v>
      </c>
      <c r="E940" t="s">
        <v>1794</v>
      </c>
      <c r="F940">
        <v>945</v>
      </c>
      <c r="G940" t="s">
        <v>916</v>
      </c>
      <c r="H940">
        <v>19</v>
      </c>
      <c r="I940" t="s">
        <v>1795</v>
      </c>
      <c r="J940" t="s">
        <v>294</v>
      </c>
      <c r="M940" t="s">
        <v>295</v>
      </c>
      <c r="N940" t="s">
        <v>296</v>
      </c>
      <c r="O940" t="s">
        <v>297</v>
      </c>
    </row>
    <row r="941" spans="1:15" x14ac:dyDescent="0.3">
      <c r="A941" t="s">
        <v>1625</v>
      </c>
      <c r="B941" t="s">
        <v>1740</v>
      </c>
      <c r="C941">
        <v>2024</v>
      </c>
      <c r="D941" t="s">
        <v>300</v>
      </c>
      <c r="E941" t="s">
        <v>1796</v>
      </c>
      <c r="F941">
        <v>42.503999999999998</v>
      </c>
      <c r="G941" t="s">
        <v>302</v>
      </c>
      <c r="I941" t="s">
        <v>1797</v>
      </c>
      <c r="J941" t="s">
        <v>294</v>
      </c>
      <c r="M941" t="s">
        <v>295</v>
      </c>
      <c r="N941" t="s">
        <v>296</v>
      </c>
      <c r="O941" t="s">
        <v>297</v>
      </c>
    </row>
    <row r="942" spans="1:15" x14ac:dyDescent="0.3">
      <c r="A942" t="s">
        <v>1625</v>
      </c>
      <c r="B942" t="s">
        <v>1740</v>
      </c>
      <c r="C942">
        <v>2024</v>
      </c>
      <c r="D942" t="s">
        <v>300</v>
      </c>
      <c r="E942" t="s">
        <v>1798</v>
      </c>
      <c r="F942">
        <v>1.8640000000000001</v>
      </c>
      <c r="G942" t="s">
        <v>302</v>
      </c>
      <c r="I942" t="s">
        <v>1799</v>
      </c>
      <c r="J942" t="s">
        <v>294</v>
      </c>
      <c r="M942" t="s">
        <v>295</v>
      </c>
      <c r="N942" t="s">
        <v>296</v>
      </c>
      <c r="O942" t="s">
        <v>297</v>
      </c>
    </row>
    <row r="943" spans="1:15" x14ac:dyDescent="0.3">
      <c r="A943" t="s">
        <v>1625</v>
      </c>
      <c r="B943" t="s">
        <v>1740</v>
      </c>
      <c r="C943">
        <v>2024</v>
      </c>
      <c r="D943" t="s">
        <v>358</v>
      </c>
      <c r="E943" t="s">
        <v>1688</v>
      </c>
      <c r="F943">
        <v>2500</v>
      </c>
      <c r="G943" t="s">
        <v>1689</v>
      </c>
      <c r="H943">
        <v>50</v>
      </c>
      <c r="I943" t="s">
        <v>1800</v>
      </c>
      <c r="J943" t="s">
        <v>294</v>
      </c>
      <c r="M943" t="s">
        <v>295</v>
      </c>
      <c r="N943" t="s">
        <v>296</v>
      </c>
      <c r="O943" t="s">
        <v>297</v>
      </c>
    </row>
    <row r="944" spans="1:15" x14ac:dyDescent="0.3">
      <c r="A944" t="s">
        <v>1625</v>
      </c>
      <c r="B944" t="s">
        <v>1740</v>
      </c>
      <c r="C944">
        <v>2024</v>
      </c>
      <c r="D944" t="s">
        <v>358</v>
      </c>
      <c r="E944" t="s">
        <v>1801</v>
      </c>
      <c r="F944">
        <v>2500</v>
      </c>
      <c r="G944" t="s">
        <v>1689</v>
      </c>
      <c r="H944">
        <v>50</v>
      </c>
      <c r="I944" t="s">
        <v>1802</v>
      </c>
      <c r="J944" t="s">
        <v>294</v>
      </c>
      <c r="M944" t="s">
        <v>295</v>
      </c>
      <c r="N944" t="s">
        <v>296</v>
      </c>
      <c r="O944" t="s">
        <v>297</v>
      </c>
    </row>
    <row r="945" spans="1:15" x14ac:dyDescent="0.3">
      <c r="A945" t="s">
        <v>1625</v>
      </c>
      <c r="B945" t="s">
        <v>1740</v>
      </c>
      <c r="C945">
        <v>2024</v>
      </c>
      <c r="D945" t="s">
        <v>358</v>
      </c>
      <c r="E945" t="s">
        <v>1693</v>
      </c>
      <c r="F945">
        <v>600</v>
      </c>
      <c r="G945" t="s">
        <v>1689</v>
      </c>
      <c r="H945">
        <v>50</v>
      </c>
      <c r="I945" t="s">
        <v>1803</v>
      </c>
      <c r="J945" t="s">
        <v>294</v>
      </c>
      <c r="M945" t="s">
        <v>295</v>
      </c>
      <c r="N945" t="s">
        <v>296</v>
      </c>
      <c r="O945" t="s">
        <v>297</v>
      </c>
    </row>
    <row r="946" spans="1:15" x14ac:dyDescent="0.3">
      <c r="A946" t="s">
        <v>1625</v>
      </c>
      <c r="B946" t="s">
        <v>1740</v>
      </c>
      <c r="C946">
        <v>2024</v>
      </c>
      <c r="D946" t="s">
        <v>394</v>
      </c>
      <c r="E946" t="s">
        <v>1804</v>
      </c>
      <c r="F946">
        <v>402492</v>
      </c>
      <c r="G946" t="s">
        <v>1293</v>
      </c>
      <c r="H946">
        <v>107</v>
      </c>
      <c r="I946" t="s">
        <v>1805</v>
      </c>
      <c r="J946" t="s">
        <v>294</v>
      </c>
      <c r="M946" t="s">
        <v>295</v>
      </c>
      <c r="N946" t="s">
        <v>296</v>
      </c>
      <c r="O946" t="s">
        <v>297</v>
      </c>
    </row>
    <row r="947" spans="1:15" x14ac:dyDescent="0.3">
      <c r="A947" t="s">
        <v>1625</v>
      </c>
      <c r="B947" t="s">
        <v>1740</v>
      </c>
      <c r="C947">
        <v>2024</v>
      </c>
      <c r="D947" t="s">
        <v>394</v>
      </c>
      <c r="E947" t="s">
        <v>1806</v>
      </c>
      <c r="F947">
        <v>387833</v>
      </c>
      <c r="G947" t="s">
        <v>1293</v>
      </c>
      <c r="H947">
        <v>14</v>
      </c>
      <c r="I947" t="s">
        <v>1807</v>
      </c>
      <c r="J947" t="s">
        <v>294</v>
      </c>
      <c r="M947" t="s">
        <v>295</v>
      </c>
      <c r="N947" t="s">
        <v>296</v>
      </c>
      <c r="O947" t="s">
        <v>297</v>
      </c>
    </row>
    <row r="948" spans="1:15" x14ac:dyDescent="0.3">
      <c r="A948" t="s">
        <v>1625</v>
      </c>
      <c r="B948" t="s">
        <v>1740</v>
      </c>
      <c r="C948">
        <v>2024</v>
      </c>
      <c r="D948" t="s">
        <v>394</v>
      </c>
      <c r="E948" t="s">
        <v>1808</v>
      </c>
      <c r="F948">
        <v>296406</v>
      </c>
      <c r="G948" t="s">
        <v>1293</v>
      </c>
      <c r="H948">
        <v>14</v>
      </c>
      <c r="I948" t="s">
        <v>1809</v>
      </c>
      <c r="J948" t="s">
        <v>294</v>
      </c>
      <c r="M948" t="s">
        <v>295</v>
      </c>
      <c r="N948" t="s">
        <v>296</v>
      </c>
      <c r="O948" t="s">
        <v>297</v>
      </c>
    </row>
    <row r="949" spans="1:15" x14ac:dyDescent="0.3">
      <c r="A949" t="s">
        <v>1625</v>
      </c>
      <c r="B949" t="s">
        <v>1740</v>
      </c>
      <c r="C949">
        <v>2024</v>
      </c>
      <c r="D949" t="s">
        <v>394</v>
      </c>
      <c r="E949" t="s">
        <v>1810</v>
      </c>
      <c r="F949">
        <v>67661</v>
      </c>
      <c r="G949" t="s">
        <v>1293</v>
      </c>
      <c r="H949">
        <v>14</v>
      </c>
      <c r="I949" t="s">
        <v>1811</v>
      </c>
      <c r="J949" t="s">
        <v>294</v>
      </c>
      <c r="M949" t="s">
        <v>295</v>
      </c>
      <c r="N949" t="s">
        <v>296</v>
      </c>
      <c r="O949" t="s">
        <v>297</v>
      </c>
    </row>
    <row r="950" spans="1:15" x14ac:dyDescent="0.3">
      <c r="A950" t="s">
        <v>1625</v>
      </c>
      <c r="B950" t="s">
        <v>1740</v>
      </c>
      <c r="C950">
        <v>2024</v>
      </c>
      <c r="D950" t="s">
        <v>394</v>
      </c>
      <c r="E950" t="s">
        <v>1812</v>
      </c>
      <c r="F950">
        <v>14659</v>
      </c>
      <c r="G950" t="s">
        <v>1293</v>
      </c>
      <c r="H950">
        <v>14</v>
      </c>
      <c r="I950" t="s">
        <v>1813</v>
      </c>
      <c r="J950" t="s">
        <v>294</v>
      </c>
      <c r="M950" t="s">
        <v>295</v>
      </c>
      <c r="N950" t="s">
        <v>296</v>
      </c>
      <c r="O950" t="s">
        <v>297</v>
      </c>
    </row>
    <row r="951" spans="1:15" x14ac:dyDescent="0.3">
      <c r="A951" t="s">
        <v>1625</v>
      </c>
      <c r="B951" t="s">
        <v>1740</v>
      </c>
      <c r="C951">
        <v>2024</v>
      </c>
      <c r="D951" t="s">
        <v>394</v>
      </c>
      <c r="E951" t="s">
        <v>1814</v>
      </c>
      <c r="F951">
        <v>23844</v>
      </c>
      <c r="G951" t="s">
        <v>1293</v>
      </c>
      <c r="H951">
        <v>14</v>
      </c>
      <c r="I951" t="s">
        <v>1815</v>
      </c>
      <c r="J951" t="s">
        <v>294</v>
      </c>
      <c r="M951" t="s">
        <v>295</v>
      </c>
      <c r="N951" t="s">
        <v>296</v>
      </c>
      <c r="O951" t="s">
        <v>297</v>
      </c>
    </row>
    <row r="952" spans="1:15" x14ac:dyDescent="0.3">
      <c r="A952" t="s">
        <v>1625</v>
      </c>
      <c r="B952" t="s">
        <v>1740</v>
      </c>
      <c r="C952">
        <v>2024</v>
      </c>
      <c r="D952" t="s">
        <v>394</v>
      </c>
      <c r="E952" t="s">
        <v>1816</v>
      </c>
      <c r="F952">
        <v>287860</v>
      </c>
      <c r="G952" t="s">
        <v>1293</v>
      </c>
      <c r="H952">
        <v>14</v>
      </c>
      <c r="I952" t="s">
        <v>1817</v>
      </c>
      <c r="J952" t="s">
        <v>294</v>
      </c>
      <c r="M952" t="s">
        <v>295</v>
      </c>
      <c r="N952" t="s">
        <v>296</v>
      </c>
      <c r="O952" t="s">
        <v>297</v>
      </c>
    </row>
    <row r="953" spans="1:15" x14ac:dyDescent="0.3">
      <c r="A953" t="s">
        <v>1625</v>
      </c>
      <c r="B953" t="s">
        <v>1740</v>
      </c>
      <c r="C953">
        <v>2024</v>
      </c>
      <c r="D953" t="s">
        <v>394</v>
      </c>
      <c r="E953" t="s">
        <v>1818</v>
      </c>
      <c r="F953">
        <v>64351</v>
      </c>
      <c r="G953" t="s">
        <v>1293</v>
      </c>
      <c r="H953">
        <v>14</v>
      </c>
      <c r="I953" t="s">
        <v>1819</v>
      </c>
      <c r="J953" t="s">
        <v>294</v>
      </c>
      <c r="M953" t="s">
        <v>295</v>
      </c>
      <c r="N953" t="s">
        <v>296</v>
      </c>
      <c r="O953" t="s">
        <v>297</v>
      </c>
    </row>
    <row r="954" spans="1:15" x14ac:dyDescent="0.3">
      <c r="A954" t="s">
        <v>1625</v>
      </c>
      <c r="B954" t="s">
        <v>1740</v>
      </c>
      <c r="C954">
        <v>2024</v>
      </c>
      <c r="D954" t="s">
        <v>394</v>
      </c>
      <c r="E954" t="s">
        <v>1820</v>
      </c>
      <c r="F954">
        <v>16060</v>
      </c>
      <c r="G954" t="s">
        <v>1293</v>
      </c>
      <c r="H954">
        <v>14</v>
      </c>
      <c r="I954" t="s">
        <v>1821</v>
      </c>
      <c r="J954" t="s">
        <v>294</v>
      </c>
      <c r="M954" t="s">
        <v>295</v>
      </c>
      <c r="N954" t="s">
        <v>296</v>
      </c>
      <c r="O954" t="s">
        <v>297</v>
      </c>
    </row>
    <row r="955" spans="1:15" x14ac:dyDescent="0.3">
      <c r="A955" t="s">
        <v>1625</v>
      </c>
      <c r="B955" t="s">
        <v>1740</v>
      </c>
      <c r="C955">
        <v>2024</v>
      </c>
      <c r="D955" t="s">
        <v>394</v>
      </c>
      <c r="E955" t="s">
        <v>1822</v>
      </c>
      <c r="F955">
        <v>0.47620000000000001</v>
      </c>
      <c r="G955" t="s">
        <v>1283</v>
      </c>
      <c r="H955">
        <v>92</v>
      </c>
      <c r="I955" t="s">
        <v>1823</v>
      </c>
      <c r="J955" t="s">
        <v>294</v>
      </c>
      <c r="M955" t="s">
        <v>295</v>
      </c>
      <c r="N955" t="s">
        <v>296</v>
      </c>
      <c r="O955" t="s">
        <v>297</v>
      </c>
    </row>
    <row r="956" spans="1:15" x14ac:dyDescent="0.3">
      <c r="A956" t="s">
        <v>1625</v>
      </c>
      <c r="B956" t="s">
        <v>1740</v>
      </c>
      <c r="C956">
        <v>2024</v>
      </c>
      <c r="D956" t="s">
        <v>394</v>
      </c>
      <c r="E956" t="s">
        <v>1824</v>
      </c>
      <c r="F956">
        <v>0.42830000000000001</v>
      </c>
      <c r="G956" t="s">
        <v>1283</v>
      </c>
      <c r="H956">
        <v>93</v>
      </c>
      <c r="I956" t="s">
        <v>1825</v>
      </c>
      <c r="J956" t="s">
        <v>294</v>
      </c>
      <c r="M956" t="s">
        <v>295</v>
      </c>
      <c r="N956" t="s">
        <v>296</v>
      </c>
      <c r="O956" t="s">
        <v>297</v>
      </c>
    </row>
    <row r="957" spans="1:15" x14ac:dyDescent="0.3">
      <c r="A957" t="s">
        <v>1625</v>
      </c>
      <c r="B957" t="s">
        <v>1740</v>
      </c>
      <c r="C957">
        <v>2024</v>
      </c>
      <c r="D957" t="s">
        <v>394</v>
      </c>
      <c r="E957" t="s">
        <v>1826</v>
      </c>
      <c r="F957">
        <v>0.28999999999999998</v>
      </c>
      <c r="G957" t="s">
        <v>1283</v>
      </c>
      <c r="H957">
        <v>93</v>
      </c>
      <c r="I957" t="s">
        <v>1827</v>
      </c>
      <c r="J957" t="s">
        <v>294</v>
      </c>
      <c r="M957" t="s">
        <v>295</v>
      </c>
      <c r="N957" t="s">
        <v>296</v>
      </c>
      <c r="O957" t="s">
        <v>297</v>
      </c>
    </row>
    <row r="958" spans="1:15" x14ac:dyDescent="0.3">
      <c r="A958" t="s">
        <v>1625</v>
      </c>
      <c r="B958" t="s">
        <v>1740</v>
      </c>
      <c r="C958">
        <v>2024</v>
      </c>
      <c r="D958" t="s">
        <v>394</v>
      </c>
      <c r="E958" t="s">
        <v>1828</v>
      </c>
      <c r="F958">
        <v>0.95820000000000005</v>
      </c>
      <c r="G958" t="s">
        <v>1283</v>
      </c>
      <c r="H958">
        <v>92</v>
      </c>
      <c r="I958" t="s">
        <v>1829</v>
      </c>
      <c r="J958" t="s">
        <v>294</v>
      </c>
      <c r="M958" t="s">
        <v>295</v>
      </c>
      <c r="N958" t="s">
        <v>296</v>
      </c>
      <c r="O958" t="s">
        <v>297</v>
      </c>
    </row>
    <row r="959" spans="1:15" x14ac:dyDescent="0.3">
      <c r="A959" t="s">
        <v>1625</v>
      </c>
      <c r="B959" t="s">
        <v>1740</v>
      </c>
      <c r="C959">
        <v>2024</v>
      </c>
      <c r="D959" t="s">
        <v>394</v>
      </c>
      <c r="E959" t="s">
        <v>1830</v>
      </c>
      <c r="F959">
        <v>7455.6610000000001</v>
      </c>
      <c r="G959" t="s">
        <v>302</v>
      </c>
      <c r="H959">
        <v>97</v>
      </c>
      <c r="I959" t="s">
        <v>1831</v>
      </c>
      <c r="J959" t="s">
        <v>294</v>
      </c>
      <c r="M959" t="s">
        <v>295</v>
      </c>
      <c r="N959" t="s">
        <v>296</v>
      </c>
      <c r="O959" t="s">
        <v>297</v>
      </c>
    </row>
    <row r="960" spans="1:15" x14ac:dyDescent="0.3">
      <c r="A960" t="s">
        <v>1625</v>
      </c>
      <c r="B960" t="s">
        <v>1740</v>
      </c>
      <c r="C960">
        <v>2024</v>
      </c>
      <c r="D960" t="s">
        <v>394</v>
      </c>
      <c r="E960" t="s">
        <v>1832</v>
      </c>
      <c r="F960">
        <v>2310.4470000000001</v>
      </c>
      <c r="G960" t="s">
        <v>302</v>
      </c>
      <c r="H960">
        <v>97</v>
      </c>
      <c r="I960" t="s">
        <v>1833</v>
      </c>
      <c r="J960" t="s">
        <v>294</v>
      </c>
      <c r="M960" t="s">
        <v>295</v>
      </c>
      <c r="N960" t="s">
        <v>296</v>
      </c>
      <c r="O960" t="s">
        <v>297</v>
      </c>
    </row>
    <row r="961" spans="1:15" x14ac:dyDescent="0.3">
      <c r="A961" t="s">
        <v>1625</v>
      </c>
      <c r="B961" t="s">
        <v>1740</v>
      </c>
      <c r="C961">
        <v>2024</v>
      </c>
      <c r="D961" t="s">
        <v>394</v>
      </c>
      <c r="E961" t="s">
        <v>1834</v>
      </c>
      <c r="F961">
        <v>970000</v>
      </c>
      <c r="G961" t="s">
        <v>1293</v>
      </c>
      <c r="H961">
        <v>108</v>
      </c>
      <c r="I961" t="s">
        <v>1835</v>
      </c>
      <c r="J961" t="s">
        <v>294</v>
      </c>
      <c r="M961" t="s">
        <v>295</v>
      </c>
      <c r="N961" t="s">
        <v>296</v>
      </c>
      <c r="O961" t="s">
        <v>297</v>
      </c>
    </row>
    <row r="962" spans="1:15" x14ac:dyDescent="0.3">
      <c r="A962" t="s">
        <v>1625</v>
      </c>
      <c r="B962" t="s">
        <v>1740</v>
      </c>
      <c r="C962">
        <v>2024</v>
      </c>
      <c r="D962" t="s">
        <v>394</v>
      </c>
      <c r="E962" t="s">
        <v>1836</v>
      </c>
      <c r="F962">
        <v>15282.246999999999</v>
      </c>
      <c r="G962" t="s">
        <v>302</v>
      </c>
      <c r="H962">
        <v>108</v>
      </c>
      <c r="I962" t="s">
        <v>1837</v>
      </c>
      <c r="J962" t="s">
        <v>294</v>
      </c>
      <c r="M962" t="s">
        <v>295</v>
      </c>
      <c r="N962" t="s">
        <v>296</v>
      </c>
      <c r="O962" t="s">
        <v>297</v>
      </c>
    </row>
    <row r="963" spans="1:15" x14ac:dyDescent="0.3">
      <c r="A963" t="s">
        <v>1625</v>
      </c>
      <c r="B963" t="s">
        <v>1740</v>
      </c>
      <c r="C963">
        <v>2024</v>
      </c>
      <c r="D963" t="s">
        <v>563</v>
      </c>
      <c r="E963" t="s">
        <v>1838</v>
      </c>
      <c r="F963" t="s">
        <v>1839</v>
      </c>
      <c r="G963" t="s">
        <v>292</v>
      </c>
      <c r="I963" t="s">
        <v>1840</v>
      </c>
      <c r="J963" t="s">
        <v>294</v>
      </c>
      <c r="M963" t="s">
        <v>295</v>
      </c>
      <c r="N963" t="s">
        <v>296</v>
      </c>
      <c r="O963" t="s">
        <v>297</v>
      </c>
    </row>
    <row r="964" spans="1:15" x14ac:dyDescent="0.3">
      <c r="A964" t="s">
        <v>1625</v>
      </c>
      <c r="B964" t="s">
        <v>1740</v>
      </c>
      <c r="C964">
        <v>2024</v>
      </c>
      <c r="D964" t="s">
        <v>252</v>
      </c>
      <c r="E964" t="s">
        <v>1841</v>
      </c>
      <c r="F964">
        <v>65.040000000000006</v>
      </c>
      <c r="G964" t="s">
        <v>302</v>
      </c>
      <c r="H964">
        <v>115</v>
      </c>
      <c r="I964" t="s">
        <v>1842</v>
      </c>
      <c r="J964" t="s">
        <v>294</v>
      </c>
      <c r="M964" t="s">
        <v>295</v>
      </c>
      <c r="N964" t="s">
        <v>296</v>
      </c>
      <c r="O964" t="s">
        <v>297</v>
      </c>
    </row>
    <row r="965" spans="1:15" x14ac:dyDescent="0.3">
      <c r="A965" t="s">
        <v>1625</v>
      </c>
      <c r="B965" t="s">
        <v>1740</v>
      </c>
      <c r="C965">
        <v>2024</v>
      </c>
      <c r="D965" t="s">
        <v>252</v>
      </c>
      <c r="E965" t="s">
        <v>1843</v>
      </c>
      <c r="F965" t="s">
        <v>1844</v>
      </c>
      <c r="G965" t="s">
        <v>292</v>
      </c>
      <c r="H965">
        <v>103</v>
      </c>
      <c r="I965" t="s">
        <v>1845</v>
      </c>
      <c r="J965" t="s">
        <v>294</v>
      </c>
      <c r="M965" t="s">
        <v>295</v>
      </c>
      <c r="N965" t="s">
        <v>296</v>
      </c>
      <c r="O965" t="s">
        <v>297</v>
      </c>
    </row>
    <row r="966" spans="1:15" x14ac:dyDescent="0.3">
      <c r="A966" t="s">
        <v>1625</v>
      </c>
      <c r="B966" t="s">
        <v>1846</v>
      </c>
      <c r="C966">
        <v>2025</v>
      </c>
      <c r="D966" t="s">
        <v>272</v>
      </c>
      <c r="E966" t="s">
        <v>1746</v>
      </c>
      <c r="F966">
        <v>0.70220000000000005</v>
      </c>
      <c r="G966" t="s">
        <v>1283</v>
      </c>
      <c r="H966">
        <v>45</v>
      </c>
      <c r="I966" t="s">
        <v>1747</v>
      </c>
      <c r="J966" t="s">
        <v>294</v>
      </c>
      <c r="M966" t="s">
        <v>295</v>
      </c>
      <c r="N966" t="s">
        <v>296</v>
      </c>
      <c r="O966" t="s">
        <v>297</v>
      </c>
    </row>
    <row r="967" spans="1:15" x14ac:dyDescent="0.3">
      <c r="A967" t="s">
        <v>1625</v>
      </c>
      <c r="B967" t="s">
        <v>1846</v>
      </c>
      <c r="C967">
        <v>2025</v>
      </c>
      <c r="D967" t="s">
        <v>272</v>
      </c>
      <c r="E967" t="s">
        <v>1847</v>
      </c>
      <c r="F967">
        <v>0.1101</v>
      </c>
      <c r="G967" t="s">
        <v>1283</v>
      </c>
      <c r="H967">
        <v>45</v>
      </c>
      <c r="I967" t="s">
        <v>1848</v>
      </c>
      <c r="J967" t="s">
        <v>294</v>
      </c>
      <c r="M967" t="s">
        <v>295</v>
      </c>
      <c r="N967" t="s">
        <v>296</v>
      </c>
      <c r="O967" t="s">
        <v>297</v>
      </c>
    </row>
    <row r="968" spans="1:15" x14ac:dyDescent="0.3">
      <c r="A968" t="s">
        <v>1625</v>
      </c>
      <c r="B968" t="s">
        <v>1846</v>
      </c>
      <c r="C968">
        <v>2025</v>
      </c>
      <c r="D968" t="s">
        <v>272</v>
      </c>
      <c r="E968" t="s">
        <v>1748</v>
      </c>
      <c r="F968">
        <v>1.78E-2</v>
      </c>
      <c r="G968" t="s">
        <v>1283</v>
      </c>
      <c r="H968">
        <v>45</v>
      </c>
      <c r="I968" t="s">
        <v>1849</v>
      </c>
      <c r="J968" t="s">
        <v>294</v>
      </c>
      <c r="M968" t="s">
        <v>295</v>
      </c>
      <c r="N968" t="s">
        <v>296</v>
      </c>
      <c r="O968" t="s">
        <v>297</v>
      </c>
    </row>
    <row r="969" spans="1:15" x14ac:dyDescent="0.3">
      <c r="A969" t="s">
        <v>1625</v>
      </c>
      <c r="B969" t="s">
        <v>1846</v>
      </c>
      <c r="C969">
        <v>2025</v>
      </c>
      <c r="D969" t="s">
        <v>272</v>
      </c>
      <c r="E969" t="s">
        <v>1850</v>
      </c>
      <c r="F969" t="s">
        <v>1851</v>
      </c>
      <c r="G969" t="s">
        <v>292</v>
      </c>
      <c r="H969">
        <v>12</v>
      </c>
      <c r="I969" t="s">
        <v>1852</v>
      </c>
      <c r="J969" t="s">
        <v>294</v>
      </c>
      <c r="M969" t="s">
        <v>295</v>
      </c>
      <c r="N969" t="s">
        <v>296</v>
      </c>
      <c r="O969" t="s">
        <v>297</v>
      </c>
    </row>
    <row r="970" spans="1:15" x14ac:dyDescent="0.3">
      <c r="A970" t="s">
        <v>1625</v>
      </c>
      <c r="B970" t="s">
        <v>1846</v>
      </c>
      <c r="C970">
        <v>2025</v>
      </c>
      <c r="D970" t="s">
        <v>272</v>
      </c>
      <c r="E970" t="s">
        <v>1853</v>
      </c>
      <c r="F970" t="s">
        <v>1854</v>
      </c>
      <c r="G970" t="s">
        <v>292</v>
      </c>
      <c r="H970">
        <v>45</v>
      </c>
      <c r="I970" t="s">
        <v>1855</v>
      </c>
      <c r="J970" t="s">
        <v>294</v>
      </c>
      <c r="M970" t="s">
        <v>295</v>
      </c>
      <c r="N970" t="s">
        <v>296</v>
      </c>
      <c r="O970" t="s">
        <v>297</v>
      </c>
    </row>
    <row r="971" spans="1:15" x14ac:dyDescent="0.3">
      <c r="A971" t="s">
        <v>1625</v>
      </c>
      <c r="B971" t="s">
        <v>1846</v>
      </c>
      <c r="C971">
        <v>2025</v>
      </c>
      <c r="D971" t="s">
        <v>300</v>
      </c>
      <c r="E971" t="s">
        <v>1856</v>
      </c>
      <c r="F971">
        <v>13970.811</v>
      </c>
      <c r="G971" t="s">
        <v>302</v>
      </c>
      <c r="H971">
        <v>14</v>
      </c>
      <c r="I971" t="s">
        <v>1857</v>
      </c>
      <c r="J971" t="s">
        <v>294</v>
      </c>
      <c r="M971" t="s">
        <v>295</v>
      </c>
      <c r="N971" t="s">
        <v>296</v>
      </c>
      <c r="O971" t="s">
        <v>297</v>
      </c>
    </row>
    <row r="972" spans="1:15" x14ac:dyDescent="0.3">
      <c r="A972" t="s">
        <v>1625</v>
      </c>
      <c r="B972" t="s">
        <v>1846</v>
      </c>
      <c r="C972">
        <v>2025</v>
      </c>
      <c r="D972" t="s">
        <v>300</v>
      </c>
      <c r="E972" t="s">
        <v>1858</v>
      </c>
      <c r="F972">
        <v>-11988.509</v>
      </c>
      <c r="G972" t="s">
        <v>302</v>
      </c>
      <c r="H972">
        <v>14</v>
      </c>
      <c r="I972" t="s">
        <v>1859</v>
      </c>
      <c r="J972" t="s">
        <v>294</v>
      </c>
      <c r="M972" t="s">
        <v>295</v>
      </c>
      <c r="N972" t="s">
        <v>296</v>
      </c>
      <c r="O972" t="s">
        <v>297</v>
      </c>
    </row>
    <row r="973" spans="1:15" x14ac:dyDescent="0.3">
      <c r="A973" t="s">
        <v>1625</v>
      </c>
      <c r="B973" t="s">
        <v>1846</v>
      </c>
      <c r="C973">
        <v>2025</v>
      </c>
      <c r="D973" t="s">
        <v>300</v>
      </c>
      <c r="E973" t="s">
        <v>1860</v>
      </c>
      <c r="F973">
        <v>1982.3019999999999</v>
      </c>
      <c r="G973" t="s">
        <v>302</v>
      </c>
      <c r="H973">
        <v>14</v>
      </c>
      <c r="I973" t="s">
        <v>1861</v>
      </c>
      <c r="J973" t="s">
        <v>294</v>
      </c>
      <c r="M973" t="s">
        <v>295</v>
      </c>
      <c r="N973" t="s">
        <v>296</v>
      </c>
      <c r="O973" t="s">
        <v>297</v>
      </c>
    </row>
    <row r="974" spans="1:15" x14ac:dyDescent="0.3">
      <c r="A974" t="s">
        <v>1625</v>
      </c>
      <c r="B974" t="s">
        <v>1846</v>
      </c>
      <c r="C974">
        <v>2025</v>
      </c>
      <c r="D974" t="s">
        <v>300</v>
      </c>
      <c r="E974" t="s">
        <v>1862</v>
      </c>
      <c r="F974">
        <v>366.41800000000001</v>
      </c>
      <c r="G974" t="s">
        <v>302</v>
      </c>
      <c r="H974">
        <v>14</v>
      </c>
      <c r="I974" t="s">
        <v>1863</v>
      </c>
      <c r="J974" t="s">
        <v>294</v>
      </c>
      <c r="M974" t="s">
        <v>295</v>
      </c>
      <c r="N974" t="s">
        <v>296</v>
      </c>
      <c r="O974" t="s">
        <v>297</v>
      </c>
    </row>
    <row r="975" spans="1:15" x14ac:dyDescent="0.3">
      <c r="A975" t="s">
        <v>1625</v>
      </c>
      <c r="B975" t="s">
        <v>1846</v>
      </c>
      <c r="C975">
        <v>2025</v>
      </c>
      <c r="D975" t="s">
        <v>300</v>
      </c>
      <c r="E975" t="s">
        <v>1864</v>
      </c>
      <c r="F975">
        <v>148.441</v>
      </c>
      <c r="G975" t="s">
        <v>302</v>
      </c>
      <c r="H975">
        <v>14</v>
      </c>
      <c r="I975" t="s">
        <v>1865</v>
      </c>
      <c r="J975" t="s">
        <v>294</v>
      </c>
      <c r="M975" t="s">
        <v>295</v>
      </c>
      <c r="N975" t="s">
        <v>296</v>
      </c>
      <c r="O975" t="s">
        <v>297</v>
      </c>
    </row>
    <row r="976" spans="1:15" x14ac:dyDescent="0.3">
      <c r="A976" t="s">
        <v>1625</v>
      </c>
      <c r="B976" t="s">
        <v>1846</v>
      </c>
      <c r="C976">
        <v>2025</v>
      </c>
      <c r="D976" t="s">
        <v>300</v>
      </c>
      <c r="E976" t="s">
        <v>1866</v>
      </c>
      <c r="F976">
        <v>106.175</v>
      </c>
      <c r="G976" t="s">
        <v>302</v>
      </c>
      <c r="H976">
        <v>14</v>
      </c>
      <c r="I976" t="s">
        <v>1867</v>
      </c>
      <c r="J976" t="s">
        <v>294</v>
      </c>
      <c r="M976" t="s">
        <v>295</v>
      </c>
      <c r="N976" t="s">
        <v>296</v>
      </c>
      <c r="O976" t="s">
        <v>297</v>
      </c>
    </row>
    <row r="977" spans="1:15" x14ac:dyDescent="0.3">
      <c r="A977" t="s">
        <v>1625</v>
      </c>
      <c r="B977" t="s">
        <v>1846</v>
      </c>
      <c r="C977">
        <v>2025</v>
      </c>
      <c r="D977" t="s">
        <v>300</v>
      </c>
      <c r="E977" t="s">
        <v>1868</v>
      </c>
      <c r="F977">
        <v>33.979999999999997</v>
      </c>
      <c r="G977" t="s">
        <v>916</v>
      </c>
      <c r="H977">
        <v>14</v>
      </c>
      <c r="I977" t="s">
        <v>1869</v>
      </c>
      <c r="J977" t="s">
        <v>294</v>
      </c>
      <c r="M977" t="s">
        <v>295</v>
      </c>
      <c r="N977" t="s">
        <v>296</v>
      </c>
      <c r="O977" t="s">
        <v>297</v>
      </c>
    </row>
    <row r="978" spans="1:15" x14ac:dyDescent="0.3">
      <c r="A978" t="s">
        <v>1625</v>
      </c>
      <c r="B978" t="s">
        <v>1846</v>
      </c>
      <c r="C978">
        <v>2025</v>
      </c>
      <c r="D978" t="s">
        <v>300</v>
      </c>
      <c r="E978" t="s">
        <v>1870</v>
      </c>
      <c r="F978">
        <v>4117.8140000000003</v>
      </c>
      <c r="G978" t="s">
        <v>302</v>
      </c>
      <c r="H978">
        <v>14</v>
      </c>
      <c r="I978" t="s">
        <v>1871</v>
      </c>
      <c r="J978" t="s">
        <v>294</v>
      </c>
      <c r="M978" t="s">
        <v>295</v>
      </c>
      <c r="N978" t="s">
        <v>296</v>
      </c>
      <c r="O978" t="s">
        <v>297</v>
      </c>
    </row>
    <row r="979" spans="1:15" x14ac:dyDescent="0.3">
      <c r="A979" t="s">
        <v>1625</v>
      </c>
      <c r="B979" t="s">
        <v>1846</v>
      </c>
      <c r="C979">
        <v>2025</v>
      </c>
      <c r="D979" t="s">
        <v>300</v>
      </c>
      <c r="E979" t="s">
        <v>1872</v>
      </c>
      <c r="F979">
        <v>2811.84</v>
      </c>
      <c r="G979" t="s">
        <v>302</v>
      </c>
      <c r="H979">
        <v>14</v>
      </c>
      <c r="I979" t="s">
        <v>1873</v>
      </c>
      <c r="J979" t="s">
        <v>294</v>
      </c>
      <c r="M979" t="s">
        <v>295</v>
      </c>
      <c r="N979" t="s">
        <v>296</v>
      </c>
      <c r="O979" t="s">
        <v>297</v>
      </c>
    </row>
    <row r="980" spans="1:15" x14ac:dyDescent="0.3">
      <c r="A980" t="s">
        <v>1625</v>
      </c>
      <c r="B980" t="s">
        <v>1846</v>
      </c>
      <c r="C980">
        <v>2025</v>
      </c>
      <c r="D980" t="s">
        <v>300</v>
      </c>
      <c r="E980" t="s">
        <v>1874</v>
      </c>
      <c r="F980">
        <v>1305.9739999999999</v>
      </c>
      <c r="G980" t="s">
        <v>302</v>
      </c>
      <c r="H980">
        <v>14</v>
      </c>
      <c r="I980" t="s">
        <v>1875</v>
      </c>
      <c r="J980" t="s">
        <v>294</v>
      </c>
      <c r="M980" t="s">
        <v>295</v>
      </c>
      <c r="N980" t="s">
        <v>296</v>
      </c>
      <c r="O980" t="s">
        <v>297</v>
      </c>
    </row>
    <row r="981" spans="1:15" x14ac:dyDescent="0.3">
      <c r="A981" t="s">
        <v>1625</v>
      </c>
      <c r="B981" t="s">
        <v>1846</v>
      </c>
      <c r="C981">
        <v>2025</v>
      </c>
      <c r="D981" t="s">
        <v>300</v>
      </c>
      <c r="E981" t="s">
        <v>1876</v>
      </c>
      <c r="F981">
        <v>3007.1990000000001</v>
      </c>
      <c r="G981" t="s">
        <v>302</v>
      </c>
      <c r="H981">
        <v>14</v>
      </c>
      <c r="I981" t="s">
        <v>1877</v>
      </c>
      <c r="J981" t="s">
        <v>294</v>
      </c>
      <c r="M981" t="s">
        <v>295</v>
      </c>
      <c r="N981" t="s">
        <v>296</v>
      </c>
      <c r="O981" t="s">
        <v>297</v>
      </c>
    </row>
    <row r="982" spans="1:15" x14ac:dyDescent="0.3">
      <c r="A982" t="s">
        <v>1625</v>
      </c>
      <c r="B982" t="s">
        <v>1846</v>
      </c>
      <c r="C982">
        <v>2025</v>
      </c>
      <c r="D982" t="s">
        <v>300</v>
      </c>
      <c r="E982" t="s">
        <v>1515</v>
      </c>
      <c r="F982">
        <v>2286.6619999999998</v>
      </c>
      <c r="G982" t="s">
        <v>302</v>
      </c>
      <c r="H982">
        <v>14</v>
      </c>
      <c r="I982" t="s">
        <v>1878</v>
      </c>
      <c r="J982" t="s">
        <v>294</v>
      </c>
      <c r="M982" t="s">
        <v>295</v>
      </c>
      <c r="N982" t="s">
        <v>296</v>
      </c>
      <c r="O982" t="s">
        <v>297</v>
      </c>
    </row>
    <row r="983" spans="1:15" x14ac:dyDescent="0.3">
      <c r="A983" t="s">
        <v>1625</v>
      </c>
      <c r="B983" t="s">
        <v>1846</v>
      </c>
      <c r="C983">
        <v>2025</v>
      </c>
      <c r="D983" t="s">
        <v>300</v>
      </c>
      <c r="E983" t="s">
        <v>1433</v>
      </c>
      <c r="F983">
        <v>720.53700000000003</v>
      </c>
      <c r="G983" t="s">
        <v>302</v>
      </c>
      <c r="H983">
        <v>14</v>
      </c>
      <c r="I983" t="s">
        <v>1879</v>
      </c>
      <c r="J983" t="s">
        <v>294</v>
      </c>
      <c r="M983" t="s">
        <v>295</v>
      </c>
      <c r="N983" t="s">
        <v>296</v>
      </c>
      <c r="O983" t="s">
        <v>297</v>
      </c>
    </row>
    <row r="984" spans="1:15" x14ac:dyDescent="0.3">
      <c r="A984" t="s">
        <v>1625</v>
      </c>
      <c r="B984" t="s">
        <v>1846</v>
      </c>
      <c r="C984">
        <v>2025</v>
      </c>
      <c r="D984" t="s">
        <v>300</v>
      </c>
      <c r="E984" t="s">
        <v>1880</v>
      </c>
      <c r="F984">
        <v>1110.615</v>
      </c>
      <c r="G984" t="s">
        <v>302</v>
      </c>
      <c r="H984">
        <v>14</v>
      </c>
      <c r="I984" t="s">
        <v>1881</v>
      </c>
      <c r="J984" t="s">
        <v>294</v>
      </c>
      <c r="M984" t="s">
        <v>295</v>
      </c>
      <c r="N984" t="s">
        <v>296</v>
      </c>
      <c r="O984" t="s">
        <v>297</v>
      </c>
    </row>
    <row r="985" spans="1:15" x14ac:dyDescent="0.3">
      <c r="A985" t="s">
        <v>1625</v>
      </c>
      <c r="B985" t="s">
        <v>1846</v>
      </c>
      <c r="C985">
        <v>2025</v>
      </c>
      <c r="D985" t="s">
        <v>300</v>
      </c>
      <c r="E985" t="s">
        <v>1776</v>
      </c>
      <c r="F985">
        <v>284.83499999999998</v>
      </c>
      <c r="G985" t="s">
        <v>302</v>
      </c>
      <c r="I985" t="s">
        <v>1882</v>
      </c>
      <c r="J985" t="s">
        <v>294</v>
      </c>
      <c r="M985" t="s">
        <v>295</v>
      </c>
      <c r="N985" t="s">
        <v>296</v>
      </c>
      <c r="O985" t="s">
        <v>297</v>
      </c>
    </row>
    <row r="986" spans="1:15" x14ac:dyDescent="0.3">
      <c r="A986" t="s">
        <v>1625</v>
      </c>
      <c r="B986" t="s">
        <v>1846</v>
      </c>
      <c r="C986">
        <v>2025</v>
      </c>
      <c r="D986" t="s">
        <v>300</v>
      </c>
      <c r="E986" t="s">
        <v>1883</v>
      </c>
      <c r="F986">
        <v>1218.4929999999999</v>
      </c>
      <c r="G986" t="s">
        <v>302</v>
      </c>
      <c r="I986" t="s">
        <v>1884</v>
      </c>
      <c r="J986" t="s">
        <v>294</v>
      </c>
      <c r="M986" t="s">
        <v>295</v>
      </c>
      <c r="N986" t="s">
        <v>296</v>
      </c>
      <c r="O986" t="s">
        <v>297</v>
      </c>
    </row>
    <row r="987" spans="1:15" x14ac:dyDescent="0.3">
      <c r="A987" t="s">
        <v>1625</v>
      </c>
      <c r="B987" t="s">
        <v>1846</v>
      </c>
      <c r="C987">
        <v>2025</v>
      </c>
      <c r="D987" t="s">
        <v>300</v>
      </c>
      <c r="E987" t="s">
        <v>1885</v>
      </c>
      <c r="F987">
        <v>554.51800000000003</v>
      </c>
      <c r="G987" t="s">
        <v>302</v>
      </c>
      <c r="I987" t="s">
        <v>1886</v>
      </c>
      <c r="J987" t="s">
        <v>294</v>
      </c>
      <c r="M987" t="s">
        <v>295</v>
      </c>
      <c r="N987" t="s">
        <v>296</v>
      </c>
      <c r="O987" t="s">
        <v>297</v>
      </c>
    </row>
    <row r="988" spans="1:15" x14ac:dyDescent="0.3">
      <c r="A988" t="s">
        <v>1625</v>
      </c>
      <c r="B988" t="s">
        <v>1846</v>
      </c>
      <c r="C988">
        <v>2025</v>
      </c>
      <c r="D988" t="s">
        <v>300</v>
      </c>
      <c r="E988" t="s">
        <v>1668</v>
      </c>
      <c r="F988">
        <v>124.83</v>
      </c>
      <c r="G988" t="s">
        <v>302</v>
      </c>
      <c r="I988" t="s">
        <v>1887</v>
      </c>
      <c r="J988" t="s">
        <v>294</v>
      </c>
      <c r="M988" t="s">
        <v>295</v>
      </c>
      <c r="N988" t="s">
        <v>296</v>
      </c>
      <c r="O988" t="s">
        <v>297</v>
      </c>
    </row>
    <row r="989" spans="1:15" x14ac:dyDescent="0.3">
      <c r="A989" t="s">
        <v>1625</v>
      </c>
      <c r="B989" t="s">
        <v>1846</v>
      </c>
      <c r="C989">
        <v>2025</v>
      </c>
      <c r="D989" t="s">
        <v>300</v>
      </c>
      <c r="E989" t="s">
        <v>1237</v>
      </c>
      <c r="F989">
        <v>395.71199999999999</v>
      </c>
      <c r="G989" t="s">
        <v>302</v>
      </c>
      <c r="H989">
        <v>105</v>
      </c>
      <c r="I989" t="s">
        <v>1888</v>
      </c>
      <c r="J989" t="s">
        <v>294</v>
      </c>
      <c r="M989" t="s">
        <v>295</v>
      </c>
      <c r="N989" t="s">
        <v>296</v>
      </c>
      <c r="O989" t="s">
        <v>297</v>
      </c>
    </row>
    <row r="990" spans="1:15" x14ac:dyDescent="0.3">
      <c r="A990" t="s">
        <v>1625</v>
      </c>
      <c r="B990" t="s">
        <v>1846</v>
      </c>
      <c r="C990">
        <v>2025</v>
      </c>
      <c r="D990" t="s">
        <v>300</v>
      </c>
      <c r="E990" t="s">
        <v>1889</v>
      </c>
      <c r="F990">
        <v>529.49099999999999</v>
      </c>
      <c r="G990" t="s">
        <v>302</v>
      </c>
      <c r="H990">
        <v>105</v>
      </c>
      <c r="I990" t="s">
        <v>1890</v>
      </c>
      <c r="J990" t="s">
        <v>294</v>
      </c>
      <c r="M990" t="s">
        <v>295</v>
      </c>
      <c r="N990" t="s">
        <v>296</v>
      </c>
      <c r="O990" t="s">
        <v>297</v>
      </c>
    </row>
    <row r="991" spans="1:15" x14ac:dyDescent="0.3">
      <c r="A991" t="s">
        <v>1625</v>
      </c>
      <c r="B991" t="s">
        <v>1846</v>
      </c>
      <c r="C991">
        <v>2025</v>
      </c>
      <c r="D991" t="s">
        <v>300</v>
      </c>
      <c r="E991" t="s">
        <v>1891</v>
      </c>
      <c r="F991">
        <v>-874.55</v>
      </c>
      <c r="G991" t="s">
        <v>302</v>
      </c>
      <c r="H991">
        <v>105</v>
      </c>
      <c r="I991" t="s">
        <v>1892</v>
      </c>
      <c r="J991" t="s">
        <v>294</v>
      </c>
      <c r="M991" t="s">
        <v>295</v>
      </c>
      <c r="N991" t="s">
        <v>296</v>
      </c>
      <c r="O991" t="s">
        <v>297</v>
      </c>
    </row>
    <row r="992" spans="1:15" x14ac:dyDescent="0.3">
      <c r="A992" t="s">
        <v>1625</v>
      </c>
      <c r="B992" t="s">
        <v>1846</v>
      </c>
      <c r="C992">
        <v>2025</v>
      </c>
      <c r="D992" t="s">
        <v>300</v>
      </c>
      <c r="E992" t="s">
        <v>1893</v>
      </c>
      <c r="F992">
        <v>258.90499999999997</v>
      </c>
      <c r="G992" t="s">
        <v>302</v>
      </c>
      <c r="I992" t="s">
        <v>1894</v>
      </c>
      <c r="J992" t="s">
        <v>294</v>
      </c>
      <c r="M992" t="s">
        <v>295</v>
      </c>
      <c r="N992" t="s">
        <v>296</v>
      </c>
      <c r="O992" t="s">
        <v>297</v>
      </c>
    </row>
    <row r="993" spans="1:15" x14ac:dyDescent="0.3">
      <c r="A993" t="s">
        <v>1625</v>
      </c>
      <c r="B993" t="s">
        <v>1846</v>
      </c>
      <c r="C993">
        <v>2025</v>
      </c>
      <c r="D993" t="s">
        <v>300</v>
      </c>
      <c r="E993" t="s">
        <v>1895</v>
      </c>
      <c r="F993">
        <v>46.703000000000003</v>
      </c>
      <c r="G993" t="s">
        <v>302</v>
      </c>
      <c r="I993" t="s">
        <v>1896</v>
      </c>
      <c r="J993" t="s">
        <v>294</v>
      </c>
      <c r="M993" t="s">
        <v>295</v>
      </c>
      <c r="N993" t="s">
        <v>296</v>
      </c>
      <c r="O993" t="s">
        <v>297</v>
      </c>
    </row>
    <row r="994" spans="1:15" x14ac:dyDescent="0.3">
      <c r="A994" t="s">
        <v>1625</v>
      </c>
      <c r="B994" t="s">
        <v>1846</v>
      </c>
      <c r="C994">
        <v>2025</v>
      </c>
      <c r="D994" t="s">
        <v>300</v>
      </c>
      <c r="E994" t="s">
        <v>1897</v>
      </c>
      <c r="F994">
        <v>1045</v>
      </c>
      <c r="G994" t="s">
        <v>916</v>
      </c>
      <c r="H994">
        <v>17</v>
      </c>
      <c r="I994" t="s">
        <v>1898</v>
      </c>
      <c r="J994" t="s">
        <v>294</v>
      </c>
      <c r="M994" t="s">
        <v>295</v>
      </c>
      <c r="N994" t="s">
        <v>296</v>
      </c>
      <c r="O994" t="s">
        <v>297</v>
      </c>
    </row>
    <row r="995" spans="1:15" x14ac:dyDescent="0.3">
      <c r="A995" t="s">
        <v>1625</v>
      </c>
      <c r="B995" t="s">
        <v>1846</v>
      </c>
      <c r="C995">
        <v>2025</v>
      </c>
      <c r="D995" t="s">
        <v>300</v>
      </c>
      <c r="E995" t="s">
        <v>1899</v>
      </c>
      <c r="F995">
        <v>0</v>
      </c>
      <c r="G995" t="s">
        <v>302</v>
      </c>
      <c r="H995">
        <v>116</v>
      </c>
      <c r="I995" t="s">
        <v>1900</v>
      </c>
      <c r="J995" t="s">
        <v>294</v>
      </c>
      <c r="M995" t="s">
        <v>295</v>
      </c>
      <c r="N995" t="s">
        <v>296</v>
      </c>
      <c r="O995" t="s">
        <v>297</v>
      </c>
    </row>
    <row r="996" spans="1:15" x14ac:dyDescent="0.3">
      <c r="A996" t="s">
        <v>1625</v>
      </c>
      <c r="B996" t="s">
        <v>1846</v>
      </c>
      <c r="C996">
        <v>2025</v>
      </c>
      <c r="D996" t="s">
        <v>358</v>
      </c>
      <c r="E996" t="s">
        <v>1688</v>
      </c>
      <c r="F996">
        <v>2500</v>
      </c>
      <c r="G996" t="s">
        <v>1689</v>
      </c>
      <c r="I996" t="s">
        <v>1901</v>
      </c>
      <c r="J996" t="s">
        <v>294</v>
      </c>
      <c r="M996" t="s">
        <v>295</v>
      </c>
      <c r="N996" t="s">
        <v>296</v>
      </c>
      <c r="O996" t="s">
        <v>297</v>
      </c>
    </row>
    <row r="997" spans="1:15" x14ac:dyDescent="0.3">
      <c r="A997" t="s">
        <v>1625</v>
      </c>
      <c r="B997" t="s">
        <v>1846</v>
      </c>
      <c r="C997">
        <v>2025</v>
      </c>
      <c r="D997" t="s">
        <v>358</v>
      </c>
      <c r="E997" t="s">
        <v>1801</v>
      </c>
      <c r="F997">
        <v>2500</v>
      </c>
      <c r="G997" t="s">
        <v>1689</v>
      </c>
      <c r="I997" t="s">
        <v>1902</v>
      </c>
      <c r="J997" t="s">
        <v>294</v>
      </c>
      <c r="M997" t="s">
        <v>295</v>
      </c>
      <c r="N997" t="s">
        <v>296</v>
      </c>
      <c r="O997" t="s">
        <v>297</v>
      </c>
    </row>
    <row r="998" spans="1:15" x14ac:dyDescent="0.3">
      <c r="A998" t="s">
        <v>1625</v>
      </c>
      <c r="B998" t="s">
        <v>1846</v>
      </c>
      <c r="C998">
        <v>2025</v>
      </c>
      <c r="D998" t="s">
        <v>358</v>
      </c>
      <c r="E998" t="s">
        <v>1693</v>
      </c>
      <c r="F998">
        <v>600</v>
      </c>
      <c r="G998" t="s">
        <v>1689</v>
      </c>
      <c r="I998" t="s">
        <v>1903</v>
      </c>
      <c r="J998" t="s">
        <v>294</v>
      </c>
      <c r="M998" t="s">
        <v>295</v>
      </c>
      <c r="N998" t="s">
        <v>296</v>
      </c>
      <c r="O998" t="s">
        <v>297</v>
      </c>
    </row>
    <row r="999" spans="1:15" x14ac:dyDescent="0.3">
      <c r="A999" t="s">
        <v>1625</v>
      </c>
      <c r="B999" t="s">
        <v>1846</v>
      </c>
      <c r="C999">
        <v>2025</v>
      </c>
      <c r="D999" t="s">
        <v>358</v>
      </c>
      <c r="E999" t="s">
        <v>1904</v>
      </c>
      <c r="F999">
        <v>222222</v>
      </c>
      <c r="G999" t="s">
        <v>1905</v>
      </c>
      <c r="H999">
        <v>94</v>
      </c>
      <c r="I999" t="s">
        <v>1906</v>
      </c>
      <c r="J999" t="s">
        <v>294</v>
      </c>
      <c r="M999" t="s">
        <v>295</v>
      </c>
      <c r="N999" t="s">
        <v>296</v>
      </c>
      <c r="O999" t="s">
        <v>297</v>
      </c>
    </row>
    <row r="1000" spans="1:15" x14ac:dyDescent="0.3">
      <c r="A1000" t="s">
        <v>1625</v>
      </c>
      <c r="B1000" t="s">
        <v>1846</v>
      </c>
      <c r="C1000">
        <v>2025</v>
      </c>
      <c r="D1000" t="s">
        <v>394</v>
      </c>
      <c r="E1000" t="s">
        <v>1907</v>
      </c>
      <c r="F1000">
        <v>603670</v>
      </c>
      <c r="G1000" t="s">
        <v>1293</v>
      </c>
      <c r="H1000">
        <v>115</v>
      </c>
      <c r="I1000" t="s">
        <v>1908</v>
      </c>
      <c r="J1000" t="s">
        <v>294</v>
      </c>
      <c r="M1000" t="s">
        <v>295</v>
      </c>
      <c r="N1000" t="s">
        <v>296</v>
      </c>
      <c r="O1000" t="s">
        <v>297</v>
      </c>
    </row>
    <row r="1001" spans="1:15" x14ac:dyDescent="0.3">
      <c r="A1001" t="s">
        <v>1625</v>
      </c>
      <c r="B1001" t="s">
        <v>1846</v>
      </c>
      <c r="C1001">
        <v>2025</v>
      </c>
      <c r="D1001" t="s">
        <v>394</v>
      </c>
      <c r="E1001" t="s">
        <v>1806</v>
      </c>
      <c r="F1001">
        <v>578928</v>
      </c>
      <c r="G1001" t="s">
        <v>1293</v>
      </c>
      <c r="H1001">
        <v>12</v>
      </c>
      <c r="I1001" t="s">
        <v>1909</v>
      </c>
      <c r="J1001" t="s">
        <v>294</v>
      </c>
      <c r="M1001" t="s">
        <v>295</v>
      </c>
      <c r="N1001" t="s">
        <v>296</v>
      </c>
      <c r="O1001" t="s">
        <v>297</v>
      </c>
    </row>
    <row r="1002" spans="1:15" x14ac:dyDescent="0.3">
      <c r="A1002" t="s">
        <v>1625</v>
      </c>
      <c r="B1002" t="s">
        <v>1846</v>
      </c>
      <c r="C1002">
        <v>2025</v>
      </c>
      <c r="D1002" t="s">
        <v>394</v>
      </c>
      <c r="E1002" t="s">
        <v>1808</v>
      </c>
      <c r="F1002">
        <v>467921</v>
      </c>
      <c r="G1002" t="s">
        <v>1293</v>
      </c>
      <c r="H1002">
        <v>12</v>
      </c>
      <c r="I1002" t="s">
        <v>1910</v>
      </c>
      <c r="J1002" t="s">
        <v>294</v>
      </c>
      <c r="M1002" t="s">
        <v>295</v>
      </c>
      <c r="N1002" t="s">
        <v>296</v>
      </c>
      <c r="O1002" t="s">
        <v>297</v>
      </c>
    </row>
    <row r="1003" spans="1:15" x14ac:dyDescent="0.3">
      <c r="A1003" t="s">
        <v>1625</v>
      </c>
      <c r="B1003" t="s">
        <v>1846</v>
      </c>
      <c r="C1003">
        <v>2025</v>
      </c>
      <c r="D1003" t="s">
        <v>394</v>
      </c>
      <c r="E1003" t="s">
        <v>1810</v>
      </c>
      <c r="F1003">
        <v>101320</v>
      </c>
      <c r="G1003" t="s">
        <v>1293</v>
      </c>
      <c r="H1003">
        <v>12</v>
      </c>
      <c r="I1003" t="s">
        <v>1911</v>
      </c>
      <c r="J1003" t="s">
        <v>294</v>
      </c>
      <c r="M1003" t="s">
        <v>295</v>
      </c>
      <c r="N1003" t="s">
        <v>296</v>
      </c>
      <c r="O1003" t="s">
        <v>297</v>
      </c>
    </row>
    <row r="1004" spans="1:15" x14ac:dyDescent="0.3">
      <c r="A1004" t="s">
        <v>1625</v>
      </c>
      <c r="B1004" t="s">
        <v>1846</v>
      </c>
      <c r="C1004">
        <v>2025</v>
      </c>
      <c r="D1004" t="s">
        <v>394</v>
      </c>
      <c r="E1004" t="s">
        <v>1812</v>
      </c>
      <c r="F1004">
        <v>21898</v>
      </c>
      <c r="G1004" t="s">
        <v>1293</v>
      </c>
      <c r="H1004">
        <v>12</v>
      </c>
      <c r="I1004" t="s">
        <v>1912</v>
      </c>
      <c r="J1004" t="s">
        <v>294</v>
      </c>
      <c r="M1004" t="s">
        <v>295</v>
      </c>
      <c r="N1004" t="s">
        <v>296</v>
      </c>
      <c r="O1004" t="s">
        <v>297</v>
      </c>
    </row>
    <row r="1005" spans="1:15" x14ac:dyDescent="0.3">
      <c r="A1005" t="s">
        <v>1625</v>
      </c>
      <c r="B1005" t="s">
        <v>1846</v>
      </c>
      <c r="C1005">
        <v>2025</v>
      </c>
      <c r="D1005" t="s">
        <v>394</v>
      </c>
      <c r="E1005" t="s">
        <v>1913</v>
      </c>
      <c r="F1005">
        <v>9166</v>
      </c>
      <c r="G1005" t="s">
        <v>1293</v>
      </c>
      <c r="H1005">
        <v>12</v>
      </c>
      <c r="I1005" t="s">
        <v>1914</v>
      </c>
      <c r="J1005" t="s">
        <v>294</v>
      </c>
      <c r="M1005" t="s">
        <v>295</v>
      </c>
      <c r="N1005" t="s">
        <v>296</v>
      </c>
      <c r="O1005" t="s">
        <v>297</v>
      </c>
    </row>
    <row r="1006" spans="1:15" x14ac:dyDescent="0.3">
      <c r="A1006" t="s">
        <v>1625</v>
      </c>
      <c r="B1006" t="s">
        <v>1846</v>
      </c>
      <c r="C1006">
        <v>2025</v>
      </c>
      <c r="D1006" t="s">
        <v>394</v>
      </c>
      <c r="E1006" t="s">
        <v>1816</v>
      </c>
      <c r="F1006">
        <v>476457</v>
      </c>
      <c r="G1006" t="s">
        <v>1293</v>
      </c>
      <c r="H1006">
        <v>12</v>
      </c>
      <c r="I1006" t="s">
        <v>1915</v>
      </c>
      <c r="J1006" t="s">
        <v>294</v>
      </c>
      <c r="M1006" t="s">
        <v>295</v>
      </c>
      <c r="N1006" t="s">
        <v>296</v>
      </c>
      <c r="O1006" t="s">
        <v>297</v>
      </c>
    </row>
    <row r="1007" spans="1:15" x14ac:dyDescent="0.3">
      <c r="A1007" t="s">
        <v>1625</v>
      </c>
      <c r="B1007" t="s">
        <v>1846</v>
      </c>
      <c r="C1007">
        <v>2025</v>
      </c>
      <c r="D1007" t="s">
        <v>394</v>
      </c>
      <c r="E1007" t="s">
        <v>1818</v>
      </c>
      <c r="F1007">
        <v>110983</v>
      </c>
      <c r="G1007" t="s">
        <v>1293</v>
      </c>
      <c r="H1007">
        <v>12</v>
      </c>
      <c r="I1007" t="s">
        <v>1916</v>
      </c>
      <c r="J1007" t="s">
        <v>294</v>
      </c>
      <c r="M1007" t="s">
        <v>295</v>
      </c>
      <c r="N1007" t="s">
        <v>296</v>
      </c>
      <c r="O1007" t="s">
        <v>297</v>
      </c>
    </row>
    <row r="1008" spans="1:15" x14ac:dyDescent="0.3">
      <c r="A1008" t="s">
        <v>1625</v>
      </c>
      <c r="B1008" t="s">
        <v>1846</v>
      </c>
      <c r="C1008">
        <v>2025</v>
      </c>
      <c r="D1008" t="s">
        <v>394</v>
      </c>
      <c r="E1008" t="s">
        <v>1820</v>
      </c>
      <c r="F1008">
        <v>17699</v>
      </c>
      <c r="G1008" t="s">
        <v>1293</v>
      </c>
      <c r="H1008">
        <v>12</v>
      </c>
      <c r="I1008" t="s">
        <v>1917</v>
      </c>
      <c r="J1008" t="s">
        <v>294</v>
      </c>
      <c r="M1008" t="s">
        <v>295</v>
      </c>
      <c r="N1008" t="s">
        <v>296</v>
      </c>
      <c r="O1008" t="s">
        <v>297</v>
      </c>
    </row>
    <row r="1009" spans="1:15" x14ac:dyDescent="0.3">
      <c r="A1009" t="s">
        <v>1625</v>
      </c>
      <c r="B1009" t="s">
        <v>1846</v>
      </c>
      <c r="C1009">
        <v>2025</v>
      </c>
      <c r="D1009" t="s">
        <v>394</v>
      </c>
      <c r="E1009" t="s">
        <v>1918</v>
      </c>
      <c r="F1009">
        <v>0.71020000000000005</v>
      </c>
      <c r="G1009" t="s">
        <v>1283</v>
      </c>
      <c r="H1009">
        <v>93</v>
      </c>
      <c r="I1009" t="s">
        <v>1919</v>
      </c>
      <c r="J1009" t="s">
        <v>294</v>
      </c>
      <c r="M1009" t="s">
        <v>295</v>
      </c>
      <c r="N1009" t="s">
        <v>296</v>
      </c>
      <c r="O1009" t="s">
        <v>297</v>
      </c>
    </row>
    <row r="1010" spans="1:15" x14ac:dyDescent="0.3">
      <c r="A1010" t="s">
        <v>1625</v>
      </c>
      <c r="B1010" t="s">
        <v>1846</v>
      </c>
      <c r="C1010">
        <v>2025</v>
      </c>
      <c r="D1010" t="s">
        <v>394</v>
      </c>
      <c r="E1010" t="s">
        <v>1920</v>
      </c>
      <c r="F1010">
        <v>0.66969999999999996</v>
      </c>
      <c r="G1010" t="s">
        <v>1283</v>
      </c>
      <c r="H1010">
        <v>93</v>
      </c>
      <c r="I1010" t="s">
        <v>1921</v>
      </c>
      <c r="J1010" t="s">
        <v>294</v>
      </c>
      <c r="M1010" t="s">
        <v>295</v>
      </c>
      <c r="N1010" t="s">
        <v>296</v>
      </c>
      <c r="O1010" t="s">
        <v>297</v>
      </c>
    </row>
    <row r="1011" spans="1:15" x14ac:dyDescent="0.3">
      <c r="A1011" t="s">
        <v>1625</v>
      </c>
      <c r="B1011" t="s">
        <v>1846</v>
      </c>
      <c r="C1011">
        <v>2025</v>
      </c>
      <c r="D1011" t="s">
        <v>394</v>
      </c>
      <c r="E1011" t="s">
        <v>1922</v>
      </c>
      <c r="F1011">
        <v>0.50660000000000005</v>
      </c>
      <c r="G1011" t="s">
        <v>1283</v>
      </c>
      <c r="H1011">
        <v>94</v>
      </c>
      <c r="I1011" t="s">
        <v>1923</v>
      </c>
      <c r="J1011" t="s">
        <v>294</v>
      </c>
      <c r="M1011" t="s">
        <v>295</v>
      </c>
      <c r="N1011" t="s">
        <v>296</v>
      </c>
      <c r="O1011" t="s">
        <v>297</v>
      </c>
    </row>
    <row r="1012" spans="1:15" x14ac:dyDescent="0.3">
      <c r="A1012" t="s">
        <v>1625</v>
      </c>
      <c r="B1012" t="s">
        <v>1846</v>
      </c>
      <c r="C1012">
        <v>2025</v>
      </c>
      <c r="D1012" t="s">
        <v>394</v>
      </c>
      <c r="E1012" t="s">
        <v>1924</v>
      </c>
      <c r="F1012">
        <v>0.41949999999999998</v>
      </c>
      <c r="G1012" t="s">
        <v>1283</v>
      </c>
      <c r="H1012">
        <v>94</v>
      </c>
      <c r="I1012" t="s">
        <v>1925</v>
      </c>
      <c r="J1012" t="s">
        <v>294</v>
      </c>
      <c r="M1012" t="s">
        <v>295</v>
      </c>
      <c r="N1012" t="s">
        <v>296</v>
      </c>
      <c r="O1012" t="s">
        <v>297</v>
      </c>
    </row>
    <row r="1013" spans="1:15" x14ac:dyDescent="0.3">
      <c r="A1013" t="s">
        <v>1625</v>
      </c>
      <c r="B1013" t="s">
        <v>1846</v>
      </c>
      <c r="C1013">
        <v>2025</v>
      </c>
      <c r="D1013" t="s">
        <v>394</v>
      </c>
      <c r="E1013" t="s">
        <v>1926</v>
      </c>
      <c r="F1013">
        <v>10986.874</v>
      </c>
      <c r="G1013" t="s">
        <v>302</v>
      </c>
      <c r="I1013" t="s">
        <v>1927</v>
      </c>
      <c r="J1013" t="s">
        <v>294</v>
      </c>
      <c r="M1013" t="s">
        <v>295</v>
      </c>
      <c r="N1013" t="s">
        <v>296</v>
      </c>
      <c r="O1013" t="s">
        <v>297</v>
      </c>
    </row>
    <row r="1014" spans="1:15" x14ac:dyDescent="0.3">
      <c r="A1014" t="s">
        <v>1625</v>
      </c>
      <c r="B1014" t="s">
        <v>1846</v>
      </c>
      <c r="C1014">
        <v>2025</v>
      </c>
      <c r="D1014" t="s">
        <v>394</v>
      </c>
      <c r="E1014" t="s">
        <v>1928</v>
      </c>
      <c r="F1014">
        <v>2983.9369999999999</v>
      </c>
      <c r="G1014" t="s">
        <v>302</v>
      </c>
      <c r="I1014" t="s">
        <v>1929</v>
      </c>
      <c r="J1014" t="s">
        <v>294</v>
      </c>
      <c r="M1014" t="s">
        <v>295</v>
      </c>
      <c r="N1014" t="s">
        <v>296</v>
      </c>
      <c r="O1014" t="s">
        <v>297</v>
      </c>
    </row>
    <row r="1015" spans="1:15" x14ac:dyDescent="0.3">
      <c r="A1015" t="s">
        <v>1625</v>
      </c>
      <c r="B1015" t="s">
        <v>1846</v>
      </c>
      <c r="C1015">
        <v>2025</v>
      </c>
      <c r="D1015" t="s">
        <v>394</v>
      </c>
      <c r="E1015" t="s">
        <v>1930</v>
      </c>
      <c r="F1015">
        <v>1165600</v>
      </c>
      <c r="G1015" t="s">
        <v>1293</v>
      </c>
      <c r="H1015">
        <v>115</v>
      </c>
      <c r="I1015" t="s">
        <v>1931</v>
      </c>
      <c r="J1015" t="s">
        <v>294</v>
      </c>
      <c r="M1015" t="s">
        <v>295</v>
      </c>
      <c r="N1015" t="s">
        <v>296</v>
      </c>
      <c r="O1015" t="s">
        <v>297</v>
      </c>
    </row>
    <row r="1016" spans="1:15" x14ac:dyDescent="0.3">
      <c r="A1016" t="s">
        <v>1625</v>
      </c>
      <c r="B1016" t="s">
        <v>1846</v>
      </c>
      <c r="C1016">
        <v>2025</v>
      </c>
      <c r="D1016" t="s">
        <v>394</v>
      </c>
      <c r="E1016" t="s">
        <v>1932</v>
      </c>
      <c r="F1016">
        <v>23439.916000000001</v>
      </c>
      <c r="G1016" t="s">
        <v>302</v>
      </c>
      <c r="H1016">
        <v>115</v>
      </c>
      <c r="I1016" t="s">
        <v>1933</v>
      </c>
      <c r="J1016" t="s">
        <v>294</v>
      </c>
      <c r="M1016" t="s">
        <v>295</v>
      </c>
      <c r="N1016" t="s">
        <v>296</v>
      </c>
      <c r="O1016" t="s">
        <v>297</v>
      </c>
    </row>
    <row r="1017" spans="1:15" x14ac:dyDescent="0.3">
      <c r="A1017" t="s">
        <v>1625</v>
      </c>
      <c r="B1017" t="s">
        <v>1846</v>
      </c>
      <c r="C1017">
        <v>2025</v>
      </c>
      <c r="D1017" t="s">
        <v>563</v>
      </c>
      <c r="E1017" t="s">
        <v>1934</v>
      </c>
      <c r="F1017">
        <v>1754.702</v>
      </c>
      <c r="G1017" t="s">
        <v>302</v>
      </c>
      <c r="I1017" t="s">
        <v>1935</v>
      </c>
      <c r="J1017" t="s">
        <v>294</v>
      </c>
      <c r="M1017" t="s">
        <v>295</v>
      </c>
      <c r="N1017" t="s">
        <v>296</v>
      </c>
      <c r="O1017" t="s">
        <v>297</v>
      </c>
    </row>
    <row r="1018" spans="1:15" x14ac:dyDescent="0.3">
      <c r="A1018" t="s">
        <v>1625</v>
      </c>
      <c r="B1018" t="s">
        <v>1846</v>
      </c>
      <c r="C1018">
        <v>2025</v>
      </c>
      <c r="D1018" t="s">
        <v>252</v>
      </c>
      <c r="E1018" t="s">
        <v>1936</v>
      </c>
      <c r="F1018">
        <v>850000</v>
      </c>
      <c r="G1018" t="s">
        <v>1106</v>
      </c>
      <c r="I1018" t="s">
        <v>1937</v>
      </c>
      <c r="J1018" t="s">
        <v>294</v>
      </c>
      <c r="M1018" t="s">
        <v>295</v>
      </c>
      <c r="N1018" t="s">
        <v>296</v>
      </c>
      <c r="O1018" t="s">
        <v>297</v>
      </c>
    </row>
    <row r="1019" spans="1:15" x14ac:dyDescent="0.3">
      <c r="A1019" t="s">
        <v>1938</v>
      </c>
      <c r="B1019" t="s">
        <v>1939</v>
      </c>
      <c r="C1019">
        <v>2022</v>
      </c>
      <c r="D1019" t="s">
        <v>272</v>
      </c>
      <c r="E1019" t="s">
        <v>1940</v>
      </c>
      <c r="F1019" t="s">
        <v>1941</v>
      </c>
      <c r="G1019" t="s">
        <v>666</v>
      </c>
      <c r="H1019">
        <v>60</v>
      </c>
      <c r="I1019" t="s">
        <v>1942</v>
      </c>
      <c r="J1019" t="s">
        <v>294</v>
      </c>
      <c r="M1019" t="s">
        <v>295</v>
      </c>
      <c r="N1019" t="s">
        <v>296</v>
      </c>
      <c r="O1019" t="s">
        <v>297</v>
      </c>
    </row>
    <row r="1020" spans="1:15" x14ac:dyDescent="0.3">
      <c r="A1020" t="s">
        <v>1938</v>
      </c>
      <c r="B1020" t="s">
        <v>1939</v>
      </c>
      <c r="C1020">
        <v>2022</v>
      </c>
      <c r="D1020" t="s">
        <v>272</v>
      </c>
      <c r="E1020" t="s">
        <v>1943</v>
      </c>
      <c r="F1020">
        <v>125</v>
      </c>
      <c r="G1020" t="s">
        <v>916</v>
      </c>
      <c r="H1020">
        <v>60</v>
      </c>
      <c r="I1020" t="s">
        <v>1944</v>
      </c>
      <c r="J1020" t="s">
        <v>294</v>
      </c>
      <c r="M1020" t="s">
        <v>295</v>
      </c>
      <c r="N1020" t="s">
        <v>296</v>
      </c>
      <c r="O1020" t="s">
        <v>297</v>
      </c>
    </row>
    <row r="1021" spans="1:15" x14ac:dyDescent="0.3">
      <c r="A1021" t="s">
        <v>1938</v>
      </c>
      <c r="B1021" t="s">
        <v>1939</v>
      </c>
      <c r="C1021">
        <v>2022</v>
      </c>
      <c r="D1021" t="s">
        <v>272</v>
      </c>
      <c r="E1021" t="s">
        <v>1945</v>
      </c>
      <c r="F1021" t="s">
        <v>1946</v>
      </c>
      <c r="G1021" t="s">
        <v>292</v>
      </c>
      <c r="H1021">
        <v>61</v>
      </c>
      <c r="I1021" t="s">
        <v>1947</v>
      </c>
      <c r="J1021" t="s">
        <v>294</v>
      </c>
      <c r="M1021" t="s">
        <v>295</v>
      </c>
      <c r="N1021" t="s">
        <v>296</v>
      </c>
      <c r="O1021" t="s">
        <v>297</v>
      </c>
    </row>
    <row r="1022" spans="1:15" x14ac:dyDescent="0.3">
      <c r="A1022" t="s">
        <v>1938</v>
      </c>
      <c r="B1022" t="s">
        <v>1939</v>
      </c>
      <c r="C1022">
        <v>2022</v>
      </c>
      <c r="D1022" t="s">
        <v>272</v>
      </c>
      <c r="E1022" t="s">
        <v>1948</v>
      </c>
      <c r="F1022">
        <v>6</v>
      </c>
      <c r="G1022" t="s">
        <v>384</v>
      </c>
      <c r="H1022">
        <v>64</v>
      </c>
      <c r="I1022" t="s">
        <v>1949</v>
      </c>
      <c r="J1022" t="s">
        <v>294</v>
      </c>
      <c r="M1022" t="s">
        <v>295</v>
      </c>
      <c r="N1022" t="s">
        <v>296</v>
      </c>
      <c r="O1022" t="s">
        <v>297</v>
      </c>
    </row>
    <row r="1023" spans="1:15" x14ac:dyDescent="0.3">
      <c r="A1023" t="s">
        <v>1938</v>
      </c>
      <c r="B1023" t="s">
        <v>1939</v>
      </c>
      <c r="C1023">
        <v>2022</v>
      </c>
      <c r="D1023" t="s">
        <v>300</v>
      </c>
      <c r="E1023" t="s">
        <v>1950</v>
      </c>
      <c r="F1023">
        <v>970.572</v>
      </c>
      <c r="G1023" t="s">
        <v>302</v>
      </c>
      <c r="H1023">
        <v>21</v>
      </c>
      <c r="I1023" t="s">
        <v>1951</v>
      </c>
      <c r="J1023" t="s">
        <v>294</v>
      </c>
      <c r="M1023" t="s">
        <v>295</v>
      </c>
      <c r="N1023" t="s">
        <v>296</v>
      </c>
      <c r="O1023" t="s">
        <v>297</v>
      </c>
    </row>
    <row r="1024" spans="1:15" x14ac:dyDescent="0.3">
      <c r="A1024" t="s">
        <v>1938</v>
      </c>
      <c r="B1024" t="s">
        <v>1939</v>
      </c>
      <c r="C1024">
        <v>2022</v>
      </c>
      <c r="D1024" t="s">
        <v>300</v>
      </c>
      <c r="E1024" t="s">
        <v>1952</v>
      </c>
      <c r="F1024">
        <v>571.75900000000001</v>
      </c>
      <c r="G1024" t="s">
        <v>302</v>
      </c>
      <c r="H1024">
        <v>21</v>
      </c>
      <c r="I1024" t="s">
        <v>1953</v>
      </c>
      <c r="J1024" t="s">
        <v>294</v>
      </c>
      <c r="M1024" t="s">
        <v>295</v>
      </c>
      <c r="N1024" t="s">
        <v>296</v>
      </c>
      <c r="O1024" t="s">
        <v>297</v>
      </c>
    </row>
    <row r="1025" spans="1:15" x14ac:dyDescent="0.3">
      <c r="A1025" t="s">
        <v>1938</v>
      </c>
      <c r="B1025" t="s">
        <v>1939</v>
      </c>
      <c r="C1025">
        <v>2022</v>
      </c>
      <c r="D1025" t="s">
        <v>300</v>
      </c>
      <c r="E1025" t="s">
        <v>1954</v>
      </c>
      <c r="F1025">
        <v>396.17399999999998</v>
      </c>
      <c r="G1025" t="s">
        <v>302</v>
      </c>
      <c r="H1025">
        <v>21</v>
      </c>
      <c r="I1025" t="s">
        <v>1955</v>
      </c>
      <c r="J1025" t="s">
        <v>294</v>
      </c>
      <c r="M1025" t="s">
        <v>295</v>
      </c>
      <c r="N1025" t="s">
        <v>296</v>
      </c>
      <c r="O1025" t="s">
        <v>297</v>
      </c>
    </row>
    <row r="1026" spans="1:15" x14ac:dyDescent="0.3">
      <c r="A1026" t="s">
        <v>1938</v>
      </c>
      <c r="B1026" t="s">
        <v>1939</v>
      </c>
      <c r="C1026">
        <v>2022</v>
      </c>
      <c r="D1026" t="s">
        <v>300</v>
      </c>
      <c r="E1026" t="s">
        <v>1956</v>
      </c>
      <c r="F1026">
        <v>252.40700000000001</v>
      </c>
      <c r="G1026" t="s">
        <v>302</v>
      </c>
      <c r="H1026">
        <v>21</v>
      </c>
      <c r="I1026" t="s">
        <v>1957</v>
      </c>
      <c r="J1026" t="s">
        <v>294</v>
      </c>
      <c r="M1026" t="s">
        <v>295</v>
      </c>
      <c r="N1026" t="s">
        <v>296</v>
      </c>
      <c r="O1026" t="s">
        <v>297</v>
      </c>
    </row>
    <row r="1027" spans="1:15" x14ac:dyDescent="0.3">
      <c r="A1027" t="s">
        <v>1938</v>
      </c>
      <c r="B1027" t="s">
        <v>1939</v>
      </c>
      <c r="C1027">
        <v>2022</v>
      </c>
      <c r="D1027" t="s">
        <v>300</v>
      </c>
      <c r="E1027" t="s">
        <v>1958</v>
      </c>
      <c r="F1027">
        <v>449.517</v>
      </c>
      <c r="G1027" t="s">
        <v>302</v>
      </c>
      <c r="H1027">
        <v>21</v>
      </c>
      <c r="I1027" t="s">
        <v>1959</v>
      </c>
      <c r="J1027" t="s">
        <v>294</v>
      </c>
      <c r="M1027" t="s">
        <v>295</v>
      </c>
      <c r="N1027" t="s">
        <v>296</v>
      </c>
      <c r="O1027" t="s">
        <v>297</v>
      </c>
    </row>
    <row r="1028" spans="1:15" x14ac:dyDescent="0.3">
      <c r="A1028" t="s">
        <v>1938</v>
      </c>
      <c r="B1028" t="s">
        <v>1939</v>
      </c>
      <c r="C1028">
        <v>2022</v>
      </c>
      <c r="D1028" t="s">
        <v>300</v>
      </c>
      <c r="E1028" t="s">
        <v>1960</v>
      </c>
      <c r="F1028">
        <v>123</v>
      </c>
      <c r="G1028" t="s">
        <v>916</v>
      </c>
      <c r="H1028">
        <v>21</v>
      </c>
      <c r="I1028" t="s">
        <v>1961</v>
      </c>
      <c r="J1028" t="s">
        <v>294</v>
      </c>
      <c r="M1028" t="s">
        <v>295</v>
      </c>
      <c r="N1028" t="s">
        <v>296</v>
      </c>
      <c r="O1028" t="s">
        <v>297</v>
      </c>
    </row>
    <row r="1029" spans="1:15" x14ac:dyDescent="0.3">
      <c r="A1029" t="s">
        <v>1938</v>
      </c>
      <c r="B1029" t="s">
        <v>1939</v>
      </c>
      <c r="C1029">
        <v>2022</v>
      </c>
      <c r="D1029" t="s">
        <v>300</v>
      </c>
      <c r="E1029" t="s">
        <v>1962</v>
      </c>
      <c r="F1029">
        <v>1835.2539999999999</v>
      </c>
      <c r="G1029" t="s">
        <v>302</v>
      </c>
      <c r="H1029">
        <v>21</v>
      </c>
      <c r="I1029" t="s">
        <v>1963</v>
      </c>
      <c r="J1029" t="s">
        <v>294</v>
      </c>
      <c r="M1029" t="s">
        <v>295</v>
      </c>
      <c r="N1029" t="s">
        <v>296</v>
      </c>
      <c r="O1029" t="s">
        <v>297</v>
      </c>
    </row>
    <row r="1030" spans="1:15" x14ac:dyDescent="0.3">
      <c r="A1030" t="s">
        <v>1938</v>
      </c>
      <c r="B1030" t="s">
        <v>1939</v>
      </c>
      <c r="C1030">
        <v>2022</v>
      </c>
      <c r="D1030" t="s">
        <v>300</v>
      </c>
      <c r="E1030" t="s">
        <v>1427</v>
      </c>
      <c r="F1030">
        <v>502.52800000000002</v>
      </c>
      <c r="G1030" t="s">
        <v>302</v>
      </c>
      <c r="H1030">
        <v>21</v>
      </c>
      <c r="I1030" t="s">
        <v>1964</v>
      </c>
      <c r="J1030" t="s">
        <v>294</v>
      </c>
      <c r="M1030" t="s">
        <v>295</v>
      </c>
      <c r="N1030" t="s">
        <v>296</v>
      </c>
      <c r="O1030" t="s">
        <v>297</v>
      </c>
    </row>
    <row r="1031" spans="1:15" x14ac:dyDescent="0.3">
      <c r="A1031" t="s">
        <v>1938</v>
      </c>
      <c r="B1031" t="s">
        <v>1939</v>
      </c>
      <c r="C1031">
        <v>2022</v>
      </c>
      <c r="D1031" t="s">
        <v>300</v>
      </c>
      <c r="E1031" t="s">
        <v>1512</v>
      </c>
      <c r="F1031">
        <v>1332.7260000000001</v>
      </c>
      <c r="G1031" t="s">
        <v>302</v>
      </c>
      <c r="H1031">
        <v>21</v>
      </c>
      <c r="I1031" t="s">
        <v>1965</v>
      </c>
      <c r="J1031" t="s">
        <v>294</v>
      </c>
      <c r="M1031" t="s">
        <v>295</v>
      </c>
      <c r="N1031" t="s">
        <v>296</v>
      </c>
      <c r="O1031" t="s">
        <v>297</v>
      </c>
    </row>
    <row r="1032" spans="1:15" x14ac:dyDescent="0.3">
      <c r="A1032" t="s">
        <v>1938</v>
      </c>
      <c r="B1032" t="s">
        <v>1939</v>
      </c>
      <c r="C1032">
        <v>2022</v>
      </c>
      <c r="D1032" t="s">
        <v>300</v>
      </c>
      <c r="E1032" t="s">
        <v>1966</v>
      </c>
      <c r="F1032">
        <v>872.14200000000005</v>
      </c>
      <c r="G1032" t="s">
        <v>302</v>
      </c>
      <c r="H1032">
        <v>21</v>
      </c>
      <c r="I1032" t="s">
        <v>1967</v>
      </c>
      <c r="J1032" t="s">
        <v>294</v>
      </c>
      <c r="M1032" t="s">
        <v>295</v>
      </c>
      <c r="N1032" t="s">
        <v>296</v>
      </c>
      <c r="O1032" t="s">
        <v>297</v>
      </c>
    </row>
    <row r="1033" spans="1:15" x14ac:dyDescent="0.3">
      <c r="A1033" t="s">
        <v>1938</v>
      </c>
      <c r="B1033" t="s">
        <v>1939</v>
      </c>
      <c r="C1033">
        <v>2022</v>
      </c>
      <c r="D1033" t="s">
        <v>300</v>
      </c>
      <c r="E1033" t="s">
        <v>1515</v>
      </c>
      <c r="F1033">
        <v>251.24700000000001</v>
      </c>
      <c r="G1033" t="s">
        <v>302</v>
      </c>
      <c r="H1033">
        <v>21</v>
      </c>
      <c r="I1033" t="s">
        <v>1968</v>
      </c>
      <c r="J1033" t="s">
        <v>294</v>
      </c>
      <c r="M1033" t="s">
        <v>295</v>
      </c>
      <c r="N1033" t="s">
        <v>296</v>
      </c>
      <c r="O1033" t="s">
        <v>297</v>
      </c>
    </row>
    <row r="1034" spans="1:15" x14ac:dyDescent="0.3">
      <c r="A1034" t="s">
        <v>1938</v>
      </c>
      <c r="B1034" t="s">
        <v>1939</v>
      </c>
      <c r="C1034">
        <v>2022</v>
      </c>
      <c r="D1034" t="s">
        <v>300</v>
      </c>
      <c r="E1034" t="s">
        <v>1433</v>
      </c>
      <c r="F1034">
        <v>620.89499999999998</v>
      </c>
      <c r="G1034" t="s">
        <v>302</v>
      </c>
      <c r="H1034">
        <v>21</v>
      </c>
      <c r="I1034" t="s">
        <v>1969</v>
      </c>
      <c r="J1034" t="s">
        <v>294</v>
      </c>
      <c r="M1034" t="s">
        <v>295</v>
      </c>
      <c r="N1034" t="s">
        <v>296</v>
      </c>
      <c r="O1034" t="s">
        <v>297</v>
      </c>
    </row>
    <row r="1035" spans="1:15" x14ac:dyDescent="0.3">
      <c r="A1035" t="s">
        <v>1938</v>
      </c>
      <c r="B1035" t="s">
        <v>1939</v>
      </c>
      <c r="C1035">
        <v>2022</v>
      </c>
      <c r="D1035" t="s">
        <v>300</v>
      </c>
      <c r="E1035" t="s">
        <v>1970</v>
      </c>
      <c r="F1035">
        <v>963.11199999999997</v>
      </c>
      <c r="G1035" t="s">
        <v>302</v>
      </c>
      <c r="H1035">
        <v>21</v>
      </c>
      <c r="I1035" t="s">
        <v>1971</v>
      </c>
      <c r="J1035" t="s">
        <v>294</v>
      </c>
      <c r="M1035" t="s">
        <v>295</v>
      </c>
      <c r="N1035" t="s">
        <v>296</v>
      </c>
      <c r="O1035" t="s">
        <v>297</v>
      </c>
    </row>
    <row r="1036" spans="1:15" x14ac:dyDescent="0.3">
      <c r="A1036" t="s">
        <v>1938</v>
      </c>
      <c r="B1036" t="s">
        <v>1939</v>
      </c>
      <c r="C1036">
        <v>2022</v>
      </c>
      <c r="D1036" t="s">
        <v>300</v>
      </c>
      <c r="E1036" t="s">
        <v>1972</v>
      </c>
      <c r="F1036">
        <v>263.73399999999998</v>
      </c>
      <c r="G1036" t="s">
        <v>302</v>
      </c>
      <c r="H1036">
        <v>21</v>
      </c>
      <c r="I1036" t="s">
        <v>1973</v>
      </c>
      <c r="J1036" t="s">
        <v>294</v>
      </c>
      <c r="M1036" t="s">
        <v>295</v>
      </c>
      <c r="N1036" t="s">
        <v>296</v>
      </c>
      <c r="O1036" t="s">
        <v>297</v>
      </c>
    </row>
    <row r="1037" spans="1:15" x14ac:dyDescent="0.3">
      <c r="A1037" t="s">
        <v>1938</v>
      </c>
      <c r="B1037" t="s">
        <v>1939</v>
      </c>
      <c r="C1037">
        <v>2022</v>
      </c>
      <c r="D1037" t="s">
        <v>300</v>
      </c>
      <c r="E1037" t="s">
        <v>1974</v>
      </c>
      <c r="F1037">
        <v>644.69600000000003</v>
      </c>
      <c r="G1037" t="s">
        <v>302</v>
      </c>
      <c r="H1037">
        <v>112</v>
      </c>
      <c r="I1037" t="s">
        <v>1975</v>
      </c>
      <c r="J1037" t="s">
        <v>294</v>
      </c>
      <c r="M1037" t="s">
        <v>295</v>
      </c>
      <c r="N1037" t="s">
        <v>296</v>
      </c>
      <c r="O1037" t="s">
        <v>297</v>
      </c>
    </row>
    <row r="1038" spans="1:15" x14ac:dyDescent="0.3">
      <c r="A1038" t="s">
        <v>1938</v>
      </c>
      <c r="B1038" t="s">
        <v>1939</v>
      </c>
      <c r="C1038">
        <v>2022</v>
      </c>
      <c r="D1038" t="s">
        <v>300</v>
      </c>
      <c r="E1038" t="s">
        <v>1976</v>
      </c>
      <c r="F1038">
        <v>380.96199999999999</v>
      </c>
      <c r="G1038" t="s">
        <v>302</v>
      </c>
      <c r="H1038">
        <v>112</v>
      </c>
      <c r="I1038" t="s">
        <v>1977</v>
      </c>
      <c r="J1038" t="s">
        <v>294</v>
      </c>
      <c r="M1038" t="s">
        <v>295</v>
      </c>
      <c r="N1038" t="s">
        <v>296</v>
      </c>
      <c r="O1038" t="s">
        <v>297</v>
      </c>
    </row>
    <row r="1039" spans="1:15" x14ac:dyDescent="0.3">
      <c r="A1039" t="s">
        <v>1938</v>
      </c>
      <c r="B1039" t="s">
        <v>1939</v>
      </c>
      <c r="C1039">
        <v>2022</v>
      </c>
      <c r="D1039" t="s">
        <v>300</v>
      </c>
      <c r="E1039" t="s">
        <v>1978</v>
      </c>
      <c r="F1039">
        <v>401.33600000000001</v>
      </c>
      <c r="G1039" t="s">
        <v>302</v>
      </c>
      <c r="H1039">
        <v>21</v>
      </c>
      <c r="I1039" t="s">
        <v>1979</v>
      </c>
      <c r="J1039" t="s">
        <v>294</v>
      </c>
      <c r="M1039" t="s">
        <v>295</v>
      </c>
      <c r="N1039" t="s">
        <v>296</v>
      </c>
      <c r="O1039" t="s">
        <v>297</v>
      </c>
    </row>
    <row r="1040" spans="1:15" x14ac:dyDescent="0.3">
      <c r="A1040" t="s">
        <v>1938</v>
      </c>
      <c r="B1040" t="s">
        <v>1939</v>
      </c>
      <c r="C1040">
        <v>2022</v>
      </c>
      <c r="D1040" t="s">
        <v>300</v>
      </c>
      <c r="E1040" t="s">
        <v>1980</v>
      </c>
      <c r="F1040">
        <v>-238.44200000000001</v>
      </c>
      <c r="G1040" t="s">
        <v>302</v>
      </c>
      <c r="H1040">
        <v>21</v>
      </c>
      <c r="I1040" t="s">
        <v>1981</v>
      </c>
      <c r="J1040" t="s">
        <v>294</v>
      </c>
      <c r="M1040" t="s">
        <v>295</v>
      </c>
      <c r="N1040" t="s">
        <v>296</v>
      </c>
      <c r="O1040" t="s">
        <v>297</v>
      </c>
    </row>
    <row r="1041" spans="1:15" x14ac:dyDescent="0.3">
      <c r="A1041" t="s">
        <v>1938</v>
      </c>
      <c r="B1041" t="s">
        <v>1939</v>
      </c>
      <c r="C1041">
        <v>2022</v>
      </c>
      <c r="D1041" t="s">
        <v>300</v>
      </c>
      <c r="E1041" t="s">
        <v>1982</v>
      </c>
      <c r="F1041">
        <v>-264.661</v>
      </c>
      <c r="G1041" t="s">
        <v>302</v>
      </c>
      <c r="H1041">
        <v>21</v>
      </c>
      <c r="I1041" t="s">
        <v>1983</v>
      </c>
      <c r="J1041" t="s">
        <v>294</v>
      </c>
      <c r="M1041" t="s">
        <v>295</v>
      </c>
      <c r="N1041" t="s">
        <v>296</v>
      </c>
      <c r="O1041" t="s">
        <v>297</v>
      </c>
    </row>
    <row r="1042" spans="1:15" x14ac:dyDescent="0.3">
      <c r="A1042" t="s">
        <v>1938</v>
      </c>
      <c r="B1042" t="s">
        <v>1939</v>
      </c>
      <c r="C1042">
        <v>2022</v>
      </c>
      <c r="D1042" t="s">
        <v>300</v>
      </c>
      <c r="E1042" t="s">
        <v>1984</v>
      </c>
      <c r="F1042">
        <v>134.417</v>
      </c>
      <c r="G1042" t="s">
        <v>302</v>
      </c>
      <c r="H1042">
        <v>113</v>
      </c>
      <c r="I1042" t="s">
        <v>1985</v>
      </c>
      <c r="J1042" t="s">
        <v>294</v>
      </c>
      <c r="M1042" t="s">
        <v>295</v>
      </c>
      <c r="N1042" t="s">
        <v>296</v>
      </c>
      <c r="O1042" t="s">
        <v>297</v>
      </c>
    </row>
    <row r="1043" spans="1:15" x14ac:dyDescent="0.3">
      <c r="A1043" t="s">
        <v>1938</v>
      </c>
      <c r="B1043" t="s">
        <v>1939</v>
      </c>
      <c r="C1043">
        <v>2022</v>
      </c>
      <c r="D1043" t="s">
        <v>300</v>
      </c>
      <c r="E1043" t="s">
        <v>1986</v>
      </c>
      <c r="F1043">
        <v>25</v>
      </c>
      <c r="G1043" t="s">
        <v>916</v>
      </c>
      <c r="H1043">
        <v>118</v>
      </c>
      <c r="I1043" t="s">
        <v>1987</v>
      </c>
      <c r="J1043" t="s">
        <v>294</v>
      </c>
      <c r="M1043" t="s">
        <v>295</v>
      </c>
      <c r="N1043" t="s">
        <v>296</v>
      </c>
      <c r="O1043" t="s">
        <v>297</v>
      </c>
    </row>
    <row r="1044" spans="1:15" x14ac:dyDescent="0.3">
      <c r="A1044" t="s">
        <v>1938</v>
      </c>
      <c r="B1044" t="s">
        <v>1939</v>
      </c>
      <c r="C1044">
        <v>2022</v>
      </c>
      <c r="D1044" t="s">
        <v>300</v>
      </c>
      <c r="E1044" t="s">
        <v>1988</v>
      </c>
      <c r="F1044">
        <v>10</v>
      </c>
      <c r="G1044" t="s">
        <v>916</v>
      </c>
      <c r="H1044">
        <v>118</v>
      </c>
      <c r="I1044" t="s">
        <v>1989</v>
      </c>
      <c r="J1044" t="s">
        <v>294</v>
      </c>
      <c r="M1044" t="s">
        <v>295</v>
      </c>
      <c r="N1044" t="s">
        <v>296</v>
      </c>
      <c r="O1044" t="s">
        <v>297</v>
      </c>
    </row>
    <row r="1045" spans="1:15" x14ac:dyDescent="0.3">
      <c r="A1045" t="s">
        <v>1938</v>
      </c>
      <c r="B1045" t="s">
        <v>1939</v>
      </c>
      <c r="C1045">
        <v>2022</v>
      </c>
      <c r="D1045" t="s">
        <v>300</v>
      </c>
      <c r="E1045" t="s">
        <v>1990</v>
      </c>
      <c r="F1045">
        <v>570</v>
      </c>
      <c r="G1045" t="s">
        <v>916</v>
      </c>
      <c r="H1045">
        <v>22</v>
      </c>
      <c r="I1045" t="s">
        <v>1991</v>
      </c>
      <c r="J1045" t="s">
        <v>294</v>
      </c>
      <c r="M1045" t="s">
        <v>295</v>
      </c>
      <c r="N1045" t="s">
        <v>296</v>
      </c>
      <c r="O1045" t="s">
        <v>297</v>
      </c>
    </row>
    <row r="1046" spans="1:15" x14ac:dyDescent="0.3">
      <c r="A1046" t="s">
        <v>1938</v>
      </c>
      <c r="B1046" t="s">
        <v>1939</v>
      </c>
      <c r="C1046">
        <v>2022</v>
      </c>
      <c r="D1046" t="s">
        <v>358</v>
      </c>
      <c r="E1046" t="s">
        <v>1992</v>
      </c>
      <c r="F1046">
        <v>19333.900000000001</v>
      </c>
      <c r="G1046" t="s">
        <v>1993</v>
      </c>
      <c r="H1046">
        <v>20</v>
      </c>
      <c r="I1046" t="s">
        <v>1994</v>
      </c>
      <c r="J1046" t="s">
        <v>294</v>
      </c>
      <c r="M1046" t="s">
        <v>295</v>
      </c>
      <c r="N1046" t="s">
        <v>296</v>
      </c>
      <c r="O1046" t="s">
        <v>297</v>
      </c>
    </row>
    <row r="1047" spans="1:15" x14ac:dyDescent="0.3">
      <c r="A1047" t="s">
        <v>1938</v>
      </c>
      <c r="B1047" t="s">
        <v>1939</v>
      </c>
      <c r="C1047">
        <v>2022</v>
      </c>
      <c r="D1047" t="s">
        <v>358</v>
      </c>
      <c r="E1047" t="s">
        <v>1467</v>
      </c>
      <c r="F1047">
        <v>16147.1</v>
      </c>
      <c r="G1047" t="s">
        <v>1993</v>
      </c>
      <c r="H1047">
        <v>20</v>
      </c>
      <c r="I1047" t="s">
        <v>1995</v>
      </c>
      <c r="J1047" t="s">
        <v>294</v>
      </c>
      <c r="M1047" t="s">
        <v>295</v>
      </c>
      <c r="N1047" t="s">
        <v>296</v>
      </c>
      <c r="O1047" t="s">
        <v>297</v>
      </c>
    </row>
    <row r="1048" spans="1:15" x14ac:dyDescent="0.3">
      <c r="A1048" t="s">
        <v>1938</v>
      </c>
      <c r="B1048" t="s">
        <v>1939</v>
      </c>
      <c r="C1048">
        <v>2022</v>
      </c>
      <c r="D1048" t="s">
        <v>358</v>
      </c>
      <c r="E1048" t="s">
        <v>1996</v>
      </c>
      <c r="F1048">
        <v>3186.8</v>
      </c>
      <c r="G1048" t="s">
        <v>1993</v>
      </c>
      <c r="H1048">
        <v>20</v>
      </c>
      <c r="I1048" t="s">
        <v>1997</v>
      </c>
      <c r="J1048" t="s">
        <v>294</v>
      </c>
      <c r="M1048" t="s">
        <v>295</v>
      </c>
      <c r="N1048" t="s">
        <v>296</v>
      </c>
      <c r="O1048" t="s">
        <v>297</v>
      </c>
    </row>
    <row r="1049" spans="1:15" x14ac:dyDescent="0.3">
      <c r="A1049" t="s">
        <v>1938</v>
      </c>
      <c r="B1049" t="s">
        <v>1939</v>
      </c>
      <c r="C1049">
        <v>2022</v>
      </c>
      <c r="D1049" t="s">
        <v>358</v>
      </c>
      <c r="E1049" t="s">
        <v>1998</v>
      </c>
      <c r="F1049">
        <v>45</v>
      </c>
      <c r="G1049" t="s">
        <v>1999</v>
      </c>
      <c r="I1049" t="s">
        <v>2000</v>
      </c>
      <c r="J1049" t="s">
        <v>294</v>
      </c>
      <c r="M1049" t="s">
        <v>295</v>
      </c>
      <c r="N1049" t="s">
        <v>296</v>
      </c>
      <c r="O1049" t="s">
        <v>297</v>
      </c>
    </row>
    <row r="1050" spans="1:15" x14ac:dyDescent="0.3">
      <c r="A1050" t="s">
        <v>1938</v>
      </c>
      <c r="B1050" t="s">
        <v>1939</v>
      </c>
      <c r="C1050">
        <v>2022</v>
      </c>
      <c r="D1050" t="s">
        <v>358</v>
      </c>
      <c r="E1050" t="s">
        <v>2001</v>
      </c>
      <c r="F1050" t="s">
        <v>2002</v>
      </c>
      <c r="G1050" t="s">
        <v>292</v>
      </c>
      <c r="H1050">
        <v>42</v>
      </c>
      <c r="I1050" t="s">
        <v>2003</v>
      </c>
      <c r="J1050" t="s">
        <v>294</v>
      </c>
      <c r="M1050" t="s">
        <v>295</v>
      </c>
      <c r="N1050" t="s">
        <v>296</v>
      </c>
      <c r="O1050" t="s">
        <v>297</v>
      </c>
    </row>
    <row r="1051" spans="1:15" x14ac:dyDescent="0.3">
      <c r="A1051" t="s">
        <v>1938</v>
      </c>
      <c r="B1051" t="s">
        <v>1939</v>
      </c>
      <c r="C1051">
        <v>2022</v>
      </c>
      <c r="D1051" t="s">
        <v>358</v>
      </c>
      <c r="E1051" t="s">
        <v>2004</v>
      </c>
      <c r="F1051" t="s">
        <v>2005</v>
      </c>
      <c r="G1051" t="s">
        <v>292</v>
      </c>
      <c r="I1051" t="s">
        <v>2006</v>
      </c>
      <c r="J1051" t="s">
        <v>294</v>
      </c>
      <c r="M1051" t="s">
        <v>295</v>
      </c>
      <c r="N1051" t="s">
        <v>296</v>
      </c>
      <c r="O1051" t="s">
        <v>297</v>
      </c>
    </row>
    <row r="1052" spans="1:15" x14ac:dyDescent="0.3">
      <c r="A1052" t="s">
        <v>1938</v>
      </c>
      <c r="B1052" t="s">
        <v>1939</v>
      </c>
      <c r="C1052">
        <v>2022</v>
      </c>
      <c r="D1052" t="s">
        <v>394</v>
      </c>
      <c r="E1052" t="s">
        <v>2007</v>
      </c>
      <c r="F1052">
        <v>342464</v>
      </c>
      <c r="G1052" t="s">
        <v>1293</v>
      </c>
      <c r="H1052">
        <v>20</v>
      </c>
      <c r="I1052" t="s">
        <v>2008</v>
      </c>
      <c r="J1052" t="s">
        <v>294</v>
      </c>
      <c r="M1052" t="s">
        <v>295</v>
      </c>
      <c r="N1052" t="s">
        <v>296</v>
      </c>
      <c r="O1052" t="s">
        <v>297</v>
      </c>
    </row>
    <row r="1053" spans="1:15" x14ac:dyDescent="0.3">
      <c r="A1053" t="s">
        <v>1938</v>
      </c>
      <c r="B1053" t="s">
        <v>1939</v>
      </c>
      <c r="C1053">
        <v>2022</v>
      </c>
      <c r="D1053" t="s">
        <v>394</v>
      </c>
      <c r="E1053" t="s">
        <v>2009</v>
      </c>
      <c r="F1053">
        <v>14326</v>
      </c>
      <c r="G1053" t="s">
        <v>1293</v>
      </c>
      <c r="H1053">
        <v>20</v>
      </c>
      <c r="I1053" t="s">
        <v>2010</v>
      </c>
      <c r="J1053" t="s">
        <v>294</v>
      </c>
      <c r="M1053" t="s">
        <v>295</v>
      </c>
      <c r="N1053" t="s">
        <v>296</v>
      </c>
      <c r="O1053" t="s">
        <v>297</v>
      </c>
    </row>
    <row r="1054" spans="1:15" x14ac:dyDescent="0.3">
      <c r="A1054" t="s">
        <v>1938</v>
      </c>
      <c r="B1054" t="s">
        <v>1939</v>
      </c>
      <c r="C1054">
        <v>2022</v>
      </c>
      <c r="D1054" t="s">
        <v>394</v>
      </c>
      <c r="E1054" t="s">
        <v>2011</v>
      </c>
      <c r="F1054">
        <v>174180</v>
      </c>
      <c r="G1054" t="s">
        <v>1293</v>
      </c>
      <c r="H1054">
        <v>20</v>
      </c>
      <c r="I1054" t="s">
        <v>2012</v>
      </c>
      <c r="J1054" t="s">
        <v>294</v>
      </c>
      <c r="M1054" t="s">
        <v>295</v>
      </c>
      <c r="N1054" t="s">
        <v>296</v>
      </c>
      <c r="O1054" t="s">
        <v>297</v>
      </c>
    </row>
    <row r="1055" spans="1:15" x14ac:dyDescent="0.3">
      <c r="A1055" t="s">
        <v>1938</v>
      </c>
      <c r="B1055" t="s">
        <v>1939</v>
      </c>
      <c r="C1055">
        <v>2022</v>
      </c>
      <c r="D1055" t="s">
        <v>394</v>
      </c>
      <c r="E1055" t="s">
        <v>2013</v>
      </c>
      <c r="F1055">
        <v>35701</v>
      </c>
      <c r="G1055" t="s">
        <v>1293</v>
      </c>
      <c r="H1055">
        <v>20</v>
      </c>
      <c r="I1055" t="s">
        <v>2014</v>
      </c>
      <c r="J1055" t="s">
        <v>294</v>
      </c>
      <c r="M1055" t="s">
        <v>295</v>
      </c>
      <c r="N1055" t="s">
        <v>296</v>
      </c>
      <c r="O1055" t="s">
        <v>297</v>
      </c>
    </row>
    <row r="1056" spans="1:15" x14ac:dyDescent="0.3">
      <c r="A1056" t="s">
        <v>1938</v>
      </c>
      <c r="B1056" t="s">
        <v>1939</v>
      </c>
      <c r="C1056">
        <v>2022</v>
      </c>
      <c r="D1056" t="s">
        <v>394</v>
      </c>
      <c r="E1056" t="s">
        <v>1457</v>
      </c>
      <c r="F1056">
        <v>34633</v>
      </c>
      <c r="G1056" t="s">
        <v>1293</v>
      </c>
      <c r="H1056">
        <v>20</v>
      </c>
      <c r="I1056" t="s">
        <v>2015</v>
      </c>
      <c r="J1056" t="s">
        <v>294</v>
      </c>
      <c r="M1056" t="s">
        <v>295</v>
      </c>
      <c r="N1056" t="s">
        <v>296</v>
      </c>
      <c r="O1056" t="s">
        <v>297</v>
      </c>
    </row>
    <row r="1057" spans="1:15" x14ac:dyDescent="0.3">
      <c r="A1057" t="s">
        <v>1938</v>
      </c>
      <c r="B1057" t="s">
        <v>1939</v>
      </c>
      <c r="C1057">
        <v>2022</v>
      </c>
      <c r="D1057" t="s">
        <v>394</v>
      </c>
      <c r="E1057" t="s">
        <v>1455</v>
      </c>
      <c r="F1057">
        <v>8974</v>
      </c>
      <c r="G1057" t="s">
        <v>1293</v>
      </c>
      <c r="H1057">
        <v>20</v>
      </c>
      <c r="I1057" t="s">
        <v>2016</v>
      </c>
      <c r="J1057" t="s">
        <v>294</v>
      </c>
      <c r="M1057" t="s">
        <v>295</v>
      </c>
      <c r="N1057" t="s">
        <v>296</v>
      </c>
      <c r="O1057" t="s">
        <v>297</v>
      </c>
    </row>
    <row r="1058" spans="1:15" x14ac:dyDescent="0.3">
      <c r="A1058" t="s">
        <v>1938</v>
      </c>
      <c r="B1058" t="s">
        <v>1939</v>
      </c>
      <c r="C1058">
        <v>2022</v>
      </c>
      <c r="D1058" t="s">
        <v>394</v>
      </c>
      <c r="E1058" t="s">
        <v>2017</v>
      </c>
      <c r="F1058">
        <v>7832</v>
      </c>
      <c r="G1058" t="s">
        <v>1293</v>
      </c>
      <c r="H1058">
        <v>20</v>
      </c>
      <c r="I1058" t="s">
        <v>2018</v>
      </c>
      <c r="J1058" t="s">
        <v>294</v>
      </c>
      <c r="M1058" t="s">
        <v>295</v>
      </c>
      <c r="N1058" t="s">
        <v>296</v>
      </c>
      <c r="O1058" t="s">
        <v>297</v>
      </c>
    </row>
    <row r="1059" spans="1:15" x14ac:dyDescent="0.3">
      <c r="A1059" t="s">
        <v>1938</v>
      </c>
      <c r="B1059" t="s">
        <v>1939</v>
      </c>
      <c r="C1059">
        <v>2022</v>
      </c>
      <c r="D1059" t="s">
        <v>394</v>
      </c>
      <c r="E1059" t="s">
        <v>2019</v>
      </c>
      <c r="F1059">
        <v>180866</v>
      </c>
      <c r="G1059" t="s">
        <v>1293</v>
      </c>
      <c r="H1059">
        <v>20</v>
      </c>
      <c r="I1059" t="s">
        <v>2020</v>
      </c>
      <c r="J1059" t="s">
        <v>294</v>
      </c>
      <c r="M1059" t="s">
        <v>295</v>
      </c>
      <c r="N1059" t="s">
        <v>296</v>
      </c>
      <c r="O1059" t="s">
        <v>297</v>
      </c>
    </row>
    <row r="1060" spans="1:15" x14ac:dyDescent="0.3">
      <c r="A1060" t="s">
        <v>1938</v>
      </c>
      <c r="B1060" t="s">
        <v>1939</v>
      </c>
      <c r="C1060">
        <v>2022</v>
      </c>
      <c r="D1060" t="s">
        <v>394</v>
      </c>
      <c r="E1060" t="s">
        <v>2021</v>
      </c>
      <c r="F1060">
        <v>21.2</v>
      </c>
      <c r="G1060" t="s">
        <v>2022</v>
      </c>
      <c r="H1060">
        <v>20</v>
      </c>
      <c r="I1060" t="s">
        <v>2023</v>
      </c>
      <c r="J1060" t="s">
        <v>294</v>
      </c>
      <c r="M1060" t="s">
        <v>295</v>
      </c>
      <c r="N1060" t="s">
        <v>296</v>
      </c>
      <c r="O1060" t="s">
        <v>297</v>
      </c>
    </row>
    <row r="1061" spans="1:15" x14ac:dyDescent="0.3">
      <c r="A1061" t="s">
        <v>1938</v>
      </c>
      <c r="B1061" t="s">
        <v>1939</v>
      </c>
      <c r="C1061">
        <v>2022</v>
      </c>
      <c r="D1061" t="s">
        <v>394</v>
      </c>
      <c r="E1061" t="s">
        <v>1014</v>
      </c>
      <c r="F1061">
        <v>0.20499999999999999</v>
      </c>
      <c r="G1061" t="s">
        <v>1283</v>
      </c>
      <c r="H1061">
        <v>20</v>
      </c>
      <c r="I1061" t="s">
        <v>2024</v>
      </c>
      <c r="J1061" t="s">
        <v>294</v>
      </c>
      <c r="M1061" t="s">
        <v>295</v>
      </c>
      <c r="N1061" t="s">
        <v>296</v>
      </c>
      <c r="O1061" t="s">
        <v>297</v>
      </c>
    </row>
    <row r="1062" spans="1:15" x14ac:dyDescent="0.3">
      <c r="A1062" t="s">
        <v>1938</v>
      </c>
      <c r="B1062" t="s">
        <v>1939</v>
      </c>
      <c r="C1062">
        <v>2022</v>
      </c>
      <c r="D1062" t="s">
        <v>394</v>
      </c>
      <c r="E1062" t="s">
        <v>654</v>
      </c>
      <c r="F1062">
        <v>5.1999999999999998E-2</v>
      </c>
      <c r="G1062" t="s">
        <v>1283</v>
      </c>
      <c r="H1062">
        <v>20</v>
      </c>
      <c r="I1062" t="s">
        <v>2025</v>
      </c>
      <c r="J1062" t="s">
        <v>294</v>
      </c>
      <c r="M1062" t="s">
        <v>295</v>
      </c>
      <c r="N1062" t="s">
        <v>296</v>
      </c>
      <c r="O1062" t="s">
        <v>297</v>
      </c>
    </row>
    <row r="1063" spans="1:15" x14ac:dyDescent="0.3">
      <c r="A1063" t="s">
        <v>1938</v>
      </c>
      <c r="B1063" t="s">
        <v>1939</v>
      </c>
      <c r="C1063">
        <v>2022</v>
      </c>
      <c r="D1063" t="s">
        <v>394</v>
      </c>
      <c r="E1063" t="s">
        <v>2026</v>
      </c>
      <c r="F1063">
        <v>12468</v>
      </c>
      <c r="G1063" t="s">
        <v>2027</v>
      </c>
      <c r="H1063">
        <v>20</v>
      </c>
      <c r="I1063" t="s">
        <v>2028</v>
      </c>
      <c r="J1063" t="s">
        <v>294</v>
      </c>
      <c r="M1063" t="s">
        <v>295</v>
      </c>
      <c r="N1063" t="s">
        <v>296</v>
      </c>
      <c r="O1063" t="s">
        <v>297</v>
      </c>
    </row>
    <row r="1064" spans="1:15" x14ac:dyDescent="0.3">
      <c r="A1064" t="s">
        <v>1938</v>
      </c>
      <c r="B1064" t="s">
        <v>1939</v>
      </c>
      <c r="C1064">
        <v>2022</v>
      </c>
      <c r="D1064" t="s">
        <v>394</v>
      </c>
      <c r="E1064" t="s">
        <v>2029</v>
      </c>
      <c r="F1064">
        <v>2618</v>
      </c>
      <c r="G1064" t="s">
        <v>2027</v>
      </c>
      <c r="H1064">
        <v>20</v>
      </c>
      <c r="I1064" t="s">
        <v>2030</v>
      </c>
      <c r="J1064" t="s">
        <v>294</v>
      </c>
      <c r="M1064" t="s">
        <v>295</v>
      </c>
      <c r="N1064" t="s">
        <v>296</v>
      </c>
      <c r="O1064" t="s">
        <v>297</v>
      </c>
    </row>
    <row r="1065" spans="1:15" x14ac:dyDescent="0.3">
      <c r="A1065" t="s">
        <v>1938</v>
      </c>
      <c r="B1065" t="s">
        <v>1939</v>
      </c>
      <c r="C1065">
        <v>2022</v>
      </c>
      <c r="D1065" t="s">
        <v>394</v>
      </c>
      <c r="E1065" t="s">
        <v>2031</v>
      </c>
      <c r="F1065">
        <v>8331</v>
      </c>
      <c r="G1065" t="s">
        <v>2027</v>
      </c>
      <c r="H1065">
        <v>20</v>
      </c>
      <c r="I1065" t="s">
        <v>2032</v>
      </c>
      <c r="J1065" t="s">
        <v>294</v>
      </c>
      <c r="M1065" t="s">
        <v>295</v>
      </c>
      <c r="N1065" t="s">
        <v>296</v>
      </c>
      <c r="O1065" t="s">
        <v>297</v>
      </c>
    </row>
    <row r="1066" spans="1:15" x14ac:dyDescent="0.3">
      <c r="A1066" t="s">
        <v>1938</v>
      </c>
      <c r="B1066" t="s">
        <v>1939</v>
      </c>
      <c r="C1066">
        <v>2022</v>
      </c>
      <c r="D1066" t="s">
        <v>394</v>
      </c>
      <c r="E1066" t="s">
        <v>2033</v>
      </c>
      <c r="F1066">
        <v>2440.4</v>
      </c>
      <c r="G1066" t="s">
        <v>1993</v>
      </c>
      <c r="H1066">
        <v>20</v>
      </c>
      <c r="I1066" t="s">
        <v>2034</v>
      </c>
      <c r="J1066" t="s">
        <v>294</v>
      </c>
      <c r="M1066" t="s">
        <v>295</v>
      </c>
      <c r="N1066" t="s">
        <v>296</v>
      </c>
      <c r="O1066" t="s">
        <v>297</v>
      </c>
    </row>
    <row r="1067" spans="1:15" x14ac:dyDescent="0.3">
      <c r="A1067" t="s">
        <v>1938</v>
      </c>
      <c r="B1067" t="s">
        <v>1939</v>
      </c>
      <c r="C1067">
        <v>2022</v>
      </c>
      <c r="D1067" t="s">
        <v>394</v>
      </c>
      <c r="E1067" t="s">
        <v>2035</v>
      </c>
      <c r="F1067">
        <v>9612.9</v>
      </c>
      <c r="G1067" t="s">
        <v>1993</v>
      </c>
      <c r="H1067">
        <v>20</v>
      </c>
      <c r="I1067" t="s">
        <v>2036</v>
      </c>
      <c r="J1067" t="s">
        <v>294</v>
      </c>
      <c r="M1067" t="s">
        <v>295</v>
      </c>
      <c r="N1067" t="s">
        <v>296</v>
      </c>
      <c r="O1067" t="s">
        <v>297</v>
      </c>
    </row>
    <row r="1068" spans="1:15" x14ac:dyDescent="0.3">
      <c r="A1068" t="s">
        <v>1938</v>
      </c>
      <c r="B1068" t="s">
        <v>1939</v>
      </c>
      <c r="C1068">
        <v>2022</v>
      </c>
      <c r="D1068" t="s">
        <v>394</v>
      </c>
      <c r="E1068" t="s">
        <v>2037</v>
      </c>
      <c r="F1068">
        <v>4093.8</v>
      </c>
      <c r="G1068" t="s">
        <v>1993</v>
      </c>
      <c r="H1068">
        <v>20</v>
      </c>
      <c r="I1068" t="s">
        <v>2038</v>
      </c>
      <c r="J1068" t="s">
        <v>294</v>
      </c>
      <c r="M1068" t="s">
        <v>295</v>
      </c>
      <c r="N1068" t="s">
        <v>296</v>
      </c>
      <c r="O1068" t="s">
        <v>297</v>
      </c>
    </row>
    <row r="1069" spans="1:15" x14ac:dyDescent="0.3">
      <c r="A1069" t="s">
        <v>1938</v>
      </c>
      <c r="B1069" t="s">
        <v>1939</v>
      </c>
      <c r="C1069">
        <v>2022</v>
      </c>
      <c r="D1069" t="s">
        <v>394</v>
      </c>
      <c r="E1069" t="s">
        <v>2039</v>
      </c>
      <c r="F1069">
        <v>4050</v>
      </c>
      <c r="G1069" t="s">
        <v>1561</v>
      </c>
      <c r="H1069">
        <v>58</v>
      </c>
      <c r="I1069" t="s">
        <v>2040</v>
      </c>
      <c r="J1069" t="s">
        <v>294</v>
      </c>
      <c r="M1069" t="s">
        <v>295</v>
      </c>
      <c r="N1069" t="s">
        <v>296</v>
      </c>
      <c r="O1069" t="s">
        <v>297</v>
      </c>
    </row>
    <row r="1070" spans="1:15" x14ac:dyDescent="0.3">
      <c r="A1070" t="s">
        <v>1938</v>
      </c>
      <c r="B1070" t="s">
        <v>1939</v>
      </c>
      <c r="C1070">
        <v>2022</v>
      </c>
      <c r="D1070" t="s">
        <v>563</v>
      </c>
      <c r="E1070" t="s">
        <v>2041</v>
      </c>
      <c r="F1070" t="s">
        <v>2042</v>
      </c>
      <c r="G1070" t="s">
        <v>292</v>
      </c>
      <c r="I1070" t="s">
        <v>2043</v>
      </c>
      <c r="J1070" t="s">
        <v>294</v>
      </c>
      <c r="M1070" t="s">
        <v>295</v>
      </c>
      <c r="N1070" t="s">
        <v>296</v>
      </c>
      <c r="O1070" t="s">
        <v>297</v>
      </c>
    </row>
    <row r="1071" spans="1:15" x14ac:dyDescent="0.3">
      <c r="A1071" t="s">
        <v>1938</v>
      </c>
      <c r="B1071" t="s">
        <v>2044</v>
      </c>
      <c r="C1071">
        <v>2023</v>
      </c>
      <c r="D1071" t="s">
        <v>272</v>
      </c>
      <c r="E1071" t="s">
        <v>1741</v>
      </c>
      <c r="F1071" t="s">
        <v>2045</v>
      </c>
      <c r="G1071" t="s">
        <v>292</v>
      </c>
      <c r="I1071" t="s">
        <v>2046</v>
      </c>
      <c r="J1071" t="s">
        <v>294</v>
      </c>
      <c r="M1071" t="s">
        <v>295</v>
      </c>
      <c r="N1071" t="s">
        <v>296</v>
      </c>
      <c r="O1071" t="s">
        <v>297</v>
      </c>
    </row>
    <row r="1072" spans="1:15" x14ac:dyDescent="0.3">
      <c r="A1072" t="s">
        <v>1938</v>
      </c>
      <c r="B1072" t="s">
        <v>2044</v>
      </c>
      <c r="C1072">
        <v>2023</v>
      </c>
      <c r="D1072" t="s">
        <v>272</v>
      </c>
      <c r="E1072" t="s">
        <v>2047</v>
      </c>
      <c r="F1072" t="s">
        <v>2048</v>
      </c>
      <c r="G1072" t="s">
        <v>666</v>
      </c>
      <c r="H1072">
        <v>120</v>
      </c>
      <c r="I1072" t="s">
        <v>2049</v>
      </c>
      <c r="J1072" t="s">
        <v>294</v>
      </c>
      <c r="M1072" t="s">
        <v>295</v>
      </c>
      <c r="N1072" t="s">
        <v>296</v>
      </c>
      <c r="O1072" t="s">
        <v>297</v>
      </c>
    </row>
    <row r="1073" spans="1:15" x14ac:dyDescent="0.3">
      <c r="A1073" t="s">
        <v>1938</v>
      </c>
      <c r="B1073" t="s">
        <v>2044</v>
      </c>
      <c r="C1073">
        <v>2023</v>
      </c>
      <c r="D1073" t="s">
        <v>272</v>
      </c>
      <c r="E1073" t="s">
        <v>2050</v>
      </c>
      <c r="F1073">
        <v>40</v>
      </c>
      <c r="G1073" t="s">
        <v>302</v>
      </c>
      <c r="H1073">
        <v>120</v>
      </c>
      <c r="I1073" t="s">
        <v>2051</v>
      </c>
      <c r="J1073" t="s">
        <v>294</v>
      </c>
      <c r="M1073" t="s">
        <v>295</v>
      </c>
      <c r="N1073" t="s">
        <v>296</v>
      </c>
      <c r="O1073" t="s">
        <v>297</v>
      </c>
    </row>
    <row r="1074" spans="1:15" x14ac:dyDescent="0.3">
      <c r="A1074" t="s">
        <v>1938</v>
      </c>
      <c r="B1074" t="s">
        <v>2044</v>
      </c>
      <c r="C1074">
        <v>2023</v>
      </c>
      <c r="D1074" t="s">
        <v>300</v>
      </c>
      <c r="E1074" t="s">
        <v>1638</v>
      </c>
      <c r="F1074">
        <v>875.51199999999994</v>
      </c>
      <c r="G1074" t="s">
        <v>302</v>
      </c>
      <c r="H1074">
        <v>19</v>
      </c>
      <c r="I1074" t="s">
        <v>2052</v>
      </c>
      <c r="J1074" t="s">
        <v>294</v>
      </c>
      <c r="M1074" t="s">
        <v>295</v>
      </c>
      <c r="N1074" t="s">
        <v>296</v>
      </c>
      <c r="O1074" t="s">
        <v>297</v>
      </c>
    </row>
    <row r="1075" spans="1:15" x14ac:dyDescent="0.3">
      <c r="A1075" t="s">
        <v>1938</v>
      </c>
      <c r="B1075" t="s">
        <v>2044</v>
      </c>
      <c r="C1075">
        <v>2023</v>
      </c>
      <c r="D1075" t="s">
        <v>300</v>
      </c>
      <c r="E1075" t="s">
        <v>2053</v>
      </c>
      <c r="F1075">
        <v>-475.92599999999999</v>
      </c>
      <c r="G1075" t="s">
        <v>302</v>
      </c>
      <c r="H1075">
        <v>19</v>
      </c>
      <c r="I1075" t="s">
        <v>2054</v>
      </c>
      <c r="J1075" t="s">
        <v>294</v>
      </c>
      <c r="M1075" t="s">
        <v>295</v>
      </c>
      <c r="N1075" t="s">
        <v>296</v>
      </c>
      <c r="O1075" t="s">
        <v>297</v>
      </c>
    </row>
    <row r="1076" spans="1:15" x14ac:dyDescent="0.3">
      <c r="A1076" t="s">
        <v>1938</v>
      </c>
      <c r="B1076" t="s">
        <v>2044</v>
      </c>
      <c r="C1076">
        <v>2023</v>
      </c>
      <c r="D1076" t="s">
        <v>300</v>
      </c>
      <c r="E1076" t="s">
        <v>1640</v>
      </c>
      <c r="F1076">
        <v>399.58600000000001</v>
      </c>
      <c r="G1076" t="s">
        <v>302</v>
      </c>
      <c r="H1076">
        <v>19</v>
      </c>
      <c r="I1076" t="s">
        <v>2055</v>
      </c>
      <c r="J1076" t="s">
        <v>294</v>
      </c>
      <c r="M1076" t="s">
        <v>295</v>
      </c>
      <c r="N1076" t="s">
        <v>296</v>
      </c>
      <c r="O1076" t="s">
        <v>297</v>
      </c>
    </row>
    <row r="1077" spans="1:15" x14ac:dyDescent="0.3">
      <c r="A1077" t="s">
        <v>1938</v>
      </c>
      <c r="B1077" t="s">
        <v>2044</v>
      </c>
      <c r="C1077">
        <v>2023</v>
      </c>
      <c r="D1077" t="s">
        <v>300</v>
      </c>
      <c r="E1077" t="s">
        <v>1642</v>
      </c>
      <c r="F1077">
        <v>221.84299999999999</v>
      </c>
      <c r="G1077" t="s">
        <v>302</v>
      </c>
      <c r="H1077">
        <v>19</v>
      </c>
      <c r="I1077" t="s">
        <v>2056</v>
      </c>
      <c r="J1077" t="s">
        <v>294</v>
      </c>
      <c r="M1077" t="s">
        <v>295</v>
      </c>
      <c r="N1077" t="s">
        <v>296</v>
      </c>
      <c r="O1077" t="s">
        <v>297</v>
      </c>
    </row>
    <row r="1078" spans="1:15" x14ac:dyDescent="0.3">
      <c r="A1078" t="s">
        <v>1938</v>
      </c>
      <c r="B1078" t="s">
        <v>2044</v>
      </c>
      <c r="C1078">
        <v>2023</v>
      </c>
      <c r="D1078" t="s">
        <v>300</v>
      </c>
      <c r="E1078" t="s">
        <v>2057</v>
      </c>
      <c r="F1078">
        <v>198.57499999999999</v>
      </c>
      <c r="G1078" t="s">
        <v>302</v>
      </c>
      <c r="H1078">
        <v>19</v>
      </c>
      <c r="I1078" t="s">
        <v>2058</v>
      </c>
      <c r="J1078" t="s">
        <v>294</v>
      </c>
      <c r="M1078" t="s">
        <v>295</v>
      </c>
      <c r="N1078" t="s">
        <v>296</v>
      </c>
      <c r="O1078" t="s">
        <v>297</v>
      </c>
    </row>
    <row r="1079" spans="1:15" x14ac:dyDescent="0.3">
      <c r="A1079" t="s">
        <v>1938</v>
      </c>
      <c r="B1079" t="s">
        <v>2044</v>
      </c>
      <c r="C1079">
        <v>2023</v>
      </c>
      <c r="D1079" t="s">
        <v>300</v>
      </c>
      <c r="E1079" t="s">
        <v>1644</v>
      </c>
      <c r="F1079">
        <v>146.13900000000001</v>
      </c>
      <c r="G1079" t="s">
        <v>302</v>
      </c>
      <c r="H1079">
        <v>19</v>
      </c>
      <c r="I1079" t="s">
        <v>2059</v>
      </c>
      <c r="J1079" t="s">
        <v>294</v>
      </c>
      <c r="M1079" t="s">
        <v>295</v>
      </c>
      <c r="N1079" t="s">
        <v>296</v>
      </c>
      <c r="O1079" t="s">
        <v>297</v>
      </c>
    </row>
    <row r="1080" spans="1:15" x14ac:dyDescent="0.3">
      <c r="A1080" t="s">
        <v>1938</v>
      </c>
      <c r="B1080" t="s">
        <v>2044</v>
      </c>
      <c r="C1080">
        <v>2023</v>
      </c>
      <c r="D1080" t="s">
        <v>300</v>
      </c>
      <c r="E1080" t="s">
        <v>2060</v>
      </c>
      <c r="F1080">
        <v>317.26100000000002</v>
      </c>
      <c r="G1080" t="s">
        <v>302</v>
      </c>
      <c r="H1080">
        <v>19</v>
      </c>
      <c r="I1080" t="s">
        <v>2061</v>
      </c>
      <c r="J1080" t="s">
        <v>294</v>
      </c>
      <c r="M1080" t="s">
        <v>295</v>
      </c>
      <c r="N1080" t="s">
        <v>296</v>
      </c>
      <c r="O1080" t="s">
        <v>297</v>
      </c>
    </row>
    <row r="1081" spans="1:15" x14ac:dyDescent="0.3">
      <c r="A1081" t="s">
        <v>1938</v>
      </c>
      <c r="B1081" t="s">
        <v>2044</v>
      </c>
      <c r="C1081">
        <v>2023</v>
      </c>
      <c r="D1081" t="s">
        <v>300</v>
      </c>
      <c r="E1081" t="s">
        <v>1646</v>
      </c>
      <c r="F1081">
        <v>71</v>
      </c>
      <c r="G1081" t="s">
        <v>916</v>
      </c>
      <c r="H1081">
        <v>19</v>
      </c>
      <c r="I1081" t="s">
        <v>2062</v>
      </c>
      <c r="J1081" t="s">
        <v>294</v>
      </c>
      <c r="M1081" t="s">
        <v>295</v>
      </c>
      <c r="N1081" t="s">
        <v>296</v>
      </c>
      <c r="O1081" t="s">
        <v>297</v>
      </c>
    </row>
    <row r="1082" spans="1:15" x14ac:dyDescent="0.3">
      <c r="A1082" t="s">
        <v>1938</v>
      </c>
      <c r="B1082" t="s">
        <v>2044</v>
      </c>
      <c r="C1082">
        <v>2023</v>
      </c>
      <c r="D1082" t="s">
        <v>300</v>
      </c>
      <c r="E1082" t="s">
        <v>1648</v>
      </c>
      <c r="F1082">
        <v>1842.8579999999999</v>
      </c>
      <c r="G1082" t="s">
        <v>302</v>
      </c>
      <c r="H1082">
        <v>19</v>
      </c>
      <c r="I1082" t="s">
        <v>2063</v>
      </c>
      <c r="J1082" t="s">
        <v>294</v>
      </c>
      <c r="M1082" t="s">
        <v>295</v>
      </c>
      <c r="N1082" t="s">
        <v>296</v>
      </c>
      <c r="O1082" t="s">
        <v>297</v>
      </c>
    </row>
    <row r="1083" spans="1:15" x14ac:dyDescent="0.3">
      <c r="A1083" t="s">
        <v>1938</v>
      </c>
      <c r="B1083" t="s">
        <v>2044</v>
      </c>
      <c r="C1083">
        <v>2023</v>
      </c>
      <c r="D1083" t="s">
        <v>300</v>
      </c>
      <c r="E1083" t="s">
        <v>1427</v>
      </c>
      <c r="F1083">
        <v>323.75799999999998</v>
      </c>
      <c r="G1083" t="s">
        <v>302</v>
      </c>
      <c r="H1083">
        <v>19</v>
      </c>
      <c r="I1083" t="s">
        <v>2064</v>
      </c>
      <c r="J1083" t="s">
        <v>294</v>
      </c>
      <c r="M1083" t="s">
        <v>295</v>
      </c>
      <c r="N1083" t="s">
        <v>296</v>
      </c>
      <c r="O1083" t="s">
        <v>297</v>
      </c>
    </row>
    <row r="1084" spans="1:15" x14ac:dyDescent="0.3">
      <c r="A1084" t="s">
        <v>1938</v>
      </c>
      <c r="B1084" t="s">
        <v>2044</v>
      </c>
      <c r="C1084">
        <v>2023</v>
      </c>
      <c r="D1084" t="s">
        <v>300</v>
      </c>
      <c r="E1084" t="s">
        <v>1512</v>
      </c>
      <c r="F1084">
        <v>1519.0989999999999</v>
      </c>
      <c r="G1084" t="s">
        <v>302</v>
      </c>
      <c r="H1084">
        <v>19</v>
      </c>
      <c r="I1084" t="s">
        <v>2065</v>
      </c>
      <c r="J1084" t="s">
        <v>294</v>
      </c>
      <c r="M1084" t="s">
        <v>295</v>
      </c>
      <c r="N1084" t="s">
        <v>296</v>
      </c>
      <c r="O1084" t="s">
        <v>297</v>
      </c>
    </row>
    <row r="1085" spans="1:15" x14ac:dyDescent="0.3">
      <c r="A1085" t="s">
        <v>1938</v>
      </c>
      <c r="B1085" t="s">
        <v>2044</v>
      </c>
      <c r="C1085">
        <v>2023</v>
      </c>
      <c r="D1085" t="s">
        <v>300</v>
      </c>
      <c r="E1085" t="s">
        <v>1654</v>
      </c>
      <c r="F1085">
        <v>727.68600000000004</v>
      </c>
      <c r="G1085" t="s">
        <v>302</v>
      </c>
      <c r="H1085">
        <v>19</v>
      </c>
      <c r="I1085" t="s">
        <v>2066</v>
      </c>
      <c r="J1085" t="s">
        <v>294</v>
      </c>
      <c r="M1085" t="s">
        <v>295</v>
      </c>
      <c r="N1085" t="s">
        <v>296</v>
      </c>
      <c r="O1085" t="s">
        <v>297</v>
      </c>
    </row>
    <row r="1086" spans="1:15" x14ac:dyDescent="0.3">
      <c r="A1086" t="s">
        <v>1938</v>
      </c>
      <c r="B1086" t="s">
        <v>2044</v>
      </c>
      <c r="C1086">
        <v>2023</v>
      </c>
      <c r="D1086" t="s">
        <v>300</v>
      </c>
      <c r="E1086" t="s">
        <v>1515</v>
      </c>
      <c r="F1086">
        <v>187.48699999999999</v>
      </c>
      <c r="G1086" t="s">
        <v>302</v>
      </c>
      <c r="H1086">
        <v>19</v>
      </c>
      <c r="I1086" t="s">
        <v>2067</v>
      </c>
      <c r="J1086" t="s">
        <v>294</v>
      </c>
      <c r="M1086" t="s">
        <v>295</v>
      </c>
      <c r="N1086" t="s">
        <v>296</v>
      </c>
      <c r="O1086" t="s">
        <v>297</v>
      </c>
    </row>
    <row r="1087" spans="1:15" x14ac:dyDescent="0.3">
      <c r="A1087" t="s">
        <v>1938</v>
      </c>
      <c r="B1087" t="s">
        <v>2044</v>
      </c>
      <c r="C1087">
        <v>2023</v>
      </c>
      <c r="D1087" t="s">
        <v>300</v>
      </c>
      <c r="E1087" t="s">
        <v>1433</v>
      </c>
      <c r="F1087">
        <v>540.19899999999996</v>
      </c>
      <c r="G1087" t="s">
        <v>302</v>
      </c>
      <c r="H1087">
        <v>19</v>
      </c>
      <c r="I1087" t="s">
        <v>2068</v>
      </c>
      <c r="J1087" t="s">
        <v>294</v>
      </c>
      <c r="M1087" t="s">
        <v>295</v>
      </c>
      <c r="N1087" t="s">
        <v>296</v>
      </c>
      <c r="O1087" t="s">
        <v>297</v>
      </c>
    </row>
    <row r="1088" spans="1:15" x14ac:dyDescent="0.3">
      <c r="A1088" t="s">
        <v>1938</v>
      </c>
      <c r="B1088" t="s">
        <v>2044</v>
      </c>
      <c r="C1088">
        <v>2023</v>
      </c>
      <c r="D1088" t="s">
        <v>300</v>
      </c>
      <c r="E1088" t="s">
        <v>1660</v>
      </c>
      <c r="F1088">
        <v>1115.172</v>
      </c>
      <c r="G1088" t="s">
        <v>302</v>
      </c>
      <c r="H1088">
        <v>19</v>
      </c>
      <c r="I1088" t="s">
        <v>2069</v>
      </c>
      <c r="J1088" t="s">
        <v>294</v>
      </c>
      <c r="M1088" t="s">
        <v>295</v>
      </c>
      <c r="N1088" t="s">
        <v>296</v>
      </c>
      <c r="O1088" t="s">
        <v>297</v>
      </c>
    </row>
    <row r="1089" spans="1:15" x14ac:dyDescent="0.3">
      <c r="A1089" t="s">
        <v>1938</v>
      </c>
      <c r="B1089" t="s">
        <v>2044</v>
      </c>
      <c r="C1089">
        <v>2023</v>
      </c>
      <c r="D1089" t="s">
        <v>300</v>
      </c>
      <c r="E1089" t="s">
        <v>2070</v>
      </c>
      <c r="F1089">
        <v>25.364999999999998</v>
      </c>
      <c r="G1089" t="s">
        <v>302</v>
      </c>
      <c r="H1089">
        <v>19</v>
      </c>
      <c r="I1089" t="s">
        <v>2071</v>
      </c>
      <c r="J1089" t="s">
        <v>294</v>
      </c>
      <c r="M1089" t="s">
        <v>295</v>
      </c>
      <c r="N1089" t="s">
        <v>296</v>
      </c>
      <c r="O1089" t="s">
        <v>297</v>
      </c>
    </row>
    <row r="1090" spans="1:15" x14ac:dyDescent="0.3">
      <c r="A1090" t="s">
        <v>1938</v>
      </c>
      <c r="B1090" t="s">
        <v>2044</v>
      </c>
      <c r="C1090">
        <v>2023</v>
      </c>
      <c r="D1090" t="s">
        <v>300</v>
      </c>
      <c r="E1090" t="s">
        <v>1974</v>
      </c>
      <c r="F1090">
        <v>509.346</v>
      </c>
      <c r="G1090" t="s">
        <v>302</v>
      </c>
      <c r="H1090">
        <v>114</v>
      </c>
      <c r="I1090" t="s">
        <v>2072</v>
      </c>
      <c r="J1090" t="s">
        <v>294</v>
      </c>
      <c r="M1090" t="s">
        <v>295</v>
      </c>
      <c r="N1090" t="s">
        <v>296</v>
      </c>
      <c r="O1090" t="s">
        <v>297</v>
      </c>
    </row>
    <row r="1091" spans="1:15" x14ac:dyDescent="0.3">
      <c r="A1091" t="s">
        <v>1938</v>
      </c>
      <c r="B1091" t="s">
        <v>2044</v>
      </c>
      <c r="C1091">
        <v>2023</v>
      </c>
      <c r="D1091" t="s">
        <v>300</v>
      </c>
      <c r="E1091" t="s">
        <v>2073</v>
      </c>
      <c r="F1091">
        <v>483.98099999999999</v>
      </c>
      <c r="G1091" t="s">
        <v>302</v>
      </c>
      <c r="H1091">
        <v>114</v>
      </c>
      <c r="I1091" t="s">
        <v>2074</v>
      </c>
      <c r="J1091" t="s">
        <v>294</v>
      </c>
      <c r="M1091" t="s">
        <v>295</v>
      </c>
      <c r="N1091" t="s">
        <v>296</v>
      </c>
      <c r="O1091" t="s">
        <v>297</v>
      </c>
    </row>
    <row r="1092" spans="1:15" x14ac:dyDescent="0.3">
      <c r="A1092" t="s">
        <v>1938</v>
      </c>
      <c r="B1092" t="s">
        <v>2044</v>
      </c>
      <c r="C1092">
        <v>2023</v>
      </c>
      <c r="D1092" t="s">
        <v>300</v>
      </c>
      <c r="E1092" t="s">
        <v>2075</v>
      </c>
      <c r="F1092">
        <v>0.434</v>
      </c>
      <c r="G1092" t="s">
        <v>1283</v>
      </c>
      <c r="H1092">
        <v>114</v>
      </c>
      <c r="I1092" t="s">
        <v>2076</v>
      </c>
      <c r="J1092" t="s">
        <v>294</v>
      </c>
      <c r="M1092" t="s">
        <v>295</v>
      </c>
      <c r="N1092" t="s">
        <v>296</v>
      </c>
      <c r="O1092" t="s">
        <v>297</v>
      </c>
    </row>
    <row r="1093" spans="1:15" x14ac:dyDescent="0.3">
      <c r="A1093" t="s">
        <v>1938</v>
      </c>
      <c r="B1093" t="s">
        <v>2044</v>
      </c>
      <c r="C1093">
        <v>2023</v>
      </c>
      <c r="D1093" t="s">
        <v>300</v>
      </c>
      <c r="E1093" t="s">
        <v>2077</v>
      </c>
      <c r="F1093">
        <v>192.49100000000001</v>
      </c>
      <c r="G1093" t="s">
        <v>302</v>
      </c>
      <c r="H1093">
        <v>19</v>
      </c>
      <c r="I1093" t="s">
        <v>2078</v>
      </c>
      <c r="J1093" t="s">
        <v>294</v>
      </c>
      <c r="M1093" t="s">
        <v>295</v>
      </c>
      <c r="N1093" t="s">
        <v>296</v>
      </c>
      <c r="O1093" t="s">
        <v>297</v>
      </c>
    </row>
    <row r="1094" spans="1:15" x14ac:dyDescent="0.3">
      <c r="A1094" t="s">
        <v>1938</v>
      </c>
      <c r="B1094" t="s">
        <v>2044</v>
      </c>
      <c r="C1094">
        <v>2023</v>
      </c>
      <c r="D1094" t="s">
        <v>300</v>
      </c>
      <c r="E1094" t="s">
        <v>2079</v>
      </c>
      <c r="F1094">
        <v>-251.70500000000001</v>
      </c>
      <c r="G1094" t="s">
        <v>302</v>
      </c>
      <c r="H1094">
        <v>19</v>
      </c>
      <c r="I1094" t="s">
        <v>2080</v>
      </c>
      <c r="J1094" t="s">
        <v>294</v>
      </c>
      <c r="M1094" t="s">
        <v>295</v>
      </c>
      <c r="N1094" t="s">
        <v>296</v>
      </c>
      <c r="O1094" t="s">
        <v>297</v>
      </c>
    </row>
    <row r="1095" spans="1:15" x14ac:dyDescent="0.3">
      <c r="A1095" t="s">
        <v>1938</v>
      </c>
      <c r="B1095" t="s">
        <v>2044</v>
      </c>
      <c r="C1095">
        <v>2023</v>
      </c>
      <c r="D1095" t="s">
        <v>300</v>
      </c>
      <c r="E1095" t="s">
        <v>2081</v>
      </c>
      <c r="F1095">
        <v>-179.155</v>
      </c>
      <c r="G1095" t="s">
        <v>302</v>
      </c>
      <c r="H1095">
        <v>19</v>
      </c>
      <c r="I1095" t="s">
        <v>2082</v>
      </c>
      <c r="J1095" t="s">
        <v>294</v>
      </c>
      <c r="M1095" t="s">
        <v>295</v>
      </c>
      <c r="N1095" t="s">
        <v>296</v>
      </c>
      <c r="O1095" t="s">
        <v>297</v>
      </c>
    </row>
    <row r="1096" spans="1:15" x14ac:dyDescent="0.3">
      <c r="A1096" t="s">
        <v>1938</v>
      </c>
      <c r="B1096" t="s">
        <v>2044</v>
      </c>
      <c r="C1096">
        <v>2023</v>
      </c>
      <c r="D1096" t="s">
        <v>300</v>
      </c>
      <c r="E1096" t="s">
        <v>2083</v>
      </c>
      <c r="F1096">
        <v>136.37200000000001</v>
      </c>
      <c r="G1096" t="s">
        <v>302</v>
      </c>
      <c r="H1096">
        <v>115</v>
      </c>
      <c r="I1096" t="s">
        <v>2084</v>
      </c>
      <c r="J1096" t="s">
        <v>294</v>
      </c>
      <c r="M1096" t="s">
        <v>295</v>
      </c>
      <c r="N1096" t="s">
        <v>296</v>
      </c>
      <c r="O1096" t="s">
        <v>297</v>
      </c>
    </row>
    <row r="1097" spans="1:15" x14ac:dyDescent="0.3">
      <c r="A1097" t="s">
        <v>1938</v>
      </c>
      <c r="B1097" t="s">
        <v>2044</v>
      </c>
      <c r="C1097">
        <v>2023</v>
      </c>
      <c r="D1097" t="s">
        <v>300</v>
      </c>
      <c r="E1097" t="s">
        <v>1686</v>
      </c>
      <c r="F1097">
        <v>0</v>
      </c>
      <c r="G1097" t="s">
        <v>302</v>
      </c>
      <c r="H1097">
        <v>118</v>
      </c>
      <c r="I1097" t="s">
        <v>2085</v>
      </c>
      <c r="J1097" t="s">
        <v>294</v>
      </c>
      <c r="M1097" t="s">
        <v>295</v>
      </c>
      <c r="N1097" t="s">
        <v>296</v>
      </c>
      <c r="O1097" t="s">
        <v>297</v>
      </c>
    </row>
    <row r="1098" spans="1:15" x14ac:dyDescent="0.3">
      <c r="A1098" t="s">
        <v>1938</v>
      </c>
      <c r="B1098" t="s">
        <v>2044</v>
      </c>
      <c r="C1098">
        <v>2023</v>
      </c>
      <c r="D1098" t="s">
        <v>300</v>
      </c>
      <c r="E1098" t="s">
        <v>2086</v>
      </c>
      <c r="F1098">
        <v>472</v>
      </c>
      <c r="G1098" t="s">
        <v>916</v>
      </c>
      <c r="I1098" t="s">
        <v>2087</v>
      </c>
      <c r="J1098" t="s">
        <v>294</v>
      </c>
      <c r="M1098" t="s">
        <v>295</v>
      </c>
      <c r="N1098" t="s">
        <v>296</v>
      </c>
      <c r="O1098" t="s">
        <v>297</v>
      </c>
    </row>
    <row r="1099" spans="1:15" x14ac:dyDescent="0.3">
      <c r="A1099" t="s">
        <v>1938</v>
      </c>
      <c r="B1099" t="s">
        <v>2044</v>
      </c>
      <c r="C1099">
        <v>2023</v>
      </c>
      <c r="D1099" t="s">
        <v>358</v>
      </c>
      <c r="E1099" t="s">
        <v>1992</v>
      </c>
      <c r="F1099">
        <v>19552</v>
      </c>
      <c r="G1099" t="s">
        <v>1993</v>
      </c>
      <c r="H1099">
        <v>18</v>
      </c>
      <c r="I1099" t="s">
        <v>2088</v>
      </c>
      <c r="J1099" t="s">
        <v>294</v>
      </c>
      <c r="M1099" t="s">
        <v>295</v>
      </c>
      <c r="N1099" t="s">
        <v>296</v>
      </c>
      <c r="O1099" t="s">
        <v>297</v>
      </c>
    </row>
    <row r="1100" spans="1:15" x14ac:dyDescent="0.3">
      <c r="A1100" t="s">
        <v>1938</v>
      </c>
      <c r="B1100" t="s">
        <v>2044</v>
      </c>
      <c r="C1100">
        <v>2023</v>
      </c>
      <c r="D1100" t="s">
        <v>358</v>
      </c>
      <c r="E1100" t="s">
        <v>1467</v>
      </c>
      <c r="F1100">
        <v>17258.3</v>
      </c>
      <c r="G1100" t="s">
        <v>1993</v>
      </c>
      <c r="H1100">
        <v>18</v>
      </c>
      <c r="I1100" t="s">
        <v>2089</v>
      </c>
      <c r="J1100" t="s">
        <v>294</v>
      </c>
      <c r="M1100" t="s">
        <v>295</v>
      </c>
      <c r="N1100" t="s">
        <v>296</v>
      </c>
      <c r="O1100" t="s">
        <v>297</v>
      </c>
    </row>
    <row r="1101" spans="1:15" x14ac:dyDescent="0.3">
      <c r="A1101" t="s">
        <v>1938</v>
      </c>
      <c r="B1101" t="s">
        <v>2044</v>
      </c>
      <c r="C1101">
        <v>2023</v>
      </c>
      <c r="D1101" t="s">
        <v>358</v>
      </c>
      <c r="E1101" t="s">
        <v>1996</v>
      </c>
      <c r="F1101">
        <v>2293.6999999999998</v>
      </c>
      <c r="G1101" t="s">
        <v>1993</v>
      </c>
      <c r="H1101">
        <v>18</v>
      </c>
      <c r="I1101" t="s">
        <v>2090</v>
      </c>
      <c r="J1101" t="s">
        <v>294</v>
      </c>
      <c r="M1101" t="s">
        <v>295</v>
      </c>
      <c r="N1101" t="s">
        <v>296</v>
      </c>
      <c r="O1101" t="s">
        <v>297</v>
      </c>
    </row>
    <row r="1102" spans="1:15" x14ac:dyDescent="0.3">
      <c r="A1102" t="s">
        <v>1938</v>
      </c>
      <c r="B1102" t="s">
        <v>2044</v>
      </c>
      <c r="C1102">
        <v>2023</v>
      </c>
      <c r="D1102" t="s">
        <v>358</v>
      </c>
      <c r="E1102" t="s">
        <v>2091</v>
      </c>
      <c r="F1102">
        <v>2</v>
      </c>
      <c r="G1102" t="s">
        <v>384</v>
      </c>
      <c r="I1102" t="s">
        <v>2092</v>
      </c>
      <c r="J1102" t="s">
        <v>294</v>
      </c>
      <c r="M1102" t="s">
        <v>295</v>
      </c>
      <c r="N1102" t="s">
        <v>296</v>
      </c>
      <c r="O1102" t="s">
        <v>297</v>
      </c>
    </row>
    <row r="1103" spans="1:15" x14ac:dyDescent="0.3">
      <c r="A1103" t="s">
        <v>1938</v>
      </c>
      <c r="B1103" t="s">
        <v>2044</v>
      </c>
      <c r="C1103">
        <v>2023</v>
      </c>
      <c r="D1103" t="s">
        <v>358</v>
      </c>
      <c r="E1103" t="s">
        <v>2093</v>
      </c>
      <c r="F1103">
        <v>90</v>
      </c>
      <c r="G1103" t="s">
        <v>1999</v>
      </c>
      <c r="I1103" t="s">
        <v>2094</v>
      </c>
      <c r="J1103" t="s">
        <v>294</v>
      </c>
      <c r="M1103" t="s">
        <v>295</v>
      </c>
      <c r="N1103" t="s">
        <v>296</v>
      </c>
      <c r="O1103" t="s">
        <v>297</v>
      </c>
    </row>
    <row r="1104" spans="1:15" x14ac:dyDescent="0.3">
      <c r="A1104" t="s">
        <v>1938</v>
      </c>
      <c r="B1104" t="s">
        <v>2044</v>
      </c>
      <c r="C1104">
        <v>2023</v>
      </c>
      <c r="D1104" t="s">
        <v>394</v>
      </c>
      <c r="E1104" t="s">
        <v>2095</v>
      </c>
      <c r="F1104">
        <v>337367</v>
      </c>
      <c r="G1104" t="s">
        <v>1293</v>
      </c>
      <c r="H1104">
        <v>18</v>
      </c>
      <c r="I1104" t="s">
        <v>2096</v>
      </c>
      <c r="J1104" t="s">
        <v>294</v>
      </c>
      <c r="M1104" t="s">
        <v>295</v>
      </c>
      <c r="N1104" t="s">
        <v>296</v>
      </c>
      <c r="O1104" t="s">
        <v>297</v>
      </c>
    </row>
    <row r="1105" spans="1:15" x14ac:dyDescent="0.3">
      <c r="A1105" t="s">
        <v>1938</v>
      </c>
      <c r="B1105" t="s">
        <v>2044</v>
      </c>
      <c r="C1105">
        <v>2023</v>
      </c>
      <c r="D1105" t="s">
        <v>394</v>
      </c>
      <c r="E1105" t="s">
        <v>2009</v>
      </c>
      <c r="F1105">
        <v>26402</v>
      </c>
      <c r="G1105" t="s">
        <v>1293</v>
      </c>
      <c r="H1105">
        <v>18</v>
      </c>
      <c r="I1105" t="s">
        <v>2097</v>
      </c>
      <c r="J1105" t="s">
        <v>294</v>
      </c>
      <c r="M1105" t="s">
        <v>295</v>
      </c>
      <c r="N1105" t="s">
        <v>296</v>
      </c>
      <c r="O1105" t="s">
        <v>297</v>
      </c>
    </row>
    <row r="1106" spans="1:15" x14ac:dyDescent="0.3">
      <c r="A1106" t="s">
        <v>1938</v>
      </c>
      <c r="B1106" t="s">
        <v>2044</v>
      </c>
      <c r="C1106">
        <v>2023</v>
      </c>
      <c r="D1106" t="s">
        <v>394</v>
      </c>
      <c r="E1106" t="s">
        <v>2011</v>
      </c>
      <c r="F1106">
        <v>229687</v>
      </c>
      <c r="G1106" t="s">
        <v>1293</v>
      </c>
      <c r="H1106">
        <v>18</v>
      </c>
      <c r="I1106" t="s">
        <v>2098</v>
      </c>
      <c r="J1106" t="s">
        <v>294</v>
      </c>
      <c r="M1106" t="s">
        <v>295</v>
      </c>
      <c r="N1106" t="s">
        <v>296</v>
      </c>
      <c r="O1106" t="s">
        <v>297</v>
      </c>
    </row>
    <row r="1107" spans="1:15" x14ac:dyDescent="0.3">
      <c r="A1107" t="s">
        <v>1938</v>
      </c>
      <c r="B1107" t="s">
        <v>2044</v>
      </c>
      <c r="C1107">
        <v>2023</v>
      </c>
      <c r="D1107" t="s">
        <v>394</v>
      </c>
      <c r="E1107" t="s">
        <v>2099</v>
      </c>
      <c r="F1107">
        <v>48663</v>
      </c>
      <c r="G1107" t="s">
        <v>1293</v>
      </c>
      <c r="H1107">
        <v>18</v>
      </c>
      <c r="I1107" t="s">
        <v>2100</v>
      </c>
      <c r="J1107" t="s">
        <v>294</v>
      </c>
      <c r="M1107" t="s">
        <v>295</v>
      </c>
      <c r="N1107" t="s">
        <v>296</v>
      </c>
      <c r="O1107" t="s">
        <v>297</v>
      </c>
    </row>
    <row r="1108" spans="1:15" x14ac:dyDescent="0.3">
      <c r="A1108" t="s">
        <v>1938</v>
      </c>
      <c r="B1108" t="s">
        <v>2044</v>
      </c>
      <c r="C1108">
        <v>2023</v>
      </c>
      <c r="D1108" t="s">
        <v>394</v>
      </c>
      <c r="E1108" t="s">
        <v>2101</v>
      </c>
      <c r="F1108">
        <v>47368</v>
      </c>
      <c r="G1108" t="s">
        <v>1293</v>
      </c>
      <c r="H1108">
        <v>18</v>
      </c>
      <c r="I1108" t="s">
        <v>2102</v>
      </c>
      <c r="J1108" t="s">
        <v>294</v>
      </c>
      <c r="M1108" t="s">
        <v>295</v>
      </c>
      <c r="N1108" t="s">
        <v>296</v>
      </c>
      <c r="O1108" t="s">
        <v>297</v>
      </c>
    </row>
    <row r="1109" spans="1:15" x14ac:dyDescent="0.3">
      <c r="A1109" t="s">
        <v>1938</v>
      </c>
      <c r="B1109" t="s">
        <v>2044</v>
      </c>
      <c r="C1109">
        <v>2023</v>
      </c>
      <c r="D1109" t="s">
        <v>394</v>
      </c>
      <c r="E1109" t="s">
        <v>1455</v>
      </c>
      <c r="F1109">
        <v>11166</v>
      </c>
      <c r="G1109" t="s">
        <v>1293</v>
      </c>
      <c r="H1109">
        <v>18</v>
      </c>
      <c r="I1109" t="s">
        <v>2103</v>
      </c>
      <c r="J1109" t="s">
        <v>294</v>
      </c>
      <c r="M1109" t="s">
        <v>295</v>
      </c>
      <c r="N1109" t="s">
        <v>296</v>
      </c>
      <c r="O1109" t="s">
        <v>297</v>
      </c>
    </row>
    <row r="1110" spans="1:15" x14ac:dyDescent="0.3">
      <c r="A1110" t="s">
        <v>1938</v>
      </c>
      <c r="B1110" t="s">
        <v>2044</v>
      </c>
      <c r="C1110">
        <v>2023</v>
      </c>
      <c r="D1110" t="s">
        <v>394</v>
      </c>
      <c r="E1110" t="s">
        <v>2104</v>
      </c>
      <c r="F1110">
        <v>10826</v>
      </c>
      <c r="G1110" t="s">
        <v>1293</v>
      </c>
      <c r="H1110">
        <v>18</v>
      </c>
      <c r="I1110" t="s">
        <v>2105</v>
      </c>
      <c r="J1110" t="s">
        <v>294</v>
      </c>
      <c r="M1110" t="s">
        <v>295</v>
      </c>
      <c r="N1110" t="s">
        <v>296</v>
      </c>
      <c r="O1110" t="s">
        <v>297</v>
      </c>
    </row>
    <row r="1111" spans="1:15" x14ac:dyDescent="0.3">
      <c r="A1111" t="s">
        <v>1938</v>
      </c>
      <c r="B1111" t="s">
        <v>2044</v>
      </c>
      <c r="C1111">
        <v>2023</v>
      </c>
      <c r="D1111" t="s">
        <v>394</v>
      </c>
      <c r="E1111" t="s">
        <v>2019</v>
      </c>
      <c r="F1111">
        <v>136661</v>
      </c>
      <c r="G1111" t="s">
        <v>1293</v>
      </c>
      <c r="H1111">
        <v>18</v>
      </c>
      <c r="I1111" t="s">
        <v>2106</v>
      </c>
      <c r="J1111" t="s">
        <v>294</v>
      </c>
      <c r="M1111" t="s">
        <v>295</v>
      </c>
      <c r="N1111" t="s">
        <v>296</v>
      </c>
      <c r="O1111" t="s">
        <v>297</v>
      </c>
    </row>
    <row r="1112" spans="1:15" x14ac:dyDescent="0.3">
      <c r="A1112" t="s">
        <v>1938</v>
      </c>
      <c r="B1112" t="s">
        <v>2044</v>
      </c>
      <c r="C1112">
        <v>2023</v>
      </c>
      <c r="D1112" t="s">
        <v>394</v>
      </c>
      <c r="E1112" t="s">
        <v>2107</v>
      </c>
      <c r="F1112">
        <v>19.399999999999999</v>
      </c>
      <c r="G1112" t="s">
        <v>2022</v>
      </c>
      <c r="H1112">
        <v>18</v>
      </c>
      <c r="I1112" t="s">
        <v>2108</v>
      </c>
      <c r="J1112" t="s">
        <v>294</v>
      </c>
      <c r="M1112" t="s">
        <v>295</v>
      </c>
      <c r="N1112" t="s">
        <v>296</v>
      </c>
      <c r="O1112" t="s">
        <v>297</v>
      </c>
    </row>
    <row r="1113" spans="1:15" x14ac:dyDescent="0.3">
      <c r="A1113" t="s">
        <v>1938</v>
      </c>
      <c r="B1113" t="s">
        <v>2044</v>
      </c>
      <c r="C1113">
        <v>2023</v>
      </c>
      <c r="D1113" t="s">
        <v>394</v>
      </c>
      <c r="E1113" t="s">
        <v>1014</v>
      </c>
      <c r="F1113">
        <v>0.21199999999999999</v>
      </c>
      <c r="G1113" t="s">
        <v>1283</v>
      </c>
      <c r="H1113">
        <v>18</v>
      </c>
      <c r="I1113" t="s">
        <v>2109</v>
      </c>
      <c r="J1113" t="s">
        <v>294</v>
      </c>
      <c r="M1113" t="s">
        <v>295</v>
      </c>
      <c r="N1113" t="s">
        <v>296</v>
      </c>
      <c r="O1113" t="s">
        <v>297</v>
      </c>
    </row>
    <row r="1114" spans="1:15" x14ac:dyDescent="0.3">
      <c r="A1114" t="s">
        <v>1938</v>
      </c>
      <c r="B1114" t="s">
        <v>2044</v>
      </c>
      <c r="C1114">
        <v>2023</v>
      </c>
      <c r="D1114" t="s">
        <v>394</v>
      </c>
      <c r="E1114" t="s">
        <v>654</v>
      </c>
      <c r="F1114">
        <v>4.9000000000000002E-2</v>
      </c>
      <c r="G1114" t="s">
        <v>1283</v>
      </c>
      <c r="H1114">
        <v>18</v>
      </c>
      <c r="I1114" t="s">
        <v>2110</v>
      </c>
      <c r="J1114" t="s">
        <v>294</v>
      </c>
      <c r="M1114" t="s">
        <v>295</v>
      </c>
      <c r="N1114" t="s">
        <v>296</v>
      </c>
      <c r="O1114" t="s">
        <v>297</v>
      </c>
    </row>
    <row r="1115" spans="1:15" x14ac:dyDescent="0.3">
      <c r="A1115" t="s">
        <v>1938</v>
      </c>
      <c r="B1115" t="s">
        <v>2044</v>
      </c>
      <c r="C1115">
        <v>2023</v>
      </c>
      <c r="D1115" t="s">
        <v>394</v>
      </c>
      <c r="E1115" t="s">
        <v>2026</v>
      </c>
      <c r="F1115">
        <v>10821</v>
      </c>
      <c r="G1115" t="s">
        <v>2027</v>
      </c>
      <c r="H1115">
        <v>18</v>
      </c>
      <c r="I1115" t="s">
        <v>2111</v>
      </c>
      <c r="J1115" t="s">
        <v>294</v>
      </c>
      <c r="M1115" t="s">
        <v>295</v>
      </c>
      <c r="N1115" t="s">
        <v>296</v>
      </c>
      <c r="O1115" t="s">
        <v>297</v>
      </c>
    </row>
    <row r="1116" spans="1:15" x14ac:dyDescent="0.3">
      <c r="A1116" t="s">
        <v>1938</v>
      </c>
      <c r="B1116" t="s">
        <v>2044</v>
      </c>
      <c r="C1116">
        <v>2023</v>
      </c>
      <c r="D1116" t="s">
        <v>394</v>
      </c>
      <c r="E1116" t="s">
        <v>2029</v>
      </c>
      <c r="F1116">
        <v>2241</v>
      </c>
      <c r="G1116" t="s">
        <v>2027</v>
      </c>
      <c r="H1116">
        <v>18</v>
      </c>
      <c r="I1116" t="s">
        <v>2112</v>
      </c>
      <c r="J1116" t="s">
        <v>294</v>
      </c>
      <c r="M1116" t="s">
        <v>295</v>
      </c>
      <c r="N1116" t="s">
        <v>296</v>
      </c>
      <c r="O1116" t="s">
        <v>297</v>
      </c>
    </row>
    <row r="1117" spans="1:15" x14ac:dyDescent="0.3">
      <c r="A1117" t="s">
        <v>1938</v>
      </c>
      <c r="B1117" t="s">
        <v>2044</v>
      </c>
      <c r="C1117">
        <v>2023</v>
      </c>
      <c r="D1117" t="s">
        <v>394</v>
      </c>
      <c r="E1117" t="s">
        <v>2113</v>
      </c>
      <c r="F1117">
        <v>5255</v>
      </c>
      <c r="G1117" t="s">
        <v>2027</v>
      </c>
      <c r="H1117">
        <v>18</v>
      </c>
      <c r="I1117" t="s">
        <v>2114</v>
      </c>
      <c r="J1117" t="s">
        <v>294</v>
      </c>
      <c r="M1117" t="s">
        <v>295</v>
      </c>
      <c r="N1117" t="s">
        <v>296</v>
      </c>
      <c r="O1117" t="s">
        <v>297</v>
      </c>
    </row>
    <row r="1118" spans="1:15" x14ac:dyDescent="0.3">
      <c r="A1118" t="s">
        <v>1938</v>
      </c>
      <c r="B1118" t="s">
        <v>2044</v>
      </c>
      <c r="C1118">
        <v>2023</v>
      </c>
      <c r="D1118" t="s">
        <v>394</v>
      </c>
      <c r="E1118" t="s">
        <v>2033</v>
      </c>
      <c r="F1118">
        <v>2111.3000000000002</v>
      </c>
      <c r="G1118" t="s">
        <v>1993</v>
      </c>
      <c r="H1118">
        <v>18</v>
      </c>
      <c r="I1118" t="s">
        <v>2115</v>
      </c>
      <c r="J1118" t="s">
        <v>294</v>
      </c>
      <c r="M1118" t="s">
        <v>295</v>
      </c>
      <c r="N1118" t="s">
        <v>296</v>
      </c>
      <c r="O1118" t="s">
        <v>297</v>
      </c>
    </row>
    <row r="1119" spans="1:15" x14ac:dyDescent="0.3">
      <c r="A1119" t="s">
        <v>1938</v>
      </c>
      <c r="B1119" t="s">
        <v>2044</v>
      </c>
      <c r="C1119">
        <v>2023</v>
      </c>
      <c r="D1119" t="s">
        <v>394</v>
      </c>
      <c r="E1119" t="s">
        <v>2035</v>
      </c>
      <c r="F1119">
        <v>11115.9</v>
      </c>
      <c r="G1119" t="s">
        <v>1993</v>
      </c>
      <c r="H1119">
        <v>18</v>
      </c>
      <c r="I1119" t="s">
        <v>2116</v>
      </c>
      <c r="J1119" t="s">
        <v>294</v>
      </c>
      <c r="M1119" t="s">
        <v>295</v>
      </c>
      <c r="N1119" t="s">
        <v>296</v>
      </c>
      <c r="O1119" t="s">
        <v>297</v>
      </c>
    </row>
    <row r="1120" spans="1:15" x14ac:dyDescent="0.3">
      <c r="A1120" t="s">
        <v>1938</v>
      </c>
      <c r="B1120" t="s">
        <v>2044</v>
      </c>
      <c r="C1120">
        <v>2023</v>
      </c>
      <c r="D1120" t="s">
        <v>394</v>
      </c>
      <c r="E1120" t="s">
        <v>2037</v>
      </c>
      <c r="F1120">
        <v>4031.1</v>
      </c>
      <c r="G1120" t="s">
        <v>1993</v>
      </c>
      <c r="H1120">
        <v>18</v>
      </c>
      <c r="I1120" t="s">
        <v>2117</v>
      </c>
      <c r="J1120" t="s">
        <v>294</v>
      </c>
      <c r="M1120" t="s">
        <v>295</v>
      </c>
      <c r="N1120" t="s">
        <v>296</v>
      </c>
      <c r="O1120" t="s">
        <v>297</v>
      </c>
    </row>
    <row r="1121" spans="1:15" x14ac:dyDescent="0.3">
      <c r="A1121" t="s">
        <v>1938</v>
      </c>
      <c r="B1121" t="s">
        <v>2044</v>
      </c>
      <c r="C1121">
        <v>2023</v>
      </c>
      <c r="D1121" t="s">
        <v>252</v>
      </c>
      <c r="E1121" t="s">
        <v>2118</v>
      </c>
      <c r="F1121">
        <v>397035</v>
      </c>
      <c r="G1121" t="s">
        <v>1293</v>
      </c>
      <c r="I1121" t="s">
        <v>2119</v>
      </c>
      <c r="J1121" t="s">
        <v>456</v>
      </c>
      <c r="M1121" t="s">
        <v>295</v>
      </c>
      <c r="N1121" t="s">
        <v>296</v>
      </c>
      <c r="O1121" t="s">
        <v>297</v>
      </c>
    </row>
    <row r="1122" spans="1:15" x14ac:dyDescent="0.3">
      <c r="A1122" t="s">
        <v>1938</v>
      </c>
      <c r="B1122" t="s">
        <v>2120</v>
      </c>
      <c r="C1122">
        <v>2024</v>
      </c>
      <c r="D1122" t="s">
        <v>272</v>
      </c>
      <c r="E1122" t="s">
        <v>2121</v>
      </c>
      <c r="F1122" t="s">
        <v>2122</v>
      </c>
      <c r="G1122" t="s">
        <v>292</v>
      </c>
      <c r="I1122" t="s">
        <v>2123</v>
      </c>
      <c r="J1122" t="s">
        <v>294</v>
      </c>
      <c r="M1122" t="s">
        <v>295</v>
      </c>
      <c r="N1122" t="s">
        <v>296</v>
      </c>
      <c r="O1122" t="s">
        <v>297</v>
      </c>
    </row>
    <row r="1123" spans="1:15" x14ac:dyDescent="0.3">
      <c r="A1123" t="s">
        <v>1938</v>
      </c>
      <c r="B1123" t="s">
        <v>2120</v>
      </c>
      <c r="C1123">
        <v>2024</v>
      </c>
      <c r="D1123" t="s">
        <v>272</v>
      </c>
      <c r="E1123" t="s">
        <v>2124</v>
      </c>
      <c r="F1123" t="s">
        <v>2125</v>
      </c>
      <c r="G1123" t="s">
        <v>292</v>
      </c>
      <c r="I1123" t="s">
        <v>2126</v>
      </c>
      <c r="J1123" t="s">
        <v>294</v>
      </c>
      <c r="M1123" t="s">
        <v>295</v>
      </c>
      <c r="N1123" t="s">
        <v>296</v>
      </c>
      <c r="O1123" t="s">
        <v>297</v>
      </c>
    </row>
    <row r="1124" spans="1:15" x14ac:dyDescent="0.3">
      <c r="A1124" t="s">
        <v>1938</v>
      </c>
      <c r="B1124" t="s">
        <v>2120</v>
      </c>
      <c r="C1124">
        <v>2024</v>
      </c>
      <c r="D1124" t="s">
        <v>300</v>
      </c>
      <c r="E1124" t="s">
        <v>1752</v>
      </c>
      <c r="F1124">
        <v>1066.759</v>
      </c>
      <c r="G1124" t="s">
        <v>302</v>
      </c>
      <c r="H1124">
        <v>19</v>
      </c>
      <c r="I1124" t="s">
        <v>2127</v>
      </c>
      <c r="J1124" t="s">
        <v>294</v>
      </c>
      <c r="M1124" t="s">
        <v>295</v>
      </c>
      <c r="N1124" t="s">
        <v>296</v>
      </c>
      <c r="O1124" t="s">
        <v>297</v>
      </c>
    </row>
    <row r="1125" spans="1:15" x14ac:dyDescent="0.3">
      <c r="A1125" t="s">
        <v>1938</v>
      </c>
      <c r="B1125" t="s">
        <v>2120</v>
      </c>
      <c r="C1125">
        <v>2024</v>
      </c>
      <c r="D1125" t="s">
        <v>300</v>
      </c>
      <c r="E1125" t="s">
        <v>2128</v>
      </c>
      <c r="F1125">
        <v>-582.89499999999998</v>
      </c>
      <c r="G1125" t="s">
        <v>302</v>
      </c>
      <c r="H1125">
        <v>19</v>
      </c>
      <c r="I1125" t="s">
        <v>2129</v>
      </c>
      <c r="J1125" t="s">
        <v>294</v>
      </c>
      <c r="M1125" t="s">
        <v>295</v>
      </c>
      <c r="N1125" t="s">
        <v>296</v>
      </c>
      <c r="O1125" t="s">
        <v>297</v>
      </c>
    </row>
    <row r="1126" spans="1:15" x14ac:dyDescent="0.3">
      <c r="A1126" t="s">
        <v>1938</v>
      </c>
      <c r="B1126" t="s">
        <v>2120</v>
      </c>
      <c r="C1126">
        <v>2024</v>
      </c>
      <c r="D1126" t="s">
        <v>300</v>
      </c>
      <c r="E1126" t="s">
        <v>1754</v>
      </c>
      <c r="F1126">
        <v>483.86399999999998</v>
      </c>
      <c r="G1126" t="s">
        <v>302</v>
      </c>
      <c r="H1126">
        <v>19</v>
      </c>
      <c r="I1126" t="s">
        <v>2130</v>
      </c>
      <c r="J1126" t="s">
        <v>294</v>
      </c>
      <c r="M1126" t="s">
        <v>295</v>
      </c>
      <c r="N1126" t="s">
        <v>296</v>
      </c>
      <c r="O1126" t="s">
        <v>297</v>
      </c>
    </row>
    <row r="1127" spans="1:15" x14ac:dyDescent="0.3">
      <c r="A1127" t="s">
        <v>1938</v>
      </c>
      <c r="B1127" t="s">
        <v>2120</v>
      </c>
      <c r="C1127">
        <v>2024</v>
      </c>
      <c r="D1127" t="s">
        <v>300</v>
      </c>
      <c r="E1127" t="s">
        <v>1756</v>
      </c>
      <c r="F1127">
        <v>263.62799999999999</v>
      </c>
      <c r="G1127" t="s">
        <v>302</v>
      </c>
      <c r="H1127">
        <v>19</v>
      </c>
      <c r="I1127" t="s">
        <v>2131</v>
      </c>
      <c r="J1127" t="s">
        <v>294</v>
      </c>
      <c r="M1127" t="s">
        <v>295</v>
      </c>
      <c r="N1127" t="s">
        <v>296</v>
      </c>
      <c r="O1127" t="s">
        <v>297</v>
      </c>
    </row>
    <row r="1128" spans="1:15" x14ac:dyDescent="0.3">
      <c r="A1128" t="s">
        <v>1938</v>
      </c>
      <c r="B1128" t="s">
        <v>2120</v>
      </c>
      <c r="C1128">
        <v>2024</v>
      </c>
      <c r="D1128" t="s">
        <v>300</v>
      </c>
      <c r="E1128" t="s">
        <v>2132</v>
      </c>
      <c r="F1128">
        <v>289.68599999999998</v>
      </c>
      <c r="G1128" t="s">
        <v>302</v>
      </c>
      <c r="H1128">
        <v>19</v>
      </c>
      <c r="I1128" t="s">
        <v>2133</v>
      </c>
      <c r="J1128" t="s">
        <v>294</v>
      </c>
      <c r="M1128" t="s">
        <v>295</v>
      </c>
      <c r="N1128" t="s">
        <v>296</v>
      </c>
      <c r="O1128" t="s">
        <v>297</v>
      </c>
    </row>
    <row r="1129" spans="1:15" x14ac:dyDescent="0.3">
      <c r="A1129" t="s">
        <v>1938</v>
      </c>
      <c r="B1129" t="s">
        <v>2120</v>
      </c>
      <c r="C1129">
        <v>2024</v>
      </c>
      <c r="D1129" t="s">
        <v>300</v>
      </c>
      <c r="E1129" t="s">
        <v>1758</v>
      </c>
      <c r="F1129">
        <v>214.85499999999999</v>
      </c>
      <c r="G1129" t="s">
        <v>302</v>
      </c>
      <c r="H1129">
        <v>19</v>
      </c>
      <c r="I1129" t="s">
        <v>2134</v>
      </c>
      <c r="J1129" t="s">
        <v>294</v>
      </c>
      <c r="M1129" t="s">
        <v>295</v>
      </c>
      <c r="N1129" t="s">
        <v>296</v>
      </c>
      <c r="O1129" t="s">
        <v>297</v>
      </c>
    </row>
    <row r="1130" spans="1:15" x14ac:dyDescent="0.3">
      <c r="A1130" t="s">
        <v>1938</v>
      </c>
      <c r="B1130" t="s">
        <v>2120</v>
      </c>
      <c r="C1130">
        <v>2024</v>
      </c>
      <c r="D1130" t="s">
        <v>300</v>
      </c>
      <c r="E1130" t="s">
        <v>2135</v>
      </c>
      <c r="F1130">
        <v>441.97899999999998</v>
      </c>
      <c r="G1130" t="s">
        <v>302</v>
      </c>
      <c r="H1130">
        <v>19</v>
      </c>
      <c r="I1130" t="s">
        <v>2136</v>
      </c>
      <c r="J1130" t="s">
        <v>294</v>
      </c>
      <c r="M1130" t="s">
        <v>295</v>
      </c>
      <c r="N1130" t="s">
        <v>296</v>
      </c>
      <c r="O1130" t="s">
        <v>297</v>
      </c>
    </row>
    <row r="1131" spans="1:15" x14ac:dyDescent="0.3">
      <c r="A1131" t="s">
        <v>1938</v>
      </c>
      <c r="B1131" t="s">
        <v>2120</v>
      </c>
      <c r="C1131">
        <v>2024</v>
      </c>
      <c r="D1131" t="s">
        <v>300</v>
      </c>
      <c r="E1131" t="s">
        <v>1760</v>
      </c>
      <c r="F1131">
        <v>105</v>
      </c>
      <c r="G1131" t="s">
        <v>916</v>
      </c>
      <c r="H1131">
        <v>19</v>
      </c>
      <c r="I1131" t="s">
        <v>2137</v>
      </c>
      <c r="J1131" t="s">
        <v>294</v>
      </c>
      <c r="M1131" t="s">
        <v>295</v>
      </c>
      <c r="N1131" t="s">
        <v>296</v>
      </c>
      <c r="O1131" t="s">
        <v>297</v>
      </c>
    </row>
    <row r="1132" spans="1:15" x14ac:dyDescent="0.3">
      <c r="A1132" t="s">
        <v>1938</v>
      </c>
      <c r="B1132" t="s">
        <v>2120</v>
      </c>
      <c r="C1132">
        <v>2024</v>
      </c>
      <c r="D1132" t="s">
        <v>300</v>
      </c>
      <c r="E1132" t="s">
        <v>1762</v>
      </c>
      <c r="F1132">
        <v>2251.2649999999999</v>
      </c>
      <c r="G1132" t="s">
        <v>302</v>
      </c>
      <c r="H1132">
        <v>19</v>
      </c>
      <c r="I1132" t="s">
        <v>2138</v>
      </c>
      <c r="J1132" t="s">
        <v>294</v>
      </c>
      <c r="M1132" t="s">
        <v>295</v>
      </c>
      <c r="N1132" t="s">
        <v>296</v>
      </c>
      <c r="O1132" t="s">
        <v>297</v>
      </c>
    </row>
    <row r="1133" spans="1:15" x14ac:dyDescent="0.3">
      <c r="A1133" t="s">
        <v>1938</v>
      </c>
      <c r="B1133" t="s">
        <v>2120</v>
      </c>
      <c r="C1133">
        <v>2024</v>
      </c>
      <c r="D1133" t="s">
        <v>300</v>
      </c>
      <c r="E1133" t="s">
        <v>1764</v>
      </c>
      <c r="F1133">
        <v>463.27600000000001</v>
      </c>
      <c r="G1133" t="s">
        <v>302</v>
      </c>
      <c r="H1133">
        <v>19</v>
      </c>
      <c r="I1133" t="s">
        <v>2139</v>
      </c>
      <c r="J1133" t="s">
        <v>294</v>
      </c>
      <c r="M1133" t="s">
        <v>295</v>
      </c>
      <c r="N1133" t="s">
        <v>296</v>
      </c>
      <c r="O1133" t="s">
        <v>297</v>
      </c>
    </row>
    <row r="1134" spans="1:15" x14ac:dyDescent="0.3">
      <c r="A1134" t="s">
        <v>1938</v>
      </c>
      <c r="B1134" t="s">
        <v>2120</v>
      </c>
      <c r="C1134">
        <v>2024</v>
      </c>
      <c r="D1134" t="s">
        <v>300</v>
      </c>
      <c r="E1134" t="s">
        <v>1766</v>
      </c>
      <c r="F1134">
        <v>1787.989</v>
      </c>
      <c r="G1134" t="s">
        <v>302</v>
      </c>
      <c r="H1134">
        <v>19</v>
      </c>
      <c r="I1134" t="s">
        <v>2140</v>
      </c>
      <c r="J1134" t="s">
        <v>294</v>
      </c>
      <c r="M1134" t="s">
        <v>295</v>
      </c>
      <c r="N1134" t="s">
        <v>296</v>
      </c>
      <c r="O1134" t="s">
        <v>297</v>
      </c>
    </row>
    <row r="1135" spans="1:15" x14ac:dyDescent="0.3">
      <c r="A1135" t="s">
        <v>1938</v>
      </c>
      <c r="B1135" t="s">
        <v>2120</v>
      </c>
      <c r="C1135">
        <v>2024</v>
      </c>
      <c r="D1135" t="s">
        <v>300</v>
      </c>
      <c r="E1135" t="s">
        <v>1768</v>
      </c>
      <c r="F1135">
        <v>952.71900000000005</v>
      </c>
      <c r="G1135" t="s">
        <v>302</v>
      </c>
      <c r="H1135">
        <v>19</v>
      </c>
      <c r="I1135" t="s">
        <v>2141</v>
      </c>
      <c r="J1135" t="s">
        <v>294</v>
      </c>
      <c r="M1135" t="s">
        <v>295</v>
      </c>
      <c r="N1135" t="s">
        <v>296</v>
      </c>
      <c r="O1135" t="s">
        <v>297</v>
      </c>
    </row>
    <row r="1136" spans="1:15" x14ac:dyDescent="0.3">
      <c r="A1136" t="s">
        <v>1938</v>
      </c>
      <c r="B1136" t="s">
        <v>2120</v>
      </c>
      <c r="C1136">
        <v>2024</v>
      </c>
      <c r="D1136" t="s">
        <v>300</v>
      </c>
      <c r="E1136" t="s">
        <v>1515</v>
      </c>
      <c r="F1136">
        <v>250.75700000000001</v>
      </c>
      <c r="G1136" t="s">
        <v>302</v>
      </c>
      <c r="H1136">
        <v>19</v>
      </c>
      <c r="I1136" t="s">
        <v>2142</v>
      </c>
      <c r="J1136" t="s">
        <v>294</v>
      </c>
      <c r="M1136" t="s">
        <v>295</v>
      </c>
      <c r="N1136" t="s">
        <v>296</v>
      </c>
      <c r="O1136" t="s">
        <v>297</v>
      </c>
    </row>
    <row r="1137" spans="1:15" x14ac:dyDescent="0.3">
      <c r="A1137" t="s">
        <v>1938</v>
      </c>
      <c r="B1137" t="s">
        <v>2120</v>
      </c>
      <c r="C1137">
        <v>2024</v>
      </c>
      <c r="D1137" t="s">
        <v>300</v>
      </c>
      <c r="E1137" t="s">
        <v>1433</v>
      </c>
      <c r="F1137">
        <v>701.96199999999999</v>
      </c>
      <c r="G1137" t="s">
        <v>302</v>
      </c>
      <c r="H1137">
        <v>19</v>
      </c>
      <c r="I1137" t="s">
        <v>2143</v>
      </c>
      <c r="J1137" t="s">
        <v>294</v>
      </c>
      <c r="M1137" t="s">
        <v>295</v>
      </c>
      <c r="N1137" t="s">
        <v>296</v>
      </c>
      <c r="O1137" t="s">
        <v>297</v>
      </c>
    </row>
    <row r="1138" spans="1:15" x14ac:dyDescent="0.3">
      <c r="A1138" t="s">
        <v>1938</v>
      </c>
      <c r="B1138" t="s">
        <v>2120</v>
      </c>
      <c r="C1138">
        <v>2024</v>
      </c>
      <c r="D1138" t="s">
        <v>300</v>
      </c>
      <c r="E1138" t="s">
        <v>1774</v>
      </c>
      <c r="F1138">
        <v>1298.5450000000001</v>
      </c>
      <c r="G1138" t="s">
        <v>302</v>
      </c>
      <c r="H1138">
        <v>19</v>
      </c>
      <c r="I1138" t="s">
        <v>2144</v>
      </c>
      <c r="J1138" t="s">
        <v>294</v>
      </c>
      <c r="M1138" t="s">
        <v>295</v>
      </c>
      <c r="N1138" t="s">
        <v>296</v>
      </c>
      <c r="O1138" t="s">
        <v>297</v>
      </c>
    </row>
    <row r="1139" spans="1:15" x14ac:dyDescent="0.3">
      <c r="A1139" t="s">
        <v>1938</v>
      </c>
      <c r="B1139" t="s">
        <v>2120</v>
      </c>
      <c r="C1139">
        <v>2024</v>
      </c>
      <c r="D1139" t="s">
        <v>300</v>
      </c>
      <c r="E1139" t="s">
        <v>2145</v>
      </c>
      <c r="F1139">
        <v>133.268</v>
      </c>
      <c r="G1139" t="s">
        <v>302</v>
      </c>
      <c r="H1139">
        <v>19</v>
      </c>
      <c r="I1139" t="s">
        <v>2146</v>
      </c>
      <c r="J1139" t="s">
        <v>294</v>
      </c>
      <c r="M1139" t="s">
        <v>295</v>
      </c>
      <c r="N1139" t="s">
        <v>296</v>
      </c>
      <c r="O1139" t="s">
        <v>297</v>
      </c>
    </row>
    <row r="1140" spans="1:15" x14ac:dyDescent="0.3">
      <c r="A1140" t="s">
        <v>1938</v>
      </c>
      <c r="B1140" t="s">
        <v>2120</v>
      </c>
      <c r="C1140">
        <v>2024</v>
      </c>
      <c r="D1140" t="s">
        <v>300</v>
      </c>
      <c r="E1140" t="s">
        <v>2147</v>
      </c>
      <c r="F1140">
        <v>693.577</v>
      </c>
      <c r="G1140" t="s">
        <v>302</v>
      </c>
      <c r="H1140">
        <v>119</v>
      </c>
      <c r="I1140" t="s">
        <v>2148</v>
      </c>
      <c r="J1140" t="s">
        <v>294</v>
      </c>
      <c r="M1140" t="s">
        <v>295</v>
      </c>
      <c r="N1140" t="s">
        <v>296</v>
      </c>
      <c r="O1140" t="s">
        <v>297</v>
      </c>
    </row>
    <row r="1141" spans="1:15" x14ac:dyDescent="0.3">
      <c r="A1141" t="s">
        <v>1938</v>
      </c>
      <c r="B1141" t="s">
        <v>2120</v>
      </c>
      <c r="C1141">
        <v>2024</v>
      </c>
      <c r="D1141" t="s">
        <v>300</v>
      </c>
      <c r="E1141" t="s">
        <v>2149</v>
      </c>
      <c r="F1141">
        <v>560.30899999999997</v>
      </c>
      <c r="G1141" t="s">
        <v>302</v>
      </c>
      <c r="H1141">
        <v>119</v>
      </c>
      <c r="I1141" t="s">
        <v>2150</v>
      </c>
      <c r="J1141" t="s">
        <v>294</v>
      </c>
      <c r="M1141" t="s">
        <v>295</v>
      </c>
      <c r="N1141" t="s">
        <v>296</v>
      </c>
      <c r="O1141" t="s">
        <v>297</v>
      </c>
    </row>
    <row r="1142" spans="1:15" x14ac:dyDescent="0.3">
      <c r="A1142" t="s">
        <v>1938</v>
      </c>
      <c r="B1142" t="s">
        <v>2120</v>
      </c>
      <c r="C1142">
        <v>2024</v>
      </c>
      <c r="D1142" t="s">
        <v>300</v>
      </c>
      <c r="E1142" t="s">
        <v>2151</v>
      </c>
      <c r="F1142">
        <v>0.43149999999999999</v>
      </c>
      <c r="G1142" t="s">
        <v>1283</v>
      </c>
      <c r="H1142">
        <v>119</v>
      </c>
      <c r="I1142" t="s">
        <v>2152</v>
      </c>
      <c r="J1142" t="s">
        <v>294</v>
      </c>
      <c r="M1142" t="s">
        <v>295</v>
      </c>
      <c r="N1142" t="s">
        <v>296</v>
      </c>
      <c r="O1142" t="s">
        <v>297</v>
      </c>
    </row>
    <row r="1143" spans="1:15" x14ac:dyDescent="0.3">
      <c r="A1143" t="s">
        <v>1938</v>
      </c>
      <c r="B1143" t="s">
        <v>2120</v>
      </c>
      <c r="C1143">
        <v>2024</v>
      </c>
      <c r="D1143" t="s">
        <v>300</v>
      </c>
      <c r="E1143" t="s">
        <v>1191</v>
      </c>
      <c r="F1143">
        <v>332.80799999999999</v>
      </c>
      <c r="G1143" t="s">
        <v>302</v>
      </c>
      <c r="H1143">
        <v>19</v>
      </c>
      <c r="I1143" t="s">
        <v>2153</v>
      </c>
      <c r="J1143" t="s">
        <v>294</v>
      </c>
      <c r="M1143" t="s">
        <v>295</v>
      </c>
      <c r="N1143" t="s">
        <v>296</v>
      </c>
      <c r="O1143" t="s">
        <v>297</v>
      </c>
    </row>
    <row r="1144" spans="1:15" x14ac:dyDescent="0.3">
      <c r="A1144" t="s">
        <v>1938</v>
      </c>
      <c r="B1144" t="s">
        <v>2120</v>
      </c>
      <c r="C1144">
        <v>2024</v>
      </c>
      <c r="D1144" t="s">
        <v>300</v>
      </c>
      <c r="E1144" t="s">
        <v>1783</v>
      </c>
      <c r="F1144">
        <v>-306.08600000000001</v>
      </c>
      <c r="G1144" t="s">
        <v>302</v>
      </c>
      <c r="H1144">
        <v>19</v>
      </c>
      <c r="I1144" t="s">
        <v>2154</v>
      </c>
      <c r="J1144" t="s">
        <v>294</v>
      </c>
      <c r="M1144" t="s">
        <v>295</v>
      </c>
      <c r="N1144" t="s">
        <v>296</v>
      </c>
      <c r="O1144" t="s">
        <v>297</v>
      </c>
    </row>
    <row r="1145" spans="1:15" x14ac:dyDescent="0.3">
      <c r="A1145" t="s">
        <v>1938</v>
      </c>
      <c r="B1145" t="s">
        <v>2120</v>
      </c>
      <c r="C1145">
        <v>2024</v>
      </c>
      <c r="D1145" t="s">
        <v>300</v>
      </c>
      <c r="E1145" t="s">
        <v>1785</v>
      </c>
      <c r="F1145">
        <v>81.180999999999997</v>
      </c>
      <c r="G1145" t="s">
        <v>302</v>
      </c>
      <c r="H1145">
        <v>19</v>
      </c>
      <c r="I1145" t="s">
        <v>2155</v>
      </c>
      <c r="J1145" t="s">
        <v>294</v>
      </c>
      <c r="M1145" t="s">
        <v>295</v>
      </c>
      <c r="N1145" t="s">
        <v>296</v>
      </c>
      <c r="O1145" t="s">
        <v>297</v>
      </c>
    </row>
    <row r="1146" spans="1:15" x14ac:dyDescent="0.3">
      <c r="A1146" t="s">
        <v>1938</v>
      </c>
      <c r="B1146" t="s">
        <v>2120</v>
      </c>
      <c r="C1146">
        <v>2024</v>
      </c>
      <c r="D1146" t="s">
        <v>300</v>
      </c>
      <c r="E1146" t="s">
        <v>2156</v>
      </c>
      <c r="F1146">
        <v>227.648</v>
      </c>
      <c r="G1146" t="s">
        <v>302</v>
      </c>
      <c r="H1146">
        <v>118</v>
      </c>
      <c r="I1146" t="s">
        <v>2157</v>
      </c>
      <c r="J1146" t="s">
        <v>294</v>
      </c>
      <c r="M1146" t="s">
        <v>295</v>
      </c>
      <c r="N1146" t="s">
        <v>296</v>
      </c>
      <c r="O1146" t="s">
        <v>297</v>
      </c>
    </row>
    <row r="1147" spans="1:15" x14ac:dyDescent="0.3">
      <c r="A1147" t="s">
        <v>1938</v>
      </c>
      <c r="B1147" t="s">
        <v>2120</v>
      </c>
      <c r="C1147">
        <v>2024</v>
      </c>
      <c r="D1147" t="s">
        <v>300</v>
      </c>
      <c r="E1147" t="s">
        <v>1790</v>
      </c>
      <c r="F1147">
        <v>29.992000000000001</v>
      </c>
      <c r="G1147" t="s">
        <v>302</v>
      </c>
      <c r="H1147">
        <v>122</v>
      </c>
      <c r="I1147" t="s">
        <v>2158</v>
      </c>
      <c r="J1147" t="s">
        <v>294</v>
      </c>
      <c r="M1147" t="s">
        <v>295</v>
      </c>
      <c r="N1147" t="s">
        <v>296</v>
      </c>
      <c r="O1147" t="s">
        <v>297</v>
      </c>
    </row>
    <row r="1148" spans="1:15" x14ac:dyDescent="0.3">
      <c r="A1148" t="s">
        <v>1938</v>
      </c>
      <c r="B1148" t="s">
        <v>2120</v>
      </c>
      <c r="C1148">
        <v>2024</v>
      </c>
      <c r="D1148" t="s">
        <v>300</v>
      </c>
      <c r="E1148" t="s">
        <v>2159</v>
      </c>
      <c r="F1148">
        <v>14.63</v>
      </c>
      <c r="G1148" t="s">
        <v>916</v>
      </c>
      <c r="H1148">
        <v>122</v>
      </c>
      <c r="I1148" t="s">
        <v>2160</v>
      </c>
      <c r="J1148" t="s">
        <v>294</v>
      </c>
      <c r="M1148" t="s">
        <v>295</v>
      </c>
      <c r="N1148" t="s">
        <v>296</v>
      </c>
      <c r="O1148" t="s">
        <v>297</v>
      </c>
    </row>
    <row r="1149" spans="1:15" x14ac:dyDescent="0.3">
      <c r="A1149" t="s">
        <v>1938</v>
      </c>
      <c r="B1149" t="s">
        <v>2120</v>
      </c>
      <c r="C1149">
        <v>2024</v>
      </c>
      <c r="D1149" t="s">
        <v>300</v>
      </c>
      <c r="E1149" t="s">
        <v>1794</v>
      </c>
      <c r="F1149">
        <v>725</v>
      </c>
      <c r="G1149" t="s">
        <v>916</v>
      </c>
      <c r="H1149">
        <v>22</v>
      </c>
      <c r="I1149" t="s">
        <v>2161</v>
      </c>
      <c r="J1149" t="s">
        <v>294</v>
      </c>
      <c r="M1149" t="s">
        <v>295</v>
      </c>
      <c r="N1149" t="s">
        <v>296</v>
      </c>
      <c r="O1149" t="s">
        <v>297</v>
      </c>
    </row>
    <row r="1150" spans="1:15" x14ac:dyDescent="0.3">
      <c r="A1150" t="s">
        <v>1938</v>
      </c>
      <c r="B1150" t="s">
        <v>2120</v>
      </c>
      <c r="C1150">
        <v>2024</v>
      </c>
      <c r="D1150" t="s">
        <v>358</v>
      </c>
      <c r="E1150" t="s">
        <v>1992</v>
      </c>
      <c r="F1150">
        <v>20067.599999999999</v>
      </c>
      <c r="G1150" t="s">
        <v>1993</v>
      </c>
      <c r="H1150">
        <v>18</v>
      </c>
      <c r="I1150" t="s">
        <v>2162</v>
      </c>
      <c r="J1150" t="s">
        <v>294</v>
      </c>
      <c r="M1150" t="s">
        <v>295</v>
      </c>
      <c r="N1150" t="s">
        <v>296</v>
      </c>
      <c r="O1150" t="s">
        <v>297</v>
      </c>
    </row>
    <row r="1151" spans="1:15" x14ac:dyDescent="0.3">
      <c r="A1151" t="s">
        <v>1938</v>
      </c>
      <c r="B1151" t="s">
        <v>2120</v>
      </c>
      <c r="C1151">
        <v>2024</v>
      </c>
      <c r="D1151" t="s">
        <v>358</v>
      </c>
      <c r="E1151" t="s">
        <v>1467</v>
      </c>
      <c r="F1151">
        <v>17430.900000000001</v>
      </c>
      <c r="G1151" t="s">
        <v>1993</v>
      </c>
      <c r="H1151">
        <v>18</v>
      </c>
      <c r="I1151" t="s">
        <v>2163</v>
      </c>
      <c r="J1151" t="s">
        <v>294</v>
      </c>
      <c r="M1151" t="s">
        <v>295</v>
      </c>
      <c r="N1151" t="s">
        <v>296</v>
      </c>
      <c r="O1151" t="s">
        <v>297</v>
      </c>
    </row>
    <row r="1152" spans="1:15" x14ac:dyDescent="0.3">
      <c r="A1152" t="s">
        <v>1938</v>
      </c>
      <c r="B1152" t="s">
        <v>2120</v>
      </c>
      <c r="C1152">
        <v>2024</v>
      </c>
      <c r="D1152" t="s">
        <v>358</v>
      </c>
      <c r="E1152" t="s">
        <v>1996</v>
      </c>
      <c r="F1152">
        <v>2636.7</v>
      </c>
      <c r="G1152" t="s">
        <v>1993</v>
      </c>
      <c r="H1152">
        <v>18</v>
      </c>
      <c r="I1152" t="s">
        <v>2164</v>
      </c>
      <c r="J1152" t="s">
        <v>294</v>
      </c>
      <c r="M1152" t="s">
        <v>295</v>
      </c>
      <c r="N1152" t="s">
        <v>296</v>
      </c>
      <c r="O1152" t="s">
        <v>297</v>
      </c>
    </row>
    <row r="1153" spans="1:15" x14ac:dyDescent="0.3">
      <c r="A1153" t="s">
        <v>1938</v>
      </c>
      <c r="B1153" t="s">
        <v>2120</v>
      </c>
      <c r="C1153">
        <v>2024</v>
      </c>
      <c r="D1153" t="s">
        <v>358</v>
      </c>
      <c r="E1153" t="s">
        <v>2165</v>
      </c>
      <c r="F1153">
        <v>2</v>
      </c>
      <c r="G1153" t="s">
        <v>384</v>
      </c>
      <c r="I1153" t="s">
        <v>2166</v>
      </c>
      <c r="J1153" t="s">
        <v>294</v>
      </c>
      <c r="M1153" t="s">
        <v>295</v>
      </c>
      <c r="N1153" t="s">
        <v>296</v>
      </c>
      <c r="O1153" t="s">
        <v>297</v>
      </c>
    </row>
    <row r="1154" spans="1:15" x14ac:dyDescent="0.3">
      <c r="A1154" t="s">
        <v>1938</v>
      </c>
      <c r="B1154" t="s">
        <v>2120</v>
      </c>
      <c r="C1154">
        <v>2024</v>
      </c>
      <c r="D1154" t="s">
        <v>358</v>
      </c>
      <c r="E1154" t="s">
        <v>2093</v>
      </c>
      <c r="F1154">
        <v>90</v>
      </c>
      <c r="G1154" t="s">
        <v>1999</v>
      </c>
      <c r="I1154" t="s">
        <v>2167</v>
      </c>
      <c r="J1154" t="s">
        <v>294</v>
      </c>
      <c r="M1154" t="s">
        <v>295</v>
      </c>
      <c r="N1154" t="s">
        <v>296</v>
      </c>
      <c r="O1154" t="s">
        <v>297</v>
      </c>
    </row>
    <row r="1155" spans="1:15" x14ac:dyDescent="0.3">
      <c r="A1155" t="s">
        <v>1938</v>
      </c>
      <c r="B1155" t="s">
        <v>2120</v>
      </c>
      <c r="C1155">
        <v>2024</v>
      </c>
      <c r="D1155" t="s">
        <v>394</v>
      </c>
      <c r="E1155" t="s">
        <v>2168</v>
      </c>
      <c r="F1155">
        <v>319085</v>
      </c>
      <c r="G1155" t="s">
        <v>1293</v>
      </c>
      <c r="H1155">
        <v>18</v>
      </c>
      <c r="I1155" t="s">
        <v>2169</v>
      </c>
      <c r="J1155" t="s">
        <v>294</v>
      </c>
      <c r="M1155" t="s">
        <v>295</v>
      </c>
      <c r="N1155" t="s">
        <v>296</v>
      </c>
      <c r="O1155" t="s">
        <v>297</v>
      </c>
    </row>
    <row r="1156" spans="1:15" x14ac:dyDescent="0.3">
      <c r="A1156" t="s">
        <v>1938</v>
      </c>
      <c r="B1156" t="s">
        <v>2120</v>
      </c>
      <c r="C1156">
        <v>2024</v>
      </c>
      <c r="D1156" t="s">
        <v>394</v>
      </c>
      <c r="E1156" t="s">
        <v>2009</v>
      </c>
      <c r="F1156">
        <v>33723</v>
      </c>
      <c r="G1156" t="s">
        <v>1293</v>
      </c>
      <c r="H1156">
        <v>18</v>
      </c>
      <c r="I1156" t="s">
        <v>2170</v>
      </c>
      <c r="J1156" t="s">
        <v>294</v>
      </c>
      <c r="M1156" t="s">
        <v>295</v>
      </c>
      <c r="N1156" t="s">
        <v>296</v>
      </c>
      <c r="O1156" t="s">
        <v>297</v>
      </c>
    </row>
    <row r="1157" spans="1:15" x14ac:dyDescent="0.3">
      <c r="A1157" t="s">
        <v>1938</v>
      </c>
      <c r="B1157" t="s">
        <v>2120</v>
      </c>
      <c r="C1157">
        <v>2024</v>
      </c>
      <c r="D1157" t="s">
        <v>394</v>
      </c>
      <c r="E1157" t="s">
        <v>2011</v>
      </c>
      <c r="F1157">
        <v>265837</v>
      </c>
      <c r="G1157" t="s">
        <v>1293</v>
      </c>
      <c r="H1157">
        <v>18</v>
      </c>
      <c r="I1157" t="s">
        <v>2171</v>
      </c>
      <c r="J1157" t="s">
        <v>294</v>
      </c>
      <c r="M1157" t="s">
        <v>295</v>
      </c>
      <c r="N1157" t="s">
        <v>296</v>
      </c>
      <c r="O1157" t="s">
        <v>297</v>
      </c>
    </row>
    <row r="1158" spans="1:15" x14ac:dyDescent="0.3">
      <c r="A1158" t="s">
        <v>1938</v>
      </c>
      <c r="B1158" t="s">
        <v>2120</v>
      </c>
      <c r="C1158">
        <v>2024</v>
      </c>
      <c r="D1158" t="s">
        <v>394</v>
      </c>
      <c r="E1158" t="s">
        <v>2172</v>
      </c>
      <c r="F1158">
        <v>55700</v>
      </c>
      <c r="G1158" t="s">
        <v>1293</v>
      </c>
      <c r="H1158">
        <v>18</v>
      </c>
      <c r="I1158" t="s">
        <v>2173</v>
      </c>
      <c r="J1158" t="s">
        <v>294</v>
      </c>
      <c r="M1158" t="s">
        <v>295</v>
      </c>
      <c r="N1158" t="s">
        <v>296</v>
      </c>
      <c r="O1158" t="s">
        <v>297</v>
      </c>
    </row>
    <row r="1159" spans="1:15" x14ac:dyDescent="0.3">
      <c r="A1159" t="s">
        <v>1938</v>
      </c>
      <c r="B1159" t="s">
        <v>2120</v>
      </c>
      <c r="C1159">
        <v>2024</v>
      </c>
      <c r="D1159" t="s">
        <v>394</v>
      </c>
      <c r="E1159" t="s">
        <v>2101</v>
      </c>
      <c r="F1159">
        <v>55693</v>
      </c>
      <c r="G1159" t="s">
        <v>1293</v>
      </c>
      <c r="H1159">
        <v>18</v>
      </c>
      <c r="I1159" t="s">
        <v>2174</v>
      </c>
      <c r="J1159" t="s">
        <v>294</v>
      </c>
      <c r="M1159" t="s">
        <v>295</v>
      </c>
      <c r="N1159" t="s">
        <v>296</v>
      </c>
      <c r="O1159" t="s">
        <v>297</v>
      </c>
    </row>
    <row r="1160" spans="1:15" x14ac:dyDescent="0.3">
      <c r="A1160" t="s">
        <v>1938</v>
      </c>
      <c r="B1160" t="s">
        <v>2120</v>
      </c>
      <c r="C1160">
        <v>2024</v>
      </c>
      <c r="D1160" t="s">
        <v>394</v>
      </c>
      <c r="E1160" t="s">
        <v>1455</v>
      </c>
      <c r="F1160">
        <v>11801</v>
      </c>
      <c r="G1160" t="s">
        <v>1293</v>
      </c>
      <c r="H1160">
        <v>18</v>
      </c>
      <c r="I1160" t="s">
        <v>2175</v>
      </c>
      <c r="J1160" t="s">
        <v>294</v>
      </c>
      <c r="M1160" t="s">
        <v>295</v>
      </c>
      <c r="N1160" t="s">
        <v>296</v>
      </c>
      <c r="O1160" t="s">
        <v>297</v>
      </c>
    </row>
    <row r="1161" spans="1:15" x14ac:dyDescent="0.3">
      <c r="A1161" t="s">
        <v>1938</v>
      </c>
      <c r="B1161" t="s">
        <v>2120</v>
      </c>
      <c r="C1161">
        <v>2024</v>
      </c>
      <c r="D1161" t="s">
        <v>394</v>
      </c>
      <c r="E1161" t="s">
        <v>2104</v>
      </c>
      <c r="F1161">
        <v>12080</v>
      </c>
      <c r="G1161" t="s">
        <v>1293</v>
      </c>
      <c r="H1161">
        <v>18</v>
      </c>
      <c r="I1161" t="s">
        <v>2176</v>
      </c>
      <c r="J1161" t="s">
        <v>294</v>
      </c>
      <c r="M1161" t="s">
        <v>295</v>
      </c>
      <c r="N1161" t="s">
        <v>296</v>
      </c>
      <c r="O1161" t="s">
        <v>297</v>
      </c>
    </row>
    <row r="1162" spans="1:15" x14ac:dyDescent="0.3">
      <c r="A1162" t="s">
        <v>1938</v>
      </c>
      <c r="B1162" t="s">
        <v>2120</v>
      </c>
      <c r="C1162">
        <v>2024</v>
      </c>
      <c r="D1162" t="s">
        <v>394</v>
      </c>
      <c r="E1162" t="s">
        <v>2019</v>
      </c>
      <c r="F1162">
        <v>91828</v>
      </c>
      <c r="G1162" t="s">
        <v>1293</v>
      </c>
      <c r="H1162">
        <v>18</v>
      </c>
      <c r="I1162" t="s">
        <v>2177</v>
      </c>
      <c r="J1162" t="s">
        <v>294</v>
      </c>
      <c r="M1162" t="s">
        <v>295</v>
      </c>
      <c r="N1162" t="s">
        <v>296</v>
      </c>
      <c r="O1162" t="s">
        <v>297</v>
      </c>
    </row>
    <row r="1163" spans="1:15" x14ac:dyDescent="0.3">
      <c r="A1163" t="s">
        <v>1938</v>
      </c>
      <c r="B1163" t="s">
        <v>2120</v>
      </c>
      <c r="C1163">
        <v>2024</v>
      </c>
      <c r="D1163" t="s">
        <v>394</v>
      </c>
      <c r="E1163" t="s">
        <v>2107</v>
      </c>
      <c r="F1163">
        <v>18.2</v>
      </c>
      <c r="G1163" t="s">
        <v>2022</v>
      </c>
      <c r="H1163">
        <v>18</v>
      </c>
      <c r="I1163" t="s">
        <v>2178</v>
      </c>
      <c r="J1163" t="s">
        <v>294</v>
      </c>
      <c r="M1163" t="s">
        <v>295</v>
      </c>
      <c r="N1163" t="s">
        <v>296</v>
      </c>
      <c r="O1163" t="s">
        <v>297</v>
      </c>
    </row>
    <row r="1164" spans="1:15" x14ac:dyDescent="0.3">
      <c r="A1164" t="s">
        <v>1938</v>
      </c>
      <c r="B1164" t="s">
        <v>2120</v>
      </c>
      <c r="C1164">
        <v>2024</v>
      </c>
      <c r="D1164" t="s">
        <v>394</v>
      </c>
      <c r="E1164" t="s">
        <v>1014</v>
      </c>
      <c r="F1164">
        <v>0.21</v>
      </c>
      <c r="G1164" t="s">
        <v>1283</v>
      </c>
      <c r="H1164">
        <v>18</v>
      </c>
      <c r="I1164" t="s">
        <v>2179</v>
      </c>
      <c r="J1164" t="s">
        <v>294</v>
      </c>
      <c r="M1164" t="s">
        <v>295</v>
      </c>
      <c r="N1164" t="s">
        <v>296</v>
      </c>
      <c r="O1164" t="s">
        <v>297</v>
      </c>
    </row>
    <row r="1165" spans="1:15" x14ac:dyDescent="0.3">
      <c r="A1165" t="s">
        <v>1938</v>
      </c>
      <c r="B1165" t="s">
        <v>2120</v>
      </c>
      <c r="C1165">
        <v>2024</v>
      </c>
      <c r="D1165" t="s">
        <v>394</v>
      </c>
      <c r="E1165" t="s">
        <v>654</v>
      </c>
      <c r="F1165">
        <v>4.3999999999999997E-2</v>
      </c>
      <c r="G1165" t="s">
        <v>1283</v>
      </c>
      <c r="H1165">
        <v>18</v>
      </c>
      <c r="I1165" t="s">
        <v>2180</v>
      </c>
      <c r="J1165" t="s">
        <v>294</v>
      </c>
      <c r="M1165" t="s">
        <v>295</v>
      </c>
      <c r="N1165" t="s">
        <v>296</v>
      </c>
      <c r="O1165" t="s">
        <v>297</v>
      </c>
    </row>
    <row r="1166" spans="1:15" x14ac:dyDescent="0.3">
      <c r="A1166" t="s">
        <v>1938</v>
      </c>
      <c r="B1166" t="s">
        <v>2120</v>
      </c>
      <c r="C1166">
        <v>2024</v>
      </c>
      <c r="D1166" t="s">
        <v>394</v>
      </c>
      <c r="E1166" t="s">
        <v>2026</v>
      </c>
      <c r="F1166">
        <v>12793</v>
      </c>
      <c r="G1166" t="s">
        <v>2027</v>
      </c>
      <c r="H1166">
        <v>18</v>
      </c>
      <c r="I1166" t="s">
        <v>2181</v>
      </c>
      <c r="J1166" t="s">
        <v>294</v>
      </c>
      <c r="M1166" t="s">
        <v>295</v>
      </c>
      <c r="N1166" t="s">
        <v>296</v>
      </c>
      <c r="O1166" t="s">
        <v>297</v>
      </c>
    </row>
    <row r="1167" spans="1:15" x14ac:dyDescent="0.3">
      <c r="A1167" t="s">
        <v>1938</v>
      </c>
      <c r="B1167" t="s">
        <v>2120</v>
      </c>
      <c r="C1167">
        <v>2024</v>
      </c>
      <c r="D1167" t="s">
        <v>394</v>
      </c>
      <c r="E1167" t="s">
        <v>2029</v>
      </c>
      <c r="F1167">
        <v>2742</v>
      </c>
      <c r="G1167" t="s">
        <v>2027</v>
      </c>
      <c r="H1167">
        <v>18</v>
      </c>
      <c r="I1167" t="s">
        <v>2182</v>
      </c>
      <c r="J1167" t="s">
        <v>294</v>
      </c>
      <c r="M1167" t="s">
        <v>295</v>
      </c>
      <c r="N1167" t="s">
        <v>296</v>
      </c>
      <c r="O1167" t="s">
        <v>297</v>
      </c>
    </row>
    <row r="1168" spans="1:15" x14ac:dyDescent="0.3">
      <c r="A1168" t="s">
        <v>1938</v>
      </c>
      <c r="B1168" t="s">
        <v>2120</v>
      </c>
      <c r="C1168">
        <v>2024</v>
      </c>
      <c r="D1168" t="s">
        <v>394</v>
      </c>
      <c r="E1168" t="s">
        <v>2031</v>
      </c>
      <c r="F1168">
        <v>8170</v>
      </c>
      <c r="G1168" t="s">
        <v>2027</v>
      </c>
      <c r="H1168">
        <v>18</v>
      </c>
      <c r="I1168" t="s">
        <v>2183</v>
      </c>
      <c r="J1168" t="s">
        <v>294</v>
      </c>
      <c r="M1168" t="s">
        <v>295</v>
      </c>
      <c r="N1168" t="s">
        <v>296</v>
      </c>
      <c r="O1168" t="s">
        <v>297</v>
      </c>
    </row>
    <row r="1169" spans="1:15" x14ac:dyDescent="0.3">
      <c r="A1169" t="s">
        <v>1938</v>
      </c>
      <c r="B1169" t="s">
        <v>2120</v>
      </c>
      <c r="C1169">
        <v>2024</v>
      </c>
      <c r="D1169" t="s">
        <v>394</v>
      </c>
      <c r="E1169" t="s">
        <v>2033</v>
      </c>
      <c r="F1169">
        <v>2196.6</v>
      </c>
      <c r="G1169" t="s">
        <v>1993</v>
      </c>
      <c r="H1169">
        <v>18</v>
      </c>
      <c r="I1169" t="s">
        <v>2184</v>
      </c>
      <c r="J1169" t="s">
        <v>294</v>
      </c>
      <c r="M1169" t="s">
        <v>295</v>
      </c>
      <c r="N1169" t="s">
        <v>296</v>
      </c>
      <c r="O1169" t="s">
        <v>297</v>
      </c>
    </row>
    <row r="1170" spans="1:15" x14ac:dyDescent="0.3">
      <c r="A1170" t="s">
        <v>1938</v>
      </c>
      <c r="B1170" t="s">
        <v>2120</v>
      </c>
      <c r="C1170">
        <v>2024</v>
      </c>
      <c r="D1170" t="s">
        <v>394</v>
      </c>
      <c r="E1170" t="s">
        <v>2035</v>
      </c>
      <c r="F1170">
        <v>11155.4</v>
      </c>
      <c r="G1170" t="s">
        <v>1993</v>
      </c>
      <c r="H1170">
        <v>18</v>
      </c>
      <c r="I1170" t="s">
        <v>2185</v>
      </c>
      <c r="J1170" t="s">
        <v>294</v>
      </c>
      <c r="M1170" t="s">
        <v>295</v>
      </c>
      <c r="N1170" t="s">
        <v>296</v>
      </c>
      <c r="O1170" t="s">
        <v>297</v>
      </c>
    </row>
    <row r="1171" spans="1:15" x14ac:dyDescent="0.3">
      <c r="A1171" t="s">
        <v>1938</v>
      </c>
      <c r="B1171" t="s">
        <v>2120</v>
      </c>
      <c r="C1171">
        <v>2024</v>
      </c>
      <c r="D1171" t="s">
        <v>394</v>
      </c>
      <c r="E1171" t="s">
        <v>2037</v>
      </c>
      <c r="F1171">
        <v>4078.9</v>
      </c>
      <c r="G1171" t="s">
        <v>1993</v>
      </c>
      <c r="H1171">
        <v>18</v>
      </c>
      <c r="I1171" t="s">
        <v>2186</v>
      </c>
      <c r="J1171" t="s">
        <v>294</v>
      </c>
      <c r="M1171" t="s">
        <v>295</v>
      </c>
      <c r="N1171" t="s">
        <v>296</v>
      </c>
      <c r="O1171" t="s">
        <v>297</v>
      </c>
    </row>
    <row r="1172" spans="1:15" x14ac:dyDescent="0.3">
      <c r="A1172" t="s">
        <v>1938</v>
      </c>
      <c r="B1172" t="s">
        <v>2120</v>
      </c>
      <c r="C1172">
        <v>2024</v>
      </c>
      <c r="D1172" t="s">
        <v>394</v>
      </c>
      <c r="E1172" t="s">
        <v>2187</v>
      </c>
      <c r="F1172">
        <v>401302</v>
      </c>
      <c r="G1172" t="s">
        <v>1293</v>
      </c>
      <c r="I1172" t="s">
        <v>2188</v>
      </c>
      <c r="J1172" t="s">
        <v>456</v>
      </c>
      <c r="M1172" t="s">
        <v>295</v>
      </c>
      <c r="N1172" t="s">
        <v>296</v>
      </c>
      <c r="O1172" t="s">
        <v>297</v>
      </c>
    </row>
    <row r="1173" spans="1:15" x14ac:dyDescent="0.3">
      <c r="A1173" t="s">
        <v>2189</v>
      </c>
      <c r="B1173" t="s">
        <v>2190</v>
      </c>
      <c r="C1173">
        <v>2022</v>
      </c>
      <c r="D1173" t="s">
        <v>272</v>
      </c>
      <c r="E1173" t="s">
        <v>2191</v>
      </c>
      <c r="F1173" t="s">
        <v>2189</v>
      </c>
      <c r="G1173" t="s">
        <v>2192</v>
      </c>
      <c r="H1173">
        <v>4</v>
      </c>
      <c r="I1173" t="s">
        <v>2193</v>
      </c>
      <c r="J1173" t="s">
        <v>294</v>
      </c>
      <c r="M1173" t="s">
        <v>295</v>
      </c>
      <c r="N1173" t="s">
        <v>296</v>
      </c>
      <c r="O1173" t="s">
        <v>297</v>
      </c>
    </row>
    <row r="1174" spans="1:15" x14ac:dyDescent="0.3">
      <c r="A1174" t="s">
        <v>2189</v>
      </c>
      <c r="B1174" t="s">
        <v>2190</v>
      </c>
      <c r="C1174">
        <v>2022</v>
      </c>
      <c r="D1174" t="s">
        <v>272</v>
      </c>
      <c r="E1174" t="s">
        <v>2194</v>
      </c>
      <c r="F1174" t="s">
        <v>2195</v>
      </c>
      <c r="G1174" t="s">
        <v>2192</v>
      </c>
      <c r="H1174">
        <v>4</v>
      </c>
      <c r="I1174" t="s">
        <v>2196</v>
      </c>
      <c r="J1174" t="s">
        <v>294</v>
      </c>
      <c r="M1174" t="s">
        <v>295</v>
      </c>
      <c r="N1174" t="s">
        <v>296</v>
      </c>
      <c r="O1174" t="s">
        <v>297</v>
      </c>
    </row>
    <row r="1175" spans="1:15" x14ac:dyDescent="0.3">
      <c r="A1175" t="s">
        <v>2189</v>
      </c>
      <c r="B1175" t="s">
        <v>2190</v>
      </c>
      <c r="C1175">
        <v>2022</v>
      </c>
      <c r="D1175" t="s">
        <v>272</v>
      </c>
      <c r="E1175" t="s">
        <v>2197</v>
      </c>
      <c r="F1175" t="s">
        <v>2198</v>
      </c>
      <c r="G1175" t="s">
        <v>2192</v>
      </c>
      <c r="H1175">
        <v>18</v>
      </c>
      <c r="I1175" t="s">
        <v>2199</v>
      </c>
      <c r="J1175" t="s">
        <v>294</v>
      </c>
      <c r="M1175" t="s">
        <v>295</v>
      </c>
      <c r="N1175" t="s">
        <v>296</v>
      </c>
      <c r="O1175" t="s">
        <v>297</v>
      </c>
    </row>
    <row r="1176" spans="1:15" x14ac:dyDescent="0.3">
      <c r="A1176" t="s">
        <v>2189</v>
      </c>
      <c r="B1176" t="s">
        <v>2190</v>
      </c>
      <c r="C1176">
        <v>2022</v>
      </c>
      <c r="D1176" t="s">
        <v>272</v>
      </c>
      <c r="E1176" t="s">
        <v>1395</v>
      </c>
      <c r="F1176">
        <v>10599842400</v>
      </c>
      <c r="G1176" t="s">
        <v>1633</v>
      </c>
      <c r="H1176">
        <v>18</v>
      </c>
      <c r="I1176" t="s">
        <v>2200</v>
      </c>
      <c r="J1176" t="s">
        <v>294</v>
      </c>
      <c r="M1176" t="s">
        <v>295</v>
      </c>
      <c r="N1176" t="s">
        <v>296</v>
      </c>
      <c r="O1176" t="s">
        <v>297</v>
      </c>
    </row>
    <row r="1177" spans="1:15" x14ac:dyDescent="0.3">
      <c r="A1177" t="s">
        <v>2189</v>
      </c>
      <c r="B1177" t="s">
        <v>2190</v>
      </c>
      <c r="C1177">
        <v>2022</v>
      </c>
      <c r="D1177" t="s">
        <v>272</v>
      </c>
      <c r="E1177" t="s">
        <v>2201</v>
      </c>
      <c r="F1177">
        <v>0.28899999999999998</v>
      </c>
      <c r="G1177" t="s">
        <v>2202</v>
      </c>
      <c r="H1177">
        <v>20</v>
      </c>
      <c r="I1177" t="s">
        <v>2203</v>
      </c>
      <c r="J1177" t="s">
        <v>294</v>
      </c>
      <c r="M1177" t="s">
        <v>295</v>
      </c>
      <c r="N1177" t="s">
        <v>296</v>
      </c>
      <c r="O1177" t="s">
        <v>297</v>
      </c>
    </row>
    <row r="1178" spans="1:15" x14ac:dyDescent="0.3">
      <c r="A1178" t="s">
        <v>2189</v>
      </c>
      <c r="B1178" t="s">
        <v>2190</v>
      </c>
      <c r="C1178">
        <v>2022</v>
      </c>
      <c r="D1178" t="s">
        <v>272</v>
      </c>
      <c r="E1178" t="s">
        <v>2204</v>
      </c>
      <c r="F1178">
        <v>0.31709999999999999</v>
      </c>
      <c r="G1178" t="s">
        <v>2202</v>
      </c>
      <c r="H1178">
        <v>20</v>
      </c>
      <c r="I1178" t="s">
        <v>2205</v>
      </c>
      <c r="J1178" t="s">
        <v>294</v>
      </c>
      <c r="M1178" t="s">
        <v>295</v>
      </c>
      <c r="N1178" t="s">
        <v>296</v>
      </c>
      <c r="O1178" t="s">
        <v>297</v>
      </c>
    </row>
    <row r="1179" spans="1:15" x14ac:dyDescent="0.3">
      <c r="A1179" t="s">
        <v>2189</v>
      </c>
      <c r="B1179" t="s">
        <v>2190</v>
      </c>
      <c r="C1179">
        <v>2022</v>
      </c>
      <c r="D1179" t="s">
        <v>300</v>
      </c>
      <c r="E1179" t="s">
        <v>301</v>
      </c>
      <c r="F1179">
        <v>9633.6710000000003</v>
      </c>
      <c r="G1179" t="s">
        <v>302</v>
      </c>
      <c r="H1179">
        <v>13</v>
      </c>
      <c r="I1179" t="s">
        <v>2206</v>
      </c>
      <c r="J1179" t="s">
        <v>294</v>
      </c>
      <c r="M1179" t="s">
        <v>295</v>
      </c>
      <c r="N1179" t="s">
        <v>296</v>
      </c>
      <c r="O1179" t="s">
        <v>297</v>
      </c>
    </row>
    <row r="1180" spans="1:15" x14ac:dyDescent="0.3">
      <c r="A1180" t="s">
        <v>2189</v>
      </c>
      <c r="B1180" t="s">
        <v>2190</v>
      </c>
      <c r="C1180">
        <v>2022</v>
      </c>
      <c r="D1180" t="s">
        <v>300</v>
      </c>
      <c r="E1180" t="s">
        <v>2207</v>
      </c>
      <c r="F1180">
        <v>8117.134</v>
      </c>
      <c r="G1180" t="s">
        <v>302</v>
      </c>
      <c r="H1180">
        <v>89</v>
      </c>
      <c r="I1180" t="s">
        <v>2208</v>
      </c>
      <c r="J1180" t="s">
        <v>294</v>
      </c>
      <c r="M1180" t="s">
        <v>295</v>
      </c>
      <c r="N1180" t="s">
        <v>296</v>
      </c>
      <c r="O1180" t="s">
        <v>297</v>
      </c>
    </row>
    <row r="1181" spans="1:15" x14ac:dyDescent="0.3">
      <c r="A1181" t="s">
        <v>2189</v>
      </c>
      <c r="B1181" t="s">
        <v>2190</v>
      </c>
      <c r="C1181">
        <v>2022</v>
      </c>
      <c r="D1181" t="s">
        <v>300</v>
      </c>
      <c r="E1181" t="s">
        <v>2209</v>
      </c>
      <c r="F1181">
        <v>1516.537</v>
      </c>
      <c r="G1181" t="s">
        <v>302</v>
      </c>
      <c r="H1181">
        <v>89</v>
      </c>
      <c r="I1181" t="s">
        <v>2210</v>
      </c>
      <c r="J1181" t="s">
        <v>294</v>
      </c>
      <c r="M1181" t="s">
        <v>295</v>
      </c>
      <c r="N1181" t="s">
        <v>296</v>
      </c>
      <c r="O1181" t="s">
        <v>297</v>
      </c>
    </row>
    <row r="1182" spans="1:15" x14ac:dyDescent="0.3">
      <c r="A1182" t="s">
        <v>2189</v>
      </c>
      <c r="B1182" t="s">
        <v>2190</v>
      </c>
      <c r="C1182">
        <v>2022</v>
      </c>
      <c r="D1182" t="s">
        <v>300</v>
      </c>
      <c r="E1182" t="s">
        <v>1415</v>
      </c>
      <c r="F1182">
        <v>3117.5749999999998</v>
      </c>
      <c r="G1182" t="s">
        <v>302</v>
      </c>
      <c r="H1182">
        <v>13</v>
      </c>
      <c r="I1182" t="s">
        <v>2211</v>
      </c>
      <c r="J1182" t="s">
        <v>294</v>
      </c>
      <c r="M1182" t="s">
        <v>295</v>
      </c>
      <c r="N1182" t="s">
        <v>296</v>
      </c>
      <c r="O1182" t="s">
        <v>297</v>
      </c>
    </row>
    <row r="1183" spans="1:15" x14ac:dyDescent="0.3">
      <c r="A1183" t="s">
        <v>2189</v>
      </c>
      <c r="B1183" t="s">
        <v>2190</v>
      </c>
      <c r="C1183">
        <v>2022</v>
      </c>
      <c r="D1183" t="s">
        <v>300</v>
      </c>
      <c r="E1183" t="s">
        <v>1417</v>
      </c>
      <c r="F1183">
        <v>2172.4749999999999</v>
      </c>
      <c r="G1183" t="s">
        <v>302</v>
      </c>
      <c r="H1183">
        <v>13</v>
      </c>
      <c r="I1183" t="s">
        <v>2212</v>
      </c>
      <c r="J1183" t="s">
        <v>294</v>
      </c>
      <c r="M1183" t="s">
        <v>295</v>
      </c>
      <c r="N1183" t="s">
        <v>296</v>
      </c>
      <c r="O1183" t="s">
        <v>297</v>
      </c>
    </row>
    <row r="1184" spans="1:15" x14ac:dyDescent="0.3">
      <c r="A1184" t="s">
        <v>2189</v>
      </c>
      <c r="B1184" t="s">
        <v>2190</v>
      </c>
      <c r="C1184">
        <v>2022</v>
      </c>
      <c r="D1184" t="s">
        <v>300</v>
      </c>
      <c r="E1184" t="s">
        <v>880</v>
      </c>
      <c r="F1184">
        <v>3018.3629999999998</v>
      </c>
      <c r="G1184" t="s">
        <v>302</v>
      </c>
      <c r="H1184">
        <v>13</v>
      </c>
      <c r="I1184" t="s">
        <v>2213</v>
      </c>
      <c r="J1184" t="s">
        <v>294</v>
      </c>
      <c r="M1184" t="s">
        <v>295</v>
      </c>
      <c r="N1184" t="s">
        <v>296</v>
      </c>
      <c r="O1184" t="s">
        <v>297</v>
      </c>
    </row>
    <row r="1185" spans="1:15" x14ac:dyDescent="0.3">
      <c r="A1185" t="s">
        <v>2189</v>
      </c>
      <c r="B1185" t="s">
        <v>2190</v>
      </c>
      <c r="C1185">
        <v>2022</v>
      </c>
      <c r="D1185" t="s">
        <v>300</v>
      </c>
      <c r="E1185" t="s">
        <v>1505</v>
      </c>
      <c r="F1185">
        <v>1206.587</v>
      </c>
      <c r="G1185" t="s">
        <v>302</v>
      </c>
      <c r="H1185">
        <v>13</v>
      </c>
      <c r="I1185" t="s">
        <v>2214</v>
      </c>
      <c r="J1185" t="s">
        <v>294</v>
      </c>
      <c r="M1185" t="s">
        <v>295</v>
      </c>
      <c r="N1185" t="s">
        <v>296</v>
      </c>
      <c r="O1185" t="s">
        <v>297</v>
      </c>
    </row>
    <row r="1186" spans="1:15" x14ac:dyDescent="0.3">
      <c r="A1186" t="s">
        <v>2189</v>
      </c>
      <c r="B1186" t="s">
        <v>2190</v>
      </c>
      <c r="C1186">
        <v>2022</v>
      </c>
      <c r="D1186" t="s">
        <v>300</v>
      </c>
      <c r="E1186" t="s">
        <v>1421</v>
      </c>
      <c r="F1186">
        <v>1206.835</v>
      </c>
      <c r="G1186" t="s">
        <v>302</v>
      </c>
      <c r="H1186">
        <v>13</v>
      </c>
      <c r="I1186" t="s">
        <v>2215</v>
      </c>
      <c r="J1186" t="s">
        <v>294</v>
      </c>
      <c r="M1186" t="s">
        <v>295</v>
      </c>
      <c r="N1186" t="s">
        <v>296</v>
      </c>
      <c r="O1186" t="s">
        <v>297</v>
      </c>
    </row>
    <row r="1187" spans="1:15" x14ac:dyDescent="0.3">
      <c r="A1187" t="s">
        <v>2189</v>
      </c>
      <c r="B1187" t="s">
        <v>2190</v>
      </c>
      <c r="C1187">
        <v>2022</v>
      </c>
      <c r="D1187" t="s">
        <v>300</v>
      </c>
      <c r="E1187" t="s">
        <v>1429</v>
      </c>
      <c r="F1187">
        <v>15357.228999999999</v>
      </c>
      <c r="G1187" t="s">
        <v>302</v>
      </c>
      <c r="H1187">
        <v>13</v>
      </c>
      <c r="I1187" t="s">
        <v>2216</v>
      </c>
      <c r="J1187" t="s">
        <v>294</v>
      </c>
      <c r="M1187" t="s">
        <v>295</v>
      </c>
      <c r="N1187" t="s">
        <v>296</v>
      </c>
      <c r="O1187" t="s">
        <v>297</v>
      </c>
    </row>
    <row r="1188" spans="1:15" x14ac:dyDescent="0.3">
      <c r="A1188" t="s">
        <v>2189</v>
      </c>
      <c r="B1188" t="s">
        <v>2190</v>
      </c>
      <c r="C1188">
        <v>2022</v>
      </c>
      <c r="D1188" t="s">
        <v>300</v>
      </c>
      <c r="E1188" t="s">
        <v>1435</v>
      </c>
      <c r="F1188">
        <v>7197.0889999999999</v>
      </c>
      <c r="G1188" t="s">
        <v>302</v>
      </c>
      <c r="H1188">
        <v>13</v>
      </c>
      <c r="I1188" t="s">
        <v>2217</v>
      </c>
      <c r="J1188" t="s">
        <v>294</v>
      </c>
      <c r="M1188" t="s">
        <v>295</v>
      </c>
      <c r="N1188" t="s">
        <v>296</v>
      </c>
      <c r="O1188" t="s">
        <v>297</v>
      </c>
    </row>
    <row r="1189" spans="1:15" x14ac:dyDescent="0.3">
      <c r="A1189" t="s">
        <v>2189</v>
      </c>
      <c r="B1189" t="s">
        <v>2190</v>
      </c>
      <c r="C1189">
        <v>2022</v>
      </c>
      <c r="D1189" t="s">
        <v>300</v>
      </c>
      <c r="E1189" t="s">
        <v>1437</v>
      </c>
      <c r="F1189">
        <v>8160.14</v>
      </c>
      <c r="G1189" t="s">
        <v>302</v>
      </c>
      <c r="H1189">
        <v>13</v>
      </c>
      <c r="I1189" t="s">
        <v>2218</v>
      </c>
      <c r="J1189" t="s">
        <v>294</v>
      </c>
      <c r="M1189" t="s">
        <v>295</v>
      </c>
      <c r="N1189" t="s">
        <v>296</v>
      </c>
      <c r="O1189" t="s">
        <v>297</v>
      </c>
    </row>
    <row r="1190" spans="1:15" x14ac:dyDescent="0.3">
      <c r="A1190" t="s">
        <v>2189</v>
      </c>
      <c r="B1190" t="s">
        <v>2190</v>
      </c>
      <c r="C1190">
        <v>2022</v>
      </c>
      <c r="D1190" t="s">
        <v>300</v>
      </c>
      <c r="E1190" t="s">
        <v>782</v>
      </c>
      <c r="F1190">
        <v>113.86</v>
      </c>
      <c r="G1190" t="s">
        <v>916</v>
      </c>
      <c r="H1190">
        <v>13</v>
      </c>
      <c r="I1190" t="s">
        <v>2219</v>
      </c>
      <c r="J1190" t="s">
        <v>294</v>
      </c>
      <c r="M1190" t="s">
        <v>295</v>
      </c>
      <c r="N1190" t="s">
        <v>296</v>
      </c>
      <c r="O1190" t="s">
        <v>297</v>
      </c>
    </row>
    <row r="1191" spans="1:15" x14ac:dyDescent="0.3">
      <c r="A1191" t="s">
        <v>2189</v>
      </c>
      <c r="B1191" t="s">
        <v>2190</v>
      </c>
      <c r="C1191">
        <v>2022</v>
      </c>
      <c r="D1191" t="s">
        <v>300</v>
      </c>
      <c r="E1191" t="s">
        <v>1662</v>
      </c>
      <c r="F1191">
        <v>359.34899999999999</v>
      </c>
      <c r="G1191" t="s">
        <v>302</v>
      </c>
      <c r="H1191">
        <v>182</v>
      </c>
      <c r="I1191" t="s">
        <v>2220</v>
      </c>
      <c r="J1191" t="s">
        <v>294</v>
      </c>
      <c r="M1191" t="s">
        <v>295</v>
      </c>
      <c r="N1191" t="s">
        <v>296</v>
      </c>
      <c r="O1191" t="s">
        <v>297</v>
      </c>
    </row>
    <row r="1192" spans="1:15" x14ac:dyDescent="0.3">
      <c r="A1192" t="s">
        <v>2189</v>
      </c>
      <c r="B1192" t="s">
        <v>2190</v>
      </c>
      <c r="C1192">
        <v>2022</v>
      </c>
      <c r="D1192" t="s">
        <v>300</v>
      </c>
      <c r="E1192" t="s">
        <v>1664</v>
      </c>
      <c r="F1192">
        <v>668.07600000000002</v>
      </c>
      <c r="G1192" t="s">
        <v>302</v>
      </c>
      <c r="H1192">
        <v>183</v>
      </c>
      <c r="I1192" t="s">
        <v>2221</v>
      </c>
      <c r="J1192" t="s">
        <v>294</v>
      </c>
      <c r="M1192" t="s">
        <v>295</v>
      </c>
      <c r="N1192" t="s">
        <v>296</v>
      </c>
      <c r="O1192" t="s">
        <v>297</v>
      </c>
    </row>
    <row r="1193" spans="1:15" x14ac:dyDescent="0.3">
      <c r="A1193" t="s">
        <v>2189</v>
      </c>
      <c r="B1193" t="s">
        <v>2190</v>
      </c>
      <c r="C1193">
        <v>2022</v>
      </c>
      <c r="D1193" t="s">
        <v>300</v>
      </c>
      <c r="E1193" t="s">
        <v>2222</v>
      </c>
      <c r="F1193">
        <v>759.95299999999997</v>
      </c>
      <c r="G1193" t="s">
        <v>302</v>
      </c>
      <c r="H1193">
        <v>183</v>
      </c>
      <c r="I1193" t="s">
        <v>2223</v>
      </c>
      <c r="J1193" t="s">
        <v>294</v>
      </c>
      <c r="M1193" t="s">
        <v>295</v>
      </c>
      <c r="N1193" t="s">
        <v>296</v>
      </c>
      <c r="O1193" t="s">
        <v>297</v>
      </c>
    </row>
    <row r="1194" spans="1:15" x14ac:dyDescent="0.3">
      <c r="A1194" t="s">
        <v>2189</v>
      </c>
      <c r="B1194" t="s">
        <v>2190</v>
      </c>
      <c r="C1194">
        <v>2022</v>
      </c>
      <c r="D1194" t="s">
        <v>300</v>
      </c>
      <c r="E1194" t="s">
        <v>2224</v>
      </c>
      <c r="F1194">
        <v>3041.0830000000001</v>
      </c>
      <c r="G1194" t="s">
        <v>302</v>
      </c>
      <c r="H1194">
        <v>183</v>
      </c>
      <c r="I1194" t="s">
        <v>2225</v>
      </c>
      <c r="J1194" t="s">
        <v>294</v>
      </c>
      <c r="M1194" t="s">
        <v>295</v>
      </c>
      <c r="N1194" t="s">
        <v>296</v>
      </c>
      <c r="O1194" t="s">
        <v>297</v>
      </c>
    </row>
    <row r="1195" spans="1:15" x14ac:dyDescent="0.3">
      <c r="A1195" t="s">
        <v>2189</v>
      </c>
      <c r="B1195" t="s">
        <v>2190</v>
      </c>
      <c r="C1195">
        <v>2022</v>
      </c>
      <c r="D1195" t="s">
        <v>300</v>
      </c>
      <c r="E1195" t="s">
        <v>2226</v>
      </c>
      <c r="F1195">
        <v>175.524</v>
      </c>
      <c r="G1195" t="s">
        <v>302</v>
      </c>
      <c r="H1195">
        <v>183</v>
      </c>
      <c r="I1195" t="s">
        <v>2227</v>
      </c>
      <c r="J1195" t="s">
        <v>294</v>
      </c>
      <c r="M1195" t="s">
        <v>295</v>
      </c>
      <c r="N1195" t="s">
        <v>296</v>
      </c>
      <c r="O1195" t="s">
        <v>297</v>
      </c>
    </row>
    <row r="1196" spans="1:15" x14ac:dyDescent="0.3">
      <c r="A1196" t="s">
        <v>2189</v>
      </c>
      <c r="B1196" t="s">
        <v>2190</v>
      </c>
      <c r="C1196">
        <v>2022</v>
      </c>
      <c r="D1196" t="s">
        <v>300</v>
      </c>
      <c r="E1196" t="s">
        <v>2228</v>
      </c>
      <c r="F1196">
        <v>282.31</v>
      </c>
      <c r="G1196" t="s">
        <v>302</v>
      </c>
      <c r="H1196">
        <v>183</v>
      </c>
      <c r="I1196" t="s">
        <v>2229</v>
      </c>
      <c r="J1196" t="s">
        <v>294</v>
      </c>
      <c r="M1196" t="s">
        <v>295</v>
      </c>
      <c r="N1196" t="s">
        <v>296</v>
      </c>
      <c r="O1196" t="s">
        <v>297</v>
      </c>
    </row>
    <row r="1197" spans="1:15" x14ac:dyDescent="0.3">
      <c r="A1197" t="s">
        <v>2189</v>
      </c>
      <c r="B1197" t="s">
        <v>2190</v>
      </c>
      <c r="C1197">
        <v>2022</v>
      </c>
      <c r="D1197" t="s">
        <v>300</v>
      </c>
      <c r="E1197" t="s">
        <v>601</v>
      </c>
      <c r="F1197">
        <v>1538.027</v>
      </c>
      <c r="G1197" t="s">
        <v>302</v>
      </c>
      <c r="H1197">
        <v>92</v>
      </c>
      <c r="I1197" t="s">
        <v>2230</v>
      </c>
      <c r="J1197" t="s">
        <v>294</v>
      </c>
      <c r="M1197" t="s">
        <v>295</v>
      </c>
      <c r="N1197" t="s">
        <v>296</v>
      </c>
      <c r="O1197" t="s">
        <v>297</v>
      </c>
    </row>
    <row r="1198" spans="1:15" x14ac:dyDescent="0.3">
      <c r="A1198" t="s">
        <v>2189</v>
      </c>
      <c r="B1198" t="s">
        <v>2190</v>
      </c>
      <c r="C1198">
        <v>2022</v>
      </c>
      <c r="D1198" t="s">
        <v>300</v>
      </c>
      <c r="E1198" t="s">
        <v>2231</v>
      </c>
      <c r="F1198">
        <v>1068.865</v>
      </c>
      <c r="G1198" t="s">
        <v>302</v>
      </c>
      <c r="H1198">
        <v>188</v>
      </c>
      <c r="I1198" t="s">
        <v>2232</v>
      </c>
      <c r="J1198" t="s">
        <v>294</v>
      </c>
      <c r="M1198" t="s">
        <v>295</v>
      </c>
      <c r="N1198" t="s">
        <v>296</v>
      </c>
      <c r="O1198" t="s">
        <v>297</v>
      </c>
    </row>
    <row r="1199" spans="1:15" x14ac:dyDescent="0.3">
      <c r="A1199" t="s">
        <v>2189</v>
      </c>
      <c r="B1199" t="s">
        <v>2190</v>
      </c>
      <c r="C1199">
        <v>2022</v>
      </c>
      <c r="D1199" t="s">
        <v>300</v>
      </c>
      <c r="E1199" t="s">
        <v>2233</v>
      </c>
      <c r="F1199">
        <v>106.259</v>
      </c>
      <c r="G1199" t="s">
        <v>302</v>
      </c>
      <c r="H1199">
        <v>188</v>
      </c>
      <c r="I1199" t="s">
        <v>2234</v>
      </c>
      <c r="J1199" t="s">
        <v>294</v>
      </c>
      <c r="M1199" t="s">
        <v>295</v>
      </c>
      <c r="N1199" t="s">
        <v>296</v>
      </c>
      <c r="O1199" t="s">
        <v>297</v>
      </c>
    </row>
    <row r="1200" spans="1:15" x14ac:dyDescent="0.3">
      <c r="A1200" t="s">
        <v>2189</v>
      </c>
      <c r="B1200" t="s">
        <v>2190</v>
      </c>
      <c r="C1200">
        <v>2022</v>
      </c>
      <c r="D1200" t="s">
        <v>300</v>
      </c>
      <c r="E1200" t="s">
        <v>2235</v>
      </c>
      <c r="F1200">
        <v>478.68299999999999</v>
      </c>
      <c r="G1200" t="s">
        <v>302</v>
      </c>
      <c r="H1200">
        <v>226</v>
      </c>
      <c r="I1200" t="s">
        <v>2236</v>
      </c>
      <c r="J1200" t="s">
        <v>294</v>
      </c>
      <c r="M1200" t="s">
        <v>295</v>
      </c>
      <c r="N1200" t="s">
        <v>296</v>
      </c>
      <c r="O1200" t="s">
        <v>297</v>
      </c>
    </row>
    <row r="1201" spans="1:15" x14ac:dyDescent="0.3">
      <c r="A1201" t="s">
        <v>2189</v>
      </c>
      <c r="B1201" t="s">
        <v>2190</v>
      </c>
      <c r="C1201">
        <v>2022</v>
      </c>
      <c r="D1201" t="s">
        <v>300</v>
      </c>
      <c r="E1201" t="s">
        <v>2237</v>
      </c>
      <c r="F1201">
        <v>243.79300000000001</v>
      </c>
      <c r="G1201" t="s">
        <v>302</v>
      </c>
      <c r="H1201">
        <v>224</v>
      </c>
      <c r="I1201" t="s">
        <v>2238</v>
      </c>
      <c r="J1201" t="s">
        <v>294</v>
      </c>
      <c r="M1201" t="s">
        <v>295</v>
      </c>
      <c r="N1201" t="s">
        <v>296</v>
      </c>
      <c r="O1201" t="s">
        <v>297</v>
      </c>
    </row>
    <row r="1202" spans="1:15" x14ac:dyDescent="0.3">
      <c r="A1202" t="s">
        <v>2189</v>
      </c>
      <c r="B1202" t="s">
        <v>2190</v>
      </c>
      <c r="C1202">
        <v>2022</v>
      </c>
      <c r="D1202" t="s">
        <v>300</v>
      </c>
      <c r="E1202" t="s">
        <v>2239</v>
      </c>
      <c r="F1202">
        <v>496</v>
      </c>
      <c r="G1202" t="s">
        <v>912</v>
      </c>
      <c r="H1202">
        <v>17</v>
      </c>
      <c r="I1202" t="s">
        <v>2240</v>
      </c>
      <c r="J1202" t="s">
        <v>294</v>
      </c>
      <c r="M1202" t="s">
        <v>295</v>
      </c>
      <c r="N1202" t="s">
        <v>296</v>
      </c>
      <c r="O1202" t="s">
        <v>297</v>
      </c>
    </row>
    <row r="1203" spans="1:15" x14ac:dyDescent="0.3">
      <c r="A1203" t="s">
        <v>2189</v>
      </c>
      <c r="B1203" t="s">
        <v>2190</v>
      </c>
      <c r="C1203">
        <v>2022</v>
      </c>
      <c r="D1203" t="s">
        <v>300</v>
      </c>
      <c r="E1203" t="s">
        <v>2241</v>
      </c>
      <c r="F1203">
        <v>20</v>
      </c>
      <c r="G1203" t="s">
        <v>916</v>
      </c>
      <c r="H1203">
        <v>19</v>
      </c>
      <c r="I1203" t="s">
        <v>2242</v>
      </c>
      <c r="J1203" t="s">
        <v>294</v>
      </c>
      <c r="M1203" t="s">
        <v>295</v>
      </c>
      <c r="N1203" t="s">
        <v>296</v>
      </c>
      <c r="O1203" t="s">
        <v>297</v>
      </c>
    </row>
    <row r="1204" spans="1:15" x14ac:dyDescent="0.3">
      <c r="A1204" t="s">
        <v>2189</v>
      </c>
      <c r="B1204" t="s">
        <v>2190</v>
      </c>
      <c r="C1204">
        <v>2022</v>
      </c>
      <c r="D1204" t="s">
        <v>358</v>
      </c>
      <c r="E1204" t="s">
        <v>1465</v>
      </c>
      <c r="F1204">
        <v>112500</v>
      </c>
      <c r="G1204" t="s">
        <v>360</v>
      </c>
      <c r="H1204">
        <v>6</v>
      </c>
      <c r="I1204" t="s">
        <v>2243</v>
      </c>
      <c r="J1204" t="s">
        <v>294</v>
      </c>
      <c r="M1204" t="s">
        <v>295</v>
      </c>
      <c r="N1204" t="s">
        <v>296</v>
      </c>
      <c r="O1204" t="s">
        <v>297</v>
      </c>
    </row>
    <row r="1205" spans="1:15" x14ac:dyDescent="0.3">
      <c r="A1205" t="s">
        <v>2189</v>
      </c>
      <c r="B1205" t="s">
        <v>2190</v>
      </c>
      <c r="C1205">
        <v>2022</v>
      </c>
      <c r="D1205" t="s">
        <v>358</v>
      </c>
      <c r="E1205" t="s">
        <v>2244</v>
      </c>
      <c r="F1205">
        <v>84600</v>
      </c>
      <c r="G1205" t="s">
        <v>360</v>
      </c>
      <c r="H1205">
        <v>6</v>
      </c>
      <c r="I1205" t="s">
        <v>2245</v>
      </c>
      <c r="J1205" t="s">
        <v>294</v>
      </c>
      <c r="M1205" t="s">
        <v>295</v>
      </c>
      <c r="N1205" t="s">
        <v>296</v>
      </c>
      <c r="O1205" t="s">
        <v>297</v>
      </c>
    </row>
    <row r="1206" spans="1:15" x14ac:dyDescent="0.3">
      <c r="A1206" t="s">
        <v>2189</v>
      </c>
      <c r="B1206" t="s">
        <v>2190</v>
      </c>
      <c r="C1206">
        <v>2022</v>
      </c>
      <c r="D1206" t="s">
        <v>358</v>
      </c>
      <c r="E1206" t="s">
        <v>2246</v>
      </c>
      <c r="F1206">
        <v>28300</v>
      </c>
      <c r="G1206" t="s">
        <v>360</v>
      </c>
      <c r="H1206">
        <v>62</v>
      </c>
      <c r="I1206" t="s">
        <v>2247</v>
      </c>
      <c r="J1206" t="s">
        <v>294</v>
      </c>
      <c r="M1206" t="s">
        <v>295</v>
      </c>
      <c r="N1206" t="s">
        <v>296</v>
      </c>
      <c r="O1206" t="s">
        <v>297</v>
      </c>
    </row>
    <row r="1207" spans="1:15" x14ac:dyDescent="0.3">
      <c r="A1207" t="s">
        <v>2189</v>
      </c>
      <c r="B1207" t="s">
        <v>2190</v>
      </c>
      <c r="C1207">
        <v>2022</v>
      </c>
      <c r="D1207" t="s">
        <v>358</v>
      </c>
      <c r="E1207" t="s">
        <v>2248</v>
      </c>
      <c r="F1207">
        <v>104000</v>
      </c>
      <c r="G1207" t="s">
        <v>360</v>
      </c>
      <c r="H1207">
        <v>6</v>
      </c>
      <c r="I1207" t="s">
        <v>2249</v>
      </c>
      <c r="J1207" t="s">
        <v>294</v>
      </c>
      <c r="M1207" t="s">
        <v>295</v>
      </c>
      <c r="N1207" t="s">
        <v>296</v>
      </c>
      <c r="O1207" t="s">
        <v>297</v>
      </c>
    </row>
    <row r="1208" spans="1:15" x14ac:dyDescent="0.3">
      <c r="A1208" t="s">
        <v>2189</v>
      </c>
      <c r="B1208" t="s">
        <v>2190</v>
      </c>
      <c r="C1208">
        <v>2022</v>
      </c>
      <c r="D1208" t="s">
        <v>358</v>
      </c>
      <c r="E1208" t="s">
        <v>2250</v>
      </c>
      <c r="F1208">
        <v>12.8</v>
      </c>
      <c r="G1208" t="s">
        <v>375</v>
      </c>
      <c r="H1208">
        <v>6</v>
      </c>
      <c r="I1208" t="s">
        <v>2251</v>
      </c>
      <c r="J1208" t="s">
        <v>294</v>
      </c>
      <c r="M1208" t="s">
        <v>295</v>
      </c>
      <c r="N1208" t="s">
        <v>296</v>
      </c>
      <c r="O1208" t="s">
        <v>297</v>
      </c>
    </row>
    <row r="1209" spans="1:15" x14ac:dyDescent="0.3">
      <c r="A1209" t="s">
        <v>2189</v>
      </c>
      <c r="B1209" t="s">
        <v>2190</v>
      </c>
      <c r="C1209">
        <v>2022</v>
      </c>
      <c r="D1209" t="s">
        <v>358</v>
      </c>
      <c r="E1209" t="s">
        <v>2252</v>
      </c>
      <c r="F1209">
        <v>12</v>
      </c>
      <c r="G1209" t="s">
        <v>2253</v>
      </c>
      <c r="H1209">
        <v>62</v>
      </c>
      <c r="I1209" t="s">
        <v>2254</v>
      </c>
      <c r="J1209" t="s">
        <v>294</v>
      </c>
      <c r="M1209" t="s">
        <v>295</v>
      </c>
      <c r="N1209" t="s">
        <v>296</v>
      </c>
      <c r="O1209" t="s">
        <v>297</v>
      </c>
    </row>
    <row r="1210" spans="1:15" x14ac:dyDescent="0.3">
      <c r="A1210" t="s">
        <v>2189</v>
      </c>
      <c r="B1210" t="s">
        <v>2190</v>
      </c>
      <c r="C1210">
        <v>2022</v>
      </c>
      <c r="D1210" t="s">
        <v>358</v>
      </c>
      <c r="E1210" t="s">
        <v>2255</v>
      </c>
      <c r="F1210">
        <v>675</v>
      </c>
      <c r="G1210" t="s">
        <v>2256</v>
      </c>
      <c r="H1210">
        <v>62</v>
      </c>
      <c r="I1210" t="s">
        <v>2257</v>
      </c>
      <c r="J1210" t="s">
        <v>294</v>
      </c>
      <c r="M1210" t="s">
        <v>295</v>
      </c>
      <c r="N1210" t="s">
        <v>296</v>
      </c>
      <c r="O1210" t="s">
        <v>297</v>
      </c>
    </row>
    <row r="1211" spans="1:15" x14ac:dyDescent="0.3">
      <c r="A1211" t="s">
        <v>2189</v>
      </c>
      <c r="B1211" t="s">
        <v>2190</v>
      </c>
      <c r="C1211">
        <v>2022</v>
      </c>
      <c r="D1211" t="s">
        <v>358</v>
      </c>
      <c r="E1211" t="s">
        <v>2258</v>
      </c>
      <c r="F1211">
        <v>400</v>
      </c>
      <c r="G1211" t="s">
        <v>1689</v>
      </c>
      <c r="H1211">
        <v>62</v>
      </c>
      <c r="I1211" t="s">
        <v>2259</v>
      </c>
      <c r="J1211" t="s">
        <v>294</v>
      </c>
      <c r="M1211" t="s">
        <v>295</v>
      </c>
      <c r="N1211" t="s">
        <v>296</v>
      </c>
      <c r="O1211" t="s">
        <v>297</v>
      </c>
    </row>
    <row r="1212" spans="1:15" x14ac:dyDescent="0.3">
      <c r="A1212" t="s">
        <v>2189</v>
      </c>
      <c r="B1212" t="s">
        <v>2190</v>
      </c>
      <c r="C1212">
        <v>2022</v>
      </c>
      <c r="D1212" t="s">
        <v>358</v>
      </c>
      <c r="E1212" t="s">
        <v>2260</v>
      </c>
      <c r="F1212">
        <v>97000</v>
      </c>
      <c r="G1212" t="s">
        <v>1453</v>
      </c>
      <c r="H1212">
        <v>61</v>
      </c>
      <c r="I1212" t="s">
        <v>2261</v>
      </c>
      <c r="J1212" t="s">
        <v>294</v>
      </c>
      <c r="M1212" t="s">
        <v>295</v>
      </c>
      <c r="N1212" t="s">
        <v>296</v>
      </c>
      <c r="O1212" t="s">
        <v>297</v>
      </c>
    </row>
    <row r="1213" spans="1:15" x14ac:dyDescent="0.3">
      <c r="A1213" t="s">
        <v>2189</v>
      </c>
      <c r="B1213" t="s">
        <v>2190</v>
      </c>
      <c r="C1213">
        <v>2022</v>
      </c>
      <c r="D1213" t="s">
        <v>358</v>
      </c>
      <c r="E1213" t="s">
        <v>2262</v>
      </c>
      <c r="F1213">
        <v>63000</v>
      </c>
      <c r="G1213" t="s">
        <v>360</v>
      </c>
      <c r="H1213">
        <v>6</v>
      </c>
      <c r="I1213" t="s">
        <v>2263</v>
      </c>
      <c r="J1213" t="s">
        <v>294</v>
      </c>
      <c r="M1213" t="s">
        <v>295</v>
      </c>
      <c r="N1213" t="s">
        <v>296</v>
      </c>
      <c r="O1213" t="s">
        <v>297</v>
      </c>
    </row>
    <row r="1214" spans="1:15" x14ac:dyDescent="0.3">
      <c r="A1214" t="s">
        <v>2189</v>
      </c>
      <c r="B1214" t="s">
        <v>2190</v>
      </c>
      <c r="C1214">
        <v>2022</v>
      </c>
      <c r="D1214" t="s">
        <v>394</v>
      </c>
      <c r="E1214" t="s">
        <v>1543</v>
      </c>
      <c r="F1214">
        <v>2213698</v>
      </c>
      <c r="G1214" t="s">
        <v>1453</v>
      </c>
      <c r="H1214">
        <v>88</v>
      </c>
      <c r="I1214" t="s">
        <v>2264</v>
      </c>
      <c r="J1214" t="s">
        <v>294</v>
      </c>
      <c r="M1214" t="s">
        <v>295</v>
      </c>
      <c r="N1214" t="s">
        <v>296</v>
      </c>
      <c r="O1214" t="s">
        <v>297</v>
      </c>
    </row>
    <row r="1215" spans="1:15" x14ac:dyDescent="0.3">
      <c r="A1215" t="s">
        <v>2189</v>
      </c>
      <c r="B1215" t="s">
        <v>2190</v>
      </c>
      <c r="C1215">
        <v>2022</v>
      </c>
      <c r="D1215" t="s">
        <v>394</v>
      </c>
      <c r="E1215" t="s">
        <v>2265</v>
      </c>
      <c r="F1215">
        <v>1758257</v>
      </c>
      <c r="G1215" t="s">
        <v>1453</v>
      </c>
      <c r="H1215">
        <v>88</v>
      </c>
      <c r="I1215" t="s">
        <v>2266</v>
      </c>
      <c r="J1215" t="s">
        <v>294</v>
      </c>
      <c r="M1215" t="s">
        <v>295</v>
      </c>
      <c r="N1215" t="s">
        <v>296</v>
      </c>
      <c r="O1215" t="s">
        <v>297</v>
      </c>
    </row>
    <row r="1216" spans="1:15" x14ac:dyDescent="0.3">
      <c r="A1216" t="s">
        <v>2189</v>
      </c>
      <c r="B1216" t="s">
        <v>2190</v>
      </c>
      <c r="C1216">
        <v>2022</v>
      </c>
      <c r="D1216" t="s">
        <v>394</v>
      </c>
      <c r="E1216" t="s">
        <v>2267</v>
      </c>
      <c r="F1216">
        <v>455442</v>
      </c>
      <c r="G1216" t="s">
        <v>1453</v>
      </c>
      <c r="H1216">
        <v>88</v>
      </c>
      <c r="I1216" t="s">
        <v>2268</v>
      </c>
      <c r="J1216" t="s">
        <v>294</v>
      </c>
      <c r="M1216" t="s">
        <v>295</v>
      </c>
      <c r="N1216" t="s">
        <v>296</v>
      </c>
      <c r="O1216" t="s">
        <v>297</v>
      </c>
    </row>
    <row r="1217" spans="1:15" x14ac:dyDescent="0.3">
      <c r="A1217" t="s">
        <v>2189</v>
      </c>
      <c r="B1217" t="s">
        <v>2190</v>
      </c>
      <c r="C1217">
        <v>2022</v>
      </c>
      <c r="D1217" t="s">
        <v>394</v>
      </c>
      <c r="E1217" t="s">
        <v>2011</v>
      </c>
      <c r="F1217">
        <v>2809177</v>
      </c>
      <c r="G1217" t="s">
        <v>1453</v>
      </c>
      <c r="H1217">
        <v>88</v>
      </c>
      <c r="I1217" t="s">
        <v>2269</v>
      </c>
      <c r="J1217" t="s">
        <v>294</v>
      </c>
      <c r="M1217" t="s">
        <v>295</v>
      </c>
      <c r="N1217" t="s">
        <v>296</v>
      </c>
      <c r="O1217" t="s">
        <v>297</v>
      </c>
    </row>
    <row r="1218" spans="1:15" x14ac:dyDescent="0.3">
      <c r="A1218" t="s">
        <v>2189</v>
      </c>
      <c r="B1218" t="s">
        <v>2190</v>
      </c>
      <c r="C1218">
        <v>2022</v>
      </c>
      <c r="D1218" t="s">
        <v>394</v>
      </c>
      <c r="E1218" t="s">
        <v>1452</v>
      </c>
      <c r="F1218">
        <v>639480</v>
      </c>
      <c r="G1218" t="s">
        <v>1453</v>
      </c>
      <c r="H1218">
        <v>88</v>
      </c>
      <c r="I1218" t="s">
        <v>2270</v>
      </c>
      <c r="J1218" t="s">
        <v>294</v>
      </c>
      <c r="M1218" t="s">
        <v>295</v>
      </c>
      <c r="N1218" t="s">
        <v>296</v>
      </c>
      <c r="O1218" t="s">
        <v>297</v>
      </c>
    </row>
    <row r="1219" spans="1:15" x14ac:dyDescent="0.3">
      <c r="A1219" t="s">
        <v>2189</v>
      </c>
      <c r="B1219" t="s">
        <v>2190</v>
      </c>
      <c r="C1219">
        <v>2022</v>
      </c>
      <c r="D1219" t="s">
        <v>394</v>
      </c>
      <c r="E1219" t="s">
        <v>1541</v>
      </c>
      <c r="F1219">
        <v>117622</v>
      </c>
      <c r="G1219" t="s">
        <v>1453</v>
      </c>
      <c r="H1219">
        <v>88</v>
      </c>
      <c r="I1219" t="s">
        <v>2271</v>
      </c>
      <c r="J1219" t="s">
        <v>294</v>
      </c>
      <c r="M1219" t="s">
        <v>295</v>
      </c>
      <c r="N1219" t="s">
        <v>296</v>
      </c>
      <c r="O1219" t="s">
        <v>297</v>
      </c>
    </row>
    <row r="1220" spans="1:15" x14ac:dyDescent="0.3">
      <c r="A1220" t="s">
        <v>2189</v>
      </c>
      <c r="B1220" t="s">
        <v>2190</v>
      </c>
      <c r="C1220">
        <v>2022</v>
      </c>
      <c r="D1220" t="s">
        <v>394</v>
      </c>
      <c r="E1220" t="s">
        <v>2272</v>
      </c>
      <c r="F1220">
        <v>37970</v>
      </c>
      <c r="G1220" t="s">
        <v>1453</v>
      </c>
      <c r="H1220">
        <v>88</v>
      </c>
      <c r="I1220" t="s">
        <v>2273</v>
      </c>
      <c r="J1220" t="s">
        <v>294</v>
      </c>
      <c r="M1220" t="s">
        <v>295</v>
      </c>
      <c r="N1220" t="s">
        <v>296</v>
      </c>
      <c r="O1220" t="s">
        <v>297</v>
      </c>
    </row>
    <row r="1221" spans="1:15" x14ac:dyDescent="0.3">
      <c r="A1221" t="s">
        <v>2189</v>
      </c>
      <c r="B1221" t="s">
        <v>2190</v>
      </c>
      <c r="C1221">
        <v>2022</v>
      </c>
      <c r="D1221" t="s">
        <v>394</v>
      </c>
      <c r="E1221" t="s">
        <v>2274</v>
      </c>
      <c r="F1221">
        <v>0.2276</v>
      </c>
      <c r="G1221" t="s">
        <v>2202</v>
      </c>
      <c r="H1221">
        <v>88</v>
      </c>
      <c r="I1221" t="s">
        <v>2275</v>
      </c>
      <c r="J1221" t="s">
        <v>294</v>
      </c>
      <c r="M1221" t="s">
        <v>295</v>
      </c>
      <c r="N1221" t="s">
        <v>296</v>
      </c>
      <c r="O1221" t="s">
        <v>297</v>
      </c>
    </row>
    <row r="1222" spans="1:15" x14ac:dyDescent="0.3">
      <c r="A1222" t="s">
        <v>2189</v>
      </c>
      <c r="B1222" t="s">
        <v>2190</v>
      </c>
      <c r="C1222">
        <v>2022</v>
      </c>
      <c r="D1222" t="s">
        <v>394</v>
      </c>
      <c r="E1222" t="s">
        <v>2276</v>
      </c>
      <c r="F1222">
        <v>3.78E-2</v>
      </c>
      <c r="G1222" t="s">
        <v>2202</v>
      </c>
      <c r="H1222">
        <v>88</v>
      </c>
      <c r="I1222" t="s">
        <v>2277</v>
      </c>
      <c r="J1222" t="s">
        <v>294</v>
      </c>
      <c r="M1222" t="s">
        <v>295</v>
      </c>
      <c r="N1222" t="s">
        <v>296</v>
      </c>
      <c r="O1222" t="s">
        <v>297</v>
      </c>
    </row>
    <row r="1223" spans="1:15" x14ac:dyDescent="0.3">
      <c r="A1223" t="s">
        <v>2189</v>
      </c>
      <c r="B1223" t="s">
        <v>2190</v>
      </c>
      <c r="C1223">
        <v>2022</v>
      </c>
      <c r="D1223" t="s">
        <v>394</v>
      </c>
      <c r="E1223" t="s">
        <v>1457</v>
      </c>
      <c r="F1223">
        <v>639518</v>
      </c>
      <c r="G1223" t="s">
        <v>1453</v>
      </c>
      <c r="H1223">
        <v>88</v>
      </c>
      <c r="I1223" t="s">
        <v>2278</v>
      </c>
      <c r="J1223" t="s">
        <v>294</v>
      </c>
      <c r="M1223" t="s">
        <v>295</v>
      </c>
      <c r="N1223" t="s">
        <v>296</v>
      </c>
      <c r="O1223" t="s">
        <v>297</v>
      </c>
    </row>
    <row r="1224" spans="1:15" x14ac:dyDescent="0.3">
      <c r="A1224" t="s">
        <v>2189</v>
      </c>
      <c r="B1224" t="s">
        <v>2190</v>
      </c>
      <c r="C1224">
        <v>2022</v>
      </c>
      <c r="D1224" t="s">
        <v>394</v>
      </c>
      <c r="E1224" t="s">
        <v>946</v>
      </c>
      <c r="F1224">
        <v>11180000</v>
      </c>
      <c r="G1224" t="s">
        <v>2279</v>
      </c>
      <c r="H1224">
        <v>88</v>
      </c>
      <c r="I1224" t="s">
        <v>2280</v>
      </c>
      <c r="J1224" t="s">
        <v>294</v>
      </c>
      <c r="M1224" t="s">
        <v>295</v>
      </c>
      <c r="N1224" t="s">
        <v>296</v>
      </c>
      <c r="O1224" t="s">
        <v>297</v>
      </c>
    </row>
    <row r="1225" spans="1:15" x14ac:dyDescent="0.3">
      <c r="A1225" t="s">
        <v>2189</v>
      </c>
      <c r="B1225" t="s">
        <v>2190</v>
      </c>
      <c r="C1225">
        <v>2022</v>
      </c>
      <c r="D1225" t="s">
        <v>394</v>
      </c>
      <c r="E1225" t="s">
        <v>1019</v>
      </c>
      <c r="F1225">
        <v>17480000</v>
      </c>
      <c r="G1225" t="s">
        <v>2279</v>
      </c>
      <c r="H1225">
        <v>88</v>
      </c>
      <c r="I1225" t="s">
        <v>2281</v>
      </c>
      <c r="J1225" t="s">
        <v>294</v>
      </c>
      <c r="M1225" t="s">
        <v>295</v>
      </c>
      <c r="N1225" t="s">
        <v>296</v>
      </c>
      <c r="O1225" t="s">
        <v>297</v>
      </c>
    </row>
    <row r="1226" spans="1:15" x14ac:dyDescent="0.3">
      <c r="A1226" t="s">
        <v>2189</v>
      </c>
      <c r="B1226" t="s">
        <v>2190</v>
      </c>
      <c r="C1226">
        <v>2022</v>
      </c>
      <c r="D1226" t="s">
        <v>394</v>
      </c>
      <c r="E1226" t="s">
        <v>2282</v>
      </c>
      <c r="F1226">
        <v>115700</v>
      </c>
      <c r="G1226" t="s">
        <v>1409</v>
      </c>
      <c r="H1226">
        <v>89</v>
      </c>
      <c r="I1226" t="s">
        <v>2283</v>
      </c>
      <c r="J1226" t="s">
        <v>294</v>
      </c>
      <c r="M1226" t="s">
        <v>295</v>
      </c>
      <c r="N1226" t="s">
        <v>296</v>
      </c>
      <c r="O1226" t="s">
        <v>297</v>
      </c>
    </row>
    <row r="1227" spans="1:15" x14ac:dyDescent="0.3">
      <c r="A1227" t="s">
        <v>2189</v>
      </c>
      <c r="B1227" t="s">
        <v>2190</v>
      </c>
      <c r="C1227">
        <v>2022</v>
      </c>
      <c r="D1227" t="s">
        <v>394</v>
      </c>
      <c r="E1227" t="s">
        <v>2284</v>
      </c>
      <c r="F1227">
        <v>1117000</v>
      </c>
      <c r="G1227" t="s">
        <v>2285</v>
      </c>
      <c r="H1227">
        <v>89</v>
      </c>
      <c r="I1227" t="s">
        <v>2286</v>
      </c>
      <c r="J1227" t="s">
        <v>294</v>
      </c>
      <c r="M1227" t="s">
        <v>295</v>
      </c>
      <c r="N1227" t="s">
        <v>296</v>
      </c>
      <c r="O1227" t="s">
        <v>297</v>
      </c>
    </row>
    <row r="1228" spans="1:15" x14ac:dyDescent="0.3">
      <c r="A1228" t="s">
        <v>2189</v>
      </c>
      <c r="B1228" t="s">
        <v>2190</v>
      </c>
      <c r="C1228">
        <v>2022</v>
      </c>
      <c r="D1228" t="s">
        <v>563</v>
      </c>
      <c r="E1228" t="s">
        <v>2287</v>
      </c>
      <c r="F1228">
        <v>6</v>
      </c>
      <c r="G1228" t="s">
        <v>2253</v>
      </c>
      <c r="H1228">
        <v>62</v>
      </c>
      <c r="I1228" t="s">
        <v>2288</v>
      </c>
      <c r="J1228" t="s">
        <v>294</v>
      </c>
      <c r="M1228" t="s">
        <v>295</v>
      </c>
      <c r="N1228" t="s">
        <v>296</v>
      </c>
      <c r="O1228" t="s">
        <v>297</v>
      </c>
    </row>
    <row r="1229" spans="1:15" x14ac:dyDescent="0.3">
      <c r="A1229" t="s">
        <v>2189</v>
      </c>
      <c r="B1229" t="s">
        <v>2190</v>
      </c>
      <c r="C1229">
        <v>2022</v>
      </c>
      <c r="D1229" t="s">
        <v>563</v>
      </c>
      <c r="E1229" t="s">
        <v>2289</v>
      </c>
      <c r="F1229">
        <v>8</v>
      </c>
      <c r="G1229" t="s">
        <v>2253</v>
      </c>
      <c r="H1229">
        <v>62</v>
      </c>
      <c r="I1229" t="s">
        <v>2290</v>
      </c>
      <c r="J1229" t="s">
        <v>294</v>
      </c>
      <c r="M1229" t="s">
        <v>295</v>
      </c>
      <c r="N1229" t="s">
        <v>296</v>
      </c>
      <c r="O1229" t="s">
        <v>297</v>
      </c>
    </row>
    <row r="1230" spans="1:15" x14ac:dyDescent="0.3">
      <c r="A1230" t="s">
        <v>2189</v>
      </c>
      <c r="B1230" t="s">
        <v>2190</v>
      </c>
      <c r="C1230">
        <v>2022</v>
      </c>
      <c r="D1230" t="s">
        <v>563</v>
      </c>
      <c r="E1230" t="s">
        <v>2291</v>
      </c>
      <c r="F1230">
        <v>280</v>
      </c>
      <c r="G1230" t="s">
        <v>2292</v>
      </c>
      <c r="H1230">
        <v>6</v>
      </c>
      <c r="I1230" t="s">
        <v>2293</v>
      </c>
      <c r="J1230" t="s">
        <v>294</v>
      </c>
      <c r="M1230" t="s">
        <v>295</v>
      </c>
      <c r="N1230" t="s">
        <v>296</v>
      </c>
      <c r="O1230" t="s">
        <v>297</v>
      </c>
    </row>
    <row r="1231" spans="1:15" x14ac:dyDescent="0.3">
      <c r="A1231" t="s">
        <v>2189</v>
      </c>
      <c r="B1231" t="s">
        <v>2190</v>
      </c>
      <c r="C1231">
        <v>2022</v>
      </c>
      <c r="D1231" t="s">
        <v>252</v>
      </c>
      <c r="E1231" t="s">
        <v>2294</v>
      </c>
      <c r="F1231">
        <v>113196</v>
      </c>
      <c r="G1231" t="s">
        <v>360</v>
      </c>
      <c r="H1231">
        <v>96</v>
      </c>
      <c r="I1231" t="s">
        <v>2295</v>
      </c>
      <c r="J1231" t="s">
        <v>294</v>
      </c>
      <c r="M1231" t="s">
        <v>295</v>
      </c>
      <c r="N1231" t="s">
        <v>296</v>
      </c>
      <c r="O1231" t="s">
        <v>297</v>
      </c>
    </row>
    <row r="1232" spans="1:15" x14ac:dyDescent="0.3">
      <c r="A1232" t="s">
        <v>2189</v>
      </c>
      <c r="B1232" t="s">
        <v>2296</v>
      </c>
      <c r="C1232">
        <v>2023</v>
      </c>
      <c r="D1232" t="s">
        <v>272</v>
      </c>
      <c r="E1232" t="s">
        <v>2191</v>
      </c>
      <c r="F1232" t="s">
        <v>2189</v>
      </c>
      <c r="G1232" t="s">
        <v>2192</v>
      </c>
      <c r="H1232">
        <v>42</v>
      </c>
      <c r="I1232" t="s">
        <v>2297</v>
      </c>
      <c r="J1232" t="s">
        <v>294</v>
      </c>
      <c r="M1232" t="s">
        <v>295</v>
      </c>
      <c r="N1232" t="s">
        <v>296</v>
      </c>
      <c r="O1232" t="s">
        <v>297</v>
      </c>
    </row>
    <row r="1233" spans="1:15" x14ac:dyDescent="0.3">
      <c r="A1233" t="s">
        <v>2189</v>
      </c>
      <c r="B1233" t="s">
        <v>2296</v>
      </c>
      <c r="C1233">
        <v>2023</v>
      </c>
      <c r="D1233" t="s">
        <v>272</v>
      </c>
      <c r="E1233" t="s">
        <v>2298</v>
      </c>
      <c r="F1233" t="s">
        <v>2299</v>
      </c>
      <c r="G1233" t="s">
        <v>2192</v>
      </c>
      <c r="H1233">
        <v>103</v>
      </c>
      <c r="I1233" t="s">
        <v>2300</v>
      </c>
      <c r="J1233" t="s">
        <v>294</v>
      </c>
      <c r="M1233" t="s">
        <v>295</v>
      </c>
      <c r="N1233" t="s">
        <v>296</v>
      </c>
      <c r="O1233" t="s">
        <v>297</v>
      </c>
    </row>
    <row r="1234" spans="1:15" x14ac:dyDescent="0.3">
      <c r="A1234" t="s">
        <v>2189</v>
      </c>
      <c r="B1234" t="s">
        <v>2296</v>
      </c>
      <c r="C1234">
        <v>2023</v>
      </c>
      <c r="D1234" t="s">
        <v>272</v>
      </c>
      <c r="E1234" t="s">
        <v>1395</v>
      </c>
      <c r="F1234">
        <v>10599842400</v>
      </c>
      <c r="G1234" t="s">
        <v>1633</v>
      </c>
      <c r="H1234">
        <v>18</v>
      </c>
      <c r="I1234" t="s">
        <v>2301</v>
      </c>
      <c r="J1234" t="s">
        <v>294</v>
      </c>
      <c r="M1234" t="s">
        <v>295</v>
      </c>
      <c r="N1234" t="s">
        <v>296</v>
      </c>
      <c r="O1234" t="s">
        <v>297</v>
      </c>
    </row>
    <row r="1235" spans="1:15" x14ac:dyDescent="0.3">
      <c r="A1235" t="s">
        <v>2189</v>
      </c>
      <c r="B1235" t="s">
        <v>2296</v>
      </c>
      <c r="C1235">
        <v>2023</v>
      </c>
      <c r="D1235" t="s">
        <v>272</v>
      </c>
      <c r="E1235" t="s">
        <v>2204</v>
      </c>
      <c r="F1235">
        <v>0.31709999999999999</v>
      </c>
      <c r="G1235" t="s">
        <v>2202</v>
      </c>
      <c r="H1235">
        <v>19</v>
      </c>
      <c r="I1235" t="s">
        <v>2302</v>
      </c>
      <c r="J1235" t="s">
        <v>294</v>
      </c>
      <c r="M1235" t="s">
        <v>295</v>
      </c>
      <c r="N1235" t="s">
        <v>296</v>
      </c>
      <c r="O1235" t="s">
        <v>297</v>
      </c>
    </row>
    <row r="1236" spans="1:15" x14ac:dyDescent="0.3">
      <c r="A1236" t="s">
        <v>2189</v>
      </c>
      <c r="B1236" t="s">
        <v>2296</v>
      </c>
      <c r="C1236">
        <v>2023</v>
      </c>
      <c r="D1236" t="s">
        <v>272</v>
      </c>
      <c r="E1236" t="s">
        <v>2201</v>
      </c>
      <c r="F1236">
        <v>0.28899999999999998</v>
      </c>
      <c r="G1236" t="s">
        <v>2202</v>
      </c>
      <c r="H1236">
        <v>19</v>
      </c>
      <c r="I1236" t="s">
        <v>2303</v>
      </c>
      <c r="J1236" t="s">
        <v>294</v>
      </c>
      <c r="M1236" t="s">
        <v>295</v>
      </c>
      <c r="N1236" t="s">
        <v>296</v>
      </c>
      <c r="O1236" t="s">
        <v>297</v>
      </c>
    </row>
    <row r="1237" spans="1:15" x14ac:dyDescent="0.3">
      <c r="A1237" t="s">
        <v>2189</v>
      </c>
      <c r="B1237" t="s">
        <v>2296</v>
      </c>
      <c r="C1237">
        <v>2023</v>
      </c>
      <c r="D1237" t="s">
        <v>300</v>
      </c>
      <c r="E1237" t="s">
        <v>301</v>
      </c>
      <c r="F1237">
        <v>9498.7489999999998</v>
      </c>
      <c r="G1237" t="s">
        <v>302</v>
      </c>
      <c r="H1237">
        <v>15</v>
      </c>
      <c r="I1237" t="s">
        <v>2304</v>
      </c>
      <c r="J1237" t="s">
        <v>294</v>
      </c>
      <c r="M1237" t="s">
        <v>295</v>
      </c>
      <c r="N1237" t="s">
        <v>296</v>
      </c>
      <c r="O1237" t="s">
        <v>297</v>
      </c>
    </row>
    <row r="1238" spans="1:15" x14ac:dyDescent="0.3">
      <c r="A1238" t="s">
        <v>2189</v>
      </c>
      <c r="B1238" t="s">
        <v>2296</v>
      </c>
      <c r="C1238">
        <v>2023</v>
      </c>
      <c r="D1238" t="s">
        <v>300</v>
      </c>
      <c r="E1238" t="s">
        <v>2207</v>
      </c>
      <c r="F1238">
        <v>8354.3649999999998</v>
      </c>
      <c r="G1238" t="s">
        <v>302</v>
      </c>
      <c r="H1238">
        <v>103</v>
      </c>
      <c r="I1238" t="s">
        <v>2305</v>
      </c>
      <c r="J1238" t="s">
        <v>294</v>
      </c>
      <c r="M1238" t="s">
        <v>295</v>
      </c>
      <c r="N1238" t="s">
        <v>296</v>
      </c>
      <c r="O1238" t="s">
        <v>297</v>
      </c>
    </row>
    <row r="1239" spans="1:15" x14ac:dyDescent="0.3">
      <c r="A1239" t="s">
        <v>2189</v>
      </c>
      <c r="B1239" t="s">
        <v>2296</v>
      </c>
      <c r="C1239">
        <v>2023</v>
      </c>
      <c r="D1239" t="s">
        <v>300</v>
      </c>
      <c r="E1239" t="s">
        <v>2306</v>
      </c>
      <c r="F1239">
        <v>1074.0239999999999</v>
      </c>
      <c r="G1239" t="s">
        <v>302</v>
      </c>
      <c r="H1239">
        <v>103</v>
      </c>
      <c r="I1239" t="s">
        <v>2307</v>
      </c>
      <c r="J1239" t="s">
        <v>294</v>
      </c>
      <c r="M1239" t="s">
        <v>295</v>
      </c>
      <c r="N1239" t="s">
        <v>296</v>
      </c>
      <c r="O1239" t="s">
        <v>297</v>
      </c>
    </row>
    <row r="1240" spans="1:15" x14ac:dyDescent="0.3">
      <c r="A1240" t="s">
        <v>2189</v>
      </c>
      <c r="B1240" t="s">
        <v>2296</v>
      </c>
      <c r="C1240">
        <v>2023</v>
      </c>
      <c r="D1240" t="s">
        <v>300</v>
      </c>
      <c r="E1240" t="s">
        <v>2308</v>
      </c>
      <c r="F1240">
        <v>70.36</v>
      </c>
      <c r="G1240" t="s">
        <v>302</v>
      </c>
      <c r="H1240">
        <v>103</v>
      </c>
      <c r="I1240" t="s">
        <v>2309</v>
      </c>
      <c r="J1240" t="s">
        <v>294</v>
      </c>
      <c r="M1240" t="s">
        <v>295</v>
      </c>
      <c r="N1240" t="s">
        <v>296</v>
      </c>
      <c r="O1240" t="s">
        <v>297</v>
      </c>
    </row>
    <row r="1241" spans="1:15" x14ac:dyDescent="0.3">
      <c r="A1241" t="s">
        <v>2189</v>
      </c>
      <c r="B1241" t="s">
        <v>2296</v>
      </c>
      <c r="C1241">
        <v>2023</v>
      </c>
      <c r="D1241" t="s">
        <v>300</v>
      </c>
      <c r="E1241" t="s">
        <v>1415</v>
      </c>
      <c r="F1241">
        <v>2527.4679999999998</v>
      </c>
      <c r="G1241" t="s">
        <v>302</v>
      </c>
      <c r="H1241">
        <v>15</v>
      </c>
      <c r="I1241" t="s">
        <v>2310</v>
      </c>
      <c r="J1241" t="s">
        <v>294</v>
      </c>
      <c r="M1241" t="s">
        <v>295</v>
      </c>
      <c r="N1241" t="s">
        <v>296</v>
      </c>
      <c r="O1241" t="s">
        <v>297</v>
      </c>
    </row>
    <row r="1242" spans="1:15" x14ac:dyDescent="0.3">
      <c r="A1242" t="s">
        <v>2189</v>
      </c>
      <c r="B1242" t="s">
        <v>2296</v>
      </c>
      <c r="C1242">
        <v>2023</v>
      </c>
      <c r="D1242" t="s">
        <v>300</v>
      </c>
      <c r="E1242" t="s">
        <v>1417</v>
      </c>
      <c r="F1242">
        <v>1555.713</v>
      </c>
      <c r="G1242" t="s">
        <v>302</v>
      </c>
      <c r="H1242">
        <v>15</v>
      </c>
      <c r="I1242" t="s">
        <v>2311</v>
      </c>
      <c r="J1242" t="s">
        <v>294</v>
      </c>
      <c r="M1242" t="s">
        <v>295</v>
      </c>
      <c r="N1242" t="s">
        <v>296</v>
      </c>
      <c r="O1242" t="s">
        <v>297</v>
      </c>
    </row>
    <row r="1243" spans="1:15" x14ac:dyDescent="0.3">
      <c r="A1243" t="s">
        <v>2189</v>
      </c>
      <c r="B1243" t="s">
        <v>2296</v>
      </c>
      <c r="C1243">
        <v>2023</v>
      </c>
      <c r="D1243" t="s">
        <v>300</v>
      </c>
      <c r="E1243" t="s">
        <v>880</v>
      </c>
      <c r="F1243">
        <v>2421.0680000000002</v>
      </c>
      <c r="G1243" t="s">
        <v>302</v>
      </c>
      <c r="H1243">
        <v>15</v>
      </c>
      <c r="I1243" t="s">
        <v>2312</v>
      </c>
      <c r="J1243" t="s">
        <v>294</v>
      </c>
      <c r="M1243" t="s">
        <v>295</v>
      </c>
      <c r="N1243" t="s">
        <v>296</v>
      </c>
      <c r="O1243" t="s">
        <v>297</v>
      </c>
    </row>
    <row r="1244" spans="1:15" x14ac:dyDescent="0.3">
      <c r="A1244" t="s">
        <v>2189</v>
      </c>
      <c r="B1244" t="s">
        <v>2296</v>
      </c>
      <c r="C1244">
        <v>2023</v>
      </c>
      <c r="D1244" t="s">
        <v>300</v>
      </c>
      <c r="E1244" t="s">
        <v>1505</v>
      </c>
      <c r="F1244">
        <v>841.66499999999996</v>
      </c>
      <c r="G1244" t="s">
        <v>302</v>
      </c>
      <c r="H1244">
        <v>15</v>
      </c>
      <c r="I1244" t="s">
        <v>2313</v>
      </c>
      <c r="J1244" t="s">
        <v>294</v>
      </c>
      <c r="M1244" t="s">
        <v>295</v>
      </c>
      <c r="N1244" t="s">
        <v>296</v>
      </c>
      <c r="O1244" t="s">
        <v>297</v>
      </c>
    </row>
    <row r="1245" spans="1:15" x14ac:dyDescent="0.3">
      <c r="A1245" t="s">
        <v>2189</v>
      </c>
      <c r="B1245" t="s">
        <v>2296</v>
      </c>
      <c r="C1245">
        <v>2023</v>
      </c>
      <c r="D1245" t="s">
        <v>300</v>
      </c>
      <c r="E1245" t="s">
        <v>1421</v>
      </c>
      <c r="F1245">
        <v>839.80899999999997</v>
      </c>
      <c r="G1245" t="s">
        <v>302</v>
      </c>
      <c r="H1245">
        <v>15</v>
      </c>
      <c r="I1245" t="s">
        <v>2314</v>
      </c>
      <c r="J1245" t="s">
        <v>294</v>
      </c>
      <c r="M1245" t="s">
        <v>295</v>
      </c>
      <c r="N1245" t="s">
        <v>296</v>
      </c>
      <c r="O1245" t="s">
        <v>297</v>
      </c>
    </row>
    <row r="1246" spans="1:15" x14ac:dyDescent="0.3">
      <c r="A1246" t="s">
        <v>2189</v>
      </c>
      <c r="B1246" t="s">
        <v>2296</v>
      </c>
      <c r="C1246">
        <v>2023</v>
      </c>
      <c r="D1246" t="s">
        <v>300</v>
      </c>
      <c r="E1246" t="s">
        <v>1429</v>
      </c>
      <c r="F1246">
        <v>16178.278</v>
      </c>
      <c r="G1246" t="s">
        <v>302</v>
      </c>
      <c r="H1246">
        <v>15</v>
      </c>
      <c r="I1246" t="s">
        <v>2315</v>
      </c>
      <c r="J1246" t="s">
        <v>294</v>
      </c>
      <c r="M1246" t="s">
        <v>295</v>
      </c>
      <c r="N1246" t="s">
        <v>296</v>
      </c>
      <c r="O1246" t="s">
        <v>297</v>
      </c>
    </row>
    <row r="1247" spans="1:15" x14ac:dyDescent="0.3">
      <c r="A1247" t="s">
        <v>2189</v>
      </c>
      <c r="B1247" t="s">
        <v>2296</v>
      </c>
      <c r="C1247">
        <v>2023</v>
      </c>
      <c r="D1247" t="s">
        <v>300</v>
      </c>
      <c r="E1247" t="s">
        <v>1435</v>
      </c>
      <c r="F1247">
        <v>7288.85</v>
      </c>
      <c r="G1247" t="s">
        <v>302</v>
      </c>
      <c r="H1247">
        <v>15</v>
      </c>
      <c r="I1247" t="s">
        <v>2316</v>
      </c>
      <c r="J1247" t="s">
        <v>294</v>
      </c>
      <c r="M1247" t="s">
        <v>295</v>
      </c>
      <c r="N1247" t="s">
        <v>296</v>
      </c>
      <c r="O1247" t="s">
        <v>297</v>
      </c>
    </row>
    <row r="1248" spans="1:15" x14ac:dyDescent="0.3">
      <c r="A1248" t="s">
        <v>2189</v>
      </c>
      <c r="B1248" t="s">
        <v>2296</v>
      </c>
      <c r="C1248">
        <v>2023</v>
      </c>
      <c r="D1248" t="s">
        <v>300</v>
      </c>
      <c r="E1248" t="s">
        <v>1437</v>
      </c>
      <c r="F1248">
        <v>8889.4279999999999</v>
      </c>
      <c r="G1248" t="s">
        <v>302</v>
      </c>
      <c r="H1248">
        <v>15</v>
      </c>
      <c r="I1248" t="s">
        <v>2317</v>
      </c>
      <c r="J1248" t="s">
        <v>294</v>
      </c>
      <c r="M1248" t="s">
        <v>295</v>
      </c>
      <c r="N1248" t="s">
        <v>296</v>
      </c>
      <c r="O1248" t="s">
        <v>297</v>
      </c>
    </row>
    <row r="1249" spans="1:15" x14ac:dyDescent="0.3">
      <c r="A1249" t="s">
        <v>2189</v>
      </c>
      <c r="B1249" t="s">
        <v>2296</v>
      </c>
      <c r="C1249">
        <v>2023</v>
      </c>
      <c r="D1249" t="s">
        <v>300</v>
      </c>
      <c r="E1249" t="s">
        <v>345</v>
      </c>
      <c r="F1249">
        <v>79.23</v>
      </c>
      <c r="G1249" t="s">
        <v>916</v>
      </c>
      <c r="H1249">
        <v>15</v>
      </c>
      <c r="I1249" t="s">
        <v>2318</v>
      </c>
      <c r="J1249" t="s">
        <v>294</v>
      </c>
      <c r="M1249" t="s">
        <v>295</v>
      </c>
      <c r="N1249" t="s">
        <v>296</v>
      </c>
      <c r="O1249" t="s">
        <v>297</v>
      </c>
    </row>
    <row r="1250" spans="1:15" x14ac:dyDescent="0.3">
      <c r="A1250" t="s">
        <v>2189</v>
      </c>
      <c r="B1250" t="s">
        <v>2296</v>
      </c>
      <c r="C1250">
        <v>2023</v>
      </c>
      <c r="D1250" t="s">
        <v>300</v>
      </c>
      <c r="E1250" t="s">
        <v>1662</v>
      </c>
      <c r="F1250">
        <v>389.74599999999998</v>
      </c>
      <c r="G1250" t="s">
        <v>302</v>
      </c>
      <c r="H1250">
        <v>201</v>
      </c>
      <c r="I1250" t="s">
        <v>2319</v>
      </c>
      <c r="J1250" t="s">
        <v>294</v>
      </c>
      <c r="M1250" t="s">
        <v>295</v>
      </c>
      <c r="N1250" t="s">
        <v>296</v>
      </c>
      <c r="O1250" t="s">
        <v>297</v>
      </c>
    </row>
    <row r="1251" spans="1:15" x14ac:dyDescent="0.3">
      <c r="A1251" t="s">
        <v>2189</v>
      </c>
      <c r="B1251" t="s">
        <v>2296</v>
      </c>
      <c r="C1251">
        <v>2023</v>
      </c>
      <c r="D1251" t="s">
        <v>300</v>
      </c>
      <c r="E1251" t="s">
        <v>1523</v>
      </c>
      <c r="F1251">
        <v>947.58799999999997</v>
      </c>
      <c r="G1251" t="s">
        <v>302</v>
      </c>
      <c r="H1251">
        <v>202</v>
      </c>
      <c r="I1251" t="s">
        <v>2320</v>
      </c>
      <c r="J1251" t="s">
        <v>294</v>
      </c>
      <c r="M1251" t="s">
        <v>295</v>
      </c>
      <c r="N1251" t="s">
        <v>296</v>
      </c>
      <c r="O1251" t="s">
        <v>297</v>
      </c>
    </row>
    <row r="1252" spans="1:15" x14ac:dyDescent="0.3">
      <c r="A1252" t="s">
        <v>2189</v>
      </c>
      <c r="B1252" t="s">
        <v>2296</v>
      </c>
      <c r="C1252">
        <v>2023</v>
      </c>
      <c r="D1252" t="s">
        <v>300</v>
      </c>
      <c r="E1252" t="s">
        <v>1525</v>
      </c>
      <c r="F1252">
        <v>771.19399999999996</v>
      </c>
      <c r="G1252" t="s">
        <v>302</v>
      </c>
      <c r="H1252">
        <v>202</v>
      </c>
      <c r="I1252" t="s">
        <v>2321</v>
      </c>
      <c r="J1252" t="s">
        <v>294</v>
      </c>
      <c r="M1252" t="s">
        <v>295</v>
      </c>
      <c r="N1252" t="s">
        <v>296</v>
      </c>
      <c r="O1252" t="s">
        <v>297</v>
      </c>
    </row>
    <row r="1253" spans="1:15" x14ac:dyDescent="0.3">
      <c r="A1253" t="s">
        <v>2189</v>
      </c>
      <c r="B1253" t="s">
        <v>2296</v>
      </c>
      <c r="C1253">
        <v>2023</v>
      </c>
      <c r="D1253" t="s">
        <v>300</v>
      </c>
      <c r="E1253" t="s">
        <v>2322</v>
      </c>
      <c r="F1253">
        <v>3178.02</v>
      </c>
      <c r="G1253" t="s">
        <v>302</v>
      </c>
      <c r="H1253">
        <v>202</v>
      </c>
      <c r="I1253" t="s">
        <v>2323</v>
      </c>
      <c r="J1253" t="s">
        <v>294</v>
      </c>
      <c r="M1253" t="s">
        <v>295</v>
      </c>
      <c r="N1253" t="s">
        <v>296</v>
      </c>
      <c r="O1253" t="s">
        <v>297</v>
      </c>
    </row>
    <row r="1254" spans="1:15" x14ac:dyDescent="0.3">
      <c r="A1254" t="s">
        <v>2189</v>
      </c>
      <c r="B1254" t="s">
        <v>2296</v>
      </c>
      <c r="C1254">
        <v>2023</v>
      </c>
      <c r="D1254" t="s">
        <v>300</v>
      </c>
      <c r="E1254" t="s">
        <v>2324</v>
      </c>
      <c r="F1254">
        <v>175.81200000000001</v>
      </c>
      <c r="G1254" t="s">
        <v>302</v>
      </c>
      <c r="H1254">
        <v>202</v>
      </c>
      <c r="I1254" t="s">
        <v>2325</v>
      </c>
      <c r="J1254" t="s">
        <v>294</v>
      </c>
      <c r="M1254" t="s">
        <v>295</v>
      </c>
      <c r="N1254" t="s">
        <v>296</v>
      </c>
      <c r="O1254" t="s">
        <v>297</v>
      </c>
    </row>
    <row r="1255" spans="1:15" x14ac:dyDescent="0.3">
      <c r="A1255" t="s">
        <v>2189</v>
      </c>
      <c r="B1255" t="s">
        <v>2296</v>
      </c>
      <c r="C1255">
        <v>2023</v>
      </c>
      <c r="D1255" t="s">
        <v>300</v>
      </c>
      <c r="E1255" t="s">
        <v>2326</v>
      </c>
      <c r="F1255">
        <v>3.0009999999999999</v>
      </c>
      <c r="G1255" t="s">
        <v>302</v>
      </c>
      <c r="H1255">
        <v>202</v>
      </c>
      <c r="I1255" t="s">
        <v>2327</v>
      </c>
      <c r="J1255" t="s">
        <v>294</v>
      </c>
      <c r="M1255" t="s">
        <v>295</v>
      </c>
      <c r="N1255" t="s">
        <v>296</v>
      </c>
      <c r="O1255" t="s">
        <v>297</v>
      </c>
    </row>
    <row r="1256" spans="1:15" x14ac:dyDescent="0.3">
      <c r="A1256" t="s">
        <v>2189</v>
      </c>
      <c r="B1256" t="s">
        <v>2296</v>
      </c>
      <c r="C1256">
        <v>2023</v>
      </c>
      <c r="D1256" t="s">
        <v>300</v>
      </c>
      <c r="E1256" t="s">
        <v>601</v>
      </c>
      <c r="F1256">
        <v>1874.3720000000001</v>
      </c>
      <c r="G1256" t="s">
        <v>302</v>
      </c>
      <c r="H1256">
        <v>207</v>
      </c>
      <c r="I1256" t="s">
        <v>2328</v>
      </c>
      <c r="J1256" t="s">
        <v>294</v>
      </c>
      <c r="M1256" t="s">
        <v>295</v>
      </c>
      <c r="N1256" t="s">
        <v>296</v>
      </c>
      <c r="O1256" t="s">
        <v>297</v>
      </c>
    </row>
    <row r="1257" spans="1:15" x14ac:dyDescent="0.3">
      <c r="A1257" t="s">
        <v>2189</v>
      </c>
      <c r="B1257" t="s">
        <v>2296</v>
      </c>
      <c r="C1257">
        <v>2023</v>
      </c>
      <c r="D1257" t="s">
        <v>300</v>
      </c>
      <c r="E1257" t="s">
        <v>2329</v>
      </c>
      <c r="F1257">
        <v>1238.5419999999999</v>
      </c>
      <c r="G1257" t="s">
        <v>302</v>
      </c>
      <c r="H1257">
        <v>207</v>
      </c>
      <c r="I1257" t="s">
        <v>2330</v>
      </c>
      <c r="J1257" t="s">
        <v>294</v>
      </c>
      <c r="M1257" t="s">
        <v>295</v>
      </c>
      <c r="N1257" t="s">
        <v>296</v>
      </c>
      <c r="O1257" t="s">
        <v>297</v>
      </c>
    </row>
    <row r="1258" spans="1:15" x14ac:dyDescent="0.3">
      <c r="A1258" t="s">
        <v>2189</v>
      </c>
      <c r="B1258" t="s">
        <v>2296</v>
      </c>
      <c r="C1258">
        <v>2023</v>
      </c>
      <c r="D1258" t="s">
        <v>300</v>
      </c>
      <c r="E1258" t="s">
        <v>2233</v>
      </c>
      <c r="F1258">
        <v>143.91900000000001</v>
      </c>
      <c r="G1258" t="s">
        <v>302</v>
      </c>
      <c r="H1258">
        <v>207</v>
      </c>
      <c r="I1258" t="s">
        <v>2331</v>
      </c>
      <c r="J1258" t="s">
        <v>294</v>
      </c>
      <c r="M1258" t="s">
        <v>295</v>
      </c>
      <c r="N1258" t="s">
        <v>296</v>
      </c>
      <c r="O1258" t="s">
        <v>297</v>
      </c>
    </row>
    <row r="1259" spans="1:15" x14ac:dyDescent="0.3">
      <c r="A1259" t="s">
        <v>2189</v>
      </c>
      <c r="B1259" t="s">
        <v>2296</v>
      </c>
      <c r="C1259">
        <v>2023</v>
      </c>
      <c r="D1259" t="s">
        <v>300</v>
      </c>
      <c r="E1259" t="s">
        <v>2332</v>
      </c>
      <c r="F1259">
        <v>555</v>
      </c>
      <c r="G1259" t="s">
        <v>912</v>
      </c>
      <c r="H1259">
        <v>18</v>
      </c>
      <c r="I1259" t="s">
        <v>2333</v>
      </c>
      <c r="J1259" t="s">
        <v>294</v>
      </c>
      <c r="M1259" t="s">
        <v>295</v>
      </c>
      <c r="N1259" t="s">
        <v>296</v>
      </c>
      <c r="O1259" t="s">
        <v>297</v>
      </c>
    </row>
    <row r="1260" spans="1:15" x14ac:dyDescent="0.3">
      <c r="A1260" t="s">
        <v>2189</v>
      </c>
      <c r="B1260" t="s">
        <v>2296</v>
      </c>
      <c r="C1260">
        <v>2023</v>
      </c>
      <c r="D1260" t="s">
        <v>300</v>
      </c>
      <c r="E1260" t="s">
        <v>2334</v>
      </c>
      <c r="F1260">
        <v>30</v>
      </c>
      <c r="G1260" t="s">
        <v>916</v>
      </c>
      <c r="H1260">
        <v>130</v>
      </c>
      <c r="I1260" t="s">
        <v>2335</v>
      </c>
      <c r="J1260" t="s">
        <v>294</v>
      </c>
      <c r="M1260" t="s">
        <v>295</v>
      </c>
      <c r="N1260" t="s">
        <v>296</v>
      </c>
      <c r="O1260" t="s">
        <v>297</v>
      </c>
    </row>
    <row r="1261" spans="1:15" x14ac:dyDescent="0.3">
      <c r="A1261" t="s">
        <v>2189</v>
      </c>
      <c r="B1261" t="s">
        <v>2296</v>
      </c>
      <c r="C1261">
        <v>2023</v>
      </c>
      <c r="D1261" t="s">
        <v>358</v>
      </c>
      <c r="E1261" t="s">
        <v>1465</v>
      </c>
      <c r="F1261">
        <v>112700</v>
      </c>
      <c r="G1261" t="s">
        <v>360</v>
      </c>
      <c r="H1261">
        <v>5</v>
      </c>
      <c r="I1261" t="s">
        <v>2336</v>
      </c>
      <c r="J1261" t="s">
        <v>294</v>
      </c>
      <c r="M1261" t="s">
        <v>295</v>
      </c>
      <c r="N1261" t="s">
        <v>296</v>
      </c>
      <c r="O1261" t="s">
        <v>297</v>
      </c>
    </row>
    <row r="1262" spans="1:15" x14ac:dyDescent="0.3">
      <c r="A1262" t="s">
        <v>2189</v>
      </c>
      <c r="B1262" t="s">
        <v>2296</v>
      </c>
      <c r="C1262">
        <v>2023</v>
      </c>
      <c r="D1262" t="s">
        <v>358</v>
      </c>
      <c r="E1262" t="s">
        <v>2244</v>
      </c>
      <c r="F1262">
        <v>84800</v>
      </c>
      <c r="G1262" t="s">
        <v>360</v>
      </c>
      <c r="H1262">
        <v>5</v>
      </c>
      <c r="I1262" t="s">
        <v>2337</v>
      </c>
      <c r="J1262" t="s">
        <v>294</v>
      </c>
      <c r="M1262" t="s">
        <v>295</v>
      </c>
      <c r="N1262" t="s">
        <v>296</v>
      </c>
      <c r="O1262" t="s">
        <v>297</v>
      </c>
    </row>
    <row r="1263" spans="1:15" x14ac:dyDescent="0.3">
      <c r="A1263" t="s">
        <v>2189</v>
      </c>
      <c r="B1263" t="s">
        <v>2296</v>
      </c>
      <c r="C1263">
        <v>2023</v>
      </c>
      <c r="D1263" t="s">
        <v>358</v>
      </c>
      <c r="E1263" t="s">
        <v>2246</v>
      </c>
      <c r="F1263">
        <v>27900</v>
      </c>
      <c r="G1263" t="s">
        <v>360</v>
      </c>
      <c r="H1263">
        <v>85</v>
      </c>
      <c r="I1263" t="s">
        <v>2338</v>
      </c>
      <c r="J1263" t="s">
        <v>294</v>
      </c>
      <c r="M1263" t="s">
        <v>295</v>
      </c>
      <c r="N1263" t="s">
        <v>296</v>
      </c>
      <c r="O1263" t="s">
        <v>297</v>
      </c>
    </row>
    <row r="1264" spans="1:15" x14ac:dyDescent="0.3">
      <c r="A1264" t="s">
        <v>2189</v>
      </c>
      <c r="B1264" t="s">
        <v>2296</v>
      </c>
      <c r="C1264">
        <v>2023</v>
      </c>
      <c r="D1264" t="s">
        <v>358</v>
      </c>
      <c r="E1264" t="s">
        <v>2339</v>
      </c>
      <c r="F1264">
        <v>13.3</v>
      </c>
      <c r="G1264" t="s">
        <v>375</v>
      </c>
      <c r="H1264">
        <v>5</v>
      </c>
      <c r="I1264" t="s">
        <v>2340</v>
      </c>
      <c r="J1264" t="s">
        <v>294</v>
      </c>
      <c r="M1264" t="s">
        <v>295</v>
      </c>
      <c r="N1264" t="s">
        <v>296</v>
      </c>
      <c r="O1264" t="s">
        <v>297</v>
      </c>
    </row>
    <row r="1265" spans="1:15" x14ac:dyDescent="0.3">
      <c r="A1265" t="s">
        <v>2189</v>
      </c>
      <c r="B1265" t="s">
        <v>2296</v>
      </c>
      <c r="C1265">
        <v>2023</v>
      </c>
      <c r="D1265" t="s">
        <v>358</v>
      </c>
      <c r="E1265" t="s">
        <v>2341</v>
      </c>
      <c r="F1265">
        <v>12</v>
      </c>
      <c r="G1265" t="s">
        <v>2253</v>
      </c>
      <c r="H1265">
        <v>85</v>
      </c>
      <c r="I1265" t="s">
        <v>2254</v>
      </c>
      <c r="J1265" t="s">
        <v>294</v>
      </c>
      <c r="M1265" t="s">
        <v>295</v>
      </c>
      <c r="N1265" t="s">
        <v>296</v>
      </c>
      <c r="O1265" t="s">
        <v>297</v>
      </c>
    </row>
    <row r="1266" spans="1:15" x14ac:dyDescent="0.3">
      <c r="A1266" t="s">
        <v>2189</v>
      </c>
      <c r="B1266" t="s">
        <v>2296</v>
      </c>
      <c r="C1266">
        <v>2023</v>
      </c>
      <c r="D1266" t="s">
        <v>358</v>
      </c>
      <c r="E1266" t="s">
        <v>2342</v>
      </c>
      <c r="F1266">
        <v>675</v>
      </c>
      <c r="G1266" t="s">
        <v>2256</v>
      </c>
      <c r="H1266">
        <v>85</v>
      </c>
      <c r="I1266" t="s">
        <v>2343</v>
      </c>
      <c r="J1266" t="s">
        <v>294</v>
      </c>
      <c r="M1266" t="s">
        <v>295</v>
      </c>
      <c r="N1266" t="s">
        <v>296</v>
      </c>
      <c r="O1266" t="s">
        <v>297</v>
      </c>
    </row>
    <row r="1267" spans="1:15" x14ac:dyDescent="0.3">
      <c r="A1267" t="s">
        <v>2189</v>
      </c>
      <c r="B1267" t="s">
        <v>2296</v>
      </c>
      <c r="C1267">
        <v>2023</v>
      </c>
      <c r="D1267" t="s">
        <v>394</v>
      </c>
      <c r="E1267" t="s">
        <v>1543</v>
      </c>
      <c r="F1267">
        <v>2271821</v>
      </c>
      <c r="G1267" t="s">
        <v>1453</v>
      </c>
      <c r="H1267">
        <v>101</v>
      </c>
      <c r="I1267" t="s">
        <v>2344</v>
      </c>
      <c r="J1267" t="s">
        <v>294</v>
      </c>
      <c r="M1267" t="s">
        <v>295</v>
      </c>
      <c r="N1267" t="s">
        <v>296</v>
      </c>
      <c r="O1267" t="s">
        <v>297</v>
      </c>
    </row>
    <row r="1268" spans="1:15" x14ac:dyDescent="0.3">
      <c r="A1268" t="s">
        <v>2189</v>
      </c>
      <c r="B1268" t="s">
        <v>2296</v>
      </c>
      <c r="C1268">
        <v>2023</v>
      </c>
      <c r="D1268" t="s">
        <v>394</v>
      </c>
      <c r="E1268" t="s">
        <v>2265</v>
      </c>
      <c r="F1268">
        <v>1796532</v>
      </c>
      <c r="G1268" t="s">
        <v>1453</v>
      </c>
      <c r="H1268">
        <v>101</v>
      </c>
      <c r="I1268" t="s">
        <v>2345</v>
      </c>
      <c r="J1268" t="s">
        <v>294</v>
      </c>
      <c r="M1268" t="s">
        <v>295</v>
      </c>
      <c r="N1268" t="s">
        <v>296</v>
      </c>
      <c r="O1268" t="s">
        <v>297</v>
      </c>
    </row>
    <row r="1269" spans="1:15" x14ac:dyDescent="0.3">
      <c r="A1269" t="s">
        <v>2189</v>
      </c>
      <c r="B1269" t="s">
        <v>2296</v>
      </c>
      <c r="C1269">
        <v>2023</v>
      </c>
      <c r="D1269" t="s">
        <v>394</v>
      </c>
      <c r="E1269" t="s">
        <v>2267</v>
      </c>
      <c r="F1269">
        <v>475289</v>
      </c>
      <c r="G1269" t="s">
        <v>1453</v>
      </c>
      <c r="H1269">
        <v>101</v>
      </c>
      <c r="I1269" t="s">
        <v>2346</v>
      </c>
      <c r="J1269" t="s">
        <v>294</v>
      </c>
      <c r="M1269" t="s">
        <v>295</v>
      </c>
      <c r="N1269" t="s">
        <v>296</v>
      </c>
      <c r="O1269" t="s">
        <v>297</v>
      </c>
    </row>
    <row r="1270" spans="1:15" x14ac:dyDescent="0.3">
      <c r="A1270" t="s">
        <v>2189</v>
      </c>
      <c r="B1270" t="s">
        <v>2296</v>
      </c>
      <c r="C1270">
        <v>2023</v>
      </c>
      <c r="D1270" t="s">
        <v>394</v>
      </c>
      <c r="E1270" t="s">
        <v>2011</v>
      </c>
      <c r="F1270">
        <v>2854559</v>
      </c>
      <c r="G1270" t="s">
        <v>1453</v>
      </c>
      <c r="H1270">
        <v>101</v>
      </c>
      <c r="I1270" t="s">
        <v>2347</v>
      </c>
      <c r="J1270" t="s">
        <v>294</v>
      </c>
      <c r="M1270" t="s">
        <v>295</v>
      </c>
      <c r="N1270" t="s">
        <v>296</v>
      </c>
      <c r="O1270" t="s">
        <v>297</v>
      </c>
    </row>
    <row r="1271" spans="1:15" x14ac:dyDescent="0.3">
      <c r="A1271" t="s">
        <v>2189</v>
      </c>
      <c r="B1271" t="s">
        <v>2296</v>
      </c>
      <c r="C1271">
        <v>2023</v>
      </c>
      <c r="D1271" t="s">
        <v>394</v>
      </c>
      <c r="E1271" t="s">
        <v>1452</v>
      </c>
      <c r="F1271">
        <v>661892</v>
      </c>
      <c r="G1271" t="s">
        <v>1453</v>
      </c>
      <c r="H1271">
        <v>101</v>
      </c>
      <c r="I1271" t="s">
        <v>2348</v>
      </c>
      <c r="J1271" t="s">
        <v>294</v>
      </c>
      <c r="M1271" t="s">
        <v>295</v>
      </c>
      <c r="N1271" t="s">
        <v>296</v>
      </c>
      <c r="O1271" t="s">
        <v>297</v>
      </c>
    </row>
    <row r="1272" spans="1:15" x14ac:dyDescent="0.3">
      <c r="A1272" t="s">
        <v>2189</v>
      </c>
      <c r="B1272" t="s">
        <v>2296</v>
      </c>
      <c r="C1272">
        <v>2023</v>
      </c>
      <c r="D1272" t="s">
        <v>394</v>
      </c>
      <c r="E1272" t="s">
        <v>1541</v>
      </c>
      <c r="F1272">
        <v>122732</v>
      </c>
      <c r="G1272" t="s">
        <v>1453</v>
      </c>
      <c r="H1272">
        <v>101</v>
      </c>
      <c r="I1272" t="s">
        <v>2349</v>
      </c>
      <c r="J1272" t="s">
        <v>294</v>
      </c>
      <c r="M1272" t="s">
        <v>295</v>
      </c>
      <c r="N1272" t="s">
        <v>296</v>
      </c>
      <c r="O1272" t="s">
        <v>297</v>
      </c>
    </row>
    <row r="1273" spans="1:15" x14ac:dyDescent="0.3">
      <c r="A1273" t="s">
        <v>2189</v>
      </c>
      <c r="B1273" t="s">
        <v>2296</v>
      </c>
      <c r="C1273">
        <v>2023</v>
      </c>
      <c r="D1273" t="s">
        <v>394</v>
      </c>
      <c r="E1273" t="s">
        <v>2272</v>
      </c>
      <c r="F1273">
        <v>40356</v>
      </c>
      <c r="G1273" t="s">
        <v>1453</v>
      </c>
      <c r="H1273">
        <v>101</v>
      </c>
      <c r="I1273" t="s">
        <v>2350</v>
      </c>
      <c r="J1273" t="s">
        <v>294</v>
      </c>
      <c r="M1273" t="s">
        <v>295</v>
      </c>
      <c r="N1273" t="s">
        <v>296</v>
      </c>
      <c r="O1273" t="s">
        <v>297</v>
      </c>
    </row>
    <row r="1274" spans="1:15" x14ac:dyDescent="0.3">
      <c r="A1274" t="s">
        <v>2189</v>
      </c>
      <c r="B1274" t="s">
        <v>2296</v>
      </c>
      <c r="C1274">
        <v>2023</v>
      </c>
      <c r="D1274" t="s">
        <v>394</v>
      </c>
      <c r="E1274" t="s">
        <v>2274</v>
      </c>
      <c r="F1274">
        <v>0.2319</v>
      </c>
      <c r="G1274" t="s">
        <v>2202</v>
      </c>
      <c r="H1274">
        <v>101</v>
      </c>
      <c r="I1274" t="s">
        <v>2351</v>
      </c>
      <c r="J1274" t="s">
        <v>294</v>
      </c>
      <c r="M1274" t="s">
        <v>295</v>
      </c>
      <c r="N1274" t="s">
        <v>296</v>
      </c>
      <c r="O1274" t="s">
        <v>297</v>
      </c>
    </row>
    <row r="1275" spans="1:15" x14ac:dyDescent="0.3">
      <c r="A1275" t="s">
        <v>2189</v>
      </c>
      <c r="B1275" t="s">
        <v>2296</v>
      </c>
      <c r="C1275">
        <v>2023</v>
      </c>
      <c r="D1275" t="s">
        <v>394</v>
      </c>
      <c r="E1275" t="s">
        <v>2276</v>
      </c>
      <c r="F1275">
        <v>2.9600000000000001E-2</v>
      </c>
      <c r="G1275" t="s">
        <v>2202</v>
      </c>
      <c r="H1275">
        <v>101</v>
      </c>
      <c r="I1275" t="s">
        <v>2352</v>
      </c>
      <c r="J1275" t="s">
        <v>294</v>
      </c>
      <c r="M1275" t="s">
        <v>295</v>
      </c>
      <c r="N1275" t="s">
        <v>296</v>
      </c>
      <c r="O1275" t="s">
        <v>297</v>
      </c>
    </row>
    <row r="1276" spans="1:15" x14ac:dyDescent="0.3">
      <c r="A1276" t="s">
        <v>2189</v>
      </c>
      <c r="B1276" t="s">
        <v>2296</v>
      </c>
      <c r="C1276">
        <v>2023</v>
      </c>
      <c r="D1276" t="s">
        <v>394</v>
      </c>
      <c r="E1276" t="s">
        <v>1457</v>
      </c>
      <c r="F1276">
        <v>665041</v>
      </c>
      <c r="G1276" t="s">
        <v>1453</v>
      </c>
      <c r="H1276">
        <v>101</v>
      </c>
      <c r="I1276" t="s">
        <v>2353</v>
      </c>
      <c r="J1276" t="s">
        <v>294</v>
      </c>
      <c r="M1276" t="s">
        <v>295</v>
      </c>
      <c r="N1276" t="s">
        <v>296</v>
      </c>
      <c r="O1276" t="s">
        <v>297</v>
      </c>
    </row>
    <row r="1277" spans="1:15" x14ac:dyDescent="0.3">
      <c r="A1277" t="s">
        <v>2189</v>
      </c>
      <c r="B1277" t="s">
        <v>2296</v>
      </c>
      <c r="C1277">
        <v>2023</v>
      </c>
      <c r="D1277" t="s">
        <v>394</v>
      </c>
      <c r="E1277" t="s">
        <v>946</v>
      </c>
      <c r="F1277">
        <v>11390000</v>
      </c>
      <c r="G1277" t="s">
        <v>2279</v>
      </c>
      <c r="H1277">
        <v>101</v>
      </c>
      <c r="I1277" t="s">
        <v>2354</v>
      </c>
      <c r="J1277" t="s">
        <v>294</v>
      </c>
      <c r="M1277" t="s">
        <v>295</v>
      </c>
      <c r="N1277" t="s">
        <v>296</v>
      </c>
      <c r="O1277" t="s">
        <v>297</v>
      </c>
    </row>
    <row r="1278" spans="1:15" x14ac:dyDescent="0.3">
      <c r="A1278" t="s">
        <v>2189</v>
      </c>
      <c r="B1278" t="s">
        <v>2296</v>
      </c>
      <c r="C1278">
        <v>2023</v>
      </c>
      <c r="D1278" t="s">
        <v>394</v>
      </c>
      <c r="E1278" t="s">
        <v>1019</v>
      </c>
      <c r="F1278">
        <v>12970000</v>
      </c>
      <c r="G1278" t="s">
        <v>2279</v>
      </c>
      <c r="H1278">
        <v>101</v>
      </c>
      <c r="I1278" t="s">
        <v>2355</v>
      </c>
      <c r="J1278" t="s">
        <v>294</v>
      </c>
      <c r="M1278" t="s">
        <v>295</v>
      </c>
      <c r="N1278" t="s">
        <v>296</v>
      </c>
      <c r="O1278" t="s">
        <v>297</v>
      </c>
    </row>
    <row r="1279" spans="1:15" x14ac:dyDescent="0.3">
      <c r="A1279" t="s">
        <v>2189</v>
      </c>
      <c r="B1279" t="s">
        <v>2296</v>
      </c>
      <c r="C1279">
        <v>2023</v>
      </c>
      <c r="D1279" t="s">
        <v>394</v>
      </c>
      <c r="E1279" t="s">
        <v>2356</v>
      </c>
      <c r="F1279">
        <v>99500</v>
      </c>
      <c r="G1279" t="s">
        <v>1409</v>
      </c>
      <c r="H1279">
        <v>101</v>
      </c>
      <c r="I1279" t="s">
        <v>2357</v>
      </c>
      <c r="J1279" t="s">
        <v>294</v>
      </c>
      <c r="M1279" t="s">
        <v>295</v>
      </c>
      <c r="N1279" t="s">
        <v>296</v>
      </c>
      <c r="O1279" t="s">
        <v>297</v>
      </c>
    </row>
    <row r="1280" spans="1:15" x14ac:dyDescent="0.3">
      <c r="A1280" t="s">
        <v>2189</v>
      </c>
      <c r="B1280" t="s">
        <v>2296</v>
      </c>
      <c r="C1280">
        <v>2023</v>
      </c>
      <c r="D1280" t="s">
        <v>394</v>
      </c>
      <c r="E1280" t="s">
        <v>2358</v>
      </c>
      <c r="F1280">
        <v>738500</v>
      </c>
      <c r="G1280" t="s">
        <v>2285</v>
      </c>
      <c r="H1280">
        <v>101</v>
      </c>
      <c r="I1280" t="s">
        <v>2359</v>
      </c>
      <c r="J1280" t="s">
        <v>294</v>
      </c>
      <c r="M1280" t="s">
        <v>295</v>
      </c>
      <c r="N1280" t="s">
        <v>296</v>
      </c>
      <c r="O1280" t="s">
        <v>297</v>
      </c>
    </row>
    <row r="1281" spans="1:15" x14ac:dyDescent="0.3">
      <c r="A1281" t="s">
        <v>2189</v>
      </c>
      <c r="B1281" t="s">
        <v>2296</v>
      </c>
      <c r="C1281">
        <v>2023</v>
      </c>
      <c r="D1281" t="s">
        <v>394</v>
      </c>
      <c r="E1281" t="s">
        <v>2360</v>
      </c>
      <c r="F1281">
        <v>40397</v>
      </c>
      <c r="G1281" t="s">
        <v>1453</v>
      </c>
      <c r="H1281">
        <v>106</v>
      </c>
      <c r="I1281" t="s">
        <v>2361</v>
      </c>
      <c r="J1281" t="s">
        <v>294</v>
      </c>
      <c r="M1281" t="s">
        <v>295</v>
      </c>
      <c r="N1281" t="s">
        <v>296</v>
      </c>
      <c r="O1281" t="s">
        <v>297</v>
      </c>
    </row>
    <row r="1282" spans="1:15" x14ac:dyDescent="0.3">
      <c r="A1282" t="s">
        <v>2189</v>
      </c>
      <c r="B1282" t="s">
        <v>2296</v>
      </c>
      <c r="C1282">
        <v>2023</v>
      </c>
      <c r="D1282" t="s">
        <v>563</v>
      </c>
      <c r="E1282" t="s">
        <v>2362</v>
      </c>
      <c r="F1282" t="s">
        <v>2363</v>
      </c>
      <c r="G1282" t="s">
        <v>2192</v>
      </c>
      <c r="H1282">
        <v>5</v>
      </c>
      <c r="I1282" t="s">
        <v>2363</v>
      </c>
      <c r="J1282" t="s">
        <v>294</v>
      </c>
      <c r="M1282" t="s">
        <v>295</v>
      </c>
      <c r="N1282" t="s">
        <v>296</v>
      </c>
      <c r="O1282" t="s">
        <v>297</v>
      </c>
    </row>
    <row r="1283" spans="1:15" x14ac:dyDescent="0.3">
      <c r="A1283" t="s">
        <v>2189</v>
      </c>
      <c r="B1283" t="s">
        <v>2296</v>
      </c>
      <c r="C1283">
        <v>2023</v>
      </c>
      <c r="D1283" t="s">
        <v>252</v>
      </c>
      <c r="E1283" t="s">
        <v>2364</v>
      </c>
      <c r="F1283">
        <v>60000</v>
      </c>
      <c r="G1283" t="s">
        <v>360</v>
      </c>
      <c r="H1283">
        <v>5</v>
      </c>
      <c r="I1283" t="s">
        <v>2365</v>
      </c>
      <c r="J1283" t="s">
        <v>294</v>
      </c>
      <c r="M1283" t="s">
        <v>295</v>
      </c>
      <c r="N1283" t="s">
        <v>296</v>
      </c>
      <c r="O1283" t="s">
        <v>297</v>
      </c>
    </row>
    <row r="1284" spans="1:15" x14ac:dyDescent="0.3">
      <c r="A1284" t="s">
        <v>2189</v>
      </c>
      <c r="B1284" t="s">
        <v>2296</v>
      </c>
      <c r="C1284">
        <v>2023</v>
      </c>
      <c r="D1284" t="s">
        <v>252</v>
      </c>
      <c r="E1284" t="s">
        <v>2366</v>
      </c>
      <c r="F1284">
        <v>6570</v>
      </c>
      <c r="G1284" t="s">
        <v>2367</v>
      </c>
      <c r="H1284">
        <v>19</v>
      </c>
      <c r="I1284" t="s">
        <v>2368</v>
      </c>
      <c r="J1284" t="s">
        <v>294</v>
      </c>
      <c r="M1284" t="s">
        <v>295</v>
      </c>
      <c r="N1284" t="s">
        <v>296</v>
      </c>
      <c r="O1284" t="s">
        <v>297</v>
      </c>
    </row>
    <row r="1285" spans="1:15" x14ac:dyDescent="0.3">
      <c r="A1285" t="s">
        <v>2189</v>
      </c>
      <c r="B1285" t="s">
        <v>2369</v>
      </c>
      <c r="C1285">
        <v>2024</v>
      </c>
      <c r="D1285" t="s">
        <v>272</v>
      </c>
      <c r="E1285" t="s">
        <v>2191</v>
      </c>
      <c r="F1285" t="s">
        <v>2189</v>
      </c>
      <c r="G1285" t="s">
        <v>2192</v>
      </c>
      <c r="H1285">
        <v>4</v>
      </c>
      <c r="I1285" t="s">
        <v>2370</v>
      </c>
      <c r="J1285" t="s">
        <v>294</v>
      </c>
      <c r="M1285" t="s">
        <v>295</v>
      </c>
      <c r="N1285" t="s">
        <v>296</v>
      </c>
      <c r="O1285" t="s">
        <v>297</v>
      </c>
    </row>
    <row r="1286" spans="1:15" x14ac:dyDescent="0.3">
      <c r="A1286" t="s">
        <v>2189</v>
      </c>
      <c r="B1286" t="s">
        <v>2369</v>
      </c>
      <c r="C1286">
        <v>2024</v>
      </c>
      <c r="D1286" t="s">
        <v>272</v>
      </c>
      <c r="E1286" t="s">
        <v>1395</v>
      </c>
      <c r="F1286">
        <v>10599842400</v>
      </c>
      <c r="G1286" t="s">
        <v>1633</v>
      </c>
      <c r="H1286">
        <v>18</v>
      </c>
      <c r="I1286" t="s">
        <v>2301</v>
      </c>
      <c r="J1286" t="s">
        <v>294</v>
      </c>
      <c r="M1286" t="s">
        <v>295</v>
      </c>
      <c r="N1286" t="s">
        <v>296</v>
      </c>
      <c r="O1286" t="s">
        <v>297</v>
      </c>
    </row>
    <row r="1287" spans="1:15" x14ac:dyDescent="0.3">
      <c r="A1287" t="s">
        <v>2189</v>
      </c>
      <c r="B1287" t="s">
        <v>2369</v>
      </c>
      <c r="C1287">
        <v>2024</v>
      </c>
      <c r="D1287" t="s">
        <v>272</v>
      </c>
      <c r="E1287" t="s">
        <v>2371</v>
      </c>
      <c r="F1287">
        <v>0.31709999999999999</v>
      </c>
      <c r="G1287" t="s">
        <v>2202</v>
      </c>
      <c r="H1287">
        <v>19</v>
      </c>
      <c r="I1287" t="s">
        <v>2302</v>
      </c>
      <c r="J1287" t="s">
        <v>294</v>
      </c>
      <c r="M1287" t="s">
        <v>295</v>
      </c>
      <c r="N1287" t="s">
        <v>296</v>
      </c>
      <c r="O1287" t="s">
        <v>297</v>
      </c>
    </row>
    <row r="1288" spans="1:15" x14ac:dyDescent="0.3">
      <c r="A1288" t="s">
        <v>2189</v>
      </c>
      <c r="B1288" t="s">
        <v>2369</v>
      </c>
      <c r="C1288">
        <v>2024</v>
      </c>
      <c r="D1288" t="s">
        <v>272</v>
      </c>
      <c r="E1288" t="s">
        <v>2201</v>
      </c>
      <c r="F1288">
        <v>0.28899999999999998</v>
      </c>
      <c r="G1288" t="s">
        <v>2202</v>
      </c>
      <c r="H1288">
        <v>19</v>
      </c>
      <c r="I1288" t="s">
        <v>2303</v>
      </c>
      <c r="J1288" t="s">
        <v>294</v>
      </c>
      <c r="M1288" t="s">
        <v>295</v>
      </c>
      <c r="N1288" t="s">
        <v>296</v>
      </c>
      <c r="O1288" t="s">
        <v>297</v>
      </c>
    </row>
    <row r="1289" spans="1:15" x14ac:dyDescent="0.3">
      <c r="A1289" t="s">
        <v>2189</v>
      </c>
      <c r="B1289" t="s">
        <v>2369</v>
      </c>
      <c r="C1289">
        <v>2024</v>
      </c>
      <c r="D1289" t="s">
        <v>272</v>
      </c>
      <c r="E1289" t="s">
        <v>2372</v>
      </c>
      <c r="F1289">
        <v>0.35</v>
      </c>
      <c r="G1289" t="s">
        <v>2202</v>
      </c>
      <c r="H1289">
        <v>108</v>
      </c>
      <c r="I1289" t="s">
        <v>2373</v>
      </c>
      <c r="J1289" t="s">
        <v>294</v>
      </c>
      <c r="M1289" t="s">
        <v>295</v>
      </c>
      <c r="N1289" t="s">
        <v>296</v>
      </c>
      <c r="O1289" t="s">
        <v>297</v>
      </c>
    </row>
    <row r="1290" spans="1:15" x14ac:dyDescent="0.3">
      <c r="A1290" t="s">
        <v>2189</v>
      </c>
      <c r="B1290" t="s">
        <v>2369</v>
      </c>
      <c r="C1290">
        <v>2024</v>
      </c>
      <c r="D1290" t="s">
        <v>300</v>
      </c>
      <c r="E1290" t="s">
        <v>301</v>
      </c>
      <c r="F1290">
        <v>10119.219999999999</v>
      </c>
      <c r="G1290" t="s">
        <v>302</v>
      </c>
      <c r="H1290">
        <v>14</v>
      </c>
      <c r="I1290" t="s">
        <v>2374</v>
      </c>
      <c r="J1290" t="s">
        <v>294</v>
      </c>
      <c r="M1290" t="s">
        <v>295</v>
      </c>
      <c r="N1290" t="s">
        <v>296</v>
      </c>
      <c r="O1290" t="s">
        <v>297</v>
      </c>
    </row>
    <row r="1291" spans="1:15" x14ac:dyDescent="0.3">
      <c r="A1291" t="s">
        <v>2189</v>
      </c>
      <c r="B1291" t="s">
        <v>2369</v>
      </c>
      <c r="C1291">
        <v>2024</v>
      </c>
      <c r="D1291" t="s">
        <v>300</v>
      </c>
      <c r="E1291" t="s">
        <v>2375</v>
      </c>
      <c r="F1291">
        <v>8784.3439999999991</v>
      </c>
      <c r="G1291" t="s">
        <v>302</v>
      </c>
      <c r="H1291">
        <v>109</v>
      </c>
      <c r="I1291" t="s">
        <v>2376</v>
      </c>
      <c r="J1291" t="s">
        <v>294</v>
      </c>
      <c r="M1291" t="s">
        <v>295</v>
      </c>
      <c r="N1291" t="s">
        <v>296</v>
      </c>
      <c r="O1291" t="s">
        <v>297</v>
      </c>
    </row>
    <row r="1292" spans="1:15" x14ac:dyDescent="0.3">
      <c r="A1292" t="s">
        <v>2189</v>
      </c>
      <c r="B1292" t="s">
        <v>2369</v>
      </c>
      <c r="C1292">
        <v>2024</v>
      </c>
      <c r="D1292" t="s">
        <v>300</v>
      </c>
      <c r="E1292" t="s">
        <v>2377</v>
      </c>
      <c r="F1292">
        <v>1152.0740000000001</v>
      </c>
      <c r="G1292" t="s">
        <v>302</v>
      </c>
      <c r="H1292">
        <v>109</v>
      </c>
      <c r="I1292" t="s">
        <v>2378</v>
      </c>
      <c r="J1292" t="s">
        <v>294</v>
      </c>
      <c r="M1292" t="s">
        <v>295</v>
      </c>
      <c r="N1292" t="s">
        <v>296</v>
      </c>
      <c r="O1292" t="s">
        <v>297</v>
      </c>
    </row>
    <row r="1293" spans="1:15" x14ac:dyDescent="0.3">
      <c r="A1293" t="s">
        <v>2189</v>
      </c>
      <c r="B1293" t="s">
        <v>2369</v>
      </c>
      <c r="C1293">
        <v>2024</v>
      </c>
      <c r="D1293" t="s">
        <v>300</v>
      </c>
      <c r="E1293" t="s">
        <v>2308</v>
      </c>
      <c r="F1293">
        <v>182.80199999999999</v>
      </c>
      <c r="G1293" t="s">
        <v>302</v>
      </c>
      <c r="H1293">
        <v>109</v>
      </c>
      <c r="I1293" t="s">
        <v>2379</v>
      </c>
      <c r="J1293" t="s">
        <v>294</v>
      </c>
      <c r="M1293" t="s">
        <v>295</v>
      </c>
      <c r="N1293" t="s">
        <v>296</v>
      </c>
      <c r="O1293" t="s">
        <v>297</v>
      </c>
    </row>
    <row r="1294" spans="1:15" x14ac:dyDescent="0.3">
      <c r="A1294" t="s">
        <v>2189</v>
      </c>
      <c r="B1294" t="s">
        <v>2369</v>
      </c>
      <c r="C1294">
        <v>2024</v>
      </c>
      <c r="D1294" t="s">
        <v>300</v>
      </c>
      <c r="E1294" t="s">
        <v>1415</v>
      </c>
      <c r="F1294">
        <v>3004.201</v>
      </c>
      <c r="G1294" t="s">
        <v>302</v>
      </c>
      <c r="H1294">
        <v>14</v>
      </c>
      <c r="I1294" t="s">
        <v>2380</v>
      </c>
      <c r="J1294" t="s">
        <v>294</v>
      </c>
      <c r="M1294" t="s">
        <v>295</v>
      </c>
      <c r="N1294" t="s">
        <v>296</v>
      </c>
      <c r="O1294" t="s">
        <v>297</v>
      </c>
    </row>
    <row r="1295" spans="1:15" x14ac:dyDescent="0.3">
      <c r="A1295" t="s">
        <v>2189</v>
      </c>
      <c r="B1295" t="s">
        <v>2369</v>
      </c>
      <c r="C1295">
        <v>2024</v>
      </c>
      <c r="D1295" t="s">
        <v>300</v>
      </c>
      <c r="E1295" t="s">
        <v>1417</v>
      </c>
      <c r="F1295">
        <v>2123.67</v>
      </c>
      <c r="G1295" t="s">
        <v>302</v>
      </c>
      <c r="H1295">
        <v>14</v>
      </c>
      <c r="I1295" t="s">
        <v>2381</v>
      </c>
      <c r="J1295" t="s">
        <v>294</v>
      </c>
      <c r="M1295" t="s">
        <v>295</v>
      </c>
      <c r="N1295" t="s">
        <v>296</v>
      </c>
      <c r="O1295" t="s">
        <v>297</v>
      </c>
    </row>
    <row r="1296" spans="1:15" x14ac:dyDescent="0.3">
      <c r="A1296" t="s">
        <v>2189</v>
      </c>
      <c r="B1296" t="s">
        <v>2369</v>
      </c>
      <c r="C1296">
        <v>2024</v>
      </c>
      <c r="D1296" t="s">
        <v>300</v>
      </c>
      <c r="E1296" t="s">
        <v>880</v>
      </c>
      <c r="F1296">
        <v>3096.491</v>
      </c>
      <c r="G1296" t="s">
        <v>302</v>
      </c>
      <c r="H1296">
        <v>14</v>
      </c>
      <c r="I1296" t="s">
        <v>2382</v>
      </c>
      <c r="J1296" t="s">
        <v>294</v>
      </c>
      <c r="M1296" t="s">
        <v>295</v>
      </c>
      <c r="N1296" t="s">
        <v>296</v>
      </c>
      <c r="O1296" t="s">
        <v>297</v>
      </c>
    </row>
    <row r="1297" spans="1:15" x14ac:dyDescent="0.3">
      <c r="A1297" t="s">
        <v>2189</v>
      </c>
      <c r="B1297" t="s">
        <v>2369</v>
      </c>
      <c r="C1297">
        <v>2024</v>
      </c>
      <c r="D1297" t="s">
        <v>300</v>
      </c>
      <c r="E1297" t="s">
        <v>1505</v>
      </c>
      <c r="F1297">
        <v>1141.375</v>
      </c>
      <c r="G1297" t="s">
        <v>302</v>
      </c>
      <c r="H1297">
        <v>14</v>
      </c>
      <c r="I1297" t="s">
        <v>2383</v>
      </c>
      <c r="J1297" t="s">
        <v>294</v>
      </c>
      <c r="M1297" t="s">
        <v>295</v>
      </c>
      <c r="N1297" t="s">
        <v>296</v>
      </c>
      <c r="O1297" t="s">
        <v>297</v>
      </c>
    </row>
    <row r="1298" spans="1:15" x14ac:dyDescent="0.3">
      <c r="A1298" t="s">
        <v>2189</v>
      </c>
      <c r="B1298" t="s">
        <v>2369</v>
      </c>
      <c r="C1298">
        <v>2024</v>
      </c>
      <c r="D1298" t="s">
        <v>300</v>
      </c>
      <c r="E1298" t="s">
        <v>1421</v>
      </c>
      <c r="F1298">
        <v>1142.4929999999999</v>
      </c>
      <c r="G1298" t="s">
        <v>302</v>
      </c>
      <c r="H1298">
        <v>14</v>
      </c>
      <c r="I1298" t="s">
        <v>2384</v>
      </c>
      <c r="J1298" t="s">
        <v>294</v>
      </c>
      <c r="M1298" t="s">
        <v>295</v>
      </c>
      <c r="N1298" t="s">
        <v>296</v>
      </c>
      <c r="O1298" t="s">
        <v>297</v>
      </c>
    </row>
    <row r="1299" spans="1:15" x14ac:dyDescent="0.3">
      <c r="A1299" t="s">
        <v>2189</v>
      </c>
      <c r="B1299" t="s">
        <v>2369</v>
      </c>
      <c r="C1299">
        <v>2024</v>
      </c>
      <c r="D1299" t="s">
        <v>300</v>
      </c>
      <c r="E1299" t="s">
        <v>1429</v>
      </c>
      <c r="F1299">
        <v>17412.416000000001</v>
      </c>
      <c r="G1299" t="s">
        <v>302</v>
      </c>
      <c r="H1299">
        <v>14</v>
      </c>
      <c r="I1299" t="s">
        <v>2385</v>
      </c>
      <c r="J1299" t="s">
        <v>294</v>
      </c>
      <c r="M1299" t="s">
        <v>295</v>
      </c>
      <c r="N1299" t="s">
        <v>296</v>
      </c>
      <c r="O1299" t="s">
        <v>297</v>
      </c>
    </row>
    <row r="1300" spans="1:15" x14ac:dyDescent="0.3">
      <c r="A1300" t="s">
        <v>2189</v>
      </c>
      <c r="B1300" t="s">
        <v>2369</v>
      </c>
      <c r="C1300">
        <v>2024</v>
      </c>
      <c r="D1300" t="s">
        <v>300</v>
      </c>
      <c r="E1300" t="s">
        <v>1435</v>
      </c>
      <c r="F1300">
        <v>7515.1009999999997</v>
      </c>
      <c r="G1300" t="s">
        <v>302</v>
      </c>
      <c r="H1300">
        <v>14</v>
      </c>
      <c r="I1300" t="s">
        <v>2386</v>
      </c>
      <c r="J1300" t="s">
        <v>294</v>
      </c>
      <c r="M1300" t="s">
        <v>295</v>
      </c>
      <c r="N1300" t="s">
        <v>296</v>
      </c>
      <c r="O1300" t="s">
        <v>297</v>
      </c>
    </row>
    <row r="1301" spans="1:15" x14ac:dyDescent="0.3">
      <c r="A1301" t="s">
        <v>2189</v>
      </c>
      <c r="B1301" t="s">
        <v>2369</v>
      </c>
      <c r="C1301">
        <v>2024</v>
      </c>
      <c r="D1301" t="s">
        <v>300</v>
      </c>
      <c r="E1301" t="s">
        <v>1437</v>
      </c>
      <c r="F1301">
        <v>9897.3150000000005</v>
      </c>
      <c r="G1301" t="s">
        <v>302</v>
      </c>
      <c r="H1301">
        <v>14</v>
      </c>
      <c r="I1301" t="s">
        <v>2387</v>
      </c>
      <c r="J1301" t="s">
        <v>294</v>
      </c>
      <c r="M1301" t="s">
        <v>295</v>
      </c>
      <c r="N1301" t="s">
        <v>296</v>
      </c>
      <c r="O1301" t="s">
        <v>297</v>
      </c>
    </row>
    <row r="1302" spans="1:15" x14ac:dyDescent="0.3">
      <c r="A1302" t="s">
        <v>2189</v>
      </c>
      <c r="B1302" t="s">
        <v>2369</v>
      </c>
      <c r="C1302">
        <v>2024</v>
      </c>
      <c r="D1302" t="s">
        <v>300</v>
      </c>
      <c r="E1302" t="s">
        <v>345</v>
      </c>
      <c r="F1302">
        <v>107.78</v>
      </c>
      <c r="G1302" t="s">
        <v>916</v>
      </c>
      <c r="H1302">
        <v>14</v>
      </c>
      <c r="I1302" t="s">
        <v>2388</v>
      </c>
      <c r="J1302" t="s">
        <v>294</v>
      </c>
      <c r="M1302" t="s">
        <v>295</v>
      </c>
      <c r="N1302" t="s">
        <v>296</v>
      </c>
      <c r="O1302" t="s">
        <v>297</v>
      </c>
    </row>
    <row r="1303" spans="1:15" x14ac:dyDescent="0.3">
      <c r="A1303" t="s">
        <v>2189</v>
      </c>
      <c r="B1303" t="s">
        <v>2369</v>
      </c>
      <c r="C1303">
        <v>2024</v>
      </c>
      <c r="D1303" t="s">
        <v>300</v>
      </c>
      <c r="E1303" t="s">
        <v>1776</v>
      </c>
      <c r="F1303">
        <v>557.02300000000002</v>
      </c>
      <c r="G1303" t="s">
        <v>302</v>
      </c>
      <c r="H1303">
        <v>237</v>
      </c>
      <c r="I1303" t="s">
        <v>2389</v>
      </c>
      <c r="J1303" t="s">
        <v>294</v>
      </c>
      <c r="M1303" t="s">
        <v>295</v>
      </c>
      <c r="N1303" t="s">
        <v>296</v>
      </c>
      <c r="O1303" t="s">
        <v>297</v>
      </c>
    </row>
    <row r="1304" spans="1:15" x14ac:dyDescent="0.3">
      <c r="A1304" t="s">
        <v>2189</v>
      </c>
      <c r="B1304" t="s">
        <v>2369</v>
      </c>
      <c r="C1304">
        <v>2024</v>
      </c>
      <c r="D1304" t="s">
        <v>300</v>
      </c>
      <c r="E1304" t="s">
        <v>1523</v>
      </c>
      <c r="F1304">
        <v>476.95699999999999</v>
      </c>
      <c r="G1304" t="s">
        <v>302</v>
      </c>
      <c r="H1304">
        <v>238</v>
      </c>
      <c r="I1304" t="s">
        <v>2390</v>
      </c>
      <c r="J1304" t="s">
        <v>294</v>
      </c>
      <c r="M1304" t="s">
        <v>295</v>
      </c>
      <c r="N1304" t="s">
        <v>296</v>
      </c>
      <c r="O1304" t="s">
        <v>297</v>
      </c>
    </row>
    <row r="1305" spans="1:15" x14ac:dyDescent="0.3">
      <c r="A1305" t="s">
        <v>2189</v>
      </c>
      <c r="B1305" t="s">
        <v>2369</v>
      </c>
      <c r="C1305">
        <v>2024</v>
      </c>
      <c r="D1305" t="s">
        <v>300</v>
      </c>
      <c r="E1305" t="s">
        <v>2391</v>
      </c>
      <c r="F1305">
        <v>597.66</v>
      </c>
      <c r="G1305" t="s">
        <v>302</v>
      </c>
      <c r="H1305">
        <v>238</v>
      </c>
      <c r="I1305" t="s">
        <v>2392</v>
      </c>
      <c r="J1305" t="s">
        <v>294</v>
      </c>
      <c r="M1305" t="s">
        <v>295</v>
      </c>
      <c r="N1305" t="s">
        <v>296</v>
      </c>
      <c r="O1305" t="s">
        <v>297</v>
      </c>
    </row>
    <row r="1306" spans="1:15" x14ac:dyDescent="0.3">
      <c r="A1306" t="s">
        <v>2189</v>
      </c>
      <c r="B1306" t="s">
        <v>2369</v>
      </c>
      <c r="C1306">
        <v>2024</v>
      </c>
      <c r="D1306" t="s">
        <v>300</v>
      </c>
      <c r="E1306" t="s">
        <v>2322</v>
      </c>
      <c r="F1306">
        <v>3971.6709999999998</v>
      </c>
      <c r="G1306" t="s">
        <v>302</v>
      </c>
      <c r="H1306">
        <v>238</v>
      </c>
      <c r="I1306" t="s">
        <v>2393</v>
      </c>
      <c r="J1306" t="s">
        <v>294</v>
      </c>
      <c r="M1306" t="s">
        <v>295</v>
      </c>
      <c r="N1306" t="s">
        <v>296</v>
      </c>
      <c r="O1306" t="s">
        <v>297</v>
      </c>
    </row>
    <row r="1307" spans="1:15" x14ac:dyDescent="0.3">
      <c r="A1307" t="s">
        <v>2189</v>
      </c>
      <c r="B1307" t="s">
        <v>2369</v>
      </c>
      <c r="C1307">
        <v>2024</v>
      </c>
      <c r="D1307" t="s">
        <v>300</v>
      </c>
      <c r="E1307" t="s">
        <v>2326</v>
      </c>
      <c r="F1307">
        <v>181.92400000000001</v>
      </c>
      <c r="G1307" t="s">
        <v>302</v>
      </c>
      <c r="H1307">
        <v>238</v>
      </c>
      <c r="I1307" t="s">
        <v>2394</v>
      </c>
      <c r="J1307" t="s">
        <v>294</v>
      </c>
      <c r="M1307" t="s">
        <v>295</v>
      </c>
      <c r="N1307" t="s">
        <v>296</v>
      </c>
      <c r="O1307" t="s">
        <v>297</v>
      </c>
    </row>
    <row r="1308" spans="1:15" x14ac:dyDescent="0.3">
      <c r="A1308" t="s">
        <v>2189</v>
      </c>
      <c r="B1308" t="s">
        <v>2369</v>
      </c>
      <c r="C1308">
        <v>2024</v>
      </c>
      <c r="D1308" t="s">
        <v>300</v>
      </c>
      <c r="E1308" t="s">
        <v>601</v>
      </c>
      <c r="F1308">
        <v>2150.6149999999998</v>
      </c>
      <c r="G1308" t="s">
        <v>302</v>
      </c>
      <c r="H1308">
        <v>243</v>
      </c>
      <c r="I1308" t="s">
        <v>2395</v>
      </c>
      <c r="J1308" t="s">
        <v>294</v>
      </c>
      <c r="M1308" t="s">
        <v>295</v>
      </c>
      <c r="N1308" t="s">
        <v>296</v>
      </c>
      <c r="O1308" t="s">
        <v>297</v>
      </c>
    </row>
    <row r="1309" spans="1:15" x14ac:dyDescent="0.3">
      <c r="A1309" t="s">
        <v>2189</v>
      </c>
      <c r="B1309" t="s">
        <v>2369</v>
      </c>
      <c r="C1309">
        <v>2024</v>
      </c>
      <c r="D1309" t="s">
        <v>300</v>
      </c>
      <c r="E1309" t="s">
        <v>2329</v>
      </c>
      <c r="F1309">
        <v>975.68899999999996</v>
      </c>
      <c r="G1309" t="s">
        <v>302</v>
      </c>
      <c r="H1309">
        <v>243</v>
      </c>
      <c r="I1309" t="s">
        <v>2396</v>
      </c>
      <c r="J1309" t="s">
        <v>294</v>
      </c>
      <c r="M1309" t="s">
        <v>295</v>
      </c>
      <c r="N1309" t="s">
        <v>296</v>
      </c>
      <c r="O1309" t="s">
        <v>297</v>
      </c>
    </row>
    <row r="1310" spans="1:15" x14ac:dyDescent="0.3">
      <c r="A1310" t="s">
        <v>2189</v>
      </c>
      <c r="B1310" t="s">
        <v>2369</v>
      </c>
      <c r="C1310">
        <v>2024</v>
      </c>
      <c r="D1310" t="s">
        <v>300</v>
      </c>
      <c r="E1310" t="s">
        <v>2233</v>
      </c>
      <c r="F1310">
        <v>116.41200000000001</v>
      </c>
      <c r="G1310" t="s">
        <v>302</v>
      </c>
      <c r="H1310">
        <v>243</v>
      </c>
      <c r="I1310" t="s">
        <v>2397</v>
      </c>
      <c r="J1310" t="s">
        <v>294</v>
      </c>
      <c r="M1310" t="s">
        <v>295</v>
      </c>
      <c r="N1310" t="s">
        <v>296</v>
      </c>
      <c r="O1310" t="s">
        <v>297</v>
      </c>
    </row>
    <row r="1311" spans="1:15" x14ac:dyDescent="0.3">
      <c r="A1311" t="s">
        <v>2189</v>
      </c>
      <c r="B1311" t="s">
        <v>2369</v>
      </c>
      <c r="C1311">
        <v>2024</v>
      </c>
      <c r="D1311" t="s">
        <v>300</v>
      </c>
      <c r="E1311" t="s">
        <v>2398</v>
      </c>
      <c r="F1311">
        <v>839.07100000000003</v>
      </c>
      <c r="G1311" t="s">
        <v>302</v>
      </c>
      <c r="H1311">
        <v>243</v>
      </c>
      <c r="I1311" t="s">
        <v>2399</v>
      </c>
      <c r="J1311" t="s">
        <v>294</v>
      </c>
      <c r="M1311" t="s">
        <v>295</v>
      </c>
      <c r="N1311" t="s">
        <v>296</v>
      </c>
      <c r="O1311" t="s">
        <v>297</v>
      </c>
    </row>
    <row r="1312" spans="1:15" x14ac:dyDescent="0.3">
      <c r="A1312" t="s">
        <v>2189</v>
      </c>
      <c r="B1312" t="s">
        <v>2369</v>
      </c>
      <c r="C1312">
        <v>2024</v>
      </c>
      <c r="D1312" t="s">
        <v>300</v>
      </c>
      <c r="E1312" t="s">
        <v>2400</v>
      </c>
      <c r="F1312">
        <v>950</v>
      </c>
      <c r="G1312" t="s">
        <v>912</v>
      </c>
      <c r="H1312">
        <v>19</v>
      </c>
      <c r="I1312" t="s">
        <v>2401</v>
      </c>
      <c r="J1312" t="s">
        <v>294</v>
      </c>
      <c r="M1312" t="s">
        <v>295</v>
      </c>
      <c r="N1312" t="s">
        <v>296</v>
      </c>
      <c r="O1312" t="s">
        <v>297</v>
      </c>
    </row>
    <row r="1313" spans="1:15" x14ac:dyDescent="0.3">
      <c r="A1313" t="s">
        <v>2189</v>
      </c>
      <c r="B1313" t="s">
        <v>2369</v>
      </c>
      <c r="C1313">
        <v>2024</v>
      </c>
      <c r="D1313" t="s">
        <v>300</v>
      </c>
      <c r="E1313" t="s">
        <v>2402</v>
      </c>
      <c r="F1313">
        <v>22</v>
      </c>
      <c r="G1313" t="s">
        <v>916</v>
      </c>
      <c r="H1313">
        <v>138</v>
      </c>
      <c r="I1313" t="s">
        <v>2403</v>
      </c>
      <c r="J1313" t="s">
        <v>294</v>
      </c>
      <c r="M1313" t="s">
        <v>295</v>
      </c>
      <c r="N1313" t="s">
        <v>296</v>
      </c>
      <c r="O1313" t="s">
        <v>297</v>
      </c>
    </row>
    <row r="1314" spans="1:15" x14ac:dyDescent="0.3">
      <c r="A1314" t="s">
        <v>2189</v>
      </c>
      <c r="B1314" t="s">
        <v>2369</v>
      </c>
      <c r="C1314">
        <v>2024</v>
      </c>
      <c r="D1314" t="s">
        <v>358</v>
      </c>
      <c r="E1314" t="s">
        <v>1465</v>
      </c>
      <c r="F1314">
        <v>110700</v>
      </c>
      <c r="G1314" t="s">
        <v>360</v>
      </c>
      <c r="H1314">
        <v>4</v>
      </c>
      <c r="I1314" t="s">
        <v>2404</v>
      </c>
      <c r="J1314" t="s">
        <v>294</v>
      </c>
      <c r="M1314" t="s">
        <v>295</v>
      </c>
      <c r="N1314" t="s">
        <v>296</v>
      </c>
      <c r="O1314" t="s">
        <v>297</v>
      </c>
    </row>
    <row r="1315" spans="1:15" x14ac:dyDescent="0.3">
      <c r="A1315" t="s">
        <v>2189</v>
      </c>
      <c r="B1315" t="s">
        <v>2369</v>
      </c>
      <c r="C1315">
        <v>2024</v>
      </c>
      <c r="D1315" t="s">
        <v>358</v>
      </c>
      <c r="E1315" t="s">
        <v>2244</v>
      </c>
      <c r="F1315">
        <v>82800</v>
      </c>
      <c r="G1315" t="s">
        <v>360</v>
      </c>
      <c r="H1315">
        <v>4</v>
      </c>
      <c r="I1315" t="s">
        <v>2405</v>
      </c>
      <c r="J1315" t="s">
        <v>294</v>
      </c>
      <c r="M1315" t="s">
        <v>295</v>
      </c>
      <c r="N1315" t="s">
        <v>296</v>
      </c>
      <c r="O1315" t="s">
        <v>297</v>
      </c>
    </row>
    <row r="1316" spans="1:15" x14ac:dyDescent="0.3">
      <c r="A1316" t="s">
        <v>2189</v>
      </c>
      <c r="B1316" t="s">
        <v>2369</v>
      </c>
      <c r="C1316">
        <v>2024</v>
      </c>
      <c r="D1316" t="s">
        <v>358</v>
      </c>
      <c r="E1316" t="s">
        <v>2246</v>
      </c>
      <c r="F1316">
        <v>27908</v>
      </c>
      <c r="G1316" t="s">
        <v>360</v>
      </c>
      <c r="H1316">
        <v>91</v>
      </c>
      <c r="I1316" t="s">
        <v>2406</v>
      </c>
      <c r="J1316" t="s">
        <v>294</v>
      </c>
      <c r="M1316" t="s">
        <v>295</v>
      </c>
      <c r="N1316" t="s">
        <v>296</v>
      </c>
      <c r="O1316" t="s">
        <v>297</v>
      </c>
    </row>
    <row r="1317" spans="1:15" x14ac:dyDescent="0.3">
      <c r="A1317" t="s">
        <v>2189</v>
      </c>
      <c r="B1317" t="s">
        <v>2369</v>
      </c>
      <c r="C1317">
        <v>2024</v>
      </c>
      <c r="D1317" t="s">
        <v>358</v>
      </c>
      <c r="E1317" t="s">
        <v>1467</v>
      </c>
      <c r="F1317">
        <v>104101</v>
      </c>
      <c r="G1317" t="s">
        <v>360</v>
      </c>
      <c r="H1317">
        <v>91</v>
      </c>
      <c r="I1317" t="s">
        <v>2407</v>
      </c>
      <c r="J1317" t="s">
        <v>294</v>
      </c>
      <c r="M1317" t="s">
        <v>295</v>
      </c>
      <c r="N1317" t="s">
        <v>296</v>
      </c>
      <c r="O1317" t="s">
        <v>297</v>
      </c>
    </row>
    <row r="1318" spans="1:15" x14ac:dyDescent="0.3">
      <c r="A1318" t="s">
        <v>2189</v>
      </c>
      <c r="B1318" t="s">
        <v>2369</v>
      </c>
      <c r="C1318">
        <v>2024</v>
      </c>
      <c r="D1318" t="s">
        <v>358</v>
      </c>
      <c r="E1318" t="s">
        <v>2408</v>
      </c>
      <c r="F1318">
        <v>900</v>
      </c>
      <c r="G1318" t="s">
        <v>360</v>
      </c>
      <c r="H1318">
        <v>91</v>
      </c>
      <c r="I1318" t="s">
        <v>2409</v>
      </c>
      <c r="J1318" t="s">
        <v>294</v>
      </c>
      <c r="M1318" t="s">
        <v>295</v>
      </c>
      <c r="N1318" t="s">
        <v>296</v>
      </c>
      <c r="O1318" t="s">
        <v>297</v>
      </c>
    </row>
    <row r="1319" spans="1:15" x14ac:dyDescent="0.3">
      <c r="A1319" t="s">
        <v>2189</v>
      </c>
      <c r="B1319" t="s">
        <v>2369</v>
      </c>
      <c r="C1319">
        <v>2024</v>
      </c>
      <c r="D1319" t="s">
        <v>358</v>
      </c>
      <c r="E1319" t="s">
        <v>2341</v>
      </c>
      <c r="F1319">
        <v>12</v>
      </c>
      <c r="G1319" t="s">
        <v>2253</v>
      </c>
      <c r="H1319">
        <v>91</v>
      </c>
      <c r="I1319" t="s">
        <v>2410</v>
      </c>
      <c r="J1319" t="s">
        <v>294</v>
      </c>
      <c r="M1319" t="s">
        <v>295</v>
      </c>
      <c r="N1319" t="s">
        <v>296</v>
      </c>
      <c r="O1319" t="s">
        <v>297</v>
      </c>
    </row>
    <row r="1320" spans="1:15" x14ac:dyDescent="0.3">
      <c r="A1320" t="s">
        <v>2189</v>
      </c>
      <c r="B1320" t="s">
        <v>2369</v>
      </c>
      <c r="C1320">
        <v>2024</v>
      </c>
      <c r="D1320" t="s">
        <v>358</v>
      </c>
      <c r="E1320" t="s">
        <v>2342</v>
      </c>
      <c r="F1320">
        <v>675</v>
      </c>
      <c r="G1320" t="s">
        <v>2256</v>
      </c>
      <c r="H1320">
        <v>91</v>
      </c>
      <c r="I1320" t="s">
        <v>2411</v>
      </c>
      <c r="J1320" t="s">
        <v>294</v>
      </c>
      <c r="M1320" t="s">
        <v>295</v>
      </c>
      <c r="N1320" t="s">
        <v>296</v>
      </c>
      <c r="O1320" t="s">
        <v>297</v>
      </c>
    </row>
    <row r="1321" spans="1:15" x14ac:dyDescent="0.3">
      <c r="A1321" t="s">
        <v>2189</v>
      </c>
      <c r="B1321" t="s">
        <v>2369</v>
      </c>
      <c r="C1321">
        <v>2024</v>
      </c>
      <c r="D1321" t="s">
        <v>394</v>
      </c>
      <c r="E1321" t="s">
        <v>1543</v>
      </c>
      <c r="F1321">
        <v>2109737</v>
      </c>
      <c r="G1321" t="s">
        <v>1453</v>
      </c>
      <c r="H1321">
        <v>104</v>
      </c>
      <c r="I1321" t="s">
        <v>2412</v>
      </c>
      <c r="J1321" t="s">
        <v>294</v>
      </c>
      <c r="M1321" t="s">
        <v>295</v>
      </c>
      <c r="N1321" t="s">
        <v>296</v>
      </c>
      <c r="O1321" t="s">
        <v>297</v>
      </c>
    </row>
    <row r="1322" spans="1:15" x14ac:dyDescent="0.3">
      <c r="A1322" t="s">
        <v>2189</v>
      </c>
      <c r="B1322" t="s">
        <v>2369</v>
      </c>
      <c r="C1322">
        <v>2024</v>
      </c>
      <c r="D1322" t="s">
        <v>394</v>
      </c>
      <c r="E1322" t="s">
        <v>2265</v>
      </c>
      <c r="F1322">
        <v>1661979</v>
      </c>
      <c r="G1322" t="s">
        <v>1453</v>
      </c>
      <c r="H1322">
        <v>104</v>
      </c>
      <c r="I1322" t="s">
        <v>2413</v>
      </c>
      <c r="J1322" t="s">
        <v>294</v>
      </c>
      <c r="M1322" t="s">
        <v>295</v>
      </c>
      <c r="N1322" t="s">
        <v>296</v>
      </c>
      <c r="O1322" t="s">
        <v>297</v>
      </c>
    </row>
    <row r="1323" spans="1:15" x14ac:dyDescent="0.3">
      <c r="A1323" t="s">
        <v>2189</v>
      </c>
      <c r="B1323" t="s">
        <v>2369</v>
      </c>
      <c r="C1323">
        <v>2024</v>
      </c>
      <c r="D1323" t="s">
        <v>394</v>
      </c>
      <c r="E1323" t="s">
        <v>2267</v>
      </c>
      <c r="F1323">
        <v>447757</v>
      </c>
      <c r="G1323" t="s">
        <v>1453</v>
      </c>
      <c r="H1323">
        <v>104</v>
      </c>
      <c r="I1323" t="s">
        <v>2414</v>
      </c>
      <c r="J1323" t="s">
        <v>294</v>
      </c>
      <c r="M1323" t="s">
        <v>295</v>
      </c>
      <c r="N1323" t="s">
        <v>296</v>
      </c>
      <c r="O1323" t="s">
        <v>297</v>
      </c>
    </row>
    <row r="1324" spans="1:15" x14ac:dyDescent="0.3">
      <c r="A1324" t="s">
        <v>2189</v>
      </c>
      <c r="B1324" t="s">
        <v>2369</v>
      </c>
      <c r="C1324">
        <v>2024</v>
      </c>
      <c r="D1324" t="s">
        <v>394</v>
      </c>
      <c r="E1324" t="s">
        <v>2011</v>
      </c>
      <c r="F1324">
        <v>2515086</v>
      </c>
      <c r="G1324" t="s">
        <v>1453</v>
      </c>
      <c r="H1324">
        <v>104</v>
      </c>
      <c r="I1324" t="s">
        <v>2415</v>
      </c>
      <c r="J1324" t="s">
        <v>294</v>
      </c>
      <c r="M1324" t="s">
        <v>295</v>
      </c>
      <c r="N1324" t="s">
        <v>296</v>
      </c>
      <c r="O1324" t="s">
        <v>297</v>
      </c>
    </row>
    <row r="1325" spans="1:15" x14ac:dyDescent="0.3">
      <c r="A1325" t="s">
        <v>2189</v>
      </c>
      <c r="B1325" t="s">
        <v>2369</v>
      </c>
      <c r="C1325">
        <v>2024</v>
      </c>
      <c r="D1325" t="s">
        <v>394</v>
      </c>
      <c r="E1325" t="s">
        <v>1452</v>
      </c>
      <c r="F1325">
        <v>601508</v>
      </c>
      <c r="G1325" t="s">
        <v>1453</v>
      </c>
      <c r="H1325">
        <v>104</v>
      </c>
      <c r="I1325" t="s">
        <v>2416</v>
      </c>
      <c r="J1325" t="s">
        <v>294</v>
      </c>
      <c r="M1325" t="s">
        <v>295</v>
      </c>
      <c r="N1325" t="s">
        <v>296</v>
      </c>
      <c r="O1325" t="s">
        <v>297</v>
      </c>
    </row>
    <row r="1326" spans="1:15" x14ac:dyDescent="0.3">
      <c r="A1326" t="s">
        <v>2189</v>
      </c>
      <c r="B1326" t="s">
        <v>2369</v>
      </c>
      <c r="C1326">
        <v>2024</v>
      </c>
      <c r="D1326" t="s">
        <v>394</v>
      </c>
      <c r="E1326" t="s">
        <v>1541</v>
      </c>
      <c r="F1326">
        <v>114210</v>
      </c>
      <c r="G1326" t="s">
        <v>1453</v>
      </c>
      <c r="H1326">
        <v>104</v>
      </c>
      <c r="I1326" t="s">
        <v>2417</v>
      </c>
      <c r="J1326" t="s">
        <v>294</v>
      </c>
      <c r="M1326" t="s">
        <v>295</v>
      </c>
      <c r="N1326" t="s">
        <v>296</v>
      </c>
      <c r="O1326" t="s">
        <v>297</v>
      </c>
    </row>
    <row r="1327" spans="1:15" x14ac:dyDescent="0.3">
      <c r="A1327" t="s">
        <v>2189</v>
      </c>
      <c r="B1327" t="s">
        <v>2369</v>
      </c>
      <c r="C1327">
        <v>2024</v>
      </c>
      <c r="D1327" t="s">
        <v>394</v>
      </c>
      <c r="E1327" t="s">
        <v>2272</v>
      </c>
      <c r="F1327">
        <v>38217</v>
      </c>
      <c r="G1327" t="s">
        <v>1453</v>
      </c>
      <c r="H1327">
        <v>104</v>
      </c>
      <c r="I1327" t="s">
        <v>2418</v>
      </c>
      <c r="J1327" t="s">
        <v>294</v>
      </c>
      <c r="M1327" t="s">
        <v>295</v>
      </c>
      <c r="N1327" t="s">
        <v>296</v>
      </c>
      <c r="O1327" t="s">
        <v>297</v>
      </c>
    </row>
    <row r="1328" spans="1:15" x14ac:dyDescent="0.3">
      <c r="A1328" t="s">
        <v>2189</v>
      </c>
      <c r="B1328" t="s">
        <v>2369</v>
      </c>
      <c r="C1328">
        <v>2024</v>
      </c>
      <c r="D1328" t="s">
        <v>394</v>
      </c>
      <c r="E1328" t="s">
        <v>2274</v>
      </c>
      <c r="F1328">
        <v>0.2392</v>
      </c>
      <c r="G1328" t="s">
        <v>2202</v>
      </c>
      <c r="H1328">
        <v>104</v>
      </c>
      <c r="I1328" t="s">
        <v>2419</v>
      </c>
      <c r="J1328" t="s">
        <v>294</v>
      </c>
      <c r="M1328" t="s">
        <v>295</v>
      </c>
      <c r="N1328" t="s">
        <v>296</v>
      </c>
      <c r="O1328" t="s">
        <v>297</v>
      </c>
    </row>
    <row r="1329" spans="1:15" x14ac:dyDescent="0.3">
      <c r="A1329" t="s">
        <v>2189</v>
      </c>
      <c r="B1329" t="s">
        <v>2369</v>
      </c>
      <c r="C1329">
        <v>2024</v>
      </c>
      <c r="D1329" t="s">
        <v>394</v>
      </c>
      <c r="E1329" t="s">
        <v>2276</v>
      </c>
      <c r="F1329">
        <v>2.86E-2</v>
      </c>
      <c r="G1329" t="s">
        <v>2202</v>
      </c>
      <c r="H1329">
        <v>104</v>
      </c>
      <c r="I1329" t="s">
        <v>2420</v>
      </c>
      <c r="J1329" t="s">
        <v>294</v>
      </c>
      <c r="M1329" t="s">
        <v>295</v>
      </c>
      <c r="N1329" t="s">
        <v>296</v>
      </c>
      <c r="O1329" t="s">
        <v>297</v>
      </c>
    </row>
    <row r="1330" spans="1:15" x14ac:dyDescent="0.3">
      <c r="A1330" t="s">
        <v>2189</v>
      </c>
      <c r="B1330" t="s">
        <v>2369</v>
      </c>
      <c r="C1330">
        <v>2024</v>
      </c>
      <c r="D1330" t="s">
        <v>394</v>
      </c>
      <c r="E1330" t="s">
        <v>1457</v>
      </c>
      <c r="F1330">
        <v>601111</v>
      </c>
      <c r="G1330" t="s">
        <v>1453</v>
      </c>
      <c r="H1330">
        <v>104</v>
      </c>
      <c r="I1330" t="s">
        <v>2421</v>
      </c>
      <c r="J1330" t="s">
        <v>294</v>
      </c>
      <c r="M1330" t="s">
        <v>295</v>
      </c>
      <c r="N1330" t="s">
        <v>296</v>
      </c>
      <c r="O1330" t="s">
        <v>297</v>
      </c>
    </row>
    <row r="1331" spans="1:15" x14ac:dyDescent="0.3">
      <c r="A1331" t="s">
        <v>2189</v>
      </c>
      <c r="B1331" t="s">
        <v>2369</v>
      </c>
      <c r="C1331">
        <v>2024</v>
      </c>
      <c r="D1331" t="s">
        <v>394</v>
      </c>
      <c r="E1331" t="s">
        <v>946</v>
      </c>
      <c r="F1331">
        <v>12790000</v>
      </c>
      <c r="G1331" t="s">
        <v>2279</v>
      </c>
      <c r="H1331">
        <v>104</v>
      </c>
      <c r="I1331" t="s">
        <v>2422</v>
      </c>
      <c r="J1331" t="s">
        <v>294</v>
      </c>
      <c r="M1331" t="s">
        <v>295</v>
      </c>
      <c r="N1331" t="s">
        <v>296</v>
      </c>
      <c r="O1331" t="s">
        <v>297</v>
      </c>
    </row>
    <row r="1332" spans="1:15" x14ac:dyDescent="0.3">
      <c r="A1332" t="s">
        <v>2189</v>
      </c>
      <c r="B1332" t="s">
        <v>2369</v>
      </c>
      <c r="C1332">
        <v>2024</v>
      </c>
      <c r="D1332" t="s">
        <v>394</v>
      </c>
      <c r="E1332" t="s">
        <v>1019</v>
      </c>
      <c r="F1332">
        <v>17810000</v>
      </c>
      <c r="G1332" t="s">
        <v>2279</v>
      </c>
      <c r="H1332">
        <v>104</v>
      </c>
      <c r="I1332" t="s">
        <v>2423</v>
      </c>
      <c r="J1332" t="s">
        <v>294</v>
      </c>
      <c r="M1332" t="s">
        <v>295</v>
      </c>
      <c r="N1332" t="s">
        <v>296</v>
      </c>
      <c r="O1332" t="s">
        <v>297</v>
      </c>
    </row>
    <row r="1333" spans="1:15" x14ac:dyDescent="0.3">
      <c r="A1333" t="s">
        <v>2189</v>
      </c>
      <c r="B1333" t="s">
        <v>2369</v>
      </c>
      <c r="C1333">
        <v>2024</v>
      </c>
      <c r="D1333" t="s">
        <v>394</v>
      </c>
      <c r="E1333" t="s">
        <v>2424</v>
      </c>
      <c r="F1333">
        <v>94933</v>
      </c>
      <c r="G1333" t="s">
        <v>1453</v>
      </c>
      <c r="H1333">
        <v>107</v>
      </c>
      <c r="I1333" t="s">
        <v>2425</v>
      </c>
      <c r="J1333" t="s">
        <v>294</v>
      </c>
      <c r="M1333" t="s">
        <v>295</v>
      </c>
      <c r="N1333" t="s">
        <v>296</v>
      </c>
      <c r="O1333" t="s">
        <v>297</v>
      </c>
    </row>
    <row r="1334" spans="1:15" x14ac:dyDescent="0.3">
      <c r="A1334" t="s">
        <v>2189</v>
      </c>
      <c r="B1334" t="s">
        <v>2369</v>
      </c>
      <c r="C1334">
        <v>2024</v>
      </c>
      <c r="D1334" t="s">
        <v>394</v>
      </c>
      <c r="E1334" t="s">
        <v>2426</v>
      </c>
      <c r="F1334">
        <v>121.93</v>
      </c>
      <c r="G1334" t="s">
        <v>2427</v>
      </c>
      <c r="H1334">
        <v>106</v>
      </c>
      <c r="I1334" t="s">
        <v>2428</v>
      </c>
      <c r="J1334" t="s">
        <v>294</v>
      </c>
      <c r="M1334" t="s">
        <v>295</v>
      </c>
      <c r="N1334" t="s">
        <v>296</v>
      </c>
      <c r="O1334" t="s">
        <v>297</v>
      </c>
    </row>
    <row r="1335" spans="1:15" x14ac:dyDescent="0.3">
      <c r="A1335" t="s">
        <v>2189</v>
      </c>
      <c r="B1335" t="s">
        <v>2369</v>
      </c>
      <c r="C1335">
        <v>2024</v>
      </c>
      <c r="D1335" t="s">
        <v>394</v>
      </c>
      <c r="E1335" t="s">
        <v>2429</v>
      </c>
      <c r="F1335">
        <v>116100</v>
      </c>
      <c r="G1335" t="s">
        <v>1409</v>
      </c>
      <c r="H1335">
        <v>105</v>
      </c>
      <c r="I1335" t="s">
        <v>2430</v>
      </c>
      <c r="J1335" t="s">
        <v>294</v>
      </c>
      <c r="M1335" t="s">
        <v>295</v>
      </c>
      <c r="N1335" t="s">
        <v>296</v>
      </c>
      <c r="O1335" t="s">
        <v>297</v>
      </c>
    </row>
    <row r="1336" spans="1:15" x14ac:dyDescent="0.3">
      <c r="A1336" t="s">
        <v>2189</v>
      </c>
      <c r="B1336" t="s">
        <v>2369</v>
      </c>
      <c r="C1336">
        <v>2024</v>
      </c>
      <c r="D1336" t="s">
        <v>394</v>
      </c>
      <c r="E1336" t="s">
        <v>2431</v>
      </c>
      <c r="F1336">
        <v>626500</v>
      </c>
      <c r="G1336" t="s">
        <v>2285</v>
      </c>
      <c r="H1336">
        <v>105</v>
      </c>
      <c r="I1336" t="s">
        <v>2432</v>
      </c>
      <c r="J1336" t="s">
        <v>294</v>
      </c>
      <c r="M1336" t="s">
        <v>295</v>
      </c>
      <c r="N1336" t="s">
        <v>296</v>
      </c>
      <c r="O1336" t="s">
        <v>297</v>
      </c>
    </row>
    <row r="1337" spans="1:15" x14ac:dyDescent="0.3">
      <c r="A1337" t="s">
        <v>2433</v>
      </c>
      <c r="B1337" t="s">
        <v>2434</v>
      </c>
      <c r="C1337">
        <v>2022</v>
      </c>
      <c r="D1337" t="s">
        <v>272</v>
      </c>
      <c r="E1337" t="s">
        <v>2191</v>
      </c>
      <c r="F1337" t="s">
        <v>2433</v>
      </c>
      <c r="G1337" t="s">
        <v>2192</v>
      </c>
      <c r="H1337">
        <v>1</v>
      </c>
      <c r="I1337" t="s">
        <v>2433</v>
      </c>
      <c r="J1337" t="s">
        <v>294</v>
      </c>
      <c r="M1337" t="s">
        <v>295</v>
      </c>
      <c r="N1337" t="s">
        <v>296</v>
      </c>
      <c r="O1337" t="s">
        <v>297</v>
      </c>
    </row>
    <row r="1338" spans="1:15" x14ac:dyDescent="0.3">
      <c r="A1338" t="s">
        <v>2433</v>
      </c>
      <c r="B1338" t="s">
        <v>2434</v>
      </c>
      <c r="C1338">
        <v>2022</v>
      </c>
      <c r="D1338" t="s">
        <v>272</v>
      </c>
      <c r="E1338" t="s">
        <v>2435</v>
      </c>
      <c r="F1338" t="s">
        <v>2436</v>
      </c>
      <c r="G1338" t="s">
        <v>2192</v>
      </c>
      <c r="H1338">
        <v>44</v>
      </c>
      <c r="I1338" t="s">
        <v>2437</v>
      </c>
      <c r="J1338" t="s">
        <v>294</v>
      </c>
      <c r="M1338" t="s">
        <v>295</v>
      </c>
      <c r="N1338" t="s">
        <v>296</v>
      </c>
      <c r="O1338" t="s">
        <v>297</v>
      </c>
    </row>
    <row r="1339" spans="1:15" x14ac:dyDescent="0.3">
      <c r="A1339" t="s">
        <v>2433</v>
      </c>
      <c r="B1339" t="s">
        <v>2434</v>
      </c>
      <c r="C1339">
        <v>2022</v>
      </c>
      <c r="D1339" t="s">
        <v>272</v>
      </c>
      <c r="E1339" t="s">
        <v>1940</v>
      </c>
      <c r="F1339" t="s">
        <v>2438</v>
      </c>
      <c r="G1339" t="s">
        <v>2192</v>
      </c>
      <c r="H1339">
        <v>45</v>
      </c>
      <c r="I1339" t="s">
        <v>2439</v>
      </c>
      <c r="J1339" t="s">
        <v>294</v>
      </c>
      <c r="M1339" t="s">
        <v>295</v>
      </c>
      <c r="N1339" t="s">
        <v>296</v>
      </c>
      <c r="O1339" t="s">
        <v>297</v>
      </c>
    </row>
    <row r="1340" spans="1:15" x14ac:dyDescent="0.3">
      <c r="A1340" t="s">
        <v>2433</v>
      </c>
      <c r="B1340" t="s">
        <v>2434</v>
      </c>
      <c r="C1340">
        <v>2022</v>
      </c>
      <c r="D1340" t="s">
        <v>272</v>
      </c>
      <c r="E1340" t="s">
        <v>1948</v>
      </c>
      <c r="F1340">
        <v>9</v>
      </c>
      <c r="G1340" t="s">
        <v>384</v>
      </c>
      <c r="H1340">
        <v>44</v>
      </c>
      <c r="I1340" t="s">
        <v>2440</v>
      </c>
      <c r="J1340" t="s">
        <v>294</v>
      </c>
      <c r="M1340" t="s">
        <v>295</v>
      </c>
      <c r="N1340" t="s">
        <v>296</v>
      </c>
      <c r="O1340" t="s">
        <v>297</v>
      </c>
    </row>
    <row r="1341" spans="1:15" x14ac:dyDescent="0.3">
      <c r="A1341" t="s">
        <v>2433</v>
      </c>
      <c r="B1341" t="s">
        <v>2434</v>
      </c>
      <c r="C1341">
        <v>2022</v>
      </c>
      <c r="D1341" t="s">
        <v>272</v>
      </c>
      <c r="E1341" t="s">
        <v>2441</v>
      </c>
      <c r="F1341">
        <v>0.8075</v>
      </c>
      <c r="G1341" t="s">
        <v>2202</v>
      </c>
      <c r="H1341">
        <v>44</v>
      </c>
      <c r="I1341" t="s">
        <v>2442</v>
      </c>
      <c r="J1341" t="s">
        <v>294</v>
      </c>
      <c r="M1341" t="s">
        <v>295</v>
      </c>
      <c r="N1341" t="s">
        <v>296</v>
      </c>
      <c r="O1341" t="s">
        <v>297</v>
      </c>
    </row>
    <row r="1342" spans="1:15" x14ac:dyDescent="0.3">
      <c r="A1342" t="s">
        <v>2433</v>
      </c>
      <c r="B1342" t="s">
        <v>2434</v>
      </c>
      <c r="C1342">
        <v>2022</v>
      </c>
      <c r="D1342" t="s">
        <v>272</v>
      </c>
      <c r="E1342" t="s">
        <v>2443</v>
      </c>
      <c r="F1342">
        <v>4.2500000000000003E-2</v>
      </c>
      <c r="G1342" t="s">
        <v>2202</v>
      </c>
      <c r="H1342">
        <v>44</v>
      </c>
      <c r="I1342" t="s">
        <v>2444</v>
      </c>
      <c r="J1342" t="s">
        <v>294</v>
      </c>
      <c r="M1342" t="s">
        <v>295</v>
      </c>
      <c r="N1342" t="s">
        <v>296</v>
      </c>
      <c r="O1342" t="s">
        <v>297</v>
      </c>
    </row>
    <row r="1343" spans="1:15" x14ac:dyDescent="0.3">
      <c r="A1343" t="s">
        <v>2433</v>
      </c>
      <c r="B1343" t="s">
        <v>2434</v>
      </c>
      <c r="C1343">
        <v>2022</v>
      </c>
      <c r="D1343" t="s">
        <v>272</v>
      </c>
      <c r="E1343" t="s">
        <v>1750</v>
      </c>
      <c r="F1343">
        <v>0.15</v>
      </c>
      <c r="G1343" t="s">
        <v>2202</v>
      </c>
      <c r="H1343">
        <v>44</v>
      </c>
      <c r="I1343" t="s">
        <v>2445</v>
      </c>
      <c r="J1343" t="s">
        <v>294</v>
      </c>
      <c r="M1343" t="s">
        <v>295</v>
      </c>
      <c r="N1343" t="s">
        <v>296</v>
      </c>
      <c r="O1343" t="s">
        <v>297</v>
      </c>
    </row>
    <row r="1344" spans="1:15" x14ac:dyDescent="0.3">
      <c r="A1344" t="s">
        <v>2433</v>
      </c>
      <c r="B1344" t="s">
        <v>2434</v>
      </c>
      <c r="C1344">
        <v>2022</v>
      </c>
      <c r="D1344" t="s">
        <v>272</v>
      </c>
      <c r="E1344" t="s">
        <v>1395</v>
      </c>
      <c r="F1344">
        <v>3629411800</v>
      </c>
      <c r="G1344" t="s">
        <v>1633</v>
      </c>
      <c r="H1344">
        <v>205</v>
      </c>
      <c r="I1344" t="s">
        <v>2446</v>
      </c>
      <c r="J1344" t="s">
        <v>294</v>
      </c>
      <c r="M1344" t="s">
        <v>295</v>
      </c>
      <c r="N1344" t="s">
        <v>296</v>
      </c>
      <c r="O1344" t="s">
        <v>297</v>
      </c>
    </row>
    <row r="1345" spans="1:15" x14ac:dyDescent="0.3">
      <c r="A1345" t="s">
        <v>2433</v>
      </c>
      <c r="B1345" t="s">
        <v>2434</v>
      </c>
      <c r="C1345">
        <v>2022</v>
      </c>
      <c r="D1345" t="s">
        <v>300</v>
      </c>
      <c r="E1345" t="s">
        <v>2447</v>
      </c>
      <c r="F1345">
        <v>4828.634</v>
      </c>
      <c r="G1345" t="s">
        <v>302</v>
      </c>
      <c r="H1345">
        <v>10</v>
      </c>
      <c r="I1345" t="s">
        <v>2448</v>
      </c>
      <c r="J1345" t="s">
        <v>294</v>
      </c>
      <c r="M1345" t="s">
        <v>295</v>
      </c>
      <c r="N1345" t="s">
        <v>296</v>
      </c>
      <c r="O1345" t="s">
        <v>297</v>
      </c>
    </row>
    <row r="1346" spans="1:15" x14ac:dyDescent="0.3">
      <c r="A1346" t="s">
        <v>2433</v>
      </c>
      <c r="B1346" t="s">
        <v>2434</v>
      </c>
      <c r="C1346">
        <v>2022</v>
      </c>
      <c r="D1346" t="s">
        <v>300</v>
      </c>
      <c r="E1346" t="s">
        <v>2449</v>
      </c>
      <c r="F1346">
        <v>3888</v>
      </c>
      <c r="G1346" t="s">
        <v>302</v>
      </c>
      <c r="H1346">
        <v>5</v>
      </c>
      <c r="I1346" t="s">
        <v>2450</v>
      </c>
      <c r="J1346" t="s">
        <v>294</v>
      </c>
      <c r="M1346" t="s">
        <v>295</v>
      </c>
      <c r="N1346" t="s">
        <v>296</v>
      </c>
      <c r="O1346" t="s">
        <v>297</v>
      </c>
    </row>
    <row r="1347" spans="1:15" x14ac:dyDescent="0.3">
      <c r="A1347" t="s">
        <v>2433</v>
      </c>
      <c r="B1347" t="s">
        <v>2434</v>
      </c>
      <c r="C1347">
        <v>2022</v>
      </c>
      <c r="D1347" t="s">
        <v>300</v>
      </c>
      <c r="E1347" t="s">
        <v>2451</v>
      </c>
      <c r="F1347">
        <v>452.06</v>
      </c>
      <c r="G1347" t="s">
        <v>302</v>
      </c>
      <c r="H1347">
        <v>5</v>
      </c>
      <c r="I1347" t="s">
        <v>2452</v>
      </c>
      <c r="J1347" t="s">
        <v>294</v>
      </c>
      <c r="M1347" t="s">
        <v>295</v>
      </c>
      <c r="N1347" t="s">
        <v>296</v>
      </c>
      <c r="O1347" t="s">
        <v>297</v>
      </c>
    </row>
    <row r="1348" spans="1:15" x14ac:dyDescent="0.3">
      <c r="A1348" t="s">
        <v>2433</v>
      </c>
      <c r="B1348" t="s">
        <v>2434</v>
      </c>
      <c r="C1348">
        <v>2022</v>
      </c>
      <c r="D1348" t="s">
        <v>300</v>
      </c>
      <c r="E1348" t="s">
        <v>2453</v>
      </c>
      <c r="F1348">
        <v>201.38</v>
      </c>
      <c r="G1348" t="s">
        <v>302</v>
      </c>
      <c r="H1348">
        <v>5</v>
      </c>
      <c r="I1348" t="s">
        <v>2454</v>
      </c>
      <c r="J1348" t="s">
        <v>294</v>
      </c>
      <c r="M1348" t="s">
        <v>295</v>
      </c>
      <c r="N1348" t="s">
        <v>296</v>
      </c>
      <c r="O1348" t="s">
        <v>297</v>
      </c>
    </row>
    <row r="1349" spans="1:15" x14ac:dyDescent="0.3">
      <c r="A1349" t="s">
        <v>2433</v>
      </c>
      <c r="B1349" t="s">
        <v>2434</v>
      </c>
      <c r="C1349">
        <v>2022</v>
      </c>
      <c r="D1349" t="s">
        <v>300</v>
      </c>
      <c r="E1349" t="s">
        <v>2455</v>
      </c>
      <c r="F1349">
        <v>266.99</v>
      </c>
      <c r="G1349" t="s">
        <v>302</v>
      </c>
      <c r="H1349">
        <v>5</v>
      </c>
      <c r="I1349" t="s">
        <v>2456</v>
      </c>
      <c r="J1349" t="s">
        <v>294</v>
      </c>
      <c r="M1349" t="s">
        <v>295</v>
      </c>
      <c r="N1349" t="s">
        <v>296</v>
      </c>
      <c r="O1349" t="s">
        <v>297</v>
      </c>
    </row>
    <row r="1350" spans="1:15" x14ac:dyDescent="0.3">
      <c r="A1350" t="s">
        <v>2433</v>
      </c>
      <c r="B1350" t="s">
        <v>2434</v>
      </c>
      <c r="C1350">
        <v>2022</v>
      </c>
      <c r="D1350" t="s">
        <v>300</v>
      </c>
      <c r="E1350" t="s">
        <v>2457</v>
      </c>
      <c r="F1350">
        <v>19.3</v>
      </c>
      <c r="G1350" t="s">
        <v>302</v>
      </c>
      <c r="H1350">
        <v>5</v>
      </c>
      <c r="I1350" t="s">
        <v>2458</v>
      </c>
      <c r="J1350" t="s">
        <v>294</v>
      </c>
      <c r="M1350" t="s">
        <v>295</v>
      </c>
      <c r="N1350" t="s">
        <v>296</v>
      </c>
      <c r="O1350" t="s">
        <v>297</v>
      </c>
    </row>
    <row r="1351" spans="1:15" x14ac:dyDescent="0.3">
      <c r="A1351" t="s">
        <v>2433</v>
      </c>
      <c r="B1351" t="s">
        <v>2434</v>
      </c>
      <c r="C1351">
        <v>2022</v>
      </c>
      <c r="D1351" t="s">
        <v>300</v>
      </c>
      <c r="E1351" t="s">
        <v>1109</v>
      </c>
      <c r="F1351">
        <v>3212.3040000000001</v>
      </c>
      <c r="G1351" t="s">
        <v>302</v>
      </c>
      <c r="H1351">
        <v>10</v>
      </c>
      <c r="I1351" t="s">
        <v>2459</v>
      </c>
      <c r="J1351" t="s">
        <v>294</v>
      </c>
      <c r="M1351" t="s">
        <v>295</v>
      </c>
      <c r="N1351" t="s">
        <v>296</v>
      </c>
      <c r="O1351" t="s">
        <v>297</v>
      </c>
    </row>
    <row r="1352" spans="1:15" x14ac:dyDescent="0.3">
      <c r="A1352" t="s">
        <v>2433</v>
      </c>
      <c r="B1352" t="s">
        <v>2434</v>
      </c>
      <c r="C1352">
        <v>2022</v>
      </c>
      <c r="D1352" t="s">
        <v>300</v>
      </c>
      <c r="E1352" t="s">
        <v>1415</v>
      </c>
      <c r="F1352">
        <v>1616.33</v>
      </c>
      <c r="G1352" t="s">
        <v>302</v>
      </c>
      <c r="H1352">
        <v>10</v>
      </c>
      <c r="I1352" t="s">
        <v>2460</v>
      </c>
      <c r="J1352" t="s">
        <v>294</v>
      </c>
      <c r="M1352" t="s">
        <v>295</v>
      </c>
      <c r="N1352" t="s">
        <v>296</v>
      </c>
      <c r="O1352" t="s">
        <v>297</v>
      </c>
    </row>
    <row r="1353" spans="1:15" x14ac:dyDescent="0.3">
      <c r="A1353" t="s">
        <v>2433</v>
      </c>
      <c r="B1353" t="s">
        <v>2434</v>
      </c>
      <c r="C1353">
        <v>2022</v>
      </c>
      <c r="D1353" t="s">
        <v>300</v>
      </c>
      <c r="E1353" t="s">
        <v>1417</v>
      </c>
      <c r="F1353">
        <v>1304.8620000000001</v>
      </c>
      <c r="G1353" t="s">
        <v>302</v>
      </c>
      <c r="H1353">
        <v>10</v>
      </c>
      <c r="I1353" t="s">
        <v>2461</v>
      </c>
      <c r="J1353" t="s">
        <v>294</v>
      </c>
      <c r="M1353" t="s">
        <v>295</v>
      </c>
      <c r="N1353" t="s">
        <v>296</v>
      </c>
      <c r="O1353" t="s">
        <v>297</v>
      </c>
    </row>
    <row r="1354" spans="1:15" x14ac:dyDescent="0.3">
      <c r="A1354" t="s">
        <v>2433</v>
      </c>
      <c r="B1354" t="s">
        <v>2434</v>
      </c>
      <c r="C1354">
        <v>2022</v>
      </c>
      <c r="D1354" t="s">
        <v>300</v>
      </c>
      <c r="E1354" t="s">
        <v>1505</v>
      </c>
      <c r="F1354">
        <v>749.31100000000004</v>
      </c>
      <c r="G1354" t="s">
        <v>302</v>
      </c>
      <c r="H1354">
        <v>10</v>
      </c>
      <c r="I1354" t="s">
        <v>2462</v>
      </c>
      <c r="J1354" t="s">
        <v>294</v>
      </c>
      <c r="M1354" t="s">
        <v>295</v>
      </c>
      <c r="N1354" t="s">
        <v>296</v>
      </c>
      <c r="O1354" t="s">
        <v>297</v>
      </c>
    </row>
    <row r="1355" spans="1:15" x14ac:dyDescent="0.3">
      <c r="A1355" t="s">
        <v>2433</v>
      </c>
      <c r="B1355" t="s">
        <v>2434</v>
      </c>
      <c r="C1355">
        <v>2022</v>
      </c>
      <c r="D1355" t="s">
        <v>300</v>
      </c>
      <c r="E1355" t="s">
        <v>1421</v>
      </c>
      <c r="F1355">
        <v>709.14400000000001</v>
      </c>
      <c r="G1355" t="s">
        <v>302</v>
      </c>
      <c r="H1355">
        <v>10</v>
      </c>
      <c r="I1355" t="s">
        <v>2463</v>
      </c>
      <c r="J1355" t="s">
        <v>294</v>
      </c>
      <c r="M1355" t="s">
        <v>295</v>
      </c>
      <c r="N1355" t="s">
        <v>296</v>
      </c>
      <c r="O1355" t="s">
        <v>297</v>
      </c>
    </row>
    <row r="1356" spans="1:15" x14ac:dyDescent="0.3">
      <c r="A1356" t="s">
        <v>2433</v>
      </c>
      <c r="B1356" t="s">
        <v>2434</v>
      </c>
      <c r="C1356">
        <v>2022</v>
      </c>
      <c r="D1356" t="s">
        <v>300</v>
      </c>
      <c r="E1356" t="s">
        <v>345</v>
      </c>
      <c r="F1356">
        <v>195.39</v>
      </c>
      <c r="G1356" t="s">
        <v>916</v>
      </c>
      <c r="H1356">
        <v>10</v>
      </c>
      <c r="I1356" t="s">
        <v>2464</v>
      </c>
      <c r="J1356" t="s">
        <v>294</v>
      </c>
      <c r="M1356" t="s">
        <v>295</v>
      </c>
      <c r="N1356" t="s">
        <v>296</v>
      </c>
      <c r="O1356" t="s">
        <v>297</v>
      </c>
    </row>
    <row r="1357" spans="1:15" x14ac:dyDescent="0.3">
      <c r="A1357" t="s">
        <v>2433</v>
      </c>
      <c r="B1357" t="s">
        <v>2434</v>
      </c>
      <c r="C1357">
        <v>2022</v>
      </c>
      <c r="D1357" t="s">
        <v>300</v>
      </c>
      <c r="E1357" t="s">
        <v>1429</v>
      </c>
      <c r="F1357">
        <v>8624.009</v>
      </c>
      <c r="G1357" t="s">
        <v>302</v>
      </c>
      <c r="H1357">
        <v>11</v>
      </c>
      <c r="I1357" t="s">
        <v>2465</v>
      </c>
      <c r="J1357" t="s">
        <v>294</v>
      </c>
      <c r="M1357" t="s">
        <v>295</v>
      </c>
      <c r="N1357" t="s">
        <v>296</v>
      </c>
      <c r="O1357" t="s">
        <v>297</v>
      </c>
    </row>
    <row r="1358" spans="1:15" x14ac:dyDescent="0.3">
      <c r="A1358" t="s">
        <v>2433</v>
      </c>
      <c r="B1358" t="s">
        <v>2434</v>
      </c>
      <c r="C1358">
        <v>2022</v>
      </c>
      <c r="D1358" t="s">
        <v>300</v>
      </c>
      <c r="E1358" t="s">
        <v>1435</v>
      </c>
      <c r="F1358">
        <v>4724.9970000000003</v>
      </c>
      <c r="G1358" t="s">
        <v>302</v>
      </c>
      <c r="H1358">
        <v>11</v>
      </c>
      <c r="I1358" t="s">
        <v>2466</v>
      </c>
      <c r="J1358" t="s">
        <v>294</v>
      </c>
      <c r="M1358" t="s">
        <v>295</v>
      </c>
      <c r="N1358" t="s">
        <v>296</v>
      </c>
      <c r="O1358" t="s">
        <v>297</v>
      </c>
    </row>
    <row r="1359" spans="1:15" x14ac:dyDescent="0.3">
      <c r="A1359" t="s">
        <v>2433</v>
      </c>
      <c r="B1359" t="s">
        <v>2434</v>
      </c>
      <c r="C1359">
        <v>2022</v>
      </c>
      <c r="D1359" t="s">
        <v>300</v>
      </c>
      <c r="E1359" t="s">
        <v>1437</v>
      </c>
      <c r="F1359">
        <v>3899.0120000000002</v>
      </c>
      <c r="G1359" t="s">
        <v>302</v>
      </c>
      <c r="H1359">
        <v>11</v>
      </c>
      <c r="I1359" t="s">
        <v>2467</v>
      </c>
      <c r="J1359" t="s">
        <v>294</v>
      </c>
      <c r="M1359" t="s">
        <v>295</v>
      </c>
      <c r="N1359" t="s">
        <v>296</v>
      </c>
      <c r="O1359" t="s">
        <v>297</v>
      </c>
    </row>
    <row r="1360" spans="1:15" x14ac:dyDescent="0.3">
      <c r="A1360" t="s">
        <v>2433</v>
      </c>
      <c r="B1360" t="s">
        <v>2434</v>
      </c>
      <c r="C1360">
        <v>2022</v>
      </c>
      <c r="D1360" t="s">
        <v>300</v>
      </c>
      <c r="E1360" t="s">
        <v>1581</v>
      </c>
      <c r="F1360">
        <v>507.76799999999997</v>
      </c>
      <c r="G1360" t="s">
        <v>302</v>
      </c>
      <c r="H1360">
        <v>204</v>
      </c>
      <c r="I1360" t="s">
        <v>2468</v>
      </c>
      <c r="J1360" t="s">
        <v>294</v>
      </c>
      <c r="M1360" t="s">
        <v>295</v>
      </c>
      <c r="N1360" t="s">
        <v>296</v>
      </c>
      <c r="O1360" t="s">
        <v>297</v>
      </c>
    </row>
    <row r="1361" spans="1:15" x14ac:dyDescent="0.3">
      <c r="A1361" t="s">
        <v>2433</v>
      </c>
      <c r="B1361" t="s">
        <v>2434</v>
      </c>
      <c r="C1361">
        <v>2022</v>
      </c>
      <c r="D1361" t="s">
        <v>300</v>
      </c>
      <c r="E1361" t="s">
        <v>2469</v>
      </c>
      <c r="F1361">
        <v>427.73899999999998</v>
      </c>
      <c r="G1361" t="s">
        <v>302</v>
      </c>
      <c r="H1361">
        <v>205</v>
      </c>
      <c r="I1361" t="s">
        <v>2470</v>
      </c>
      <c r="J1361" t="s">
        <v>294</v>
      </c>
      <c r="M1361" t="s">
        <v>295</v>
      </c>
      <c r="N1361" t="s">
        <v>296</v>
      </c>
      <c r="O1361" t="s">
        <v>297</v>
      </c>
    </row>
    <row r="1362" spans="1:15" x14ac:dyDescent="0.3">
      <c r="A1362" t="s">
        <v>2433</v>
      </c>
      <c r="B1362" t="s">
        <v>2434</v>
      </c>
      <c r="C1362">
        <v>2022</v>
      </c>
      <c r="D1362" t="s">
        <v>300</v>
      </c>
      <c r="E1362" t="s">
        <v>2471</v>
      </c>
      <c r="F1362">
        <v>530.78300000000002</v>
      </c>
      <c r="G1362" t="s">
        <v>302</v>
      </c>
      <c r="H1362">
        <v>205</v>
      </c>
      <c r="I1362" t="s">
        <v>2472</v>
      </c>
      <c r="J1362" t="s">
        <v>294</v>
      </c>
      <c r="M1362" t="s">
        <v>295</v>
      </c>
      <c r="N1362" t="s">
        <v>296</v>
      </c>
      <c r="O1362" t="s">
        <v>297</v>
      </c>
    </row>
    <row r="1363" spans="1:15" x14ac:dyDescent="0.3">
      <c r="A1363" t="s">
        <v>2433</v>
      </c>
      <c r="B1363" t="s">
        <v>2434</v>
      </c>
      <c r="C1363">
        <v>2022</v>
      </c>
      <c r="D1363" t="s">
        <v>300</v>
      </c>
      <c r="E1363" t="s">
        <v>2322</v>
      </c>
      <c r="F1363">
        <v>2549.6709999999998</v>
      </c>
      <c r="G1363" t="s">
        <v>302</v>
      </c>
      <c r="H1363">
        <v>205</v>
      </c>
      <c r="I1363" t="s">
        <v>2473</v>
      </c>
      <c r="J1363" t="s">
        <v>294</v>
      </c>
      <c r="M1363" t="s">
        <v>295</v>
      </c>
      <c r="N1363" t="s">
        <v>296</v>
      </c>
      <c r="O1363" t="s">
        <v>297</v>
      </c>
    </row>
    <row r="1364" spans="1:15" x14ac:dyDescent="0.3">
      <c r="A1364" t="s">
        <v>2433</v>
      </c>
      <c r="B1364" t="s">
        <v>2434</v>
      </c>
      <c r="C1364">
        <v>2022</v>
      </c>
      <c r="D1364" t="s">
        <v>300</v>
      </c>
      <c r="E1364" t="s">
        <v>2474</v>
      </c>
      <c r="F1364">
        <v>0</v>
      </c>
      <c r="G1364" t="s">
        <v>302</v>
      </c>
      <c r="H1364">
        <v>205</v>
      </c>
      <c r="I1364" t="s">
        <v>2475</v>
      </c>
      <c r="J1364" t="s">
        <v>294</v>
      </c>
      <c r="M1364" t="s">
        <v>295</v>
      </c>
      <c r="N1364" t="s">
        <v>296</v>
      </c>
      <c r="O1364" t="s">
        <v>297</v>
      </c>
    </row>
    <row r="1365" spans="1:15" x14ac:dyDescent="0.3">
      <c r="A1365" t="s">
        <v>2433</v>
      </c>
      <c r="B1365" t="s">
        <v>2434</v>
      </c>
      <c r="C1365">
        <v>2022</v>
      </c>
      <c r="D1365" t="s">
        <v>300</v>
      </c>
      <c r="E1365" t="s">
        <v>601</v>
      </c>
      <c r="F1365">
        <v>1895.7370000000001</v>
      </c>
      <c r="G1365" t="s">
        <v>302</v>
      </c>
      <c r="H1365">
        <v>89</v>
      </c>
      <c r="I1365" t="s">
        <v>2476</v>
      </c>
      <c r="J1365" t="s">
        <v>294</v>
      </c>
      <c r="M1365" t="s">
        <v>295</v>
      </c>
      <c r="N1365" t="s">
        <v>296</v>
      </c>
      <c r="O1365" t="s">
        <v>297</v>
      </c>
    </row>
    <row r="1366" spans="1:15" x14ac:dyDescent="0.3">
      <c r="A1366" t="s">
        <v>2433</v>
      </c>
      <c r="B1366" t="s">
        <v>2434</v>
      </c>
      <c r="C1366">
        <v>2022</v>
      </c>
      <c r="D1366" t="s">
        <v>300</v>
      </c>
      <c r="E1366" t="s">
        <v>2477</v>
      </c>
      <c r="F1366">
        <v>410.97800000000001</v>
      </c>
      <c r="G1366" t="s">
        <v>302</v>
      </c>
      <c r="H1366">
        <v>209</v>
      </c>
      <c r="I1366" t="s">
        <v>2478</v>
      </c>
      <c r="J1366" t="s">
        <v>294</v>
      </c>
      <c r="M1366" t="s">
        <v>295</v>
      </c>
      <c r="N1366" t="s">
        <v>296</v>
      </c>
      <c r="O1366" t="s">
        <v>297</v>
      </c>
    </row>
    <row r="1367" spans="1:15" x14ac:dyDescent="0.3">
      <c r="A1367" t="s">
        <v>2433</v>
      </c>
      <c r="B1367" t="s">
        <v>2434</v>
      </c>
      <c r="C1367">
        <v>2022</v>
      </c>
      <c r="D1367" t="s">
        <v>300</v>
      </c>
      <c r="E1367" t="s">
        <v>2479</v>
      </c>
      <c r="F1367">
        <v>57.88</v>
      </c>
      <c r="G1367" t="s">
        <v>302</v>
      </c>
      <c r="H1367">
        <v>209</v>
      </c>
      <c r="I1367" t="s">
        <v>2480</v>
      </c>
      <c r="J1367" t="s">
        <v>294</v>
      </c>
      <c r="M1367" t="s">
        <v>295</v>
      </c>
      <c r="N1367" t="s">
        <v>296</v>
      </c>
      <c r="O1367" t="s">
        <v>297</v>
      </c>
    </row>
    <row r="1368" spans="1:15" x14ac:dyDescent="0.3">
      <c r="A1368" t="s">
        <v>2433</v>
      </c>
      <c r="B1368" t="s">
        <v>2434</v>
      </c>
      <c r="C1368">
        <v>2022</v>
      </c>
      <c r="D1368" t="s">
        <v>300</v>
      </c>
      <c r="E1368" t="s">
        <v>2481</v>
      </c>
      <c r="F1368">
        <v>736.55799999999999</v>
      </c>
      <c r="G1368" t="s">
        <v>302</v>
      </c>
      <c r="H1368">
        <v>210</v>
      </c>
      <c r="I1368" t="s">
        <v>2482</v>
      </c>
      <c r="J1368" t="s">
        <v>294</v>
      </c>
      <c r="M1368" t="s">
        <v>295</v>
      </c>
      <c r="N1368" t="s">
        <v>296</v>
      </c>
      <c r="O1368" t="s">
        <v>297</v>
      </c>
    </row>
    <row r="1369" spans="1:15" x14ac:dyDescent="0.3">
      <c r="A1369" t="s">
        <v>2433</v>
      </c>
      <c r="B1369" t="s">
        <v>2434</v>
      </c>
      <c r="C1369">
        <v>2022</v>
      </c>
      <c r="D1369" t="s">
        <v>300</v>
      </c>
      <c r="E1369" t="s">
        <v>2483</v>
      </c>
      <c r="F1369">
        <v>650.73800000000006</v>
      </c>
      <c r="G1369" t="s">
        <v>302</v>
      </c>
      <c r="H1369">
        <v>210</v>
      </c>
      <c r="I1369" t="s">
        <v>2484</v>
      </c>
      <c r="J1369" t="s">
        <v>294</v>
      </c>
      <c r="M1369" t="s">
        <v>295</v>
      </c>
      <c r="N1369" t="s">
        <v>296</v>
      </c>
      <c r="O1369" t="s">
        <v>297</v>
      </c>
    </row>
    <row r="1370" spans="1:15" x14ac:dyDescent="0.3">
      <c r="A1370" t="s">
        <v>2433</v>
      </c>
      <c r="B1370" t="s">
        <v>2434</v>
      </c>
      <c r="C1370">
        <v>2022</v>
      </c>
      <c r="D1370" t="s">
        <v>300</v>
      </c>
      <c r="E1370" t="s">
        <v>2485</v>
      </c>
      <c r="F1370">
        <v>507.53</v>
      </c>
      <c r="G1370" t="s">
        <v>302</v>
      </c>
      <c r="H1370">
        <v>209</v>
      </c>
      <c r="I1370" t="s">
        <v>2486</v>
      </c>
      <c r="J1370" t="s">
        <v>294</v>
      </c>
      <c r="M1370" t="s">
        <v>295</v>
      </c>
      <c r="N1370" t="s">
        <v>296</v>
      </c>
      <c r="O1370" t="s">
        <v>297</v>
      </c>
    </row>
    <row r="1371" spans="1:15" x14ac:dyDescent="0.3">
      <c r="A1371" t="s">
        <v>2433</v>
      </c>
      <c r="B1371" t="s">
        <v>2434</v>
      </c>
      <c r="C1371">
        <v>2022</v>
      </c>
      <c r="D1371" t="s">
        <v>300</v>
      </c>
      <c r="E1371" t="s">
        <v>1990</v>
      </c>
      <c r="F1371">
        <v>4300</v>
      </c>
      <c r="G1371" t="s">
        <v>912</v>
      </c>
      <c r="H1371">
        <v>16</v>
      </c>
      <c r="I1371" t="s">
        <v>2487</v>
      </c>
      <c r="J1371" t="s">
        <v>294</v>
      </c>
      <c r="M1371" t="s">
        <v>295</v>
      </c>
      <c r="N1371" t="s">
        <v>296</v>
      </c>
      <c r="O1371" t="s">
        <v>297</v>
      </c>
    </row>
    <row r="1372" spans="1:15" x14ac:dyDescent="0.3">
      <c r="A1372" t="s">
        <v>2433</v>
      </c>
      <c r="B1372" t="s">
        <v>2434</v>
      </c>
      <c r="C1372">
        <v>2022</v>
      </c>
      <c r="D1372" t="s">
        <v>300</v>
      </c>
      <c r="E1372" t="s">
        <v>2488</v>
      </c>
      <c r="F1372">
        <v>15606</v>
      </c>
      <c r="G1372" t="s">
        <v>302</v>
      </c>
      <c r="H1372">
        <v>16</v>
      </c>
      <c r="I1372" t="s">
        <v>2489</v>
      </c>
      <c r="J1372" t="s">
        <v>294</v>
      </c>
      <c r="M1372" t="s">
        <v>295</v>
      </c>
      <c r="N1372" t="s">
        <v>296</v>
      </c>
      <c r="O1372" t="s">
        <v>297</v>
      </c>
    </row>
    <row r="1373" spans="1:15" x14ac:dyDescent="0.3">
      <c r="A1373" t="s">
        <v>2433</v>
      </c>
      <c r="B1373" t="s">
        <v>2434</v>
      </c>
      <c r="C1373">
        <v>2022</v>
      </c>
      <c r="D1373" t="s">
        <v>358</v>
      </c>
      <c r="E1373" t="s">
        <v>1465</v>
      </c>
      <c r="F1373">
        <v>88752</v>
      </c>
      <c r="G1373" t="s">
        <v>360</v>
      </c>
      <c r="H1373">
        <v>4</v>
      </c>
      <c r="I1373" t="s">
        <v>2490</v>
      </c>
      <c r="J1373" t="s">
        <v>294</v>
      </c>
      <c r="M1373" t="s">
        <v>295</v>
      </c>
      <c r="N1373" t="s">
        <v>296</v>
      </c>
      <c r="O1373" t="s">
        <v>297</v>
      </c>
    </row>
    <row r="1374" spans="1:15" x14ac:dyDescent="0.3">
      <c r="A1374" t="s">
        <v>2433</v>
      </c>
      <c r="B1374" t="s">
        <v>2434</v>
      </c>
      <c r="C1374">
        <v>2022</v>
      </c>
      <c r="D1374" t="s">
        <v>358</v>
      </c>
      <c r="E1374" t="s">
        <v>2491</v>
      </c>
      <c r="F1374">
        <v>110000</v>
      </c>
      <c r="G1374" t="s">
        <v>360</v>
      </c>
      <c r="H1374">
        <v>4</v>
      </c>
      <c r="I1374" t="s">
        <v>2492</v>
      </c>
      <c r="J1374" t="s">
        <v>294</v>
      </c>
      <c r="M1374" t="s">
        <v>295</v>
      </c>
      <c r="N1374" t="s">
        <v>296</v>
      </c>
      <c r="O1374" t="s">
        <v>297</v>
      </c>
    </row>
    <row r="1375" spans="1:15" x14ac:dyDescent="0.3">
      <c r="A1375" t="s">
        <v>2433</v>
      </c>
      <c r="B1375" t="s">
        <v>2434</v>
      </c>
      <c r="C1375">
        <v>2022</v>
      </c>
      <c r="D1375" t="s">
        <v>358</v>
      </c>
      <c r="E1375" t="s">
        <v>1467</v>
      </c>
      <c r="F1375">
        <v>82624</v>
      </c>
      <c r="G1375" t="s">
        <v>360</v>
      </c>
      <c r="H1375">
        <v>4</v>
      </c>
      <c r="I1375" t="s">
        <v>2493</v>
      </c>
      <c r="J1375" t="s">
        <v>294</v>
      </c>
      <c r="M1375" t="s">
        <v>295</v>
      </c>
      <c r="N1375" t="s">
        <v>296</v>
      </c>
      <c r="O1375" t="s">
        <v>297</v>
      </c>
    </row>
    <row r="1376" spans="1:15" x14ac:dyDescent="0.3">
      <c r="A1376" t="s">
        <v>2433</v>
      </c>
      <c r="B1376" t="s">
        <v>2434</v>
      </c>
      <c r="C1376">
        <v>2022</v>
      </c>
      <c r="D1376" t="s">
        <v>358</v>
      </c>
      <c r="E1376" t="s">
        <v>1996</v>
      </c>
      <c r="F1376">
        <v>6128</v>
      </c>
      <c r="G1376" t="s">
        <v>360</v>
      </c>
      <c r="H1376">
        <v>4</v>
      </c>
      <c r="I1376" t="s">
        <v>2494</v>
      </c>
      <c r="J1376" t="s">
        <v>294</v>
      </c>
      <c r="M1376" t="s">
        <v>295</v>
      </c>
      <c r="N1376" t="s">
        <v>296</v>
      </c>
      <c r="O1376" t="s">
        <v>297</v>
      </c>
    </row>
    <row r="1377" spans="1:15" x14ac:dyDescent="0.3">
      <c r="A1377" t="s">
        <v>2433</v>
      </c>
      <c r="B1377" t="s">
        <v>2434</v>
      </c>
      <c r="C1377">
        <v>2022</v>
      </c>
      <c r="D1377" t="s">
        <v>358</v>
      </c>
      <c r="E1377" t="s">
        <v>2339</v>
      </c>
      <c r="F1377">
        <v>11</v>
      </c>
      <c r="G1377" t="s">
        <v>375</v>
      </c>
      <c r="H1377">
        <v>4</v>
      </c>
      <c r="I1377" t="s">
        <v>2495</v>
      </c>
      <c r="J1377" t="s">
        <v>294</v>
      </c>
      <c r="M1377" t="s">
        <v>295</v>
      </c>
      <c r="N1377" t="s">
        <v>296</v>
      </c>
      <c r="O1377" t="s">
        <v>297</v>
      </c>
    </row>
    <row r="1378" spans="1:15" x14ac:dyDescent="0.3">
      <c r="A1378" t="s">
        <v>2433</v>
      </c>
      <c r="B1378" t="s">
        <v>2434</v>
      </c>
      <c r="C1378">
        <v>2022</v>
      </c>
      <c r="D1378" t="s">
        <v>358</v>
      </c>
      <c r="E1378" t="s">
        <v>2496</v>
      </c>
      <c r="F1378">
        <v>50066</v>
      </c>
      <c r="G1378" t="s">
        <v>360</v>
      </c>
      <c r="H1378">
        <v>50</v>
      </c>
      <c r="I1378" t="s">
        <v>2497</v>
      </c>
      <c r="J1378" t="s">
        <v>294</v>
      </c>
      <c r="M1378" t="s">
        <v>295</v>
      </c>
      <c r="N1378" t="s">
        <v>296</v>
      </c>
      <c r="O1378" t="s">
        <v>297</v>
      </c>
    </row>
    <row r="1379" spans="1:15" x14ac:dyDescent="0.3">
      <c r="A1379" t="s">
        <v>2433</v>
      </c>
      <c r="B1379" t="s">
        <v>2434</v>
      </c>
      <c r="C1379">
        <v>2022</v>
      </c>
      <c r="D1379" t="s">
        <v>358</v>
      </c>
      <c r="E1379" t="s">
        <v>2498</v>
      </c>
      <c r="F1379">
        <v>35354</v>
      </c>
      <c r="G1379" t="s">
        <v>360</v>
      </c>
      <c r="H1379">
        <v>51</v>
      </c>
      <c r="I1379" t="s">
        <v>2499</v>
      </c>
      <c r="J1379" t="s">
        <v>294</v>
      </c>
      <c r="M1379" t="s">
        <v>295</v>
      </c>
      <c r="N1379" t="s">
        <v>296</v>
      </c>
      <c r="O1379" t="s">
        <v>297</v>
      </c>
    </row>
    <row r="1380" spans="1:15" x14ac:dyDescent="0.3">
      <c r="A1380" t="s">
        <v>2433</v>
      </c>
      <c r="B1380" t="s">
        <v>2434</v>
      </c>
      <c r="C1380">
        <v>2022</v>
      </c>
      <c r="D1380" t="s">
        <v>358</v>
      </c>
      <c r="E1380" t="s">
        <v>2500</v>
      </c>
      <c r="F1380">
        <v>3332</v>
      </c>
      <c r="G1380" t="s">
        <v>360</v>
      </c>
      <c r="H1380">
        <v>50</v>
      </c>
      <c r="I1380" t="s">
        <v>2501</v>
      </c>
      <c r="J1380" t="s">
        <v>294</v>
      </c>
      <c r="M1380" t="s">
        <v>295</v>
      </c>
      <c r="N1380" t="s">
        <v>296</v>
      </c>
      <c r="O1380" t="s">
        <v>297</v>
      </c>
    </row>
    <row r="1381" spans="1:15" x14ac:dyDescent="0.3">
      <c r="A1381" t="s">
        <v>2433</v>
      </c>
      <c r="B1381" t="s">
        <v>2434</v>
      </c>
      <c r="C1381">
        <v>2022</v>
      </c>
      <c r="D1381" t="s">
        <v>358</v>
      </c>
      <c r="E1381" t="s">
        <v>2502</v>
      </c>
      <c r="F1381">
        <v>5</v>
      </c>
      <c r="G1381" t="s">
        <v>2253</v>
      </c>
      <c r="H1381">
        <v>50</v>
      </c>
      <c r="I1381" t="s">
        <v>2503</v>
      </c>
      <c r="J1381" t="s">
        <v>294</v>
      </c>
      <c r="M1381" t="s">
        <v>295</v>
      </c>
      <c r="N1381" t="s">
        <v>296</v>
      </c>
      <c r="O1381" t="s">
        <v>297</v>
      </c>
    </row>
    <row r="1382" spans="1:15" x14ac:dyDescent="0.3">
      <c r="A1382" t="s">
        <v>2433</v>
      </c>
      <c r="B1382" t="s">
        <v>2434</v>
      </c>
      <c r="C1382">
        <v>2022</v>
      </c>
      <c r="D1382" t="s">
        <v>358</v>
      </c>
      <c r="E1382" t="s">
        <v>2504</v>
      </c>
      <c r="F1382">
        <v>1</v>
      </c>
      <c r="G1382" t="s">
        <v>2505</v>
      </c>
      <c r="H1382">
        <v>50</v>
      </c>
      <c r="I1382" t="s">
        <v>2506</v>
      </c>
      <c r="J1382" t="s">
        <v>294</v>
      </c>
      <c r="M1382" t="s">
        <v>295</v>
      </c>
      <c r="N1382" t="s">
        <v>296</v>
      </c>
      <c r="O1382" t="s">
        <v>297</v>
      </c>
    </row>
    <row r="1383" spans="1:15" x14ac:dyDescent="0.3">
      <c r="A1383" t="s">
        <v>2433</v>
      </c>
      <c r="B1383" t="s">
        <v>2434</v>
      </c>
      <c r="C1383">
        <v>2022</v>
      </c>
      <c r="D1383" t="s">
        <v>358</v>
      </c>
      <c r="E1383" t="s">
        <v>2507</v>
      </c>
      <c r="F1383">
        <v>9</v>
      </c>
      <c r="G1383" t="s">
        <v>2508</v>
      </c>
      <c r="H1383">
        <v>50</v>
      </c>
      <c r="I1383" t="s">
        <v>2509</v>
      </c>
      <c r="J1383" t="s">
        <v>294</v>
      </c>
      <c r="M1383" t="s">
        <v>295</v>
      </c>
      <c r="N1383" t="s">
        <v>296</v>
      </c>
      <c r="O1383" t="s">
        <v>297</v>
      </c>
    </row>
    <row r="1384" spans="1:15" x14ac:dyDescent="0.3">
      <c r="A1384" t="s">
        <v>2433</v>
      </c>
      <c r="B1384" t="s">
        <v>2434</v>
      </c>
      <c r="C1384">
        <v>2022</v>
      </c>
      <c r="D1384" t="s">
        <v>394</v>
      </c>
      <c r="E1384" t="s">
        <v>1543</v>
      </c>
      <c r="F1384">
        <v>1202008</v>
      </c>
      <c r="G1384" t="s">
        <v>1453</v>
      </c>
      <c r="H1384">
        <v>14</v>
      </c>
      <c r="I1384" t="s">
        <v>2510</v>
      </c>
      <c r="J1384" t="s">
        <v>294</v>
      </c>
      <c r="M1384" t="s">
        <v>295</v>
      </c>
      <c r="N1384" t="s">
        <v>296</v>
      </c>
      <c r="O1384" t="s">
        <v>297</v>
      </c>
    </row>
    <row r="1385" spans="1:15" x14ac:dyDescent="0.3">
      <c r="A1385" t="s">
        <v>2433</v>
      </c>
      <c r="B1385" t="s">
        <v>2434</v>
      </c>
      <c r="C1385">
        <v>2022</v>
      </c>
      <c r="D1385" t="s">
        <v>394</v>
      </c>
      <c r="E1385" t="s">
        <v>1452</v>
      </c>
      <c r="F1385">
        <v>277058</v>
      </c>
      <c r="G1385" t="s">
        <v>1453</v>
      </c>
      <c r="H1385">
        <v>14</v>
      </c>
      <c r="I1385" t="s">
        <v>2511</v>
      </c>
      <c r="J1385" t="s">
        <v>294</v>
      </c>
      <c r="M1385" t="s">
        <v>295</v>
      </c>
      <c r="N1385" t="s">
        <v>296</v>
      </c>
      <c r="O1385" t="s">
        <v>297</v>
      </c>
    </row>
    <row r="1386" spans="1:15" x14ac:dyDescent="0.3">
      <c r="A1386" t="s">
        <v>2433</v>
      </c>
      <c r="B1386" t="s">
        <v>2434</v>
      </c>
      <c r="C1386">
        <v>2022</v>
      </c>
      <c r="D1386" t="s">
        <v>394</v>
      </c>
      <c r="E1386" t="s">
        <v>1455</v>
      </c>
      <c r="F1386">
        <v>48192</v>
      </c>
      <c r="G1386" t="s">
        <v>1453</v>
      </c>
      <c r="H1386">
        <v>14</v>
      </c>
      <c r="I1386" t="s">
        <v>2512</v>
      </c>
      <c r="J1386" t="s">
        <v>294</v>
      </c>
      <c r="M1386" t="s">
        <v>295</v>
      </c>
      <c r="N1386" t="s">
        <v>296</v>
      </c>
      <c r="O1386" t="s">
        <v>297</v>
      </c>
    </row>
    <row r="1387" spans="1:15" x14ac:dyDescent="0.3">
      <c r="A1387" t="s">
        <v>2433</v>
      </c>
      <c r="B1387" t="s">
        <v>2434</v>
      </c>
      <c r="C1387">
        <v>2022</v>
      </c>
      <c r="D1387" t="s">
        <v>394</v>
      </c>
      <c r="E1387" t="s">
        <v>2272</v>
      </c>
      <c r="F1387">
        <v>11106</v>
      </c>
      <c r="G1387" t="s">
        <v>1453</v>
      </c>
      <c r="H1387">
        <v>14</v>
      </c>
      <c r="I1387" t="s">
        <v>2513</v>
      </c>
      <c r="J1387" t="s">
        <v>294</v>
      </c>
      <c r="M1387" t="s">
        <v>295</v>
      </c>
      <c r="N1387" t="s">
        <v>296</v>
      </c>
      <c r="O1387" t="s">
        <v>297</v>
      </c>
    </row>
    <row r="1388" spans="1:15" x14ac:dyDescent="0.3">
      <c r="A1388" t="s">
        <v>2433</v>
      </c>
      <c r="B1388" t="s">
        <v>2434</v>
      </c>
      <c r="C1388">
        <v>2022</v>
      </c>
      <c r="D1388" t="s">
        <v>394</v>
      </c>
      <c r="E1388" t="s">
        <v>2514</v>
      </c>
      <c r="F1388">
        <v>12433</v>
      </c>
      <c r="G1388" t="s">
        <v>1453</v>
      </c>
      <c r="H1388">
        <v>15</v>
      </c>
      <c r="I1388" t="s">
        <v>2515</v>
      </c>
      <c r="J1388" t="s">
        <v>294</v>
      </c>
      <c r="M1388" t="s">
        <v>295</v>
      </c>
      <c r="N1388" t="s">
        <v>296</v>
      </c>
      <c r="O1388" t="s">
        <v>297</v>
      </c>
    </row>
    <row r="1389" spans="1:15" x14ac:dyDescent="0.3">
      <c r="A1389" t="s">
        <v>2433</v>
      </c>
      <c r="B1389" t="s">
        <v>2434</v>
      </c>
      <c r="C1389">
        <v>2022</v>
      </c>
      <c r="D1389" t="s">
        <v>394</v>
      </c>
      <c r="E1389" t="s">
        <v>2107</v>
      </c>
      <c r="F1389">
        <v>14.55</v>
      </c>
      <c r="G1389" t="s">
        <v>2022</v>
      </c>
      <c r="H1389">
        <v>14</v>
      </c>
      <c r="I1389" t="s">
        <v>2516</v>
      </c>
      <c r="J1389" t="s">
        <v>294</v>
      </c>
      <c r="M1389" t="s">
        <v>295</v>
      </c>
      <c r="N1389" t="s">
        <v>296</v>
      </c>
      <c r="O1389" t="s">
        <v>297</v>
      </c>
    </row>
    <row r="1390" spans="1:15" x14ac:dyDescent="0.3">
      <c r="A1390" t="s">
        <v>2433</v>
      </c>
      <c r="B1390" t="s">
        <v>2434</v>
      </c>
      <c r="C1390">
        <v>2022</v>
      </c>
      <c r="D1390" t="s">
        <v>394</v>
      </c>
      <c r="E1390" t="s">
        <v>2517</v>
      </c>
      <c r="F1390">
        <v>3.35</v>
      </c>
      <c r="G1390" t="s">
        <v>2022</v>
      </c>
      <c r="H1390">
        <v>14</v>
      </c>
      <c r="I1390" t="s">
        <v>2518</v>
      </c>
      <c r="J1390" t="s">
        <v>294</v>
      </c>
      <c r="M1390" t="s">
        <v>295</v>
      </c>
      <c r="N1390" t="s">
        <v>296</v>
      </c>
      <c r="O1390" t="s">
        <v>297</v>
      </c>
    </row>
    <row r="1391" spans="1:15" x14ac:dyDescent="0.3">
      <c r="A1391" t="s">
        <v>2433</v>
      </c>
      <c r="B1391" t="s">
        <v>2434</v>
      </c>
      <c r="C1391">
        <v>2022</v>
      </c>
      <c r="D1391" t="s">
        <v>394</v>
      </c>
      <c r="E1391" t="s">
        <v>2519</v>
      </c>
      <c r="F1391">
        <v>303021</v>
      </c>
      <c r="G1391" t="s">
        <v>1453</v>
      </c>
      <c r="H1391">
        <v>14</v>
      </c>
      <c r="I1391" t="s">
        <v>2520</v>
      </c>
      <c r="J1391" t="s">
        <v>294</v>
      </c>
      <c r="M1391" t="s">
        <v>295</v>
      </c>
      <c r="N1391" t="s">
        <v>296</v>
      </c>
      <c r="O1391" t="s">
        <v>297</v>
      </c>
    </row>
    <row r="1392" spans="1:15" x14ac:dyDescent="0.3">
      <c r="A1392" t="s">
        <v>2433</v>
      </c>
      <c r="B1392" t="s">
        <v>2434</v>
      </c>
      <c r="C1392">
        <v>2022</v>
      </c>
      <c r="D1392" t="s">
        <v>394</v>
      </c>
      <c r="E1392" t="s">
        <v>2101</v>
      </c>
      <c r="F1392">
        <v>290111</v>
      </c>
      <c r="G1392" t="s">
        <v>1453</v>
      </c>
      <c r="H1392">
        <v>15</v>
      </c>
      <c r="I1392" t="s">
        <v>2521</v>
      </c>
      <c r="J1392" t="s">
        <v>294</v>
      </c>
      <c r="M1392" t="s">
        <v>295</v>
      </c>
      <c r="N1392" t="s">
        <v>296</v>
      </c>
      <c r="O1392" t="s">
        <v>297</v>
      </c>
    </row>
    <row r="1393" spans="1:15" x14ac:dyDescent="0.3">
      <c r="A1393" t="s">
        <v>2433</v>
      </c>
      <c r="B1393" t="s">
        <v>2434</v>
      </c>
      <c r="C1393">
        <v>2022</v>
      </c>
      <c r="D1393" t="s">
        <v>394</v>
      </c>
      <c r="E1393" t="s">
        <v>2522</v>
      </c>
      <c r="F1393">
        <v>35032</v>
      </c>
      <c r="G1393" t="s">
        <v>1453</v>
      </c>
      <c r="H1393">
        <v>15</v>
      </c>
      <c r="I1393" t="s">
        <v>2523</v>
      </c>
      <c r="J1393" t="s">
        <v>294</v>
      </c>
      <c r="M1393" t="s">
        <v>295</v>
      </c>
      <c r="N1393" t="s">
        <v>296</v>
      </c>
      <c r="O1393" t="s">
        <v>297</v>
      </c>
    </row>
    <row r="1394" spans="1:15" x14ac:dyDescent="0.3">
      <c r="A1394" t="s">
        <v>2433</v>
      </c>
      <c r="B1394" t="s">
        <v>2434</v>
      </c>
      <c r="C1394">
        <v>2022</v>
      </c>
      <c r="D1394" t="s">
        <v>394</v>
      </c>
      <c r="E1394" t="s">
        <v>2524</v>
      </c>
      <c r="F1394">
        <v>12209</v>
      </c>
      <c r="G1394" t="s">
        <v>1453</v>
      </c>
      <c r="H1394">
        <v>15</v>
      </c>
      <c r="I1394" t="s">
        <v>2525</v>
      </c>
      <c r="J1394" t="s">
        <v>294</v>
      </c>
      <c r="M1394" t="s">
        <v>295</v>
      </c>
      <c r="N1394" t="s">
        <v>296</v>
      </c>
      <c r="O1394" t="s">
        <v>297</v>
      </c>
    </row>
    <row r="1395" spans="1:15" x14ac:dyDescent="0.3">
      <c r="A1395" t="s">
        <v>2433</v>
      </c>
      <c r="B1395" t="s">
        <v>2434</v>
      </c>
      <c r="C1395">
        <v>2022</v>
      </c>
      <c r="D1395" t="s">
        <v>394</v>
      </c>
      <c r="E1395" t="s">
        <v>2526</v>
      </c>
      <c r="F1395">
        <v>14859</v>
      </c>
      <c r="G1395" t="s">
        <v>1453</v>
      </c>
      <c r="H1395">
        <v>15</v>
      </c>
      <c r="I1395" t="s">
        <v>2527</v>
      </c>
      <c r="J1395" t="s">
        <v>294</v>
      </c>
      <c r="M1395" t="s">
        <v>295</v>
      </c>
      <c r="N1395" t="s">
        <v>296</v>
      </c>
      <c r="O1395" t="s">
        <v>297</v>
      </c>
    </row>
    <row r="1396" spans="1:15" x14ac:dyDescent="0.3">
      <c r="A1396" t="s">
        <v>2433</v>
      </c>
      <c r="B1396" t="s">
        <v>2434</v>
      </c>
      <c r="C1396">
        <v>2022</v>
      </c>
      <c r="D1396" t="s">
        <v>563</v>
      </c>
      <c r="E1396" t="s">
        <v>2528</v>
      </c>
      <c r="F1396">
        <v>2019</v>
      </c>
      <c r="G1396" t="s">
        <v>299</v>
      </c>
      <c r="H1396">
        <v>46</v>
      </c>
      <c r="I1396" t="s">
        <v>2529</v>
      </c>
      <c r="J1396" t="s">
        <v>294</v>
      </c>
      <c r="M1396" t="s">
        <v>295</v>
      </c>
      <c r="N1396" t="s">
        <v>296</v>
      </c>
      <c r="O1396" t="s">
        <v>297</v>
      </c>
    </row>
    <row r="1397" spans="1:15" x14ac:dyDescent="0.3">
      <c r="A1397" t="s">
        <v>2433</v>
      </c>
      <c r="B1397" t="s">
        <v>2434</v>
      </c>
      <c r="C1397">
        <v>2022</v>
      </c>
      <c r="D1397" t="s">
        <v>563</v>
      </c>
      <c r="E1397" t="s">
        <v>2530</v>
      </c>
      <c r="F1397">
        <v>3</v>
      </c>
      <c r="G1397" t="s">
        <v>2531</v>
      </c>
      <c r="H1397">
        <v>18</v>
      </c>
      <c r="I1397" t="s">
        <v>2532</v>
      </c>
      <c r="J1397" t="s">
        <v>294</v>
      </c>
      <c r="M1397" t="s">
        <v>295</v>
      </c>
      <c r="N1397" t="s">
        <v>296</v>
      </c>
      <c r="O1397" t="s">
        <v>297</v>
      </c>
    </row>
    <row r="1398" spans="1:15" x14ac:dyDescent="0.3">
      <c r="A1398" t="s">
        <v>2433</v>
      </c>
      <c r="B1398" t="s">
        <v>2533</v>
      </c>
      <c r="C1398">
        <v>2023</v>
      </c>
      <c r="D1398" t="s">
        <v>272</v>
      </c>
      <c r="E1398" t="s">
        <v>2191</v>
      </c>
      <c r="F1398" t="s">
        <v>2433</v>
      </c>
      <c r="G1398" t="s">
        <v>2192</v>
      </c>
      <c r="H1398">
        <v>1</v>
      </c>
      <c r="I1398" t="s">
        <v>2433</v>
      </c>
      <c r="J1398" t="s">
        <v>294</v>
      </c>
      <c r="M1398" t="s">
        <v>295</v>
      </c>
      <c r="N1398" t="s">
        <v>296</v>
      </c>
      <c r="O1398" t="s">
        <v>297</v>
      </c>
    </row>
    <row r="1399" spans="1:15" x14ac:dyDescent="0.3">
      <c r="A1399" t="s">
        <v>2433</v>
      </c>
      <c r="B1399" t="s">
        <v>2533</v>
      </c>
      <c r="C1399">
        <v>2023</v>
      </c>
      <c r="D1399" t="s">
        <v>272</v>
      </c>
      <c r="E1399" t="s">
        <v>2534</v>
      </c>
      <c r="F1399">
        <v>0.75790000000000002</v>
      </c>
      <c r="G1399" t="s">
        <v>2202</v>
      </c>
      <c r="H1399">
        <v>68</v>
      </c>
      <c r="I1399" t="s">
        <v>2535</v>
      </c>
      <c r="J1399" t="s">
        <v>294</v>
      </c>
      <c r="M1399" t="s">
        <v>295</v>
      </c>
      <c r="N1399" t="s">
        <v>296</v>
      </c>
      <c r="O1399" t="s">
        <v>297</v>
      </c>
    </row>
    <row r="1400" spans="1:15" x14ac:dyDescent="0.3">
      <c r="A1400" t="s">
        <v>2433</v>
      </c>
      <c r="B1400" t="s">
        <v>2533</v>
      </c>
      <c r="C1400">
        <v>2023</v>
      </c>
      <c r="D1400" t="s">
        <v>272</v>
      </c>
      <c r="E1400" t="s">
        <v>2536</v>
      </c>
      <c r="F1400">
        <v>6.59E-2</v>
      </c>
      <c r="G1400" t="s">
        <v>2202</v>
      </c>
      <c r="H1400">
        <v>68</v>
      </c>
      <c r="I1400" t="s">
        <v>2537</v>
      </c>
      <c r="J1400" t="s">
        <v>294</v>
      </c>
      <c r="M1400" t="s">
        <v>295</v>
      </c>
      <c r="N1400" t="s">
        <v>296</v>
      </c>
      <c r="O1400" t="s">
        <v>297</v>
      </c>
    </row>
    <row r="1401" spans="1:15" x14ac:dyDescent="0.3">
      <c r="A1401" t="s">
        <v>2433</v>
      </c>
      <c r="B1401" t="s">
        <v>2533</v>
      </c>
      <c r="C1401">
        <v>2023</v>
      </c>
      <c r="D1401" t="s">
        <v>272</v>
      </c>
      <c r="E1401" t="s">
        <v>2538</v>
      </c>
      <c r="F1401">
        <v>0.1762</v>
      </c>
      <c r="G1401" t="s">
        <v>2202</v>
      </c>
      <c r="H1401">
        <v>68</v>
      </c>
      <c r="I1401" t="s">
        <v>2539</v>
      </c>
      <c r="J1401" t="s">
        <v>294</v>
      </c>
      <c r="M1401" t="s">
        <v>295</v>
      </c>
      <c r="N1401" t="s">
        <v>296</v>
      </c>
      <c r="O1401" t="s">
        <v>297</v>
      </c>
    </row>
    <row r="1402" spans="1:15" x14ac:dyDescent="0.3">
      <c r="A1402" t="s">
        <v>2433</v>
      </c>
      <c r="B1402" t="s">
        <v>2533</v>
      </c>
      <c r="C1402">
        <v>2023</v>
      </c>
      <c r="D1402" t="s">
        <v>272</v>
      </c>
      <c r="E1402" t="s">
        <v>1395</v>
      </c>
      <c r="F1402">
        <v>3629411800</v>
      </c>
      <c r="G1402" t="s">
        <v>1633</v>
      </c>
      <c r="H1402">
        <v>199</v>
      </c>
      <c r="I1402" t="s">
        <v>2540</v>
      </c>
      <c r="J1402" t="s">
        <v>294</v>
      </c>
      <c r="M1402" t="s">
        <v>295</v>
      </c>
      <c r="N1402" t="s">
        <v>296</v>
      </c>
      <c r="O1402" t="s">
        <v>297</v>
      </c>
    </row>
    <row r="1403" spans="1:15" x14ac:dyDescent="0.3">
      <c r="A1403" t="s">
        <v>2433</v>
      </c>
      <c r="B1403" t="s">
        <v>2533</v>
      </c>
      <c r="C1403">
        <v>2023</v>
      </c>
      <c r="D1403" t="s">
        <v>300</v>
      </c>
      <c r="E1403" t="s">
        <v>2447</v>
      </c>
      <c r="F1403">
        <v>5062.2439999999997</v>
      </c>
      <c r="G1403" t="s">
        <v>302</v>
      </c>
      <c r="H1403">
        <v>10</v>
      </c>
      <c r="I1403" t="s">
        <v>2541</v>
      </c>
      <c r="J1403" t="s">
        <v>294</v>
      </c>
      <c r="M1403" t="s">
        <v>295</v>
      </c>
      <c r="N1403" t="s">
        <v>296</v>
      </c>
      <c r="O1403" t="s">
        <v>297</v>
      </c>
    </row>
    <row r="1404" spans="1:15" x14ac:dyDescent="0.3">
      <c r="A1404" t="s">
        <v>2433</v>
      </c>
      <c r="B1404" t="s">
        <v>2533</v>
      </c>
      <c r="C1404">
        <v>2023</v>
      </c>
      <c r="D1404" t="s">
        <v>300</v>
      </c>
      <c r="E1404" t="s">
        <v>1109</v>
      </c>
      <c r="F1404">
        <v>4229.33</v>
      </c>
      <c r="G1404" t="s">
        <v>302</v>
      </c>
      <c r="H1404">
        <v>10</v>
      </c>
      <c r="I1404" t="s">
        <v>2542</v>
      </c>
      <c r="J1404" t="s">
        <v>294</v>
      </c>
      <c r="M1404" t="s">
        <v>295</v>
      </c>
      <c r="N1404" t="s">
        <v>296</v>
      </c>
      <c r="O1404" t="s">
        <v>297</v>
      </c>
    </row>
    <row r="1405" spans="1:15" x14ac:dyDescent="0.3">
      <c r="A1405" t="s">
        <v>2433</v>
      </c>
      <c r="B1405" t="s">
        <v>2533</v>
      </c>
      <c r="C1405">
        <v>2023</v>
      </c>
      <c r="D1405" t="s">
        <v>300</v>
      </c>
      <c r="E1405" t="s">
        <v>1415</v>
      </c>
      <c r="F1405">
        <v>832.91399999999999</v>
      </c>
      <c r="G1405" t="s">
        <v>302</v>
      </c>
      <c r="H1405">
        <v>10</v>
      </c>
      <c r="I1405" t="s">
        <v>2543</v>
      </c>
      <c r="J1405" t="s">
        <v>294</v>
      </c>
      <c r="M1405" t="s">
        <v>295</v>
      </c>
      <c r="N1405" t="s">
        <v>296</v>
      </c>
      <c r="O1405" t="s">
        <v>297</v>
      </c>
    </row>
    <row r="1406" spans="1:15" x14ac:dyDescent="0.3">
      <c r="A1406" t="s">
        <v>2433</v>
      </c>
      <c r="B1406" t="s">
        <v>2533</v>
      </c>
      <c r="C1406">
        <v>2023</v>
      </c>
      <c r="D1406" t="s">
        <v>300</v>
      </c>
      <c r="E1406" t="s">
        <v>1417</v>
      </c>
      <c r="F1406">
        <v>379.31900000000002</v>
      </c>
      <c r="G1406" t="s">
        <v>302</v>
      </c>
      <c r="H1406">
        <v>10</v>
      </c>
      <c r="I1406" t="s">
        <v>2544</v>
      </c>
      <c r="J1406" t="s">
        <v>294</v>
      </c>
      <c r="M1406" t="s">
        <v>295</v>
      </c>
      <c r="N1406" t="s">
        <v>296</v>
      </c>
      <c r="O1406" t="s">
        <v>297</v>
      </c>
    </row>
    <row r="1407" spans="1:15" x14ac:dyDescent="0.3">
      <c r="A1407" t="s">
        <v>2433</v>
      </c>
      <c r="B1407" t="s">
        <v>2533</v>
      </c>
      <c r="C1407">
        <v>2023</v>
      </c>
      <c r="D1407" t="s">
        <v>300</v>
      </c>
      <c r="E1407" t="s">
        <v>1571</v>
      </c>
      <c r="F1407">
        <v>249.852</v>
      </c>
      <c r="G1407" t="s">
        <v>302</v>
      </c>
      <c r="H1407">
        <v>10</v>
      </c>
      <c r="I1407" t="s">
        <v>2545</v>
      </c>
      <c r="J1407" t="s">
        <v>294</v>
      </c>
      <c r="M1407" t="s">
        <v>295</v>
      </c>
      <c r="N1407" t="s">
        <v>296</v>
      </c>
      <c r="O1407" t="s">
        <v>297</v>
      </c>
    </row>
    <row r="1408" spans="1:15" x14ac:dyDescent="0.3">
      <c r="A1408" t="s">
        <v>2433</v>
      </c>
      <c r="B1408" t="s">
        <v>2533</v>
      </c>
      <c r="C1408">
        <v>2023</v>
      </c>
      <c r="D1408" t="s">
        <v>300</v>
      </c>
      <c r="E1408" t="s">
        <v>1505</v>
      </c>
      <c r="F1408">
        <v>161.679</v>
      </c>
      <c r="G1408" t="s">
        <v>302</v>
      </c>
      <c r="H1408">
        <v>10</v>
      </c>
      <c r="I1408" t="s">
        <v>2546</v>
      </c>
      <c r="J1408" t="s">
        <v>294</v>
      </c>
      <c r="M1408" t="s">
        <v>295</v>
      </c>
      <c r="N1408" t="s">
        <v>296</v>
      </c>
      <c r="O1408" t="s">
        <v>297</v>
      </c>
    </row>
    <row r="1409" spans="1:15" x14ac:dyDescent="0.3">
      <c r="A1409" t="s">
        <v>2433</v>
      </c>
      <c r="B1409" t="s">
        <v>2533</v>
      </c>
      <c r="C1409">
        <v>2023</v>
      </c>
      <c r="D1409" t="s">
        <v>300</v>
      </c>
      <c r="E1409" t="s">
        <v>1421</v>
      </c>
      <c r="F1409">
        <v>153.571</v>
      </c>
      <c r="G1409" t="s">
        <v>302</v>
      </c>
      <c r="H1409">
        <v>10</v>
      </c>
      <c r="I1409" t="s">
        <v>2547</v>
      </c>
      <c r="J1409" t="s">
        <v>294</v>
      </c>
      <c r="M1409" t="s">
        <v>295</v>
      </c>
      <c r="N1409" t="s">
        <v>296</v>
      </c>
      <c r="O1409" t="s">
        <v>297</v>
      </c>
    </row>
    <row r="1410" spans="1:15" x14ac:dyDescent="0.3">
      <c r="A1410" t="s">
        <v>2433</v>
      </c>
      <c r="B1410" t="s">
        <v>2533</v>
      </c>
      <c r="C1410">
        <v>2023</v>
      </c>
      <c r="D1410" t="s">
        <v>300</v>
      </c>
      <c r="E1410" t="s">
        <v>345</v>
      </c>
      <c r="F1410">
        <v>42.31</v>
      </c>
      <c r="G1410" t="s">
        <v>916</v>
      </c>
      <c r="H1410">
        <v>10</v>
      </c>
      <c r="I1410" t="s">
        <v>2548</v>
      </c>
      <c r="J1410" t="s">
        <v>294</v>
      </c>
      <c r="M1410" t="s">
        <v>295</v>
      </c>
      <c r="N1410" t="s">
        <v>296</v>
      </c>
      <c r="O1410" t="s">
        <v>297</v>
      </c>
    </row>
    <row r="1411" spans="1:15" x14ac:dyDescent="0.3">
      <c r="A1411" t="s">
        <v>2433</v>
      </c>
      <c r="B1411" t="s">
        <v>2533</v>
      </c>
      <c r="C1411">
        <v>2023</v>
      </c>
      <c r="D1411" t="s">
        <v>300</v>
      </c>
      <c r="E1411" t="s">
        <v>1429</v>
      </c>
      <c r="F1411">
        <v>8634.0349999999999</v>
      </c>
      <c r="G1411" t="s">
        <v>302</v>
      </c>
      <c r="H1411">
        <v>11</v>
      </c>
      <c r="I1411" t="s">
        <v>2549</v>
      </c>
      <c r="J1411" t="s">
        <v>294</v>
      </c>
      <c r="M1411" t="s">
        <v>295</v>
      </c>
      <c r="N1411" t="s">
        <v>296</v>
      </c>
      <c r="O1411" t="s">
        <v>297</v>
      </c>
    </row>
    <row r="1412" spans="1:15" x14ac:dyDescent="0.3">
      <c r="A1412" t="s">
        <v>2433</v>
      </c>
      <c r="B1412" t="s">
        <v>2533</v>
      </c>
      <c r="C1412">
        <v>2023</v>
      </c>
      <c r="D1412" t="s">
        <v>300</v>
      </c>
      <c r="E1412" t="s">
        <v>1427</v>
      </c>
      <c r="F1412">
        <v>1800.279</v>
      </c>
      <c r="G1412" t="s">
        <v>302</v>
      </c>
      <c r="H1412">
        <v>11</v>
      </c>
      <c r="I1412" t="s">
        <v>2550</v>
      </c>
      <c r="J1412" t="s">
        <v>294</v>
      </c>
      <c r="M1412" t="s">
        <v>295</v>
      </c>
      <c r="N1412" t="s">
        <v>296</v>
      </c>
      <c r="O1412" t="s">
        <v>297</v>
      </c>
    </row>
    <row r="1413" spans="1:15" x14ac:dyDescent="0.3">
      <c r="A1413" t="s">
        <v>2433</v>
      </c>
      <c r="B1413" t="s">
        <v>2533</v>
      </c>
      <c r="C1413">
        <v>2023</v>
      </c>
      <c r="D1413" t="s">
        <v>300</v>
      </c>
      <c r="E1413" t="s">
        <v>1512</v>
      </c>
      <c r="F1413">
        <v>6833.7569999999996</v>
      </c>
      <c r="G1413" t="s">
        <v>302</v>
      </c>
      <c r="H1413">
        <v>11</v>
      </c>
      <c r="I1413" t="s">
        <v>2551</v>
      </c>
      <c r="J1413" t="s">
        <v>294</v>
      </c>
      <c r="M1413" t="s">
        <v>295</v>
      </c>
      <c r="N1413" t="s">
        <v>296</v>
      </c>
      <c r="O1413" t="s">
        <v>297</v>
      </c>
    </row>
    <row r="1414" spans="1:15" x14ac:dyDescent="0.3">
      <c r="A1414" t="s">
        <v>2433</v>
      </c>
      <c r="B1414" t="s">
        <v>2533</v>
      </c>
      <c r="C1414">
        <v>2023</v>
      </c>
      <c r="D1414" t="s">
        <v>300</v>
      </c>
      <c r="E1414" t="s">
        <v>1515</v>
      </c>
      <c r="F1414">
        <v>2594.2249999999999</v>
      </c>
      <c r="G1414" t="s">
        <v>302</v>
      </c>
      <c r="H1414">
        <v>11</v>
      </c>
      <c r="I1414" t="s">
        <v>2552</v>
      </c>
      <c r="J1414" t="s">
        <v>294</v>
      </c>
      <c r="M1414" t="s">
        <v>295</v>
      </c>
      <c r="N1414" t="s">
        <v>296</v>
      </c>
      <c r="O1414" t="s">
        <v>297</v>
      </c>
    </row>
    <row r="1415" spans="1:15" x14ac:dyDescent="0.3">
      <c r="A1415" t="s">
        <v>2433</v>
      </c>
      <c r="B1415" t="s">
        <v>2533</v>
      </c>
      <c r="C1415">
        <v>2023</v>
      </c>
      <c r="D1415" t="s">
        <v>300</v>
      </c>
      <c r="E1415" t="s">
        <v>1517</v>
      </c>
      <c r="F1415">
        <v>1976.162</v>
      </c>
      <c r="G1415" t="s">
        <v>302</v>
      </c>
      <c r="H1415">
        <v>11</v>
      </c>
      <c r="I1415" t="s">
        <v>2553</v>
      </c>
      <c r="J1415" t="s">
        <v>294</v>
      </c>
      <c r="M1415" t="s">
        <v>295</v>
      </c>
      <c r="N1415" t="s">
        <v>296</v>
      </c>
      <c r="O1415" t="s">
        <v>297</v>
      </c>
    </row>
    <row r="1416" spans="1:15" x14ac:dyDescent="0.3">
      <c r="A1416" t="s">
        <v>2433</v>
      </c>
      <c r="B1416" t="s">
        <v>2533</v>
      </c>
      <c r="C1416">
        <v>2023</v>
      </c>
      <c r="D1416" t="s">
        <v>300</v>
      </c>
      <c r="E1416" t="s">
        <v>1435</v>
      </c>
      <c r="F1416">
        <v>4570.3860000000004</v>
      </c>
      <c r="G1416" t="s">
        <v>302</v>
      </c>
      <c r="H1416">
        <v>11</v>
      </c>
      <c r="I1416" t="s">
        <v>2554</v>
      </c>
      <c r="J1416" t="s">
        <v>294</v>
      </c>
      <c r="M1416" t="s">
        <v>295</v>
      </c>
      <c r="N1416" t="s">
        <v>296</v>
      </c>
      <c r="O1416" t="s">
        <v>297</v>
      </c>
    </row>
    <row r="1417" spans="1:15" x14ac:dyDescent="0.3">
      <c r="A1417" t="s">
        <v>2433</v>
      </c>
      <c r="B1417" t="s">
        <v>2533</v>
      </c>
      <c r="C1417">
        <v>2023</v>
      </c>
      <c r="D1417" t="s">
        <v>300</v>
      </c>
      <c r="E1417" t="s">
        <v>1437</v>
      </c>
      <c r="F1417">
        <v>4063.6489999999999</v>
      </c>
      <c r="G1417" t="s">
        <v>302</v>
      </c>
      <c r="H1417">
        <v>11</v>
      </c>
      <c r="I1417" t="s">
        <v>2555</v>
      </c>
      <c r="J1417" t="s">
        <v>294</v>
      </c>
      <c r="M1417" t="s">
        <v>295</v>
      </c>
      <c r="N1417" t="s">
        <v>296</v>
      </c>
      <c r="O1417" t="s">
        <v>297</v>
      </c>
    </row>
    <row r="1418" spans="1:15" x14ac:dyDescent="0.3">
      <c r="A1418" t="s">
        <v>2433</v>
      </c>
      <c r="B1418" t="s">
        <v>2533</v>
      </c>
      <c r="C1418">
        <v>2023</v>
      </c>
      <c r="D1418" t="s">
        <v>300</v>
      </c>
      <c r="E1418" t="s">
        <v>1581</v>
      </c>
      <c r="F1418">
        <v>475.80200000000002</v>
      </c>
      <c r="G1418" t="s">
        <v>302</v>
      </c>
      <c r="H1418">
        <v>198</v>
      </c>
      <c r="I1418" t="s">
        <v>2556</v>
      </c>
      <c r="J1418" t="s">
        <v>294</v>
      </c>
      <c r="M1418" t="s">
        <v>295</v>
      </c>
      <c r="N1418" t="s">
        <v>296</v>
      </c>
      <c r="O1418" t="s">
        <v>297</v>
      </c>
    </row>
    <row r="1419" spans="1:15" x14ac:dyDescent="0.3">
      <c r="A1419" t="s">
        <v>2433</v>
      </c>
      <c r="B1419" t="s">
        <v>2533</v>
      </c>
      <c r="C1419">
        <v>2023</v>
      </c>
      <c r="D1419" t="s">
        <v>300</v>
      </c>
      <c r="E1419" t="s">
        <v>2469</v>
      </c>
      <c r="F1419">
        <v>724.81500000000005</v>
      </c>
      <c r="G1419" t="s">
        <v>302</v>
      </c>
      <c r="H1419">
        <v>199</v>
      </c>
      <c r="I1419" t="s">
        <v>2557</v>
      </c>
      <c r="J1419" t="s">
        <v>294</v>
      </c>
      <c r="M1419" t="s">
        <v>295</v>
      </c>
      <c r="N1419" t="s">
        <v>296</v>
      </c>
      <c r="O1419" t="s">
        <v>297</v>
      </c>
    </row>
    <row r="1420" spans="1:15" x14ac:dyDescent="0.3">
      <c r="A1420" t="s">
        <v>2433</v>
      </c>
      <c r="B1420" t="s">
        <v>2533</v>
      </c>
      <c r="C1420">
        <v>2023</v>
      </c>
      <c r="D1420" t="s">
        <v>300</v>
      </c>
      <c r="E1420" t="s">
        <v>2391</v>
      </c>
      <c r="F1420">
        <v>705.89200000000005</v>
      </c>
      <c r="G1420" t="s">
        <v>302</v>
      </c>
      <c r="H1420">
        <v>199</v>
      </c>
      <c r="I1420" t="s">
        <v>2558</v>
      </c>
      <c r="J1420" t="s">
        <v>294</v>
      </c>
      <c r="M1420" t="s">
        <v>295</v>
      </c>
      <c r="N1420" t="s">
        <v>296</v>
      </c>
      <c r="O1420" t="s">
        <v>297</v>
      </c>
    </row>
    <row r="1421" spans="1:15" x14ac:dyDescent="0.3">
      <c r="A1421" t="s">
        <v>2433</v>
      </c>
      <c r="B1421" t="s">
        <v>2533</v>
      </c>
      <c r="C1421">
        <v>2023</v>
      </c>
      <c r="D1421" t="s">
        <v>300</v>
      </c>
      <c r="E1421" t="s">
        <v>2559</v>
      </c>
      <c r="F1421">
        <v>1828.3710000000001</v>
      </c>
      <c r="G1421" t="s">
        <v>302</v>
      </c>
      <c r="H1421">
        <v>199</v>
      </c>
      <c r="I1421" t="s">
        <v>2560</v>
      </c>
      <c r="J1421" t="s">
        <v>294</v>
      </c>
      <c r="M1421" t="s">
        <v>295</v>
      </c>
      <c r="N1421" t="s">
        <v>296</v>
      </c>
      <c r="O1421" t="s">
        <v>297</v>
      </c>
    </row>
    <row r="1422" spans="1:15" x14ac:dyDescent="0.3">
      <c r="A1422" t="s">
        <v>2433</v>
      </c>
      <c r="B1422" t="s">
        <v>2533</v>
      </c>
      <c r="C1422">
        <v>2023</v>
      </c>
      <c r="D1422" t="s">
        <v>300</v>
      </c>
      <c r="E1422" t="s">
        <v>601</v>
      </c>
      <c r="F1422">
        <v>1030.9690000000001</v>
      </c>
      <c r="G1422" t="s">
        <v>302</v>
      </c>
      <c r="H1422">
        <v>12</v>
      </c>
      <c r="I1422" t="s">
        <v>2561</v>
      </c>
      <c r="J1422" t="s">
        <v>294</v>
      </c>
      <c r="M1422" t="s">
        <v>295</v>
      </c>
      <c r="N1422" t="s">
        <v>296</v>
      </c>
      <c r="O1422" t="s">
        <v>297</v>
      </c>
    </row>
    <row r="1423" spans="1:15" x14ac:dyDescent="0.3">
      <c r="A1423" t="s">
        <v>2433</v>
      </c>
      <c r="B1423" t="s">
        <v>2533</v>
      </c>
      <c r="C1423">
        <v>2023</v>
      </c>
      <c r="D1423" t="s">
        <v>300</v>
      </c>
      <c r="E1423" t="s">
        <v>2477</v>
      </c>
      <c r="F1423">
        <v>441.137</v>
      </c>
      <c r="G1423" t="s">
        <v>302</v>
      </c>
      <c r="H1423">
        <v>203</v>
      </c>
      <c r="I1423" t="s">
        <v>2562</v>
      </c>
      <c r="J1423" t="s">
        <v>294</v>
      </c>
      <c r="M1423" t="s">
        <v>295</v>
      </c>
      <c r="N1423" t="s">
        <v>296</v>
      </c>
      <c r="O1423" t="s">
        <v>297</v>
      </c>
    </row>
    <row r="1424" spans="1:15" x14ac:dyDescent="0.3">
      <c r="A1424" t="s">
        <v>2433</v>
      </c>
      <c r="B1424" t="s">
        <v>2533</v>
      </c>
      <c r="C1424">
        <v>2023</v>
      </c>
      <c r="D1424" t="s">
        <v>300</v>
      </c>
      <c r="E1424" t="s">
        <v>2485</v>
      </c>
      <c r="F1424">
        <v>518.45600000000002</v>
      </c>
      <c r="G1424" t="s">
        <v>302</v>
      </c>
      <c r="H1424">
        <v>297</v>
      </c>
      <c r="I1424" t="s">
        <v>2563</v>
      </c>
      <c r="J1424" t="s">
        <v>294</v>
      </c>
      <c r="M1424" t="s">
        <v>295</v>
      </c>
      <c r="N1424" t="s">
        <v>296</v>
      </c>
      <c r="O1424" t="s">
        <v>297</v>
      </c>
    </row>
    <row r="1425" spans="1:15" x14ac:dyDescent="0.3">
      <c r="A1425" t="s">
        <v>2433</v>
      </c>
      <c r="B1425" t="s">
        <v>2533</v>
      </c>
      <c r="C1425">
        <v>2023</v>
      </c>
      <c r="D1425" t="s">
        <v>300</v>
      </c>
      <c r="E1425" t="s">
        <v>2086</v>
      </c>
      <c r="F1425">
        <v>5300</v>
      </c>
      <c r="G1425" t="s">
        <v>912</v>
      </c>
      <c r="H1425">
        <v>16</v>
      </c>
      <c r="I1425" t="s">
        <v>2564</v>
      </c>
      <c r="J1425" t="s">
        <v>294</v>
      </c>
      <c r="M1425" t="s">
        <v>295</v>
      </c>
      <c r="N1425" t="s">
        <v>296</v>
      </c>
      <c r="O1425" t="s">
        <v>297</v>
      </c>
    </row>
    <row r="1426" spans="1:15" x14ac:dyDescent="0.3">
      <c r="A1426" t="s">
        <v>2433</v>
      </c>
      <c r="B1426" t="s">
        <v>2533</v>
      </c>
      <c r="C1426">
        <v>2023</v>
      </c>
      <c r="D1426" t="s">
        <v>300</v>
      </c>
      <c r="E1426" t="s">
        <v>2565</v>
      </c>
      <c r="F1426">
        <v>19236</v>
      </c>
      <c r="G1426" t="s">
        <v>302</v>
      </c>
      <c r="H1426">
        <v>16</v>
      </c>
      <c r="I1426" t="s">
        <v>2566</v>
      </c>
      <c r="J1426" t="s">
        <v>294</v>
      </c>
      <c r="M1426" t="s">
        <v>295</v>
      </c>
      <c r="N1426" t="s">
        <v>296</v>
      </c>
      <c r="O1426" t="s">
        <v>297</v>
      </c>
    </row>
    <row r="1427" spans="1:15" x14ac:dyDescent="0.3">
      <c r="A1427" t="s">
        <v>2433</v>
      </c>
      <c r="B1427" t="s">
        <v>2533</v>
      </c>
      <c r="C1427">
        <v>2023</v>
      </c>
      <c r="D1427" t="s">
        <v>358</v>
      </c>
      <c r="E1427" t="s">
        <v>1465</v>
      </c>
      <c r="F1427">
        <v>88752</v>
      </c>
      <c r="G1427" t="s">
        <v>360</v>
      </c>
      <c r="H1427">
        <v>4</v>
      </c>
      <c r="I1427" t="s">
        <v>2567</v>
      </c>
      <c r="J1427" t="s">
        <v>294</v>
      </c>
      <c r="M1427" t="s">
        <v>295</v>
      </c>
      <c r="N1427" t="s">
        <v>296</v>
      </c>
      <c r="O1427" t="s">
        <v>297</v>
      </c>
    </row>
    <row r="1428" spans="1:15" x14ac:dyDescent="0.3">
      <c r="A1428" t="s">
        <v>2433</v>
      </c>
      <c r="B1428" t="s">
        <v>2533</v>
      </c>
      <c r="C1428">
        <v>2023</v>
      </c>
      <c r="D1428" t="s">
        <v>358</v>
      </c>
      <c r="E1428" t="s">
        <v>1467</v>
      </c>
      <c r="F1428">
        <v>84128</v>
      </c>
      <c r="G1428" t="s">
        <v>360</v>
      </c>
      <c r="H1428">
        <v>13</v>
      </c>
      <c r="I1428" t="s">
        <v>2568</v>
      </c>
      <c r="J1428" t="s">
        <v>294</v>
      </c>
      <c r="M1428" t="s">
        <v>295</v>
      </c>
      <c r="N1428" t="s">
        <v>296</v>
      </c>
      <c r="O1428" t="s">
        <v>297</v>
      </c>
    </row>
    <row r="1429" spans="1:15" x14ac:dyDescent="0.3">
      <c r="A1429" t="s">
        <v>2433</v>
      </c>
      <c r="B1429" t="s">
        <v>2533</v>
      </c>
      <c r="C1429">
        <v>2023</v>
      </c>
      <c r="D1429" t="s">
        <v>358</v>
      </c>
      <c r="E1429" t="s">
        <v>1996</v>
      </c>
      <c r="F1429">
        <v>4623</v>
      </c>
      <c r="G1429" t="s">
        <v>360</v>
      </c>
      <c r="H1429">
        <v>13</v>
      </c>
      <c r="I1429" t="s">
        <v>2569</v>
      </c>
      <c r="J1429" t="s">
        <v>294</v>
      </c>
      <c r="M1429" t="s">
        <v>295</v>
      </c>
      <c r="N1429" t="s">
        <v>296</v>
      </c>
      <c r="O1429" t="s">
        <v>297</v>
      </c>
    </row>
    <row r="1430" spans="1:15" x14ac:dyDescent="0.3">
      <c r="A1430" t="s">
        <v>2433</v>
      </c>
      <c r="B1430" t="s">
        <v>2533</v>
      </c>
      <c r="C1430">
        <v>2023</v>
      </c>
      <c r="D1430" t="s">
        <v>358</v>
      </c>
      <c r="E1430" t="s">
        <v>2502</v>
      </c>
      <c r="F1430">
        <v>5</v>
      </c>
      <c r="G1430" t="s">
        <v>2253</v>
      </c>
      <c r="H1430">
        <v>48</v>
      </c>
      <c r="I1430" t="s">
        <v>2503</v>
      </c>
      <c r="J1430" t="s">
        <v>294</v>
      </c>
      <c r="M1430" t="s">
        <v>295</v>
      </c>
      <c r="N1430" t="s">
        <v>296</v>
      </c>
      <c r="O1430" t="s">
        <v>297</v>
      </c>
    </row>
    <row r="1431" spans="1:15" x14ac:dyDescent="0.3">
      <c r="A1431" t="s">
        <v>2433</v>
      </c>
      <c r="B1431" t="s">
        <v>2533</v>
      </c>
      <c r="C1431">
        <v>2023</v>
      </c>
      <c r="D1431" t="s">
        <v>358</v>
      </c>
      <c r="E1431" t="s">
        <v>2504</v>
      </c>
      <c r="F1431">
        <v>1</v>
      </c>
      <c r="G1431" t="s">
        <v>2505</v>
      </c>
      <c r="H1431">
        <v>48</v>
      </c>
      <c r="I1431" t="s">
        <v>2570</v>
      </c>
      <c r="J1431" t="s">
        <v>294</v>
      </c>
      <c r="M1431" t="s">
        <v>295</v>
      </c>
      <c r="N1431" t="s">
        <v>296</v>
      </c>
      <c r="O1431" t="s">
        <v>297</v>
      </c>
    </row>
    <row r="1432" spans="1:15" x14ac:dyDescent="0.3">
      <c r="A1432" t="s">
        <v>2433</v>
      </c>
      <c r="B1432" t="s">
        <v>2533</v>
      </c>
      <c r="C1432">
        <v>2023</v>
      </c>
      <c r="D1432" t="s">
        <v>394</v>
      </c>
      <c r="E1432" t="s">
        <v>1543</v>
      </c>
      <c r="F1432">
        <v>1261820</v>
      </c>
      <c r="G1432" t="s">
        <v>1453</v>
      </c>
      <c r="H1432">
        <v>13</v>
      </c>
      <c r="I1432" t="s">
        <v>2571</v>
      </c>
      <c r="J1432" t="s">
        <v>294</v>
      </c>
      <c r="M1432" t="s">
        <v>295</v>
      </c>
      <c r="N1432" t="s">
        <v>296</v>
      </c>
      <c r="O1432" t="s">
        <v>297</v>
      </c>
    </row>
    <row r="1433" spans="1:15" x14ac:dyDescent="0.3">
      <c r="A1433" t="s">
        <v>2433</v>
      </c>
      <c r="B1433" t="s">
        <v>2533</v>
      </c>
      <c r="C1433">
        <v>2023</v>
      </c>
      <c r="D1433" t="s">
        <v>394</v>
      </c>
      <c r="E1433" t="s">
        <v>1452</v>
      </c>
      <c r="F1433">
        <v>307674</v>
      </c>
      <c r="G1433" t="s">
        <v>1453</v>
      </c>
      <c r="H1433">
        <v>13</v>
      </c>
      <c r="I1433" t="s">
        <v>2572</v>
      </c>
      <c r="J1433" t="s">
        <v>294</v>
      </c>
      <c r="M1433" t="s">
        <v>295</v>
      </c>
      <c r="N1433" t="s">
        <v>296</v>
      </c>
      <c r="O1433" t="s">
        <v>297</v>
      </c>
    </row>
    <row r="1434" spans="1:15" x14ac:dyDescent="0.3">
      <c r="A1434" t="s">
        <v>2433</v>
      </c>
      <c r="B1434" t="s">
        <v>2533</v>
      </c>
      <c r="C1434">
        <v>2023</v>
      </c>
      <c r="D1434" t="s">
        <v>394</v>
      </c>
      <c r="E1434" t="s">
        <v>1455</v>
      </c>
      <c r="F1434">
        <v>55797</v>
      </c>
      <c r="G1434" t="s">
        <v>1453</v>
      </c>
      <c r="H1434">
        <v>14</v>
      </c>
      <c r="I1434" t="s">
        <v>2573</v>
      </c>
      <c r="J1434" t="s">
        <v>294</v>
      </c>
      <c r="M1434" t="s">
        <v>295</v>
      </c>
      <c r="N1434" t="s">
        <v>296</v>
      </c>
      <c r="O1434" t="s">
        <v>297</v>
      </c>
    </row>
    <row r="1435" spans="1:15" x14ac:dyDescent="0.3">
      <c r="A1435" t="s">
        <v>2433</v>
      </c>
      <c r="B1435" t="s">
        <v>2533</v>
      </c>
      <c r="C1435">
        <v>2023</v>
      </c>
      <c r="D1435" t="s">
        <v>394</v>
      </c>
      <c r="E1435" t="s">
        <v>2272</v>
      </c>
      <c r="F1435">
        <v>13370</v>
      </c>
      <c r="G1435" t="s">
        <v>1453</v>
      </c>
      <c r="H1435">
        <v>14</v>
      </c>
      <c r="I1435" t="s">
        <v>2574</v>
      </c>
      <c r="J1435" t="s">
        <v>294</v>
      </c>
      <c r="M1435" t="s">
        <v>295</v>
      </c>
      <c r="N1435" t="s">
        <v>296</v>
      </c>
      <c r="O1435" t="s">
        <v>297</v>
      </c>
    </row>
    <row r="1436" spans="1:15" x14ac:dyDescent="0.3">
      <c r="A1436" t="s">
        <v>2433</v>
      </c>
      <c r="B1436" t="s">
        <v>2533</v>
      </c>
      <c r="C1436">
        <v>2023</v>
      </c>
      <c r="D1436" t="s">
        <v>394</v>
      </c>
      <c r="E1436" t="s">
        <v>2514</v>
      </c>
      <c r="F1436">
        <v>15188</v>
      </c>
      <c r="G1436" t="s">
        <v>1453</v>
      </c>
      <c r="H1436">
        <v>14</v>
      </c>
      <c r="I1436" t="s">
        <v>2575</v>
      </c>
      <c r="J1436" t="s">
        <v>294</v>
      </c>
      <c r="M1436" t="s">
        <v>295</v>
      </c>
      <c r="N1436" t="s">
        <v>296</v>
      </c>
      <c r="O1436" t="s">
        <v>297</v>
      </c>
    </row>
    <row r="1437" spans="1:15" x14ac:dyDescent="0.3">
      <c r="A1437" t="s">
        <v>2433</v>
      </c>
      <c r="B1437" t="s">
        <v>2533</v>
      </c>
      <c r="C1437">
        <v>2023</v>
      </c>
      <c r="D1437" t="s">
        <v>394</v>
      </c>
      <c r="E1437" t="s">
        <v>2107</v>
      </c>
      <c r="F1437">
        <v>15</v>
      </c>
      <c r="G1437" t="s">
        <v>2022</v>
      </c>
      <c r="H1437">
        <v>13</v>
      </c>
      <c r="I1437" t="s">
        <v>2576</v>
      </c>
      <c r="J1437" t="s">
        <v>294</v>
      </c>
      <c r="M1437" t="s">
        <v>295</v>
      </c>
      <c r="N1437" t="s">
        <v>296</v>
      </c>
      <c r="O1437" t="s">
        <v>297</v>
      </c>
    </row>
    <row r="1438" spans="1:15" x14ac:dyDescent="0.3">
      <c r="A1438" t="s">
        <v>2433</v>
      </c>
      <c r="B1438" t="s">
        <v>2533</v>
      </c>
      <c r="C1438">
        <v>2023</v>
      </c>
      <c r="D1438" t="s">
        <v>394</v>
      </c>
      <c r="E1438" t="s">
        <v>2517</v>
      </c>
      <c r="F1438">
        <v>3.66</v>
      </c>
      <c r="G1438" t="s">
        <v>2022</v>
      </c>
      <c r="H1438">
        <v>13</v>
      </c>
      <c r="I1438" t="s">
        <v>2577</v>
      </c>
      <c r="J1438" t="s">
        <v>294</v>
      </c>
      <c r="M1438" t="s">
        <v>295</v>
      </c>
      <c r="N1438" t="s">
        <v>296</v>
      </c>
      <c r="O1438" t="s">
        <v>297</v>
      </c>
    </row>
    <row r="1439" spans="1:15" x14ac:dyDescent="0.3">
      <c r="A1439" t="s">
        <v>2433</v>
      </c>
      <c r="B1439" t="s">
        <v>2533</v>
      </c>
      <c r="C1439">
        <v>2023</v>
      </c>
      <c r="D1439" t="s">
        <v>394</v>
      </c>
      <c r="E1439" t="s">
        <v>2519</v>
      </c>
      <c r="F1439">
        <v>299103</v>
      </c>
      <c r="G1439" t="s">
        <v>1453</v>
      </c>
      <c r="H1439">
        <v>14</v>
      </c>
      <c r="I1439" t="s">
        <v>2578</v>
      </c>
      <c r="J1439" t="s">
        <v>294</v>
      </c>
      <c r="M1439" t="s">
        <v>295</v>
      </c>
      <c r="N1439" t="s">
        <v>296</v>
      </c>
      <c r="O1439" t="s">
        <v>297</v>
      </c>
    </row>
    <row r="1440" spans="1:15" x14ac:dyDescent="0.3">
      <c r="A1440" t="s">
        <v>2433</v>
      </c>
      <c r="B1440" t="s">
        <v>2533</v>
      </c>
      <c r="C1440">
        <v>2023</v>
      </c>
      <c r="D1440" t="s">
        <v>394</v>
      </c>
      <c r="E1440" t="s">
        <v>2101</v>
      </c>
      <c r="F1440">
        <v>324671</v>
      </c>
      <c r="G1440" t="s">
        <v>1453</v>
      </c>
      <c r="H1440">
        <v>14</v>
      </c>
      <c r="I1440" t="s">
        <v>2579</v>
      </c>
      <c r="J1440" t="s">
        <v>294</v>
      </c>
      <c r="M1440" t="s">
        <v>295</v>
      </c>
      <c r="N1440" t="s">
        <v>296</v>
      </c>
      <c r="O1440" t="s">
        <v>297</v>
      </c>
    </row>
    <row r="1441" spans="1:15" x14ac:dyDescent="0.3">
      <c r="A1441" t="s">
        <v>2433</v>
      </c>
      <c r="B1441" t="s">
        <v>2533</v>
      </c>
      <c r="C1441">
        <v>2023</v>
      </c>
      <c r="D1441" t="s">
        <v>394</v>
      </c>
      <c r="E1441" t="s">
        <v>2522</v>
      </c>
      <c r="F1441">
        <v>55083</v>
      </c>
      <c r="G1441" t="s">
        <v>1453</v>
      </c>
      <c r="H1441">
        <v>14</v>
      </c>
      <c r="I1441" t="s">
        <v>2580</v>
      </c>
      <c r="J1441" t="s">
        <v>294</v>
      </c>
      <c r="M1441" t="s">
        <v>295</v>
      </c>
      <c r="N1441" t="s">
        <v>296</v>
      </c>
      <c r="O1441" t="s">
        <v>297</v>
      </c>
    </row>
    <row r="1442" spans="1:15" x14ac:dyDescent="0.3">
      <c r="A1442" t="s">
        <v>2433</v>
      </c>
      <c r="B1442" t="s">
        <v>2533</v>
      </c>
      <c r="C1442">
        <v>2023</v>
      </c>
      <c r="D1442" t="s">
        <v>394</v>
      </c>
      <c r="E1442" t="s">
        <v>2524</v>
      </c>
      <c r="F1442">
        <v>12286</v>
      </c>
      <c r="G1442" t="s">
        <v>1453</v>
      </c>
      <c r="H1442">
        <v>14</v>
      </c>
      <c r="I1442" t="s">
        <v>2581</v>
      </c>
      <c r="J1442" t="s">
        <v>294</v>
      </c>
      <c r="M1442" t="s">
        <v>295</v>
      </c>
      <c r="N1442" t="s">
        <v>296</v>
      </c>
      <c r="O1442" t="s">
        <v>297</v>
      </c>
    </row>
    <row r="1443" spans="1:15" x14ac:dyDescent="0.3">
      <c r="A1443" t="s">
        <v>2433</v>
      </c>
      <c r="B1443" t="s">
        <v>2533</v>
      </c>
      <c r="C1443">
        <v>2023</v>
      </c>
      <c r="D1443" t="s">
        <v>394</v>
      </c>
      <c r="E1443" t="s">
        <v>2526</v>
      </c>
      <c r="F1443">
        <v>15975</v>
      </c>
      <c r="G1443" t="s">
        <v>1453</v>
      </c>
      <c r="H1443">
        <v>14</v>
      </c>
      <c r="I1443" t="s">
        <v>2582</v>
      </c>
      <c r="J1443" t="s">
        <v>294</v>
      </c>
      <c r="M1443" t="s">
        <v>295</v>
      </c>
      <c r="N1443" t="s">
        <v>296</v>
      </c>
      <c r="O1443" t="s">
        <v>297</v>
      </c>
    </row>
    <row r="1444" spans="1:15" x14ac:dyDescent="0.3">
      <c r="A1444" t="s">
        <v>2433</v>
      </c>
      <c r="B1444" t="s">
        <v>2583</v>
      </c>
      <c r="C1444">
        <v>2024</v>
      </c>
      <c r="D1444" t="s">
        <v>272</v>
      </c>
      <c r="E1444" t="s">
        <v>2191</v>
      </c>
      <c r="F1444" t="s">
        <v>2433</v>
      </c>
      <c r="G1444" t="s">
        <v>2192</v>
      </c>
      <c r="H1444">
        <v>1</v>
      </c>
      <c r="I1444" t="s">
        <v>2584</v>
      </c>
      <c r="J1444" t="s">
        <v>294</v>
      </c>
      <c r="M1444" t="s">
        <v>295</v>
      </c>
      <c r="N1444" t="s">
        <v>296</v>
      </c>
      <c r="O1444" t="s">
        <v>297</v>
      </c>
    </row>
    <row r="1445" spans="1:15" x14ac:dyDescent="0.3">
      <c r="A1445" t="s">
        <v>2433</v>
      </c>
      <c r="B1445" t="s">
        <v>2583</v>
      </c>
      <c r="C1445">
        <v>2024</v>
      </c>
      <c r="D1445" t="s">
        <v>272</v>
      </c>
      <c r="E1445" t="s">
        <v>2534</v>
      </c>
      <c r="F1445">
        <v>0.73370000000000002</v>
      </c>
      <c r="G1445" t="s">
        <v>2202</v>
      </c>
      <c r="H1445">
        <v>68</v>
      </c>
      <c r="I1445" t="s">
        <v>2585</v>
      </c>
      <c r="J1445" t="s">
        <v>294</v>
      </c>
      <c r="M1445" t="s">
        <v>295</v>
      </c>
      <c r="N1445" t="s">
        <v>296</v>
      </c>
      <c r="O1445" t="s">
        <v>297</v>
      </c>
    </row>
    <row r="1446" spans="1:15" x14ac:dyDescent="0.3">
      <c r="A1446" t="s">
        <v>2433</v>
      </c>
      <c r="B1446" t="s">
        <v>2583</v>
      </c>
      <c r="C1446">
        <v>2024</v>
      </c>
      <c r="D1446" t="s">
        <v>272</v>
      </c>
      <c r="E1446" t="s">
        <v>1395</v>
      </c>
      <c r="F1446">
        <v>3629411800</v>
      </c>
      <c r="G1446" t="s">
        <v>1633</v>
      </c>
      <c r="H1446">
        <v>16</v>
      </c>
      <c r="I1446" t="s">
        <v>2586</v>
      </c>
      <c r="J1446" t="s">
        <v>294</v>
      </c>
      <c r="M1446" t="s">
        <v>295</v>
      </c>
      <c r="N1446" t="s">
        <v>296</v>
      </c>
      <c r="O1446" t="s">
        <v>297</v>
      </c>
    </row>
    <row r="1447" spans="1:15" x14ac:dyDescent="0.3">
      <c r="A1447" t="s">
        <v>2433</v>
      </c>
      <c r="B1447" t="s">
        <v>2583</v>
      </c>
      <c r="C1447">
        <v>2024</v>
      </c>
      <c r="D1447" t="s">
        <v>272</v>
      </c>
      <c r="E1447" t="s">
        <v>2587</v>
      </c>
      <c r="F1447" t="s">
        <v>2588</v>
      </c>
      <c r="G1447" t="s">
        <v>2192</v>
      </c>
      <c r="H1447">
        <v>17</v>
      </c>
      <c r="I1447" t="s">
        <v>2589</v>
      </c>
      <c r="J1447" t="s">
        <v>294</v>
      </c>
      <c r="M1447" t="s">
        <v>295</v>
      </c>
      <c r="N1447" t="s">
        <v>296</v>
      </c>
      <c r="O1447" t="s">
        <v>297</v>
      </c>
    </row>
    <row r="1448" spans="1:15" x14ac:dyDescent="0.3">
      <c r="A1448" t="s">
        <v>2433</v>
      </c>
      <c r="B1448" t="s">
        <v>2583</v>
      </c>
      <c r="C1448">
        <v>2024</v>
      </c>
      <c r="D1448" t="s">
        <v>300</v>
      </c>
      <c r="E1448" t="s">
        <v>2447</v>
      </c>
      <c r="F1448">
        <v>5742.9840000000004</v>
      </c>
      <c r="G1448" t="s">
        <v>302</v>
      </c>
      <c r="H1448">
        <v>10</v>
      </c>
      <c r="I1448" t="s">
        <v>2590</v>
      </c>
      <c r="J1448" t="s">
        <v>294</v>
      </c>
      <c r="M1448" t="s">
        <v>295</v>
      </c>
      <c r="N1448" t="s">
        <v>296</v>
      </c>
      <c r="O1448" t="s">
        <v>297</v>
      </c>
    </row>
    <row r="1449" spans="1:15" x14ac:dyDescent="0.3">
      <c r="A1449" t="s">
        <v>2433</v>
      </c>
      <c r="B1449" t="s">
        <v>2583</v>
      </c>
      <c r="C1449">
        <v>2024</v>
      </c>
      <c r="D1449" t="s">
        <v>300</v>
      </c>
      <c r="E1449" t="s">
        <v>1109</v>
      </c>
      <c r="F1449">
        <v>4424.4139999999998</v>
      </c>
      <c r="G1449" t="s">
        <v>302</v>
      </c>
      <c r="H1449">
        <v>10</v>
      </c>
      <c r="I1449" t="s">
        <v>2591</v>
      </c>
      <c r="J1449" t="s">
        <v>294</v>
      </c>
      <c r="M1449" t="s">
        <v>295</v>
      </c>
      <c r="N1449" t="s">
        <v>296</v>
      </c>
      <c r="O1449" t="s">
        <v>297</v>
      </c>
    </row>
    <row r="1450" spans="1:15" x14ac:dyDescent="0.3">
      <c r="A1450" t="s">
        <v>2433</v>
      </c>
      <c r="B1450" t="s">
        <v>2583</v>
      </c>
      <c r="C1450">
        <v>2024</v>
      </c>
      <c r="D1450" t="s">
        <v>300</v>
      </c>
      <c r="E1450" t="s">
        <v>1415</v>
      </c>
      <c r="F1450">
        <v>1318.57</v>
      </c>
      <c r="G1450" t="s">
        <v>302</v>
      </c>
      <c r="H1450">
        <v>10</v>
      </c>
      <c r="I1450" t="s">
        <v>2592</v>
      </c>
      <c r="J1450" t="s">
        <v>294</v>
      </c>
      <c r="M1450" t="s">
        <v>295</v>
      </c>
      <c r="N1450" t="s">
        <v>296</v>
      </c>
      <c r="O1450" t="s">
        <v>297</v>
      </c>
    </row>
    <row r="1451" spans="1:15" x14ac:dyDescent="0.3">
      <c r="A1451" t="s">
        <v>2433</v>
      </c>
      <c r="B1451" t="s">
        <v>2583</v>
      </c>
      <c r="C1451">
        <v>2024</v>
      </c>
      <c r="D1451" t="s">
        <v>300</v>
      </c>
      <c r="E1451" t="s">
        <v>1417</v>
      </c>
      <c r="F1451">
        <v>876.68499999999995</v>
      </c>
      <c r="G1451" t="s">
        <v>302</v>
      </c>
      <c r="H1451">
        <v>10</v>
      </c>
      <c r="I1451" t="s">
        <v>2593</v>
      </c>
      <c r="J1451" t="s">
        <v>294</v>
      </c>
      <c r="M1451" t="s">
        <v>295</v>
      </c>
      <c r="N1451" t="s">
        <v>296</v>
      </c>
      <c r="O1451" t="s">
        <v>297</v>
      </c>
    </row>
    <row r="1452" spans="1:15" x14ac:dyDescent="0.3">
      <c r="A1452" t="s">
        <v>2433</v>
      </c>
      <c r="B1452" t="s">
        <v>2583</v>
      </c>
      <c r="C1452">
        <v>2024</v>
      </c>
      <c r="D1452" t="s">
        <v>300</v>
      </c>
      <c r="E1452" t="s">
        <v>1571</v>
      </c>
      <c r="F1452">
        <v>774.67899999999997</v>
      </c>
      <c r="G1452" t="s">
        <v>302</v>
      </c>
      <c r="H1452">
        <v>10</v>
      </c>
      <c r="I1452" t="s">
        <v>2594</v>
      </c>
      <c r="J1452" t="s">
        <v>294</v>
      </c>
      <c r="M1452" t="s">
        <v>295</v>
      </c>
      <c r="N1452" t="s">
        <v>296</v>
      </c>
      <c r="O1452" t="s">
        <v>297</v>
      </c>
    </row>
    <row r="1453" spans="1:15" x14ac:dyDescent="0.3">
      <c r="A1453" t="s">
        <v>2433</v>
      </c>
      <c r="B1453" t="s">
        <v>2583</v>
      </c>
      <c r="C1453">
        <v>2024</v>
      </c>
      <c r="D1453" t="s">
        <v>300</v>
      </c>
      <c r="E1453" t="s">
        <v>1505</v>
      </c>
      <c r="F1453">
        <v>571.45399999999995</v>
      </c>
      <c r="G1453" t="s">
        <v>302</v>
      </c>
      <c r="H1453">
        <v>10</v>
      </c>
      <c r="I1453" t="s">
        <v>2595</v>
      </c>
      <c r="J1453" t="s">
        <v>294</v>
      </c>
      <c r="M1453" t="s">
        <v>295</v>
      </c>
      <c r="N1453" t="s">
        <v>296</v>
      </c>
      <c r="O1453" t="s">
        <v>297</v>
      </c>
    </row>
    <row r="1454" spans="1:15" x14ac:dyDescent="0.3">
      <c r="A1454" t="s">
        <v>2433</v>
      </c>
      <c r="B1454" t="s">
        <v>2583</v>
      </c>
      <c r="C1454">
        <v>2024</v>
      </c>
      <c r="D1454" t="s">
        <v>300</v>
      </c>
      <c r="E1454" t="s">
        <v>1421</v>
      </c>
      <c r="F1454">
        <v>542.47299999999996</v>
      </c>
      <c r="G1454" t="s">
        <v>302</v>
      </c>
      <c r="H1454">
        <v>10</v>
      </c>
      <c r="I1454" t="s">
        <v>2596</v>
      </c>
      <c r="J1454" t="s">
        <v>294</v>
      </c>
      <c r="M1454" t="s">
        <v>295</v>
      </c>
      <c r="N1454" t="s">
        <v>296</v>
      </c>
      <c r="O1454" t="s">
        <v>297</v>
      </c>
    </row>
    <row r="1455" spans="1:15" x14ac:dyDescent="0.3">
      <c r="A1455" t="s">
        <v>2433</v>
      </c>
      <c r="B1455" t="s">
        <v>2583</v>
      </c>
      <c r="C1455">
        <v>2024</v>
      </c>
      <c r="D1455" t="s">
        <v>300</v>
      </c>
      <c r="E1455" t="s">
        <v>345</v>
      </c>
      <c r="F1455">
        <v>151.02000000000001</v>
      </c>
      <c r="G1455" t="s">
        <v>916</v>
      </c>
      <c r="H1455">
        <v>10</v>
      </c>
      <c r="I1455" t="s">
        <v>2597</v>
      </c>
      <c r="J1455" t="s">
        <v>294</v>
      </c>
      <c r="M1455" t="s">
        <v>295</v>
      </c>
      <c r="N1455" t="s">
        <v>296</v>
      </c>
      <c r="O1455" t="s">
        <v>297</v>
      </c>
    </row>
    <row r="1456" spans="1:15" x14ac:dyDescent="0.3">
      <c r="A1456" t="s">
        <v>2433</v>
      </c>
      <c r="B1456" t="s">
        <v>2583</v>
      </c>
      <c r="C1456">
        <v>2024</v>
      </c>
      <c r="D1456" t="s">
        <v>300</v>
      </c>
      <c r="E1456" t="s">
        <v>1429</v>
      </c>
      <c r="F1456">
        <v>8816.6839999999993</v>
      </c>
      <c r="G1456" t="s">
        <v>302</v>
      </c>
      <c r="H1456">
        <v>11</v>
      </c>
      <c r="I1456" t="s">
        <v>2598</v>
      </c>
      <c r="J1456" t="s">
        <v>294</v>
      </c>
      <c r="M1456" t="s">
        <v>295</v>
      </c>
      <c r="N1456" t="s">
        <v>296</v>
      </c>
      <c r="O1456" t="s">
        <v>297</v>
      </c>
    </row>
    <row r="1457" spans="1:15" x14ac:dyDescent="0.3">
      <c r="A1457" t="s">
        <v>2433</v>
      </c>
      <c r="B1457" t="s">
        <v>2583</v>
      </c>
      <c r="C1457">
        <v>2024</v>
      </c>
      <c r="D1457" t="s">
        <v>300</v>
      </c>
      <c r="E1457" t="s">
        <v>1427</v>
      </c>
      <c r="F1457">
        <v>1943.127</v>
      </c>
      <c r="G1457" t="s">
        <v>302</v>
      </c>
      <c r="H1457">
        <v>11</v>
      </c>
      <c r="I1457" t="s">
        <v>2599</v>
      </c>
      <c r="J1457" t="s">
        <v>294</v>
      </c>
      <c r="M1457" t="s">
        <v>295</v>
      </c>
      <c r="N1457" t="s">
        <v>296</v>
      </c>
      <c r="O1457" t="s">
        <v>297</v>
      </c>
    </row>
    <row r="1458" spans="1:15" x14ac:dyDescent="0.3">
      <c r="A1458" t="s">
        <v>2433</v>
      </c>
      <c r="B1458" t="s">
        <v>2583</v>
      </c>
      <c r="C1458">
        <v>2024</v>
      </c>
      <c r="D1458" t="s">
        <v>300</v>
      </c>
      <c r="E1458" t="s">
        <v>1512</v>
      </c>
      <c r="F1458">
        <v>6873.5569999999998</v>
      </c>
      <c r="G1458" t="s">
        <v>302</v>
      </c>
      <c r="H1458">
        <v>11</v>
      </c>
      <c r="I1458" t="s">
        <v>2600</v>
      </c>
      <c r="J1458" t="s">
        <v>294</v>
      </c>
      <c r="M1458" t="s">
        <v>295</v>
      </c>
      <c r="N1458" t="s">
        <v>296</v>
      </c>
      <c r="O1458" t="s">
        <v>297</v>
      </c>
    </row>
    <row r="1459" spans="1:15" x14ac:dyDescent="0.3">
      <c r="A1459" t="s">
        <v>2433</v>
      </c>
      <c r="B1459" t="s">
        <v>2583</v>
      </c>
      <c r="C1459">
        <v>2024</v>
      </c>
      <c r="D1459" t="s">
        <v>300</v>
      </c>
      <c r="E1459" t="s">
        <v>1515</v>
      </c>
      <c r="F1459">
        <v>2572.4879999999998</v>
      </c>
      <c r="G1459" t="s">
        <v>302</v>
      </c>
      <c r="H1459">
        <v>11</v>
      </c>
      <c r="I1459" t="s">
        <v>2601</v>
      </c>
      <c r="J1459" t="s">
        <v>294</v>
      </c>
      <c r="M1459" t="s">
        <v>295</v>
      </c>
      <c r="N1459" t="s">
        <v>296</v>
      </c>
      <c r="O1459" t="s">
        <v>297</v>
      </c>
    </row>
    <row r="1460" spans="1:15" x14ac:dyDescent="0.3">
      <c r="A1460" t="s">
        <v>2433</v>
      </c>
      <c r="B1460" t="s">
        <v>2583</v>
      </c>
      <c r="C1460">
        <v>2024</v>
      </c>
      <c r="D1460" t="s">
        <v>300</v>
      </c>
      <c r="E1460" t="s">
        <v>1517</v>
      </c>
      <c r="F1460">
        <v>2391.4609999999998</v>
      </c>
      <c r="G1460" t="s">
        <v>302</v>
      </c>
      <c r="H1460">
        <v>11</v>
      </c>
      <c r="I1460" t="s">
        <v>2602</v>
      </c>
      <c r="J1460" t="s">
        <v>294</v>
      </c>
      <c r="M1460" t="s">
        <v>295</v>
      </c>
      <c r="N1460" t="s">
        <v>296</v>
      </c>
      <c r="O1460" t="s">
        <v>297</v>
      </c>
    </row>
    <row r="1461" spans="1:15" x14ac:dyDescent="0.3">
      <c r="A1461" t="s">
        <v>2433</v>
      </c>
      <c r="B1461" t="s">
        <v>2583</v>
      </c>
      <c r="C1461">
        <v>2024</v>
      </c>
      <c r="D1461" t="s">
        <v>300</v>
      </c>
      <c r="E1461" t="s">
        <v>1435</v>
      </c>
      <c r="F1461">
        <v>4963.9489999999996</v>
      </c>
      <c r="G1461" t="s">
        <v>302</v>
      </c>
      <c r="H1461">
        <v>11</v>
      </c>
      <c r="I1461" t="s">
        <v>2603</v>
      </c>
      <c r="J1461" t="s">
        <v>294</v>
      </c>
      <c r="M1461" t="s">
        <v>295</v>
      </c>
      <c r="N1461" t="s">
        <v>296</v>
      </c>
      <c r="O1461" t="s">
        <v>297</v>
      </c>
    </row>
    <row r="1462" spans="1:15" x14ac:dyDescent="0.3">
      <c r="A1462" t="s">
        <v>2433</v>
      </c>
      <c r="B1462" t="s">
        <v>2583</v>
      </c>
      <c r="C1462">
        <v>2024</v>
      </c>
      <c r="D1462" t="s">
        <v>300</v>
      </c>
      <c r="E1462" t="s">
        <v>1437</v>
      </c>
      <c r="F1462">
        <v>3852.7350000000001</v>
      </c>
      <c r="G1462" t="s">
        <v>302</v>
      </c>
      <c r="H1462">
        <v>11</v>
      </c>
      <c r="I1462" t="s">
        <v>2604</v>
      </c>
      <c r="J1462" t="s">
        <v>294</v>
      </c>
      <c r="M1462" t="s">
        <v>295</v>
      </c>
      <c r="N1462" t="s">
        <v>296</v>
      </c>
      <c r="O1462" t="s">
        <v>297</v>
      </c>
    </row>
    <row r="1463" spans="1:15" x14ac:dyDescent="0.3">
      <c r="A1463" t="s">
        <v>2433</v>
      </c>
      <c r="B1463" t="s">
        <v>2583</v>
      </c>
      <c r="C1463">
        <v>2024</v>
      </c>
      <c r="D1463" t="s">
        <v>300</v>
      </c>
      <c r="E1463" t="s">
        <v>1581</v>
      </c>
      <c r="F1463">
        <v>815.77700000000004</v>
      </c>
      <c r="G1463" t="s">
        <v>302</v>
      </c>
      <c r="H1463">
        <v>200</v>
      </c>
      <c r="I1463" t="s">
        <v>2605</v>
      </c>
      <c r="J1463" t="s">
        <v>294</v>
      </c>
      <c r="M1463" t="s">
        <v>295</v>
      </c>
      <c r="N1463" t="s">
        <v>296</v>
      </c>
      <c r="O1463" t="s">
        <v>297</v>
      </c>
    </row>
    <row r="1464" spans="1:15" x14ac:dyDescent="0.3">
      <c r="A1464" t="s">
        <v>2433</v>
      </c>
      <c r="B1464" t="s">
        <v>2583</v>
      </c>
      <c r="C1464">
        <v>2024</v>
      </c>
      <c r="D1464" t="s">
        <v>300</v>
      </c>
      <c r="E1464" t="s">
        <v>2469</v>
      </c>
      <c r="F1464">
        <v>676.56899999999996</v>
      </c>
      <c r="G1464" t="s">
        <v>302</v>
      </c>
      <c r="H1464">
        <v>201</v>
      </c>
      <c r="I1464" t="s">
        <v>2606</v>
      </c>
      <c r="J1464" t="s">
        <v>294</v>
      </c>
      <c r="M1464" t="s">
        <v>295</v>
      </c>
      <c r="N1464" t="s">
        <v>296</v>
      </c>
      <c r="O1464" t="s">
        <v>297</v>
      </c>
    </row>
    <row r="1465" spans="1:15" x14ac:dyDescent="0.3">
      <c r="A1465" t="s">
        <v>2433</v>
      </c>
      <c r="B1465" t="s">
        <v>2583</v>
      </c>
      <c r="C1465">
        <v>2024</v>
      </c>
      <c r="D1465" t="s">
        <v>300</v>
      </c>
      <c r="E1465" t="s">
        <v>2391</v>
      </c>
      <c r="F1465">
        <v>661.94500000000005</v>
      </c>
      <c r="G1465" t="s">
        <v>302</v>
      </c>
      <c r="H1465">
        <v>201</v>
      </c>
      <c r="I1465" t="s">
        <v>2607</v>
      </c>
      <c r="J1465" t="s">
        <v>294</v>
      </c>
      <c r="M1465" t="s">
        <v>295</v>
      </c>
      <c r="N1465" t="s">
        <v>296</v>
      </c>
      <c r="O1465" t="s">
        <v>297</v>
      </c>
    </row>
    <row r="1466" spans="1:15" x14ac:dyDescent="0.3">
      <c r="A1466" t="s">
        <v>2433</v>
      </c>
      <c r="B1466" t="s">
        <v>2583</v>
      </c>
      <c r="C1466">
        <v>2024</v>
      </c>
      <c r="D1466" t="s">
        <v>300</v>
      </c>
      <c r="E1466" t="s">
        <v>2559</v>
      </c>
      <c r="F1466">
        <v>2175.625</v>
      </c>
      <c r="G1466" t="s">
        <v>302</v>
      </c>
      <c r="H1466">
        <v>201</v>
      </c>
      <c r="I1466" t="s">
        <v>2608</v>
      </c>
      <c r="J1466" t="s">
        <v>294</v>
      </c>
      <c r="M1466" t="s">
        <v>295</v>
      </c>
      <c r="N1466" t="s">
        <v>296</v>
      </c>
      <c r="O1466" t="s">
        <v>297</v>
      </c>
    </row>
    <row r="1467" spans="1:15" x14ac:dyDescent="0.3">
      <c r="A1467" t="s">
        <v>2433</v>
      </c>
      <c r="B1467" t="s">
        <v>2583</v>
      </c>
      <c r="C1467">
        <v>2024</v>
      </c>
      <c r="D1467" t="s">
        <v>300</v>
      </c>
      <c r="E1467" t="s">
        <v>601</v>
      </c>
      <c r="F1467">
        <v>1706.1220000000001</v>
      </c>
      <c r="G1467" t="s">
        <v>302</v>
      </c>
      <c r="H1467">
        <v>12</v>
      </c>
      <c r="I1467" t="s">
        <v>2609</v>
      </c>
      <c r="J1467" t="s">
        <v>294</v>
      </c>
      <c r="M1467" t="s">
        <v>295</v>
      </c>
      <c r="N1467" t="s">
        <v>296</v>
      </c>
      <c r="O1467" t="s">
        <v>297</v>
      </c>
    </row>
    <row r="1468" spans="1:15" x14ac:dyDescent="0.3">
      <c r="A1468" t="s">
        <v>2433</v>
      </c>
      <c r="B1468" t="s">
        <v>2583</v>
      </c>
      <c r="C1468">
        <v>2024</v>
      </c>
      <c r="D1468" t="s">
        <v>300</v>
      </c>
      <c r="E1468" t="s">
        <v>2610</v>
      </c>
      <c r="F1468">
        <v>516.22299999999996</v>
      </c>
      <c r="G1468" t="s">
        <v>302</v>
      </c>
      <c r="H1468">
        <v>207</v>
      </c>
      <c r="I1468" t="s">
        <v>2611</v>
      </c>
      <c r="J1468" t="s">
        <v>294</v>
      </c>
      <c r="M1468" t="s">
        <v>295</v>
      </c>
      <c r="N1468" t="s">
        <v>296</v>
      </c>
      <c r="O1468" t="s">
        <v>297</v>
      </c>
    </row>
    <row r="1469" spans="1:15" x14ac:dyDescent="0.3">
      <c r="A1469" t="s">
        <v>2433</v>
      </c>
      <c r="B1469" t="s">
        <v>2583</v>
      </c>
      <c r="C1469">
        <v>2024</v>
      </c>
      <c r="D1469" t="s">
        <v>300</v>
      </c>
      <c r="E1469" t="s">
        <v>2485</v>
      </c>
      <c r="F1469">
        <v>523.88099999999997</v>
      </c>
      <c r="G1469" t="s">
        <v>302</v>
      </c>
      <c r="H1469">
        <v>315</v>
      </c>
      <c r="I1469" t="s">
        <v>2612</v>
      </c>
      <c r="J1469" t="s">
        <v>294</v>
      </c>
      <c r="M1469" t="s">
        <v>295</v>
      </c>
      <c r="N1469" t="s">
        <v>296</v>
      </c>
      <c r="O1469" t="s">
        <v>297</v>
      </c>
    </row>
    <row r="1470" spans="1:15" x14ac:dyDescent="0.3">
      <c r="A1470" t="s">
        <v>2433</v>
      </c>
      <c r="B1470" t="s">
        <v>2583</v>
      </c>
      <c r="C1470">
        <v>2024</v>
      </c>
      <c r="D1470" t="s">
        <v>300</v>
      </c>
      <c r="E1470" t="s">
        <v>1794</v>
      </c>
      <c r="F1470">
        <v>5400</v>
      </c>
      <c r="G1470" t="s">
        <v>912</v>
      </c>
      <c r="H1470">
        <v>16</v>
      </c>
      <c r="I1470" t="s">
        <v>2613</v>
      </c>
      <c r="J1470" t="s">
        <v>294</v>
      </c>
      <c r="M1470" t="s">
        <v>295</v>
      </c>
      <c r="N1470" t="s">
        <v>296</v>
      </c>
      <c r="O1470" t="s">
        <v>297</v>
      </c>
    </row>
    <row r="1471" spans="1:15" x14ac:dyDescent="0.3">
      <c r="A1471" t="s">
        <v>2433</v>
      </c>
      <c r="B1471" t="s">
        <v>2583</v>
      </c>
      <c r="C1471">
        <v>2024</v>
      </c>
      <c r="D1471" t="s">
        <v>300</v>
      </c>
      <c r="E1471" t="s">
        <v>2614</v>
      </c>
      <c r="F1471">
        <v>19598.824000000001</v>
      </c>
      <c r="G1471" t="s">
        <v>302</v>
      </c>
      <c r="H1471">
        <v>16</v>
      </c>
      <c r="I1471" t="s">
        <v>2615</v>
      </c>
      <c r="J1471" t="s">
        <v>294</v>
      </c>
      <c r="M1471" t="s">
        <v>295</v>
      </c>
      <c r="N1471" t="s">
        <v>296</v>
      </c>
      <c r="O1471" t="s">
        <v>297</v>
      </c>
    </row>
    <row r="1472" spans="1:15" x14ac:dyDescent="0.3">
      <c r="A1472" t="s">
        <v>2433</v>
      </c>
      <c r="B1472" t="s">
        <v>2583</v>
      </c>
      <c r="C1472">
        <v>2024</v>
      </c>
      <c r="D1472" t="s">
        <v>358</v>
      </c>
      <c r="E1472" t="s">
        <v>1465</v>
      </c>
      <c r="F1472">
        <v>88701</v>
      </c>
      <c r="G1472" t="s">
        <v>360</v>
      </c>
      <c r="H1472">
        <v>13</v>
      </c>
      <c r="I1472" t="s">
        <v>2616</v>
      </c>
      <c r="J1472" t="s">
        <v>294</v>
      </c>
      <c r="M1472" t="s">
        <v>295</v>
      </c>
      <c r="N1472" t="s">
        <v>296</v>
      </c>
      <c r="O1472" t="s">
        <v>297</v>
      </c>
    </row>
    <row r="1473" spans="1:15" x14ac:dyDescent="0.3">
      <c r="A1473" t="s">
        <v>2433</v>
      </c>
      <c r="B1473" t="s">
        <v>2583</v>
      </c>
      <c r="C1473">
        <v>2024</v>
      </c>
      <c r="D1473" t="s">
        <v>358</v>
      </c>
      <c r="E1473" t="s">
        <v>1467</v>
      </c>
      <c r="F1473">
        <v>87633</v>
      </c>
      <c r="G1473" t="s">
        <v>360</v>
      </c>
      <c r="H1473">
        <v>13</v>
      </c>
      <c r="I1473" t="s">
        <v>2617</v>
      </c>
      <c r="J1473" t="s">
        <v>294</v>
      </c>
      <c r="M1473" t="s">
        <v>295</v>
      </c>
      <c r="N1473" t="s">
        <v>296</v>
      </c>
      <c r="O1473" t="s">
        <v>297</v>
      </c>
    </row>
    <row r="1474" spans="1:15" x14ac:dyDescent="0.3">
      <c r="A1474" t="s">
        <v>2433</v>
      </c>
      <c r="B1474" t="s">
        <v>2583</v>
      </c>
      <c r="C1474">
        <v>2024</v>
      </c>
      <c r="D1474" t="s">
        <v>358</v>
      </c>
      <c r="E1474" t="s">
        <v>1996</v>
      </c>
      <c r="F1474">
        <v>1068</v>
      </c>
      <c r="G1474" t="s">
        <v>360</v>
      </c>
      <c r="H1474">
        <v>13</v>
      </c>
      <c r="I1474" t="s">
        <v>2618</v>
      </c>
      <c r="J1474" t="s">
        <v>294</v>
      </c>
      <c r="M1474" t="s">
        <v>295</v>
      </c>
      <c r="N1474" t="s">
        <v>296</v>
      </c>
      <c r="O1474" t="s">
        <v>297</v>
      </c>
    </row>
    <row r="1475" spans="1:15" x14ac:dyDescent="0.3">
      <c r="A1475" t="s">
        <v>2433</v>
      </c>
      <c r="B1475" t="s">
        <v>2583</v>
      </c>
      <c r="C1475">
        <v>2024</v>
      </c>
      <c r="D1475" t="s">
        <v>358</v>
      </c>
      <c r="E1475" t="s">
        <v>2619</v>
      </c>
      <c r="F1475">
        <v>50066</v>
      </c>
      <c r="G1475" t="s">
        <v>360</v>
      </c>
      <c r="H1475">
        <v>48</v>
      </c>
      <c r="I1475" t="s">
        <v>2620</v>
      </c>
      <c r="J1475" t="s">
        <v>294</v>
      </c>
      <c r="M1475" t="s">
        <v>295</v>
      </c>
      <c r="N1475" t="s">
        <v>296</v>
      </c>
      <c r="O1475" t="s">
        <v>297</v>
      </c>
    </row>
    <row r="1476" spans="1:15" x14ac:dyDescent="0.3">
      <c r="A1476" t="s">
        <v>2433</v>
      </c>
      <c r="B1476" t="s">
        <v>2583</v>
      </c>
      <c r="C1476">
        <v>2024</v>
      </c>
      <c r="D1476" t="s">
        <v>358</v>
      </c>
      <c r="E1476" t="s">
        <v>2621</v>
      </c>
      <c r="F1476">
        <v>34286</v>
      </c>
      <c r="G1476" t="s">
        <v>360</v>
      </c>
      <c r="H1476">
        <v>48</v>
      </c>
      <c r="I1476" t="s">
        <v>2622</v>
      </c>
      <c r="J1476" t="s">
        <v>294</v>
      </c>
      <c r="M1476" t="s">
        <v>295</v>
      </c>
      <c r="N1476" t="s">
        <v>296</v>
      </c>
      <c r="O1476" t="s">
        <v>297</v>
      </c>
    </row>
    <row r="1477" spans="1:15" x14ac:dyDescent="0.3">
      <c r="A1477" t="s">
        <v>2433</v>
      </c>
      <c r="B1477" t="s">
        <v>2583</v>
      </c>
      <c r="C1477">
        <v>2024</v>
      </c>
      <c r="D1477" t="s">
        <v>358</v>
      </c>
      <c r="E1477" t="s">
        <v>2502</v>
      </c>
      <c r="F1477">
        <v>5</v>
      </c>
      <c r="G1477" t="s">
        <v>2253</v>
      </c>
      <c r="H1477">
        <v>48</v>
      </c>
      <c r="I1477" t="s">
        <v>2623</v>
      </c>
      <c r="J1477" t="s">
        <v>294</v>
      </c>
      <c r="M1477" t="s">
        <v>295</v>
      </c>
      <c r="N1477" t="s">
        <v>296</v>
      </c>
      <c r="O1477" t="s">
        <v>297</v>
      </c>
    </row>
    <row r="1478" spans="1:15" x14ac:dyDescent="0.3">
      <c r="A1478" t="s">
        <v>2433</v>
      </c>
      <c r="B1478" t="s">
        <v>2583</v>
      </c>
      <c r="C1478">
        <v>2024</v>
      </c>
      <c r="D1478" t="s">
        <v>358</v>
      </c>
      <c r="E1478" t="s">
        <v>2504</v>
      </c>
      <c r="F1478">
        <v>1</v>
      </c>
      <c r="G1478" t="s">
        <v>2505</v>
      </c>
      <c r="H1478">
        <v>48</v>
      </c>
      <c r="I1478" t="s">
        <v>2570</v>
      </c>
      <c r="J1478" t="s">
        <v>294</v>
      </c>
      <c r="M1478" t="s">
        <v>295</v>
      </c>
      <c r="N1478" t="s">
        <v>296</v>
      </c>
      <c r="O1478" t="s">
        <v>297</v>
      </c>
    </row>
    <row r="1479" spans="1:15" x14ac:dyDescent="0.3">
      <c r="A1479" t="s">
        <v>2433</v>
      </c>
      <c r="B1479" t="s">
        <v>2583</v>
      </c>
      <c r="C1479">
        <v>2024</v>
      </c>
      <c r="D1479" t="s">
        <v>394</v>
      </c>
      <c r="E1479" t="s">
        <v>1543</v>
      </c>
      <c r="F1479">
        <v>1312257</v>
      </c>
      <c r="G1479" t="s">
        <v>1453</v>
      </c>
      <c r="H1479">
        <v>13</v>
      </c>
      <c r="I1479" t="s">
        <v>2624</v>
      </c>
      <c r="J1479" t="s">
        <v>294</v>
      </c>
      <c r="M1479" t="s">
        <v>295</v>
      </c>
      <c r="N1479" t="s">
        <v>296</v>
      </c>
      <c r="O1479" t="s">
        <v>297</v>
      </c>
    </row>
    <row r="1480" spans="1:15" x14ac:dyDescent="0.3">
      <c r="A1480" t="s">
        <v>2433</v>
      </c>
      <c r="B1480" t="s">
        <v>2583</v>
      </c>
      <c r="C1480">
        <v>2024</v>
      </c>
      <c r="D1480" t="s">
        <v>394</v>
      </c>
      <c r="E1480" t="s">
        <v>1452</v>
      </c>
      <c r="F1480">
        <v>297758</v>
      </c>
      <c r="G1480" t="s">
        <v>1453</v>
      </c>
      <c r="H1480">
        <v>14</v>
      </c>
      <c r="I1480" t="s">
        <v>2625</v>
      </c>
      <c r="J1480" t="s">
        <v>294</v>
      </c>
      <c r="M1480" t="s">
        <v>295</v>
      </c>
      <c r="N1480" t="s">
        <v>296</v>
      </c>
      <c r="O1480" t="s">
        <v>297</v>
      </c>
    </row>
    <row r="1481" spans="1:15" x14ac:dyDescent="0.3">
      <c r="A1481" t="s">
        <v>2433</v>
      </c>
      <c r="B1481" t="s">
        <v>2583</v>
      </c>
      <c r="C1481">
        <v>2024</v>
      </c>
      <c r="D1481" t="s">
        <v>394</v>
      </c>
      <c r="E1481" t="s">
        <v>1455</v>
      </c>
      <c r="F1481">
        <v>52859</v>
      </c>
      <c r="G1481" t="s">
        <v>1453</v>
      </c>
      <c r="H1481">
        <v>14</v>
      </c>
      <c r="I1481" t="s">
        <v>2626</v>
      </c>
      <c r="J1481" t="s">
        <v>294</v>
      </c>
      <c r="M1481" t="s">
        <v>295</v>
      </c>
      <c r="N1481" t="s">
        <v>296</v>
      </c>
      <c r="O1481" t="s">
        <v>297</v>
      </c>
    </row>
    <row r="1482" spans="1:15" x14ac:dyDescent="0.3">
      <c r="A1482" t="s">
        <v>2433</v>
      </c>
      <c r="B1482" t="s">
        <v>2583</v>
      </c>
      <c r="C1482">
        <v>2024</v>
      </c>
      <c r="D1482" t="s">
        <v>394</v>
      </c>
      <c r="E1482" t="s">
        <v>2272</v>
      </c>
      <c r="F1482">
        <v>13692</v>
      </c>
      <c r="G1482" t="s">
        <v>1453</v>
      </c>
      <c r="H1482">
        <v>14</v>
      </c>
      <c r="I1482" t="s">
        <v>2627</v>
      </c>
      <c r="J1482" t="s">
        <v>294</v>
      </c>
      <c r="M1482" t="s">
        <v>295</v>
      </c>
      <c r="N1482" t="s">
        <v>296</v>
      </c>
      <c r="O1482" t="s">
        <v>297</v>
      </c>
    </row>
    <row r="1483" spans="1:15" x14ac:dyDescent="0.3">
      <c r="A1483" t="s">
        <v>2433</v>
      </c>
      <c r="B1483" t="s">
        <v>2583</v>
      </c>
      <c r="C1483">
        <v>2024</v>
      </c>
      <c r="D1483" t="s">
        <v>394</v>
      </c>
      <c r="E1483" t="s">
        <v>2514</v>
      </c>
      <c r="F1483">
        <v>15452</v>
      </c>
      <c r="G1483" t="s">
        <v>1453</v>
      </c>
      <c r="H1483">
        <v>14</v>
      </c>
      <c r="I1483" t="s">
        <v>2628</v>
      </c>
      <c r="J1483" t="s">
        <v>294</v>
      </c>
      <c r="M1483" t="s">
        <v>295</v>
      </c>
      <c r="N1483" t="s">
        <v>296</v>
      </c>
      <c r="O1483" t="s">
        <v>297</v>
      </c>
    </row>
    <row r="1484" spans="1:15" x14ac:dyDescent="0.3">
      <c r="A1484" t="s">
        <v>2433</v>
      </c>
      <c r="B1484" t="s">
        <v>2583</v>
      </c>
      <c r="C1484">
        <v>2024</v>
      </c>
      <c r="D1484" t="s">
        <v>394</v>
      </c>
      <c r="E1484" t="s">
        <v>2107</v>
      </c>
      <c r="F1484">
        <v>14.97</v>
      </c>
      <c r="G1484" t="s">
        <v>2022</v>
      </c>
      <c r="H1484">
        <v>14</v>
      </c>
      <c r="I1484" t="s">
        <v>2629</v>
      </c>
      <c r="J1484" t="s">
        <v>294</v>
      </c>
      <c r="M1484" t="s">
        <v>295</v>
      </c>
      <c r="N1484" t="s">
        <v>296</v>
      </c>
      <c r="O1484" t="s">
        <v>297</v>
      </c>
    </row>
    <row r="1485" spans="1:15" x14ac:dyDescent="0.3">
      <c r="A1485" t="s">
        <v>2433</v>
      </c>
      <c r="B1485" t="s">
        <v>2583</v>
      </c>
      <c r="C1485">
        <v>2024</v>
      </c>
      <c r="D1485" t="s">
        <v>394</v>
      </c>
      <c r="E1485" t="s">
        <v>2517</v>
      </c>
      <c r="F1485">
        <v>3.4</v>
      </c>
      <c r="G1485" t="s">
        <v>2022</v>
      </c>
      <c r="H1485">
        <v>14</v>
      </c>
      <c r="I1485" t="s">
        <v>2630</v>
      </c>
      <c r="J1485" t="s">
        <v>294</v>
      </c>
      <c r="M1485" t="s">
        <v>295</v>
      </c>
      <c r="N1485" t="s">
        <v>296</v>
      </c>
      <c r="O1485" t="s">
        <v>297</v>
      </c>
    </row>
    <row r="1486" spans="1:15" x14ac:dyDescent="0.3">
      <c r="A1486" t="s">
        <v>2433</v>
      </c>
      <c r="B1486" t="s">
        <v>2583</v>
      </c>
      <c r="C1486">
        <v>2024</v>
      </c>
      <c r="D1486" t="s">
        <v>394</v>
      </c>
      <c r="E1486" t="s">
        <v>2519</v>
      </c>
      <c r="F1486">
        <v>282610</v>
      </c>
      <c r="G1486" t="s">
        <v>1453</v>
      </c>
      <c r="H1486">
        <v>14</v>
      </c>
      <c r="I1486" t="s">
        <v>2631</v>
      </c>
      <c r="J1486" t="s">
        <v>294</v>
      </c>
      <c r="M1486" t="s">
        <v>295</v>
      </c>
      <c r="N1486" t="s">
        <v>296</v>
      </c>
      <c r="O1486" t="s">
        <v>297</v>
      </c>
    </row>
    <row r="1487" spans="1:15" x14ac:dyDescent="0.3">
      <c r="A1487" t="s">
        <v>2433</v>
      </c>
      <c r="B1487" t="s">
        <v>2583</v>
      </c>
      <c r="C1487">
        <v>2024</v>
      </c>
      <c r="D1487" t="s">
        <v>394</v>
      </c>
      <c r="E1487" t="s">
        <v>2101</v>
      </c>
      <c r="F1487">
        <v>310839</v>
      </c>
      <c r="G1487" t="s">
        <v>1453</v>
      </c>
      <c r="H1487">
        <v>14</v>
      </c>
      <c r="I1487" t="s">
        <v>2632</v>
      </c>
      <c r="J1487" t="s">
        <v>294</v>
      </c>
      <c r="M1487" t="s">
        <v>295</v>
      </c>
      <c r="N1487" t="s">
        <v>296</v>
      </c>
      <c r="O1487" t="s">
        <v>297</v>
      </c>
    </row>
    <row r="1488" spans="1:15" x14ac:dyDescent="0.3">
      <c r="A1488" t="s">
        <v>2433</v>
      </c>
      <c r="B1488" t="s">
        <v>2583</v>
      </c>
      <c r="C1488">
        <v>2024</v>
      </c>
      <c r="D1488" t="s">
        <v>394</v>
      </c>
      <c r="E1488" t="s">
        <v>2522</v>
      </c>
      <c r="F1488">
        <v>43159</v>
      </c>
      <c r="G1488" t="s">
        <v>1453</v>
      </c>
      <c r="H1488">
        <v>14</v>
      </c>
      <c r="I1488" t="s">
        <v>2633</v>
      </c>
      <c r="J1488" t="s">
        <v>294</v>
      </c>
      <c r="M1488" t="s">
        <v>295</v>
      </c>
      <c r="N1488" t="s">
        <v>296</v>
      </c>
      <c r="O1488" t="s">
        <v>297</v>
      </c>
    </row>
    <row r="1489" spans="1:15" x14ac:dyDescent="0.3">
      <c r="A1489" t="s">
        <v>2433</v>
      </c>
      <c r="B1489" t="s">
        <v>2583</v>
      </c>
      <c r="C1489">
        <v>2024</v>
      </c>
      <c r="D1489" t="s">
        <v>394</v>
      </c>
      <c r="E1489" t="s">
        <v>2524</v>
      </c>
      <c r="F1489">
        <v>11992</v>
      </c>
      <c r="G1489" t="s">
        <v>1453</v>
      </c>
      <c r="H1489">
        <v>14</v>
      </c>
      <c r="I1489" t="s">
        <v>2634</v>
      </c>
      <c r="J1489" t="s">
        <v>294</v>
      </c>
      <c r="M1489" t="s">
        <v>295</v>
      </c>
      <c r="N1489" t="s">
        <v>296</v>
      </c>
      <c r="O1489" t="s">
        <v>297</v>
      </c>
    </row>
    <row r="1490" spans="1:15" x14ac:dyDescent="0.3">
      <c r="A1490" t="s">
        <v>2433</v>
      </c>
      <c r="B1490" t="s">
        <v>2583</v>
      </c>
      <c r="C1490">
        <v>2024</v>
      </c>
      <c r="D1490" t="s">
        <v>394</v>
      </c>
      <c r="E1490" t="s">
        <v>2526</v>
      </c>
      <c r="F1490">
        <v>14640</v>
      </c>
      <c r="G1490" t="s">
        <v>1453</v>
      </c>
      <c r="H1490">
        <v>14</v>
      </c>
      <c r="I1490" t="s">
        <v>2635</v>
      </c>
      <c r="J1490" t="s">
        <v>294</v>
      </c>
      <c r="M1490" t="s">
        <v>295</v>
      </c>
      <c r="N1490" t="s">
        <v>296</v>
      </c>
      <c r="O1490" t="s">
        <v>297</v>
      </c>
    </row>
    <row r="1491" spans="1:15" x14ac:dyDescent="0.3">
      <c r="A1491" t="s">
        <v>2636</v>
      </c>
      <c r="B1491" t="s">
        <v>2637</v>
      </c>
      <c r="C1491">
        <v>2022</v>
      </c>
      <c r="D1491" t="s">
        <v>272</v>
      </c>
      <c r="E1491" t="s">
        <v>1</v>
      </c>
      <c r="F1491" t="s">
        <v>2638</v>
      </c>
      <c r="H1491">
        <v>43</v>
      </c>
      <c r="I1491" t="s">
        <v>2639</v>
      </c>
      <c r="J1491" t="s">
        <v>294</v>
      </c>
      <c r="M1491" t="s">
        <v>295</v>
      </c>
      <c r="N1491" t="s">
        <v>296</v>
      </c>
      <c r="O1491" t="s">
        <v>297</v>
      </c>
    </row>
    <row r="1492" spans="1:15" x14ac:dyDescent="0.3">
      <c r="A1492" t="s">
        <v>2636</v>
      </c>
      <c r="B1492" t="s">
        <v>2637</v>
      </c>
      <c r="C1492">
        <v>2022</v>
      </c>
      <c r="D1492" t="s">
        <v>272</v>
      </c>
      <c r="E1492" t="s">
        <v>2640</v>
      </c>
      <c r="F1492" t="s">
        <v>2641</v>
      </c>
      <c r="H1492">
        <v>43</v>
      </c>
      <c r="I1492" t="s">
        <v>2642</v>
      </c>
      <c r="J1492" t="s">
        <v>294</v>
      </c>
      <c r="M1492" t="s">
        <v>295</v>
      </c>
      <c r="N1492" t="s">
        <v>296</v>
      </c>
      <c r="O1492" t="s">
        <v>297</v>
      </c>
    </row>
    <row r="1493" spans="1:15" x14ac:dyDescent="0.3">
      <c r="A1493" t="s">
        <v>2636</v>
      </c>
      <c r="B1493" t="s">
        <v>2637</v>
      </c>
      <c r="C1493">
        <v>2022</v>
      </c>
      <c r="D1493" t="s">
        <v>272</v>
      </c>
      <c r="E1493" t="s">
        <v>2643</v>
      </c>
      <c r="F1493" t="s">
        <v>2644</v>
      </c>
      <c r="H1493">
        <v>91</v>
      </c>
      <c r="I1493" t="s">
        <v>2645</v>
      </c>
      <c r="J1493" t="s">
        <v>294</v>
      </c>
      <c r="M1493" t="s">
        <v>295</v>
      </c>
      <c r="N1493" t="s">
        <v>296</v>
      </c>
      <c r="O1493" t="s">
        <v>297</v>
      </c>
    </row>
    <row r="1494" spans="1:15" x14ac:dyDescent="0.3">
      <c r="A1494" t="s">
        <v>2636</v>
      </c>
      <c r="B1494" t="s">
        <v>2637</v>
      </c>
      <c r="C1494">
        <v>2022</v>
      </c>
      <c r="D1494" t="s">
        <v>272</v>
      </c>
      <c r="E1494" t="s">
        <v>2646</v>
      </c>
      <c r="F1494">
        <v>0.79059999999999997</v>
      </c>
      <c r="G1494" t="s">
        <v>2647</v>
      </c>
      <c r="H1494">
        <v>42</v>
      </c>
      <c r="I1494" t="s">
        <v>2648</v>
      </c>
      <c r="J1494" t="s">
        <v>294</v>
      </c>
      <c r="M1494" t="s">
        <v>295</v>
      </c>
      <c r="N1494" t="s">
        <v>296</v>
      </c>
      <c r="O1494" t="s">
        <v>297</v>
      </c>
    </row>
    <row r="1495" spans="1:15" x14ac:dyDescent="0.3">
      <c r="A1495" t="s">
        <v>2636</v>
      </c>
      <c r="B1495" t="s">
        <v>2637</v>
      </c>
      <c r="C1495">
        <v>2022</v>
      </c>
      <c r="D1495" t="s">
        <v>272</v>
      </c>
      <c r="E1495" t="s">
        <v>2649</v>
      </c>
      <c r="F1495">
        <v>0.1042</v>
      </c>
      <c r="G1495" t="s">
        <v>2647</v>
      </c>
      <c r="H1495">
        <v>42</v>
      </c>
      <c r="I1495" t="s">
        <v>2650</v>
      </c>
      <c r="J1495" t="s">
        <v>294</v>
      </c>
      <c r="M1495" t="s">
        <v>295</v>
      </c>
      <c r="N1495" t="s">
        <v>296</v>
      </c>
      <c r="O1495" t="s">
        <v>297</v>
      </c>
    </row>
    <row r="1496" spans="1:15" x14ac:dyDescent="0.3">
      <c r="A1496" t="s">
        <v>2636</v>
      </c>
      <c r="B1496" t="s">
        <v>2637</v>
      </c>
      <c r="C1496">
        <v>2022</v>
      </c>
      <c r="D1496" t="s">
        <v>272</v>
      </c>
      <c r="E1496" t="s">
        <v>2651</v>
      </c>
      <c r="F1496">
        <v>0.1052</v>
      </c>
      <c r="G1496" t="s">
        <v>2647</v>
      </c>
      <c r="H1496">
        <v>42</v>
      </c>
      <c r="I1496" t="s">
        <v>2652</v>
      </c>
      <c r="J1496" t="s">
        <v>294</v>
      </c>
      <c r="M1496" t="s">
        <v>295</v>
      </c>
      <c r="N1496" t="s">
        <v>296</v>
      </c>
      <c r="O1496" t="s">
        <v>297</v>
      </c>
    </row>
    <row r="1497" spans="1:15" x14ac:dyDescent="0.3">
      <c r="A1497" t="s">
        <v>2636</v>
      </c>
      <c r="B1497" t="s">
        <v>2637</v>
      </c>
      <c r="C1497">
        <v>2022</v>
      </c>
      <c r="D1497" t="s">
        <v>300</v>
      </c>
      <c r="E1497" t="s">
        <v>301</v>
      </c>
      <c r="F1497">
        <v>1565130699</v>
      </c>
      <c r="G1497" t="s">
        <v>2644</v>
      </c>
      <c r="H1497">
        <v>7</v>
      </c>
      <c r="I1497" t="s">
        <v>2653</v>
      </c>
      <c r="J1497" t="s">
        <v>294</v>
      </c>
      <c r="M1497" t="s">
        <v>295</v>
      </c>
      <c r="N1497" t="s">
        <v>296</v>
      </c>
      <c r="O1497" t="s">
        <v>297</v>
      </c>
    </row>
    <row r="1498" spans="1:15" x14ac:dyDescent="0.3">
      <c r="A1498" t="s">
        <v>2636</v>
      </c>
      <c r="B1498" t="s">
        <v>2637</v>
      </c>
      <c r="C1498">
        <v>2022</v>
      </c>
      <c r="D1498" t="s">
        <v>300</v>
      </c>
      <c r="E1498" t="s">
        <v>304</v>
      </c>
      <c r="F1498">
        <v>83729361</v>
      </c>
      <c r="G1498" t="s">
        <v>2644</v>
      </c>
      <c r="H1498">
        <v>7</v>
      </c>
      <c r="I1498" t="s">
        <v>2654</v>
      </c>
      <c r="J1498" t="s">
        <v>294</v>
      </c>
      <c r="M1498" t="s">
        <v>295</v>
      </c>
      <c r="N1498" t="s">
        <v>296</v>
      </c>
      <c r="O1498" t="s">
        <v>297</v>
      </c>
    </row>
    <row r="1499" spans="1:15" x14ac:dyDescent="0.3">
      <c r="A1499" t="s">
        <v>2636</v>
      </c>
      <c r="B1499" t="s">
        <v>2637</v>
      </c>
      <c r="C1499">
        <v>2022</v>
      </c>
      <c r="D1499" t="s">
        <v>300</v>
      </c>
      <c r="E1499" t="s">
        <v>1112</v>
      </c>
      <c r="F1499">
        <v>50367429</v>
      </c>
      <c r="G1499" t="s">
        <v>2644</v>
      </c>
      <c r="H1499">
        <v>7</v>
      </c>
      <c r="I1499" t="s">
        <v>2655</v>
      </c>
      <c r="J1499" t="s">
        <v>294</v>
      </c>
      <c r="M1499" t="s">
        <v>295</v>
      </c>
      <c r="N1499" t="s">
        <v>296</v>
      </c>
      <c r="O1499" t="s">
        <v>297</v>
      </c>
    </row>
    <row r="1500" spans="1:15" x14ac:dyDescent="0.3">
      <c r="A1500" t="s">
        <v>2636</v>
      </c>
      <c r="B1500" t="s">
        <v>2637</v>
      </c>
      <c r="C1500">
        <v>2022</v>
      </c>
      <c r="D1500" t="s">
        <v>300</v>
      </c>
      <c r="E1500" t="s">
        <v>306</v>
      </c>
      <c r="F1500">
        <v>32756494</v>
      </c>
      <c r="G1500" t="s">
        <v>2644</v>
      </c>
      <c r="H1500">
        <v>7</v>
      </c>
      <c r="I1500" t="s">
        <v>2656</v>
      </c>
      <c r="J1500" t="s">
        <v>294</v>
      </c>
      <c r="M1500" t="s">
        <v>295</v>
      </c>
      <c r="N1500" t="s">
        <v>296</v>
      </c>
      <c r="O1500" t="s">
        <v>297</v>
      </c>
    </row>
    <row r="1501" spans="1:15" x14ac:dyDescent="0.3">
      <c r="A1501" t="s">
        <v>2636</v>
      </c>
      <c r="B1501" t="s">
        <v>2637</v>
      </c>
      <c r="C1501">
        <v>2022</v>
      </c>
      <c r="D1501" t="s">
        <v>300</v>
      </c>
      <c r="E1501" t="s">
        <v>308</v>
      </c>
      <c r="F1501">
        <v>32243358</v>
      </c>
      <c r="G1501" t="s">
        <v>2644</v>
      </c>
      <c r="H1501">
        <v>7</v>
      </c>
      <c r="I1501" t="s">
        <v>2657</v>
      </c>
      <c r="J1501" t="s">
        <v>294</v>
      </c>
      <c r="M1501" t="s">
        <v>295</v>
      </c>
      <c r="N1501" t="s">
        <v>296</v>
      </c>
      <c r="O1501" t="s">
        <v>297</v>
      </c>
    </row>
    <row r="1502" spans="1:15" x14ac:dyDescent="0.3">
      <c r="A1502" t="s">
        <v>2636</v>
      </c>
      <c r="B1502" t="s">
        <v>2637</v>
      </c>
      <c r="C1502">
        <v>2022</v>
      </c>
      <c r="D1502" t="s">
        <v>300</v>
      </c>
      <c r="E1502" t="s">
        <v>2658</v>
      </c>
      <c r="F1502">
        <v>6.7000000000000004E-2</v>
      </c>
      <c r="G1502" t="s">
        <v>908</v>
      </c>
      <c r="H1502">
        <v>7</v>
      </c>
      <c r="I1502" t="s">
        <v>2659</v>
      </c>
      <c r="J1502" t="s">
        <v>294</v>
      </c>
      <c r="M1502" t="s">
        <v>295</v>
      </c>
      <c r="N1502" t="s">
        <v>296</v>
      </c>
      <c r="O1502" t="s">
        <v>297</v>
      </c>
    </row>
    <row r="1503" spans="1:15" x14ac:dyDescent="0.3">
      <c r="A1503" t="s">
        <v>2636</v>
      </c>
      <c r="B1503" t="s">
        <v>2637</v>
      </c>
      <c r="C1503">
        <v>2022</v>
      </c>
      <c r="D1503" t="s">
        <v>300</v>
      </c>
      <c r="E1503" t="s">
        <v>316</v>
      </c>
      <c r="F1503">
        <v>461463695</v>
      </c>
      <c r="G1503" t="s">
        <v>2644</v>
      </c>
      <c r="H1503">
        <v>8</v>
      </c>
      <c r="I1503" t="s">
        <v>2660</v>
      </c>
      <c r="J1503" t="s">
        <v>294</v>
      </c>
      <c r="M1503" t="s">
        <v>295</v>
      </c>
      <c r="N1503" t="s">
        <v>296</v>
      </c>
      <c r="O1503" t="s">
        <v>297</v>
      </c>
    </row>
    <row r="1504" spans="1:15" x14ac:dyDescent="0.3">
      <c r="A1504" t="s">
        <v>2636</v>
      </c>
      <c r="B1504" t="s">
        <v>2637</v>
      </c>
      <c r="C1504">
        <v>2022</v>
      </c>
      <c r="D1504" t="s">
        <v>300</v>
      </c>
      <c r="E1504" t="s">
        <v>312</v>
      </c>
      <c r="F1504">
        <v>339299923</v>
      </c>
      <c r="G1504" t="s">
        <v>2644</v>
      </c>
      <c r="H1504">
        <v>8</v>
      </c>
      <c r="I1504" t="s">
        <v>2661</v>
      </c>
      <c r="J1504" t="s">
        <v>294</v>
      </c>
      <c r="M1504" t="s">
        <v>295</v>
      </c>
      <c r="N1504" t="s">
        <v>296</v>
      </c>
      <c r="O1504" t="s">
        <v>297</v>
      </c>
    </row>
    <row r="1505" spans="1:15" x14ac:dyDescent="0.3">
      <c r="A1505" t="s">
        <v>2636</v>
      </c>
      <c r="B1505" t="s">
        <v>2637</v>
      </c>
      <c r="C1505">
        <v>2022</v>
      </c>
      <c r="D1505" t="s">
        <v>300</v>
      </c>
      <c r="E1505" t="s">
        <v>314</v>
      </c>
      <c r="F1505">
        <v>122163772</v>
      </c>
      <c r="G1505" t="s">
        <v>2644</v>
      </c>
      <c r="H1505">
        <v>8</v>
      </c>
      <c r="I1505" t="s">
        <v>2662</v>
      </c>
      <c r="J1505" t="s">
        <v>294</v>
      </c>
      <c r="M1505" t="s">
        <v>295</v>
      </c>
      <c r="N1505" t="s">
        <v>296</v>
      </c>
      <c r="O1505" t="s">
        <v>297</v>
      </c>
    </row>
    <row r="1506" spans="1:15" x14ac:dyDescent="0.3">
      <c r="A1506" t="s">
        <v>2636</v>
      </c>
      <c r="B1506" t="s">
        <v>2637</v>
      </c>
      <c r="C1506">
        <v>2022</v>
      </c>
      <c r="D1506" t="s">
        <v>300</v>
      </c>
      <c r="E1506" t="s">
        <v>322</v>
      </c>
      <c r="F1506">
        <v>294069760</v>
      </c>
      <c r="G1506" t="s">
        <v>2644</v>
      </c>
      <c r="H1506">
        <v>8</v>
      </c>
      <c r="I1506" t="s">
        <v>2663</v>
      </c>
      <c r="J1506" t="s">
        <v>294</v>
      </c>
      <c r="M1506" t="s">
        <v>295</v>
      </c>
      <c r="N1506" t="s">
        <v>296</v>
      </c>
      <c r="O1506" t="s">
        <v>297</v>
      </c>
    </row>
    <row r="1507" spans="1:15" x14ac:dyDescent="0.3">
      <c r="A1507" t="s">
        <v>2636</v>
      </c>
      <c r="B1507" t="s">
        <v>2637</v>
      </c>
      <c r="C1507">
        <v>2022</v>
      </c>
      <c r="D1507" t="s">
        <v>300</v>
      </c>
      <c r="E1507" t="s">
        <v>318</v>
      </c>
      <c r="F1507">
        <v>234121571</v>
      </c>
      <c r="G1507" t="s">
        <v>2644</v>
      </c>
      <c r="H1507">
        <v>8</v>
      </c>
      <c r="I1507" t="s">
        <v>2664</v>
      </c>
      <c r="J1507" t="s">
        <v>294</v>
      </c>
      <c r="M1507" t="s">
        <v>295</v>
      </c>
      <c r="N1507" t="s">
        <v>296</v>
      </c>
      <c r="O1507" t="s">
        <v>297</v>
      </c>
    </row>
    <row r="1508" spans="1:15" x14ac:dyDescent="0.3">
      <c r="A1508" t="s">
        <v>2636</v>
      </c>
      <c r="B1508" t="s">
        <v>2637</v>
      </c>
      <c r="C1508">
        <v>2022</v>
      </c>
      <c r="D1508" t="s">
        <v>300</v>
      </c>
      <c r="E1508" t="s">
        <v>468</v>
      </c>
      <c r="F1508">
        <v>59948189</v>
      </c>
      <c r="G1508" t="s">
        <v>2644</v>
      </c>
      <c r="H1508">
        <v>8</v>
      </c>
      <c r="I1508" t="s">
        <v>2665</v>
      </c>
      <c r="J1508" t="s">
        <v>294</v>
      </c>
      <c r="M1508" t="s">
        <v>295</v>
      </c>
      <c r="N1508" t="s">
        <v>296</v>
      </c>
      <c r="O1508" t="s">
        <v>297</v>
      </c>
    </row>
    <row r="1509" spans="1:15" x14ac:dyDescent="0.3">
      <c r="A1509" t="s">
        <v>2636</v>
      </c>
      <c r="B1509" t="s">
        <v>2637</v>
      </c>
      <c r="C1509">
        <v>2022</v>
      </c>
      <c r="D1509" t="s">
        <v>300</v>
      </c>
      <c r="E1509" t="s">
        <v>324</v>
      </c>
      <c r="F1509">
        <v>167393935</v>
      </c>
      <c r="G1509" t="s">
        <v>2644</v>
      </c>
      <c r="H1509">
        <v>8</v>
      </c>
      <c r="I1509" t="s">
        <v>2666</v>
      </c>
      <c r="J1509" t="s">
        <v>294</v>
      </c>
      <c r="M1509" t="s">
        <v>295</v>
      </c>
      <c r="N1509" t="s">
        <v>296</v>
      </c>
      <c r="O1509" t="s">
        <v>297</v>
      </c>
    </row>
    <row r="1510" spans="1:15" x14ac:dyDescent="0.3">
      <c r="A1510" t="s">
        <v>2636</v>
      </c>
      <c r="B1510" t="s">
        <v>2637</v>
      </c>
      <c r="C1510">
        <v>2022</v>
      </c>
      <c r="D1510" t="s">
        <v>300</v>
      </c>
      <c r="E1510" t="s">
        <v>2667</v>
      </c>
      <c r="F1510">
        <v>52097981</v>
      </c>
      <c r="G1510" t="s">
        <v>2644</v>
      </c>
      <c r="H1510">
        <v>91</v>
      </c>
      <c r="I1510" t="s">
        <v>2668</v>
      </c>
      <c r="J1510" t="s">
        <v>294</v>
      </c>
      <c r="M1510" t="s">
        <v>295</v>
      </c>
      <c r="N1510" t="s">
        <v>296</v>
      </c>
      <c r="O1510" t="s">
        <v>297</v>
      </c>
    </row>
    <row r="1511" spans="1:15" x14ac:dyDescent="0.3">
      <c r="A1511" t="s">
        <v>2636</v>
      </c>
      <c r="B1511" t="s">
        <v>2637</v>
      </c>
      <c r="C1511">
        <v>2022</v>
      </c>
      <c r="D1511" t="s">
        <v>300</v>
      </c>
      <c r="E1511" t="s">
        <v>595</v>
      </c>
      <c r="F1511">
        <v>78114086</v>
      </c>
      <c r="G1511" t="s">
        <v>2644</v>
      </c>
      <c r="H1511">
        <v>92</v>
      </c>
      <c r="I1511" t="s">
        <v>2669</v>
      </c>
      <c r="J1511" t="s">
        <v>294</v>
      </c>
      <c r="M1511" t="s">
        <v>295</v>
      </c>
      <c r="N1511" t="s">
        <v>296</v>
      </c>
      <c r="O1511" t="s">
        <v>297</v>
      </c>
    </row>
    <row r="1512" spans="1:15" x14ac:dyDescent="0.3">
      <c r="A1512" t="s">
        <v>2636</v>
      </c>
      <c r="B1512" t="s">
        <v>2637</v>
      </c>
      <c r="C1512">
        <v>2022</v>
      </c>
      <c r="D1512" t="s">
        <v>300</v>
      </c>
      <c r="E1512" t="s">
        <v>2670</v>
      </c>
      <c r="F1512">
        <v>6759952</v>
      </c>
      <c r="G1512" t="s">
        <v>2644</v>
      </c>
      <c r="H1512">
        <v>92</v>
      </c>
      <c r="I1512" t="s">
        <v>2671</v>
      </c>
      <c r="J1512" t="s">
        <v>294</v>
      </c>
      <c r="M1512" t="s">
        <v>295</v>
      </c>
      <c r="N1512" t="s">
        <v>296</v>
      </c>
      <c r="O1512" t="s">
        <v>297</v>
      </c>
    </row>
    <row r="1513" spans="1:15" x14ac:dyDescent="0.3">
      <c r="A1513" t="s">
        <v>2636</v>
      </c>
      <c r="B1513" t="s">
        <v>2637</v>
      </c>
      <c r="C1513">
        <v>2022</v>
      </c>
      <c r="D1513" t="s">
        <v>300</v>
      </c>
      <c r="E1513" t="s">
        <v>475</v>
      </c>
      <c r="F1513">
        <v>49016620</v>
      </c>
      <c r="G1513" t="s">
        <v>2644</v>
      </c>
      <c r="H1513">
        <v>92</v>
      </c>
      <c r="I1513" t="s">
        <v>2672</v>
      </c>
      <c r="J1513" t="s">
        <v>294</v>
      </c>
      <c r="M1513" t="s">
        <v>295</v>
      </c>
      <c r="N1513" t="s">
        <v>296</v>
      </c>
      <c r="O1513" t="s">
        <v>297</v>
      </c>
    </row>
    <row r="1514" spans="1:15" x14ac:dyDescent="0.3">
      <c r="A1514" t="s">
        <v>2636</v>
      </c>
      <c r="B1514" t="s">
        <v>2637</v>
      </c>
      <c r="C1514">
        <v>2022</v>
      </c>
      <c r="D1514" t="s">
        <v>300</v>
      </c>
      <c r="E1514" t="s">
        <v>2673</v>
      </c>
      <c r="F1514">
        <v>24651793</v>
      </c>
      <c r="G1514" t="s">
        <v>2644</v>
      </c>
      <c r="H1514">
        <v>94</v>
      </c>
      <c r="I1514" t="s">
        <v>2674</v>
      </c>
      <c r="J1514" t="s">
        <v>294</v>
      </c>
      <c r="M1514" t="s">
        <v>295</v>
      </c>
      <c r="N1514" t="s">
        <v>296</v>
      </c>
      <c r="O1514" t="s">
        <v>297</v>
      </c>
    </row>
    <row r="1515" spans="1:15" x14ac:dyDescent="0.3">
      <c r="A1515" t="s">
        <v>2636</v>
      </c>
      <c r="B1515" t="s">
        <v>2637</v>
      </c>
      <c r="C1515">
        <v>2022</v>
      </c>
      <c r="D1515" t="s">
        <v>300</v>
      </c>
      <c r="E1515" t="s">
        <v>2675</v>
      </c>
      <c r="F1515">
        <v>6377208</v>
      </c>
      <c r="G1515" t="s">
        <v>2644</v>
      </c>
      <c r="H1515">
        <v>94</v>
      </c>
      <c r="I1515" t="s">
        <v>2676</v>
      </c>
      <c r="J1515" t="s">
        <v>294</v>
      </c>
      <c r="M1515" t="s">
        <v>295</v>
      </c>
      <c r="N1515" t="s">
        <v>296</v>
      </c>
      <c r="O1515" t="s">
        <v>297</v>
      </c>
    </row>
    <row r="1516" spans="1:15" x14ac:dyDescent="0.3">
      <c r="A1516" t="s">
        <v>2636</v>
      </c>
      <c r="B1516" t="s">
        <v>2637</v>
      </c>
      <c r="C1516">
        <v>2022</v>
      </c>
      <c r="D1516" t="s">
        <v>300</v>
      </c>
      <c r="E1516" t="s">
        <v>2677</v>
      </c>
      <c r="F1516">
        <v>-11235535</v>
      </c>
      <c r="G1516" t="s">
        <v>2644</v>
      </c>
      <c r="H1516">
        <v>94</v>
      </c>
      <c r="I1516" t="s">
        <v>2678</v>
      </c>
      <c r="J1516" t="s">
        <v>294</v>
      </c>
      <c r="M1516" t="s">
        <v>295</v>
      </c>
      <c r="N1516" t="s">
        <v>296</v>
      </c>
      <c r="O1516" t="s">
        <v>297</v>
      </c>
    </row>
    <row r="1517" spans="1:15" x14ac:dyDescent="0.3">
      <c r="A1517" t="s">
        <v>2636</v>
      </c>
      <c r="B1517" t="s">
        <v>2637</v>
      </c>
      <c r="C1517">
        <v>2022</v>
      </c>
      <c r="D1517" t="s">
        <v>300</v>
      </c>
      <c r="E1517" t="s">
        <v>2679</v>
      </c>
      <c r="F1517">
        <v>6750</v>
      </c>
      <c r="G1517" t="s">
        <v>912</v>
      </c>
      <c r="H1517">
        <v>43</v>
      </c>
      <c r="I1517" t="s">
        <v>2680</v>
      </c>
      <c r="J1517" t="s">
        <v>294</v>
      </c>
      <c r="M1517" t="s">
        <v>295</v>
      </c>
      <c r="N1517" t="s">
        <v>296</v>
      </c>
      <c r="O1517" t="s">
        <v>297</v>
      </c>
    </row>
    <row r="1518" spans="1:15" x14ac:dyDescent="0.3">
      <c r="A1518" t="s">
        <v>2636</v>
      </c>
      <c r="B1518" t="s">
        <v>2637</v>
      </c>
      <c r="C1518">
        <v>2022</v>
      </c>
      <c r="D1518" t="s">
        <v>300</v>
      </c>
      <c r="E1518" t="s">
        <v>342</v>
      </c>
      <c r="F1518">
        <v>480000000</v>
      </c>
      <c r="G1518" t="s">
        <v>1633</v>
      </c>
      <c r="H1518">
        <v>42</v>
      </c>
      <c r="I1518" t="s">
        <v>2681</v>
      </c>
      <c r="J1518" t="s">
        <v>294</v>
      </c>
      <c r="M1518" t="s">
        <v>295</v>
      </c>
      <c r="N1518" t="s">
        <v>296</v>
      </c>
      <c r="O1518" t="s">
        <v>297</v>
      </c>
    </row>
    <row r="1519" spans="1:15" x14ac:dyDescent="0.3">
      <c r="A1519" t="s">
        <v>2636</v>
      </c>
      <c r="B1519" t="s">
        <v>2637</v>
      </c>
      <c r="C1519">
        <v>2022</v>
      </c>
      <c r="D1519" t="s">
        <v>300</v>
      </c>
      <c r="E1519" t="s">
        <v>333</v>
      </c>
      <c r="F1519">
        <v>7.0999999999999994E-2</v>
      </c>
      <c r="G1519" t="s">
        <v>2647</v>
      </c>
      <c r="H1519">
        <v>9</v>
      </c>
      <c r="I1519" t="s">
        <v>2682</v>
      </c>
      <c r="J1519" t="s">
        <v>294</v>
      </c>
      <c r="M1519" t="s">
        <v>295</v>
      </c>
      <c r="N1519" t="s">
        <v>296</v>
      </c>
      <c r="O1519" t="s">
        <v>297</v>
      </c>
    </row>
    <row r="1520" spans="1:15" x14ac:dyDescent="0.3">
      <c r="A1520" t="s">
        <v>2636</v>
      </c>
      <c r="B1520" t="s">
        <v>2637</v>
      </c>
      <c r="C1520">
        <v>2022</v>
      </c>
      <c r="D1520" t="s">
        <v>300</v>
      </c>
      <c r="E1520" t="s">
        <v>336</v>
      </c>
      <c r="F1520">
        <v>0.19570000000000001</v>
      </c>
      <c r="G1520" t="s">
        <v>2647</v>
      </c>
      <c r="H1520">
        <v>9</v>
      </c>
      <c r="I1520" t="s">
        <v>2683</v>
      </c>
      <c r="J1520" t="s">
        <v>294</v>
      </c>
      <c r="M1520" t="s">
        <v>295</v>
      </c>
      <c r="N1520" t="s">
        <v>296</v>
      </c>
      <c r="O1520" t="s">
        <v>297</v>
      </c>
    </row>
    <row r="1521" spans="1:15" x14ac:dyDescent="0.3">
      <c r="A1521" t="s">
        <v>2636</v>
      </c>
      <c r="B1521" t="s">
        <v>2637</v>
      </c>
      <c r="C1521">
        <v>2022</v>
      </c>
      <c r="D1521" t="s">
        <v>300</v>
      </c>
      <c r="E1521" t="s">
        <v>326</v>
      </c>
      <c r="F1521">
        <v>1.45</v>
      </c>
      <c r="G1521" t="s">
        <v>327</v>
      </c>
      <c r="H1521">
        <v>9</v>
      </c>
      <c r="I1521" t="s">
        <v>2684</v>
      </c>
      <c r="J1521" t="s">
        <v>294</v>
      </c>
      <c r="M1521" t="s">
        <v>295</v>
      </c>
      <c r="N1521" t="s">
        <v>296</v>
      </c>
      <c r="O1521" t="s">
        <v>297</v>
      </c>
    </row>
    <row r="1522" spans="1:15" x14ac:dyDescent="0.3">
      <c r="A1522" t="s">
        <v>2636</v>
      </c>
      <c r="B1522" t="s">
        <v>2637</v>
      </c>
      <c r="C1522">
        <v>2022</v>
      </c>
      <c r="D1522" t="s">
        <v>300</v>
      </c>
      <c r="E1522" t="s">
        <v>1342</v>
      </c>
      <c r="F1522">
        <v>1.76</v>
      </c>
      <c r="G1522" t="s">
        <v>327</v>
      </c>
      <c r="H1522">
        <v>9</v>
      </c>
      <c r="I1522" t="s">
        <v>2685</v>
      </c>
      <c r="J1522" t="s">
        <v>294</v>
      </c>
      <c r="M1522" t="s">
        <v>295</v>
      </c>
      <c r="N1522" t="s">
        <v>296</v>
      </c>
      <c r="O1522" t="s">
        <v>297</v>
      </c>
    </row>
    <row r="1523" spans="1:15" x14ac:dyDescent="0.3">
      <c r="A1523" t="s">
        <v>2636</v>
      </c>
      <c r="B1523" t="s">
        <v>2637</v>
      </c>
      <c r="C1523">
        <v>2022</v>
      </c>
      <c r="D1523" t="s">
        <v>300</v>
      </c>
      <c r="E1523" t="s">
        <v>2686</v>
      </c>
      <c r="F1523">
        <v>0.1537</v>
      </c>
      <c r="G1523" t="s">
        <v>2647</v>
      </c>
      <c r="H1523">
        <v>9</v>
      </c>
      <c r="I1523" t="s">
        <v>2687</v>
      </c>
      <c r="J1523" t="s">
        <v>294</v>
      </c>
      <c r="M1523" t="s">
        <v>295</v>
      </c>
      <c r="N1523" t="s">
        <v>296</v>
      </c>
      <c r="O1523" t="s">
        <v>297</v>
      </c>
    </row>
    <row r="1524" spans="1:15" x14ac:dyDescent="0.3">
      <c r="A1524" t="s">
        <v>2636</v>
      </c>
      <c r="B1524" t="s">
        <v>2637</v>
      </c>
      <c r="C1524">
        <v>2022</v>
      </c>
      <c r="D1524" t="s">
        <v>300</v>
      </c>
      <c r="E1524" t="s">
        <v>2688</v>
      </c>
      <c r="F1524">
        <v>0.12039999999999999</v>
      </c>
      <c r="G1524" t="s">
        <v>2647</v>
      </c>
      <c r="H1524">
        <v>9</v>
      </c>
      <c r="I1524" t="s">
        <v>2689</v>
      </c>
      <c r="J1524" t="s">
        <v>294</v>
      </c>
      <c r="M1524" t="s">
        <v>295</v>
      </c>
      <c r="N1524" t="s">
        <v>296</v>
      </c>
      <c r="O1524" t="s">
        <v>297</v>
      </c>
    </row>
    <row r="1525" spans="1:15" x14ac:dyDescent="0.3">
      <c r="A1525" t="s">
        <v>2636</v>
      </c>
      <c r="B1525" t="s">
        <v>2637</v>
      </c>
      <c r="C1525">
        <v>2022</v>
      </c>
      <c r="D1525" t="s">
        <v>252</v>
      </c>
      <c r="E1525" t="s">
        <v>1100</v>
      </c>
      <c r="F1525" t="s">
        <v>2690</v>
      </c>
      <c r="H1525">
        <v>2</v>
      </c>
      <c r="I1525" t="s">
        <v>2691</v>
      </c>
      <c r="J1525" t="s">
        <v>294</v>
      </c>
      <c r="M1525" t="s">
        <v>295</v>
      </c>
      <c r="N1525" t="s">
        <v>296</v>
      </c>
      <c r="O1525" t="s">
        <v>297</v>
      </c>
    </row>
    <row r="1526" spans="1:15" x14ac:dyDescent="0.3">
      <c r="A1526" t="s">
        <v>2636</v>
      </c>
      <c r="B1526" t="s">
        <v>2692</v>
      </c>
      <c r="C1526">
        <v>2023</v>
      </c>
      <c r="D1526" t="s">
        <v>272</v>
      </c>
      <c r="E1526" t="s">
        <v>291</v>
      </c>
      <c r="F1526" t="s">
        <v>2636</v>
      </c>
      <c r="G1526" t="s">
        <v>292</v>
      </c>
      <c r="H1526">
        <v>35</v>
      </c>
      <c r="I1526" t="s">
        <v>2636</v>
      </c>
      <c r="J1526" t="s">
        <v>294</v>
      </c>
      <c r="M1526" t="s">
        <v>295</v>
      </c>
      <c r="N1526" t="s">
        <v>296</v>
      </c>
      <c r="O1526" t="s">
        <v>297</v>
      </c>
    </row>
    <row r="1527" spans="1:15" x14ac:dyDescent="0.3">
      <c r="A1527" t="s">
        <v>2636</v>
      </c>
      <c r="B1527" t="s">
        <v>2692</v>
      </c>
      <c r="C1527">
        <v>2023</v>
      </c>
      <c r="D1527" t="s">
        <v>272</v>
      </c>
      <c r="E1527" t="s">
        <v>1</v>
      </c>
      <c r="F1527" t="s">
        <v>2638</v>
      </c>
      <c r="G1527" t="s">
        <v>292</v>
      </c>
      <c r="H1527">
        <v>35</v>
      </c>
      <c r="I1527" t="s">
        <v>2693</v>
      </c>
      <c r="J1527" t="s">
        <v>294</v>
      </c>
      <c r="M1527" t="s">
        <v>295</v>
      </c>
      <c r="N1527" t="s">
        <v>296</v>
      </c>
      <c r="O1527" t="s">
        <v>297</v>
      </c>
    </row>
    <row r="1528" spans="1:15" x14ac:dyDescent="0.3">
      <c r="A1528" t="s">
        <v>2636</v>
      </c>
      <c r="B1528" t="s">
        <v>2692</v>
      </c>
      <c r="C1528">
        <v>2023</v>
      </c>
      <c r="D1528" t="s">
        <v>272</v>
      </c>
      <c r="E1528" t="s">
        <v>2640</v>
      </c>
      <c r="F1528" t="s">
        <v>2641</v>
      </c>
      <c r="G1528" t="s">
        <v>666</v>
      </c>
      <c r="H1528">
        <v>35</v>
      </c>
      <c r="I1528" t="s">
        <v>2694</v>
      </c>
      <c r="J1528" t="s">
        <v>294</v>
      </c>
      <c r="M1528" t="s">
        <v>295</v>
      </c>
      <c r="N1528" t="s">
        <v>296</v>
      </c>
      <c r="O1528" t="s">
        <v>297</v>
      </c>
    </row>
    <row r="1529" spans="1:15" x14ac:dyDescent="0.3">
      <c r="A1529" t="s">
        <v>2636</v>
      </c>
      <c r="B1529" t="s">
        <v>2692</v>
      </c>
      <c r="C1529">
        <v>2023</v>
      </c>
      <c r="D1529" t="s">
        <v>272</v>
      </c>
      <c r="E1529" t="s">
        <v>2695</v>
      </c>
      <c r="F1529">
        <v>100</v>
      </c>
      <c r="G1529" t="s">
        <v>346</v>
      </c>
      <c r="H1529">
        <v>35</v>
      </c>
      <c r="I1529" t="s">
        <v>2696</v>
      </c>
      <c r="J1529" t="s">
        <v>294</v>
      </c>
      <c r="M1529" t="s">
        <v>295</v>
      </c>
      <c r="N1529" t="s">
        <v>296</v>
      </c>
      <c r="O1529" t="s">
        <v>297</v>
      </c>
    </row>
    <row r="1530" spans="1:15" x14ac:dyDescent="0.3">
      <c r="A1530" t="s">
        <v>2636</v>
      </c>
      <c r="B1530" t="s">
        <v>2692</v>
      </c>
      <c r="C1530">
        <v>2023</v>
      </c>
      <c r="D1530" t="s">
        <v>272</v>
      </c>
      <c r="E1530" t="s">
        <v>2697</v>
      </c>
      <c r="F1530">
        <v>100000000000</v>
      </c>
      <c r="G1530" t="s">
        <v>2698</v>
      </c>
      <c r="H1530">
        <v>35</v>
      </c>
      <c r="I1530" t="s">
        <v>2699</v>
      </c>
      <c r="J1530" t="s">
        <v>294</v>
      </c>
      <c r="M1530" t="s">
        <v>295</v>
      </c>
      <c r="N1530" t="s">
        <v>296</v>
      </c>
      <c r="O1530" t="s">
        <v>297</v>
      </c>
    </row>
    <row r="1531" spans="1:15" x14ac:dyDescent="0.3">
      <c r="A1531" t="s">
        <v>2636</v>
      </c>
      <c r="B1531" t="s">
        <v>2692</v>
      </c>
      <c r="C1531">
        <v>2023</v>
      </c>
      <c r="D1531" t="s">
        <v>272</v>
      </c>
      <c r="E1531" t="s">
        <v>2700</v>
      </c>
      <c r="F1531">
        <v>48000000000</v>
      </c>
      <c r="G1531" t="s">
        <v>2698</v>
      </c>
      <c r="H1531">
        <v>35</v>
      </c>
      <c r="I1531" t="s">
        <v>2701</v>
      </c>
      <c r="J1531" t="s">
        <v>294</v>
      </c>
      <c r="M1531" t="s">
        <v>295</v>
      </c>
      <c r="N1531" t="s">
        <v>296</v>
      </c>
      <c r="O1531" t="s">
        <v>297</v>
      </c>
    </row>
    <row r="1532" spans="1:15" x14ac:dyDescent="0.3">
      <c r="A1532" t="s">
        <v>2636</v>
      </c>
      <c r="B1532" t="s">
        <v>2692</v>
      </c>
      <c r="C1532">
        <v>2023</v>
      </c>
      <c r="D1532" t="s">
        <v>272</v>
      </c>
      <c r="E1532" t="s">
        <v>2702</v>
      </c>
      <c r="F1532">
        <v>995</v>
      </c>
      <c r="G1532" t="s">
        <v>384</v>
      </c>
      <c r="H1532">
        <v>36</v>
      </c>
      <c r="I1532" t="s">
        <v>2703</v>
      </c>
      <c r="J1532" t="s">
        <v>294</v>
      </c>
      <c r="M1532" t="s">
        <v>295</v>
      </c>
      <c r="N1532" t="s">
        <v>296</v>
      </c>
      <c r="O1532" t="s">
        <v>297</v>
      </c>
    </row>
    <row r="1533" spans="1:15" x14ac:dyDescent="0.3">
      <c r="A1533" t="s">
        <v>2636</v>
      </c>
      <c r="B1533" t="s">
        <v>2692</v>
      </c>
      <c r="C1533">
        <v>2023</v>
      </c>
      <c r="D1533" t="s">
        <v>272</v>
      </c>
      <c r="E1533" t="s">
        <v>2643</v>
      </c>
      <c r="F1533" t="s">
        <v>2644</v>
      </c>
      <c r="G1533" t="s">
        <v>292</v>
      </c>
      <c r="H1533">
        <v>179</v>
      </c>
      <c r="I1533" t="s">
        <v>2645</v>
      </c>
      <c r="J1533" t="s">
        <v>294</v>
      </c>
      <c r="M1533" t="s">
        <v>295</v>
      </c>
      <c r="N1533" t="s">
        <v>296</v>
      </c>
      <c r="O1533" t="s">
        <v>297</v>
      </c>
    </row>
    <row r="1534" spans="1:15" x14ac:dyDescent="0.3">
      <c r="A1534" t="s">
        <v>2636</v>
      </c>
      <c r="B1534" t="s">
        <v>2692</v>
      </c>
      <c r="C1534">
        <v>2023</v>
      </c>
      <c r="D1534" t="s">
        <v>272</v>
      </c>
      <c r="E1534" t="s">
        <v>2704</v>
      </c>
      <c r="F1534" t="s">
        <v>2705</v>
      </c>
      <c r="G1534" t="s">
        <v>292</v>
      </c>
      <c r="H1534">
        <v>218</v>
      </c>
      <c r="I1534" t="s">
        <v>2706</v>
      </c>
      <c r="J1534" t="s">
        <v>294</v>
      </c>
      <c r="M1534" t="s">
        <v>295</v>
      </c>
      <c r="N1534" t="s">
        <v>296</v>
      </c>
      <c r="O1534" t="s">
        <v>297</v>
      </c>
    </row>
    <row r="1535" spans="1:15" x14ac:dyDescent="0.3">
      <c r="A1535" t="s">
        <v>2636</v>
      </c>
      <c r="B1535" t="s">
        <v>2692</v>
      </c>
      <c r="C1535">
        <v>2023</v>
      </c>
      <c r="D1535" t="s">
        <v>272</v>
      </c>
      <c r="E1535" t="s">
        <v>2646</v>
      </c>
      <c r="F1535">
        <v>0.79059999999999997</v>
      </c>
      <c r="G1535" t="s">
        <v>2647</v>
      </c>
      <c r="H1535">
        <v>35</v>
      </c>
      <c r="I1535" t="s">
        <v>2707</v>
      </c>
      <c r="J1535" t="s">
        <v>294</v>
      </c>
      <c r="M1535" t="s">
        <v>295</v>
      </c>
      <c r="N1535" t="s">
        <v>296</v>
      </c>
      <c r="O1535" t="s">
        <v>297</v>
      </c>
    </row>
    <row r="1536" spans="1:15" x14ac:dyDescent="0.3">
      <c r="A1536" t="s">
        <v>2636</v>
      </c>
      <c r="B1536" t="s">
        <v>2692</v>
      </c>
      <c r="C1536">
        <v>2023</v>
      </c>
      <c r="D1536" t="s">
        <v>272</v>
      </c>
      <c r="E1536" t="s">
        <v>2649</v>
      </c>
      <c r="F1536">
        <v>0.1042</v>
      </c>
      <c r="G1536" t="s">
        <v>2647</v>
      </c>
      <c r="H1536">
        <v>35</v>
      </c>
      <c r="I1536" t="s">
        <v>2708</v>
      </c>
      <c r="J1536" t="s">
        <v>294</v>
      </c>
      <c r="M1536" t="s">
        <v>295</v>
      </c>
      <c r="N1536" t="s">
        <v>296</v>
      </c>
      <c r="O1536" t="s">
        <v>297</v>
      </c>
    </row>
    <row r="1537" spans="1:15" x14ac:dyDescent="0.3">
      <c r="A1537" t="s">
        <v>2636</v>
      </c>
      <c r="B1537" t="s">
        <v>2692</v>
      </c>
      <c r="C1537">
        <v>2023</v>
      </c>
      <c r="D1537" t="s">
        <v>272</v>
      </c>
      <c r="E1537" t="s">
        <v>2651</v>
      </c>
      <c r="F1537">
        <v>0.1052</v>
      </c>
      <c r="G1537" t="s">
        <v>2647</v>
      </c>
      <c r="H1537">
        <v>35</v>
      </c>
      <c r="I1537" t="s">
        <v>2709</v>
      </c>
      <c r="J1537" t="s">
        <v>294</v>
      </c>
      <c r="M1537" t="s">
        <v>295</v>
      </c>
      <c r="N1537" t="s">
        <v>296</v>
      </c>
      <c r="O1537" t="s">
        <v>297</v>
      </c>
    </row>
    <row r="1538" spans="1:15" x14ac:dyDescent="0.3">
      <c r="A1538" t="s">
        <v>2636</v>
      </c>
      <c r="B1538" t="s">
        <v>2692</v>
      </c>
      <c r="C1538">
        <v>2023</v>
      </c>
      <c r="D1538" t="s">
        <v>272</v>
      </c>
      <c r="E1538" t="s">
        <v>2710</v>
      </c>
      <c r="F1538">
        <v>0.65</v>
      </c>
      <c r="G1538" t="s">
        <v>2647</v>
      </c>
      <c r="H1538">
        <v>218</v>
      </c>
      <c r="I1538" t="s">
        <v>2711</v>
      </c>
      <c r="J1538" t="s">
        <v>294</v>
      </c>
      <c r="M1538" t="s">
        <v>295</v>
      </c>
      <c r="N1538" t="s">
        <v>296</v>
      </c>
      <c r="O1538" t="s">
        <v>297</v>
      </c>
    </row>
    <row r="1539" spans="1:15" x14ac:dyDescent="0.3">
      <c r="A1539" t="s">
        <v>2636</v>
      </c>
      <c r="B1539" t="s">
        <v>2692</v>
      </c>
      <c r="C1539">
        <v>2023</v>
      </c>
      <c r="D1539" t="s">
        <v>272</v>
      </c>
      <c r="E1539" t="s">
        <v>2712</v>
      </c>
      <c r="F1539">
        <v>0.99990000000000001</v>
      </c>
      <c r="G1539" t="s">
        <v>2647</v>
      </c>
      <c r="H1539">
        <v>218</v>
      </c>
      <c r="I1539" t="s">
        <v>2713</v>
      </c>
      <c r="J1539" t="s">
        <v>294</v>
      </c>
      <c r="M1539" t="s">
        <v>295</v>
      </c>
      <c r="N1539" t="s">
        <v>296</v>
      </c>
      <c r="O1539" t="s">
        <v>297</v>
      </c>
    </row>
    <row r="1540" spans="1:15" x14ac:dyDescent="0.3">
      <c r="A1540" t="s">
        <v>2636</v>
      </c>
      <c r="B1540" t="s">
        <v>2692</v>
      </c>
      <c r="C1540">
        <v>2023</v>
      </c>
      <c r="D1540" t="s">
        <v>272</v>
      </c>
      <c r="E1540" t="s">
        <v>2714</v>
      </c>
      <c r="F1540">
        <v>0.99990000000000001</v>
      </c>
      <c r="G1540" t="s">
        <v>2647</v>
      </c>
      <c r="H1540">
        <v>218</v>
      </c>
      <c r="I1540" t="s">
        <v>2715</v>
      </c>
      <c r="J1540" t="s">
        <v>294</v>
      </c>
      <c r="M1540" t="s">
        <v>295</v>
      </c>
      <c r="N1540" t="s">
        <v>296</v>
      </c>
      <c r="O1540" t="s">
        <v>297</v>
      </c>
    </row>
    <row r="1541" spans="1:15" x14ac:dyDescent="0.3">
      <c r="A1541" t="s">
        <v>2636</v>
      </c>
      <c r="B1541" t="s">
        <v>2692</v>
      </c>
      <c r="C1541">
        <v>2023</v>
      </c>
      <c r="D1541" t="s">
        <v>300</v>
      </c>
      <c r="E1541" t="s">
        <v>301</v>
      </c>
      <c r="F1541">
        <v>1401034930</v>
      </c>
      <c r="G1541" t="s">
        <v>2644</v>
      </c>
      <c r="H1541">
        <v>11</v>
      </c>
      <c r="I1541" t="s">
        <v>2716</v>
      </c>
      <c r="J1541" t="s">
        <v>294</v>
      </c>
      <c r="M1541" t="s">
        <v>295</v>
      </c>
      <c r="N1541" t="s">
        <v>296</v>
      </c>
      <c r="O1541" t="s">
        <v>297</v>
      </c>
    </row>
    <row r="1542" spans="1:15" x14ac:dyDescent="0.3">
      <c r="A1542" t="s">
        <v>2636</v>
      </c>
      <c r="B1542" t="s">
        <v>2692</v>
      </c>
      <c r="C1542">
        <v>2023</v>
      </c>
      <c r="D1542" t="s">
        <v>300</v>
      </c>
      <c r="E1542" t="s">
        <v>2717</v>
      </c>
      <c r="F1542">
        <v>21349</v>
      </c>
      <c r="G1542" t="s">
        <v>302</v>
      </c>
      <c r="H1542">
        <v>11</v>
      </c>
      <c r="I1542" t="s">
        <v>2718</v>
      </c>
      <c r="J1542" t="s">
        <v>456</v>
      </c>
      <c r="M1542" t="s">
        <v>295</v>
      </c>
      <c r="N1542" t="s">
        <v>296</v>
      </c>
      <c r="O1542" t="s">
        <v>297</v>
      </c>
    </row>
    <row r="1543" spans="1:15" x14ac:dyDescent="0.3">
      <c r="A1543" t="s">
        <v>2636</v>
      </c>
      <c r="B1543" t="s">
        <v>2692</v>
      </c>
      <c r="C1543">
        <v>2023</v>
      </c>
      <c r="D1543" t="s">
        <v>300</v>
      </c>
      <c r="E1543" t="s">
        <v>304</v>
      </c>
      <c r="F1543">
        <v>71050055</v>
      </c>
      <c r="G1543" t="s">
        <v>2644</v>
      </c>
      <c r="H1543">
        <v>11</v>
      </c>
      <c r="I1543" t="s">
        <v>2719</v>
      </c>
      <c r="J1543" t="s">
        <v>294</v>
      </c>
      <c r="M1543" t="s">
        <v>295</v>
      </c>
      <c r="N1543" t="s">
        <v>296</v>
      </c>
      <c r="O1543" t="s">
        <v>297</v>
      </c>
    </row>
    <row r="1544" spans="1:15" x14ac:dyDescent="0.3">
      <c r="A1544" t="s">
        <v>2636</v>
      </c>
      <c r="B1544" t="s">
        <v>2692</v>
      </c>
      <c r="C1544">
        <v>2023</v>
      </c>
      <c r="D1544" t="s">
        <v>300</v>
      </c>
      <c r="E1544" t="s">
        <v>1112</v>
      </c>
      <c r="F1544">
        <v>43054504</v>
      </c>
      <c r="G1544" t="s">
        <v>2644</v>
      </c>
      <c r="H1544">
        <v>11</v>
      </c>
      <c r="I1544" t="s">
        <v>2720</v>
      </c>
      <c r="J1544" t="s">
        <v>294</v>
      </c>
      <c r="M1544" t="s">
        <v>295</v>
      </c>
      <c r="N1544" t="s">
        <v>296</v>
      </c>
      <c r="O1544" t="s">
        <v>297</v>
      </c>
    </row>
    <row r="1545" spans="1:15" x14ac:dyDescent="0.3">
      <c r="A1545" t="s">
        <v>2636</v>
      </c>
      <c r="B1545" t="s">
        <v>2692</v>
      </c>
      <c r="C1545">
        <v>2023</v>
      </c>
      <c r="D1545" t="s">
        <v>300</v>
      </c>
      <c r="E1545" t="s">
        <v>306</v>
      </c>
      <c r="F1545">
        <v>24733438</v>
      </c>
      <c r="G1545" t="s">
        <v>2644</v>
      </c>
      <c r="H1545">
        <v>11</v>
      </c>
      <c r="I1545" t="s">
        <v>2721</v>
      </c>
      <c r="J1545" t="s">
        <v>294</v>
      </c>
      <c r="M1545" t="s">
        <v>295</v>
      </c>
      <c r="N1545" t="s">
        <v>296</v>
      </c>
      <c r="O1545" t="s">
        <v>297</v>
      </c>
    </row>
    <row r="1546" spans="1:15" x14ac:dyDescent="0.3">
      <c r="A1546" t="s">
        <v>2636</v>
      </c>
      <c r="B1546" t="s">
        <v>2692</v>
      </c>
      <c r="C1546">
        <v>2023</v>
      </c>
      <c r="D1546" t="s">
        <v>300</v>
      </c>
      <c r="E1546" t="s">
        <v>308</v>
      </c>
      <c r="F1546">
        <v>24183057</v>
      </c>
      <c r="G1546" t="s">
        <v>2644</v>
      </c>
      <c r="H1546">
        <v>11</v>
      </c>
      <c r="I1546" t="s">
        <v>2722</v>
      </c>
      <c r="J1546" t="s">
        <v>294</v>
      </c>
      <c r="M1546" t="s">
        <v>295</v>
      </c>
      <c r="N1546" t="s">
        <v>296</v>
      </c>
      <c r="O1546" t="s">
        <v>297</v>
      </c>
    </row>
    <row r="1547" spans="1:15" x14ac:dyDescent="0.3">
      <c r="A1547" t="s">
        <v>2636</v>
      </c>
      <c r="B1547" t="s">
        <v>2692</v>
      </c>
      <c r="C1547">
        <v>2023</v>
      </c>
      <c r="D1547" t="s">
        <v>300</v>
      </c>
      <c r="E1547" t="s">
        <v>2723</v>
      </c>
      <c r="F1547">
        <v>550381</v>
      </c>
      <c r="G1547" t="s">
        <v>2644</v>
      </c>
      <c r="H1547">
        <v>11</v>
      </c>
      <c r="I1547" t="s">
        <v>2724</v>
      </c>
      <c r="J1547" t="s">
        <v>294</v>
      </c>
      <c r="M1547" t="s">
        <v>295</v>
      </c>
      <c r="N1547" t="s">
        <v>296</v>
      </c>
      <c r="O1547" t="s">
        <v>297</v>
      </c>
    </row>
    <row r="1548" spans="1:15" x14ac:dyDescent="0.3">
      <c r="A1548" t="s">
        <v>2636</v>
      </c>
      <c r="B1548" t="s">
        <v>2692</v>
      </c>
      <c r="C1548">
        <v>2023</v>
      </c>
      <c r="D1548" t="s">
        <v>300</v>
      </c>
      <c r="E1548" t="s">
        <v>2658</v>
      </c>
      <c r="F1548">
        <v>0.05</v>
      </c>
      <c r="G1548" t="s">
        <v>908</v>
      </c>
      <c r="H1548">
        <v>11</v>
      </c>
      <c r="I1548" t="s">
        <v>2725</v>
      </c>
      <c r="J1548" t="s">
        <v>294</v>
      </c>
      <c r="M1548" t="s">
        <v>295</v>
      </c>
      <c r="N1548" t="s">
        <v>296</v>
      </c>
      <c r="O1548" t="s">
        <v>297</v>
      </c>
    </row>
    <row r="1549" spans="1:15" x14ac:dyDescent="0.3">
      <c r="A1549" t="s">
        <v>2636</v>
      </c>
      <c r="B1549" t="s">
        <v>2692</v>
      </c>
      <c r="C1549">
        <v>2023</v>
      </c>
      <c r="D1549" t="s">
        <v>300</v>
      </c>
      <c r="E1549" t="s">
        <v>316</v>
      </c>
      <c r="F1549">
        <v>490845435</v>
      </c>
      <c r="G1549" t="s">
        <v>2644</v>
      </c>
      <c r="H1549">
        <v>13</v>
      </c>
      <c r="I1549" t="s">
        <v>2726</v>
      </c>
      <c r="J1549" t="s">
        <v>294</v>
      </c>
      <c r="M1549" t="s">
        <v>295</v>
      </c>
      <c r="N1549" t="s">
        <v>296</v>
      </c>
      <c r="O1549" t="s">
        <v>297</v>
      </c>
    </row>
    <row r="1550" spans="1:15" x14ac:dyDescent="0.3">
      <c r="A1550" t="s">
        <v>2636</v>
      </c>
      <c r="B1550" t="s">
        <v>2692</v>
      </c>
      <c r="C1550">
        <v>2023</v>
      </c>
      <c r="D1550" t="s">
        <v>300</v>
      </c>
      <c r="E1550" t="s">
        <v>312</v>
      </c>
      <c r="F1550">
        <v>357687676</v>
      </c>
      <c r="G1550" t="s">
        <v>2644</v>
      </c>
      <c r="H1550">
        <v>13</v>
      </c>
      <c r="I1550" t="s">
        <v>2727</v>
      </c>
      <c r="J1550" t="s">
        <v>294</v>
      </c>
      <c r="M1550" t="s">
        <v>295</v>
      </c>
      <c r="N1550" t="s">
        <v>296</v>
      </c>
      <c r="O1550" t="s">
        <v>297</v>
      </c>
    </row>
    <row r="1551" spans="1:15" x14ac:dyDescent="0.3">
      <c r="A1551" t="s">
        <v>2636</v>
      </c>
      <c r="B1551" t="s">
        <v>2692</v>
      </c>
      <c r="C1551">
        <v>2023</v>
      </c>
      <c r="D1551" t="s">
        <v>300</v>
      </c>
      <c r="E1551" t="s">
        <v>314</v>
      </c>
      <c r="F1551">
        <v>133157759</v>
      </c>
      <c r="G1551" t="s">
        <v>2644</v>
      </c>
      <c r="H1551">
        <v>13</v>
      </c>
      <c r="I1551" t="s">
        <v>2728</v>
      </c>
      <c r="J1551" t="s">
        <v>294</v>
      </c>
      <c r="M1551" t="s">
        <v>295</v>
      </c>
      <c r="N1551" t="s">
        <v>296</v>
      </c>
      <c r="O1551" t="s">
        <v>297</v>
      </c>
    </row>
    <row r="1552" spans="1:15" x14ac:dyDescent="0.3">
      <c r="A1552" t="s">
        <v>2636</v>
      </c>
      <c r="B1552" t="s">
        <v>2692</v>
      </c>
      <c r="C1552">
        <v>2023</v>
      </c>
      <c r="D1552" t="s">
        <v>300</v>
      </c>
      <c r="E1552" t="s">
        <v>322</v>
      </c>
      <c r="F1552">
        <v>312181076</v>
      </c>
      <c r="G1552" t="s">
        <v>2644</v>
      </c>
      <c r="H1552">
        <v>13</v>
      </c>
      <c r="I1552" t="s">
        <v>2729</v>
      </c>
      <c r="J1552" t="s">
        <v>294</v>
      </c>
      <c r="M1552" t="s">
        <v>295</v>
      </c>
      <c r="N1552" t="s">
        <v>296</v>
      </c>
      <c r="O1552" t="s">
        <v>297</v>
      </c>
    </row>
    <row r="1553" spans="1:15" x14ac:dyDescent="0.3">
      <c r="A1553" t="s">
        <v>2636</v>
      </c>
      <c r="B1553" t="s">
        <v>2692</v>
      </c>
      <c r="C1553">
        <v>2023</v>
      </c>
      <c r="D1553" t="s">
        <v>300</v>
      </c>
      <c r="E1553" t="s">
        <v>318</v>
      </c>
      <c r="F1553">
        <v>264713676</v>
      </c>
      <c r="G1553" t="s">
        <v>2644</v>
      </c>
      <c r="H1553">
        <v>13</v>
      </c>
      <c r="I1553" t="s">
        <v>2730</v>
      </c>
      <c r="J1553" t="s">
        <v>294</v>
      </c>
      <c r="M1553" t="s">
        <v>295</v>
      </c>
      <c r="N1553" t="s">
        <v>296</v>
      </c>
      <c r="O1553" t="s">
        <v>297</v>
      </c>
    </row>
    <row r="1554" spans="1:15" x14ac:dyDescent="0.3">
      <c r="A1554" t="s">
        <v>2636</v>
      </c>
      <c r="B1554" t="s">
        <v>2692</v>
      </c>
      <c r="C1554">
        <v>2023</v>
      </c>
      <c r="D1554" t="s">
        <v>300</v>
      </c>
      <c r="E1554" t="s">
        <v>468</v>
      </c>
      <c r="F1554">
        <v>47467400</v>
      </c>
      <c r="G1554" t="s">
        <v>2644</v>
      </c>
      <c r="H1554">
        <v>13</v>
      </c>
      <c r="I1554" t="s">
        <v>2731</v>
      </c>
      <c r="J1554" t="s">
        <v>294</v>
      </c>
      <c r="M1554" t="s">
        <v>295</v>
      </c>
      <c r="N1554" t="s">
        <v>296</v>
      </c>
      <c r="O1554" t="s">
        <v>297</v>
      </c>
    </row>
    <row r="1555" spans="1:15" x14ac:dyDescent="0.3">
      <c r="A1555" t="s">
        <v>2636</v>
      </c>
      <c r="B1555" t="s">
        <v>2692</v>
      </c>
      <c r="C1555">
        <v>2023</v>
      </c>
      <c r="D1555" t="s">
        <v>300</v>
      </c>
      <c r="E1555" t="s">
        <v>324</v>
      </c>
      <c r="F1555">
        <v>178664359</v>
      </c>
      <c r="G1555" t="s">
        <v>2644</v>
      </c>
      <c r="H1555">
        <v>13</v>
      </c>
      <c r="I1555" t="s">
        <v>2732</v>
      </c>
      <c r="J1555" t="s">
        <v>294</v>
      </c>
      <c r="M1555" t="s">
        <v>295</v>
      </c>
      <c r="N1555" t="s">
        <v>296</v>
      </c>
      <c r="O1555" t="s">
        <v>297</v>
      </c>
    </row>
    <row r="1556" spans="1:15" x14ac:dyDescent="0.3">
      <c r="A1556" t="s">
        <v>2636</v>
      </c>
      <c r="B1556" t="s">
        <v>2692</v>
      </c>
      <c r="C1556">
        <v>2023</v>
      </c>
      <c r="D1556" t="s">
        <v>300</v>
      </c>
      <c r="E1556" t="s">
        <v>2733</v>
      </c>
      <c r="F1556">
        <v>92974000</v>
      </c>
      <c r="G1556" t="s">
        <v>2644</v>
      </c>
      <c r="H1556">
        <v>13</v>
      </c>
      <c r="I1556" t="s">
        <v>2734</v>
      </c>
      <c r="J1556" t="s">
        <v>294</v>
      </c>
      <c r="M1556" t="s">
        <v>295</v>
      </c>
      <c r="N1556" t="s">
        <v>296</v>
      </c>
      <c r="O1556" t="s">
        <v>297</v>
      </c>
    </row>
    <row r="1557" spans="1:15" x14ac:dyDescent="0.3">
      <c r="A1557" t="s">
        <v>2636</v>
      </c>
      <c r="B1557" t="s">
        <v>2692</v>
      </c>
      <c r="C1557">
        <v>2023</v>
      </c>
      <c r="D1557" t="s">
        <v>300</v>
      </c>
      <c r="E1557" t="s">
        <v>2667</v>
      </c>
      <c r="F1557">
        <v>63352405</v>
      </c>
      <c r="G1557" t="s">
        <v>2644</v>
      </c>
      <c r="H1557">
        <v>179</v>
      </c>
      <c r="I1557" t="s">
        <v>2735</v>
      </c>
      <c r="J1557" t="s">
        <v>294</v>
      </c>
      <c r="M1557" t="s">
        <v>295</v>
      </c>
      <c r="N1557" t="s">
        <v>296</v>
      </c>
      <c r="O1557" t="s">
        <v>297</v>
      </c>
    </row>
    <row r="1558" spans="1:15" x14ac:dyDescent="0.3">
      <c r="A1558" t="s">
        <v>2636</v>
      </c>
      <c r="B1558" t="s">
        <v>2692</v>
      </c>
      <c r="C1558">
        <v>2023</v>
      </c>
      <c r="D1558" t="s">
        <v>300</v>
      </c>
      <c r="E1558" t="s">
        <v>595</v>
      </c>
      <c r="F1558">
        <v>93885738</v>
      </c>
      <c r="G1558" t="s">
        <v>2644</v>
      </c>
      <c r="H1558">
        <v>181</v>
      </c>
      <c r="I1558" t="s">
        <v>2736</v>
      </c>
      <c r="J1558" t="s">
        <v>294</v>
      </c>
      <c r="M1558" t="s">
        <v>295</v>
      </c>
      <c r="N1558" t="s">
        <v>296</v>
      </c>
      <c r="O1558" t="s">
        <v>297</v>
      </c>
    </row>
    <row r="1559" spans="1:15" x14ac:dyDescent="0.3">
      <c r="A1559" t="s">
        <v>2636</v>
      </c>
      <c r="B1559" t="s">
        <v>2692</v>
      </c>
      <c r="C1559">
        <v>2023</v>
      </c>
      <c r="D1559" t="s">
        <v>300</v>
      </c>
      <c r="E1559" t="s">
        <v>2670</v>
      </c>
      <c r="F1559">
        <v>10500708</v>
      </c>
      <c r="G1559" t="s">
        <v>2644</v>
      </c>
      <c r="H1559">
        <v>181</v>
      </c>
      <c r="I1559" t="s">
        <v>2737</v>
      </c>
      <c r="J1559" t="s">
        <v>294</v>
      </c>
      <c r="M1559" t="s">
        <v>295</v>
      </c>
      <c r="N1559" t="s">
        <v>296</v>
      </c>
      <c r="O1559" t="s">
        <v>297</v>
      </c>
    </row>
    <row r="1560" spans="1:15" x14ac:dyDescent="0.3">
      <c r="A1560" t="s">
        <v>2636</v>
      </c>
      <c r="B1560" t="s">
        <v>2692</v>
      </c>
      <c r="C1560">
        <v>2023</v>
      </c>
      <c r="D1560" t="s">
        <v>300</v>
      </c>
      <c r="E1560" t="s">
        <v>475</v>
      </c>
      <c r="F1560">
        <v>39068083</v>
      </c>
      <c r="G1560" t="s">
        <v>2644</v>
      </c>
      <c r="H1560">
        <v>181</v>
      </c>
      <c r="I1560" t="s">
        <v>2738</v>
      </c>
      <c r="J1560" t="s">
        <v>294</v>
      </c>
      <c r="M1560" t="s">
        <v>295</v>
      </c>
      <c r="N1560" t="s">
        <v>296</v>
      </c>
      <c r="O1560" t="s">
        <v>297</v>
      </c>
    </row>
    <row r="1561" spans="1:15" x14ac:dyDescent="0.3">
      <c r="A1561" t="s">
        <v>2636</v>
      </c>
      <c r="B1561" t="s">
        <v>2692</v>
      </c>
      <c r="C1561">
        <v>2023</v>
      </c>
      <c r="D1561" t="s">
        <v>300</v>
      </c>
      <c r="E1561" t="s">
        <v>2739</v>
      </c>
      <c r="F1561">
        <v>143454529</v>
      </c>
      <c r="G1561" t="s">
        <v>2644</v>
      </c>
      <c r="H1561">
        <v>181</v>
      </c>
      <c r="I1561" t="s">
        <v>2740</v>
      </c>
      <c r="J1561" t="s">
        <v>294</v>
      </c>
      <c r="M1561" t="s">
        <v>295</v>
      </c>
      <c r="N1561" t="s">
        <v>296</v>
      </c>
      <c r="O1561" t="s">
        <v>297</v>
      </c>
    </row>
    <row r="1562" spans="1:15" x14ac:dyDescent="0.3">
      <c r="A1562" t="s">
        <v>2636</v>
      </c>
      <c r="B1562" t="s">
        <v>2692</v>
      </c>
      <c r="C1562">
        <v>2023</v>
      </c>
      <c r="D1562" t="s">
        <v>300</v>
      </c>
      <c r="E1562" t="s">
        <v>2741</v>
      </c>
      <c r="F1562">
        <v>85909800</v>
      </c>
      <c r="G1562" t="s">
        <v>2644</v>
      </c>
      <c r="H1562">
        <v>179</v>
      </c>
      <c r="I1562" t="s">
        <v>2742</v>
      </c>
      <c r="J1562" t="s">
        <v>294</v>
      </c>
      <c r="M1562" t="s">
        <v>295</v>
      </c>
      <c r="N1562" t="s">
        <v>296</v>
      </c>
      <c r="O1562" t="s">
        <v>297</v>
      </c>
    </row>
    <row r="1563" spans="1:15" x14ac:dyDescent="0.3">
      <c r="A1563" t="s">
        <v>2636</v>
      </c>
      <c r="B1563" t="s">
        <v>2692</v>
      </c>
      <c r="C1563">
        <v>2023</v>
      </c>
      <c r="D1563" t="s">
        <v>300</v>
      </c>
      <c r="E1563" t="s">
        <v>481</v>
      </c>
      <c r="F1563">
        <v>156675449</v>
      </c>
      <c r="G1563" t="s">
        <v>2644</v>
      </c>
      <c r="H1563">
        <v>179</v>
      </c>
      <c r="I1563" t="s">
        <v>2743</v>
      </c>
      <c r="J1563" t="s">
        <v>294</v>
      </c>
      <c r="M1563" t="s">
        <v>295</v>
      </c>
      <c r="N1563" t="s">
        <v>296</v>
      </c>
      <c r="O1563" t="s">
        <v>297</v>
      </c>
    </row>
    <row r="1564" spans="1:15" x14ac:dyDescent="0.3">
      <c r="A1564" t="s">
        <v>2636</v>
      </c>
      <c r="B1564" t="s">
        <v>2692</v>
      </c>
      <c r="C1564">
        <v>2023</v>
      </c>
      <c r="D1564" t="s">
        <v>300</v>
      </c>
      <c r="E1564" t="s">
        <v>2744</v>
      </c>
      <c r="F1564">
        <v>102555380</v>
      </c>
      <c r="G1564" t="s">
        <v>2644</v>
      </c>
      <c r="H1564">
        <v>179</v>
      </c>
      <c r="I1564" t="s">
        <v>2745</v>
      </c>
      <c r="J1564" t="s">
        <v>294</v>
      </c>
      <c r="M1564" t="s">
        <v>295</v>
      </c>
      <c r="N1564" t="s">
        <v>296</v>
      </c>
      <c r="O1564" t="s">
        <v>297</v>
      </c>
    </row>
    <row r="1565" spans="1:15" x14ac:dyDescent="0.3">
      <c r="A1565" t="s">
        <v>2636</v>
      </c>
      <c r="B1565" t="s">
        <v>2692</v>
      </c>
      <c r="C1565">
        <v>2023</v>
      </c>
      <c r="D1565" t="s">
        <v>300</v>
      </c>
      <c r="E1565" t="s">
        <v>2673</v>
      </c>
      <c r="F1565">
        <v>38465703</v>
      </c>
      <c r="G1565" t="s">
        <v>2644</v>
      </c>
      <c r="H1565">
        <v>185</v>
      </c>
      <c r="I1565" t="s">
        <v>2746</v>
      </c>
      <c r="J1565" t="s">
        <v>294</v>
      </c>
      <c r="M1565" t="s">
        <v>295</v>
      </c>
      <c r="N1565" t="s">
        <v>296</v>
      </c>
      <c r="O1565" t="s">
        <v>297</v>
      </c>
    </row>
    <row r="1566" spans="1:15" x14ac:dyDescent="0.3">
      <c r="A1566" t="s">
        <v>2636</v>
      </c>
      <c r="B1566" t="s">
        <v>2692</v>
      </c>
      <c r="C1566">
        <v>2023</v>
      </c>
      <c r="D1566" t="s">
        <v>300</v>
      </c>
      <c r="E1566" t="s">
        <v>2677</v>
      </c>
      <c r="F1566">
        <v>-18420042</v>
      </c>
      <c r="G1566" t="s">
        <v>2644</v>
      </c>
      <c r="H1566">
        <v>185</v>
      </c>
      <c r="I1566" t="s">
        <v>2747</v>
      </c>
      <c r="J1566" t="s">
        <v>294</v>
      </c>
      <c r="M1566" t="s">
        <v>295</v>
      </c>
      <c r="N1566" t="s">
        <v>296</v>
      </c>
      <c r="O1566" t="s">
        <v>297</v>
      </c>
    </row>
    <row r="1567" spans="1:15" x14ac:dyDescent="0.3">
      <c r="A1567" t="s">
        <v>2636</v>
      </c>
      <c r="B1567" t="s">
        <v>2692</v>
      </c>
      <c r="C1567">
        <v>2023</v>
      </c>
      <c r="D1567" t="s">
        <v>300</v>
      </c>
      <c r="E1567" t="s">
        <v>2748</v>
      </c>
      <c r="F1567">
        <v>-10809340</v>
      </c>
      <c r="G1567" t="s">
        <v>2644</v>
      </c>
      <c r="H1567">
        <v>185</v>
      </c>
      <c r="I1567" t="s">
        <v>2749</v>
      </c>
      <c r="J1567" t="s">
        <v>294</v>
      </c>
      <c r="M1567" t="s">
        <v>295</v>
      </c>
      <c r="N1567" t="s">
        <v>296</v>
      </c>
      <c r="O1567" t="s">
        <v>297</v>
      </c>
    </row>
    <row r="1568" spans="1:15" x14ac:dyDescent="0.3">
      <c r="A1568" t="s">
        <v>2636</v>
      </c>
      <c r="B1568" t="s">
        <v>2692</v>
      </c>
      <c r="C1568">
        <v>2023</v>
      </c>
      <c r="D1568" t="s">
        <v>300</v>
      </c>
      <c r="E1568" t="s">
        <v>2675</v>
      </c>
      <c r="F1568">
        <v>14772667</v>
      </c>
      <c r="G1568" t="s">
        <v>2644</v>
      </c>
      <c r="H1568">
        <v>185</v>
      </c>
      <c r="I1568" t="s">
        <v>2750</v>
      </c>
      <c r="J1568" t="s">
        <v>294</v>
      </c>
      <c r="M1568" t="s">
        <v>295</v>
      </c>
      <c r="N1568" t="s">
        <v>296</v>
      </c>
      <c r="O1568" t="s">
        <v>297</v>
      </c>
    </row>
    <row r="1569" spans="1:15" x14ac:dyDescent="0.3">
      <c r="A1569" t="s">
        <v>2636</v>
      </c>
      <c r="B1569" t="s">
        <v>2692</v>
      </c>
      <c r="C1569">
        <v>2023</v>
      </c>
      <c r="D1569" t="s">
        <v>300</v>
      </c>
      <c r="E1569" t="s">
        <v>2751</v>
      </c>
      <c r="F1569">
        <v>10651831</v>
      </c>
      <c r="G1569" t="s">
        <v>2644</v>
      </c>
      <c r="H1569">
        <v>185</v>
      </c>
      <c r="I1569" t="s">
        <v>2752</v>
      </c>
      <c r="J1569" t="s">
        <v>294</v>
      </c>
      <c r="M1569" t="s">
        <v>295</v>
      </c>
      <c r="N1569" t="s">
        <v>296</v>
      </c>
      <c r="O1569" t="s">
        <v>297</v>
      </c>
    </row>
    <row r="1570" spans="1:15" x14ac:dyDescent="0.3">
      <c r="A1570" t="s">
        <v>2636</v>
      </c>
      <c r="B1570" t="s">
        <v>2692</v>
      </c>
      <c r="C1570">
        <v>2023</v>
      </c>
      <c r="D1570" t="s">
        <v>300</v>
      </c>
      <c r="E1570" t="s">
        <v>2753</v>
      </c>
      <c r="F1570">
        <v>14967205</v>
      </c>
      <c r="G1570" t="s">
        <v>2644</v>
      </c>
      <c r="H1570">
        <v>185</v>
      </c>
      <c r="I1570" t="s">
        <v>2754</v>
      </c>
      <c r="J1570" t="s">
        <v>294</v>
      </c>
      <c r="M1570" t="s">
        <v>295</v>
      </c>
      <c r="N1570" t="s">
        <v>296</v>
      </c>
      <c r="O1570" t="s">
        <v>297</v>
      </c>
    </row>
    <row r="1571" spans="1:15" x14ac:dyDescent="0.3">
      <c r="A1571" t="s">
        <v>2636</v>
      </c>
      <c r="B1571" t="s">
        <v>2692</v>
      </c>
      <c r="C1571">
        <v>2023</v>
      </c>
      <c r="D1571" t="s">
        <v>300</v>
      </c>
      <c r="E1571" t="s">
        <v>2679</v>
      </c>
      <c r="F1571">
        <v>5525</v>
      </c>
      <c r="G1571" t="s">
        <v>346</v>
      </c>
      <c r="H1571">
        <v>15</v>
      </c>
      <c r="I1571" t="s">
        <v>2755</v>
      </c>
      <c r="J1571" t="s">
        <v>294</v>
      </c>
      <c r="M1571" t="s">
        <v>295</v>
      </c>
      <c r="N1571" t="s">
        <v>296</v>
      </c>
      <c r="O1571" t="s">
        <v>297</v>
      </c>
    </row>
    <row r="1572" spans="1:15" x14ac:dyDescent="0.3">
      <c r="A1572" t="s">
        <v>2636</v>
      </c>
      <c r="B1572" t="s">
        <v>2692</v>
      </c>
      <c r="C1572">
        <v>2023</v>
      </c>
      <c r="D1572" t="s">
        <v>300</v>
      </c>
      <c r="E1572" t="s">
        <v>2756</v>
      </c>
      <c r="F1572">
        <v>2652000000000</v>
      </c>
      <c r="G1572" t="s">
        <v>2698</v>
      </c>
      <c r="H1572">
        <v>16</v>
      </c>
      <c r="I1572" t="s">
        <v>2757</v>
      </c>
      <c r="J1572" t="s">
        <v>294</v>
      </c>
      <c r="M1572" t="s">
        <v>295</v>
      </c>
      <c r="N1572" t="s">
        <v>296</v>
      </c>
      <c r="O1572" t="s">
        <v>297</v>
      </c>
    </row>
    <row r="1573" spans="1:15" x14ac:dyDescent="0.3">
      <c r="A1573" t="s">
        <v>2636</v>
      </c>
      <c r="B1573" t="s">
        <v>2692</v>
      </c>
      <c r="C1573">
        <v>2023</v>
      </c>
      <c r="D1573" t="s">
        <v>300</v>
      </c>
      <c r="E1573" t="s">
        <v>342</v>
      </c>
      <c r="F1573">
        <v>480000000</v>
      </c>
      <c r="G1573" t="s">
        <v>1633</v>
      </c>
      <c r="H1573">
        <v>15</v>
      </c>
      <c r="I1573" t="s">
        <v>2758</v>
      </c>
      <c r="J1573" t="s">
        <v>294</v>
      </c>
      <c r="M1573" t="s">
        <v>295</v>
      </c>
      <c r="N1573" t="s">
        <v>296</v>
      </c>
      <c r="O1573" t="s">
        <v>297</v>
      </c>
    </row>
    <row r="1574" spans="1:15" x14ac:dyDescent="0.3">
      <c r="A1574" t="s">
        <v>2636</v>
      </c>
      <c r="B1574" t="s">
        <v>2692</v>
      </c>
      <c r="C1574">
        <v>2023</v>
      </c>
      <c r="D1574" t="s">
        <v>300</v>
      </c>
      <c r="E1574" t="s">
        <v>333</v>
      </c>
      <c r="F1574">
        <v>0.05</v>
      </c>
      <c r="G1574" t="s">
        <v>2647</v>
      </c>
      <c r="H1574">
        <v>14</v>
      </c>
      <c r="I1574" t="s">
        <v>2759</v>
      </c>
      <c r="J1574" t="s">
        <v>294</v>
      </c>
      <c r="M1574" t="s">
        <v>295</v>
      </c>
      <c r="N1574" t="s">
        <v>296</v>
      </c>
      <c r="O1574" t="s">
        <v>297</v>
      </c>
    </row>
    <row r="1575" spans="1:15" x14ac:dyDescent="0.3">
      <c r="A1575" t="s">
        <v>2636</v>
      </c>
      <c r="B1575" t="s">
        <v>2692</v>
      </c>
      <c r="C1575">
        <v>2023</v>
      </c>
      <c r="D1575" t="s">
        <v>300</v>
      </c>
      <c r="E1575" t="s">
        <v>336</v>
      </c>
      <c r="F1575">
        <v>0.1384</v>
      </c>
      <c r="G1575" t="s">
        <v>2647</v>
      </c>
      <c r="H1575">
        <v>14</v>
      </c>
      <c r="I1575" t="s">
        <v>2760</v>
      </c>
      <c r="J1575" t="s">
        <v>294</v>
      </c>
      <c r="M1575" t="s">
        <v>295</v>
      </c>
      <c r="N1575" t="s">
        <v>296</v>
      </c>
      <c r="O1575" t="s">
        <v>297</v>
      </c>
    </row>
    <row r="1576" spans="1:15" x14ac:dyDescent="0.3">
      <c r="A1576" t="s">
        <v>2636</v>
      </c>
      <c r="B1576" t="s">
        <v>2692</v>
      </c>
      <c r="C1576">
        <v>2023</v>
      </c>
      <c r="D1576" t="s">
        <v>300</v>
      </c>
      <c r="E1576" t="s">
        <v>326</v>
      </c>
      <c r="F1576">
        <v>1.35</v>
      </c>
      <c r="G1576" t="s">
        <v>327</v>
      </c>
      <c r="H1576">
        <v>14</v>
      </c>
      <c r="I1576" t="s">
        <v>2761</v>
      </c>
      <c r="J1576" t="s">
        <v>294</v>
      </c>
      <c r="M1576" t="s">
        <v>295</v>
      </c>
      <c r="N1576" t="s">
        <v>296</v>
      </c>
      <c r="O1576" t="s">
        <v>297</v>
      </c>
    </row>
    <row r="1577" spans="1:15" x14ac:dyDescent="0.3">
      <c r="A1577" t="s">
        <v>2636</v>
      </c>
      <c r="B1577" t="s">
        <v>2692</v>
      </c>
      <c r="C1577">
        <v>2023</v>
      </c>
      <c r="D1577" t="s">
        <v>300</v>
      </c>
      <c r="E1577" t="s">
        <v>2762</v>
      </c>
      <c r="F1577">
        <v>1.75</v>
      </c>
      <c r="G1577" t="s">
        <v>327</v>
      </c>
      <c r="H1577">
        <v>14</v>
      </c>
      <c r="I1577" t="s">
        <v>2763</v>
      </c>
      <c r="J1577" t="s">
        <v>294</v>
      </c>
      <c r="M1577" t="s">
        <v>295</v>
      </c>
      <c r="N1577" t="s">
        <v>296</v>
      </c>
      <c r="O1577" t="s">
        <v>297</v>
      </c>
    </row>
    <row r="1578" spans="1:15" x14ac:dyDescent="0.3">
      <c r="A1578" t="s">
        <v>2636</v>
      </c>
      <c r="B1578" t="s">
        <v>2692</v>
      </c>
      <c r="C1578">
        <v>2023</v>
      </c>
      <c r="D1578" t="s">
        <v>300</v>
      </c>
      <c r="E1578" t="s">
        <v>2686</v>
      </c>
      <c r="F1578">
        <v>-0.1048</v>
      </c>
      <c r="G1578" t="s">
        <v>2647</v>
      </c>
      <c r="H1578">
        <v>14</v>
      </c>
      <c r="I1578" t="s">
        <v>2764</v>
      </c>
      <c r="J1578" t="s">
        <v>294</v>
      </c>
      <c r="M1578" t="s">
        <v>295</v>
      </c>
      <c r="N1578" t="s">
        <v>296</v>
      </c>
      <c r="O1578" t="s">
        <v>297</v>
      </c>
    </row>
    <row r="1579" spans="1:15" x14ac:dyDescent="0.3">
      <c r="A1579" t="s">
        <v>2636</v>
      </c>
      <c r="B1579" t="s">
        <v>2692</v>
      </c>
      <c r="C1579">
        <v>2023</v>
      </c>
      <c r="D1579" t="s">
        <v>300</v>
      </c>
      <c r="E1579" t="s">
        <v>2688</v>
      </c>
      <c r="F1579">
        <v>-0.24490000000000001</v>
      </c>
      <c r="G1579" t="s">
        <v>2647</v>
      </c>
      <c r="H1579">
        <v>14</v>
      </c>
      <c r="I1579" t="s">
        <v>2765</v>
      </c>
      <c r="J1579" t="s">
        <v>294</v>
      </c>
      <c r="M1579" t="s">
        <v>295</v>
      </c>
      <c r="N1579" t="s">
        <v>296</v>
      </c>
      <c r="O1579" t="s">
        <v>297</v>
      </c>
    </row>
    <row r="1580" spans="1:15" x14ac:dyDescent="0.3">
      <c r="A1580" t="s">
        <v>2636</v>
      </c>
      <c r="B1580" t="s">
        <v>2692</v>
      </c>
      <c r="C1580">
        <v>2023</v>
      </c>
      <c r="D1580" t="s">
        <v>300</v>
      </c>
      <c r="E1580" t="s">
        <v>2766</v>
      </c>
      <c r="F1580">
        <v>6.3700000000000007E-2</v>
      </c>
      <c r="G1580" t="s">
        <v>2647</v>
      </c>
      <c r="H1580">
        <v>14</v>
      </c>
      <c r="I1580" t="s">
        <v>2767</v>
      </c>
      <c r="J1580" t="s">
        <v>294</v>
      </c>
      <c r="M1580" t="s">
        <v>295</v>
      </c>
      <c r="N1580" t="s">
        <v>296</v>
      </c>
      <c r="O1580" t="s">
        <v>297</v>
      </c>
    </row>
    <row r="1581" spans="1:15" x14ac:dyDescent="0.3">
      <c r="A1581" t="s">
        <v>2636</v>
      </c>
      <c r="B1581" t="s">
        <v>2692</v>
      </c>
      <c r="C1581">
        <v>2023</v>
      </c>
      <c r="D1581" t="s">
        <v>300</v>
      </c>
      <c r="E1581" t="s">
        <v>2768</v>
      </c>
      <c r="F1581">
        <v>15416</v>
      </c>
      <c r="G1581" t="s">
        <v>2769</v>
      </c>
      <c r="H1581">
        <v>234</v>
      </c>
      <c r="I1581" t="s">
        <v>2770</v>
      </c>
      <c r="J1581" t="s">
        <v>294</v>
      </c>
      <c r="M1581" t="s">
        <v>295</v>
      </c>
      <c r="N1581" t="s">
        <v>296</v>
      </c>
      <c r="O1581" t="s">
        <v>297</v>
      </c>
    </row>
    <row r="1582" spans="1:15" x14ac:dyDescent="0.3">
      <c r="A1582" t="s">
        <v>2636</v>
      </c>
      <c r="B1582" t="s">
        <v>2692</v>
      </c>
      <c r="C1582">
        <v>2023</v>
      </c>
      <c r="D1582" t="s">
        <v>252</v>
      </c>
      <c r="E1582" t="s">
        <v>1100</v>
      </c>
      <c r="F1582" t="s">
        <v>2690</v>
      </c>
      <c r="G1582" t="s">
        <v>292</v>
      </c>
      <c r="H1582">
        <v>37</v>
      </c>
      <c r="I1582" t="s">
        <v>2771</v>
      </c>
      <c r="J1582" t="s">
        <v>294</v>
      </c>
      <c r="M1582" t="s">
        <v>295</v>
      </c>
      <c r="N1582" t="s">
        <v>296</v>
      </c>
      <c r="O1582" t="s">
        <v>297</v>
      </c>
    </row>
    <row r="1583" spans="1:15" x14ac:dyDescent="0.3">
      <c r="A1583" t="s">
        <v>2636</v>
      </c>
      <c r="B1583" t="s">
        <v>2772</v>
      </c>
      <c r="C1583">
        <v>2024</v>
      </c>
      <c r="D1583" t="s">
        <v>272</v>
      </c>
      <c r="E1583" t="s">
        <v>291</v>
      </c>
      <c r="F1583" t="s">
        <v>2636</v>
      </c>
      <c r="G1583" t="s">
        <v>292</v>
      </c>
      <c r="H1583">
        <v>7</v>
      </c>
      <c r="I1583" t="s">
        <v>2636</v>
      </c>
      <c r="J1583" t="s">
        <v>294</v>
      </c>
      <c r="M1583" t="s">
        <v>295</v>
      </c>
      <c r="N1583" t="s">
        <v>296</v>
      </c>
      <c r="O1583" t="s">
        <v>297</v>
      </c>
    </row>
    <row r="1584" spans="1:15" x14ac:dyDescent="0.3">
      <c r="A1584" t="s">
        <v>2636</v>
      </c>
      <c r="B1584" t="s">
        <v>2772</v>
      </c>
      <c r="C1584">
        <v>2024</v>
      </c>
      <c r="D1584" t="s">
        <v>272</v>
      </c>
      <c r="E1584" t="s">
        <v>1</v>
      </c>
      <c r="F1584" t="s">
        <v>2638</v>
      </c>
      <c r="G1584" t="s">
        <v>292</v>
      </c>
      <c r="H1584">
        <v>9</v>
      </c>
      <c r="I1584" t="s">
        <v>2693</v>
      </c>
      <c r="J1584" t="s">
        <v>294</v>
      </c>
      <c r="M1584" t="s">
        <v>295</v>
      </c>
      <c r="N1584" t="s">
        <v>296</v>
      </c>
      <c r="O1584" t="s">
        <v>297</v>
      </c>
    </row>
    <row r="1585" spans="1:15" x14ac:dyDescent="0.3">
      <c r="A1585" t="s">
        <v>2636</v>
      </c>
      <c r="B1585" t="s">
        <v>2772</v>
      </c>
      <c r="C1585">
        <v>2024</v>
      </c>
      <c r="D1585" t="s">
        <v>272</v>
      </c>
      <c r="E1585" t="s">
        <v>2640</v>
      </c>
      <c r="F1585" t="s">
        <v>2641</v>
      </c>
      <c r="G1585" t="s">
        <v>666</v>
      </c>
      <c r="H1585">
        <v>9</v>
      </c>
      <c r="I1585" t="s">
        <v>2694</v>
      </c>
      <c r="J1585" t="s">
        <v>294</v>
      </c>
      <c r="M1585" t="s">
        <v>295</v>
      </c>
      <c r="N1585" t="s">
        <v>296</v>
      </c>
      <c r="O1585" t="s">
        <v>297</v>
      </c>
    </row>
    <row r="1586" spans="1:15" x14ac:dyDescent="0.3">
      <c r="A1586" t="s">
        <v>2636</v>
      </c>
      <c r="B1586" t="s">
        <v>2772</v>
      </c>
      <c r="C1586">
        <v>2024</v>
      </c>
      <c r="D1586" t="s">
        <v>272</v>
      </c>
      <c r="E1586" t="s">
        <v>2643</v>
      </c>
      <c r="F1586" t="s">
        <v>2644</v>
      </c>
      <c r="G1586" t="s">
        <v>292</v>
      </c>
      <c r="H1586">
        <v>93</v>
      </c>
      <c r="I1586" t="s">
        <v>2645</v>
      </c>
      <c r="J1586" t="s">
        <v>294</v>
      </c>
      <c r="M1586" t="s">
        <v>295</v>
      </c>
      <c r="N1586" t="s">
        <v>296</v>
      </c>
      <c r="O1586" t="s">
        <v>297</v>
      </c>
    </row>
    <row r="1587" spans="1:15" x14ac:dyDescent="0.3">
      <c r="A1587" t="s">
        <v>2636</v>
      </c>
      <c r="B1587" t="s">
        <v>2772</v>
      </c>
      <c r="C1587">
        <v>2024</v>
      </c>
      <c r="D1587" t="s">
        <v>272</v>
      </c>
      <c r="E1587" t="s">
        <v>2646</v>
      </c>
      <c r="F1587">
        <v>0.79059999999999997</v>
      </c>
      <c r="G1587" t="s">
        <v>2647</v>
      </c>
      <c r="H1587">
        <v>9</v>
      </c>
      <c r="I1587" t="s">
        <v>2707</v>
      </c>
      <c r="J1587" t="s">
        <v>294</v>
      </c>
      <c r="M1587" t="s">
        <v>295</v>
      </c>
      <c r="N1587" t="s">
        <v>296</v>
      </c>
      <c r="O1587" t="s">
        <v>297</v>
      </c>
    </row>
    <row r="1588" spans="1:15" x14ac:dyDescent="0.3">
      <c r="A1588" t="s">
        <v>2636</v>
      </c>
      <c r="B1588" t="s">
        <v>2772</v>
      </c>
      <c r="C1588">
        <v>2024</v>
      </c>
      <c r="D1588" t="s">
        <v>272</v>
      </c>
      <c r="E1588" t="s">
        <v>2649</v>
      </c>
      <c r="F1588">
        <v>0.1042</v>
      </c>
      <c r="G1588" t="s">
        <v>2647</v>
      </c>
      <c r="H1588">
        <v>9</v>
      </c>
      <c r="I1588" t="s">
        <v>2708</v>
      </c>
      <c r="J1588" t="s">
        <v>294</v>
      </c>
      <c r="M1588" t="s">
        <v>295</v>
      </c>
      <c r="N1588" t="s">
        <v>296</v>
      </c>
      <c r="O1588" t="s">
        <v>297</v>
      </c>
    </row>
    <row r="1589" spans="1:15" x14ac:dyDescent="0.3">
      <c r="A1589" t="s">
        <v>2636</v>
      </c>
      <c r="B1589" t="s">
        <v>2772</v>
      </c>
      <c r="C1589">
        <v>2024</v>
      </c>
      <c r="D1589" t="s">
        <v>272</v>
      </c>
      <c r="E1589" t="s">
        <v>2651</v>
      </c>
      <c r="F1589">
        <v>0.1052</v>
      </c>
      <c r="G1589" t="s">
        <v>2647</v>
      </c>
      <c r="H1589">
        <v>9</v>
      </c>
      <c r="I1589" t="s">
        <v>2709</v>
      </c>
      <c r="J1589" t="s">
        <v>294</v>
      </c>
      <c r="M1589" t="s">
        <v>295</v>
      </c>
      <c r="N1589" t="s">
        <v>296</v>
      </c>
      <c r="O1589" t="s">
        <v>297</v>
      </c>
    </row>
    <row r="1590" spans="1:15" x14ac:dyDescent="0.3">
      <c r="A1590" t="s">
        <v>2636</v>
      </c>
      <c r="B1590" t="s">
        <v>2772</v>
      </c>
      <c r="C1590">
        <v>2024</v>
      </c>
      <c r="D1590" t="s">
        <v>272</v>
      </c>
      <c r="E1590" t="s">
        <v>2710</v>
      </c>
      <c r="F1590">
        <v>0.65</v>
      </c>
      <c r="G1590" t="s">
        <v>2647</v>
      </c>
      <c r="H1590">
        <v>93</v>
      </c>
      <c r="I1590" t="s">
        <v>2773</v>
      </c>
      <c r="J1590" t="s">
        <v>294</v>
      </c>
      <c r="M1590" t="s">
        <v>295</v>
      </c>
      <c r="N1590" t="s">
        <v>296</v>
      </c>
      <c r="O1590" t="s">
        <v>297</v>
      </c>
    </row>
    <row r="1591" spans="1:15" x14ac:dyDescent="0.3">
      <c r="A1591" t="s">
        <v>2636</v>
      </c>
      <c r="B1591" t="s">
        <v>2772</v>
      </c>
      <c r="C1591">
        <v>2024</v>
      </c>
      <c r="D1591" t="s">
        <v>272</v>
      </c>
      <c r="E1591" t="s">
        <v>2712</v>
      </c>
      <c r="F1591">
        <v>0.99990000000000001</v>
      </c>
      <c r="G1591" t="s">
        <v>2647</v>
      </c>
      <c r="H1591">
        <v>93</v>
      </c>
      <c r="I1591" t="s">
        <v>2774</v>
      </c>
      <c r="J1591" t="s">
        <v>294</v>
      </c>
      <c r="M1591" t="s">
        <v>295</v>
      </c>
      <c r="N1591" t="s">
        <v>296</v>
      </c>
      <c r="O1591" t="s">
        <v>297</v>
      </c>
    </row>
    <row r="1592" spans="1:15" x14ac:dyDescent="0.3">
      <c r="A1592" t="s">
        <v>2636</v>
      </c>
      <c r="B1592" t="s">
        <v>2772</v>
      </c>
      <c r="C1592">
        <v>2024</v>
      </c>
      <c r="D1592" t="s">
        <v>272</v>
      </c>
      <c r="E1592" t="s">
        <v>2714</v>
      </c>
      <c r="F1592">
        <v>0.99990000000000001</v>
      </c>
      <c r="G1592" t="s">
        <v>2647</v>
      </c>
      <c r="H1592">
        <v>93</v>
      </c>
      <c r="I1592" t="s">
        <v>2775</v>
      </c>
      <c r="J1592" t="s">
        <v>294</v>
      </c>
      <c r="M1592" t="s">
        <v>295</v>
      </c>
      <c r="N1592" t="s">
        <v>296</v>
      </c>
      <c r="O1592" t="s">
        <v>297</v>
      </c>
    </row>
    <row r="1593" spans="1:15" x14ac:dyDescent="0.3">
      <c r="A1593" t="s">
        <v>2636</v>
      </c>
      <c r="B1593" t="s">
        <v>2772</v>
      </c>
      <c r="C1593">
        <v>2024</v>
      </c>
      <c r="D1593" t="s">
        <v>272</v>
      </c>
      <c r="E1593" t="s">
        <v>2704</v>
      </c>
      <c r="F1593" t="s">
        <v>2705</v>
      </c>
      <c r="G1593" t="s">
        <v>292</v>
      </c>
      <c r="H1593">
        <v>93</v>
      </c>
      <c r="I1593" t="s">
        <v>2776</v>
      </c>
      <c r="J1593" t="s">
        <v>294</v>
      </c>
      <c r="M1593" t="s">
        <v>295</v>
      </c>
      <c r="N1593" t="s">
        <v>296</v>
      </c>
      <c r="O1593" t="s">
        <v>297</v>
      </c>
    </row>
    <row r="1594" spans="1:15" x14ac:dyDescent="0.3">
      <c r="A1594" t="s">
        <v>2636</v>
      </c>
      <c r="B1594" t="s">
        <v>2772</v>
      </c>
      <c r="C1594">
        <v>2024</v>
      </c>
      <c r="D1594" t="s">
        <v>300</v>
      </c>
      <c r="E1594" t="s">
        <v>301</v>
      </c>
      <c r="F1594">
        <v>1292650185</v>
      </c>
      <c r="G1594" t="s">
        <v>2644</v>
      </c>
      <c r="H1594">
        <v>7</v>
      </c>
      <c r="I1594" t="s">
        <v>2777</v>
      </c>
      <c r="J1594" t="s">
        <v>294</v>
      </c>
      <c r="M1594" t="s">
        <v>295</v>
      </c>
      <c r="N1594" t="s">
        <v>296</v>
      </c>
      <c r="O1594" t="s">
        <v>297</v>
      </c>
    </row>
    <row r="1595" spans="1:15" x14ac:dyDescent="0.3">
      <c r="A1595" t="s">
        <v>2636</v>
      </c>
      <c r="B1595" t="s">
        <v>2772</v>
      </c>
      <c r="C1595">
        <v>2024</v>
      </c>
      <c r="D1595" t="s">
        <v>300</v>
      </c>
      <c r="E1595" t="s">
        <v>2717</v>
      </c>
      <c r="F1595">
        <v>20495</v>
      </c>
      <c r="G1595" t="s">
        <v>302</v>
      </c>
      <c r="H1595">
        <v>7</v>
      </c>
      <c r="I1595" t="s">
        <v>2778</v>
      </c>
      <c r="J1595" t="s">
        <v>456</v>
      </c>
      <c r="M1595" t="s">
        <v>295</v>
      </c>
      <c r="N1595" t="s">
        <v>296</v>
      </c>
      <c r="O1595" t="s">
        <v>297</v>
      </c>
    </row>
    <row r="1596" spans="1:15" x14ac:dyDescent="0.3">
      <c r="A1596" t="s">
        <v>2636</v>
      </c>
      <c r="B1596" t="s">
        <v>2772</v>
      </c>
      <c r="C1596">
        <v>2024</v>
      </c>
      <c r="D1596" t="s">
        <v>300</v>
      </c>
      <c r="E1596" t="s">
        <v>2779</v>
      </c>
      <c r="F1596">
        <v>1239365291</v>
      </c>
      <c r="G1596" t="s">
        <v>2644</v>
      </c>
      <c r="H1596">
        <v>95</v>
      </c>
      <c r="I1596" t="s">
        <v>2780</v>
      </c>
      <c r="J1596" t="s">
        <v>294</v>
      </c>
      <c r="M1596" t="s">
        <v>295</v>
      </c>
      <c r="N1596" t="s">
        <v>296</v>
      </c>
      <c r="O1596" t="s">
        <v>297</v>
      </c>
    </row>
    <row r="1597" spans="1:15" x14ac:dyDescent="0.3">
      <c r="A1597" t="s">
        <v>2636</v>
      </c>
      <c r="B1597" t="s">
        <v>2772</v>
      </c>
      <c r="C1597">
        <v>2024</v>
      </c>
      <c r="D1597" t="s">
        <v>300</v>
      </c>
      <c r="E1597" t="s">
        <v>304</v>
      </c>
      <c r="F1597">
        <v>53284894</v>
      </c>
      <c r="G1597" t="s">
        <v>2644</v>
      </c>
      <c r="H1597">
        <v>7</v>
      </c>
      <c r="I1597" t="s">
        <v>2781</v>
      </c>
      <c r="J1597" t="s">
        <v>294</v>
      </c>
      <c r="M1597" t="s">
        <v>295</v>
      </c>
      <c r="N1597" t="s">
        <v>296</v>
      </c>
      <c r="O1597" t="s">
        <v>297</v>
      </c>
    </row>
    <row r="1598" spans="1:15" x14ac:dyDescent="0.3">
      <c r="A1598" t="s">
        <v>2636</v>
      </c>
      <c r="B1598" t="s">
        <v>2772</v>
      </c>
      <c r="C1598">
        <v>2024</v>
      </c>
      <c r="D1598" t="s">
        <v>300</v>
      </c>
      <c r="E1598" t="s">
        <v>1112</v>
      </c>
      <c r="F1598">
        <v>23127896</v>
      </c>
      <c r="G1598" t="s">
        <v>2644</v>
      </c>
      <c r="H1598">
        <v>7</v>
      </c>
      <c r="I1598" t="s">
        <v>2782</v>
      </c>
      <c r="J1598" t="s">
        <v>294</v>
      </c>
      <c r="M1598" t="s">
        <v>295</v>
      </c>
      <c r="N1598" t="s">
        <v>296</v>
      </c>
      <c r="O1598" t="s">
        <v>297</v>
      </c>
    </row>
    <row r="1599" spans="1:15" x14ac:dyDescent="0.3">
      <c r="A1599" t="s">
        <v>2636</v>
      </c>
      <c r="B1599" t="s">
        <v>2772</v>
      </c>
      <c r="C1599">
        <v>2024</v>
      </c>
      <c r="D1599" t="s">
        <v>300</v>
      </c>
      <c r="E1599" t="s">
        <v>2783</v>
      </c>
      <c r="F1599">
        <v>1667219</v>
      </c>
      <c r="G1599" t="s">
        <v>2644</v>
      </c>
      <c r="H1599">
        <v>95</v>
      </c>
      <c r="I1599" t="s">
        <v>2784</v>
      </c>
      <c r="J1599" t="s">
        <v>294</v>
      </c>
      <c r="M1599" t="s">
        <v>295</v>
      </c>
      <c r="N1599" t="s">
        <v>296</v>
      </c>
      <c r="O1599" t="s">
        <v>297</v>
      </c>
    </row>
    <row r="1600" spans="1:15" x14ac:dyDescent="0.3">
      <c r="A1600" t="s">
        <v>2636</v>
      </c>
      <c r="B1600" t="s">
        <v>2772</v>
      </c>
      <c r="C1600">
        <v>2024</v>
      </c>
      <c r="D1600" t="s">
        <v>300</v>
      </c>
      <c r="E1600" t="s">
        <v>1216</v>
      </c>
      <c r="F1600">
        <v>10199854</v>
      </c>
      <c r="G1600" t="s">
        <v>2644</v>
      </c>
      <c r="H1600">
        <v>95</v>
      </c>
      <c r="I1600" t="s">
        <v>2785</v>
      </c>
      <c r="J1600" t="s">
        <v>294</v>
      </c>
      <c r="M1600" t="s">
        <v>295</v>
      </c>
      <c r="N1600" t="s">
        <v>296</v>
      </c>
      <c r="O1600" t="s">
        <v>297</v>
      </c>
    </row>
    <row r="1601" spans="1:15" x14ac:dyDescent="0.3">
      <c r="A1601" t="s">
        <v>2636</v>
      </c>
      <c r="B1601" t="s">
        <v>2772</v>
      </c>
      <c r="C1601">
        <v>2024</v>
      </c>
      <c r="D1601" t="s">
        <v>300</v>
      </c>
      <c r="E1601" t="s">
        <v>579</v>
      </c>
      <c r="F1601">
        <v>14556753</v>
      </c>
      <c r="G1601" t="s">
        <v>2644</v>
      </c>
      <c r="H1601">
        <v>95</v>
      </c>
      <c r="I1601" t="s">
        <v>2786</v>
      </c>
      <c r="J1601" t="s">
        <v>294</v>
      </c>
      <c r="M1601" t="s">
        <v>295</v>
      </c>
      <c r="N1601" t="s">
        <v>296</v>
      </c>
      <c r="O1601" t="s">
        <v>297</v>
      </c>
    </row>
    <row r="1602" spans="1:15" x14ac:dyDescent="0.3">
      <c r="A1602" t="s">
        <v>2636</v>
      </c>
      <c r="B1602" t="s">
        <v>2772</v>
      </c>
      <c r="C1602">
        <v>2024</v>
      </c>
      <c r="D1602" t="s">
        <v>300</v>
      </c>
      <c r="E1602" t="s">
        <v>306</v>
      </c>
      <c r="F1602">
        <v>9594659</v>
      </c>
      <c r="G1602" t="s">
        <v>2644</v>
      </c>
      <c r="H1602">
        <v>7</v>
      </c>
      <c r="I1602" t="s">
        <v>2787</v>
      </c>
      <c r="J1602" t="s">
        <v>294</v>
      </c>
      <c r="M1602" t="s">
        <v>295</v>
      </c>
      <c r="N1602" t="s">
        <v>296</v>
      </c>
      <c r="O1602" t="s">
        <v>297</v>
      </c>
    </row>
    <row r="1603" spans="1:15" x14ac:dyDescent="0.3">
      <c r="A1603" t="s">
        <v>2636</v>
      </c>
      <c r="B1603" t="s">
        <v>2772</v>
      </c>
      <c r="C1603">
        <v>2024</v>
      </c>
      <c r="D1603" t="s">
        <v>300</v>
      </c>
      <c r="E1603" t="s">
        <v>308</v>
      </c>
      <c r="F1603">
        <v>8727192</v>
      </c>
      <c r="G1603" t="s">
        <v>2644</v>
      </c>
      <c r="H1603">
        <v>7</v>
      </c>
      <c r="I1603" t="s">
        <v>2788</v>
      </c>
      <c r="J1603" t="s">
        <v>294</v>
      </c>
      <c r="M1603" t="s">
        <v>295</v>
      </c>
      <c r="N1603" t="s">
        <v>296</v>
      </c>
      <c r="O1603" t="s">
        <v>297</v>
      </c>
    </row>
    <row r="1604" spans="1:15" x14ac:dyDescent="0.3">
      <c r="A1604" t="s">
        <v>2636</v>
      </c>
      <c r="B1604" t="s">
        <v>2772</v>
      </c>
      <c r="C1604">
        <v>2024</v>
      </c>
      <c r="D1604" t="s">
        <v>300</v>
      </c>
      <c r="E1604" t="s">
        <v>2723</v>
      </c>
      <c r="F1604">
        <v>867467</v>
      </c>
      <c r="G1604" t="s">
        <v>2644</v>
      </c>
      <c r="H1604">
        <v>7</v>
      </c>
      <c r="I1604" t="s">
        <v>2789</v>
      </c>
      <c r="J1604" t="s">
        <v>294</v>
      </c>
      <c r="M1604" t="s">
        <v>295</v>
      </c>
      <c r="N1604" t="s">
        <v>296</v>
      </c>
      <c r="O1604" t="s">
        <v>297</v>
      </c>
    </row>
    <row r="1605" spans="1:15" x14ac:dyDescent="0.3">
      <c r="A1605" t="s">
        <v>2636</v>
      </c>
      <c r="B1605" t="s">
        <v>2772</v>
      </c>
      <c r="C1605">
        <v>2024</v>
      </c>
      <c r="D1605" t="s">
        <v>300</v>
      </c>
      <c r="E1605" t="s">
        <v>2658</v>
      </c>
      <c r="F1605">
        <v>1.7999999999999999E-2</v>
      </c>
      <c r="G1605" t="s">
        <v>908</v>
      </c>
      <c r="H1605">
        <v>7</v>
      </c>
      <c r="I1605" t="s">
        <v>2790</v>
      </c>
      <c r="J1605" t="s">
        <v>294</v>
      </c>
      <c r="M1605" t="s">
        <v>295</v>
      </c>
      <c r="N1605" t="s">
        <v>296</v>
      </c>
      <c r="O1605" t="s">
        <v>297</v>
      </c>
    </row>
    <row r="1606" spans="1:15" x14ac:dyDescent="0.3">
      <c r="A1606" t="s">
        <v>2636</v>
      </c>
      <c r="B1606" t="s">
        <v>2772</v>
      </c>
      <c r="C1606">
        <v>2024</v>
      </c>
      <c r="D1606" t="s">
        <v>300</v>
      </c>
      <c r="E1606" t="s">
        <v>316</v>
      </c>
      <c r="F1606">
        <v>522159891</v>
      </c>
      <c r="G1606" t="s">
        <v>2644</v>
      </c>
      <c r="H1606">
        <v>8</v>
      </c>
      <c r="I1606" t="s">
        <v>2791</v>
      </c>
      <c r="J1606" t="s">
        <v>294</v>
      </c>
      <c r="M1606" t="s">
        <v>295</v>
      </c>
      <c r="N1606" t="s">
        <v>296</v>
      </c>
      <c r="O1606" t="s">
        <v>297</v>
      </c>
    </row>
    <row r="1607" spans="1:15" x14ac:dyDescent="0.3">
      <c r="A1607" t="s">
        <v>2636</v>
      </c>
      <c r="B1607" t="s">
        <v>2772</v>
      </c>
      <c r="C1607">
        <v>2024</v>
      </c>
      <c r="D1607" t="s">
        <v>300</v>
      </c>
      <c r="E1607" t="s">
        <v>312</v>
      </c>
      <c r="F1607">
        <v>380968968</v>
      </c>
      <c r="G1607" t="s">
        <v>2644</v>
      </c>
      <c r="H1607">
        <v>8</v>
      </c>
      <c r="I1607" t="s">
        <v>2792</v>
      </c>
      <c r="J1607" t="s">
        <v>294</v>
      </c>
      <c r="M1607" t="s">
        <v>295</v>
      </c>
      <c r="N1607" t="s">
        <v>296</v>
      </c>
      <c r="O1607" t="s">
        <v>297</v>
      </c>
    </row>
    <row r="1608" spans="1:15" x14ac:dyDescent="0.3">
      <c r="A1608" t="s">
        <v>2636</v>
      </c>
      <c r="B1608" t="s">
        <v>2772</v>
      </c>
      <c r="C1608">
        <v>2024</v>
      </c>
      <c r="D1608" t="s">
        <v>300</v>
      </c>
      <c r="E1608" t="s">
        <v>314</v>
      </c>
      <c r="F1608">
        <v>141190923</v>
      </c>
      <c r="G1608" t="s">
        <v>2644</v>
      </c>
      <c r="H1608">
        <v>8</v>
      </c>
      <c r="I1608" t="s">
        <v>2793</v>
      </c>
      <c r="J1608" t="s">
        <v>294</v>
      </c>
      <c r="M1608" t="s">
        <v>295</v>
      </c>
      <c r="N1608" t="s">
        <v>296</v>
      </c>
      <c r="O1608" t="s">
        <v>297</v>
      </c>
    </row>
    <row r="1609" spans="1:15" x14ac:dyDescent="0.3">
      <c r="A1609" t="s">
        <v>2636</v>
      </c>
      <c r="B1609" t="s">
        <v>2772</v>
      </c>
      <c r="C1609">
        <v>2024</v>
      </c>
      <c r="D1609" t="s">
        <v>300</v>
      </c>
      <c r="E1609" t="s">
        <v>322</v>
      </c>
      <c r="F1609">
        <v>347204245</v>
      </c>
      <c r="G1609" t="s">
        <v>2644</v>
      </c>
      <c r="H1609">
        <v>8</v>
      </c>
      <c r="I1609" t="s">
        <v>2794</v>
      </c>
      <c r="J1609" t="s">
        <v>294</v>
      </c>
      <c r="M1609" t="s">
        <v>295</v>
      </c>
      <c r="N1609" t="s">
        <v>296</v>
      </c>
      <c r="O1609" t="s">
        <v>297</v>
      </c>
    </row>
    <row r="1610" spans="1:15" x14ac:dyDescent="0.3">
      <c r="A1610" t="s">
        <v>2636</v>
      </c>
      <c r="B1610" t="s">
        <v>2772</v>
      </c>
      <c r="C1610">
        <v>2024</v>
      </c>
      <c r="D1610" t="s">
        <v>300</v>
      </c>
      <c r="E1610" t="s">
        <v>318</v>
      </c>
      <c r="F1610">
        <v>293869813</v>
      </c>
      <c r="G1610" t="s">
        <v>2644</v>
      </c>
      <c r="H1610">
        <v>8</v>
      </c>
      <c r="I1610" t="s">
        <v>2795</v>
      </c>
      <c r="J1610" t="s">
        <v>294</v>
      </c>
      <c r="M1610" t="s">
        <v>295</v>
      </c>
      <c r="N1610" t="s">
        <v>296</v>
      </c>
      <c r="O1610" t="s">
        <v>297</v>
      </c>
    </row>
    <row r="1611" spans="1:15" x14ac:dyDescent="0.3">
      <c r="A1611" t="s">
        <v>2636</v>
      </c>
      <c r="B1611" t="s">
        <v>2772</v>
      </c>
      <c r="C1611">
        <v>2024</v>
      </c>
      <c r="D1611" t="s">
        <v>300</v>
      </c>
      <c r="E1611" t="s">
        <v>468</v>
      </c>
      <c r="F1611">
        <v>53334432</v>
      </c>
      <c r="G1611" t="s">
        <v>2644</v>
      </c>
      <c r="H1611">
        <v>8</v>
      </c>
      <c r="I1611" t="s">
        <v>2796</v>
      </c>
      <c r="J1611" t="s">
        <v>294</v>
      </c>
      <c r="M1611" t="s">
        <v>295</v>
      </c>
      <c r="N1611" t="s">
        <v>296</v>
      </c>
      <c r="O1611" t="s">
        <v>297</v>
      </c>
    </row>
    <row r="1612" spans="1:15" x14ac:dyDescent="0.3">
      <c r="A1612" t="s">
        <v>2636</v>
      </c>
      <c r="B1612" t="s">
        <v>2772</v>
      </c>
      <c r="C1612">
        <v>2024</v>
      </c>
      <c r="D1612" t="s">
        <v>300</v>
      </c>
      <c r="E1612" t="s">
        <v>324</v>
      </c>
      <c r="F1612">
        <v>174955646</v>
      </c>
      <c r="G1612" t="s">
        <v>2644</v>
      </c>
      <c r="H1612">
        <v>8</v>
      </c>
      <c r="I1612" t="s">
        <v>2797</v>
      </c>
      <c r="J1612" t="s">
        <v>294</v>
      </c>
      <c r="M1612" t="s">
        <v>295</v>
      </c>
      <c r="N1612" t="s">
        <v>296</v>
      </c>
      <c r="O1612" t="s">
        <v>297</v>
      </c>
    </row>
    <row r="1613" spans="1:15" x14ac:dyDescent="0.3">
      <c r="A1613" t="s">
        <v>2636</v>
      </c>
      <c r="B1613" t="s">
        <v>2772</v>
      </c>
      <c r="C1613">
        <v>2024</v>
      </c>
      <c r="D1613" t="s">
        <v>300</v>
      </c>
      <c r="E1613" t="s">
        <v>2733</v>
      </c>
      <c r="F1613">
        <v>87099155</v>
      </c>
      <c r="G1613" t="s">
        <v>2644</v>
      </c>
      <c r="H1613">
        <v>8</v>
      </c>
      <c r="I1613" t="s">
        <v>2798</v>
      </c>
      <c r="J1613" t="s">
        <v>294</v>
      </c>
      <c r="M1613" t="s">
        <v>295</v>
      </c>
      <c r="N1613" t="s">
        <v>296</v>
      </c>
      <c r="O1613" t="s">
        <v>297</v>
      </c>
    </row>
    <row r="1614" spans="1:15" x14ac:dyDescent="0.3">
      <c r="A1614" t="s">
        <v>2636</v>
      </c>
      <c r="B1614" t="s">
        <v>2772</v>
      </c>
      <c r="C1614">
        <v>2024</v>
      </c>
      <c r="D1614" t="s">
        <v>300</v>
      </c>
      <c r="E1614" t="s">
        <v>2667</v>
      </c>
      <c r="F1614">
        <v>76426500</v>
      </c>
      <c r="G1614" t="s">
        <v>2644</v>
      </c>
      <c r="H1614">
        <v>93</v>
      </c>
      <c r="I1614" t="s">
        <v>2799</v>
      </c>
      <c r="J1614" t="s">
        <v>294</v>
      </c>
      <c r="M1614" t="s">
        <v>295</v>
      </c>
      <c r="N1614" t="s">
        <v>296</v>
      </c>
      <c r="O1614" t="s">
        <v>297</v>
      </c>
    </row>
    <row r="1615" spans="1:15" x14ac:dyDescent="0.3">
      <c r="A1615" t="s">
        <v>2636</v>
      </c>
      <c r="B1615" t="s">
        <v>2772</v>
      </c>
      <c r="C1615">
        <v>2024</v>
      </c>
      <c r="D1615" t="s">
        <v>300</v>
      </c>
      <c r="E1615" t="s">
        <v>481</v>
      </c>
      <c r="F1615">
        <v>220481169</v>
      </c>
      <c r="G1615" t="s">
        <v>2644</v>
      </c>
      <c r="H1615">
        <v>93</v>
      </c>
      <c r="I1615" t="s">
        <v>2800</v>
      </c>
      <c r="J1615" t="s">
        <v>294</v>
      </c>
      <c r="M1615" t="s">
        <v>295</v>
      </c>
      <c r="N1615" t="s">
        <v>296</v>
      </c>
      <c r="O1615" t="s">
        <v>297</v>
      </c>
    </row>
    <row r="1616" spans="1:15" x14ac:dyDescent="0.3">
      <c r="A1616" t="s">
        <v>2636</v>
      </c>
      <c r="B1616" t="s">
        <v>2772</v>
      </c>
      <c r="C1616">
        <v>2024</v>
      </c>
      <c r="D1616" t="s">
        <v>300</v>
      </c>
      <c r="E1616" t="s">
        <v>2744</v>
      </c>
      <c r="F1616">
        <v>103085969</v>
      </c>
      <c r="G1616" t="s">
        <v>2644</v>
      </c>
      <c r="H1616">
        <v>93</v>
      </c>
      <c r="I1616" t="s">
        <v>2801</v>
      </c>
      <c r="J1616" t="s">
        <v>294</v>
      </c>
      <c r="M1616" t="s">
        <v>295</v>
      </c>
      <c r="N1616" t="s">
        <v>296</v>
      </c>
      <c r="O1616" t="s">
        <v>297</v>
      </c>
    </row>
    <row r="1617" spans="1:15" x14ac:dyDescent="0.3">
      <c r="A1617" t="s">
        <v>2636</v>
      </c>
      <c r="B1617" t="s">
        <v>2772</v>
      </c>
      <c r="C1617">
        <v>2024</v>
      </c>
      <c r="D1617" t="s">
        <v>300</v>
      </c>
      <c r="E1617" t="s">
        <v>595</v>
      </c>
      <c r="F1617">
        <v>70539923</v>
      </c>
      <c r="G1617" t="s">
        <v>2644</v>
      </c>
      <c r="H1617">
        <v>94</v>
      </c>
      <c r="I1617" t="s">
        <v>2802</v>
      </c>
      <c r="J1617" t="s">
        <v>294</v>
      </c>
      <c r="M1617" t="s">
        <v>295</v>
      </c>
      <c r="N1617" t="s">
        <v>296</v>
      </c>
      <c r="O1617" t="s">
        <v>297</v>
      </c>
    </row>
    <row r="1618" spans="1:15" x14ac:dyDescent="0.3">
      <c r="A1618" t="s">
        <v>2636</v>
      </c>
      <c r="B1618" t="s">
        <v>2772</v>
      </c>
      <c r="C1618">
        <v>2024</v>
      </c>
      <c r="D1618" t="s">
        <v>300</v>
      </c>
      <c r="E1618" t="s">
        <v>2670</v>
      </c>
      <c r="F1618">
        <v>8880114</v>
      </c>
      <c r="G1618" t="s">
        <v>2644</v>
      </c>
      <c r="H1618">
        <v>94</v>
      </c>
      <c r="I1618" t="s">
        <v>2803</v>
      </c>
      <c r="J1618" t="s">
        <v>294</v>
      </c>
      <c r="M1618" t="s">
        <v>295</v>
      </c>
      <c r="N1618" t="s">
        <v>296</v>
      </c>
      <c r="O1618" t="s">
        <v>297</v>
      </c>
    </row>
    <row r="1619" spans="1:15" x14ac:dyDescent="0.3">
      <c r="A1619" t="s">
        <v>2636</v>
      </c>
      <c r="B1619" t="s">
        <v>2772</v>
      </c>
      <c r="C1619">
        <v>2024</v>
      </c>
      <c r="D1619" t="s">
        <v>300</v>
      </c>
      <c r="E1619" t="s">
        <v>2804</v>
      </c>
      <c r="F1619">
        <v>46029990</v>
      </c>
      <c r="G1619" t="s">
        <v>2644</v>
      </c>
      <c r="H1619">
        <v>94</v>
      </c>
      <c r="I1619" t="s">
        <v>2805</v>
      </c>
      <c r="J1619" t="s">
        <v>294</v>
      </c>
      <c r="M1619" t="s">
        <v>295</v>
      </c>
      <c r="N1619" t="s">
        <v>296</v>
      </c>
      <c r="O1619" t="s">
        <v>297</v>
      </c>
    </row>
    <row r="1620" spans="1:15" x14ac:dyDescent="0.3">
      <c r="A1620" t="s">
        <v>2636</v>
      </c>
      <c r="B1620" t="s">
        <v>2772</v>
      </c>
      <c r="C1620">
        <v>2024</v>
      </c>
      <c r="D1620" t="s">
        <v>300</v>
      </c>
      <c r="E1620" t="s">
        <v>2806</v>
      </c>
      <c r="F1620">
        <v>125450027</v>
      </c>
      <c r="G1620" t="s">
        <v>2644</v>
      </c>
      <c r="H1620">
        <v>94</v>
      </c>
      <c r="I1620" t="s">
        <v>2807</v>
      </c>
      <c r="J1620" t="s">
        <v>294</v>
      </c>
      <c r="M1620" t="s">
        <v>295</v>
      </c>
      <c r="N1620" t="s">
        <v>296</v>
      </c>
      <c r="O1620" t="s">
        <v>297</v>
      </c>
    </row>
    <row r="1621" spans="1:15" x14ac:dyDescent="0.3">
      <c r="A1621" t="s">
        <v>2636</v>
      </c>
      <c r="B1621" t="s">
        <v>2772</v>
      </c>
      <c r="C1621">
        <v>2024</v>
      </c>
      <c r="D1621" t="s">
        <v>300</v>
      </c>
      <c r="E1621" t="s">
        <v>2673</v>
      </c>
      <c r="F1621">
        <v>52355159</v>
      </c>
      <c r="G1621" t="s">
        <v>2644</v>
      </c>
      <c r="H1621">
        <v>96</v>
      </c>
      <c r="I1621" t="s">
        <v>2808</v>
      </c>
      <c r="J1621" t="s">
        <v>294</v>
      </c>
      <c r="M1621" t="s">
        <v>295</v>
      </c>
      <c r="N1621" t="s">
        <v>296</v>
      </c>
      <c r="O1621" t="s">
        <v>297</v>
      </c>
    </row>
    <row r="1622" spans="1:15" x14ac:dyDescent="0.3">
      <c r="A1622" t="s">
        <v>2636</v>
      </c>
      <c r="B1622" t="s">
        <v>2772</v>
      </c>
      <c r="C1622">
        <v>2024</v>
      </c>
      <c r="D1622" t="s">
        <v>300</v>
      </c>
      <c r="E1622" t="s">
        <v>2677</v>
      </c>
      <c r="F1622">
        <v>-10951618</v>
      </c>
      <c r="G1622" t="s">
        <v>2644</v>
      </c>
      <c r="H1622">
        <v>96</v>
      </c>
      <c r="I1622" t="s">
        <v>2809</v>
      </c>
      <c r="J1622" t="s">
        <v>294</v>
      </c>
      <c r="M1622" t="s">
        <v>295</v>
      </c>
      <c r="N1622" t="s">
        <v>296</v>
      </c>
      <c r="O1622" t="s">
        <v>297</v>
      </c>
    </row>
    <row r="1623" spans="1:15" x14ac:dyDescent="0.3">
      <c r="A1623" t="s">
        <v>2636</v>
      </c>
      <c r="B1623" t="s">
        <v>2772</v>
      </c>
      <c r="C1623">
        <v>2024</v>
      </c>
      <c r="D1623" t="s">
        <v>300</v>
      </c>
      <c r="E1623" t="s">
        <v>2748</v>
      </c>
      <c r="F1623">
        <v>-28215113</v>
      </c>
      <c r="G1623" t="s">
        <v>2644</v>
      </c>
      <c r="H1623">
        <v>96</v>
      </c>
      <c r="I1623" t="s">
        <v>2810</v>
      </c>
      <c r="J1623" t="s">
        <v>294</v>
      </c>
      <c r="M1623" t="s">
        <v>295</v>
      </c>
      <c r="N1623" t="s">
        <v>296</v>
      </c>
      <c r="O1623" t="s">
        <v>297</v>
      </c>
    </row>
    <row r="1624" spans="1:15" x14ac:dyDescent="0.3">
      <c r="A1624" t="s">
        <v>2636</v>
      </c>
      <c r="B1624" t="s">
        <v>2772</v>
      </c>
      <c r="C1624">
        <v>2024</v>
      </c>
      <c r="D1624" t="s">
        <v>300</v>
      </c>
      <c r="E1624" t="s">
        <v>2675</v>
      </c>
      <c r="F1624">
        <v>10776036</v>
      </c>
      <c r="G1624" t="s">
        <v>2644</v>
      </c>
      <c r="H1624">
        <v>96</v>
      </c>
      <c r="I1624" t="s">
        <v>2811</v>
      </c>
      <c r="J1624" t="s">
        <v>294</v>
      </c>
      <c r="M1624" t="s">
        <v>295</v>
      </c>
      <c r="N1624" t="s">
        <v>296</v>
      </c>
      <c r="O1624" t="s">
        <v>297</v>
      </c>
    </row>
    <row r="1625" spans="1:15" x14ac:dyDescent="0.3">
      <c r="A1625" t="s">
        <v>2636</v>
      </c>
      <c r="B1625" t="s">
        <v>2772</v>
      </c>
      <c r="C1625">
        <v>2024</v>
      </c>
      <c r="D1625" t="s">
        <v>300</v>
      </c>
      <c r="E1625" t="s">
        <v>2751</v>
      </c>
      <c r="F1625">
        <v>10408167</v>
      </c>
      <c r="G1625" t="s">
        <v>2644</v>
      </c>
      <c r="H1625">
        <v>96</v>
      </c>
      <c r="I1625" t="s">
        <v>2812</v>
      </c>
      <c r="J1625" t="s">
        <v>294</v>
      </c>
      <c r="M1625" t="s">
        <v>295</v>
      </c>
      <c r="N1625" t="s">
        <v>296</v>
      </c>
      <c r="O1625" t="s">
        <v>297</v>
      </c>
    </row>
    <row r="1626" spans="1:15" x14ac:dyDescent="0.3">
      <c r="A1626" t="s">
        <v>2636</v>
      </c>
      <c r="B1626" t="s">
        <v>2772</v>
      </c>
      <c r="C1626">
        <v>2024</v>
      </c>
      <c r="D1626" t="s">
        <v>300</v>
      </c>
      <c r="E1626" t="s">
        <v>2753</v>
      </c>
      <c r="F1626">
        <v>9985927</v>
      </c>
      <c r="G1626" t="s">
        <v>2644</v>
      </c>
      <c r="H1626">
        <v>96</v>
      </c>
      <c r="I1626" t="s">
        <v>2813</v>
      </c>
      <c r="J1626" t="s">
        <v>294</v>
      </c>
      <c r="M1626" t="s">
        <v>295</v>
      </c>
      <c r="N1626" t="s">
        <v>296</v>
      </c>
      <c r="O1626" t="s">
        <v>297</v>
      </c>
    </row>
    <row r="1627" spans="1:15" x14ac:dyDescent="0.3">
      <c r="A1627" t="s">
        <v>2636</v>
      </c>
      <c r="B1627" t="s">
        <v>2772</v>
      </c>
      <c r="C1627">
        <v>2024</v>
      </c>
      <c r="D1627" t="s">
        <v>300</v>
      </c>
      <c r="E1627" t="s">
        <v>2814</v>
      </c>
      <c r="F1627">
        <v>10650</v>
      </c>
      <c r="G1627" t="s">
        <v>346</v>
      </c>
      <c r="H1627">
        <v>9</v>
      </c>
      <c r="I1627" t="s">
        <v>2815</v>
      </c>
      <c r="J1627" t="s">
        <v>294</v>
      </c>
      <c r="M1627" t="s">
        <v>295</v>
      </c>
      <c r="N1627" t="s">
        <v>296</v>
      </c>
      <c r="O1627" t="s">
        <v>297</v>
      </c>
    </row>
    <row r="1628" spans="1:15" x14ac:dyDescent="0.3">
      <c r="A1628" t="s">
        <v>2636</v>
      </c>
      <c r="B1628" t="s">
        <v>2772</v>
      </c>
      <c r="C1628">
        <v>2024</v>
      </c>
      <c r="D1628" t="s">
        <v>300</v>
      </c>
      <c r="E1628" t="s">
        <v>2816</v>
      </c>
      <c r="F1628">
        <v>5112000000000</v>
      </c>
      <c r="G1628" t="s">
        <v>2698</v>
      </c>
      <c r="H1628">
        <v>9</v>
      </c>
      <c r="I1628" t="s">
        <v>2817</v>
      </c>
      <c r="J1628" t="s">
        <v>294</v>
      </c>
      <c r="M1628" t="s">
        <v>295</v>
      </c>
      <c r="N1628" t="s">
        <v>296</v>
      </c>
      <c r="O1628" t="s">
        <v>297</v>
      </c>
    </row>
    <row r="1629" spans="1:15" x14ac:dyDescent="0.3">
      <c r="A1629" t="s">
        <v>2636</v>
      </c>
      <c r="B1629" t="s">
        <v>2772</v>
      </c>
      <c r="C1629">
        <v>2024</v>
      </c>
      <c r="D1629" t="s">
        <v>300</v>
      </c>
      <c r="E1629" t="s">
        <v>342</v>
      </c>
      <c r="F1629">
        <v>480000000</v>
      </c>
      <c r="G1629" t="s">
        <v>1633</v>
      </c>
      <c r="H1629">
        <v>7</v>
      </c>
      <c r="I1629" t="s">
        <v>2758</v>
      </c>
      <c r="J1629" t="s">
        <v>294</v>
      </c>
      <c r="M1629" t="s">
        <v>295</v>
      </c>
      <c r="N1629" t="s">
        <v>296</v>
      </c>
      <c r="O1629" t="s">
        <v>297</v>
      </c>
    </row>
    <row r="1630" spans="1:15" x14ac:dyDescent="0.3">
      <c r="A1630" t="s">
        <v>2636</v>
      </c>
      <c r="B1630" t="s">
        <v>2772</v>
      </c>
      <c r="C1630">
        <v>2024</v>
      </c>
      <c r="D1630" t="s">
        <v>300</v>
      </c>
      <c r="E1630" t="s">
        <v>333</v>
      </c>
      <c r="F1630">
        <v>1.7999999999999999E-2</v>
      </c>
      <c r="G1630" t="s">
        <v>2647</v>
      </c>
      <c r="H1630">
        <v>8</v>
      </c>
      <c r="I1630" t="s">
        <v>2818</v>
      </c>
      <c r="J1630" t="s">
        <v>294</v>
      </c>
      <c r="M1630" t="s">
        <v>295</v>
      </c>
      <c r="N1630" t="s">
        <v>296</v>
      </c>
      <c r="O1630" t="s">
        <v>297</v>
      </c>
    </row>
    <row r="1631" spans="1:15" x14ac:dyDescent="0.3">
      <c r="A1631" t="s">
        <v>2636</v>
      </c>
      <c r="B1631" t="s">
        <v>2772</v>
      </c>
      <c r="C1631">
        <v>2024</v>
      </c>
      <c r="D1631" t="s">
        <v>300</v>
      </c>
      <c r="E1631" t="s">
        <v>336</v>
      </c>
      <c r="F1631">
        <v>5.5E-2</v>
      </c>
      <c r="G1631" t="s">
        <v>2647</v>
      </c>
      <c r="H1631">
        <v>8</v>
      </c>
      <c r="I1631" t="s">
        <v>2819</v>
      </c>
      <c r="J1631" t="s">
        <v>294</v>
      </c>
      <c r="M1631" t="s">
        <v>295</v>
      </c>
      <c r="N1631" t="s">
        <v>296</v>
      </c>
      <c r="O1631" t="s">
        <v>297</v>
      </c>
    </row>
    <row r="1632" spans="1:15" x14ac:dyDescent="0.3">
      <c r="A1632" t="s">
        <v>2636</v>
      </c>
      <c r="B1632" t="s">
        <v>2772</v>
      </c>
      <c r="C1632">
        <v>2024</v>
      </c>
      <c r="D1632" t="s">
        <v>300</v>
      </c>
      <c r="E1632" t="s">
        <v>326</v>
      </c>
      <c r="F1632">
        <v>1.3</v>
      </c>
      <c r="G1632" t="s">
        <v>327</v>
      </c>
      <c r="H1632">
        <v>8</v>
      </c>
      <c r="I1632" t="s">
        <v>2820</v>
      </c>
      <c r="J1632" t="s">
        <v>294</v>
      </c>
      <c r="M1632" t="s">
        <v>295</v>
      </c>
      <c r="N1632" t="s">
        <v>296</v>
      </c>
      <c r="O1632" t="s">
        <v>297</v>
      </c>
    </row>
    <row r="1633" spans="1:15" x14ac:dyDescent="0.3">
      <c r="A1633" t="s">
        <v>2636</v>
      </c>
      <c r="B1633" t="s">
        <v>2772</v>
      </c>
      <c r="C1633">
        <v>2024</v>
      </c>
      <c r="D1633" t="s">
        <v>300</v>
      </c>
      <c r="E1633" t="s">
        <v>2762</v>
      </c>
      <c r="F1633">
        <v>2</v>
      </c>
      <c r="G1633" t="s">
        <v>327</v>
      </c>
      <c r="H1633">
        <v>8</v>
      </c>
      <c r="I1633" t="s">
        <v>2821</v>
      </c>
      <c r="J1633" t="s">
        <v>294</v>
      </c>
      <c r="M1633" t="s">
        <v>295</v>
      </c>
      <c r="N1633" t="s">
        <v>296</v>
      </c>
      <c r="O1633" t="s">
        <v>297</v>
      </c>
    </row>
    <row r="1634" spans="1:15" x14ac:dyDescent="0.3">
      <c r="A1634" t="s">
        <v>2636</v>
      </c>
      <c r="B1634" t="s">
        <v>2772</v>
      </c>
      <c r="C1634">
        <v>2024</v>
      </c>
      <c r="D1634" t="s">
        <v>300</v>
      </c>
      <c r="E1634" t="s">
        <v>2686</v>
      </c>
      <c r="F1634">
        <v>-7.6999999999999999E-2</v>
      </c>
      <c r="G1634" t="s">
        <v>2647</v>
      </c>
      <c r="H1634">
        <v>8</v>
      </c>
      <c r="I1634" t="s">
        <v>2822</v>
      </c>
      <c r="J1634" t="s">
        <v>294</v>
      </c>
      <c r="M1634" t="s">
        <v>295</v>
      </c>
      <c r="N1634" t="s">
        <v>296</v>
      </c>
      <c r="O1634" t="s">
        <v>297</v>
      </c>
    </row>
    <row r="1635" spans="1:15" x14ac:dyDescent="0.3">
      <c r="A1635" t="s">
        <v>2636</v>
      </c>
      <c r="B1635" t="s">
        <v>2772</v>
      </c>
      <c r="C1635">
        <v>2024</v>
      </c>
      <c r="D1635" t="s">
        <v>300</v>
      </c>
      <c r="E1635" t="s">
        <v>2688</v>
      </c>
      <c r="F1635">
        <v>-0.61199999999999999</v>
      </c>
      <c r="G1635" t="s">
        <v>2647</v>
      </c>
      <c r="H1635">
        <v>8</v>
      </c>
      <c r="I1635" t="s">
        <v>2823</v>
      </c>
      <c r="J1635" t="s">
        <v>294</v>
      </c>
      <c r="M1635" t="s">
        <v>295</v>
      </c>
      <c r="N1635" t="s">
        <v>296</v>
      </c>
      <c r="O1635" t="s">
        <v>297</v>
      </c>
    </row>
    <row r="1636" spans="1:15" x14ac:dyDescent="0.3">
      <c r="A1636" t="s">
        <v>2636</v>
      </c>
      <c r="B1636" t="s">
        <v>2772</v>
      </c>
      <c r="C1636">
        <v>2024</v>
      </c>
      <c r="D1636" t="s">
        <v>300</v>
      </c>
      <c r="E1636" t="s">
        <v>2824</v>
      </c>
      <c r="F1636">
        <v>16162</v>
      </c>
      <c r="G1636" t="s">
        <v>2769</v>
      </c>
      <c r="H1636">
        <v>130</v>
      </c>
      <c r="I1636" t="s">
        <v>2825</v>
      </c>
      <c r="J1636" t="s">
        <v>294</v>
      </c>
      <c r="M1636" t="s">
        <v>295</v>
      </c>
      <c r="N1636" t="s">
        <v>296</v>
      </c>
      <c r="O1636" t="s">
        <v>297</v>
      </c>
    </row>
    <row r="1637" spans="1:15" x14ac:dyDescent="0.3">
      <c r="A1637" t="s">
        <v>2636</v>
      </c>
      <c r="B1637" t="s">
        <v>2772</v>
      </c>
      <c r="C1637">
        <v>2024</v>
      </c>
      <c r="D1637" t="s">
        <v>394</v>
      </c>
      <c r="E1637" t="s">
        <v>2826</v>
      </c>
      <c r="F1637">
        <v>2</v>
      </c>
      <c r="G1637" t="s">
        <v>384</v>
      </c>
      <c r="H1637">
        <v>10</v>
      </c>
      <c r="I1637" t="s">
        <v>2827</v>
      </c>
      <c r="J1637" t="s">
        <v>294</v>
      </c>
      <c r="M1637" t="s">
        <v>295</v>
      </c>
      <c r="N1637" t="s">
        <v>296</v>
      </c>
      <c r="O1637" t="s">
        <v>297</v>
      </c>
    </row>
    <row r="1638" spans="1:15" x14ac:dyDescent="0.3">
      <c r="A1638" t="s">
        <v>2636</v>
      </c>
      <c r="B1638" t="s">
        <v>2772</v>
      </c>
      <c r="C1638">
        <v>2024</v>
      </c>
      <c r="D1638" t="s">
        <v>394</v>
      </c>
      <c r="E1638" t="s">
        <v>2828</v>
      </c>
      <c r="F1638">
        <v>1000</v>
      </c>
      <c r="G1638" t="s">
        <v>738</v>
      </c>
      <c r="H1638">
        <v>10</v>
      </c>
      <c r="I1638" t="s">
        <v>2829</v>
      </c>
      <c r="J1638" t="s">
        <v>294</v>
      </c>
      <c r="M1638" t="s">
        <v>295</v>
      </c>
      <c r="N1638" t="s">
        <v>296</v>
      </c>
      <c r="O1638" t="s">
        <v>297</v>
      </c>
    </row>
    <row r="1639" spans="1:15" x14ac:dyDescent="0.3">
      <c r="A1639" t="s">
        <v>2636</v>
      </c>
      <c r="B1639" t="s">
        <v>2772</v>
      </c>
      <c r="C1639">
        <v>2024</v>
      </c>
      <c r="D1639" t="s">
        <v>252</v>
      </c>
      <c r="E1639" t="s">
        <v>1100</v>
      </c>
      <c r="F1639" t="s">
        <v>2690</v>
      </c>
      <c r="G1639" t="s">
        <v>292</v>
      </c>
      <c r="H1639">
        <v>40</v>
      </c>
      <c r="I1639" t="s">
        <v>2771</v>
      </c>
      <c r="J1639" t="s">
        <v>294</v>
      </c>
      <c r="M1639" t="s">
        <v>295</v>
      </c>
      <c r="N1639" t="s">
        <v>296</v>
      </c>
      <c r="O1639" t="s">
        <v>297</v>
      </c>
    </row>
    <row r="1640" spans="1:15" x14ac:dyDescent="0.3">
      <c r="A1640" t="s">
        <v>2830</v>
      </c>
      <c r="B1640" t="s">
        <v>2831</v>
      </c>
      <c r="C1640">
        <v>2020</v>
      </c>
      <c r="D1640" t="s">
        <v>272</v>
      </c>
      <c r="E1640" t="s">
        <v>291</v>
      </c>
      <c r="F1640" t="s">
        <v>2830</v>
      </c>
      <c r="G1640" t="s">
        <v>292</v>
      </c>
      <c r="H1640">
        <v>2</v>
      </c>
      <c r="I1640" t="s">
        <v>2832</v>
      </c>
      <c r="J1640" t="s">
        <v>294</v>
      </c>
      <c r="M1640" t="s">
        <v>295</v>
      </c>
      <c r="N1640" t="s">
        <v>296</v>
      </c>
      <c r="O1640" t="s">
        <v>297</v>
      </c>
    </row>
    <row r="1641" spans="1:15" x14ac:dyDescent="0.3">
      <c r="A1641" t="s">
        <v>2830</v>
      </c>
      <c r="B1641" t="s">
        <v>2831</v>
      </c>
      <c r="C1641">
        <v>2020</v>
      </c>
      <c r="D1641" t="s">
        <v>272</v>
      </c>
      <c r="E1641" t="s">
        <v>1</v>
      </c>
      <c r="F1641" t="s">
        <v>2833</v>
      </c>
      <c r="G1641" t="s">
        <v>292</v>
      </c>
      <c r="H1641">
        <v>2</v>
      </c>
      <c r="I1641" t="s">
        <v>2834</v>
      </c>
      <c r="J1641" t="s">
        <v>294</v>
      </c>
      <c r="M1641" t="s">
        <v>295</v>
      </c>
      <c r="N1641" t="s">
        <v>296</v>
      </c>
      <c r="O1641" t="s">
        <v>297</v>
      </c>
    </row>
    <row r="1642" spans="1:15" x14ac:dyDescent="0.3">
      <c r="A1642" t="s">
        <v>2830</v>
      </c>
      <c r="B1642" t="s">
        <v>2831</v>
      </c>
      <c r="C1642">
        <v>2020</v>
      </c>
      <c r="D1642" t="s">
        <v>272</v>
      </c>
      <c r="E1642" t="s">
        <v>2835</v>
      </c>
      <c r="F1642" t="s">
        <v>2836</v>
      </c>
      <c r="G1642" t="s">
        <v>292</v>
      </c>
      <c r="H1642">
        <v>2</v>
      </c>
      <c r="I1642" t="s">
        <v>2837</v>
      </c>
      <c r="J1642" t="s">
        <v>294</v>
      </c>
      <c r="M1642" t="s">
        <v>295</v>
      </c>
      <c r="N1642" t="s">
        <v>296</v>
      </c>
      <c r="O1642" t="s">
        <v>297</v>
      </c>
    </row>
    <row r="1643" spans="1:15" x14ac:dyDescent="0.3">
      <c r="A1643" t="s">
        <v>2830</v>
      </c>
      <c r="B1643" t="s">
        <v>2831</v>
      </c>
      <c r="C1643">
        <v>2020</v>
      </c>
      <c r="D1643" t="s">
        <v>272</v>
      </c>
      <c r="E1643" t="s">
        <v>2838</v>
      </c>
      <c r="F1643" t="s">
        <v>2839</v>
      </c>
      <c r="G1643" t="s">
        <v>292</v>
      </c>
      <c r="H1643">
        <v>2</v>
      </c>
      <c r="I1643" t="s">
        <v>2840</v>
      </c>
      <c r="J1643" t="s">
        <v>294</v>
      </c>
      <c r="M1643" t="s">
        <v>295</v>
      </c>
      <c r="N1643" t="s">
        <v>296</v>
      </c>
      <c r="O1643" t="s">
        <v>297</v>
      </c>
    </row>
    <row r="1644" spans="1:15" x14ac:dyDescent="0.3">
      <c r="A1644" t="s">
        <v>2830</v>
      </c>
      <c r="B1644" t="s">
        <v>2831</v>
      </c>
      <c r="C1644">
        <v>2020</v>
      </c>
      <c r="D1644" t="s">
        <v>272</v>
      </c>
      <c r="E1644" t="s">
        <v>2643</v>
      </c>
      <c r="F1644" t="s">
        <v>912</v>
      </c>
      <c r="G1644" t="s">
        <v>292</v>
      </c>
      <c r="H1644">
        <v>2</v>
      </c>
      <c r="I1644" t="s">
        <v>2841</v>
      </c>
      <c r="J1644" t="s">
        <v>294</v>
      </c>
      <c r="M1644" t="s">
        <v>295</v>
      </c>
      <c r="N1644" t="s">
        <v>296</v>
      </c>
      <c r="O1644" t="s">
        <v>297</v>
      </c>
    </row>
    <row r="1645" spans="1:15" x14ac:dyDescent="0.3">
      <c r="A1645" t="s">
        <v>2830</v>
      </c>
      <c r="B1645" t="s">
        <v>2831</v>
      </c>
      <c r="C1645">
        <v>2020</v>
      </c>
      <c r="D1645" t="s">
        <v>272</v>
      </c>
      <c r="E1645" t="s">
        <v>2842</v>
      </c>
      <c r="F1645" t="s">
        <v>2843</v>
      </c>
      <c r="G1645" t="s">
        <v>292</v>
      </c>
      <c r="H1645">
        <v>2</v>
      </c>
      <c r="I1645" t="s">
        <v>2844</v>
      </c>
      <c r="J1645" t="s">
        <v>294</v>
      </c>
      <c r="M1645" t="s">
        <v>295</v>
      </c>
      <c r="N1645" t="s">
        <v>296</v>
      </c>
      <c r="O1645" t="s">
        <v>297</v>
      </c>
    </row>
    <row r="1646" spans="1:15" x14ac:dyDescent="0.3">
      <c r="A1646" t="s">
        <v>2830</v>
      </c>
      <c r="B1646" t="s">
        <v>2831</v>
      </c>
      <c r="C1646">
        <v>2020</v>
      </c>
      <c r="D1646" t="s">
        <v>272</v>
      </c>
      <c r="E1646" t="s">
        <v>2845</v>
      </c>
      <c r="F1646" t="s">
        <v>2846</v>
      </c>
      <c r="G1646" t="s">
        <v>292</v>
      </c>
      <c r="H1646">
        <v>2</v>
      </c>
      <c r="I1646" t="s">
        <v>2847</v>
      </c>
      <c r="J1646" t="s">
        <v>294</v>
      </c>
      <c r="M1646" t="s">
        <v>295</v>
      </c>
      <c r="N1646" t="s">
        <v>296</v>
      </c>
      <c r="O1646" t="s">
        <v>297</v>
      </c>
    </row>
    <row r="1647" spans="1:15" x14ac:dyDescent="0.3">
      <c r="A1647" t="s">
        <v>2830</v>
      </c>
      <c r="B1647" t="s">
        <v>2831</v>
      </c>
      <c r="C1647">
        <v>2020</v>
      </c>
      <c r="D1647" t="s">
        <v>272</v>
      </c>
      <c r="E1647" t="s">
        <v>2848</v>
      </c>
      <c r="F1647" t="s">
        <v>2849</v>
      </c>
      <c r="G1647" t="s">
        <v>292</v>
      </c>
      <c r="H1647">
        <v>2</v>
      </c>
      <c r="I1647" t="s">
        <v>2850</v>
      </c>
      <c r="J1647" t="s">
        <v>294</v>
      </c>
      <c r="M1647" t="s">
        <v>295</v>
      </c>
      <c r="N1647" t="s">
        <v>296</v>
      </c>
      <c r="O1647" t="s">
        <v>297</v>
      </c>
    </row>
    <row r="1648" spans="1:15" x14ac:dyDescent="0.3">
      <c r="A1648" t="s">
        <v>2830</v>
      </c>
      <c r="B1648" t="s">
        <v>2831</v>
      </c>
      <c r="C1648">
        <v>2020</v>
      </c>
      <c r="D1648" t="s">
        <v>272</v>
      </c>
      <c r="E1648" t="s">
        <v>2851</v>
      </c>
      <c r="F1648" t="s">
        <v>2852</v>
      </c>
      <c r="G1648" t="s">
        <v>666</v>
      </c>
      <c r="H1648">
        <v>2</v>
      </c>
      <c r="I1648" t="s">
        <v>2853</v>
      </c>
      <c r="J1648" t="s">
        <v>294</v>
      </c>
      <c r="M1648" t="s">
        <v>295</v>
      </c>
      <c r="N1648" t="s">
        <v>296</v>
      </c>
      <c r="O1648" t="s">
        <v>297</v>
      </c>
    </row>
    <row r="1649" spans="1:15" x14ac:dyDescent="0.3">
      <c r="A1649" t="s">
        <v>2830</v>
      </c>
      <c r="B1649" t="s">
        <v>2831</v>
      </c>
      <c r="C1649">
        <v>2020</v>
      </c>
      <c r="D1649" t="s">
        <v>272</v>
      </c>
      <c r="E1649" t="s">
        <v>2854</v>
      </c>
      <c r="F1649" t="s">
        <v>2855</v>
      </c>
      <c r="G1649" t="s">
        <v>292</v>
      </c>
      <c r="H1649">
        <v>2</v>
      </c>
      <c r="I1649" t="s">
        <v>2856</v>
      </c>
      <c r="J1649" t="s">
        <v>294</v>
      </c>
      <c r="M1649" t="s">
        <v>295</v>
      </c>
      <c r="N1649" t="s">
        <v>296</v>
      </c>
      <c r="O1649" t="s">
        <v>297</v>
      </c>
    </row>
    <row r="1650" spans="1:15" x14ac:dyDescent="0.3">
      <c r="A1650" t="s">
        <v>2830</v>
      </c>
      <c r="B1650" t="s">
        <v>2831</v>
      </c>
      <c r="C1650">
        <v>2020</v>
      </c>
      <c r="D1650" t="s">
        <v>272</v>
      </c>
      <c r="E1650" t="s">
        <v>2857</v>
      </c>
      <c r="F1650" t="s">
        <v>2858</v>
      </c>
      <c r="G1650" t="s">
        <v>292</v>
      </c>
      <c r="H1650">
        <v>1</v>
      </c>
      <c r="I1650" t="s">
        <v>2859</v>
      </c>
      <c r="J1650" t="s">
        <v>294</v>
      </c>
      <c r="M1650" t="s">
        <v>295</v>
      </c>
      <c r="N1650" t="s">
        <v>296</v>
      </c>
      <c r="O1650" t="s">
        <v>297</v>
      </c>
    </row>
    <row r="1651" spans="1:15" x14ac:dyDescent="0.3">
      <c r="A1651" t="s">
        <v>2830</v>
      </c>
      <c r="B1651" t="s">
        <v>2831</v>
      </c>
      <c r="C1651">
        <v>2020</v>
      </c>
      <c r="D1651" t="s">
        <v>272</v>
      </c>
      <c r="E1651" t="s">
        <v>2860</v>
      </c>
      <c r="F1651" t="s">
        <v>2861</v>
      </c>
      <c r="G1651" t="s">
        <v>292</v>
      </c>
      <c r="H1651">
        <v>1</v>
      </c>
      <c r="I1651" t="s">
        <v>2862</v>
      </c>
      <c r="J1651" t="s">
        <v>294</v>
      </c>
      <c r="M1651" t="s">
        <v>295</v>
      </c>
      <c r="N1651" t="s">
        <v>296</v>
      </c>
      <c r="O1651" t="s">
        <v>297</v>
      </c>
    </row>
    <row r="1652" spans="1:15" x14ac:dyDescent="0.3">
      <c r="A1652" t="s">
        <v>2830</v>
      </c>
      <c r="B1652" t="s">
        <v>2831</v>
      </c>
      <c r="C1652">
        <v>2020</v>
      </c>
      <c r="D1652" t="s">
        <v>272</v>
      </c>
      <c r="E1652" t="s">
        <v>2863</v>
      </c>
      <c r="F1652">
        <v>309.91000000000003</v>
      </c>
      <c r="G1652" t="s">
        <v>302</v>
      </c>
      <c r="H1652">
        <v>1</v>
      </c>
      <c r="I1652" t="s">
        <v>2864</v>
      </c>
      <c r="J1652" t="s">
        <v>294</v>
      </c>
      <c r="M1652" t="s">
        <v>295</v>
      </c>
      <c r="N1652" t="s">
        <v>296</v>
      </c>
      <c r="O1652" t="s">
        <v>297</v>
      </c>
    </row>
    <row r="1653" spans="1:15" x14ac:dyDescent="0.3">
      <c r="A1653" t="s">
        <v>2830</v>
      </c>
      <c r="B1653" t="s">
        <v>2831</v>
      </c>
      <c r="C1653">
        <v>2020</v>
      </c>
      <c r="D1653" t="s">
        <v>272</v>
      </c>
      <c r="E1653" t="s">
        <v>2865</v>
      </c>
      <c r="F1653">
        <v>116.4</v>
      </c>
      <c r="G1653" t="s">
        <v>302</v>
      </c>
      <c r="H1653">
        <v>1</v>
      </c>
      <c r="I1653" t="s">
        <v>2866</v>
      </c>
      <c r="J1653" t="s">
        <v>294</v>
      </c>
      <c r="M1653" t="s">
        <v>295</v>
      </c>
      <c r="N1653" t="s">
        <v>296</v>
      </c>
      <c r="O1653" t="s">
        <v>297</v>
      </c>
    </row>
    <row r="1654" spans="1:15" x14ac:dyDescent="0.3">
      <c r="A1654" t="s">
        <v>2830</v>
      </c>
      <c r="B1654" t="s">
        <v>2831</v>
      </c>
      <c r="C1654">
        <v>2020</v>
      </c>
      <c r="D1654" t="s">
        <v>300</v>
      </c>
      <c r="E1654" t="s">
        <v>447</v>
      </c>
      <c r="F1654">
        <v>3.72</v>
      </c>
      <c r="G1654" t="s">
        <v>302</v>
      </c>
      <c r="H1654">
        <v>7</v>
      </c>
      <c r="I1654" t="s">
        <v>2867</v>
      </c>
      <c r="J1654" t="s">
        <v>294</v>
      </c>
      <c r="M1654" t="s">
        <v>295</v>
      </c>
      <c r="N1654" t="s">
        <v>296</v>
      </c>
      <c r="O1654" t="s">
        <v>297</v>
      </c>
    </row>
    <row r="1655" spans="1:15" x14ac:dyDescent="0.3">
      <c r="A1655" t="s">
        <v>2830</v>
      </c>
      <c r="B1655" t="s">
        <v>2831</v>
      </c>
      <c r="C1655">
        <v>2020</v>
      </c>
      <c r="D1655" t="s">
        <v>300</v>
      </c>
      <c r="E1655" t="s">
        <v>2868</v>
      </c>
      <c r="F1655">
        <v>8.56</v>
      </c>
      <c r="G1655" t="s">
        <v>302</v>
      </c>
      <c r="H1655">
        <v>7</v>
      </c>
      <c r="I1655" t="s">
        <v>2869</v>
      </c>
      <c r="J1655" t="s">
        <v>294</v>
      </c>
      <c r="M1655" t="s">
        <v>295</v>
      </c>
      <c r="N1655" t="s">
        <v>296</v>
      </c>
      <c r="O1655" t="s">
        <v>297</v>
      </c>
    </row>
    <row r="1656" spans="1:15" x14ac:dyDescent="0.3">
      <c r="A1656" t="s">
        <v>2830</v>
      </c>
      <c r="B1656" t="s">
        <v>2831</v>
      </c>
      <c r="C1656">
        <v>2020</v>
      </c>
      <c r="D1656" t="s">
        <v>300</v>
      </c>
      <c r="E1656" t="s">
        <v>819</v>
      </c>
      <c r="F1656">
        <v>-4.84</v>
      </c>
      <c r="G1656" t="s">
        <v>302</v>
      </c>
      <c r="H1656">
        <v>7</v>
      </c>
      <c r="I1656" t="s">
        <v>2870</v>
      </c>
      <c r="J1656" t="s">
        <v>294</v>
      </c>
      <c r="M1656" t="s">
        <v>295</v>
      </c>
      <c r="N1656" t="s">
        <v>296</v>
      </c>
      <c r="O1656" t="s">
        <v>297</v>
      </c>
    </row>
    <row r="1657" spans="1:15" x14ac:dyDescent="0.3">
      <c r="A1657" t="s">
        <v>2830</v>
      </c>
      <c r="B1657" t="s">
        <v>2831</v>
      </c>
      <c r="C1657">
        <v>2020</v>
      </c>
      <c r="D1657" t="s">
        <v>300</v>
      </c>
      <c r="E1657" t="s">
        <v>2871</v>
      </c>
      <c r="F1657">
        <v>3.77</v>
      </c>
      <c r="G1657" t="s">
        <v>302</v>
      </c>
      <c r="H1657">
        <v>7</v>
      </c>
      <c r="I1657" t="s">
        <v>2872</v>
      </c>
      <c r="J1657" t="s">
        <v>294</v>
      </c>
      <c r="M1657" t="s">
        <v>295</v>
      </c>
      <c r="N1657" t="s">
        <v>296</v>
      </c>
      <c r="O1657" t="s">
        <v>297</v>
      </c>
    </row>
    <row r="1658" spans="1:15" x14ac:dyDescent="0.3">
      <c r="A1658" t="s">
        <v>2830</v>
      </c>
      <c r="B1658" t="s">
        <v>2831</v>
      </c>
      <c r="C1658">
        <v>2020</v>
      </c>
      <c r="D1658" t="s">
        <v>300</v>
      </c>
      <c r="E1658" t="s">
        <v>1155</v>
      </c>
      <c r="F1658">
        <v>1.48</v>
      </c>
      <c r="G1658" t="s">
        <v>302</v>
      </c>
      <c r="H1658">
        <v>7</v>
      </c>
      <c r="I1658" t="s">
        <v>2873</v>
      </c>
      <c r="J1658" t="s">
        <v>294</v>
      </c>
      <c r="M1658" t="s">
        <v>295</v>
      </c>
      <c r="N1658" t="s">
        <v>296</v>
      </c>
      <c r="O1658" t="s">
        <v>297</v>
      </c>
    </row>
    <row r="1659" spans="1:15" x14ac:dyDescent="0.3">
      <c r="A1659" t="s">
        <v>2830</v>
      </c>
      <c r="B1659" t="s">
        <v>2831</v>
      </c>
      <c r="C1659">
        <v>2020</v>
      </c>
      <c r="D1659" t="s">
        <v>300</v>
      </c>
      <c r="E1659" t="s">
        <v>1216</v>
      </c>
      <c r="F1659">
        <v>4.24</v>
      </c>
      <c r="G1659" t="s">
        <v>302</v>
      </c>
      <c r="H1659">
        <v>7</v>
      </c>
      <c r="I1659" t="s">
        <v>2874</v>
      </c>
      <c r="J1659" t="s">
        <v>294</v>
      </c>
      <c r="M1659" t="s">
        <v>295</v>
      </c>
      <c r="N1659" t="s">
        <v>296</v>
      </c>
      <c r="O1659" t="s">
        <v>297</v>
      </c>
    </row>
    <row r="1660" spans="1:15" x14ac:dyDescent="0.3">
      <c r="A1660" t="s">
        <v>2830</v>
      </c>
      <c r="B1660" t="s">
        <v>2831</v>
      </c>
      <c r="C1660">
        <v>2020</v>
      </c>
      <c r="D1660" t="s">
        <v>300</v>
      </c>
      <c r="E1660" t="s">
        <v>2875</v>
      </c>
      <c r="F1660">
        <v>370.38</v>
      </c>
      <c r="G1660" t="s">
        <v>302</v>
      </c>
      <c r="H1660">
        <v>7</v>
      </c>
      <c r="I1660" t="s">
        <v>2876</v>
      </c>
      <c r="J1660" t="s">
        <v>294</v>
      </c>
      <c r="M1660" t="s">
        <v>295</v>
      </c>
      <c r="N1660" t="s">
        <v>296</v>
      </c>
      <c r="O1660" t="s">
        <v>297</v>
      </c>
    </row>
    <row r="1661" spans="1:15" x14ac:dyDescent="0.3">
      <c r="A1661" t="s">
        <v>2830</v>
      </c>
      <c r="B1661" t="s">
        <v>2831</v>
      </c>
      <c r="C1661">
        <v>2020</v>
      </c>
      <c r="D1661" t="s">
        <v>300</v>
      </c>
      <c r="E1661" t="s">
        <v>2877</v>
      </c>
      <c r="F1661">
        <v>-10.09</v>
      </c>
      <c r="G1661" t="s">
        <v>302</v>
      </c>
      <c r="H1661">
        <v>7</v>
      </c>
      <c r="I1661" t="s">
        <v>2878</v>
      </c>
      <c r="J1661" t="s">
        <v>456</v>
      </c>
      <c r="M1661" t="s">
        <v>295</v>
      </c>
      <c r="N1661" t="s">
        <v>296</v>
      </c>
      <c r="O1661" t="s">
        <v>297</v>
      </c>
    </row>
    <row r="1662" spans="1:15" x14ac:dyDescent="0.3">
      <c r="A1662" t="s">
        <v>2830</v>
      </c>
      <c r="B1662" t="s">
        <v>2831</v>
      </c>
      <c r="C1662">
        <v>2020</v>
      </c>
      <c r="D1662" t="s">
        <v>300</v>
      </c>
      <c r="E1662" t="s">
        <v>2879</v>
      </c>
      <c r="F1662">
        <v>-383.23</v>
      </c>
      <c r="G1662" t="s">
        <v>302</v>
      </c>
      <c r="H1662">
        <v>7</v>
      </c>
      <c r="I1662" t="s">
        <v>2880</v>
      </c>
      <c r="J1662" t="s">
        <v>294</v>
      </c>
      <c r="M1662" t="s">
        <v>295</v>
      </c>
      <c r="N1662" t="s">
        <v>296</v>
      </c>
      <c r="O1662" t="s">
        <v>297</v>
      </c>
    </row>
    <row r="1663" spans="1:15" x14ac:dyDescent="0.3">
      <c r="A1663" t="s">
        <v>2830</v>
      </c>
      <c r="B1663" t="s">
        <v>2831</v>
      </c>
      <c r="C1663">
        <v>2020</v>
      </c>
      <c r="D1663" t="s">
        <v>300</v>
      </c>
      <c r="E1663" t="s">
        <v>767</v>
      </c>
      <c r="F1663">
        <v>-383.23</v>
      </c>
      <c r="G1663" t="s">
        <v>302</v>
      </c>
      <c r="H1663">
        <v>7</v>
      </c>
      <c r="I1663" t="s">
        <v>2881</v>
      </c>
      <c r="J1663" t="s">
        <v>294</v>
      </c>
      <c r="M1663" t="s">
        <v>295</v>
      </c>
      <c r="N1663" t="s">
        <v>296</v>
      </c>
      <c r="O1663" t="s">
        <v>297</v>
      </c>
    </row>
    <row r="1664" spans="1:15" x14ac:dyDescent="0.3">
      <c r="A1664" t="s">
        <v>2830</v>
      </c>
      <c r="B1664" t="s">
        <v>2831</v>
      </c>
      <c r="C1664">
        <v>2020</v>
      </c>
      <c r="D1664" t="s">
        <v>300</v>
      </c>
      <c r="E1664" t="s">
        <v>2882</v>
      </c>
      <c r="F1664">
        <v>-302.02999999999997</v>
      </c>
      <c r="G1664" t="s">
        <v>302</v>
      </c>
      <c r="H1664">
        <v>7</v>
      </c>
      <c r="I1664" t="s">
        <v>2883</v>
      </c>
      <c r="J1664" t="s">
        <v>294</v>
      </c>
      <c r="M1664" t="s">
        <v>295</v>
      </c>
      <c r="N1664" t="s">
        <v>296</v>
      </c>
      <c r="O1664" t="s">
        <v>297</v>
      </c>
    </row>
    <row r="1665" spans="1:15" x14ac:dyDescent="0.3">
      <c r="A1665" t="s">
        <v>2830</v>
      </c>
      <c r="B1665" t="s">
        <v>2831</v>
      </c>
      <c r="C1665">
        <v>2020</v>
      </c>
      <c r="D1665" t="s">
        <v>300</v>
      </c>
      <c r="E1665" t="s">
        <v>2884</v>
      </c>
      <c r="F1665">
        <v>-81.2</v>
      </c>
      <c r="G1665" t="s">
        <v>302</v>
      </c>
      <c r="H1665">
        <v>7</v>
      </c>
      <c r="I1665" t="s">
        <v>2885</v>
      </c>
      <c r="J1665" t="s">
        <v>294</v>
      </c>
      <c r="M1665" t="s">
        <v>295</v>
      </c>
      <c r="N1665" t="s">
        <v>296</v>
      </c>
      <c r="O1665" t="s">
        <v>297</v>
      </c>
    </row>
    <row r="1666" spans="1:15" x14ac:dyDescent="0.3">
      <c r="A1666" t="s">
        <v>2830</v>
      </c>
      <c r="B1666" t="s">
        <v>2831</v>
      </c>
      <c r="C1666">
        <v>2020</v>
      </c>
      <c r="D1666" t="s">
        <v>300</v>
      </c>
      <c r="E1666" t="s">
        <v>2886</v>
      </c>
      <c r="F1666">
        <v>-82.41</v>
      </c>
      <c r="G1666" t="s">
        <v>346</v>
      </c>
      <c r="H1666">
        <v>8</v>
      </c>
      <c r="I1666" t="s">
        <v>2887</v>
      </c>
      <c r="J1666" t="s">
        <v>294</v>
      </c>
      <c r="M1666" t="s">
        <v>295</v>
      </c>
      <c r="N1666" t="s">
        <v>296</v>
      </c>
      <c r="O1666" t="s">
        <v>297</v>
      </c>
    </row>
    <row r="1667" spans="1:15" x14ac:dyDescent="0.3">
      <c r="A1667" t="s">
        <v>2830</v>
      </c>
      <c r="B1667" t="s">
        <v>2831</v>
      </c>
      <c r="C1667">
        <v>2020</v>
      </c>
      <c r="D1667" t="s">
        <v>300</v>
      </c>
      <c r="E1667" t="s">
        <v>316</v>
      </c>
      <c r="F1667">
        <v>471.66</v>
      </c>
      <c r="G1667" t="s">
        <v>302</v>
      </c>
      <c r="H1667">
        <v>4</v>
      </c>
      <c r="I1667" t="s">
        <v>2888</v>
      </c>
      <c r="J1667" t="s">
        <v>294</v>
      </c>
      <c r="M1667" t="s">
        <v>295</v>
      </c>
      <c r="N1667" t="s">
        <v>296</v>
      </c>
      <c r="O1667" t="s">
        <v>297</v>
      </c>
    </row>
    <row r="1668" spans="1:15" x14ac:dyDescent="0.3">
      <c r="A1668" t="s">
        <v>2830</v>
      </c>
      <c r="B1668" t="s">
        <v>2831</v>
      </c>
      <c r="C1668">
        <v>2020</v>
      </c>
      <c r="D1668" t="s">
        <v>300</v>
      </c>
      <c r="E1668" t="s">
        <v>312</v>
      </c>
      <c r="F1668">
        <v>8.1</v>
      </c>
      <c r="G1668" t="s">
        <v>302</v>
      </c>
      <c r="H1668">
        <v>4</v>
      </c>
      <c r="I1668" t="s">
        <v>2889</v>
      </c>
      <c r="J1668" t="s">
        <v>294</v>
      </c>
      <c r="M1668" t="s">
        <v>295</v>
      </c>
      <c r="N1668" t="s">
        <v>296</v>
      </c>
      <c r="O1668" t="s">
        <v>297</v>
      </c>
    </row>
    <row r="1669" spans="1:15" x14ac:dyDescent="0.3">
      <c r="A1669" t="s">
        <v>2830</v>
      </c>
      <c r="B1669" t="s">
        <v>2831</v>
      </c>
      <c r="C1669">
        <v>2020</v>
      </c>
      <c r="D1669" t="s">
        <v>300</v>
      </c>
      <c r="E1669" t="s">
        <v>314</v>
      </c>
      <c r="F1669">
        <v>463.56</v>
      </c>
      <c r="G1669" t="s">
        <v>302</v>
      </c>
      <c r="H1669">
        <v>4</v>
      </c>
      <c r="I1669" t="s">
        <v>2890</v>
      </c>
      <c r="J1669" t="s">
        <v>294</v>
      </c>
      <c r="M1669" t="s">
        <v>295</v>
      </c>
      <c r="N1669" t="s">
        <v>296</v>
      </c>
      <c r="O1669" t="s">
        <v>297</v>
      </c>
    </row>
    <row r="1670" spans="1:15" x14ac:dyDescent="0.3">
      <c r="A1670" t="s">
        <v>2830</v>
      </c>
      <c r="B1670" t="s">
        <v>2831</v>
      </c>
      <c r="C1670">
        <v>2020</v>
      </c>
      <c r="D1670" t="s">
        <v>300</v>
      </c>
      <c r="E1670" t="s">
        <v>471</v>
      </c>
      <c r="F1670">
        <v>0.17</v>
      </c>
      <c r="G1670" t="s">
        <v>302</v>
      </c>
      <c r="H1670">
        <v>4</v>
      </c>
      <c r="I1670" t="s">
        <v>2891</v>
      </c>
      <c r="J1670" t="s">
        <v>294</v>
      </c>
      <c r="M1670" t="s">
        <v>295</v>
      </c>
      <c r="N1670" t="s">
        <v>296</v>
      </c>
      <c r="O1670" t="s">
        <v>297</v>
      </c>
    </row>
    <row r="1671" spans="1:15" x14ac:dyDescent="0.3">
      <c r="A1671" t="s">
        <v>2830</v>
      </c>
      <c r="B1671" t="s">
        <v>2831</v>
      </c>
      <c r="C1671">
        <v>2020</v>
      </c>
      <c r="D1671" t="s">
        <v>300</v>
      </c>
      <c r="E1671" t="s">
        <v>479</v>
      </c>
      <c r="F1671">
        <v>0.25</v>
      </c>
      <c r="G1671" t="s">
        <v>302</v>
      </c>
      <c r="H1671">
        <v>4</v>
      </c>
      <c r="I1671" t="s">
        <v>2892</v>
      </c>
      <c r="J1671" t="s">
        <v>294</v>
      </c>
      <c r="M1671" t="s">
        <v>295</v>
      </c>
      <c r="N1671" t="s">
        <v>296</v>
      </c>
      <c r="O1671" t="s">
        <v>297</v>
      </c>
    </row>
    <row r="1672" spans="1:15" x14ac:dyDescent="0.3">
      <c r="A1672" t="s">
        <v>2830</v>
      </c>
      <c r="B1672" t="s">
        <v>2831</v>
      </c>
      <c r="C1672">
        <v>2020</v>
      </c>
      <c r="D1672" t="s">
        <v>300</v>
      </c>
      <c r="E1672" t="s">
        <v>481</v>
      </c>
      <c r="F1672">
        <v>1.69</v>
      </c>
      <c r="G1672" t="s">
        <v>302</v>
      </c>
      <c r="H1672">
        <v>4</v>
      </c>
      <c r="I1672" t="s">
        <v>2893</v>
      </c>
      <c r="J1672" t="s">
        <v>294</v>
      </c>
      <c r="M1672" t="s">
        <v>295</v>
      </c>
      <c r="N1672" t="s">
        <v>296</v>
      </c>
      <c r="O1672" t="s">
        <v>297</v>
      </c>
    </row>
    <row r="1673" spans="1:15" x14ac:dyDescent="0.3">
      <c r="A1673" t="s">
        <v>2830</v>
      </c>
      <c r="B1673" t="s">
        <v>2831</v>
      </c>
      <c r="C1673">
        <v>2020</v>
      </c>
      <c r="D1673" t="s">
        <v>300</v>
      </c>
      <c r="E1673" t="s">
        <v>2894</v>
      </c>
      <c r="F1673">
        <v>69.17</v>
      </c>
      <c r="G1673" t="s">
        <v>302</v>
      </c>
      <c r="H1673">
        <v>4</v>
      </c>
      <c r="I1673" t="s">
        <v>2895</v>
      </c>
      <c r="J1673" t="s">
        <v>294</v>
      </c>
      <c r="M1673" t="s">
        <v>295</v>
      </c>
      <c r="N1673" t="s">
        <v>296</v>
      </c>
      <c r="O1673" t="s">
        <v>297</v>
      </c>
    </row>
    <row r="1674" spans="1:15" x14ac:dyDescent="0.3">
      <c r="A1674" t="s">
        <v>2830</v>
      </c>
      <c r="B1674" t="s">
        <v>2831</v>
      </c>
      <c r="C1674">
        <v>2020</v>
      </c>
      <c r="D1674" t="s">
        <v>300</v>
      </c>
      <c r="E1674" t="s">
        <v>2896</v>
      </c>
      <c r="F1674">
        <v>265.64</v>
      </c>
      <c r="G1674" t="s">
        <v>302</v>
      </c>
      <c r="H1674">
        <v>4</v>
      </c>
      <c r="I1674" t="s">
        <v>2897</v>
      </c>
      <c r="J1674" t="s">
        <v>294</v>
      </c>
      <c r="M1674" t="s">
        <v>295</v>
      </c>
      <c r="N1674" t="s">
        <v>296</v>
      </c>
      <c r="O1674" t="s">
        <v>297</v>
      </c>
    </row>
    <row r="1675" spans="1:15" x14ac:dyDescent="0.3">
      <c r="A1675" t="s">
        <v>2830</v>
      </c>
      <c r="B1675" t="s">
        <v>2831</v>
      </c>
      <c r="C1675">
        <v>2020</v>
      </c>
      <c r="D1675" t="s">
        <v>300</v>
      </c>
      <c r="E1675" t="s">
        <v>2898</v>
      </c>
      <c r="F1675">
        <v>59.86</v>
      </c>
      <c r="G1675" t="s">
        <v>302</v>
      </c>
      <c r="H1675">
        <v>4</v>
      </c>
      <c r="I1675" t="s">
        <v>2899</v>
      </c>
      <c r="J1675" t="s">
        <v>294</v>
      </c>
      <c r="M1675" t="s">
        <v>295</v>
      </c>
      <c r="N1675" t="s">
        <v>296</v>
      </c>
      <c r="O1675" t="s">
        <v>297</v>
      </c>
    </row>
    <row r="1676" spans="1:15" x14ac:dyDescent="0.3">
      <c r="A1676" t="s">
        <v>2830</v>
      </c>
      <c r="B1676" t="s">
        <v>2831</v>
      </c>
      <c r="C1676">
        <v>2020</v>
      </c>
      <c r="D1676" t="s">
        <v>300</v>
      </c>
      <c r="E1676" t="s">
        <v>2900</v>
      </c>
      <c r="F1676">
        <v>5.58</v>
      </c>
      <c r="G1676" t="s">
        <v>302</v>
      </c>
      <c r="H1676">
        <v>4</v>
      </c>
      <c r="I1676" t="s">
        <v>2901</v>
      </c>
      <c r="J1676" t="s">
        <v>294</v>
      </c>
      <c r="M1676" t="s">
        <v>295</v>
      </c>
      <c r="N1676" t="s">
        <v>296</v>
      </c>
      <c r="O1676" t="s">
        <v>297</v>
      </c>
    </row>
    <row r="1677" spans="1:15" x14ac:dyDescent="0.3">
      <c r="A1677" t="s">
        <v>2830</v>
      </c>
      <c r="B1677" t="s">
        <v>2831</v>
      </c>
      <c r="C1677">
        <v>2020</v>
      </c>
      <c r="D1677" t="s">
        <v>300</v>
      </c>
      <c r="E1677" t="s">
        <v>2902</v>
      </c>
      <c r="F1677">
        <v>3</v>
      </c>
      <c r="G1677" t="s">
        <v>302</v>
      </c>
      <c r="H1677">
        <v>4</v>
      </c>
      <c r="I1677" t="s">
        <v>2903</v>
      </c>
      <c r="J1677" t="s">
        <v>294</v>
      </c>
      <c r="M1677" t="s">
        <v>295</v>
      </c>
      <c r="N1677" t="s">
        <v>296</v>
      </c>
      <c r="O1677" t="s">
        <v>297</v>
      </c>
    </row>
    <row r="1678" spans="1:15" x14ac:dyDescent="0.3">
      <c r="A1678" t="s">
        <v>2830</v>
      </c>
      <c r="B1678" t="s">
        <v>2831</v>
      </c>
      <c r="C1678">
        <v>2020</v>
      </c>
      <c r="D1678" t="s">
        <v>300</v>
      </c>
      <c r="E1678" t="s">
        <v>322</v>
      </c>
      <c r="F1678">
        <v>387.27</v>
      </c>
      <c r="G1678" t="s">
        <v>302</v>
      </c>
      <c r="H1678">
        <v>5</v>
      </c>
      <c r="I1678" t="s">
        <v>2904</v>
      </c>
      <c r="J1678" t="s">
        <v>294</v>
      </c>
      <c r="M1678" t="s">
        <v>295</v>
      </c>
      <c r="N1678" t="s">
        <v>296</v>
      </c>
      <c r="O1678" t="s">
        <v>297</v>
      </c>
    </row>
    <row r="1679" spans="1:15" x14ac:dyDescent="0.3">
      <c r="A1679" t="s">
        <v>2830</v>
      </c>
      <c r="B1679" t="s">
        <v>2831</v>
      </c>
      <c r="C1679">
        <v>2020</v>
      </c>
      <c r="D1679" t="s">
        <v>300</v>
      </c>
      <c r="E1679" t="s">
        <v>318</v>
      </c>
      <c r="F1679">
        <v>93.33</v>
      </c>
      <c r="G1679" t="s">
        <v>302</v>
      </c>
      <c r="H1679">
        <v>5</v>
      </c>
      <c r="I1679" t="s">
        <v>2905</v>
      </c>
      <c r="J1679" t="s">
        <v>294</v>
      </c>
      <c r="M1679" t="s">
        <v>295</v>
      </c>
      <c r="N1679" t="s">
        <v>296</v>
      </c>
      <c r="O1679" t="s">
        <v>297</v>
      </c>
    </row>
    <row r="1680" spans="1:15" x14ac:dyDescent="0.3">
      <c r="A1680" t="s">
        <v>2830</v>
      </c>
      <c r="B1680" t="s">
        <v>2831</v>
      </c>
      <c r="C1680">
        <v>2020</v>
      </c>
      <c r="D1680" t="s">
        <v>300</v>
      </c>
      <c r="E1680" t="s">
        <v>468</v>
      </c>
      <c r="F1680">
        <v>293.94</v>
      </c>
      <c r="G1680" t="s">
        <v>302</v>
      </c>
      <c r="H1680">
        <v>5</v>
      </c>
      <c r="I1680" t="s">
        <v>2906</v>
      </c>
      <c r="J1680" t="s">
        <v>294</v>
      </c>
      <c r="M1680" t="s">
        <v>295</v>
      </c>
      <c r="N1680" t="s">
        <v>296</v>
      </c>
      <c r="O1680" t="s">
        <v>297</v>
      </c>
    </row>
    <row r="1681" spans="1:15" x14ac:dyDescent="0.3">
      <c r="A1681" t="s">
        <v>2830</v>
      </c>
      <c r="B1681" t="s">
        <v>2831</v>
      </c>
      <c r="C1681">
        <v>2020</v>
      </c>
      <c r="D1681" t="s">
        <v>300</v>
      </c>
      <c r="E1681" t="s">
        <v>599</v>
      </c>
      <c r="F1681">
        <v>37.93</v>
      </c>
      <c r="G1681" t="s">
        <v>302</v>
      </c>
      <c r="H1681">
        <v>5</v>
      </c>
      <c r="I1681" t="s">
        <v>2907</v>
      </c>
      <c r="J1681" t="s">
        <v>294</v>
      </c>
      <c r="M1681" t="s">
        <v>295</v>
      </c>
      <c r="N1681" t="s">
        <v>296</v>
      </c>
      <c r="O1681" t="s">
        <v>297</v>
      </c>
    </row>
    <row r="1682" spans="1:15" x14ac:dyDescent="0.3">
      <c r="A1682" t="s">
        <v>2830</v>
      </c>
      <c r="B1682" t="s">
        <v>2831</v>
      </c>
      <c r="C1682">
        <v>2020</v>
      </c>
      <c r="D1682" t="s">
        <v>300</v>
      </c>
      <c r="E1682" t="s">
        <v>2908</v>
      </c>
      <c r="F1682">
        <v>9.18</v>
      </c>
      <c r="G1682" t="s">
        <v>302</v>
      </c>
      <c r="H1682">
        <v>5</v>
      </c>
      <c r="I1682" t="s">
        <v>2909</v>
      </c>
      <c r="J1682" t="s">
        <v>294</v>
      </c>
      <c r="M1682" t="s">
        <v>295</v>
      </c>
      <c r="N1682" t="s">
        <v>296</v>
      </c>
      <c r="O1682" t="s">
        <v>297</v>
      </c>
    </row>
    <row r="1683" spans="1:15" x14ac:dyDescent="0.3">
      <c r="A1683" t="s">
        <v>2830</v>
      </c>
      <c r="B1683" t="s">
        <v>2831</v>
      </c>
      <c r="C1683">
        <v>2020</v>
      </c>
      <c r="D1683" t="s">
        <v>300</v>
      </c>
      <c r="E1683" t="s">
        <v>475</v>
      </c>
      <c r="F1683">
        <v>219.35</v>
      </c>
      <c r="G1683" t="s">
        <v>302</v>
      </c>
      <c r="H1683">
        <v>5</v>
      </c>
      <c r="I1683" t="s">
        <v>2910</v>
      </c>
      <c r="J1683" t="s">
        <v>294</v>
      </c>
      <c r="M1683" t="s">
        <v>295</v>
      </c>
      <c r="N1683" t="s">
        <v>296</v>
      </c>
      <c r="O1683" t="s">
        <v>297</v>
      </c>
    </row>
    <row r="1684" spans="1:15" x14ac:dyDescent="0.3">
      <c r="A1684" t="s">
        <v>2830</v>
      </c>
      <c r="B1684" t="s">
        <v>2831</v>
      </c>
      <c r="C1684">
        <v>2020</v>
      </c>
      <c r="D1684" t="s">
        <v>300</v>
      </c>
      <c r="E1684" t="s">
        <v>2911</v>
      </c>
      <c r="F1684">
        <v>228.53</v>
      </c>
      <c r="G1684" t="s">
        <v>302</v>
      </c>
      <c r="H1684">
        <v>5</v>
      </c>
      <c r="I1684" t="s">
        <v>2912</v>
      </c>
      <c r="J1684" t="s">
        <v>294</v>
      </c>
      <c r="M1684" t="s">
        <v>295</v>
      </c>
      <c r="N1684" t="s">
        <v>296</v>
      </c>
      <c r="O1684" t="s">
        <v>297</v>
      </c>
    </row>
    <row r="1685" spans="1:15" x14ac:dyDescent="0.3">
      <c r="A1685" t="s">
        <v>2830</v>
      </c>
      <c r="B1685" t="s">
        <v>2831</v>
      </c>
      <c r="C1685">
        <v>2020</v>
      </c>
      <c r="D1685" t="s">
        <v>300</v>
      </c>
      <c r="E1685" t="s">
        <v>2913</v>
      </c>
      <c r="F1685">
        <v>62.1</v>
      </c>
      <c r="G1685" t="s">
        <v>302</v>
      </c>
      <c r="H1685">
        <v>5</v>
      </c>
      <c r="I1685" t="s">
        <v>2914</v>
      </c>
      <c r="J1685" t="s">
        <v>294</v>
      </c>
      <c r="M1685" t="s">
        <v>295</v>
      </c>
      <c r="N1685" t="s">
        <v>296</v>
      </c>
      <c r="O1685" t="s">
        <v>297</v>
      </c>
    </row>
    <row r="1686" spans="1:15" x14ac:dyDescent="0.3">
      <c r="A1686" t="s">
        <v>2830</v>
      </c>
      <c r="B1686" t="s">
        <v>2831</v>
      </c>
      <c r="C1686">
        <v>2020</v>
      </c>
      <c r="D1686" t="s">
        <v>300</v>
      </c>
      <c r="E1686" t="s">
        <v>2915</v>
      </c>
      <c r="F1686">
        <v>7.05</v>
      </c>
      <c r="G1686" t="s">
        <v>302</v>
      </c>
      <c r="H1686">
        <v>5</v>
      </c>
      <c r="I1686" t="s">
        <v>2916</v>
      </c>
      <c r="J1686" t="s">
        <v>294</v>
      </c>
      <c r="M1686" t="s">
        <v>295</v>
      </c>
      <c r="N1686" t="s">
        <v>296</v>
      </c>
      <c r="O1686" t="s">
        <v>297</v>
      </c>
    </row>
    <row r="1687" spans="1:15" x14ac:dyDescent="0.3">
      <c r="A1687" t="s">
        <v>2830</v>
      </c>
      <c r="B1687" t="s">
        <v>2831</v>
      </c>
      <c r="C1687">
        <v>2020</v>
      </c>
      <c r="D1687" t="s">
        <v>300</v>
      </c>
      <c r="E1687" t="s">
        <v>324</v>
      </c>
      <c r="F1687">
        <v>84.39</v>
      </c>
      <c r="G1687" t="s">
        <v>302</v>
      </c>
      <c r="H1687">
        <v>6</v>
      </c>
      <c r="I1687" t="s">
        <v>2917</v>
      </c>
      <c r="J1687" t="s">
        <v>294</v>
      </c>
      <c r="M1687" t="s">
        <v>295</v>
      </c>
      <c r="N1687" t="s">
        <v>296</v>
      </c>
      <c r="O1687" t="s">
        <v>297</v>
      </c>
    </row>
    <row r="1688" spans="1:15" x14ac:dyDescent="0.3">
      <c r="A1688" t="s">
        <v>2830</v>
      </c>
      <c r="B1688" t="s">
        <v>2831</v>
      </c>
      <c r="C1688">
        <v>2020</v>
      </c>
      <c r="D1688" t="s">
        <v>300</v>
      </c>
      <c r="E1688" t="s">
        <v>2918</v>
      </c>
      <c r="F1688">
        <v>193.64</v>
      </c>
      <c r="G1688" t="s">
        <v>302</v>
      </c>
      <c r="H1688">
        <v>6</v>
      </c>
      <c r="I1688" t="s">
        <v>2919</v>
      </c>
      <c r="J1688" t="s">
        <v>294</v>
      </c>
      <c r="M1688" t="s">
        <v>295</v>
      </c>
      <c r="N1688" t="s">
        <v>296</v>
      </c>
      <c r="O1688" t="s">
        <v>297</v>
      </c>
    </row>
    <row r="1689" spans="1:15" x14ac:dyDescent="0.3">
      <c r="A1689" t="s">
        <v>2830</v>
      </c>
      <c r="B1689" t="s">
        <v>2831</v>
      </c>
      <c r="C1689">
        <v>2020</v>
      </c>
      <c r="D1689" t="s">
        <v>300</v>
      </c>
      <c r="E1689" t="s">
        <v>2920</v>
      </c>
      <c r="F1689">
        <v>-109.25</v>
      </c>
      <c r="G1689" t="s">
        <v>302</v>
      </c>
      <c r="H1689">
        <v>6</v>
      </c>
      <c r="I1689" t="s">
        <v>2921</v>
      </c>
      <c r="J1689" t="s">
        <v>294</v>
      </c>
      <c r="M1689" t="s">
        <v>295</v>
      </c>
      <c r="N1689" t="s">
        <v>296</v>
      </c>
      <c r="O1689" t="s">
        <v>297</v>
      </c>
    </row>
    <row r="1690" spans="1:15" x14ac:dyDescent="0.3">
      <c r="A1690" t="s">
        <v>2830</v>
      </c>
      <c r="B1690" t="s">
        <v>2831</v>
      </c>
      <c r="C1690">
        <v>2020</v>
      </c>
      <c r="D1690" t="s">
        <v>300</v>
      </c>
      <c r="E1690" t="s">
        <v>2922</v>
      </c>
      <c r="F1690">
        <v>366.5</v>
      </c>
      <c r="G1690" t="s">
        <v>302</v>
      </c>
      <c r="H1690">
        <v>5</v>
      </c>
      <c r="I1690" t="s">
        <v>2923</v>
      </c>
      <c r="J1690" t="s">
        <v>294</v>
      </c>
      <c r="M1690" t="s">
        <v>295</v>
      </c>
      <c r="N1690" t="s">
        <v>296</v>
      </c>
      <c r="O1690" t="s">
        <v>297</v>
      </c>
    </row>
    <row r="1691" spans="1:15" x14ac:dyDescent="0.3">
      <c r="A1691" t="s">
        <v>2830</v>
      </c>
      <c r="B1691" t="s">
        <v>2831</v>
      </c>
      <c r="C1691">
        <v>2020</v>
      </c>
      <c r="D1691" t="s">
        <v>300</v>
      </c>
      <c r="E1691" t="s">
        <v>1144</v>
      </c>
      <c r="F1691">
        <v>141.16</v>
      </c>
      <c r="G1691" t="s">
        <v>302</v>
      </c>
      <c r="H1691">
        <v>5</v>
      </c>
      <c r="I1691" t="s">
        <v>2924</v>
      </c>
      <c r="J1691" t="s">
        <v>294</v>
      </c>
      <c r="M1691" t="s">
        <v>295</v>
      </c>
      <c r="N1691" t="s">
        <v>296</v>
      </c>
      <c r="O1691" t="s">
        <v>297</v>
      </c>
    </row>
    <row r="1692" spans="1:15" x14ac:dyDescent="0.3">
      <c r="A1692" t="s">
        <v>2830</v>
      </c>
      <c r="B1692" t="s">
        <v>2831</v>
      </c>
      <c r="C1692">
        <v>2020</v>
      </c>
      <c r="D1692" t="s">
        <v>300</v>
      </c>
      <c r="E1692" t="s">
        <v>2925</v>
      </c>
      <c r="F1692">
        <v>-314.02</v>
      </c>
      <c r="G1692" t="s">
        <v>302</v>
      </c>
      <c r="H1692">
        <v>5</v>
      </c>
      <c r="I1692" t="s">
        <v>2926</v>
      </c>
      <c r="J1692" t="s">
        <v>294</v>
      </c>
      <c r="M1692" t="s">
        <v>295</v>
      </c>
      <c r="N1692" t="s">
        <v>296</v>
      </c>
      <c r="O1692" t="s">
        <v>297</v>
      </c>
    </row>
    <row r="1693" spans="1:15" x14ac:dyDescent="0.3">
      <c r="A1693" t="s">
        <v>2830</v>
      </c>
      <c r="B1693" t="s">
        <v>2831</v>
      </c>
      <c r="C1693">
        <v>2020</v>
      </c>
      <c r="D1693" t="s">
        <v>300</v>
      </c>
      <c r="E1693" t="s">
        <v>2927</v>
      </c>
      <c r="F1693">
        <v>1.04</v>
      </c>
      <c r="G1693" t="s">
        <v>302</v>
      </c>
      <c r="H1693">
        <v>11</v>
      </c>
      <c r="I1693" t="s">
        <v>2928</v>
      </c>
      <c r="J1693" t="s">
        <v>294</v>
      </c>
      <c r="M1693" t="s">
        <v>295</v>
      </c>
      <c r="N1693" t="s">
        <v>296</v>
      </c>
      <c r="O1693" t="s">
        <v>297</v>
      </c>
    </row>
    <row r="1694" spans="1:15" x14ac:dyDescent="0.3">
      <c r="A1694" t="s">
        <v>2830</v>
      </c>
      <c r="B1694" t="s">
        <v>2831</v>
      </c>
      <c r="C1694">
        <v>2020</v>
      </c>
      <c r="D1694" t="s">
        <v>300</v>
      </c>
      <c r="E1694" t="s">
        <v>2929</v>
      </c>
      <c r="F1694">
        <v>-386.19</v>
      </c>
      <c r="G1694" t="s">
        <v>302</v>
      </c>
      <c r="H1694">
        <v>11</v>
      </c>
      <c r="I1694" t="s">
        <v>2930</v>
      </c>
      <c r="J1694" t="s">
        <v>294</v>
      </c>
      <c r="M1694" t="s">
        <v>295</v>
      </c>
      <c r="N1694" t="s">
        <v>296</v>
      </c>
      <c r="O1694" t="s">
        <v>297</v>
      </c>
    </row>
    <row r="1695" spans="1:15" x14ac:dyDescent="0.3">
      <c r="A1695" t="s">
        <v>2830</v>
      </c>
      <c r="B1695" t="s">
        <v>2831</v>
      </c>
      <c r="C1695">
        <v>2020</v>
      </c>
      <c r="D1695" t="s">
        <v>300</v>
      </c>
      <c r="E1695" t="s">
        <v>2931</v>
      </c>
      <c r="F1695">
        <v>385.2</v>
      </c>
      <c r="G1695" t="s">
        <v>302</v>
      </c>
      <c r="H1695">
        <v>11</v>
      </c>
      <c r="I1695" t="s">
        <v>2932</v>
      </c>
      <c r="J1695" t="s">
        <v>294</v>
      </c>
      <c r="M1695" t="s">
        <v>295</v>
      </c>
      <c r="N1695" t="s">
        <v>296</v>
      </c>
      <c r="O1695" t="s">
        <v>297</v>
      </c>
    </row>
    <row r="1696" spans="1:15" x14ac:dyDescent="0.3">
      <c r="A1696" t="s">
        <v>2830</v>
      </c>
      <c r="B1696" t="s">
        <v>2831</v>
      </c>
      <c r="C1696">
        <v>2020</v>
      </c>
      <c r="D1696" t="s">
        <v>300</v>
      </c>
      <c r="E1696" t="s">
        <v>2933</v>
      </c>
      <c r="F1696">
        <v>15.8</v>
      </c>
      <c r="G1696" t="s">
        <v>302</v>
      </c>
      <c r="H1696">
        <v>11</v>
      </c>
      <c r="I1696" t="s">
        <v>2934</v>
      </c>
      <c r="J1696" t="s">
        <v>294</v>
      </c>
      <c r="M1696" t="s">
        <v>295</v>
      </c>
      <c r="N1696" t="s">
        <v>296</v>
      </c>
      <c r="O1696" t="s">
        <v>297</v>
      </c>
    </row>
    <row r="1697" spans="1:15" x14ac:dyDescent="0.3">
      <c r="A1697" t="s">
        <v>2830</v>
      </c>
      <c r="B1697" t="s">
        <v>2831</v>
      </c>
      <c r="C1697">
        <v>2020</v>
      </c>
      <c r="D1697" t="s">
        <v>300</v>
      </c>
      <c r="E1697" t="s">
        <v>2935</v>
      </c>
      <c r="F1697">
        <v>2.3E-2</v>
      </c>
      <c r="G1697" t="s">
        <v>302</v>
      </c>
      <c r="H1697">
        <v>11</v>
      </c>
      <c r="I1697" t="s">
        <v>2936</v>
      </c>
      <c r="J1697" t="s">
        <v>294</v>
      </c>
      <c r="M1697" t="s">
        <v>295</v>
      </c>
      <c r="N1697" t="s">
        <v>296</v>
      </c>
      <c r="O1697" t="s">
        <v>297</v>
      </c>
    </row>
    <row r="1698" spans="1:15" x14ac:dyDescent="0.3">
      <c r="A1698" t="s">
        <v>2830</v>
      </c>
      <c r="B1698" t="s">
        <v>2831</v>
      </c>
      <c r="C1698">
        <v>2020</v>
      </c>
      <c r="D1698" t="s">
        <v>300</v>
      </c>
      <c r="E1698" t="s">
        <v>2937</v>
      </c>
      <c r="F1698">
        <v>-370.38</v>
      </c>
      <c r="G1698" t="s">
        <v>302</v>
      </c>
      <c r="H1698">
        <v>11</v>
      </c>
      <c r="I1698" t="s">
        <v>2938</v>
      </c>
      <c r="J1698" t="s">
        <v>294</v>
      </c>
      <c r="M1698" t="s">
        <v>295</v>
      </c>
      <c r="N1698" t="s">
        <v>296</v>
      </c>
      <c r="O1698" t="s">
        <v>297</v>
      </c>
    </row>
    <row r="1699" spans="1:15" x14ac:dyDescent="0.3">
      <c r="A1699" t="s">
        <v>2830</v>
      </c>
      <c r="B1699" t="s">
        <v>2831</v>
      </c>
      <c r="C1699">
        <v>2020</v>
      </c>
      <c r="D1699" t="s">
        <v>300</v>
      </c>
      <c r="E1699" t="s">
        <v>2939</v>
      </c>
      <c r="F1699">
        <v>14.88</v>
      </c>
      <c r="G1699" t="s">
        <v>302</v>
      </c>
      <c r="H1699">
        <v>11</v>
      </c>
      <c r="I1699" t="s">
        <v>2940</v>
      </c>
      <c r="J1699" t="s">
        <v>294</v>
      </c>
      <c r="M1699" t="s">
        <v>295</v>
      </c>
      <c r="N1699" t="s">
        <v>296</v>
      </c>
      <c r="O1699" t="s">
        <v>297</v>
      </c>
    </row>
    <row r="1700" spans="1:15" x14ac:dyDescent="0.3">
      <c r="A1700" t="s">
        <v>2830</v>
      </c>
      <c r="B1700" t="s">
        <v>2831</v>
      </c>
      <c r="C1700">
        <v>2020</v>
      </c>
      <c r="D1700" t="s">
        <v>300</v>
      </c>
      <c r="E1700" t="s">
        <v>2941</v>
      </c>
      <c r="F1700">
        <v>371.96</v>
      </c>
      <c r="G1700" t="s">
        <v>302</v>
      </c>
      <c r="H1700">
        <v>11</v>
      </c>
      <c r="I1700" t="s">
        <v>2942</v>
      </c>
      <c r="J1700" t="s">
        <v>294</v>
      </c>
      <c r="M1700" t="s">
        <v>295</v>
      </c>
      <c r="N1700" t="s">
        <v>296</v>
      </c>
      <c r="O1700" t="s">
        <v>297</v>
      </c>
    </row>
    <row r="1701" spans="1:15" x14ac:dyDescent="0.3">
      <c r="A1701" t="s">
        <v>2830</v>
      </c>
      <c r="B1701" t="s">
        <v>2831</v>
      </c>
      <c r="C1701">
        <v>2020</v>
      </c>
      <c r="D1701" t="s">
        <v>300</v>
      </c>
      <c r="E1701" t="s">
        <v>2943</v>
      </c>
      <c r="F1701">
        <v>0.05</v>
      </c>
      <c r="G1701" t="s">
        <v>302</v>
      </c>
      <c r="H1701">
        <v>11</v>
      </c>
      <c r="I1701" t="s">
        <v>2944</v>
      </c>
      <c r="J1701" t="s">
        <v>294</v>
      </c>
      <c r="M1701" t="s">
        <v>295</v>
      </c>
      <c r="N1701" t="s">
        <v>296</v>
      </c>
      <c r="O1701" t="s">
        <v>297</v>
      </c>
    </row>
    <row r="1702" spans="1:15" x14ac:dyDescent="0.3">
      <c r="A1702" t="s">
        <v>2830</v>
      </c>
      <c r="B1702" t="s">
        <v>2831</v>
      </c>
      <c r="C1702">
        <v>2020</v>
      </c>
      <c r="D1702" t="s">
        <v>300</v>
      </c>
      <c r="E1702" t="s">
        <v>2945</v>
      </c>
      <c r="F1702">
        <v>0.69</v>
      </c>
      <c r="G1702" t="s">
        <v>302</v>
      </c>
      <c r="H1702">
        <v>11</v>
      </c>
      <c r="I1702" t="s">
        <v>2946</v>
      </c>
      <c r="J1702" t="s">
        <v>294</v>
      </c>
      <c r="M1702" t="s">
        <v>295</v>
      </c>
      <c r="N1702" t="s">
        <v>296</v>
      </c>
      <c r="O1702" t="s">
        <v>297</v>
      </c>
    </row>
    <row r="1703" spans="1:15" x14ac:dyDescent="0.3">
      <c r="A1703" t="s">
        <v>2830</v>
      </c>
      <c r="B1703" t="s">
        <v>2831</v>
      </c>
      <c r="C1703">
        <v>2020</v>
      </c>
      <c r="D1703" t="s">
        <v>300</v>
      </c>
      <c r="E1703" t="s">
        <v>2947</v>
      </c>
      <c r="F1703">
        <v>0.17</v>
      </c>
      <c r="G1703" t="s">
        <v>302</v>
      </c>
      <c r="H1703">
        <v>12</v>
      </c>
      <c r="I1703" t="s">
        <v>2948</v>
      </c>
      <c r="J1703" t="s">
        <v>294</v>
      </c>
      <c r="M1703" t="s">
        <v>295</v>
      </c>
      <c r="N1703" t="s">
        <v>296</v>
      </c>
      <c r="O1703" t="s">
        <v>297</v>
      </c>
    </row>
    <row r="1704" spans="1:15" x14ac:dyDescent="0.3">
      <c r="A1704" t="s">
        <v>2830</v>
      </c>
      <c r="B1704" t="s">
        <v>2831</v>
      </c>
      <c r="C1704">
        <v>2020</v>
      </c>
      <c r="D1704" t="s">
        <v>300</v>
      </c>
      <c r="E1704" t="s">
        <v>2949</v>
      </c>
      <c r="F1704">
        <v>-103.7</v>
      </c>
      <c r="G1704" t="s">
        <v>302</v>
      </c>
      <c r="H1704">
        <v>9</v>
      </c>
      <c r="I1704" t="s">
        <v>2950</v>
      </c>
      <c r="J1704" t="s">
        <v>294</v>
      </c>
      <c r="M1704" t="s">
        <v>295</v>
      </c>
      <c r="N1704" t="s">
        <v>296</v>
      </c>
      <c r="O1704" t="s">
        <v>297</v>
      </c>
    </row>
    <row r="1705" spans="1:15" x14ac:dyDescent="0.3">
      <c r="A1705" t="s">
        <v>2830</v>
      </c>
      <c r="B1705" t="s">
        <v>2831</v>
      </c>
      <c r="C1705">
        <v>2020</v>
      </c>
      <c r="D1705" t="s">
        <v>252</v>
      </c>
      <c r="E1705" t="s">
        <v>2951</v>
      </c>
      <c r="F1705" t="s">
        <v>2952</v>
      </c>
      <c r="G1705" t="s">
        <v>292</v>
      </c>
      <c r="H1705">
        <v>1</v>
      </c>
      <c r="I1705" t="s">
        <v>2953</v>
      </c>
      <c r="J1705" t="s">
        <v>294</v>
      </c>
      <c r="M1705" t="s">
        <v>295</v>
      </c>
      <c r="N1705" t="s">
        <v>296</v>
      </c>
      <c r="O1705" t="s">
        <v>297</v>
      </c>
    </row>
    <row r="1706" spans="1:15" x14ac:dyDescent="0.3">
      <c r="A1706" t="s">
        <v>2830</v>
      </c>
      <c r="B1706" t="s">
        <v>2831</v>
      </c>
      <c r="C1706">
        <v>2020</v>
      </c>
      <c r="D1706" t="s">
        <v>252</v>
      </c>
      <c r="E1706" t="s">
        <v>2954</v>
      </c>
      <c r="F1706" t="s">
        <v>2955</v>
      </c>
      <c r="G1706" t="s">
        <v>292</v>
      </c>
      <c r="H1706">
        <v>2</v>
      </c>
      <c r="I1706" t="s">
        <v>2956</v>
      </c>
      <c r="J1706" t="s">
        <v>294</v>
      </c>
      <c r="M1706" t="s">
        <v>295</v>
      </c>
      <c r="N1706" t="s">
        <v>296</v>
      </c>
      <c r="O1706" t="s">
        <v>297</v>
      </c>
    </row>
    <row r="1707" spans="1:15" x14ac:dyDescent="0.3">
      <c r="A1707" t="s">
        <v>2957</v>
      </c>
      <c r="B1707" t="s">
        <v>2958</v>
      </c>
      <c r="C1707">
        <v>2024</v>
      </c>
      <c r="D1707" t="s">
        <v>272</v>
      </c>
      <c r="E1707" t="s">
        <v>291</v>
      </c>
      <c r="F1707" t="s">
        <v>2957</v>
      </c>
      <c r="G1707" t="s">
        <v>292</v>
      </c>
      <c r="H1707">
        <v>32</v>
      </c>
      <c r="I1707" t="s">
        <v>2959</v>
      </c>
      <c r="J1707" t="s">
        <v>294</v>
      </c>
      <c r="M1707" t="s">
        <v>295</v>
      </c>
      <c r="N1707" t="s">
        <v>296</v>
      </c>
      <c r="O1707" t="s">
        <v>297</v>
      </c>
    </row>
    <row r="1708" spans="1:15" x14ac:dyDescent="0.3">
      <c r="A1708" t="s">
        <v>2957</v>
      </c>
      <c r="B1708" t="s">
        <v>2958</v>
      </c>
      <c r="C1708">
        <v>2024</v>
      </c>
      <c r="D1708" t="s">
        <v>272</v>
      </c>
      <c r="E1708" t="s">
        <v>1</v>
      </c>
      <c r="F1708" t="s">
        <v>2960</v>
      </c>
      <c r="G1708" t="s">
        <v>292</v>
      </c>
      <c r="H1708">
        <v>32</v>
      </c>
      <c r="I1708" t="s">
        <v>2961</v>
      </c>
      <c r="J1708" t="s">
        <v>294</v>
      </c>
      <c r="M1708" t="s">
        <v>295</v>
      </c>
      <c r="N1708" t="s">
        <v>296</v>
      </c>
      <c r="O1708" t="s">
        <v>297</v>
      </c>
    </row>
    <row r="1709" spans="1:15" x14ac:dyDescent="0.3">
      <c r="A1709" t="s">
        <v>2957</v>
      </c>
      <c r="B1709" t="s">
        <v>2958</v>
      </c>
      <c r="C1709">
        <v>2024</v>
      </c>
      <c r="D1709" t="s">
        <v>272</v>
      </c>
      <c r="E1709" t="s">
        <v>2962</v>
      </c>
      <c r="F1709" t="s">
        <v>2963</v>
      </c>
      <c r="G1709" t="s">
        <v>666</v>
      </c>
      <c r="H1709">
        <v>32</v>
      </c>
      <c r="I1709" t="s">
        <v>2964</v>
      </c>
      <c r="J1709" t="s">
        <v>294</v>
      </c>
      <c r="M1709" t="s">
        <v>295</v>
      </c>
      <c r="N1709" t="s">
        <v>296</v>
      </c>
      <c r="O1709" t="s">
        <v>297</v>
      </c>
    </row>
    <row r="1710" spans="1:15" x14ac:dyDescent="0.3">
      <c r="A1710" t="s">
        <v>2957</v>
      </c>
      <c r="B1710" t="s">
        <v>2958</v>
      </c>
      <c r="C1710">
        <v>2024</v>
      </c>
      <c r="D1710" t="s">
        <v>272</v>
      </c>
      <c r="E1710" t="s">
        <v>2965</v>
      </c>
      <c r="F1710" t="s">
        <v>2966</v>
      </c>
      <c r="G1710" t="s">
        <v>292</v>
      </c>
      <c r="H1710">
        <v>32</v>
      </c>
      <c r="I1710" t="s">
        <v>2967</v>
      </c>
      <c r="J1710" t="s">
        <v>294</v>
      </c>
      <c r="M1710" t="s">
        <v>295</v>
      </c>
      <c r="N1710" t="s">
        <v>296</v>
      </c>
      <c r="O1710" t="s">
        <v>297</v>
      </c>
    </row>
    <row r="1711" spans="1:15" x14ac:dyDescent="0.3">
      <c r="A1711" t="s">
        <v>2957</v>
      </c>
      <c r="B1711" t="s">
        <v>2958</v>
      </c>
      <c r="C1711">
        <v>2024</v>
      </c>
      <c r="D1711" t="s">
        <v>272</v>
      </c>
      <c r="E1711" t="s">
        <v>2968</v>
      </c>
      <c r="F1711">
        <v>1027</v>
      </c>
      <c r="G1711" t="s">
        <v>2969</v>
      </c>
      <c r="H1711">
        <v>32</v>
      </c>
      <c r="I1711" t="s">
        <v>2970</v>
      </c>
      <c r="J1711" t="s">
        <v>294</v>
      </c>
      <c r="M1711" t="s">
        <v>295</v>
      </c>
      <c r="N1711" t="s">
        <v>296</v>
      </c>
      <c r="O1711" t="s">
        <v>297</v>
      </c>
    </row>
    <row r="1712" spans="1:15" x14ac:dyDescent="0.3">
      <c r="A1712" t="s">
        <v>2957</v>
      </c>
      <c r="B1712" t="s">
        <v>2958</v>
      </c>
      <c r="C1712">
        <v>2024</v>
      </c>
      <c r="D1712" t="s">
        <v>272</v>
      </c>
      <c r="E1712" t="s">
        <v>869</v>
      </c>
      <c r="F1712" t="s">
        <v>2971</v>
      </c>
      <c r="G1712" t="s">
        <v>666</v>
      </c>
      <c r="H1712">
        <v>11</v>
      </c>
      <c r="I1712" t="s">
        <v>2972</v>
      </c>
      <c r="J1712" t="s">
        <v>294</v>
      </c>
      <c r="M1712" t="s">
        <v>295</v>
      </c>
      <c r="N1712" t="s">
        <v>296</v>
      </c>
      <c r="O1712" t="s">
        <v>297</v>
      </c>
    </row>
    <row r="1713" spans="1:15" x14ac:dyDescent="0.3">
      <c r="A1713" t="s">
        <v>2957</v>
      </c>
      <c r="B1713" t="s">
        <v>2958</v>
      </c>
      <c r="C1713">
        <v>2024</v>
      </c>
      <c r="D1713" t="s">
        <v>272</v>
      </c>
      <c r="E1713" t="s">
        <v>2973</v>
      </c>
      <c r="F1713">
        <v>500</v>
      </c>
      <c r="G1713" t="s">
        <v>1288</v>
      </c>
      <c r="H1713">
        <v>11</v>
      </c>
      <c r="I1713" t="s">
        <v>2974</v>
      </c>
      <c r="J1713" t="s">
        <v>294</v>
      </c>
      <c r="M1713" t="s">
        <v>295</v>
      </c>
      <c r="N1713" t="s">
        <v>296</v>
      </c>
      <c r="O1713" t="s">
        <v>297</v>
      </c>
    </row>
    <row r="1714" spans="1:15" x14ac:dyDescent="0.3">
      <c r="A1714" t="s">
        <v>2957</v>
      </c>
      <c r="B1714" t="s">
        <v>2958</v>
      </c>
      <c r="C1714">
        <v>2024</v>
      </c>
      <c r="D1714" t="s">
        <v>272</v>
      </c>
      <c r="E1714" t="s">
        <v>2975</v>
      </c>
      <c r="F1714">
        <v>150</v>
      </c>
      <c r="G1714" t="s">
        <v>346</v>
      </c>
      <c r="H1714">
        <v>11</v>
      </c>
      <c r="I1714" t="s">
        <v>2976</v>
      </c>
      <c r="J1714" t="s">
        <v>294</v>
      </c>
      <c r="M1714" t="s">
        <v>295</v>
      </c>
      <c r="N1714" t="s">
        <v>296</v>
      </c>
      <c r="O1714" t="s">
        <v>297</v>
      </c>
    </row>
    <row r="1715" spans="1:15" x14ac:dyDescent="0.3">
      <c r="A1715" t="s">
        <v>2957</v>
      </c>
      <c r="B1715" t="s">
        <v>2958</v>
      </c>
      <c r="C1715">
        <v>2024</v>
      </c>
      <c r="D1715" t="s">
        <v>272</v>
      </c>
      <c r="E1715" t="s">
        <v>2977</v>
      </c>
      <c r="F1715">
        <v>75</v>
      </c>
      <c r="G1715" t="s">
        <v>302</v>
      </c>
      <c r="H1715">
        <v>33</v>
      </c>
      <c r="I1715" t="s">
        <v>2978</v>
      </c>
      <c r="J1715" t="s">
        <v>294</v>
      </c>
      <c r="M1715" t="s">
        <v>295</v>
      </c>
      <c r="N1715" t="s">
        <v>296</v>
      </c>
      <c r="O1715" t="s">
        <v>297</v>
      </c>
    </row>
    <row r="1716" spans="1:15" x14ac:dyDescent="0.3">
      <c r="A1716" t="s">
        <v>2957</v>
      </c>
      <c r="B1716" t="s">
        <v>2958</v>
      </c>
      <c r="C1716">
        <v>2024</v>
      </c>
      <c r="D1716" t="s">
        <v>272</v>
      </c>
      <c r="E1716" t="s">
        <v>2979</v>
      </c>
      <c r="F1716">
        <v>69.099999999999994</v>
      </c>
      <c r="G1716" t="s">
        <v>302</v>
      </c>
      <c r="H1716">
        <v>19</v>
      </c>
      <c r="I1716" t="s">
        <v>2980</v>
      </c>
      <c r="J1716" t="s">
        <v>294</v>
      </c>
      <c r="M1716" t="s">
        <v>295</v>
      </c>
      <c r="N1716" t="s">
        <v>296</v>
      </c>
      <c r="O1716" t="s">
        <v>297</v>
      </c>
    </row>
    <row r="1717" spans="1:15" x14ac:dyDescent="0.3">
      <c r="A1717" t="s">
        <v>2957</v>
      </c>
      <c r="B1717" t="s">
        <v>2958</v>
      </c>
      <c r="C1717">
        <v>2024</v>
      </c>
      <c r="D1717" t="s">
        <v>272</v>
      </c>
      <c r="E1717" t="s">
        <v>2697</v>
      </c>
      <c r="F1717">
        <v>800</v>
      </c>
      <c r="G1717" t="s">
        <v>302</v>
      </c>
      <c r="H1717">
        <v>32</v>
      </c>
      <c r="I1717" t="s">
        <v>2981</v>
      </c>
      <c r="J1717" t="s">
        <v>294</v>
      </c>
      <c r="M1717" t="s">
        <v>295</v>
      </c>
      <c r="N1717" t="s">
        <v>296</v>
      </c>
      <c r="O1717" t="s">
        <v>297</v>
      </c>
    </row>
    <row r="1718" spans="1:15" x14ac:dyDescent="0.3">
      <c r="A1718" t="s">
        <v>2957</v>
      </c>
      <c r="B1718" t="s">
        <v>2958</v>
      </c>
      <c r="C1718">
        <v>2024</v>
      </c>
      <c r="D1718" t="s">
        <v>272</v>
      </c>
      <c r="E1718" t="s">
        <v>2982</v>
      </c>
      <c r="F1718">
        <v>250</v>
      </c>
      <c r="G1718" t="s">
        <v>302</v>
      </c>
      <c r="H1718">
        <v>32</v>
      </c>
      <c r="I1718" t="s">
        <v>2983</v>
      </c>
      <c r="J1718" t="s">
        <v>294</v>
      </c>
      <c r="M1718" t="s">
        <v>295</v>
      </c>
      <c r="N1718" t="s">
        <v>296</v>
      </c>
      <c r="O1718" t="s">
        <v>297</v>
      </c>
    </row>
    <row r="1719" spans="1:15" x14ac:dyDescent="0.3">
      <c r="A1719" t="s">
        <v>2957</v>
      </c>
      <c r="B1719" t="s">
        <v>2958</v>
      </c>
      <c r="C1719">
        <v>2024</v>
      </c>
      <c r="D1719" t="s">
        <v>272</v>
      </c>
      <c r="E1719" t="s">
        <v>2984</v>
      </c>
      <c r="F1719">
        <v>0.24</v>
      </c>
      <c r="G1719" t="s">
        <v>334</v>
      </c>
      <c r="H1719">
        <v>61</v>
      </c>
      <c r="I1719" t="s">
        <v>2985</v>
      </c>
      <c r="J1719" t="s">
        <v>294</v>
      </c>
      <c r="M1719" t="s">
        <v>295</v>
      </c>
      <c r="N1719" t="s">
        <v>296</v>
      </c>
      <c r="O1719" t="s">
        <v>297</v>
      </c>
    </row>
    <row r="1720" spans="1:15" x14ac:dyDescent="0.3">
      <c r="A1720" t="s">
        <v>2957</v>
      </c>
      <c r="B1720" t="s">
        <v>2958</v>
      </c>
      <c r="C1720">
        <v>2024</v>
      </c>
      <c r="D1720" t="s">
        <v>272</v>
      </c>
      <c r="E1720" t="s">
        <v>2986</v>
      </c>
      <c r="F1720">
        <v>0.24</v>
      </c>
      <c r="G1720" t="s">
        <v>334</v>
      </c>
      <c r="H1720">
        <v>61</v>
      </c>
      <c r="I1720" t="s">
        <v>2987</v>
      </c>
      <c r="J1720" t="s">
        <v>294</v>
      </c>
      <c r="M1720" t="s">
        <v>295</v>
      </c>
      <c r="N1720" t="s">
        <v>296</v>
      </c>
      <c r="O1720" t="s">
        <v>297</v>
      </c>
    </row>
    <row r="1721" spans="1:15" x14ac:dyDescent="0.3">
      <c r="A1721" t="s">
        <v>2957</v>
      </c>
      <c r="B1721" t="s">
        <v>2958</v>
      </c>
      <c r="C1721">
        <v>2024</v>
      </c>
      <c r="D1721" t="s">
        <v>272</v>
      </c>
      <c r="E1721" t="s">
        <v>2988</v>
      </c>
      <c r="F1721">
        <v>0.16</v>
      </c>
      <c r="G1721" t="s">
        <v>334</v>
      </c>
      <c r="H1721">
        <v>61</v>
      </c>
      <c r="I1721" t="s">
        <v>2989</v>
      </c>
      <c r="J1721" t="s">
        <v>294</v>
      </c>
      <c r="M1721" t="s">
        <v>295</v>
      </c>
      <c r="N1721" t="s">
        <v>296</v>
      </c>
      <c r="O1721" t="s">
        <v>297</v>
      </c>
    </row>
    <row r="1722" spans="1:15" x14ac:dyDescent="0.3">
      <c r="A1722" t="s">
        <v>2957</v>
      </c>
      <c r="B1722" t="s">
        <v>2958</v>
      </c>
      <c r="C1722">
        <v>2024</v>
      </c>
      <c r="D1722" t="s">
        <v>272</v>
      </c>
      <c r="E1722" t="s">
        <v>2990</v>
      </c>
      <c r="F1722">
        <v>0.16</v>
      </c>
      <c r="G1722" t="s">
        <v>334</v>
      </c>
      <c r="H1722">
        <v>61</v>
      </c>
      <c r="I1722" t="s">
        <v>2991</v>
      </c>
      <c r="J1722" t="s">
        <v>294</v>
      </c>
      <c r="M1722" t="s">
        <v>295</v>
      </c>
      <c r="N1722" t="s">
        <v>296</v>
      </c>
      <c r="O1722" t="s">
        <v>297</v>
      </c>
    </row>
    <row r="1723" spans="1:15" x14ac:dyDescent="0.3">
      <c r="A1723" t="s">
        <v>2957</v>
      </c>
      <c r="B1723" t="s">
        <v>2958</v>
      </c>
      <c r="C1723">
        <v>2024</v>
      </c>
      <c r="D1723" t="s">
        <v>272</v>
      </c>
      <c r="E1723" t="s">
        <v>445</v>
      </c>
      <c r="F1723">
        <v>0.2</v>
      </c>
      <c r="G1723" t="s">
        <v>334</v>
      </c>
      <c r="H1723">
        <v>61</v>
      </c>
      <c r="I1723" t="s">
        <v>2992</v>
      </c>
      <c r="J1723" t="s">
        <v>294</v>
      </c>
      <c r="M1723" t="s">
        <v>295</v>
      </c>
      <c r="N1723" t="s">
        <v>296</v>
      </c>
      <c r="O1723" t="s">
        <v>297</v>
      </c>
    </row>
    <row r="1724" spans="1:15" x14ac:dyDescent="0.3">
      <c r="A1724" t="s">
        <v>2957</v>
      </c>
      <c r="B1724" t="s">
        <v>2958</v>
      </c>
      <c r="C1724">
        <v>2024</v>
      </c>
      <c r="D1724" t="s">
        <v>272</v>
      </c>
      <c r="E1724" t="s">
        <v>2993</v>
      </c>
      <c r="F1724">
        <v>0.56000000000000005</v>
      </c>
      <c r="G1724" t="s">
        <v>2994</v>
      </c>
      <c r="H1724">
        <v>33</v>
      </c>
      <c r="I1724" t="s">
        <v>2995</v>
      </c>
      <c r="J1724" t="s">
        <v>294</v>
      </c>
      <c r="M1724" t="s">
        <v>295</v>
      </c>
      <c r="N1724" t="s">
        <v>296</v>
      </c>
      <c r="O1724" t="s">
        <v>297</v>
      </c>
    </row>
    <row r="1725" spans="1:15" x14ac:dyDescent="0.3">
      <c r="A1725" t="s">
        <v>2957</v>
      </c>
      <c r="B1725" t="s">
        <v>2958</v>
      </c>
      <c r="C1725">
        <v>2024</v>
      </c>
      <c r="D1725" t="s">
        <v>272</v>
      </c>
      <c r="E1725" t="s">
        <v>2996</v>
      </c>
      <c r="F1725">
        <v>291</v>
      </c>
      <c r="G1725" t="s">
        <v>384</v>
      </c>
      <c r="H1725">
        <v>25</v>
      </c>
      <c r="I1725" t="s">
        <v>2997</v>
      </c>
      <c r="J1725" t="s">
        <v>294</v>
      </c>
      <c r="M1725" t="s">
        <v>295</v>
      </c>
      <c r="N1725" t="s">
        <v>296</v>
      </c>
      <c r="O1725" t="s">
        <v>297</v>
      </c>
    </row>
    <row r="1726" spans="1:15" x14ac:dyDescent="0.3">
      <c r="A1726" t="s">
        <v>2957</v>
      </c>
      <c r="B1726" t="s">
        <v>2958</v>
      </c>
      <c r="C1726">
        <v>2024</v>
      </c>
      <c r="D1726" t="s">
        <v>300</v>
      </c>
      <c r="E1726" t="s">
        <v>301</v>
      </c>
      <c r="F1726">
        <v>1444.3989999999999</v>
      </c>
      <c r="G1726" t="s">
        <v>302</v>
      </c>
      <c r="H1726">
        <v>9</v>
      </c>
      <c r="I1726" t="s">
        <v>2998</v>
      </c>
      <c r="J1726" t="s">
        <v>294</v>
      </c>
      <c r="M1726" t="s">
        <v>295</v>
      </c>
      <c r="N1726" t="s">
        <v>296</v>
      </c>
      <c r="O1726" t="s">
        <v>297</v>
      </c>
    </row>
    <row r="1727" spans="1:15" x14ac:dyDescent="0.3">
      <c r="A1727" t="s">
        <v>2957</v>
      </c>
      <c r="B1727" t="s">
        <v>2958</v>
      </c>
      <c r="C1727">
        <v>2024</v>
      </c>
      <c r="D1727" t="s">
        <v>300</v>
      </c>
      <c r="E1727" t="s">
        <v>450</v>
      </c>
      <c r="F1727">
        <v>-1258.5609999999999</v>
      </c>
      <c r="G1727" t="s">
        <v>302</v>
      </c>
      <c r="H1727">
        <v>9</v>
      </c>
      <c r="I1727" t="s">
        <v>2999</v>
      </c>
      <c r="J1727" t="s">
        <v>294</v>
      </c>
      <c r="M1727" t="s">
        <v>295</v>
      </c>
      <c r="N1727" t="s">
        <v>296</v>
      </c>
      <c r="O1727" t="s">
        <v>297</v>
      </c>
    </row>
    <row r="1728" spans="1:15" x14ac:dyDescent="0.3">
      <c r="A1728" t="s">
        <v>2957</v>
      </c>
      <c r="B1728" t="s">
        <v>2958</v>
      </c>
      <c r="C1728">
        <v>2024</v>
      </c>
      <c r="D1728" t="s">
        <v>300</v>
      </c>
      <c r="E1728" t="s">
        <v>304</v>
      </c>
      <c r="F1728">
        <v>185.83799999999999</v>
      </c>
      <c r="G1728" t="s">
        <v>302</v>
      </c>
      <c r="H1728">
        <v>9</v>
      </c>
      <c r="I1728" t="s">
        <v>3000</v>
      </c>
      <c r="J1728" t="s">
        <v>294</v>
      </c>
      <c r="M1728" t="s">
        <v>295</v>
      </c>
      <c r="N1728" t="s">
        <v>296</v>
      </c>
      <c r="O1728" t="s">
        <v>297</v>
      </c>
    </row>
    <row r="1729" spans="1:15" x14ac:dyDescent="0.3">
      <c r="A1729" t="s">
        <v>2957</v>
      </c>
      <c r="B1729" t="s">
        <v>2958</v>
      </c>
      <c r="C1729">
        <v>2024</v>
      </c>
      <c r="D1729" t="s">
        <v>300</v>
      </c>
      <c r="E1729" t="s">
        <v>1112</v>
      </c>
      <c r="F1729">
        <v>108.67100000000001</v>
      </c>
      <c r="G1729" t="s">
        <v>302</v>
      </c>
      <c r="H1729">
        <v>9</v>
      </c>
      <c r="I1729" t="s">
        <v>3001</v>
      </c>
      <c r="J1729" t="s">
        <v>294</v>
      </c>
      <c r="M1729" t="s">
        <v>295</v>
      </c>
      <c r="N1729" t="s">
        <v>296</v>
      </c>
      <c r="O1729" t="s">
        <v>297</v>
      </c>
    </row>
    <row r="1730" spans="1:15" x14ac:dyDescent="0.3">
      <c r="A1730" t="s">
        <v>2957</v>
      </c>
      <c r="B1730" t="s">
        <v>2958</v>
      </c>
      <c r="C1730">
        <v>2024</v>
      </c>
      <c r="D1730" t="s">
        <v>300</v>
      </c>
      <c r="E1730" t="s">
        <v>579</v>
      </c>
      <c r="F1730">
        <v>101.08</v>
      </c>
      <c r="G1730" t="s">
        <v>302</v>
      </c>
      <c r="H1730">
        <v>9</v>
      </c>
      <c r="I1730" t="s">
        <v>3002</v>
      </c>
      <c r="J1730" t="s">
        <v>294</v>
      </c>
      <c r="M1730" t="s">
        <v>295</v>
      </c>
      <c r="N1730" t="s">
        <v>296</v>
      </c>
      <c r="O1730" t="s">
        <v>297</v>
      </c>
    </row>
    <row r="1731" spans="1:15" x14ac:dyDescent="0.3">
      <c r="A1731" t="s">
        <v>2957</v>
      </c>
      <c r="B1731" t="s">
        <v>2958</v>
      </c>
      <c r="C1731">
        <v>2024</v>
      </c>
      <c r="D1731" t="s">
        <v>300</v>
      </c>
      <c r="E1731" t="s">
        <v>581</v>
      </c>
      <c r="F1731">
        <v>-22.486000000000001</v>
      </c>
      <c r="G1731" t="s">
        <v>302</v>
      </c>
      <c r="H1731">
        <v>9</v>
      </c>
      <c r="I1731" t="s">
        <v>3003</v>
      </c>
      <c r="J1731" t="s">
        <v>294</v>
      </c>
      <c r="M1731" t="s">
        <v>295</v>
      </c>
      <c r="N1731" t="s">
        <v>296</v>
      </c>
      <c r="O1731" t="s">
        <v>297</v>
      </c>
    </row>
    <row r="1732" spans="1:15" x14ac:dyDescent="0.3">
      <c r="A1732" t="s">
        <v>2957</v>
      </c>
      <c r="B1732" t="s">
        <v>2958</v>
      </c>
      <c r="C1732">
        <v>2024</v>
      </c>
      <c r="D1732" t="s">
        <v>300</v>
      </c>
      <c r="E1732" t="s">
        <v>306</v>
      </c>
      <c r="F1732">
        <v>78.593000000000004</v>
      </c>
      <c r="G1732" t="s">
        <v>302</v>
      </c>
      <c r="H1732">
        <v>9</v>
      </c>
      <c r="I1732" t="s">
        <v>3004</v>
      </c>
      <c r="J1732" t="s">
        <v>294</v>
      </c>
      <c r="M1732" t="s">
        <v>295</v>
      </c>
      <c r="N1732" t="s">
        <v>296</v>
      </c>
      <c r="O1732" t="s">
        <v>297</v>
      </c>
    </row>
    <row r="1733" spans="1:15" x14ac:dyDescent="0.3">
      <c r="A1733" t="s">
        <v>2957</v>
      </c>
      <c r="B1733" t="s">
        <v>2958</v>
      </c>
      <c r="C1733">
        <v>2024</v>
      </c>
      <c r="D1733" t="s">
        <v>300</v>
      </c>
      <c r="E1733" t="s">
        <v>308</v>
      </c>
      <c r="F1733">
        <v>59.804000000000002</v>
      </c>
      <c r="G1733" t="s">
        <v>302</v>
      </c>
      <c r="H1733">
        <v>9</v>
      </c>
      <c r="I1733" t="s">
        <v>3005</v>
      </c>
      <c r="J1733" t="s">
        <v>294</v>
      </c>
      <c r="M1733" t="s">
        <v>295</v>
      </c>
      <c r="N1733" t="s">
        <v>296</v>
      </c>
      <c r="O1733" t="s">
        <v>297</v>
      </c>
    </row>
    <row r="1734" spans="1:15" x14ac:dyDescent="0.3">
      <c r="A1734" t="s">
        <v>2957</v>
      </c>
      <c r="B1734" t="s">
        <v>2958</v>
      </c>
      <c r="C1734">
        <v>2024</v>
      </c>
      <c r="D1734" t="s">
        <v>300</v>
      </c>
      <c r="E1734" t="s">
        <v>3006</v>
      </c>
      <c r="F1734">
        <v>18.788</v>
      </c>
      <c r="G1734" t="s">
        <v>302</v>
      </c>
      <c r="H1734">
        <v>9</v>
      </c>
      <c r="I1734" t="s">
        <v>3007</v>
      </c>
      <c r="J1734" t="s">
        <v>294</v>
      </c>
      <c r="M1734" t="s">
        <v>295</v>
      </c>
      <c r="N1734" t="s">
        <v>296</v>
      </c>
      <c r="O1734" t="s">
        <v>297</v>
      </c>
    </row>
    <row r="1735" spans="1:15" x14ac:dyDescent="0.3">
      <c r="A1735" t="s">
        <v>2957</v>
      </c>
      <c r="B1735" t="s">
        <v>2958</v>
      </c>
      <c r="C1735">
        <v>2024</v>
      </c>
      <c r="D1735" t="s">
        <v>300</v>
      </c>
      <c r="E1735" t="s">
        <v>3008</v>
      </c>
      <c r="F1735">
        <v>0.51100000000000001</v>
      </c>
      <c r="G1735" t="s">
        <v>302</v>
      </c>
      <c r="H1735">
        <v>9</v>
      </c>
      <c r="I1735" t="s">
        <v>3009</v>
      </c>
      <c r="J1735" t="s">
        <v>294</v>
      </c>
      <c r="M1735" t="s">
        <v>295</v>
      </c>
      <c r="N1735" t="s">
        <v>296</v>
      </c>
      <c r="O1735" t="s">
        <v>297</v>
      </c>
    </row>
    <row r="1736" spans="1:15" x14ac:dyDescent="0.3">
      <c r="A1736" t="s">
        <v>2957</v>
      </c>
      <c r="B1736" t="s">
        <v>2958</v>
      </c>
      <c r="C1736">
        <v>2024</v>
      </c>
      <c r="D1736" t="s">
        <v>300</v>
      </c>
      <c r="E1736" t="s">
        <v>310</v>
      </c>
      <c r="F1736">
        <v>79.105000000000004</v>
      </c>
      <c r="G1736" t="s">
        <v>302</v>
      </c>
      <c r="H1736">
        <v>9</v>
      </c>
      <c r="I1736" t="s">
        <v>3010</v>
      </c>
      <c r="J1736" t="s">
        <v>294</v>
      </c>
      <c r="M1736" t="s">
        <v>295</v>
      </c>
      <c r="N1736" t="s">
        <v>296</v>
      </c>
      <c r="O1736" t="s">
        <v>297</v>
      </c>
    </row>
    <row r="1737" spans="1:15" x14ac:dyDescent="0.3">
      <c r="A1737" t="s">
        <v>2957</v>
      </c>
      <c r="B1737" t="s">
        <v>2958</v>
      </c>
      <c r="C1737">
        <v>2024</v>
      </c>
      <c r="D1737" t="s">
        <v>300</v>
      </c>
      <c r="E1737" t="s">
        <v>316</v>
      </c>
      <c r="F1737">
        <v>980.13800000000003</v>
      </c>
      <c r="G1737" t="s">
        <v>302</v>
      </c>
      <c r="H1737">
        <v>9</v>
      </c>
      <c r="I1737" t="s">
        <v>3011</v>
      </c>
      <c r="J1737" t="s">
        <v>294</v>
      </c>
      <c r="M1737" t="s">
        <v>295</v>
      </c>
      <c r="N1737" t="s">
        <v>296</v>
      </c>
      <c r="O1737" t="s">
        <v>297</v>
      </c>
    </row>
    <row r="1738" spans="1:15" x14ac:dyDescent="0.3">
      <c r="A1738" t="s">
        <v>2957</v>
      </c>
      <c r="B1738" t="s">
        <v>2958</v>
      </c>
      <c r="C1738">
        <v>2024</v>
      </c>
      <c r="D1738" t="s">
        <v>300</v>
      </c>
      <c r="E1738" t="s">
        <v>312</v>
      </c>
      <c r="F1738">
        <v>575.27099999999996</v>
      </c>
      <c r="G1738" t="s">
        <v>302</v>
      </c>
      <c r="H1738">
        <v>77</v>
      </c>
      <c r="I1738" t="s">
        <v>3012</v>
      </c>
      <c r="J1738" t="s">
        <v>294</v>
      </c>
      <c r="M1738" t="s">
        <v>295</v>
      </c>
      <c r="N1738" t="s">
        <v>296</v>
      </c>
      <c r="O1738" t="s">
        <v>297</v>
      </c>
    </row>
    <row r="1739" spans="1:15" x14ac:dyDescent="0.3">
      <c r="A1739" t="s">
        <v>2957</v>
      </c>
      <c r="B1739" t="s">
        <v>2958</v>
      </c>
      <c r="C1739">
        <v>2024</v>
      </c>
      <c r="D1739" t="s">
        <v>300</v>
      </c>
      <c r="E1739" t="s">
        <v>314</v>
      </c>
      <c r="F1739">
        <v>404.86700000000002</v>
      </c>
      <c r="G1739" t="s">
        <v>302</v>
      </c>
      <c r="H1739">
        <v>77</v>
      </c>
      <c r="I1739" t="s">
        <v>3013</v>
      </c>
      <c r="J1739" t="s">
        <v>294</v>
      </c>
      <c r="M1739" t="s">
        <v>295</v>
      </c>
      <c r="N1739" t="s">
        <v>296</v>
      </c>
      <c r="O1739" t="s">
        <v>297</v>
      </c>
    </row>
    <row r="1740" spans="1:15" x14ac:dyDescent="0.3">
      <c r="A1740" t="s">
        <v>2957</v>
      </c>
      <c r="B1740" t="s">
        <v>2958</v>
      </c>
      <c r="C1740">
        <v>2024</v>
      </c>
      <c r="D1740" t="s">
        <v>300</v>
      </c>
      <c r="E1740" t="s">
        <v>2667</v>
      </c>
      <c r="F1740">
        <v>28.585999999999999</v>
      </c>
      <c r="G1740" t="s">
        <v>302</v>
      </c>
      <c r="H1740">
        <v>77</v>
      </c>
      <c r="I1740" t="s">
        <v>3014</v>
      </c>
      <c r="J1740" t="s">
        <v>294</v>
      </c>
      <c r="M1740" t="s">
        <v>295</v>
      </c>
      <c r="N1740" t="s">
        <v>296</v>
      </c>
      <c r="O1740" t="s">
        <v>297</v>
      </c>
    </row>
    <row r="1741" spans="1:15" x14ac:dyDescent="0.3">
      <c r="A1741" t="s">
        <v>2957</v>
      </c>
      <c r="B1741" t="s">
        <v>2958</v>
      </c>
      <c r="C1741">
        <v>2024</v>
      </c>
      <c r="D1741" t="s">
        <v>300</v>
      </c>
      <c r="E1741" t="s">
        <v>3015</v>
      </c>
      <c r="F1741">
        <v>30</v>
      </c>
      <c r="G1741" t="s">
        <v>302</v>
      </c>
      <c r="H1741">
        <v>77</v>
      </c>
      <c r="I1741" t="s">
        <v>3016</v>
      </c>
      <c r="J1741" t="s">
        <v>294</v>
      </c>
      <c r="M1741" t="s">
        <v>295</v>
      </c>
      <c r="N1741" t="s">
        <v>296</v>
      </c>
      <c r="O1741" t="s">
        <v>297</v>
      </c>
    </row>
    <row r="1742" spans="1:15" x14ac:dyDescent="0.3">
      <c r="A1742" t="s">
        <v>2957</v>
      </c>
      <c r="B1742" t="s">
        <v>2958</v>
      </c>
      <c r="C1742">
        <v>2024</v>
      </c>
      <c r="D1742" t="s">
        <v>300</v>
      </c>
      <c r="E1742" t="s">
        <v>3017</v>
      </c>
      <c r="F1742">
        <v>274.07499999999999</v>
      </c>
      <c r="G1742" t="s">
        <v>302</v>
      </c>
      <c r="H1742">
        <v>77</v>
      </c>
      <c r="I1742" t="s">
        <v>3018</v>
      </c>
      <c r="J1742" t="s">
        <v>294</v>
      </c>
      <c r="M1742" t="s">
        <v>295</v>
      </c>
      <c r="N1742" t="s">
        <v>296</v>
      </c>
      <c r="O1742" t="s">
        <v>297</v>
      </c>
    </row>
    <row r="1743" spans="1:15" x14ac:dyDescent="0.3">
      <c r="A1743" t="s">
        <v>2957</v>
      </c>
      <c r="B1743" t="s">
        <v>2958</v>
      </c>
      <c r="C1743">
        <v>2024</v>
      </c>
      <c r="D1743" t="s">
        <v>300</v>
      </c>
      <c r="E1743" t="s">
        <v>481</v>
      </c>
      <c r="F1743">
        <v>189.03800000000001</v>
      </c>
      <c r="G1743" t="s">
        <v>302</v>
      </c>
      <c r="H1743">
        <v>77</v>
      </c>
      <c r="I1743" t="s">
        <v>3019</v>
      </c>
      <c r="J1743" t="s">
        <v>294</v>
      </c>
      <c r="M1743" t="s">
        <v>295</v>
      </c>
      <c r="N1743" t="s">
        <v>296</v>
      </c>
      <c r="O1743" t="s">
        <v>297</v>
      </c>
    </row>
    <row r="1744" spans="1:15" x14ac:dyDescent="0.3">
      <c r="A1744" t="s">
        <v>2957</v>
      </c>
      <c r="B1744" t="s">
        <v>2958</v>
      </c>
      <c r="C1744">
        <v>2024</v>
      </c>
      <c r="D1744" t="s">
        <v>300</v>
      </c>
      <c r="E1744" t="s">
        <v>3020</v>
      </c>
      <c r="F1744">
        <v>386.85399999999998</v>
      </c>
      <c r="G1744" t="s">
        <v>302</v>
      </c>
      <c r="H1744">
        <v>77</v>
      </c>
      <c r="I1744" t="s">
        <v>3021</v>
      </c>
      <c r="J1744" t="s">
        <v>294</v>
      </c>
      <c r="M1744" t="s">
        <v>295</v>
      </c>
      <c r="N1744" t="s">
        <v>296</v>
      </c>
      <c r="O1744" t="s">
        <v>297</v>
      </c>
    </row>
    <row r="1745" spans="1:15" x14ac:dyDescent="0.3">
      <c r="A1745" t="s">
        <v>2957</v>
      </c>
      <c r="B1745" t="s">
        <v>2958</v>
      </c>
      <c r="C1745">
        <v>2024</v>
      </c>
      <c r="D1745" t="s">
        <v>300</v>
      </c>
      <c r="E1745" t="s">
        <v>322</v>
      </c>
      <c r="F1745">
        <v>300.94600000000003</v>
      </c>
      <c r="G1745" t="s">
        <v>302</v>
      </c>
      <c r="H1745">
        <v>9</v>
      </c>
      <c r="I1745" t="s">
        <v>3022</v>
      </c>
      <c r="J1745" t="s">
        <v>294</v>
      </c>
      <c r="M1745" t="s">
        <v>295</v>
      </c>
      <c r="N1745" t="s">
        <v>296</v>
      </c>
      <c r="O1745" t="s">
        <v>297</v>
      </c>
    </row>
    <row r="1746" spans="1:15" x14ac:dyDescent="0.3">
      <c r="A1746" t="s">
        <v>2957</v>
      </c>
      <c r="B1746" t="s">
        <v>2958</v>
      </c>
      <c r="C1746">
        <v>2024</v>
      </c>
      <c r="D1746" t="s">
        <v>300</v>
      </c>
      <c r="E1746" t="s">
        <v>318</v>
      </c>
      <c r="F1746">
        <v>270.596</v>
      </c>
      <c r="G1746" t="s">
        <v>302</v>
      </c>
      <c r="H1746">
        <v>78</v>
      </c>
      <c r="I1746" t="s">
        <v>3023</v>
      </c>
      <c r="J1746" t="s">
        <v>294</v>
      </c>
      <c r="M1746" t="s">
        <v>295</v>
      </c>
      <c r="N1746" t="s">
        <v>296</v>
      </c>
      <c r="O1746" t="s">
        <v>297</v>
      </c>
    </row>
    <row r="1747" spans="1:15" x14ac:dyDescent="0.3">
      <c r="A1747" t="s">
        <v>2957</v>
      </c>
      <c r="B1747" t="s">
        <v>2958</v>
      </c>
      <c r="C1747">
        <v>2024</v>
      </c>
      <c r="D1747" t="s">
        <v>300</v>
      </c>
      <c r="E1747" t="s">
        <v>320</v>
      </c>
      <c r="F1747">
        <v>30.35</v>
      </c>
      <c r="G1747" t="s">
        <v>302</v>
      </c>
      <c r="H1747">
        <v>79</v>
      </c>
      <c r="I1747" t="s">
        <v>3024</v>
      </c>
      <c r="J1747" t="s">
        <v>294</v>
      </c>
      <c r="M1747" t="s">
        <v>295</v>
      </c>
      <c r="N1747" t="s">
        <v>296</v>
      </c>
      <c r="O1747" t="s">
        <v>297</v>
      </c>
    </row>
    <row r="1748" spans="1:15" x14ac:dyDescent="0.3">
      <c r="A1748" t="s">
        <v>2957</v>
      </c>
      <c r="B1748" t="s">
        <v>2958</v>
      </c>
      <c r="C1748">
        <v>2024</v>
      </c>
      <c r="D1748" t="s">
        <v>300</v>
      </c>
      <c r="E1748" t="s">
        <v>3025</v>
      </c>
      <c r="F1748">
        <v>65.094999999999999</v>
      </c>
      <c r="G1748" t="s">
        <v>302</v>
      </c>
      <c r="H1748">
        <v>78</v>
      </c>
      <c r="I1748" t="s">
        <v>3026</v>
      </c>
      <c r="J1748" t="s">
        <v>294</v>
      </c>
      <c r="M1748" t="s">
        <v>295</v>
      </c>
      <c r="N1748" t="s">
        <v>296</v>
      </c>
      <c r="O1748" t="s">
        <v>297</v>
      </c>
    </row>
    <row r="1749" spans="1:15" x14ac:dyDescent="0.3">
      <c r="A1749" t="s">
        <v>2957</v>
      </c>
      <c r="B1749" t="s">
        <v>2958</v>
      </c>
      <c r="C1749">
        <v>2024</v>
      </c>
      <c r="D1749" t="s">
        <v>300</v>
      </c>
      <c r="E1749" t="s">
        <v>599</v>
      </c>
      <c r="F1749">
        <v>181.05699999999999</v>
      </c>
      <c r="G1749" t="s">
        <v>302</v>
      </c>
      <c r="H1749">
        <v>78</v>
      </c>
      <c r="I1749" t="s">
        <v>3027</v>
      </c>
      <c r="J1749" t="s">
        <v>294</v>
      </c>
      <c r="M1749" t="s">
        <v>295</v>
      </c>
      <c r="N1749" t="s">
        <v>296</v>
      </c>
      <c r="O1749" t="s">
        <v>297</v>
      </c>
    </row>
    <row r="1750" spans="1:15" x14ac:dyDescent="0.3">
      <c r="A1750" t="s">
        <v>2957</v>
      </c>
      <c r="B1750" t="s">
        <v>2958</v>
      </c>
      <c r="C1750">
        <v>2024</v>
      </c>
      <c r="D1750" t="s">
        <v>300</v>
      </c>
      <c r="E1750" t="s">
        <v>3028</v>
      </c>
      <c r="F1750">
        <v>27.41</v>
      </c>
      <c r="G1750" t="s">
        <v>302</v>
      </c>
      <c r="H1750">
        <v>79</v>
      </c>
      <c r="I1750" t="s">
        <v>3029</v>
      </c>
      <c r="J1750" t="s">
        <v>294</v>
      </c>
      <c r="M1750" t="s">
        <v>295</v>
      </c>
      <c r="N1750" t="s">
        <v>296</v>
      </c>
      <c r="O1750" t="s">
        <v>297</v>
      </c>
    </row>
    <row r="1751" spans="1:15" x14ac:dyDescent="0.3">
      <c r="A1751" t="s">
        <v>2957</v>
      </c>
      <c r="B1751" t="s">
        <v>2958</v>
      </c>
      <c r="C1751">
        <v>2024</v>
      </c>
      <c r="D1751" t="s">
        <v>300</v>
      </c>
      <c r="E1751" t="s">
        <v>324</v>
      </c>
      <c r="F1751">
        <v>679.19100000000003</v>
      </c>
      <c r="G1751" t="s">
        <v>302</v>
      </c>
      <c r="H1751">
        <v>9</v>
      </c>
      <c r="I1751" t="s">
        <v>3030</v>
      </c>
      <c r="J1751" t="s">
        <v>294</v>
      </c>
      <c r="M1751" t="s">
        <v>295</v>
      </c>
      <c r="N1751" t="s">
        <v>296</v>
      </c>
      <c r="O1751" t="s">
        <v>297</v>
      </c>
    </row>
    <row r="1752" spans="1:15" x14ac:dyDescent="0.3">
      <c r="A1752" t="s">
        <v>2957</v>
      </c>
      <c r="B1752" t="s">
        <v>2958</v>
      </c>
      <c r="C1752">
        <v>2024</v>
      </c>
      <c r="D1752" t="s">
        <v>300</v>
      </c>
      <c r="E1752" t="s">
        <v>2918</v>
      </c>
      <c r="F1752">
        <v>556.42200000000003</v>
      </c>
      <c r="G1752" t="s">
        <v>302</v>
      </c>
      <c r="H1752">
        <v>80</v>
      </c>
      <c r="I1752" t="s">
        <v>3031</v>
      </c>
      <c r="J1752" t="s">
        <v>294</v>
      </c>
      <c r="M1752" t="s">
        <v>295</v>
      </c>
      <c r="N1752" t="s">
        <v>296</v>
      </c>
      <c r="O1752" t="s">
        <v>297</v>
      </c>
    </row>
    <row r="1753" spans="1:15" x14ac:dyDescent="0.3">
      <c r="A1753" t="s">
        <v>2957</v>
      </c>
      <c r="B1753" t="s">
        <v>2958</v>
      </c>
      <c r="C1753">
        <v>2024</v>
      </c>
      <c r="D1753" t="s">
        <v>300</v>
      </c>
      <c r="E1753" t="s">
        <v>2920</v>
      </c>
      <c r="F1753">
        <v>122.768</v>
      </c>
      <c r="G1753" t="s">
        <v>302</v>
      </c>
      <c r="H1753">
        <v>80</v>
      </c>
      <c r="I1753" t="s">
        <v>3032</v>
      </c>
      <c r="J1753" t="s">
        <v>294</v>
      </c>
      <c r="M1753" t="s">
        <v>295</v>
      </c>
      <c r="N1753" t="s">
        <v>296</v>
      </c>
      <c r="O1753" t="s">
        <v>297</v>
      </c>
    </row>
    <row r="1754" spans="1:15" x14ac:dyDescent="0.3">
      <c r="A1754" t="s">
        <v>2957</v>
      </c>
      <c r="B1754" t="s">
        <v>2958</v>
      </c>
      <c r="C1754">
        <v>2024</v>
      </c>
      <c r="D1754" t="s">
        <v>300</v>
      </c>
      <c r="E1754" t="s">
        <v>3033</v>
      </c>
      <c r="F1754">
        <v>250</v>
      </c>
      <c r="G1754" t="s">
        <v>302</v>
      </c>
      <c r="H1754">
        <v>79</v>
      </c>
      <c r="I1754" t="s">
        <v>3034</v>
      </c>
      <c r="J1754" t="s">
        <v>294</v>
      </c>
      <c r="M1754" t="s">
        <v>295</v>
      </c>
      <c r="N1754" t="s">
        <v>296</v>
      </c>
      <c r="O1754" t="s">
        <v>297</v>
      </c>
    </row>
    <row r="1755" spans="1:15" x14ac:dyDescent="0.3">
      <c r="A1755" t="s">
        <v>2957</v>
      </c>
      <c r="B1755" t="s">
        <v>2958</v>
      </c>
      <c r="C1755">
        <v>2024</v>
      </c>
      <c r="D1755" t="s">
        <v>300</v>
      </c>
      <c r="E1755" t="s">
        <v>3035</v>
      </c>
      <c r="F1755">
        <v>32.241</v>
      </c>
      <c r="G1755" t="s">
        <v>302</v>
      </c>
      <c r="H1755">
        <v>80</v>
      </c>
      <c r="I1755" t="s">
        <v>3036</v>
      </c>
      <c r="J1755" t="s">
        <v>294</v>
      </c>
      <c r="M1755" t="s">
        <v>295</v>
      </c>
      <c r="N1755" t="s">
        <v>296</v>
      </c>
      <c r="O1755" t="s">
        <v>297</v>
      </c>
    </row>
    <row r="1756" spans="1:15" x14ac:dyDescent="0.3">
      <c r="A1756" t="s">
        <v>2957</v>
      </c>
      <c r="B1756" t="s">
        <v>2958</v>
      </c>
      <c r="C1756">
        <v>2024</v>
      </c>
      <c r="D1756" t="s">
        <v>300</v>
      </c>
      <c r="E1756" t="s">
        <v>1235</v>
      </c>
      <c r="F1756">
        <v>149.13300000000001</v>
      </c>
      <c r="G1756" t="s">
        <v>302</v>
      </c>
      <c r="H1756">
        <v>80</v>
      </c>
      <c r="I1756" t="s">
        <v>3037</v>
      </c>
      <c r="J1756" t="s">
        <v>294</v>
      </c>
      <c r="M1756" t="s">
        <v>295</v>
      </c>
      <c r="N1756" t="s">
        <v>296</v>
      </c>
      <c r="O1756" t="s">
        <v>297</v>
      </c>
    </row>
    <row r="1757" spans="1:15" x14ac:dyDescent="0.3">
      <c r="A1757" t="s">
        <v>2957</v>
      </c>
      <c r="B1757" t="s">
        <v>2958</v>
      </c>
      <c r="C1757">
        <v>2024</v>
      </c>
      <c r="D1757" t="s">
        <v>300</v>
      </c>
      <c r="E1757" t="s">
        <v>3038</v>
      </c>
      <c r="F1757">
        <v>100.06</v>
      </c>
      <c r="G1757" t="s">
        <v>302</v>
      </c>
      <c r="H1757">
        <v>80</v>
      </c>
      <c r="I1757" t="s">
        <v>3039</v>
      </c>
      <c r="J1757" t="s">
        <v>294</v>
      </c>
      <c r="M1757" t="s">
        <v>295</v>
      </c>
      <c r="N1757" t="s">
        <v>296</v>
      </c>
      <c r="O1757" t="s">
        <v>297</v>
      </c>
    </row>
    <row r="1758" spans="1:15" x14ac:dyDescent="0.3">
      <c r="A1758" t="s">
        <v>2957</v>
      </c>
      <c r="B1758" t="s">
        <v>2958</v>
      </c>
      <c r="C1758">
        <v>2024</v>
      </c>
      <c r="D1758" t="s">
        <v>300</v>
      </c>
      <c r="E1758" t="s">
        <v>1162</v>
      </c>
      <c r="F1758">
        <v>1.5289999999999999</v>
      </c>
      <c r="G1758" t="s">
        <v>302</v>
      </c>
      <c r="H1758">
        <v>81</v>
      </c>
      <c r="I1758" t="s">
        <v>3040</v>
      </c>
      <c r="J1758" t="s">
        <v>294</v>
      </c>
      <c r="M1758" t="s">
        <v>295</v>
      </c>
      <c r="N1758" t="s">
        <v>296</v>
      </c>
      <c r="O1758" t="s">
        <v>297</v>
      </c>
    </row>
    <row r="1759" spans="1:15" x14ac:dyDescent="0.3">
      <c r="A1759" t="s">
        <v>2957</v>
      </c>
      <c r="B1759" t="s">
        <v>2958</v>
      </c>
      <c r="C1759">
        <v>2024</v>
      </c>
      <c r="D1759" t="s">
        <v>300</v>
      </c>
      <c r="E1759" t="s">
        <v>3041</v>
      </c>
      <c r="F1759">
        <v>-9.1199999999999992</v>
      </c>
      <c r="G1759" t="s">
        <v>302</v>
      </c>
      <c r="H1759">
        <v>81</v>
      </c>
      <c r="I1759" t="s">
        <v>3042</v>
      </c>
      <c r="J1759" t="s">
        <v>294</v>
      </c>
      <c r="M1759" t="s">
        <v>295</v>
      </c>
      <c r="N1759" t="s">
        <v>296</v>
      </c>
      <c r="O1759" t="s">
        <v>297</v>
      </c>
    </row>
    <row r="1760" spans="1:15" x14ac:dyDescent="0.3">
      <c r="A1760" t="s">
        <v>2957</v>
      </c>
      <c r="B1760" t="s">
        <v>2958</v>
      </c>
      <c r="C1760">
        <v>2024</v>
      </c>
      <c r="D1760" t="s">
        <v>300</v>
      </c>
      <c r="E1760" t="s">
        <v>3043</v>
      </c>
      <c r="F1760">
        <v>-8.343</v>
      </c>
      <c r="G1760" t="s">
        <v>302</v>
      </c>
      <c r="H1760">
        <v>83</v>
      </c>
      <c r="I1760" t="s">
        <v>3044</v>
      </c>
      <c r="J1760" t="s">
        <v>294</v>
      </c>
      <c r="M1760" t="s">
        <v>295</v>
      </c>
      <c r="N1760" t="s">
        <v>296</v>
      </c>
      <c r="O1760" t="s">
        <v>297</v>
      </c>
    </row>
    <row r="1761" spans="1:15" x14ac:dyDescent="0.3">
      <c r="A1761" t="s">
        <v>2957</v>
      </c>
      <c r="B1761" t="s">
        <v>2958</v>
      </c>
      <c r="C1761">
        <v>2024</v>
      </c>
      <c r="D1761" t="s">
        <v>300</v>
      </c>
      <c r="E1761" t="s">
        <v>3045</v>
      </c>
      <c r="F1761">
        <v>-144.09200000000001</v>
      </c>
      <c r="G1761" t="s">
        <v>302</v>
      </c>
      <c r="H1761">
        <v>83</v>
      </c>
      <c r="I1761" t="s">
        <v>3046</v>
      </c>
      <c r="J1761" t="s">
        <v>294</v>
      </c>
      <c r="M1761" t="s">
        <v>295</v>
      </c>
      <c r="N1761" t="s">
        <v>296</v>
      </c>
      <c r="O1761" t="s">
        <v>297</v>
      </c>
    </row>
    <row r="1762" spans="1:15" x14ac:dyDescent="0.3">
      <c r="A1762" t="s">
        <v>2957</v>
      </c>
      <c r="B1762" t="s">
        <v>2958</v>
      </c>
      <c r="C1762">
        <v>2024</v>
      </c>
      <c r="D1762" t="s">
        <v>300</v>
      </c>
      <c r="E1762" t="s">
        <v>3047</v>
      </c>
      <c r="F1762">
        <v>101.84399999999999</v>
      </c>
      <c r="G1762" t="s">
        <v>302</v>
      </c>
      <c r="H1762">
        <v>83</v>
      </c>
      <c r="I1762" t="s">
        <v>3048</v>
      </c>
      <c r="J1762" t="s">
        <v>294</v>
      </c>
      <c r="M1762" t="s">
        <v>295</v>
      </c>
      <c r="N1762" t="s">
        <v>296</v>
      </c>
      <c r="O1762" t="s">
        <v>297</v>
      </c>
    </row>
    <row r="1763" spans="1:15" x14ac:dyDescent="0.3">
      <c r="A1763" t="s">
        <v>2957</v>
      </c>
      <c r="B1763" t="s">
        <v>2958</v>
      </c>
      <c r="C1763">
        <v>2024</v>
      </c>
      <c r="D1763" t="s">
        <v>300</v>
      </c>
      <c r="E1763" t="s">
        <v>3049</v>
      </c>
      <c r="F1763">
        <v>27</v>
      </c>
      <c r="G1763" t="s">
        <v>346</v>
      </c>
      <c r="H1763">
        <v>9</v>
      </c>
      <c r="I1763" t="s">
        <v>3050</v>
      </c>
      <c r="J1763" t="s">
        <v>294</v>
      </c>
      <c r="M1763" t="s">
        <v>295</v>
      </c>
      <c r="N1763" t="s">
        <v>296</v>
      </c>
      <c r="O1763" t="s">
        <v>297</v>
      </c>
    </row>
    <row r="1764" spans="1:15" x14ac:dyDescent="0.3">
      <c r="A1764" t="s">
        <v>2957</v>
      </c>
      <c r="B1764" t="s">
        <v>2958</v>
      </c>
      <c r="C1764">
        <v>2024</v>
      </c>
      <c r="D1764" t="s">
        <v>300</v>
      </c>
      <c r="E1764" t="s">
        <v>326</v>
      </c>
      <c r="F1764">
        <v>2.1800000000000002</v>
      </c>
      <c r="G1764" t="s">
        <v>327</v>
      </c>
      <c r="H1764">
        <v>84</v>
      </c>
      <c r="I1764" t="s">
        <v>3051</v>
      </c>
      <c r="J1764" t="s">
        <v>294</v>
      </c>
      <c r="M1764" t="s">
        <v>295</v>
      </c>
      <c r="N1764" t="s">
        <v>296</v>
      </c>
      <c r="O1764" t="s">
        <v>297</v>
      </c>
    </row>
    <row r="1765" spans="1:15" x14ac:dyDescent="0.3">
      <c r="A1765" t="s">
        <v>2957</v>
      </c>
      <c r="B1765" t="s">
        <v>2958</v>
      </c>
      <c r="C1765">
        <v>2024</v>
      </c>
      <c r="D1765" t="s">
        <v>300</v>
      </c>
      <c r="E1765" t="s">
        <v>3052</v>
      </c>
      <c r="F1765">
        <v>8.0100000000000005E-2</v>
      </c>
      <c r="G1765" t="s">
        <v>334</v>
      </c>
      <c r="H1765">
        <v>84</v>
      </c>
      <c r="I1765" t="s">
        <v>3053</v>
      </c>
      <c r="J1765" t="s">
        <v>294</v>
      </c>
      <c r="M1765" t="s">
        <v>295</v>
      </c>
      <c r="N1765" t="s">
        <v>296</v>
      </c>
      <c r="O1765" t="s">
        <v>297</v>
      </c>
    </row>
    <row r="1766" spans="1:15" x14ac:dyDescent="0.3">
      <c r="A1766" t="s">
        <v>2957</v>
      </c>
      <c r="B1766" t="s">
        <v>2958</v>
      </c>
      <c r="C1766">
        <v>2024</v>
      </c>
      <c r="D1766" t="s">
        <v>300</v>
      </c>
      <c r="E1766" t="s">
        <v>3054</v>
      </c>
      <c r="F1766">
        <v>0.1157</v>
      </c>
      <c r="G1766" t="s">
        <v>334</v>
      </c>
      <c r="H1766">
        <v>84</v>
      </c>
      <c r="I1766" t="s">
        <v>3055</v>
      </c>
      <c r="J1766" t="s">
        <v>294</v>
      </c>
      <c r="M1766" t="s">
        <v>295</v>
      </c>
      <c r="N1766" t="s">
        <v>296</v>
      </c>
      <c r="O1766" t="s">
        <v>297</v>
      </c>
    </row>
    <row r="1767" spans="1:15" x14ac:dyDescent="0.3">
      <c r="A1767" t="s">
        <v>2957</v>
      </c>
      <c r="B1767" t="s">
        <v>2958</v>
      </c>
      <c r="C1767">
        <v>2024</v>
      </c>
      <c r="D1767" t="s">
        <v>300</v>
      </c>
      <c r="E1767" t="s">
        <v>730</v>
      </c>
      <c r="F1767">
        <v>0.19</v>
      </c>
      <c r="G1767" t="s">
        <v>327</v>
      </c>
      <c r="H1767">
        <v>84</v>
      </c>
      <c r="I1767" t="s">
        <v>3056</v>
      </c>
      <c r="J1767" t="s">
        <v>294</v>
      </c>
      <c r="M1767" t="s">
        <v>295</v>
      </c>
      <c r="N1767" t="s">
        <v>296</v>
      </c>
      <c r="O1767" t="s">
        <v>297</v>
      </c>
    </row>
    <row r="1768" spans="1:15" x14ac:dyDescent="0.3">
      <c r="A1768" t="s">
        <v>2957</v>
      </c>
      <c r="B1768" t="s">
        <v>2958</v>
      </c>
      <c r="C1768">
        <v>2024</v>
      </c>
      <c r="D1768" t="s">
        <v>300</v>
      </c>
      <c r="E1768" t="s">
        <v>728</v>
      </c>
      <c r="F1768">
        <v>0.28000000000000003</v>
      </c>
      <c r="G1768" t="s">
        <v>327</v>
      </c>
      <c r="H1768">
        <v>84</v>
      </c>
      <c r="I1768" t="s">
        <v>3057</v>
      </c>
      <c r="J1768" t="s">
        <v>294</v>
      </c>
      <c r="M1768" t="s">
        <v>295</v>
      </c>
      <c r="N1768" t="s">
        <v>296</v>
      </c>
      <c r="O1768" t="s">
        <v>297</v>
      </c>
    </row>
    <row r="1769" spans="1:15" x14ac:dyDescent="0.3">
      <c r="A1769" t="s">
        <v>2957</v>
      </c>
      <c r="B1769" t="s">
        <v>2958</v>
      </c>
      <c r="C1769">
        <v>2024</v>
      </c>
      <c r="D1769" t="s">
        <v>300</v>
      </c>
      <c r="E1769" t="s">
        <v>342</v>
      </c>
      <c r="F1769">
        <v>2500</v>
      </c>
      <c r="G1769" t="s">
        <v>1288</v>
      </c>
      <c r="H1769">
        <v>61</v>
      </c>
      <c r="I1769" t="s">
        <v>3058</v>
      </c>
      <c r="J1769" t="s">
        <v>294</v>
      </c>
      <c r="M1769" t="s">
        <v>295</v>
      </c>
      <c r="N1769" t="s">
        <v>296</v>
      </c>
      <c r="O1769" t="s">
        <v>297</v>
      </c>
    </row>
    <row r="1770" spans="1:15" x14ac:dyDescent="0.3">
      <c r="A1770" t="s">
        <v>2957</v>
      </c>
      <c r="B1770" t="s">
        <v>2958</v>
      </c>
      <c r="C1770">
        <v>2024</v>
      </c>
      <c r="D1770" t="s">
        <v>300</v>
      </c>
      <c r="E1770" t="s">
        <v>3059</v>
      </c>
      <c r="F1770">
        <v>302</v>
      </c>
      <c r="G1770" t="s">
        <v>346</v>
      </c>
      <c r="H1770">
        <v>11</v>
      </c>
      <c r="I1770" t="s">
        <v>3060</v>
      </c>
      <c r="J1770" t="s">
        <v>294</v>
      </c>
      <c r="M1770" t="s">
        <v>295</v>
      </c>
      <c r="N1770" t="s">
        <v>296</v>
      </c>
      <c r="O1770" t="s">
        <v>297</v>
      </c>
    </row>
    <row r="1771" spans="1:15" x14ac:dyDescent="0.3">
      <c r="A1771" t="s">
        <v>2957</v>
      </c>
      <c r="B1771" t="s">
        <v>2958</v>
      </c>
      <c r="C1771">
        <v>2024</v>
      </c>
      <c r="D1771" t="s">
        <v>300</v>
      </c>
      <c r="E1771" t="s">
        <v>3061</v>
      </c>
      <c r="F1771">
        <v>755</v>
      </c>
      <c r="G1771" t="s">
        <v>302</v>
      </c>
      <c r="H1771">
        <v>11</v>
      </c>
      <c r="I1771" t="s">
        <v>3062</v>
      </c>
      <c r="J1771" t="s">
        <v>294</v>
      </c>
      <c r="M1771" t="s">
        <v>295</v>
      </c>
      <c r="N1771" t="s">
        <v>296</v>
      </c>
      <c r="O1771" t="s">
        <v>297</v>
      </c>
    </row>
    <row r="1772" spans="1:15" x14ac:dyDescent="0.3">
      <c r="A1772" t="s">
        <v>2957</v>
      </c>
      <c r="B1772" t="s">
        <v>2958</v>
      </c>
      <c r="C1772">
        <v>2024</v>
      </c>
      <c r="D1772" t="s">
        <v>300</v>
      </c>
      <c r="E1772" t="s">
        <v>3063</v>
      </c>
      <c r="F1772">
        <v>0.57999999999999996</v>
      </c>
      <c r="G1772" t="s">
        <v>302</v>
      </c>
      <c r="H1772">
        <v>65</v>
      </c>
      <c r="I1772" t="s">
        <v>3064</v>
      </c>
      <c r="J1772" t="s">
        <v>294</v>
      </c>
      <c r="M1772" t="s">
        <v>295</v>
      </c>
      <c r="N1772" t="s">
        <v>296</v>
      </c>
      <c r="O1772" t="s">
        <v>297</v>
      </c>
    </row>
    <row r="1773" spans="1:15" x14ac:dyDescent="0.3">
      <c r="A1773" t="s">
        <v>2957</v>
      </c>
      <c r="B1773" t="s">
        <v>2958</v>
      </c>
      <c r="C1773">
        <v>2024</v>
      </c>
      <c r="D1773" t="s">
        <v>394</v>
      </c>
      <c r="E1773" t="s">
        <v>3065</v>
      </c>
      <c r="F1773">
        <v>8314403</v>
      </c>
      <c r="G1773" t="s">
        <v>3066</v>
      </c>
      <c r="H1773">
        <v>19</v>
      </c>
      <c r="I1773" t="s">
        <v>3067</v>
      </c>
      <c r="J1773" t="s">
        <v>294</v>
      </c>
      <c r="M1773" t="s">
        <v>295</v>
      </c>
      <c r="N1773" t="s">
        <v>296</v>
      </c>
      <c r="O1773" t="s">
        <v>297</v>
      </c>
    </row>
    <row r="1774" spans="1:15" x14ac:dyDescent="0.3">
      <c r="A1774" t="s">
        <v>2957</v>
      </c>
      <c r="B1774" t="s">
        <v>2958</v>
      </c>
      <c r="C1774">
        <v>2024</v>
      </c>
      <c r="D1774" t="s">
        <v>394</v>
      </c>
      <c r="E1774" t="s">
        <v>3068</v>
      </c>
      <c r="F1774">
        <v>9200</v>
      </c>
      <c r="G1774" t="s">
        <v>1453</v>
      </c>
      <c r="H1774">
        <v>33</v>
      </c>
      <c r="I1774" t="s">
        <v>3069</v>
      </c>
      <c r="J1774" t="s">
        <v>294</v>
      </c>
      <c r="M1774" t="s">
        <v>295</v>
      </c>
      <c r="N1774" t="s">
        <v>296</v>
      </c>
      <c r="O1774" t="s">
        <v>297</v>
      </c>
    </row>
    <row r="1775" spans="1:15" x14ac:dyDescent="0.3">
      <c r="A1775" t="s">
        <v>2957</v>
      </c>
      <c r="B1775" t="s">
        <v>2958</v>
      </c>
      <c r="C1775">
        <v>2024</v>
      </c>
      <c r="D1775" t="s">
        <v>394</v>
      </c>
      <c r="E1775" t="s">
        <v>3070</v>
      </c>
      <c r="F1775">
        <v>3</v>
      </c>
      <c r="G1775" t="s">
        <v>384</v>
      </c>
      <c r="H1775">
        <v>33</v>
      </c>
      <c r="I1775" t="s">
        <v>3071</v>
      </c>
      <c r="J1775" t="s">
        <v>294</v>
      </c>
      <c r="M1775" t="s">
        <v>295</v>
      </c>
      <c r="N1775" t="s">
        <v>296</v>
      </c>
      <c r="O1775" t="s">
        <v>297</v>
      </c>
    </row>
    <row r="1776" spans="1:15" x14ac:dyDescent="0.3">
      <c r="A1776" t="s">
        <v>2957</v>
      </c>
      <c r="B1776" t="s">
        <v>2958</v>
      </c>
      <c r="C1776">
        <v>2024</v>
      </c>
      <c r="D1776" t="s">
        <v>394</v>
      </c>
      <c r="E1776" t="s">
        <v>3072</v>
      </c>
      <c r="F1776">
        <v>801.35599999999999</v>
      </c>
      <c r="G1776" t="s">
        <v>302</v>
      </c>
      <c r="H1776">
        <v>75</v>
      </c>
      <c r="I1776" t="s">
        <v>3073</v>
      </c>
      <c r="J1776" t="s">
        <v>294</v>
      </c>
      <c r="M1776" t="s">
        <v>295</v>
      </c>
      <c r="N1776" t="s">
        <v>296</v>
      </c>
      <c r="O1776" t="s">
        <v>297</v>
      </c>
    </row>
    <row r="1777" spans="1:15" x14ac:dyDescent="0.3">
      <c r="A1777" t="s">
        <v>2957</v>
      </c>
      <c r="B1777" t="s">
        <v>2958</v>
      </c>
      <c r="C1777">
        <v>2024</v>
      </c>
      <c r="D1777" t="s">
        <v>394</v>
      </c>
      <c r="E1777" t="s">
        <v>3074</v>
      </c>
      <c r="F1777">
        <v>571.96900000000005</v>
      </c>
      <c r="G1777" t="s">
        <v>302</v>
      </c>
      <c r="H1777">
        <v>75</v>
      </c>
      <c r="I1777" t="s">
        <v>3075</v>
      </c>
      <c r="J1777" t="s">
        <v>294</v>
      </c>
      <c r="M1777" t="s">
        <v>295</v>
      </c>
      <c r="N1777" t="s">
        <v>296</v>
      </c>
      <c r="O1777" t="s">
        <v>297</v>
      </c>
    </row>
    <row r="1778" spans="1:15" x14ac:dyDescent="0.3">
      <c r="A1778" t="s">
        <v>2957</v>
      </c>
      <c r="B1778" t="s">
        <v>2958</v>
      </c>
      <c r="C1778">
        <v>2024</v>
      </c>
      <c r="D1778" t="s">
        <v>394</v>
      </c>
      <c r="E1778" t="s">
        <v>3076</v>
      </c>
      <c r="F1778">
        <v>71.072999999999993</v>
      </c>
      <c r="G1778" t="s">
        <v>302</v>
      </c>
      <c r="H1778">
        <v>75</v>
      </c>
      <c r="I1778" t="s">
        <v>3077</v>
      </c>
      <c r="J1778" t="s">
        <v>294</v>
      </c>
      <c r="M1778" t="s">
        <v>295</v>
      </c>
      <c r="N1778" t="s">
        <v>296</v>
      </c>
      <c r="O1778" t="s">
        <v>297</v>
      </c>
    </row>
    <row r="1779" spans="1:15" x14ac:dyDescent="0.3">
      <c r="A1779" t="s">
        <v>2957</v>
      </c>
      <c r="B1779" t="s">
        <v>2958</v>
      </c>
      <c r="C1779">
        <v>2024</v>
      </c>
      <c r="D1779" t="s">
        <v>394</v>
      </c>
      <c r="E1779" t="s">
        <v>3078</v>
      </c>
      <c r="F1779">
        <v>1294.0650000000001</v>
      </c>
      <c r="G1779" t="s">
        <v>302</v>
      </c>
      <c r="H1779">
        <v>72</v>
      </c>
      <c r="I1779" t="s">
        <v>3079</v>
      </c>
      <c r="J1779" t="s">
        <v>294</v>
      </c>
      <c r="M1779" t="s">
        <v>295</v>
      </c>
      <c r="N1779" t="s">
        <v>296</v>
      </c>
      <c r="O1779" t="s">
        <v>297</v>
      </c>
    </row>
    <row r="1780" spans="1:15" x14ac:dyDescent="0.3">
      <c r="A1780" t="s">
        <v>2957</v>
      </c>
      <c r="B1780" t="s">
        <v>2958</v>
      </c>
      <c r="C1780">
        <v>2024</v>
      </c>
      <c r="D1780" t="s">
        <v>394</v>
      </c>
      <c r="E1780" t="s">
        <v>3080</v>
      </c>
      <c r="F1780">
        <v>150.334</v>
      </c>
      <c r="G1780" t="s">
        <v>302</v>
      </c>
      <c r="H1780">
        <v>72</v>
      </c>
      <c r="I1780" t="s">
        <v>3081</v>
      </c>
      <c r="J1780" t="s">
        <v>294</v>
      </c>
      <c r="M1780" t="s">
        <v>295</v>
      </c>
      <c r="N1780" t="s">
        <v>296</v>
      </c>
      <c r="O1780" t="s">
        <v>297</v>
      </c>
    </row>
    <row r="1781" spans="1:15" x14ac:dyDescent="0.3">
      <c r="A1781" t="s">
        <v>2957</v>
      </c>
      <c r="B1781" t="s">
        <v>2958</v>
      </c>
      <c r="C1781">
        <v>2024</v>
      </c>
      <c r="D1781" t="s">
        <v>394</v>
      </c>
      <c r="E1781" t="s">
        <v>559</v>
      </c>
      <c r="F1781">
        <v>0.89600000000000002</v>
      </c>
      <c r="G1781" t="s">
        <v>334</v>
      </c>
      <c r="H1781">
        <v>72</v>
      </c>
      <c r="I1781" t="s">
        <v>3082</v>
      </c>
      <c r="J1781" t="s">
        <v>294</v>
      </c>
      <c r="M1781" t="s">
        <v>295</v>
      </c>
      <c r="N1781" t="s">
        <v>296</v>
      </c>
      <c r="O1781" t="s">
        <v>297</v>
      </c>
    </row>
    <row r="1782" spans="1:15" x14ac:dyDescent="0.3">
      <c r="A1782" t="s">
        <v>2957</v>
      </c>
      <c r="B1782" t="s">
        <v>2958</v>
      </c>
      <c r="C1782">
        <v>2024</v>
      </c>
      <c r="D1782" t="s">
        <v>394</v>
      </c>
      <c r="E1782" t="s">
        <v>561</v>
      </c>
      <c r="F1782">
        <v>0.104</v>
      </c>
      <c r="G1782" t="s">
        <v>334</v>
      </c>
      <c r="H1782">
        <v>72</v>
      </c>
      <c r="I1782" t="s">
        <v>3083</v>
      </c>
      <c r="J1782" t="s">
        <v>294</v>
      </c>
      <c r="M1782" t="s">
        <v>295</v>
      </c>
      <c r="N1782" t="s">
        <v>296</v>
      </c>
      <c r="O1782" t="s">
        <v>297</v>
      </c>
    </row>
    <row r="1783" spans="1:15" x14ac:dyDescent="0.3">
      <c r="A1783" t="s">
        <v>2957</v>
      </c>
      <c r="B1783" t="s">
        <v>2958</v>
      </c>
      <c r="C1783">
        <v>2024</v>
      </c>
      <c r="D1783" t="s">
        <v>394</v>
      </c>
      <c r="E1783" t="s">
        <v>3084</v>
      </c>
      <c r="F1783">
        <v>7</v>
      </c>
      <c r="G1783" t="s">
        <v>384</v>
      </c>
      <c r="H1783">
        <v>25</v>
      </c>
      <c r="I1783" t="s">
        <v>3085</v>
      </c>
      <c r="J1783" t="s">
        <v>294</v>
      </c>
      <c r="M1783" t="s">
        <v>295</v>
      </c>
      <c r="N1783" t="s">
        <v>296</v>
      </c>
      <c r="O1783" t="s">
        <v>297</v>
      </c>
    </row>
    <row r="1784" spans="1:15" x14ac:dyDescent="0.3">
      <c r="A1784" t="s">
        <v>2957</v>
      </c>
      <c r="B1784" t="s">
        <v>2958</v>
      </c>
      <c r="C1784">
        <v>2024</v>
      </c>
      <c r="D1784" t="s">
        <v>358</v>
      </c>
      <c r="E1784" t="s">
        <v>3086</v>
      </c>
      <c r="F1784">
        <v>2.2999999999999998</v>
      </c>
      <c r="G1784" t="s">
        <v>360</v>
      </c>
      <c r="H1784">
        <v>78</v>
      </c>
      <c r="I1784" t="s">
        <v>3087</v>
      </c>
      <c r="J1784" t="s">
        <v>294</v>
      </c>
      <c r="M1784" t="s">
        <v>295</v>
      </c>
      <c r="N1784" t="s">
        <v>296</v>
      </c>
      <c r="O1784" t="s">
        <v>297</v>
      </c>
    </row>
    <row r="1785" spans="1:15" x14ac:dyDescent="0.3">
      <c r="A1785" t="s">
        <v>2957</v>
      </c>
      <c r="B1785" t="s">
        <v>2958</v>
      </c>
      <c r="C1785">
        <v>2024</v>
      </c>
      <c r="D1785" t="s">
        <v>358</v>
      </c>
      <c r="E1785" t="s">
        <v>3088</v>
      </c>
      <c r="F1785">
        <v>0.89</v>
      </c>
      <c r="G1785" t="s">
        <v>334</v>
      </c>
      <c r="H1785">
        <v>62</v>
      </c>
      <c r="I1785" t="s">
        <v>3089</v>
      </c>
      <c r="J1785" t="s">
        <v>294</v>
      </c>
      <c r="M1785" t="s">
        <v>295</v>
      </c>
      <c r="N1785" t="s">
        <v>296</v>
      </c>
      <c r="O1785" t="s">
        <v>297</v>
      </c>
    </row>
    <row r="1786" spans="1:15" x14ac:dyDescent="0.3">
      <c r="A1786" t="s">
        <v>2957</v>
      </c>
      <c r="B1786" t="s">
        <v>2958</v>
      </c>
      <c r="C1786">
        <v>2024</v>
      </c>
      <c r="D1786" t="s">
        <v>358</v>
      </c>
      <c r="E1786" t="s">
        <v>3090</v>
      </c>
      <c r="F1786">
        <v>0.32500000000000001</v>
      </c>
      <c r="G1786" t="s">
        <v>334</v>
      </c>
      <c r="H1786">
        <v>63</v>
      </c>
      <c r="I1786" t="s">
        <v>3091</v>
      </c>
      <c r="J1786" t="s">
        <v>294</v>
      </c>
      <c r="M1786" t="s">
        <v>295</v>
      </c>
      <c r="N1786" t="s">
        <v>296</v>
      </c>
      <c r="O1786" t="s">
        <v>297</v>
      </c>
    </row>
    <row r="1787" spans="1:15" x14ac:dyDescent="0.3">
      <c r="A1787" t="s">
        <v>2957</v>
      </c>
      <c r="B1787" t="s">
        <v>2958</v>
      </c>
      <c r="C1787">
        <v>2024</v>
      </c>
      <c r="D1787" t="s">
        <v>358</v>
      </c>
      <c r="E1787" t="s">
        <v>3092</v>
      </c>
      <c r="F1787">
        <v>0.8</v>
      </c>
      <c r="G1787" t="s">
        <v>334</v>
      </c>
      <c r="H1787">
        <v>63</v>
      </c>
      <c r="I1787" t="s">
        <v>3093</v>
      </c>
      <c r="J1787" t="s">
        <v>294</v>
      </c>
      <c r="M1787" t="s">
        <v>295</v>
      </c>
      <c r="N1787" t="s">
        <v>296</v>
      </c>
      <c r="O1787" t="s">
        <v>297</v>
      </c>
    </row>
    <row r="1788" spans="1:15" x14ac:dyDescent="0.3">
      <c r="A1788" t="s">
        <v>2957</v>
      </c>
      <c r="B1788" t="s">
        <v>2958</v>
      </c>
      <c r="C1788">
        <v>2024</v>
      </c>
      <c r="D1788" t="s">
        <v>358</v>
      </c>
      <c r="E1788" t="s">
        <v>3094</v>
      </c>
      <c r="F1788">
        <v>0.99</v>
      </c>
      <c r="G1788" t="s">
        <v>334</v>
      </c>
      <c r="H1788">
        <v>63</v>
      </c>
      <c r="I1788" t="s">
        <v>3095</v>
      </c>
      <c r="J1788" t="s">
        <v>294</v>
      </c>
      <c r="M1788" t="s">
        <v>295</v>
      </c>
      <c r="N1788" t="s">
        <v>296</v>
      </c>
      <c r="O1788" t="s">
        <v>297</v>
      </c>
    </row>
    <row r="1789" spans="1:15" x14ac:dyDescent="0.3">
      <c r="A1789" t="s">
        <v>2957</v>
      </c>
      <c r="B1789" t="s">
        <v>2958</v>
      </c>
      <c r="C1789">
        <v>2024</v>
      </c>
      <c r="D1789" t="s">
        <v>358</v>
      </c>
      <c r="E1789" t="s">
        <v>3096</v>
      </c>
      <c r="F1789">
        <v>1</v>
      </c>
      <c r="G1789" t="s">
        <v>334</v>
      </c>
      <c r="H1789">
        <v>63</v>
      </c>
      <c r="I1789" t="s">
        <v>3097</v>
      </c>
      <c r="J1789" t="s">
        <v>294</v>
      </c>
      <c r="M1789" t="s">
        <v>295</v>
      </c>
      <c r="N1789" t="s">
        <v>296</v>
      </c>
      <c r="O1789" t="s">
        <v>297</v>
      </c>
    </row>
    <row r="1790" spans="1:15" x14ac:dyDescent="0.3">
      <c r="A1790" t="s">
        <v>2957</v>
      </c>
      <c r="B1790" t="s">
        <v>2958</v>
      </c>
      <c r="C1790">
        <v>2024</v>
      </c>
      <c r="D1790" t="s">
        <v>252</v>
      </c>
      <c r="E1790" t="s">
        <v>3098</v>
      </c>
      <c r="F1790" t="s">
        <v>3099</v>
      </c>
      <c r="G1790" t="s">
        <v>292</v>
      </c>
      <c r="H1790">
        <v>33</v>
      </c>
      <c r="I1790" t="s">
        <v>3100</v>
      </c>
      <c r="J1790" t="s">
        <v>294</v>
      </c>
      <c r="M1790" t="s">
        <v>295</v>
      </c>
      <c r="N1790" t="s">
        <v>296</v>
      </c>
      <c r="O1790" t="s">
        <v>297</v>
      </c>
    </row>
    <row r="1791" spans="1:15" x14ac:dyDescent="0.3">
      <c r="A1791" t="s">
        <v>2957</v>
      </c>
      <c r="B1791" t="s">
        <v>2958</v>
      </c>
      <c r="C1791">
        <v>2024</v>
      </c>
      <c r="D1791" t="s">
        <v>252</v>
      </c>
      <c r="E1791" t="s">
        <v>3101</v>
      </c>
      <c r="F1791" t="s">
        <v>3102</v>
      </c>
      <c r="G1791" t="s">
        <v>292</v>
      </c>
      <c r="H1791">
        <v>41</v>
      </c>
      <c r="I1791" t="s">
        <v>3103</v>
      </c>
      <c r="J1791" t="s">
        <v>294</v>
      </c>
      <c r="M1791" t="s">
        <v>295</v>
      </c>
      <c r="N1791" t="s">
        <v>296</v>
      </c>
      <c r="O1791" t="s">
        <v>297</v>
      </c>
    </row>
    <row r="1792" spans="1:15" x14ac:dyDescent="0.3">
      <c r="A1792" t="s">
        <v>2957</v>
      </c>
      <c r="B1792" t="s">
        <v>2958</v>
      </c>
      <c r="C1792">
        <v>2024</v>
      </c>
      <c r="D1792" t="s">
        <v>252</v>
      </c>
      <c r="E1792" t="s">
        <v>3104</v>
      </c>
      <c r="F1792" t="s">
        <v>3105</v>
      </c>
      <c r="G1792" t="s">
        <v>292</v>
      </c>
      <c r="H1792">
        <v>44</v>
      </c>
      <c r="I1792" t="s">
        <v>3106</v>
      </c>
      <c r="J1792" t="s">
        <v>294</v>
      </c>
      <c r="M1792" t="s">
        <v>295</v>
      </c>
      <c r="N1792" t="s">
        <v>296</v>
      </c>
      <c r="O1792" t="s">
        <v>297</v>
      </c>
    </row>
    <row r="1793" spans="1:15" x14ac:dyDescent="0.3">
      <c r="A1793" t="s">
        <v>2957</v>
      </c>
      <c r="B1793" t="s">
        <v>2958</v>
      </c>
      <c r="C1793">
        <v>2024</v>
      </c>
      <c r="D1793" t="s">
        <v>252</v>
      </c>
      <c r="E1793" t="s">
        <v>3107</v>
      </c>
      <c r="F1793" t="s">
        <v>3108</v>
      </c>
      <c r="G1793" t="s">
        <v>292</v>
      </c>
      <c r="H1793">
        <v>44</v>
      </c>
      <c r="I1793" t="s">
        <v>3109</v>
      </c>
      <c r="J1793" t="s">
        <v>294</v>
      </c>
      <c r="M1793" t="s">
        <v>295</v>
      </c>
      <c r="N1793" t="s">
        <v>296</v>
      </c>
      <c r="O1793" t="s">
        <v>297</v>
      </c>
    </row>
    <row r="1794" spans="1:15" x14ac:dyDescent="0.3">
      <c r="A1794" t="s">
        <v>2957</v>
      </c>
      <c r="B1794" t="s">
        <v>2958</v>
      </c>
      <c r="C1794">
        <v>2024</v>
      </c>
      <c r="D1794" t="s">
        <v>252</v>
      </c>
      <c r="E1794" t="s">
        <v>3110</v>
      </c>
      <c r="F1794" t="s">
        <v>3111</v>
      </c>
      <c r="G1794" t="s">
        <v>292</v>
      </c>
      <c r="H1794">
        <v>44</v>
      </c>
      <c r="I1794" t="s">
        <v>3112</v>
      </c>
      <c r="J1794" t="s">
        <v>294</v>
      </c>
      <c r="M1794" t="s">
        <v>295</v>
      </c>
      <c r="N1794" t="s">
        <v>296</v>
      </c>
      <c r="O1794" t="s">
        <v>297</v>
      </c>
    </row>
    <row r="1795" spans="1:15" x14ac:dyDescent="0.3">
      <c r="A1795" t="s">
        <v>2957</v>
      </c>
      <c r="B1795" t="s">
        <v>2958</v>
      </c>
      <c r="C1795">
        <v>2024</v>
      </c>
      <c r="D1795" t="s">
        <v>252</v>
      </c>
      <c r="E1795" t="s">
        <v>3113</v>
      </c>
      <c r="F1795">
        <v>1587</v>
      </c>
      <c r="G1795" t="s">
        <v>302</v>
      </c>
      <c r="H1795">
        <v>84</v>
      </c>
      <c r="I1795" t="s">
        <v>3114</v>
      </c>
      <c r="J1795" t="s">
        <v>294</v>
      </c>
      <c r="M1795" t="s">
        <v>295</v>
      </c>
      <c r="N1795" t="s">
        <v>296</v>
      </c>
      <c r="O1795" t="s">
        <v>297</v>
      </c>
    </row>
    <row r="1796" spans="1:15" x14ac:dyDescent="0.3">
      <c r="A1796" t="s">
        <v>2957</v>
      </c>
      <c r="B1796" t="s">
        <v>2958</v>
      </c>
      <c r="C1796">
        <v>2024</v>
      </c>
      <c r="D1796" t="s">
        <v>252</v>
      </c>
      <c r="E1796" t="s">
        <v>3115</v>
      </c>
      <c r="F1796">
        <v>85.7</v>
      </c>
      <c r="G1796" t="s">
        <v>302</v>
      </c>
      <c r="H1796">
        <v>84</v>
      </c>
      <c r="I1796" t="s">
        <v>3116</v>
      </c>
      <c r="J1796" t="s">
        <v>294</v>
      </c>
      <c r="M1796" t="s">
        <v>295</v>
      </c>
      <c r="N1796" t="s">
        <v>296</v>
      </c>
      <c r="O1796" t="s">
        <v>297</v>
      </c>
    </row>
    <row r="1797" spans="1:15" x14ac:dyDescent="0.3">
      <c r="A1797" t="s">
        <v>2957</v>
      </c>
      <c r="B1797" t="s">
        <v>2958</v>
      </c>
      <c r="C1797">
        <v>2024</v>
      </c>
      <c r="D1797" t="s">
        <v>272</v>
      </c>
      <c r="E1797" t="s">
        <v>3117</v>
      </c>
      <c r="F1797" t="s">
        <v>3118</v>
      </c>
      <c r="G1797" t="s">
        <v>292</v>
      </c>
      <c r="H1797">
        <v>65</v>
      </c>
      <c r="I1797" t="s">
        <v>3119</v>
      </c>
      <c r="J1797" t="s">
        <v>294</v>
      </c>
      <c r="M1797" t="s">
        <v>295</v>
      </c>
      <c r="N1797" t="s">
        <v>296</v>
      </c>
      <c r="O1797" t="s">
        <v>297</v>
      </c>
    </row>
    <row r="1798" spans="1:15" x14ac:dyDescent="0.3">
      <c r="A1798" t="s">
        <v>2957</v>
      </c>
      <c r="B1798" t="s">
        <v>2958</v>
      </c>
      <c r="C1798">
        <v>2024</v>
      </c>
      <c r="D1798" t="s">
        <v>563</v>
      </c>
      <c r="E1798" t="s">
        <v>3120</v>
      </c>
      <c r="F1798" t="s">
        <v>3121</v>
      </c>
      <c r="G1798" t="s">
        <v>292</v>
      </c>
      <c r="H1798">
        <v>12</v>
      </c>
      <c r="I1798" t="s">
        <v>3122</v>
      </c>
      <c r="J1798" t="s">
        <v>294</v>
      </c>
      <c r="M1798" t="s">
        <v>295</v>
      </c>
      <c r="N1798" t="s">
        <v>296</v>
      </c>
      <c r="O1798" t="s">
        <v>297</v>
      </c>
    </row>
    <row r="1799" spans="1:15" x14ac:dyDescent="0.3">
      <c r="A1799" t="s">
        <v>2957</v>
      </c>
      <c r="B1799" t="s">
        <v>2958</v>
      </c>
      <c r="C1799">
        <v>2024</v>
      </c>
      <c r="D1799" t="s">
        <v>563</v>
      </c>
      <c r="E1799" t="s">
        <v>3123</v>
      </c>
      <c r="F1799" t="s">
        <v>3124</v>
      </c>
      <c r="G1799" t="s">
        <v>292</v>
      </c>
      <c r="H1799">
        <v>13</v>
      </c>
      <c r="I1799" t="s">
        <v>3125</v>
      </c>
      <c r="J1799" t="s">
        <v>294</v>
      </c>
      <c r="M1799" t="s">
        <v>295</v>
      </c>
      <c r="N1799" t="s">
        <v>296</v>
      </c>
      <c r="O1799" t="s">
        <v>297</v>
      </c>
    </row>
    <row r="1800" spans="1:15" x14ac:dyDescent="0.3">
      <c r="A1800" t="s">
        <v>2957</v>
      </c>
      <c r="B1800" t="s">
        <v>2958</v>
      </c>
      <c r="C1800">
        <v>2024</v>
      </c>
      <c r="D1800" t="s">
        <v>563</v>
      </c>
      <c r="E1800" t="s">
        <v>3126</v>
      </c>
      <c r="F1800" t="s">
        <v>3127</v>
      </c>
      <c r="G1800" t="s">
        <v>292</v>
      </c>
      <c r="H1800">
        <v>12</v>
      </c>
      <c r="I1800" t="s">
        <v>3128</v>
      </c>
      <c r="J1800" t="s">
        <v>294</v>
      </c>
      <c r="M1800" t="s">
        <v>295</v>
      </c>
      <c r="N1800" t="s">
        <v>296</v>
      </c>
      <c r="O1800" t="s">
        <v>297</v>
      </c>
    </row>
    <row r="1801" spans="1:15" x14ac:dyDescent="0.3">
      <c r="A1801" t="s">
        <v>3129</v>
      </c>
      <c r="B1801" t="s">
        <v>3130</v>
      </c>
      <c r="C1801">
        <v>2022</v>
      </c>
      <c r="D1801" t="s">
        <v>272</v>
      </c>
      <c r="E1801" t="s">
        <v>291</v>
      </c>
      <c r="F1801" t="s">
        <v>3129</v>
      </c>
      <c r="G1801" t="s">
        <v>292</v>
      </c>
      <c r="H1801">
        <v>29</v>
      </c>
      <c r="I1801" t="s">
        <v>3131</v>
      </c>
      <c r="J1801" t="s">
        <v>294</v>
      </c>
      <c r="M1801" t="s">
        <v>295</v>
      </c>
      <c r="N1801" t="s">
        <v>296</v>
      </c>
      <c r="O1801" t="s">
        <v>297</v>
      </c>
    </row>
    <row r="1802" spans="1:15" x14ac:dyDescent="0.3">
      <c r="A1802" t="s">
        <v>3129</v>
      </c>
      <c r="B1802" t="s">
        <v>3130</v>
      </c>
      <c r="C1802">
        <v>2022</v>
      </c>
      <c r="D1802" t="s">
        <v>272</v>
      </c>
      <c r="E1802" t="s">
        <v>442</v>
      </c>
      <c r="F1802" t="s">
        <v>3132</v>
      </c>
      <c r="G1802" t="s">
        <v>334</v>
      </c>
      <c r="H1802">
        <v>10</v>
      </c>
      <c r="I1802" t="s">
        <v>3133</v>
      </c>
      <c r="J1802" t="s">
        <v>294</v>
      </c>
      <c r="M1802" t="s">
        <v>295</v>
      </c>
      <c r="N1802" t="s">
        <v>296</v>
      </c>
      <c r="O1802" t="s">
        <v>297</v>
      </c>
    </row>
    <row r="1803" spans="1:15" x14ac:dyDescent="0.3">
      <c r="A1803" t="s">
        <v>3129</v>
      </c>
      <c r="B1803" t="s">
        <v>3130</v>
      </c>
      <c r="C1803">
        <v>2022</v>
      </c>
      <c r="D1803" t="s">
        <v>272</v>
      </c>
      <c r="E1803" t="s">
        <v>3134</v>
      </c>
      <c r="F1803" t="s">
        <v>3135</v>
      </c>
      <c r="G1803" t="s">
        <v>334</v>
      </c>
      <c r="H1803">
        <v>10</v>
      </c>
      <c r="I1803" t="s">
        <v>3136</v>
      </c>
      <c r="J1803" t="s">
        <v>294</v>
      </c>
      <c r="M1803" t="s">
        <v>295</v>
      </c>
      <c r="N1803" t="s">
        <v>296</v>
      </c>
      <c r="O1803" t="s">
        <v>297</v>
      </c>
    </row>
    <row r="1804" spans="1:15" x14ac:dyDescent="0.3">
      <c r="A1804" t="s">
        <v>3129</v>
      </c>
      <c r="B1804" t="s">
        <v>3130</v>
      </c>
      <c r="C1804">
        <v>2022</v>
      </c>
      <c r="D1804" t="s">
        <v>272</v>
      </c>
      <c r="E1804" t="s">
        <v>3137</v>
      </c>
      <c r="F1804">
        <v>7.8399999999999997E-2</v>
      </c>
      <c r="G1804" t="s">
        <v>334</v>
      </c>
      <c r="H1804">
        <v>10</v>
      </c>
      <c r="I1804" t="s">
        <v>3138</v>
      </c>
      <c r="J1804" t="s">
        <v>294</v>
      </c>
      <c r="M1804" t="s">
        <v>295</v>
      </c>
      <c r="N1804" t="s">
        <v>296</v>
      </c>
      <c r="O1804" t="s">
        <v>297</v>
      </c>
    </row>
    <row r="1805" spans="1:15" x14ac:dyDescent="0.3">
      <c r="A1805" t="s">
        <v>3129</v>
      </c>
      <c r="B1805" t="s">
        <v>3130</v>
      </c>
      <c r="C1805">
        <v>2022</v>
      </c>
      <c r="D1805" t="s">
        <v>272</v>
      </c>
      <c r="E1805" t="s">
        <v>445</v>
      </c>
      <c r="F1805">
        <v>0.2727</v>
      </c>
      <c r="G1805" t="s">
        <v>334</v>
      </c>
      <c r="H1805">
        <v>10</v>
      </c>
      <c r="I1805" t="s">
        <v>3139</v>
      </c>
      <c r="J1805" t="s">
        <v>294</v>
      </c>
      <c r="M1805" t="s">
        <v>295</v>
      </c>
      <c r="N1805" t="s">
        <v>296</v>
      </c>
      <c r="O1805" t="s">
        <v>297</v>
      </c>
    </row>
    <row r="1806" spans="1:15" x14ac:dyDescent="0.3">
      <c r="A1806" t="s">
        <v>3129</v>
      </c>
      <c r="B1806" t="s">
        <v>3130</v>
      </c>
      <c r="C1806">
        <v>2022</v>
      </c>
      <c r="D1806" t="s">
        <v>272</v>
      </c>
      <c r="E1806" t="s">
        <v>3140</v>
      </c>
      <c r="F1806">
        <v>17861</v>
      </c>
      <c r="G1806" t="s">
        <v>384</v>
      </c>
      <c r="H1806">
        <v>10</v>
      </c>
      <c r="I1806" t="s">
        <v>3141</v>
      </c>
      <c r="J1806" t="s">
        <v>294</v>
      </c>
      <c r="M1806" t="s">
        <v>295</v>
      </c>
      <c r="N1806" t="s">
        <v>296</v>
      </c>
      <c r="O1806" t="s">
        <v>297</v>
      </c>
    </row>
    <row r="1807" spans="1:15" x14ac:dyDescent="0.3">
      <c r="A1807" t="s">
        <v>3129</v>
      </c>
      <c r="B1807" t="s">
        <v>3130</v>
      </c>
      <c r="C1807">
        <v>2022</v>
      </c>
      <c r="D1807" t="s">
        <v>300</v>
      </c>
      <c r="E1807" t="s">
        <v>3142</v>
      </c>
      <c r="F1807">
        <v>554.70000000000005</v>
      </c>
      <c r="G1807" t="s">
        <v>302</v>
      </c>
      <c r="H1807">
        <v>8</v>
      </c>
      <c r="I1807" t="s">
        <v>3143</v>
      </c>
      <c r="J1807" t="s">
        <v>294</v>
      </c>
      <c r="M1807" t="s">
        <v>295</v>
      </c>
      <c r="N1807" t="s">
        <v>296</v>
      </c>
      <c r="O1807" t="s">
        <v>297</v>
      </c>
    </row>
    <row r="1808" spans="1:15" x14ac:dyDescent="0.3">
      <c r="A1808" t="s">
        <v>3129</v>
      </c>
      <c r="B1808" t="s">
        <v>3130</v>
      </c>
      <c r="C1808">
        <v>2022</v>
      </c>
      <c r="D1808" t="s">
        <v>300</v>
      </c>
      <c r="E1808" t="s">
        <v>3144</v>
      </c>
      <c r="F1808">
        <v>460.7</v>
      </c>
      <c r="G1808" t="s">
        <v>302</v>
      </c>
      <c r="H1808">
        <v>44</v>
      </c>
      <c r="I1808" t="s">
        <v>3145</v>
      </c>
      <c r="J1808" t="s">
        <v>294</v>
      </c>
      <c r="M1808" t="s">
        <v>295</v>
      </c>
      <c r="N1808" t="s">
        <v>296</v>
      </c>
      <c r="O1808" t="s">
        <v>297</v>
      </c>
    </row>
    <row r="1809" spans="1:15" x14ac:dyDescent="0.3">
      <c r="A1809" t="s">
        <v>3129</v>
      </c>
      <c r="B1809" t="s">
        <v>3130</v>
      </c>
      <c r="C1809">
        <v>2022</v>
      </c>
      <c r="D1809" t="s">
        <v>300</v>
      </c>
      <c r="E1809" t="s">
        <v>3146</v>
      </c>
      <c r="F1809">
        <v>64.3</v>
      </c>
      <c r="G1809" t="s">
        <v>302</v>
      </c>
      <c r="H1809">
        <v>44</v>
      </c>
      <c r="I1809" t="s">
        <v>3147</v>
      </c>
      <c r="J1809" t="s">
        <v>294</v>
      </c>
      <c r="M1809" t="s">
        <v>295</v>
      </c>
      <c r="N1809" t="s">
        <v>296</v>
      </c>
      <c r="O1809" t="s">
        <v>297</v>
      </c>
    </row>
    <row r="1810" spans="1:15" x14ac:dyDescent="0.3">
      <c r="A1810" t="s">
        <v>3129</v>
      </c>
      <c r="B1810" t="s">
        <v>3130</v>
      </c>
      <c r="C1810">
        <v>2022</v>
      </c>
      <c r="D1810" t="s">
        <v>300</v>
      </c>
      <c r="E1810" t="s">
        <v>3148</v>
      </c>
      <c r="F1810">
        <v>29.7</v>
      </c>
      <c r="G1810" t="s">
        <v>302</v>
      </c>
      <c r="H1810">
        <v>44</v>
      </c>
      <c r="I1810" t="s">
        <v>3149</v>
      </c>
      <c r="J1810" t="s">
        <v>294</v>
      </c>
      <c r="M1810" t="s">
        <v>295</v>
      </c>
      <c r="N1810" t="s">
        <v>296</v>
      </c>
      <c r="O1810" t="s">
        <v>297</v>
      </c>
    </row>
    <row r="1811" spans="1:15" x14ac:dyDescent="0.3">
      <c r="A1811" t="s">
        <v>3129</v>
      </c>
      <c r="B1811" t="s">
        <v>3130</v>
      </c>
      <c r="C1811">
        <v>2022</v>
      </c>
      <c r="D1811" t="s">
        <v>300</v>
      </c>
      <c r="E1811" t="s">
        <v>688</v>
      </c>
      <c r="F1811">
        <v>432.2</v>
      </c>
      <c r="G1811" t="s">
        <v>302</v>
      </c>
      <c r="H1811">
        <v>46</v>
      </c>
      <c r="I1811" t="s">
        <v>3150</v>
      </c>
      <c r="J1811" t="s">
        <v>294</v>
      </c>
      <c r="M1811" t="s">
        <v>295</v>
      </c>
      <c r="N1811" t="s">
        <v>296</v>
      </c>
      <c r="O1811" t="s">
        <v>297</v>
      </c>
    </row>
    <row r="1812" spans="1:15" x14ac:dyDescent="0.3">
      <c r="A1812" t="s">
        <v>3129</v>
      </c>
      <c r="B1812" t="s">
        <v>3130</v>
      </c>
      <c r="C1812">
        <v>2022</v>
      </c>
      <c r="D1812" t="s">
        <v>300</v>
      </c>
      <c r="E1812" t="s">
        <v>304</v>
      </c>
      <c r="F1812">
        <v>122.5</v>
      </c>
      <c r="G1812" t="s">
        <v>302</v>
      </c>
      <c r="H1812">
        <v>8</v>
      </c>
      <c r="I1812" t="s">
        <v>3151</v>
      </c>
      <c r="J1812" t="s">
        <v>294</v>
      </c>
      <c r="M1812" t="s">
        <v>295</v>
      </c>
      <c r="N1812" t="s">
        <v>296</v>
      </c>
      <c r="O1812" t="s">
        <v>297</v>
      </c>
    </row>
    <row r="1813" spans="1:15" x14ac:dyDescent="0.3">
      <c r="A1813" t="s">
        <v>3129</v>
      </c>
      <c r="B1813" t="s">
        <v>3130</v>
      </c>
      <c r="C1813">
        <v>2022</v>
      </c>
      <c r="D1813" t="s">
        <v>300</v>
      </c>
      <c r="E1813" t="s">
        <v>3152</v>
      </c>
      <c r="F1813">
        <v>136.9</v>
      </c>
      <c r="G1813" t="s">
        <v>302</v>
      </c>
      <c r="H1813">
        <v>8</v>
      </c>
      <c r="I1813" t="s">
        <v>3153</v>
      </c>
      <c r="J1813" t="s">
        <v>294</v>
      </c>
      <c r="M1813" t="s">
        <v>295</v>
      </c>
      <c r="N1813" t="s">
        <v>296</v>
      </c>
      <c r="O1813" t="s">
        <v>297</v>
      </c>
    </row>
    <row r="1814" spans="1:15" x14ac:dyDescent="0.3">
      <c r="A1814" t="s">
        <v>3129</v>
      </c>
      <c r="B1814" t="s">
        <v>3130</v>
      </c>
      <c r="C1814">
        <v>2022</v>
      </c>
      <c r="D1814" t="s">
        <v>300</v>
      </c>
      <c r="E1814" t="s">
        <v>880</v>
      </c>
      <c r="F1814">
        <v>305.8</v>
      </c>
      <c r="G1814" t="s">
        <v>302</v>
      </c>
      <c r="H1814">
        <v>8</v>
      </c>
      <c r="I1814" t="s">
        <v>3154</v>
      </c>
      <c r="J1814" t="s">
        <v>294</v>
      </c>
      <c r="M1814" t="s">
        <v>295</v>
      </c>
      <c r="N1814" t="s">
        <v>296</v>
      </c>
      <c r="O1814" t="s">
        <v>297</v>
      </c>
    </row>
    <row r="1815" spans="1:15" x14ac:dyDescent="0.3">
      <c r="A1815" t="s">
        <v>3129</v>
      </c>
      <c r="B1815" t="s">
        <v>3130</v>
      </c>
      <c r="C1815">
        <v>2022</v>
      </c>
      <c r="D1815" t="s">
        <v>300</v>
      </c>
      <c r="E1815" t="s">
        <v>306</v>
      </c>
      <c r="F1815">
        <v>75.8</v>
      </c>
      <c r="G1815" t="s">
        <v>302</v>
      </c>
      <c r="H1815">
        <v>8</v>
      </c>
      <c r="I1815" t="s">
        <v>3155</v>
      </c>
      <c r="J1815" t="s">
        <v>294</v>
      </c>
      <c r="M1815" t="s">
        <v>295</v>
      </c>
      <c r="N1815" t="s">
        <v>296</v>
      </c>
      <c r="O1815" t="s">
        <v>297</v>
      </c>
    </row>
    <row r="1816" spans="1:15" x14ac:dyDescent="0.3">
      <c r="A1816" t="s">
        <v>3129</v>
      </c>
      <c r="B1816" t="s">
        <v>3130</v>
      </c>
      <c r="C1816">
        <v>2022</v>
      </c>
      <c r="D1816" t="s">
        <v>300</v>
      </c>
      <c r="E1816" t="s">
        <v>308</v>
      </c>
      <c r="F1816">
        <v>75.599999999999994</v>
      </c>
      <c r="G1816" t="s">
        <v>302</v>
      </c>
      <c r="H1816">
        <v>8</v>
      </c>
      <c r="I1816" t="s">
        <v>3156</v>
      </c>
      <c r="J1816" t="s">
        <v>294</v>
      </c>
      <c r="M1816" t="s">
        <v>295</v>
      </c>
      <c r="N1816" t="s">
        <v>296</v>
      </c>
      <c r="O1816" t="s">
        <v>297</v>
      </c>
    </row>
    <row r="1817" spans="1:15" x14ac:dyDescent="0.3">
      <c r="A1817" t="s">
        <v>3129</v>
      </c>
      <c r="B1817" t="s">
        <v>3130</v>
      </c>
      <c r="C1817">
        <v>2022</v>
      </c>
      <c r="D1817" t="s">
        <v>300</v>
      </c>
      <c r="E1817" t="s">
        <v>3157</v>
      </c>
      <c r="F1817">
        <v>76.900000000000006</v>
      </c>
      <c r="G1817" t="s">
        <v>302</v>
      </c>
      <c r="H1817">
        <v>8</v>
      </c>
      <c r="I1817" t="s">
        <v>3158</v>
      </c>
      <c r="J1817" t="s">
        <v>294</v>
      </c>
      <c r="M1817" t="s">
        <v>295</v>
      </c>
      <c r="N1817" t="s">
        <v>296</v>
      </c>
      <c r="O1817" t="s">
        <v>297</v>
      </c>
    </row>
    <row r="1818" spans="1:15" x14ac:dyDescent="0.3">
      <c r="A1818" t="s">
        <v>3129</v>
      </c>
      <c r="B1818" t="s">
        <v>3130</v>
      </c>
      <c r="C1818">
        <v>2022</v>
      </c>
      <c r="D1818" t="s">
        <v>300</v>
      </c>
      <c r="E1818" t="s">
        <v>316</v>
      </c>
      <c r="F1818">
        <v>2045.4</v>
      </c>
      <c r="G1818" t="s">
        <v>302</v>
      </c>
      <c r="H1818">
        <v>8</v>
      </c>
      <c r="I1818" t="s">
        <v>3159</v>
      </c>
      <c r="J1818" t="s">
        <v>294</v>
      </c>
      <c r="M1818" t="s">
        <v>295</v>
      </c>
      <c r="N1818" t="s">
        <v>296</v>
      </c>
      <c r="O1818" t="s">
        <v>297</v>
      </c>
    </row>
    <row r="1819" spans="1:15" x14ac:dyDescent="0.3">
      <c r="A1819" t="s">
        <v>3129</v>
      </c>
      <c r="B1819" t="s">
        <v>3130</v>
      </c>
      <c r="C1819">
        <v>2022</v>
      </c>
      <c r="D1819" t="s">
        <v>300</v>
      </c>
      <c r="E1819" t="s">
        <v>3160</v>
      </c>
      <c r="F1819">
        <v>865.2</v>
      </c>
      <c r="G1819" t="s">
        <v>302</v>
      </c>
      <c r="H1819">
        <v>8</v>
      </c>
      <c r="I1819" t="s">
        <v>3161</v>
      </c>
      <c r="J1819" t="s">
        <v>294</v>
      </c>
      <c r="M1819" t="s">
        <v>295</v>
      </c>
      <c r="N1819" t="s">
        <v>296</v>
      </c>
      <c r="O1819" t="s">
        <v>297</v>
      </c>
    </row>
    <row r="1820" spans="1:15" x14ac:dyDescent="0.3">
      <c r="A1820" t="s">
        <v>3129</v>
      </c>
      <c r="B1820" t="s">
        <v>3130</v>
      </c>
      <c r="C1820">
        <v>2022</v>
      </c>
      <c r="D1820" t="s">
        <v>300</v>
      </c>
      <c r="E1820" t="s">
        <v>1122</v>
      </c>
      <c r="F1820">
        <v>494.7</v>
      </c>
      <c r="G1820" t="s">
        <v>302</v>
      </c>
      <c r="H1820">
        <v>8</v>
      </c>
      <c r="I1820" t="s">
        <v>3162</v>
      </c>
      <c r="J1820" t="s">
        <v>294</v>
      </c>
      <c r="M1820" t="s">
        <v>295</v>
      </c>
      <c r="N1820" t="s">
        <v>296</v>
      </c>
      <c r="O1820" t="s">
        <v>297</v>
      </c>
    </row>
    <row r="1821" spans="1:15" x14ac:dyDescent="0.3">
      <c r="A1821" t="s">
        <v>3129</v>
      </c>
      <c r="B1821" t="s">
        <v>3130</v>
      </c>
      <c r="C1821">
        <v>2022</v>
      </c>
      <c r="D1821" t="s">
        <v>300</v>
      </c>
      <c r="E1821" t="s">
        <v>471</v>
      </c>
      <c r="F1821">
        <v>235.2</v>
      </c>
      <c r="G1821" t="s">
        <v>302</v>
      </c>
      <c r="H1821">
        <v>8</v>
      </c>
      <c r="I1821" t="s">
        <v>3163</v>
      </c>
      <c r="J1821" t="s">
        <v>294</v>
      </c>
      <c r="M1821" t="s">
        <v>295</v>
      </c>
      <c r="N1821" t="s">
        <v>296</v>
      </c>
      <c r="O1821" t="s">
        <v>297</v>
      </c>
    </row>
    <row r="1822" spans="1:15" x14ac:dyDescent="0.3">
      <c r="A1822" t="s">
        <v>3129</v>
      </c>
      <c r="B1822" t="s">
        <v>3130</v>
      </c>
      <c r="C1822">
        <v>2022</v>
      </c>
      <c r="D1822" t="s">
        <v>300</v>
      </c>
      <c r="E1822" t="s">
        <v>2733</v>
      </c>
      <c r="F1822">
        <v>1</v>
      </c>
      <c r="G1822" t="s">
        <v>302</v>
      </c>
      <c r="H1822">
        <v>8</v>
      </c>
      <c r="I1822" t="s">
        <v>3164</v>
      </c>
      <c r="J1822" t="s">
        <v>294</v>
      </c>
      <c r="M1822" t="s">
        <v>295</v>
      </c>
      <c r="N1822" t="s">
        <v>296</v>
      </c>
      <c r="O1822" t="s">
        <v>297</v>
      </c>
    </row>
    <row r="1823" spans="1:15" x14ac:dyDescent="0.3">
      <c r="A1823" t="s">
        <v>3129</v>
      </c>
      <c r="B1823" t="s">
        <v>3130</v>
      </c>
      <c r="C1823">
        <v>2022</v>
      </c>
      <c r="D1823" t="s">
        <v>300</v>
      </c>
      <c r="E1823" t="s">
        <v>318</v>
      </c>
      <c r="F1823">
        <v>455.9</v>
      </c>
      <c r="G1823" t="s">
        <v>302</v>
      </c>
      <c r="H1823">
        <v>8</v>
      </c>
      <c r="I1823" t="s">
        <v>3165</v>
      </c>
      <c r="J1823" t="s">
        <v>294</v>
      </c>
      <c r="M1823" t="s">
        <v>295</v>
      </c>
      <c r="N1823" t="s">
        <v>296</v>
      </c>
      <c r="O1823" t="s">
        <v>297</v>
      </c>
    </row>
    <row r="1824" spans="1:15" x14ac:dyDescent="0.3">
      <c r="A1824" t="s">
        <v>3129</v>
      </c>
      <c r="B1824" t="s">
        <v>3130</v>
      </c>
      <c r="C1824">
        <v>2022</v>
      </c>
      <c r="D1824" t="s">
        <v>300</v>
      </c>
      <c r="E1824" t="s">
        <v>3166</v>
      </c>
      <c r="F1824">
        <v>356.7</v>
      </c>
      <c r="G1824" t="s">
        <v>302</v>
      </c>
      <c r="H1824">
        <v>8</v>
      </c>
      <c r="I1824" t="s">
        <v>3167</v>
      </c>
      <c r="J1824" t="s">
        <v>294</v>
      </c>
      <c r="M1824" t="s">
        <v>295</v>
      </c>
      <c r="N1824" t="s">
        <v>296</v>
      </c>
      <c r="O1824" t="s">
        <v>297</v>
      </c>
    </row>
    <row r="1825" spans="1:15" x14ac:dyDescent="0.3">
      <c r="A1825" t="s">
        <v>3129</v>
      </c>
      <c r="B1825" t="s">
        <v>3130</v>
      </c>
      <c r="C1825">
        <v>2022</v>
      </c>
      <c r="D1825" t="s">
        <v>300</v>
      </c>
      <c r="E1825" t="s">
        <v>322</v>
      </c>
      <c r="F1825">
        <v>892.9</v>
      </c>
      <c r="G1825" t="s">
        <v>302</v>
      </c>
      <c r="H1825">
        <v>8</v>
      </c>
      <c r="I1825" t="s">
        <v>3168</v>
      </c>
      <c r="J1825" t="s">
        <v>294</v>
      </c>
      <c r="M1825" t="s">
        <v>295</v>
      </c>
      <c r="N1825" t="s">
        <v>296</v>
      </c>
      <c r="O1825" t="s">
        <v>297</v>
      </c>
    </row>
    <row r="1826" spans="1:15" x14ac:dyDescent="0.3">
      <c r="A1826" t="s">
        <v>3129</v>
      </c>
      <c r="B1826" t="s">
        <v>3130</v>
      </c>
      <c r="C1826">
        <v>2022</v>
      </c>
      <c r="D1826" t="s">
        <v>300</v>
      </c>
      <c r="E1826" t="s">
        <v>324</v>
      </c>
      <c r="F1826">
        <v>1152.5</v>
      </c>
      <c r="G1826" t="s">
        <v>302</v>
      </c>
      <c r="H1826">
        <v>8</v>
      </c>
      <c r="I1826" t="s">
        <v>3169</v>
      </c>
      <c r="J1826" t="s">
        <v>294</v>
      </c>
      <c r="M1826" t="s">
        <v>295</v>
      </c>
      <c r="N1826" t="s">
        <v>296</v>
      </c>
      <c r="O1826" t="s">
        <v>297</v>
      </c>
    </row>
    <row r="1827" spans="1:15" x14ac:dyDescent="0.3">
      <c r="A1827" t="s">
        <v>3129</v>
      </c>
      <c r="B1827" t="s">
        <v>3130</v>
      </c>
      <c r="C1827">
        <v>2022</v>
      </c>
      <c r="D1827" t="s">
        <v>300</v>
      </c>
      <c r="E1827" t="s">
        <v>1386</v>
      </c>
      <c r="F1827">
        <v>31.7</v>
      </c>
      <c r="G1827" t="s">
        <v>302</v>
      </c>
      <c r="H1827">
        <v>8</v>
      </c>
      <c r="I1827" t="s">
        <v>3170</v>
      </c>
      <c r="J1827" t="s">
        <v>294</v>
      </c>
      <c r="M1827" t="s">
        <v>295</v>
      </c>
      <c r="N1827" t="s">
        <v>296</v>
      </c>
      <c r="O1827" t="s">
        <v>297</v>
      </c>
    </row>
    <row r="1828" spans="1:15" x14ac:dyDescent="0.3">
      <c r="A1828" t="s">
        <v>3129</v>
      </c>
      <c r="B1828" t="s">
        <v>3130</v>
      </c>
      <c r="C1828">
        <v>2022</v>
      </c>
      <c r="D1828" t="s">
        <v>300</v>
      </c>
      <c r="E1828" t="s">
        <v>3171</v>
      </c>
      <c r="F1828">
        <v>178.7</v>
      </c>
      <c r="G1828" t="s">
        <v>302</v>
      </c>
      <c r="H1828">
        <v>51</v>
      </c>
      <c r="I1828" t="s">
        <v>3172</v>
      </c>
      <c r="J1828" t="s">
        <v>294</v>
      </c>
      <c r="M1828" t="s">
        <v>295</v>
      </c>
      <c r="N1828" t="s">
        <v>296</v>
      </c>
      <c r="O1828" t="s">
        <v>297</v>
      </c>
    </row>
    <row r="1829" spans="1:15" x14ac:dyDescent="0.3">
      <c r="A1829" t="s">
        <v>3129</v>
      </c>
      <c r="B1829" t="s">
        <v>3130</v>
      </c>
      <c r="C1829">
        <v>2022</v>
      </c>
      <c r="D1829" t="s">
        <v>300</v>
      </c>
      <c r="E1829" t="s">
        <v>3173</v>
      </c>
      <c r="F1829">
        <v>35.700000000000003</v>
      </c>
      <c r="G1829" t="s">
        <v>302</v>
      </c>
      <c r="H1829">
        <v>51</v>
      </c>
      <c r="I1829" t="s">
        <v>3174</v>
      </c>
      <c r="J1829" t="s">
        <v>294</v>
      </c>
      <c r="M1829" t="s">
        <v>295</v>
      </c>
      <c r="N1829" t="s">
        <v>296</v>
      </c>
      <c r="O1829" t="s">
        <v>297</v>
      </c>
    </row>
    <row r="1830" spans="1:15" x14ac:dyDescent="0.3">
      <c r="A1830" t="s">
        <v>3129</v>
      </c>
      <c r="B1830" t="s">
        <v>3130</v>
      </c>
      <c r="C1830">
        <v>2022</v>
      </c>
      <c r="D1830" t="s">
        <v>300</v>
      </c>
      <c r="E1830" t="s">
        <v>3175</v>
      </c>
      <c r="F1830">
        <v>-161.80000000000001</v>
      </c>
      <c r="G1830" t="s">
        <v>302</v>
      </c>
      <c r="H1830">
        <v>51</v>
      </c>
      <c r="I1830" t="s">
        <v>3176</v>
      </c>
      <c r="J1830" t="s">
        <v>294</v>
      </c>
      <c r="M1830" t="s">
        <v>295</v>
      </c>
      <c r="N1830" t="s">
        <v>296</v>
      </c>
      <c r="O1830" t="s">
        <v>297</v>
      </c>
    </row>
    <row r="1831" spans="1:15" x14ac:dyDescent="0.3">
      <c r="A1831" t="s">
        <v>3129</v>
      </c>
      <c r="B1831" t="s">
        <v>3130</v>
      </c>
      <c r="C1831">
        <v>2022</v>
      </c>
      <c r="D1831" t="s">
        <v>300</v>
      </c>
      <c r="E1831" t="s">
        <v>342</v>
      </c>
      <c r="F1831">
        <v>6000</v>
      </c>
      <c r="G1831" t="s">
        <v>497</v>
      </c>
      <c r="H1831">
        <v>8</v>
      </c>
      <c r="I1831" t="s">
        <v>3177</v>
      </c>
      <c r="J1831" t="s">
        <v>294</v>
      </c>
      <c r="M1831" t="s">
        <v>295</v>
      </c>
      <c r="N1831" t="s">
        <v>296</v>
      </c>
      <c r="O1831" t="s">
        <v>297</v>
      </c>
    </row>
    <row r="1832" spans="1:15" x14ac:dyDescent="0.3">
      <c r="A1832" t="s">
        <v>3129</v>
      </c>
      <c r="B1832" t="s">
        <v>3130</v>
      </c>
      <c r="C1832">
        <v>2022</v>
      </c>
      <c r="D1832" t="s">
        <v>300</v>
      </c>
      <c r="E1832" t="s">
        <v>345</v>
      </c>
      <c r="F1832">
        <v>12.61</v>
      </c>
      <c r="G1832" t="s">
        <v>346</v>
      </c>
      <c r="H1832">
        <v>8</v>
      </c>
      <c r="I1832" t="s">
        <v>3178</v>
      </c>
      <c r="J1832" t="s">
        <v>294</v>
      </c>
      <c r="M1832" t="s">
        <v>295</v>
      </c>
      <c r="N1832" t="s">
        <v>296</v>
      </c>
      <c r="O1832" t="s">
        <v>297</v>
      </c>
    </row>
    <row r="1833" spans="1:15" x14ac:dyDescent="0.3">
      <c r="A1833" t="s">
        <v>3129</v>
      </c>
      <c r="B1833" t="s">
        <v>3130</v>
      </c>
      <c r="C1833">
        <v>2022</v>
      </c>
      <c r="D1833" t="s">
        <v>300</v>
      </c>
      <c r="E1833" t="s">
        <v>723</v>
      </c>
      <c r="F1833">
        <v>81</v>
      </c>
      <c r="G1833" t="s">
        <v>346</v>
      </c>
      <c r="H1833">
        <v>11</v>
      </c>
      <c r="I1833" t="s">
        <v>3179</v>
      </c>
      <c r="J1833" t="s">
        <v>294</v>
      </c>
      <c r="M1833" t="s">
        <v>295</v>
      </c>
      <c r="N1833" t="s">
        <v>296</v>
      </c>
      <c r="O1833" t="s">
        <v>297</v>
      </c>
    </row>
    <row r="1834" spans="1:15" x14ac:dyDescent="0.3">
      <c r="A1834" t="s">
        <v>3129</v>
      </c>
      <c r="B1834" t="s">
        <v>3130</v>
      </c>
      <c r="C1834">
        <v>2022</v>
      </c>
      <c r="D1834" t="s">
        <v>300</v>
      </c>
      <c r="E1834" t="s">
        <v>3180</v>
      </c>
      <c r="F1834">
        <v>486</v>
      </c>
      <c r="G1834" t="s">
        <v>302</v>
      </c>
      <c r="H1834">
        <v>11</v>
      </c>
      <c r="I1834" t="s">
        <v>3181</v>
      </c>
      <c r="J1834" t="s">
        <v>294</v>
      </c>
      <c r="M1834" t="s">
        <v>295</v>
      </c>
      <c r="N1834" t="s">
        <v>296</v>
      </c>
      <c r="O1834" t="s">
        <v>297</v>
      </c>
    </row>
    <row r="1835" spans="1:15" x14ac:dyDescent="0.3">
      <c r="A1835" t="s">
        <v>3129</v>
      </c>
      <c r="B1835" t="s">
        <v>3130</v>
      </c>
      <c r="C1835">
        <v>2022</v>
      </c>
      <c r="D1835" t="s">
        <v>300</v>
      </c>
      <c r="E1835" t="s">
        <v>501</v>
      </c>
      <c r="F1835">
        <v>0.13</v>
      </c>
      <c r="G1835" t="s">
        <v>334</v>
      </c>
      <c r="H1835">
        <v>8</v>
      </c>
      <c r="I1835" t="s">
        <v>3182</v>
      </c>
      <c r="J1835" t="s">
        <v>294</v>
      </c>
      <c r="M1835" t="s">
        <v>295</v>
      </c>
      <c r="N1835" t="s">
        <v>296</v>
      </c>
      <c r="O1835" t="s">
        <v>297</v>
      </c>
    </row>
    <row r="1836" spans="1:15" x14ac:dyDescent="0.3">
      <c r="A1836" t="s">
        <v>3129</v>
      </c>
      <c r="B1836" t="s">
        <v>3130</v>
      </c>
      <c r="C1836">
        <v>2022</v>
      </c>
      <c r="D1836" t="s">
        <v>300</v>
      </c>
      <c r="E1836" t="s">
        <v>842</v>
      </c>
      <c r="F1836">
        <v>0.77</v>
      </c>
      <c r="G1836" t="s">
        <v>327</v>
      </c>
      <c r="H1836">
        <v>8</v>
      </c>
      <c r="I1836" t="s">
        <v>3183</v>
      </c>
      <c r="J1836" t="s">
        <v>294</v>
      </c>
      <c r="M1836" t="s">
        <v>295</v>
      </c>
      <c r="N1836" t="s">
        <v>296</v>
      </c>
      <c r="O1836" t="s">
        <v>297</v>
      </c>
    </row>
    <row r="1837" spans="1:15" x14ac:dyDescent="0.3">
      <c r="A1837" t="s">
        <v>3129</v>
      </c>
      <c r="B1837" t="s">
        <v>3130</v>
      </c>
      <c r="C1837">
        <v>2022</v>
      </c>
      <c r="D1837" t="s">
        <v>300</v>
      </c>
      <c r="E1837" t="s">
        <v>326</v>
      </c>
      <c r="F1837">
        <v>1</v>
      </c>
      <c r="G1837" t="s">
        <v>327</v>
      </c>
      <c r="H1837">
        <v>8</v>
      </c>
      <c r="I1837" t="s">
        <v>3184</v>
      </c>
      <c r="J1837" t="s">
        <v>294</v>
      </c>
      <c r="M1837" t="s">
        <v>295</v>
      </c>
      <c r="N1837" t="s">
        <v>296</v>
      </c>
      <c r="O1837" t="s">
        <v>297</v>
      </c>
    </row>
    <row r="1838" spans="1:15" x14ac:dyDescent="0.3">
      <c r="A1838" t="s">
        <v>3129</v>
      </c>
      <c r="B1838" t="s">
        <v>3130</v>
      </c>
      <c r="C1838">
        <v>2022</v>
      </c>
      <c r="D1838" t="s">
        <v>300</v>
      </c>
      <c r="E1838" t="s">
        <v>3054</v>
      </c>
      <c r="F1838">
        <v>6.5600000000000006E-2</v>
      </c>
      <c r="G1838" t="s">
        <v>334</v>
      </c>
      <c r="H1838">
        <v>9</v>
      </c>
      <c r="I1838" t="s">
        <v>3185</v>
      </c>
      <c r="J1838" t="s">
        <v>294</v>
      </c>
      <c r="M1838" t="s">
        <v>295</v>
      </c>
      <c r="N1838" t="s">
        <v>296</v>
      </c>
      <c r="O1838" t="s">
        <v>297</v>
      </c>
    </row>
    <row r="1839" spans="1:15" x14ac:dyDescent="0.3">
      <c r="A1839" t="s">
        <v>3129</v>
      </c>
      <c r="B1839" t="s">
        <v>3130</v>
      </c>
      <c r="C1839">
        <v>2022</v>
      </c>
      <c r="D1839" t="s">
        <v>300</v>
      </c>
      <c r="E1839" t="s">
        <v>3052</v>
      </c>
      <c r="F1839">
        <v>3.6999999999999998E-2</v>
      </c>
      <c r="G1839" t="s">
        <v>334</v>
      </c>
      <c r="H1839">
        <v>9</v>
      </c>
      <c r="I1839" t="s">
        <v>3186</v>
      </c>
      <c r="J1839" t="s">
        <v>294</v>
      </c>
      <c r="M1839" t="s">
        <v>295</v>
      </c>
      <c r="N1839" t="s">
        <v>296</v>
      </c>
      <c r="O1839" t="s">
        <v>297</v>
      </c>
    </row>
    <row r="1840" spans="1:15" x14ac:dyDescent="0.3">
      <c r="A1840" t="s">
        <v>3129</v>
      </c>
      <c r="B1840" t="s">
        <v>3130</v>
      </c>
      <c r="C1840">
        <v>2022</v>
      </c>
      <c r="D1840" t="s">
        <v>300</v>
      </c>
      <c r="E1840" t="s">
        <v>340</v>
      </c>
      <c r="F1840">
        <v>0.22090000000000001</v>
      </c>
      <c r="G1840" t="s">
        <v>334</v>
      </c>
      <c r="H1840">
        <v>9</v>
      </c>
      <c r="I1840" t="s">
        <v>3187</v>
      </c>
      <c r="J1840" t="s">
        <v>294</v>
      </c>
      <c r="M1840" t="s">
        <v>295</v>
      </c>
      <c r="N1840" t="s">
        <v>296</v>
      </c>
      <c r="O1840" t="s">
        <v>297</v>
      </c>
    </row>
    <row r="1841" spans="1:15" x14ac:dyDescent="0.3">
      <c r="A1841" t="s">
        <v>3129</v>
      </c>
      <c r="B1841" t="s">
        <v>3130</v>
      </c>
      <c r="C1841">
        <v>2022</v>
      </c>
      <c r="D1841" t="s">
        <v>300</v>
      </c>
      <c r="E1841" t="s">
        <v>338</v>
      </c>
      <c r="F1841">
        <v>0.1363</v>
      </c>
      <c r="G1841" t="s">
        <v>334</v>
      </c>
      <c r="H1841">
        <v>9</v>
      </c>
      <c r="I1841" t="s">
        <v>3188</v>
      </c>
      <c r="J1841" t="s">
        <v>294</v>
      </c>
      <c r="M1841" t="s">
        <v>295</v>
      </c>
      <c r="N1841" t="s">
        <v>296</v>
      </c>
      <c r="O1841" t="s">
        <v>297</v>
      </c>
    </row>
    <row r="1842" spans="1:15" x14ac:dyDescent="0.3">
      <c r="A1842" t="s">
        <v>3129</v>
      </c>
      <c r="B1842" t="s">
        <v>3130</v>
      </c>
      <c r="C1842">
        <v>2022</v>
      </c>
      <c r="D1842" t="s">
        <v>358</v>
      </c>
      <c r="E1842" t="s">
        <v>3189</v>
      </c>
      <c r="F1842">
        <v>17188</v>
      </c>
      <c r="G1842" t="s">
        <v>360</v>
      </c>
      <c r="H1842">
        <v>6</v>
      </c>
      <c r="I1842" t="s">
        <v>3190</v>
      </c>
      <c r="J1842" t="s">
        <v>294</v>
      </c>
      <c r="M1842" t="s">
        <v>295</v>
      </c>
      <c r="N1842" t="s">
        <v>296</v>
      </c>
      <c r="O1842" t="s">
        <v>297</v>
      </c>
    </row>
    <row r="1843" spans="1:15" x14ac:dyDescent="0.3">
      <c r="A1843" t="s">
        <v>3129</v>
      </c>
      <c r="B1843" t="s">
        <v>3130</v>
      </c>
      <c r="C1843">
        <v>2022</v>
      </c>
      <c r="D1843" t="s">
        <v>358</v>
      </c>
      <c r="E1843" t="s">
        <v>3191</v>
      </c>
      <c r="F1843">
        <v>1561</v>
      </c>
      <c r="G1843" t="s">
        <v>360</v>
      </c>
      <c r="H1843">
        <v>6</v>
      </c>
      <c r="I1843" t="s">
        <v>3192</v>
      </c>
      <c r="J1843" t="s">
        <v>294</v>
      </c>
      <c r="M1843" t="s">
        <v>295</v>
      </c>
      <c r="N1843" t="s">
        <v>296</v>
      </c>
      <c r="O1843" t="s">
        <v>297</v>
      </c>
    </row>
    <row r="1844" spans="1:15" x14ac:dyDescent="0.3">
      <c r="A1844" t="s">
        <v>3129</v>
      </c>
      <c r="B1844" t="s">
        <v>3130</v>
      </c>
      <c r="C1844">
        <v>2022</v>
      </c>
      <c r="D1844" t="s">
        <v>358</v>
      </c>
      <c r="E1844" t="s">
        <v>3193</v>
      </c>
      <c r="F1844">
        <v>18749</v>
      </c>
      <c r="G1844" t="s">
        <v>360</v>
      </c>
      <c r="H1844">
        <v>6</v>
      </c>
      <c r="I1844" t="s">
        <v>3194</v>
      </c>
      <c r="J1844" t="s">
        <v>294</v>
      </c>
      <c r="M1844" t="s">
        <v>295</v>
      </c>
      <c r="N1844" t="s">
        <v>296</v>
      </c>
      <c r="O1844" t="s">
        <v>297</v>
      </c>
    </row>
    <row r="1845" spans="1:15" x14ac:dyDescent="0.3">
      <c r="A1845" t="s">
        <v>3129</v>
      </c>
      <c r="B1845" t="s">
        <v>3130</v>
      </c>
      <c r="C1845">
        <v>2022</v>
      </c>
      <c r="D1845" t="s">
        <v>358</v>
      </c>
      <c r="E1845" t="s">
        <v>504</v>
      </c>
      <c r="F1845">
        <v>12917</v>
      </c>
      <c r="G1845" t="s">
        <v>360</v>
      </c>
      <c r="H1845">
        <v>6</v>
      </c>
      <c r="I1845" t="s">
        <v>3195</v>
      </c>
      <c r="J1845" t="s">
        <v>294</v>
      </c>
      <c r="M1845" t="s">
        <v>295</v>
      </c>
      <c r="N1845" t="s">
        <v>296</v>
      </c>
      <c r="O1845" t="s">
        <v>297</v>
      </c>
    </row>
    <row r="1846" spans="1:15" x14ac:dyDescent="0.3">
      <c r="A1846" t="s">
        <v>3129</v>
      </c>
      <c r="B1846" t="s">
        <v>3130</v>
      </c>
      <c r="C1846">
        <v>2022</v>
      </c>
      <c r="D1846" t="s">
        <v>358</v>
      </c>
      <c r="E1846" t="s">
        <v>1058</v>
      </c>
      <c r="F1846">
        <v>12917</v>
      </c>
      <c r="G1846" t="s">
        <v>360</v>
      </c>
      <c r="H1846">
        <v>6</v>
      </c>
      <c r="I1846" t="s">
        <v>3196</v>
      </c>
      <c r="J1846" t="s">
        <v>294</v>
      </c>
      <c r="M1846" t="s">
        <v>295</v>
      </c>
      <c r="N1846" t="s">
        <v>296</v>
      </c>
      <c r="O1846" t="s">
        <v>297</v>
      </c>
    </row>
    <row r="1847" spans="1:15" x14ac:dyDescent="0.3">
      <c r="A1847" t="s">
        <v>3129</v>
      </c>
      <c r="B1847" t="s">
        <v>3130</v>
      </c>
      <c r="C1847">
        <v>2022</v>
      </c>
      <c r="D1847" t="s">
        <v>358</v>
      </c>
      <c r="E1847" t="s">
        <v>508</v>
      </c>
      <c r="F1847">
        <v>12700</v>
      </c>
      <c r="G1847" t="s">
        <v>360</v>
      </c>
      <c r="H1847">
        <v>6</v>
      </c>
      <c r="I1847" t="s">
        <v>3197</v>
      </c>
      <c r="J1847" t="s">
        <v>294</v>
      </c>
      <c r="M1847" t="s">
        <v>295</v>
      </c>
      <c r="N1847" t="s">
        <v>296</v>
      </c>
      <c r="O1847" t="s">
        <v>297</v>
      </c>
    </row>
    <row r="1848" spans="1:15" x14ac:dyDescent="0.3">
      <c r="A1848" t="s">
        <v>3129</v>
      </c>
      <c r="B1848" t="s">
        <v>3130</v>
      </c>
      <c r="C1848">
        <v>2022</v>
      </c>
      <c r="D1848" t="s">
        <v>358</v>
      </c>
      <c r="E1848" t="s">
        <v>510</v>
      </c>
      <c r="F1848">
        <v>217</v>
      </c>
      <c r="G1848" t="s">
        <v>360</v>
      </c>
      <c r="H1848">
        <v>6</v>
      </c>
      <c r="I1848" t="s">
        <v>3198</v>
      </c>
      <c r="J1848" t="s">
        <v>294</v>
      </c>
      <c r="M1848" t="s">
        <v>295</v>
      </c>
      <c r="N1848" t="s">
        <v>296</v>
      </c>
      <c r="O1848" t="s">
        <v>297</v>
      </c>
    </row>
    <row r="1849" spans="1:15" x14ac:dyDescent="0.3">
      <c r="A1849" t="s">
        <v>3129</v>
      </c>
      <c r="B1849" t="s">
        <v>3130</v>
      </c>
      <c r="C1849">
        <v>2022</v>
      </c>
      <c r="D1849" t="s">
        <v>358</v>
      </c>
      <c r="E1849" t="s">
        <v>374</v>
      </c>
      <c r="F1849">
        <v>16.579999999999998</v>
      </c>
      <c r="G1849" t="s">
        <v>375</v>
      </c>
      <c r="H1849">
        <v>37</v>
      </c>
      <c r="I1849" t="s">
        <v>3199</v>
      </c>
      <c r="J1849" t="s">
        <v>294</v>
      </c>
      <c r="M1849" t="s">
        <v>295</v>
      </c>
      <c r="N1849" t="s">
        <v>296</v>
      </c>
      <c r="O1849" t="s">
        <v>297</v>
      </c>
    </row>
    <row r="1850" spans="1:15" x14ac:dyDescent="0.3">
      <c r="A1850" t="s">
        <v>3129</v>
      </c>
      <c r="B1850" t="s">
        <v>3130</v>
      </c>
      <c r="C1850">
        <v>2022</v>
      </c>
      <c r="D1850" t="s">
        <v>358</v>
      </c>
      <c r="E1850" t="s">
        <v>3200</v>
      </c>
      <c r="F1850">
        <v>2918</v>
      </c>
      <c r="G1850" t="s">
        <v>360</v>
      </c>
      <c r="H1850">
        <v>37</v>
      </c>
      <c r="I1850" t="s">
        <v>3201</v>
      </c>
      <c r="J1850" t="s">
        <v>294</v>
      </c>
      <c r="M1850" t="s">
        <v>295</v>
      </c>
      <c r="N1850" t="s">
        <v>296</v>
      </c>
      <c r="O1850" t="s">
        <v>297</v>
      </c>
    </row>
    <row r="1851" spans="1:15" x14ac:dyDescent="0.3">
      <c r="A1851" t="s">
        <v>3129</v>
      </c>
      <c r="B1851" t="s">
        <v>3130</v>
      </c>
      <c r="C1851">
        <v>2022</v>
      </c>
      <c r="D1851" t="s">
        <v>358</v>
      </c>
      <c r="E1851" t="s">
        <v>3202</v>
      </c>
      <c r="F1851">
        <v>9782</v>
      </c>
      <c r="G1851" t="s">
        <v>360</v>
      </c>
      <c r="H1851">
        <v>37</v>
      </c>
      <c r="I1851" t="s">
        <v>3203</v>
      </c>
      <c r="J1851" t="s">
        <v>294</v>
      </c>
      <c r="M1851" t="s">
        <v>295</v>
      </c>
      <c r="N1851" t="s">
        <v>296</v>
      </c>
      <c r="O1851" t="s">
        <v>297</v>
      </c>
    </row>
    <row r="1852" spans="1:15" x14ac:dyDescent="0.3">
      <c r="A1852" t="s">
        <v>3129</v>
      </c>
      <c r="B1852" t="s">
        <v>3130</v>
      </c>
      <c r="C1852">
        <v>2022</v>
      </c>
      <c r="D1852" t="s">
        <v>358</v>
      </c>
      <c r="E1852" t="s">
        <v>3204</v>
      </c>
      <c r="F1852">
        <v>433</v>
      </c>
      <c r="G1852" t="s">
        <v>360</v>
      </c>
      <c r="H1852">
        <v>37</v>
      </c>
      <c r="I1852" t="s">
        <v>3205</v>
      </c>
      <c r="J1852" t="s">
        <v>294</v>
      </c>
      <c r="M1852" t="s">
        <v>295</v>
      </c>
      <c r="N1852" t="s">
        <v>296</v>
      </c>
      <c r="O1852" t="s">
        <v>297</v>
      </c>
    </row>
    <row r="1853" spans="1:15" x14ac:dyDescent="0.3">
      <c r="A1853" t="s">
        <v>3129</v>
      </c>
      <c r="B1853" t="s">
        <v>3130</v>
      </c>
      <c r="C1853">
        <v>2022</v>
      </c>
      <c r="D1853" t="s">
        <v>358</v>
      </c>
      <c r="E1853" t="s">
        <v>3206</v>
      </c>
      <c r="F1853">
        <v>1565</v>
      </c>
      <c r="G1853" t="s">
        <v>360</v>
      </c>
      <c r="H1853">
        <v>37</v>
      </c>
      <c r="I1853" t="s">
        <v>3207</v>
      </c>
      <c r="J1853" t="s">
        <v>294</v>
      </c>
      <c r="M1853" t="s">
        <v>295</v>
      </c>
      <c r="N1853" t="s">
        <v>296</v>
      </c>
      <c r="O1853" t="s">
        <v>297</v>
      </c>
    </row>
    <row r="1854" spans="1:15" x14ac:dyDescent="0.3">
      <c r="A1854" t="s">
        <v>3129</v>
      </c>
      <c r="B1854" t="s">
        <v>3130</v>
      </c>
      <c r="C1854">
        <v>2022</v>
      </c>
      <c r="D1854" t="s">
        <v>358</v>
      </c>
      <c r="E1854" t="s">
        <v>3208</v>
      </c>
      <c r="F1854">
        <v>920</v>
      </c>
      <c r="G1854" t="s">
        <v>360</v>
      </c>
      <c r="H1854">
        <v>37</v>
      </c>
      <c r="I1854" t="s">
        <v>3209</v>
      </c>
      <c r="J1854" t="s">
        <v>294</v>
      </c>
      <c r="M1854" t="s">
        <v>295</v>
      </c>
      <c r="N1854" t="s">
        <v>296</v>
      </c>
      <c r="O1854" t="s">
        <v>297</v>
      </c>
    </row>
    <row r="1855" spans="1:15" x14ac:dyDescent="0.3">
      <c r="A1855" t="s">
        <v>3129</v>
      </c>
      <c r="B1855" t="s">
        <v>3130</v>
      </c>
      <c r="C1855">
        <v>2022</v>
      </c>
      <c r="D1855" t="s">
        <v>358</v>
      </c>
      <c r="E1855" t="s">
        <v>3210</v>
      </c>
      <c r="F1855">
        <v>4317</v>
      </c>
      <c r="G1855" t="s">
        <v>360</v>
      </c>
      <c r="H1855">
        <v>37</v>
      </c>
      <c r="I1855" t="s">
        <v>3211</v>
      </c>
      <c r="J1855" t="s">
        <v>294</v>
      </c>
      <c r="M1855" t="s">
        <v>295</v>
      </c>
      <c r="N1855" t="s">
        <v>296</v>
      </c>
      <c r="O1855" t="s">
        <v>297</v>
      </c>
    </row>
    <row r="1856" spans="1:15" x14ac:dyDescent="0.3">
      <c r="A1856" t="s">
        <v>3129</v>
      </c>
      <c r="B1856" t="s">
        <v>3130</v>
      </c>
      <c r="C1856">
        <v>2022</v>
      </c>
      <c r="D1856" t="s">
        <v>358</v>
      </c>
      <c r="E1856" t="s">
        <v>3212</v>
      </c>
      <c r="F1856">
        <v>5465</v>
      </c>
      <c r="G1856" t="s">
        <v>360</v>
      </c>
      <c r="H1856">
        <v>37</v>
      </c>
      <c r="I1856" t="s">
        <v>3213</v>
      </c>
      <c r="J1856" t="s">
        <v>294</v>
      </c>
      <c r="M1856" t="s">
        <v>295</v>
      </c>
      <c r="N1856" t="s">
        <v>296</v>
      </c>
      <c r="O1856" t="s">
        <v>297</v>
      </c>
    </row>
    <row r="1857" spans="1:15" x14ac:dyDescent="0.3">
      <c r="A1857" t="s">
        <v>3129</v>
      </c>
      <c r="B1857" t="s">
        <v>3130</v>
      </c>
      <c r="C1857">
        <v>2022</v>
      </c>
      <c r="D1857" t="s">
        <v>358</v>
      </c>
      <c r="E1857" t="s">
        <v>3214</v>
      </c>
      <c r="F1857">
        <v>8858</v>
      </c>
      <c r="G1857" t="s">
        <v>360</v>
      </c>
      <c r="H1857">
        <v>36</v>
      </c>
      <c r="I1857" t="s">
        <v>3215</v>
      </c>
      <c r="J1857" t="s">
        <v>294</v>
      </c>
      <c r="M1857" t="s">
        <v>295</v>
      </c>
      <c r="N1857" t="s">
        <v>296</v>
      </c>
      <c r="O1857" t="s">
        <v>297</v>
      </c>
    </row>
    <row r="1858" spans="1:15" x14ac:dyDescent="0.3">
      <c r="A1858" t="s">
        <v>3129</v>
      </c>
      <c r="B1858" t="s">
        <v>3130</v>
      </c>
      <c r="C1858">
        <v>2022</v>
      </c>
      <c r="D1858" t="s">
        <v>358</v>
      </c>
      <c r="E1858" t="s">
        <v>3216</v>
      </c>
      <c r="F1858">
        <v>1012</v>
      </c>
      <c r="G1858" t="s">
        <v>360</v>
      </c>
      <c r="H1858">
        <v>36</v>
      </c>
      <c r="I1858" t="s">
        <v>3217</v>
      </c>
      <c r="J1858" t="s">
        <v>294</v>
      </c>
      <c r="M1858" t="s">
        <v>295</v>
      </c>
      <c r="N1858" t="s">
        <v>296</v>
      </c>
      <c r="O1858" t="s">
        <v>297</v>
      </c>
    </row>
    <row r="1859" spans="1:15" x14ac:dyDescent="0.3">
      <c r="A1859" t="s">
        <v>3129</v>
      </c>
      <c r="B1859" t="s">
        <v>3130</v>
      </c>
      <c r="C1859">
        <v>2022</v>
      </c>
      <c r="D1859" t="s">
        <v>358</v>
      </c>
      <c r="E1859" t="s">
        <v>3218</v>
      </c>
      <c r="F1859">
        <v>5000</v>
      </c>
      <c r="G1859" t="s">
        <v>360</v>
      </c>
      <c r="H1859">
        <v>36</v>
      </c>
      <c r="I1859" t="s">
        <v>3219</v>
      </c>
      <c r="J1859" t="s">
        <v>294</v>
      </c>
      <c r="M1859" t="s">
        <v>295</v>
      </c>
      <c r="N1859" t="s">
        <v>296</v>
      </c>
      <c r="O1859" t="s">
        <v>297</v>
      </c>
    </row>
    <row r="1860" spans="1:15" x14ac:dyDescent="0.3">
      <c r="A1860" t="s">
        <v>3129</v>
      </c>
      <c r="B1860" t="s">
        <v>3130</v>
      </c>
      <c r="C1860">
        <v>2022</v>
      </c>
      <c r="D1860" t="s">
        <v>358</v>
      </c>
      <c r="E1860" t="s">
        <v>3220</v>
      </c>
      <c r="F1860">
        <v>90</v>
      </c>
      <c r="G1860" t="s">
        <v>3221</v>
      </c>
      <c r="H1860">
        <v>36</v>
      </c>
      <c r="I1860" t="s">
        <v>3222</v>
      </c>
      <c r="J1860" t="s">
        <v>294</v>
      </c>
      <c r="M1860" t="s">
        <v>295</v>
      </c>
      <c r="N1860" t="s">
        <v>296</v>
      </c>
      <c r="O1860" t="s">
        <v>297</v>
      </c>
    </row>
    <row r="1861" spans="1:15" x14ac:dyDescent="0.3">
      <c r="A1861" t="s">
        <v>3129</v>
      </c>
      <c r="B1861" t="s">
        <v>3130</v>
      </c>
      <c r="C1861">
        <v>2022</v>
      </c>
      <c r="D1861" t="s">
        <v>358</v>
      </c>
      <c r="E1861" t="s">
        <v>3223</v>
      </c>
      <c r="F1861">
        <v>1</v>
      </c>
      <c r="G1861" t="s">
        <v>384</v>
      </c>
      <c r="H1861">
        <v>36</v>
      </c>
      <c r="I1861" t="s">
        <v>3224</v>
      </c>
      <c r="J1861" t="s">
        <v>294</v>
      </c>
      <c r="M1861" t="s">
        <v>295</v>
      </c>
      <c r="N1861" t="s">
        <v>296</v>
      </c>
      <c r="O1861" t="s">
        <v>297</v>
      </c>
    </row>
    <row r="1862" spans="1:15" x14ac:dyDescent="0.3">
      <c r="A1862" t="s">
        <v>3129</v>
      </c>
      <c r="B1862" t="s">
        <v>3130</v>
      </c>
      <c r="C1862">
        <v>2022</v>
      </c>
      <c r="D1862" t="s">
        <v>394</v>
      </c>
      <c r="E1862" t="s">
        <v>3225</v>
      </c>
      <c r="F1862">
        <v>189719</v>
      </c>
      <c r="G1862" t="s">
        <v>396</v>
      </c>
      <c r="H1862">
        <v>6</v>
      </c>
      <c r="I1862" t="s">
        <v>3226</v>
      </c>
      <c r="J1862" t="s">
        <v>294</v>
      </c>
      <c r="M1862" t="s">
        <v>295</v>
      </c>
      <c r="N1862" t="s">
        <v>296</v>
      </c>
      <c r="O1862" t="s">
        <v>297</v>
      </c>
    </row>
    <row r="1863" spans="1:15" x14ac:dyDescent="0.3">
      <c r="A1863" t="s">
        <v>3129</v>
      </c>
      <c r="B1863" t="s">
        <v>3130</v>
      </c>
      <c r="C1863">
        <v>2022</v>
      </c>
      <c r="D1863" t="s">
        <v>394</v>
      </c>
      <c r="E1863" t="s">
        <v>3227</v>
      </c>
      <c r="F1863">
        <v>12941</v>
      </c>
      <c r="G1863" t="s">
        <v>396</v>
      </c>
      <c r="H1863">
        <v>6</v>
      </c>
      <c r="I1863" t="s">
        <v>3228</v>
      </c>
      <c r="J1863" t="s">
        <v>294</v>
      </c>
      <c r="M1863" t="s">
        <v>295</v>
      </c>
      <c r="N1863" t="s">
        <v>296</v>
      </c>
      <c r="O1863" t="s">
        <v>297</v>
      </c>
    </row>
    <row r="1864" spans="1:15" x14ac:dyDescent="0.3">
      <c r="A1864" t="s">
        <v>3129</v>
      </c>
      <c r="B1864" t="s">
        <v>3130</v>
      </c>
      <c r="C1864">
        <v>2022</v>
      </c>
      <c r="D1864" t="s">
        <v>394</v>
      </c>
      <c r="E1864" t="s">
        <v>3229</v>
      </c>
      <c r="F1864">
        <v>176779</v>
      </c>
      <c r="G1864" t="s">
        <v>396</v>
      </c>
      <c r="H1864">
        <v>6</v>
      </c>
      <c r="I1864" t="s">
        <v>3230</v>
      </c>
      <c r="J1864" t="s">
        <v>294</v>
      </c>
      <c r="M1864" t="s">
        <v>295</v>
      </c>
      <c r="N1864" t="s">
        <v>296</v>
      </c>
      <c r="O1864" t="s">
        <v>297</v>
      </c>
    </row>
    <row r="1865" spans="1:15" x14ac:dyDescent="0.3">
      <c r="A1865" t="s">
        <v>3129</v>
      </c>
      <c r="B1865" t="s">
        <v>3130</v>
      </c>
      <c r="C1865">
        <v>2022</v>
      </c>
      <c r="D1865" t="s">
        <v>394</v>
      </c>
      <c r="E1865" t="s">
        <v>3231</v>
      </c>
      <c r="F1865">
        <v>34068</v>
      </c>
      <c r="G1865" t="s">
        <v>396</v>
      </c>
      <c r="H1865">
        <v>6</v>
      </c>
      <c r="I1865" t="s">
        <v>3232</v>
      </c>
      <c r="J1865" t="s">
        <v>294</v>
      </c>
      <c r="M1865" t="s">
        <v>295</v>
      </c>
      <c r="N1865" t="s">
        <v>296</v>
      </c>
      <c r="O1865" t="s">
        <v>297</v>
      </c>
    </row>
    <row r="1866" spans="1:15" x14ac:dyDescent="0.3">
      <c r="A1866" t="s">
        <v>3129</v>
      </c>
      <c r="B1866" t="s">
        <v>3130</v>
      </c>
      <c r="C1866">
        <v>2022</v>
      </c>
      <c r="D1866" t="s">
        <v>394</v>
      </c>
      <c r="E1866" t="s">
        <v>537</v>
      </c>
      <c r="F1866">
        <v>210847</v>
      </c>
      <c r="G1866" t="s">
        <v>396</v>
      </c>
      <c r="H1866">
        <v>6</v>
      </c>
      <c r="I1866" t="s">
        <v>3233</v>
      </c>
      <c r="J1866" t="s">
        <v>294</v>
      </c>
      <c r="M1866" t="s">
        <v>295</v>
      </c>
      <c r="N1866" t="s">
        <v>296</v>
      </c>
      <c r="O1866" t="s">
        <v>297</v>
      </c>
    </row>
    <row r="1867" spans="1:15" x14ac:dyDescent="0.3">
      <c r="A1867" t="s">
        <v>3129</v>
      </c>
      <c r="B1867" t="s">
        <v>3130</v>
      </c>
      <c r="C1867">
        <v>2022</v>
      </c>
      <c r="D1867" t="s">
        <v>394</v>
      </c>
      <c r="E1867" t="s">
        <v>3234</v>
      </c>
      <c r="F1867">
        <v>14.94</v>
      </c>
      <c r="G1867" t="s">
        <v>423</v>
      </c>
      <c r="H1867">
        <v>6</v>
      </c>
      <c r="I1867" t="s">
        <v>3235</v>
      </c>
      <c r="J1867" t="s">
        <v>294</v>
      </c>
      <c r="M1867" t="s">
        <v>295</v>
      </c>
      <c r="N1867" t="s">
        <v>296</v>
      </c>
      <c r="O1867" t="s">
        <v>297</v>
      </c>
    </row>
    <row r="1868" spans="1:15" x14ac:dyDescent="0.3">
      <c r="A1868" t="s">
        <v>3129</v>
      </c>
      <c r="B1868" t="s">
        <v>3130</v>
      </c>
      <c r="C1868">
        <v>2022</v>
      </c>
      <c r="D1868" t="s">
        <v>394</v>
      </c>
      <c r="E1868" t="s">
        <v>406</v>
      </c>
      <c r="F1868">
        <v>48841</v>
      </c>
      <c r="G1868" t="s">
        <v>396</v>
      </c>
      <c r="H1868">
        <v>6</v>
      </c>
      <c r="I1868" t="s">
        <v>3236</v>
      </c>
      <c r="J1868" t="s">
        <v>294</v>
      </c>
      <c r="M1868" t="s">
        <v>295</v>
      </c>
      <c r="N1868" t="s">
        <v>296</v>
      </c>
      <c r="O1868" t="s">
        <v>297</v>
      </c>
    </row>
    <row r="1869" spans="1:15" x14ac:dyDescent="0.3">
      <c r="A1869" t="s">
        <v>3129</v>
      </c>
      <c r="B1869" t="s">
        <v>3130</v>
      </c>
      <c r="C1869">
        <v>2022</v>
      </c>
      <c r="D1869" t="s">
        <v>394</v>
      </c>
      <c r="E1869" t="s">
        <v>416</v>
      </c>
      <c r="F1869">
        <v>9517</v>
      </c>
      <c r="G1869" t="s">
        <v>396</v>
      </c>
      <c r="H1869">
        <v>6</v>
      </c>
      <c r="I1869" t="s">
        <v>3237</v>
      </c>
      <c r="J1869" t="s">
        <v>294</v>
      </c>
      <c r="M1869" t="s">
        <v>295</v>
      </c>
      <c r="N1869" t="s">
        <v>296</v>
      </c>
      <c r="O1869" t="s">
        <v>297</v>
      </c>
    </row>
    <row r="1870" spans="1:15" x14ac:dyDescent="0.3">
      <c r="A1870" t="s">
        <v>3129</v>
      </c>
      <c r="B1870" t="s">
        <v>3130</v>
      </c>
      <c r="C1870">
        <v>2022</v>
      </c>
      <c r="D1870" t="s">
        <v>394</v>
      </c>
      <c r="E1870" t="s">
        <v>3238</v>
      </c>
      <c r="F1870">
        <v>0.2316</v>
      </c>
      <c r="G1870" t="s">
        <v>334</v>
      </c>
      <c r="H1870">
        <v>6</v>
      </c>
      <c r="I1870" t="s">
        <v>3239</v>
      </c>
      <c r="J1870" t="s">
        <v>294</v>
      </c>
      <c r="M1870" t="s">
        <v>295</v>
      </c>
      <c r="N1870" t="s">
        <v>296</v>
      </c>
      <c r="O1870" t="s">
        <v>297</v>
      </c>
    </row>
    <row r="1871" spans="1:15" x14ac:dyDescent="0.3">
      <c r="A1871" t="s">
        <v>3129</v>
      </c>
      <c r="B1871" t="s">
        <v>3130</v>
      </c>
      <c r="C1871">
        <v>2022</v>
      </c>
      <c r="D1871" t="s">
        <v>394</v>
      </c>
      <c r="E1871" t="s">
        <v>3240</v>
      </c>
      <c r="F1871">
        <v>4.5100000000000001E-2</v>
      </c>
      <c r="G1871" t="s">
        <v>334</v>
      </c>
      <c r="H1871">
        <v>6</v>
      </c>
      <c r="I1871" t="s">
        <v>3241</v>
      </c>
      <c r="J1871" t="s">
        <v>294</v>
      </c>
      <c r="M1871" t="s">
        <v>295</v>
      </c>
      <c r="N1871" t="s">
        <v>296</v>
      </c>
      <c r="O1871" t="s">
        <v>297</v>
      </c>
    </row>
    <row r="1872" spans="1:15" x14ac:dyDescent="0.3">
      <c r="A1872" t="s">
        <v>3129</v>
      </c>
      <c r="B1872" t="s">
        <v>3130</v>
      </c>
      <c r="C1872">
        <v>2022</v>
      </c>
      <c r="D1872" t="s">
        <v>394</v>
      </c>
      <c r="E1872" t="s">
        <v>438</v>
      </c>
      <c r="F1872">
        <v>38659</v>
      </c>
      <c r="G1872" t="s">
        <v>396</v>
      </c>
      <c r="H1872">
        <v>6</v>
      </c>
      <c r="I1872" t="s">
        <v>3242</v>
      </c>
      <c r="J1872" t="s">
        <v>294</v>
      </c>
      <c r="M1872" t="s">
        <v>295</v>
      </c>
      <c r="N1872" t="s">
        <v>296</v>
      </c>
      <c r="O1872" t="s">
        <v>297</v>
      </c>
    </row>
    <row r="1873" spans="1:15" x14ac:dyDescent="0.3">
      <c r="A1873" t="s">
        <v>3129</v>
      </c>
      <c r="B1873" t="s">
        <v>3130</v>
      </c>
      <c r="C1873">
        <v>2022</v>
      </c>
      <c r="D1873" t="s">
        <v>394</v>
      </c>
      <c r="E1873" t="s">
        <v>3243</v>
      </c>
      <c r="F1873">
        <v>8496</v>
      </c>
      <c r="G1873" t="s">
        <v>396</v>
      </c>
      <c r="H1873">
        <v>6</v>
      </c>
      <c r="I1873" t="s">
        <v>3244</v>
      </c>
      <c r="J1873" t="s">
        <v>294</v>
      </c>
      <c r="M1873" t="s">
        <v>295</v>
      </c>
      <c r="N1873" t="s">
        <v>296</v>
      </c>
      <c r="O1873" t="s">
        <v>297</v>
      </c>
    </row>
    <row r="1874" spans="1:15" x14ac:dyDescent="0.3">
      <c r="A1874" t="s">
        <v>3129</v>
      </c>
      <c r="B1874" t="s">
        <v>3130</v>
      </c>
      <c r="C1874">
        <v>2022</v>
      </c>
      <c r="D1874" t="s">
        <v>394</v>
      </c>
      <c r="E1874" t="s">
        <v>554</v>
      </c>
      <c r="F1874">
        <v>11917</v>
      </c>
      <c r="G1874" t="s">
        <v>436</v>
      </c>
      <c r="H1874">
        <v>44</v>
      </c>
      <c r="I1874" t="s">
        <v>3245</v>
      </c>
      <c r="J1874" t="s">
        <v>294</v>
      </c>
      <c r="M1874" t="s">
        <v>295</v>
      </c>
      <c r="N1874" t="s">
        <v>296</v>
      </c>
      <c r="O1874" t="s">
        <v>297</v>
      </c>
    </row>
    <row r="1875" spans="1:15" x14ac:dyDescent="0.3">
      <c r="A1875" t="s">
        <v>3129</v>
      </c>
      <c r="B1875" t="s">
        <v>3130</v>
      </c>
      <c r="C1875">
        <v>2022</v>
      </c>
      <c r="D1875" t="s">
        <v>394</v>
      </c>
      <c r="E1875" t="s">
        <v>3246</v>
      </c>
      <c r="F1875">
        <v>7567</v>
      </c>
      <c r="G1875" t="s">
        <v>436</v>
      </c>
      <c r="H1875">
        <v>44</v>
      </c>
      <c r="I1875" t="s">
        <v>3247</v>
      </c>
      <c r="J1875" t="s">
        <v>294</v>
      </c>
      <c r="M1875" t="s">
        <v>295</v>
      </c>
      <c r="N1875" t="s">
        <v>296</v>
      </c>
      <c r="O1875" t="s">
        <v>297</v>
      </c>
    </row>
    <row r="1876" spans="1:15" x14ac:dyDescent="0.3">
      <c r="A1876" t="s">
        <v>3129</v>
      </c>
      <c r="B1876" t="s">
        <v>3130</v>
      </c>
      <c r="C1876">
        <v>2022</v>
      </c>
      <c r="D1876" t="s">
        <v>394</v>
      </c>
      <c r="E1876" t="s">
        <v>3248</v>
      </c>
      <c r="F1876">
        <v>2298</v>
      </c>
      <c r="G1876" t="s">
        <v>436</v>
      </c>
      <c r="H1876">
        <v>44</v>
      </c>
      <c r="I1876" t="s">
        <v>3249</v>
      </c>
      <c r="J1876" t="s">
        <v>294</v>
      </c>
      <c r="M1876" t="s">
        <v>295</v>
      </c>
      <c r="N1876" t="s">
        <v>296</v>
      </c>
      <c r="O1876" t="s">
        <v>297</v>
      </c>
    </row>
    <row r="1877" spans="1:15" x14ac:dyDescent="0.3">
      <c r="A1877" t="s">
        <v>3129</v>
      </c>
      <c r="B1877" t="s">
        <v>3130</v>
      </c>
      <c r="C1877">
        <v>2022</v>
      </c>
      <c r="D1877" t="s">
        <v>394</v>
      </c>
      <c r="E1877" t="s">
        <v>3250</v>
      </c>
      <c r="F1877" t="s">
        <v>3251</v>
      </c>
      <c r="G1877" t="s">
        <v>292</v>
      </c>
      <c r="H1877">
        <v>45</v>
      </c>
      <c r="I1877" t="s">
        <v>3252</v>
      </c>
      <c r="J1877" t="s">
        <v>294</v>
      </c>
      <c r="M1877" t="s">
        <v>295</v>
      </c>
      <c r="N1877" t="s">
        <v>296</v>
      </c>
      <c r="O1877" t="s">
        <v>297</v>
      </c>
    </row>
    <row r="1878" spans="1:15" x14ac:dyDescent="0.3">
      <c r="A1878" t="s">
        <v>3129</v>
      </c>
      <c r="B1878" t="s">
        <v>3130</v>
      </c>
      <c r="C1878">
        <v>2022</v>
      </c>
      <c r="D1878" t="s">
        <v>252</v>
      </c>
      <c r="E1878" t="s">
        <v>3253</v>
      </c>
      <c r="F1878" t="s">
        <v>3254</v>
      </c>
      <c r="G1878" t="s">
        <v>292</v>
      </c>
      <c r="H1878">
        <v>22</v>
      </c>
      <c r="I1878" t="s">
        <v>3255</v>
      </c>
      <c r="J1878" t="s">
        <v>294</v>
      </c>
      <c r="M1878" t="s">
        <v>295</v>
      </c>
      <c r="N1878" t="s">
        <v>296</v>
      </c>
      <c r="O1878" t="s">
        <v>297</v>
      </c>
    </row>
    <row r="1879" spans="1:15" x14ac:dyDescent="0.3">
      <c r="A1879" t="s">
        <v>3129</v>
      </c>
      <c r="B1879" t="s">
        <v>3130</v>
      </c>
      <c r="C1879">
        <v>2022</v>
      </c>
      <c r="D1879" t="s">
        <v>252</v>
      </c>
      <c r="E1879" t="s">
        <v>3256</v>
      </c>
      <c r="F1879" t="s">
        <v>3257</v>
      </c>
      <c r="G1879" t="s">
        <v>292</v>
      </c>
      <c r="H1879">
        <v>16</v>
      </c>
      <c r="I1879" t="s">
        <v>3258</v>
      </c>
      <c r="J1879" t="s">
        <v>294</v>
      </c>
      <c r="M1879" t="s">
        <v>295</v>
      </c>
      <c r="N1879" t="s">
        <v>296</v>
      </c>
      <c r="O1879" t="s">
        <v>297</v>
      </c>
    </row>
    <row r="1880" spans="1:15" x14ac:dyDescent="0.3">
      <c r="A1880" t="s">
        <v>3129</v>
      </c>
      <c r="B1880" t="s">
        <v>3259</v>
      </c>
      <c r="C1880">
        <v>2023</v>
      </c>
      <c r="D1880" t="s">
        <v>272</v>
      </c>
      <c r="E1880" t="s">
        <v>291</v>
      </c>
      <c r="F1880" t="s">
        <v>3129</v>
      </c>
      <c r="G1880" t="s">
        <v>292</v>
      </c>
      <c r="H1880">
        <v>29</v>
      </c>
      <c r="I1880" t="s">
        <v>3131</v>
      </c>
      <c r="J1880" t="s">
        <v>294</v>
      </c>
      <c r="M1880" t="s">
        <v>295</v>
      </c>
      <c r="N1880" t="s">
        <v>296</v>
      </c>
      <c r="O1880" t="s">
        <v>297</v>
      </c>
    </row>
    <row r="1881" spans="1:15" x14ac:dyDescent="0.3">
      <c r="A1881" t="s">
        <v>3129</v>
      </c>
      <c r="B1881" t="s">
        <v>3259</v>
      </c>
      <c r="C1881">
        <v>2023</v>
      </c>
      <c r="D1881" t="s">
        <v>272</v>
      </c>
      <c r="E1881" t="s">
        <v>442</v>
      </c>
      <c r="F1881" t="s">
        <v>3132</v>
      </c>
      <c r="G1881" t="s">
        <v>334</v>
      </c>
      <c r="H1881">
        <v>10</v>
      </c>
      <c r="I1881" t="s">
        <v>3133</v>
      </c>
      <c r="J1881" t="s">
        <v>294</v>
      </c>
      <c r="M1881" t="s">
        <v>295</v>
      </c>
      <c r="N1881" t="s">
        <v>296</v>
      </c>
      <c r="O1881" t="s">
        <v>297</v>
      </c>
    </row>
    <row r="1882" spans="1:15" x14ac:dyDescent="0.3">
      <c r="A1882" t="s">
        <v>3129</v>
      </c>
      <c r="B1882" t="s">
        <v>3259</v>
      </c>
      <c r="C1882">
        <v>2023</v>
      </c>
      <c r="D1882" t="s">
        <v>272</v>
      </c>
      <c r="E1882" t="s">
        <v>3134</v>
      </c>
      <c r="F1882" t="s">
        <v>3135</v>
      </c>
      <c r="G1882" t="s">
        <v>334</v>
      </c>
      <c r="H1882">
        <v>10</v>
      </c>
      <c r="I1882" t="s">
        <v>3136</v>
      </c>
      <c r="J1882" t="s">
        <v>294</v>
      </c>
      <c r="M1882" t="s">
        <v>295</v>
      </c>
      <c r="N1882" t="s">
        <v>296</v>
      </c>
      <c r="O1882" t="s">
        <v>297</v>
      </c>
    </row>
    <row r="1883" spans="1:15" x14ac:dyDescent="0.3">
      <c r="A1883" t="s">
        <v>3129</v>
      </c>
      <c r="B1883" t="s">
        <v>3259</v>
      </c>
      <c r="C1883">
        <v>2023</v>
      </c>
      <c r="D1883" t="s">
        <v>272</v>
      </c>
      <c r="E1883" t="s">
        <v>445</v>
      </c>
      <c r="F1883">
        <v>0.35110000000000002</v>
      </c>
      <c r="G1883" t="s">
        <v>334</v>
      </c>
      <c r="H1883">
        <v>10</v>
      </c>
      <c r="I1883" t="s">
        <v>3260</v>
      </c>
      <c r="J1883" t="s">
        <v>294</v>
      </c>
      <c r="M1883" t="s">
        <v>295</v>
      </c>
      <c r="N1883" t="s">
        <v>296</v>
      </c>
      <c r="O1883" t="s">
        <v>297</v>
      </c>
    </row>
    <row r="1884" spans="1:15" x14ac:dyDescent="0.3">
      <c r="A1884" t="s">
        <v>3129</v>
      </c>
      <c r="B1884" t="s">
        <v>3259</v>
      </c>
      <c r="C1884">
        <v>2023</v>
      </c>
      <c r="D1884" t="s">
        <v>272</v>
      </c>
      <c r="E1884" t="s">
        <v>3140</v>
      </c>
      <c r="F1884">
        <v>21335</v>
      </c>
      <c r="G1884" t="s">
        <v>384</v>
      </c>
      <c r="H1884">
        <v>10</v>
      </c>
      <c r="I1884" t="s">
        <v>3261</v>
      </c>
      <c r="J1884" t="s">
        <v>294</v>
      </c>
      <c r="M1884" t="s">
        <v>295</v>
      </c>
      <c r="N1884" t="s">
        <v>296</v>
      </c>
      <c r="O1884" t="s">
        <v>297</v>
      </c>
    </row>
    <row r="1885" spans="1:15" x14ac:dyDescent="0.3">
      <c r="A1885" t="s">
        <v>3129</v>
      </c>
      <c r="B1885" t="s">
        <v>3259</v>
      </c>
      <c r="C1885">
        <v>2023</v>
      </c>
      <c r="D1885" t="s">
        <v>272</v>
      </c>
      <c r="E1885" t="s">
        <v>3262</v>
      </c>
      <c r="F1885" t="s">
        <v>3263</v>
      </c>
      <c r="G1885" t="s">
        <v>292</v>
      </c>
      <c r="H1885">
        <v>31</v>
      </c>
      <c r="I1885" t="s">
        <v>3264</v>
      </c>
      <c r="J1885" t="s">
        <v>294</v>
      </c>
      <c r="M1885" t="s">
        <v>295</v>
      </c>
      <c r="N1885" t="s">
        <v>296</v>
      </c>
      <c r="O1885" t="s">
        <v>297</v>
      </c>
    </row>
    <row r="1886" spans="1:15" x14ac:dyDescent="0.3">
      <c r="A1886" t="s">
        <v>3129</v>
      </c>
      <c r="B1886" t="s">
        <v>3259</v>
      </c>
      <c r="C1886">
        <v>2023</v>
      </c>
      <c r="D1886" t="s">
        <v>300</v>
      </c>
      <c r="E1886" t="s">
        <v>3142</v>
      </c>
      <c r="F1886">
        <v>744.3</v>
      </c>
      <c r="G1886" t="s">
        <v>302</v>
      </c>
      <c r="H1886">
        <v>8</v>
      </c>
      <c r="I1886" t="s">
        <v>3265</v>
      </c>
      <c r="J1886" t="s">
        <v>294</v>
      </c>
      <c r="M1886" t="s">
        <v>295</v>
      </c>
      <c r="N1886" t="s">
        <v>296</v>
      </c>
      <c r="O1886" t="s">
        <v>297</v>
      </c>
    </row>
    <row r="1887" spans="1:15" x14ac:dyDescent="0.3">
      <c r="A1887" t="s">
        <v>3129</v>
      </c>
      <c r="B1887" t="s">
        <v>3259</v>
      </c>
      <c r="C1887">
        <v>2023</v>
      </c>
      <c r="D1887" t="s">
        <v>300</v>
      </c>
      <c r="E1887" t="s">
        <v>3144</v>
      </c>
      <c r="F1887">
        <v>659</v>
      </c>
      <c r="G1887" t="s">
        <v>302</v>
      </c>
      <c r="H1887">
        <v>44</v>
      </c>
      <c r="I1887" t="s">
        <v>3266</v>
      </c>
      <c r="J1887" t="s">
        <v>294</v>
      </c>
      <c r="M1887" t="s">
        <v>295</v>
      </c>
      <c r="N1887" t="s">
        <v>296</v>
      </c>
      <c r="O1887" t="s">
        <v>297</v>
      </c>
    </row>
    <row r="1888" spans="1:15" x14ac:dyDescent="0.3">
      <c r="A1888" t="s">
        <v>3129</v>
      </c>
      <c r="B1888" t="s">
        <v>3259</v>
      </c>
      <c r="C1888">
        <v>2023</v>
      </c>
      <c r="D1888" t="s">
        <v>300</v>
      </c>
      <c r="E1888" t="s">
        <v>3146</v>
      </c>
      <c r="F1888">
        <v>62.1</v>
      </c>
      <c r="G1888" t="s">
        <v>302</v>
      </c>
      <c r="H1888">
        <v>44</v>
      </c>
      <c r="I1888" t="s">
        <v>3267</v>
      </c>
      <c r="J1888" t="s">
        <v>294</v>
      </c>
      <c r="M1888" t="s">
        <v>295</v>
      </c>
      <c r="N1888" t="s">
        <v>296</v>
      </c>
      <c r="O1888" t="s">
        <v>297</v>
      </c>
    </row>
    <row r="1889" spans="1:15" x14ac:dyDescent="0.3">
      <c r="A1889" t="s">
        <v>3129</v>
      </c>
      <c r="B1889" t="s">
        <v>3259</v>
      </c>
      <c r="C1889">
        <v>2023</v>
      </c>
      <c r="D1889" t="s">
        <v>300</v>
      </c>
      <c r="E1889" t="s">
        <v>3148</v>
      </c>
      <c r="F1889">
        <v>23.2</v>
      </c>
      <c r="G1889" t="s">
        <v>302</v>
      </c>
      <c r="H1889">
        <v>44</v>
      </c>
      <c r="I1889" t="s">
        <v>3268</v>
      </c>
      <c r="J1889" t="s">
        <v>294</v>
      </c>
      <c r="M1889" t="s">
        <v>295</v>
      </c>
      <c r="N1889" t="s">
        <v>296</v>
      </c>
      <c r="O1889" t="s">
        <v>297</v>
      </c>
    </row>
    <row r="1890" spans="1:15" x14ac:dyDescent="0.3">
      <c r="A1890" t="s">
        <v>3129</v>
      </c>
      <c r="B1890" t="s">
        <v>3259</v>
      </c>
      <c r="C1890">
        <v>2023</v>
      </c>
      <c r="D1890" t="s">
        <v>300</v>
      </c>
      <c r="E1890" t="s">
        <v>688</v>
      </c>
      <c r="F1890">
        <v>650.70000000000005</v>
      </c>
      <c r="G1890" t="s">
        <v>302</v>
      </c>
      <c r="H1890">
        <v>46</v>
      </c>
      <c r="I1890" t="s">
        <v>3269</v>
      </c>
      <c r="J1890" t="s">
        <v>294</v>
      </c>
      <c r="M1890" t="s">
        <v>295</v>
      </c>
      <c r="N1890" t="s">
        <v>296</v>
      </c>
      <c r="O1890" t="s">
        <v>297</v>
      </c>
    </row>
    <row r="1891" spans="1:15" x14ac:dyDescent="0.3">
      <c r="A1891" t="s">
        <v>3129</v>
      </c>
      <c r="B1891" t="s">
        <v>3259</v>
      </c>
      <c r="C1891">
        <v>2023</v>
      </c>
      <c r="D1891" t="s">
        <v>300</v>
      </c>
      <c r="E1891" t="s">
        <v>304</v>
      </c>
      <c r="F1891">
        <v>93.6</v>
      </c>
      <c r="G1891" t="s">
        <v>302</v>
      </c>
      <c r="H1891">
        <v>8</v>
      </c>
      <c r="I1891" t="s">
        <v>3270</v>
      </c>
      <c r="J1891" t="s">
        <v>294</v>
      </c>
      <c r="M1891" t="s">
        <v>295</v>
      </c>
      <c r="N1891" t="s">
        <v>296</v>
      </c>
      <c r="O1891" t="s">
        <v>297</v>
      </c>
    </row>
    <row r="1892" spans="1:15" x14ac:dyDescent="0.3">
      <c r="A1892" t="s">
        <v>3129</v>
      </c>
      <c r="B1892" t="s">
        <v>3259</v>
      </c>
      <c r="C1892">
        <v>2023</v>
      </c>
      <c r="D1892" t="s">
        <v>300</v>
      </c>
      <c r="E1892" t="s">
        <v>3152</v>
      </c>
      <c r="F1892">
        <v>44.4</v>
      </c>
      <c r="G1892" t="s">
        <v>302</v>
      </c>
      <c r="H1892">
        <v>8</v>
      </c>
      <c r="I1892" t="s">
        <v>3271</v>
      </c>
      <c r="J1892" t="s">
        <v>294</v>
      </c>
      <c r="M1892" t="s">
        <v>295</v>
      </c>
      <c r="N1892" t="s">
        <v>296</v>
      </c>
      <c r="O1892" t="s">
        <v>297</v>
      </c>
    </row>
    <row r="1893" spans="1:15" x14ac:dyDescent="0.3">
      <c r="A1893" t="s">
        <v>3129</v>
      </c>
      <c r="B1893" t="s">
        <v>3259</v>
      </c>
      <c r="C1893">
        <v>2023</v>
      </c>
      <c r="D1893" t="s">
        <v>300</v>
      </c>
      <c r="E1893" t="s">
        <v>880</v>
      </c>
      <c r="F1893">
        <v>169.2</v>
      </c>
      <c r="G1893" t="s">
        <v>302</v>
      </c>
      <c r="H1893">
        <v>8</v>
      </c>
      <c r="I1893" t="s">
        <v>3272</v>
      </c>
      <c r="J1893" t="s">
        <v>294</v>
      </c>
      <c r="M1893" t="s">
        <v>295</v>
      </c>
      <c r="N1893" t="s">
        <v>296</v>
      </c>
      <c r="O1893" t="s">
        <v>297</v>
      </c>
    </row>
    <row r="1894" spans="1:15" x14ac:dyDescent="0.3">
      <c r="A1894" t="s">
        <v>3129</v>
      </c>
      <c r="B1894" t="s">
        <v>3259</v>
      </c>
      <c r="C1894">
        <v>2023</v>
      </c>
      <c r="D1894" t="s">
        <v>300</v>
      </c>
      <c r="E1894" t="s">
        <v>306</v>
      </c>
      <c r="F1894">
        <v>2.4</v>
      </c>
      <c r="G1894" t="s">
        <v>302</v>
      </c>
      <c r="H1894">
        <v>8</v>
      </c>
      <c r="I1894" t="s">
        <v>3273</v>
      </c>
      <c r="J1894" t="s">
        <v>294</v>
      </c>
      <c r="M1894" t="s">
        <v>295</v>
      </c>
      <c r="N1894" t="s">
        <v>296</v>
      </c>
      <c r="O1894" t="s">
        <v>297</v>
      </c>
    </row>
    <row r="1895" spans="1:15" x14ac:dyDescent="0.3">
      <c r="A1895" t="s">
        <v>3129</v>
      </c>
      <c r="B1895" t="s">
        <v>3259</v>
      </c>
      <c r="C1895">
        <v>2023</v>
      </c>
      <c r="D1895" t="s">
        <v>300</v>
      </c>
      <c r="E1895" t="s">
        <v>308</v>
      </c>
      <c r="F1895">
        <v>2.1</v>
      </c>
      <c r="G1895" t="s">
        <v>302</v>
      </c>
      <c r="H1895">
        <v>8</v>
      </c>
      <c r="I1895" t="s">
        <v>3274</v>
      </c>
      <c r="J1895" t="s">
        <v>294</v>
      </c>
      <c r="M1895" t="s">
        <v>295</v>
      </c>
      <c r="N1895" t="s">
        <v>296</v>
      </c>
      <c r="O1895" t="s">
        <v>297</v>
      </c>
    </row>
    <row r="1896" spans="1:15" x14ac:dyDescent="0.3">
      <c r="A1896" t="s">
        <v>3129</v>
      </c>
      <c r="B1896" t="s">
        <v>3259</v>
      </c>
      <c r="C1896">
        <v>2023</v>
      </c>
      <c r="D1896" t="s">
        <v>300</v>
      </c>
      <c r="E1896" t="s">
        <v>3157</v>
      </c>
      <c r="F1896">
        <v>15.7</v>
      </c>
      <c r="G1896" t="s">
        <v>302</v>
      </c>
      <c r="H1896">
        <v>8</v>
      </c>
      <c r="I1896" t="s">
        <v>3275</v>
      </c>
      <c r="J1896" t="s">
        <v>294</v>
      </c>
      <c r="M1896" t="s">
        <v>295</v>
      </c>
      <c r="N1896" t="s">
        <v>296</v>
      </c>
      <c r="O1896" t="s">
        <v>297</v>
      </c>
    </row>
    <row r="1897" spans="1:15" x14ac:dyDescent="0.3">
      <c r="A1897" t="s">
        <v>3129</v>
      </c>
      <c r="B1897" t="s">
        <v>3259</v>
      </c>
      <c r="C1897">
        <v>2023</v>
      </c>
      <c r="D1897" t="s">
        <v>300</v>
      </c>
      <c r="E1897" t="s">
        <v>316</v>
      </c>
      <c r="F1897">
        <v>2118.1999999999998</v>
      </c>
      <c r="G1897" t="s">
        <v>302</v>
      </c>
      <c r="H1897">
        <v>8</v>
      </c>
      <c r="I1897" t="s">
        <v>3276</v>
      </c>
      <c r="J1897" t="s">
        <v>294</v>
      </c>
      <c r="M1897" t="s">
        <v>295</v>
      </c>
      <c r="N1897" t="s">
        <v>296</v>
      </c>
      <c r="O1897" t="s">
        <v>297</v>
      </c>
    </row>
    <row r="1898" spans="1:15" x14ac:dyDescent="0.3">
      <c r="A1898" t="s">
        <v>3129</v>
      </c>
      <c r="B1898" t="s">
        <v>3259</v>
      </c>
      <c r="C1898">
        <v>2023</v>
      </c>
      <c r="D1898" t="s">
        <v>300</v>
      </c>
      <c r="E1898" t="s">
        <v>3160</v>
      </c>
      <c r="F1898">
        <v>788.4</v>
      </c>
      <c r="G1898" t="s">
        <v>302</v>
      </c>
      <c r="H1898">
        <v>8</v>
      </c>
      <c r="I1898" t="s">
        <v>3277</v>
      </c>
      <c r="J1898" t="s">
        <v>294</v>
      </c>
      <c r="M1898" t="s">
        <v>295</v>
      </c>
      <c r="N1898" t="s">
        <v>296</v>
      </c>
      <c r="O1898" t="s">
        <v>297</v>
      </c>
    </row>
    <row r="1899" spans="1:15" x14ac:dyDescent="0.3">
      <c r="A1899" t="s">
        <v>3129</v>
      </c>
      <c r="B1899" t="s">
        <v>3259</v>
      </c>
      <c r="C1899">
        <v>2023</v>
      </c>
      <c r="D1899" t="s">
        <v>300</v>
      </c>
      <c r="E1899" t="s">
        <v>1122</v>
      </c>
      <c r="F1899">
        <v>514.6</v>
      </c>
      <c r="G1899" t="s">
        <v>302</v>
      </c>
      <c r="H1899">
        <v>8</v>
      </c>
      <c r="I1899" t="s">
        <v>3278</v>
      </c>
      <c r="J1899" t="s">
        <v>294</v>
      </c>
      <c r="M1899" t="s">
        <v>295</v>
      </c>
      <c r="N1899" t="s">
        <v>296</v>
      </c>
      <c r="O1899" t="s">
        <v>297</v>
      </c>
    </row>
    <row r="1900" spans="1:15" x14ac:dyDescent="0.3">
      <c r="A1900" t="s">
        <v>3129</v>
      </c>
      <c r="B1900" t="s">
        <v>3259</v>
      </c>
      <c r="C1900">
        <v>2023</v>
      </c>
      <c r="D1900" t="s">
        <v>300</v>
      </c>
      <c r="E1900" t="s">
        <v>471</v>
      </c>
      <c r="F1900">
        <v>355.4</v>
      </c>
      <c r="G1900" t="s">
        <v>302</v>
      </c>
      <c r="H1900">
        <v>8</v>
      </c>
      <c r="I1900" t="s">
        <v>3279</v>
      </c>
      <c r="J1900" t="s">
        <v>294</v>
      </c>
      <c r="M1900" t="s">
        <v>295</v>
      </c>
      <c r="N1900" t="s">
        <v>296</v>
      </c>
      <c r="O1900" t="s">
        <v>297</v>
      </c>
    </row>
    <row r="1901" spans="1:15" x14ac:dyDescent="0.3">
      <c r="A1901" t="s">
        <v>3129</v>
      </c>
      <c r="B1901" t="s">
        <v>3259</v>
      </c>
      <c r="C1901">
        <v>2023</v>
      </c>
      <c r="D1901" t="s">
        <v>300</v>
      </c>
      <c r="E1901" t="s">
        <v>2733</v>
      </c>
      <c r="F1901">
        <v>227</v>
      </c>
      <c r="G1901" t="s">
        <v>302</v>
      </c>
      <c r="H1901">
        <v>8</v>
      </c>
      <c r="I1901" t="s">
        <v>3280</v>
      </c>
      <c r="J1901" t="s">
        <v>294</v>
      </c>
      <c r="M1901" t="s">
        <v>295</v>
      </c>
      <c r="N1901" t="s">
        <v>296</v>
      </c>
      <c r="O1901" t="s">
        <v>297</v>
      </c>
    </row>
    <row r="1902" spans="1:15" x14ac:dyDescent="0.3">
      <c r="A1902" t="s">
        <v>3129</v>
      </c>
      <c r="B1902" t="s">
        <v>3259</v>
      </c>
      <c r="C1902">
        <v>2023</v>
      </c>
      <c r="D1902" t="s">
        <v>300</v>
      </c>
      <c r="E1902" t="s">
        <v>318</v>
      </c>
      <c r="F1902">
        <v>345.4</v>
      </c>
      <c r="G1902" t="s">
        <v>302</v>
      </c>
      <c r="H1902">
        <v>8</v>
      </c>
      <c r="I1902" t="s">
        <v>3281</v>
      </c>
      <c r="J1902" t="s">
        <v>294</v>
      </c>
      <c r="M1902" t="s">
        <v>295</v>
      </c>
      <c r="N1902" t="s">
        <v>296</v>
      </c>
      <c r="O1902" t="s">
        <v>297</v>
      </c>
    </row>
    <row r="1903" spans="1:15" x14ac:dyDescent="0.3">
      <c r="A1903" t="s">
        <v>3129</v>
      </c>
      <c r="B1903" t="s">
        <v>3259</v>
      </c>
      <c r="C1903">
        <v>2023</v>
      </c>
      <c r="D1903" t="s">
        <v>300</v>
      </c>
      <c r="E1903" t="s">
        <v>3166</v>
      </c>
      <c r="F1903">
        <v>466.6</v>
      </c>
      <c r="G1903" t="s">
        <v>302</v>
      </c>
      <c r="H1903">
        <v>8</v>
      </c>
      <c r="I1903" t="s">
        <v>3282</v>
      </c>
      <c r="J1903" t="s">
        <v>294</v>
      </c>
      <c r="M1903" t="s">
        <v>295</v>
      </c>
      <c r="N1903" t="s">
        <v>296</v>
      </c>
      <c r="O1903" t="s">
        <v>297</v>
      </c>
    </row>
    <row r="1904" spans="1:15" x14ac:dyDescent="0.3">
      <c r="A1904" t="s">
        <v>3129</v>
      </c>
      <c r="B1904" t="s">
        <v>3259</v>
      </c>
      <c r="C1904">
        <v>2023</v>
      </c>
      <c r="D1904" t="s">
        <v>300</v>
      </c>
      <c r="E1904" t="s">
        <v>322</v>
      </c>
      <c r="F1904">
        <v>949.9</v>
      </c>
      <c r="G1904" t="s">
        <v>302</v>
      </c>
      <c r="H1904">
        <v>8</v>
      </c>
      <c r="I1904" t="s">
        <v>3283</v>
      </c>
      <c r="J1904" t="s">
        <v>294</v>
      </c>
      <c r="M1904" t="s">
        <v>295</v>
      </c>
      <c r="N1904" t="s">
        <v>296</v>
      </c>
      <c r="O1904" t="s">
        <v>297</v>
      </c>
    </row>
    <row r="1905" spans="1:15" x14ac:dyDescent="0.3">
      <c r="A1905" t="s">
        <v>3129</v>
      </c>
      <c r="B1905" t="s">
        <v>3259</v>
      </c>
      <c r="C1905">
        <v>2023</v>
      </c>
      <c r="D1905" t="s">
        <v>300</v>
      </c>
      <c r="E1905" t="s">
        <v>324</v>
      </c>
      <c r="F1905">
        <v>1168.3</v>
      </c>
      <c r="G1905" t="s">
        <v>302</v>
      </c>
      <c r="H1905">
        <v>8</v>
      </c>
      <c r="I1905" t="s">
        <v>3284</v>
      </c>
      <c r="J1905" t="s">
        <v>294</v>
      </c>
      <c r="M1905" t="s">
        <v>295</v>
      </c>
      <c r="N1905" t="s">
        <v>296</v>
      </c>
      <c r="O1905" t="s">
        <v>297</v>
      </c>
    </row>
    <row r="1906" spans="1:15" x14ac:dyDescent="0.3">
      <c r="A1906" t="s">
        <v>3129</v>
      </c>
      <c r="B1906" t="s">
        <v>3259</v>
      </c>
      <c r="C1906">
        <v>2023</v>
      </c>
      <c r="D1906" t="s">
        <v>300</v>
      </c>
      <c r="E1906" t="s">
        <v>1386</v>
      </c>
      <c r="F1906">
        <v>93.2</v>
      </c>
      <c r="G1906" t="s">
        <v>302</v>
      </c>
      <c r="H1906">
        <v>8</v>
      </c>
      <c r="I1906" t="s">
        <v>3285</v>
      </c>
      <c r="J1906" t="s">
        <v>294</v>
      </c>
      <c r="M1906" t="s">
        <v>295</v>
      </c>
      <c r="N1906" t="s">
        <v>296</v>
      </c>
      <c r="O1906" t="s">
        <v>297</v>
      </c>
    </row>
    <row r="1907" spans="1:15" x14ac:dyDescent="0.3">
      <c r="A1907" t="s">
        <v>3129</v>
      </c>
      <c r="B1907" t="s">
        <v>3259</v>
      </c>
      <c r="C1907">
        <v>2023</v>
      </c>
      <c r="D1907" t="s">
        <v>300</v>
      </c>
      <c r="E1907" t="s">
        <v>3171</v>
      </c>
      <c r="F1907">
        <v>260.2</v>
      </c>
      <c r="G1907" t="s">
        <v>302</v>
      </c>
      <c r="H1907">
        <v>51</v>
      </c>
      <c r="I1907" t="s">
        <v>3286</v>
      </c>
      <c r="J1907" t="s">
        <v>294</v>
      </c>
      <c r="M1907" t="s">
        <v>295</v>
      </c>
      <c r="N1907" t="s">
        <v>296</v>
      </c>
      <c r="O1907" t="s">
        <v>297</v>
      </c>
    </row>
    <row r="1908" spans="1:15" x14ac:dyDescent="0.3">
      <c r="A1908" t="s">
        <v>3129</v>
      </c>
      <c r="B1908" t="s">
        <v>3259</v>
      </c>
      <c r="C1908">
        <v>2023</v>
      </c>
      <c r="D1908" t="s">
        <v>300</v>
      </c>
      <c r="E1908" t="s">
        <v>3173</v>
      </c>
      <c r="F1908">
        <v>-166.2</v>
      </c>
      <c r="G1908" t="s">
        <v>302</v>
      </c>
      <c r="H1908">
        <v>51</v>
      </c>
      <c r="I1908" t="s">
        <v>3287</v>
      </c>
      <c r="J1908" t="s">
        <v>294</v>
      </c>
      <c r="M1908" t="s">
        <v>295</v>
      </c>
      <c r="N1908" t="s">
        <v>296</v>
      </c>
      <c r="O1908" t="s">
        <v>297</v>
      </c>
    </row>
    <row r="1909" spans="1:15" x14ac:dyDescent="0.3">
      <c r="A1909" t="s">
        <v>3129</v>
      </c>
      <c r="B1909" t="s">
        <v>3259</v>
      </c>
      <c r="C1909">
        <v>2023</v>
      </c>
      <c r="D1909" t="s">
        <v>300</v>
      </c>
      <c r="E1909" t="s">
        <v>3175</v>
      </c>
      <c r="F1909">
        <v>96.2</v>
      </c>
      <c r="G1909" t="s">
        <v>302</v>
      </c>
      <c r="H1909">
        <v>51</v>
      </c>
      <c r="I1909" t="s">
        <v>3288</v>
      </c>
      <c r="J1909" t="s">
        <v>294</v>
      </c>
      <c r="M1909" t="s">
        <v>295</v>
      </c>
      <c r="N1909" t="s">
        <v>296</v>
      </c>
      <c r="O1909" t="s">
        <v>297</v>
      </c>
    </row>
    <row r="1910" spans="1:15" x14ac:dyDescent="0.3">
      <c r="A1910" t="s">
        <v>3129</v>
      </c>
      <c r="B1910" t="s">
        <v>3259</v>
      </c>
      <c r="C1910">
        <v>2023</v>
      </c>
      <c r="D1910" t="s">
        <v>300</v>
      </c>
      <c r="E1910" t="s">
        <v>342</v>
      </c>
      <c r="F1910">
        <v>6000</v>
      </c>
      <c r="G1910" t="s">
        <v>497</v>
      </c>
      <c r="H1910">
        <v>8</v>
      </c>
      <c r="I1910" t="s">
        <v>3289</v>
      </c>
      <c r="J1910" t="s">
        <v>294</v>
      </c>
      <c r="M1910" t="s">
        <v>295</v>
      </c>
      <c r="N1910" t="s">
        <v>296</v>
      </c>
      <c r="O1910" t="s">
        <v>297</v>
      </c>
    </row>
    <row r="1911" spans="1:15" x14ac:dyDescent="0.3">
      <c r="A1911" t="s">
        <v>3129</v>
      </c>
      <c r="B1911" t="s">
        <v>3259</v>
      </c>
      <c r="C1911">
        <v>2023</v>
      </c>
      <c r="D1911" t="s">
        <v>300</v>
      </c>
      <c r="E1911" t="s">
        <v>345</v>
      </c>
      <c r="F1911">
        <v>0.36</v>
      </c>
      <c r="G1911" t="s">
        <v>346</v>
      </c>
      <c r="H1911">
        <v>8</v>
      </c>
      <c r="I1911" t="s">
        <v>3290</v>
      </c>
      <c r="J1911" t="s">
        <v>294</v>
      </c>
      <c r="M1911" t="s">
        <v>295</v>
      </c>
      <c r="N1911" t="s">
        <v>296</v>
      </c>
      <c r="O1911" t="s">
        <v>297</v>
      </c>
    </row>
    <row r="1912" spans="1:15" x14ac:dyDescent="0.3">
      <c r="A1912" t="s">
        <v>3129</v>
      </c>
      <c r="B1912" t="s">
        <v>3259</v>
      </c>
      <c r="C1912">
        <v>2023</v>
      </c>
      <c r="D1912" t="s">
        <v>300</v>
      </c>
      <c r="E1912" t="s">
        <v>785</v>
      </c>
      <c r="F1912">
        <v>120</v>
      </c>
      <c r="G1912" t="s">
        <v>346</v>
      </c>
      <c r="H1912">
        <v>11</v>
      </c>
      <c r="I1912" t="s">
        <v>3291</v>
      </c>
      <c r="J1912" t="s">
        <v>294</v>
      </c>
      <c r="M1912" t="s">
        <v>295</v>
      </c>
      <c r="N1912" t="s">
        <v>296</v>
      </c>
      <c r="O1912" t="s">
        <v>297</v>
      </c>
    </row>
    <row r="1913" spans="1:15" x14ac:dyDescent="0.3">
      <c r="A1913" t="s">
        <v>3129</v>
      </c>
      <c r="B1913" t="s">
        <v>3259</v>
      </c>
      <c r="C1913">
        <v>2023</v>
      </c>
      <c r="D1913" t="s">
        <v>300</v>
      </c>
      <c r="E1913" t="s">
        <v>3292</v>
      </c>
      <c r="F1913">
        <v>720</v>
      </c>
      <c r="G1913" t="s">
        <v>302</v>
      </c>
      <c r="H1913">
        <v>11</v>
      </c>
      <c r="I1913" t="s">
        <v>3293</v>
      </c>
      <c r="J1913" t="s">
        <v>294</v>
      </c>
      <c r="M1913" t="s">
        <v>295</v>
      </c>
      <c r="N1913" t="s">
        <v>296</v>
      </c>
      <c r="O1913" t="s">
        <v>297</v>
      </c>
    </row>
    <row r="1914" spans="1:15" x14ac:dyDescent="0.3">
      <c r="A1914" t="s">
        <v>3129</v>
      </c>
      <c r="B1914" t="s">
        <v>3259</v>
      </c>
      <c r="C1914">
        <v>2023</v>
      </c>
      <c r="D1914" t="s">
        <v>300</v>
      </c>
      <c r="E1914" t="s">
        <v>501</v>
      </c>
      <c r="F1914">
        <v>0.14000000000000001</v>
      </c>
      <c r="G1914" t="s">
        <v>334</v>
      </c>
      <c r="H1914">
        <v>8</v>
      </c>
      <c r="I1914" t="s">
        <v>3294</v>
      </c>
      <c r="J1914" t="s">
        <v>294</v>
      </c>
      <c r="M1914" t="s">
        <v>295</v>
      </c>
      <c r="N1914" t="s">
        <v>296</v>
      </c>
      <c r="O1914" t="s">
        <v>297</v>
      </c>
    </row>
    <row r="1915" spans="1:15" x14ac:dyDescent="0.3">
      <c r="A1915" t="s">
        <v>3129</v>
      </c>
      <c r="B1915" t="s">
        <v>3259</v>
      </c>
      <c r="C1915">
        <v>2023</v>
      </c>
      <c r="D1915" t="s">
        <v>300</v>
      </c>
      <c r="E1915" t="s">
        <v>842</v>
      </c>
      <c r="F1915">
        <v>0.81</v>
      </c>
      <c r="G1915" t="s">
        <v>327</v>
      </c>
      <c r="H1915">
        <v>8</v>
      </c>
      <c r="I1915" t="s">
        <v>3295</v>
      </c>
      <c r="J1915" t="s">
        <v>294</v>
      </c>
      <c r="M1915" t="s">
        <v>295</v>
      </c>
      <c r="N1915" t="s">
        <v>296</v>
      </c>
      <c r="O1915" t="s">
        <v>297</v>
      </c>
    </row>
    <row r="1916" spans="1:15" x14ac:dyDescent="0.3">
      <c r="A1916" t="s">
        <v>3129</v>
      </c>
      <c r="B1916" t="s">
        <v>3259</v>
      </c>
      <c r="C1916">
        <v>2023</v>
      </c>
      <c r="D1916" t="s">
        <v>300</v>
      </c>
      <c r="E1916" t="s">
        <v>326</v>
      </c>
      <c r="F1916">
        <v>1.66</v>
      </c>
      <c r="G1916" t="s">
        <v>327</v>
      </c>
      <c r="H1916">
        <v>8</v>
      </c>
      <c r="I1916" t="s">
        <v>3296</v>
      </c>
      <c r="J1916" t="s">
        <v>294</v>
      </c>
      <c r="M1916" t="s">
        <v>295</v>
      </c>
      <c r="N1916" t="s">
        <v>296</v>
      </c>
      <c r="O1916" t="s">
        <v>297</v>
      </c>
    </row>
    <row r="1917" spans="1:15" x14ac:dyDescent="0.3">
      <c r="A1917" t="s">
        <v>3129</v>
      </c>
      <c r="B1917" t="s">
        <v>3259</v>
      </c>
      <c r="C1917">
        <v>2023</v>
      </c>
      <c r="D1917" t="s">
        <v>300</v>
      </c>
      <c r="E1917" t="s">
        <v>3054</v>
      </c>
      <c r="F1917">
        <v>1.8E-3</v>
      </c>
      <c r="G1917" t="s">
        <v>334</v>
      </c>
      <c r="H1917">
        <v>9</v>
      </c>
      <c r="I1917" t="s">
        <v>3297</v>
      </c>
      <c r="J1917" t="s">
        <v>294</v>
      </c>
      <c r="M1917" t="s">
        <v>295</v>
      </c>
      <c r="N1917" t="s">
        <v>296</v>
      </c>
      <c r="O1917" t="s">
        <v>297</v>
      </c>
    </row>
    <row r="1918" spans="1:15" x14ac:dyDescent="0.3">
      <c r="A1918" t="s">
        <v>3129</v>
      </c>
      <c r="B1918" t="s">
        <v>3259</v>
      </c>
      <c r="C1918">
        <v>2023</v>
      </c>
      <c r="D1918" t="s">
        <v>300</v>
      </c>
      <c r="E1918" t="s">
        <v>3052</v>
      </c>
      <c r="F1918">
        <v>1E-3</v>
      </c>
      <c r="G1918" t="s">
        <v>334</v>
      </c>
      <c r="H1918">
        <v>9</v>
      </c>
      <c r="I1918" t="s">
        <v>3298</v>
      </c>
      <c r="J1918" t="s">
        <v>294</v>
      </c>
      <c r="M1918" t="s">
        <v>295</v>
      </c>
      <c r="N1918" t="s">
        <v>296</v>
      </c>
      <c r="O1918" t="s">
        <v>297</v>
      </c>
    </row>
    <row r="1919" spans="1:15" x14ac:dyDescent="0.3">
      <c r="A1919" t="s">
        <v>3129</v>
      </c>
      <c r="B1919" t="s">
        <v>3259</v>
      </c>
      <c r="C1919">
        <v>2023</v>
      </c>
      <c r="D1919" t="s">
        <v>300</v>
      </c>
      <c r="E1919" t="s">
        <v>340</v>
      </c>
      <c r="F1919">
        <v>0.12570000000000001</v>
      </c>
      <c r="G1919" t="s">
        <v>334</v>
      </c>
      <c r="H1919">
        <v>9</v>
      </c>
      <c r="I1919" t="s">
        <v>3299</v>
      </c>
      <c r="J1919" t="s">
        <v>294</v>
      </c>
      <c r="M1919" t="s">
        <v>295</v>
      </c>
      <c r="N1919" t="s">
        <v>296</v>
      </c>
      <c r="O1919" t="s">
        <v>297</v>
      </c>
    </row>
    <row r="1920" spans="1:15" x14ac:dyDescent="0.3">
      <c r="A1920" t="s">
        <v>3129</v>
      </c>
      <c r="B1920" t="s">
        <v>3259</v>
      </c>
      <c r="C1920">
        <v>2023</v>
      </c>
      <c r="D1920" t="s">
        <v>300</v>
      </c>
      <c r="E1920" t="s">
        <v>338</v>
      </c>
      <c r="F1920">
        <v>2.8999999999999998E-3</v>
      </c>
      <c r="G1920" t="s">
        <v>334</v>
      </c>
      <c r="H1920">
        <v>9</v>
      </c>
      <c r="I1920" t="s">
        <v>3300</v>
      </c>
      <c r="J1920" t="s">
        <v>294</v>
      </c>
      <c r="M1920" t="s">
        <v>295</v>
      </c>
      <c r="N1920" t="s">
        <v>296</v>
      </c>
      <c r="O1920" t="s">
        <v>297</v>
      </c>
    </row>
    <row r="1921" spans="1:15" x14ac:dyDescent="0.3">
      <c r="A1921" t="s">
        <v>3129</v>
      </c>
      <c r="B1921" t="s">
        <v>3259</v>
      </c>
      <c r="C1921">
        <v>2023</v>
      </c>
      <c r="D1921" t="s">
        <v>358</v>
      </c>
      <c r="E1921" t="s">
        <v>3189</v>
      </c>
      <c r="F1921">
        <v>17188</v>
      </c>
      <c r="G1921" t="s">
        <v>360</v>
      </c>
      <c r="H1921">
        <v>6</v>
      </c>
      <c r="I1921" t="s">
        <v>3301</v>
      </c>
      <c r="J1921" t="s">
        <v>294</v>
      </c>
      <c r="M1921" t="s">
        <v>295</v>
      </c>
      <c r="N1921" t="s">
        <v>296</v>
      </c>
      <c r="O1921" t="s">
        <v>297</v>
      </c>
    </row>
    <row r="1922" spans="1:15" x14ac:dyDescent="0.3">
      <c r="A1922" t="s">
        <v>3129</v>
      </c>
      <c r="B1922" t="s">
        <v>3259</v>
      </c>
      <c r="C1922">
        <v>2023</v>
      </c>
      <c r="D1922" t="s">
        <v>358</v>
      </c>
      <c r="E1922" t="s">
        <v>3191</v>
      </c>
      <c r="F1922">
        <v>1561</v>
      </c>
      <c r="G1922" t="s">
        <v>360</v>
      </c>
      <c r="H1922">
        <v>6</v>
      </c>
      <c r="I1922" t="s">
        <v>3192</v>
      </c>
      <c r="J1922" t="s">
        <v>294</v>
      </c>
      <c r="M1922" t="s">
        <v>295</v>
      </c>
      <c r="N1922" t="s">
        <v>296</v>
      </c>
      <c r="O1922" t="s">
        <v>297</v>
      </c>
    </row>
    <row r="1923" spans="1:15" x14ac:dyDescent="0.3">
      <c r="A1923" t="s">
        <v>3129</v>
      </c>
      <c r="B1923" t="s">
        <v>3259</v>
      </c>
      <c r="C1923">
        <v>2023</v>
      </c>
      <c r="D1923" t="s">
        <v>358</v>
      </c>
      <c r="E1923" t="s">
        <v>3193</v>
      </c>
      <c r="F1923">
        <v>18749</v>
      </c>
      <c r="G1923" t="s">
        <v>360</v>
      </c>
      <c r="H1923">
        <v>6</v>
      </c>
      <c r="I1923" t="s">
        <v>3302</v>
      </c>
      <c r="J1923" t="s">
        <v>294</v>
      </c>
      <c r="M1923" t="s">
        <v>295</v>
      </c>
      <c r="N1923" t="s">
        <v>296</v>
      </c>
      <c r="O1923" t="s">
        <v>297</v>
      </c>
    </row>
    <row r="1924" spans="1:15" x14ac:dyDescent="0.3">
      <c r="A1924" t="s">
        <v>3129</v>
      </c>
      <c r="B1924" t="s">
        <v>3259</v>
      </c>
      <c r="C1924">
        <v>2023</v>
      </c>
      <c r="D1924" t="s">
        <v>358</v>
      </c>
      <c r="E1924" t="s">
        <v>504</v>
      </c>
      <c r="F1924">
        <v>13114</v>
      </c>
      <c r="G1924" t="s">
        <v>360</v>
      </c>
      <c r="H1924">
        <v>6</v>
      </c>
      <c r="I1924" t="s">
        <v>3303</v>
      </c>
      <c r="J1924" t="s">
        <v>294</v>
      </c>
      <c r="M1924" t="s">
        <v>295</v>
      </c>
      <c r="N1924" t="s">
        <v>296</v>
      </c>
      <c r="O1924" t="s">
        <v>297</v>
      </c>
    </row>
    <row r="1925" spans="1:15" x14ac:dyDescent="0.3">
      <c r="A1925" t="s">
        <v>3129</v>
      </c>
      <c r="B1925" t="s">
        <v>3259</v>
      </c>
      <c r="C1925">
        <v>2023</v>
      </c>
      <c r="D1925" t="s">
        <v>358</v>
      </c>
      <c r="E1925" t="s">
        <v>1058</v>
      </c>
      <c r="F1925">
        <v>13114</v>
      </c>
      <c r="G1925" t="s">
        <v>360</v>
      </c>
      <c r="H1925">
        <v>6</v>
      </c>
      <c r="I1925" t="s">
        <v>3304</v>
      </c>
      <c r="J1925" t="s">
        <v>294</v>
      </c>
      <c r="M1925" t="s">
        <v>295</v>
      </c>
      <c r="N1925" t="s">
        <v>296</v>
      </c>
      <c r="O1925" t="s">
        <v>297</v>
      </c>
    </row>
    <row r="1926" spans="1:15" x14ac:dyDescent="0.3">
      <c r="A1926" t="s">
        <v>3129</v>
      </c>
      <c r="B1926" t="s">
        <v>3259</v>
      </c>
      <c r="C1926">
        <v>2023</v>
      </c>
      <c r="D1926" t="s">
        <v>358</v>
      </c>
      <c r="E1926" t="s">
        <v>508</v>
      </c>
      <c r="F1926">
        <v>12452</v>
      </c>
      <c r="G1926" t="s">
        <v>360</v>
      </c>
      <c r="H1926">
        <v>6</v>
      </c>
      <c r="I1926" t="s">
        <v>3305</v>
      </c>
      <c r="J1926" t="s">
        <v>294</v>
      </c>
      <c r="M1926" t="s">
        <v>295</v>
      </c>
      <c r="N1926" t="s">
        <v>296</v>
      </c>
      <c r="O1926" t="s">
        <v>297</v>
      </c>
    </row>
    <row r="1927" spans="1:15" x14ac:dyDescent="0.3">
      <c r="A1927" t="s">
        <v>3129</v>
      </c>
      <c r="B1927" t="s">
        <v>3259</v>
      </c>
      <c r="C1927">
        <v>2023</v>
      </c>
      <c r="D1927" t="s">
        <v>358</v>
      </c>
      <c r="E1927" t="s">
        <v>510</v>
      </c>
      <c r="F1927">
        <v>662</v>
      </c>
      <c r="G1927" t="s">
        <v>360</v>
      </c>
      <c r="H1927">
        <v>6</v>
      </c>
      <c r="I1927" t="s">
        <v>3306</v>
      </c>
      <c r="J1927" t="s">
        <v>294</v>
      </c>
      <c r="M1927" t="s">
        <v>295</v>
      </c>
      <c r="N1927" t="s">
        <v>296</v>
      </c>
      <c r="O1927" t="s">
        <v>297</v>
      </c>
    </row>
    <row r="1928" spans="1:15" x14ac:dyDescent="0.3">
      <c r="A1928" t="s">
        <v>3129</v>
      </c>
      <c r="B1928" t="s">
        <v>3259</v>
      </c>
      <c r="C1928">
        <v>2023</v>
      </c>
      <c r="D1928" t="s">
        <v>358</v>
      </c>
      <c r="E1928" t="s">
        <v>374</v>
      </c>
      <c r="F1928">
        <v>17.329999999999998</v>
      </c>
      <c r="G1928" t="s">
        <v>375</v>
      </c>
      <c r="H1928">
        <v>37</v>
      </c>
      <c r="I1928" t="s">
        <v>3307</v>
      </c>
      <c r="J1928" t="s">
        <v>294</v>
      </c>
      <c r="M1928" t="s">
        <v>295</v>
      </c>
      <c r="N1928" t="s">
        <v>296</v>
      </c>
      <c r="O1928" t="s">
        <v>297</v>
      </c>
    </row>
    <row r="1929" spans="1:15" x14ac:dyDescent="0.3">
      <c r="A1929" t="s">
        <v>3129</v>
      </c>
      <c r="B1929" t="s">
        <v>3259</v>
      </c>
      <c r="C1929">
        <v>2023</v>
      </c>
      <c r="D1929" t="s">
        <v>358</v>
      </c>
      <c r="E1929" t="s">
        <v>3308</v>
      </c>
      <c r="F1929">
        <v>331</v>
      </c>
      <c r="G1929" t="s">
        <v>360</v>
      </c>
      <c r="H1929">
        <v>38</v>
      </c>
      <c r="I1929" t="s">
        <v>3309</v>
      </c>
      <c r="J1929" t="s">
        <v>294</v>
      </c>
      <c r="M1929" t="s">
        <v>295</v>
      </c>
      <c r="N1929" t="s">
        <v>296</v>
      </c>
      <c r="O1929" t="s">
        <v>297</v>
      </c>
    </row>
    <row r="1930" spans="1:15" x14ac:dyDescent="0.3">
      <c r="A1930" t="s">
        <v>3129</v>
      </c>
      <c r="B1930" t="s">
        <v>3259</v>
      </c>
      <c r="C1930">
        <v>2023</v>
      </c>
      <c r="D1930" t="s">
        <v>358</v>
      </c>
      <c r="E1930" t="s">
        <v>3310</v>
      </c>
      <c r="F1930">
        <v>197</v>
      </c>
      <c r="G1930" t="s">
        <v>360</v>
      </c>
      <c r="H1930">
        <v>38</v>
      </c>
      <c r="I1930" t="s">
        <v>3311</v>
      </c>
      <c r="J1930" t="s">
        <v>294</v>
      </c>
      <c r="M1930" t="s">
        <v>295</v>
      </c>
      <c r="N1930" t="s">
        <v>296</v>
      </c>
      <c r="O1930" t="s">
        <v>297</v>
      </c>
    </row>
    <row r="1931" spans="1:15" x14ac:dyDescent="0.3">
      <c r="A1931" t="s">
        <v>3129</v>
      </c>
      <c r="B1931" t="s">
        <v>3259</v>
      </c>
      <c r="C1931">
        <v>2023</v>
      </c>
      <c r="D1931" t="s">
        <v>358</v>
      </c>
      <c r="E1931" t="s">
        <v>3220</v>
      </c>
      <c r="F1931">
        <v>90</v>
      </c>
      <c r="G1931" t="s">
        <v>3221</v>
      </c>
      <c r="H1931">
        <v>36</v>
      </c>
      <c r="I1931" t="s">
        <v>3312</v>
      </c>
      <c r="J1931" t="s">
        <v>294</v>
      </c>
      <c r="M1931" t="s">
        <v>295</v>
      </c>
      <c r="N1931" t="s">
        <v>296</v>
      </c>
      <c r="O1931" t="s">
        <v>297</v>
      </c>
    </row>
    <row r="1932" spans="1:15" x14ac:dyDescent="0.3">
      <c r="A1932" t="s">
        <v>3129</v>
      </c>
      <c r="B1932" t="s">
        <v>3259</v>
      </c>
      <c r="C1932">
        <v>2023</v>
      </c>
      <c r="D1932" t="s">
        <v>358</v>
      </c>
      <c r="E1932" t="s">
        <v>3223</v>
      </c>
      <c r="F1932">
        <v>1</v>
      </c>
      <c r="G1932" t="s">
        <v>384</v>
      </c>
      <c r="H1932">
        <v>36</v>
      </c>
      <c r="I1932" t="s">
        <v>3313</v>
      </c>
      <c r="J1932" t="s">
        <v>294</v>
      </c>
      <c r="M1932" t="s">
        <v>295</v>
      </c>
      <c r="N1932" t="s">
        <v>296</v>
      </c>
      <c r="O1932" t="s">
        <v>297</v>
      </c>
    </row>
    <row r="1933" spans="1:15" x14ac:dyDescent="0.3">
      <c r="A1933" t="s">
        <v>3129</v>
      </c>
      <c r="B1933" t="s">
        <v>3259</v>
      </c>
      <c r="C1933">
        <v>2023</v>
      </c>
      <c r="D1933" t="s">
        <v>358</v>
      </c>
      <c r="E1933" t="s">
        <v>3314</v>
      </c>
      <c r="F1933">
        <v>0.6</v>
      </c>
      <c r="G1933" t="s">
        <v>334</v>
      </c>
      <c r="H1933">
        <v>38</v>
      </c>
      <c r="I1933" t="s">
        <v>3315</v>
      </c>
      <c r="J1933" t="s">
        <v>294</v>
      </c>
      <c r="M1933" t="s">
        <v>295</v>
      </c>
      <c r="N1933" t="s">
        <v>296</v>
      </c>
      <c r="O1933" t="s">
        <v>297</v>
      </c>
    </row>
    <row r="1934" spans="1:15" x14ac:dyDescent="0.3">
      <c r="A1934" t="s">
        <v>3129</v>
      </c>
      <c r="B1934" t="s">
        <v>3259</v>
      </c>
      <c r="C1934">
        <v>2023</v>
      </c>
      <c r="D1934" t="s">
        <v>358</v>
      </c>
      <c r="E1934" t="s">
        <v>3200</v>
      </c>
      <c r="F1934">
        <v>2446</v>
      </c>
      <c r="G1934" t="s">
        <v>360</v>
      </c>
      <c r="H1934">
        <v>37</v>
      </c>
      <c r="I1934" t="s">
        <v>3316</v>
      </c>
      <c r="J1934" t="s">
        <v>294</v>
      </c>
      <c r="M1934" t="s">
        <v>295</v>
      </c>
      <c r="N1934" t="s">
        <v>296</v>
      </c>
      <c r="O1934" t="s">
        <v>297</v>
      </c>
    </row>
    <row r="1935" spans="1:15" x14ac:dyDescent="0.3">
      <c r="A1935" t="s">
        <v>3129</v>
      </c>
      <c r="B1935" t="s">
        <v>3259</v>
      </c>
      <c r="C1935">
        <v>2023</v>
      </c>
      <c r="D1935" t="s">
        <v>358</v>
      </c>
      <c r="E1935" t="s">
        <v>3202</v>
      </c>
      <c r="F1935">
        <v>10005</v>
      </c>
      <c r="G1935" t="s">
        <v>360</v>
      </c>
      <c r="H1935">
        <v>37</v>
      </c>
      <c r="I1935" t="s">
        <v>3317</v>
      </c>
      <c r="J1935" t="s">
        <v>294</v>
      </c>
      <c r="M1935" t="s">
        <v>295</v>
      </c>
      <c r="N1935" t="s">
        <v>296</v>
      </c>
      <c r="O1935" t="s">
        <v>297</v>
      </c>
    </row>
    <row r="1936" spans="1:15" x14ac:dyDescent="0.3">
      <c r="A1936" t="s">
        <v>3129</v>
      </c>
      <c r="B1936" t="s">
        <v>3259</v>
      </c>
      <c r="C1936">
        <v>2023</v>
      </c>
      <c r="D1936" t="s">
        <v>358</v>
      </c>
      <c r="E1936" t="s">
        <v>3214</v>
      </c>
      <c r="F1936">
        <v>8858</v>
      </c>
      <c r="G1936" t="s">
        <v>360</v>
      </c>
      <c r="H1936">
        <v>36</v>
      </c>
      <c r="I1936" t="s">
        <v>3318</v>
      </c>
      <c r="J1936" t="s">
        <v>294</v>
      </c>
      <c r="M1936" t="s">
        <v>295</v>
      </c>
      <c r="N1936" t="s">
        <v>296</v>
      </c>
      <c r="O1936" t="s">
        <v>297</v>
      </c>
    </row>
    <row r="1937" spans="1:15" x14ac:dyDescent="0.3">
      <c r="A1937" t="s">
        <v>3129</v>
      </c>
      <c r="B1937" t="s">
        <v>3259</v>
      </c>
      <c r="C1937">
        <v>2023</v>
      </c>
      <c r="D1937" t="s">
        <v>358</v>
      </c>
      <c r="E1937" t="s">
        <v>3216</v>
      </c>
      <c r="F1937">
        <v>1012</v>
      </c>
      <c r="G1937" t="s">
        <v>360</v>
      </c>
      <c r="H1937">
        <v>36</v>
      </c>
      <c r="I1937" t="s">
        <v>3319</v>
      </c>
      <c r="J1937" t="s">
        <v>294</v>
      </c>
      <c r="M1937" t="s">
        <v>295</v>
      </c>
      <c r="N1937" t="s">
        <v>296</v>
      </c>
      <c r="O1937" t="s">
        <v>297</v>
      </c>
    </row>
    <row r="1938" spans="1:15" x14ac:dyDescent="0.3">
      <c r="A1938" t="s">
        <v>3129</v>
      </c>
      <c r="B1938" t="s">
        <v>3259</v>
      </c>
      <c r="C1938">
        <v>2023</v>
      </c>
      <c r="D1938" t="s">
        <v>394</v>
      </c>
      <c r="E1938" t="s">
        <v>3225</v>
      </c>
      <c r="F1938">
        <v>208937</v>
      </c>
      <c r="G1938" t="s">
        <v>396</v>
      </c>
      <c r="H1938">
        <v>6</v>
      </c>
      <c r="I1938" t="s">
        <v>3320</v>
      </c>
      <c r="J1938" t="s">
        <v>294</v>
      </c>
      <c r="M1938" t="s">
        <v>295</v>
      </c>
      <c r="N1938" t="s">
        <v>296</v>
      </c>
      <c r="O1938" t="s">
        <v>297</v>
      </c>
    </row>
    <row r="1939" spans="1:15" x14ac:dyDescent="0.3">
      <c r="A1939" t="s">
        <v>3129</v>
      </c>
      <c r="B1939" t="s">
        <v>3259</v>
      </c>
      <c r="C1939">
        <v>2023</v>
      </c>
      <c r="D1939" t="s">
        <v>394</v>
      </c>
      <c r="E1939" t="s">
        <v>3321</v>
      </c>
      <c r="F1939">
        <v>10533</v>
      </c>
      <c r="G1939" t="s">
        <v>396</v>
      </c>
      <c r="H1939">
        <v>6</v>
      </c>
      <c r="I1939" t="s">
        <v>3322</v>
      </c>
      <c r="J1939" t="s">
        <v>294</v>
      </c>
      <c r="M1939" t="s">
        <v>295</v>
      </c>
      <c r="N1939" t="s">
        <v>296</v>
      </c>
      <c r="O1939" t="s">
        <v>297</v>
      </c>
    </row>
    <row r="1940" spans="1:15" x14ac:dyDescent="0.3">
      <c r="A1940" t="s">
        <v>3129</v>
      </c>
      <c r="B1940" t="s">
        <v>3259</v>
      </c>
      <c r="C1940">
        <v>2023</v>
      </c>
      <c r="D1940" t="s">
        <v>394</v>
      </c>
      <c r="E1940" t="s">
        <v>3229</v>
      </c>
      <c r="F1940">
        <v>198404</v>
      </c>
      <c r="G1940" t="s">
        <v>396</v>
      </c>
      <c r="H1940">
        <v>6</v>
      </c>
      <c r="I1940" t="s">
        <v>3323</v>
      </c>
      <c r="J1940" t="s">
        <v>294</v>
      </c>
      <c r="M1940" t="s">
        <v>295</v>
      </c>
      <c r="N1940" t="s">
        <v>296</v>
      </c>
      <c r="O1940" t="s">
        <v>297</v>
      </c>
    </row>
    <row r="1941" spans="1:15" x14ac:dyDescent="0.3">
      <c r="A1941" t="s">
        <v>3129</v>
      </c>
      <c r="B1941" t="s">
        <v>3259</v>
      </c>
      <c r="C1941">
        <v>2023</v>
      </c>
      <c r="D1941" t="s">
        <v>394</v>
      </c>
      <c r="E1941" t="s">
        <v>3231</v>
      </c>
      <c r="F1941">
        <v>28621</v>
      </c>
      <c r="G1941" t="s">
        <v>396</v>
      </c>
      <c r="H1941">
        <v>6</v>
      </c>
      <c r="I1941" t="s">
        <v>3324</v>
      </c>
      <c r="J1941" t="s">
        <v>294</v>
      </c>
      <c r="M1941" t="s">
        <v>295</v>
      </c>
      <c r="N1941" t="s">
        <v>296</v>
      </c>
      <c r="O1941" t="s">
        <v>297</v>
      </c>
    </row>
    <row r="1942" spans="1:15" x14ac:dyDescent="0.3">
      <c r="A1942" t="s">
        <v>3129</v>
      </c>
      <c r="B1942" t="s">
        <v>3259</v>
      </c>
      <c r="C1942">
        <v>2023</v>
      </c>
      <c r="D1942" t="s">
        <v>394</v>
      </c>
      <c r="E1942" t="s">
        <v>537</v>
      </c>
      <c r="F1942">
        <v>227025</v>
      </c>
      <c r="G1942" t="s">
        <v>396</v>
      </c>
      <c r="H1942">
        <v>6</v>
      </c>
      <c r="I1942" t="s">
        <v>3325</v>
      </c>
      <c r="J1942" t="s">
        <v>294</v>
      </c>
      <c r="M1942" t="s">
        <v>295</v>
      </c>
      <c r="N1942" t="s">
        <v>296</v>
      </c>
      <c r="O1942" t="s">
        <v>297</v>
      </c>
    </row>
    <row r="1943" spans="1:15" x14ac:dyDescent="0.3">
      <c r="A1943" t="s">
        <v>3129</v>
      </c>
      <c r="B1943" t="s">
        <v>3259</v>
      </c>
      <c r="C1943">
        <v>2023</v>
      </c>
      <c r="D1943" t="s">
        <v>394</v>
      </c>
      <c r="E1943" t="s">
        <v>3234</v>
      </c>
      <c r="F1943">
        <v>16.78</v>
      </c>
      <c r="G1943" t="s">
        <v>423</v>
      </c>
      <c r="H1943">
        <v>6</v>
      </c>
      <c r="I1943" t="s">
        <v>3326</v>
      </c>
      <c r="J1943" t="s">
        <v>294</v>
      </c>
      <c r="M1943" t="s">
        <v>295</v>
      </c>
      <c r="N1943" t="s">
        <v>296</v>
      </c>
      <c r="O1943" t="s">
        <v>297</v>
      </c>
    </row>
    <row r="1944" spans="1:15" x14ac:dyDescent="0.3">
      <c r="A1944" t="s">
        <v>3129</v>
      </c>
      <c r="B1944" t="s">
        <v>3259</v>
      </c>
      <c r="C1944">
        <v>2023</v>
      </c>
      <c r="D1944" t="s">
        <v>394</v>
      </c>
      <c r="E1944" t="s">
        <v>406</v>
      </c>
      <c r="F1944">
        <v>50310</v>
      </c>
      <c r="G1944" t="s">
        <v>396</v>
      </c>
      <c r="H1944">
        <v>6</v>
      </c>
      <c r="I1944" t="s">
        <v>3327</v>
      </c>
      <c r="J1944" t="s">
        <v>294</v>
      </c>
      <c r="M1944" t="s">
        <v>295</v>
      </c>
      <c r="N1944" t="s">
        <v>296</v>
      </c>
      <c r="O1944" t="s">
        <v>297</v>
      </c>
    </row>
    <row r="1945" spans="1:15" x14ac:dyDescent="0.3">
      <c r="A1945" t="s">
        <v>3129</v>
      </c>
      <c r="B1945" t="s">
        <v>3259</v>
      </c>
      <c r="C1945">
        <v>2023</v>
      </c>
      <c r="D1945" t="s">
        <v>394</v>
      </c>
      <c r="E1945" t="s">
        <v>416</v>
      </c>
      <c r="F1945">
        <v>10532</v>
      </c>
      <c r="G1945" t="s">
        <v>396</v>
      </c>
      <c r="H1945">
        <v>6</v>
      </c>
      <c r="I1945" t="s">
        <v>3328</v>
      </c>
      <c r="J1945" t="s">
        <v>294</v>
      </c>
      <c r="M1945" t="s">
        <v>295</v>
      </c>
      <c r="N1945" t="s">
        <v>296</v>
      </c>
      <c r="O1945" t="s">
        <v>297</v>
      </c>
    </row>
    <row r="1946" spans="1:15" x14ac:dyDescent="0.3">
      <c r="A1946" t="s">
        <v>3129</v>
      </c>
      <c r="B1946" t="s">
        <v>3259</v>
      </c>
      <c r="C1946">
        <v>2023</v>
      </c>
      <c r="D1946" t="s">
        <v>394</v>
      </c>
      <c r="E1946" t="s">
        <v>3238</v>
      </c>
      <c r="F1946">
        <v>0.22159999999999999</v>
      </c>
      <c r="G1946" t="s">
        <v>334</v>
      </c>
      <c r="H1946">
        <v>6</v>
      </c>
      <c r="I1946" t="s">
        <v>3329</v>
      </c>
      <c r="J1946" t="s">
        <v>294</v>
      </c>
      <c r="M1946" t="s">
        <v>295</v>
      </c>
      <c r="N1946" t="s">
        <v>296</v>
      </c>
      <c r="O1946" t="s">
        <v>297</v>
      </c>
    </row>
    <row r="1947" spans="1:15" x14ac:dyDescent="0.3">
      <c r="A1947" t="s">
        <v>3129</v>
      </c>
      <c r="B1947" t="s">
        <v>3259</v>
      </c>
      <c r="C1947">
        <v>2023</v>
      </c>
      <c r="D1947" t="s">
        <v>394</v>
      </c>
      <c r="E1947" t="s">
        <v>3240</v>
      </c>
      <c r="F1947">
        <v>4.6399999999999997E-2</v>
      </c>
      <c r="G1947" t="s">
        <v>334</v>
      </c>
      <c r="H1947">
        <v>6</v>
      </c>
      <c r="I1947" t="s">
        <v>3330</v>
      </c>
      <c r="J1947" t="s">
        <v>294</v>
      </c>
      <c r="M1947" t="s">
        <v>295</v>
      </c>
      <c r="N1947" t="s">
        <v>296</v>
      </c>
      <c r="O1947" t="s">
        <v>297</v>
      </c>
    </row>
    <row r="1948" spans="1:15" x14ac:dyDescent="0.3">
      <c r="A1948" t="s">
        <v>3129</v>
      </c>
      <c r="B1948" t="s">
        <v>3259</v>
      </c>
      <c r="C1948">
        <v>2023</v>
      </c>
      <c r="D1948" t="s">
        <v>394</v>
      </c>
      <c r="E1948" t="s">
        <v>438</v>
      </c>
      <c r="F1948">
        <v>59395</v>
      </c>
      <c r="G1948" t="s">
        <v>396</v>
      </c>
      <c r="H1948">
        <v>6</v>
      </c>
      <c r="I1948" t="s">
        <v>3331</v>
      </c>
      <c r="J1948" t="s">
        <v>294</v>
      </c>
      <c r="M1948" t="s">
        <v>295</v>
      </c>
      <c r="N1948" t="s">
        <v>296</v>
      </c>
      <c r="O1948" t="s">
        <v>297</v>
      </c>
    </row>
    <row r="1949" spans="1:15" x14ac:dyDescent="0.3">
      <c r="A1949" t="s">
        <v>3129</v>
      </c>
      <c r="B1949" t="s">
        <v>3259</v>
      </c>
      <c r="C1949">
        <v>2023</v>
      </c>
      <c r="D1949" t="s">
        <v>394</v>
      </c>
      <c r="E1949" t="s">
        <v>3243</v>
      </c>
      <c r="F1949">
        <v>11425</v>
      </c>
      <c r="G1949" t="s">
        <v>396</v>
      </c>
      <c r="H1949">
        <v>6</v>
      </c>
      <c r="I1949" t="s">
        <v>3332</v>
      </c>
      <c r="J1949" t="s">
        <v>294</v>
      </c>
      <c r="M1949" t="s">
        <v>295</v>
      </c>
      <c r="N1949" t="s">
        <v>296</v>
      </c>
      <c r="O1949" t="s">
        <v>297</v>
      </c>
    </row>
    <row r="1950" spans="1:15" x14ac:dyDescent="0.3">
      <c r="A1950" t="s">
        <v>3129</v>
      </c>
      <c r="B1950" t="s">
        <v>3259</v>
      </c>
      <c r="C1950">
        <v>2023</v>
      </c>
      <c r="D1950" t="s">
        <v>394</v>
      </c>
      <c r="E1950" t="s">
        <v>554</v>
      </c>
      <c r="F1950">
        <v>11094</v>
      </c>
      <c r="G1950" t="s">
        <v>436</v>
      </c>
      <c r="H1950">
        <v>44</v>
      </c>
      <c r="I1950" t="s">
        <v>3333</v>
      </c>
      <c r="J1950" t="s">
        <v>294</v>
      </c>
      <c r="M1950" t="s">
        <v>295</v>
      </c>
      <c r="N1950" t="s">
        <v>296</v>
      </c>
      <c r="O1950" t="s">
        <v>297</v>
      </c>
    </row>
    <row r="1951" spans="1:15" x14ac:dyDescent="0.3">
      <c r="A1951" t="s">
        <v>3129</v>
      </c>
      <c r="B1951" t="s">
        <v>3259</v>
      </c>
      <c r="C1951">
        <v>2023</v>
      </c>
      <c r="D1951" t="s">
        <v>394</v>
      </c>
      <c r="E1951" t="s">
        <v>3246</v>
      </c>
      <c r="F1951">
        <v>5436</v>
      </c>
      <c r="G1951" t="s">
        <v>436</v>
      </c>
      <c r="H1951">
        <v>44</v>
      </c>
      <c r="I1951" t="s">
        <v>3334</v>
      </c>
      <c r="J1951" t="s">
        <v>294</v>
      </c>
      <c r="M1951" t="s">
        <v>295</v>
      </c>
      <c r="N1951" t="s">
        <v>296</v>
      </c>
      <c r="O1951" t="s">
        <v>297</v>
      </c>
    </row>
    <row r="1952" spans="1:15" x14ac:dyDescent="0.3">
      <c r="A1952" t="s">
        <v>3129</v>
      </c>
      <c r="B1952" t="s">
        <v>3259</v>
      </c>
      <c r="C1952">
        <v>2023</v>
      </c>
      <c r="D1952" t="s">
        <v>394</v>
      </c>
      <c r="E1952" t="s">
        <v>3248</v>
      </c>
      <c r="F1952">
        <v>2317</v>
      </c>
      <c r="G1952" t="s">
        <v>436</v>
      </c>
      <c r="H1952">
        <v>44</v>
      </c>
      <c r="I1952" t="s">
        <v>3335</v>
      </c>
      <c r="J1952" t="s">
        <v>294</v>
      </c>
      <c r="M1952" t="s">
        <v>295</v>
      </c>
      <c r="N1952" t="s">
        <v>296</v>
      </c>
      <c r="O1952" t="s">
        <v>297</v>
      </c>
    </row>
    <row r="1953" spans="1:15" x14ac:dyDescent="0.3">
      <c r="A1953" t="s">
        <v>3129</v>
      </c>
      <c r="B1953" t="s">
        <v>3259</v>
      </c>
      <c r="C1953">
        <v>2023</v>
      </c>
      <c r="D1953" t="s">
        <v>394</v>
      </c>
      <c r="E1953" t="s">
        <v>3336</v>
      </c>
      <c r="F1953">
        <v>659</v>
      </c>
      <c r="G1953" t="s">
        <v>302</v>
      </c>
      <c r="H1953">
        <v>44</v>
      </c>
      <c r="I1953" t="s">
        <v>3266</v>
      </c>
      <c r="J1953" t="s">
        <v>294</v>
      </c>
      <c r="M1953" t="s">
        <v>295</v>
      </c>
      <c r="N1953" t="s">
        <v>296</v>
      </c>
      <c r="O1953" t="s">
        <v>297</v>
      </c>
    </row>
    <row r="1954" spans="1:15" x14ac:dyDescent="0.3">
      <c r="A1954" t="s">
        <v>3129</v>
      </c>
      <c r="B1954" t="s">
        <v>3259</v>
      </c>
      <c r="C1954">
        <v>2023</v>
      </c>
      <c r="D1954" t="s">
        <v>394</v>
      </c>
      <c r="E1954" t="s">
        <v>3250</v>
      </c>
      <c r="F1954" t="s">
        <v>3251</v>
      </c>
      <c r="G1954" t="s">
        <v>292</v>
      </c>
      <c r="H1954">
        <v>45</v>
      </c>
      <c r="I1954" t="s">
        <v>3252</v>
      </c>
      <c r="J1954" t="s">
        <v>294</v>
      </c>
      <c r="M1954" t="s">
        <v>295</v>
      </c>
      <c r="N1954" t="s">
        <v>296</v>
      </c>
      <c r="O1954" t="s">
        <v>297</v>
      </c>
    </row>
    <row r="1955" spans="1:15" x14ac:dyDescent="0.3">
      <c r="A1955" t="s">
        <v>3129</v>
      </c>
      <c r="B1955" t="s">
        <v>3259</v>
      </c>
      <c r="C1955">
        <v>2023</v>
      </c>
      <c r="D1955" t="s">
        <v>252</v>
      </c>
      <c r="E1955" t="s">
        <v>3253</v>
      </c>
      <c r="F1955" t="s">
        <v>3254</v>
      </c>
      <c r="G1955" t="s">
        <v>292</v>
      </c>
      <c r="H1955">
        <v>22</v>
      </c>
      <c r="I1955" t="s">
        <v>3255</v>
      </c>
      <c r="J1955" t="s">
        <v>294</v>
      </c>
      <c r="M1955" t="s">
        <v>295</v>
      </c>
      <c r="N1955" t="s">
        <v>296</v>
      </c>
      <c r="O1955" t="s">
        <v>297</v>
      </c>
    </row>
    <row r="1956" spans="1:15" x14ac:dyDescent="0.3">
      <c r="A1956" t="s">
        <v>3129</v>
      </c>
      <c r="B1956" t="s">
        <v>3259</v>
      </c>
      <c r="C1956">
        <v>2023</v>
      </c>
      <c r="D1956" t="s">
        <v>252</v>
      </c>
      <c r="E1956" t="s">
        <v>3256</v>
      </c>
      <c r="F1956" t="s">
        <v>3257</v>
      </c>
      <c r="G1956" t="s">
        <v>292</v>
      </c>
      <c r="H1956">
        <v>16</v>
      </c>
      <c r="I1956" t="s">
        <v>3258</v>
      </c>
      <c r="J1956" t="s">
        <v>294</v>
      </c>
      <c r="M1956" t="s">
        <v>295</v>
      </c>
      <c r="N1956" t="s">
        <v>296</v>
      </c>
      <c r="O1956" t="s">
        <v>297</v>
      </c>
    </row>
    <row r="1957" spans="1:15" x14ac:dyDescent="0.3">
      <c r="A1957" t="s">
        <v>3129</v>
      </c>
      <c r="B1957" t="s">
        <v>3337</v>
      </c>
      <c r="C1957">
        <v>2024</v>
      </c>
      <c r="D1957" t="s">
        <v>272</v>
      </c>
      <c r="E1957" t="s">
        <v>291</v>
      </c>
      <c r="F1957" t="s">
        <v>3129</v>
      </c>
      <c r="G1957" t="s">
        <v>292</v>
      </c>
      <c r="H1957">
        <v>29</v>
      </c>
      <c r="I1957" t="s">
        <v>3338</v>
      </c>
      <c r="J1957" t="s">
        <v>294</v>
      </c>
      <c r="M1957" t="s">
        <v>295</v>
      </c>
      <c r="N1957" t="s">
        <v>296</v>
      </c>
      <c r="O1957" t="s">
        <v>297</v>
      </c>
    </row>
    <row r="1958" spans="1:15" x14ac:dyDescent="0.3">
      <c r="A1958" t="s">
        <v>3129</v>
      </c>
      <c r="B1958" t="s">
        <v>3337</v>
      </c>
      <c r="C1958">
        <v>2024</v>
      </c>
      <c r="D1958" t="s">
        <v>272</v>
      </c>
      <c r="E1958" t="s">
        <v>869</v>
      </c>
      <c r="F1958" t="s">
        <v>3339</v>
      </c>
      <c r="G1958" t="s">
        <v>666</v>
      </c>
      <c r="H1958">
        <v>10</v>
      </c>
      <c r="I1958" t="s">
        <v>3340</v>
      </c>
      <c r="J1958" t="s">
        <v>294</v>
      </c>
      <c r="M1958" t="s">
        <v>295</v>
      </c>
      <c r="N1958" t="s">
        <v>296</v>
      </c>
      <c r="O1958" t="s">
        <v>297</v>
      </c>
    </row>
    <row r="1959" spans="1:15" x14ac:dyDescent="0.3">
      <c r="A1959" t="s">
        <v>3129</v>
      </c>
      <c r="B1959" t="s">
        <v>3337</v>
      </c>
      <c r="C1959">
        <v>2024</v>
      </c>
      <c r="D1959" t="s">
        <v>272</v>
      </c>
      <c r="E1959" t="s">
        <v>442</v>
      </c>
      <c r="F1959" t="s">
        <v>3132</v>
      </c>
      <c r="G1959" t="s">
        <v>334</v>
      </c>
      <c r="H1959">
        <v>10</v>
      </c>
      <c r="I1959" t="s">
        <v>3133</v>
      </c>
      <c r="J1959" t="s">
        <v>294</v>
      </c>
      <c r="M1959" t="s">
        <v>295</v>
      </c>
      <c r="N1959" t="s">
        <v>296</v>
      </c>
      <c r="O1959" t="s">
        <v>297</v>
      </c>
    </row>
    <row r="1960" spans="1:15" x14ac:dyDescent="0.3">
      <c r="A1960" t="s">
        <v>3129</v>
      </c>
      <c r="B1960" t="s">
        <v>3337</v>
      </c>
      <c r="C1960">
        <v>2024</v>
      </c>
      <c r="D1960" t="s">
        <v>272</v>
      </c>
      <c r="E1960" t="s">
        <v>3341</v>
      </c>
      <c r="F1960" t="s">
        <v>3135</v>
      </c>
      <c r="G1960" t="s">
        <v>334</v>
      </c>
      <c r="H1960">
        <v>10</v>
      </c>
      <c r="I1960" t="s">
        <v>3136</v>
      </c>
      <c r="J1960" t="s">
        <v>294</v>
      </c>
      <c r="M1960" t="s">
        <v>295</v>
      </c>
      <c r="N1960" t="s">
        <v>296</v>
      </c>
      <c r="O1960" t="s">
        <v>297</v>
      </c>
    </row>
    <row r="1961" spans="1:15" x14ac:dyDescent="0.3">
      <c r="A1961" t="s">
        <v>3129</v>
      </c>
      <c r="B1961" t="s">
        <v>3337</v>
      </c>
      <c r="C1961">
        <v>2024</v>
      </c>
      <c r="D1961" t="s">
        <v>272</v>
      </c>
      <c r="E1961" t="s">
        <v>445</v>
      </c>
      <c r="F1961">
        <v>0.35110000000000002</v>
      </c>
      <c r="G1961" t="s">
        <v>334</v>
      </c>
      <c r="H1961">
        <v>10</v>
      </c>
      <c r="I1961" t="s">
        <v>3260</v>
      </c>
      <c r="J1961" t="s">
        <v>294</v>
      </c>
      <c r="M1961" t="s">
        <v>295</v>
      </c>
      <c r="N1961" t="s">
        <v>296</v>
      </c>
      <c r="O1961" t="s">
        <v>297</v>
      </c>
    </row>
    <row r="1962" spans="1:15" x14ac:dyDescent="0.3">
      <c r="A1962" t="s">
        <v>3129</v>
      </c>
      <c r="B1962" t="s">
        <v>3337</v>
      </c>
      <c r="C1962">
        <v>2024</v>
      </c>
      <c r="D1962" t="s">
        <v>272</v>
      </c>
      <c r="E1962" t="s">
        <v>3140</v>
      </c>
      <c r="F1962">
        <v>14817</v>
      </c>
      <c r="G1962" t="s">
        <v>384</v>
      </c>
      <c r="H1962">
        <v>10</v>
      </c>
      <c r="I1962" t="s">
        <v>3342</v>
      </c>
      <c r="J1962" t="s">
        <v>294</v>
      </c>
      <c r="M1962" t="s">
        <v>295</v>
      </c>
      <c r="N1962" t="s">
        <v>296</v>
      </c>
      <c r="O1962" t="s">
        <v>297</v>
      </c>
    </row>
    <row r="1963" spans="1:15" x14ac:dyDescent="0.3">
      <c r="A1963" t="s">
        <v>3129</v>
      </c>
      <c r="B1963" t="s">
        <v>3337</v>
      </c>
      <c r="C1963">
        <v>2024</v>
      </c>
      <c r="D1963" t="s">
        <v>272</v>
      </c>
      <c r="E1963" t="s">
        <v>3262</v>
      </c>
      <c r="F1963" t="s">
        <v>3343</v>
      </c>
      <c r="G1963" t="s">
        <v>292</v>
      </c>
      <c r="H1963">
        <v>31</v>
      </c>
      <c r="I1963" t="s">
        <v>3344</v>
      </c>
      <c r="J1963" t="s">
        <v>294</v>
      </c>
      <c r="M1963" t="s">
        <v>295</v>
      </c>
      <c r="N1963" t="s">
        <v>296</v>
      </c>
      <c r="O1963" t="s">
        <v>297</v>
      </c>
    </row>
    <row r="1964" spans="1:15" x14ac:dyDescent="0.3">
      <c r="A1964" t="s">
        <v>3129</v>
      </c>
      <c r="B1964" t="s">
        <v>3337</v>
      </c>
      <c r="C1964">
        <v>2024</v>
      </c>
      <c r="D1964" t="s">
        <v>300</v>
      </c>
      <c r="E1964" t="s">
        <v>3142</v>
      </c>
      <c r="F1964">
        <v>804.6</v>
      </c>
      <c r="G1964" t="s">
        <v>302</v>
      </c>
      <c r="H1964">
        <v>8</v>
      </c>
      <c r="I1964" t="s">
        <v>3345</v>
      </c>
      <c r="J1964" t="s">
        <v>294</v>
      </c>
      <c r="M1964" t="s">
        <v>295</v>
      </c>
      <c r="N1964" t="s">
        <v>296</v>
      </c>
      <c r="O1964" t="s">
        <v>297</v>
      </c>
    </row>
    <row r="1965" spans="1:15" x14ac:dyDescent="0.3">
      <c r="A1965" t="s">
        <v>3129</v>
      </c>
      <c r="B1965" t="s">
        <v>3337</v>
      </c>
      <c r="C1965">
        <v>2024</v>
      </c>
      <c r="D1965" t="s">
        <v>300</v>
      </c>
      <c r="E1965" t="s">
        <v>3144</v>
      </c>
      <c r="F1965">
        <v>585.6</v>
      </c>
      <c r="G1965" t="s">
        <v>302</v>
      </c>
      <c r="H1965">
        <v>45</v>
      </c>
      <c r="I1965" t="s">
        <v>3346</v>
      </c>
      <c r="J1965" t="s">
        <v>294</v>
      </c>
      <c r="M1965" t="s">
        <v>295</v>
      </c>
      <c r="N1965" t="s">
        <v>296</v>
      </c>
      <c r="O1965" t="s">
        <v>297</v>
      </c>
    </row>
    <row r="1966" spans="1:15" x14ac:dyDescent="0.3">
      <c r="A1966" t="s">
        <v>3129</v>
      </c>
      <c r="B1966" t="s">
        <v>3337</v>
      </c>
      <c r="C1966">
        <v>2024</v>
      </c>
      <c r="D1966" t="s">
        <v>300</v>
      </c>
      <c r="E1966" t="s">
        <v>3146</v>
      </c>
      <c r="F1966">
        <v>80.7</v>
      </c>
      <c r="G1966" t="s">
        <v>302</v>
      </c>
      <c r="H1966">
        <v>45</v>
      </c>
      <c r="I1966" t="s">
        <v>3347</v>
      </c>
      <c r="J1966" t="s">
        <v>294</v>
      </c>
      <c r="M1966" t="s">
        <v>295</v>
      </c>
      <c r="N1966" t="s">
        <v>296</v>
      </c>
      <c r="O1966" t="s">
        <v>297</v>
      </c>
    </row>
    <row r="1967" spans="1:15" x14ac:dyDescent="0.3">
      <c r="A1967" t="s">
        <v>3129</v>
      </c>
      <c r="B1967" t="s">
        <v>3337</v>
      </c>
      <c r="C1967">
        <v>2024</v>
      </c>
      <c r="D1967" t="s">
        <v>300</v>
      </c>
      <c r="E1967" t="s">
        <v>3148</v>
      </c>
      <c r="F1967">
        <v>138.4</v>
      </c>
      <c r="G1967" t="s">
        <v>302</v>
      </c>
      <c r="H1967">
        <v>45</v>
      </c>
      <c r="I1967" t="s">
        <v>3348</v>
      </c>
      <c r="J1967" t="s">
        <v>294</v>
      </c>
      <c r="M1967" t="s">
        <v>295</v>
      </c>
      <c r="N1967" t="s">
        <v>296</v>
      </c>
      <c r="O1967" t="s">
        <v>297</v>
      </c>
    </row>
    <row r="1968" spans="1:15" x14ac:dyDescent="0.3">
      <c r="A1968" t="s">
        <v>3129</v>
      </c>
      <c r="B1968" t="s">
        <v>3337</v>
      </c>
      <c r="C1968">
        <v>2024</v>
      </c>
      <c r="D1968" t="s">
        <v>300</v>
      </c>
      <c r="E1968" t="s">
        <v>688</v>
      </c>
      <c r="F1968">
        <v>641.1</v>
      </c>
      <c r="G1968" t="s">
        <v>302</v>
      </c>
      <c r="H1968">
        <v>46</v>
      </c>
      <c r="I1968" t="s">
        <v>3349</v>
      </c>
      <c r="J1968" t="s">
        <v>294</v>
      </c>
      <c r="M1968" t="s">
        <v>295</v>
      </c>
      <c r="N1968" t="s">
        <v>296</v>
      </c>
      <c r="O1968" t="s">
        <v>297</v>
      </c>
    </row>
    <row r="1969" spans="1:15" x14ac:dyDescent="0.3">
      <c r="A1969" t="s">
        <v>3129</v>
      </c>
      <c r="B1969" t="s">
        <v>3337</v>
      </c>
      <c r="C1969">
        <v>2024</v>
      </c>
      <c r="D1969" t="s">
        <v>300</v>
      </c>
      <c r="E1969" t="s">
        <v>304</v>
      </c>
      <c r="F1969">
        <v>163.6</v>
      </c>
      <c r="G1969" t="s">
        <v>302</v>
      </c>
      <c r="H1969">
        <v>8</v>
      </c>
      <c r="I1969" t="s">
        <v>3350</v>
      </c>
      <c r="J1969" t="s">
        <v>294</v>
      </c>
      <c r="M1969" t="s">
        <v>295</v>
      </c>
      <c r="N1969" t="s">
        <v>296</v>
      </c>
      <c r="O1969" t="s">
        <v>297</v>
      </c>
    </row>
    <row r="1970" spans="1:15" x14ac:dyDescent="0.3">
      <c r="A1970" t="s">
        <v>3129</v>
      </c>
      <c r="B1970" t="s">
        <v>3337</v>
      </c>
      <c r="C1970">
        <v>2024</v>
      </c>
      <c r="D1970" t="s">
        <v>300</v>
      </c>
      <c r="E1970" t="s">
        <v>3351</v>
      </c>
      <c r="F1970">
        <v>115.6</v>
      </c>
      <c r="G1970" t="s">
        <v>302</v>
      </c>
      <c r="H1970">
        <v>8</v>
      </c>
      <c r="I1970" t="s">
        <v>3352</v>
      </c>
      <c r="J1970" t="s">
        <v>294</v>
      </c>
      <c r="M1970" t="s">
        <v>295</v>
      </c>
      <c r="N1970" t="s">
        <v>296</v>
      </c>
      <c r="O1970" t="s">
        <v>297</v>
      </c>
    </row>
    <row r="1971" spans="1:15" x14ac:dyDescent="0.3">
      <c r="A1971" t="s">
        <v>3129</v>
      </c>
      <c r="B1971" t="s">
        <v>3337</v>
      </c>
      <c r="C1971">
        <v>2024</v>
      </c>
      <c r="D1971" t="s">
        <v>300</v>
      </c>
      <c r="E1971" t="s">
        <v>880</v>
      </c>
      <c r="F1971">
        <v>242.4</v>
      </c>
      <c r="G1971" t="s">
        <v>302</v>
      </c>
      <c r="H1971">
        <v>8</v>
      </c>
      <c r="I1971" t="s">
        <v>3353</v>
      </c>
      <c r="J1971" t="s">
        <v>294</v>
      </c>
      <c r="M1971" t="s">
        <v>295</v>
      </c>
      <c r="N1971" t="s">
        <v>296</v>
      </c>
      <c r="O1971" t="s">
        <v>297</v>
      </c>
    </row>
    <row r="1972" spans="1:15" x14ac:dyDescent="0.3">
      <c r="A1972" t="s">
        <v>3129</v>
      </c>
      <c r="B1972" t="s">
        <v>3337</v>
      </c>
      <c r="C1972">
        <v>2024</v>
      </c>
      <c r="D1972" t="s">
        <v>300</v>
      </c>
      <c r="E1972" t="s">
        <v>306</v>
      </c>
      <c r="F1972">
        <v>62.4</v>
      </c>
      <c r="G1972" t="s">
        <v>302</v>
      </c>
      <c r="H1972">
        <v>8</v>
      </c>
      <c r="I1972" t="s">
        <v>3354</v>
      </c>
      <c r="J1972" t="s">
        <v>294</v>
      </c>
      <c r="M1972" t="s">
        <v>295</v>
      </c>
      <c r="N1972" t="s">
        <v>296</v>
      </c>
      <c r="O1972" t="s">
        <v>297</v>
      </c>
    </row>
    <row r="1973" spans="1:15" x14ac:dyDescent="0.3">
      <c r="A1973" t="s">
        <v>3129</v>
      </c>
      <c r="B1973" t="s">
        <v>3337</v>
      </c>
      <c r="C1973">
        <v>2024</v>
      </c>
      <c r="D1973" t="s">
        <v>300</v>
      </c>
      <c r="E1973" t="s">
        <v>308</v>
      </c>
      <c r="F1973">
        <v>60.5</v>
      </c>
      <c r="G1973" t="s">
        <v>302</v>
      </c>
      <c r="H1973">
        <v>8</v>
      </c>
      <c r="I1973" t="s">
        <v>3355</v>
      </c>
      <c r="J1973" t="s">
        <v>294</v>
      </c>
      <c r="M1973" t="s">
        <v>295</v>
      </c>
      <c r="N1973" t="s">
        <v>296</v>
      </c>
      <c r="O1973" t="s">
        <v>297</v>
      </c>
    </row>
    <row r="1974" spans="1:15" x14ac:dyDescent="0.3">
      <c r="A1974" t="s">
        <v>3129</v>
      </c>
      <c r="B1974" t="s">
        <v>3337</v>
      </c>
      <c r="C1974">
        <v>2024</v>
      </c>
      <c r="D1974" t="s">
        <v>300</v>
      </c>
      <c r="E1974" t="s">
        <v>3356</v>
      </c>
      <c r="F1974">
        <v>1.9</v>
      </c>
      <c r="G1974" t="s">
        <v>302</v>
      </c>
      <c r="H1974">
        <v>8</v>
      </c>
      <c r="I1974" t="s">
        <v>3357</v>
      </c>
      <c r="J1974" t="s">
        <v>294</v>
      </c>
      <c r="M1974" t="s">
        <v>295</v>
      </c>
      <c r="N1974" t="s">
        <v>296</v>
      </c>
      <c r="O1974" t="s">
        <v>297</v>
      </c>
    </row>
    <row r="1975" spans="1:15" x14ac:dyDescent="0.3">
      <c r="A1975" t="s">
        <v>3129</v>
      </c>
      <c r="B1975" t="s">
        <v>3337</v>
      </c>
      <c r="C1975">
        <v>2024</v>
      </c>
      <c r="D1975" t="s">
        <v>300</v>
      </c>
      <c r="E1975" t="s">
        <v>3157</v>
      </c>
      <c r="F1975">
        <v>63.4</v>
      </c>
      <c r="G1975" t="s">
        <v>302</v>
      </c>
      <c r="H1975">
        <v>8</v>
      </c>
      <c r="I1975" t="s">
        <v>3358</v>
      </c>
      <c r="J1975" t="s">
        <v>294</v>
      </c>
      <c r="M1975" t="s">
        <v>295</v>
      </c>
      <c r="N1975" t="s">
        <v>296</v>
      </c>
      <c r="O1975" t="s">
        <v>297</v>
      </c>
    </row>
    <row r="1976" spans="1:15" x14ac:dyDescent="0.3">
      <c r="A1976" t="s">
        <v>3129</v>
      </c>
      <c r="B1976" t="s">
        <v>3337</v>
      </c>
      <c r="C1976">
        <v>2024</v>
      </c>
      <c r="D1976" t="s">
        <v>300</v>
      </c>
      <c r="E1976" t="s">
        <v>316</v>
      </c>
      <c r="F1976">
        <v>2321.1999999999998</v>
      </c>
      <c r="G1976" t="s">
        <v>302</v>
      </c>
      <c r="H1976">
        <v>8</v>
      </c>
      <c r="I1976" t="s">
        <v>3359</v>
      </c>
      <c r="J1976" t="s">
        <v>294</v>
      </c>
      <c r="M1976" t="s">
        <v>295</v>
      </c>
      <c r="N1976" t="s">
        <v>296</v>
      </c>
      <c r="O1976" t="s">
        <v>297</v>
      </c>
    </row>
    <row r="1977" spans="1:15" x14ac:dyDescent="0.3">
      <c r="A1977" t="s">
        <v>3129</v>
      </c>
      <c r="B1977" t="s">
        <v>3337</v>
      </c>
      <c r="C1977">
        <v>2024</v>
      </c>
      <c r="D1977" t="s">
        <v>300</v>
      </c>
      <c r="E1977" t="s">
        <v>3160</v>
      </c>
      <c r="F1977">
        <v>996.8</v>
      </c>
      <c r="G1977" t="s">
        <v>302</v>
      </c>
      <c r="H1977">
        <v>8</v>
      </c>
      <c r="I1977" t="s">
        <v>3360</v>
      </c>
      <c r="J1977" t="s">
        <v>294</v>
      </c>
      <c r="M1977" t="s">
        <v>295</v>
      </c>
      <c r="N1977" t="s">
        <v>296</v>
      </c>
      <c r="O1977" t="s">
        <v>297</v>
      </c>
    </row>
    <row r="1978" spans="1:15" x14ac:dyDescent="0.3">
      <c r="A1978" t="s">
        <v>3129</v>
      </c>
      <c r="B1978" t="s">
        <v>3337</v>
      </c>
      <c r="C1978">
        <v>2024</v>
      </c>
      <c r="D1978" t="s">
        <v>300</v>
      </c>
      <c r="E1978" t="s">
        <v>1122</v>
      </c>
      <c r="F1978">
        <v>670.8</v>
      </c>
      <c r="G1978" t="s">
        <v>302</v>
      </c>
      <c r="H1978">
        <v>8</v>
      </c>
      <c r="I1978" t="s">
        <v>3361</v>
      </c>
      <c r="J1978" t="s">
        <v>294</v>
      </c>
      <c r="M1978" t="s">
        <v>295</v>
      </c>
      <c r="N1978" t="s">
        <v>296</v>
      </c>
      <c r="O1978" t="s">
        <v>297</v>
      </c>
    </row>
    <row r="1979" spans="1:15" x14ac:dyDescent="0.3">
      <c r="A1979" t="s">
        <v>3129</v>
      </c>
      <c r="B1979" t="s">
        <v>3337</v>
      </c>
      <c r="C1979">
        <v>2024</v>
      </c>
      <c r="D1979" t="s">
        <v>300</v>
      </c>
      <c r="E1979" t="s">
        <v>471</v>
      </c>
      <c r="F1979">
        <v>154.80000000000001</v>
      </c>
      <c r="G1979" t="s">
        <v>302</v>
      </c>
      <c r="H1979">
        <v>8</v>
      </c>
      <c r="I1979" t="s">
        <v>3362</v>
      </c>
      <c r="J1979" t="s">
        <v>294</v>
      </c>
      <c r="M1979" t="s">
        <v>295</v>
      </c>
      <c r="N1979" t="s">
        <v>296</v>
      </c>
      <c r="O1979" t="s">
        <v>297</v>
      </c>
    </row>
    <row r="1980" spans="1:15" x14ac:dyDescent="0.3">
      <c r="A1980" t="s">
        <v>3129</v>
      </c>
      <c r="B1980" t="s">
        <v>3337</v>
      </c>
      <c r="C1980">
        <v>2024</v>
      </c>
      <c r="D1980" t="s">
        <v>300</v>
      </c>
      <c r="E1980" t="s">
        <v>2733</v>
      </c>
      <c r="F1980">
        <v>-224.6</v>
      </c>
      <c r="G1980" t="s">
        <v>302</v>
      </c>
      <c r="H1980">
        <v>8</v>
      </c>
      <c r="I1980" t="s">
        <v>3363</v>
      </c>
      <c r="J1980" t="s">
        <v>294</v>
      </c>
      <c r="M1980" t="s">
        <v>295</v>
      </c>
      <c r="N1980" t="s">
        <v>296</v>
      </c>
      <c r="O1980" t="s">
        <v>297</v>
      </c>
    </row>
    <row r="1981" spans="1:15" x14ac:dyDescent="0.3">
      <c r="A1981" t="s">
        <v>3129</v>
      </c>
      <c r="B1981" t="s">
        <v>3337</v>
      </c>
      <c r="C1981">
        <v>2024</v>
      </c>
      <c r="D1981" t="s">
        <v>300</v>
      </c>
      <c r="E1981" t="s">
        <v>318</v>
      </c>
      <c r="F1981">
        <v>510.9</v>
      </c>
      <c r="G1981" t="s">
        <v>302</v>
      </c>
      <c r="H1981">
        <v>8</v>
      </c>
      <c r="I1981" t="s">
        <v>3364</v>
      </c>
      <c r="J1981" t="s">
        <v>294</v>
      </c>
      <c r="M1981" t="s">
        <v>295</v>
      </c>
      <c r="N1981" t="s">
        <v>296</v>
      </c>
      <c r="O1981" t="s">
        <v>297</v>
      </c>
    </row>
    <row r="1982" spans="1:15" x14ac:dyDescent="0.3">
      <c r="A1982" t="s">
        <v>3129</v>
      </c>
      <c r="B1982" t="s">
        <v>3337</v>
      </c>
      <c r="C1982">
        <v>2024</v>
      </c>
      <c r="D1982" t="s">
        <v>300</v>
      </c>
      <c r="E1982" t="s">
        <v>3166</v>
      </c>
      <c r="F1982">
        <v>391.7</v>
      </c>
      <c r="G1982" t="s">
        <v>302</v>
      </c>
      <c r="H1982">
        <v>8</v>
      </c>
      <c r="I1982" t="s">
        <v>3365</v>
      </c>
      <c r="J1982" t="s">
        <v>294</v>
      </c>
      <c r="M1982" t="s">
        <v>295</v>
      </c>
      <c r="N1982" t="s">
        <v>296</v>
      </c>
      <c r="O1982" t="s">
        <v>297</v>
      </c>
    </row>
    <row r="1983" spans="1:15" x14ac:dyDescent="0.3">
      <c r="A1983" t="s">
        <v>3129</v>
      </c>
      <c r="B1983" t="s">
        <v>3337</v>
      </c>
      <c r="C1983">
        <v>2024</v>
      </c>
      <c r="D1983" t="s">
        <v>300</v>
      </c>
      <c r="E1983" t="s">
        <v>322</v>
      </c>
      <c r="F1983">
        <v>1089.3</v>
      </c>
      <c r="G1983" t="s">
        <v>302</v>
      </c>
      <c r="H1983">
        <v>8</v>
      </c>
      <c r="I1983" t="s">
        <v>3366</v>
      </c>
      <c r="J1983" t="s">
        <v>294</v>
      </c>
      <c r="M1983" t="s">
        <v>295</v>
      </c>
      <c r="N1983" t="s">
        <v>296</v>
      </c>
      <c r="O1983" t="s">
        <v>297</v>
      </c>
    </row>
    <row r="1984" spans="1:15" x14ac:dyDescent="0.3">
      <c r="A1984" t="s">
        <v>3129</v>
      </c>
      <c r="B1984" t="s">
        <v>3337</v>
      </c>
      <c r="C1984">
        <v>2024</v>
      </c>
      <c r="D1984" t="s">
        <v>300</v>
      </c>
      <c r="E1984" t="s">
        <v>324</v>
      </c>
      <c r="F1984">
        <v>1232</v>
      </c>
      <c r="G1984" t="s">
        <v>302</v>
      </c>
      <c r="H1984">
        <v>8</v>
      </c>
      <c r="I1984" t="s">
        <v>3367</v>
      </c>
      <c r="J1984" t="s">
        <v>294</v>
      </c>
      <c r="M1984" t="s">
        <v>295</v>
      </c>
      <c r="N1984" t="s">
        <v>296</v>
      </c>
      <c r="O1984" t="s">
        <v>297</v>
      </c>
    </row>
    <row r="1985" spans="1:15" x14ac:dyDescent="0.3">
      <c r="A1985" t="s">
        <v>3129</v>
      </c>
      <c r="B1985" t="s">
        <v>3337</v>
      </c>
      <c r="C1985">
        <v>2024</v>
      </c>
      <c r="D1985" t="s">
        <v>300</v>
      </c>
      <c r="E1985" t="s">
        <v>1386</v>
      </c>
      <c r="F1985">
        <v>21.9</v>
      </c>
      <c r="G1985" t="s">
        <v>302</v>
      </c>
      <c r="H1985">
        <v>8</v>
      </c>
      <c r="I1985" t="s">
        <v>3368</v>
      </c>
      <c r="J1985" t="s">
        <v>294</v>
      </c>
      <c r="M1985" t="s">
        <v>295</v>
      </c>
      <c r="N1985" t="s">
        <v>296</v>
      </c>
      <c r="O1985" t="s">
        <v>297</v>
      </c>
    </row>
    <row r="1986" spans="1:15" x14ac:dyDescent="0.3">
      <c r="A1986" t="s">
        <v>3129</v>
      </c>
      <c r="B1986" t="s">
        <v>3337</v>
      </c>
      <c r="C1986">
        <v>2024</v>
      </c>
      <c r="D1986" t="s">
        <v>300</v>
      </c>
      <c r="E1986" t="s">
        <v>3171</v>
      </c>
      <c r="F1986">
        <v>169.6</v>
      </c>
      <c r="G1986" t="s">
        <v>302</v>
      </c>
      <c r="H1986">
        <v>52</v>
      </c>
      <c r="I1986" t="s">
        <v>3369</v>
      </c>
      <c r="J1986" t="s">
        <v>294</v>
      </c>
      <c r="M1986" t="s">
        <v>295</v>
      </c>
      <c r="N1986" t="s">
        <v>296</v>
      </c>
      <c r="O1986" t="s">
        <v>297</v>
      </c>
    </row>
    <row r="1987" spans="1:15" x14ac:dyDescent="0.3">
      <c r="A1987" t="s">
        <v>3129</v>
      </c>
      <c r="B1987" t="s">
        <v>3337</v>
      </c>
      <c r="C1987">
        <v>2024</v>
      </c>
      <c r="D1987" t="s">
        <v>300</v>
      </c>
      <c r="E1987" t="s">
        <v>3173</v>
      </c>
      <c r="F1987">
        <v>118.8</v>
      </c>
      <c r="G1987" t="s">
        <v>302</v>
      </c>
      <c r="H1987">
        <v>52</v>
      </c>
      <c r="I1987" t="s">
        <v>3370</v>
      </c>
      <c r="J1987" t="s">
        <v>294</v>
      </c>
      <c r="M1987" t="s">
        <v>295</v>
      </c>
      <c r="N1987" t="s">
        <v>296</v>
      </c>
      <c r="O1987" t="s">
        <v>297</v>
      </c>
    </row>
    <row r="1988" spans="1:15" x14ac:dyDescent="0.3">
      <c r="A1988" t="s">
        <v>3129</v>
      </c>
      <c r="B1988" t="s">
        <v>3337</v>
      </c>
      <c r="C1988">
        <v>2024</v>
      </c>
      <c r="D1988" t="s">
        <v>300</v>
      </c>
      <c r="E1988" t="s">
        <v>3175</v>
      </c>
      <c r="F1988">
        <v>-489.3</v>
      </c>
      <c r="G1988" t="s">
        <v>302</v>
      </c>
      <c r="H1988">
        <v>52</v>
      </c>
      <c r="I1988" t="s">
        <v>3371</v>
      </c>
      <c r="J1988" t="s">
        <v>294</v>
      </c>
      <c r="M1988" t="s">
        <v>295</v>
      </c>
      <c r="N1988" t="s">
        <v>296</v>
      </c>
      <c r="O1988" t="s">
        <v>297</v>
      </c>
    </row>
    <row r="1989" spans="1:15" x14ac:dyDescent="0.3">
      <c r="A1989" t="s">
        <v>3129</v>
      </c>
      <c r="B1989" t="s">
        <v>3337</v>
      </c>
      <c r="C1989">
        <v>2024</v>
      </c>
      <c r="D1989" t="s">
        <v>300</v>
      </c>
      <c r="E1989" t="s">
        <v>342</v>
      </c>
      <c r="F1989">
        <v>6000</v>
      </c>
      <c r="G1989" t="s">
        <v>497</v>
      </c>
      <c r="H1989">
        <v>8</v>
      </c>
      <c r="I1989" t="s">
        <v>3289</v>
      </c>
      <c r="J1989" t="s">
        <v>294</v>
      </c>
      <c r="M1989" t="s">
        <v>295</v>
      </c>
      <c r="N1989" t="s">
        <v>296</v>
      </c>
      <c r="O1989" t="s">
        <v>297</v>
      </c>
    </row>
    <row r="1990" spans="1:15" x14ac:dyDescent="0.3">
      <c r="A1990" t="s">
        <v>3129</v>
      </c>
      <c r="B1990" t="s">
        <v>3337</v>
      </c>
      <c r="C1990">
        <v>2024</v>
      </c>
      <c r="D1990" t="s">
        <v>300</v>
      </c>
      <c r="E1990" t="s">
        <v>345</v>
      </c>
      <c r="F1990">
        <v>10.09</v>
      </c>
      <c r="G1990" t="s">
        <v>346</v>
      </c>
      <c r="H1990">
        <v>8</v>
      </c>
      <c r="I1990" t="s">
        <v>3372</v>
      </c>
      <c r="J1990" t="s">
        <v>294</v>
      </c>
      <c r="M1990" t="s">
        <v>295</v>
      </c>
      <c r="N1990" t="s">
        <v>296</v>
      </c>
      <c r="O1990" t="s">
        <v>297</v>
      </c>
    </row>
    <row r="1991" spans="1:15" x14ac:dyDescent="0.3">
      <c r="A1991" t="s">
        <v>3129</v>
      </c>
      <c r="B1991" t="s">
        <v>3337</v>
      </c>
      <c r="C1991">
        <v>2024</v>
      </c>
      <c r="D1991" t="s">
        <v>300</v>
      </c>
      <c r="E1991" t="s">
        <v>498</v>
      </c>
      <c r="F1991">
        <v>113</v>
      </c>
      <c r="G1991" t="s">
        <v>346</v>
      </c>
      <c r="H1991">
        <v>11</v>
      </c>
      <c r="I1991" t="s">
        <v>3373</v>
      </c>
      <c r="J1991" t="s">
        <v>294</v>
      </c>
      <c r="M1991" t="s">
        <v>295</v>
      </c>
      <c r="N1991" t="s">
        <v>296</v>
      </c>
      <c r="O1991" t="s">
        <v>297</v>
      </c>
    </row>
    <row r="1992" spans="1:15" x14ac:dyDescent="0.3">
      <c r="A1992" t="s">
        <v>3129</v>
      </c>
      <c r="B1992" t="s">
        <v>3337</v>
      </c>
      <c r="C1992">
        <v>2024</v>
      </c>
      <c r="D1992" t="s">
        <v>300</v>
      </c>
      <c r="E1992" t="s">
        <v>3374</v>
      </c>
      <c r="F1992">
        <v>678</v>
      </c>
      <c r="G1992" t="s">
        <v>302</v>
      </c>
      <c r="H1992">
        <v>11</v>
      </c>
      <c r="I1992" t="s">
        <v>3375</v>
      </c>
      <c r="J1992" t="s">
        <v>294</v>
      </c>
      <c r="M1992" t="s">
        <v>295</v>
      </c>
      <c r="N1992" t="s">
        <v>296</v>
      </c>
      <c r="O1992" t="s">
        <v>297</v>
      </c>
    </row>
    <row r="1993" spans="1:15" x14ac:dyDescent="0.3">
      <c r="A1993" t="s">
        <v>3129</v>
      </c>
      <c r="B1993" t="s">
        <v>3337</v>
      </c>
      <c r="C1993">
        <v>2024</v>
      </c>
      <c r="D1993" t="s">
        <v>300</v>
      </c>
      <c r="E1993" t="s">
        <v>501</v>
      </c>
      <c r="F1993">
        <v>0.22</v>
      </c>
      <c r="G1993" t="s">
        <v>334</v>
      </c>
      <c r="H1993">
        <v>8</v>
      </c>
      <c r="I1993" t="s">
        <v>3376</v>
      </c>
      <c r="J1993" t="s">
        <v>294</v>
      </c>
      <c r="M1993" t="s">
        <v>295</v>
      </c>
      <c r="N1993" t="s">
        <v>296</v>
      </c>
      <c r="O1993" t="s">
        <v>297</v>
      </c>
    </row>
    <row r="1994" spans="1:15" x14ac:dyDescent="0.3">
      <c r="A1994" t="s">
        <v>3129</v>
      </c>
      <c r="B1994" t="s">
        <v>3337</v>
      </c>
      <c r="C1994">
        <v>2024</v>
      </c>
      <c r="D1994" t="s">
        <v>300</v>
      </c>
      <c r="E1994" t="s">
        <v>842</v>
      </c>
      <c r="F1994">
        <v>0.88</v>
      </c>
      <c r="G1994" t="s">
        <v>327</v>
      </c>
      <c r="H1994">
        <v>8</v>
      </c>
      <c r="I1994" t="s">
        <v>3377</v>
      </c>
      <c r="J1994" t="s">
        <v>294</v>
      </c>
      <c r="M1994" t="s">
        <v>295</v>
      </c>
      <c r="N1994" t="s">
        <v>296</v>
      </c>
      <c r="O1994" t="s">
        <v>297</v>
      </c>
    </row>
    <row r="1995" spans="1:15" x14ac:dyDescent="0.3">
      <c r="A1995" t="s">
        <v>3129</v>
      </c>
      <c r="B1995" t="s">
        <v>3337</v>
      </c>
      <c r="C1995">
        <v>2024</v>
      </c>
      <c r="D1995" t="s">
        <v>300</v>
      </c>
      <c r="E1995" t="s">
        <v>326</v>
      </c>
      <c r="F1995">
        <v>0.56000000000000005</v>
      </c>
      <c r="G1995" t="s">
        <v>327</v>
      </c>
      <c r="H1995">
        <v>8</v>
      </c>
      <c r="I1995" t="s">
        <v>3378</v>
      </c>
      <c r="J1995" t="s">
        <v>294</v>
      </c>
      <c r="M1995" t="s">
        <v>295</v>
      </c>
      <c r="N1995" t="s">
        <v>296</v>
      </c>
      <c r="O1995" t="s">
        <v>297</v>
      </c>
    </row>
    <row r="1996" spans="1:15" x14ac:dyDescent="0.3">
      <c r="A1996" t="s">
        <v>3129</v>
      </c>
      <c r="B1996" t="s">
        <v>3337</v>
      </c>
      <c r="C1996">
        <v>2024</v>
      </c>
      <c r="D1996" t="s">
        <v>300</v>
      </c>
      <c r="E1996" t="s">
        <v>3054</v>
      </c>
      <c r="F1996">
        <v>4.9099999999999998E-2</v>
      </c>
      <c r="G1996" t="s">
        <v>334</v>
      </c>
      <c r="H1996">
        <v>9</v>
      </c>
      <c r="I1996" t="s">
        <v>3379</v>
      </c>
      <c r="J1996" t="s">
        <v>294</v>
      </c>
      <c r="M1996" t="s">
        <v>295</v>
      </c>
      <c r="N1996" t="s">
        <v>296</v>
      </c>
      <c r="O1996" t="s">
        <v>297</v>
      </c>
    </row>
    <row r="1997" spans="1:15" x14ac:dyDescent="0.3">
      <c r="A1997" t="s">
        <v>3129</v>
      </c>
      <c r="B1997" t="s">
        <v>3337</v>
      </c>
      <c r="C1997">
        <v>2024</v>
      </c>
      <c r="D1997" t="s">
        <v>300</v>
      </c>
      <c r="E1997" t="s">
        <v>3052</v>
      </c>
      <c r="F1997">
        <v>2.6100000000000002E-2</v>
      </c>
      <c r="G1997" t="s">
        <v>334</v>
      </c>
      <c r="H1997">
        <v>9</v>
      </c>
      <c r="I1997" t="s">
        <v>3380</v>
      </c>
      <c r="J1997" t="s">
        <v>294</v>
      </c>
      <c r="M1997" t="s">
        <v>295</v>
      </c>
      <c r="N1997" t="s">
        <v>296</v>
      </c>
      <c r="O1997" t="s">
        <v>297</v>
      </c>
    </row>
    <row r="1998" spans="1:15" x14ac:dyDescent="0.3">
      <c r="A1998" t="s">
        <v>3129</v>
      </c>
      <c r="B1998" t="s">
        <v>3337</v>
      </c>
      <c r="C1998">
        <v>2024</v>
      </c>
      <c r="D1998" t="s">
        <v>300</v>
      </c>
      <c r="E1998" t="s">
        <v>340</v>
      </c>
      <c r="F1998">
        <v>0.20330000000000001</v>
      </c>
      <c r="G1998" t="s">
        <v>334</v>
      </c>
      <c r="H1998">
        <v>9</v>
      </c>
      <c r="I1998" t="s">
        <v>3381</v>
      </c>
      <c r="J1998" t="s">
        <v>294</v>
      </c>
      <c r="M1998" t="s">
        <v>295</v>
      </c>
      <c r="N1998" t="s">
        <v>296</v>
      </c>
      <c r="O1998" t="s">
        <v>297</v>
      </c>
    </row>
    <row r="1999" spans="1:15" x14ac:dyDescent="0.3">
      <c r="A1999" t="s">
        <v>3129</v>
      </c>
      <c r="B1999" t="s">
        <v>3337</v>
      </c>
      <c r="C1999">
        <v>2024</v>
      </c>
      <c r="D1999" t="s">
        <v>300</v>
      </c>
      <c r="E1999" t="s">
        <v>338</v>
      </c>
      <c r="F1999">
        <v>7.5200000000000003E-2</v>
      </c>
      <c r="G1999" t="s">
        <v>334</v>
      </c>
      <c r="H1999">
        <v>9</v>
      </c>
      <c r="I1999" t="s">
        <v>3382</v>
      </c>
      <c r="J1999" t="s">
        <v>294</v>
      </c>
      <c r="M1999" t="s">
        <v>295</v>
      </c>
      <c r="N1999" t="s">
        <v>296</v>
      </c>
      <c r="O1999" t="s">
        <v>297</v>
      </c>
    </row>
    <row r="2000" spans="1:15" x14ac:dyDescent="0.3">
      <c r="A2000" t="s">
        <v>3129</v>
      </c>
      <c r="B2000" t="s">
        <v>3337</v>
      </c>
      <c r="C2000">
        <v>2024</v>
      </c>
      <c r="D2000" t="s">
        <v>358</v>
      </c>
      <c r="E2000" t="s">
        <v>3189</v>
      </c>
      <c r="F2000">
        <v>26798</v>
      </c>
      <c r="G2000" t="s">
        <v>360</v>
      </c>
      <c r="H2000">
        <v>6</v>
      </c>
      <c r="I2000" t="s">
        <v>3383</v>
      </c>
      <c r="J2000" t="s">
        <v>294</v>
      </c>
      <c r="M2000" t="s">
        <v>295</v>
      </c>
      <c r="N2000" t="s">
        <v>296</v>
      </c>
      <c r="O2000" t="s">
        <v>297</v>
      </c>
    </row>
    <row r="2001" spans="1:15" x14ac:dyDescent="0.3">
      <c r="A2001" t="s">
        <v>3129</v>
      </c>
      <c r="B2001" t="s">
        <v>3337</v>
      </c>
      <c r="C2001">
        <v>2024</v>
      </c>
      <c r="D2001" t="s">
        <v>358</v>
      </c>
      <c r="E2001" t="s">
        <v>3191</v>
      </c>
      <c r="F2001">
        <v>1561</v>
      </c>
      <c r="G2001" t="s">
        <v>360</v>
      </c>
      <c r="H2001">
        <v>6</v>
      </c>
      <c r="I2001" t="s">
        <v>3384</v>
      </c>
      <c r="J2001" t="s">
        <v>294</v>
      </c>
      <c r="M2001" t="s">
        <v>295</v>
      </c>
      <c r="N2001" t="s">
        <v>296</v>
      </c>
      <c r="O2001" t="s">
        <v>297</v>
      </c>
    </row>
    <row r="2002" spans="1:15" x14ac:dyDescent="0.3">
      <c r="A2002" t="s">
        <v>3129</v>
      </c>
      <c r="B2002" t="s">
        <v>3337</v>
      </c>
      <c r="C2002">
        <v>2024</v>
      </c>
      <c r="D2002" t="s">
        <v>358</v>
      </c>
      <c r="E2002" t="s">
        <v>3193</v>
      </c>
      <c r="F2002">
        <v>28359</v>
      </c>
      <c r="G2002" t="s">
        <v>360</v>
      </c>
      <c r="H2002">
        <v>6</v>
      </c>
      <c r="I2002" t="s">
        <v>3385</v>
      </c>
      <c r="J2002" t="s">
        <v>294</v>
      </c>
      <c r="M2002" t="s">
        <v>295</v>
      </c>
      <c r="N2002" t="s">
        <v>296</v>
      </c>
      <c r="O2002" t="s">
        <v>297</v>
      </c>
    </row>
    <row r="2003" spans="1:15" x14ac:dyDescent="0.3">
      <c r="A2003" t="s">
        <v>3129</v>
      </c>
      <c r="B2003" t="s">
        <v>3337</v>
      </c>
      <c r="C2003">
        <v>2024</v>
      </c>
      <c r="D2003" t="s">
        <v>358</v>
      </c>
      <c r="E2003" t="s">
        <v>504</v>
      </c>
      <c r="F2003">
        <v>15596</v>
      </c>
      <c r="G2003" t="s">
        <v>360</v>
      </c>
      <c r="H2003">
        <v>6</v>
      </c>
      <c r="I2003" t="s">
        <v>3386</v>
      </c>
      <c r="J2003" t="s">
        <v>294</v>
      </c>
      <c r="M2003" t="s">
        <v>295</v>
      </c>
      <c r="N2003" t="s">
        <v>296</v>
      </c>
      <c r="O2003" t="s">
        <v>297</v>
      </c>
    </row>
    <row r="2004" spans="1:15" x14ac:dyDescent="0.3">
      <c r="A2004" t="s">
        <v>3129</v>
      </c>
      <c r="B2004" t="s">
        <v>3337</v>
      </c>
      <c r="C2004">
        <v>2024</v>
      </c>
      <c r="D2004" t="s">
        <v>358</v>
      </c>
      <c r="E2004" t="s">
        <v>1058</v>
      </c>
      <c r="F2004">
        <v>15200</v>
      </c>
      <c r="G2004" t="s">
        <v>360</v>
      </c>
      <c r="H2004">
        <v>6</v>
      </c>
      <c r="I2004" t="s">
        <v>3387</v>
      </c>
      <c r="J2004" t="s">
        <v>294</v>
      </c>
      <c r="M2004" t="s">
        <v>295</v>
      </c>
      <c r="N2004" t="s">
        <v>296</v>
      </c>
      <c r="O2004" t="s">
        <v>297</v>
      </c>
    </row>
    <row r="2005" spans="1:15" x14ac:dyDescent="0.3">
      <c r="A2005" t="s">
        <v>3129</v>
      </c>
      <c r="B2005" t="s">
        <v>3337</v>
      </c>
      <c r="C2005">
        <v>2024</v>
      </c>
      <c r="D2005" t="s">
        <v>358</v>
      </c>
      <c r="E2005" t="s">
        <v>930</v>
      </c>
      <c r="F2005">
        <v>396</v>
      </c>
      <c r="G2005" t="s">
        <v>360</v>
      </c>
      <c r="H2005">
        <v>6</v>
      </c>
      <c r="I2005" t="s">
        <v>3388</v>
      </c>
      <c r="J2005" t="s">
        <v>294</v>
      </c>
      <c r="M2005" t="s">
        <v>295</v>
      </c>
      <c r="N2005" t="s">
        <v>296</v>
      </c>
      <c r="O2005" t="s">
        <v>297</v>
      </c>
    </row>
    <row r="2006" spans="1:15" x14ac:dyDescent="0.3">
      <c r="A2006" t="s">
        <v>3129</v>
      </c>
      <c r="B2006" t="s">
        <v>3337</v>
      </c>
      <c r="C2006">
        <v>2024</v>
      </c>
      <c r="D2006" t="s">
        <v>358</v>
      </c>
      <c r="E2006" t="s">
        <v>3389</v>
      </c>
      <c r="F2006">
        <v>13543</v>
      </c>
      <c r="G2006" t="s">
        <v>360</v>
      </c>
      <c r="H2006">
        <v>6</v>
      </c>
      <c r="I2006" t="s">
        <v>3390</v>
      </c>
      <c r="J2006" t="s">
        <v>294</v>
      </c>
      <c r="M2006" t="s">
        <v>295</v>
      </c>
      <c r="N2006" t="s">
        <v>296</v>
      </c>
      <c r="O2006" t="s">
        <v>297</v>
      </c>
    </row>
    <row r="2007" spans="1:15" x14ac:dyDescent="0.3">
      <c r="A2007" t="s">
        <v>3129</v>
      </c>
      <c r="B2007" t="s">
        <v>3337</v>
      </c>
      <c r="C2007">
        <v>2024</v>
      </c>
      <c r="D2007" t="s">
        <v>358</v>
      </c>
      <c r="E2007" t="s">
        <v>3391</v>
      </c>
      <c r="F2007">
        <v>1658</v>
      </c>
      <c r="G2007" t="s">
        <v>360</v>
      </c>
      <c r="H2007">
        <v>6</v>
      </c>
      <c r="I2007" t="s">
        <v>3392</v>
      </c>
      <c r="J2007" t="s">
        <v>294</v>
      </c>
      <c r="M2007" t="s">
        <v>295</v>
      </c>
      <c r="N2007" t="s">
        <v>296</v>
      </c>
      <c r="O2007" t="s">
        <v>297</v>
      </c>
    </row>
    <row r="2008" spans="1:15" x14ac:dyDescent="0.3">
      <c r="A2008" t="s">
        <v>3129</v>
      </c>
      <c r="B2008" t="s">
        <v>3337</v>
      </c>
      <c r="C2008">
        <v>2024</v>
      </c>
      <c r="D2008" t="s">
        <v>358</v>
      </c>
      <c r="E2008" t="s">
        <v>3393</v>
      </c>
      <c r="F2008">
        <v>396</v>
      </c>
      <c r="G2008" t="s">
        <v>360</v>
      </c>
      <c r="H2008">
        <v>6</v>
      </c>
      <c r="I2008" t="s">
        <v>3394</v>
      </c>
      <c r="J2008" t="s">
        <v>294</v>
      </c>
      <c r="M2008" t="s">
        <v>295</v>
      </c>
      <c r="N2008" t="s">
        <v>296</v>
      </c>
      <c r="O2008" t="s">
        <v>297</v>
      </c>
    </row>
    <row r="2009" spans="1:15" x14ac:dyDescent="0.3">
      <c r="A2009" t="s">
        <v>3129</v>
      </c>
      <c r="B2009" t="s">
        <v>3337</v>
      </c>
      <c r="C2009">
        <v>2024</v>
      </c>
      <c r="D2009" t="s">
        <v>358</v>
      </c>
      <c r="E2009" t="s">
        <v>374</v>
      </c>
      <c r="F2009">
        <v>16</v>
      </c>
      <c r="G2009" t="s">
        <v>375</v>
      </c>
      <c r="H2009">
        <v>37</v>
      </c>
      <c r="I2009" t="s">
        <v>3395</v>
      </c>
      <c r="J2009" t="s">
        <v>294</v>
      </c>
      <c r="M2009" t="s">
        <v>295</v>
      </c>
      <c r="N2009" t="s">
        <v>296</v>
      </c>
      <c r="O2009" t="s">
        <v>297</v>
      </c>
    </row>
    <row r="2010" spans="1:15" x14ac:dyDescent="0.3">
      <c r="A2010" t="s">
        <v>3129</v>
      </c>
      <c r="B2010" t="s">
        <v>3337</v>
      </c>
      <c r="C2010">
        <v>2024</v>
      </c>
      <c r="D2010" t="s">
        <v>358</v>
      </c>
      <c r="E2010" t="s">
        <v>3396</v>
      </c>
      <c r="F2010">
        <v>1203</v>
      </c>
      <c r="G2010" t="s">
        <v>360</v>
      </c>
      <c r="H2010">
        <v>37</v>
      </c>
      <c r="I2010" t="s">
        <v>3397</v>
      </c>
      <c r="J2010" t="s">
        <v>294</v>
      </c>
      <c r="M2010" t="s">
        <v>295</v>
      </c>
      <c r="N2010" t="s">
        <v>296</v>
      </c>
      <c r="O2010" t="s">
        <v>297</v>
      </c>
    </row>
    <row r="2011" spans="1:15" x14ac:dyDescent="0.3">
      <c r="A2011" t="s">
        <v>3129</v>
      </c>
      <c r="B2011" t="s">
        <v>3337</v>
      </c>
      <c r="C2011">
        <v>2024</v>
      </c>
      <c r="D2011" t="s">
        <v>358</v>
      </c>
      <c r="E2011" t="s">
        <v>3398</v>
      </c>
      <c r="F2011">
        <v>90</v>
      </c>
      <c r="G2011" t="s">
        <v>3221</v>
      </c>
      <c r="H2011">
        <v>36</v>
      </c>
      <c r="I2011" t="s">
        <v>3399</v>
      </c>
      <c r="J2011" t="s">
        <v>294</v>
      </c>
      <c r="M2011" t="s">
        <v>295</v>
      </c>
      <c r="N2011" t="s">
        <v>296</v>
      </c>
      <c r="O2011" t="s">
        <v>297</v>
      </c>
    </row>
    <row r="2012" spans="1:15" x14ac:dyDescent="0.3">
      <c r="A2012" t="s">
        <v>3129</v>
      </c>
      <c r="B2012" t="s">
        <v>3337</v>
      </c>
      <c r="C2012">
        <v>2024</v>
      </c>
      <c r="D2012" t="s">
        <v>358</v>
      </c>
      <c r="E2012" t="s">
        <v>3223</v>
      </c>
      <c r="F2012">
        <v>1</v>
      </c>
      <c r="G2012" t="s">
        <v>384</v>
      </c>
      <c r="H2012">
        <v>36</v>
      </c>
      <c r="I2012" t="s">
        <v>3400</v>
      </c>
      <c r="J2012" t="s">
        <v>294</v>
      </c>
      <c r="M2012" t="s">
        <v>295</v>
      </c>
      <c r="N2012" t="s">
        <v>296</v>
      </c>
      <c r="O2012" t="s">
        <v>297</v>
      </c>
    </row>
    <row r="2013" spans="1:15" x14ac:dyDescent="0.3">
      <c r="A2013" t="s">
        <v>3129</v>
      </c>
      <c r="B2013" t="s">
        <v>3337</v>
      </c>
      <c r="C2013">
        <v>2024</v>
      </c>
      <c r="D2013" t="s">
        <v>358</v>
      </c>
      <c r="E2013" t="s">
        <v>3204</v>
      </c>
      <c r="F2013">
        <v>240</v>
      </c>
      <c r="G2013" t="s">
        <v>360</v>
      </c>
      <c r="H2013">
        <v>37</v>
      </c>
      <c r="I2013" t="s">
        <v>3401</v>
      </c>
      <c r="J2013" t="s">
        <v>294</v>
      </c>
      <c r="M2013" t="s">
        <v>295</v>
      </c>
      <c r="N2013" t="s">
        <v>296</v>
      </c>
      <c r="O2013" t="s">
        <v>297</v>
      </c>
    </row>
    <row r="2014" spans="1:15" x14ac:dyDescent="0.3">
      <c r="A2014" t="s">
        <v>3129</v>
      </c>
      <c r="B2014" t="s">
        <v>3337</v>
      </c>
      <c r="C2014">
        <v>2024</v>
      </c>
      <c r="D2014" t="s">
        <v>358</v>
      </c>
      <c r="E2014" t="s">
        <v>3206</v>
      </c>
      <c r="F2014">
        <v>895</v>
      </c>
      <c r="G2014" t="s">
        <v>360</v>
      </c>
      <c r="H2014">
        <v>37</v>
      </c>
      <c r="I2014" t="s">
        <v>3402</v>
      </c>
      <c r="J2014" t="s">
        <v>294</v>
      </c>
      <c r="M2014" t="s">
        <v>295</v>
      </c>
      <c r="N2014" t="s">
        <v>296</v>
      </c>
      <c r="O2014" t="s">
        <v>297</v>
      </c>
    </row>
    <row r="2015" spans="1:15" x14ac:dyDescent="0.3">
      <c r="A2015" t="s">
        <v>3129</v>
      </c>
      <c r="B2015" t="s">
        <v>3337</v>
      </c>
      <c r="C2015">
        <v>2024</v>
      </c>
      <c r="D2015" t="s">
        <v>358</v>
      </c>
      <c r="E2015" t="s">
        <v>3208</v>
      </c>
      <c r="F2015">
        <v>3666</v>
      </c>
      <c r="G2015" t="s">
        <v>360</v>
      </c>
      <c r="H2015">
        <v>37</v>
      </c>
      <c r="I2015" t="s">
        <v>3403</v>
      </c>
      <c r="J2015" t="s">
        <v>294</v>
      </c>
      <c r="M2015" t="s">
        <v>295</v>
      </c>
      <c r="N2015" t="s">
        <v>296</v>
      </c>
      <c r="O2015" t="s">
        <v>297</v>
      </c>
    </row>
    <row r="2016" spans="1:15" x14ac:dyDescent="0.3">
      <c r="A2016" t="s">
        <v>3129</v>
      </c>
      <c r="B2016" t="s">
        <v>3337</v>
      </c>
      <c r="C2016">
        <v>2024</v>
      </c>
      <c r="D2016" t="s">
        <v>358</v>
      </c>
      <c r="E2016" t="s">
        <v>3210</v>
      </c>
      <c r="F2016">
        <v>4342</v>
      </c>
      <c r="G2016" t="s">
        <v>360</v>
      </c>
      <c r="H2016">
        <v>37</v>
      </c>
      <c r="I2016" t="s">
        <v>3404</v>
      </c>
      <c r="J2016" t="s">
        <v>294</v>
      </c>
      <c r="M2016" t="s">
        <v>295</v>
      </c>
      <c r="N2016" t="s">
        <v>296</v>
      </c>
      <c r="O2016" t="s">
        <v>297</v>
      </c>
    </row>
    <row r="2017" spans="1:15" x14ac:dyDescent="0.3">
      <c r="A2017" t="s">
        <v>3129</v>
      </c>
      <c r="B2017" t="s">
        <v>3337</v>
      </c>
      <c r="C2017">
        <v>2024</v>
      </c>
      <c r="D2017" t="s">
        <v>358</v>
      </c>
      <c r="E2017" t="s">
        <v>3405</v>
      </c>
      <c r="F2017">
        <v>4795</v>
      </c>
      <c r="G2017" t="s">
        <v>360</v>
      </c>
      <c r="H2017">
        <v>37</v>
      </c>
      <c r="I2017" t="s">
        <v>3406</v>
      </c>
      <c r="J2017" t="s">
        <v>294</v>
      </c>
      <c r="M2017" t="s">
        <v>295</v>
      </c>
      <c r="N2017" t="s">
        <v>296</v>
      </c>
      <c r="O2017" t="s">
        <v>297</v>
      </c>
    </row>
    <row r="2018" spans="1:15" x14ac:dyDescent="0.3">
      <c r="A2018" t="s">
        <v>3129</v>
      </c>
      <c r="B2018" t="s">
        <v>3337</v>
      </c>
      <c r="C2018">
        <v>2024</v>
      </c>
      <c r="D2018" t="s">
        <v>358</v>
      </c>
      <c r="E2018" t="s">
        <v>3214</v>
      </c>
      <c r="F2018">
        <v>8858</v>
      </c>
      <c r="G2018" t="s">
        <v>360</v>
      </c>
      <c r="H2018">
        <v>36</v>
      </c>
      <c r="I2018" t="s">
        <v>3407</v>
      </c>
      <c r="J2018" t="s">
        <v>294</v>
      </c>
      <c r="M2018" t="s">
        <v>295</v>
      </c>
      <c r="N2018" t="s">
        <v>296</v>
      </c>
      <c r="O2018" t="s">
        <v>297</v>
      </c>
    </row>
    <row r="2019" spans="1:15" x14ac:dyDescent="0.3">
      <c r="A2019" t="s">
        <v>3129</v>
      </c>
      <c r="B2019" t="s">
        <v>3337</v>
      </c>
      <c r="C2019">
        <v>2024</v>
      </c>
      <c r="D2019" t="s">
        <v>358</v>
      </c>
      <c r="E2019" t="s">
        <v>3408</v>
      </c>
      <c r="F2019">
        <v>1167</v>
      </c>
      <c r="G2019" t="s">
        <v>360</v>
      </c>
      <c r="H2019">
        <v>36</v>
      </c>
      <c r="I2019" t="s">
        <v>3409</v>
      </c>
      <c r="J2019" t="s">
        <v>294</v>
      </c>
      <c r="M2019" t="s">
        <v>295</v>
      </c>
      <c r="N2019" t="s">
        <v>296</v>
      </c>
      <c r="O2019" t="s">
        <v>297</v>
      </c>
    </row>
    <row r="2020" spans="1:15" x14ac:dyDescent="0.3">
      <c r="A2020" t="s">
        <v>3129</v>
      </c>
      <c r="B2020" t="s">
        <v>3337</v>
      </c>
      <c r="C2020">
        <v>2024</v>
      </c>
      <c r="D2020" t="s">
        <v>358</v>
      </c>
      <c r="E2020" t="s">
        <v>3410</v>
      </c>
      <c r="F2020">
        <v>9609</v>
      </c>
      <c r="G2020" t="s">
        <v>360</v>
      </c>
      <c r="H2020">
        <v>36</v>
      </c>
      <c r="I2020" t="s">
        <v>3411</v>
      </c>
      <c r="J2020" t="s">
        <v>294</v>
      </c>
      <c r="M2020" t="s">
        <v>295</v>
      </c>
      <c r="N2020" t="s">
        <v>296</v>
      </c>
      <c r="O2020" t="s">
        <v>297</v>
      </c>
    </row>
    <row r="2021" spans="1:15" x14ac:dyDescent="0.3">
      <c r="A2021" t="s">
        <v>3129</v>
      </c>
      <c r="B2021" t="s">
        <v>3337</v>
      </c>
      <c r="C2021">
        <v>2024</v>
      </c>
      <c r="D2021" t="s">
        <v>394</v>
      </c>
      <c r="E2021" t="s">
        <v>3225</v>
      </c>
      <c r="F2021">
        <v>225259</v>
      </c>
      <c r="G2021" t="s">
        <v>396</v>
      </c>
      <c r="H2021">
        <v>6</v>
      </c>
      <c r="I2021" t="s">
        <v>3412</v>
      </c>
      <c r="J2021" t="s">
        <v>294</v>
      </c>
      <c r="M2021" t="s">
        <v>295</v>
      </c>
      <c r="N2021" t="s">
        <v>296</v>
      </c>
      <c r="O2021" t="s">
        <v>297</v>
      </c>
    </row>
    <row r="2022" spans="1:15" x14ac:dyDescent="0.3">
      <c r="A2022" t="s">
        <v>3129</v>
      </c>
      <c r="B2022" t="s">
        <v>3337</v>
      </c>
      <c r="C2022">
        <v>2024</v>
      </c>
      <c r="D2022" t="s">
        <v>394</v>
      </c>
      <c r="E2022" t="s">
        <v>3321</v>
      </c>
      <c r="F2022">
        <v>49783</v>
      </c>
      <c r="G2022" t="s">
        <v>396</v>
      </c>
      <c r="H2022">
        <v>6</v>
      </c>
      <c r="I2022" t="s">
        <v>3413</v>
      </c>
      <c r="J2022" t="s">
        <v>294</v>
      </c>
      <c r="M2022" t="s">
        <v>295</v>
      </c>
      <c r="N2022" t="s">
        <v>296</v>
      </c>
      <c r="O2022" t="s">
        <v>297</v>
      </c>
    </row>
    <row r="2023" spans="1:15" x14ac:dyDescent="0.3">
      <c r="A2023" t="s">
        <v>3129</v>
      </c>
      <c r="B2023" t="s">
        <v>3337</v>
      </c>
      <c r="C2023">
        <v>2024</v>
      </c>
      <c r="D2023" t="s">
        <v>394</v>
      </c>
      <c r="E2023" t="s">
        <v>3414</v>
      </c>
      <c r="F2023">
        <v>175476</v>
      </c>
      <c r="G2023" t="s">
        <v>396</v>
      </c>
      <c r="H2023">
        <v>6</v>
      </c>
      <c r="I2023" t="s">
        <v>3415</v>
      </c>
      <c r="J2023" t="s">
        <v>294</v>
      </c>
      <c r="M2023" t="s">
        <v>295</v>
      </c>
      <c r="N2023" t="s">
        <v>296</v>
      </c>
      <c r="O2023" t="s">
        <v>297</v>
      </c>
    </row>
    <row r="2024" spans="1:15" x14ac:dyDescent="0.3">
      <c r="A2024" t="s">
        <v>3129</v>
      </c>
      <c r="B2024" t="s">
        <v>3337</v>
      </c>
      <c r="C2024">
        <v>2024</v>
      </c>
      <c r="D2024" t="s">
        <v>394</v>
      </c>
      <c r="E2024" t="s">
        <v>3416</v>
      </c>
      <c r="F2024">
        <v>31296</v>
      </c>
      <c r="G2024" t="s">
        <v>396</v>
      </c>
      <c r="H2024">
        <v>6</v>
      </c>
      <c r="I2024" t="s">
        <v>3417</v>
      </c>
      <c r="J2024" t="s">
        <v>294</v>
      </c>
      <c r="M2024" t="s">
        <v>295</v>
      </c>
      <c r="N2024" t="s">
        <v>296</v>
      </c>
      <c r="O2024" t="s">
        <v>297</v>
      </c>
    </row>
    <row r="2025" spans="1:15" x14ac:dyDescent="0.3">
      <c r="A2025" t="s">
        <v>3129</v>
      </c>
      <c r="B2025" t="s">
        <v>3337</v>
      </c>
      <c r="C2025">
        <v>2024</v>
      </c>
      <c r="D2025" t="s">
        <v>394</v>
      </c>
      <c r="E2025" t="s">
        <v>537</v>
      </c>
      <c r="F2025">
        <v>206772</v>
      </c>
      <c r="G2025" t="s">
        <v>396</v>
      </c>
      <c r="H2025">
        <v>6</v>
      </c>
      <c r="I2025" t="s">
        <v>3418</v>
      </c>
      <c r="J2025" t="s">
        <v>294</v>
      </c>
      <c r="M2025" t="s">
        <v>295</v>
      </c>
      <c r="N2025" t="s">
        <v>296</v>
      </c>
      <c r="O2025" t="s">
        <v>297</v>
      </c>
    </row>
    <row r="2026" spans="1:15" x14ac:dyDescent="0.3">
      <c r="A2026" t="s">
        <v>3129</v>
      </c>
      <c r="B2026" t="s">
        <v>3337</v>
      </c>
      <c r="C2026">
        <v>2024</v>
      </c>
      <c r="D2026" t="s">
        <v>394</v>
      </c>
      <c r="E2026" t="s">
        <v>3234</v>
      </c>
      <c r="F2026">
        <v>16.63</v>
      </c>
      <c r="G2026" t="s">
        <v>423</v>
      </c>
      <c r="H2026">
        <v>6</v>
      </c>
      <c r="I2026" t="s">
        <v>3419</v>
      </c>
      <c r="J2026" t="s">
        <v>294</v>
      </c>
      <c r="M2026" t="s">
        <v>295</v>
      </c>
      <c r="N2026" t="s">
        <v>296</v>
      </c>
      <c r="O2026" t="s">
        <v>297</v>
      </c>
    </row>
    <row r="2027" spans="1:15" x14ac:dyDescent="0.3">
      <c r="A2027" t="s">
        <v>3129</v>
      </c>
      <c r="B2027" t="s">
        <v>3337</v>
      </c>
      <c r="C2027">
        <v>2024</v>
      </c>
      <c r="D2027" t="s">
        <v>394</v>
      </c>
      <c r="E2027" t="s">
        <v>406</v>
      </c>
      <c r="F2027">
        <v>43934</v>
      </c>
      <c r="G2027" t="s">
        <v>396</v>
      </c>
      <c r="H2027">
        <v>6</v>
      </c>
      <c r="I2027" t="s">
        <v>3420</v>
      </c>
      <c r="J2027" t="s">
        <v>294</v>
      </c>
      <c r="M2027" t="s">
        <v>295</v>
      </c>
      <c r="N2027" t="s">
        <v>296</v>
      </c>
      <c r="O2027" t="s">
        <v>297</v>
      </c>
    </row>
    <row r="2028" spans="1:15" x14ac:dyDescent="0.3">
      <c r="A2028" t="s">
        <v>3129</v>
      </c>
      <c r="B2028" t="s">
        <v>3337</v>
      </c>
      <c r="C2028">
        <v>2024</v>
      </c>
      <c r="D2028" t="s">
        <v>394</v>
      </c>
      <c r="E2028" t="s">
        <v>416</v>
      </c>
      <c r="F2028">
        <v>9123</v>
      </c>
      <c r="G2028" t="s">
        <v>396</v>
      </c>
      <c r="H2028">
        <v>6</v>
      </c>
      <c r="I2028" t="s">
        <v>3421</v>
      </c>
      <c r="J2028" t="s">
        <v>294</v>
      </c>
      <c r="M2028" t="s">
        <v>295</v>
      </c>
      <c r="N2028" t="s">
        <v>296</v>
      </c>
      <c r="O2028" t="s">
        <v>297</v>
      </c>
    </row>
    <row r="2029" spans="1:15" x14ac:dyDescent="0.3">
      <c r="A2029" t="s">
        <v>3129</v>
      </c>
      <c r="B2029" t="s">
        <v>3337</v>
      </c>
      <c r="C2029">
        <v>2024</v>
      </c>
      <c r="D2029" t="s">
        <v>394</v>
      </c>
      <c r="E2029" t="s">
        <v>3238</v>
      </c>
      <c r="F2029">
        <v>0.21249999999999999</v>
      </c>
      <c r="G2029" t="s">
        <v>334</v>
      </c>
      <c r="H2029">
        <v>6</v>
      </c>
      <c r="I2029" t="s">
        <v>3422</v>
      </c>
      <c r="J2029" t="s">
        <v>294</v>
      </c>
      <c r="M2029" t="s">
        <v>295</v>
      </c>
      <c r="N2029" t="s">
        <v>296</v>
      </c>
      <c r="O2029" t="s">
        <v>297</v>
      </c>
    </row>
    <row r="2030" spans="1:15" x14ac:dyDescent="0.3">
      <c r="A2030" t="s">
        <v>3129</v>
      </c>
      <c r="B2030" t="s">
        <v>3337</v>
      </c>
      <c r="C2030">
        <v>2024</v>
      </c>
      <c r="D2030" t="s">
        <v>394</v>
      </c>
      <c r="E2030" t="s">
        <v>3240</v>
      </c>
      <c r="F2030">
        <v>4.41E-2</v>
      </c>
      <c r="G2030" t="s">
        <v>334</v>
      </c>
      <c r="H2030">
        <v>6</v>
      </c>
      <c r="I2030" t="s">
        <v>3423</v>
      </c>
      <c r="J2030" t="s">
        <v>294</v>
      </c>
      <c r="M2030" t="s">
        <v>295</v>
      </c>
      <c r="N2030" t="s">
        <v>296</v>
      </c>
      <c r="O2030" t="s">
        <v>297</v>
      </c>
    </row>
    <row r="2031" spans="1:15" x14ac:dyDescent="0.3">
      <c r="A2031" t="s">
        <v>3129</v>
      </c>
      <c r="B2031" t="s">
        <v>3337</v>
      </c>
      <c r="C2031">
        <v>2024</v>
      </c>
      <c r="D2031" t="s">
        <v>394</v>
      </c>
      <c r="E2031" t="s">
        <v>438</v>
      </c>
      <c r="F2031">
        <v>44598</v>
      </c>
      <c r="G2031" t="s">
        <v>396</v>
      </c>
      <c r="H2031">
        <v>6</v>
      </c>
      <c r="I2031" t="s">
        <v>3424</v>
      </c>
      <c r="J2031" t="s">
        <v>294</v>
      </c>
      <c r="M2031" t="s">
        <v>295</v>
      </c>
      <c r="N2031" t="s">
        <v>296</v>
      </c>
      <c r="O2031" t="s">
        <v>297</v>
      </c>
    </row>
    <row r="2032" spans="1:15" x14ac:dyDescent="0.3">
      <c r="A2032" t="s">
        <v>3129</v>
      </c>
      <c r="B2032" t="s">
        <v>3337</v>
      </c>
      <c r="C2032">
        <v>2024</v>
      </c>
      <c r="D2032" t="s">
        <v>394</v>
      </c>
      <c r="E2032" t="s">
        <v>3243</v>
      </c>
      <c r="F2032">
        <v>9257</v>
      </c>
      <c r="G2032" t="s">
        <v>396</v>
      </c>
      <c r="H2032">
        <v>6</v>
      </c>
      <c r="I2032" t="s">
        <v>3425</v>
      </c>
      <c r="J2032" t="s">
        <v>294</v>
      </c>
      <c r="M2032" t="s">
        <v>295</v>
      </c>
      <c r="N2032" t="s">
        <v>296</v>
      </c>
      <c r="O2032" t="s">
        <v>297</v>
      </c>
    </row>
    <row r="2033" spans="1:15" x14ac:dyDescent="0.3">
      <c r="A2033" t="s">
        <v>3129</v>
      </c>
      <c r="B2033" t="s">
        <v>3337</v>
      </c>
      <c r="C2033">
        <v>2024</v>
      </c>
      <c r="D2033" t="s">
        <v>394</v>
      </c>
      <c r="E2033" t="s">
        <v>554</v>
      </c>
      <c r="F2033">
        <v>13117</v>
      </c>
      <c r="G2033" t="s">
        <v>436</v>
      </c>
      <c r="H2033">
        <v>44</v>
      </c>
      <c r="I2033" t="s">
        <v>3426</v>
      </c>
      <c r="J2033" t="s">
        <v>294</v>
      </c>
      <c r="M2033" t="s">
        <v>295</v>
      </c>
      <c r="N2033" t="s">
        <v>296</v>
      </c>
      <c r="O2033" t="s">
        <v>297</v>
      </c>
    </row>
    <row r="2034" spans="1:15" x14ac:dyDescent="0.3">
      <c r="A2034" t="s">
        <v>3129</v>
      </c>
      <c r="B2034" t="s">
        <v>3337</v>
      </c>
      <c r="C2034">
        <v>2024</v>
      </c>
      <c r="D2034" t="s">
        <v>394</v>
      </c>
      <c r="E2034" t="s">
        <v>3246</v>
      </c>
      <c r="F2034">
        <v>8713</v>
      </c>
      <c r="G2034" t="s">
        <v>436</v>
      </c>
      <c r="H2034">
        <v>44</v>
      </c>
      <c r="I2034" t="s">
        <v>3427</v>
      </c>
      <c r="J2034" t="s">
        <v>294</v>
      </c>
      <c r="M2034" t="s">
        <v>295</v>
      </c>
      <c r="N2034" t="s">
        <v>296</v>
      </c>
      <c r="O2034" t="s">
        <v>297</v>
      </c>
    </row>
    <row r="2035" spans="1:15" x14ac:dyDescent="0.3">
      <c r="A2035" t="s">
        <v>3129</v>
      </c>
      <c r="B2035" t="s">
        <v>3337</v>
      </c>
      <c r="C2035">
        <v>2024</v>
      </c>
      <c r="D2035" t="s">
        <v>394</v>
      </c>
      <c r="E2035" t="s">
        <v>3248</v>
      </c>
      <c r="F2035">
        <v>2838</v>
      </c>
      <c r="G2035" t="s">
        <v>436</v>
      </c>
      <c r="H2035">
        <v>44</v>
      </c>
      <c r="I2035" t="s">
        <v>3428</v>
      </c>
      <c r="J2035" t="s">
        <v>294</v>
      </c>
      <c r="M2035" t="s">
        <v>295</v>
      </c>
      <c r="N2035" t="s">
        <v>296</v>
      </c>
      <c r="O2035" t="s">
        <v>297</v>
      </c>
    </row>
    <row r="2036" spans="1:15" x14ac:dyDescent="0.3">
      <c r="A2036" t="s">
        <v>3129</v>
      </c>
      <c r="B2036" t="s">
        <v>3337</v>
      </c>
      <c r="C2036">
        <v>2024</v>
      </c>
      <c r="D2036" t="s">
        <v>394</v>
      </c>
      <c r="E2036" t="s">
        <v>3336</v>
      </c>
      <c r="F2036">
        <v>585.6</v>
      </c>
      <c r="G2036" t="s">
        <v>302</v>
      </c>
      <c r="H2036">
        <v>45</v>
      </c>
      <c r="I2036" t="s">
        <v>3429</v>
      </c>
      <c r="J2036" t="s">
        <v>294</v>
      </c>
      <c r="M2036" t="s">
        <v>295</v>
      </c>
      <c r="N2036" t="s">
        <v>296</v>
      </c>
      <c r="O2036" t="s">
        <v>297</v>
      </c>
    </row>
    <row r="2037" spans="1:15" x14ac:dyDescent="0.3">
      <c r="A2037" t="s">
        <v>3129</v>
      </c>
      <c r="B2037" t="s">
        <v>3337</v>
      </c>
      <c r="C2037">
        <v>2024</v>
      </c>
      <c r="D2037" t="s">
        <v>394</v>
      </c>
      <c r="E2037" t="s">
        <v>3430</v>
      </c>
      <c r="F2037">
        <v>80.7</v>
      </c>
      <c r="G2037" t="s">
        <v>302</v>
      </c>
      <c r="H2037">
        <v>45</v>
      </c>
      <c r="I2037" t="s">
        <v>3347</v>
      </c>
      <c r="J2037" t="s">
        <v>294</v>
      </c>
      <c r="M2037" t="s">
        <v>295</v>
      </c>
      <c r="N2037" t="s">
        <v>296</v>
      </c>
      <c r="O2037" t="s">
        <v>297</v>
      </c>
    </row>
    <row r="2038" spans="1:15" x14ac:dyDescent="0.3">
      <c r="A2038" t="s">
        <v>3129</v>
      </c>
      <c r="B2038" t="s">
        <v>3337</v>
      </c>
      <c r="C2038">
        <v>2024</v>
      </c>
      <c r="D2038" t="s">
        <v>394</v>
      </c>
      <c r="E2038" t="s">
        <v>3431</v>
      </c>
      <c r="F2038">
        <v>138.4</v>
      </c>
      <c r="G2038" t="s">
        <v>302</v>
      </c>
      <c r="H2038">
        <v>45</v>
      </c>
      <c r="I2038" t="s">
        <v>3348</v>
      </c>
      <c r="J2038" t="s">
        <v>294</v>
      </c>
      <c r="M2038" t="s">
        <v>295</v>
      </c>
      <c r="N2038" t="s">
        <v>296</v>
      </c>
      <c r="O2038" t="s">
        <v>297</v>
      </c>
    </row>
    <row r="2039" spans="1:15" x14ac:dyDescent="0.3">
      <c r="A2039" t="s">
        <v>3129</v>
      </c>
      <c r="B2039" t="s">
        <v>3337</v>
      </c>
      <c r="C2039">
        <v>2024</v>
      </c>
      <c r="D2039" t="s">
        <v>394</v>
      </c>
      <c r="E2039" t="s">
        <v>3250</v>
      </c>
      <c r="F2039" t="s">
        <v>3251</v>
      </c>
      <c r="G2039" t="s">
        <v>292</v>
      </c>
      <c r="H2039">
        <v>45</v>
      </c>
      <c r="I2039" t="s">
        <v>3432</v>
      </c>
      <c r="J2039" t="s">
        <v>294</v>
      </c>
      <c r="M2039" t="s">
        <v>295</v>
      </c>
      <c r="N2039" t="s">
        <v>296</v>
      </c>
      <c r="O2039" t="s">
        <v>297</v>
      </c>
    </row>
    <row r="2040" spans="1:15" x14ac:dyDescent="0.3">
      <c r="A2040" t="s">
        <v>3129</v>
      </c>
      <c r="B2040" t="s">
        <v>3337</v>
      </c>
      <c r="C2040">
        <v>2024</v>
      </c>
      <c r="D2040" t="s">
        <v>563</v>
      </c>
      <c r="E2040" t="s">
        <v>564</v>
      </c>
      <c r="F2040" t="s">
        <v>3433</v>
      </c>
      <c r="G2040" t="s">
        <v>292</v>
      </c>
      <c r="H2040">
        <v>20</v>
      </c>
      <c r="I2040" t="s">
        <v>3434</v>
      </c>
      <c r="J2040" t="s">
        <v>294</v>
      </c>
      <c r="M2040" t="s">
        <v>295</v>
      </c>
      <c r="N2040" t="s">
        <v>296</v>
      </c>
      <c r="O2040" t="s">
        <v>297</v>
      </c>
    </row>
    <row r="2041" spans="1:15" x14ac:dyDescent="0.3">
      <c r="A2041" t="s">
        <v>3129</v>
      </c>
      <c r="B2041" t="s">
        <v>3337</v>
      </c>
      <c r="C2041">
        <v>2024</v>
      </c>
      <c r="D2041" t="s">
        <v>252</v>
      </c>
      <c r="E2041" t="s">
        <v>1203</v>
      </c>
      <c r="F2041" t="s">
        <v>3435</v>
      </c>
      <c r="G2041" t="s">
        <v>292</v>
      </c>
      <c r="H2041">
        <v>25</v>
      </c>
      <c r="I2041" t="s">
        <v>3436</v>
      </c>
      <c r="J2041" t="s">
        <v>294</v>
      </c>
      <c r="M2041" t="s">
        <v>295</v>
      </c>
      <c r="N2041" t="s">
        <v>296</v>
      </c>
      <c r="O2041" t="s">
        <v>297</v>
      </c>
    </row>
    <row r="2042" spans="1:15" x14ac:dyDescent="0.3">
      <c r="A2042" t="s">
        <v>3129</v>
      </c>
      <c r="B2042" t="s">
        <v>3337</v>
      </c>
      <c r="C2042">
        <v>2024</v>
      </c>
      <c r="D2042" t="s">
        <v>252</v>
      </c>
      <c r="E2042" t="s">
        <v>3256</v>
      </c>
      <c r="F2042" t="s">
        <v>3257</v>
      </c>
      <c r="G2042" t="s">
        <v>292</v>
      </c>
      <c r="H2042">
        <v>16</v>
      </c>
      <c r="I2042" t="s">
        <v>3437</v>
      </c>
      <c r="J2042" t="s">
        <v>294</v>
      </c>
      <c r="M2042" t="s">
        <v>295</v>
      </c>
      <c r="N2042" t="s">
        <v>296</v>
      </c>
      <c r="O2042" t="s">
        <v>297</v>
      </c>
    </row>
    <row r="2043" spans="1:15" x14ac:dyDescent="0.3">
      <c r="A2043" t="s">
        <v>3129</v>
      </c>
      <c r="B2043" t="s">
        <v>3337</v>
      </c>
      <c r="C2043">
        <v>2024</v>
      </c>
      <c r="D2043" t="s">
        <v>252</v>
      </c>
      <c r="E2043" t="s">
        <v>3253</v>
      </c>
      <c r="F2043" t="s">
        <v>3254</v>
      </c>
      <c r="G2043" t="s">
        <v>292</v>
      </c>
      <c r="H2043">
        <v>22</v>
      </c>
      <c r="I2043" t="s">
        <v>3438</v>
      </c>
      <c r="J2043" t="s">
        <v>294</v>
      </c>
      <c r="M2043" t="s">
        <v>295</v>
      </c>
      <c r="N2043" t="s">
        <v>296</v>
      </c>
      <c r="O2043" t="s">
        <v>297</v>
      </c>
    </row>
    <row r="2044" spans="1:15" x14ac:dyDescent="0.3">
      <c r="A2044" t="s">
        <v>3439</v>
      </c>
      <c r="B2044" t="s">
        <v>3440</v>
      </c>
      <c r="C2044">
        <v>2023</v>
      </c>
      <c r="D2044" t="s">
        <v>272</v>
      </c>
      <c r="E2044" t="s">
        <v>291</v>
      </c>
      <c r="F2044" t="s">
        <v>3439</v>
      </c>
      <c r="G2044" t="s">
        <v>292</v>
      </c>
      <c r="H2044">
        <v>2</v>
      </c>
      <c r="I2044" t="s">
        <v>3441</v>
      </c>
      <c r="J2044" t="s">
        <v>294</v>
      </c>
      <c r="M2044" t="s">
        <v>295</v>
      </c>
      <c r="N2044" t="s">
        <v>296</v>
      </c>
      <c r="O2044" t="s">
        <v>297</v>
      </c>
    </row>
    <row r="2045" spans="1:15" x14ac:dyDescent="0.3">
      <c r="A2045" t="s">
        <v>3439</v>
      </c>
      <c r="B2045" t="s">
        <v>3440</v>
      </c>
      <c r="C2045">
        <v>2023</v>
      </c>
      <c r="D2045" t="s">
        <v>272</v>
      </c>
      <c r="E2045" t="s">
        <v>1100</v>
      </c>
      <c r="F2045" t="s">
        <v>3442</v>
      </c>
      <c r="G2045" t="s">
        <v>292</v>
      </c>
      <c r="H2045">
        <v>2</v>
      </c>
      <c r="I2045" t="s">
        <v>3443</v>
      </c>
      <c r="J2045" t="s">
        <v>294</v>
      </c>
      <c r="M2045" t="s">
        <v>295</v>
      </c>
      <c r="N2045" t="s">
        <v>296</v>
      </c>
      <c r="O2045" t="s">
        <v>297</v>
      </c>
    </row>
    <row r="2046" spans="1:15" x14ac:dyDescent="0.3">
      <c r="A2046" t="s">
        <v>3439</v>
      </c>
      <c r="B2046" t="s">
        <v>3440</v>
      </c>
      <c r="C2046">
        <v>2023</v>
      </c>
      <c r="D2046" t="s">
        <v>272</v>
      </c>
      <c r="E2046" t="s">
        <v>3444</v>
      </c>
      <c r="F2046" t="s">
        <v>3445</v>
      </c>
      <c r="G2046" t="s">
        <v>292</v>
      </c>
      <c r="H2046">
        <v>24</v>
      </c>
      <c r="I2046" t="s">
        <v>3446</v>
      </c>
      <c r="J2046" t="s">
        <v>294</v>
      </c>
      <c r="M2046" t="s">
        <v>295</v>
      </c>
      <c r="N2046" t="s">
        <v>296</v>
      </c>
      <c r="O2046" t="s">
        <v>297</v>
      </c>
    </row>
    <row r="2047" spans="1:15" x14ac:dyDescent="0.3">
      <c r="A2047" t="s">
        <v>3439</v>
      </c>
      <c r="B2047" t="s">
        <v>3440</v>
      </c>
      <c r="C2047">
        <v>2023</v>
      </c>
      <c r="D2047" t="s">
        <v>272</v>
      </c>
      <c r="E2047" t="s">
        <v>3447</v>
      </c>
      <c r="F2047" t="s">
        <v>3448</v>
      </c>
      <c r="G2047" t="s">
        <v>292</v>
      </c>
      <c r="H2047">
        <v>112</v>
      </c>
      <c r="I2047" t="s">
        <v>3449</v>
      </c>
      <c r="J2047" t="s">
        <v>294</v>
      </c>
      <c r="M2047" t="s">
        <v>295</v>
      </c>
      <c r="N2047" t="s">
        <v>296</v>
      </c>
      <c r="O2047" t="s">
        <v>297</v>
      </c>
    </row>
    <row r="2048" spans="1:15" x14ac:dyDescent="0.3">
      <c r="A2048" t="s">
        <v>3439</v>
      </c>
      <c r="B2048" t="s">
        <v>3440</v>
      </c>
      <c r="C2048">
        <v>2023</v>
      </c>
      <c r="D2048" t="s">
        <v>272</v>
      </c>
      <c r="E2048" t="s">
        <v>2962</v>
      </c>
      <c r="F2048" t="s">
        <v>3450</v>
      </c>
      <c r="G2048" t="s">
        <v>292</v>
      </c>
      <c r="H2048">
        <v>24</v>
      </c>
      <c r="I2048" t="s">
        <v>3451</v>
      </c>
      <c r="J2048" t="s">
        <v>294</v>
      </c>
      <c r="M2048" t="s">
        <v>295</v>
      </c>
      <c r="N2048" t="s">
        <v>296</v>
      </c>
      <c r="O2048" t="s">
        <v>297</v>
      </c>
    </row>
    <row r="2049" spans="1:15" x14ac:dyDescent="0.3">
      <c r="A2049" t="s">
        <v>3439</v>
      </c>
      <c r="B2049" t="s">
        <v>3440</v>
      </c>
      <c r="C2049">
        <v>2023</v>
      </c>
      <c r="D2049" t="s">
        <v>272</v>
      </c>
      <c r="E2049" t="s">
        <v>3452</v>
      </c>
      <c r="F2049" t="s">
        <v>3453</v>
      </c>
      <c r="G2049" t="s">
        <v>292</v>
      </c>
      <c r="H2049">
        <v>24</v>
      </c>
      <c r="I2049" t="s">
        <v>3454</v>
      </c>
      <c r="J2049" t="s">
        <v>294</v>
      </c>
      <c r="M2049" t="s">
        <v>295</v>
      </c>
      <c r="N2049" t="s">
        <v>296</v>
      </c>
      <c r="O2049" t="s">
        <v>297</v>
      </c>
    </row>
    <row r="2050" spans="1:15" x14ac:dyDescent="0.3">
      <c r="A2050" t="s">
        <v>3439</v>
      </c>
      <c r="B2050" t="s">
        <v>3440</v>
      </c>
      <c r="C2050">
        <v>2023</v>
      </c>
      <c r="D2050" t="s">
        <v>272</v>
      </c>
      <c r="E2050" t="s">
        <v>3455</v>
      </c>
      <c r="F2050" t="s">
        <v>3456</v>
      </c>
      <c r="G2050" t="s">
        <v>292</v>
      </c>
      <c r="H2050">
        <v>113</v>
      </c>
      <c r="I2050" t="s">
        <v>3457</v>
      </c>
      <c r="J2050" t="s">
        <v>294</v>
      </c>
      <c r="M2050" t="s">
        <v>295</v>
      </c>
      <c r="N2050" t="s">
        <v>296</v>
      </c>
      <c r="O2050" t="s">
        <v>297</v>
      </c>
    </row>
    <row r="2051" spans="1:15" x14ac:dyDescent="0.3">
      <c r="A2051" t="s">
        <v>3439</v>
      </c>
      <c r="B2051" t="s">
        <v>3440</v>
      </c>
      <c r="C2051">
        <v>2023</v>
      </c>
      <c r="D2051" t="s">
        <v>272</v>
      </c>
      <c r="E2051" t="s">
        <v>3458</v>
      </c>
      <c r="F2051">
        <v>0.35220000000000001</v>
      </c>
      <c r="G2051" t="s">
        <v>334</v>
      </c>
      <c r="H2051">
        <v>41</v>
      </c>
      <c r="I2051" t="s">
        <v>3459</v>
      </c>
      <c r="J2051" t="s">
        <v>294</v>
      </c>
      <c r="M2051" t="s">
        <v>295</v>
      </c>
      <c r="N2051" t="s">
        <v>296</v>
      </c>
      <c r="O2051" t="s">
        <v>297</v>
      </c>
    </row>
    <row r="2052" spans="1:15" x14ac:dyDescent="0.3">
      <c r="A2052" t="s">
        <v>3439</v>
      </c>
      <c r="B2052" t="s">
        <v>3440</v>
      </c>
      <c r="C2052">
        <v>2023</v>
      </c>
      <c r="D2052" t="s">
        <v>272</v>
      </c>
      <c r="E2052" t="s">
        <v>3460</v>
      </c>
      <c r="F2052">
        <v>6.0900000000000003E-2</v>
      </c>
      <c r="G2052" t="s">
        <v>334</v>
      </c>
      <c r="H2052">
        <v>41</v>
      </c>
      <c r="I2052" t="s">
        <v>3461</v>
      </c>
      <c r="J2052" t="s">
        <v>294</v>
      </c>
      <c r="M2052" t="s">
        <v>295</v>
      </c>
      <c r="N2052" t="s">
        <v>296</v>
      </c>
      <c r="O2052" t="s">
        <v>297</v>
      </c>
    </row>
    <row r="2053" spans="1:15" x14ac:dyDescent="0.3">
      <c r="A2053" t="s">
        <v>3439</v>
      </c>
      <c r="B2053" t="s">
        <v>3440</v>
      </c>
      <c r="C2053">
        <v>2023</v>
      </c>
      <c r="D2053" t="s">
        <v>272</v>
      </c>
      <c r="E2053" t="s">
        <v>3462</v>
      </c>
      <c r="F2053">
        <v>5.21E-2</v>
      </c>
      <c r="G2053" t="s">
        <v>334</v>
      </c>
      <c r="H2053">
        <v>41</v>
      </c>
      <c r="I2053" t="s">
        <v>3463</v>
      </c>
      <c r="J2053" t="s">
        <v>294</v>
      </c>
      <c r="M2053" t="s">
        <v>295</v>
      </c>
      <c r="N2053" t="s">
        <v>296</v>
      </c>
      <c r="O2053" t="s">
        <v>297</v>
      </c>
    </row>
    <row r="2054" spans="1:15" x14ac:dyDescent="0.3">
      <c r="A2054" t="s">
        <v>3439</v>
      </c>
      <c r="B2054" t="s">
        <v>3440</v>
      </c>
      <c r="C2054">
        <v>2023</v>
      </c>
      <c r="D2054" t="s">
        <v>272</v>
      </c>
      <c r="E2054" t="s">
        <v>445</v>
      </c>
      <c r="F2054">
        <v>0.53480000000000005</v>
      </c>
      <c r="G2054" t="s">
        <v>334</v>
      </c>
      <c r="H2054">
        <v>41</v>
      </c>
      <c r="I2054" t="s">
        <v>3464</v>
      </c>
      <c r="J2054" t="s">
        <v>294</v>
      </c>
      <c r="M2054" t="s">
        <v>295</v>
      </c>
      <c r="N2054" t="s">
        <v>296</v>
      </c>
      <c r="O2054" t="s">
        <v>297</v>
      </c>
    </row>
    <row r="2055" spans="1:15" x14ac:dyDescent="0.3">
      <c r="A2055" t="s">
        <v>3439</v>
      </c>
      <c r="B2055" t="s">
        <v>3440</v>
      </c>
      <c r="C2055">
        <v>2023</v>
      </c>
      <c r="D2055" t="s">
        <v>272</v>
      </c>
      <c r="E2055" t="s">
        <v>3465</v>
      </c>
      <c r="F2055">
        <v>4600000000</v>
      </c>
      <c r="G2055" t="s">
        <v>1633</v>
      </c>
      <c r="H2055">
        <v>41</v>
      </c>
      <c r="I2055" t="s">
        <v>3466</v>
      </c>
      <c r="J2055" t="s">
        <v>294</v>
      </c>
      <c r="M2055" t="s">
        <v>295</v>
      </c>
      <c r="N2055" t="s">
        <v>296</v>
      </c>
      <c r="O2055" t="s">
        <v>297</v>
      </c>
    </row>
    <row r="2056" spans="1:15" x14ac:dyDescent="0.3">
      <c r="A2056" t="s">
        <v>3439</v>
      </c>
      <c r="B2056" t="s">
        <v>3440</v>
      </c>
      <c r="C2056">
        <v>2023</v>
      </c>
      <c r="D2056" t="s">
        <v>272</v>
      </c>
      <c r="E2056" t="s">
        <v>3467</v>
      </c>
      <c r="F2056" t="s">
        <v>3468</v>
      </c>
      <c r="G2056" t="s">
        <v>292</v>
      </c>
      <c r="H2056">
        <v>113</v>
      </c>
      <c r="I2056" t="s">
        <v>3469</v>
      </c>
      <c r="J2056" t="s">
        <v>294</v>
      </c>
      <c r="M2056" t="s">
        <v>295</v>
      </c>
      <c r="N2056" t="s">
        <v>296</v>
      </c>
      <c r="O2056" t="s">
        <v>297</v>
      </c>
    </row>
    <row r="2057" spans="1:15" x14ac:dyDescent="0.3">
      <c r="A2057" t="s">
        <v>3439</v>
      </c>
      <c r="B2057" t="s">
        <v>3440</v>
      </c>
      <c r="C2057">
        <v>2023</v>
      </c>
      <c r="D2057" t="s">
        <v>272</v>
      </c>
      <c r="E2057" t="s">
        <v>3470</v>
      </c>
      <c r="F2057">
        <v>13587</v>
      </c>
      <c r="G2057" t="s">
        <v>360</v>
      </c>
      <c r="H2057">
        <v>115</v>
      </c>
      <c r="I2057" t="s">
        <v>3471</v>
      </c>
      <c r="J2057" t="s">
        <v>294</v>
      </c>
      <c r="M2057" t="s">
        <v>295</v>
      </c>
      <c r="N2057" t="s">
        <v>296</v>
      </c>
      <c r="O2057" t="s">
        <v>297</v>
      </c>
    </row>
    <row r="2058" spans="1:15" x14ac:dyDescent="0.3">
      <c r="A2058" t="s">
        <v>3439</v>
      </c>
      <c r="B2058" t="s">
        <v>3440</v>
      </c>
      <c r="C2058">
        <v>2023</v>
      </c>
      <c r="D2058" t="s">
        <v>272</v>
      </c>
      <c r="E2058" t="s">
        <v>3472</v>
      </c>
      <c r="F2058">
        <v>35</v>
      </c>
      <c r="G2058" t="s">
        <v>384</v>
      </c>
      <c r="H2058">
        <v>113</v>
      </c>
      <c r="I2058" t="s">
        <v>3473</v>
      </c>
      <c r="J2058" t="s">
        <v>294</v>
      </c>
      <c r="M2058" t="s">
        <v>295</v>
      </c>
      <c r="N2058" t="s">
        <v>296</v>
      </c>
      <c r="O2058" t="s">
        <v>297</v>
      </c>
    </row>
    <row r="2059" spans="1:15" x14ac:dyDescent="0.3">
      <c r="A2059" t="s">
        <v>3439</v>
      </c>
      <c r="B2059" t="s">
        <v>3440</v>
      </c>
      <c r="C2059">
        <v>2023</v>
      </c>
      <c r="D2059" t="s">
        <v>272</v>
      </c>
      <c r="E2059" t="s">
        <v>3474</v>
      </c>
      <c r="F2059" t="s">
        <v>3475</v>
      </c>
      <c r="G2059" t="s">
        <v>292</v>
      </c>
      <c r="H2059">
        <v>38</v>
      </c>
      <c r="I2059" t="s">
        <v>3476</v>
      </c>
      <c r="J2059" t="s">
        <v>294</v>
      </c>
      <c r="M2059" t="s">
        <v>295</v>
      </c>
      <c r="N2059" t="s">
        <v>296</v>
      </c>
      <c r="O2059" t="s">
        <v>297</v>
      </c>
    </row>
    <row r="2060" spans="1:15" x14ac:dyDescent="0.3">
      <c r="A2060" t="s">
        <v>3439</v>
      </c>
      <c r="B2060" t="s">
        <v>3440</v>
      </c>
      <c r="C2060">
        <v>2023</v>
      </c>
      <c r="D2060" t="s">
        <v>300</v>
      </c>
      <c r="E2060" t="s">
        <v>3142</v>
      </c>
      <c r="F2060">
        <v>35.729999999999997</v>
      </c>
      <c r="G2060" t="s">
        <v>302</v>
      </c>
      <c r="H2060">
        <v>7</v>
      </c>
      <c r="I2060" t="s">
        <v>3477</v>
      </c>
      <c r="J2060" t="s">
        <v>294</v>
      </c>
      <c r="M2060" t="s">
        <v>295</v>
      </c>
      <c r="N2060" t="s">
        <v>296</v>
      </c>
      <c r="O2060" t="s">
        <v>297</v>
      </c>
    </row>
    <row r="2061" spans="1:15" x14ac:dyDescent="0.3">
      <c r="A2061" t="s">
        <v>3439</v>
      </c>
      <c r="B2061" t="s">
        <v>3440</v>
      </c>
      <c r="C2061">
        <v>2023</v>
      </c>
      <c r="D2061" t="s">
        <v>300</v>
      </c>
      <c r="E2061" t="s">
        <v>688</v>
      </c>
      <c r="F2061">
        <v>24.08</v>
      </c>
      <c r="G2061" t="s">
        <v>302</v>
      </c>
      <c r="H2061">
        <v>7</v>
      </c>
      <c r="I2061" t="s">
        <v>3478</v>
      </c>
      <c r="J2061" t="s">
        <v>294</v>
      </c>
      <c r="M2061" t="s">
        <v>295</v>
      </c>
      <c r="N2061" t="s">
        <v>296</v>
      </c>
      <c r="O2061" t="s">
        <v>297</v>
      </c>
    </row>
    <row r="2062" spans="1:15" x14ac:dyDescent="0.3">
      <c r="A2062" t="s">
        <v>3439</v>
      </c>
      <c r="B2062" t="s">
        <v>3440</v>
      </c>
      <c r="C2062">
        <v>2023</v>
      </c>
      <c r="D2062" t="s">
        <v>300</v>
      </c>
      <c r="E2062" t="s">
        <v>304</v>
      </c>
      <c r="F2062">
        <v>11.65</v>
      </c>
      <c r="G2062" t="s">
        <v>302</v>
      </c>
      <c r="H2062">
        <v>7</v>
      </c>
      <c r="I2062" t="s">
        <v>3479</v>
      </c>
      <c r="J2062" t="s">
        <v>294</v>
      </c>
      <c r="M2062" t="s">
        <v>295</v>
      </c>
      <c r="N2062" t="s">
        <v>296</v>
      </c>
      <c r="O2062" t="s">
        <v>297</v>
      </c>
    </row>
    <row r="2063" spans="1:15" x14ac:dyDescent="0.3">
      <c r="A2063" t="s">
        <v>3439</v>
      </c>
      <c r="B2063" t="s">
        <v>3440</v>
      </c>
      <c r="C2063">
        <v>2023</v>
      </c>
      <c r="D2063" t="s">
        <v>300</v>
      </c>
      <c r="E2063" t="s">
        <v>1157</v>
      </c>
      <c r="F2063">
        <v>6.2</v>
      </c>
      <c r="G2063" t="s">
        <v>302</v>
      </c>
      <c r="H2063">
        <v>108</v>
      </c>
      <c r="I2063" t="s">
        <v>3480</v>
      </c>
      <c r="J2063" t="s">
        <v>294</v>
      </c>
      <c r="M2063" t="s">
        <v>295</v>
      </c>
      <c r="N2063" t="s">
        <v>296</v>
      </c>
      <c r="O2063" t="s">
        <v>297</v>
      </c>
    </row>
    <row r="2064" spans="1:15" x14ac:dyDescent="0.3">
      <c r="A2064" t="s">
        <v>3439</v>
      </c>
      <c r="B2064" t="s">
        <v>3440</v>
      </c>
      <c r="C2064">
        <v>2023</v>
      </c>
      <c r="D2064" t="s">
        <v>300</v>
      </c>
      <c r="E2064" t="s">
        <v>3481</v>
      </c>
      <c r="F2064">
        <v>5.45</v>
      </c>
      <c r="G2064" t="s">
        <v>302</v>
      </c>
      <c r="H2064">
        <v>108</v>
      </c>
      <c r="I2064" t="s">
        <v>3482</v>
      </c>
      <c r="J2064" t="s">
        <v>456</v>
      </c>
      <c r="M2064" t="s">
        <v>295</v>
      </c>
      <c r="N2064" t="s">
        <v>296</v>
      </c>
      <c r="O2064" t="s">
        <v>297</v>
      </c>
    </row>
    <row r="2065" spans="1:15" x14ac:dyDescent="0.3">
      <c r="A2065" t="s">
        <v>3439</v>
      </c>
      <c r="B2065" t="s">
        <v>3440</v>
      </c>
      <c r="C2065">
        <v>2023</v>
      </c>
      <c r="D2065" t="s">
        <v>300</v>
      </c>
      <c r="E2065" t="s">
        <v>3483</v>
      </c>
      <c r="F2065">
        <v>-0.4</v>
      </c>
      <c r="G2065" t="s">
        <v>302</v>
      </c>
      <c r="H2065">
        <v>108</v>
      </c>
      <c r="I2065" t="s">
        <v>3484</v>
      </c>
      <c r="J2065" t="s">
        <v>294</v>
      </c>
      <c r="M2065" t="s">
        <v>295</v>
      </c>
      <c r="N2065" t="s">
        <v>296</v>
      </c>
      <c r="O2065" t="s">
        <v>297</v>
      </c>
    </row>
    <row r="2066" spans="1:15" x14ac:dyDescent="0.3">
      <c r="A2066" t="s">
        <v>3439</v>
      </c>
      <c r="B2066" t="s">
        <v>3440</v>
      </c>
      <c r="C2066">
        <v>2023</v>
      </c>
      <c r="D2066" t="s">
        <v>300</v>
      </c>
      <c r="E2066" t="s">
        <v>579</v>
      </c>
      <c r="F2066">
        <v>5.05</v>
      </c>
      <c r="G2066" t="s">
        <v>302</v>
      </c>
      <c r="H2066">
        <v>108</v>
      </c>
      <c r="I2066" t="s">
        <v>3485</v>
      </c>
      <c r="J2066" t="s">
        <v>294</v>
      </c>
      <c r="M2066" t="s">
        <v>295</v>
      </c>
      <c r="N2066" t="s">
        <v>296</v>
      </c>
      <c r="O2066" t="s">
        <v>297</v>
      </c>
    </row>
    <row r="2067" spans="1:15" x14ac:dyDescent="0.3">
      <c r="A2067" t="s">
        <v>3439</v>
      </c>
      <c r="B2067" t="s">
        <v>3440</v>
      </c>
      <c r="C2067">
        <v>2023</v>
      </c>
      <c r="D2067" t="s">
        <v>300</v>
      </c>
      <c r="E2067" t="s">
        <v>581</v>
      </c>
      <c r="F2067">
        <v>1.18</v>
      </c>
      <c r="G2067" t="s">
        <v>302</v>
      </c>
      <c r="H2067">
        <v>108</v>
      </c>
      <c r="I2067" t="s">
        <v>3486</v>
      </c>
      <c r="J2067" t="s">
        <v>294</v>
      </c>
      <c r="M2067" t="s">
        <v>295</v>
      </c>
      <c r="N2067" t="s">
        <v>296</v>
      </c>
      <c r="O2067" t="s">
        <v>297</v>
      </c>
    </row>
    <row r="2068" spans="1:15" x14ac:dyDescent="0.3">
      <c r="A2068" t="s">
        <v>3439</v>
      </c>
      <c r="B2068" t="s">
        <v>3440</v>
      </c>
      <c r="C2068">
        <v>2023</v>
      </c>
      <c r="D2068" t="s">
        <v>300</v>
      </c>
      <c r="E2068" t="s">
        <v>306</v>
      </c>
      <c r="F2068">
        <v>3.86</v>
      </c>
      <c r="G2068" t="s">
        <v>302</v>
      </c>
      <c r="H2068">
        <v>108</v>
      </c>
      <c r="I2068" t="s">
        <v>3487</v>
      </c>
      <c r="J2068" t="s">
        <v>294</v>
      </c>
      <c r="M2068" t="s">
        <v>295</v>
      </c>
      <c r="N2068" t="s">
        <v>296</v>
      </c>
      <c r="O2068" t="s">
        <v>297</v>
      </c>
    </row>
    <row r="2069" spans="1:15" x14ac:dyDescent="0.3">
      <c r="A2069" t="s">
        <v>3439</v>
      </c>
      <c r="B2069" t="s">
        <v>3440</v>
      </c>
      <c r="C2069">
        <v>2023</v>
      </c>
      <c r="D2069" t="s">
        <v>300</v>
      </c>
      <c r="E2069" t="s">
        <v>308</v>
      </c>
      <c r="F2069">
        <v>3.86</v>
      </c>
      <c r="G2069" t="s">
        <v>302</v>
      </c>
      <c r="H2069">
        <v>109</v>
      </c>
      <c r="I2069" t="s">
        <v>3488</v>
      </c>
      <c r="J2069" t="s">
        <v>294</v>
      </c>
      <c r="M2069" t="s">
        <v>295</v>
      </c>
      <c r="N2069" t="s">
        <v>296</v>
      </c>
      <c r="O2069" t="s">
        <v>297</v>
      </c>
    </row>
    <row r="2070" spans="1:15" x14ac:dyDescent="0.3">
      <c r="A2070" t="s">
        <v>3439</v>
      </c>
      <c r="B2070" t="s">
        <v>3440</v>
      </c>
      <c r="C2070">
        <v>2023</v>
      </c>
      <c r="D2070" t="s">
        <v>300</v>
      </c>
      <c r="E2070" t="s">
        <v>316</v>
      </c>
      <c r="F2070">
        <v>301.27</v>
      </c>
      <c r="G2070" t="s">
        <v>302</v>
      </c>
      <c r="H2070">
        <v>106</v>
      </c>
      <c r="I2070" t="s">
        <v>3489</v>
      </c>
      <c r="J2070" t="s">
        <v>294</v>
      </c>
      <c r="M2070" t="s">
        <v>295</v>
      </c>
      <c r="N2070" t="s">
        <v>296</v>
      </c>
      <c r="O2070" t="s">
        <v>297</v>
      </c>
    </row>
    <row r="2071" spans="1:15" x14ac:dyDescent="0.3">
      <c r="A2071" t="s">
        <v>3439</v>
      </c>
      <c r="B2071" t="s">
        <v>3440</v>
      </c>
      <c r="C2071">
        <v>2023</v>
      </c>
      <c r="D2071" t="s">
        <v>300</v>
      </c>
      <c r="E2071" t="s">
        <v>312</v>
      </c>
      <c r="F2071">
        <v>99.86</v>
      </c>
      <c r="G2071" t="s">
        <v>302</v>
      </c>
      <c r="H2071">
        <v>106</v>
      </c>
      <c r="I2071" t="s">
        <v>3490</v>
      </c>
      <c r="J2071" t="s">
        <v>294</v>
      </c>
      <c r="M2071" t="s">
        <v>295</v>
      </c>
      <c r="N2071" t="s">
        <v>296</v>
      </c>
      <c r="O2071" t="s">
        <v>297</v>
      </c>
    </row>
    <row r="2072" spans="1:15" x14ac:dyDescent="0.3">
      <c r="A2072" t="s">
        <v>3439</v>
      </c>
      <c r="B2072" t="s">
        <v>3440</v>
      </c>
      <c r="C2072">
        <v>2023</v>
      </c>
      <c r="D2072" t="s">
        <v>300</v>
      </c>
      <c r="E2072" t="s">
        <v>314</v>
      </c>
      <c r="F2072">
        <v>201.42</v>
      </c>
      <c r="G2072" t="s">
        <v>302</v>
      </c>
      <c r="H2072">
        <v>106</v>
      </c>
      <c r="I2072" t="s">
        <v>3491</v>
      </c>
      <c r="J2072" t="s">
        <v>294</v>
      </c>
      <c r="M2072" t="s">
        <v>295</v>
      </c>
      <c r="N2072" t="s">
        <v>296</v>
      </c>
      <c r="O2072" t="s">
        <v>297</v>
      </c>
    </row>
    <row r="2073" spans="1:15" x14ac:dyDescent="0.3">
      <c r="A2073" t="s">
        <v>3439</v>
      </c>
      <c r="B2073" t="s">
        <v>3440</v>
      </c>
      <c r="C2073">
        <v>2023</v>
      </c>
      <c r="D2073" t="s">
        <v>300</v>
      </c>
      <c r="E2073" t="s">
        <v>3492</v>
      </c>
      <c r="F2073">
        <v>1.05</v>
      </c>
      <c r="G2073" t="s">
        <v>302</v>
      </c>
      <c r="H2073">
        <v>106</v>
      </c>
      <c r="I2073" t="s">
        <v>3493</v>
      </c>
      <c r="J2073" t="s">
        <v>294</v>
      </c>
      <c r="M2073" t="s">
        <v>295</v>
      </c>
      <c r="N2073" t="s">
        <v>296</v>
      </c>
      <c r="O2073" t="s">
        <v>297</v>
      </c>
    </row>
    <row r="2074" spans="1:15" x14ac:dyDescent="0.3">
      <c r="A2074" t="s">
        <v>3439</v>
      </c>
      <c r="B2074" t="s">
        <v>3440</v>
      </c>
      <c r="C2074">
        <v>2023</v>
      </c>
      <c r="D2074" t="s">
        <v>300</v>
      </c>
      <c r="E2074" t="s">
        <v>2741</v>
      </c>
      <c r="F2074">
        <v>4.76</v>
      </c>
      <c r="G2074" t="s">
        <v>302</v>
      </c>
      <c r="H2074">
        <v>106</v>
      </c>
      <c r="I2074" t="s">
        <v>3494</v>
      </c>
      <c r="J2074" t="s">
        <v>294</v>
      </c>
      <c r="M2074" t="s">
        <v>295</v>
      </c>
      <c r="N2074" t="s">
        <v>296</v>
      </c>
      <c r="O2074" t="s">
        <v>297</v>
      </c>
    </row>
    <row r="2075" spans="1:15" x14ac:dyDescent="0.3">
      <c r="A2075" t="s">
        <v>3439</v>
      </c>
      <c r="B2075" t="s">
        <v>3440</v>
      </c>
      <c r="C2075">
        <v>2023</v>
      </c>
      <c r="D2075" t="s">
        <v>300</v>
      </c>
      <c r="E2075" t="s">
        <v>3495</v>
      </c>
      <c r="F2075">
        <v>86.45</v>
      </c>
      <c r="G2075" t="s">
        <v>302</v>
      </c>
      <c r="H2075">
        <v>106</v>
      </c>
      <c r="I2075" t="s">
        <v>3496</v>
      </c>
      <c r="J2075" t="s">
        <v>294</v>
      </c>
      <c r="M2075" t="s">
        <v>295</v>
      </c>
      <c r="N2075" t="s">
        <v>296</v>
      </c>
      <c r="O2075" t="s">
        <v>297</v>
      </c>
    </row>
    <row r="2076" spans="1:15" x14ac:dyDescent="0.3">
      <c r="A2076" t="s">
        <v>3439</v>
      </c>
      <c r="B2076" t="s">
        <v>3440</v>
      </c>
      <c r="C2076">
        <v>2023</v>
      </c>
      <c r="D2076" t="s">
        <v>300</v>
      </c>
      <c r="E2076" t="s">
        <v>481</v>
      </c>
      <c r="F2076">
        <v>7.6</v>
      </c>
      <c r="G2076" t="s">
        <v>302</v>
      </c>
      <c r="H2076">
        <v>106</v>
      </c>
      <c r="I2076" t="s">
        <v>3497</v>
      </c>
      <c r="J2076" t="s">
        <v>294</v>
      </c>
      <c r="M2076" t="s">
        <v>295</v>
      </c>
      <c r="N2076" t="s">
        <v>296</v>
      </c>
      <c r="O2076" t="s">
        <v>297</v>
      </c>
    </row>
    <row r="2077" spans="1:15" x14ac:dyDescent="0.3">
      <c r="A2077" t="s">
        <v>3439</v>
      </c>
      <c r="B2077" t="s">
        <v>3440</v>
      </c>
      <c r="C2077">
        <v>2023</v>
      </c>
      <c r="D2077" t="s">
        <v>300</v>
      </c>
      <c r="E2077" t="s">
        <v>3498</v>
      </c>
      <c r="F2077">
        <v>201.33</v>
      </c>
      <c r="G2077" t="s">
        <v>302</v>
      </c>
      <c r="H2077">
        <v>106</v>
      </c>
      <c r="I2077" t="s">
        <v>3499</v>
      </c>
      <c r="J2077" t="s">
        <v>294</v>
      </c>
      <c r="M2077" t="s">
        <v>295</v>
      </c>
      <c r="N2077" t="s">
        <v>296</v>
      </c>
      <c r="O2077" t="s">
        <v>297</v>
      </c>
    </row>
    <row r="2078" spans="1:15" x14ac:dyDescent="0.3">
      <c r="A2078" t="s">
        <v>3439</v>
      </c>
      <c r="B2078" t="s">
        <v>3440</v>
      </c>
      <c r="C2078">
        <v>2023</v>
      </c>
      <c r="D2078" t="s">
        <v>300</v>
      </c>
      <c r="E2078" t="s">
        <v>322</v>
      </c>
      <c r="F2078">
        <v>15</v>
      </c>
      <c r="G2078" t="s">
        <v>302</v>
      </c>
      <c r="H2078">
        <v>106</v>
      </c>
      <c r="I2078" t="s">
        <v>3500</v>
      </c>
      <c r="J2078" t="s">
        <v>294</v>
      </c>
      <c r="M2078" t="s">
        <v>295</v>
      </c>
      <c r="N2078" t="s">
        <v>296</v>
      </c>
      <c r="O2078" t="s">
        <v>297</v>
      </c>
    </row>
    <row r="2079" spans="1:15" x14ac:dyDescent="0.3">
      <c r="A2079" t="s">
        <v>3439</v>
      </c>
      <c r="B2079" t="s">
        <v>3440</v>
      </c>
      <c r="C2079">
        <v>2023</v>
      </c>
      <c r="D2079" t="s">
        <v>300</v>
      </c>
      <c r="E2079" t="s">
        <v>318</v>
      </c>
      <c r="F2079">
        <v>9.1199999999999992</v>
      </c>
      <c r="G2079" t="s">
        <v>302</v>
      </c>
      <c r="H2079">
        <v>106</v>
      </c>
      <c r="I2079" t="s">
        <v>3501</v>
      </c>
      <c r="J2079" t="s">
        <v>294</v>
      </c>
      <c r="M2079" t="s">
        <v>295</v>
      </c>
      <c r="N2079" t="s">
        <v>296</v>
      </c>
      <c r="O2079" t="s">
        <v>297</v>
      </c>
    </row>
    <row r="2080" spans="1:15" x14ac:dyDescent="0.3">
      <c r="A2080" t="s">
        <v>3439</v>
      </c>
      <c r="B2080" t="s">
        <v>3440</v>
      </c>
      <c r="C2080">
        <v>2023</v>
      </c>
      <c r="D2080" t="s">
        <v>300</v>
      </c>
      <c r="E2080" t="s">
        <v>468</v>
      </c>
      <c r="F2080">
        <v>5.88</v>
      </c>
      <c r="G2080" t="s">
        <v>302</v>
      </c>
      <c r="H2080">
        <v>106</v>
      </c>
      <c r="I2080" t="s">
        <v>3502</v>
      </c>
      <c r="J2080" t="s">
        <v>294</v>
      </c>
      <c r="M2080" t="s">
        <v>295</v>
      </c>
      <c r="N2080" t="s">
        <v>296</v>
      </c>
      <c r="O2080" t="s">
        <v>297</v>
      </c>
    </row>
    <row r="2081" spans="1:15" x14ac:dyDescent="0.3">
      <c r="A2081" t="s">
        <v>3439</v>
      </c>
      <c r="B2081" t="s">
        <v>3440</v>
      </c>
      <c r="C2081">
        <v>2023</v>
      </c>
      <c r="D2081" t="s">
        <v>300</v>
      </c>
      <c r="E2081" t="s">
        <v>3503</v>
      </c>
      <c r="F2081">
        <v>0.22</v>
      </c>
      <c r="G2081" t="s">
        <v>302</v>
      </c>
      <c r="H2081">
        <v>106</v>
      </c>
      <c r="I2081" t="s">
        <v>3504</v>
      </c>
      <c r="J2081" t="s">
        <v>294</v>
      </c>
      <c r="M2081" t="s">
        <v>295</v>
      </c>
      <c r="N2081" t="s">
        <v>296</v>
      </c>
      <c r="O2081" t="s">
        <v>297</v>
      </c>
    </row>
    <row r="2082" spans="1:15" x14ac:dyDescent="0.3">
      <c r="A2082" t="s">
        <v>3439</v>
      </c>
      <c r="B2082" t="s">
        <v>3440</v>
      </c>
      <c r="C2082">
        <v>2023</v>
      </c>
      <c r="D2082" t="s">
        <v>300</v>
      </c>
      <c r="E2082" t="s">
        <v>3505</v>
      </c>
      <c r="F2082">
        <v>6.86</v>
      </c>
      <c r="G2082" t="s">
        <v>302</v>
      </c>
      <c r="H2082">
        <v>106</v>
      </c>
      <c r="I2082" t="s">
        <v>3506</v>
      </c>
      <c r="J2082" t="s">
        <v>294</v>
      </c>
      <c r="M2082" t="s">
        <v>295</v>
      </c>
      <c r="N2082" t="s">
        <v>296</v>
      </c>
      <c r="O2082" t="s">
        <v>297</v>
      </c>
    </row>
    <row r="2083" spans="1:15" x14ac:dyDescent="0.3">
      <c r="A2083" t="s">
        <v>3439</v>
      </c>
      <c r="B2083" t="s">
        <v>3440</v>
      </c>
      <c r="C2083">
        <v>2023</v>
      </c>
      <c r="D2083" t="s">
        <v>300</v>
      </c>
      <c r="E2083" t="s">
        <v>3507</v>
      </c>
      <c r="F2083">
        <v>1.75</v>
      </c>
      <c r="G2083" t="s">
        <v>302</v>
      </c>
      <c r="H2083">
        <v>106</v>
      </c>
      <c r="I2083" t="s">
        <v>3508</v>
      </c>
      <c r="J2083" t="s">
        <v>294</v>
      </c>
      <c r="M2083" t="s">
        <v>295</v>
      </c>
      <c r="N2083" t="s">
        <v>296</v>
      </c>
      <c r="O2083" t="s">
        <v>297</v>
      </c>
    </row>
    <row r="2084" spans="1:15" x14ac:dyDescent="0.3">
      <c r="A2084" t="s">
        <v>3439</v>
      </c>
      <c r="B2084" t="s">
        <v>3440</v>
      </c>
      <c r="C2084">
        <v>2023</v>
      </c>
      <c r="D2084" t="s">
        <v>300</v>
      </c>
      <c r="E2084" t="s">
        <v>3509</v>
      </c>
      <c r="F2084">
        <v>4.8099999999999996</v>
      </c>
      <c r="G2084" t="s">
        <v>302</v>
      </c>
      <c r="H2084">
        <v>106</v>
      </c>
      <c r="I2084" t="s">
        <v>3510</v>
      </c>
      <c r="J2084" t="s">
        <v>294</v>
      </c>
      <c r="M2084" t="s">
        <v>295</v>
      </c>
      <c r="N2084" t="s">
        <v>296</v>
      </c>
      <c r="O2084" t="s">
        <v>297</v>
      </c>
    </row>
    <row r="2085" spans="1:15" x14ac:dyDescent="0.3">
      <c r="A2085" t="s">
        <v>3439</v>
      </c>
      <c r="B2085" t="s">
        <v>3440</v>
      </c>
      <c r="C2085">
        <v>2023</v>
      </c>
      <c r="D2085" t="s">
        <v>300</v>
      </c>
      <c r="E2085" t="s">
        <v>3511</v>
      </c>
      <c r="F2085">
        <v>6.56</v>
      </c>
      <c r="G2085" t="s">
        <v>302</v>
      </c>
      <c r="H2085">
        <v>106</v>
      </c>
      <c r="I2085" t="s">
        <v>3512</v>
      </c>
      <c r="J2085" t="s">
        <v>294</v>
      </c>
      <c r="M2085" t="s">
        <v>295</v>
      </c>
      <c r="N2085" t="s">
        <v>296</v>
      </c>
      <c r="O2085" t="s">
        <v>297</v>
      </c>
    </row>
    <row r="2086" spans="1:15" x14ac:dyDescent="0.3">
      <c r="A2086" t="s">
        <v>3439</v>
      </c>
      <c r="B2086" t="s">
        <v>3440</v>
      </c>
      <c r="C2086">
        <v>2023</v>
      </c>
      <c r="D2086" t="s">
        <v>300</v>
      </c>
      <c r="E2086" t="s">
        <v>3513</v>
      </c>
      <c r="F2086">
        <v>0.98</v>
      </c>
      <c r="G2086" t="s">
        <v>302</v>
      </c>
      <c r="H2086">
        <v>106</v>
      </c>
      <c r="I2086" t="s">
        <v>3514</v>
      </c>
      <c r="J2086" t="s">
        <v>294</v>
      </c>
      <c r="M2086" t="s">
        <v>295</v>
      </c>
      <c r="N2086" t="s">
        <v>296</v>
      </c>
      <c r="O2086" t="s">
        <v>297</v>
      </c>
    </row>
    <row r="2087" spans="1:15" x14ac:dyDescent="0.3">
      <c r="A2087" t="s">
        <v>3439</v>
      </c>
      <c r="B2087" t="s">
        <v>3440</v>
      </c>
      <c r="C2087">
        <v>2023</v>
      </c>
      <c r="D2087" t="s">
        <v>300</v>
      </c>
      <c r="E2087" t="s">
        <v>3515</v>
      </c>
      <c r="F2087">
        <v>0.37</v>
      </c>
      <c r="G2087" t="s">
        <v>302</v>
      </c>
      <c r="H2087">
        <v>106</v>
      </c>
      <c r="I2087" t="s">
        <v>3516</v>
      </c>
      <c r="J2087" t="s">
        <v>294</v>
      </c>
      <c r="M2087" t="s">
        <v>295</v>
      </c>
      <c r="N2087" t="s">
        <v>296</v>
      </c>
      <c r="O2087" t="s">
        <v>297</v>
      </c>
    </row>
    <row r="2088" spans="1:15" x14ac:dyDescent="0.3">
      <c r="A2088" t="s">
        <v>3439</v>
      </c>
      <c r="B2088" t="s">
        <v>3440</v>
      </c>
      <c r="C2088">
        <v>2023</v>
      </c>
      <c r="D2088" t="s">
        <v>300</v>
      </c>
      <c r="E2088" t="s">
        <v>324</v>
      </c>
      <c r="F2088">
        <v>286.27999999999997</v>
      </c>
      <c r="G2088" t="s">
        <v>302</v>
      </c>
      <c r="H2088">
        <v>107</v>
      </c>
      <c r="I2088" t="s">
        <v>3517</v>
      </c>
      <c r="J2088" t="s">
        <v>294</v>
      </c>
      <c r="M2088" t="s">
        <v>295</v>
      </c>
      <c r="N2088" t="s">
        <v>296</v>
      </c>
      <c r="O2088" t="s">
        <v>297</v>
      </c>
    </row>
    <row r="2089" spans="1:15" x14ac:dyDescent="0.3">
      <c r="A2089" t="s">
        <v>3439</v>
      </c>
      <c r="B2089" t="s">
        <v>3440</v>
      </c>
      <c r="C2089">
        <v>2023</v>
      </c>
      <c r="D2089" t="s">
        <v>300</v>
      </c>
      <c r="E2089" t="s">
        <v>3518</v>
      </c>
      <c r="F2089">
        <v>230</v>
      </c>
      <c r="G2089" t="s">
        <v>302</v>
      </c>
      <c r="H2089">
        <v>107</v>
      </c>
      <c r="I2089" t="s">
        <v>3519</v>
      </c>
      <c r="J2089" t="s">
        <v>294</v>
      </c>
      <c r="M2089" t="s">
        <v>295</v>
      </c>
      <c r="N2089" t="s">
        <v>296</v>
      </c>
      <c r="O2089" t="s">
        <v>297</v>
      </c>
    </row>
    <row r="2090" spans="1:15" x14ac:dyDescent="0.3">
      <c r="A2090" t="s">
        <v>3439</v>
      </c>
      <c r="B2090" t="s">
        <v>3440</v>
      </c>
      <c r="C2090">
        <v>2023</v>
      </c>
      <c r="D2090" t="s">
        <v>300</v>
      </c>
      <c r="E2090" t="s">
        <v>1144</v>
      </c>
      <c r="F2090">
        <v>44.52</v>
      </c>
      <c r="G2090" t="s">
        <v>302</v>
      </c>
      <c r="H2090">
        <v>107</v>
      </c>
      <c r="I2090" t="s">
        <v>3520</v>
      </c>
      <c r="J2090" t="s">
        <v>294</v>
      </c>
      <c r="M2090" t="s">
        <v>295</v>
      </c>
      <c r="N2090" t="s">
        <v>296</v>
      </c>
      <c r="O2090" t="s">
        <v>297</v>
      </c>
    </row>
    <row r="2091" spans="1:15" x14ac:dyDescent="0.3">
      <c r="A2091" t="s">
        <v>3439</v>
      </c>
      <c r="B2091" t="s">
        <v>3440</v>
      </c>
      <c r="C2091">
        <v>2023</v>
      </c>
      <c r="D2091" t="s">
        <v>300</v>
      </c>
      <c r="E2091" t="s">
        <v>1235</v>
      </c>
      <c r="F2091">
        <v>11.89</v>
      </c>
      <c r="G2091" t="s">
        <v>302</v>
      </c>
      <c r="H2091">
        <v>107</v>
      </c>
      <c r="I2091" t="s">
        <v>3521</v>
      </c>
      <c r="J2091" t="s">
        <v>294</v>
      </c>
      <c r="M2091" t="s">
        <v>295</v>
      </c>
      <c r="N2091" t="s">
        <v>296</v>
      </c>
      <c r="O2091" t="s">
        <v>297</v>
      </c>
    </row>
    <row r="2092" spans="1:15" x14ac:dyDescent="0.3">
      <c r="A2092" t="s">
        <v>3439</v>
      </c>
      <c r="B2092" t="s">
        <v>3440</v>
      </c>
      <c r="C2092">
        <v>2023</v>
      </c>
      <c r="D2092" t="s">
        <v>300</v>
      </c>
      <c r="E2092" t="s">
        <v>483</v>
      </c>
      <c r="F2092">
        <v>-2.15</v>
      </c>
      <c r="G2092" t="s">
        <v>302</v>
      </c>
      <c r="H2092">
        <v>111</v>
      </c>
      <c r="I2092" t="s">
        <v>3522</v>
      </c>
      <c r="J2092" t="s">
        <v>294</v>
      </c>
      <c r="M2092" t="s">
        <v>295</v>
      </c>
      <c r="N2092" t="s">
        <v>296</v>
      </c>
      <c r="O2092" t="s">
        <v>297</v>
      </c>
    </row>
    <row r="2093" spans="1:15" x14ac:dyDescent="0.3">
      <c r="A2093" t="s">
        <v>3439</v>
      </c>
      <c r="B2093" t="s">
        <v>3440</v>
      </c>
      <c r="C2093">
        <v>2023</v>
      </c>
      <c r="D2093" t="s">
        <v>300</v>
      </c>
      <c r="E2093" t="s">
        <v>485</v>
      </c>
      <c r="F2093">
        <v>-7.55</v>
      </c>
      <c r="G2093" t="s">
        <v>302</v>
      </c>
      <c r="H2093">
        <v>111</v>
      </c>
      <c r="I2093" t="s">
        <v>3523</v>
      </c>
      <c r="J2093" t="s">
        <v>294</v>
      </c>
      <c r="M2093" t="s">
        <v>295</v>
      </c>
      <c r="N2093" t="s">
        <v>296</v>
      </c>
      <c r="O2093" t="s">
        <v>297</v>
      </c>
    </row>
    <row r="2094" spans="1:15" x14ac:dyDescent="0.3">
      <c r="A2094" t="s">
        <v>3439</v>
      </c>
      <c r="B2094" t="s">
        <v>3440</v>
      </c>
      <c r="C2094">
        <v>2023</v>
      </c>
      <c r="D2094" t="s">
        <v>300</v>
      </c>
      <c r="E2094" t="s">
        <v>3524</v>
      </c>
      <c r="F2094">
        <v>7.54</v>
      </c>
      <c r="G2094" t="s">
        <v>302</v>
      </c>
      <c r="H2094">
        <v>111</v>
      </c>
      <c r="I2094" t="s">
        <v>3525</v>
      </c>
      <c r="J2094" t="s">
        <v>294</v>
      </c>
      <c r="M2094" t="s">
        <v>295</v>
      </c>
      <c r="N2094" t="s">
        <v>296</v>
      </c>
      <c r="O2094" t="s">
        <v>297</v>
      </c>
    </row>
    <row r="2095" spans="1:15" x14ac:dyDescent="0.3">
      <c r="A2095" t="s">
        <v>3439</v>
      </c>
      <c r="B2095" t="s">
        <v>3440</v>
      </c>
      <c r="C2095">
        <v>2023</v>
      </c>
      <c r="D2095" t="s">
        <v>300</v>
      </c>
      <c r="E2095" t="s">
        <v>3526</v>
      </c>
      <c r="F2095">
        <v>7.55</v>
      </c>
      <c r="G2095" t="s">
        <v>302</v>
      </c>
      <c r="H2095">
        <v>111</v>
      </c>
      <c r="I2095" t="s">
        <v>3527</v>
      </c>
      <c r="J2095" t="s">
        <v>294</v>
      </c>
      <c r="M2095" t="s">
        <v>295</v>
      </c>
      <c r="N2095" t="s">
        <v>296</v>
      </c>
      <c r="O2095" t="s">
        <v>297</v>
      </c>
    </row>
    <row r="2096" spans="1:15" x14ac:dyDescent="0.3">
      <c r="A2096" t="s">
        <v>3439</v>
      </c>
      <c r="B2096" t="s">
        <v>3440</v>
      </c>
      <c r="C2096">
        <v>2023</v>
      </c>
      <c r="D2096" t="s">
        <v>300</v>
      </c>
      <c r="E2096" t="s">
        <v>3528</v>
      </c>
      <c r="F2096">
        <v>7</v>
      </c>
      <c r="G2096" t="s">
        <v>302</v>
      </c>
      <c r="H2096">
        <v>111</v>
      </c>
      <c r="I2096" t="s">
        <v>3529</v>
      </c>
      <c r="J2096" t="s">
        <v>294</v>
      </c>
      <c r="M2096" t="s">
        <v>295</v>
      </c>
      <c r="N2096" t="s">
        <v>296</v>
      </c>
      <c r="O2096" t="s">
        <v>297</v>
      </c>
    </row>
    <row r="2097" spans="1:15" x14ac:dyDescent="0.3">
      <c r="A2097" t="s">
        <v>3439</v>
      </c>
      <c r="B2097" t="s">
        <v>3440</v>
      </c>
      <c r="C2097">
        <v>2023</v>
      </c>
      <c r="D2097" t="s">
        <v>300</v>
      </c>
      <c r="E2097" t="s">
        <v>3530</v>
      </c>
      <c r="F2097">
        <v>0.44</v>
      </c>
      <c r="G2097" t="s">
        <v>302</v>
      </c>
      <c r="H2097">
        <v>111</v>
      </c>
      <c r="I2097" t="s">
        <v>3531</v>
      </c>
      <c r="J2097" t="s">
        <v>294</v>
      </c>
      <c r="M2097" t="s">
        <v>295</v>
      </c>
      <c r="N2097" t="s">
        <v>296</v>
      </c>
      <c r="O2097" t="s">
        <v>297</v>
      </c>
    </row>
    <row r="2098" spans="1:15" x14ac:dyDescent="0.3">
      <c r="A2098" t="s">
        <v>3439</v>
      </c>
      <c r="B2098" t="s">
        <v>3440</v>
      </c>
      <c r="C2098">
        <v>2023</v>
      </c>
      <c r="D2098" t="s">
        <v>300</v>
      </c>
      <c r="E2098" t="s">
        <v>3049</v>
      </c>
      <c r="F2098">
        <v>0.84</v>
      </c>
      <c r="G2098" t="s">
        <v>346</v>
      </c>
      <c r="H2098">
        <v>7</v>
      </c>
      <c r="I2098" t="s">
        <v>3532</v>
      </c>
      <c r="J2098" t="s">
        <v>294</v>
      </c>
      <c r="M2098" t="s">
        <v>295</v>
      </c>
      <c r="N2098" t="s">
        <v>296</v>
      </c>
      <c r="O2098" t="s">
        <v>297</v>
      </c>
    </row>
    <row r="2099" spans="1:15" x14ac:dyDescent="0.3">
      <c r="A2099" t="s">
        <v>3439</v>
      </c>
      <c r="B2099" t="s">
        <v>3440</v>
      </c>
      <c r="C2099">
        <v>2023</v>
      </c>
      <c r="D2099" t="s">
        <v>300</v>
      </c>
      <c r="E2099" t="s">
        <v>3533</v>
      </c>
      <c r="F2099">
        <v>4600</v>
      </c>
      <c r="G2099" t="s">
        <v>497</v>
      </c>
      <c r="H2099">
        <v>153</v>
      </c>
      <c r="I2099" t="s">
        <v>3534</v>
      </c>
      <c r="J2099" t="s">
        <v>294</v>
      </c>
      <c r="M2099" t="s">
        <v>295</v>
      </c>
      <c r="N2099" t="s">
        <v>296</v>
      </c>
      <c r="O2099" t="s">
        <v>297</v>
      </c>
    </row>
    <row r="2100" spans="1:15" x14ac:dyDescent="0.3">
      <c r="A2100" t="s">
        <v>3439</v>
      </c>
      <c r="B2100" t="s">
        <v>3440</v>
      </c>
      <c r="C2100">
        <v>2023</v>
      </c>
      <c r="D2100" t="s">
        <v>300</v>
      </c>
      <c r="E2100" t="s">
        <v>3535</v>
      </c>
      <c r="F2100">
        <v>50</v>
      </c>
      <c r="G2100" t="s">
        <v>346</v>
      </c>
      <c r="H2100">
        <v>107</v>
      </c>
      <c r="I2100" t="s">
        <v>3536</v>
      </c>
      <c r="J2100" t="s">
        <v>294</v>
      </c>
      <c r="M2100" t="s">
        <v>295</v>
      </c>
      <c r="N2100" t="s">
        <v>296</v>
      </c>
      <c r="O2100" t="s">
        <v>297</v>
      </c>
    </row>
    <row r="2101" spans="1:15" x14ac:dyDescent="0.3">
      <c r="A2101" t="s">
        <v>3439</v>
      </c>
      <c r="B2101" t="s">
        <v>3440</v>
      </c>
      <c r="C2101">
        <v>2023</v>
      </c>
      <c r="D2101" t="s">
        <v>300</v>
      </c>
      <c r="E2101" t="s">
        <v>2697</v>
      </c>
      <c r="F2101">
        <v>720</v>
      </c>
      <c r="G2101" t="s">
        <v>302</v>
      </c>
      <c r="H2101">
        <v>24</v>
      </c>
      <c r="I2101" t="s">
        <v>3537</v>
      </c>
      <c r="J2101" t="s">
        <v>294</v>
      </c>
      <c r="M2101" t="s">
        <v>295</v>
      </c>
      <c r="N2101" t="s">
        <v>296</v>
      </c>
      <c r="O2101" t="s">
        <v>297</v>
      </c>
    </row>
    <row r="2102" spans="1:15" x14ac:dyDescent="0.3">
      <c r="A2102" t="s">
        <v>3439</v>
      </c>
      <c r="B2102" t="s">
        <v>3440</v>
      </c>
      <c r="C2102">
        <v>2023</v>
      </c>
      <c r="D2102" t="s">
        <v>300</v>
      </c>
      <c r="E2102" t="s">
        <v>3538</v>
      </c>
      <c r="F2102">
        <v>50</v>
      </c>
      <c r="G2102" t="s">
        <v>346</v>
      </c>
      <c r="H2102">
        <v>9</v>
      </c>
      <c r="I2102" t="s">
        <v>3539</v>
      </c>
      <c r="J2102" t="s">
        <v>294</v>
      </c>
      <c r="M2102" t="s">
        <v>295</v>
      </c>
      <c r="N2102" t="s">
        <v>296</v>
      </c>
      <c r="O2102" t="s">
        <v>297</v>
      </c>
    </row>
    <row r="2103" spans="1:15" x14ac:dyDescent="0.3">
      <c r="A2103" t="s">
        <v>3439</v>
      </c>
      <c r="B2103" t="s">
        <v>3440</v>
      </c>
      <c r="C2103">
        <v>2023</v>
      </c>
      <c r="D2103" t="s">
        <v>300</v>
      </c>
      <c r="E2103" t="s">
        <v>3540</v>
      </c>
      <c r="F2103">
        <v>148</v>
      </c>
      <c r="G2103" t="s">
        <v>346</v>
      </c>
      <c r="H2103">
        <v>9</v>
      </c>
      <c r="I2103" t="s">
        <v>3541</v>
      </c>
      <c r="J2103" t="s">
        <v>294</v>
      </c>
      <c r="M2103" t="s">
        <v>295</v>
      </c>
      <c r="N2103" t="s">
        <v>296</v>
      </c>
      <c r="O2103" t="s">
        <v>297</v>
      </c>
    </row>
    <row r="2104" spans="1:15" x14ac:dyDescent="0.3">
      <c r="A2104" t="s">
        <v>3439</v>
      </c>
      <c r="B2104" t="s">
        <v>3440</v>
      </c>
      <c r="C2104">
        <v>2023</v>
      </c>
      <c r="D2104" t="s">
        <v>300</v>
      </c>
      <c r="E2104" t="s">
        <v>3542</v>
      </c>
      <c r="F2104">
        <v>0</v>
      </c>
      <c r="G2104" t="s">
        <v>346</v>
      </c>
      <c r="H2104">
        <v>59</v>
      </c>
      <c r="I2104" t="s">
        <v>3543</v>
      </c>
      <c r="J2104" t="s">
        <v>294</v>
      </c>
      <c r="M2104" t="s">
        <v>295</v>
      </c>
      <c r="N2104" t="s">
        <v>296</v>
      </c>
      <c r="O2104" t="s">
        <v>297</v>
      </c>
    </row>
    <row r="2105" spans="1:15" x14ac:dyDescent="0.3">
      <c r="A2105" t="s">
        <v>3439</v>
      </c>
      <c r="B2105" t="s">
        <v>3440</v>
      </c>
      <c r="C2105">
        <v>2023</v>
      </c>
      <c r="D2105" t="s">
        <v>300</v>
      </c>
      <c r="E2105" t="s">
        <v>326</v>
      </c>
      <c r="F2105">
        <v>10.95</v>
      </c>
      <c r="G2105" t="s">
        <v>327</v>
      </c>
      <c r="H2105">
        <v>8</v>
      </c>
      <c r="I2105" t="s">
        <v>3544</v>
      </c>
      <c r="J2105" t="s">
        <v>294</v>
      </c>
      <c r="M2105" t="s">
        <v>295</v>
      </c>
      <c r="N2105" t="s">
        <v>296</v>
      </c>
      <c r="O2105" t="s">
        <v>297</v>
      </c>
    </row>
    <row r="2106" spans="1:15" x14ac:dyDescent="0.3">
      <c r="A2106" t="s">
        <v>3439</v>
      </c>
      <c r="B2106" t="s">
        <v>3440</v>
      </c>
      <c r="C2106">
        <v>2023</v>
      </c>
      <c r="D2106" t="s">
        <v>300</v>
      </c>
      <c r="E2106" t="s">
        <v>728</v>
      </c>
      <c r="F2106">
        <v>0.05</v>
      </c>
      <c r="G2106" t="s">
        <v>327</v>
      </c>
      <c r="H2106">
        <v>8</v>
      </c>
      <c r="I2106" t="s">
        <v>3545</v>
      </c>
      <c r="J2106" t="s">
        <v>294</v>
      </c>
      <c r="M2106" t="s">
        <v>295</v>
      </c>
      <c r="N2106" t="s">
        <v>296</v>
      </c>
      <c r="O2106" t="s">
        <v>297</v>
      </c>
    </row>
    <row r="2107" spans="1:15" x14ac:dyDescent="0.3">
      <c r="A2107" t="s">
        <v>3439</v>
      </c>
      <c r="B2107" t="s">
        <v>3440</v>
      </c>
      <c r="C2107">
        <v>2023</v>
      </c>
      <c r="D2107" t="s">
        <v>300</v>
      </c>
      <c r="E2107" t="s">
        <v>903</v>
      </c>
      <c r="F2107">
        <v>0.108</v>
      </c>
      <c r="G2107" t="s">
        <v>334</v>
      </c>
      <c r="H2107">
        <v>8</v>
      </c>
      <c r="I2107" t="s">
        <v>3546</v>
      </c>
      <c r="J2107" t="s">
        <v>294</v>
      </c>
      <c r="M2107" t="s">
        <v>295</v>
      </c>
      <c r="N2107" t="s">
        <v>296</v>
      </c>
      <c r="O2107" t="s">
        <v>297</v>
      </c>
    </row>
    <row r="2108" spans="1:15" x14ac:dyDescent="0.3">
      <c r="A2108" t="s">
        <v>3439</v>
      </c>
      <c r="B2108" t="s">
        <v>3440</v>
      </c>
      <c r="C2108">
        <v>2023</v>
      </c>
      <c r="D2108" t="s">
        <v>300</v>
      </c>
      <c r="E2108" t="s">
        <v>333</v>
      </c>
      <c r="F2108">
        <v>0.01</v>
      </c>
      <c r="G2108" t="s">
        <v>334</v>
      </c>
      <c r="H2108">
        <v>8</v>
      </c>
      <c r="I2108" t="s">
        <v>3547</v>
      </c>
      <c r="J2108" t="s">
        <v>294</v>
      </c>
      <c r="M2108" t="s">
        <v>295</v>
      </c>
      <c r="N2108" t="s">
        <v>296</v>
      </c>
      <c r="O2108" t="s">
        <v>297</v>
      </c>
    </row>
    <row r="2109" spans="1:15" x14ac:dyDescent="0.3">
      <c r="A2109" t="s">
        <v>3439</v>
      </c>
      <c r="B2109" t="s">
        <v>3440</v>
      </c>
      <c r="C2109">
        <v>2023</v>
      </c>
      <c r="D2109" t="s">
        <v>300</v>
      </c>
      <c r="E2109" t="s">
        <v>336</v>
      </c>
      <c r="F2109">
        <v>0.01</v>
      </c>
      <c r="G2109" t="s">
        <v>334</v>
      </c>
      <c r="H2109">
        <v>8</v>
      </c>
      <c r="I2109" t="s">
        <v>3548</v>
      </c>
      <c r="J2109" t="s">
        <v>294</v>
      </c>
      <c r="M2109" t="s">
        <v>295</v>
      </c>
      <c r="N2109" t="s">
        <v>296</v>
      </c>
      <c r="O2109" t="s">
        <v>297</v>
      </c>
    </row>
    <row r="2110" spans="1:15" x14ac:dyDescent="0.3">
      <c r="A2110" t="s">
        <v>3439</v>
      </c>
      <c r="B2110" t="s">
        <v>3440</v>
      </c>
      <c r="C2110">
        <v>2023</v>
      </c>
      <c r="D2110" t="s">
        <v>300</v>
      </c>
      <c r="E2110" t="s">
        <v>3549</v>
      </c>
      <c r="F2110">
        <v>0.28000000000000003</v>
      </c>
      <c r="G2110" t="s">
        <v>302</v>
      </c>
      <c r="H2110">
        <v>152</v>
      </c>
      <c r="I2110" t="s">
        <v>3550</v>
      </c>
      <c r="J2110" t="s">
        <v>294</v>
      </c>
      <c r="M2110" t="s">
        <v>295</v>
      </c>
      <c r="N2110" t="s">
        <v>296</v>
      </c>
      <c r="O2110" t="s">
        <v>297</v>
      </c>
    </row>
    <row r="2111" spans="1:15" x14ac:dyDescent="0.3">
      <c r="A2111" t="s">
        <v>3439</v>
      </c>
      <c r="B2111" t="s">
        <v>3440</v>
      </c>
      <c r="C2111">
        <v>2023</v>
      </c>
      <c r="D2111" t="s">
        <v>300</v>
      </c>
      <c r="E2111" t="s">
        <v>2485</v>
      </c>
      <c r="F2111">
        <v>1.72</v>
      </c>
      <c r="G2111" t="s">
        <v>302</v>
      </c>
      <c r="H2111">
        <v>151</v>
      </c>
      <c r="I2111" t="s">
        <v>3551</v>
      </c>
      <c r="J2111" t="s">
        <v>294</v>
      </c>
      <c r="M2111" t="s">
        <v>295</v>
      </c>
      <c r="N2111" t="s">
        <v>296</v>
      </c>
      <c r="O2111" t="s">
        <v>297</v>
      </c>
    </row>
    <row r="2112" spans="1:15" x14ac:dyDescent="0.3">
      <c r="A2112" t="s">
        <v>3439</v>
      </c>
      <c r="B2112" t="s">
        <v>3440</v>
      </c>
      <c r="C2112">
        <v>2023</v>
      </c>
      <c r="D2112" t="s">
        <v>300</v>
      </c>
      <c r="E2112" t="s">
        <v>3552</v>
      </c>
      <c r="F2112">
        <v>24.87</v>
      </c>
      <c r="G2112" t="s">
        <v>302</v>
      </c>
      <c r="H2112">
        <v>151</v>
      </c>
      <c r="I2112" t="s">
        <v>3553</v>
      </c>
      <c r="J2112" t="s">
        <v>294</v>
      </c>
      <c r="M2112" t="s">
        <v>295</v>
      </c>
      <c r="N2112" t="s">
        <v>296</v>
      </c>
      <c r="O2112" t="s">
        <v>297</v>
      </c>
    </row>
    <row r="2113" spans="1:15" x14ac:dyDescent="0.3">
      <c r="A2113" t="s">
        <v>3439</v>
      </c>
      <c r="B2113" t="s">
        <v>3440</v>
      </c>
      <c r="C2113">
        <v>2023</v>
      </c>
      <c r="D2113" t="s">
        <v>300</v>
      </c>
      <c r="E2113" t="s">
        <v>3554</v>
      </c>
      <c r="F2113">
        <v>1.52</v>
      </c>
      <c r="G2113" t="s">
        <v>302</v>
      </c>
      <c r="H2113">
        <v>152</v>
      </c>
      <c r="I2113" t="s">
        <v>3555</v>
      </c>
      <c r="J2113" t="s">
        <v>294</v>
      </c>
      <c r="M2113" t="s">
        <v>295</v>
      </c>
      <c r="N2113" t="s">
        <v>296</v>
      </c>
      <c r="O2113" t="s">
        <v>297</v>
      </c>
    </row>
    <row r="2114" spans="1:15" x14ac:dyDescent="0.3">
      <c r="A2114" t="s">
        <v>3439</v>
      </c>
      <c r="B2114" t="s">
        <v>3440</v>
      </c>
      <c r="C2114">
        <v>2023</v>
      </c>
      <c r="D2114" t="s">
        <v>394</v>
      </c>
      <c r="E2114" t="s">
        <v>3556</v>
      </c>
      <c r="F2114">
        <v>1</v>
      </c>
      <c r="G2114" t="s">
        <v>384</v>
      </c>
      <c r="H2114">
        <v>112</v>
      </c>
      <c r="I2114" t="s">
        <v>3557</v>
      </c>
      <c r="J2114" t="s">
        <v>294</v>
      </c>
      <c r="M2114" t="s">
        <v>295</v>
      </c>
      <c r="N2114" t="s">
        <v>296</v>
      </c>
      <c r="O2114" t="s">
        <v>297</v>
      </c>
    </row>
    <row r="2115" spans="1:15" x14ac:dyDescent="0.3">
      <c r="A2115" t="s">
        <v>3439</v>
      </c>
      <c r="B2115" t="s">
        <v>3440</v>
      </c>
      <c r="C2115">
        <v>2023</v>
      </c>
      <c r="D2115" t="s">
        <v>394</v>
      </c>
      <c r="E2115" t="s">
        <v>3558</v>
      </c>
      <c r="F2115" t="s">
        <v>3559</v>
      </c>
      <c r="G2115" t="s">
        <v>292</v>
      </c>
      <c r="H2115">
        <v>154</v>
      </c>
      <c r="I2115" t="s">
        <v>3560</v>
      </c>
      <c r="J2115" t="s">
        <v>294</v>
      </c>
      <c r="M2115" t="s">
        <v>295</v>
      </c>
      <c r="N2115" t="s">
        <v>296</v>
      </c>
      <c r="O2115" t="s">
        <v>297</v>
      </c>
    </row>
    <row r="2116" spans="1:15" x14ac:dyDescent="0.3">
      <c r="A2116" t="s">
        <v>3439</v>
      </c>
      <c r="B2116" t="s">
        <v>3440</v>
      </c>
      <c r="C2116">
        <v>2023</v>
      </c>
      <c r="D2116" t="s">
        <v>394</v>
      </c>
      <c r="E2116" t="s">
        <v>3561</v>
      </c>
      <c r="F2116">
        <v>30.75</v>
      </c>
      <c r="G2116" t="s">
        <v>302</v>
      </c>
      <c r="H2116">
        <v>154</v>
      </c>
      <c r="I2116" t="s">
        <v>3562</v>
      </c>
      <c r="J2116" t="s">
        <v>294</v>
      </c>
      <c r="M2116" t="s">
        <v>295</v>
      </c>
      <c r="N2116" t="s">
        <v>296</v>
      </c>
      <c r="O2116" t="s">
        <v>297</v>
      </c>
    </row>
    <row r="2117" spans="1:15" x14ac:dyDescent="0.3">
      <c r="A2117" t="s">
        <v>3439</v>
      </c>
      <c r="B2117" t="s">
        <v>3440</v>
      </c>
      <c r="C2117">
        <v>2023</v>
      </c>
      <c r="D2117" t="s">
        <v>394</v>
      </c>
      <c r="E2117" t="s">
        <v>3563</v>
      </c>
      <c r="F2117">
        <v>4.9800000000000004</v>
      </c>
      <c r="G2117" t="s">
        <v>302</v>
      </c>
      <c r="H2117">
        <v>154</v>
      </c>
      <c r="I2117" t="s">
        <v>3564</v>
      </c>
      <c r="J2117" t="s">
        <v>294</v>
      </c>
      <c r="M2117" t="s">
        <v>295</v>
      </c>
      <c r="N2117" t="s">
        <v>296</v>
      </c>
      <c r="O2117" t="s">
        <v>297</v>
      </c>
    </row>
    <row r="2118" spans="1:15" x14ac:dyDescent="0.3">
      <c r="A2118" t="s">
        <v>3439</v>
      </c>
      <c r="B2118" t="s">
        <v>3440</v>
      </c>
      <c r="C2118">
        <v>2023</v>
      </c>
      <c r="D2118" t="s">
        <v>394</v>
      </c>
      <c r="E2118" t="s">
        <v>3565</v>
      </c>
      <c r="F2118">
        <v>0.86080000000000001</v>
      </c>
      <c r="G2118" t="s">
        <v>334</v>
      </c>
      <c r="H2118">
        <v>53</v>
      </c>
      <c r="I2118" t="s">
        <v>3566</v>
      </c>
      <c r="J2118" t="s">
        <v>294</v>
      </c>
      <c r="M2118" t="s">
        <v>295</v>
      </c>
      <c r="N2118" t="s">
        <v>296</v>
      </c>
      <c r="O2118" t="s">
        <v>297</v>
      </c>
    </row>
    <row r="2119" spans="1:15" x14ac:dyDescent="0.3">
      <c r="A2119" t="s">
        <v>3439</v>
      </c>
      <c r="B2119" t="s">
        <v>3440</v>
      </c>
      <c r="C2119">
        <v>2023</v>
      </c>
      <c r="D2119" t="s">
        <v>394</v>
      </c>
      <c r="E2119" t="s">
        <v>3567</v>
      </c>
      <c r="F2119">
        <v>0.13919999999999999</v>
      </c>
      <c r="G2119" t="s">
        <v>334</v>
      </c>
      <c r="H2119">
        <v>53</v>
      </c>
      <c r="I2119" t="s">
        <v>3568</v>
      </c>
      <c r="J2119" t="s">
        <v>294</v>
      </c>
      <c r="M2119" t="s">
        <v>295</v>
      </c>
      <c r="N2119" t="s">
        <v>296</v>
      </c>
      <c r="O2119" t="s">
        <v>297</v>
      </c>
    </row>
    <row r="2120" spans="1:15" x14ac:dyDescent="0.3">
      <c r="A2120" t="s">
        <v>3439</v>
      </c>
      <c r="B2120" t="s">
        <v>3440</v>
      </c>
      <c r="C2120">
        <v>2023</v>
      </c>
      <c r="D2120" t="s">
        <v>394</v>
      </c>
      <c r="E2120" t="s">
        <v>3569</v>
      </c>
      <c r="F2120">
        <v>20.420000000000002</v>
      </c>
      <c r="G2120" t="s">
        <v>302</v>
      </c>
      <c r="H2120">
        <v>154</v>
      </c>
      <c r="I2120" t="s">
        <v>3570</v>
      </c>
      <c r="J2120" t="s">
        <v>294</v>
      </c>
      <c r="M2120" t="s">
        <v>295</v>
      </c>
      <c r="N2120" t="s">
        <v>296</v>
      </c>
      <c r="O2120" t="s">
        <v>297</v>
      </c>
    </row>
    <row r="2121" spans="1:15" x14ac:dyDescent="0.3">
      <c r="A2121" t="s">
        <v>3439</v>
      </c>
      <c r="B2121" t="s">
        <v>3440</v>
      </c>
      <c r="C2121">
        <v>2023</v>
      </c>
      <c r="D2121" t="s">
        <v>394</v>
      </c>
      <c r="E2121" t="s">
        <v>3571</v>
      </c>
      <c r="F2121">
        <v>2.0699999999999998</v>
      </c>
      <c r="G2121" t="s">
        <v>302</v>
      </c>
      <c r="H2121">
        <v>154</v>
      </c>
      <c r="I2121" t="s">
        <v>3572</v>
      </c>
      <c r="J2121" t="s">
        <v>294</v>
      </c>
      <c r="M2121" t="s">
        <v>295</v>
      </c>
      <c r="N2121" t="s">
        <v>296</v>
      </c>
      <c r="O2121" t="s">
        <v>297</v>
      </c>
    </row>
    <row r="2122" spans="1:15" x14ac:dyDescent="0.3">
      <c r="A2122" t="s">
        <v>3439</v>
      </c>
      <c r="B2122" t="s">
        <v>3440</v>
      </c>
      <c r="C2122">
        <v>2023</v>
      </c>
      <c r="D2122" t="s">
        <v>394</v>
      </c>
      <c r="E2122" t="s">
        <v>3573</v>
      </c>
      <c r="F2122">
        <v>4.41</v>
      </c>
      <c r="G2122" t="s">
        <v>302</v>
      </c>
      <c r="H2122">
        <v>154</v>
      </c>
      <c r="I2122" t="s">
        <v>3574</v>
      </c>
      <c r="J2122" t="s">
        <v>294</v>
      </c>
      <c r="M2122" t="s">
        <v>295</v>
      </c>
      <c r="N2122" t="s">
        <v>296</v>
      </c>
      <c r="O2122" t="s">
        <v>297</v>
      </c>
    </row>
    <row r="2123" spans="1:15" x14ac:dyDescent="0.3">
      <c r="A2123" t="s">
        <v>3439</v>
      </c>
      <c r="B2123" t="s">
        <v>3440</v>
      </c>
      <c r="C2123">
        <v>2023</v>
      </c>
      <c r="D2123" t="s">
        <v>394</v>
      </c>
      <c r="E2123" t="s">
        <v>3575</v>
      </c>
      <c r="F2123">
        <v>6.24</v>
      </c>
      <c r="G2123" t="s">
        <v>302</v>
      </c>
      <c r="H2123">
        <v>154</v>
      </c>
      <c r="I2123" t="s">
        <v>3576</v>
      </c>
      <c r="J2123" t="s">
        <v>294</v>
      </c>
      <c r="M2123" t="s">
        <v>295</v>
      </c>
      <c r="N2123" t="s">
        <v>296</v>
      </c>
      <c r="O2123" t="s">
        <v>297</v>
      </c>
    </row>
    <row r="2124" spans="1:15" x14ac:dyDescent="0.3">
      <c r="A2124" t="s">
        <v>3439</v>
      </c>
      <c r="B2124" t="s">
        <v>3440</v>
      </c>
      <c r="C2124">
        <v>2023</v>
      </c>
      <c r="D2124" t="s">
        <v>394</v>
      </c>
      <c r="E2124" t="s">
        <v>3577</v>
      </c>
      <c r="F2124">
        <v>2.59</v>
      </c>
      <c r="G2124" t="s">
        <v>302</v>
      </c>
      <c r="H2124">
        <v>154</v>
      </c>
      <c r="I2124" t="s">
        <v>3578</v>
      </c>
      <c r="J2124" t="s">
        <v>294</v>
      </c>
      <c r="M2124" t="s">
        <v>295</v>
      </c>
      <c r="N2124" t="s">
        <v>296</v>
      </c>
      <c r="O2124" t="s">
        <v>297</v>
      </c>
    </row>
    <row r="2125" spans="1:15" x14ac:dyDescent="0.3">
      <c r="A2125" t="s">
        <v>3439</v>
      </c>
      <c r="B2125" t="s">
        <v>3440</v>
      </c>
      <c r="C2125">
        <v>2023</v>
      </c>
      <c r="D2125" t="s">
        <v>394</v>
      </c>
      <c r="E2125" t="s">
        <v>559</v>
      </c>
      <c r="F2125">
        <v>1</v>
      </c>
      <c r="G2125" t="s">
        <v>334</v>
      </c>
      <c r="H2125">
        <v>154</v>
      </c>
      <c r="I2125" t="s">
        <v>3579</v>
      </c>
      <c r="J2125" t="s">
        <v>456</v>
      </c>
      <c r="M2125" t="s">
        <v>295</v>
      </c>
      <c r="N2125" t="s">
        <v>296</v>
      </c>
      <c r="O2125" t="s">
        <v>297</v>
      </c>
    </row>
    <row r="2126" spans="1:15" x14ac:dyDescent="0.3">
      <c r="A2126" t="s">
        <v>3439</v>
      </c>
      <c r="B2126" t="s">
        <v>3440</v>
      </c>
      <c r="C2126">
        <v>2023</v>
      </c>
      <c r="D2126" t="s">
        <v>394</v>
      </c>
      <c r="E2126" t="s">
        <v>3580</v>
      </c>
      <c r="F2126" t="s">
        <v>3581</v>
      </c>
      <c r="G2126" t="s">
        <v>292</v>
      </c>
      <c r="H2126">
        <v>48</v>
      </c>
      <c r="I2126" t="s">
        <v>3582</v>
      </c>
      <c r="J2126" t="s">
        <v>294</v>
      </c>
      <c r="M2126" t="s">
        <v>295</v>
      </c>
      <c r="N2126" t="s">
        <v>296</v>
      </c>
      <c r="O2126" t="s">
        <v>297</v>
      </c>
    </row>
    <row r="2127" spans="1:15" x14ac:dyDescent="0.3">
      <c r="A2127" t="s">
        <v>3439</v>
      </c>
      <c r="B2127" t="s">
        <v>3440</v>
      </c>
      <c r="C2127">
        <v>2023</v>
      </c>
      <c r="D2127" t="s">
        <v>394</v>
      </c>
      <c r="E2127" t="s">
        <v>3583</v>
      </c>
      <c r="F2127" t="s">
        <v>3584</v>
      </c>
      <c r="G2127" t="s">
        <v>292</v>
      </c>
      <c r="H2127">
        <v>48</v>
      </c>
      <c r="I2127" t="s">
        <v>3585</v>
      </c>
      <c r="J2127" t="s">
        <v>294</v>
      </c>
      <c r="M2127" t="s">
        <v>295</v>
      </c>
      <c r="N2127" t="s">
        <v>296</v>
      </c>
      <c r="O2127" t="s">
        <v>297</v>
      </c>
    </row>
    <row r="2128" spans="1:15" x14ac:dyDescent="0.3">
      <c r="A2128" t="s">
        <v>3439</v>
      </c>
      <c r="B2128" t="s">
        <v>3440</v>
      </c>
      <c r="C2128">
        <v>2023</v>
      </c>
      <c r="D2128" t="s">
        <v>394</v>
      </c>
      <c r="E2128" t="s">
        <v>3586</v>
      </c>
      <c r="F2128">
        <v>8.8000000000000007</v>
      </c>
      <c r="G2128" t="s">
        <v>302</v>
      </c>
      <c r="H2128">
        <v>151</v>
      </c>
      <c r="I2128" t="s">
        <v>3587</v>
      </c>
      <c r="J2128" t="s">
        <v>294</v>
      </c>
      <c r="M2128" t="s">
        <v>295</v>
      </c>
      <c r="N2128" t="s">
        <v>296</v>
      </c>
      <c r="O2128" t="s">
        <v>297</v>
      </c>
    </row>
    <row r="2129" spans="1:15" x14ac:dyDescent="0.3">
      <c r="A2129" t="s">
        <v>3439</v>
      </c>
      <c r="B2129" t="s">
        <v>3440</v>
      </c>
      <c r="C2129">
        <v>2023</v>
      </c>
      <c r="D2129" t="s">
        <v>394</v>
      </c>
      <c r="E2129" t="s">
        <v>3588</v>
      </c>
      <c r="F2129">
        <v>6.75</v>
      </c>
      <c r="G2129" t="s">
        <v>302</v>
      </c>
      <c r="H2129">
        <v>151</v>
      </c>
      <c r="I2129" t="s">
        <v>3589</v>
      </c>
      <c r="J2129" t="s">
        <v>294</v>
      </c>
      <c r="M2129" t="s">
        <v>295</v>
      </c>
      <c r="N2129" t="s">
        <v>296</v>
      </c>
      <c r="O2129" t="s">
        <v>297</v>
      </c>
    </row>
    <row r="2130" spans="1:15" x14ac:dyDescent="0.3">
      <c r="A2130" t="s">
        <v>3439</v>
      </c>
      <c r="B2130" t="s">
        <v>3440</v>
      </c>
      <c r="C2130">
        <v>2023</v>
      </c>
      <c r="D2130" t="s">
        <v>394</v>
      </c>
      <c r="E2130" t="s">
        <v>3590</v>
      </c>
      <c r="F2130">
        <v>6.24</v>
      </c>
      <c r="G2130" t="s">
        <v>302</v>
      </c>
      <c r="H2130">
        <v>151</v>
      </c>
      <c r="I2130" t="s">
        <v>3591</v>
      </c>
      <c r="J2130" t="s">
        <v>294</v>
      </c>
      <c r="M2130" t="s">
        <v>295</v>
      </c>
      <c r="N2130" t="s">
        <v>296</v>
      </c>
      <c r="O2130" t="s">
        <v>297</v>
      </c>
    </row>
    <row r="2131" spans="1:15" x14ac:dyDescent="0.3">
      <c r="A2131" t="s">
        <v>3439</v>
      </c>
      <c r="B2131" t="s">
        <v>3440</v>
      </c>
      <c r="C2131">
        <v>2023</v>
      </c>
      <c r="D2131" t="s">
        <v>394</v>
      </c>
      <c r="E2131" t="s">
        <v>3592</v>
      </c>
      <c r="F2131">
        <v>4.96</v>
      </c>
      <c r="G2131" t="s">
        <v>302</v>
      </c>
      <c r="H2131">
        <v>151</v>
      </c>
      <c r="I2131" t="s">
        <v>3593</v>
      </c>
      <c r="J2131" t="s">
        <v>294</v>
      </c>
      <c r="M2131" t="s">
        <v>295</v>
      </c>
      <c r="N2131" t="s">
        <v>296</v>
      </c>
      <c r="O2131" t="s">
        <v>297</v>
      </c>
    </row>
    <row r="2132" spans="1:15" x14ac:dyDescent="0.3">
      <c r="A2132" t="s">
        <v>3439</v>
      </c>
      <c r="B2132" t="s">
        <v>3440</v>
      </c>
      <c r="C2132">
        <v>2023</v>
      </c>
      <c r="D2132" t="s">
        <v>394</v>
      </c>
      <c r="E2132" t="s">
        <v>3594</v>
      </c>
      <c r="F2132">
        <v>4.49</v>
      </c>
      <c r="G2132" t="s">
        <v>302</v>
      </c>
      <c r="H2132">
        <v>151</v>
      </c>
      <c r="I2132" t="s">
        <v>3595</v>
      </c>
      <c r="J2132" t="s">
        <v>294</v>
      </c>
      <c r="M2132" t="s">
        <v>295</v>
      </c>
      <c r="N2132" t="s">
        <v>296</v>
      </c>
      <c r="O2132" t="s">
        <v>297</v>
      </c>
    </row>
    <row r="2133" spans="1:15" x14ac:dyDescent="0.3">
      <c r="A2133" t="s">
        <v>3439</v>
      </c>
      <c r="B2133" t="s">
        <v>3440</v>
      </c>
      <c r="C2133">
        <v>2023</v>
      </c>
      <c r="D2133" t="s">
        <v>394</v>
      </c>
      <c r="E2133" t="s">
        <v>3596</v>
      </c>
      <c r="F2133" t="s">
        <v>3597</v>
      </c>
      <c r="G2133" t="s">
        <v>292</v>
      </c>
      <c r="H2133">
        <v>14</v>
      </c>
      <c r="I2133" t="s">
        <v>3598</v>
      </c>
      <c r="J2133" t="s">
        <v>294</v>
      </c>
      <c r="M2133" t="s">
        <v>295</v>
      </c>
      <c r="N2133" t="s">
        <v>296</v>
      </c>
      <c r="O2133" t="s">
        <v>297</v>
      </c>
    </row>
    <row r="2134" spans="1:15" x14ac:dyDescent="0.3">
      <c r="A2134" t="s">
        <v>3439</v>
      </c>
      <c r="B2134" t="s">
        <v>3440</v>
      </c>
      <c r="C2134">
        <v>2023</v>
      </c>
      <c r="D2134" t="s">
        <v>394</v>
      </c>
      <c r="E2134" t="s">
        <v>3599</v>
      </c>
      <c r="F2134" t="s">
        <v>3600</v>
      </c>
      <c r="G2134" t="s">
        <v>292</v>
      </c>
      <c r="H2134">
        <v>29</v>
      </c>
      <c r="I2134" t="s">
        <v>3601</v>
      </c>
      <c r="J2134" t="s">
        <v>294</v>
      </c>
      <c r="M2134" t="s">
        <v>295</v>
      </c>
      <c r="N2134" t="s">
        <v>296</v>
      </c>
      <c r="O2134" t="s">
        <v>297</v>
      </c>
    </row>
    <row r="2135" spans="1:15" x14ac:dyDescent="0.3">
      <c r="A2135" t="s">
        <v>3439</v>
      </c>
      <c r="B2135" t="s">
        <v>3440</v>
      </c>
      <c r="C2135">
        <v>2023</v>
      </c>
      <c r="D2135" t="s">
        <v>563</v>
      </c>
      <c r="E2135" t="s">
        <v>3602</v>
      </c>
      <c r="F2135">
        <v>39</v>
      </c>
      <c r="G2135" t="s">
        <v>384</v>
      </c>
      <c r="H2135">
        <v>42</v>
      </c>
      <c r="I2135" t="s">
        <v>3603</v>
      </c>
      <c r="J2135" t="s">
        <v>294</v>
      </c>
      <c r="M2135" t="s">
        <v>295</v>
      </c>
      <c r="N2135" t="s">
        <v>296</v>
      </c>
      <c r="O2135" t="s">
        <v>297</v>
      </c>
    </row>
    <row r="2136" spans="1:15" x14ac:dyDescent="0.3">
      <c r="A2136" t="s">
        <v>3439</v>
      </c>
      <c r="B2136" t="s">
        <v>3440</v>
      </c>
      <c r="C2136">
        <v>2023</v>
      </c>
      <c r="D2136" t="s">
        <v>563</v>
      </c>
      <c r="E2136" t="s">
        <v>3604</v>
      </c>
      <c r="F2136">
        <v>19</v>
      </c>
      <c r="G2136" t="s">
        <v>384</v>
      </c>
      <c r="H2136">
        <v>42</v>
      </c>
      <c r="I2136" t="s">
        <v>3605</v>
      </c>
      <c r="J2136" t="s">
        <v>294</v>
      </c>
      <c r="M2136" t="s">
        <v>295</v>
      </c>
      <c r="N2136" t="s">
        <v>296</v>
      </c>
      <c r="O2136" t="s">
        <v>297</v>
      </c>
    </row>
    <row r="2137" spans="1:15" x14ac:dyDescent="0.3">
      <c r="A2137" t="s">
        <v>3439</v>
      </c>
      <c r="B2137" t="s">
        <v>3440</v>
      </c>
      <c r="C2137">
        <v>2023</v>
      </c>
      <c r="D2137" t="s">
        <v>563</v>
      </c>
      <c r="E2137" t="s">
        <v>3606</v>
      </c>
      <c r="F2137">
        <v>20</v>
      </c>
      <c r="G2137" t="s">
        <v>384</v>
      </c>
      <c r="H2137">
        <v>42</v>
      </c>
      <c r="I2137" t="s">
        <v>3607</v>
      </c>
      <c r="J2137" t="s">
        <v>294</v>
      </c>
      <c r="M2137" t="s">
        <v>295</v>
      </c>
      <c r="N2137" t="s">
        <v>296</v>
      </c>
      <c r="O2137" t="s">
        <v>297</v>
      </c>
    </row>
    <row r="2138" spans="1:15" x14ac:dyDescent="0.3">
      <c r="A2138" t="s">
        <v>3439</v>
      </c>
      <c r="B2138" t="s">
        <v>3440</v>
      </c>
      <c r="C2138">
        <v>2023</v>
      </c>
      <c r="D2138" t="s">
        <v>563</v>
      </c>
      <c r="E2138" t="s">
        <v>3608</v>
      </c>
      <c r="F2138">
        <v>38</v>
      </c>
      <c r="G2138" t="s">
        <v>384</v>
      </c>
      <c r="H2138">
        <v>43</v>
      </c>
      <c r="I2138" t="s">
        <v>3609</v>
      </c>
      <c r="J2138" t="s">
        <v>294</v>
      </c>
      <c r="M2138" t="s">
        <v>295</v>
      </c>
      <c r="N2138" t="s">
        <v>296</v>
      </c>
      <c r="O2138" t="s">
        <v>297</v>
      </c>
    </row>
    <row r="2139" spans="1:15" x14ac:dyDescent="0.3">
      <c r="A2139" t="s">
        <v>3439</v>
      </c>
      <c r="B2139" t="s">
        <v>3440</v>
      </c>
      <c r="C2139">
        <v>2023</v>
      </c>
      <c r="D2139" t="s">
        <v>563</v>
      </c>
      <c r="E2139" t="s">
        <v>3610</v>
      </c>
      <c r="F2139">
        <v>1</v>
      </c>
      <c r="G2139" t="s">
        <v>384</v>
      </c>
      <c r="H2139">
        <v>43</v>
      </c>
      <c r="I2139" t="s">
        <v>3611</v>
      </c>
      <c r="J2139" t="s">
        <v>294</v>
      </c>
      <c r="M2139" t="s">
        <v>295</v>
      </c>
      <c r="N2139" t="s">
        <v>296</v>
      </c>
      <c r="O2139" t="s">
        <v>297</v>
      </c>
    </row>
    <row r="2140" spans="1:15" x14ac:dyDescent="0.3">
      <c r="A2140" t="s">
        <v>3439</v>
      </c>
      <c r="B2140" t="s">
        <v>3440</v>
      </c>
      <c r="C2140">
        <v>2023</v>
      </c>
      <c r="D2140" t="s">
        <v>252</v>
      </c>
      <c r="E2140" t="s">
        <v>3612</v>
      </c>
      <c r="F2140" t="s">
        <v>3613</v>
      </c>
      <c r="G2140" t="s">
        <v>292</v>
      </c>
      <c r="H2140">
        <v>2</v>
      </c>
      <c r="I2140" t="s">
        <v>3614</v>
      </c>
      <c r="J2140" t="s">
        <v>294</v>
      </c>
      <c r="M2140" t="s">
        <v>295</v>
      </c>
      <c r="N2140" t="s">
        <v>296</v>
      </c>
      <c r="O2140" t="s">
        <v>297</v>
      </c>
    </row>
    <row r="2141" spans="1:15" x14ac:dyDescent="0.3">
      <c r="A2141" t="s">
        <v>3615</v>
      </c>
      <c r="B2141" t="s">
        <v>3616</v>
      </c>
      <c r="C2141">
        <v>2022</v>
      </c>
      <c r="D2141" t="s">
        <v>272</v>
      </c>
      <c r="E2141" t="s">
        <v>291</v>
      </c>
      <c r="F2141" t="s">
        <v>3615</v>
      </c>
      <c r="G2141" t="s">
        <v>292</v>
      </c>
      <c r="H2141">
        <v>1</v>
      </c>
      <c r="I2141" t="s">
        <v>3617</v>
      </c>
      <c r="J2141" t="s">
        <v>294</v>
      </c>
      <c r="M2141" t="s">
        <v>295</v>
      </c>
      <c r="N2141" t="s">
        <v>296</v>
      </c>
      <c r="O2141" t="s">
        <v>297</v>
      </c>
    </row>
    <row r="2142" spans="1:15" x14ac:dyDescent="0.3">
      <c r="A2142" t="s">
        <v>3615</v>
      </c>
      <c r="B2142" t="s">
        <v>3616</v>
      </c>
      <c r="C2142">
        <v>2022</v>
      </c>
      <c r="D2142" t="s">
        <v>272</v>
      </c>
      <c r="E2142" t="s">
        <v>869</v>
      </c>
      <c r="F2142" t="s">
        <v>3618</v>
      </c>
      <c r="G2142" t="s">
        <v>666</v>
      </c>
      <c r="H2142">
        <v>24</v>
      </c>
      <c r="I2142" t="s">
        <v>3619</v>
      </c>
      <c r="J2142" t="s">
        <v>294</v>
      </c>
      <c r="M2142" t="s">
        <v>295</v>
      </c>
      <c r="N2142" t="s">
        <v>296</v>
      </c>
      <c r="O2142" t="s">
        <v>297</v>
      </c>
    </row>
    <row r="2143" spans="1:15" x14ac:dyDescent="0.3">
      <c r="A2143" t="s">
        <v>3615</v>
      </c>
      <c r="B2143" t="s">
        <v>3616</v>
      </c>
      <c r="C2143">
        <v>2022</v>
      </c>
      <c r="D2143" t="s">
        <v>272</v>
      </c>
      <c r="E2143" t="s">
        <v>442</v>
      </c>
      <c r="F2143" t="s">
        <v>3620</v>
      </c>
      <c r="G2143" t="s">
        <v>334</v>
      </c>
      <c r="H2143">
        <v>51</v>
      </c>
      <c r="I2143" t="s">
        <v>3621</v>
      </c>
      <c r="J2143" t="s">
        <v>294</v>
      </c>
      <c r="M2143" t="s">
        <v>295</v>
      </c>
      <c r="N2143" t="s">
        <v>296</v>
      </c>
      <c r="O2143" t="s">
        <v>297</v>
      </c>
    </row>
    <row r="2144" spans="1:15" x14ac:dyDescent="0.3">
      <c r="A2144" t="s">
        <v>3615</v>
      </c>
      <c r="B2144" t="s">
        <v>3616</v>
      </c>
      <c r="C2144">
        <v>2022</v>
      </c>
      <c r="D2144" t="s">
        <v>272</v>
      </c>
      <c r="E2144" t="s">
        <v>445</v>
      </c>
      <c r="F2144">
        <v>0.15279999999999999</v>
      </c>
      <c r="G2144" t="s">
        <v>334</v>
      </c>
      <c r="H2144">
        <v>51</v>
      </c>
      <c r="I2144" t="s">
        <v>3622</v>
      </c>
      <c r="J2144" t="s">
        <v>294</v>
      </c>
      <c r="M2144" t="s">
        <v>295</v>
      </c>
      <c r="N2144" t="s">
        <v>296</v>
      </c>
      <c r="O2144" t="s">
        <v>297</v>
      </c>
    </row>
    <row r="2145" spans="1:15" x14ac:dyDescent="0.3">
      <c r="A2145" t="s">
        <v>3615</v>
      </c>
      <c r="B2145" t="s">
        <v>3616</v>
      </c>
      <c r="C2145">
        <v>2022</v>
      </c>
      <c r="D2145" t="s">
        <v>272</v>
      </c>
      <c r="E2145" t="s">
        <v>3623</v>
      </c>
      <c r="F2145" t="s">
        <v>3624</v>
      </c>
      <c r="G2145" t="s">
        <v>292</v>
      </c>
      <c r="H2145">
        <v>166</v>
      </c>
      <c r="I2145" t="s">
        <v>3625</v>
      </c>
      <c r="J2145" t="s">
        <v>294</v>
      </c>
      <c r="M2145" t="s">
        <v>295</v>
      </c>
      <c r="N2145" t="s">
        <v>296</v>
      </c>
      <c r="O2145" t="s">
        <v>297</v>
      </c>
    </row>
    <row r="2146" spans="1:15" x14ac:dyDescent="0.3">
      <c r="A2146" t="s">
        <v>3615</v>
      </c>
      <c r="B2146" t="s">
        <v>3616</v>
      </c>
      <c r="C2146">
        <v>2022</v>
      </c>
      <c r="D2146" t="s">
        <v>272</v>
      </c>
      <c r="E2146" t="s">
        <v>851</v>
      </c>
      <c r="F2146">
        <v>17020</v>
      </c>
      <c r="G2146" t="s">
        <v>360</v>
      </c>
      <c r="H2146">
        <v>24</v>
      </c>
      <c r="I2146" t="s">
        <v>3626</v>
      </c>
      <c r="J2146" t="s">
        <v>294</v>
      </c>
      <c r="M2146" t="s">
        <v>295</v>
      </c>
      <c r="N2146" t="s">
        <v>296</v>
      </c>
      <c r="O2146" t="s">
        <v>297</v>
      </c>
    </row>
    <row r="2147" spans="1:15" x14ac:dyDescent="0.3">
      <c r="A2147" t="s">
        <v>3615</v>
      </c>
      <c r="B2147" t="s">
        <v>3616</v>
      </c>
      <c r="C2147">
        <v>2022</v>
      </c>
      <c r="D2147" t="s">
        <v>272</v>
      </c>
      <c r="E2147" t="s">
        <v>1203</v>
      </c>
      <c r="F2147" t="s">
        <v>3627</v>
      </c>
      <c r="G2147" t="s">
        <v>292</v>
      </c>
      <c r="H2147">
        <v>2</v>
      </c>
      <c r="I2147" t="s">
        <v>3628</v>
      </c>
      <c r="J2147" t="s">
        <v>294</v>
      </c>
      <c r="M2147" t="s">
        <v>295</v>
      </c>
      <c r="N2147" t="s">
        <v>296</v>
      </c>
      <c r="O2147" t="s">
        <v>297</v>
      </c>
    </row>
    <row r="2148" spans="1:15" x14ac:dyDescent="0.3">
      <c r="A2148" t="s">
        <v>3615</v>
      </c>
      <c r="B2148" t="s">
        <v>3616</v>
      </c>
      <c r="C2148">
        <v>2022</v>
      </c>
      <c r="D2148" t="s">
        <v>300</v>
      </c>
      <c r="E2148" t="s">
        <v>3629</v>
      </c>
      <c r="F2148">
        <v>4708</v>
      </c>
      <c r="G2148" t="s">
        <v>302</v>
      </c>
      <c r="H2148">
        <v>2</v>
      </c>
      <c r="I2148" t="s">
        <v>3630</v>
      </c>
      <c r="J2148" t="s">
        <v>294</v>
      </c>
      <c r="M2148" t="s">
        <v>295</v>
      </c>
      <c r="N2148" t="s">
        <v>296</v>
      </c>
      <c r="O2148" t="s">
        <v>297</v>
      </c>
    </row>
    <row r="2149" spans="1:15" x14ac:dyDescent="0.3">
      <c r="A2149" t="s">
        <v>3615</v>
      </c>
      <c r="B2149" t="s">
        <v>3616</v>
      </c>
      <c r="C2149">
        <v>2022</v>
      </c>
      <c r="D2149" t="s">
        <v>300</v>
      </c>
      <c r="E2149" t="s">
        <v>688</v>
      </c>
      <c r="F2149">
        <v>4540</v>
      </c>
      <c r="G2149" t="s">
        <v>302</v>
      </c>
      <c r="H2149">
        <v>2</v>
      </c>
      <c r="I2149" t="s">
        <v>3631</v>
      </c>
      <c r="J2149" t="s">
        <v>294</v>
      </c>
      <c r="M2149" t="s">
        <v>295</v>
      </c>
      <c r="N2149" t="s">
        <v>296</v>
      </c>
      <c r="O2149" t="s">
        <v>297</v>
      </c>
    </row>
    <row r="2150" spans="1:15" x14ac:dyDescent="0.3">
      <c r="A2150" t="s">
        <v>3615</v>
      </c>
      <c r="B2150" t="s">
        <v>3616</v>
      </c>
      <c r="C2150">
        <v>2022</v>
      </c>
      <c r="D2150" t="s">
        <v>300</v>
      </c>
      <c r="E2150" t="s">
        <v>304</v>
      </c>
      <c r="F2150">
        <v>168</v>
      </c>
      <c r="G2150" t="s">
        <v>302</v>
      </c>
      <c r="H2150">
        <v>2</v>
      </c>
      <c r="I2150" t="s">
        <v>3632</v>
      </c>
      <c r="J2150" t="s">
        <v>294</v>
      </c>
      <c r="M2150" t="s">
        <v>295</v>
      </c>
      <c r="N2150" t="s">
        <v>296</v>
      </c>
      <c r="O2150" t="s">
        <v>297</v>
      </c>
    </row>
    <row r="2151" spans="1:15" x14ac:dyDescent="0.3">
      <c r="A2151" t="s">
        <v>3615</v>
      </c>
      <c r="B2151" t="s">
        <v>3616</v>
      </c>
      <c r="C2151">
        <v>2022</v>
      </c>
      <c r="D2151" t="s">
        <v>300</v>
      </c>
      <c r="E2151" t="s">
        <v>3633</v>
      </c>
      <c r="F2151">
        <v>88</v>
      </c>
      <c r="G2151" t="s">
        <v>302</v>
      </c>
      <c r="H2151">
        <v>6</v>
      </c>
      <c r="I2151" t="s">
        <v>3634</v>
      </c>
      <c r="J2151" t="s">
        <v>294</v>
      </c>
      <c r="M2151" t="s">
        <v>295</v>
      </c>
      <c r="N2151" t="s">
        <v>296</v>
      </c>
      <c r="O2151" t="s">
        <v>297</v>
      </c>
    </row>
    <row r="2152" spans="1:15" x14ac:dyDescent="0.3">
      <c r="A2152" t="s">
        <v>3615</v>
      </c>
      <c r="B2152" t="s">
        <v>3616</v>
      </c>
      <c r="C2152">
        <v>2022</v>
      </c>
      <c r="D2152" t="s">
        <v>300</v>
      </c>
      <c r="E2152" t="s">
        <v>457</v>
      </c>
      <c r="F2152">
        <v>48</v>
      </c>
      <c r="G2152" t="s">
        <v>302</v>
      </c>
      <c r="H2152">
        <v>219</v>
      </c>
      <c r="I2152" t="s">
        <v>3635</v>
      </c>
      <c r="J2152" t="s">
        <v>294</v>
      </c>
      <c r="M2152" t="s">
        <v>295</v>
      </c>
      <c r="N2152" t="s">
        <v>296</v>
      </c>
      <c r="O2152" t="s">
        <v>297</v>
      </c>
    </row>
    <row r="2153" spans="1:15" x14ac:dyDescent="0.3">
      <c r="A2153" t="s">
        <v>3615</v>
      </c>
      <c r="B2153" t="s">
        <v>3616</v>
      </c>
      <c r="C2153">
        <v>2022</v>
      </c>
      <c r="D2153" t="s">
        <v>300</v>
      </c>
      <c r="E2153" t="s">
        <v>579</v>
      </c>
      <c r="F2153">
        <v>48</v>
      </c>
      <c r="G2153" t="s">
        <v>302</v>
      </c>
      <c r="H2153">
        <v>219</v>
      </c>
      <c r="I2153" t="s">
        <v>3636</v>
      </c>
      <c r="J2153" t="s">
        <v>294</v>
      </c>
      <c r="M2153" t="s">
        <v>295</v>
      </c>
      <c r="N2153" t="s">
        <v>296</v>
      </c>
      <c r="O2153" t="s">
        <v>297</v>
      </c>
    </row>
    <row r="2154" spans="1:15" x14ac:dyDescent="0.3">
      <c r="A2154" t="s">
        <v>3615</v>
      </c>
      <c r="B2154" t="s">
        <v>3616</v>
      </c>
      <c r="C2154">
        <v>2022</v>
      </c>
      <c r="D2154" t="s">
        <v>300</v>
      </c>
      <c r="E2154" t="s">
        <v>306</v>
      </c>
      <c r="F2154">
        <v>42</v>
      </c>
      <c r="G2154" t="s">
        <v>302</v>
      </c>
      <c r="H2154">
        <v>2</v>
      </c>
      <c r="I2154" t="s">
        <v>3637</v>
      </c>
      <c r="J2154" t="s">
        <v>294</v>
      </c>
      <c r="M2154" t="s">
        <v>295</v>
      </c>
      <c r="N2154" t="s">
        <v>296</v>
      </c>
      <c r="O2154" t="s">
        <v>297</v>
      </c>
    </row>
    <row r="2155" spans="1:15" x14ac:dyDescent="0.3">
      <c r="A2155" t="s">
        <v>3615</v>
      </c>
      <c r="B2155" t="s">
        <v>3616</v>
      </c>
      <c r="C2155">
        <v>2022</v>
      </c>
      <c r="D2155" t="s">
        <v>300</v>
      </c>
      <c r="E2155" t="s">
        <v>310</v>
      </c>
      <c r="F2155">
        <v>42</v>
      </c>
      <c r="G2155" t="s">
        <v>302</v>
      </c>
      <c r="H2155">
        <v>6</v>
      </c>
      <c r="I2155" t="s">
        <v>3638</v>
      </c>
      <c r="J2155" t="s">
        <v>294</v>
      </c>
      <c r="M2155" t="s">
        <v>295</v>
      </c>
      <c r="N2155" t="s">
        <v>296</v>
      </c>
      <c r="O2155" t="s">
        <v>297</v>
      </c>
    </row>
    <row r="2156" spans="1:15" x14ac:dyDescent="0.3">
      <c r="A2156" t="s">
        <v>3615</v>
      </c>
      <c r="B2156" t="s">
        <v>3616</v>
      </c>
      <c r="C2156">
        <v>2022</v>
      </c>
      <c r="D2156" t="s">
        <v>300</v>
      </c>
      <c r="E2156" t="s">
        <v>316</v>
      </c>
      <c r="F2156">
        <v>3001</v>
      </c>
      <c r="G2156" t="s">
        <v>302</v>
      </c>
      <c r="H2156">
        <v>2</v>
      </c>
      <c r="I2156" t="s">
        <v>3639</v>
      </c>
      <c r="J2156" t="s">
        <v>294</v>
      </c>
      <c r="M2156" t="s">
        <v>295</v>
      </c>
      <c r="N2156" t="s">
        <v>296</v>
      </c>
      <c r="O2156" t="s">
        <v>297</v>
      </c>
    </row>
    <row r="2157" spans="1:15" x14ac:dyDescent="0.3">
      <c r="A2157" t="s">
        <v>3615</v>
      </c>
      <c r="B2157" t="s">
        <v>3616</v>
      </c>
      <c r="C2157">
        <v>2022</v>
      </c>
      <c r="D2157" t="s">
        <v>300</v>
      </c>
      <c r="E2157" t="s">
        <v>312</v>
      </c>
      <c r="F2157">
        <v>1434</v>
      </c>
      <c r="G2157" t="s">
        <v>302</v>
      </c>
      <c r="H2157">
        <v>70</v>
      </c>
      <c r="I2157" t="s">
        <v>3640</v>
      </c>
      <c r="J2157" t="s">
        <v>294</v>
      </c>
      <c r="M2157" t="s">
        <v>295</v>
      </c>
      <c r="N2157" t="s">
        <v>296</v>
      </c>
      <c r="O2157" t="s">
        <v>297</v>
      </c>
    </row>
    <row r="2158" spans="1:15" x14ac:dyDescent="0.3">
      <c r="A2158" t="s">
        <v>3615</v>
      </c>
      <c r="B2158" t="s">
        <v>3616</v>
      </c>
      <c r="C2158">
        <v>2022</v>
      </c>
      <c r="D2158" t="s">
        <v>300</v>
      </c>
      <c r="E2158" t="s">
        <v>314</v>
      </c>
      <c r="F2158">
        <v>1567</v>
      </c>
      <c r="G2158" t="s">
        <v>302</v>
      </c>
      <c r="H2158">
        <v>70</v>
      </c>
      <c r="I2158" t="s">
        <v>3641</v>
      </c>
      <c r="J2158" t="s">
        <v>294</v>
      </c>
      <c r="M2158" t="s">
        <v>295</v>
      </c>
      <c r="N2158" t="s">
        <v>296</v>
      </c>
      <c r="O2158" t="s">
        <v>297</v>
      </c>
    </row>
    <row r="2159" spans="1:15" x14ac:dyDescent="0.3">
      <c r="A2159" t="s">
        <v>3615</v>
      </c>
      <c r="B2159" t="s">
        <v>3616</v>
      </c>
      <c r="C2159">
        <v>2022</v>
      </c>
      <c r="D2159" t="s">
        <v>300</v>
      </c>
      <c r="E2159" t="s">
        <v>322</v>
      </c>
      <c r="F2159">
        <v>1847</v>
      </c>
      <c r="G2159" t="s">
        <v>302</v>
      </c>
      <c r="H2159">
        <v>2</v>
      </c>
      <c r="I2159" t="s">
        <v>3642</v>
      </c>
      <c r="J2159" t="s">
        <v>294</v>
      </c>
      <c r="M2159" t="s">
        <v>295</v>
      </c>
      <c r="N2159" t="s">
        <v>296</v>
      </c>
      <c r="O2159" t="s">
        <v>297</v>
      </c>
    </row>
    <row r="2160" spans="1:15" x14ac:dyDescent="0.3">
      <c r="A2160" t="s">
        <v>3615</v>
      </c>
      <c r="B2160" t="s">
        <v>3616</v>
      </c>
      <c r="C2160">
        <v>2022</v>
      </c>
      <c r="D2160" t="s">
        <v>300</v>
      </c>
      <c r="E2160" t="s">
        <v>318</v>
      </c>
      <c r="F2160">
        <v>628</v>
      </c>
      <c r="G2160" t="s">
        <v>302</v>
      </c>
      <c r="H2160">
        <v>70</v>
      </c>
      <c r="I2160" t="s">
        <v>3643</v>
      </c>
      <c r="J2160" t="s">
        <v>294</v>
      </c>
      <c r="M2160" t="s">
        <v>295</v>
      </c>
      <c r="N2160" t="s">
        <v>296</v>
      </c>
      <c r="O2160" t="s">
        <v>297</v>
      </c>
    </row>
    <row r="2161" spans="1:15" x14ac:dyDescent="0.3">
      <c r="A2161" t="s">
        <v>3615</v>
      </c>
      <c r="B2161" t="s">
        <v>3616</v>
      </c>
      <c r="C2161">
        <v>2022</v>
      </c>
      <c r="D2161" t="s">
        <v>300</v>
      </c>
      <c r="E2161" t="s">
        <v>320</v>
      </c>
      <c r="F2161">
        <v>1220</v>
      </c>
      <c r="G2161" t="s">
        <v>302</v>
      </c>
      <c r="H2161">
        <v>70</v>
      </c>
      <c r="I2161" t="s">
        <v>3644</v>
      </c>
      <c r="J2161" t="s">
        <v>294</v>
      </c>
      <c r="M2161" t="s">
        <v>295</v>
      </c>
      <c r="N2161" t="s">
        <v>296</v>
      </c>
      <c r="O2161" t="s">
        <v>297</v>
      </c>
    </row>
    <row r="2162" spans="1:15" x14ac:dyDescent="0.3">
      <c r="A2162" t="s">
        <v>3615</v>
      </c>
      <c r="B2162" t="s">
        <v>3616</v>
      </c>
      <c r="C2162">
        <v>2022</v>
      </c>
      <c r="D2162" t="s">
        <v>300</v>
      </c>
      <c r="E2162" t="s">
        <v>324</v>
      </c>
      <c r="F2162">
        <v>1154</v>
      </c>
      <c r="G2162" t="s">
        <v>302</v>
      </c>
      <c r="H2162">
        <v>2</v>
      </c>
      <c r="I2162" t="s">
        <v>3645</v>
      </c>
      <c r="J2162" t="s">
        <v>294</v>
      </c>
      <c r="M2162" t="s">
        <v>295</v>
      </c>
      <c r="N2162" t="s">
        <v>296</v>
      </c>
      <c r="O2162" t="s">
        <v>297</v>
      </c>
    </row>
    <row r="2163" spans="1:15" x14ac:dyDescent="0.3">
      <c r="A2163" t="s">
        <v>3615</v>
      </c>
      <c r="B2163" t="s">
        <v>3616</v>
      </c>
      <c r="C2163">
        <v>2022</v>
      </c>
      <c r="D2163" t="s">
        <v>300</v>
      </c>
      <c r="E2163" t="s">
        <v>3646</v>
      </c>
      <c r="F2163">
        <v>800</v>
      </c>
      <c r="G2163" t="s">
        <v>302</v>
      </c>
      <c r="H2163">
        <v>164</v>
      </c>
      <c r="I2163" t="s">
        <v>3647</v>
      </c>
      <c r="J2163" t="s">
        <v>294</v>
      </c>
      <c r="M2163" t="s">
        <v>295</v>
      </c>
      <c r="N2163" t="s">
        <v>296</v>
      </c>
      <c r="O2163" t="s">
        <v>297</v>
      </c>
    </row>
    <row r="2164" spans="1:15" x14ac:dyDescent="0.3">
      <c r="A2164" t="s">
        <v>3615</v>
      </c>
      <c r="B2164" t="s">
        <v>3616</v>
      </c>
      <c r="C2164">
        <v>2022</v>
      </c>
      <c r="D2164" t="s">
        <v>300</v>
      </c>
      <c r="E2164" t="s">
        <v>1144</v>
      </c>
      <c r="F2164">
        <v>330</v>
      </c>
      <c r="G2164" t="s">
        <v>302</v>
      </c>
      <c r="H2164">
        <v>164</v>
      </c>
      <c r="I2164" t="s">
        <v>3648</v>
      </c>
      <c r="J2164" t="s">
        <v>294</v>
      </c>
      <c r="M2164" t="s">
        <v>295</v>
      </c>
      <c r="N2164" t="s">
        <v>296</v>
      </c>
      <c r="O2164" t="s">
        <v>297</v>
      </c>
    </row>
    <row r="2165" spans="1:15" x14ac:dyDescent="0.3">
      <c r="A2165" t="s">
        <v>3615</v>
      </c>
      <c r="B2165" t="s">
        <v>3616</v>
      </c>
      <c r="C2165">
        <v>2022</v>
      </c>
      <c r="D2165" t="s">
        <v>300</v>
      </c>
      <c r="E2165" t="s">
        <v>471</v>
      </c>
      <c r="F2165">
        <v>206</v>
      </c>
      <c r="G2165" t="s">
        <v>302</v>
      </c>
      <c r="H2165">
        <v>185</v>
      </c>
      <c r="I2165" t="s">
        <v>3649</v>
      </c>
      <c r="J2165" t="s">
        <v>294</v>
      </c>
      <c r="M2165" t="s">
        <v>295</v>
      </c>
      <c r="N2165" t="s">
        <v>296</v>
      </c>
      <c r="O2165" t="s">
        <v>297</v>
      </c>
    </row>
    <row r="2166" spans="1:15" x14ac:dyDescent="0.3">
      <c r="A2166" t="s">
        <v>3615</v>
      </c>
      <c r="B2166" t="s">
        <v>3616</v>
      </c>
      <c r="C2166">
        <v>2022</v>
      </c>
      <c r="D2166" t="s">
        <v>300</v>
      </c>
      <c r="E2166" t="s">
        <v>479</v>
      </c>
      <c r="F2166">
        <v>271</v>
      </c>
      <c r="G2166" t="s">
        <v>302</v>
      </c>
      <c r="H2166">
        <v>74</v>
      </c>
      <c r="I2166" t="s">
        <v>3650</v>
      </c>
      <c r="J2166" t="s">
        <v>294</v>
      </c>
      <c r="M2166" t="s">
        <v>295</v>
      </c>
      <c r="N2166" t="s">
        <v>296</v>
      </c>
      <c r="O2166" t="s">
        <v>297</v>
      </c>
    </row>
    <row r="2167" spans="1:15" x14ac:dyDescent="0.3">
      <c r="A2167" t="s">
        <v>3615</v>
      </c>
      <c r="B2167" t="s">
        <v>3616</v>
      </c>
      <c r="C2167">
        <v>2022</v>
      </c>
      <c r="D2167" t="s">
        <v>300</v>
      </c>
      <c r="E2167" t="s">
        <v>481</v>
      </c>
      <c r="F2167">
        <v>629</v>
      </c>
      <c r="G2167" t="s">
        <v>302</v>
      </c>
      <c r="H2167">
        <v>187</v>
      </c>
      <c r="I2167" t="s">
        <v>3651</v>
      </c>
      <c r="J2167" t="s">
        <v>294</v>
      </c>
      <c r="M2167" t="s">
        <v>295</v>
      </c>
      <c r="N2167" t="s">
        <v>296</v>
      </c>
      <c r="O2167" t="s">
        <v>297</v>
      </c>
    </row>
    <row r="2168" spans="1:15" x14ac:dyDescent="0.3">
      <c r="A2168" t="s">
        <v>3615</v>
      </c>
      <c r="B2168" t="s">
        <v>3616</v>
      </c>
      <c r="C2168">
        <v>2022</v>
      </c>
      <c r="D2168" t="s">
        <v>300</v>
      </c>
      <c r="E2168" t="s">
        <v>595</v>
      </c>
      <c r="F2168">
        <v>215</v>
      </c>
      <c r="G2168" t="s">
        <v>302</v>
      </c>
      <c r="H2168">
        <v>215</v>
      </c>
      <c r="I2168" t="s">
        <v>3652</v>
      </c>
      <c r="J2168" t="s">
        <v>294</v>
      </c>
      <c r="M2168" t="s">
        <v>295</v>
      </c>
      <c r="N2168" t="s">
        <v>296</v>
      </c>
      <c r="O2168" t="s">
        <v>297</v>
      </c>
    </row>
    <row r="2169" spans="1:15" x14ac:dyDescent="0.3">
      <c r="A2169" t="s">
        <v>3615</v>
      </c>
      <c r="B2169" t="s">
        <v>3616</v>
      </c>
      <c r="C2169">
        <v>2022</v>
      </c>
      <c r="D2169" t="s">
        <v>300</v>
      </c>
      <c r="E2169" t="s">
        <v>2670</v>
      </c>
      <c r="F2169">
        <v>15</v>
      </c>
      <c r="G2169" t="s">
        <v>302</v>
      </c>
      <c r="H2169">
        <v>215</v>
      </c>
      <c r="I2169" t="s">
        <v>3653</v>
      </c>
      <c r="J2169" t="s">
        <v>294</v>
      </c>
      <c r="M2169" t="s">
        <v>295</v>
      </c>
      <c r="N2169" t="s">
        <v>296</v>
      </c>
      <c r="O2169" t="s">
        <v>297</v>
      </c>
    </row>
    <row r="2170" spans="1:15" x14ac:dyDescent="0.3">
      <c r="A2170" t="s">
        <v>3615</v>
      </c>
      <c r="B2170" t="s">
        <v>3616</v>
      </c>
      <c r="C2170">
        <v>2022</v>
      </c>
      <c r="D2170" t="s">
        <v>300</v>
      </c>
      <c r="E2170" t="s">
        <v>475</v>
      </c>
      <c r="F2170">
        <v>1216</v>
      </c>
      <c r="G2170" t="s">
        <v>302</v>
      </c>
      <c r="H2170">
        <v>215</v>
      </c>
      <c r="I2170" t="s">
        <v>3654</v>
      </c>
      <c r="J2170" t="s">
        <v>294</v>
      </c>
      <c r="M2170" t="s">
        <v>295</v>
      </c>
      <c r="N2170" t="s">
        <v>296</v>
      </c>
      <c r="O2170" t="s">
        <v>297</v>
      </c>
    </row>
    <row r="2171" spans="1:15" x14ac:dyDescent="0.3">
      <c r="A2171" t="s">
        <v>3615</v>
      </c>
      <c r="B2171" t="s">
        <v>3616</v>
      </c>
      <c r="C2171">
        <v>2022</v>
      </c>
      <c r="D2171" t="s">
        <v>300</v>
      </c>
      <c r="E2171" t="s">
        <v>477</v>
      </c>
      <c r="F2171">
        <v>1446</v>
      </c>
      <c r="G2171" t="s">
        <v>302</v>
      </c>
      <c r="H2171">
        <v>215</v>
      </c>
      <c r="I2171" t="s">
        <v>3655</v>
      </c>
      <c r="J2171" t="s">
        <v>294</v>
      </c>
      <c r="M2171" t="s">
        <v>295</v>
      </c>
      <c r="N2171" t="s">
        <v>296</v>
      </c>
      <c r="O2171" t="s">
        <v>297</v>
      </c>
    </row>
    <row r="2172" spans="1:15" x14ac:dyDescent="0.3">
      <c r="A2172" t="s">
        <v>3615</v>
      </c>
      <c r="B2172" t="s">
        <v>3616</v>
      </c>
      <c r="C2172">
        <v>2022</v>
      </c>
      <c r="D2172" t="s">
        <v>300</v>
      </c>
      <c r="E2172" t="s">
        <v>3656</v>
      </c>
      <c r="F2172">
        <v>62</v>
      </c>
      <c r="G2172" t="s">
        <v>302</v>
      </c>
      <c r="H2172">
        <v>164</v>
      </c>
      <c r="I2172" t="s">
        <v>3657</v>
      </c>
      <c r="J2172" t="s">
        <v>294</v>
      </c>
      <c r="M2172" t="s">
        <v>295</v>
      </c>
      <c r="N2172" t="s">
        <v>296</v>
      </c>
      <c r="O2172" t="s">
        <v>297</v>
      </c>
    </row>
    <row r="2173" spans="1:15" x14ac:dyDescent="0.3">
      <c r="A2173" t="s">
        <v>3615</v>
      </c>
      <c r="B2173" t="s">
        <v>3616</v>
      </c>
      <c r="C2173">
        <v>2022</v>
      </c>
      <c r="D2173" t="s">
        <v>300</v>
      </c>
      <c r="E2173" t="s">
        <v>3658</v>
      </c>
      <c r="F2173">
        <v>-400</v>
      </c>
      <c r="G2173" t="s">
        <v>302</v>
      </c>
      <c r="H2173">
        <v>164</v>
      </c>
      <c r="I2173" t="s">
        <v>3659</v>
      </c>
      <c r="J2173" t="s">
        <v>294</v>
      </c>
      <c r="M2173" t="s">
        <v>295</v>
      </c>
      <c r="N2173" t="s">
        <v>296</v>
      </c>
      <c r="O2173" t="s">
        <v>297</v>
      </c>
    </row>
    <row r="2174" spans="1:15" x14ac:dyDescent="0.3">
      <c r="A2174" t="s">
        <v>3615</v>
      </c>
      <c r="B2174" t="s">
        <v>3616</v>
      </c>
      <c r="C2174">
        <v>2022</v>
      </c>
      <c r="D2174" t="s">
        <v>300</v>
      </c>
      <c r="E2174" t="s">
        <v>3660</v>
      </c>
      <c r="F2174">
        <v>533</v>
      </c>
      <c r="G2174" t="s">
        <v>302</v>
      </c>
      <c r="H2174">
        <v>164</v>
      </c>
      <c r="I2174" t="s">
        <v>3661</v>
      </c>
      <c r="J2174" t="s">
        <v>294</v>
      </c>
      <c r="M2174" t="s">
        <v>295</v>
      </c>
      <c r="N2174" t="s">
        <v>296</v>
      </c>
      <c r="O2174" t="s">
        <v>297</v>
      </c>
    </row>
    <row r="2175" spans="1:15" x14ac:dyDescent="0.3">
      <c r="A2175" t="s">
        <v>3615</v>
      </c>
      <c r="B2175" t="s">
        <v>3616</v>
      </c>
      <c r="C2175">
        <v>2022</v>
      </c>
      <c r="D2175" t="s">
        <v>300</v>
      </c>
      <c r="E2175" t="s">
        <v>3662</v>
      </c>
      <c r="F2175">
        <v>275</v>
      </c>
      <c r="G2175" t="s">
        <v>302</v>
      </c>
      <c r="H2175">
        <v>191</v>
      </c>
      <c r="I2175" t="s">
        <v>3663</v>
      </c>
      <c r="J2175" t="s">
        <v>294</v>
      </c>
      <c r="M2175" t="s">
        <v>295</v>
      </c>
      <c r="N2175" t="s">
        <v>296</v>
      </c>
      <c r="O2175" t="s">
        <v>297</v>
      </c>
    </row>
    <row r="2176" spans="1:15" x14ac:dyDescent="0.3">
      <c r="A2176" t="s">
        <v>3615</v>
      </c>
      <c r="B2176" t="s">
        <v>3616</v>
      </c>
      <c r="C2176">
        <v>2022</v>
      </c>
      <c r="D2176" t="s">
        <v>300</v>
      </c>
      <c r="E2176" t="s">
        <v>3049</v>
      </c>
      <c r="F2176">
        <v>5.8</v>
      </c>
      <c r="G2176" t="s">
        <v>346</v>
      </c>
      <c r="H2176">
        <v>2</v>
      </c>
      <c r="I2176" t="s">
        <v>3664</v>
      </c>
      <c r="J2176" t="s">
        <v>294</v>
      </c>
      <c r="M2176" t="s">
        <v>295</v>
      </c>
      <c r="N2176" t="s">
        <v>296</v>
      </c>
      <c r="O2176" t="s">
        <v>297</v>
      </c>
    </row>
    <row r="2177" spans="1:15" x14ac:dyDescent="0.3">
      <c r="A2177" t="s">
        <v>3615</v>
      </c>
      <c r="B2177" t="s">
        <v>3616</v>
      </c>
      <c r="C2177">
        <v>2022</v>
      </c>
      <c r="D2177" t="s">
        <v>300</v>
      </c>
      <c r="E2177" t="s">
        <v>342</v>
      </c>
      <c r="F2177">
        <v>8000</v>
      </c>
      <c r="G2177" t="s">
        <v>497</v>
      </c>
      <c r="H2177">
        <v>51</v>
      </c>
      <c r="I2177" t="s">
        <v>3665</v>
      </c>
      <c r="J2177" t="s">
        <v>294</v>
      </c>
      <c r="M2177" t="s">
        <v>295</v>
      </c>
      <c r="N2177" t="s">
        <v>296</v>
      </c>
      <c r="O2177" t="s">
        <v>297</v>
      </c>
    </row>
    <row r="2178" spans="1:15" x14ac:dyDescent="0.3">
      <c r="A2178" t="s">
        <v>3615</v>
      </c>
      <c r="B2178" t="s">
        <v>3616</v>
      </c>
      <c r="C2178">
        <v>2022</v>
      </c>
      <c r="D2178" t="s">
        <v>300</v>
      </c>
      <c r="E2178" t="s">
        <v>723</v>
      </c>
      <c r="F2178">
        <v>318</v>
      </c>
      <c r="G2178" t="s">
        <v>346</v>
      </c>
      <c r="H2178">
        <v>5</v>
      </c>
      <c r="I2178" t="s">
        <v>3666</v>
      </c>
      <c r="J2178" t="s">
        <v>294</v>
      </c>
      <c r="M2178" t="s">
        <v>295</v>
      </c>
      <c r="N2178" t="s">
        <v>296</v>
      </c>
      <c r="O2178" t="s">
        <v>297</v>
      </c>
    </row>
    <row r="2179" spans="1:15" x14ac:dyDescent="0.3">
      <c r="A2179" t="s">
        <v>3615</v>
      </c>
      <c r="B2179" t="s">
        <v>3616</v>
      </c>
      <c r="C2179">
        <v>2022</v>
      </c>
      <c r="D2179" t="s">
        <v>300</v>
      </c>
      <c r="E2179" t="s">
        <v>3180</v>
      </c>
      <c r="F2179">
        <v>2544</v>
      </c>
      <c r="G2179" t="s">
        <v>302</v>
      </c>
      <c r="H2179">
        <v>5</v>
      </c>
      <c r="I2179" t="s">
        <v>3667</v>
      </c>
      <c r="J2179" t="s">
        <v>294</v>
      </c>
      <c r="M2179" t="s">
        <v>295</v>
      </c>
      <c r="N2179" t="s">
        <v>296</v>
      </c>
      <c r="O2179" t="s">
        <v>297</v>
      </c>
    </row>
    <row r="2180" spans="1:15" x14ac:dyDescent="0.3">
      <c r="A2180" t="s">
        <v>3615</v>
      </c>
      <c r="B2180" t="s">
        <v>3616</v>
      </c>
      <c r="C2180">
        <v>2022</v>
      </c>
      <c r="D2180" t="s">
        <v>300</v>
      </c>
      <c r="E2180" t="s">
        <v>326</v>
      </c>
      <c r="F2180">
        <v>2.2799999999999998</v>
      </c>
      <c r="G2180" t="s">
        <v>327</v>
      </c>
      <c r="H2180">
        <v>4</v>
      </c>
      <c r="I2180" t="s">
        <v>3668</v>
      </c>
      <c r="J2180" t="s">
        <v>294</v>
      </c>
      <c r="M2180" t="s">
        <v>295</v>
      </c>
      <c r="N2180" t="s">
        <v>296</v>
      </c>
      <c r="O2180" t="s">
        <v>297</v>
      </c>
    </row>
    <row r="2181" spans="1:15" x14ac:dyDescent="0.3">
      <c r="A2181" t="s">
        <v>3615</v>
      </c>
      <c r="B2181" t="s">
        <v>3616</v>
      </c>
      <c r="C2181">
        <v>2022</v>
      </c>
      <c r="D2181" t="s">
        <v>300</v>
      </c>
      <c r="E2181" t="s">
        <v>2762</v>
      </c>
      <c r="F2181">
        <v>1.6</v>
      </c>
      <c r="G2181" t="s">
        <v>327</v>
      </c>
      <c r="H2181">
        <v>4</v>
      </c>
      <c r="I2181" t="s">
        <v>3669</v>
      </c>
      <c r="J2181" t="s">
        <v>294</v>
      </c>
      <c r="M2181" t="s">
        <v>295</v>
      </c>
      <c r="N2181" t="s">
        <v>296</v>
      </c>
      <c r="O2181" t="s">
        <v>297</v>
      </c>
    </row>
    <row r="2182" spans="1:15" x14ac:dyDescent="0.3">
      <c r="A2182" t="s">
        <v>3615</v>
      </c>
      <c r="B2182" t="s">
        <v>3616</v>
      </c>
      <c r="C2182">
        <v>2022</v>
      </c>
      <c r="D2182" t="s">
        <v>300</v>
      </c>
      <c r="E2182" t="s">
        <v>3670</v>
      </c>
      <c r="F2182">
        <v>0.62</v>
      </c>
      <c r="G2182" t="s">
        <v>327</v>
      </c>
      <c r="H2182">
        <v>4</v>
      </c>
      <c r="I2182" t="s">
        <v>3671</v>
      </c>
      <c r="J2182" t="s">
        <v>294</v>
      </c>
      <c r="M2182" t="s">
        <v>295</v>
      </c>
      <c r="N2182" t="s">
        <v>296</v>
      </c>
      <c r="O2182" t="s">
        <v>297</v>
      </c>
    </row>
    <row r="2183" spans="1:15" x14ac:dyDescent="0.3">
      <c r="A2183" t="s">
        <v>3615</v>
      </c>
      <c r="B2183" t="s">
        <v>3616</v>
      </c>
      <c r="C2183">
        <v>2022</v>
      </c>
      <c r="D2183" t="s">
        <v>300</v>
      </c>
      <c r="E2183" t="s">
        <v>3672</v>
      </c>
      <c r="F2183" t="s">
        <v>3673</v>
      </c>
      <c r="G2183" t="s">
        <v>292</v>
      </c>
      <c r="H2183">
        <v>82</v>
      </c>
      <c r="I2183" t="s">
        <v>3674</v>
      </c>
      <c r="J2183" t="s">
        <v>294</v>
      </c>
      <c r="M2183" t="s">
        <v>295</v>
      </c>
      <c r="N2183" t="s">
        <v>296</v>
      </c>
      <c r="O2183" t="s">
        <v>297</v>
      </c>
    </row>
    <row r="2184" spans="1:15" x14ac:dyDescent="0.3">
      <c r="A2184" t="s">
        <v>3615</v>
      </c>
      <c r="B2184" t="s">
        <v>3616</v>
      </c>
      <c r="C2184">
        <v>2022</v>
      </c>
      <c r="D2184" t="s">
        <v>300</v>
      </c>
      <c r="E2184" t="s">
        <v>2977</v>
      </c>
      <c r="F2184">
        <v>366.9</v>
      </c>
      <c r="G2184" t="s">
        <v>302</v>
      </c>
      <c r="H2184">
        <v>164</v>
      </c>
      <c r="I2184" t="s">
        <v>3675</v>
      </c>
      <c r="J2184" t="s">
        <v>294</v>
      </c>
      <c r="M2184" t="s">
        <v>295</v>
      </c>
      <c r="N2184" t="s">
        <v>296</v>
      </c>
      <c r="O2184" t="s">
        <v>297</v>
      </c>
    </row>
    <row r="2185" spans="1:15" x14ac:dyDescent="0.3">
      <c r="A2185" t="s">
        <v>3615</v>
      </c>
      <c r="B2185" t="s">
        <v>3616</v>
      </c>
      <c r="C2185">
        <v>2022</v>
      </c>
      <c r="D2185" t="s">
        <v>300</v>
      </c>
      <c r="E2185" t="s">
        <v>599</v>
      </c>
      <c r="F2185">
        <v>357</v>
      </c>
      <c r="G2185" t="s">
        <v>302</v>
      </c>
      <c r="H2185" t="s">
        <v>3676</v>
      </c>
      <c r="I2185" t="s">
        <v>3677</v>
      </c>
      <c r="J2185" t="s">
        <v>294</v>
      </c>
      <c r="M2185" t="s">
        <v>295</v>
      </c>
      <c r="N2185" t="s">
        <v>296</v>
      </c>
      <c r="O2185" t="s">
        <v>297</v>
      </c>
    </row>
    <row r="2186" spans="1:15" x14ac:dyDescent="0.3">
      <c r="A2186" t="s">
        <v>3615</v>
      </c>
      <c r="B2186" t="s">
        <v>3616</v>
      </c>
      <c r="C2186">
        <v>2022</v>
      </c>
      <c r="D2186" t="s">
        <v>358</v>
      </c>
      <c r="E2186" t="s">
        <v>3678</v>
      </c>
      <c r="F2186">
        <v>10264.870000000001</v>
      </c>
      <c r="G2186" t="s">
        <v>360</v>
      </c>
      <c r="H2186">
        <v>190</v>
      </c>
      <c r="I2186" t="s">
        <v>3679</v>
      </c>
      <c r="J2186" t="s">
        <v>294</v>
      </c>
      <c r="M2186" t="s">
        <v>295</v>
      </c>
      <c r="N2186" t="s">
        <v>296</v>
      </c>
      <c r="O2186" t="s">
        <v>297</v>
      </c>
    </row>
    <row r="2187" spans="1:15" x14ac:dyDescent="0.3">
      <c r="A2187" t="s">
        <v>3615</v>
      </c>
      <c r="B2187" t="s">
        <v>3616</v>
      </c>
      <c r="C2187">
        <v>2022</v>
      </c>
      <c r="D2187" t="s">
        <v>358</v>
      </c>
      <c r="E2187" t="s">
        <v>3680</v>
      </c>
      <c r="F2187">
        <v>9370.35</v>
      </c>
      <c r="G2187" t="s">
        <v>360</v>
      </c>
      <c r="H2187">
        <v>190</v>
      </c>
      <c r="I2187" t="s">
        <v>3681</v>
      </c>
      <c r="J2187" t="s">
        <v>294</v>
      </c>
      <c r="M2187" t="s">
        <v>295</v>
      </c>
      <c r="N2187" t="s">
        <v>296</v>
      </c>
      <c r="O2187" t="s">
        <v>297</v>
      </c>
    </row>
    <row r="2188" spans="1:15" x14ac:dyDescent="0.3">
      <c r="A2188" t="s">
        <v>3615</v>
      </c>
      <c r="B2188" t="s">
        <v>3616</v>
      </c>
      <c r="C2188">
        <v>2022</v>
      </c>
      <c r="D2188" t="s">
        <v>358</v>
      </c>
      <c r="E2188" t="s">
        <v>3682</v>
      </c>
      <c r="F2188">
        <v>894.52</v>
      </c>
      <c r="G2188" t="s">
        <v>360</v>
      </c>
      <c r="H2188">
        <v>190</v>
      </c>
      <c r="I2188" t="s">
        <v>3683</v>
      </c>
      <c r="J2188" t="s">
        <v>294</v>
      </c>
      <c r="M2188" t="s">
        <v>295</v>
      </c>
      <c r="N2188" t="s">
        <v>296</v>
      </c>
      <c r="O2188" t="s">
        <v>297</v>
      </c>
    </row>
    <row r="2189" spans="1:15" x14ac:dyDescent="0.3">
      <c r="A2189" t="s">
        <v>3615</v>
      </c>
      <c r="B2189" t="s">
        <v>3616</v>
      </c>
      <c r="C2189">
        <v>2022</v>
      </c>
      <c r="D2189" t="s">
        <v>358</v>
      </c>
      <c r="E2189" t="s">
        <v>3684</v>
      </c>
      <c r="F2189">
        <v>17020</v>
      </c>
      <c r="G2189" t="s">
        <v>360</v>
      </c>
      <c r="H2189">
        <v>192</v>
      </c>
      <c r="I2189" t="s">
        <v>3685</v>
      </c>
      <c r="J2189" t="s">
        <v>294</v>
      </c>
      <c r="M2189" t="s">
        <v>295</v>
      </c>
      <c r="N2189" t="s">
        <v>296</v>
      </c>
      <c r="O2189" t="s">
        <v>297</v>
      </c>
    </row>
    <row r="2190" spans="1:15" x14ac:dyDescent="0.3">
      <c r="A2190" t="s">
        <v>3615</v>
      </c>
      <c r="B2190" t="s">
        <v>3616</v>
      </c>
      <c r="C2190">
        <v>2022</v>
      </c>
      <c r="D2190" t="s">
        <v>358</v>
      </c>
      <c r="E2190" t="s">
        <v>3686</v>
      </c>
      <c r="F2190">
        <v>1500</v>
      </c>
      <c r="G2190" t="s">
        <v>3687</v>
      </c>
      <c r="H2190">
        <v>18</v>
      </c>
      <c r="I2190" t="s">
        <v>3688</v>
      </c>
      <c r="J2190" t="s">
        <v>294</v>
      </c>
      <c r="M2190" t="s">
        <v>295</v>
      </c>
      <c r="N2190" t="s">
        <v>296</v>
      </c>
      <c r="O2190" t="s">
        <v>297</v>
      </c>
    </row>
    <row r="2191" spans="1:15" x14ac:dyDescent="0.3">
      <c r="A2191" t="s">
        <v>3615</v>
      </c>
      <c r="B2191" t="s">
        <v>3616</v>
      </c>
      <c r="C2191">
        <v>2022</v>
      </c>
      <c r="D2191" t="s">
        <v>358</v>
      </c>
      <c r="E2191" t="s">
        <v>3689</v>
      </c>
      <c r="F2191">
        <v>250</v>
      </c>
      <c r="G2191" t="s">
        <v>3687</v>
      </c>
      <c r="H2191">
        <v>14</v>
      </c>
      <c r="I2191" t="s">
        <v>3690</v>
      </c>
      <c r="J2191" t="s">
        <v>294</v>
      </c>
      <c r="M2191" t="s">
        <v>295</v>
      </c>
      <c r="N2191" t="s">
        <v>296</v>
      </c>
      <c r="O2191" t="s">
        <v>297</v>
      </c>
    </row>
    <row r="2192" spans="1:15" x14ac:dyDescent="0.3">
      <c r="A2192" t="s">
        <v>3615</v>
      </c>
      <c r="B2192" t="s">
        <v>3616</v>
      </c>
      <c r="C2192">
        <v>2022</v>
      </c>
      <c r="D2192" t="s">
        <v>358</v>
      </c>
      <c r="E2192" t="s">
        <v>3691</v>
      </c>
      <c r="F2192">
        <v>60</v>
      </c>
      <c r="G2192" t="s">
        <v>3692</v>
      </c>
      <c r="H2192">
        <v>11</v>
      </c>
      <c r="I2192" t="s">
        <v>3693</v>
      </c>
      <c r="J2192" t="s">
        <v>294</v>
      </c>
      <c r="M2192" t="s">
        <v>295</v>
      </c>
      <c r="N2192" t="s">
        <v>296</v>
      </c>
      <c r="O2192" t="s">
        <v>297</v>
      </c>
    </row>
    <row r="2193" spans="1:15" x14ac:dyDescent="0.3">
      <c r="A2193" t="s">
        <v>3615</v>
      </c>
      <c r="B2193" t="s">
        <v>3616</v>
      </c>
      <c r="C2193">
        <v>2022</v>
      </c>
      <c r="D2193" t="s">
        <v>358</v>
      </c>
      <c r="E2193" t="s">
        <v>3694</v>
      </c>
      <c r="F2193">
        <v>0</v>
      </c>
      <c r="G2193" t="s">
        <v>384</v>
      </c>
      <c r="H2193">
        <v>14</v>
      </c>
      <c r="I2193" t="s">
        <v>3695</v>
      </c>
      <c r="J2193" t="s">
        <v>294</v>
      </c>
      <c r="M2193" t="s">
        <v>295</v>
      </c>
      <c r="N2193" t="s">
        <v>296</v>
      </c>
      <c r="O2193" t="s">
        <v>297</v>
      </c>
    </row>
    <row r="2194" spans="1:15" x14ac:dyDescent="0.3">
      <c r="A2194" t="s">
        <v>3615</v>
      </c>
      <c r="B2194" t="s">
        <v>3616</v>
      </c>
      <c r="C2194">
        <v>2022</v>
      </c>
      <c r="D2194" t="s">
        <v>358</v>
      </c>
      <c r="E2194" t="s">
        <v>3696</v>
      </c>
      <c r="F2194">
        <v>1237</v>
      </c>
      <c r="G2194" t="s">
        <v>302</v>
      </c>
      <c r="H2194">
        <v>191</v>
      </c>
      <c r="I2194" t="s">
        <v>3697</v>
      </c>
      <c r="J2194" t="s">
        <v>294</v>
      </c>
      <c r="M2194" t="s">
        <v>295</v>
      </c>
      <c r="N2194" t="s">
        <v>296</v>
      </c>
      <c r="O2194" t="s">
        <v>297</v>
      </c>
    </row>
    <row r="2195" spans="1:15" x14ac:dyDescent="0.3">
      <c r="A2195" t="s">
        <v>3615</v>
      </c>
      <c r="B2195" t="s">
        <v>3616</v>
      </c>
      <c r="C2195">
        <v>2022</v>
      </c>
      <c r="D2195" t="s">
        <v>358</v>
      </c>
      <c r="E2195" t="s">
        <v>3698</v>
      </c>
      <c r="F2195">
        <v>84.9</v>
      </c>
      <c r="G2195" t="s">
        <v>302</v>
      </c>
      <c r="H2195">
        <v>190</v>
      </c>
      <c r="I2195" t="s">
        <v>3699</v>
      </c>
      <c r="J2195" t="s">
        <v>294</v>
      </c>
      <c r="M2195" t="s">
        <v>295</v>
      </c>
      <c r="N2195" t="s">
        <v>296</v>
      </c>
      <c r="O2195" t="s">
        <v>297</v>
      </c>
    </row>
    <row r="2196" spans="1:15" x14ac:dyDescent="0.3">
      <c r="A2196" t="s">
        <v>3615</v>
      </c>
      <c r="B2196" t="s">
        <v>3616</v>
      </c>
      <c r="C2196">
        <v>2022</v>
      </c>
      <c r="D2196" t="s">
        <v>358</v>
      </c>
      <c r="E2196" t="s">
        <v>3700</v>
      </c>
      <c r="F2196">
        <v>158.80000000000001</v>
      </c>
      <c r="G2196" t="s">
        <v>302</v>
      </c>
      <c r="H2196">
        <v>190</v>
      </c>
      <c r="I2196" t="s">
        <v>3701</v>
      </c>
      <c r="J2196" t="s">
        <v>294</v>
      </c>
      <c r="M2196" t="s">
        <v>295</v>
      </c>
      <c r="N2196" t="s">
        <v>296</v>
      </c>
      <c r="O2196" t="s">
        <v>297</v>
      </c>
    </row>
    <row r="2197" spans="1:15" x14ac:dyDescent="0.3">
      <c r="A2197" t="s">
        <v>3615</v>
      </c>
      <c r="B2197" t="s">
        <v>3616</v>
      </c>
      <c r="C2197">
        <v>2022</v>
      </c>
      <c r="D2197" t="s">
        <v>358</v>
      </c>
      <c r="E2197" t="s">
        <v>3702</v>
      </c>
      <c r="F2197">
        <v>46.1</v>
      </c>
      <c r="G2197" t="s">
        <v>302</v>
      </c>
      <c r="H2197">
        <v>190</v>
      </c>
      <c r="I2197" t="s">
        <v>3703</v>
      </c>
      <c r="J2197" t="s">
        <v>294</v>
      </c>
      <c r="M2197" t="s">
        <v>295</v>
      </c>
      <c r="N2197" t="s">
        <v>296</v>
      </c>
      <c r="O2197" t="s">
        <v>297</v>
      </c>
    </row>
    <row r="2198" spans="1:15" x14ac:dyDescent="0.3">
      <c r="A2198" t="s">
        <v>3615</v>
      </c>
      <c r="B2198" t="s">
        <v>3616</v>
      </c>
      <c r="C2198">
        <v>2022</v>
      </c>
      <c r="D2198" t="s">
        <v>358</v>
      </c>
      <c r="E2198" t="s">
        <v>3704</v>
      </c>
      <c r="F2198">
        <v>518.12</v>
      </c>
      <c r="G2198" t="s">
        <v>360</v>
      </c>
      <c r="H2198">
        <v>189</v>
      </c>
      <c r="I2198" t="s">
        <v>3705</v>
      </c>
      <c r="J2198" t="s">
        <v>294</v>
      </c>
      <c r="M2198" t="s">
        <v>295</v>
      </c>
      <c r="N2198" t="s">
        <v>296</v>
      </c>
      <c r="O2198" t="s">
        <v>297</v>
      </c>
    </row>
    <row r="2199" spans="1:15" x14ac:dyDescent="0.3">
      <c r="A2199" t="s">
        <v>3615</v>
      </c>
      <c r="B2199" t="s">
        <v>3616</v>
      </c>
      <c r="C2199">
        <v>2022</v>
      </c>
      <c r="D2199" t="s">
        <v>394</v>
      </c>
      <c r="E2199" t="s">
        <v>3706</v>
      </c>
      <c r="F2199">
        <v>54299</v>
      </c>
      <c r="G2199" t="s">
        <v>396</v>
      </c>
      <c r="H2199">
        <v>10</v>
      </c>
      <c r="I2199" t="s">
        <v>3707</v>
      </c>
      <c r="J2199" t="s">
        <v>294</v>
      </c>
      <c r="M2199" t="s">
        <v>295</v>
      </c>
      <c r="N2199" t="s">
        <v>296</v>
      </c>
      <c r="O2199" t="s">
        <v>297</v>
      </c>
    </row>
    <row r="2200" spans="1:15" x14ac:dyDescent="0.3">
      <c r="A2200" t="s">
        <v>3615</v>
      </c>
      <c r="B2200" t="s">
        <v>3616</v>
      </c>
      <c r="C2200">
        <v>2022</v>
      </c>
      <c r="D2200" t="s">
        <v>394</v>
      </c>
      <c r="E2200" t="s">
        <v>3708</v>
      </c>
      <c r="F2200">
        <v>308142</v>
      </c>
      <c r="G2200" t="s">
        <v>3709</v>
      </c>
      <c r="H2200">
        <v>10</v>
      </c>
      <c r="I2200" t="s">
        <v>3710</v>
      </c>
      <c r="J2200" t="s">
        <v>294</v>
      </c>
      <c r="M2200" t="s">
        <v>295</v>
      </c>
      <c r="N2200" t="s">
        <v>296</v>
      </c>
      <c r="O2200" t="s">
        <v>297</v>
      </c>
    </row>
    <row r="2201" spans="1:15" x14ac:dyDescent="0.3">
      <c r="A2201" t="s">
        <v>3615</v>
      </c>
      <c r="B2201" t="s">
        <v>3616</v>
      </c>
      <c r="C2201">
        <v>2022</v>
      </c>
      <c r="D2201" t="s">
        <v>394</v>
      </c>
      <c r="E2201" t="s">
        <v>3711</v>
      </c>
      <c r="F2201">
        <v>302998</v>
      </c>
      <c r="G2201" t="s">
        <v>3709</v>
      </c>
      <c r="H2201">
        <v>80</v>
      </c>
      <c r="I2201" t="s">
        <v>3712</v>
      </c>
      <c r="J2201" t="s">
        <v>294</v>
      </c>
      <c r="M2201" t="s">
        <v>295</v>
      </c>
      <c r="N2201" t="s">
        <v>296</v>
      </c>
      <c r="O2201" t="s">
        <v>297</v>
      </c>
    </row>
    <row r="2202" spans="1:15" x14ac:dyDescent="0.3">
      <c r="A2202" t="s">
        <v>3615</v>
      </c>
      <c r="B2202" t="s">
        <v>3616</v>
      </c>
      <c r="C2202">
        <v>2022</v>
      </c>
      <c r="D2202" t="s">
        <v>394</v>
      </c>
      <c r="E2202" t="s">
        <v>3713</v>
      </c>
      <c r="F2202">
        <v>4580</v>
      </c>
      <c r="G2202" t="s">
        <v>302</v>
      </c>
      <c r="H2202">
        <v>219</v>
      </c>
      <c r="I2202" t="s">
        <v>3714</v>
      </c>
      <c r="J2202" t="s">
        <v>294</v>
      </c>
      <c r="M2202" t="s">
        <v>295</v>
      </c>
      <c r="N2202" t="s">
        <v>296</v>
      </c>
      <c r="O2202" t="s">
        <v>297</v>
      </c>
    </row>
    <row r="2203" spans="1:15" x14ac:dyDescent="0.3">
      <c r="A2203" t="s">
        <v>3615</v>
      </c>
      <c r="B2203" t="s">
        <v>3616</v>
      </c>
      <c r="C2203">
        <v>2022</v>
      </c>
      <c r="D2203" t="s">
        <v>394</v>
      </c>
      <c r="E2203" t="s">
        <v>3715</v>
      </c>
      <c r="F2203">
        <v>127</v>
      </c>
      <c r="G2203" t="s">
        <v>302</v>
      </c>
      <c r="H2203">
        <v>219</v>
      </c>
      <c r="I2203" t="s">
        <v>3716</v>
      </c>
      <c r="J2203" t="s">
        <v>294</v>
      </c>
      <c r="M2203" t="s">
        <v>295</v>
      </c>
      <c r="N2203" t="s">
        <v>296</v>
      </c>
      <c r="O2203" t="s">
        <v>297</v>
      </c>
    </row>
    <row r="2204" spans="1:15" x14ac:dyDescent="0.3">
      <c r="A2204" t="s">
        <v>3615</v>
      </c>
      <c r="B2204" t="s">
        <v>3616</v>
      </c>
      <c r="C2204">
        <v>2022</v>
      </c>
      <c r="D2204" t="s">
        <v>394</v>
      </c>
      <c r="E2204" t="s">
        <v>3717</v>
      </c>
      <c r="F2204">
        <v>5171</v>
      </c>
      <c r="G2204" t="s">
        <v>302</v>
      </c>
      <c r="H2204">
        <v>82</v>
      </c>
      <c r="I2204" t="s">
        <v>3718</v>
      </c>
      <c r="J2204" t="s">
        <v>294</v>
      </c>
      <c r="M2204" t="s">
        <v>295</v>
      </c>
      <c r="N2204" t="s">
        <v>296</v>
      </c>
      <c r="O2204" t="s">
        <v>297</v>
      </c>
    </row>
    <row r="2205" spans="1:15" x14ac:dyDescent="0.3">
      <c r="A2205" t="s">
        <v>3615</v>
      </c>
      <c r="B2205" t="s">
        <v>3616</v>
      </c>
      <c r="C2205">
        <v>2022</v>
      </c>
      <c r="D2205" t="s">
        <v>394</v>
      </c>
      <c r="E2205" t="s">
        <v>3719</v>
      </c>
      <c r="F2205">
        <v>250206</v>
      </c>
      <c r="G2205" t="s">
        <v>3709</v>
      </c>
      <c r="H2205">
        <v>220</v>
      </c>
      <c r="I2205" t="s">
        <v>3720</v>
      </c>
      <c r="J2205" t="s">
        <v>294</v>
      </c>
      <c r="M2205" t="s">
        <v>295</v>
      </c>
      <c r="N2205" t="s">
        <v>296</v>
      </c>
      <c r="O2205" t="s">
        <v>297</v>
      </c>
    </row>
    <row r="2206" spans="1:15" x14ac:dyDescent="0.3">
      <c r="A2206" t="s">
        <v>3615</v>
      </c>
      <c r="B2206" t="s">
        <v>3616</v>
      </c>
      <c r="C2206">
        <v>2022</v>
      </c>
      <c r="D2206" t="s">
        <v>394</v>
      </c>
      <c r="E2206" t="s">
        <v>3721</v>
      </c>
      <c r="F2206">
        <v>290.60000000000002</v>
      </c>
      <c r="G2206" t="s">
        <v>302</v>
      </c>
      <c r="H2206">
        <v>187</v>
      </c>
      <c r="I2206" t="s">
        <v>3722</v>
      </c>
      <c r="J2206" t="s">
        <v>294</v>
      </c>
      <c r="M2206" t="s">
        <v>295</v>
      </c>
      <c r="N2206" t="s">
        <v>296</v>
      </c>
      <c r="O2206" t="s">
        <v>297</v>
      </c>
    </row>
    <row r="2207" spans="1:15" x14ac:dyDescent="0.3">
      <c r="A2207" t="s">
        <v>3615</v>
      </c>
      <c r="B2207" t="s">
        <v>3616</v>
      </c>
      <c r="C2207">
        <v>2022</v>
      </c>
      <c r="D2207" t="s">
        <v>394</v>
      </c>
      <c r="E2207" t="s">
        <v>3723</v>
      </c>
      <c r="F2207">
        <v>49.6</v>
      </c>
      <c r="G2207" t="s">
        <v>302</v>
      </c>
      <c r="H2207">
        <v>187</v>
      </c>
      <c r="I2207" t="s">
        <v>3724</v>
      </c>
      <c r="J2207" t="s">
        <v>294</v>
      </c>
      <c r="M2207" t="s">
        <v>295</v>
      </c>
      <c r="N2207" t="s">
        <v>296</v>
      </c>
      <c r="O2207" t="s">
        <v>297</v>
      </c>
    </row>
    <row r="2208" spans="1:15" x14ac:dyDescent="0.3">
      <c r="A2208" t="s">
        <v>3615</v>
      </c>
      <c r="B2208" t="s">
        <v>3616</v>
      </c>
      <c r="C2208">
        <v>2022</v>
      </c>
      <c r="D2208" t="s">
        <v>394</v>
      </c>
      <c r="E2208" t="s">
        <v>3725</v>
      </c>
      <c r="F2208">
        <v>39.200000000000003</v>
      </c>
      <c r="G2208" t="s">
        <v>302</v>
      </c>
      <c r="H2208">
        <v>187</v>
      </c>
      <c r="I2208" t="s">
        <v>3726</v>
      </c>
      <c r="J2208" t="s">
        <v>294</v>
      </c>
      <c r="M2208" t="s">
        <v>295</v>
      </c>
      <c r="N2208" t="s">
        <v>296</v>
      </c>
      <c r="O2208" t="s">
        <v>297</v>
      </c>
    </row>
    <row r="2209" spans="1:15" x14ac:dyDescent="0.3">
      <c r="A2209" t="s">
        <v>3615</v>
      </c>
      <c r="B2209" t="s">
        <v>3616</v>
      </c>
      <c r="C2209">
        <v>2022</v>
      </c>
      <c r="D2209" t="s">
        <v>394</v>
      </c>
      <c r="E2209" t="s">
        <v>3727</v>
      </c>
      <c r="F2209">
        <v>80.2</v>
      </c>
      <c r="G2209" t="s">
        <v>302</v>
      </c>
      <c r="H2209">
        <v>187</v>
      </c>
      <c r="I2209" t="s">
        <v>3728</v>
      </c>
      <c r="J2209" t="s">
        <v>294</v>
      </c>
      <c r="M2209" t="s">
        <v>295</v>
      </c>
      <c r="N2209" t="s">
        <v>296</v>
      </c>
      <c r="O2209" t="s">
        <v>297</v>
      </c>
    </row>
    <row r="2210" spans="1:15" x14ac:dyDescent="0.3">
      <c r="A2210" t="s">
        <v>3615</v>
      </c>
      <c r="B2210" t="s">
        <v>3616</v>
      </c>
      <c r="C2210">
        <v>2022</v>
      </c>
      <c r="D2210" t="s">
        <v>394</v>
      </c>
      <c r="E2210" t="s">
        <v>3729</v>
      </c>
      <c r="F2210">
        <v>18</v>
      </c>
      <c r="G2210" t="s">
        <v>302</v>
      </c>
      <c r="H2210">
        <v>187</v>
      </c>
      <c r="I2210" t="s">
        <v>3730</v>
      </c>
      <c r="J2210" t="s">
        <v>294</v>
      </c>
      <c r="M2210" t="s">
        <v>295</v>
      </c>
      <c r="N2210" t="s">
        <v>296</v>
      </c>
      <c r="O2210" t="s">
        <v>297</v>
      </c>
    </row>
    <row r="2211" spans="1:15" x14ac:dyDescent="0.3">
      <c r="A2211" t="s">
        <v>3615</v>
      </c>
      <c r="B2211" t="s">
        <v>3616</v>
      </c>
      <c r="C2211">
        <v>2022</v>
      </c>
      <c r="D2211" t="s">
        <v>394</v>
      </c>
      <c r="E2211" t="s">
        <v>3731</v>
      </c>
      <c r="F2211" t="s">
        <v>3732</v>
      </c>
      <c r="G2211" t="s">
        <v>292</v>
      </c>
      <c r="H2211">
        <v>80</v>
      </c>
      <c r="I2211" t="s">
        <v>3733</v>
      </c>
      <c r="J2211" t="s">
        <v>294</v>
      </c>
      <c r="M2211" t="s">
        <v>295</v>
      </c>
      <c r="N2211" t="s">
        <v>296</v>
      </c>
      <c r="O2211" t="s">
        <v>297</v>
      </c>
    </row>
    <row r="2212" spans="1:15" x14ac:dyDescent="0.3">
      <c r="A2212" t="s">
        <v>3615</v>
      </c>
      <c r="B2212" t="s">
        <v>3616</v>
      </c>
      <c r="C2212">
        <v>2022</v>
      </c>
      <c r="D2212" t="s">
        <v>394</v>
      </c>
      <c r="E2212" t="s">
        <v>3734</v>
      </c>
      <c r="F2212">
        <v>12377</v>
      </c>
      <c r="G2212" t="s">
        <v>3735</v>
      </c>
      <c r="H2212">
        <v>75</v>
      </c>
      <c r="I2212" t="s">
        <v>3736</v>
      </c>
      <c r="J2212" t="s">
        <v>294</v>
      </c>
      <c r="M2212" t="s">
        <v>295</v>
      </c>
      <c r="N2212" t="s">
        <v>296</v>
      </c>
      <c r="O2212" t="s">
        <v>297</v>
      </c>
    </row>
    <row r="2213" spans="1:15" x14ac:dyDescent="0.3">
      <c r="A2213" t="s">
        <v>3615</v>
      </c>
      <c r="B2213" t="s">
        <v>3616</v>
      </c>
      <c r="C2213">
        <v>2022</v>
      </c>
      <c r="D2213" t="s">
        <v>252</v>
      </c>
      <c r="E2213" t="s">
        <v>3737</v>
      </c>
      <c r="F2213">
        <v>17.37</v>
      </c>
      <c r="G2213" t="s">
        <v>327</v>
      </c>
      <c r="H2213">
        <v>75</v>
      </c>
      <c r="I2213" t="s">
        <v>3738</v>
      </c>
      <c r="J2213" t="s">
        <v>294</v>
      </c>
      <c r="M2213" t="s">
        <v>295</v>
      </c>
      <c r="N2213" t="s">
        <v>296</v>
      </c>
      <c r="O2213" t="s">
        <v>297</v>
      </c>
    </row>
    <row r="2214" spans="1:15" x14ac:dyDescent="0.3">
      <c r="A2214" t="s">
        <v>3615</v>
      </c>
      <c r="B2214" t="s">
        <v>3616</v>
      </c>
      <c r="C2214">
        <v>2022</v>
      </c>
      <c r="D2214" t="s">
        <v>252</v>
      </c>
      <c r="E2214" t="s">
        <v>3739</v>
      </c>
      <c r="F2214">
        <v>18.399999999999999</v>
      </c>
      <c r="G2214" t="s">
        <v>302</v>
      </c>
      <c r="H2214">
        <v>12</v>
      </c>
      <c r="I2214" t="s">
        <v>3740</v>
      </c>
      <c r="J2214" t="s">
        <v>294</v>
      </c>
      <c r="M2214" t="s">
        <v>295</v>
      </c>
      <c r="N2214" t="s">
        <v>296</v>
      </c>
      <c r="O2214" t="s">
        <v>297</v>
      </c>
    </row>
    <row r="2215" spans="1:15" x14ac:dyDescent="0.3">
      <c r="A2215" t="s">
        <v>3615</v>
      </c>
      <c r="B2215" t="s">
        <v>3616</v>
      </c>
      <c r="C2215">
        <v>2022</v>
      </c>
      <c r="D2215" t="s">
        <v>252</v>
      </c>
      <c r="E2215" t="s">
        <v>3741</v>
      </c>
      <c r="F2215">
        <v>285.8</v>
      </c>
      <c r="G2215" t="s">
        <v>302</v>
      </c>
      <c r="H2215">
        <v>12</v>
      </c>
      <c r="I2215" t="s">
        <v>3742</v>
      </c>
      <c r="J2215" t="s">
        <v>294</v>
      </c>
      <c r="M2215" t="s">
        <v>295</v>
      </c>
      <c r="N2215" t="s">
        <v>296</v>
      </c>
      <c r="O2215" t="s">
        <v>297</v>
      </c>
    </row>
    <row r="2216" spans="1:15" x14ac:dyDescent="0.3">
      <c r="A2216" t="s">
        <v>3615</v>
      </c>
      <c r="B2216" t="s">
        <v>3616</v>
      </c>
      <c r="C2216">
        <v>2022</v>
      </c>
      <c r="D2216" t="s">
        <v>252</v>
      </c>
      <c r="E2216" t="s">
        <v>3743</v>
      </c>
      <c r="F2216">
        <v>57.6</v>
      </c>
      <c r="G2216" t="s">
        <v>302</v>
      </c>
      <c r="H2216">
        <v>12</v>
      </c>
      <c r="I2216" t="s">
        <v>3744</v>
      </c>
      <c r="J2216" t="s">
        <v>294</v>
      </c>
      <c r="M2216" t="s">
        <v>295</v>
      </c>
      <c r="N2216" t="s">
        <v>296</v>
      </c>
      <c r="O2216" t="s">
        <v>297</v>
      </c>
    </row>
    <row r="2217" spans="1:15" x14ac:dyDescent="0.3">
      <c r="A2217" t="s">
        <v>3615</v>
      </c>
      <c r="B2217" t="s">
        <v>3616</v>
      </c>
      <c r="C2217">
        <v>2022</v>
      </c>
      <c r="D2217" t="s">
        <v>252</v>
      </c>
      <c r="E2217" t="s">
        <v>3745</v>
      </c>
      <c r="G2217" t="s">
        <v>384</v>
      </c>
      <c r="I2217" t="s">
        <v>3746</v>
      </c>
      <c r="J2217" t="s">
        <v>863</v>
      </c>
      <c r="M2217" t="s">
        <v>295</v>
      </c>
      <c r="N2217" t="s">
        <v>296</v>
      </c>
      <c r="O2217" t="s">
        <v>297</v>
      </c>
    </row>
    <row r="2218" spans="1:15" x14ac:dyDescent="0.3">
      <c r="A2218" t="s">
        <v>3615</v>
      </c>
      <c r="B2218" t="s">
        <v>3747</v>
      </c>
      <c r="C2218">
        <v>2023</v>
      </c>
      <c r="D2218" t="s">
        <v>272</v>
      </c>
      <c r="E2218" t="s">
        <v>291</v>
      </c>
      <c r="F2218" t="s">
        <v>3615</v>
      </c>
      <c r="G2218" t="s">
        <v>292</v>
      </c>
      <c r="H2218">
        <v>1</v>
      </c>
      <c r="I2218" t="s">
        <v>3748</v>
      </c>
      <c r="J2218" t="s">
        <v>294</v>
      </c>
      <c r="M2218" t="s">
        <v>295</v>
      </c>
      <c r="N2218" t="s">
        <v>296</v>
      </c>
      <c r="O2218" t="s">
        <v>297</v>
      </c>
    </row>
    <row r="2219" spans="1:15" x14ac:dyDescent="0.3">
      <c r="A2219" t="s">
        <v>3615</v>
      </c>
      <c r="B2219" t="s">
        <v>3747</v>
      </c>
      <c r="C2219">
        <v>2023</v>
      </c>
      <c r="D2219" t="s">
        <v>272</v>
      </c>
      <c r="E2219" t="s">
        <v>442</v>
      </c>
      <c r="F2219" t="s">
        <v>3620</v>
      </c>
      <c r="G2219" t="s">
        <v>334</v>
      </c>
      <c r="H2219">
        <v>53</v>
      </c>
      <c r="I2219" t="s">
        <v>3749</v>
      </c>
      <c r="J2219" t="s">
        <v>294</v>
      </c>
      <c r="M2219" t="s">
        <v>295</v>
      </c>
      <c r="N2219" t="s">
        <v>296</v>
      </c>
      <c r="O2219" t="s">
        <v>297</v>
      </c>
    </row>
    <row r="2220" spans="1:15" x14ac:dyDescent="0.3">
      <c r="A2220" t="s">
        <v>3615</v>
      </c>
      <c r="B2220" t="s">
        <v>3747</v>
      </c>
      <c r="C2220">
        <v>2023</v>
      </c>
      <c r="D2220" t="s">
        <v>272</v>
      </c>
      <c r="E2220" t="s">
        <v>3750</v>
      </c>
      <c r="F2220">
        <v>9230665050</v>
      </c>
      <c r="G2220" t="s">
        <v>1633</v>
      </c>
      <c r="H2220">
        <v>53</v>
      </c>
      <c r="I2220" t="s">
        <v>3751</v>
      </c>
      <c r="J2220" t="s">
        <v>294</v>
      </c>
      <c r="M2220" t="s">
        <v>295</v>
      </c>
      <c r="N2220" t="s">
        <v>296</v>
      </c>
      <c r="O2220" t="s">
        <v>297</v>
      </c>
    </row>
    <row r="2221" spans="1:15" x14ac:dyDescent="0.3">
      <c r="A2221" t="s">
        <v>3615</v>
      </c>
      <c r="B2221" t="s">
        <v>3747</v>
      </c>
      <c r="C2221">
        <v>2023</v>
      </c>
      <c r="D2221" t="s">
        <v>272</v>
      </c>
      <c r="E2221" t="s">
        <v>445</v>
      </c>
      <c r="F2221">
        <v>0.13250000000000001</v>
      </c>
      <c r="G2221" t="s">
        <v>334</v>
      </c>
      <c r="H2221">
        <v>53</v>
      </c>
      <c r="I2221" t="s">
        <v>3752</v>
      </c>
      <c r="J2221" t="s">
        <v>294</v>
      </c>
      <c r="M2221" t="s">
        <v>295</v>
      </c>
      <c r="N2221" t="s">
        <v>296</v>
      </c>
      <c r="O2221" t="s">
        <v>297</v>
      </c>
    </row>
    <row r="2222" spans="1:15" x14ac:dyDescent="0.3">
      <c r="A2222" t="s">
        <v>3615</v>
      </c>
      <c r="B2222" t="s">
        <v>3747</v>
      </c>
      <c r="C2222">
        <v>2023</v>
      </c>
      <c r="D2222" t="s">
        <v>272</v>
      </c>
      <c r="E2222" t="s">
        <v>3753</v>
      </c>
      <c r="F2222" t="s">
        <v>3754</v>
      </c>
      <c r="G2222" t="s">
        <v>292</v>
      </c>
      <c r="H2222">
        <v>56</v>
      </c>
      <c r="I2222" t="s">
        <v>3755</v>
      </c>
      <c r="J2222" t="s">
        <v>294</v>
      </c>
      <c r="M2222" t="s">
        <v>295</v>
      </c>
      <c r="N2222" t="s">
        <v>296</v>
      </c>
      <c r="O2222" t="s">
        <v>297</v>
      </c>
    </row>
    <row r="2223" spans="1:15" x14ac:dyDescent="0.3">
      <c r="A2223" t="s">
        <v>3615</v>
      </c>
      <c r="B2223" t="s">
        <v>3747</v>
      </c>
      <c r="C2223">
        <v>2023</v>
      </c>
      <c r="D2223" t="s">
        <v>272</v>
      </c>
      <c r="E2223" t="s">
        <v>3756</v>
      </c>
      <c r="F2223" t="s">
        <v>3757</v>
      </c>
      <c r="G2223" t="s">
        <v>292</v>
      </c>
      <c r="H2223">
        <v>8</v>
      </c>
      <c r="I2223" t="s">
        <v>3758</v>
      </c>
      <c r="J2223" t="s">
        <v>294</v>
      </c>
      <c r="M2223" t="s">
        <v>295</v>
      </c>
      <c r="N2223" t="s">
        <v>296</v>
      </c>
      <c r="O2223" t="s">
        <v>297</v>
      </c>
    </row>
    <row r="2224" spans="1:15" x14ac:dyDescent="0.3">
      <c r="A2224" t="s">
        <v>3615</v>
      </c>
      <c r="B2224" t="s">
        <v>3747</v>
      </c>
      <c r="C2224">
        <v>2023</v>
      </c>
      <c r="D2224" t="s">
        <v>272</v>
      </c>
      <c r="E2224" t="s">
        <v>3759</v>
      </c>
      <c r="F2224">
        <v>27936.720000000001</v>
      </c>
      <c r="G2224" t="s">
        <v>360</v>
      </c>
      <c r="H2224">
        <v>28</v>
      </c>
      <c r="I2224" t="s">
        <v>3760</v>
      </c>
      <c r="J2224" t="s">
        <v>294</v>
      </c>
      <c r="M2224" t="s">
        <v>295</v>
      </c>
      <c r="N2224" t="s">
        <v>296</v>
      </c>
      <c r="O2224" t="s">
        <v>297</v>
      </c>
    </row>
    <row r="2225" spans="1:15" x14ac:dyDescent="0.3">
      <c r="A2225" t="s">
        <v>3615</v>
      </c>
      <c r="B2225" t="s">
        <v>3747</v>
      </c>
      <c r="C2225">
        <v>2023</v>
      </c>
      <c r="D2225" t="s">
        <v>272</v>
      </c>
      <c r="E2225" t="s">
        <v>3761</v>
      </c>
      <c r="F2225" t="s">
        <v>3762</v>
      </c>
      <c r="G2225" t="s">
        <v>292</v>
      </c>
      <c r="H2225">
        <v>26</v>
      </c>
      <c r="I2225" t="s">
        <v>3763</v>
      </c>
      <c r="J2225" t="s">
        <v>294</v>
      </c>
      <c r="M2225" t="s">
        <v>295</v>
      </c>
      <c r="N2225" t="s">
        <v>296</v>
      </c>
      <c r="O2225" t="s">
        <v>297</v>
      </c>
    </row>
    <row r="2226" spans="1:15" x14ac:dyDescent="0.3">
      <c r="A2226" t="s">
        <v>3615</v>
      </c>
      <c r="B2226" t="s">
        <v>3747</v>
      </c>
      <c r="C2226">
        <v>2023</v>
      </c>
      <c r="D2226" t="s">
        <v>300</v>
      </c>
      <c r="E2226" t="s">
        <v>3629</v>
      </c>
      <c r="F2226">
        <v>4442</v>
      </c>
      <c r="G2226" t="s">
        <v>302</v>
      </c>
      <c r="H2226">
        <v>4</v>
      </c>
      <c r="I2226" t="s">
        <v>3764</v>
      </c>
      <c r="J2226" t="s">
        <v>294</v>
      </c>
      <c r="M2226" t="s">
        <v>295</v>
      </c>
      <c r="N2226" t="s">
        <v>296</v>
      </c>
      <c r="O2226" t="s">
        <v>297</v>
      </c>
    </row>
    <row r="2227" spans="1:15" x14ac:dyDescent="0.3">
      <c r="A2227" t="s">
        <v>3615</v>
      </c>
      <c r="B2227" t="s">
        <v>3747</v>
      </c>
      <c r="C2227">
        <v>2023</v>
      </c>
      <c r="D2227" t="s">
        <v>300</v>
      </c>
      <c r="E2227" t="s">
        <v>2868</v>
      </c>
      <c r="F2227">
        <v>4057</v>
      </c>
      <c r="G2227" t="s">
        <v>302</v>
      </c>
      <c r="H2227">
        <v>4</v>
      </c>
      <c r="I2227" t="s">
        <v>3765</v>
      </c>
      <c r="J2227" t="s">
        <v>294</v>
      </c>
      <c r="M2227" t="s">
        <v>295</v>
      </c>
      <c r="N2227" t="s">
        <v>296</v>
      </c>
      <c r="O2227" t="s">
        <v>297</v>
      </c>
    </row>
    <row r="2228" spans="1:15" x14ac:dyDescent="0.3">
      <c r="A2228" t="s">
        <v>3615</v>
      </c>
      <c r="B2228" t="s">
        <v>3747</v>
      </c>
      <c r="C2228">
        <v>2023</v>
      </c>
      <c r="D2228" t="s">
        <v>300</v>
      </c>
      <c r="E2228" t="s">
        <v>304</v>
      </c>
      <c r="F2228">
        <v>385</v>
      </c>
      <c r="G2228" t="s">
        <v>302</v>
      </c>
      <c r="H2228">
        <v>4</v>
      </c>
      <c r="I2228" t="s">
        <v>3766</v>
      </c>
      <c r="J2228" t="s">
        <v>294</v>
      </c>
      <c r="M2228" t="s">
        <v>295</v>
      </c>
      <c r="N2228" t="s">
        <v>296</v>
      </c>
      <c r="O2228" t="s">
        <v>297</v>
      </c>
    </row>
    <row r="2229" spans="1:15" x14ac:dyDescent="0.3">
      <c r="A2229" t="s">
        <v>3615</v>
      </c>
      <c r="B2229" t="s">
        <v>3747</v>
      </c>
      <c r="C2229">
        <v>2023</v>
      </c>
      <c r="D2229" t="s">
        <v>300</v>
      </c>
      <c r="E2229" t="s">
        <v>3767</v>
      </c>
      <c r="F2229">
        <v>253</v>
      </c>
      <c r="G2229" t="s">
        <v>302</v>
      </c>
      <c r="H2229">
        <v>4</v>
      </c>
      <c r="I2229" t="s">
        <v>3768</v>
      </c>
      <c r="J2229" t="s">
        <v>294</v>
      </c>
      <c r="M2229" t="s">
        <v>295</v>
      </c>
      <c r="N2229" t="s">
        <v>296</v>
      </c>
      <c r="O2229" t="s">
        <v>297</v>
      </c>
    </row>
    <row r="2230" spans="1:15" x14ac:dyDescent="0.3">
      <c r="A2230" t="s">
        <v>3615</v>
      </c>
      <c r="B2230" t="s">
        <v>3747</v>
      </c>
      <c r="C2230">
        <v>2023</v>
      </c>
      <c r="D2230" t="s">
        <v>300</v>
      </c>
      <c r="E2230" t="s">
        <v>3041</v>
      </c>
      <c r="F2230">
        <v>48</v>
      </c>
      <c r="G2230" t="s">
        <v>302</v>
      </c>
      <c r="H2230">
        <v>4</v>
      </c>
      <c r="I2230" t="s">
        <v>3769</v>
      </c>
      <c r="J2230" t="s">
        <v>294</v>
      </c>
      <c r="M2230" t="s">
        <v>295</v>
      </c>
      <c r="N2230" t="s">
        <v>296</v>
      </c>
      <c r="O2230" t="s">
        <v>297</v>
      </c>
    </row>
    <row r="2231" spans="1:15" x14ac:dyDescent="0.3">
      <c r="A2231" t="s">
        <v>3615</v>
      </c>
      <c r="B2231" t="s">
        <v>3747</v>
      </c>
      <c r="C2231">
        <v>2023</v>
      </c>
      <c r="D2231" t="s">
        <v>300</v>
      </c>
      <c r="E2231" t="s">
        <v>579</v>
      </c>
      <c r="F2231">
        <v>217</v>
      </c>
      <c r="G2231" t="s">
        <v>302</v>
      </c>
      <c r="H2231">
        <v>4</v>
      </c>
      <c r="I2231" t="s">
        <v>3770</v>
      </c>
      <c r="J2231" t="s">
        <v>294</v>
      </c>
      <c r="M2231" t="s">
        <v>295</v>
      </c>
      <c r="N2231" t="s">
        <v>296</v>
      </c>
      <c r="O2231" t="s">
        <v>297</v>
      </c>
    </row>
    <row r="2232" spans="1:15" x14ac:dyDescent="0.3">
      <c r="A2232" t="s">
        <v>3615</v>
      </c>
      <c r="B2232" t="s">
        <v>3747</v>
      </c>
      <c r="C2232">
        <v>2023</v>
      </c>
      <c r="D2232" t="s">
        <v>300</v>
      </c>
      <c r="E2232" t="s">
        <v>3771</v>
      </c>
      <c r="F2232">
        <v>77</v>
      </c>
      <c r="G2232" t="s">
        <v>302</v>
      </c>
      <c r="H2232">
        <v>4</v>
      </c>
      <c r="I2232" t="s">
        <v>3772</v>
      </c>
      <c r="J2232" t="s">
        <v>294</v>
      </c>
      <c r="M2232" t="s">
        <v>295</v>
      </c>
      <c r="N2232" t="s">
        <v>296</v>
      </c>
      <c r="O2232" t="s">
        <v>297</v>
      </c>
    </row>
    <row r="2233" spans="1:15" x14ac:dyDescent="0.3">
      <c r="A2233" t="s">
        <v>3615</v>
      </c>
      <c r="B2233" t="s">
        <v>3747</v>
      </c>
      <c r="C2233">
        <v>2023</v>
      </c>
      <c r="D2233" t="s">
        <v>300</v>
      </c>
      <c r="E2233" t="s">
        <v>3773</v>
      </c>
      <c r="F2233">
        <v>168</v>
      </c>
      <c r="G2233" t="s">
        <v>302</v>
      </c>
      <c r="H2233">
        <v>4</v>
      </c>
      <c r="I2233" t="s">
        <v>3774</v>
      </c>
      <c r="J2233" t="s">
        <v>294</v>
      </c>
      <c r="M2233" t="s">
        <v>295</v>
      </c>
      <c r="N2233" t="s">
        <v>296</v>
      </c>
      <c r="O2233" t="s">
        <v>297</v>
      </c>
    </row>
    <row r="2234" spans="1:15" x14ac:dyDescent="0.3">
      <c r="A2234" t="s">
        <v>3615</v>
      </c>
      <c r="B2234" t="s">
        <v>3747</v>
      </c>
      <c r="C2234">
        <v>2023</v>
      </c>
      <c r="D2234" t="s">
        <v>300</v>
      </c>
      <c r="E2234" t="s">
        <v>316</v>
      </c>
      <c r="F2234">
        <v>3653</v>
      </c>
      <c r="G2234" t="s">
        <v>302</v>
      </c>
      <c r="H2234">
        <v>2</v>
      </c>
      <c r="I2234" t="s">
        <v>3775</v>
      </c>
      <c r="J2234" t="s">
        <v>294</v>
      </c>
      <c r="M2234" t="s">
        <v>295</v>
      </c>
      <c r="N2234" t="s">
        <v>296</v>
      </c>
      <c r="O2234" t="s">
        <v>297</v>
      </c>
    </row>
    <row r="2235" spans="1:15" x14ac:dyDescent="0.3">
      <c r="A2235" t="s">
        <v>3615</v>
      </c>
      <c r="B2235" t="s">
        <v>3747</v>
      </c>
      <c r="C2235">
        <v>2023</v>
      </c>
      <c r="D2235" t="s">
        <v>300</v>
      </c>
      <c r="E2235" t="s">
        <v>312</v>
      </c>
      <c r="F2235">
        <v>1352</v>
      </c>
      <c r="G2235" t="s">
        <v>302</v>
      </c>
      <c r="H2235">
        <v>73</v>
      </c>
      <c r="I2235" t="s">
        <v>3776</v>
      </c>
      <c r="J2235" t="s">
        <v>294</v>
      </c>
      <c r="M2235" t="s">
        <v>295</v>
      </c>
      <c r="N2235" t="s">
        <v>296</v>
      </c>
      <c r="O2235" t="s">
        <v>297</v>
      </c>
    </row>
    <row r="2236" spans="1:15" x14ac:dyDescent="0.3">
      <c r="A2236" t="s">
        <v>3615</v>
      </c>
      <c r="B2236" t="s">
        <v>3747</v>
      </c>
      <c r="C2236">
        <v>2023</v>
      </c>
      <c r="D2236" t="s">
        <v>300</v>
      </c>
      <c r="E2236" t="s">
        <v>314</v>
      </c>
      <c r="F2236">
        <v>2301</v>
      </c>
      <c r="G2236" t="s">
        <v>302</v>
      </c>
      <c r="H2236">
        <v>73</v>
      </c>
      <c r="I2236" t="s">
        <v>3777</v>
      </c>
      <c r="J2236" t="s">
        <v>294</v>
      </c>
      <c r="M2236" t="s">
        <v>295</v>
      </c>
      <c r="N2236" t="s">
        <v>296</v>
      </c>
      <c r="O2236" t="s">
        <v>297</v>
      </c>
    </row>
    <row r="2237" spans="1:15" x14ac:dyDescent="0.3">
      <c r="A2237" t="s">
        <v>3615</v>
      </c>
      <c r="B2237" t="s">
        <v>3747</v>
      </c>
      <c r="C2237">
        <v>2023</v>
      </c>
      <c r="D2237" t="s">
        <v>300</v>
      </c>
      <c r="E2237" t="s">
        <v>322</v>
      </c>
      <c r="F2237">
        <v>2211</v>
      </c>
      <c r="G2237" t="s">
        <v>302</v>
      </c>
      <c r="H2237">
        <v>3</v>
      </c>
      <c r="I2237" t="s">
        <v>3778</v>
      </c>
      <c r="J2237" t="s">
        <v>294</v>
      </c>
      <c r="M2237" t="s">
        <v>295</v>
      </c>
      <c r="N2237" t="s">
        <v>296</v>
      </c>
      <c r="O2237" t="s">
        <v>297</v>
      </c>
    </row>
    <row r="2238" spans="1:15" x14ac:dyDescent="0.3">
      <c r="A2238" t="s">
        <v>3615</v>
      </c>
      <c r="B2238" t="s">
        <v>3747</v>
      </c>
      <c r="C2238">
        <v>2023</v>
      </c>
      <c r="D2238" t="s">
        <v>300</v>
      </c>
      <c r="E2238" t="s">
        <v>318</v>
      </c>
      <c r="F2238">
        <v>366</v>
      </c>
      <c r="G2238" t="s">
        <v>302</v>
      </c>
      <c r="H2238">
        <v>73</v>
      </c>
      <c r="I2238" t="s">
        <v>3779</v>
      </c>
      <c r="J2238" t="s">
        <v>294</v>
      </c>
      <c r="M2238" t="s">
        <v>295</v>
      </c>
      <c r="N2238" t="s">
        <v>296</v>
      </c>
      <c r="O2238" t="s">
        <v>297</v>
      </c>
    </row>
    <row r="2239" spans="1:15" x14ac:dyDescent="0.3">
      <c r="A2239" t="s">
        <v>3615</v>
      </c>
      <c r="B2239" t="s">
        <v>3747</v>
      </c>
      <c r="C2239">
        <v>2023</v>
      </c>
      <c r="D2239" t="s">
        <v>300</v>
      </c>
      <c r="E2239" t="s">
        <v>320</v>
      </c>
      <c r="F2239">
        <v>1845</v>
      </c>
      <c r="G2239" t="s">
        <v>302</v>
      </c>
      <c r="H2239">
        <v>73</v>
      </c>
      <c r="I2239" t="s">
        <v>3780</v>
      </c>
      <c r="J2239" t="s">
        <v>294</v>
      </c>
      <c r="M2239" t="s">
        <v>295</v>
      </c>
      <c r="N2239" t="s">
        <v>296</v>
      </c>
      <c r="O2239" t="s">
        <v>297</v>
      </c>
    </row>
    <row r="2240" spans="1:15" x14ac:dyDescent="0.3">
      <c r="A2240" t="s">
        <v>3615</v>
      </c>
      <c r="B2240" t="s">
        <v>3747</v>
      </c>
      <c r="C2240">
        <v>2023</v>
      </c>
      <c r="D2240" t="s">
        <v>300</v>
      </c>
      <c r="E2240" t="s">
        <v>324</v>
      </c>
      <c r="F2240">
        <v>1442</v>
      </c>
      <c r="G2240" t="s">
        <v>302</v>
      </c>
      <c r="H2240">
        <v>3</v>
      </c>
      <c r="I2240" t="s">
        <v>3781</v>
      </c>
      <c r="J2240" t="s">
        <v>294</v>
      </c>
      <c r="M2240" t="s">
        <v>295</v>
      </c>
      <c r="N2240" t="s">
        <v>296</v>
      </c>
      <c r="O2240" t="s">
        <v>297</v>
      </c>
    </row>
    <row r="2241" spans="1:15" x14ac:dyDescent="0.3">
      <c r="A2241" t="s">
        <v>3615</v>
      </c>
      <c r="B2241" t="s">
        <v>3747</v>
      </c>
      <c r="C2241">
        <v>2023</v>
      </c>
      <c r="D2241" t="s">
        <v>300</v>
      </c>
      <c r="E2241" t="s">
        <v>3646</v>
      </c>
      <c r="F2241">
        <v>923</v>
      </c>
      <c r="G2241" t="s">
        <v>302</v>
      </c>
      <c r="H2241">
        <v>3</v>
      </c>
      <c r="I2241" t="s">
        <v>3782</v>
      </c>
      <c r="J2241" t="s">
        <v>294</v>
      </c>
      <c r="M2241" t="s">
        <v>295</v>
      </c>
      <c r="N2241" t="s">
        <v>296</v>
      </c>
      <c r="O2241" t="s">
        <v>297</v>
      </c>
    </row>
    <row r="2242" spans="1:15" x14ac:dyDescent="0.3">
      <c r="A2242" t="s">
        <v>3615</v>
      </c>
      <c r="B2242" t="s">
        <v>3747</v>
      </c>
      <c r="C2242">
        <v>2023</v>
      </c>
      <c r="D2242" t="s">
        <v>300</v>
      </c>
      <c r="E2242" t="s">
        <v>1144</v>
      </c>
      <c r="F2242">
        <v>418</v>
      </c>
      <c r="G2242" t="s">
        <v>302</v>
      </c>
      <c r="H2242">
        <v>3</v>
      </c>
      <c r="I2242" t="s">
        <v>3783</v>
      </c>
      <c r="J2242" t="s">
        <v>294</v>
      </c>
      <c r="M2242" t="s">
        <v>295</v>
      </c>
      <c r="N2242" t="s">
        <v>296</v>
      </c>
      <c r="O2242" t="s">
        <v>297</v>
      </c>
    </row>
    <row r="2243" spans="1:15" x14ac:dyDescent="0.3">
      <c r="A2243" t="s">
        <v>3615</v>
      </c>
      <c r="B2243" t="s">
        <v>3747</v>
      </c>
      <c r="C2243">
        <v>2023</v>
      </c>
      <c r="D2243" t="s">
        <v>300</v>
      </c>
      <c r="E2243" t="s">
        <v>3784</v>
      </c>
      <c r="F2243">
        <v>101</v>
      </c>
      <c r="G2243" t="s">
        <v>302</v>
      </c>
      <c r="H2243">
        <v>3</v>
      </c>
      <c r="I2243" t="s">
        <v>3785</v>
      </c>
      <c r="J2243" t="s">
        <v>294</v>
      </c>
      <c r="M2243" t="s">
        <v>295</v>
      </c>
      <c r="N2243" t="s">
        <v>296</v>
      </c>
      <c r="O2243" t="s">
        <v>297</v>
      </c>
    </row>
    <row r="2244" spans="1:15" x14ac:dyDescent="0.3">
      <c r="A2244" t="s">
        <v>3615</v>
      </c>
      <c r="B2244" t="s">
        <v>3747</v>
      </c>
      <c r="C2244">
        <v>2023</v>
      </c>
      <c r="D2244" t="s">
        <v>300</v>
      </c>
      <c r="E2244" t="s">
        <v>471</v>
      </c>
      <c r="F2244">
        <v>160</v>
      </c>
      <c r="G2244" t="s">
        <v>302</v>
      </c>
      <c r="H2244">
        <v>2</v>
      </c>
      <c r="I2244" t="s">
        <v>3786</v>
      </c>
      <c r="J2244" t="s">
        <v>294</v>
      </c>
      <c r="M2244" t="s">
        <v>295</v>
      </c>
      <c r="N2244" t="s">
        <v>296</v>
      </c>
      <c r="O2244" t="s">
        <v>297</v>
      </c>
    </row>
    <row r="2245" spans="1:15" x14ac:dyDescent="0.3">
      <c r="A2245" t="s">
        <v>3615</v>
      </c>
      <c r="B2245" t="s">
        <v>3747</v>
      </c>
      <c r="C2245">
        <v>2023</v>
      </c>
      <c r="D2245" t="s">
        <v>300</v>
      </c>
      <c r="E2245" t="s">
        <v>479</v>
      </c>
      <c r="F2245">
        <v>374</v>
      </c>
      <c r="G2245" t="s">
        <v>302</v>
      </c>
      <c r="H2245">
        <v>2</v>
      </c>
      <c r="I2245" t="s">
        <v>3787</v>
      </c>
      <c r="J2245" t="s">
        <v>294</v>
      </c>
      <c r="M2245" t="s">
        <v>295</v>
      </c>
      <c r="N2245" t="s">
        <v>296</v>
      </c>
      <c r="O2245" t="s">
        <v>297</v>
      </c>
    </row>
    <row r="2246" spans="1:15" x14ac:dyDescent="0.3">
      <c r="A2246" t="s">
        <v>3615</v>
      </c>
      <c r="B2246" t="s">
        <v>3747</v>
      </c>
      <c r="C2246">
        <v>2023</v>
      </c>
      <c r="D2246" t="s">
        <v>300</v>
      </c>
      <c r="E2246" t="s">
        <v>481</v>
      </c>
      <c r="F2246">
        <v>389</v>
      </c>
      <c r="G2246" t="s">
        <v>302</v>
      </c>
      <c r="H2246">
        <v>2</v>
      </c>
      <c r="I2246" t="s">
        <v>3788</v>
      </c>
      <c r="J2246" t="s">
        <v>294</v>
      </c>
      <c r="M2246" t="s">
        <v>295</v>
      </c>
      <c r="N2246" t="s">
        <v>296</v>
      </c>
      <c r="O2246" t="s">
        <v>297</v>
      </c>
    </row>
    <row r="2247" spans="1:15" x14ac:dyDescent="0.3">
      <c r="A2247" t="s">
        <v>3615</v>
      </c>
      <c r="B2247" t="s">
        <v>3747</v>
      </c>
      <c r="C2247">
        <v>2023</v>
      </c>
      <c r="D2247" t="s">
        <v>300</v>
      </c>
      <c r="E2247" t="s">
        <v>3789</v>
      </c>
      <c r="F2247">
        <v>0</v>
      </c>
      <c r="G2247" t="s">
        <v>302</v>
      </c>
      <c r="H2247">
        <v>3</v>
      </c>
      <c r="I2247" t="s">
        <v>3790</v>
      </c>
      <c r="J2247" t="s">
        <v>294</v>
      </c>
      <c r="M2247" t="s">
        <v>295</v>
      </c>
      <c r="N2247" t="s">
        <v>296</v>
      </c>
      <c r="O2247" t="s">
        <v>297</v>
      </c>
    </row>
    <row r="2248" spans="1:15" x14ac:dyDescent="0.3">
      <c r="A2248" t="s">
        <v>3615</v>
      </c>
      <c r="B2248" t="s">
        <v>3747</v>
      </c>
      <c r="C2248">
        <v>2023</v>
      </c>
      <c r="D2248" t="s">
        <v>300</v>
      </c>
      <c r="E2248" t="s">
        <v>2670</v>
      </c>
      <c r="F2248">
        <v>88</v>
      </c>
      <c r="G2248" t="s">
        <v>302</v>
      </c>
      <c r="H2248">
        <v>3</v>
      </c>
      <c r="I2248" t="s">
        <v>3791</v>
      </c>
      <c r="J2248" t="s">
        <v>294</v>
      </c>
      <c r="M2248" t="s">
        <v>295</v>
      </c>
      <c r="N2248" t="s">
        <v>296</v>
      </c>
      <c r="O2248" t="s">
        <v>297</v>
      </c>
    </row>
    <row r="2249" spans="1:15" x14ac:dyDescent="0.3">
      <c r="A2249" t="s">
        <v>3615</v>
      </c>
      <c r="B2249" t="s">
        <v>3747</v>
      </c>
      <c r="C2249">
        <v>2023</v>
      </c>
      <c r="D2249" t="s">
        <v>300</v>
      </c>
      <c r="E2249" t="s">
        <v>475</v>
      </c>
      <c r="F2249">
        <v>1836</v>
      </c>
      <c r="G2249" t="s">
        <v>302</v>
      </c>
      <c r="H2249">
        <v>3</v>
      </c>
      <c r="I2249" t="s">
        <v>3792</v>
      </c>
      <c r="J2249" t="s">
        <v>294</v>
      </c>
      <c r="M2249" t="s">
        <v>295</v>
      </c>
      <c r="N2249" t="s">
        <v>296</v>
      </c>
      <c r="O2249" t="s">
        <v>297</v>
      </c>
    </row>
    <row r="2250" spans="1:15" x14ac:dyDescent="0.3">
      <c r="A2250" t="s">
        <v>3615</v>
      </c>
      <c r="B2250" t="s">
        <v>3747</v>
      </c>
      <c r="C2250">
        <v>2023</v>
      </c>
      <c r="D2250" t="s">
        <v>300</v>
      </c>
      <c r="E2250" t="s">
        <v>477</v>
      </c>
      <c r="F2250">
        <v>1924</v>
      </c>
      <c r="G2250" t="s">
        <v>302</v>
      </c>
      <c r="H2250">
        <v>210</v>
      </c>
      <c r="I2250" t="s">
        <v>3793</v>
      </c>
      <c r="J2250" t="s">
        <v>294</v>
      </c>
      <c r="M2250" t="s">
        <v>295</v>
      </c>
      <c r="N2250" t="s">
        <v>296</v>
      </c>
      <c r="O2250" t="s">
        <v>297</v>
      </c>
    </row>
    <row r="2251" spans="1:15" x14ac:dyDescent="0.3">
      <c r="A2251" t="s">
        <v>3615</v>
      </c>
      <c r="B2251" t="s">
        <v>3747</v>
      </c>
      <c r="C2251">
        <v>2023</v>
      </c>
      <c r="D2251" t="s">
        <v>300</v>
      </c>
      <c r="E2251" t="s">
        <v>3794</v>
      </c>
      <c r="F2251">
        <v>1722</v>
      </c>
      <c r="G2251" t="s">
        <v>302</v>
      </c>
      <c r="H2251">
        <v>210</v>
      </c>
      <c r="I2251" t="s">
        <v>3795</v>
      </c>
      <c r="J2251" t="s">
        <v>294</v>
      </c>
      <c r="M2251" t="s">
        <v>295</v>
      </c>
      <c r="N2251" t="s">
        <v>296</v>
      </c>
      <c r="O2251" t="s">
        <v>297</v>
      </c>
    </row>
    <row r="2252" spans="1:15" x14ac:dyDescent="0.3">
      <c r="A2252" t="s">
        <v>3615</v>
      </c>
      <c r="B2252" t="s">
        <v>3747</v>
      </c>
      <c r="C2252">
        <v>2023</v>
      </c>
      <c r="D2252" t="s">
        <v>300</v>
      </c>
      <c r="E2252" t="s">
        <v>3796</v>
      </c>
      <c r="F2252">
        <v>207</v>
      </c>
      <c r="G2252" t="s">
        <v>302</v>
      </c>
      <c r="H2252">
        <v>210</v>
      </c>
      <c r="I2252" t="s">
        <v>3797</v>
      </c>
      <c r="J2252" t="s">
        <v>294</v>
      </c>
      <c r="M2252" t="s">
        <v>295</v>
      </c>
      <c r="N2252" t="s">
        <v>296</v>
      </c>
      <c r="O2252" t="s">
        <v>297</v>
      </c>
    </row>
    <row r="2253" spans="1:15" x14ac:dyDescent="0.3">
      <c r="A2253" t="s">
        <v>3615</v>
      </c>
      <c r="B2253" t="s">
        <v>3747</v>
      </c>
      <c r="C2253">
        <v>2023</v>
      </c>
      <c r="D2253" t="s">
        <v>300</v>
      </c>
      <c r="E2253" t="s">
        <v>3656</v>
      </c>
      <c r="F2253">
        <v>230</v>
      </c>
      <c r="G2253" t="s">
        <v>302</v>
      </c>
      <c r="H2253">
        <v>4</v>
      </c>
      <c r="I2253" t="s">
        <v>3798</v>
      </c>
      <c r="J2253" t="s">
        <v>294</v>
      </c>
      <c r="M2253" t="s">
        <v>295</v>
      </c>
      <c r="N2253" t="s">
        <v>296</v>
      </c>
      <c r="O2253" t="s">
        <v>297</v>
      </c>
    </row>
    <row r="2254" spans="1:15" x14ac:dyDescent="0.3">
      <c r="A2254" t="s">
        <v>3615</v>
      </c>
      <c r="B2254" t="s">
        <v>3747</v>
      </c>
      <c r="C2254">
        <v>2023</v>
      </c>
      <c r="D2254" t="s">
        <v>300</v>
      </c>
      <c r="E2254" t="s">
        <v>3658</v>
      </c>
      <c r="F2254">
        <v>-397</v>
      </c>
      <c r="G2254" t="s">
        <v>302</v>
      </c>
      <c r="H2254">
        <v>4</v>
      </c>
      <c r="I2254" t="s">
        <v>3799</v>
      </c>
      <c r="J2254" t="s">
        <v>294</v>
      </c>
      <c r="M2254" t="s">
        <v>295</v>
      </c>
      <c r="N2254" t="s">
        <v>296</v>
      </c>
      <c r="O2254" t="s">
        <v>297</v>
      </c>
    </row>
    <row r="2255" spans="1:15" x14ac:dyDescent="0.3">
      <c r="A2255" t="s">
        <v>3615</v>
      </c>
      <c r="B2255" t="s">
        <v>3747</v>
      </c>
      <c r="C2255">
        <v>2023</v>
      </c>
      <c r="D2255" t="s">
        <v>300</v>
      </c>
      <c r="E2255" t="s">
        <v>3660</v>
      </c>
      <c r="F2255">
        <v>116</v>
      </c>
      <c r="G2255" t="s">
        <v>302</v>
      </c>
      <c r="H2255">
        <v>4</v>
      </c>
      <c r="I2255" t="s">
        <v>3800</v>
      </c>
      <c r="J2255" t="s">
        <v>294</v>
      </c>
      <c r="M2255" t="s">
        <v>295</v>
      </c>
      <c r="N2255" t="s">
        <v>296</v>
      </c>
      <c r="O2255" t="s">
        <v>297</v>
      </c>
    </row>
    <row r="2256" spans="1:15" x14ac:dyDescent="0.3">
      <c r="A2256" t="s">
        <v>3615</v>
      </c>
      <c r="B2256" t="s">
        <v>3747</v>
      </c>
      <c r="C2256">
        <v>2023</v>
      </c>
      <c r="D2256" t="s">
        <v>300</v>
      </c>
      <c r="E2256" t="s">
        <v>3801</v>
      </c>
      <c r="F2256">
        <v>440</v>
      </c>
      <c r="G2256" t="s">
        <v>302</v>
      </c>
      <c r="H2256">
        <v>75</v>
      </c>
      <c r="I2256" t="s">
        <v>3802</v>
      </c>
      <c r="J2256" t="s">
        <v>456</v>
      </c>
      <c r="M2256" t="s">
        <v>295</v>
      </c>
      <c r="N2256" t="s">
        <v>296</v>
      </c>
      <c r="O2256" t="s">
        <v>297</v>
      </c>
    </row>
    <row r="2257" spans="1:15" x14ac:dyDescent="0.3">
      <c r="A2257" t="s">
        <v>3615</v>
      </c>
      <c r="B2257" t="s">
        <v>3747</v>
      </c>
      <c r="C2257">
        <v>2023</v>
      </c>
      <c r="D2257" t="s">
        <v>300</v>
      </c>
      <c r="E2257" t="s">
        <v>3049</v>
      </c>
      <c r="F2257">
        <v>8.3699999999999992</v>
      </c>
      <c r="G2257" t="s">
        <v>346</v>
      </c>
      <c r="H2257">
        <v>4</v>
      </c>
      <c r="I2257" t="s">
        <v>3803</v>
      </c>
      <c r="J2257" t="s">
        <v>294</v>
      </c>
      <c r="M2257" t="s">
        <v>295</v>
      </c>
      <c r="N2257" t="s">
        <v>296</v>
      </c>
      <c r="O2257" t="s">
        <v>297</v>
      </c>
    </row>
    <row r="2258" spans="1:15" x14ac:dyDescent="0.3">
      <c r="A2258" t="s">
        <v>3615</v>
      </c>
      <c r="B2258" t="s">
        <v>3747</v>
      </c>
      <c r="C2258">
        <v>2023</v>
      </c>
      <c r="D2258" t="s">
        <v>300</v>
      </c>
      <c r="E2258" t="s">
        <v>785</v>
      </c>
      <c r="F2258">
        <v>248</v>
      </c>
      <c r="G2258" t="s">
        <v>346</v>
      </c>
      <c r="H2258">
        <v>7</v>
      </c>
      <c r="I2258" t="s">
        <v>3804</v>
      </c>
      <c r="J2258" t="s">
        <v>294</v>
      </c>
      <c r="M2258" t="s">
        <v>295</v>
      </c>
      <c r="N2258" t="s">
        <v>296</v>
      </c>
      <c r="O2258" t="s">
        <v>297</v>
      </c>
    </row>
    <row r="2259" spans="1:15" x14ac:dyDescent="0.3">
      <c r="A2259" t="s">
        <v>3615</v>
      </c>
      <c r="B2259" t="s">
        <v>3747</v>
      </c>
      <c r="C2259">
        <v>2023</v>
      </c>
      <c r="D2259" t="s">
        <v>300</v>
      </c>
      <c r="E2259" t="s">
        <v>3292</v>
      </c>
      <c r="F2259">
        <v>2289</v>
      </c>
      <c r="G2259" t="s">
        <v>302</v>
      </c>
      <c r="H2259">
        <v>6</v>
      </c>
      <c r="I2259" t="s">
        <v>3805</v>
      </c>
      <c r="J2259" t="s">
        <v>294</v>
      </c>
      <c r="M2259" t="s">
        <v>295</v>
      </c>
      <c r="N2259" t="s">
        <v>296</v>
      </c>
      <c r="O2259" t="s">
        <v>297</v>
      </c>
    </row>
    <row r="2260" spans="1:15" x14ac:dyDescent="0.3">
      <c r="A2260" t="s">
        <v>3615</v>
      </c>
      <c r="B2260" t="s">
        <v>3747</v>
      </c>
      <c r="C2260">
        <v>2023</v>
      </c>
      <c r="D2260" t="s">
        <v>300</v>
      </c>
      <c r="E2260" t="s">
        <v>326</v>
      </c>
      <c r="F2260">
        <v>3.7</v>
      </c>
      <c r="G2260" t="s">
        <v>327</v>
      </c>
      <c r="H2260">
        <v>73</v>
      </c>
      <c r="I2260" t="s">
        <v>3806</v>
      </c>
      <c r="J2260" t="s">
        <v>294</v>
      </c>
      <c r="M2260" t="s">
        <v>295</v>
      </c>
      <c r="N2260" t="s">
        <v>296</v>
      </c>
      <c r="O2260" t="s">
        <v>297</v>
      </c>
    </row>
    <row r="2261" spans="1:15" x14ac:dyDescent="0.3">
      <c r="A2261" t="s">
        <v>3615</v>
      </c>
      <c r="B2261" t="s">
        <v>3747</v>
      </c>
      <c r="C2261">
        <v>2023</v>
      </c>
      <c r="D2261" t="s">
        <v>300</v>
      </c>
      <c r="E2261" t="s">
        <v>2762</v>
      </c>
      <c r="F2261">
        <v>1.53</v>
      </c>
      <c r="G2261" t="s">
        <v>327</v>
      </c>
      <c r="H2261">
        <v>73</v>
      </c>
      <c r="I2261" t="s">
        <v>3807</v>
      </c>
      <c r="J2261" t="s">
        <v>294</v>
      </c>
      <c r="M2261" t="s">
        <v>295</v>
      </c>
      <c r="N2261" t="s">
        <v>296</v>
      </c>
      <c r="O2261" t="s">
        <v>297</v>
      </c>
    </row>
    <row r="2262" spans="1:15" x14ac:dyDescent="0.3">
      <c r="A2262" t="s">
        <v>3615</v>
      </c>
      <c r="B2262" t="s">
        <v>3747</v>
      </c>
      <c r="C2262">
        <v>2023</v>
      </c>
      <c r="D2262" t="s">
        <v>300</v>
      </c>
      <c r="E2262" t="s">
        <v>3670</v>
      </c>
      <c r="F2262">
        <v>0.61</v>
      </c>
      <c r="G2262" t="s">
        <v>327</v>
      </c>
      <c r="H2262">
        <v>5</v>
      </c>
      <c r="I2262" t="s">
        <v>3808</v>
      </c>
      <c r="J2262" t="s">
        <v>294</v>
      </c>
      <c r="M2262" t="s">
        <v>295</v>
      </c>
      <c r="N2262" t="s">
        <v>296</v>
      </c>
      <c r="O2262" t="s">
        <v>297</v>
      </c>
    </row>
    <row r="2263" spans="1:15" x14ac:dyDescent="0.3">
      <c r="A2263" t="s">
        <v>3615</v>
      </c>
      <c r="B2263" t="s">
        <v>3747</v>
      </c>
      <c r="C2263">
        <v>2023</v>
      </c>
      <c r="D2263" t="s">
        <v>300</v>
      </c>
      <c r="E2263" t="s">
        <v>3809</v>
      </c>
      <c r="F2263">
        <v>500</v>
      </c>
      <c r="G2263" t="s">
        <v>302</v>
      </c>
      <c r="H2263">
        <v>211</v>
      </c>
      <c r="I2263" t="s">
        <v>3810</v>
      </c>
      <c r="J2263" t="s">
        <v>294</v>
      </c>
      <c r="M2263" t="s">
        <v>295</v>
      </c>
      <c r="N2263" t="s">
        <v>296</v>
      </c>
      <c r="O2263" t="s">
        <v>297</v>
      </c>
    </row>
    <row r="2264" spans="1:15" x14ac:dyDescent="0.3">
      <c r="A2264" t="s">
        <v>3615</v>
      </c>
      <c r="B2264" t="s">
        <v>3747</v>
      </c>
      <c r="C2264">
        <v>2023</v>
      </c>
      <c r="D2264" t="s">
        <v>358</v>
      </c>
      <c r="E2264" t="s">
        <v>3811</v>
      </c>
      <c r="F2264">
        <v>17964.7</v>
      </c>
      <c r="G2264" t="s">
        <v>360</v>
      </c>
      <c r="H2264">
        <v>200</v>
      </c>
      <c r="I2264" t="s">
        <v>3812</v>
      </c>
      <c r="J2264" t="s">
        <v>294</v>
      </c>
      <c r="M2264" t="s">
        <v>295</v>
      </c>
      <c r="N2264" t="s">
        <v>296</v>
      </c>
      <c r="O2264" t="s">
        <v>297</v>
      </c>
    </row>
    <row r="2265" spans="1:15" x14ac:dyDescent="0.3">
      <c r="A2265" t="s">
        <v>3615</v>
      </c>
      <c r="B2265" t="s">
        <v>3747</v>
      </c>
      <c r="C2265">
        <v>2023</v>
      </c>
      <c r="D2265" t="s">
        <v>358</v>
      </c>
      <c r="E2265" t="s">
        <v>3680</v>
      </c>
      <c r="F2265">
        <v>14961.46</v>
      </c>
      <c r="G2265" t="s">
        <v>360</v>
      </c>
      <c r="H2265">
        <v>200</v>
      </c>
      <c r="I2265" t="s">
        <v>3813</v>
      </c>
      <c r="J2265" t="s">
        <v>294</v>
      </c>
      <c r="M2265" t="s">
        <v>295</v>
      </c>
      <c r="N2265" t="s">
        <v>296</v>
      </c>
      <c r="O2265" t="s">
        <v>297</v>
      </c>
    </row>
    <row r="2266" spans="1:15" x14ac:dyDescent="0.3">
      <c r="A2266" t="s">
        <v>3615</v>
      </c>
      <c r="B2266" t="s">
        <v>3747</v>
      </c>
      <c r="C2266">
        <v>2023</v>
      </c>
      <c r="D2266" t="s">
        <v>358</v>
      </c>
      <c r="E2266" t="s">
        <v>3682</v>
      </c>
      <c r="F2266">
        <v>3003.24</v>
      </c>
      <c r="G2266" t="s">
        <v>360</v>
      </c>
      <c r="H2266">
        <v>200</v>
      </c>
      <c r="I2266" t="s">
        <v>3814</v>
      </c>
      <c r="J2266" t="s">
        <v>294</v>
      </c>
      <c r="M2266" t="s">
        <v>295</v>
      </c>
      <c r="N2266" t="s">
        <v>296</v>
      </c>
      <c r="O2266" t="s">
        <v>297</v>
      </c>
    </row>
    <row r="2267" spans="1:15" x14ac:dyDescent="0.3">
      <c r="A2267" t="s">
        <v>3615</v>
      </c>
      <c r="B2267" t="s">
        <v>3747</v>
      </c>
      <c r="C2267">
        <v>2023</v>
      </c>
      <c r="D2267" t="s">
        <v>358</v>
      </c>
      <c r="E2267" t="s">
        <v>3684</v>
      </c>
      <c r="F2267">
        <v>27936.720000000001</v>
      </c>
      <c r="G2267" t="s">
        <v>360</v>
      </c>
      <c r="H2267">
        <v>202</v>
      </c>
      <c r="I2267" t="s">
        <v>3815</v>
      </c>
      <c r="J2267" t="s">
        <v>294</v>
      </c>
      <c r="M2267" t="s">
        <v>295</v>
      </c>
      <c r="N2267" t="s">
        <v>296</v>
      </c>
      <c r="O2267" t="s">
        <v>297</v>
      </c>
    </row>
    <row r="2268" spans="1:15" x14ac:dyDescent="0.3">
      <c r="A2268" t="s">
        <v>3615</v>
      </c>
      <c r="B2268" t="s">
        <v>3747</v>
      </c>
      <c r="C2268">
        <v>2023</v>
      </c>
      <c r="D2268" t="s">
        <v>358</v>
      </c>
      <c r="E2268" t="s">
        <v>364</v>
      </c>
      <c r="F2268">
        <v>518.12</v>
      </c>
      <c r="G2268" t="s">
        <v>360</v>
      </c>
      <c r="H2268">
        <v>200</v>
      </c>
      <c r="I2268" t="s">
        <v>3816</v>
      </c>
      <c r="J2268" t="s">
        <v>294</v>
      </c>
      <c r="M2268" t="s">
        <v>295</v>
      </c>
      <c r="N2268" t="s">
        <v>296</v>
      </c>
      <c r="O2268" t="s">
        <v>297</v>
      </c>
    </row>
    <row r="2269" spans="1:15" x14ac:dyDescent="0.3">
      <c r="A2269" t="s">
        <v>3615</v>
      </c>
      <c r="B2269" t="s">
        <v>3747</v>
      </c>
      <c r="C2269">
        <v>2023</v>
      </c>
      <c r="D2269" t="s">
        <v>358</v>
      </c>
      <c r="E2269" t="s">
        <v>3817</v>
      </c>
      <c r="F2269">
        <v>1670</v>
      </c>
      <c r="G2269" t="s">
        <v>302</v>
      </c>
      <c r="H2269">
        <v>200</v>
      </c>
      <c r="I2269" t="s">
        <v>3818</v>
      </c>
      <c r="J2269" t="s">
        <v>294</v>
      </c>
      <c r="M2269" t="s">
        <v>295</v>
      </c>
      <c r="N2269" t="s">
        <v>296</v>
      </c>
      <c r="O2269" t="s">
        <v>297</v>
      </c>
    </row>
    <row r="2270" spans="1:15" x14ac:dyDescent="0.3">
      <c r="A2270" t="s">
        <v>3615</v>
      </c>
      <c r="B2270" t="s">
        <v>3747</v>
      </c>
      <c r="C2270">
        <v>2023</v>
      </c>
      <c r="D2270" t="s">
        <v>358</v>
      </c>
      <c r="E2270" t="s">
        <v>3696</v>
      </c>
      <c r="F2270">
        <v>1535</v>
      </c>
      <c r="G2270" t="s">
        <v>302</v>
      </c>
      <c r="H2270">
        <v>201</v>
      </c>
      <c r="I2270" t="s">
        <v>3819</v>
      </c>
      <c r="J2270" t="s">
        <v>294</v>
      </c>
      <c r="M2270" t="s">
        <v>295</v>
      </c>
      <c r="N2270" t="s">
        <v>296</v>
      </c>
      <c r="O2270" t="s">
        <v>297</v>
      </c>
    </row>
    <row r="2271" spans="1:15" x14ac:dyDescent="0.3">
      <c r="A2271" t="s">
        <v>3615</v>
      </c>
      <c r="B2271" t="s">
        <v>3747</v>
      </c>
      <c r="C2271">
        <v>2023</v>
      </c>
      <c r="D2271" t="s">
        <v>358</v>
      </c>
      <c r="E2271" t="s">
        <v>3698</v>
      </c>
      <c r="F2271">
        <v>349</v>
      </c>
      <c r="G2271" t="s">
        <v>302</v>
      </c>
      <c r="H2271">
        <v>2</v>
      </c>
      <c r="I2271" t="s">
        <v>3820</v>
      </c>
      <c r="J2271" t="s">
        <v>294</v>
      </c>
      <c r="M2271" t="s">
        <v>295</v>
      </c>
      <c r="N2271" t="s">
        <v>296</v>
      </c>
      <c r="O2271" t="s">
        <v>297</v>
      </c>
    </row>
    <row r="2272" spans="1:15" x14ac:dyDescent="0.3">
      <c r="A2272" t="s">
        <v>3615</v>
      </c>
      <c r="B2272" t="s">
        <v>3747</v>
      </c>
      <c r="C2272">
        <v>2023</v>
      </c>
      <c r="D2272" t="s">
        <v>358</v>
      </c>
      <c r="E2272" t="s">
        <v>3700</v>
      </c>
      <c r="F2272">
        <v>366</v>
      </c>
      <c r="G2272" t="s">
        <v>302</v>
      </c>
      <c r="H2272">
        <v>2</v>
      </c>
      <c r="I2272" t="s">
        <v>3821</v>
      </c>
      <c r="J2272" t="s">
        <v>294</v>
      </c>
      <c r="M2272" t="s">
        <v>295</v>
      </c>
      <c r="N2272" t="s">
        <v>296</v>
      </c>
      <c r="O2272" t="s">
        <v>297</v>
      </c>
    </row>
    <row r="2273" spans="1:15" x14ac:dyDescent="0.3">
      <c r="A2273" t="s">
        <v>3615</v>
      </c>
      <c r="B2273" t="s">
        <v>3747</v>
      </c>
      <c r="C2273">
        <v>2023</v>
      </c>
      <c r="D2273" t="s">
        <v>358</v>
      </c>
      <c r="E2273" t="s">
        <v>3702</v>
      </c>
      <c r="F2273">
        <v>23</v>
      </c>
      <c r="G2273" t="s">
        <v>302</v>
      </c>
      <c r="H2273">
        <v>2</v>
      </c>
      <c r="I2273" t="s">
        <v>3822</v>
      </c>
      <c r="J2273" t="s">
        <v>294</v>
      </c>
      <c r="M2273" t="s">
        <v>295</v>
      </c>
      <c r="N2273" t="s">
        <v>296</v>
      </c>
      <c r="O2273" t="s">
        <v>297</v>
      </c>
    </row>
    <row r="2274" spans="1:15" x14ac:dyDescent="0.3">
      <c r="A2274" t="s">
        <v>3615</v>
      </c>
      <c r="B2274" t="s">
        <v>3747</v>
      </c>
      <c r="C2274">
        <v>2023</v>
      </c>
      <c r="D2274" t="s">
        <v>358</v>
      </c>
      <c r="E2274" t="s">
        <v>3686</v>
      </c>
      <c r="F2274">
        <v>1500</v>
      </c>
      <c r="G2274" t="s">
        <v>3687</v>
      </c>
      <c r="H2274">
        <v>21</v>
      </c>
      <c r="I2274" t="s">
        <v>3823</v>
      </c>
      <c r="J2274" t="s">
        <v>294</v>
      </c>
      <c r="M2274" t="s">
        <v>295</v>
      </c>
      <c r="N2274" t="s">
        <v>296</v>
      </c>
      <c r="O2274" t="s">
        <v>297</v>
      </c>
    </row>
    <row r="2275" spans="1:15" x14ac:dyDescent="0.3">
      <c r="A2275" t="s">
        <v>3615</v>
      </c>
      <c r="B2275" t="s">
        <v>3747</v>
      </c>
      <c r="C2275">
        <v>2023</v>
      </c>
      <c r="D2275" t="s">
        <v>358</v>
      </c>
      <c r="E2275" t="s">
        <v>3689</v>
      </c>
      <c r="F2275">
        <v>250</v>
      </c>
      <c r="G2275" t="s">
        <v>3687</v>
      </c>
      <c r="H2275">
        <v>21</v>
      </c>
      <c r="I2275" t="s">
        <v>3824</v>
      </c>
      <c r="J2275" t="s">
        <v>294</v>
      </c>
      <c r="M2275" t="s">
        <v>295</v>
      </c>
      <c r="N2275" t="s">
        <v>296</v>
      </c>
      <c r="O2275" t="s">
        <v>297</v>
      </c>
    </row>
    <row r="2276" spans="1:15" x14ac:dyDescent="0.3">
      <c r="A2276" t="s">
        <v>3615</v>
      </c>
      <c r="B2276" t="s">
        <v>3747</v>
      </c>
      <c r="C2276">
        <v>2023</v>
      </c>
      <c r="D2276" t="s">
        <v>358</v>
      </c>
      <c r="E2276" t="s">
        <v>3825</v>
      </c>
      <c r="F2276">
        <v>60</v>
      </c>
      <c r="G2276" t="s">
        <v>3692</v>
      </c>
      <c r="H2276">
        <v>21</v>
      </c>
      <c r="I2276" t="s">
        <v>3826</v>
      </c>
      <c r="J2276" t="s">
        <v>294</v>
      </c>
      <c r="M2276" t="s">
        <v>295</v>
      </c>
      <c r="N2276" t="s">
        <v>296</v>
      </c>
      <c r="O2276" t="s">
        <v>297</v>
      </c>
    </row>
    <row r="2277" spans="1:15" x14ac:dyDescent="0.3">
      <c r="A2277" t="s">
        <v>3615</v>
      </c>
      <c r="B2277" t="s">
        <v>3747</v>
      </c>
      <c r="C2277">
        <v>2023</v>
      </c>
      <c r="D2277" t="s">
        <v>394</v>
      </c>
      <c r="E2277" t="s">
        <v>3706</v>
      </c>
      <c r="F2277">
        <v>208107</v>
      </c>
      <c r="G2277" t="s">
        <v>396</v>
      </c>
      <c r="H2277">
        <v>16</v>
      </c>
      <c r="I2277" t="s">
        <v>3827</v>
      </c>
      <c r="J2277" t="s">
        <v>294</v>
      </c>
      <c r="M2277" t="s">
        <v>295</v>
      </c>
      <c r="N2277" t="s">
        <v>296</v>
      </c>
      <c r="O2277" t="s">
        <v>297</v>
      </c>
    </row>
    <row r="2278" spans="1:15" x14ac:dyDescent="0.3">
      <c r="A2278" t="s">
        <v>3615</v>
      </c>
      <c r="B2278" t="s">
        <v>3747</v>
      </c>
      <c r="C2278">
        <v>2023</v>
      </c>
      <c r="D2278" t="s">
        <v>394</v>
      </c>
      <c r="E2278" t="s">
        <v>3708</v>
      </c>
      <c r="F2278">
        <v>310678</v>
      </c>
      <c r="G2278" t="s">
        <v>3709</v>
      </c>
      <c r="H2278">
        <v>16</v>
      </c>
      <c r="I2278" t="s">
        <v>3828</v>
      </c>
      <c r="J2278" t="s">
        <v>294</v>
      </c>
      <c r="M2278" t="s">
        <v>295</v>
      </c>
      <c r="N2278" t="s">
        <v>296</v>
      </c>
      <c r="O2278" t="s">
        <v>297</v>
      </c>
    </row>
    <row r="2279" spans="1:15" x14ac:dyDescent="0.3">
      <c r="A2279" t="s">
        <v>3615</v>
      </c>
      <c r="B2279" t="s">
        <v>3747</v>
      </c>
      <c r="C2279">
        <v>2023</v>
      </c>
      <c r="D2279" t="s">
        <v>394</v>
      </c>
      <c r="E2279" t="s">
        <v>3829</v>
      </c>
      <c r="F2279">
        <v>10985</v>
      </c>
      <c r="G2279" t="s">
        <v>3735</v>
      </c>
      <c r="H2279">
        <v>74</v>
      </c>
      <c r="I2279" t="s">
        <v>3830</v>
      </c>
      <c r="J2279" t="s">
        <v>294</v>
      </c>
      <c r="M2279" t="s">
        <v>295</v>
      </c>
      <c r="N2279" t="s">
        <v>296</v>
      </c>
      <c r="O2279" t="s">
        <v>297</v>
      </c>
    </row>
    <row r="2280" spans="1:15" x14ac:dyDescent="0.3">
      <c r="A2280" t="s">
        <v>3615</v>
      </c>
      <c r="B2280" t="s">
        <v>3747</v>
      </c>
      <c r="C2280">
        <v>2023</v>
      </c>
      <c r="D2280" t="s">
        <v>394</v>
      </c>
      <c r="E2280" t="s">
        <v>3713</v>
      </c>
      <c r="F2280">
        <v>4044</v>
      </c>
      <c r="G2280" t="s">
        <v>302</v>
      </c>
      <c r="H2280" t="s">
        <v>3831</v>
      </c>
      <c r="I2280" t="s">
        <v>3832</v>
      </c>
      <c r="J2280" t="s">
        <v>294</v>
      </c>
      <c r="M2280" t="s">
        <v>295</v>
      </c>
      <c r="N2280" t="s">
        <v>296</v>
      </c>
      <c r="O2280" t="s">
        <v>297</v>
      </c>
    </row>
    <row r="2281" spans="1:15" x14ac:dyDescent="0.3">
      <c r="A2281" t="s">
        <v>3615</v>
      </c>
      <c r="B2281" t="s">
        <v>3747</v>
      </c>
      <c r="C2281">
        <v>2023</v>
      </c>
      <c r="D2281" t="s">
        <v>394</v>
      </c>
      <c r="E2281" t="s">
        <v>3715</v>
      </c>
      <c r="F2281">
        <v>399</v>
      </c>
      <c r="G2281" t="s">
        <v>302</v>
      </c>
      <c r="H2281" t="s">
        <v>3831</v>
      </c>
      <c r="I2281" t="s">
        <v>3833</v>
      </c>
      <c r="J2281" t="s">
        <v>294</v>
      </c>
      <c r="M2281" t="s">
        <v>295</v>
      </c>
      <c r="N2281" t="s">
        <v>296</v>
      </c>
      <c r="O2281" t="s">
        <v>297</v>
      </c>
    </row>
    <row r="2282" spans="1:15" x14ac:dyDescent="0.3">
      <c r="A2282" t="s">
        <v>3615</v>
      </c>
      <c r="B2282" t="s">
        <v>3747</v>
      </c>
      <c r="C2282">
        <v>2023</v>
      </c>
      <c r="D2282" t="s">
        <v>394</v>
      </c>
      <c r="E2282" t="s">
        <v>3834</v>
      </c>
      <c r="F2282">
        <v>23</v>
      </c>
      <c r="G2282" t="s">
        <v>302</v>
      </c>
      <c r="H2282">
        <v>199</v>
      </c>
      <c r="I2282" t="s">
        <v>3835</v>
      </c>
      <c r="J2282" t="s">
        <v>294</v>
      </c>
      <c r="M2282" t="s">
        <v>295</v>
      </c>
      <c r="N2282" t="s">
        <v>296</v>
      </c>
      <c r="O2282" t="s">
        <v>297</v>
      </c>
    </row>
    <row r="2283" spans="1:15" x14ac:dyDescent="0.3">
      <c r="A2283" t="s">
        <v>3615</v>
      </c>
      <c r="B2283" t="s">
        <v>3747</v>
      </c>
      <c r="C2283">
        <v>2023</v>
      </c>
      <c r="D2283" t="s">
        <v>394</v>
      </c>
      <c r="E2283" t="s">
        <v>3731</v>
      </c>
      <c r="F2283" t="s">
        <v>3732</v>
      </c>
      <c r="G2283" t="s">
        <v>292</v>
      </c>
      <c r="H2283">
        <v>14</v>
      </c>
      <c r="I2283" t="s">
        <v>3836</v>
      </c>
      <c r="J2283" t="s">
        <v>294</v>
      </c>
      <c r="M2283" t="s">
        <v>295</v>
      </c>
      <c r="N2283" t="s">
        <v>296</v>
      </c>
      <c r="O2283" t="s">
        <v>297</v>
      </c>
    </row>
    <row r="2284" spans="1:15" x14ac:dyDescent="0.3">
      <c r="A2284" t="s">
        <v>3615</v>
      </c>
      <c r="B2284" t="s">
        <v>3747</v>
      </c>
      <c r="C2284">
        <v>2023</v>
      </c>
      <c r="D2284" t="s">
        <v>252</v>
      </c>
      <c r="E2284" t="s">
        <v>3737</v>
      </c>
      <c r="F2284">
        <v>12</v>
      </c>
      <c r="G2284" t="s">
        <v>327</v>
      </c>
      <c r="H2284">
        <v>72</v>
      </c>
      <c r="I2284" t="s">
        <v>3837</v>
      </c>
      <c r="J2284" t="s">
        <v>294</v>
      </c>
      <c r="M2284" t="s">
        <v>295</v>
      </c>
      <c r="N2284" t="s">
        <v>296</v>
      </c>
      <c r="O2284" t="s">
        <v>297</v>
      </c>
    </row>
    <row r="2285" spans="1:15" x14ac:dyDescent="0.3">
      <c r="A2285" t="s">
        <v>3615</v>
      </c>
      <c r="B2285" t="s">
        <v>3747</v>
      </c>
      <c r="C2285">
        <v>2023</v>
      </c>
      <c r="D2285" t="s">
        <v>252</v>
      </c>
      <c r="E2285" t="s">
        <v>3838</v>
      </c>
      <c r="F2285" t="s">
        <v>3839</v>
      </c>
      <c r="G2285" t="s">
        <v>334</v>
      </c>
      <c r="H2285">
        <v>14</v>
      </c>
      <c r="I2285" t="s">
        <v>3840</v>
      </c>
      <c r="J2285" t="s">
        <v>294</v>
      </c>
      <c r="M2285" t="s">
        <v>295</v>
      </c>
      <c r="N2285" t="s">
        <v>296</v>
      </c>
      <c r="O2285" t="s">
        <v>297</v>
      </c>
    </row>
    <row r="2286" spans="1:15" x14ac:dyDescent="0.3">
      <c r="A2286" t="s">
        <v>3615</v>
      </c>
      <c r="B2286" t="s">
        <v>3747</v>
      </c>
      <c r="C2286">
        <v>2023</v>
      </c>
      <c r="D2286" t="s">
        <v>252</v>
      </c>
      <c r="E2286" t="s">
        <v>3841</v>
      </c>
      <c r="F2286" t="s">
        <v>3842</v>
      </c>
      <c r="G2286" t="s">
        <v>302</v>
      </c>
      <c r="H2286">
        <v>18</v>
      </c>
      <c r="I2286" t="s">
        <v>3843</v>
      </c>
      <c r="J2286" t="s">
        <v>294</v>
      </c>
      <c r="M2286" t="s">
        <v>295</v>
      </c>
      <c r="N2286" t="s">
        <v>296</v>
      </c>
      <c r="O2286" t="s">
        <v>297</v>
      </c>
    </row>
    <row r="2287" spans="1:15" x14ac:dyDescent="0.3">
      <c r="A2287" t="s">
        <v>3615</v>
      </c>
      <c r="B2287" t="s">
        <v>3844</v>
      </c>
      <c r="C2287">
        <v>2024</v>
      </c>
      <c r="D2287" t="s">
        <v>272</v>
      </c>
      <c r="E2287" t="s">
        <v>291</v>
      </c>
      <c r="F2287" t="s">
        <v>3615</v>
      </c>
      <c r="G2287" t="s">
        <v>292</v>
      </c>
      <c r="H2287">
        <v>1</v>
      </c>
      <c r="I2287" t="s">
        <v>3845</v>
      </c>
      <c r="J2287" t="s">
        <v>294</v>
      </c>
      <c r="M2287" t="s">
        <v>295</v>
      </c>
      <c r="N2287" t="s">
        <v>296</v>
      </c>
      <c r="O2287" t="s">
        <v>297</v>
      </c>
    </row>
    <row r="2288" spans="1:15" x14ac:dyDescent="0.3">
      <c r="A2288" t="s">
        <v>3615</v>
      </c>
      <c r="B2288" t="s">
        <v>3844</v>
      </c>
      <c r="C2288">
        <v>2024</v>
      </c>
      <c r="D2288" t="s">
        <v>272</v>
      </c>
      <c r="E2288" t="s">
        <v>442</v>
      </c>
      <c r="F2288" t="s">
        <v>3846</v>
      </c>
      <c r="G2288" t="s">
        <v>334</v>
      </c>
      <c r="H2288">
        <v>65</v>
      </c>
      <c r="I2288" t="s">
        <v>3847</v>
      </c>
      <c r="J2288" t="s">
        <v>294</v>
      </c>
      <c r="M2288" t="s">
        <v>295</v>
      </c>
      <c r="N2288" t="s">
        <v>296</v>
      </c>
      <c r="O2288" t="s">
        <v>297</v>
      </c>
    </row>
    <row r="2289" spans="1:15" x14ac:dyDescent="0.3">
      <c r="A2289" t="s">
        <v>3615</v>
      </c>
      <c r="B2289" t="s">
        <v>3844</v>
      </c>
      <c r="C2289">
        <v>2024</v>
      </c>
      <c r="D2289" t="s">
        <v>272</v>
      </c>
      <c r="E2289" t="s">
        <v>445</v>
      </c>
      <c r="F2289">
        <v>0.13250000000000001</v>
      </c>
      <c r="G2289" t="s">
        <v>334</v>
      </c>
      <c r="H2289">
        <v>69</v>
      </c>
      <c r="I2289" t="s">
        <v>3752</v>
      </c>
      <c r="J2289" t="s">
        <v>294</v>
      </c>
      <c r="M2289" t="s">
        <v>295</v>
      </c>
      <c r="N2289" t="s">
        <v>296</v>
      </c>
      <c r="O2289" t="s">
        <v>297</v>
      </c>
    </row>
    <row r="2290" spans="1:15" x14ac:dyDescent="0.3">
      <c r="A2290" t="s">
        <v>3615</v>
      </c>
      <c r="B2290" t="s">
        <v>3844</v>
      </c>
      <c r="C2290">
        <v>2024</v>
      </c>
      <c r="D2290" t="s">
        <v>272</v>
      </c>
      <c r="E2290" t="s">
        <v>342</v>
      </c>
      <c r="F2290">
        <v>9230665050</v>
      </c>
      <c r="G2290" t="s">
        <v>1633</v>
      </c>
      <c r="H2290">
        <v>69</v>
      </c>
      <c r="I2290" t="s">
        <v>3848</v>
      </c>
      <c r="J2290" t="s">
        <v>294</v>
      </c>
      <c r="M2290" t="s">
        <v>295</v>
      </c>
      <c r="N2290" t="s">
        <v>296</v>
      </c>
      <c r="O2290" t="s">
        <v>297</v>
      </c>
    </row>
    <row r="2291" spans="1:15" x14ac:dyDescent="0.3">
      <c r="A2291" t="s">
        <v>3615</v>
      </c>
      <c r="B2291" t="s">
        <v>3844</v>
      </c>
      <c r="C2291">
        <v>2024</v>
      </c>
      <c r="D2291" t="s">
        <v>272</v>
      </c>
      <c r="E2291" t="s">
        <v>1203</v>
      </c>
      <c r="F2291" t="s">
        <v>3849</v>
      </c>
      <c r="G2291" t="s">
        <v>292</v>
      </c>
      <c r="H2291">
        <v>9</v>
      </c>
      <c r="I2291" t="s">
        <v>3850</v>
      </c>
      <c r="J2291" t="s">
        <v>294</v>
      </c>
      <c r="M2291" t="s">
        <v>295</v>
      </c>
      <c r="N2291" t="s">
        <v>296</v>
      </c>
      <c r="O2291" t="s">
        <v>297</v>
      </c>
    </row>
    <row r="2292" spans="1:15" x14ac:dyDescent="0.3">
      <c r="A2292" t="s">
        <v>3615</v>
      </c>
      <c r="B2292" t="s">
        <v>3844</v>
      </c>
      <c r="C2292">
        <v>2024</v>
      </c>
      <c r="D2292" t="s">
        <v>272</v>
      </c>
      <c r="E2292" t="s">
        <v>851</v>
      </c>
      <c r="F2292">
        <v>27936.720000000001</v>
      </c>
      <c r="G2292" t="s">
        <v>360</v>
      </c>
      <c r="I2292" t="s">
        <v>3851</v>
      </c>
      <c r="J2292" t="s">
        <v>294</v>
      </c>
      <c r="M2292" t="s">
        <v>295</v>
      </c>
      <c r="N2292" t="s">
        <v>296</v>
      </c>
      <c r="O2292" t="s">
        <v>297</v>
      </c>
    </row>
    <row r="2293" spans="1:15" x14ac:dyDescent="0.3">
      <c r="A2293" t="s">
        <v>3615</v>
      </c>
      <c r="B2293" t="s">
        <v>3844</v>
      </c>
      <c r="C2293">
        <v>2024</v>
      </c>
      <c r="D2293" t="s">
        <v>300</v>
      </c>
      <c r="E2293" t="s">
        <v>3629</v>
      </c>
      <c r="F2293">
        <v>3865</v>
      </c>
      <c r="G2293" t="s">
        <v>302</v>
      </c>
      <c r="H2293">
        <v>12</v>
      </c>
      <c r="I2293" t="s">
        <v>3852</v>
      </c>
      <c r="J2293" t="s">
        <v>294</v>
      </c>
      <c r="M2293" t="s">
        <v>295</v>
      </c>
      <c r="N2293" t="s">
        <v>296</v>
      </c>
      <c r="O2293" t="s">
        <v>297</v>
      </c>
    </row>
    <row r="2294" spans="1:15" x14ac:dyDescent="0.3">
      <c r="A2294" t="s">
        <v>3615</v>
      </c>
      <c r="B2294" t="s">
        <v>3844</v>
      </c>
      <c r="C2294">
        <v>2024</v>
      </c>
      <c r="D2294" t="s">
        <v>300</v>
      </c>
      <c r="E2294" t="s">
        <v>2868</v>
      </c>
      <c r="F2294">
        <v>3384</v>
      </c>
      <c r="G2294" t="s">
        <v>302</v>
      </c>
      <c r="H2294">
        <v>12</v>
      </c>
      <c r="I2294" t="s">
        <v>3853</v>
      </c>
      <c r="J2294" t="s">
        <v>294</v>
      </c>
      <c r="M2294" t="s">
        <v>295</v>
      </c>
      <c r="N2294" t="s">
        <v>296</v>
      </c>
      <c r="O2294" t="s">
        <v>297</v>
      </c>
    </row>
    <row r="2295" spans="1:15" x14ac:dyDescent="0.3">
      <c r="A2295" t="s">
        <v>3615</v>
      </c>
      <c r="B2295" t="s">
        <v>3844</v>
      </c>
      <c r="C2295">
        <v>2024</v>
      </c>
      <c r="D2295" t="s">
        <v>300</v>
      </c>
      <c r="E2295" t="s">
        <v>304</v>
      </c>
      <c r="F2295">
        <v>481</v>
      </c>
      <c r="G2295" t="s">
        <v>302</v>
      </c>
      <c r="H2295">
        <v>12</v>
      </c>
      <c r="I2295" t="s">
        <v>3854</v>
      </c>
      <c r="J2295" t="s">
        <v>294</v>
      </c>
      <c r="M2295" t="s">
        <v>295</v>
      </c>
      <c r="N2295" t="s">
        <v>296</v>
      </c>
      <c r="O2295" t="s">
        <v>297</v>
      </c>
    </row>
    <row r="2296" spans="1:15" x14ac:dyDescent="0.3">
      <c r="A2296" t="s">
        <v>3615</v>
      </c>
      <c r="B2296" t="s">
        <v>3844</v>
      </c>
      <c r="C2296">
        <v>2024</v>
      </c>
      <c r="D2296" t="s">
        <v>300</v>
      </c>
      <c r="E2296" t="s">
        <v>2871</v>
      </c>
      <c r="F2296">
        <v>72</v>
      </c>
      <c r="G2296" t="s">
        <v>302</v>
      </c>
      <c r="H2296">
        <v>12</v>
      </c>
      <c r="I2296" t="s">
        <v>3855</v>
      </c>
      <c r="J2296" t="s">
        <v>294</v>
      </c>
      <c r="M2296" t="s">
        <v>295</v>
      </c>
      <c r="N2296" t="s">
        <v>296</v>
      </c>
      <c r="O2296" t="s">
        <v>297</v>
      </c>
    </row>
    <row r="2297" spans="1:15" x14ac:dyDescent="0.3">
      <c r="A2297" t="s">
        <v>3615</v>
      </c>
      <c r="B2297" t="s">
        <v>3844</v>
      </c>
      <c r="C2297">
        <v>2024</v>
      </c>
      <c r="D2297" t="s">
        <v>300</v>
      </c>
      <c r="E2297" t="s">
        <v>3767</v>
      </c>
      <c r="F2297">
        <v>416</v>
      </c>
      <c r="G2297" t="s">
        <v>302</v>
      </c>
      <c r="H2297">
        <v>12</v>
      </c>
      <c r="I2297" t="s">
        <v>3856</v>
      </c>
      <c r="J2297" t="s">
        <v>294</v>
      </c>
      <c r="M2297" t="s">
        <v>295</v>
      </c>
      <c r="N2297" t="s">
        <v>296</v>
      </c>
      <c r="O2297" t="s">
        <v>297</v>
      </c>
    </row>
    <row r="2298" spans="1:15" x14ac:dyDescent="0.3">
      <c r="A2298" t="s">
        <v>3615</v>
      </c>
      <c r="B2298" t="s">
        <v>3844</v>
      </c>
      <c r="C2298">
        <v>2024</v>
      </c>
      <c r="D2298" t="s">
        <v>300</v>
      </c>
      <c r="E2298" t="s">
        <v>3041</v>
      </c>
      <c r="F2298">
        <v>90</v>
      </c>
      <c r="G2298" t="s">
        <v>302</v>
      </c>
      <c r="H2298">
        <v>12</v>
      </c>
      <c r="I2298" t="s">
        <v>3857</v>
      </c>
      <c r="J2298" t="s">
        <v>294</v>
      </c>
      <c r="M2298" t="s">
        <v>295</v>
      </c>
      <c r="N2298" t="s">
        <v>296</v>
      </c>
      <c r="O2298" t="s">
        <v>297</v>
      </c>
    </row>
    <row r="2299" spans="1:15" x14ac:dyDescent="0.3">
      <c r="A2299" t="s">
        <v>3615</v>
      </c>
      <c r="B2299" t="s">
        <v>3844</v>
      </c>
      <c r="C2299">
        <v>2024</v>
      </c>
      <c r="D2299" t="s">
        <v>300</v>
      </c>
      <c r="E2299" t="s">
        <v>579</v>
      </c>
      <c r="F2299">
        <v>335</v>
      </c>
      <c r="G2299" t="s">
        <v>302</v>
      </c>
      <c r="H2299">
        <v>12</v>
      </c>
      <c r="I2299" t="s">
        <v>3858</v>
      </c>
      <c r="J2299" t="s">
        <v>294</v>
      </c>
      <c r="M2299" t="s">
        <v>295</v>
      </c>
      <c r="N2299" t="s">
        <v>296</v>
      </c>
      <c r="O2299" t="s">
        <v>297</v>
      </c>
    </row>
    <row r="2300" spans="1:15" x14ac:dyDescent="0.3">
      <c r="A2300" t="s">
        <v>3615</v>
      </c>
      <c r="B2300" t="s">
        <v>3844</v>
      </c>
      <c r="C2300">
        <v>2024</v>
      </c>
      <c r="D2300" t="s">
        <v>300</v>
      </c>
      <c r="E2300" t="s">
        <v>581</v>
      </c>
      <c r="F2300">
        <v>74</v>
      </c>
      <c r="G2300" t="s">
        <v>302</v>
      </c>
      <c r="H2300">
        <v>12</v>
      </c>
      <c r="I2300" t="s">
        <v>3859</v>
      </c>
      <c r="J2300" t="s">
        <v>294</v>
      </c>
      <c r="M2300" t="s">
        <v>295</v>
      </c>
      <c r="N2300" t="s">
        <v>296</v>
      </c>
      <c r="O2300" t="s">
        <v>297</v>
      </c>
    </row>
    <row r="2301" spans="1:15" x14ac:dyDescent="0.3">
      <c r="A2301" t="s">
        <v>3615</v>
      </c>
      <c r="B2301" t="s">
        <v>3844</v>
      </c>
      <c r="C2301">
        <v>2024</v>
      </c>
      <c r="D2301" t="s">
        <v>300</v>
      </c>
      <c r="E2301" t="s">
        <v>3771</v>
      </c>
      <c r="F2301">
        <v>261</v>
      </c>
      <c r="G2301" t="s">
        <v>302</v>
      </c>
      <c r="H2301">
        <v>12</v>
      </c>
      <c r="I2301" t="s">
        <v>3860</v>
      </c>
      <c r="J2301" t="s">
        <v>294</v>
      </c>
      <c r="M2301" t="s">
        <v>295</v>
      </c>
      <c r="N2301" t="s">
        <v>296</v>
      </c>
      <c r="O2301" t="s">
        <v>297</v>
      </c>
    </row>
    <row r="2302" spans="1:15" x14ac:dyDescent="0.3">
      <c r="A2302" t="s">
        <v>3615</v>
      </c>
      <c r="B2302" t="s">
        <v>3844</v>
      </c>
      <c r="C2302">
        <v>2024</v>
      </c>
      <c r="D2302" t="s">
        <v>300</v>
      </c>
      <c r="E2302" t="s">
        <v>310</v>
      </c>
      <c r="F2302">
        <v>260</v>
      </c>
      <c r="G2302" t="s">
        <v>302</v>
      </c>
      <c r="H2302">
        <v>12</v>
      </c>
      <c r="I2302" t="s">
        <v>3861</v>
      </c>
      <c r="J2302" t="s">
        <v>294</v>
      </c>
      <c r="M2302" t="s">
        <v>295</v>
      </c>
      <c r="N2302" t="s">
        <v>296</v>
      </c>
      <c r="O2302" t="s">
        <v>297</v>
      </c>
    </row>
    <row r="2303" spans="1:15" x14ac:dyDescent="0.3">
      <c r="A2303" t="s">
        <v>3615</v>
      </c>
      <c r="B2303" t="s">
        <v>3844</v>
      </c>
      <c r="C2303">
        <v>2024</v>
      </c>
      <c r="D2303" t="s">
        <v>300</v>
      </c>
      <c r="E2303" t="s">
        <v>316</v>
      </c>
      <c r="F2303">
        <v>4105</v>
      </c>
      <c r="G2303" t="s">
        <v>302</v>
      </c>
      <c r="H2303">
        <v>10</v>
      </c>
      <c r="I2303" t="s">
        <v>3862</v>
      </c>
      <c r="J2303" t="s">
        <v>294</v>
      </c>
      <c r="M2303" t="s">
        <v>295</v>
      </c>
      <c r="N2303" t="s">
        <v>296</v>
      </c>
      <c r="O2303" t="s">
        <v>297</v>
      </c>
    </row>
    <row r="2304" spans="1:15" x14ac:dyDescent="0.3">
      <c r="A2304" t="s">
        <v>3615</v>
      </c>
      <c r="B2304" t="s">
        <v>3844</v>
      </c>
      <c r="C2304">
        <v>2024</v>
      </c>
      <c r="D2304" t="s">
        <v>300</v>
      </c>
      <c r="E2304" t="s">
        <v>312</v>
      </c>
      <c r="F2304">
        <v>1922</v>
      </c>
      <c r="G2304" t="s">
        <v>302</v>
      </c>
      <c r="H2304">
        <v>85</v>
      </c>
      <c r="I2304" t="s">
        <v>3863</v>
      </c>
      <c r="J2304" t="s">
        <v>294</v>
      </c>
      <c r="M2304" t="s">
        <v>295</v>
      </c>
      <c r="N2304" t="s">
        <v>296</v>
      </c>
      <c r="O2304" t="s">
        <v>297</v>
      </c>
    </row>
    <row r="2305" spans="1:15" x14ac:dyDescent="0.3">
      <c r="A2305" t="s">
        <v>3615</v>
      </c>
      <c r="B2305" t="s">
        <v>3844</v>
      </c>
      <c r="C2305">
        <v>2024</v>
      </c>
      <c r="D2305" t="s">
        <v>300</v>
      </c>
      <c r="E2305" t="s">
        <v>314</v>
      </c>
      <c r="F2305">
        <v>2183</v>
      </c>
      <c r="G2305" t="s">
        <v>302</v>
      </c>
      <c r="H2305">
        <v>85</v>
      </c>
      <c r="I2305" t="s">
        <v>3864</v>
      </c>
      <c r="J2305" t="s">
        <v>294</v>
      </c>
      <c r="M2305" t="s">
        <v>295</v>
      </c>
      <c r="N2305" t="s">
        <v>296</v>
      </c>
      <c r="O2305" t="s">
        <v>297</v>
      </c>
    </row>
    <row r="2306" spans="1:15" x14ac:dyDescent="0.3">
      <c r="A2306" t="s">
        <v>3615</v>
      </c>
      <c r="B2306" t="s">
        <v>3844</v>
      </c>
      <c r="C2306">
        <v>2024</v>
      </c>
      <c r="D2306" t="s">
        <v>300</v>
      </c>
      <c r="E2306" t="s">
        <v>322</v>
      </c>
      <c r="F2306">
        <v>2404</v>
      </c>
      <c r="G2306" t="s">
        <v>302</v>
      </c>
      <c r="H2306">
        <v>11</v>
      </c>
      <c r="I2306" t="s">
        <v>3865</v>
      </c>
      <c r="J2306" t="s">
        <v>294</v>
      </c>
      <c r="M2306" t="s">
        <v>295</v>
      </c>
      <c r="N2306" t="s">
        <v>296</v>
      </c>
      <c r="O2306" t="s">
        <v>297</v>
      </c>
    </row>
    <row r="2307" spans="1:15" x14ac:dyDescent="0.3">
      <c r="A2307" t="s">
        <v>3615</v>
      </c>
      <c r="B2307" t="s">
        <v>3844</v>
      </c>
      <c r="C2307">
        <v>2024</v>
      </c>
      <c r="D2307" t="s">
        <v>300</v>
      </c>
      <c r="E2307" t="s">
        <v>318</v>
      </c>
      <c r="F2307">
        <v>602</v>
      </c>
      <c r="G2307" t="s">
        <v>302</v>
      </c>
      <c r="H2307">
        <v>85</v>
      </c>
      <c r="I2307" t="s">
        <v>3866</v>
      </c>
      <c r="J2307" t="s">
        <v>294</v>
      </c>
      <c r="M2307" t="s">
        <v>295</v>
      </c>
      <c r="N2307" t="s">
        <v>296</v>
      </c>
      <c r="O2307" t="s">
        <v>297</v>
      </c>
    </row>
    <row r="2308" spans="1:15" x14ac:dyDescent="0.3">
      <c r="A2308" t="s">
        <v>3615</v>
      </c>
      <c r="B2308" t="s">
        <v>3844</v>
      </c>
      <c r="C2308">
        <v>2024</v>
      </c>
      <c r="D2308" t="s">
        <v>300</v>
      </c>
      <c r="E2308" t="s">
        <v>320</v>
      </c>
      <c r="F2308">
        <v>1802</v>
      </c>
      <c r="G2308" t="s">
        <v>302</v>
      </c>
      <c r="H2308">
        <v>85</v>
      </c>
      <c r="I2308" t="s">
        <v>3867</v>
      </c>
      <c r="J2308" t="s">
        <v>294</v>
      </c>
      <c r="M2308" t="s">
        <v>295</v>
      </c>
      <c r="N2308" t="s">
        <v>296</v>
      </c>
      <c r="O2308" t="s">
        <v>297</v>
      </c>
    </row>
    <row r="2309" spans="1:15" x14ac:dyDescent="0.3">
      <c r="A2309" t="s">
        <v>3615</v>
      </c>
      <c r="B2309" t="s">
        <v>3844</v>
      </c>
      <c r="C2309">
        <v>2024</v>
      </c>
      <c r="D2309" t="s">
        <v>300</v>
      </c>
      <c r="E2309" t="s">
        <v>324</v>
      </c>
      <c r="F2309">
        <v>1701</v>
      </c>
      <c r="G2309" t="s">
        <v>302</v>
      </c>
      <c r="H2309">
        <v>11</v>
      </c>
      <c r="I2309" t="s">
        <v>3868</v>
      </c>
      <c r="J2309" t="s">
        <v>294</v>
      </c>
      <c r="M2309" t="s">
        <v>295</v>
      </c>
      <c r="N2309" t="s">
        <v>296</v>
      </c>
      <c r="O2309" t="s">
        <v>297</v>
      </c>
    </row>
    <row r="2310" spans="1:15" x14ac:dyDescent="0.3">
      <c r="A2310" t="s">
        <v>3615</v>
      </c>
      <c r="B2310" t="s">
        <v>3844</v>
      </c>
      <c r="C2310">
        <v>2024</v>
      </c>
      <c r="D2310" t="s">
        <v>300</v>
      </c>
      <c r="E2310" t="s">
        <v>3646</v>
      </c>
      <c r="F2310">
        <v>923</v>
      </c>
      <c r="G2310" t="s">
        <v>302</v>
      </c>
      <c r="H2310">
        <v>11</v>
      </c>
      <c r="I2310" t="s">
        <v>3869</v>
      </c>
      <c r="J2310" t="s">
        <v>294</v>
      </c>
      <c r="M2310" t="s">
        <v>295</v>
      </c>
      <c r="N2310" t="s">
        <v>296</v>
      </c>
      <c r="O2310" t="s">
        <v>297</v>
      </c>
    </row>
    <row r="2311" spans="1:15" x14ac:dyDescent="0.3">
      <c r="A2311" t="s">
        <v>3615</v>
      </c>
      <c r="B2311" t="s">
        <v>3844</v>
      </c>
      <c r="C2311">
        <v>2024</v>
      </c>
      <c r="D2311" t="s">
        <v>300</v>
      </c>
      <c r="E2311" t="s">
        <v>1144</v>
      </c>
      <c r="F2311">
        <v>418</v>
      </c>
      <c r="G2311" t="s">
        <v>302</v>
      </c>
      <c r="H2311">
        <v>11</v>
      </c>
      <c r="I2311" t="s">
        <v>3870</v>
      </c>
      <c r="J2311" t="s">
        <v>294</v>
      </c>
      <c r="M2311" t="s">
        <v>295</v>
      </c>
      <c r="N2311" t="s">
        <v>296</v>
      </c>
      <c r="O2311" t="s">
        <v>297</v>
      </c>
    </row>
    <row r="2312" spans="1:15" x14ac:dyDescent="0.3">
      <c r="A2312" t="s">
        <v>3615</v>
      </c>
      <c r="B2312" t="s">
        <v>3844</v>
      </c>
      <c r="C2312">
        <v>2024</v>
      </c>
      <c r="D2312" t="s">
        <v>300</v>
      </c>
      <c r="E2312" t="s">
        <v>3784</v>
      </c>
      <c r="F2312">
        <v>362</v>
      </c>
      <c r="G2312" t="s">
        <v>302</v>
      </c>
      <c r="H2312">
        <v>11</v>
      </c>
      <c r="I2312" t="s">
        <v>3871</v>
      </c>
      <c r="J2312" t="s">
        <v>294</v>
      </c>
      <c r="M2312" t="s">
        <v>295</v>
      </c>
      <c r="N2312" t="s">
        <v>296</v>
      </c>
      <c r="O2312" t="s">
        <v>297</v>
      </c>
    </row>
    <row r="2313" spans="1:15" x14ac:dyDescent="0.3">
      <c r="A2313" t="s">
        <v>3615</v>
      </c>
      <c r="B2313" t="s">
        <v>3844</v>
      </c>
      <c r="C2313">
        <v>2024</v>
      </c>
      <c r="D2313" t="s">
        <v>300</v>
      </c>
      <c r="E2313" t="s">
        <v>471</v>
      </c>
      <c r="F2313">
        <v>252</v>
      </c>
      <c r="G2313" t="s">
        <v>302</v>
      </c>
      <c r="H2313">
        <v>10</v>
      </c>
      <c r="I2313" t="s">
        <v>3872</v>
      </c>
      <c r="J2313" t="s">
        <v>294</v>
      </c>
      <c r="M2313" t="s">
        <v>295</v>
      </c>
      <c r="N2313" t="s">
        <v>296</v>
      </c>
      <c r="O2313" t="s">
        <v>297</v>
      </c>
    </row>
    <row r="2314" spans="1:15" x14ac:dyDescent="0.3">
      <c r="A2314" t="s">
        <v>3615</v>
      </c>
      <c r="B2314" t="s">
        <v>3844</v>
      </c>
      <c r="C2314">
        <v>2024</v>
      </c>
      <c r="D2314" t="s">
        <v>300</v>
      </c>
      <c r="E2314" t="s">
        <v>479</v>
      </c>
      <c r="F2314">
        <v>670</v>
      </c>
      <c r="G2314" t="s">
        <v>302</v>
      </c>
      <c r="H2314">
        <v>10</v>
      </c>
      <c r="I2314" t="s">
        <v>3873</v>
      </c>
      <c r="J2314" t="s">
        <v>294</v>
      </c>
      <c r="M2314" t="s">
        <v>295</v>
      </c>
      <c r="N2314" t="s">
        <v>296</v>
      </c>
      <c r="O2314" t="s">
        <v>297</v>
      </c>
    </row>
    <row r="2315" spans="1:15" x14ac:dyDescent="0.3">
      <c r="A2315" t="s">
        <v>3615</v>
      </c>
      <c r="B2315" t="s">
        <v>3844</v>
      </c>
      <c r="C2315">
        <v>2024</v>
      </c>
      <c r="D2315" t="s">
        <v>300</v>
      </c>
      <c r="E2315" t="s">
        <v>481</v>
      </c>
      <c r="F2315">
        <v>427</v>
      </c>
      <c r="G2315" t="s">
        <v>302</v>
      </c>
      <c r="H2315">
        <v>10</v>
      </c>
      <c r="I2315" t="s">
        <v>3874</v>
      </c>
      <c r="J2315" t="s">
        <v>294</v>
      </c>
      <c r="M2315" t="s">
        <v>295</v>
      </c>
      <c r="N2315" t="s">
        <v>296</v>
      </c>
      <c r="O2315" t="s">
        <v>297</v>
      </c>
    </row>
    <row r="2316" spans="1:15" x14ac:dyDescent="0.3">
      <c r="A2316" t="s">
        <v>3615</v>
      </c>
      <c r="B2316" t="s">
        <v>3844</v>
      </c>
      <c r="C2316">
        <v>2024</v>
      </c>
      <c r="D2316" t="s">
        <v>300</v>
      </c>
      <c r="E2316" t="s">
        <v>2670</v>
      </c>
      <c r="F2316">
        <v>65</v>
      </c>
      <c r="G2316" t="s">
        <v>302</v>
      </c>
      <c r="H2316">
        <v>11</v>
      </c>
      <c r="I2316" t="s">
        <v>3875</v>
      </c>
      <c r="J2316" t="s">
        <v>294</v>
      </c>
      <c r="M2316" t="s">
        <v>295</v>
      </c>
      <c r="N2316" t="s">
        <v>296</v>
      </c>
      <c r="O2316" t="s">
        <v>297</v>
      </c>
    </row>
    <row r="2317" spans="1:15" x14ac:dyDescent="0.3">
      <c r="A2317" t="s">
        <v>3615</v>
      </c>
      <c r="B2317" t="s">
        <v>3844</v>
      </c>
      <c r="C2317">
        <v>2024</v>
      </c>
      <c r="D2317" t="s">
        <v>300</v>
      </c>
      <c r="E2317" t="s">
        <v>475</v>
      </c>
      <c r="F2317">
        <v>1790</v>
      </c>
      <c r="G2317" t="s">
        <v>302</v>
      </c>
      <c r="H2317">
        <v>11</v>
      </c>
      <c r="I2317" t="s">
        <v>3876</v>
      </c>
      <c r="J2317" t="s">
        <v>294</v>
      </c>
      <c r="M2317" t="s">
        <v>295</v>
      </c>
      <c r="N2317" t="s">
        <v>296</v>
      </c>
      <c r="O2317" t="s">
        <v>297</v>
      </c>
    </row>
    <row r="2318" spans="1:15" x14ac:dyDescent="0.3">
      <c r="A2318" t="s">
        <v>3615</v>
      </c>
      <c r="B2318" t="s">
        <v>3844</v>
      </c>
      <c r="C2318">
        <v>2024</v>
      </c>
      <c r="D2318" t="s">
        <v>300</v>
      </c>
      <c r="E2318" t="s">
        <v>477</v>
      </c>
      <c r="F2318">
        <v>1855</v>
      </c>
      <c r="G2318" t="s">
        <v>302</v>
      </c>
      <c r="H2318">
        <v>11</v>
      </c>
      <c r="I2318" t="s">
        <v>3877</v>
      </c>
      <c r="J2318" t="s">
        <v>294</v>
      </c>
      <c r="M2318" t="s">
        <v>295</v>
      </c>
      <c r="N2318" t="s">
        <v>296</v>
      </c>
      <c r="O2318" t="s">
        <v>297</v>
      </c>
    </row>
    <row r="2319" spans="1:15" x14ac:dyDescent="0.3">
      <c r="A2319" t="s">
        <v>3615</v>
      </c>
      <c r="B2319" t="s">
        <v>3844</v>
      </c>
      <c r="C2319">
        <v>2024</v>
      </c>
      <c r="D2319" t="s">
        <v>300</v>
      </c>
      <c r="E2319" t="s">
        <v>599</v>
      </c>
      <c r="F2319">
        <v>467</v>
      </c>
      <c r="G2319" t="s">
        <v>302</v>
      </c>
      <c r="H2319">
        <v>11</v>
      </c>
      <c r="I2319" t="s">
        <v>3878</v>
      </c>
      <c r="J2319" t="s">
        <v>294</v>
      </c>
      <c r="M2319" t="s">
        <v>295</v>
      </c>
      <c r="N2319" t="s">
        <v>296</v>
      </c>
      <c r="O2319" t="s">
        <v>297</v>
      </c>
    </row>
    <row r="2320" spans="1:15" x14ac:dyDescent="0.3">
      <c r="A2320" t="s">
        <v>3615</v>
      </c>
      <c r="B2320" t="s">
        <v>3844</v>
      </c>
      <c r="C2320">
        <v>2024</v>
      </c>
      <c r="D2320" t="s">
        <v>300</v>
      </c>
      <c r="E2320" t="s">
        <v>3505</v>
      </c>
      <c r="F2320">
        <v>53</v>
      </c>
      <c r="G2320" t="s">
        <v>302</v>
      </c>
      <c r="H2320">
        <v>11</v>
      </c>
      <c r="I2320" t="s">
        <v>3879</v>
      </c>
      <c r="J2320" t="s">
        <v>294</v>
      </c>
      <c r="M2320" t="s">
        <v>295</v>
      </c>
      <c r="N2320" t="s">
        <v>296</v>
      </c>
      <c r="O2320" t="s">
        <v>297</v>
      </c>
    </row>
    <row r="2321" spans="1:15" x14ac:dyDescent="0.3">
      <c r="A2321" t="s">
        <v>3615</v>
      </c>
      <c r="B2321" t="s">
        <v>3844</v>
      </c>
      <c r="C2321">
        <v>2024</v>
      </c>
      <c r="D2321" t="s">
        <v>300</v>
      </c>
      <c r="E2321" t="s">
        <v>3656</v>
      </c>
      <c r="F2321">
        <v>253</v>
      </c>
      <c r="G2321" t="s">
        <v>302</v>
      </c>
      <c r="H2321">
        <v>13</v>
      </c>
      <c r="I2321" t="s">
        <v>3880</v>
      </c>
      <c r="J2321" t="s">
        <v>294</v>
      </c>
      <c r="M2321" t="s">
        <v>295</v>
      </c>
      <c r="N2321" t="s">
        <v>296</v>
      </c>
      <c r="O2321" t="s">
        <v>297</v>
      </c>
    </row>
    <row r="2322" spans="1:15" x14ac:dyDescent="0.3">
      <c r="A2322" t="s">
        <v>3615</v>
      </c>
      <c r="B2322" t="s">
        <v>3844</v>
      </c>
      <c r="C2322">
        <v>2024</v>
      </c>
      <c r="D2322" t="s">
        <v>300</v>
      </c>
      <c r="E2322" t="s">
        <v>3658</v>
      </c>
      <c r="F2322">
        <v>-75</v>
      </c>
      <c r="G2322" t="s">
        <v>302</v>
      </c>
      <c r="H2322">
        <v>13</v>
      </c>
      <c r="I2322" t="s">
        <v>3881</v>
      </c>
      <c r="J2322" t="s">
        <v>294</v>
      </c>
      <c r="M2322" t="s">
        <v>295</v>
      </c>
      <c r="N2322" t="s">
        <v>296</v>
      </c>
      <c r="O2322" t="s">
        <v>297</v>
      </c>
    </row>
    <row r="2323" spans="1:15" x14ac:dyDescent="0.3">
      <c r="A2323" t="s">
        <v>3615</v>
      </c>
      <c r="B2323" t="s">
        <v>3844</v>
      </c>
      <c r="C2323">
        <v>2024</v>
      </c>
      <c r="D2323" t="s">
        <v>300</v>
      </c>
      <c r="E2323" t="s">
        <v>3660</v>
      </c>
      <c r="F2323">
        <v>-86</v>
      </c>
      <c r="G2323" t="s">
        <v>302</v>
      </c>
      <c r="H2323">
        <v>13</v>
      </c>
      <c r="I2323" t="s">
        <v>3882</v>
      </c>
      <c r="J2323" t="s">
        <v>294</v>
      </c>
      <c r="M2323" t="s">
        <v>295</v>
      </c>
      <c r="N2323" t="s">
        <v>296</v>
      </c>
      <c r="O2323" t="s">
        <v>297</v>
      </c>
    </row>
    <row r="2324" spans="1:15" x14ac:dyDescent="0.3">
      <c r="A2324" t="s">
        <v>3615</v>
      </c>
      <c r="B2324" t="s">
        <v>3844</v>
      </c>
      <c r="C2324">
        <v>2024</v>
      </c>
      <c r="D2324" t="s">
        <v>300</v>
      </c>
      <c r="E2324" t="s">
        <v>3801</v>
      </c>
      <c r="F2324">
        <v>15</v>
      </c>
      <c r="G2324" t="s">
        <v>302</v>
      </c>
      <c r="H2324">
        <v>91</v>
      </c>
      <c r="I2324" t="s">
        <v>3883</v>
      </c>
      <c r="J2324" t="s">
        <v>294</v>
      </c>
      <c r="M2324" t="s">
        <v>295</v>
      </c>
      <c r="N2324" t="s">
        <v>296</v>
      </c>
      <c r="O2324" t="s">
        <v>297</v>
      </c>
    </row>
    <row r="2325" spans="1:15" x14ac:dyDescent="0.3">
      <c r="A2325" t="s">
        <v>3615</v>
      </c>
      <c r="B2325" t="s">
        <v>3844</v>
      </c>
      <c r="C2325">
        <v>2024</v>
      </c>
      <c r="D2325" t="s">
        <v>300</v>
      </c>
      <c r="E2325" t="s">
        <v>3884</v>
      </c>
      <c r="F2325">
        <v>134</v>
      </c>
      <c r="G2325" t="s">
        <v>302</v>
      </c>
      <c r="I2325" t="s">
        <v>3885</v>
      </c>
      <c r="J2325" t="s">
        <v>294</v>
      </c>
      <c r="M2325" t="s">
        <v>295</v>
      </c>
      <c r="N2325" t="s">
        <v>296</v>
      </c>
      <c r="O2325" t="s">
        <v>297</v>
      </c>
    </row>
    <row r="2326" spans="1:15" x14ac:dyDescent="0.3">
      <c r="A2326" t="s">
        <v>3615</v>
      </c>
      <c r="B2326" t="s">
        <v>3844</v>
      </c>
      <c r="C2326">
        <v>2024</v>
      </c>
      <c r="D2326" t="s">
        <v>300</v>
      </c>
      <c r="E2326" t="s">
        <v>3049</v>
      </c>
      <c r="F2326">
        <v>28.25</v>
      </c>
      <c r="G2326" t="s">
        <v>346</v>
      </c>
      <c r="H2326">
        <v>12</v>
      </c>
      <c r="I2326" t="s">
        <v>3886</v>
      </c>
      <c r="J2326" t="s">
        <v>294</v>
      </c>
      <c r="M2326" t="s">
        <v>295</v>
      </c>
      <c r="N2326" t="s">
        <v>296</v>
      </c>
      <c r="O2326" t="s">
        <v>297</v>
      </c>
    </row>
    <row r="2327" spans="1:15" x14ac:dyDescent="0.3">
      <c r="A2327" t="s">
        <v>3615</v>
      </c>
      <c r="B2327" t="s">
        <v>3844</v>
      </c>
      <c r="C2327">
        <v>2024</v>
      </c>
      <c r="D2327" t="s">
        <v>300</v>
      </c>
      <c r="E2327" t="s">
        <v>498</v>
      </c>
      <c r="F2327">
        <v>310</v>
      </c>
      <c r="G2327" t="s">
        <v>346</v>
      </c>
      <c r="H2327">
        <v>15</v>
      </c>
      <c r="I2327" t="s">
        <v>3887</v>
      </c>
      <c r="J2327" t="s">
        <v>294</v>
      </c>
      <c r="M2327" t="s">
        <v>295</v>
      </c>
      <c r="N2327" t="s">
        <v>296</v>
      </c>
      <c r="O2327" t="s">
        <v>297</v>
      </c>
    </row>
    <row r="2328" spans="1:15" x14ac:dyDescent="0.3">
      <c r="A2328" t="s">
        <v>3615</v>
      </c>
      <c r="B2328" t="s">
        <v>3844</v>
      </c>
      <c r="C2328">
        <v>2024</v>
      </c>
      <c r="D2328" t="s">
        <v>300</v>
      </c>
      <c r="E2328" t="s">
        <v>3374</v>
      </c>
      <c r="F2328">
        <v>2862</v>
      </c>
      <c r="G2328" t="s">
        <v>302</v>
      </c>
      <c r="H2328">
        <v>14</v>
      </c>
      <c r="I2328" t="s">
        <v>3888</v>
      </c>
      <c r="J2328" t="s">
        <v>294</v>
      </c>
      <c r="M2328" t="s">
        <v>295</v>
      </c>
      <c r="N2328" t="s">
        <v>296</v>
      </c>
      <c r="O2328" t="s">
        <v>297</v>
      </c>
    </row>
    <row r="2329" spans="1:15" x14ac:dyDescent="0.3">
      <c r="A2329" t="s">
        <v>3615</v>
      </c>
      <c r="B2329" t="s">
        <v>3844</v>
      </c>
      <c r="C2329">
        <v>2024</v>
      </c>
      <c r="D2329" t="s">
        <v>300</v>
      </c>
      <c r="E2329" t="s">
        <v>326</v>
      </c>
      <c r="F2329">
        <v>3.19</v>
      </c>
      <c r="G2329" t="s">
        <v>327</v>
      </c>
      <c r="H2329">
        <v>13</v>
      </c>
      <c r="I2329" t="s">
        <v>3889</v>
      </c>
      <c r="J2329" t="s">
        <v>294</v>
      </c>
      <c r="M2329" t="s">
        <v>295</v>
      </c>
      <c r="N2329" t="s">
        <v>296</v>
      </c>
      <c r="O2329" t="s">
        <v>297</v>
      </c>
    </row>
    <row r="2330" spans="1:15" x14ac:dyDescent="0.3">
      <c r="A2330" t="s">
        <v>3615</v>
      </c>
      <c r="B2330" t="s">
        <v>3844</v>
      </c>
      <c r="C2330">
        <v>2024</v>
      </c>
      <c r="D2330" t="s">
        <v>300</v>
      </c>
      <c r="E2330" t="s">
        <v>2762</v>
      </c>
      <c r="F2330">
        <v>1.41</v>
      </c>
      <c r="G2330" t="s">
        <v>327</v>
      </c>
      <c r="H2330">
        <v>13</v>
      </c>
      <c r="I2330" t="s">
        <v>3890</v>
      </c>
      <c r="J2330" t="s">
        <v>294</v>
      </c>
      <c r="M2330" t="s">
        <v>295</v>
      </c>
      <c r="N2330" t="s">
        <v>296</v>
      </c>
      <c r="O2330" t="s">
        <v>297</v>
      </c>
    </row>
    <row r="2331" spans="1:15" x14ac:dyDescent="0.3">
      <c r="A2331" t="s">
        <v>3615</v>
      </c>
      <c r="B2331" t="s">
        <v>3844</v>
      </c>
      <c r="C2331">
        <v>2024</v>
      </c>
      <c r="D2331" t="s">
        <v>300</v>
      </c>
      <c r="E2331" t="s">
        <v>3670</v>
      </c>
      <c r="F2331">
        <v>0.59</v>
      </c>
      <c r="G2331" t="s">
        <v>327</v>
      </c>
      <c r="H2331">
        <v>13</v>
      </c>
      <c r="I2331" t="s">
        <v>3891</v>
      </c>
      <c r="J2331" t="s">
        <v>294</v>
      </c>
      <c r="M2331" t="s">
        <v>295</v>
      </c>
      <c r="N2331" t="s">
        <v>296</v>
      </c>
      <c r="O2331" t="s">
        <v>297</v>
      </c>
    </row>
    <row r="2332" spans="1:15" x14ac:dyDescent="0.3">
      <c r="A2332" t="s">
        <v>3615</v>
      </c>
      <c r="B2332" t="s">
        <v>3844</v>
      </c>
      <c r="C2332">
        <v>2024</v>
      </c>
      <c r="D2332" t="s">
        <v>300</v>
      </c>
      <c r="E2332" t="s">
        <v>333</v>
      </c>
      <c r="F2332">
        <v>0.06</v>
      </c>
      <c r="G2332" t="s">
        <v>327</v>
      </c>
      <c r="H2332">
        <v>13</v>
      </c>
      <c r="I2332" t="s">
        <v>3892</v>
      </c>
      <c r="J2332" t="s">
        <v>294</v>
      </c>
      <c r="M2332" t="s">
        <v>295</v>
      </c>
      <c r="N2332" t="s">
        <v>296</v>
      </c>
      <c r="O2332" t="s">
        <v>297</v>
      </c>
    </row>
    <row r="2333" spans="1:15" x14ac:dyDescent="0.3">
      <c r="A2333" t="s">
        <v>3615</v>
      </c>
      <c r="B2333" t="s">
        <v>3844</v>
      </c>
      <c r="C2333">
        <v>2024</v>
      </c>
      <c r="D2333" t="s">
        <v>300</v>
      </c>
      <c r="E2333" t="s">
        <v>336</v>
      </c>
      <c r="F2333">
        <v>0.15</v>
      </c>
      <c r="G2333" t="s">
        <v>327</v>
      </c>
      <c r="H2333">
        <v>13</v>
      </c>
      <c r="I2333" t="s">
        <v>3893</v>
      </c>
      <c r="J2333" t="s">
        <v>294</v>
      </c>
      <c r="M2333" t="s">
        <v>295</v>
      </c>
      <c r="N2333" t="s">
        <v>296</v>
      </c>
      <c r="O2333" t="s">
        <v>297</v>
      </c>
    </row>
    <row r="2334" spans="1:15" x14ac:dyDescent="0.3">
      <c r="A2334" t="s">
        <v>3615</v>
      </c>
      <c r="B2334" t="s">
        <v>3844</v>
      </c>
      <c r="C2334">
        <v>2024</v>
      </c>
      <c r="D2334" t="s">
        <v>300</v>
      </c>
      <c r="E2334" t="s">
        <v>903</v>
      </c>
      <c r="F2334">
        <v>7.0000000000000007E-2</v>
      </c>
      <c r="G2334" t="s">
        <v>327</v>
      </c>
      <c r="H2334">
        <v>13</v>
      </c>
      <c r="I2334" t="s">
        <v>3894</v>
      </c>
      <c r="J2334" t="s">
        <v>294</v>
      </c>
      <c r="M2334" t="s">
        <v>295</v>
      </c>
      <c r="N2334" t="s">
        <v>296</v>
      </c>
      <c r="O2334" t="s">
        <v>297</v>
      </c>
    </row>
    <row r="2335" spans="1:15" x14ac:dyDescent="0.3">
      <c r="A2335" t="s">
        <v>3615</v>
      </c>
      <c r="B2335" t="s">
        <v>3844</v>
      </c>
      <c r="C2335">
        <v>2024</v>
      </c>
      <c r="D2335" t="s">
        <v>300</v>
      </c>
      <c r="E2335" t="s">
        <v>3895</v>
      </c>
      <c r="F2335">
        <v>0.94</v>
      </c>
      <c r="G2335" t="s">
        <v>327</v>
      </c>
      <c r="H2335">
        <v>13</v>
      </c>
      <c r="I2335" t="s">
        <v>3896</v>
      </c>
      <c r="J2335" t="s">
        <v>294</v>
      </c>
      <c r="M2335" t="s">
        <v>295</v>
      </c>
      <c r="N2335" t="s">
        <v>296</v>
      </c>
      <c r="O2335" t="s">
        <v>297</v>
      </c>
    </row>
    <row r="2336" spans="1:15" x14ac:dyDescent="0.3">
      <c r="A2336" t="s">
        <v>3615</v>
      </c>
      <c r="B2336" t="s">
        <v>3844</v>
      </c>
      <c r="C2336">
        <v>2024</v>
      </c>
      <c r="D2336" t="s">
        <v>358</v>
      </c>
      <c r="E2336" t="s">
        <v>3678</v>
      </c>
      <c r="F2336">
        <v>18226.09</v>
      </c>
      <c r="G2336" t="s">
        <v>360</v>
      </c>
      <c r="H2336">
        <v>231</v>
      </c>
      <c r="I2336" t="s">
        <v>3897</v>
      </c>
      <c r="J2336" t="s">
        <v>294</v>
      </c>
      <c r="M2336" t="s">
        <v>295</v>
      </c>
      <c r="N2336" t="s">
        <v>296</v>
      </c>
      <c r="O2336" t="s">
        <v>297</v>
      </c>
    </row>
    <row r="2337" spans="1:15" x14ac:dyDescent="0.3">
      <c r="A2337" t="s">
        <v>3615</v>
      </c>
      <c r="B2337" t="s">
        <v>3844</v>
      </c>
      <c r="C2337">
        <v>2024</v>
      </c>
      <c r="D2337" t="s">
        <v>358</v>
      </c>
      <c r="E2337" t="s">
        <v>3680</v>
      </c>
      <c r="F2337">
        <v>10667.64</v>
      </c>
      <c r="G2337" t="s">
        <v>360</v>
      </c>
      <c r="H2337">
        <v>231</v>
      </c>
      <c r="I2337" t="s">
        <v>3898</v>
      </c>
      <c r="J2337" t="s">
        <v>294</v>
      </c>
      <c r="M2337" t="s">
        <v>295</v>
      </c>
      <c r="N2337" t="s">
        <v>296</v>
      </c>
      <c r="O2337" t="s">
        <v>297</v>
      </c>
    </row>
    <row r="2338" spans="1:15" x14ac:dyDescent="0.3">
      <c r="A2338" t="s">
        <v>3615</v>
      </c>
      <c r="B2338" t="s">
        <v>3844</v>
      </c>
      <c r="C2338">
        <v>2024</v>
      </c>
      <c r="D2338" t="s">
        <v>358</v>
      </c>
      <c r="E2338" t="s">
        <v>3682</v>
      </c>
      <c r="F2338">
        <v>7558.45</v>
      </c>
      <c r="G2338" t="s">
        <v>360</v>
      </c>
      <c r="H2338">
        <v>231</v>
      </c>
      <c r="I2338" t="s">
        <v>3899</v>
      </c>
      <c r="J2338" t="s">
        <v>294</v>
      </c>
      <c r="M2338" t="s">
        <v>295</v>
      </c>
      <c r="N2338" t="s">
        <v>296</v>
      </c>
      <c r="O2338" t="s">
        <v>297</v>
      </c>
    </row>
    <row r="2339" spans="1:15" x14ac:dyDescent="0.3">
      <c r="A2339" t="s">
        <v>3615</v>
      </c>
      <c r="B2339" t="s">
        <v>3844</v>
      </c>
      <c r="C2339">
        <v>2024</v>
      </c>
      <c r="D2339" t="s">
        <v>358</v>
      </c>
      <c r="E2339" t="s">
        <v>3684</v>
      </c>
      <c r="F2339">
        <v>27936.720000000001</v>
      </c>
      <c r="G2339" t="s">
        <v>360</v>
      </c>
      <c r="I2339" t="s">
        <v>3900</v>
      </c>
      <c r="J2339" t="s">
        <v>294</v>
      </c>
      <c r="M2339" t="s">
        <v>295</v>
      </c>
      <c r="N2339" t="s">
        <v>296</v>
      </c>
      <c r="O2339" t="s">
        <v>297</v>
      </c>
    </row>
    <row r="2340" spans="1:15" x14ac:dyDescent="0.3">
      <c r="A2340" t="s">
        <v>3615</v>
      </c>
      <c r="B2340" t="s">
        <v>3844</v>
      </c>
      <c r="C2340">
        <v>2024</v>
      </c>
      <c r="D2340" t="s">
        <v>358</v>
      </c>
      <c r="E2340" t="s">
        <v>364</v>
      </c>
      <c r="F2340">
        <v>518.12</v>
      </c>
      <c r="G2340" t="s">
        <v>360</v>
      </c>
      <c r="I2340" t="s">
        <v>3901</v>
      </c>
      <c r="J2340" t="s">
        <v>294</v>
      </c>
      <c r="M2340" t="s">
        <v>295</v>
      </c>
      <c r="N2340" t="s">
        <v>296</v>
      </c>
      <c r="O2340" t="s">
        <v>297</v>
      </c>
    </row>
    <row r="2341" spans="1:15" x14ac:dyDescent="0.3">
      <c r="A2341" t="s">
        <v>3615</v>
      </c>
      <c r="B2341" t="s">
        <v>3844</v>
      </c>
      <c r="C2341">
        <v>2024</v>
      </c>
      <c r="D2341" t="s">
        <v>358</v>
      </c>
      <c r="E2341" t="s">
        <v>3817</v>
      </c>
      <c r="F2341">
        <v>1912</v>
      </c>
      <c r="G2341" t="s">
        <v>302</v>
      </c>
      <c r="H2341">
        <v>231</v>
      </c>
      <c r="I2341" t="s">
        <v>3902</v>
      </c>
      <c r="J2341" t="s">
        <v>294</v>
      </c>
      <c r="M2341" t="s">
        <v>295</v>
      </c>
      <c r="N2341" t="s">
        <v>296</v>
      </c>
      <c r="O2341" t="s">
        <v>297</v>
      </c>
    </row>
    <row r="2342" spans="1:15" x14ac:dyDescent="0.3">
      <c r="A2342" t="s">
        <v>3615</v>
      </c>
      <c r="B2342" t="s">
        <v>3844</v>
      </c>
      <c r="C2342">
        <v>2024</v>
      </c>
      <c r="D2342" t="s">
        <v>358</v>
      </c>
      <c r="E2342" t="s">
        <v>3698</v>
      </c>
      <c r="F2342">
        <v>391</v>
      </c>
      <c r="G2342" t="s">
        <v>302</v>
      </c>
      <c r="H2342">
        <v>10</v>
      </c>
      <c r="I2342" t="s">
        <v>3903</v>
      </c>
      <c r="J2342" t="s">
        <v>294</v>
      </c>
      <c r="M2342" t="s">
        <v>295</v>
      </c>
      <c r="N2342" t="s">
        <v>296</v>
      </c>
      <c r="O2342" t="s">
        <v>297</v>
      </c>
    </row>
    <row r="2343" spans="1:15" x14ac:dyDescent="0.3">
      <c r="A2343" t="s">
        <v>3615</v>
      </c>
      <c r="B2343" t="s">
        <v>3844</v>
      </c>
      <c r="C2343">
        <v>2024</v>
      </c>
      <c r="D2343" t="s">
        <v>358</v>
      </c>
      <c r="E2343" t="s">
        <v>3700</v>
      </c>
      <c r="F2343">
        <v>374</v>
      </c>
      <c r="G2343" t="s">
        <v>302</v>
      </c>
      <c r="H2343">
        <v>10</v>
      </c>
      <c r="I2343" t="s">
        <v>3904</v>
      </c>
      <c r="J2343" t="s">
        <v>294</v>
      </c>
      <c r="M2343" t="s">
        <v>295</v>
      </c>
      <c r="N2343" t="s">
        <v>296</v>
      </c>
      <c r="O2343" t="s">
        <v>297</v>
      </c>
    </row>
    <row r="2344" spans="1:15" x14ac:dyDescent="0.3">
      <c r="A2344" t="s">
        <v>3615</v>
      </c>
      <c r="B2344" t="s">
        <v>3844</v>
      </c>
      <c r="C2344">
        <v>2024</v>
      </c>
      <c r="D2344" t="s">
        <v>358</v>
      </c>
      <c r="E2344" t="s">
        <v>3702</v>
      </c>
      <c r="F2344">
        <v>17</v>
      </c>
      <c r="G2344" t="s">
        <v>302</v>
      </c>
      <c r="H2344">
        <v>10</v>
      </c>
      <c r="I2344" t="s">
        <v>3905</v>
      </c>
      <c r="J2344" t="s">
        <v>294</v>
      </c>
      <c r="M2344" t="s">
        <v>295</v>
      </c>
      <c r="N2344" t="s">
        <v>296</v>
      </c>
      <c r="O2344" t="s">
        <v>297</v>
      </c>
    </row>
    <row r="2345" spans="1:15" x14ac:dyDescent="0.3">
      <c r="A2345" t="s">
        <v>3615</v>
      </c>
      <c r="B2345" t="s">
        <v>3844</v>
      </c>
      <c r="C2345">
        <v>2024</v>
      </c>
      <c r="D2345" t="s">
        <v>358</v>
      </c>
      <c r="E2345" t="s">
        <v>3696</v>
      </c>
      <c r="F2345">
        <v>1376</v>
      </c>
      <c r="G2345" t="s">
        <v>302</v>
      </c>
      <c r="H2345">
        <v>234</v>
      </c>
      <c r="I2345" t="s">
        <v>3906</v>
      </c>
      <c r="J2345" t="s">
        <v>294</v>
      </c>
      <c r="M2345" t="s">
        <v>295</v>
      </c>
      <c r="N2345" t="s">
        <v>296</v>
      </c>
      <c r="O2345" t="s">
        <v>297</v>
      </c>
    </row>
    <row r="2346" spans="1:15" x14ac:dyDescent="0.3">
      <c r="A2346" t="s">
        <v>3615</v>
      </c>
      <c r="B2346" t="s">
        <v>3844</v>
      </c>
      <c r="C2346">
        <v>2024</v>
      </c>
      <c r="D2346" t="s">
        <v>358</v>
      </c>
      <c r="E2346" t="s">
        <v>3907</v>
      </c>
      <c r="F2346">
        <v>30</v>
      </c>
      <c r="G2346" t="s">
        <v>302</v>
      </c>
      <c r="H2346">
        <v>10</v>
      </c>
      <c r="I2346" t="s">
        <v>3908</v>
      </c>
      <c r="J2346" t="s">
        <v>294</v>
      </c>
      <c r="M2346" t="s">
        <v>295</v>
      </c>
      <c r="N2346" t="s">
        <v>296</v>
      </c>
      <c r="O2346" t="s">
        <v>297</v>
      </c>
    </row>
    <row r="2347" spans="1:15" x14ac:dyDescent="0.3">
      <c r="A2347" t="s">
        <v>3615</v>
      </c>
      <c r="B2347" t="s">
        <v>3844</v>
      </c>
      <c r="C2347">
        <v>2024</v>
      </c>
      <c r="D2347" t="s">
        <v>358</v>
      </c>
      <c r="E2347" t="s">
        <v>3686</v>
      </c>
      <c r="F2347">
        <v>1500</v>
      </c>
      <c r="G2347" t="s">
        <v>3687</v>
      </c>
      <c r="I2347" t="s">
        <v>3909</v>
      </c>
      <c r="J2347" t="s">
        <v>294</v>
      </c>
      <c r="M2347" t="s">
        <v>295</v>
      </c>
      <c r="N2347" t="s">
        <v>296</v>
      </c>
      <c r="O2347" t="s">
        <v>297</v>
      </c>
    </row>
    <row r="2348" spans="1:15" x14ac:dyDescent="0.3">
      <c r="A2348" t="s">
        <v>3615</v>
      </c>
      <c r="B2348" t="s">
        <v>3844</v>
      </c>
      <c r="C2348">
        <v>2024</v>
      </c>
      <c r="D2348" t="s">
        <v>358</v>
      </c>
      <c r="E2348" t="s">
        <v>3825</v>
      </c>
      <c r="F2348">
        <v>60</v>
      </c>
      <c r="G2348" t="s">
        <v>3692</v>
      </c>
      <c r="I2348" t="s">
        <v>3910</v>
      </c>
      <c r="J2348" t="s">
        <v>294</v>
      </c>
      <c r="M2348" t="s">
        <v>295</v>
      </c>
      <c r="N2348" t="s">
        <v>296</v>
      </c>
      <c r="O2348" t="s">
        <v>297</v>
      </c>
    </row>
    <row r="2349" spans="1:15" x14ac:dyDescent="0.3">
      <c r="A2349" t="s">
        <v>3615</v>
      </c>
      <c r="B2349" t="s">
        <v>3844</v>
      </c>
      <c r="C2349">
        <v>2024</v>
      </c>
      <c r="D2349" t="s">
        <v>358</v>
      </c>
      <c r="E2349" t="s">
        <v>3689</v>
      </c>
      <c r="F2349">
        <v>250</v>
      </c>
      <c r="G2349" t="s">
        <v>3687</v>
      </c>
      <c r="I2349" t="s">
        <v>3911</v>
      </c>
      <c r="J2349" t="s">
        <v>294</v>
      </c>
      <c r="M2349" t="s">
        <v>295</v>
      </c>
      <c r="N2349" t="s">
        <v>296</v>
      </c>
      <c r="O2349" t="s">
        <v>297</v>
      </c>
    </row>
    <row r="2350" spans="1:15" x14ac:dyDescent="0.3">
      <c r="A2350" t="s">
        <v>3615</v>
      </c>
      <c r="B2350" t="s">
        <v>3844</v>
      </c>
      <c r="C2350">
        <v>2024</v>
      </c>
      <c r="D2350" t="s">
        <v>394</v>
      </c>
      <c r="E2350" t="s">
        <v>3706</v>
      </c>
      <c r="F2350">
        <v>159688</v>
      </c>
      <c r="G2350" t="s">
        <v>396</v>
      </c>
      <c r="H2350">
        <v>29</v>
      </c>
      <c r="I2350" t="s">
        <v>3912</v>
      </c>
      <c r="J2350" t="s">
        <v>294</v>
      </c>
      <c r="M2350" t="s">
        <v>295</v>
      </c>
      <c r="N2350" t="s">
        <v>296</v>
      </c>
      <c r="O2350" t="s">
        <v>297</v>
      </c>
    </row>
    <row r="2351" spans="1:15" x14ac:dyDescent="0.3">
      <c r="A2351" t="s">
        <v>3615</v>
      </c>
      <c r="B2351" t="s">
        <v>3844</v>
      </c>
      <c r="C2351">
        <v>2024</v>
      </c>
      <c r="D2351" t="s">
        <v>394</v>
      </c>
      <c r="E2351" t="s">
        <v>3913</v>
      </c>
      <c r="F2351">
        <v>272596</v>
      </c>
      <c r="G2351" t="s">
        <v>3709</v>
      </c>
      <c r="H2351">
        <v>29</v>
      </c>
      <c r="I2351" t="s">
        <v>3914</v>
      </c>
      <c r="J2351" t="s">
        <v>294</v>
      </c>
      <c r="M2351" t="s">
        <v>295</v>
      </c>
      <c r="N2351" t="s">
        <v>296</v>
      </c>
      <c r="O2351" t="s">
        <v>297</v>
      </c>
    </row>
    <row r="2352" spans="1:15" x14ac:dyDescent="0.3">
      <c r="A2352" t="s">
        <v>3615</v>
      </c>
      <c r="B2352" t="s">
        <v>3844</v>
      </c>
      <c r="C2352">
        <v>2024</v>
      </c>
      <c r="D2352" t="s">
        <v>394</v>
      </c>
      <c r="E2352" t="s">
        <v>3915</v>
      </c>
      <c r="F2352" t="s">
        <v>3916</v>
      </c>
      <c r="G2352" t="s">
        <v>334</v>
      </c>
      <c r="H2352">
        <v>86</v>
      </c>
      <c r="I2352" t="s">
        <v>3917</v>
      </c>
      <c r="J2352" t="s">
        <v>294</v>
      </c>
      <c r="M2352" t="s">
        <v>295</v>
      </c>
      <c r="N2352" t="s">
        <v>296</v>
      </c>
      <c r="O2352" t="s">
        <v>297</v>
      </c>
    </row>
    <row r="2353" spans="1:15" x14ac:dyDescent="0.3">
      <c r="A2353" t="s">
        <v>3615</v>
      </c>
      <c r="B2353" t="s">
        <v>3844</v>
      </c>
      <c r="C2353">
        <v>2024</v>
      </c>
      <c r="D2353" t="s">
        <v>394</v>
      </c>
      <c r="E2353" t="s">
        <v>3918</v>
      </c>
      <c r="F2353" t="s">
        <v>3919</v>
      </c>
      <c r="G2353" t="s">
        <v>334</v>
      </c>
      <c r="I2353" t="s">
        <v>3920</v>
      </c>
      <c r="J2353" t="s">
        <v>294</v>
      </c>
      <c r="M2353" t="s">
        <v>295</v>
      </c>
      <c r="N2353" t="s">
        <v>296</v>
      </c>
      <c r="O2353" t="s">
        <v>297</v>
      </c>
    </row>
    <row r="2354" spans="1:15" x14ac:dyDescent="0.3">
      <c r="A2354" t="s">
        <v>3615</v>
      </c>
      <c r="B2354" t="s">
        <v>3844</v>
      </c>
      <c r="C2354">
        <v>2024</v>
      </c>
      <c r="D2354" t="s">
        <v>394</v>
      </c>
      <c r="E2354" t="s">
        <v>3921</v>
      </c>
      <c r="F2354">
        <v>119758</v>
      </c>
      <c r="G2354" t="s">
        <v>3709</v>
      </c>
      <c r="I2354" t="s">
        <v>3922</v>
      </c>
      <c r="J2354" t="s">
        <v>294</v>
      </c>
      <c r="M2354" t="s">
        <v>295</v>
      </c>
      <c r="N2354" t="s">
        <v>296</v>
      </c>
      <c r="O2354" t="s">
        <v>297</v>
      </c>
    </row>
    <row r="2355" spans="1:15" x14ac:dyDescent="0.3">
      <c r="A2355" t="s">
        <v>3615</v>
      </c>
      <c r="B2355" t="s">
        <v>3844</v>
      </c>
      <c r="C2355">
        <v>2024</v>
      </c>
      <c r="D2355" t="s">
        <v>394</v>
      </c>
      <c r="E2355" t="s">
        <v>3923</v>
      </c>
      <c r="F2355">
        <v>43077</v>
      </c>
      <c r="G2355" t="s">
        <v>3709</v>
      </c>
      <c r="I2355" t="s">
        <v>3924</v>
      </c>
      <c r="J2355" t="s">
        <v>294</v>
      </c>
      <c r="M2355" t="s">
        <v>295</v>
      </c>
      <c r="N2355" t="s">
        <v>296</v>
      </c>
      <c r="O2355" t="s">
        <v>297</v>
      </c>
    </row>
    <row r="2356" spans="1:15" x14ac:dyDescent="0.3">
      <c r="A2356" t="s">
        <v>3615</v>
      </c>
      <c r="B2356" t="s">
        <v>3844</v>
      </c>
      <c r="C2356">
        <v>2024</v>
      </c>
      <c r="D2356" t="s">
        <v>394</v>
      </c>
      <c r="E2356" t="s">
        <v>3925</v>
      </c>
      <c r="F2356">
        <v>155919</v>
      </c>
      <c r="G2356" t="s">
        <v>3709</v>
      </c>
      <c r="I2356" t="s">
        <v>3926</v>
      </c>
      <c r="J2356" t="s">
        <v>294</v>
      </c>
      <c r="M2356" t="s">
        <v>295</v>
      </c>
      <c r="N2356" t="s">
        <v>296</v>
      </c>
      <c r="O2356" t="s">
        <v>297</v>
      </c>
    </row>
    <row r="2357" spans="1:15" x14ac:dyDescent="0.3">
      <c r="A2357" t="s">
        <v>3615</v>
      </c>
      <c r="B2357" t="s">
        <v>3844</v>
      </c>
      <c r="C2357">
        <v>2024</v>
      </c>
      <c r="D2357" t="s">
        <v>394</v>
      </c>
      <c r="E2357" t="s">
        <v>3927</v>
      </c>
      <c r="F2357">
        <v>6.1499999999999999E-2</v>
      </c>
      <c r="G2357" t="s">
        <v>327</v>
      </c>
      <c r="H2357">
        <v>13</v>
      </c>
      <c r="I2357" t="s">
        <v>3928</v>
      </c>
      <c r="J2357" t="s">
        <v>456</v>
      </c>
      <c r="M2357" t="s">
        <v>295</v>
      </c>
      <c r="N2357" t="s">
        <v>296</v>
      </c>
      <c r="O2357" t="s">
        <v>297</v>
      </c>
    </row>
    <row r="2358" spans="1:15" x14ac:dyDescent="0.3">
      <c r="A2358" t="s">
        <v>3615</v>
      </c>
      <c r="B2358" t="s">
        <v>3844</v>
      </c>
      <c r="C2358">
        <v>2024</v>
      </c>
      <c r="D2358" t="s">
        <v>394</v>
      </c>
      <c r="E2358" t="s">
        <v>3737</v>
      </c>
      <c r="F2358">
        <v>7</v>
      </c>
      <c r="G2358" t="s">
        <v>327</v>
      </c>
      <c r="H2358">
        <v>88</v>
      </c>
      <c r="I2358" t="s">
        <v>3929</v>
      </c>
      <c r="J2358" t="s">
        <v>294</v>
      </c>
      <c r="M2358" t="s">
        <v>295</v>
      </c>
      <c r="N2358" t="s">
        <v>296</v>
      </c>
      <c r="O2358" t="s">
        <v>297</v>
      </c>
    </row>
    <row r="2359" spans="1:15" x14ac:dyDescent="0.3">
      <c r="A2359" t="s">
        <v>3615</v>
      </c>
      <c r="B2359" t="s">
        <v>3844</v>
      </c>
      <c r="C2359">
        <v>2024</v>
      </c>
      <c r="D2359" t="s">
        <v>252</v>
      </c>
      <c r="E2359" t="s">
        <v>3930</v>
      </c>
      <c r="F2359">
        <v>13410000</v>
      </c>
      <c r="G2359" t="s">
        <v>3709</v>
      </c>
      <c r="H2359">
        <v>92</v>
      </c>
      <c r="I2359" t="s">
        <v>3931</v>
      </c>
      <c r="J2359" t="s">
        <v>294</v>
      </c>
      <c r="M2359" t="s">
        <v>295</v>
      </c>
      <c r="N2359" t="s">
        <v>296</v>
      </c>
      <c r="O2359" t="s">
        <v>297</v>
      </c>
    </row>
    <row r="2360" spans="1:15" x14ac:dyDescent="0.3">
      <c r="A2360" t="s">
        <v>3615</v>
      </c>
      <c r="B2360" t="s">
        <v>3844</v>
      </c>
      <c r="C2360">
        <v>2024</v>
      </c>
      <c r="D2360" t="s">
        <v>252</v>
      </c>
      <c r="E2360" t="s">
        <v>3932</v>
      </c>
      <c r="F2360">
        <v>13150000</v>
      </c>
      <c r="G2360" t="s">
        <v>3709</v>
      </c>
      <c r="H2360">
        <v>92</v>
      </c>
      <c r="I2360" t="s">
        <v>3933</v>
      </c>
      <c r="J2360" t="s">
        <v>294</v>
      </c>
      <c r="M2360" t="s">
        <v>295</v>
      </c>
      <c r="N2360" t="s">
        <v>296</v>
      </c>
      <c r="O2360" t="s">
        <v>297</v>
      </c>
    </row>
    <row r="2361" spans="1:15" x14ac:dyDescent="0.3">
      <c r="A2361" t="s">
        <v>3615</v>
      </c>
      <c r="B2361" t="s">
        <v>3844</v>
      </c>
      <c r="C2361">
        <v>2024</v>
      </c>
      <c r="D2361" t="s">
        <v>252</v>
      </c>
      <c r="E2361" t="s">
        <v>3934</v>
      </c>
      <c r="F2361" t="s">
        <v>3935</v>
      </c>
      <c r="G2361" t="s">
        <v>292</v>
      </c>
      <c r="H2361">
        <v>92</v>
      </c>
      <c r="I2361" t="s">
        <v>3936</v>
      </c>
      <c r="J2361" t="s">
        <v>294</v>
      </c>
      <c r="M2361" t="s">
        <v>295</v>
      </c>
      <c r="N2361" t="s">
        <v>296</v>
      </c>
      <c r="O2361" t="s">
        <v>297</v>
      </c>
    </row>
    <row r="2362" spans="1:15" x14ac:dyDescent="0.3">
      <c r="A2362" t="s">
        <v>3937</v>
      </c>
      <c r="B2362" t="s">
        <v>3938</v>
      </c>
      <c r="C2362">
        <v>2022</v>
      </c>
      <c r="D2362" t="s">
        <v>272</v>
      </c>
      <c r="E2362" t="s">
        <v>291</v>
      </c>
      <c r="F2362" t="s">
        <v>3937</v>
      </c>
      <c r="G2362" t="s">
        <v>292</v>
      </c>
      <c r="H2362">
        <v>3</v>
      </c>
      <c r="I2362" t="s">
        <v>3939</v>
      </c>
      <c r="J2362" t="s">
        <v>294</v>
      </c>
      <c r="M2362" t="s">
        <v>295</v>
      </c>
      <c r="N2362" t="s">
        <v>296</v>
      </c>
      <c r="O2362" t="s">
        <v>297</v>
      </c>
    </row>
    <row r="2363" spans="1:15" x14ac:dyDescent="0.3">
      <c r="A2363" t="s">
        <v>3937</v>
      </c>
      <c r="B2363" t="s">
        <v>3938</v>
      </c>
      <c r="C2363">
        <v>2022</v>
      </c>
      <c r="D2363" t="s">
        <v>272</v>
      </c>
      <c r="E2363" t="s">
        <v>1</v>
      </c>
      <c r="F2363" t="s">
        <v>47</v>
      </c>
      <c r="G2363" t="s">
        <v>292</v>
      </c>
      <c r="H2363">
        <v>9</v>
      </c>
      <c r="I2363" t="s">
        <v>3940</v>
      </c>
      <c r="J2363" t="s">
        <v>294</v>
      </c>
      <c r="M2363" t="s">
        <v>295</v>
      </c>
      <c r="N2363" t="s">
        <v>296</v>
      </c>
      <c r="O2363" t="s">
        <v>297</v>
      </c>
    </row>
    <row r="2364" spans="1:15" x14ac:dyDescent="0.3">
      <c r="A2364" t="s">
        <v>3937</v>
      </c>
      <c r="B2364" t="s">
        <v>3938</v>
      </c>
      <c r="C2364">
        <v>2022</v>
      </c>
      <c r="D2364" t="s">
        <v>272</v>
      </c>
      <c r="E2364" t="s">
        <v>442</v>
      </c>
      <c r="F2364" t="s">
        <v>3941</v>
      </c>
      <c r="G2364" t="s">
        <v>334</v>
      </c>
      <c r="H2364">
        <v>66</v>
      </c>
      <c r="I2364" t="s">
        <v>3942</v>
      </c>
      <c r="J2364" t="s">
        <v>294</v>
      </c>
      <c r="M2364" t="s">
        <v>295</v>
      </c>
      <c r="N2364" t="s">
        <v>296</v>
      </c>
      <c r="O2364" t="s">
        <v>297</v>
      </c>
    </row>
    <row r="2365" spans="1:15" x14ac:dyDescent="0.3">
      <c r="A2365" t="s">
        <v>3937</v>
      </c>
      <c r="B2365" t="s">
        <v>3938</v>
      </c>
      <c r="C2365">
        <v>2022</v>
      </c>
      <c r="D2365" t="s">
        <v>272</v>
      </c>
      <c r="E2365" t="s">
        <v>445</v>
      </c>
      <c r="F2365">
        <v>0.19996</v>
      </c>
      <c r="G2365" t="s">
        <v>334</v>
      </c>
      <c r="H2365">
        <v>66</v>
      </c>
      <c r="I2365" t="s">
        <v>3943</v>
      </c>
      <c r="J2365" t="s">
        <v>294</v>
      </c>
      <c r="M2365" t="s">
        <v>295</v>
      </c>
      <c r="N2365" t="s">
        <v>296</v>
      </c>
      <c r="O2365" t="s">
        <v>297</v>
      </c>
    </row>
    <row r="2366" spans="1:15" x14ac:dyDescent="0.3">
      <c r="A2366" t="s">
        <v>3937</v>
      </c>
      <c r="B2366" t="s">
        <v>3938</v>
      </c>
      <c r="C2366">
        <v>2022</v>
      </c>
      <c r="D2366" t="s">
        <v>272</v>
      </c>
      <c r="E2366" t="s">
        <v>3944</v>
      </c>
      <c r="F2366">
        <v>132500</v>
      </c>
      <c r="G2366" t="s">
        <v>1633</v>
      </c>
      <c r="H2366">
        <v>66</v>
      </c>
      <c r="I2366" t="s">
        <v>3945</v>
      </c>
      <c r="J2366" t="s">
        <v>294</v>
      </c>
      <c r="M2366" t="s">
        <v>295</v>
      </c>
      <c r="N2366" t="s">
        <v>296</v>
      </c>
      <c r="O2366" t="s">
        <v>297</v>
      </c>
    </row>
    <row r="2367" spans="1:15" x14ac:dyDescent="0.3">
      <c r="A2367" t="s">
        <v>3937</v>
      </c>
      <c r="B2367" t="s">
        <v>3938</v>
      </c>
      <c r="C2367">
        <v>2022</v>
      </c>
      <c r="D2367" t="s">
        <v>272</v>
      </c>
      <c r="E2367" t="s">
        <v>3946</v>
      </c>
      <c r="F2367">
        <v>3774685500</v>
      </c>
      <c r="G2367" t="s">
        <v>1633</v>
      </c>
      <c r="H2367">
        <v>10</v>
      </c>
      <c r="I2367" t="s">
        <v>3947</v>
      </c>
      <c r="J2367" t="s">
        <v>294</v>
      </c>
      <c r="M2367" t="s">
        <v>295</v>
      </c>
      <c r="N2367" t="s">
        <v>296</v>
      </c>
      <c r="O2367" t="s">
        <v>297</v>
      </c>
    </row>
    <row r="2368" spans="1:15" x14ac:dyDescent="0.3">
      <c r="A2368" t="s">
        <v>3937</v>
      </c>
      <c r="B2368" t="s">
        <v>3938</v>
      </c>
      <c r="C2368">
        <v>2022</v>
      </c>
      <c r="D2368" t="s">
        <v>272</v>
      </c>
      <c r="E2368" t="s">
        <v>3948</v>
      </c>
      <c r="F2368">
        <v>1000</v>
      </c>
      <c r="G2368" t="s">
        <v>302</v>
      </c>
      <c r="H2368">
        <v>12</v>
      </c>
      <c r="I2368" t="s">
        <v>3949</v>
      </c>
      <c r="J2368" t="s">
        <v>294</v>
      </c>
      <c r="M2368" t="s">
        <v>295</v>
      </c>
      <c r="N2368" t="s">
        <v>296</v>
      </c>
      <c r="O2368" t="s">
        <v>297</v>
      </c>
    </row>
    <row r="2369" spans="1:15" x14ac:dyDescent="0.3">
      <c r="A2369" t="s">
        <v>3937</v>
      </c>
      <c r="B2369" t="s">
        <v>3938</v>
      </c>
      <c r="C2369">
        <v>2022</v>
      </c>
      <c r="D2369" t="s">
        <v>272</v>
      </c>
      <c r="E2369" t="s">
        <v>3950</v>
      </c>
      <c r="F2369" t="s">
        <v>3951</v>
      </c>
      <c r="G2369" t="s">
        <v>292</v>
      </c>
      <c r="H2369">
        <v>11</v>
      </c>
      <c r="I2369" t="s">
        <v>3952</v>
      </c>
      <c r="J2369" t="s">
        <v>294</v>
      </c>
      <c r="M2369" t="s">
        <v>295</v>
      </c>
      <c r="N2369" t="s">
        <v>296</v>
      </c>
      <c r="O2369" t="s">
        <v>297</v>
      </c>
    </row>
    <row r="2370" spans="1:15" x14ac:dyDescent="0.3">
      <c r="A2370" t="s">
        <v>3937</v>
      </c>
      <c r="B2370" t="s">
        <v>3938</v>
      </c>
      <c r="C2370">
        <v>2022</v>
      </c>
      <c r="D2370" t="s">
        <v>300</v>
      </c>
      <c r="E2370" t="s">
        <v>682</v>
      </c>
      <c r="F2370">
        <v>972</v>
      </c>
      <c r="G2370" t="s">
        <v>302</v>
      </c>
      <c r="H2370">
        <v>9</v>
      </c>
      <c r="I2370" t="s">
        <v>3953</v>
      </c>
      <c r="J2370" t="s">
        <v>294</v>
      </c>
      <c r="M2370" t="s">
        <v>295</v>
      </c>
      <c r="N2370" t="s">
        <v>296</v>
      </c>
      <c r="O2370" t="s">
        <v>297</v>
      </c>
    </row>
    <row r="2371" spans="1:15" x14ac:dyDescent="0.3">
      <c r="A2371" t="s">
        <v>3937</v>
      </c>
      <c r="B2371" t="s">
        <v>3938</v>
      </c>
      <c r="C2371">
        <v>2022</v>
      </c>
      <c r="D2371" t="s">
        <v>300</v>
      </c>
      <c r="E2371" t="s">
        <v>304</v>
      </c>
      <c r="F2371">
        <v>27</v>
      </c>
      <c r="G2371" t="s">
        <v>302</v>
      </c>
      <c r="H2371">
        <v>9</v>
      </c>
      <c r="I2371" t="s">
        <v>3954</v>
      </c>
      <c r="J2371" t="s">
        <v>294</v>
      </c>
      <c r="M2371" t="s">
        <v>295</v>
      </c>
      <c r="N2371" t="s">
        <v>296</v>
      </c>
      <c r="O2371" t="s">
        <v>297</v>
      </c>
    </row>
    <row r="2372" spans="1:15" x14ac:dyDescent="0.3">
      <c r="A2372" t="s">
        <v>3937</v>
      </c>
      <c r="B2372" t="s">
        <v>3938</v>
      </c>
      <c r="C2372">
        <v>2022</v>
      </c>
      <c r="D2372" t="s">
        <v>300</v>
      </c>
      <c r="E2372" t="s">
        <v>1109</v>
      </c>
      <c r="F2372">
        <v>944</v>
      </c>
      <c r="G2372" t="s">
        <v>302</v>
      </c>
      <c r="H2372">
        <v>90</v>
      </c>
      <c r="I2372" t="s">
        <v>3955</v>
      </c>
      <c r="J2372" t="s">
        <v>294</v>
      </c>
      <c r="M2372" t="s">
        <v>295</v>
      </c>
      <c r="N2372" t="s">
        <v>296</v>
      </c>
      <c r="O2372" t="s">
        <v>297</v>
      </c>
    </row>
    <row r="2373" spans="1:15" x14ac:dyDescent="0.3">
      <c r="A2373" t="s">
        <v>3937</v>
      </c>
      <c r="B2373" t="s">
        <v>3938</v>
      </c>
      <c r="C2373">
        <v>2022</v>
      </c>
      <c r="D2373" t="s">
        <v>300</v>
      </c>
      <c r="E2373" t="s">
        <v>452</v>
      </c>
      <c r="F2373">
        <v>57</v>
      </c>
      <c r="G2373" t="s">
        <v>302</v>
      </c>
      <c r="H2373">
        <v>90</v>
      </c>
      <c r="I2373" t="s">
        <v>3956</v>
      </c>
      <c r="J2373" t="s">
        <v>294</v>
      </c>
      <c r="M2373" t="s">
        <v>295</v>
      </c>
      <c r="N2373" t="s">
        <v>296</v>
      </c>
      <c r="O2373" t="s">
        <v>297</v>
      </c>
    </row>
    <row r="2374" spans="1:15" x14ac:dyDescent="0.3">
      <c r="A2374" t="s">
        <v>3937</v>
      </c>
      <c r="B2374" t="s">
        <v>3938</v>
      </c>
      <c r="C2374">
        <v>2022</v>
      </c>
      <c r="D2374" t="s">
        <v>300</v>
      </c>
      <c r="E2374" t="s">
        <v>3957</v>
      </c>
      <c r="F2374">
        <v>-30</v>
      </c>
      <c r="G2374" t="s">
        <v>302</v>
      </c>
      <c r="H2374">
        <v>90</v>
      </c>
      <c r="I2374" t="s">
        <v>3958</v>
      </c>
      <c r="J2374" t="s">
        <v>294</v>
      </c>
      <c r="M2374" t="s">
        <v>295</v>
      </c>
      <c r="N2374" t="s">
        <v>296</v>
      </c>
      <c r="O2374" t="s">
        <v>297</v>
      </c>
    </row>
    <row r="2375" spans="1:15" x14ac:dyDescent="0.3">
      <c r="A2375" t="s">
        <v>3937</v>
      </c>
      <c r="B2375" t="s">
        <v>3938</v>
      </c>
      <c r="C2375">
        <v>2022</v>
      </c>
      <c r="D2375" t="s">
        <v>300</v>
      </c>
      <c r="E2375" t="s">
        <v>3959</v>
      </c>
      <c r="F2375">
        <v>-302</v>
      </c>
      <c r="G2375" t="s">
        <v>302</v>
      </c>
      <c r="H2375">
        <v>9</v>
      </c>
      <c r="I2375" t="s">
        <v>3960</v>
      </c>
      <c r="J2375" t="s">
        <v>294</v>
      </c>
      <c r="M2375" t="s">
        <v>295</v>
      </c>
      <c r="N2375" t="s">
        <v>296</v>
      </c>
      <c r="O2375" t="s">
        <v>297</v>
      </c>
    </row>
    <row r="2376" spans="1:15" x14ac:dyDescent="0.3">
      <c r="A2376" t="s">
        <v>3937</v>
      </c>
      <c r="B2376" t="s">
        <v>3938</v>
      </c>
      <c r="C2376">
        <v>2022</v>
      </c>
      <c r="D2376" t="s">
        <v>300</v>
      </c>
      <c r="E2376" t="s">
        <v>3961</v>
      </c>
      <c r="F2376">
        <v>-300</v>
      </c>
      <c r="G2376" t="s">
        <v>302</v>
      </c>
      <c r="H2376">
        <v>9</v>
      </c>
      <c r="I2376" t="s">
        <v>3962</v>
      </c>
      <c r="J2376" t="s">
        <v>294</v>
      </c>
      <c r="M2376" t="s">
        <v>295</v>
      </c>
      <c r="N2376" t="s">
        <v>296</v>
      </c>
      <c r="O2376" t="s">
        <v>297</v>
      </c>
    </row>
    <row r="2377" spans="1:15" x14ac:dyDescent="0.3">
      <c r="A2377" t="s">
        <v>3937</v>
      </c>
      <c r="B2377" t="s">
        <v>3938</v>
      </c>
      <c r="C2377">
        <v>2022</v>
      </c>
      <c r="D2377" t="s">
        <v>300</v>
      </c>
      <c r="E2377" t="s">
        <v>345</v>
      </c>
      <c r="F2377">
        <v>-80</v>
      </c>
      <c r="G2377" t="s">
        <v>346</v>
      </c>
      <c r="H2377">
        <v>9</v>
      </c>
      <c r="I2377" t="s">
        <v>3963</v>
      </c>
      <c r="J2377" t="s">
        <v>294</v>
      </c>
      <c r="M2377" t="s">
        <v>295</v>
      </c>
      <c r="N2377" t="s">
        <v>296</v>
      </c>
      <c r="O2377" t="s">
        <v>297</v>
      </c>
    </row>
    <row r="2378" spans="1:15" x14ac:dyDescent="0.3">
      <c r="A2378" t="s">
        <v>3937</v>
      </c>
      <c r="B2378" t="s">
        <v>3938</v>
      </c>
      <c r="C2378">
        <v>2022</v>
      </c>
      <c r="D2378" t="s">
        <v>300</v>
      </c>
      <c r="E2378" t="s">
        <v>316</v>
      </c>
      <c r="F2378">
        <v>3590</v>
      </c>
      <c r="G2378" t="s">
        <v>302</v>
      </c>
      <c r="H2378">
        <v>9</v>
      </c>
      <c r="I2378" t="s">
        <v>3964</v>
      </c>
      <c r="J2378" t="s">
        <v>294</v>
      </c>
      <c r="M2378" t="s">
        <v>295</v>
      </c>
      <c r="N2378" t="s">
        <v>296</v>
      </c>
      <c r="O2378" t="s">
        <v>297</v>
      </c>
    </row>
    <row r="2379" spans="1:15" x14ac:dyDescent="0.3">
      <c r="A2379" t="s">
        <v>3937</v>
      </c>
      <c r="B2379" t="s">
        <v>3938</v>
      </c>
      <c r="C2379">
        <v>2022</v>
      </c>
      <c r="D2379" t="s">
        <v>300</v>
      </c>
      <c r="E2379" t="s">
        <v>312</v>
      </c>
      <c r="F2379">
        <v>262</v>
      </c>
      <c r="G2379" t="s">
        <v>302</v>
      </c>
      <c r="H2379">
        <v>89</v>
      </c>
      <c r="I2379" t="s">
        <v>3965</v>
      </c>
      <c r="J2379" t="s">
        <v>294</v>
      </c>
      <c r="M2379" t="s">
        <v>295</v>
      </c>
      <c r="N2379" t="s">
        <v>296</v>
      </c>
      <c r="O2379" t="s">
        <v>297</v>
      </c>
    </row>
    <row r="2380" spans="1:15" x14ac:dyDescent="0.3">
      <c r="A2380" t="s">
        <v>3937</v>
      </c>
      <c r="B2380" t="s">
        <v>3938</v>
      </c>
      <c r="C2380">
        <v>2022</v>
      </c>
      <c r="D2380" t="s">
        <v>300</v>
      </c>
      <c r="E2380" t="s">
        <v>314</v>
      </c>
      <c r="F2380">
        <v>3327</v>
      </c>
      <c r="G2380" t="s">
        <v>302</v>
      </c>
      <c r="H2380">
        <v>89</v>
      </c>
      <c r="I2380" t="s">
        <v>3966</v>
      </c>
      <c r="J2380" t="s">
        <v>294</v>
      </c>
      <c r="M2380" t="s">
        <v>295</v>
      </c>
      <c r="N2380" t="s">
        <v>296</v>
      </c>
      <c r="O2380" t="s">
        <v>297</v>
      </c>
    </row>
    <row r="2381" spans="1:15" x14ac:dyDescent="0.3">
      <c r="A2381" t="s">
        <v>3937</v>
      </c>
      <c r="B2381" t="s">
        <v>3938</v>
      </c>
      <c r="C2381">
        <v>2022</v>
      </c>
      <c r="D2381" t="s">
        <v>300</v>
      </c>
      <c r="E2381" t="s">
        <v>322</v>
      </c>
      <c r="F2381">
        <v>3471</v>
      </c>
      <c r="G2381" t="s">
        <v>302</v>
      </c>
      <c r="H2381">
        <v>9</v>
      </c>
      <c r="I2381" t="s">
        <v>3967</v>
      </c>
      <c r="J2381" t="s">
        <v>294</v>
      </c>
      <c r="M2381" t="s">
        <v>295</v>
      </c>
      <c r="N2381" t="s">
        <v>296</v>
      </c>
      <c r="O2381" t="s">
        <v>297</v>
      </c>
    </row>
    <row r="2382" spans="1:15" x14ac:dyDescent="0.3">
      <c r="A2382" t="s">
        <v>3937</v>
      </c>
      <c r="B2382" t="s">
        <v>3938</v>
      </c>
      <c r="C2382">
        <v>2022</v>
      </c>
      <c r="D2382" t="s">
        <v>300</v>
      </c>
      <c r="E2382" t="s">
        <v>318</v>
      </c>
      <c r="F2382">
        <v>656</v>
      </c>
      <c r="G2382" t="s">
        <v>302</v>
      </c>
      <c r="H2382">
        <v>89</v>
      </c>
      <c r="I2382" t="s">
        <v>3968</v>
      </c>
      <c r="J2382" t="s">
        <v>294</v>
      </c>
      <c r="M2382" t="s">
        <v>295</v>
      </c>
      <c r="N2382" t="s">
        <v>296</v>
      </c>
      <c r="O2382" t="s">
        <v>297</v>
      </c>
    </row>
    <row r="2383" spans="1:15" x14ac:dyDescent="0.3">
      <c r="A2383" t="s">
        <v>3937</v>
      </c>
      <c r="B2383" t="s">
        <v>3938</v>
      </c>
      <c r="C2383">
        <v>2022</v>
      </c>
      <c r="D2383" t="s">
        <v>300</v>
      </c>
      <c r="E2383" t="s">
        <v>828</v>
      </c>
      <c r="F2383">
        <v>2815</v>
      </c>
      <c r="G2383" t="s">
        <v>302</v>
      </c>
      <c r="H2383">
        <v>89</v>
      </c>
      <c r="I2383" t="s">
        <v>3969</v>
      </c>
      <c r="J2383" t="s">
        <v>294</v>
      </c>
      <c r="M2383" t="s">
        <v>295</v>
      </c>
      <c r="N2383" t="s">
        <v>296</v>
      </c>
      <c r="O2383" t="s">
        <v>297</v>
      </c>
    </row>
    <row r="2384" spans="1:15" x14ac:dyDescent="0.3">
      <c r="A2384" t="s">
        <v>3937</v>
      </c>
      <c r="B2384" t="s">
        <v>3938</v>
      </c>
      <c r="C2384">
        <v>2022</v>
      </c>
      <c r="D2384" t="s">
        <v>300</v>
      </c>
      <c r="E2384" t="s">
        <v>324</v>
      </c>
      <c r="F2384">
        <v>118</v>
      </c>
      <c r="G2384" t="s">
        <v>302</v>
      </c>
      <c r="H2384">
        <v>9</v>
      </c>
      <c r="I2384" t="s">
        <v>3970</v>
      </c>
      <c r="J2384" t="s">
        <v>294</v>
      </c>
      <c r="M2384" t="s">
        <v>295</v>
      </c>
      <c r="N2384" t="s">
        <v>296</v>
      </c>
      <c r="O2384" t="s">
        <v>297</v>
      </c>
    </row>
    <row r="2385" spans="1:15" x14ac:dyDescent="0.3">
      <c r="A2385" t="s">
        <v>3937</v>
      </c>
      <c r="B2385" t="s">
        <v>3938</v>
      </c>
      <c r="C2385">
        <v>2022</v>
      </c>
      <c r="D2385" t="s">
        <v>300</v>
      </c>
      <c r="E2385" t="s">
        <v>3971</v>
      </c>
      <c r="F2385">
        <v>1.98</v>
      </c>
      <c r="G2385" t="s">
        <v>302</v>
      </c>
      <c r="H2385">
        <v>207</v>
      </c>
      <c r="I2385" t="s">
        <v>3972</v>
      </c>
      <c r="J2385" t="s">
        <v>294</v>
      </c>
      <c r="M2385" t="s">
        <v>295</v>
      </c>
      <c r="N2385" t="s">
        <v>296</v>
      </c>
      <c r="O2385" t="s">
        <v>297</v>
      </c>
    </row>
    <row r="2386" spans="1:15" x14ac:dyDescent="0.3">
      <c r="A2386" t="s">
        <v>3937</v>
      </c>
      <c r="B2386" t="s">
        <v>3938</v>
      </c>
      <c r="C2386">
        <v>2022</v>
      </c>
      <c r="D2386" t="s">
        <v>300</v>
      </c>
      <c r="E2386" t="s">
        <v>1227</v>
      </c>
      <c r="F2386">
        <v>125</v>
      </c>
      <c r="G2386" t="s">
        <v>302</v>
      </c>
      <c r="H2386">
        <v>208</v>
      </c>
      <c r="I2386" t="s">
        <v>3973</v>
      </c>
      <c r="J2386" t="s">
        <v>294</v>
      </c>
      <c r="M2386" t="s">
        <v>295</v>
      </c>
      <c r="N2386" t="s">
        <v>296</v>
      </c>
      <c r="O2386" t="s">
        <v>297</v>
      </c>
    </row>
    <row r="2387" spans="1:15" x14ac:dyDescent="0.3">
      <c r="A2387" t="s">
        <v>3937</v>
      </c>
      <c r="B2387" t="s">
        <v>3938</v>
      </c>
      <c r="C2387">
        <v>2022</v>
      </c>
      <c r="D2387" t="s">
        <v>300</v>
      </c>
      <c r="E2387" t="s">
        <v>3974</v>
      </c>
      <c r="F2387">
        <v>279</v>
      </c>
      <c r="G2387" t="s">
        <v>302</v>
      </c>
      <c r="H2387">
        <v>208</v>
      </c>
      <c r="I2387" t="s">
        <v>3975</v>
      </c>
      <c r="J2387" t="s">
        <v>294</v>
      </c>
      <c r="M2387" t="s">
        <v>295</v>
      </c>
      <c r="N2387" t="s">
        <v>296</v>
      </c>
      <c r="O2387" t="s">
        <v>297</v>
      </c>
    </row>
    <row r="2388" spans="1:15" x14ac:dyDescent="0.3">
      <c r="A2388" t="s">
        <v>3937</v>
      </c>
      <c r="B2388" t="s">
        <v>3938</v>
      </c>
      <c r="C2388">
        <v>2022</v>
      </c>
      <c r="D2388" t="s">
        <v>300</v>
      </c>
      <c r="E2388" t="s">
        <v>3976</v>
      </c>
      <c r="F2388">
        <v>1831</v>
      </c>
      <c r="G2388" t="s">
        <v>302</v>
      </c>
      <c r="H2388">
        <v>208</v>
      </c>
      <c r="I2388" t="s">
        <v>3977</v>
      </c>
      <c r="J2388" t="s">
        <v>294</v>
      </c>
      <c r="M2388" t="s">
        <v>295</v>
      </c>
      <c r="N2388" t="s">
        <v>296</v>
      </c>
      <c r="O2388" t="s">
        <v>297</v>
      </c>
    </row>
    <row r="2389" spans="1:15" x14ac:dyDescent="0.3">
      <c r="A2389" t="s">
        <v>3937</v>
      </c>
      <c r="B2389" t="s">
        <v>3938</v>
      </c>
      <c r="C2389">
        <v>2022</v>
      </c>
      <c r="D2389" t="s">
        <v>300</v>
      </c>
      <c r="E2389" t="s">
        <v>3978</v>
      </c>
      <c r="F2389">
        <v>2235</v>
      </c>
      <c r="G2389" t="s">
        <v>302</v>
      </c>
      <c r="H2389">
        <v>280</v>
      </c>
      <c r="I2389" t="s">
        <v>3979</v>
      </c>
      <c r="J2389" t="s">
        <v>294</v>
      </c>
      <c r="M2389" t="s">
        <v>295</v>
      </c>
      <c r="N2389" t="s">
        <v>296</v>
      </c>
      <c r="O2389" t="s">
        <v>297</v>
      </c>
    </row>
    <row r="2390" spans="1:15" x14ac:dyDescent="0.3">
      <c r="A2390" t="s">
        <v>3937</v>
      </c>
      <c r="B2390" t="s">
        <v>3938</v>
      </c>
      <c r="C2390">
        <v>2022</v>
      </c>
      <c r="D2390" t="s">
        <v>300</v>
      </c>
      <c r="E2390" t="s">
        <v>3980</v>
      </c>
      <c r="F2390">
        <v>950</v>
      </c>
      <c r="G2390" t="s">
        <v>302</v>
      </c>
      <c r="H2390">
        <v>208</v>
      </c>
      <c r="I2390" t="s">
        <v>3981</v>
      </c>
      <c r="J2390" t="s">
        <v>294</v>
      </c>
      <c r="M2390" t="s">
        <v>295</v>
      </c>
      <c r="N2390" t="s">
        <v>296</v>
      </c>
      <c r="O2390" t="s">
        <v>297</v>
      </c>
    </row>
    <row r="2391" spans="1:15" x14ac:dyDescent="0.3">
      <c r="A2391" t="s">
        <v>3937</v>
      </c>
      <c r="B2391" t="s">
        <v>3938</v>
      </c>
      <c r="C2391">
        <v>2022</v>
      </c>
      <c r="D2391" t="s">
        <v>300</v>
      </c>
      <c r="E2391" t="s">
        <v>3982</v>
      </c>
      <c r="F2391">
        <v>161</v>
      </c>
      <c r="G2391" t="s">
        <v>302</v>
      </c>
      <c r="H2391">
        <v>89</v>
      </c>
      <c r="I2391" t="s">
        <v>3983</v>
      </c>
      <c r="J2391" t="s">
        <v>294</v>
      </c>
      <c r="M2391" t="s">
        <v>295</v>
      </c>
      <c r="N2391" t="s">
        <v>296</v>
      </c>
      <c r="O2391" t="s">
        <v>297</v>
      </c>
    </row>
    <row r="2392" spans="1:15" x14ac:dyDescent="0.3">
      <c r="A2392" t="s">
        <v>3937</v>
      </c>
      <c r="B2392" t="s">
        <v>3938</v>
      </c>
      <c r="C2392">
        <v>2022</v>
      </c>
      <c r="D2392" t="s">
        <v>300</v>
      </c>
      <c r="E2392" t="s">
        <v>3984</v>
      </c>
      <c r="F2392">
        <v>793</v>
      </c>
      <c r="G2392" t="s">
        <v>302</v>
      </c>
      <c r="H2392">
        <v>89</v>
      </c>
      <c r="I2392" t="s">
        <v>3985</v>
      </c>
      <c r="J2392" t="s">
        <v>294</v>
      </c>
      <c r="M2392" t="s">
        <v>295</v>
      </c>
      <c r="N2392" t="s">
        <v>296</v>
      </c>
      <c r="O2392" t="s">
        <v>297</v>
      </c>
    </row>
    <row r="2393" spans="1:15" x14ac:dyDescent="0.3">
      <c r="A2393" t="s">
        <v>3937</v>
      </c>
      <c r="B2393" t="s">
        <v>3938</v>
      </c>
      <c r="C2393">
        <v>2022</v>
      </c>
      <c r="D2393" t="s">
        <v>300</v>
      </c>
      <c r="E2393" t="s">
        <v>3986</v>
      </c>
      <c r="F2393">
        <v>1059</v>
      </c>
      <c r="G2393" t="s">
        <v>302</v>
      </c>
      <c r="H2393">
        <v>207</v>
      </c>
      <c r="I2393" t="s">
        <v>3987</v>
      </c>
      <c r="J2393" t="s">
        <v>294</v>
      </c>
      <c r="M2393" t="s">
        <v>295</v>
      </c>
      <c r="N2393" t="s">
        <v>296</v>
      </c>
      <c r="O2393" t="s">
        <v>297</v>
      </c>
    </row>
    <row r="2394" spans="1:15" x14ac:dyDescent="0.3">
      <c r="A2394" t="s">
        <v>3937</v>
      </c>
      <c r="B2394" t="s">
        <v>3938</v>
      </c>
      <c r="C2394">
        <v>2022</v>
      </c>
      <c r="D2394" t="s">
        <v>300</v>
      </c>
      <c r="E2394" t="s">
        <v>3988</v>
      </c>
      <c r="F2394">
        <v>1031</v>
      </c>
      <c r="G2394" t="s">
        <v>302</v>
      </c>
      <c r="H2394">
        <v>207</v>
      </c>
      <c r="I2394" t="s">
        <v>3989</v>
      </c>
      <c r="J2394" t="s">
        <v>294</v>
      </c>
      <c r="M2394" t="s">
        <v>295</v>
      </c>
      <c r="N2394" t="s">
        <v>296</v>
      </c>
      <c r="O2394" t="s">
        <v>297</v>
      </c>
    </row>
    <row r="2395" spans="1:15" x14ac:dyDescent="0.3">
      <c r="A2395" t="s">
        <v>3937</v>
      </c>
      <c r="B2395" t="s">
        <v>3938</v>
      </c>
      <c r="C2395">
        <v>2022</v>
      </c>
      <c r="D2395" t="s">
        <v>300</v>
      </c>
      <c r="E2395" t="s">
        <v>3990</v>
      </c>
      <c r="F2395">
        <v>345</v>
      </c>
      <c r="G2395" t="s">
        <v>302</v>
      </c>
      <c r="H2395">
        <v>207</v>
      </c>
      <c r="I2395" t="s">
        <v>3991</v>
      </c>
      <c r="J2395" t="s">
        <v>294</v>
      </c>
      <c r="M2395" t="s">
        <v>295</v>
      </c>
      <c r="N2395" t="s">
        <v>296</v>
      </c>
      <c r="O2395" t="s">
        <v>297</v>
      </c>
    </row>
    <row r="2396" spans="1:15" x14ac:dyDescent="0.3">
      <c r="A2396" t="s">
        <v>3937</v>
      </c>
      <c r="B2396" t="s">
        <v>3938</v>
      </c>
      <c r="C2396">
        <v>2022</v>
      </c>
      <c r="D2396" t="s">
        <v>300</v>
      </c>
      <c r="E2396" t="s">
        <v>2925</v>
      </c>
      <c r="F2396">
        <v>-1342</v>
      </c>
      <c r="G2396" t="s">
        <v>302</v>
      </c>
      <c r="H2396">
        <v>208</v>
      </c>
      <c r="I2396" t="s">
        <v>3992</v>
      </c>
      <c r="J2396" t="s">
        <v>294</v>
      </c>
      <c r="M2396" t="s">
        <v>295</v>
      </c>
      <c r="N2396" t="s">
        <v>296</v>
      </c>
      <c r="O2396" t="s">
        <v>297</v>
      </c>
    </row>
    <row r="2397" spans="1:15" x14ac:dyDescent="0.3">
      <c r="A2397" t="s">
        <v>3937</v>
      </c>
      <c r="B2397" t="s">
        <v>3938</v>
      </c>
      <c r="C2397">
        <v>2022</v>
      </c>
      <c r="D2397" t="s">
        <v>300</v>
      </c>
      <c r="E2397" t="s">
        <v>601</v>
      </c>
      <c r="F2397">
        <v>-138</v>
      </c>
      <c r="G2397" t="s">
        <v>302</v>
      </c>
      <c r="H2397">
        <v>92</v>
      </c>
      <c r="I2397" t="s">
        <v>3993</v>
      </c>
      <c r="J2397" t="s">
        <v>294</v>
      </c>
      <c r="M2397" t="s">
        <v>295</v>
      </c>
      <c r="N2397" t="s">
        <v>296</v>
      </c>
      <c r="O2397" t="s">
        <v>297</v>
      </c>
    </row>
    <row r="2398" spans="1:15" x14ac:dyDescent="0.3">
      <c r="A2398" t="s">
        <v>3937</v>
      </c>
      <c r="B2398" t="s">
        <v>3938</v>
      </c>
      <c r="C2398">
        <v>2022</v>
      </c>
      <c r="D2398" t="s">
        <v>300</v>
      </c>
      <c r="E2398" t="s">
        <v>603</v>
      </c>
      <c r="F2398">
        <v>-105</v>
      </c>
      <c r="G2398" t="s">
        <v>302</v>
      </c>
      <c r="H2398">
        <v>92</v>
      </c>
      <c r="I2398" t="s">
        <v>3994</v>
      </c>
      <c r="J2398" t="s">
        <v>294</v>
      </c>
      <c r="M2398" t="s">
        <v>295</v>
      </c>
      <c r="N2398" t="s">
        <v>296</v>
      </c>
      <c r="O2398" t="s">
        <v>297</v>
      </c>
    </row>
    <row r="2399" spans="1:15" x14ac:dyDescent="0.3">
      <c r="A2399" t="s">
        <v>3937</v>
      </c>
      <c r="B2399" t="s">
        <v>3938</v>
      </c>
      <c r="C2399">
        <v>2022</v>
      </c>
      <c r="D2399" t="s">
        <v>300</v>
      </c>
      <c r="E2399" t="s">
        <v>716</v>
      </c>
      <c r="F2399">
        <v>232</v>
      </c>
      <c r="G2399" t="s">
        <v>302</v>
      </c>
      <c r="H2399">
        <v>92</v>
      </c>
      <c r="I2399" t="s">
        <v>3995</v>
      </c>
      <c r="J2399" t="s">
        <v>294</v>
      </c>
      <c r="M2399" t="s">
        <v>295</v>
      </c>
      <c r="N2399" t="s">
        <v>296</v>
      </c>
      <c r="O2399" t="s">
        <v>297</v>
      </c>
    </row>
    <row r="2400" spans="1:15" x14ac:dyDescent="0.3">
      <c r="A2400" t="s">
        <v>3937</v>
      </c>
      <c r="B2400" t="s">
        <v>3938</v>
      </c>
      <c r="C2400">
        <v>2022</v>
      </c>
      <c r="D2400" t="s">
        <v>300</v>
      </c>
      <c r="E2400" t="s">
        <v>3996</v>
      </c>
      <c r="F2400">
        <v>461</v>
      </c>
      <c r="G2400" t="s">
        <v>302</v>
      </c>
      <c r="H2400">
        <v>92</v>
      </c>
      <c r="I2400" t="s">
        <v>3997</v>
      </c>
      <c r="J2400" t="s">
        <v>294</v>
      </c>
      <c r="M2400" t="s">
        <v>295</v>
      </c>
      <c r="N2400" t="s">
        <v>296</v>
      </c>
      <c r="O2400" t="s">
        <v>297</v>
      </c>
    </row>
    <row r="2401" spans="1:15" x14ac:dyDescent="0.3">
      <c r="A2401" t="s">
        <v>3937</v>
      </c>
      <c r="B2401" t="s">
        <v>3938</v>
      </c>
      <c r="C2401">
        <v>2022</v>
      </c>
      <c r="D2401" t="s">
        <v>300</v>
      </c>
      <c r="E2401" t="s">
        <v>3998</v>
      </c>
      <c r="F2401">
        <v>228</v>
      </c>
      <c r="G2401" t="s">
        <v>302</v>
      </c>
      <c r="H2401">
        <v>92</v>
      </c>
      <c r="I2401" t="s">
        <v>3999</v>
      </c>
      <c r="J2401" t="s">
        <v>294</v>
      </c>
      <c r="M2401" t="s">
        <v>295</v>
      </c>
      <c r="N2401" t="s">
        <v>296</v>
      </c>
      <c r="O2401" t="s">
        <v>297</v>
      </c>
    </row>
    <row r="2402" spans="1:15" x14ac:dyDescent="0.3">
      <c r="A2402" t="s">
        <v>3937</v>
      </c>
      <c r="B2402" t="s">
        <v>3938</v>
      </c>
      <c r="C2402">
        <v>2022</v>
      </c>
      <c r="D2402" t="s">
        <v>300</v>
      </c>
      <c r="E2402" t="s">
        <v>1386</v>
      </c>
      <c r="F2402">
        <v>54</v>
      </c>
      <c r="G2402" t="s">
        <v>302</v>
      </c>
      <c r="H2402" t="s">
        <v>3831</v>
      </c>
      <c r="I2402" t="s">
        <v>4000</v>
      </c>
      <c r="J2402" t="s">
        <v>294</v>
      </c>
      <c r="M2402" t="s">
        <v>295</v>
      </c>
      <c r="N2402" t="s">
        <v>296</v>
      </c>
      <c r="O2402" t="s">
        <v>297</v>
      </c>
    </row>
    <row r="2403" spans="1:15" x14ac:dyDescent="0.3">
      <c r="A2403" t="s">
        <v>3937</v>
      </c>
      <c r="B2403" t="s">
        <v>3938</v>
      </c>
      <c r="C2403">
        <v>2022</v>
      </c>
      <c r="D2403" t="s">
        <v>300</v>
      </c>
      <c r="E2403" t="s">
        <v>4001</v>
      </c>
      <c r="F2403">
        <v>113</v>
      </c>
      <c r="G2403" t="s">
        <v>302</v>
      </c>
      <c r="H2403" t="s">
        <v>3831</v>
      </c>
      <c r="I2403" t="s">
        <v>4002</v>
      </c>
      <c r="J2403" t="s">
        <v>294</v>
      </c>
      <c r="M2403" t="s">
        <v>295</v>
      </c>
      <c r="N2403" t="s">
        <v>296</v>
      </c>
      <c r="O2403" t="s">
        <v>297</v>
      </c>
    </row>
    <row r="2404" spans="1:15" x14ac:dyDescent="0.3">
      <c r="A2404" t="s">
        <v>3937</v>
      </c>
      <c r="B2404" t="s">
        <v>3938</v>
      </c>
      <c r="C2404">
        <v>2022</v>
      </c>
      <c r="D2404" t="s">
        <v>300</v>
      </c>
      <c r="E2404" t="s">
        <v>342</v>
      </c>
      <c r="F2404">
        <v>3775</v>
      </c>
      <c r="G2404" t="s">
        <v>497</v>
      </c>
      <c r="H2404">
        <v>66</v>
      </c>
      <c r="I2404" t="s">
        <v>4003</v>
      </c>
      <c r="J2404" t="s">
        <v>294</v>
      </c>
      <c r="M2404" t="s">
        <v>295</v>
      </c>
      <c r="N2404" t="s">
        <v>296</v>
      </c>
      <c r="O2404" t="s">
        <v>297</v>
      </c>
    </row>
    <row r="2405" spans="1:15" x14ac:dyDescent="0.3">
      <c r="A2405" t="s">
        <v>3937</v>
      </c>
      <c r="B2405" t="s">
        <v>3938</v>
      </c>
      <c r="C2405">
        <v>2022</v>
      </c>
      <c r="D2405" t="s">
        <v>300</v>
      </c>
      <c r="E2405" t="s">
        <v>990</v>
      </c>
      <c r="F2405">
        <v>105</v>
      </c>
      <c r="G2405" t="s">
        <v>346</v>
      </c>
      <c r="H2405">
        <v>10</v>
      </c>
      <c r="I2405" t="s">
        <v>4004</v>
      </c>
      <c r="J2405" t="s">
        <v>294</v>
      </c>
      <c r="M2405" t="s">
        <v>295</v>
      </c>
      <c r="N2405" t="s">
        <v>296</v>
      </c>
      <c r="O2405" t="s">
        <v>297</v>
      </c>
    </row>
    <row r="2406" spans="1:15" x14ac:dyDescent="0.3">
      <c r="A2406" t="s">
        <v>3937</v>
      </c>
      <c r="B2406" t="s">
        <v>3938</v>
      </c>
      <c r="C2406">
        <v>2022</v>
      </c>
      <c r="D2406" t="s">
        <v>300</v>
      </c>
      <c r="E2406" t="s">
        <v>4005</v>
      </c>
      <c r="F2406">
        <v>396</v>
      </c>
      <c r="G2406" t="s">
        <v>302</v>
      </c>
      <c r="H2406">
        <v>10</v>
      </c>
      <c r="I2406" t="s">
        <v>4006</v>
      </c>
      <c r="J2406" t="s">
        <v>294</v>
      </c>
      <c r="M2406" t="s">
        <v>295</v>
      </c>
      <c r="N2406" t="s">
        <v>296</v>
      </c>
      <c r="O2406" t="s">
        <v>297</v>
      </c>
    </row>
    <row r="2407" spans="1:15" x14ac:dyDescent="0.3">
      <c r="A2407" t="s">
        <v>3937</v>
      </c>
      <c r="B2407" t="s">
        <v>3938</v>
      </c>
      <c r="C2407">
        <v>2022</v>
      </c>
      <c r="D2407" t="s">
        <v>300</v>
      </c>
      <c r="E2407" t="s">
        <v>326</v>
      </c>
      <c r="F2407">
        <v>0.40029999999999999</v>
      </c>
      <c r="G2407" t="s">
        <v>327</v>
      </c>
      <c r="H2407">
        <v>9</v>
      </c>
      <c r="I2407" t="s">
        <v>4007</v>
      </c>
      <c r="J2407" t="s">
        <v>294</v>
      </c>
      <c r="M2407" t="s">
        <v>295</v>
      </c>
      <c r="N2407" t="s">
        <v>296</v>
      </c>
      <c r="O2407" t="s">
        <v>297</v>
      </c>
    </row>
    <row r="2408" spans="1:15" x14ac:dyDescent="0.3">
      <c r="A2408" t="s">
        <v>3937</v>
      </c>
      <c r="B2408" t="s">
        <v>3938</v>
      </c>
      <c r="C2408">
        <v>2022</v>
      </c>
      <c r="D2408" t="s">
        <v>300</v>
      </c>
      <c r="E2408" t="s">
        <v>4008</v>
      </c>
      <c r="F2408">
        <v>29.32</v>
      </c>
      <c r="G2408" t="s">
        <v>327</v>
      </c>
      <c r="H2408">
        <v>9</v>
      </c>
      <c r="I2408" t="s">
        <v>4009</v>
      </c>
      <c r="J2408" t="s">
        <v>294</v>
      </c>
      <c r="M2408" t="s">
        <v>295</v>
      </c>
      <c r="N2408" t="s">
        <v>296</v>
      </c>
      <c r="O2408" t="s">
        <v>297</v>
      </c>
    </row>
    <row r="2409" spans="1:15" x14ac:dyDescent="0.3">
      <c r="A2409" t="s">
        <v>3937</v>
      </c>
      <c r="B2409" t="s">
        <v>3938</v>
      </c>
      <c r="C2409">
        <v>2022</v>
      </c>
      <c r="D2409" t="s">
        <v>300</v>
      </c>
      <c r="E2409" t="s">
        <v>333</v>
      </c>
      <c r="F2409">
        <v>-8.4099999999999994E-2</v>
      </c>
      <c r="G2409" t="s">
        <v>334</v>
      </c>
      <c r="H2409">
        <v>9</v>
      </c>
      <c r="I2409" t="s">
        <v>4010</v>
      </c>
      <c r="J2409" t="s">
        <v>294</v>
      </c>
      <c r="M2409" t="s">
        <v>295</v>
      </c>
      <c r="N2409" t="s">
        <v>296</v>
      </c>
      <c r="O2409" t="s">
        <v>297</v>
      </c>
    </row>
    <row r="2410" spans="1:15" x14ac:dyDescent="0.3">
      <c r="A2410" t="s">
        <v>3937</v>
      </c>
      <c r="B2410" t="s">
        <v>3938</v>
      </c>
      <c r="C2410">
        <v>2022</v>
      </c>
      <c r="D2410" t="s">
        <v>300</v>
      </c>
      <c r="E2410" t="s">
        <v>336</v>
      </c>
      <c r="F2410">
        <v>-2.5489999999999999</v>
      </c>
      <c r="G2410" t="s">
        <v>334</v>
      </c>
      <c r="H2410">
        <v>9</v>
      </c>
      <c r="I2410" t="s">
        <v>4011</v>
      </c>
      <c r="J2410" t="s">
        <v>294</v>
      </c>
      <c r="M2410" t="s">
        <v>295</v>
      </c>
      <c r="N2410" t="s">
        <v>296</v>
      </c>
      <c r="O2410" t="s">
        <v>297</v>
      </c>
    </row>
    <row r="2411" spans="1:15" x14ac:dyDescent="0.3">
      <c r="A2411" t="s">
        <v>3937</v>
      </c>
      <c r="B2411" t="s">
        <v>3938</v>
      </c>
      <c r="C2411">
        <v>2022</v>
      </c>
      <c r="D2411" t="s">
        <v>300</v>
      </c>
      <c r="E2411" t="s">
        <v>340</v>
      </c>
      <c r="F2411">
        <v>2.81E-2</v>
      </c>
      <c r="G2411" t="s">
        <v>334</v>
      </c>
      <c r="H2411">
        <v>9</v>
      </c>
      <c r="I2411" t="s">
        <v>4012</v>
      </c>
      <c r="J2411" t="s">
        <v>294</v>
      </c>
      <c r="M2411" t="s">
        <v>295</v>
      </c>
      <c r="N2411" t="s">
        <v>296</v>
      </c>
      <c r="O2411" t="s">
        <v>297</v>
      </c>
    </row>
    <row r="2412" spans="1:15" x14ac:dyDescent="0.3">
      <c r="A2412" t="s">
        <v>3937</v>
      </c>
      <c r="B2412" t="s">
        <v>3938</v>
      </c>
      <c r="C2412">
        <v>2022</v>
      </c>
      <c r="D2412" t="s">
        <v>358</v>
      </c>
      <c r="E2412" t="s">
        <v>504</v>
      </c>
      <c r="F2412">
        <v>44027</v>
      </c>
      <c r="G2412" t="s">
        <v>360</v>
      </c>
      <c r="H2412">
        <v>8</v>
      </c>
      <c r="I2412" t="s">
        <v>4013</v>
      </c>
      <c r="J2412" t="s">
        <v>294</v>
      </c>
      <c r="M2412" t="s">
        <v>295</v>
      </c>
      <c r="N2412" t="s">
        <v>296</v>
      </c>
      <c r="O2412" t="s">
        <v>297</v>
      </c>
    </row>
    <row r="2413" spans="1:15" x14ac:dyDescent="0.3">
      <c r="A2413" t="s">
        <v>3937</v>
      </c>
      <c r="B2413" t="s">
        <v>3938</v>
      </c>
      <c r="C2413">
        <v>2022</v>
      </c>
      <c r="D2413" t="s">
        <v>358</v>
      </c>
      <c r="E2413" t="s">
        <v>1058</v>
      </c>
      <c r="F2413">
        <v>37515</v>
      </c>
      <c r="G2413" t="s">
        <v>360</v>
      </c>
      <c r="H2413">
        <v>8</v>
      </c>
      <c r="I2413" t="s">
        <v>4014</v>
      </c>
      <c r="J2413" t="s">
        <v>294</v>
      </c>
      <c r="M2413" t="s">
        <v>295</v>
      </c>
      <c r="N2413" t="s">
        <v>296</v>
      </c>
      <c r="O2413" t="s">
        <v>297</v>
      </c>
    </row>
    <row r="2414" spans="1:15" x14ac:dyDescent="0.3">
      <c r="A2414" t="s">
        <v>3937</v>
      </c>
      <c r="B2414" t="s">
        <v>3938</v>
      </c>
      <c r="C2414">
        <v>2022</v>
      </c>
      <c r="D2414" t="s">
        <v>358</v>
      </c>
      <c r="E2414" t="s">
        <v>364</v>
      </c>
      <c r="F2414">
        <v>6512</v>
      </c>
      <c r="G2414" t="s">
        <v>360</v>
      </c>
      <c r="H2414">
        <v>8</v>
      </c>
      <c r="I2414" t="s">
        <v>4015</v>
      </c>
      <c r="J2414" t="s">
        <v>294</v>
      </c>
      <c r="M2414" t="s">
        <v>295</v>
      </c>
      <c r="N2414" t="s">
        <v>296</v>
      </c>
      <c r="O2414" t="s">
        <v>297</v>
      </c>
    </row>
    <row r="2415" spans="1:15" x14ac:dyDescent="0.3">
      <c r="A2415" t="s">
        <v>3937</v>
      </c>
      <c r="B2415" t="s">
        <v>3938</v>
      </c>
      <c r="C2415">
        <v>2022</v>
      </c>
      <c r="D2415" t="s">
        <v>358</v>
      </c>
      <c r="E2415" t="s">
        <v>4016</v>
      </c>
      <c r="F2415">
        <v>31524</v>
      </c>
      <c r="G2415" t="s">
        <v>360</v>
      </c>
      <c r="H2415">
        <v>8</v>
      </c>
      <c r="I2415" t="s">
        <v>4017</v>
      </c>
      <c r="J2415" t="s">
        <v>294</v>
      </c>
      <c r="M2415" t="s">
        <v>295</v>
      </c>
      <c r="N2415" t="s">
        <v>296</v>
      </c>
      <c r="O2415" t="s">
        <v>297</v>
      </c>
    </row>
    <row r="2416" spans="1:15" x14ac:dyDescent="0.3">
      <c r="A2416" t="s">
        <v>3937</v>
      </c>
      <c r="B2416" t="s">
        <v>3938</v>
      </c>
      <c r="C2416">
        <v>2022</v>
      </c>
      <c r="D2416" t="s">
        <v>358</v>
      </c>
      <c r="E2416" t="s">
        <v>4018</v>
      </c>
      <c r="F2416">
        <v>12503</v>
      </c>
      <c r="G2416" t="s">
        <v>360</v>
      </c>
      <c r="H2416">
        <v>8</v>
      </c>
      <c r="I2416" t="s">
        <v>4019</v>
      </c>
      <c r="J2416" t="s">
        <v>294</v>
      </c>
      <c r="M2416" t="s">
        <v>295</v>
      </c>
      <c r="N2416" t="s">
        <v>296</v>
      </c>
      <c r="O2416" t="s">
        <v>297</v>
      </c>
    </row>
    <row r="2417" spans="1:15" x14ac:dyDescent="0.3">
      <c r="A2417" t="s">
        <v>3937</v>
      </c>
      <c r="B2417" t="s">
        <v>3938</v>
      </c>
      <c r="C2417">
        <v>2022</v>
      </c>
      <c r="D2417" t="s">
        <v>358</v>
      </c>
      <c r="E2417" t="s">
        <v>4020</v>
      </c>
      <c r="F2417">
        <v>29723</v>
      </c>
      <c r="G2417" t="s">
        <v>360</v>
      </c>
      <c r="H2417" t="s">
        <v>4021</v>
      </c>
      <c r="I2417" t="s">
        <v>4022</v>
      </c>
      <c r="J2417" t="s">
        <v>294</v>
      </c>
      <c r="M2417" t="s">
        <v>295</v>
      </c>
      <c r="N2417" t="s">
        <v>296</v>
      </c>
      <c r="O2417" t="s">
        <v>297</v>
      </c>
    </row>
    <row r="2418" spans="1:15" x14ac:dyDescent="0.3">
      <c r="A2418" t="s">
        <v>3937</v>
      </c>
      <c r="B2418" t="s">
        <v>3938</v>
      </c>
      <c r="C2418">
        <v>2022</v>
      </c>
      <c r="D2418" t="s">
        <v>358</v>
      </c>
      <c r="E2418" t="s">
        <v>4023</v>
      </c>
      <c r="F2418">
        <v>21407</v>
      </c>
      <c r="G2418" t="s">
        <v>360</v>
      </c>
      <c r="H2418" t="s">
        <v>4021</v>
      </c>
      <c r="I2418" t="s">
        <v>4024</v>
      </c>
      <c r="J2418" t="s">
        <v>294</v>
      </c>
      <c r="M2418" t="s">
        <v>295</v>
      </c>
      <c r="N2418" t="s">
        <v>296</v>
      </c>
      <c r="O2418" t="s">
        <v>297</v>
      </c>
    </row>
    <row r="2419" spans="1:15" x14ac:dyDescent="0.3">
      <c r="A2419" t="s">
        <v>3937</v>
      </c>
      <c r="B2419" t="s">
        <v>3938</v>
      </c>
      <c r="C2419">
        <v>2022</v>
      </c>
      <c r="D2419" t="s">
        <v>358</v>
      </c>
      <c r="E2419" t="s">
        <v>4025</v>
      </c>
      <c r="F2419">
        <v>39334</v>
      </c>
      <c r="G2419" t="s">
        <v>360</v>
      </c>
      <c r="H2419" t="s">
        <v>4021</v>
      </c>
      <c r="I2419" t="s">
        <v>4026</v>
      </c>
      <c r="J2419" t="s">
        <v>294</v>
      </c>
      <c r="M2419" t="s">
        <v>295</v>
      </c>
      <c r="N2419" t="s">
        <v>296</v>
      </c>
      <c r="O2419" t="s">
        <v>297</v>
      </c>
    </row>
    <row r="2420" spans="1:15" x14ac:dyDescent="0.3">
      <c r="A2420" t="s">
        <v>3937</v>
      </c>
      <c r="B2420" t="s">
        <v>3938</v>
      </c>
      <c r="C2420">
        <v>2022</v>
      </c>
      <c r="D2420" t="s">
        <v>358</v>
      </c>
      <c r="E2420" t="s">
        <v>523</v>
      </c>
      <c r="F2420">
        <v>2</v>
      </c>
      <c r="G2420" t="s">
        <v>384</v>
      </c>
      <c r="H2420" t="s">
        <v>4027</v>
      </c>
      <c r="I2420" t="s">
        <v>4028</v>
      </c>
      <c r="J2420" t="s">
        <v>294</v>
      </c>
      <c r="M2420" t="s">
        <v>295</v>
      </c>
      <c r="N2420" t="s">
        <v>296</v>
      </c>
      <c r="O2420" t="s">
        <v>297</v>
      </c>
    </row>
    <row r="2421" spans="1:15" x14ac:dyDescent="0.3">
      <c r="A2421" t="s">
        <v>3937</v>
      </c>
      <c r="B2421" t="s">
        <v>3938</v>
      </c>
      <c r="C2421">
        <v>2022</v>
      </c>
      <c r="D2421" t="s">
        <v>358</v>
      </c>
      <c r="E2421" t="s">
        <v>4029</v>
      </c>
      <c r="F2421">
        <v>90</v>
      </c>
      <c r="G2421" t="s">
        <v>4030</v>
      </c>
      <c r="H2421" t="s">
        <v>4027</v>
      </c>
      <c r="I2421" t="s">
        <v>4031</v>
      </c>
      <c r="J2421" t="s">
        <v>294</v>
      </c>
      <c r="M2421" t="s">
        <v>295</v>
      </c>
      <c r="N2421" t="s">
        <v>296</v>
      </c>
      <c r="O2421" t="s">
        <v>297</v>
      </c>
    </row>
    <row r="2422" spans="1:15" x14ac:dyDescent="0.3">
      <c r="A2422" t="s">
        <v>3937</v>
      </c>
      <c r="B2422" t="s">
        <v>3938</v>
      </c>
      <c r="C2422">
        <v>2022</v>
      </c>
      <c r="D2422" t="s">
        <v>358</v>
      </c>
      <c r="E2422" t="s">
        <v>4032</v>
      </c>
      <c r="F2422">
        <v>513000</v>
      </c>
      <c r="G2422" t="s">
        <v>4033</v>
      </c>
      <c r="H2422" t="s">
        <v>4027</v>
      </c>
      <c r="I2422" t="s">
        <v>4034</v>
      </c>
      <c r="J2422" t="s">
        <v>294</v>
      </c>
      <c r="M2422" t="s">
        <v>295</v>
      </c>
      <c r="N2422" t="s">
        <v>296</v>
      </c>
      <c r="O2422" t="s">
        <v>297</v>
      </c>
    </row>
    <row r="2423" spans="1:15" x14ac:dyDescent="0.3">
      <c r="A2423" t="s">
        <v>3937</v>
      </c>
      <c r="B2423" t="s">
        <v>3938</v>
      </c>
      <c r="C2423">
        <v>2022</v>
      </c>
      <c r="D2423" t="s">
        <v>358</v>
      </c>
      <c r="E2423" t="s">
        <v>4035</v>
      </c>
      <c r="F2423">
        <v>234924</v>
      </c>
      <c r="G2423" t="s">
        <v>396</v>
      </c>
      <c r="H2423" t="s">
        <v>4027</v>
      </c>
      <c r="I2423" t="s">
        <v>4036</v>
      </c>
      <c r="J2423" t="s">
        <v>294</v>
      </c>
      <c r="M2423" t="s">
        <v>295</v>
      </c>
      <c r="N2423" t="s">
        <v>296</v>
      </c>
      <c r="O2423" t="s">
        <v>297</v>
      </c>
    </row>
    <row r="2424" spans="1:15" x14ac:dyDescent="0.3">
      <c r="A2424" t="s">
        <v>3937</v>
      </c>
      <c r="B2424" t="s">
        <v>3938</v>
      </c>
      <c r="C2424">
        <v>2022</v>
      </c>
      <c r="D2424" t="s">
        <v>358</v>
      </c>
      <c r="E2424" t="s">
        <v>4037</v>
      </c>
      <c r="F2424">
        <v>6386</v>
      </c>
      <c r="G2424" t="s">
        <v>4033</v>
      </c>
      <c r="H2424" t="s">
        <v>4027</v>
      </c>
      <c r="I2424" t="s">
        <v>4038</v>
      </c>
      <c r="J2424" t="s">
        <v>294</v>
      </c>
      <c r="M2424" t="s">
        <v>295</v>
      </c>
      <c r="N2424" t="s">
        <v>296</v>
      </c>
      <c r="O2424" t="s">
        <v>297</v>
      </c>
    </row>
    <row r="2425" spans="1:15" x14ac:dyDescent="0.3">
      <c r="A2425" t="s">
        <v>3937</v>
      </c>
      <c r="B2425" t="s">
        <v>3938</v>
      </c>
      <c r="C2425">
        <v>2022</v>
      </c>
      <c r="D2425" t="s">
        <v>358</v>
      </c>
      <c r="E2425" t="s">
        <v>4039</v>
      </c>
      <c r="F2425">
        <v>26040</v>
      </c>
      <c r="G2425" t="s">
        <v>4033</v>
      </c>
      <c r="H2425" t="s">
        <v>4027</v>
      </c>
      <c r="I2425" t="s">
        <v>4040</v>
      </c>
      <c r="J2425" t="s">
        <v>294</v>
      </c>
      <c r="M2425" t="s">
        <v>295</v>
      </c>
      <c r="N2425" t="s">
        <v>296</v>
      </c>
      <c r="O2425" t="s">
        <v>297</v>
      </c>
    </row>
    <row r="2426" spans="1:15" x14ac:dyDescent="0.3">
      <c r="A2426" t="s">
        <v>3937</v>
      </c>
      <c r="B2426" t="s">
        <v>3938</v>
      </c>
      <c r="C2426">
        <v>2022</v>
      </c>
      <c r="D2426" t="s">
        <v>394</v>
      </c>
      <c r="E2426" t="s">
        <v>4041</v>
      </c>
      <c r="F2426">
        <v>81206</v>
      </c>
      <c r="G2426" t="s">
        <v>396</v>
      </c>
      <c r="H2426">
        <v>5</v>
      </c>
      <c r="I2426" t="s">
        <v>4042</v>
      </c>
      <c r="J2426" t="s">
        <v>294</v>
      </c>
      <c r="M2426" t="s">
        <v>295</v>
      </c>
      <c r="N2426" t="s">
        <v>296</v>
      </c>
      <c r="O2426" t="s">
        <v>297</v>
      </c>
    </row>
    <row r="2427" spans="1:15" x14ac:dyDescent="0.3">
      <c r="A2427" t="s">
        <v>3937</v>
      </c>
      <c r="B2427" t="s">
        <v>3938</v>
      </c>
      <c r="C2427">
        <v>2022</v>
      </c>
      <c r="D2427" t="s">
        <v>394</v>
      </c>
      <c r="E2427" t="s">
        <v>406</v>
      </c>
      <c r="F2427">
        <v>47983</v>
      </c>
      <c r="G2427" t="s">
        <v>396</v>
      </c>
      <c r="H2427">
        <v>5</v>
      </c>
      <c r="I2427" t="s">
        <v>4043</v>
      </c>
      <c r="J2427" t="s">
        <v>294</v>
      </c>
      <c r="M2427" t="s">
        <v>295</v>
      </c>
      <c r="N2427" t="s">
        <v>296</v>
      </c>
      <c r="O2427" t="s">
        <v>297</v>
      </c>
    </row>
    <row r="2428" spans="1:15" x14ac:dyDescent="0.3">
      <c r="A2428" t="s">
        <v>3937</v>
      </c>
      <c r="B2428" t="s">
        <v>3938</v>
      </c>
      <c r="C2428">
        <v>2022</v>
      </c>
      <c r="D2428" t="s">
        <v>394</v>
      </c>
      <c r="E2428" t="s">
        <v>416</v>
      </c>
      <c r="F2428">
        <v>8573</v>
      </c>
      <c r="G2428" t="s">
        <v>396</v>
      </c>
      <c r="H2428">
        <v>5</v>
      </c>
      <c r="I2428" t="s">
        <v>4044</v>
      </c>
      <c r="J2428" t="s">
        <v>294</v>
      </c>
      <c r="M2428" t="s">
        <v>295</v>
      </c>
      <c r="N2428" t="s">
        <v>296</v>
      </c>
      <c r="O2428" t="s">
        <v>297</v>
      </c>
    </row>
    <row r="2429" spans="1:15" x14ac:dyDescent="0.3">
      <c r="A2429" t="s">
        <v>3937</v>
      </c>
      <c r="B2429" t="s">
        <v>3938</v>
      </c>
      <c r="C2429">
        <v>2022</v>
      </c>
      <c r="D2429" t="s">
        <v>394</v>
      </c>
      <c r="E2429" t="s">
        <v>4045</v>
      </c>
      <c r="F2429">
        <v>6280</v>
      </c>
      <c r="G2429" t="s">
        <v>396</v>
      </c>
      <c r="H2429">
        <v>5</v>
      </c>
      <c r="I2429" t="s">
        <v>4046</v>
      </c>
      <c r="J2429" t="s">
        <v>294</v>
      </c>
      <c r="M2429" t="s">
        <v>295</v>
      </c>
      <c r="N2429" t="s">
        <v>296</v>
      </c>
      <c r="O2429" t="s">
        <v>297</v>
      </c>
    </row>
    <row r="2430" spans="1:15" x14ac:dyDescent="0.3">
      <c r="A2430" t="s">
        <v>3937</v>
      </c>
      <c r="B2430" t="s">
        <v>3938</v>
      </c>
      <c r="C2430">
        <v>2022</v>
      </c>
      <c r="D2430" t="s">
        <v>394</v>
      </c>
      <c r="E2430" t="s">
        <v>4047</v>
      </c>
      <c r="F2430">
        <v>8655</v>
      </c>
      <c r="G2430" t="s">
        <v>396</v>
      </c>
      <c r="H2430">
        <v>5</v>
      </c>
      <c r="I2430" t="s">
        <v>4048</v>
      </c>
      <c r="J2430" t="s">
        <v>294</v>
      </c>
      <c r="M2430" t="s">
        <v>295</v>
      </c>
      <c r="N2430" t="s">
        <v>296</v>
      </c>
      <c r="O2430" t="s">
        <v>297</v>
      </c>
    </row>
    <row r="2431" spans="1:15" x14ac:dyDescent="0.3">
      <c r="A2431" t="s">
        <v>3937</v>
      </c>
      <c r="B2431" t="s">
        <v>3938</v>
      </c>
      <c r="C2431">
        <v>2022</v>
      </c>
      <c r="D2431" t="s">
        <v>394</v>
      </c>
      <c r="E2431" t="s">
        <v>4049</v>
      </c>
      <c r="F2431">
        <v>23</v>
      </c>
      <c r="G2431" t="s">
        <v>396</v>
      </c>
      <c r="H2431">
        <v>5</v>
      </c>
      <c r="I2431" t="s">
        <v>4050</v>
      </c>
      <c r="J2431" t="s">
        <v>294</v>
      </c>
      <c r="M2431" t="s">
        <v>295</v>
      </c>
      <c r="N2431" t="s">
        <v>296</v>
      </c>
      <c r="O2431" t="s">
        <v>297</v>
      </c>
    </row>
    <row r="2432" spans="1:15" x14ac:dyDescent="0.3">
      <c r="A2432" t="s">
        <v>3937</v>
      </c>
      <c r="B2432" t="s">
        <v>3938</v>
      </c>
      <c r="C2432">
        <v>2022</v>
      </c>
      <c r="D2432" t="s">
        <v>394</v>
      </c>
      <c r="E2432" t="s">
        <v>4051</v>
      </c>
      <c r="F2432">
        <v>1676</v>
      </c>
      <c r="G2432" t="s">
        <v>396</v>
      </c>
      <c r="H2432">
        <v>5</v>
      </c>
      <c r="I2432" t="s">
        <v>4052</v>
      </c>
      <c r="J2432" t="s">
        <v>294</v>
      </c>
      <c r="M2432" t="s">
        <v>295</v>
      </c>
      <c r="N2432" t="s">
        <v>296</v>
      </c>
      <c r="O2432" t="s">
        <v>297</v>
      </c>
    </row>
    <row r="2433" spans="1:15" x14ac:dyDescent="0.3">
      <c r="A2433" t="s">
        <v>3937</v>
      </c>
      <c r="B2433" t="s">
        <v>3938</v>
      </c>
      <c r="C2433">
        <v>2022</v>
      </c>
      <c r="D2433" t="s">
        <v>394</v>
      </c>
      <c r="E2433" t="s">
        <v>422</v>
      </c>
      <c r="F2433">
        <v>4.9400000000000004</v>
      </c>
      <c r="G2433" t="s">
        <v>423</v>
      </c>
      <c r="H2433">
        <v>5</v>
      </c>
      <c r="I2433" t="s">
        <v>4053</v>
      </c>
      <c r="J2433" t="s">
        <v>294</v>
      </c>
      <c r="M2433" t="s">
        <v>295</v>
      </c>
      <c r="N2433" t="s">
        <v>296</v>
      </c>
      <c r="O2433" t="s">
        <v>297</v>
      </c>
    </row>
    <row r="2434" spans="1:15" x14ac:dyDescent="0.3">
      <c r="A2434" t="s">
        <v>3937</v>
      </c>
      <c r="B2434" t="s">
        <v>3938</v>
      </c>
      <c r="C2434">
        <v>2022</v>
      </c>
      <c r="D2434" t="s">
        <v>394</v>
      </c>
      <c r="E2434" t="s">
        <v>3238</v>
      </c>
      <c r="F2434">
        <v>0.20419999999999999</v>
      </c>
      <c r="G2434" t="s">
        <v>334</v>
      </c>
      <c r="H2434">
        <v>5</v>
      </c>
      <c r="I2434" t="s">
        <v>4054</v>
      </c>
      <c r="J2434" t="s">
        <v>294</v>
      </c>
      <c r="M2434" t="s">
        <v>295</v>
      </c>
      <c r="N2434" t="s">
        <v>296</v>
      </c>
      <c r="O2434" t="s">
        <v>297</v>
      </c>
    </row>
    <row r="2435" spans="1:15" x14ac:dyDescent="0.3">
      <c r="A2435" t="s">
        <v>3937</v>
      </c>
      <c r="B2435" t="s">
        <v>3938</v>
      </c>
      <c r="C2435">
        <v>2022</v>
      </c>
      <c r="D2435" t="s">
        <v>394</v>
      </c>
      <c r="E2435" t="s">
        <v>3240</v>
      </c>
      <c r="F2435">
        <v>3.6499999999999998E-2</v>
      </c>
      <c r="G2435" t="s">
        <v>334</v>
      </c>
      <c r="H2435">
        <v>5</v>
      </c>
      <c r="I2435" t="s">
        <v>4055</v>
      </c>
      <c r="J2435" t="s">
        <v>294</v>
      </c>
      <c r="M2435" t="s">
        <v>295</v>
      </c>
      <c r="N2435" t="s">
        <v>296</v>
      </c>
      <c r="O2435" t="s">
        <v>297</v>
      </c>
    </row>
    <row r="2436" spans="1:15" x14ac:dyDescent="0.3">
      <c r="A2436" t="s">
        <v>3937</v>
      </c>
      <c r="B2436" t="s">
        <v>3938</v>
      </c>
      <c r="C2436">
        <v>2022</v>
      </c>
      <c r="D2436" t="s">
        <v>394</v>
      </c>
      <c r="E2436" t="s">
        <v>425</v>
      </c>
      <c r="F2436">
        <v>1.01</v>
      </c>
      <c r="G2436" t="s">
        <v>423</v>
      </c>
      <c r="H2436">
        <v>5</v>
      </c>
      <c r="I2436" t="s">
        <v>4056</v>
      </c>
      <c r="J2436" t="s">
        <v>294</v>
      </c>
      <c r="M2436" t="s">
        <v>295</v>
      </c>
      <c r="N2436" t="s">
        <v>296</v>
      </c>
      <c r="O2436" t="s">
        <v>297</v>
      </c>
    </row>
    <row r="2437" spans="1:15" x14ac:dyDescent="0.3">
      <c r="A2437" t="s">
        <v>3937</v>
      </c>
      <c r="B2437" t="s">
        <v>3938</v>
      </c>
      <c r="C2437">
        <v>2022</v>
      </c>
      <c r="D2437" t="s">
        <v>394</v>
      </c>
      <c r="E2437" t="s">
        <v>4057</v>
      </c>
      <c r="F2437">
        <v>0.45789999999999997</v>
      </c>
      <c r="G2437" t="s">
        <v>334</v>
      </c>
      <c r="H2437">
        <v>5</v>
      </c>
      <c r="I2437" t="s">
        <v>4058</v>
      </c>
      <c r="J2437" t="s">
        <v>294</v>
      </c>
      <c r="M2437" t="s">
        <v>295</v>
      </c>
      <c r="N2437" t="s">
        <v>296</v>
      </c>
      <c r="O2437" t="s">
        <v>297</v>
      </c>
    </row>
    <row r="2438" spans="1:15" x14ac:dyDescent="0.3">
      <c r="A2438" t="s">
        <v>3937</v>
      </c>
      <c r="B2438" t="s">
        <v>3938</v>
      </c>
      <c r="C2438">
        <v>2022</v>
      </c>
      <c r="D2438" t="s">
        <v>394</v>
      </c>
      <c r="E2438" t="s">
        <v>4059</v>
      </c>
      <c r="F2438">
        <v>0.48</v>
      </c>
      <c r="G2438" t="s">
        <v>334</v>
      </c>
      <c r="H2438">
        <v>5</v>
      </c>
      <c r="I2438" t="s">
        <v>4060</v>
      </c>
      <c r="J2438" t="s">
        <v>294</v>
      </c>
      <c r="M2438" t="s">
        <v>295</v>
      </c>
      <c r="N2438" t="s">
        <v>296</v>
      </c>
      <c r="O2438" t="s">
        <v>297</v>
      </c>
    </row>
    <row r="2439" spans="1:15" x14ac:dyDescent="0.3">
      <c r="A2439" t="s">
        <v>3937</v>
      </c>
      <c r="B2439" t="s">
        <v>3938</v>
      </c>
      <c r="C2439">
        <v>2022</v>
      </c>
      <c r="D2439" t="s">
        <v>394</v>
      </c>
      <c r="E2439" t="s">
        <v>4061</v>
      </c>
      <c r="F2439">
        <v>0.38150000000000001</v>
      </c>
      <c r="G2439" t="s">
        <v>334</v>
      </c>
      <c r="H2439">
        <v>5</v>
      </c>
      <c r="I2439" t="s">
        <v>4062</v>
      </c>
      <c r="J2439" t="s">
        <v>294</v>
      </c>
      <c r="M2439" t="s">
        <v>295</v>
      </c>
      <c r="N2439" t="s">
        <v>296</v>
      </c>
      <c r="O2439" t="s">
        <v>297</v>
      </c>
    </row>
    <row r="2440" spans="1:15" x14ac:dyDescent="0.3">
      <c r="A2440" t="s">
        <v>3937</v>
      </c>
      <c r="B2440" t="s">
        <v>3938</v>
      </c>
      <c r="C2440">
        <v>2022</v>
      </c>
      <c r="D2440" t="s">
        <v>394</v>
      </c>
      <c r="E2440" t="s">
        <v>438</v>
      </c>
      <c r="F2440">
        <v>45918</v>
      </c>
      <c r="G2440" t="s">
        <v>396</v>
      </c>
      <c r="H2440">
        <v>5</v>
      </c>
      <c r="I2440" t="s">
        <v>4063</v>
      </c>
      <c r="J2440" t="s">
        <v>294</v>
      </c>
      <c r="M2440" t="s">
        <v>295</v>
      </c>
      <c r="N2440" t="s">
        <v>296</v>
      </c>
      <c r="O2440" t="s">
        <v>297</v>
      </c>
    </row>
    <row r="2441" spans="1:15" x14ac:dyDescent="0.3">
      <c r="A2441" t="s">
        <v>3937</v>
      </c>
      <c r="B2441" t="s">
        <v>3938</v>
      </c>
      <c r="C2441">
        <v>2022</v>
      </c>
      <c r="D2441" t="s">
        <v>394</v>
      </c>
      <c r="E2441" t="s">
        <v>3243</v>
      </c>
      <c r="F2441">
        <v>6941</v>
      </c>
      <c r="G2441" t="s">
        <v>396</v>
      </c>
      <c r="H2441">
        <v>5</v>
      </c>
      <c r="I2441" t="s">
        <v>4064</v>
      </c>
      <c r="J2441" t="s">
        <v>294</v>
      </c>
      <c r="M2441" t="s">
        <v>295</v>
      </c>
      <c r="N2441" t="s">
        <v>296</v>
      </c>
      <c r="O2441" t="s">
        <v>297</v>
      </c>
    </row>
    <row r="2442" spans="1:15" x14ac:dyDescent="0.3">
      <c r="A2442" t="s">
        <v>3937</v>
      </c>
      <c r="B2442" t="s">
        <v>3938</v>
      </c>
      <c r="C2442">
        <v>2022</v>
      </c>
      <c r="D2442" t="s">
        <v>394</v>
      </c>
      <c r="E2442" t="s">
        <v>4065</v>
      </c>
      <c r="F2442">
        <v>11415</v>
      </c>
      <c r="G2442" t="s">
        <v>396</v>
      </c>
      <c r="H2442">
        <v>5</v>
      </c>
      <c r="I2442" t="s">
        <v>4066</v>
      </c>
      <c r="J2442" t="s">
        <v>294</v>
      </c>
      <c r="M2442" t="s">
        <v>295</v>
      </c>
      <c r="N2442" t="s">
        <v>296</v>
      </c>
      <c r="O2442" t="s">
        <v>297</v>
      </c>
    </row>
    <row r="2443" spans="1:15" x14ac:dyDescent="0.3">
      <c r="A2443" t="s">
        <v>3937</v>
      </c>
      <c r="B2443" t="s">
        <v>3938</v>
      </c>
      <c r="C2443">
        <v>2022</v>
      </c>
      <c r="D2443" t="s">
        <v>394</v>
      </c>
      <c r="E2443" t="s">
        <v>4067</v>
      </c>
      <c r="F2443">
        <v>2188</v>
      </c>
      <c r="G2443" t="s">
        <v>396</v>
      </c>
      <c r="H2443">
        <v>5</v>
      </c>
      <c r="I2443" t="s">
        <v>4068</v>
      </c>
      <c r="J2443" t="s">
        <v>294</v>
      </c>
      <c r="M2443" t="s">
        <v>295</v>
      </c>
      <c r="N2443" t="s">
        <v>296</v>
      </c>
      <c r="O2443" t="s">
        <v>297</v>
      </c>
    </row>
    <row r="2444" spans="1:15" x14ac:dyDescent="0.3">
      <c r="A2444" t="s">
        <v>3937</v>
      </c>
      <c r="B2444" t="s">
        <v>3938</v>
      </c>
      <c r="C2444">
        <v>2022</v>
      </c>
      <c r="D2444" t="s">
        <v>394</v>
      </c>
      <c r="E2444" t="s">
        <v>4069</v>
      </c>
      <c r="F2444">
        <v>12337</v>
      </c>
      <c r="G2444" t="s">
        <v>436</v>
      </c>
      <c r="H2444">
        <v>5</v>
      </c>
      <c r="I2444" t="s">
        <v>4070</v>
      </c>
      <c r="J2444" t="s">
        <v>294</v>
      </c>
      <c r="M2444" t="s">
        <v>295</v>
      </c>
      <c r="N2444" t="s">
        <v>296</v>
      </c>
      <c r="O2444" t="s">
        <v>297</v>
      </c>
    </row>
    <row r="2445" spans="1:15" x14ac:dyDescent="0.3">
      <c r="A2445" t="s">
        <v>3937</v>
      </c>
      <c r="B2445" t="s">
        <v>3938</v>
      </c>
      <c r="C2445">
        <v>2022</v>
      </c>
      <c r="D2445" t="s">
        <v>394</v>
      </c>
      <c r="E2445" t="s">
        <v>4071</v>
      </c>
      <c r="F2445">
        <v>8175</v>
      </c>
      <c r="G2445" t="s">
        <v>436</v>
      </c>
      <c r="H2445">
        <v>5</v>
      </c>
      <c r="I2445" t="s">
        <v>4072</v>
      </c>
      <c r="J2445" t="s">
        <v>294</v>
      </c>
      <c r="M2445" t="s">
        <v>295</v>
      </c>
      <c r="N2445" t="s">
        <v>296</v>
      </c>
      <c r="O2445" t="s">
        <v>297</v>
      </c>
    </row>
    <row r="2446" spans="1:15" x14ac:dyDescent="0.3">
      <c r="A2446" t="s">
        <v>3937</v>
      </c>
      <c r="B2446" t="s">
        <v>3938</v>
      </c>
      <c r="C2446">
        <v>2022</v>
      </c>
      <c r="D2446" t="s">
        <v>394</v>
      </c>
      <c r="E2446" t="s">
        <v>4073</v>
      </c>
      <c r="F2446">
        <v>24526</v>
      </c>
      <c r="G2446" t="s">
        <v>436</v>
      </c>
      <c r="H2446">
        <v>5</v>
      </c>
      <c r="I2446" t="s">
        <v>4074</v>
      </c>
      <c r="J2446" t="s">
        <v>294</v>
      </c>
      <c r="M2446" t="s">
        <v>295</v>
      </c>
      <c r="N2446" t="s">
        <v>296</v>
      </c>
      <c r="O2446" t="s">
        <v>297</v>
      </c>
    </row>
    <row r="2447" spans="1:15" x14ac:dyDescent="0.3">
      <c r="A2447" t="s">
        <v>3937</v>
      </c>
      <c r="B2447" t="s">
        <v>3938</v>
      </c>
      <c r="C2447">
        <v>2022</v>
      </c>
      <c r="D2447" t="s">
        <v>394</v>
      </c>
      <c r="E2447" t="s">
        <v>4075</v>
      </c>
      <c r="F2447">
        <v>27346</v>
      </c>
      <c r="G2447" t="s">
        <v>436</v>
      </c>
      <c r="H2447">
        <v>5</v>
      </c>
      <c r="I2447" t="s">
        <v>4076</v>
      </c>
      <c r="J2447" t="s">
        <v>294</v>
      </c>
      <c r="M2447" t="s">
        <v>295</v>
      </c>
      <c r="N2447" t="s">
        <v>296</v>
      </c>
      <c r="O2447" t="s">
        <v>297</v>
      </c>
    </row>
    <row r="2448" spans="1:15" x14ac:dyDescent="0.3">
      <c r="A2448" t="s">
        <v>3937</v>
      </c>
      <c r="B2448" t="s">
        <v>4077</v>
      </c>
      <c r="C2448">
        <v>2023</v>
      </c>
      <c r="D2448" t="s">
        <v>272</v>
      </c>
      <c r="E2448" t="s">
        <v>291</v>
      </c>
      <c r="F2448" t="s">
        <v>3937</v>
      </c>
      <c r="G2448" t="s">
        <v>292</v>
      </c>
      <c r="H2448">
        <v>9</v>
      </c>
      <c r="I2448" t="s">
        <v>3937</v>
      </c>
      <c r="J2448" t="s">
        <v>294</v>
      </c>
      <c r="M2448" t="s">
        <v>295</v>
      </c>
      <c r="N2448" t="s">
        <v>296</v>
      </c>
      <c r="O2448" t="s">
        <v>297</v>
      </c>
    </row>
    <row r="2449" spans="1:15" x14ac:dyDescent="0.3">
      <c r="A2449" t="s">
        <v>3937</v>
      </c>
      <c r="B2449" t="s">
        <v>4077</v>
      </c>
      <c r="C2449">
        <v>2023</v>
      </c>
      <c r="D2449" t="s">
        <v>272</v>
      </c>
      <c r="E2449" t="s">
        <v>1</v>
      </c>
      <c r="F2449" t="s">
        <v>47</v>
      </c>
      <c r="G2449" t="s">
        <v>292</v>
      </c>
      <c r="H2449">
        <v>17</v>
      </c>
      <c r="I2449" t="s">
        <v>3940</v>
      </c>
      <c r="J2449" t="s">
        <v>294</v>
      </c>
      <c r="M2449" t="s">
        <v>295</v>
      </c>
      <c r="N2449" t="s">
        <v>296</v>
      </c>
      <c r="O2449" t="s">
        <v>297</v>
      </c>
    </row>
    <row r="2450" spans="1:15" x14ac:dyDescent="0.3">
      <c r="A2450" t="s">
        <v>3937</v>
      </c>
      <c r="B2450" t="s">
        <v>4077</v>
      </c>
      <c r="C2450">
        <v>2023</v>
      </c>
      <c r="D2450" t="s">
        <v>272</v>
      </c>
      <c r="E2450" t="s">
        <v>4078</v>
      </c>
      <c r="F2450" t="s">
        <v>4079</v>
      </c>
      <c r="G2450" t="s">
        <v>334</v>
      </c>
      <c r="H2450">
        <v>61</v>
      </c>
      <c r="I2450" t="s">
        <v>4080</v>
      </c>
      <c r="J2450" t="s">
        <v>294</v>
      </c>
      <c r="M2450" t="s">
        <v>295</v>
      </c>
      <c r="N2450" t="s">
        <v>296</v>
      </c>
      <c r="O2450" t="s">
        <v>297</v>
      </c>
    </row>
    <row r="2451" spans="1:15" x14ac:dyDescent="0.3">
      <c r="A2451" t="s">
        <v>3937</v>
      </c>
      <c r="B2451" t="s">
        <v>4077</v>
      </c>
      <c r="C2451">
        <v>2023</v>
      </c>
      <c r="D2451" t="s">
        <v>272</v>
      </c>
      <c r="E2451" t="s">
        <v>4081</v>
      </c>
      <c r="F2451">
        <v>12458266342</v>
      </c>
      <c r="G2451" t="s">
        <v>1633</v>
      </c>
      <c r="H2451">
        <v>21</v>
      </c>
      <c r="I2451" t="s">
        <v>4082</v>
      </c>
      <c r="J2451" t="s">
        <v>294</v>
      </c>
      <c r="M2451" t="s">
        <v>295</v>
      </c>
      <c r="N2451" t="s">
        <v>296</v>
      </c>
      <c r="O2451" t="s">
        <v>297</v>
      </c>
    </row>
    <row r="2452" spans="1:15" x14ac:dyDescent="0.3">
      <c r="A2452" t="s">
        <v>3937</v>
      </c>
      <c r="B2452" t="s">
        <v>4077</v>
      </c>
      <c r="C2452">
        <v>2023</v>
      </c>
      <c r="D2452" t="s">
        <v>272</v>
      </c>
      <c r="E2452" t="s">
        <v>4083</v>
      </c>
      <c r="F2452" t="s">
        <v>4084</v>
      </c>
      <c r="G2452" t="s">
        <v>666</v>
      </c>
      <c r="H2452">
        <v>21</v>
      </c>
      <c r="I2452" t="s">
        <v>4085</v>
      </c>
      <c r="J2452" t="s">
        <v>294</v>
      </c>
      <c r="M2452" t="s">
        <v>295</v>
      </c>
      <c r="N2452" t="s">
        <v>296</v>
      </c>
      <c r="O2452" t="s">
        <v>297</v>
      </c>
    </row>
    <row r="2453" spans="1:15" x14ac:dyDescent="0.3">
      <c r="A2453" t="s">
        <v>3937</v>
      </c>
      <c r="B2453" t="s">
        <v>4077</v>
      </c>
      <c r="C2453">
        <v>2023</v>
      </c>
      <c r="D2453" t="s">
        <v>272</v>
      </c>
      <c r="E2453" t="s">
        <v>4086</v>
      </c>
      <c r="F2453">
        <v>0.76742699999999997</v>
      </c>
      <c r="G2453" t="s">
        <v>334</v>
      </c>
      <c r="H2453">
        <v>21</v>
      </c>
      <c r="I2453" t="s">
        <v>4087</v>
      </c>
      <c r="J2453" t="s">
        <v>294</v>
      </c>
      <c r="M2453" t="s">
        <v>295</v>
      </c>
      <c r="N2453" t="s">
        <v>296</v>
      </c>
      <c r="O2453" t="s">
        <v>297</v>
      </c>
    </row>
    <row r="2454" spans="1:15" x14ac:dyDescent="0.3">
      <c r="A2454" t="s">
        <v>3937</v>
      </c>
      <c r="B2454" t="s">
        <v>4077</v>
      </c>
      <c r="C2454">
        <v>2023</v>
      </c>
      <c r="D2454" t="s">
        <v>272</v>
      </c>
      <c r="E2454" t="s">
        <v>4088</v>
      </c>
      <c r="F2454" t="s">
        <v>4089</v>
      </c>
      <c r="G2454" t="s">
        <v>292</v>
      </c>
      <c r="H2454">
        <v>19</v>
      </c>
      <c r="I2454" t="s">
        <v>4090</v>
      </c>
      <c r="J2454" t="s">
        <v>294</v>
      </c>
      <c r="M2454" t="s">
        <v>295</v>
      </c>
      <c r="N2454" t="s">
        <v>296</v>
      </c>
      <c r="O2454" t="s">
        <v>297</v>
      </c>
    </row>
    <row r="2455" spans="1:15" x14ac:dyDescent="0.3">
      <c r="A2455" t="s">
        <v>3937</v>
      </c>
      <c r="B2455" t="s">
        <v>4077</v>
      </c>
      <c r="C2455">
        <v>2023</v>
      </c>
      <c r="D2455" t="s">
        <v>272</v>
      </c>
      <c r="E2455" t="s">
        <v>4091</v>
      </c>
      <c r="F2455" t="s">
        <v>4092</v>
      </c>
      <c r="G2455" t="s">
        <v>292</v>
      </c>
      <c r="H2455">
        <v>19</v>
      </c>
      <c r="I2455" t="s">
        <v>4093</v>
      </c>
      <c r="J2455" t="s">
        <v>294</v>
      </c>
      <c r="M2455" t="s">
        <v>295</v>
      </c>
      <c r="N2455" t="s">
        <v>296</v>
      </c>
      <c r="O2455" t="s">
        <v>297</v>
      </c>
    </row>
    <row r="2456" spans="1:15" x14ac:dyDescent="0.3">
      <c r="A2456" t="s">
        <v>3937</v>
      </c>
      <c r="B2456" t="s">
        <v>4077</v>
      </c>
      <c r="C2456">
        <v>2023</v>
      </c>
      <c r="D2456" t="s">
        <v>272</v>
      </c>
      <c r="E2456" t="s">
        <v>4094</v>
      </c>
      <c r="F2456">
        <v>7148</v>
      </c>
      <c r="G2456" t="s">
        <v>1561</v>
      </c>
      <c r="H2456">
        <v>68</v>
      </c>
      <c r="I2456" t="s">
        <v>4095</v>
      </c>
      <c r="J2456" t="s">
        <v>294</v>
      </c>
      <c r="M2456" t="s">
        <v>295</v>
      </c>
      <c r="N2456" t="s">
        <v>296</v>
      </c>
      <c r="O2456" t="s">
        <v>297</v>
      </c>
    </row>
    <row r="2457" spans="1:15" x14ac:dyDescent="0.3">
      <c r="A2457" t="s">
        <v>3937</v>
      </c>
      <c r="B2457" t="s">
        <v>4077</v>
      </c>
      <c r="C2457">
        <v>2023</v>
      </c>
      <c r="D2457" t="s">
        <v>300</v>
      </c>
      <c r="E2457" t="s">
        <v>682</v>
      </c>
      <c r="F2457">
        <v>896</v>
      </c>
      <c r="G2457" t="s">
        <v>302</v>
      </c>
      <c r="H2457">
        <v>9</v>
      </c>
      <c r="I2457" t="s">
        <v>4096</v>
      </c>
      <c r="J2457" t="s">
        <v>294</v>
      </c>
      <c r="M2457" t="s">
        <v>295</v>
      </c>
      <c r="N2457" t="s">
        <v>296</v>
      </c>
      <c r="O2457" t="s">
        <v>297</v>
      </c>
    </row>
    <row r="2458" spans="1:15" x14ac:dyDescent="0.3">
      <c r="A2458" t="s">
        <v>3937</v>
      </c>
      <c r="B2458" t="s">
        <v>4077</v>
      </c>
      <c r="C2458">
        <v>2023</v>
      </c>
      <c r="D2458" t="s">
        <v>300</v>
      </c>
      <c r="E2458" t="s">
        <v>819</v>
      </c>
      <c r="F2458">
        <v>-16</v>
      </c>
      <c r="G2458" t="s">
        <v>302</v>
      </c>
      <c r="H2458">
        <v>9</v>
      </c>
      <c r="I2458" t="s">
        <v>4097</v>
      </c>
      <c r="J2458" t="s">
        <v>294</v>
      </c>
      <c r="M2458" t="s">
        <v>295</v>
      </c>
      <c r="N2458" t="s">
        <v>296</v>
      </c>
      <c r="O2458" t="s">
        <v>297</v>
      </c>
    </row>
    <row r="2459" spans="1:15" x14ac:dyDescent="0.3">
      <c r="A2459" t="s">
        <v>3937</v>
      </c>
      <c r="B2459" t="s">
        <v>4077</v>
      </c>
      <c r="C2459">
        <v>2023</v>
      </c>
      <c r="D2459" t="s">
        <v>300</v>
      </c>
      <c r="E2459" t="s">
        <v>1109</v>
      </c>
      <c r="F2459">
        <v>912</v>
      </c>
      <c r="G2459" t="s">
        <v>302</v>
      </c>
      <c r="H2459">
        <v>9</v>
      </c>
      <c r="I2459" t="s">
        <v>4098</v>
      </c>
      <c r="J2459" t="s">
        <v>294</v>
      </c>
      <c r="M2459" t="s">
        <v>295</v>
      </c>
      <c r="N2459" t="s">
        <v>296</v>
      </c>
      <c r="O2459" t="s">
        <v>297</v>
      </c>
    </row>
    <row r="2460" spans="1:15" x14ac:dyDescent="0.3">
      <c r="A2460" t="s">
        <v>3937</v>
      </c>
      <c r="B2460" t="s">
        <v>4077</v>
      </c>
      <c r="C2460">
        <v>2023</v>
      </c>
      <c r="D2460" t="s">
        <v>300</v>
      </c>
      <c r="E2460" t="s">
        <v>452</v>
      </c>
      <c r="F2460">
        <v>57</v>
      </c>
      <c r="G2460" t="s">
        <v>302</v>
      </c>
      <c r="H2460">
        <v>93</v>
      </c>
      <c r="I2460" t="s">
        <v>4099</v>
      </c>
      <c r="J2460" t="s">
        <v>294</v>
      </c>
      <c r="M2460" t="s">
        <v>295</v>
      </c>
      <c r="N2460" t="s">
        <v>296</v>
      </c>
      <c r="O2460" t="s">
        <v>297</v>
      </c>
    </row>
    <row r="2461" spans="1:15" x14ac:dyDescent="0.3">
      <c r="A2461" t="s">
        <v>3937</v>
      </c>
      <c r="B2461" t="s">
        <v>4077</v>
      </c>
      <c r="C2461">
        <v>2023</v>
      </c>
      <c r="D2461" t="s">
        <v>300</v>
      </c>
      <c r="E2461" t="s">
        <v>3957</v>
      </c>
      <c r="F2461">
        <v>-73</v>
      </c>
      <c r="G2461" t="s">
        <v>302</v>
      </c>
      <c r="H2461">
        <v>272</v>
      </c>
      <c r="I2461" t="s">
        <v>4100</v>
      </c>
      <c r="J2461" t="s">
        <v>294</v>
      </c>
      <c r="M2461" t="s">
        <v>295</v>
      </c>
      <c r="N2461" t="s">
        <v>296</v>
      </c>
      <c r="O2461" t="s">
        <v>297</v>
      </c>
    </row>
    <row r="2462" spans="1:15" x14ac:dyDescent="0.3">
      <c r="A2462" t="s">
        <v>3937</v>
      </c>
      <c r="B2462" t="s">
        <v>4077</v>
      </c>
      <c r="C2462">
        <v>2023</v>
      </c>
      <c r="D2462" t="s">
        <v>300</v>
      </c>
      <c r="E2462" t="s">
        <v>3959</v>
      </c>
      <c r="F2462">
        <v>-304</v>
      </c>
      <c r="G2462" t="s">
        <v>302</v>
      </c>
      <c r="H2462">
        <v>9</v>
      </c>
      <c r="I2462" t="s">
        <v>4101</v>
      </c>
      <c r="J2462" t="s">
        <v>294</v>
      </c>
      <c r="M2462" t="s">
        <v>295</v>
      </c>
      <c r="N2462" t="s">
        <v>296</v>
      </c>
      <c r="O2462" t="s">
        <v>297</v>
      </c>
    </row>
    <row r="2463" spans="1:15" x14ac:dyDescent="0.3">
      <c r="A2463" t="s">
        <v>3937</v>
      </c>
      <c r="B2463" t="s">
        <v>4077</v>
      </c>
      <c r="C2463">
        <v>2023</v>
      </c>
      <c r="D2463" t="s">
        <v>300</v>
      </c>
      <c r="E2463" t="s">
        <v>3961</v>
      </c>
      <c r="F2463">
        <v>-302</v>
      </c>
      <c r="G2463" t="s">
        <v>302</v>
      </c>
      <c r="H2463">
        <v>9</v>
      </c>
      <c r="I2463" t="s">
        <v>4102</v>
      </c>
      <c r="J2463" t="s">
        <v>294</v>
      </c>
      <c r="M2463" t="s">
        <v>295</v>
      </c>
      <c r="N2463" t="s">
        <v>296</v>
      </c>
      <c r="O2463" t="s">
        <v>297</v>
      </c>
    </row>
    <row r="2464" spans="1:15" x14ac:dyDescent="0.3">
      <c r="A2464" t="s">
        <v>3937</v>
      </c>
      <c r="B2464" t="s">
        <v>4077</v>
      </c>
      <c r="C2464">
        <v>2023</v>
      </c>
      <c r="D2464" t="s">
        <v>300</v>
      </c>
      <c r="E2464" t="s">
        <v>345</v>
      </c>
      <c r="F2464">
        <v>-59</v>
      </c>
      <c r="G2464" t="s">
        <v>346</v>
      </c>
      <c r="H2464">
        <v>9</v>
      </c>
      <c r="I2464" t="s">
        <v>4103</v>
      </c>
      <c r="J2464" t="s">
        <v>294</v>
      </c>
      <c r="M2464" t="s">
        <v>295</v>
      </c>
      <c r="N2464" t="s">
        <v>296</v>
      </c>
      <c r="O2464" t="s">
        <v>297</v>
      </c>
    </row>
    <row r="2465" spans="1:15" x14ac:dyDescent="0.3">
      <c r="A2465" t="s">
        <v>3937</v>
      </c>
      <c r="B2465" t="s">
        <v>4077</v>
      </c>
      <c r="C2465">
        <v>2023</v>
      </c>
      <c r="D2465" t="s">
        <v>300</v>
      </c>
      <c r="E2465" t="s">
        <v>316</v>
      </c>
      <c r="F2465">
        <v>3656</v>
      </c>
      <c r="G2465" t="s">
        <v>302</v>
      </c>
      <c r="H2465">
        <v>9</v>
      </c>
      <c r="I2465" t="s">
        <v>4104</v>
      </c>
      <c r="J2465" t="s">
        <v>294</v>
      </c>
      <c r="M2465" t="s">
        <v>295</v>
      </c>
      <c r="N2465" t="s">
        <v>296</v>
      </c>
      <c r="O2465" t="s">
        <v>297</v>
      </c>
    </row>
    <row r="2466" spans="1:15" x14ac:dyDescent="0.3">
      <c r="A2466" t="s">
        <v>3937</v>
      </c>
      <c r="B2466" t="s">
        <v>4077</v>
      </c>
      <c r="C2466">
        <v>2023</v>
      </c>
      <c r="D2466" t="s">
        <v>300</v>
      </c>
      <c r="E2466" t="s">
        <v>312</v>
      </c>
      <c r="F2466">
        <v>272</v>
      </c>
      <c r="G2466" t="s">
        <v>302</v>
      </c>
      <c r="H2466">
        <v>92</v>
      </c>
      <c r="I2466" t="s">
        <v>4105</v>
      </c>
      <c r="J2466" t="s">
        <v>294</v>
      </c>
      <c r="M2466" t="s">
        <v>295</v>
      </c>
      <c r="N2466" t="s">
        <v>296</v>
      </c>
      <c r="O2466" t="s">
        <v>297</v>
      </c>
    </row>
    <row r="2467" spans="1:15" x14ac:dyDescent="0.3">
      <c r="A2467" t="s">
        <v>3937</v>
      </c>
      <c r="B2467" t="s">
        <v>4077</v>
      </c>
      <c r="C2467">
        <v>2023</v>
      </c>
      <c r="D2467" t="s">
        <v>300</v>
      </c>
      <c r="E2467" t="s">
        <v>314</v>
      </c>
      <c r="F2467">
        <v>3385</v>
      </c>
      <c r="G2467" t="s">
        <v>302</v>
      </c>
      <c r="H2467">
        <v>92</v>
      </c>
      <c r="I2467" t="s">
        <v>4106</v>
      </c>
      <c r="J2467" t="s">
        <v>294</v>
      </c>
      <c r="M2467" t="s">
        <v>295</v>
      </c>
      <c r="N2467" t="s">
        <v>296</v>
      </c>
      <c r="O2467" t="s">
        <v>297</v>
      </c>
    </row>
    <row r="2468" spans="1:15" x14ac:dyDescent="0.3">
      <c r="A2468" t="s">
        <v>3937</v>
      </c>
      <c r="B2468" t="s">
        <v>4077</v>
      </c>
      <c r="C2468">
        <v>2023</v>
      </c>
      <c r="D2468" t="s">
        <v>300</v>
      </c>
      <c r="E2468" t="s">
        <v>322</v>
      </c>
      <c r="F2468">
        <v>2675</v>
      </c>
      <c r="G2468" t="s">
        <v>302</v>
      </c>
      <c r="H2468">
        <v>9</v>
      </c>
      <c r="I2468" t="s">
        <v>4107</v>
      </c>
      <c r="J2468" t="s">
        <v>294</v>
      </c>
      <c r="M2468" t="s">
        <v>295</v>
      </c>
      <c r="N2468" t="s">
        <v>296</v>
      </c>
      <c r="O2468" t="s">
        <v>297</v>
      </c>
    </row>
    <row r="2469" spans="1:15" x14ac:dyDescent="0.3">
      <c r="A2469" t="s">
        <v>3937</v>
      </c>
      <c r="B2469" t="s">
        <v>4077</v>
      </c>
      <c r="C2469">
        <v>2023</v>
      </c>
      <c r="D2469" t="s">
        <v>300</v>
      </c>
      <c r="E2469" t="s">
        <v>318</v>
      </c>
      <c r="F2469">
        <v>602</v>
      </c>
      <c r="G2469" t="s">
        <v>302</v>
      </c>
      <c r="H2469">
        <v>208</v>
      </c>
      <c r="I2469" t="s">
        <v>4108</v>
      </c>
      <c r="J2469" t="s">
        <v>294</v>
      </c>
      <c r="M2469" t="s">
        <v>295</v>
      </c>
      <c r="N2469" t="s">
        <v>296</v>
      </c>
      <c r="O2469" t="s">
        <v>297</v>
      </c>
    </row>
    <row r="2470" spans="1:15" x14ac:dyDescent="0.3">
      <c r="A2470" t="s">
        <v>3937</v>
      </c>
      <c r="B2470" t="s">
        <v>4077</v>
      </c>
      <c r="C2470">
        <v>2023</v>
      </c>
      <c r="D2470" t="s">
        <v>300</v>
      </c>
      <c r="E2470" t="s">
        <v>828</v>
      </c>
      <c r="F2470">
        <v>2073</v>
      </c>
      <c r="G2470" t="s">
        <v>302</v>
      </c>
      <c r="H2470">
        <v>208</v>
      </c>
      <c r="I2470" t="s">
        <v>4109</v>
      </c>
      <c r="J2470" t="s">
        <v>294</v>
      </c>
      <c r="M2470" t="s">
        <v>295</v>
      </c>
      <c r="N2470" t="s">
        <v>296</v>
      </c>
      <c r="O2470" t="s">
        <v>297</v>
      </c>
    </row>
    <row r="2471" spans="1:15" x14ac:dyDescent="0.3">
      <c r="A2471" t="s">
        <v>3937</v>
      </c>
      <c r="B2471" t="s">
        <v>4077</v>
      </c>
      <c r="C2471">
        <v>2023</v>
      </c>
      <c r="D2471" t="s">
        <v>300</v>
      </c>
      <c r="E2471" t="s">
        <v>324</v>
      </c>
      <c r="F2471">
        <v>982</v>
      </c>
      <c r="G2471" t="s">
        <v>302</v>
      </c>
      <c r="H2471">
        <v>9</v>
      </c>
      <c r="I2471" t="s">
        <v>4110</v>
      </c>
      <c r="J2471" t="s">
        <v>294</v>
      </c>
      <c r="M2471" t="s">
        <v>295</v>
      </c>
      <c r="N2471" t="s">
        <v>296</v>
      </c>
      <c r="O2471" t="s">
        <v>297</v>
      </c>
    </row>
    <row r="2472" spans="1:15" x14ac:dyDescent="0.3">
      <c r="A2472" t="s">
        <v>3937</v>
      </c>
      <c r="B2472" t="s">
        <v>4077</v>
      </c>
      <c r="C2472">
        <v>2023</v>
      </c>
      <c r="D2472" t="s">
        <v>300</v>
      </c>
      <c r="E2472" t="s">
        <v>3971</v>
      </c>
      <c r="F2472">
        <v>7.03</v>
      </c>
      <c r="G2472" t="s">
        <v>302</v>
      </c>
      <c r="H2472">
        <v>207</v>
      </c>
      <c r="I2472" t="s">
        <v>4111</v>
      </c>
      <c r="J2472" t="s">
        <v>294</v>
      </c>
      <c r="M2472" t="s">
        <v>295</v>
      </c>
      <c r="N2472" t="s">
        <v>296</v>
      </c>
      <c r="O2472" t="s">
        <v>297</v>
      </c>
    </row>
    <row r="2473" spans="1:15" x14ac:dyDescent="0.3">
      <c r="A2473" t="s">
        <v>3937</v>
      </c>
      <c r="B2473" t="s">
        <v>4077</v>
      </c>
      <c r="C2473">
        <v>2023</v>
      </c>
      <c r="D2473" t="s">
        <v>300</v>
      </c>
      <c r="E2473" t="s">
        <v>1227</v>
      </c>
      <c r="F2473">
        <v>125</v>
      </c>
      <c r="G2473" t="s">
        <v>302</v>
      </c>
      <c r="H2473">
        <v>208</v>
      </c>
      <c r="I2473" t="s">
        <v>3973</v>
      </c>
      <c r="J2473" t="s">
        <v>294</v>
      </c>
      <c r="M2473" t="s">
        <v>295</v>
      </c>
      <c r="N2473" t="s">
        <v>296</v>
      </c>
      <c r="O2473" t="s">
        <v>297</v>
      </c>
    </row>
    <row r="2474" spans="1:15" x14ac:dyDescent="0.3">
      <c r="A2474" t="s">
        <v>3937</v>
      </c>
      <c r="B2474" t="s">
        <v>4077</v>
      </c>
      <c r="C2474">
        <v>2023</v>
      </c>
      <c r="D2474" t="s">
        <v>300</v>
      </c>
      <c r="E2474" t="s">
        <v>3974</v>
      </c>
      <c r="F2474">
        <v>229</v>
      </c>
      <c r="G2474" t="s">
        <v>302</v>
      </c>
      <c r="H2474">
        <v>208</v>
      </c>
      <c r="I2474" t="s">
        <v>4112</v>
      </c>
      <c r="J2474" t="s">
        <v>294</v>
      </c>
      <c r="M2474" t="s">
        <v>295</v>
      </c>
      <c r="N2474" t="s">
        <v>296</v>
      </c>
      <c r="O2474" t="s">
        <v>297</v>
      </c>
    </row>
    <row r="2475" spans="1:15" x14ac:dyDescent="0.3">
      <c r="A2475" t="s">
        <v>3937</v>
      </c>
      <c r="B2475" t="s">
        <v>4077</v>
      </c>
      <c r="C2475">
        <v>2023</v>
      </c>
      <c r="D2475" t="s">
        <v>300</v>
      </c>
      <c r="E2475" t="s">
        <v>3976</v>
      </c>
      <c r="F2475">
        <v>1610</v>
      </c>
      <c r="G2475" t="s">
        <v>302</v>
      </c>
      <c r="H2475">
        <v>208</v>
      </c>
      <c r="I2475" t="s">
        <v>4113</v>
      </c>
      <c r="J2475" t="s">
        <v>294</v>
      </c>
      <c r="M2475" t="s">
        <v>295</v>
      </c>
      <c r="N2475" t="s">
        <v>296</v>
      </c>
      <c r="O2475" t="s">
        <v>297</v>
      </c>
    </row>
    <row r="2476" spans="1:15" x14ac:dyDescent="0.3">
      <c r="A2476" t="s">
        <v>3937</v>
      </c>
      <c r="B2476" t="s">
        <v>4077</v>
      </c>
      <c r="C2476">
        <v>2023</v>
      </c>
      <c r="D2476" t="s">
        <v>300</v>
      </c>
      <c r="E2476" t="s">
        <v>3978</v>
      </c>
      <c r="F2476">
        <v>1964</v>
      </c>
      <c r="G2476" t="s">
        <v>302</v>
      </c>
      <c r="H2476">
        <v>291</v>
      </c>
      <c r="I2476" t="s">
        <v>4114</v>
      </c>
      <c r="J2476" t="s">
        <v>294</v>
      </c>
      <c r="M2476" t="s">
        <v>295</v>
      </c>
      <c r="N2476" t="s">
        <v>296</v>
      </c>
      <c r="O2476" t="s">
        <v>297</v>
      </c>
    </row>
    <row r="2477" spans="1:15" x14ac:dyDescent="0.3">
      <c r="A2477" t="s">
        <v>3937</v>
      </c>
      <c r="B2477" t="s">
        <v>4077</v>
      </c>
      <c r="C2477">
        <v>2023</v>
      </c>
      <c r="D2477" t="s">
        <v>300</v>
      </c>
      <c r="E2477" t="s">
        <v>4115</v>
      </c>
      <c r="F2477">
        <v>417</v>
      </c>
      <c r="G2477" t="s">
        <v>302</v>
      </c>
      <c r="H2477">
        <v>208</v>
      </c>
      <c r="I2477" t="s">
        <v>4116</v>
      </c>
      <c r="J2477" t="s">
        <v>294</v>
      </c>
      <c r="M2477" t="s">
        <v>295</v>
      </c>
      <c r="N2477" t="s">
        <v>296</v>
      </c>
      <c r="O2477" t="s">
        <v>297</v>
      </c>
    </row>
    <row r="2478" spans="1:15" x14ac:dyDescent="0.3">
      <c r="A2478" t="s">
        <v>3937</v>
      </c>
      <c r="B2478" t="s">
        <v>4077</v>
      </c>
      <c r="C2478">
        <v>2023</v>
      </c>
      <c r="D2478" t="s">
        <v>300</v>
      </c>
      <c r="E2478" t="s">
        <v>479</v>
      </c>
      <c r="F2478">
        <v>27</v>
      </c>
      <c r="G2478" t="s">
        <v>302</v>
      </c>
      <c r="H2478">
        <v>207</v>
      </c>
      <c r="I2478" t="s">
        <v>4117</v>
      </c>
      <c r="J2478" t="s">
        <v>294</v>
      </c>
      <c r="M2478" t="s">
        <v>295</v>
      </c>
      <c r="N2478" t="s">
        <v>296</v>
      </c>
      <c r="O2478" t="s">
        <v>297</v>
      </c>
    </row>
    <row r="2479" spans="1:15" x14ac:dyDescent="0.3">
      <c r="A2479" t="s">
        <v>3937</v>
      </c>
      <c r="B2479" t="s">
        <v>4077</v>
      </c>
      <c r="C2479">
        <v>2023</v>
      </c>
      <c r="D2479" t="s">
        <v>300</v>
      </c>
      <c r="E2479" t="s">
        <v>3982</v>
      </c>
      <c r="F2479">
        <v>129</v>
      </c>
      <c r="G2479" t="s">
        <v>302</v>
      </c>
      <c r="H2479">
        <v>207</v>
      </c>
      <c r="I2479" t="s">
        <v>4118</v>
      </c>
      <c r="J2479" t="s">
        <v>294</v>
      </c>
      <c r="M2479" t="s">
        <v>295</v>
      </c>
      <c r="N2479" t="s">
        <v>296</v>
      </c>
      <c r="O2479" t="s">
        <v>297</v>
      </c>
    </row>
    <row r="2480" spans="1:15" x14ac:dyDescent="0.3">
      <c r="A2480" t="s">
        <v>3937</v>
      </c>
      <c r="B2480" t="s">
        <v>4077</v>
      </c>
      <c r="C2480">
        <v>2023</v>
      </c>
      <c r="D2480" t="s">
        <v>300</v>
      </c>
      <c r="E2480" t="s">
        <v>4119</v>
      </c>
      <c r="F2480">
        <v>54</v>
      </c>
      <c r="G2480" t="s">
        <v>302</v>
      </c>
      <c r="H2480">
        <v>207</v>
      </c>
      <c r="I2480" t="s">
        <v>4120</v>
      </c>
      <c r="J2480" t="s">
        <v>294</v>
      </c>
      <c r="M2480" t="s">
        <v>295</v>
      </c>
      <c r="N2480" t="s">
        <v>296</v>
      </c>
      <c r="O2480" t="s">
        <v>297</v>
      </c>
    </row>
    <row r="2481" spans="1:15" x14ac:dyDescent="0.3">
      <c r="A2481" t="s">
        <v>3937</v>
      </c>
      <c r="B2481" t="s">
        <v>4077</v>
      </c>
      <c r="C2481">
        <v>2023</v>
      </c>
      <c r="D2481" t="s">
        <v>300</v>
      </c>
      <c r="E2481" t="s">
        <v>3990</v>
      </c>
      <c r="F2481">
        <v>403</v>
      </c>
      <c r="G2481" t="s">
        <v>302</v>
      </c>
      <c r="H2481">
        <v>207</v>
      </c>
      <c r="I2481" t="s">
        <v>4121</v>
      </c>
      <c r="J2481" t="s">
        <v>294</v>
      </c>
      <c r="M2481" t="s">
        <v>295</v>
      </c>
      <c r="N2481" t="s">
        <v>296</v>
      </c>
      <c r="O2481" t="s">
        <v>297</v>
      </c>
    </row>
    <row r="2482" spans="1:15" x14ac:dyDescent="0.3">
      <c r="A2482" t="s">
        <v>3937</v>
      </c>
      <c r="B2482" t="s">
        <v>4077</v>
      </c>
      <c r="C2482">
        <v>2023</v>
      </c>
      <c r="D2482" t="s">
        <v>300</v>
      </c>
      <c r="E2482" t="s">
        <v>3986</v>
      </c>
      <c r="F2482">
        <v>1007</v>
      </c>
      <c r="G2482" t="s">
        <v>302</v>
      </c>
      <c r="H2482">
        <v>207</v>
      </c>
      <c r="I2482" t="s">
        <v>4122</v>
      </c>
      <c r="J2482" t="s">
        <v>294</v>
      </c>
      <c r="M2482" t="s">
        <v>295</v>
      </c>
      <c r="N2482" t="s">
        <v>296</v>
      </c>
      <c r="O2482" t="s">
        <v>297</v>
      </c>
    </row>
    <row r="2483" spans="1:15" x14ac:dyDescent="0.3">
      <c r="A2483" t="s">
        <v>3937</v>
      </c>
      <c r="B2483" t="s">
        <v>4077</v>
      </c>
      <c r="C2483">
        <v>2023</v>
      </c>
      <c r="D2483" t="s">
        <v>300</v>
      </c>
      <c r="E2483" t="s">
        <v>3988</v>
      </c>
      <c r="F2483">
        <v>1081</v>
      </c>
      <c r="G2483" t="s">
        <v>302</v>
      </c>
      <c r="H2483">
        <v>207</v>
      </c>
      <c r="I2483" t="s">
        <v>4123</v>
      </c>
      <c r="J2483" t="s">
        <v>294</v>
      </c>
      <c r="M2483" t="s">
        <v>295</v>
      </c>
      <c r="N2483" t="s">
        <v>296</v>
      </c>
      <c r="O2483" t="s">
        <v>297</v>
      </c>
    </row>
    <row r="2484" spans="1:15" x14ac:dyDescent="0.3">
      <c r="A2484" t="s">
        <v>3937</v>
      </c>
      <c r="B2484" t="s">
        <v>4077</v>
      </c>
      <c r="C2484">
        <v>2023</v>
      </c>
      <c r="D2484" t="s">
        <v>300</v>
      </c>
      <c r="E2484" t="s">
        <v>3984</v>
      </c>
      <c r="F2484">
        <v>746</v>
      </c>
      <c r="G2484" t="s">
        <v>302</v>
      </c>
      <c r="H2484">
        <v>207</v>
      </c>
      <c r="I2484" t="s">
        <v>4124</v>
      </c>
      <c r="J2484" t="s">
        <v>294</v>
      </c>
      <c r="M2484" t="s">
        <v>295</v>
      </c>
      <c r="N2484" t="s">
        <v>296</v>
      </c>
      <c r="O2484" t="s">
        <v>297</v>
      </c>
    </row>
    <row r="2485" spans="1:15" x14ac:dyDescent="0.3">
      <c r="A2485" t="s">
        <v>3937</v>
      </c>
      <c r="B2485" t="s">
        <v>4077</v>
      </c>
      <c r="C2485">
        <v>2023</v>
      </c>
      <c r="D2485" t="s">
        <v>300</v>
      </c>
      <c r="E2485" t="s">
        <v>2900</v>
      </c>
      <c r="F2485">
        <v>18</v>
      </c>
      <c r="G2485" t="s">
        <v>302</v>
      </c>
      <c r="H2485">
        <v>207</v>
      </c>
      <c r="I2485" t="s">
        <v>4125</v>
      </c>
      <c r="J2485" t="s">
        <v>294</v>
      </c>
      <c r="M2485" t="s">
        <v>295</v>
      </c>
      <c r="N2485" t="s">
        <v>296</v>
      </c>
      <c r="O2485" t="s">
        <v>297</v>
      </c>
    </row>
    <row r="2486" spans="1:15" x14ac:dyDescent="0.3">
      <c r="A2486" t="s">
        <v>3937</v>
      </c>
      <c r="B2486" t="s">
        <v>4077</v>
      </c>
      <c r="C2486">
        <v>2023</v>
      </c>
      <c r="D2486" t="s">
        <v>300</v>
      </c>
      <c r="E2486" t="s">
        <v>4126</v>
      </c>
      <c r="F2486">
        <v>1623</v>
      </c>
      <c r="G2486" t="s">
        <v>302</v>
      </c>
      <c r="H2486">
        <v>208</v>
      </c>
      <c r="I2486" t="s">
        <v>4127</v>
      </c>
      <c r="J2486" t="s">
        <v>294</v>
      </c>
      <c r="M2486" t="s">
        <v>295</v>
      </c>
      <c r="N2486" t="s">
        <v>296</v>
      </c>
      <c r="O2486" t="s">
        <v>297</v>
      </c>
    </row>
    <row r="2487" spans="1:15" x14ac:dyDescent="0.3">
      <c r="A2487" t="s">
        <v>3937</v>
      </c>
      <c r="B2487" t="s">
        <v>4077</v>
      </c>
      <c r="C2487">
        <v>2023</v>
      </c>
      <c r="D2487" t="s">
        <v>300</v>
      </c>
      <c r="E2487" t="s">
        <v>1144</v>
      </c>
      <c r="F2487">
        <v>434</v>
      </c>
      <c r="G2487" t="s">
        <v>302</v>
      </c>
      <c r="H2487">
        <v>208</v>
      </c>
      <c r="I2487" t="s">
        <v>4128</v>
      </c>
      <c r="J2487" t="s">
        <v>294</v>
      </c>
      <c r="M2487" t="s">
        <v>295</v>
      </c>
      <c r="N2487" t="s">
        <v>296</v>
      </c>
      <c r="O2487" t="s">
        <v>297</v>
      </c>
    </row>
    <row r="2488" spans="1:15" x14ac:dyDescent="0.3">
      <c r="A2488" t="s">
        <v>3937</v>
      </c>
      <c r="B2488" t="s">
        <v>4077</v>
      </c>
      <c r="C2488">
        <v>2023</v>
      </c>
      <c r="D2488" t="s">
        <v>300</v>
      </c>
      <c r="E2488" t="s">
        <v>2925</v>
      </c>
      <c r="F2488">
        <v>-1644</v>
      </c>
      <c r="G2488" t="s">
        <v>302</v>
      </c>
      <c r="H2488">
        <v>208</v>
      </c>
      <c r="I2488" t="s">
        <v>4129</v>
      </c>
      <c r="J2488" t="s">
        <v>294</v>
      </c>
      <c r="M2488" t="s">
        <v>295</v>
      </c>
      <c r="N2488" t="s">
        <v>296</v>
      </c>
      <c r="O2488" t="s">
        <v>297</v>
      </c>
    </row>
    <row r="2489" spans="1:15" x14ac:dyDescent="0.3">
      <c r="A2489" t="s">
        <v>3937</v>
      </c>
      <c r="B2489" t="s">
        <v>4077</v>
      </c>
      <c r="C2489">
        <v>2023</v>
      </c>
      <c r="D2489" t="s">
        <v>300</v>
      </c>
      <c r="E2489" t="s">
        <v>601</v>
      </c>
      <c r="F2489">
        <v>-121</v>
      </c>
      <c r="G2489" t="s">
        <v>302</v>
      </c>
      <c r="H2489">
        <v>95</v>
      </c>
      <c r="I2489" t="s">
        <v>4130</v>
      </c>
      <c r="J2489" t="s">
        <v>294</v>
      </c>
      <c r="M2489" t="s">
        <v>295</v>
      </c>
      <c r="N2489" t="s">
        <v>296</v>
      </c>
      <c r="O2489" t="s">
        <v>297</v>
      </c>
    </row>
    <row r="2490" spans="1:15" x14ac:dyDescent="0.3">
      <c r="A2490" t="s">
        <v>3937</v>
      </c>
      <c r="B2490" t="s">
        <v>4077</v>
      </c>
      <c r="C2490">
        <v>2023</v>
      </c>
      <c r="D2490" t="s">
        <v>300</v>
      </c>
      <c r="E2490" t="s">
        <v>603</v>
      </c>
      <c r="F2490">
        <v>-146</v>
      </c>
      <c r="G2490" t="s">
        <v>302</v>
      </c>
      <c r="H2490">
        <v>95</v>
      </c>
      <c r="I2490" t="s">
        <v>4131</v>
      </c>
      <c r="J2490" t="s">
        <v>294</v>
      </c>
      <c r="M2490" t="s">
        <v>295</v>
      </c>
      <c r="N2490" t="s">
        <v>296</v>
      </c>
      <c r="O2490" t="s">
        <v>297</v>
      </c>
    </row>
    <row r="2491" spans="1:15" x14ac:dyDescent="0.3">
      <c r="A2491" t="s">
        <v>3937</v>
      </c>
      <c r="B2491" t="s">
        <v>4077</v>
      </c>
      <c r="C2491">
        <v>2023</v>
      </c>
      <c r="D2491" t="s">
        <v>300</v>
      </c>
      <c r="E2491" t="s">
        <v>716</v>
      </c>
      <c r="F2491">
        <v>271</v>
      </c>
      <c r="G2491" t="s">
        <v>302</v>
      </c>
      <c r="H2491">
        <v>95</v>
      </c>
      <c r="I2491" t="s">
        <v>4132</v>
      </c>
      <c r="J2491" t="s">
        <v>294</v>
      </c>
      <c r="M2491" t="s">
        <v>295</v>
      </c>
      <c r="N2491" t="s">
        <v>296</v>
      </c>
      <c r="O2491" t="s">
        <v>297</v>
      </c>
    </row>
    <row r="2492" spans="1:15" x14ac:dyDescent="0.3">
      <c r="A2492" t="s">
        <v>3937</v>
      </c>
      <c r="B2492" t="s">
        <v>4077</v>
      </c>
      <c r="C2492">
        <v>2023</v>
      </c>
      <c r="D2492" t="s">
        <v>300</v>
      </c>
      <c r="E2492" t="s">
        <v>1386</v>
      </c>
      <c r="F2492">
        <v>81</v>
      </c>
      <c r="G2492" t="s">
        <v>302</v>
      </c>
      <c r="H2492">
        <v>272</v>
      </c>
      <c r="I2492" t="s">
        <v>4133</v>
      </c>
      <c r="J2492" t="s">
        <v>294</v>
      </c>
      <c r="M2492" t="s">
        <v>295</v>
      </c>
      <c r="N2492" t="s">
        <v>296</v>
      </c>
      <c r="O2492" t="s">
        <v>297</v>
      </c>
    </row>
    <row r="2493" spans="1:15" x14ac:dyDescent="0.3">
      <c r="A2493" t="s">
        <v>3937</v>
      </c>
      <c r="B2493" t="s">
        <v>4077</v>
      </c>
      <c r="C2493">
        <v>2023</v>
      </c>
      <c r="D2493" t="s">
        <v>300</v>
      </c>
      <c r="E2493" t="s">
        <v>4001</v>
      </c>
      <c r="F2493">
        <v>117</v>
      </c>
      <c r="G2493" t="s">
        <v>302</v>
      </c>
      <c r="H2493">
        <v>272</v>
      </c>
      <c r="I2493" t="s">
        <v>4134</v>
      </c>
      <c r="J2493" t="s">
        <v>294</v>
      </c>
      <c r="M2493" t="s">
        <v>295</v>
      </c>
      <c r="N2493" t="s">
        <v>296</v>
      </c>
      <c r="O2493" t="s">
        <v>297</v>
      </c>
    </row>
    <row r="2494" spans="1:15" x14ac:dyDescent="0.3">
      <c r="A2494" t="s">
        <v>3937</v>
      </c>
      <c r="B2494" t="s">
        <v>4077</v>
      </c>
      <c r="C2494">
        <v>2023</v>
      </c>
      <c r="D2494" t="s">
        <v>300</v>
      </c>
      <c r="E2494" t="s">
        <v>4135</v>
      </c>
      <c r="F2494">
        <v>16233</v>
      </c>
      <c r="G2494" t="s">
        <v>497</v>
      </c>
      <c r="H2494">
        <v>21</v>
      </c>
      <c r="I2494" t="s">
        <v>4136</v>
      </c>
      <c r="J2494" t="s">
        <v>294</v>
      </c>
      <c r="M2494" t="s">
        <v>295</v>
      </c>
      <c r="N2494" t="s">
        <v>296</v>
      </c>
      <c r="O2494" t="s">
        <v>297</v>
      </c>
    </row>
    <row r="2495" spans="1:15" x14ac:dyDescent="0.3">
      <c r="A2495" t="s">
        <v>3937</v>
      </c>
      <c r="B2495" t="s">
        <v>4077</v>
      </c>
      <c r="C2495">
        <v>2023</v>
      </c>
      <c r="D2495" t="s">
        <v>300</v>
      </c>
      <c r="E2495" t="s">
        <v>1135</v>
      </c>
      <c r="F2495">
        <v>180</v>
      </c>
      <c r="G2495" t="s">
        <v>346</v>
      </c>
      <c r="H2495">
        <v>17</v>
      </c>
      <c r="I2495" t="s">
        <v>4137</v>
      </c>
      <c r="J2495" t="s">
        <v>294</v>
      </c>
      <c r="M2495" t="s">
        <v>295</v>
      </c>
      <c r="N2495" t="s">
        <v>296</v>
      </c>
      <c r="O2495" t="s">
        <v>297</v>
      </c>
    </row>
    <row r="2496" spans="1:15" x14ac:dyDescent="0.3">
      <c r="A2496" t="s">
        <v>3937</v>
      </c>
      <c r="B2496" t="s">
        <v>4077</v>
      </c>
      <c r="C2496">
        <v>2023</v>
      </c>
      <c r="D2496" t="s">
        <v>300</v>
      </c>
      <c r="E2496" t="s">
        <v>1137</v>
      </c>
      <c r="F2496">
        <v>2922</v>
      </c>
      <c r="G2496" t="s">
        <v>302</v>
      </c>
      <c r="H2496">
        <v>17</v>
      </c>
      <c r="I2496" t="s">
        <v>4138</v>
      </c>
      <c r="J2496" t="s">
        <v>294</v>
      </c>
      <c r="M2496" t="s">
        <v>295</v>
      </c>
      <c r="N2496" t="s">
        <v>296</v>
      </c>
      <c r="O2496" t="s">
        <v>297</v>
      </c>
    </row>
    <row r="2497" spans="1:15" x14ac:dyDescent="0.3">
      <c r="A2497" t="s">
        <v>3937</v>
      </c>
      <c r="B2497" t="s">
        <v>4077</v>
      </c>
      <c r="C2497">
        <v>2023</v>
      </c>
      <c r="D2497" t="s">
        <v>300</v>
      </c>
      <c r="E2497" t="s">
        <v>326</v>
      </c>
      <c r="F2497">
        <v>0.45150000000000001</v>
      </c>
      <c r="G2497" t="s">
        <v>327</v>
      </c>
      <c r="H2497">
        <v>9</v>
      </c>
      <c r="I2497" t="s">
        <v>4139</v>
      </c>
      <c r="J2497" t="s">
        <v>294</v>
      </c>
      <c r="M2497" t="s">
        <v>295</v>
      </c>
      <c r="N2497" t="s">
        <v>296</v>
      </c>
      <c r="O2497" t="s">
        <v>297</v>
      </c>
    </row>
    <row r="2498" spans="1:15" x14ac:dyDescent="0.3">
      <c r="A2498" t="s">
        <v>3937</v>
      </c>
      <c r="B2498" t="s">
        <v>4077</v>
      </c>
      <c r="C2498">
        <v>2023</v>
      </c>
      <c r="D2498" t="s">
        <v>300</v>
      </c>
      <c r="E2498" t="s">
        <v>4008</v>
      </c>
      <c r="F2498">
        <v>2.7248000000000001</v>
      </c>
      <c r="G2498" t="s">
        <v>327</v>
      </c>
      <c r="H2498">
        <v>9</v>
      </c>
      <c r="I2498" t="s">
        <v>4140</v>
      </c>
      <c r="J2498" t="s">
        <v>294</v>
      </c>
      <c r="M2498" t="s">
        <v>295</v>
      </c>
      <c r="N2498" t="s">
        <v>296</v>
      </c>
      <c r="O2498" t="s">
        <v>297</v>
      </c>
    </row>
    <row r="2499" spans="1:15" x14ac:dyDescent="0.3">
      <c r="A2499" t="s">
        <v>3937</v>
      </c>
      <c r="B2499" t="s">
        <v>4077</v>
      </c>
      <c r="C2499">
        <v>2023</v>
      </c>
      <c r="D2499" t="s">
        <v>300</v>
      </c>
      <c r="E2499" t="s">
        <v>333</v>
      </c>
      <c r="F2499">
        <v>-8.3099999999999993E-2</v>
      </c>
      <c r="G2499" t="s">
        <v>334</v>
      </c>
      <c r="H2499">
        <v>9</v>
      </c>
      <c r="I2499" t="s">
        <v>4141</v>
      </c>
      <c r="J2499" t="s">
        <v>294</v>
      </c>
      <c r="M2499" t="s">
        <v>295</v>
      </c>
      <c r="N2499" t="s">
        <v>296</v>
      </c>
      <c r="O2499" t="s">
        <v>297</v>
      </c>
    </row>
    <row r="2500" spans="1:15" x14ac:dyDescent="0.3">
      <c r="A2500" t="s">
        <v>3937</v>
      </c>
      <c r="B2500" t="s">
        <v>4077</v>
      </c>
      <c r="C2500">
        <v>2023</v>
      </c>
      <c r="D2500" t="s">
        <v>300</v>
      </c>
      <c r="E2500" t="s">
        <v>336</v>
      </c>
      <c r="F2500">
        <v>-0.30959999999999999</v>
      </c>
      <c r="G2500" t="s">
        <v>334</v>
      </c>
      <c r="H2500">
        <v>9</v>
      </c>
      <c r="I2500" t="s">
        <v>4142</v>
      </c>
      <c r="J2500" t="s">
        <v>294</v>
      </c>
      <c r="M2500" t="s">
        <v>295</v>
      </c>
      <c r="N2500" t="s">
        <v>296</v>
      </c>
      <c r="O2500" t="s">
        <v>297</v>
      </c>
    </row>
    <row r="2501" spans="1:15" x14ac:dyDescent="0.3">
      <c r="A2501" t="s">
        <v>3937</v>
      </c>
      <c r="B2501" t="s">
        <v>4077</v>
      </c>
      <c r="C2501">
        <v>2023</v>
      </c>
      <c r="D2501" t="s">
        <v>300</v>
      </c>
      <c r="E2501" t="s">
        <v>340</v>
      </c>
      <c r="F2501">
        <v>-1.78E-2</v>
      </c>
      <c r="G2501" t="s">
        <v>334</v>
      </c>
      <c r="H2501">
        <v>9</v>
      </c>
      <c r="I2501" t="s">
        <v>4143</v>
      </c>
      <c r="J2501" t="s">
        <v>294</v>
      </c>
      <c r="M2501" t="s">
        <v>295</v>
      </c>
      <c r="N2501" t="s">
        <v>296</v>
      </c>
      <c r="O2501" t="s">
        <v>297</v>
      </c>
    </row>
    <row r="2502" spans="1:15" x14ac:dyDescent="0.3">
      <c r="A2502" t="s">
        <v>3937</v>
      </c>
      <c r="B2502" t="s">
        <v>4077</v>
      </c>
      <c r="C2502">
        <v>2023</v>
      </c>
      <c r="D2502" t="s">
        <v>358</v>
      </c>
      <c r="E2502" t="s">
        <v>504</v>
      </c>
      <c r="F2502">
        <v>44027</v>
      </c>
      <c r="G2502" t="s">
        <v>360</v>
      </c>
      <c r="H2502">
        <v>16</v>
      </c>
      <c r="I2502" t="s">
        <v>4013</v>
      </c>
      <c r="J2502" t="s">
        <v>294</v>
      </c>
      <c r="M2502" t="s">
        <v>295</v>
      </c>
      <c r="N2502" t="s">
        <v>296</v>
      </c>
      <c r="O2502" t="s">
        <v>297</v>
      </c>
    </row>
    <row r="2503" spans="1:15" x14ac:dyDescent="0.3">
      <c r="A2503" t="s">
        <v>3937</v>
      </c>
      <c r="B2503" t="s">
        <v>4077</v>
      </c>
      <c r="C2503">
        <v>2023</v>
      </c>
      <c r="D2503" t="s">
        <v>358</v>
      </c>
      <c r="E2503" t="s">
        <v>1058</v>
      </c>
      <c r="F2503">
        <v>37515</v>
      </c>
      <c r="G2503" t="s">
        <v>360</v>
      </c>
      <c r="H2503">
        <v>16</v>
      </c>
      <c r="I2503" t="s">
        <v>4014</v>
      </c>
      <c r="J2503" t="s">
        <v>294</v>
      </c>
      <c r="M2503" t="s">
        <v>295</v>
      </c>
      <c r="N2503" t="s">
        <v>296</v>
      </c>
      <c r="O2503" t="s">
        <v>297</v>
      </c>
    </row>
    <row r="2504" spans="1:15" x14ac:dyDescent="0.3">
      <c r="A2504" t="s">
        <v>3937</v>
      </c>
      <c r="B2504" t="s">
        <v>4077</v>
      </c>
      <c r="C2504">
        <v>2023</v>
      </c>
      <c r="D2504" t="s">
        <v>358</v>
      </c>
      <c r="E2504" t="s">
        <v>364</v>
      </c>
      <c r="F2504">
        <v>6512</v>
      </c>
      <c r="G2504" t="s">
        <v>360</v>
      </c>
      <c r="H2504">
        <v>16</v>
      </c>
      <c r="I2504" t="s">
        <v>4144</v>
      </c>
      <c r="J2504" t="s">
        <v>294</v>
      </c>
      <c r="M2504" t="s">
        <v>295</v>
      </c>
      <c r="N2504" t="s">
        <v>296</v>
      </c>
      <c r="O2504" t="s">
        <v>297</v>
      </c>
    </row>
    <row r="2505" spans="1:15" x14ac:dyDescent="0.3">
      <c r="A2505" t="s">
        <v>3937</v>
      </c>
      <c r="B2505" t="s">
        <v>4077</v>
      </c>
      <c r="C2505">
        <v>2023</v>
      </c>
      <c r="D2505" t="s">
        <v>358</v>
      </c>
      <c r="E2505" t="s">
        <v>4016</v>
      </c>
      <c r="F2505">
        <v>31673</v>
      </c>
      <c r="G2505" t="s">
        <v>360</v>
      </c>
      <c r="H2505">
        <v>16</v>
      </c>
      <c r="I2505" t="s">
        <v>4145</v>
      </c>
      <c r="J2505" t="s">
        <v>294</v>
      </c>
      <c r="M2505" t="s">
        <v>295</v>
      </c>
      <c r="N2505" t="s">
        <v>296</v>
      </c>
      <c r="O2505" t="s">
        <v>297</v>
      </c>
    </row>
    <row r="2506" spans="1:15" x14ac:dyDescent="0.3">
      <c r="A2506" t="s">
        <v>3937</v>
      </c>
      <c r="B2506" t="s">
        <v>4077</v>
      </c>
      <c r="C2506">
        <v>2023</v>
      </c>
      <c r="D2506" t="s">
        <v>358</v>
      </c>
      <c r="E2506" t="s">
        <v>4018</v>
      </c>
      <c r="F2506">
        <v>12354</v>
      </c>
      <c r="G2506" t="s">
        <v>360</v>
      </c>
      <c r="H2506">
        <v>16</v>
      </c>
      <c r="I2506" t="s">
        <v>4146</v>
      </c>
      <c r="J2506" t="s">
        <v>294</v>
      </c>
      <c r="M2506" t="s">
        <v>295</v>
      </c>
      <c r="N2506" t="s">
        <v>296</v>
      </c>
      <c r="O2506" t="s">
        <v>297</v>
      </c>
    </row>
    <row r="2507" spans="1:15" x14ac:dyDescent="0.3">
      <c r="A2507" t="s">
        <v>3937</v>
      </c>
      <c r="B2507" t="s">
        <v>4077</v>
      </c>
      <c r="C2507">
        <v>2023</v>
      </c>
      <c r="D2507" t="s">
        <v>358</v>
      </c>
      <c r="E2507" t="s">
        <v>4147</v>
      </c>
      <c r="F2507">
        <v>27621</v>
      </c>
      <c r="G2507" t="s">
        <v>360</v>
      </c>
      <c r="H2507">
        <v>16</v>
      </c>
      <c r="I2507" t="s">
        <v>4148</v>
      </c>
      <c r="J2507" t="s">
        <v>294</v>
      </c>
      <c r="M2507" t="s">
        <v>295</v>
      </c>
      <c r="N2507" t="s">
        <v>296</v>
      </c>
      <c r="O2507" t="s">
        <v>297</v>
      </c>
    </row>
    <row r="2508" spans="1:15" x14ac:dyDescent="0.3">
      <c r="A2508" t="s">
        <v>3937</v>
      </c>
      <c r="B2508" t="s">
        <v>4077</v>
      </c>
      <c r="C2508">
        <v>2023</v>
      </c>
      <c r="D2508" t="s">
        <v>358</v>
      </c>
      <c r="E2508" t="s">
        <v>523</v>
      </c>
      <c r="F2508">
        <v>2</v>
      </c>
      <c r="G2508" t="s">
        <v>384</v>
      </c>
      <c r="H2508">
        <v>81</v>
      </c>
      <c r="I2508" t="s">
        <v>4149</v>
      </c>
      <c r="J2508" t="s">
        <v>294</v>
      </c>
      <c r="M2508" t="s">
        <v>295</v>
      </c>
      <c r="N2508" t="s">
        <v>296</v>
      </c>
      <c r="O2508" t="s">
        <v>297</v>
      </c>
    </row>
    <row r="2509" spans="1:15" x14ac:dyDescent="0.3">
      <c r="A2509" t="s">
        <v>3937</v>
      </c>
      <c r="B2509" t="s">
        <v>4077</v>
      </c>
      <c r="C2509">
        <v>2023</v>
      </c>
      <c r="D2509" t="s">
        <v>358</v>
      </c>
      <c r="E2509" t="s">
        <v>4032</v>
      </c>
      <c r="F2509">
        <v>513000</v>
      </c>
      <c r="G2509" t="s">
        <v>4033</v>
      </c>
      <c r="H2509">
        <v>81</v>
      </c>
      <c r="I2509" t="s">
        <v>4150</v>
      </c>
      <c r="J2509" t="s">
        <v>294</v>
      </c>
      <c r="M2509" t="s">
        <v>295</v>
      </c>
      <c r="N2509" t="s">
        <v>296</v>
      </c>
      <c r="O2509" t="s">
        <v>297</v>
      </c>
    </row>
    <row r="2510" spans="1:15" x14ac:dyDescent="0.3">
      <c r="A2510" t="s">
        <v>3937</v>
      </c>
      <c r="B2510" t="s">
        <v>4077</v>
      </c>
      <c r="C2510">
        <v>2023</v>
      </c>
      <c r="D2510" t="s">
        <v>358</v>
      </c>
      <c r="E2510" t="s">
        <v>4035</v>
      </c>
      <c r="F2510">
        <v>258416</v>
      </c>
      <c r="G2510" t="s">
        <v>396</v>
      </c>
      <c r="H2510">
        <v>81</v>
      </c>
      <c r="I2510" t="s">
        <v>4151</v>
      </c>
      <c r="J2510" t="s">
        <v>294</v>
      </c>
      <c r="M2510" t="s">
        <v>295</v>
      </c>
      <c r="N2510" t="s">
        <v>296</v>
      </c>
      <c r="O2510" t="s">
        <v>297</v>
      </c>
    </row>
    <row r="2511" spans="1:15" x14ac:dyDescent="0.3">
      <c r="A2511" t="s">
        <v>3937</v>
      </c>
      <c r="B2511" t="s">
        <v>4077</v>
      </c>
      <c r="C2511">
        <v>2023</v>
      </c>
      <c r="D2511" t="s">
        <v>358</v>
      </c>
      <c r="E2511" t="s">
        <v>4152</v>
      </c>
      <c r="F2511">
        <v>6386</v>
      </c>
      <c r="G2511" t="s">
        <v>4033</v>
      </c>
      <c r="H2511">
        <v>83</v>
      </c>
      <c r="I2511" t="s">
        <v>4153</v>
      </c>
      <c r="J2511" t="s">
        <v>294</v>
      </c>
      <c r="M2511" t="s">
        <v>295</v>
      </c>
      <c r="N2511" t="s">
        <v>296</v>
      </c>
      <c r="O2511" t="s">
        <v>297</v>
      </c>
    </row>
    <row r="2512" spans="1:15" x14ac:dyDescent="0.3">
      <c r="A2512" t="s">
        <v>3937</v>
      </c>
      <c r="B2512" t="s">
        <v>4077</v>
      </c>
      <c r="C2512">
        <v>2023</v>
      </c>
      <c r="D2512" t="s">
        <v>358</v>
      </c>
      <c r="E2512" t="s">
        <v>4039</v>
      </c>
      <c r="F2512">
        <v>26040</v>
      </c>
      <c r="G2512" t="s">
        <v>4033</v>
      </c>
      <c r="H2512">
        <v>84</v>
      </c>
      <c r="I2512" t="s">
        <v>4154</v>
      </c>
      <c r="J2512" t="s">
        <v>294</v>
      </c>
      <c r="M2512" t="s">
        <v>295</v>
      </c>
      <c r="N2512" t="s">
        <v>296</v>
      </c>
      <c r="O2512" t="s">
        <v>297</v>
      </c>
    </row>
    <row r="2513" spans="1:15" x14ac:dyDescent="0.3">
      <c r="A2513" t="s">
        <v>3937</v>
      </c>
      <c r="B2513" t="s">
        <v>4077</v>
      </c>
      <c r="C2513">
        <v>2023</v>
      </c>
      <c r="D2513" t="s">
        <v>394</v>
      </c>
      <c r="E2513" t="s">
        <v>4041</v>
      </c>
      <c r="F2513">
        <v>98357</v>
      </c>
      <c r="G2513" t="s">
        <v>396</v>
      </c>
      <c r="H2513">
        <v>11</v>
      </c>
      <c r="I2513" t="s">
        <v>4155</v>
      </c>
      <c r="J2513" t="s">
        <v>294</v>
      </c>
      <c r="M2513" t="s">
        <v>295</v>
      </c>
      <c r="N2513" t="s">
        <v>296</v>
      </c>
      <c r="O2513" t="s">
        <v>297</v>
      </c>
    </row>
    <row r="2514" spans="1:15" x14ac:dyDescent="0.3">
      <c r="A2514" t="s">
        <v>3937</v>
      </c>
      <c r="B2514" t="s">
        <v>4077</v>
      </c>
      <c r="C2514">
        <v>2023</v>
      </c>
      <c r="D2514" t="s">
        <v>394</v>
      </c>
      <c r="E2514" t="s">
        <v>406</v>
      </c>
      <c r="F2514">
        <v>53447</v>
      </c>
      <c r="G2514" t="s">
        <v>396</v>
      </c>
      <c r="H2514">
        <v>11</v>
      </c>
      <c r="I2514" t="s">
        <v>4156</v>
      </c>
      <c r="J2514" t="s">
        <v>294</v>
      </c>
      <c r="M2514" t="s">
        <v>295</v>
      </c>
      <c r="N2514" t="s">
        <v>296</v>
      </c>
      <c r="O2514" t="s">
        <v>297</v>
      </c>
    </row>
    <row r="2515" spans="1:15" x14ac:dyDescent="0.3">
      <c r="A2515" t="s">
        <v>3937</v>
      </c>
      <c r="B2515" t="s">
        <v>4077</v>
      </c>
      <c r="C2515">
        <v>2023</v>
      </c>
      <c r="D2515" t="s">
        <v>394</v>
      </c>
      <c r="E2515" t="s">
        <v>416</v>
      </c>
      <c r="F2515">
        <v>9534</v>
      </c>
      <c r="G2515" t="s">
        <v>396</v>
      </c>
      <c r="H2515">
        <v>11</v>
      </c>
      <c r="I2515" t="s">
        <v>4157</v>
      </c>
      <c r="J2515" t="s">
        <v>294</v>
      </c>
      <c r="M2515" t="s">
        <v>295</v>
      </c>
      <c r="N2515" t="s">
        <v>296</v>
      </c>
      <c r="O2515" t="s">
        <v>297</v>
      </c>
    </row>
    <row r="2516" spans="1:15" x14ac:dyDescent="0.3">
      <c r="A2516" t="s">
        <v>3937</v>
      </c>
      <c r="B2516" t="s">
        <v>4077</v>
      </c>
      <c r="C2516">
        <v>2023</v>
      </c>
      <c r="D2516" t="s">
        <v>394</v>
      </c>
      <c r="E2516" t="s">
        <v>4045</v>
      </c>
      <c r="F2516">
        <v>5623</v>
      </c>
      <c r="G2516" t="s">
        <v>396</v>
      </c>
      <c r="H2516">
        <v>11</v>
      </c>
      <c r="I2516" t="s">
        <v>4158</v>
      </c>
      <c r="J2516" t="s">
        <v>294</v>
      </c>
      <c r="M2516" t="s">
        <v>295</v>
      </c>
      <c r="N2516" t="s">
        <v>296</v>
      </c>
      <c r="O2516" t="s">
        <v>297</v>
      </c>
    </row>
    <row r="2517" spans="1:15" x14ac:dyDescent="0.3">
      <c r="A2517" t="s">
        <v>3937</v>
      </c>
      <c r="B2517" t="s">
        <v>4077</v>
      </c>
      <c r="C2517">
        <v>2023</v>
      </c>
      <c r="D2517" t="s">
        <v>394</v>
      </c>
      <c r="E2517" t="s">
        <v>4047</v>
      </c>
      <c r="F2517">
        <v>3920</v>
      </c>
      <c r="G2517" t="s">
        <v>396</v>
      </c>
      <c r="H2517">
        <v>11</v>
      </c>
      <c r="I2517" t="s">
        <v>4159</v>
      </c>
      <c r="J2517" t="s">
        <v>294</v>
      </c>
      <c r="M2517" t="s">
        <v>295</v>
      </c>
      <c r="N2517" t="s">
        <v>296</v>
      </c>
      <c r="O2517" t="s">
        <v>297</v>
      </c>
    </row>
    <row r="2518" spans="1:15" x14ac:dyDescent="0.3">
      <c r="A2518" t="s">
        <v>3937</v>
      </c>
      <c r="B2518" t="s">
        <v>4077</v>
      </c>
      <c r="C2518">
        <v>2023</v>
      </c>
      <c r="D2518" t="s">
        <v>394</v>
      </c>
      <c r="E2518" t="s">
        <v>4049</v>
      </c>
      <c r="F2518">
        <v>22</v>
      </c>
      <c r="G2518" t="s">
        <v>396</v>
      </c>
      <c r="H2518">
        <v>11</v>
      </c>
      <c r="I2518" t="s">
        <v>4160</v>
      </c>
      <c r="J2518" t="s">
        <v>294</v>
      </c>
      <c r="M2518" t="s">
        <v>295</v>
      </c>
      <c r="N2518" t="s">
        <v>296</v>
      </c>
      <c r="O2518" t="s">
        <v>297</v>
      </c>
    </row>
    <row r="2519" spans="1:15" x14ac:dyDescent="0.3">
      <c r="A2519" t="s">
        <v>3937</v>
      </c>
      <c r="B2519" t="s">
        <v>4077</v>
      </c>
      <c r="C2519">
        <v>2023</v>
      </c>
      <c r="D2519" t="s">
        <v>394</v>
      </c>
      <c r="E2519" t="s">
        <v>4051</v>
      </c>
      <c r="F2519">
        <v>998</v>
      </c>
      <c r="G2519" t="s">
        <v>396</v>
      </c>
      <c r="H2519">
        <v>11</v>
      </c>
      <c r="I2519" t="s">
        <v>4161</v>
      </c>
      <c r="J2519" t="s">
        <v>294</v>
      </c>
      <c r="M2519" t="s">
        <v>295</v>
      </c>
      <c r="N2519" t="s">
        <v>296</v>
      </c>
      <c r="O2519" t="s">
        <v>297</v>
      </c>
    </row>
    <row r="2520" spans="1:15" x14ac:dyDescent="0.3">
      <c r="A2520" t="s">
        <v>3937</v>
      </c>
      <c r="B2520" t="s">
        <v>4077</v>
      </c>
      <c r="C2520">
        <v>2023</v>
      </c>
      <c r="D2520" t="s">
        <v>394</v>
      </c>
      <c r="E2520" t="s">
        <v>422</v>
      </c>
      <c r="F2520">
        <v>5.99</v>
      </c>
      <c r="G2520" t="s">
        <v>423</v>
      </c>
      <c r="H2520">
        <v>11</v>
      </c>
      <c r="I2520" t="s">
        <v>4162</v>
      </c>
      <c r="J2520" t="s">
        <v>294</v>
      </c>
      <c r="M2520" t="s">
        <v>295</v>
      </c>
      <c r="N2520" t="s">
        <v>296</v>
      </c>
      <c r="O2520" t="s">
        <v>297</v>
      </c>
    </row>
    <row r="2521" spans="1:15" x14ac:dyDescent="0.3">
      <c r="A2521" t="s">
        <v>3937</v>
      </c>
      <c r="B2521" t="s">
        <v>4077</v>
      </c>
      <c r="C2521">
        <v>2023</v>
      </c>
      <c r="D2521" t="s">
        <v>394</v>
      </c>
      <c r="E2521" t="s">
        <v>3238</v>
      </c>
      <c r="F2521">
        <v>0.20680000000000001</v>
      </c>
      <c r="G2521" t="s">
        <v>334</v>
      </c>
      <c r="H2521">
        <v>11</v>
      </c>
      <c r="I2521" t="s">
        <v>4163</v>
      </c>
      <c r="J2521" t="s">
        <v>294</v>
      </c>
      <c r="M2521" t="s">
        <v>295</v>
      </c>
      <c r="N2521" t="s">
        <v>296</v>
      </c>
      <c r="O2521" t="s">
        <v>297</v>
      </c>
    </row>
    <row r="2522" spans="1:15" x14ac:dyDescent="0.3">
      <c r="A2522" t="s">
        <v>3937</v>
      </c>
      <c r="B2522" t="s">
        <v>4077</v>
      </c>
      <c r="C2522">
        <v>2023</v>
      </c>
      <c r="D2522" t="s">
        <v>394</v>
      </c>
      <c r="E2522" t="s">
        <v>3240</v>
      </c>
      <c r="F2522">
        <v>3.6900000000000002E-2</v>
      </c>
      <c r="G2522" t="s">
        <v>334</v>
      </c>
      <c r="H2522">
        <v>11</v>
      </c>
      <c r="I2522" t="s">
        <v>4164</v>
      </c>
      <c r="J2522" t="s">
        <v>294</v>
      </c>
      <c r="M2522" t="s">
        <v>295</v>
      </c>
      <c r="N2522" t="s">
        <v>296</v>
      </c>
      <c r="O2522" t="s">
        <v>297</v>
      </c>
    </row>
    <row r="2523" spans="1:15" x14ac:dyDescent="0.3">
      <c r="A2523" t="s">
        <v>3937</v>
      </c>
      <c r="B2523" t="s">
        <v>4077</v>
      </c>
      <c r="C2523">
        <v>2023</v>
      </c>
      <c r="D2523" t="s">
        <v>394</v>
      </c>
      <c r="E2523" t="s">
        <v>425</v>
      </c>
      <c r="F2523">
        <v>1.24</v>
      </c>
      <c r="G2523" t="s">
        <v>423</v>
      </c>
      <c r="H2523">
        <v>11</v>
      </c>
      <c r="I2523" t="s">
        <v>4165</v>
      </c>
      <c r="J2523" t="s">
        <v>294</v>
      </c>
      <c r="M2523" t="s">
        <v>295</v>
      </c>
      <c r="N2523" t="s">
        <v>296</v>
      </c>
      <c r="O2523" t="s">
        <v>297</v>
      </c>
    </row>
    <row r="2524" spans="1:15" x14ac:dyDescent="0.3">
      <c r="A2524" t="s">
        <v>3937</v>
      </c>
      <c r="B2524" t="s">
        <v>4077</v>
      </c>
      <c r="C2524">
        <v>2023</v>
      </c>
      <c r="D2524" t="s">
        <v>394</v>
      </c>
      <c r="E2524" t="s">
        <v>4057</v>
      </c>
      <c r="F2524">
        <v>0.50370000000000004</v>
      </c>
      <c r="G2524" t="s">
        <v>334</v>
      </c>
      <c r="H2524">
        <v>11</v>
      </c>
      <c r="I2524" t="s">
        <v>4166</v>
      </c>
      <c r="J2524" t="s">
        <v>294</v>
      </c>
      <c r="M2524" t="s">
        <v>295</v>
      </c>
      <c r="N2524" t="s">
        <v>296</v>
      </c>
      <c r="O2524" t="s">
        <v>297</v>
      </c>
    </row>
    <row r="2525" spans="1:15" x14ac:dyDescent="0.3">
      <c r="A2525" t="s">
        <v>3937</v>
      </c>
      <c r="B2525" t="s">
        <v>4077</v>
      </c>
      <c r="C2525">
        <v>2023</v>
      </c>
      <c r="D2525" t="s">
        <v>394</v>
      </c>
      <c r="E2525" t="s">
        <v>4167</v>
      </c>
      <c r="F2525">
        <v>0.307</v>
      </c>
      <c r="G2525" t="s">
        <v>334</v>
      </c>
      <c r="H2525">
        <v>11</v>
      </c>
      <c r="I2525" t="s">
        <v>4168</v>
      </c>
      <c r="J2525" t="s">
        <v>294</v>
      </c>
      <c r="M2525" t="s">
        <v>295</v>
      </c>
      <c r="N2525" t="s">
        <v>296</v>
      </c>
      <c r="O2525" t="s">
        <v>297</v>
      </c>
    </row>
    <row r="2526" spans="1:15" x14ac:dyDescent="0.3">
      <c r="A2526" t="s">
        <v>3937</v>
      </c>
      <c r="B2526" t="s">
        <v>4077</v>
      </c>
      <c r="C2526">
        <v>2023</v>
      </c>
      <c r="D2526" t="s">
        <v>394</v>
      </c>
      <c r="E2526" t="s">
        <v>438</v>
      </c>
      <c r="F2526">
        <v>54767</v>
      </c>
      <c r="G2526" t="s">
        <v>396</v>
      </c>
      <c r="H2526">
        <v>11</v>
      </c>
      <c r="I2526" t="s">
        <v>4169</v>
      </c>
      <c r="J2526" t="s">
        <v>294</v>
      </c>
      <c r="M2526" t="s">
        <v>295</v>
      </c>
      <c r="N2526" t="s">
        <v>296</v>
      </c>
      <c r="O2526" t="s">
        <v>297</v>
      </c>
    </row>
    <row r="2527" spans="1:15" x14ac:dyDescent="0.3">
      <c r="A2527" t="s">
        <v>3937</v>
      </c>
      <c r="B2527" t="s">
        <v>4077</v>
      </c>
      <c r="C2527">
        <v>2023</v>
      </c>
      <c r="D2527" t="s">
        <v>394</v>
      </c>
      <c r="E2527" t="s">
        <v>3243</v>
      </c>
      <c r="F2527">
        <v>11000</v>
      </c>
      <c r="G2527" t="s">
        <v>396</v>
      </c>
      <c r="H2527">
        <v>11</v>
      </c>
      <c r="I2527" t="s">
        <v>4170</v>
      </c>
      <c r="J2527" t="s">
        <v>294</v>
      </c>
      <c r="M2527" t="s">
        <v>295</v>
      </c>
      <c r="N2527" t="s">
        <v>296</v>
      </c>
      <c r="O2527" t="s">
        <v>297</v>
      </c>
    </row>
    <row r="2528" spans="1:15" x14ac:dyDescent="0.3">
      <c r="A2528" t="s">
        <v>3937</v>
      </c>
      <c r="B2528" t="s">
        <v>4077</v>
      </c>
      <c r="C2528">
        <v>2023</v>
      </c>
      <c r="D2528" t="s">
        <v>394</v>
      </c>
      <c r="E2528" t="s">
        <v>4065</v>
      </c>
      <c r="F2528">
        <v>8426</v>
      </c>
      <c r="G2528" t="s">
        <v>396</v>
      </c>
      <c r="H2528">
        <v>11</v>
      </c>
      <c r="I2528" t="s">
        <v>4171</v>
      </c>
      <c r="J2528" t="s">
        <v>294</v>
      </c>
      <c r="M2528" t="s">
        <v>295</v>
      </c>
      <c r="N2528" t="s">
        <v>296</v>
      </c>
      <c r="O2528" t="s">
        <v>297</v>
      </c>
    </row>
    <row r="2529" spans="1:15" x14ac:dyDescent="0.3">
      <c r="A2529" t="s">
        <v>3937</v>
      </c>
      <c r="B2529" t="s">
        <v>4077</v>
      </c>
      <c r="C2529">
        <v>2023</v>
      </c>
      <c r="D2529" t="s">
        <v>394</v>
      </c>
      <c r="E2529" t="s">
        <v>4067</v>
      </c>
      <c r="F2529">
        <v>2129</v>
      </c>
      <c r="G2529" t="s">
        <v>396</v>
      </c>
      <c r="H2529">
        <v>11</v>
      </c>
      <c r="I2529" t="s">
        <v>4172</v>
      </c>
      <c r="J2529" t="s">
        <v>294</v>
      </c>
      <c r="M2529" t="s">
        <v>295</v>
      </c>
      <c r="N2529" t="s">
        <v>296</v>
      </c>
      <c r="O2529" t="s">
        <v>297</v>
      </c>
    </row>
    <row r="2530" spans="1:15" x14ac:dyDescent="0.3">
      <c r="A2530" t="s">
        <v>3937</v>
      </c>
      <c r="B2530" t="s">
        <v>4077</v>
      </c>
      <c r="C2530">
        <v>2023</v>
      </c>
      <c r="D2530" t="s">
        <v>394</v>
      </c>
      <c r="E2530" t="s">
        <v>4069</v>
      </c>
      <c r="F2530">
        <v>11039</v>
      </c>
      <c r="G2530" t="s">
        <v>436</v>
      </c>
      <c r="H2530">
        <v>12</v>
      </c>
      <c r="I2530" t="s">
        <v>4173</v>
      </c>
      <c r="J2530" t="s">
        <v>294</v>
      </c>
      <c r="M2530" t="s">
        <v>295</v>
      </c>
      <c r="N2530" t="s">
        <v>296</v>
      </c>
      <c r="O2530" t="s">
        <v>297</v>
      </c>
    </row>
    <row r="2531" spans="1:15" x14ac:dyDescent="0.3">
      <c r="A2531" t="s">
        <v>3937</v>
      </c>
      <c r="B2531" t="s">
        <v>4077</v>
      </c>
      <c r="C2531">
        <v>2023</v>
      </c>
      <c r="D2531" t="s">
        <v>394</v>
      </c>
      <c r="E2531" t="s">
        <v>4071</v>
      </c>
      <c r="F2531">
        <v>4667</v>
      </c>
      <c r="G2531" t="s">
        <v>436</v>
      </c>
      <c r="H2531">
        <v>12</v>
      </c>
      <c r="I2531" t="s">
        <v>4174</v>
      </c>
      <c r="J2531" t="s">
        <v>294</v>
      </c>
      <c r="M2531" t="s">
        <v>295</v>
      </c>
      <c r="N2531" t="s">
        <v>296</v>
      </c>
      <c r="O2531" t="s">
        <v>297</v>
      </c>
    </row>
    <row r="2532" spans="1:15" x14ac:dyDescent="0.3">
      <c r="A2532" t="s">
        <v>3937</v>
      </c>
      <c r="B2532" t="s">
        <v>4077</v>
      </c>
      <c r="C2532">
        <v>2023</v>
      </c>
      <c r="D2532" t="s">
        <v>394</v>
      </c>
      <c r="E2532" t="s">
        <v>4073</v>
      </c>
      <c r="F2532">
        <v>22055</v>
      </c>
      <c r="G2532" t="s">
        <v>436</v>
      </c>
      <c r="H2532">
        <v>12</v>
      </c>
      <c r="I2532" t="s">
        <v>4175</v>
      </c>
      <c r="J2532" t="s">
        <v>294</v>
      </c>
      <c r="M2532" t="s">
        <v>295</v>
      </c>
      <c r="N2532" t="s">
        <v>296</v>
      </c>
      <c r="O2532" t="s">
        <v>297</v>
      </c>
    </row>
    <row r="2533" spans="1:15" x14ac:dyDescent="0.3">
      <c r="A2533" t="s">
        <v>3937</v>
      </c>
      <c r="B2533" t="s">
        <v>4077</v>
      </c>
      <c r="C2533">
        <v>2023</v>
      </c>
      <c r="D2533" t="s">
        <v>394</v>
      </c>
      <c r="E2533" t="s">
        <v>4075</v>
      </c>
      <c r="F2533">
        <v>22686</v>
      </c>
      <c r="G2533" t="s">
        <v>436</v>
      </c>
      <c r="H2533">
        <v>12</v>
      </c>
      <c r="I2533" t="s">
        <v>4176</v>
      </c>
      <c r="J2533" t="s">
        <v>294</v>
      </c>
      <c r="M2533" t="s">
        <v>295</v>
      </c>
      <c r="N2533" t="s">
        <v>296</v>
      </c>
      <c r="O2533" t="s">
        <v>297</v>
      </c>
    </row>
    <row r="2534" spans="1:15" x14ac:dyDescent="0.3">
      <c r="A2534" t="s">
        <v>3937</v>
      </c>
      <c r="B2534" t="s">
        <v>4077</v>
      </c>
      <c r="C2534">
        <v>2023</v>
      </c>
      <c r="D2534" t="s">
        <v>394</v>
      </c>
      <c r="E2534" t="s">
        <v>4177</v>
      </c>
      <c r="F2534">
        <v>38739</v>
      </c>
      <c r="G2534" t="s">
        <v>436</v>
      </c>
      <c r="H2534">
        <v>12</v>
      </c>
      <c r="I2534" t="s">
        <v>4178</v>
      </c>
      <c r="J2534" t="s">
        <v>294</v>
      </c>
      <c r="M2534" t="s">
        <v>295</v>
      </c>
      <c r="N2534" t="s">
        <v>296</v>
      </c>
      <c r="O2534" t="s">
        <v>297</v>
      </c>
    </row>
    <row r="2535" spans="1:15" x14ac:dyDescent="0.3">
      <c r="A2535" t="s">
        <v>3937</v>
      </c>
      <c r="B2535" t="s">
        <v>4077</v>
      </c>
      <c r="C2535">
        <v>2023</v>
      </c>
      <c r="D2535" t="s">
        <v>394</v>
      </c>
      <c r="E2535" t="s">
        <v>4179</v>
      </c>
      <c r="F2535">
        <v>16446</v>
      </c>
      <c r="G2535" t="s">
        <v>436</v>
      </c>
      <c r="H2535">
        <v>12</v>
      </c>
      <c r="I2535" t="s">
        <v>4180</v>
      </c>
      <c r="J2535" t="s">
        <v>294</v>
      </c>
      <c r="M2535" t="s">
        <v>295</v>
      </c>
      <c r="N2535" t="s">
        <v>296</v>
      </c>
      <c r="O2535" t="s">
        <v>297</v>
      </c>
    </row>
    <row r="2536" spans="1:15" x14ac:dyDescent="0.3">
      <c r="A2536" t="s">
        <v>3937</v>
      </c>
      <c r="B2536" t="s">
        <v>4077</v>
      </c>
      <c r="C2536">
        <v>2023</v>
      </c>
      <c r="D2536" t="s">
        <v>563</v>
      </c>
      <c r="E2536" t="s">
        <v>4181</v>
      </c>
      <c r="F2536" t="s">
        <v>4182</v>
      </c>
      <c r="G2536" t="s">
        <v>292</v>
      </c>
      <c r="H2536">
        <v>23</v>
      </c>
      <c r="I2536" t="s">
        <v>4183</v>
      </c>
      <c r="J2536" t="s">
        <v>294</v>
      </c>
      <c r="M2536" t="s">
        <v>295</v>
      </c>
      <c r="N2536" t="s">
        <v>296</v>
      </c>
      <c r="O2536" t="s">
        <v>297</v>
      </c>
    </row>
    <row r="2537" spans="1:15" x14ac:dyDescent="0.3">
      <c r="A2537" t="s">
        <v>3937</v>
      </c>
      <c r="B2537" t="s">
        <v>4184</v>
      </c>
      <c r="C2537">
        <v>2024</v>
      </c>
      <c r="D2537" t="s">
        <v>272</v>
      </c>
      <c r="E2537" t="s">
        <v>291</v>
      </c>
      <c r="F2537" t="s">
        <v>3937</v>
      </c>
      <c r="G2537" t="s">
        <v>292</v>
      </c>
      <c r="H2537">
        <v>9</v>
      </c>
      <c r="I2537" t="s">
        <v>3937</v>
      </c>
      <c r="J2537" t="s">
        <v>294</v>
      </c>
      <c r="M2537" t="s">
        <v>295</v>
      </c>
      <c r="N2537" t="s">
        <v>296</v>
      </c>
      <c r="O2537" t="s">
        <v>297</v>
      </c>
    </row>
    <row r="2538" spans="1:15" x14ac:dyDescent="0.3">
      <c r="A2538" t="s">
        <v>3937</v>
      </c>
      <c r="B2538" t="s">
        <v>4184</v>
      </c>
      <c r="C2538">
        <v>2024</v>
      </c>
      <c r="D2538" t="s">
        <v>272</v>
      </c>
      <c r="E2538" t="s">
        <v>1</v>
      </c>
      <c r="F2538" t="s">
        <v>47</v>
      </c>
      <c r="G2538" t="s">
        <v>292</v>
      </c>
      <c r="H2538">
        <v>17</v>
      </c>
      <c r="I2538" t="s">
        <v>4185</v>
      </c>
      <c r="J2538" t="s">
        <v>294</v>
      </c>
      <c r="M2538" t="s">
        <v>295</v>
      </c>
      <c r="N2538" t="s">
        <v>296</v>
      </c>
      <c r="O2538" t="s">
        <v>297</v>
      </c>
    </row>
    <row r="2539" spans="1:15" x14ac:dyDescent="0.3">
      <c r="A2539" t="s">
        <v>3937</v>
      </c>
      <c r="B2539" t="s">
        <v>4184</v>
      </c>
      <c r="C2539">
        <v>2024</v>
      </c>
      <c r="D2539" t="s">
        <v>272</v>
      </c>
      <c r="E2539" t="s">
        <v>442</v>
      </c>
      <c r="F2539" t="s">
        <v>4186</v>
      </c>
      <c r="G2539" t="s">
        <v>334</v>
      </c>
      <c r="H2539">
        <v>61</v>
      </c>
      <c r="I2539" t="s">
        <v>4187</v>
      </c>
      <c r="J2539" t="s">
        <v>294</v>
      </c>
      <c r="M2539" t="s">
        <v>295</v>
      </c>
      <c r="N2539" t="s">
        <v>296</v>
      </c>
      <c r="O2539" t="s">
        <v>297</v>
      </c>
    </row>
    <row r="2540" spans="1:15" x14ac:dyDescent="0.3">
      <c r="A2540" t="s">
        <v>3937</v>
      </c>
      <c r="B2540" t="s">
        <v>4184</v>
      </c>
      <c r="C2540">
        <v>2024</v>
      </c>
      <c r="D2540" t="s">
        <v>272</v>
      </c>
      <c r="E2540" t="s">
        <v>445</v>
      </c>
      <c r="F2540">
        <v>7.4990000000000001E-2</v>
      </c>
      <c r="G2540" t="s">
        <v>334</v>
      </c>
      <c r="H2540">
        <v>61</v>
      </c>
      <c r="I2540" t="s">
        <v>4188</v>
      </c>
      <c r="J2540" t="s">
        <v>294</v>
      </c>
      <c r="M2540" t="s">
        <v>295</v>
      </c>
      <c r="N2540" t="s">
        <v>296</v>
      </c>
      <c r="O2540" t="s">
        <v>297</v>
      </c>
    </row>
    <row r="2541" spans="1:15" x14ac:dyDescent="0.3">
      <c r="A2541" t="s">
        <v>3937</v>
      </c>
      <c r="B2541" t="s">
        <v>4184</v>
      </c>
      <c r="C2541">
        <v>2024</v>
      </c>
      <c r="D2541" t="s">
        <v>272</v>
      </c>
      <c r="E2541" t="s">
        <v>3944</v>
      </c>
      <c r="F2541">
        <v>132500</v>
      </c>
      <c r="G2541" t="s">
        <v>1633</v>
      </c>
      <c r="H2541">
        <v>61</v>
      </c>
      <c r="I2541" t="s">
        <v>4189</v>
      </c>
      <c r="J2541" t="s">
        <v>294</v>
      </c>
      <c r="M2541" t="s">
        <v>295</v>
      </c>
      <c r="N2541" t="s">
        <v>296</v>
      </c>
      <c r="O2541" t="s">
        <v>297</v>
      </c>
    </row>
    <row r="2542" spans="1:15" x14ac:dyDescent="0.3">
      <c r="A2542" t="s">
        <v>3937</v>
      </c>
      <c r="B2542" t="s">
        <v>4184</v>
      </c>
      <c r="C2542">
        <v>2024</v>
      </c>
      <c r="D2542" t="s">
        <v>272</v>
      </c>
      <c r="E2542" t="s">
        <v>4190</v>
      </c>
      <c r="F2542">
        <v>2011</v>
      </c>
      <c r="G2542" t="s">
        <v>299</v>
      </c>
      <c r="H2542">
        <v>64</v>
      </c>
      <c r="I2542" t="s">
        <v>4191</v>
      </c>
      <c r="J2542" t="s">
        <v>294</v>
      </c>
      <c r="M2542" t="s">
        <v>295</v>
      </c>
      <c r="N2542" t="s">
        <v>296</v>
      </c>
      <c r="O2542" t="s">
        <v>297</v>
      </c>
    </row>
    <row r="2543" spans="1:15" x14ac:dyDescent="0.3">
      <c r="A2543" t="s">
        <v>3937</v>
      </c>
      <c r="B2543" t="s">
        <v>4184</v>
      </c>
      <c r="C2543">
        <v>2024</v>
      </c>
      <c r="D2543" t="s">
        <v>272</v>
      </c>
      <c r="E2543" t="s">
        <v>4192</v>
      </c>
      <c r="F2543">
        <v>12458266342</v>
      </c>
      <c r="G2543" t="s">
        <v>1633</v>
      </c>
      <c r="H2543">
        <v>64</v>
      </c>
      <c r="I2543" t="s">
        <v>4193</v>
      </c>
      <c r="J2543" t="s">
        <v>294</v>
      </c>
      <c r="M2543" t="s">
        <v>295</v>
      </c>
      <c r="N2543" t="s">
        <v>296</v>
      </c>
      <c r="O2543" t="s">
        <v>297</v>
      </c>
    </row>
    <row r="2544" spans="1:15" x14ac:dyDescent="0.3">
      <c r="A2544" t="s">
        <v>3937</v>
      </c>
      <c r="B2544" t="s">
        <v>4184</v>
      </c>
      <c r="C2544">
        <v>2024</v>
      </c>
      <c r="D2544" t="s">
        <v>272</v>
      </c>
      <c r="E2544" t="s">
        <v>4194</v>
      </c>
      <c r="F2544">
        <v>12</v>
      </c>
      <c r="G2544" t="s">
        <v>384</v>
      </c>
      <c r="H2544">
        <v>65</v>
      </c>
      <c r="I2544" t="s">
        <v>4195</v>
      </c>
      <c r="J2544" t="s">
        <v>294</v>
      </c>
      <c r="M2544" t="s">
        <v>295</v>
      </c>
      <c r="N2544" t="s">
        <v>296</v>
      </c>
      <c r="O2544" t="s">
        <v>297</v>
      </c>
    </row>
    <row r="2545" spans="1:15" x14ac:dyDescent="0.3">
      <c r="A2545" t="s">
        <v>3937</v>
      </c>
      <c r="B2545" t="s">
        <v>4184</v>
      </c>
      <c r="C2545">
        <v>2024</v>
      </c>
      <c r="D2545" t="s">
        <v>272</v>
      </c>
      <c r="E2545" t="s">
        <v>4196</v>
      </c>
      <c r="F2545" t="s">
        <v>4197</v>
      </c>
      <c r="G2545" t="s">
        <v>292</v>
      </c>
      <c r="H2545">
        <v>18</v>
      </c>
      <c r="I2545" t="s">
        <v>4198</v>
      </c>
      <c r="J2545" t="s">
        <v>294</v>
      </c>
      <c r="M2545" t="s">
        <v>295</v>
      </c>
      <c r="N2545" t="s">
        <v>296</v>
      </c>
      <c r="O2545" t="s">
        <v>297</v>
      </c>
    </row>
    <row r="2546" spans="1:15" x14ac:dyDescent="0.3">
      <c r="A2546" t="s">
        <v>3937</v>
      </c>
      <c r="B2546" t="s">
        <v>4184</v>
      </c>
      <c r="C2546">
        <v>2024</v>
      </c>
      <c r="D2546" t="s">
        <v>272</v>
      </c>
      <c r="E2546" t="s">
        <v>4199</v>
      </c>
      <c r="F2546" t="s">
        <v>4200</v>
      </c>
      <c r="G2546" t="s">
        <v>292</v>
      </c>
      <c r="H2546">
        <v>19</v>
      </c>
      <c r="I2546" t="s">
        <v>4201</v>
      </c>
      <c r="J2546" t="s">
        <v>294</v>
      </c>
      <c r="M2546" t="s">
        <v>295</v>
      </c>
      <c r="N2546" t="s">
        <v>296</v>
      </c>
      <c r="O2546" t="s">
        <v>297</v>
      </c>
    </row>
    <row r="2547" spans="1:15" x14ac:dyDescent="0.3">
      <c r="A2547" t="s">
        <v>3937</v>
      </c>
      <c r="B2547" t="s">
        <v>4184</v>
      </c>
      <c r="C2547">
        <v>2024</v>
      </c>
      <c r="D2547" t="s">
        <v>272</v>
      </c>
      <c r="E2547" t="s">
        <v>4094</v>
      </c>
      <c r="F2547">
        <v>7421</v>
      </c>
      <c r="G2547" t="s">
        <v>1561</v>
      </c>
      <c r="H2547">
        <v>68</v>
      </c>
      <c r="I2547" t="s">
        <v>4202</v>
      </c>
      <c r="J2547" t="s">
        <v>294</v>
      </c>
      <c r="M2547" t="s">
        <v>295</v>
      </c>
      <c r="N2547" t="s">
        <v>296</v>
      </c>
      <c r="O2547" t="s">
        <v>297</v>
      </c>
    </row>
    <row r="2548" spans="1:15" x14ac:dyDescent="0.3">
      <c r="A2548" t="s">
        <v>3937</v>
      </c>
      <c r="B2548" t="s">
        <v>4184</v>
      </c>
      <c r="C2548">
        <v>2024</v>
      </c>
      <c r="D2548" t="s">
        <v>272</v>
      </c>
      <c r="E2548" t="s">
        <v>2697</v>
      </c>
      <c r="F2548">
        <v>6400</v>
      </c>
      <c r="G2548" t="s">
        <v>302</v>
      </c>
      <c r="H2548">
        <v>41</v>
      </c>
      <c r="I2548" t="s">
        <v>4203</v>
      </c>
      <c r="J2548" t="s">
        <v>294</v>
      </c>
      <c r="M2548" t="s">
        <v>295</v>
      </c>
      <c r="N2548" t="s">
        <v>296</v>
      </c>
      <c r="O2548" t="s">
        <v>297</v>
      </c>
    </row>
    <row r="2549" spans="1:15" x14ac:dyDescent="0.3">
      <c r="A2549" t="s">
        <v>3937</v>
      </c>
      <c r="B2549" t="s">
        <v>4184</v>
      </c>
      <c r="C2549">
        <v>2024</v>
      </c>
      <c r="D2549" t="s">
        <v>300</v>
      </c>
      <c r="E2549" t="s">
        <v>682</v>
      </c>
      <c r="F2549">
        <v>1071</v>
      </c>
      <c r="G2549" t="s">
        <v>302</v>
      </c>
      <c r="H2549">
        <v>9</v>
      </c>
      <c r="I2549" t="s">
        <v>4204</v>
      </c>
      <c r="J2549" t="s">
        <v>294</v>
      </c>
      <c r="M2549" t="s">
        <v>295</v>
      </c>
      <c r="N2549" t="s">
        <v>296</v>
      </c>
      <c r="O2549" t="s">
        <v>297</v>
      </c>
    </row>
    <row r="2550" spans="1:15" x14ac:dyDescent="0.3">
      <c r="A2550" t="s">
        <v>3937</v>
      </c>
      <c r="B2550" t="s">
        <v>4184</v>
      </c>
      <c r="C2550">
        <v>2024</v>
      </c>
      <c r="D2550" t="s">
        <v>300</v>
      </c>
      <c r="E2550" t="s">
        <v>304</v>
      </c>
      <c r="F2550">
        <v>110</v>
      </c>
      <c r="G2550" t="s">
        <v>302</v>
      </c>
      <c r="H2550">
        <v>9</v>
      </c>
      <c r="I2550" t="s">
        <v>4205</v>
      </c>
      <c r="J2550" t="s">
        <v>294</v>
      </c>
      <c r="M2550" t="s">
        <v>295</v>
      </c>
      <c r="N2550" t="s">
        <v>296</v>
      </c>
      <c r="O2550" t="s">
        <v>297</v>
      </c>
    </row>
    <row r="2551" spans="1:15" x14ac:dyDescent="0.3">
      <c r="A2551" t="s">
        <v>3937</v>
      </c>
      <c r="B2551" t="s">
        <v>4184</v>
      </c>
      <c r="C2551">
        <v>2024</v>
      </c>
      <c r="D2551" t="s">
        <v>300</v>
      </c>
      <c r="E2551" t="s">
        <v>1109</v>
      </c>
      <c r="F2551">
        <v>960</v>
      </c>
      <c r="G2551" t="s">
        <v>302</v>
      </c>
      <c r="H2551">
        <v>9</v>
      </c>
      <c r="I2551" t="s">
        <v>4206</v>
      </c>
      <c r="J2551" t="s">
        <v>294</v>
      </c>
      <c r="M2551" t="s">
        <v>295</v>
      </c>
      <c r="N2551" t="s">
        <v>296</v>
      </c>
      <c r="O2551" t="s">
        <v>297</v>
      </c>
    </row>
    <row r="2552" spans="1:15" x14ac:dyDescent="0.3">
      <c r="A2552" t="s">
        <v>3937</v>
      </c>
      <c r="B2552" t="s">
        <v>4184</v>
      </c>
      <c r="C2552">
        <v>2024</v>
      </c>
      <c r="D2552" t="s">
        <v>300</v>
      </c>
      <c r="E2552" t="s">
        <v>452</v>
      </c>
      <c r="F2552">
        <v>59</v>
      </c>
      <c r="G2552" t="s">
        <v>302</v>
      </c>
      <c r="H2552">
        <v>89</v>
      </c>
      <c r="I2552" t="s">
        <v>4207</v>
      </c>
      <c r="J2552" t="s">
        <v>294</v>
      </c>
      <c r="M2552" t="s">
        <v>295</v>
      </c>
      <c r="N2552" t="s">
        <v>296</v>
      </c>
      <c r="O2552" t="s">
        <v>297</v>
      </c>
    </row>
    <row r="2553" spans="1:15" x14ac:dyDescent="0.3">
      <c r="A2553" t="s">
        <v>3937</v>
      </c>
      <c r="B2553" t="s">
        <v>4184</v>
      </c>
      <c r="C2553">
        <v>2024</v>
      </c>
      <c r="D2553" t="s">
        <v>300</v>
      </c>
      <c r="E2553" t="s">
        <v>4208</v>
      </c>
      <c r="F2553">
        <v>51</v>
      </c>
      <c r="G2553" t="s">
        <v>302</v>
      </c>
      <c r="H2553">
        <v>279</v>
      </c>
      <c r="I2553" t="s">
        <v>4209</v>
      </c>
      <c r="J2553" t="s">
        <v>294</v>
      </c>
      <c r="M2553" t="s">
        <v>295</v>
      </c>
      <c r="N2553" t="s">
        <v>296</v>
      </c>
      <c r="O2553" t="s">
        <v>297</v>
      </c>
    </row>
    <row r="2554" spans="1:15" x14ac:dyDescent="0.3">
      <c r="A2554" t="s">
        <v>3937</v>
      </c>
      <c r="B2554" t="s">
        <v>4184</v>
      </c>
      <c r="C2554">
        <v>2024</v>
      </c>
      <c r="D2554" t="s">
        <v>300</v>
      </c>
      <c r="E2554" t="s">
        <v>3959</v>
      </c>
      <c r="F2554">
        <v>-194</v>
      </c>
      <c r="G2554" t="s">
        <v>302</v>
      </c>
      <c r="H2554">
        <v>9</v>
      </c>
      <c r="I2554" t="s">
        <v>4210</v>
      </c>
      <c r="J2554" t="s">
        <v>294</v>
      </c>
      <c r="M2554" t="s">
        <v>295</v>
      </c>
      <c r="N2554" t="s">
        <v>296</v>
      </c>
      <c r="O2554" t="s">
        <v>297</v>
      </c>
    </row>
    <row r="2555" spans="1:15" x14ac:dyDescent="0.3">
      <c r="A2555" t="s">
        <v>3937</v>
      </c>
      <c r="B2555" t="s">
        <v>4184</v>
      </c>
      <c r="C2555">
        <v>2024</v>
      </c>
      <c r="D2555" t="s">
        <v>300</v>
      </c>
      <c r="E2555" t="s">
        <v>3961</v>
      </c>
      <c r="F2555">
        <v>-193</v>
      </c>
      <c r="G2555" t="s">
        <v>302</v>
      </c>
      <c r="H2555">
        <v>9</v>
      </c>
      <c r="I2555" t="s">
        <v>4211</v>
      </c>
      <c r="J2555" t="s">
        <v>294</v>
      </c>
      <c r="M2555" t="s">
        <v>295</v>
      </c>
      <c r="N2555" t="s">
        <v>296</v>
      </c>
      <c r="O2555" t="s">
        <v>297</v>
      </c>
    </row>
    <row r="2556" spans="1:15" x14ac:dyDescent="0.3">
      <c r="A2556" t="s">
        <v>3937</v>
      </c>
      <c r="B2556" t="s">
        <v>4184</v>
      </c>
      <c r="C2556">
        <v>2024</v>
      </c>
      <c r="D2556" t="s">
        <v>300</v>
      </c>
      <c r="E2556" t="s">
        <v>769</v>
      </c>
      <c r="F2556">
        <v>-190</v>
      </c>
      <c r="G2556" t="s">
        <v>302</v>
      </c>
      <c r="H2556">
        <v>9</v>
      </c>
      <c r="I2556" t="s">
        <v>4212</v>
      </c>
      <c r="J2556" t="s">
        <v>294</v>
      </c>
      <c r="M2556" t="s">
        <v>295</v>
      </c>
      <c r="N2556" t="s">
        <v>296</v>
      </c>
      <c r="O2556" t="s">
        <v>297</v>
      </c>
    </row>
    <row r="2557" spans="1:15" x14ac:dyDescent="0.3">
      <c r="A2557" t="s">
        <v>3937</v>
      </c>
      <c r="B2557" t="s">
        <v>4184</v>
      </c>
      <c r="C2557">
        <v>2024</v>
      </c>
      <c r="D2557" t="s">
        <v>300</v>
      </c>
      <c r="E2557" t="s">
        <v>345</v>
      </c>
      <c r="F2557">
        <v>-12</v>
      </c>
      <c r="G2557" t="s">
        <v>346</v>
      </c>
      <c r="H2557">
        <v>9</v>
      </c>
      <c r="I2557" t="s">
        <v>4213</v>
      </c>
      <c r="J2557" t="s">
        <v>294</v>
      </c>
      <c r="M2557" t="s">
        <v>295</v>
      </c>
      <c r="N2557" t="s">
        <v>296</v>
      </c>
      <c r="O2557" t="s">
        <v>297</v>
      </c>
    </row>
    <row r="2558" spans="1:15" x14ac:dyDescent="0.3">
      <c r="A2558" t="s">
        <v>3937</v>
      </c>
      <c r="B2558" t="s">
        <v>4184</v>
      </c>
      <c r="C2558">
        <v>2024</v>
      </c>
      <c r="D2558" t="s">
        <v>300</v>
      </c>
      <c r="E2558" t="s">
        <v>316</v>
      </c>
      <c r="F2558">
        <v>3868</v>
      </c>
      <c r="G2558" t="s">
        <v>302</v>
      </c>
      <c r="H2558">
        <v>9</v>
      </c>
      <c r="I2558" t="s">
        <v>4214</v>
      </c>
      <c r="J2558" t="s">
        <v>294</v>
      </c>
      <c r="M2558" t="s">
        <v>295</v>
      </c>
      <c r="N2558" t="s">
        <v>296</v>
      </c>
      <c r="O2558" t="s">
        <v>297</v>
      </c>
    </row>
    <row r="2559" spans="1:15" x14ac:dyDescent="0.3">
      <c r="A2559" t="s">
        <v>3937</v>
      </c>
      <c r="B2559" t="s">
        <v>4184</v>
      </c>
      <c r="C2559">
        <v>2024</v>
      </c>
      <c r="D2559" t="s">
        <v>300</v>
      </c>
      <c r="E2559" t="s">
        <v>312</v>
      </c>
      <c r="F2559">
        <v>532</v>
      </c>
      <c r="G2559" t="s">
        <v>302</v>
      </c>
      <c r="H2559">
        <v>87</v>
      </c>
      <c r="I2559" t="s">
        <v>4215</v>
      </c>
      <c r="J2559" t="s">
        <v>294</v>
      </c>
      <c r="M2559" t="s">
        <v>295</v>
      </c>
      <c r="N2559" t="s">
        <v>296</v>
      </c>
      <c r="O2559" t="s">
        <v>297</v>
      </c>
    </row>
    <row r="2560" spans="1:15" x14ac:dyDescent="0.3">
      <c r="A2560" t="s">
        <v>3937</v>
      </c>
      <c r="B2560" t="s">
        <v>4184</v>
      </c>
      <c r="C2560">
        <v>2024</v>
      </c>
      <c r="D2560" t="s">
        <v>300</v>
      </c>
      <c r="E2560" t="s">
        <v>314</v>
      </c>
      <c r="F2560">
        <v>3336</v>
      </c>
      <c r="G2560" t="s">
        <v>302</v>
      </c>
      <c r="H2560">
        <v>87</v>
      </c>
      <c r="I2560" t="s">
        <v>4216</v>
      </c>
      <c r="J2560" t="s">
        <v>294</v>
      </c>
      <c r="M2560" t="s">
        <v>295</v>
      </c>
      <c r="N2560" t="s">
        <v>296</v>
      </c>
      <c r="O2560" t="s">
        <v>297</v>
      </c>
    </row>
    <row r="2561" spans="1:15" x14ac:dyDescent="0.3">
      <c r="A2561" t="s">
        <v>3937</v>
      </c>
      <c r="B2561" t="s">
        <v>4184</v>
      </c>
      <c r="C2561">
        <v>2024</v>
      </c>
      <c r="D2561" t="s">
        <v>300</v>
      </c>
      <c r="E2561" t="s">
        <v>322</v>
      </c>
      <c r="F2561">
        <v>2502</v>
      </c>
      <c r="G2561" t="s">
        <v>302</v>
      </c>
      <c r="H2561">
        <v>9</v>
      </c>
      <c r="I2561" t="s">
        <v>4217</v>
      </c>
      <c r="J2561" t="s">
        <v>294</v>
      </c>
      <c r="M2561" t="s">
        <v>295</v>
      </c>
      <c r="N2561" t="s">
        <v>296</v>
      </c>
      <c r="O2561" t="s">
        <v>297</v>
      </c>
    </row>
    <row r="2562" spans="1:15" x14ac:dyDescent="0.3">
      <c r="A2562" t="s">
        <v>3937</v>
      </c>
      <c r="B2562" t="s">
        <v>4184</v>
      </c>
      <c r="C2562">
        <v>2024</v>
      </c>
      <c r="D2562" t="s">
        <v>300</v>
      </c>
      <c r="E2562" t="s">
        <v>318</v>
      </c>
      <c r="F2562">
        <v>533</v>
      </c>
      <c r="G2562" t="s">
        <v>302</v>
      </c>
      <c r="H2562">
        <v>87</v>
      </c>
      <c r="I2562" t="s">
        <v>4218</v>
      </c>
      <c r="J2562" t="s">
        <v>294</v>
      </c>
      <c r="M2562" t="s">
        <v>295</v>
      </c>
      <c r="N2562" t="s">
        <v>296</v>
      </c>
      <c r="O2562" t="s">
        <v>297</v>
      </c>
    </row>
    <row r="2563" spans="1:15" x14ac:dyDescent="0.3">
      <c r="A2563" t="s">
        <v>3937</v>
      </c>
      <c r="B2563" t="s">
        <v>4184</v>
      </c>
      <c r="C2563">
        <v>2024</v>
      </c>
      <c r="D2563" t="s">
        <v>300</v>
      </c>
      <c r="E2563" t="s">
        <v>828</v>
      </c>
      <c r="F2563">
        <v>1968</v>
      </c>
      <c r="G2563" t="s">
        <v>302</v>
      </c>
      <c r="H2563">
        <v>87</v>
      </c>
      <c r="I2563" t="s">
        <v>4219</v>
      </c>
      <c r="J2563" t="s">
        <v>294</v>
      </c>
      <c r="M2563" t="s">
        <v>295</v>
      </c>
      <c r="N2563" t="s">
        <v>296</v>
      </c>
      <c r="O2563" t="s">
        <v>297</v>
      </c>
    </row>
    <row r="2564" spans="1:15" x14ac:dyDescent="0.3">
      <c r="A2564" t="s">
        <v>3937</v>
      </c>
      <c r="B2564" t="s">
        <v>4184</v>
      </c>
      <c r="C2564">
        <v>2024</v>
      </c>
      <c r="D2564" t="s">
        <v>300</v>
      </c>
      <c r="E2564" t="s">
        <v>324</v>
      </c>
      <c r="F2564">
        <v>1366</v>
      </c>
      <c r="G2564" t="s">
        <v>302</v>
      </c>
      <c r="H2564">
        <v>9</v>
      </c>
      <c r="I2564" t="s">
        <v>4220</v>
      </c>
      <c r="J2564" t="s">
        <v>294</v>
      </c>
      <c r="M2564" t="s">
        <v>295</v>
      </c>
      <c r="N2564" t="s">
        <v>296</v>
      </c>
      <c r="O2564" t="s">
        <v>297</v>
      </c>
    </row>
    <row r="2565" spans="1:15" x14ac:dyDescent="0.3">
      <c r="A2565" t="s">
        <v>3937</v>
      </c>
      <c r="B2565" t="s">
        <v>4184</v>
      </c>
      <c r="C2565">
        <v>2024</v>
      </c>
      <c r="D2565" t="s">
        <v>300</v>
      </c>
      <c r="E2565" t="s">
        <v>3971</v>
      </c>
      <c r="F2565">
        <v>5.85</v>
      </c>
      <c r="G2565" t="s">
        <v>302</v>
      </c>
      <c r="H2565">
        <v>196</v>
      </c>
      <c r="I2565" t="s">
        <v>4221</v>
      </c>
      <c r="J2565" t="s">
        <v>294</v>
      </c>
      <c r="M2565" t="s">
        <v>295</v>
      </c>
      <c r="N2565" t="s">
        <v>296</v>
      </c>
      <c r="O2565" t="s">
        <v>297</v>
      </c>
    </row>
    <row r="2566" spans="1:15" x14ac:dyDescent="0.3">
      <c r="A2566" t="s">
        <v>3937</v>
      </c>
      <c r="B2566" t="s">
        <v>4184</v>
      </c>
      <c r="C2566">
        <v>2024</v>
      </c>
      <c r="D2566" t="s">
        <v>300</v>
      </c>
      <c r="E2566" t="s">
        <v>1227</v>
      </c>
      <c r="F2566">
        <v>85</v>
      </c>
      <c r="G2566" t="s">
        <v>302</v>
      </c>
      <c r="H2566">
        <v>197</v>
      </c>
      <c r="I2566" t="s">
        <v>4222</v>
      </c>
      <c r="J2566" t="s">
        <v>294</v>
      </c>
      <c r="M2566" t="s">
        <v>295</v>
      </c>
      <c r="N2566" t="s">
        <v>296</v>
      </c>
      <c r="O2566" t="s">
        <v>297</v>
      </c>
    </row>
    <row r="2567" spans="1:15" x14ac:dyDescent="0.3">
      <c r="A2567" t="s">
        <v>3937</v>
      </c>
      <c r="B2567" t="s">
        <v>4184</v>
      </c>
      <c r="C2567">
        <v>2024</v>
      </c>
      <c r="D2567" t="s">
        <v>300</v>
      </c>
      <c r="E2567" t="s">
        <v>3974</v>
      </c>
      <c r="F2567">
        <v>145</v>
      </c>
      <c r="G2567" t="s">
        <v>302</v>
      </c>
      <c r="H2567">
        <v>197</v>
      </c>
      <c r="I2567" t="s">
        <v>4223</v>
      </c>
      <c r="J2567" t="s">
        <v>294</v>
      </c>
      <c r="M2567" t="s">
        <v>295</v>
      </c>
      <c r="N2567" t="s">
        <v>296</v>
      </c>
      <c r="O2567" t="s">
        <v>297</v>
      </c>
    </row>
    <row r="2568" spans="1:15" x14ac:dyDescent="0.3">
      <c r="A2568" t="s">
        <v>3937</v>
      </c>
      <c r="B2568" t="s">
        <v>4184</v>
      </c>
      <c r="C2568">
        <v>2024</v>
      </c>
      <c r="D2568" t="s">
        <v>300</v>
      </c>
      <c r="E2568" t="s">
        <v>3976</v>
      </c>
      <c r="F2568">
        <v>765</v>
      </c>
      <c r="G2568" t="s">
        <v>302</v>
      </c>
      <c r="H2568">
        <v>197</v>
      </c>
      <c r="I2568" t="s">
        <v>4224</v>
      </c>
      <c r="J2568" t="s">
        <v>294</v>
      </c>
      <c r="M2568" t="s">
        <v>295</v>
      </c>
      <c r="N2568" t="s">
        <v>296</v>
      </c>
      <c r="O2568" t="s">
        <v>297</v>
      </c>
    </row>
    <row r="2569" spans="1:15" x14ac:dyDescent="0.3">
      <c r="A2569" t="s">
        <v>3937</v>
      </c>
      <c r="B2569" t="s">
        <v>4184</v>
      </c>
      <c r="C2569">
        <v>2024</v>
      </c>
      <c r="D2569" t="s">
        <v>300</v>
      </c>
      <c r="E2569" t="s">
        <v>4225</v>
      </c>
      <c r="F2569">
        <v>995</v>
      </c>
      <c r="G2569" t="s">
        <v>302</v>
      </c>
      <c r="H2569">
        <v>284</v>
      </c>
      <c r="I2569" t="s">
        <v>4226</v>
      </c>
      <c r="J2569" t="s">
        <v>294</v>
      </c>
      <c r="M2569" t="s">
        <v>295</v>
      </c>
      <c r="N2569" t="s">
        <v>296</v>
      </c>
      <c r="O2569" t="s">
        <v>297</v>
      </c>
    </row>
    <row r="2570" spans="1:15" x14ac:dyDescent="0.3">
      <c r="A2570" t="s">
        <v>3937</v>
      </c>
      <c r="B2570" t="s">
        <v>4184</v>
      </c>
      <c r="C2570">
        <v>2024</v>
      </c>
      <c r="D2570" t="s">
        <v>300</v>
      </c>
      <c r="E2570" t="s">
        <v>3980</v>
      </c>
      <c r="F2570">
        <v>1158</v>
      </c>
      <c r="G2570" t="s">
        <v>302</v>
      </c>
      <c r="H2570">
        <v>197</v>
      </c>
      <c r="I2570" t="s">
        <v>4227</v>
      </c>
      <c r="J2570" t="s">
        <v>294</v>
      </c>
      <c r="M2570" t="s">
        <v>295</v>
      </c>
      <c r="N2570" t="s">
        <v>296</v>
      </c>
      <c r="O2570" t="s">
        <v>297</v>
      </c>
    </row>
    <row r="2571" spans="1:15" x14ac:dyDescent="0.3">
      <c r="A2571" t="s">
        <v>3937</v>
      </c>
      <c r="B2571" t="s">
        <v>4184</v>
      </c>
      <c r="C2571">
        <v>2024</v>
      </c>
      <c r="D2571" t="s">
        <v>300</v>
      </c>
      <c r="E2571" t="s">
        <v>4228</v>
      </c>
      <c r="F2571">
        <v>137</v>
      </c>
      <c r="G2571" t="s">
        <v>302</v>
      </c>
      <c r="H2571">
        <v>196</v>
      </c>
      <c r="I2571" t="s">
        <v>4229</v>
      </c>
      <c r="J2571" t="s">
        <v>294</v>
      </c>
      <c r="M2571" t="s">
        <v>295</v>
      </c>
      <c r="N2571" t="s">
        <v>296</v>
      </c>
      <c r="O2571" t="s">
        <v>297</v>
      </c>
    </row>
    <row r="2572" spans="1:15" x14ac:dyDescent="0.3">
      <c r="A2572" t="s">
        <v>3937</v>
      </c>
      <c r="B2572" t="s">
        <v>4184</v>
      </c>
      <c r="C2572">
        <v>2024</v>
      </c>
      <c r="D2572" t="s">
        <v>300</v>
      </c>
      <c r="E2572" t="s">
        <v>3982</v>
      </c>
      <c r="F2572">
        <v>214</v>
      </c>
      <c r="G2572" t="s">
        <v>302</v>
      </c>
      <c r="H2572">
        <v>196</v>
      </c>
      <c r="I2572" t="s">
        <v>4230</v>
      </c>
      <c r="J2572" t="s">
        <v>294</v>
      </c>
      <c r="M2572" t="s">
        <v>295</v>
      </c>
      <c r="N2572" t="s">
        <v>296</v>
      </c>
      <c r="O2572" t="s">
        <v>297</v>
      </c>
    </row>
    <row r="2573" spans="1:15" x14ac:dyDescent="0.3">
      <c r="A2573" t="s">
        <v>3937</v>
      </c>
      <c r="B2573" t="s">
        <v>4184</v>
      </c>
      <c r="C2573">
        <v>2024</v>
      </c>
      <c r="D2573" t="s">
        <v>300</v>
      </c>
      <c r="E2573" t="s">
        <v>4119</v>
      </c>
      <c r="F2573">
        <v>80</v>
      </c>
      <c r="G2573" t="s">
        <v>302</v>
      </c>
      <c r="H2573">
        <v>196</v>
      </c>
      <c r="I2573" t="s">
        <v>4231</v>
      </c>
      <c r="J2573" t="s">
        <v>294</v>
      </c>
      <c r="M2573" t="s">
        <v>295</v>
      </c>
      <c r="N2573" t="s">
        <v>296</v>
      </c>
      <c r="O2573" t="s">
        <v>297</v>
      </c>
    </row>
    <row r="2574" spans="1:15" x14ac:dyDescent="0.3">
      <c r="A2574" t="s">
        <v>3937</v>
      </c>
      <c r="B2574" t="s">
        <v>4184</v>
      </c>
      <c r="C2574">
        <v>2024</v>
      </c>
      <c r="D2574" t="s">
        <v>300</v>
      </c>
      <c r="E2574" t="s">
        <v>3990</v>
      </c>
      <c r="F2574">
        <v>425</v>
      </c>
      <c r="G2574" t="s">
        <v>302</v>
      </c>
      <c r="H2574">
        <v>196</v>
      </c>
      <c r="I2574" t="s">
        <v>4232</v>
      </c>
      <c r="J2574" t="s">
        <v>294</v>
      </c>
      <c r="M2574" t="s">
        <v>295</v>
      </c>
      <c r="N2574" t="s">
        <v>296</v>
      </c>
      <c r="O2574" t="s">
        <v>297</v>
      </c>
    </row>
    <row r="2575" spans="1:15" x14ac:dyDescent="0.3">
      <c r="A2575" t="s">
        <v>3937</v>
      </c>
      <c r="B2575" t="s">
        <v>4184</v>
      </c>
      <c r="C2575">
        <v>2024</v>
      </c>
      <c r="D2575" t="s">
        <v>300</v>
      </c>
      <c r="E2575" t="s">
        <v>3986</v>
      </c>
      <c r="F2575">
        <v>951</v>
      </c>
      <c r="G2575" t="s">
        <v>302</v>
      </c>
      <c r="H2575">
        <v>196</v>
      </c>
      <c r="I2575" t="s">
        <v>4233</v>
      </c>
      <c r="J2575" t="s">
        <v>294</v>
      </c>
      <c r="M2575" t="s">
        <v>295</v>
      </c>
      <c r="N2575" t="s">
        <v>296</v>
      </c>
      <c r="O2575" t="s">
        <v>297</v>
      </c>
    </row>
    <row r="2576" spans="1:15" x14ac:dyDescent="0.3">
      <c r="A2576" t="s">
        <v>3937</v>
      </c>
      <c r="B2576" t="s">
        <v>4184</v>
      </c>
      <c r="C2576">
        <v>2024</v>
      </c>
      <c r="D2576" t="s">
        <v>300</v>
      </c>
      <c r="E2576" t="s">
        <v>3988</v>
      </c>
      <c r="F2576">
        <v>1091</v>
      </c>
      <c r="G2576" t="s">
        <v>302</v>
      </c>
      <c r="H2576">
        <v>196</v>
      </c>
      <c r="I2576" t="s">
        <v>4234</v>
      </c>
      <c r="J2576" t="s">
        <v>294</v>
      </c>
      <c r="M2576" t="s">
        <v>295</v>
      </c>
      <c r="N2576" t="s">
        <v>296</v>
      </c>
      <c r="O2576" t="s">
        <v>297</v>
      </c>
    </row>
    <row r="2577" spans="1:15" x14ac:dyDescent="0.3">
      <c r="A2577" t="s">
        <v>3937</v>
      </c>
      <c r="B2577" t="s">
        <v>4184</v>
      </c>
      <c r="C2577">
        <v>2024</v>
      </c>
      <c r="D2577" t="s">
        <v>300</v>
      </c>
      <c r="E2577" t="s">
        <v>3984</v>
      </c>
      <c r="F2577">
        <v>723</v>
      </c>
      <c r="G2577" t="s">
        <v>302</v>
      </c>
      <c r="H2577">
        <v>196</v>
      </c>
      <c r="I2577" t="s">
        <v>4235</v>
      </c>
      <c r="J2577" t="s">
        <v>294</v>
      </c>
      <c r="M2577" t="s">
        <v>295</v>
      </c>
      <c r="N2577" t="s">
        <v>296</v>
      </c>
      <c r="O2577" t="s">
        <v>297</v>
      </c>
    </row>
    <row r="2578" spans="1:15" x14ac:dyDescent="0.3">
      <c r="A2578" t="s">
        <v>3937</v>
      </c>
      <c r="B2578" t="s">
        <v>4184</v>
      </c>
      <c r="C2578">
        <v>2024</v>
      </c>
      <c r="D2578" t="s">
        <v>300</v>
      </c>
      <c r="E2578" t="s">
        <v>2900</v>
      </c>
      <c r="F2578">
        <v>0</v>
      </c>
      <c r="G2578" t="s">
        <v>302</v>
      </c>
      <c r="H2578">
        <v>196</v>
      </c>
      <c r="I2578" t="s">
        <v>4236</v>
      </c>
      <c r="J2578" t="s">
        <v>294</v>
      </c>
      <c r="M2578" t="s">
        <v>295</v>
      </c>
      <c r="N2578" t="s">
        <v>296</v>
      </c>
      <c r="O2578" t="s">
        <v>297</v>
      </c>
    </row>
    <row r="2579" spans="1:15" x14ac:dyDescent="0.3">
      <c r="A2579" t="s">
        <v>3937</v>
      </c>
      <c r="B2579" t="s">
        <v>4184</v>
      </c>
      <c r="C2579">
        <v>2024</v>
      </c>
      <c r="D2579" t="s">
        <v>300</v>
      </c>
      <c r="E2579" t="s">
        <v>601</v>
      </c>
      <c r="F2579">
        <v>-179</v>
      </c>
      <c r="G2579" t="s">
        <v>302</v>
      </c>
      <c r="H2579">
        <v>91</v>
      </c>
      <c r="I2579" t="s">
        <v>4237</v>
      </c>
      <c r="J2579" t="s">
        <v>294</v>
      </c>
      <c r="M2579" t="s">
        <v>295</v>
      </c>
      <c r="N2579" t="s">
        <v>296</v>
      </c>
      <c r="O2579" t="s">
        <v>297</v>
      </c>
    </row>
    <row r="2580" spans="1:15" x14ac:dyDescent="0.3">
      <c r="A2580" t="s">
        <v>3937</v>
      </c>
      <c r="B2580" t="s">
        <v>4184</v>
      </c>
      <c r="C2580">
        <v>2024</v>
      </c>
      <c r="D2580" t="s">
        <v>300</v>
      </c>
      <c r="E2580" t="s">
        <v>603</v>
      </c>
      <c r="F2580">
        <v>-119</v>
      </c>
      <c r="G2580" t="s">
        <v>302</v>
      </c>
      <c r="H2580">
        <v>91</v>
      </c>
      <c r="I2580" t="s">
        <v>4238</v>
      </c>
      <c r="J2580" t="s">
        <v>294</v>
      </c>
      <c r="M2580" t="s">
        <v>295</v>
      </c>
      <c r="N2580" t="s">
        <v>296</v>
      </c>
      <c r="O2580" t="s">
        <v>297</v>
      </c>
    </row>
    <row r="2581" spans="1:15" x14ac:dyDescent="0.3">
      <c r="A2581" t="s">
        <v>3937</v>
      </c>
      <c r="B2581" t="s">
        <v>4184</v>
      </c>
      <c r="C2581">
        <v>2024</v>
      </c>
      <c r="D2581" t="s">
        <v>300</v>
      </c>
      <c r="E2581" t="s">
        <v>716</v>
      </c>
      <c r="F2581">
        <v>297</v>
      </c>
      <c r="G2581" t="s">
        <v>302</v>
      </c>
      <c r="H2581">
        <v>91</v>
      </c>
      <c r="I2581" t="s">
        <v>4239</v>
      </c>
      <c r="J2581" t="s">
        <v>294</v>
      </c>
      <c r="M2581" t="s">
        <v>295</v>
      </c>
      <c r="N2581" t="s">
        <v>296</v>
      </c>
      <c r="O2581" t="s">
        <v>297</v>
      </c>
    </row>
    <row r="2582" spans="1:15" x14ac:dyDescent="0.3">
      <c r="A2582" t="s">
        <v>3937</v>
      </c>
      <c r="B2582" t="s">
        <v>4184</v>
      </c>
      <c r="C2582">
        <v>2024</v>
      </c>
      <c r="D2582" t="s">
        <v>300</v>
      </c>
      <c r="E2582" t="s">
        <v>1386</v>
      </c>
      <c r="F2582">
        <v>87</v>
      </c>
      <c r="G2582" t="s">
        <v>302</v>
      </c>
      <c r="H2582">
        <v>279</v>
      </c>
      <c r="I2582" t="s">
        <v>4240</v>
      </c>
      <c r="J2582" t="s">
        <v>294</v>
      </c>
      <c r="M2582" t="s">
        <v>295</v>
      </c>
      <c r="N2582" t="s">
        <v>296</v>
      </c>
      <c r="O2582" t="s">
        <v>297</v>
      </c>
    </row>
    <row r="2583" spans="1:15" x14ac:dyDescent="0.3">
      <c r="A2583" t="s">
        <v>3937</v>
      </c>
      <c r="B2583" t="s">
        <v>4184</v>
      </c>
      <c r="C2583">
        <v>2024</v>
      </c>
      <c r="D2583" t="s">
        <v>300</v>
      </c>
      <c r="E2583" t="s">
        <v>4001</v>
      </c>
      <c r="F2583">
        <v>108</v>
      </c>
      <c r="G2583" t="s">
        <v>302</v>
      </c>
      <c r="H2583">
        <v>279</v>
      </c>
      <c r="I2583" t="s">
        <v>4241</v>
      </c>
      <c r="J2583" t="s">
        <v>294</v>
      </c>
      <c r="M2583" t="s">
        <v>295</v>
      </c>
      <c r="N2583" t="s">
        <v>296</v>
      </c>
      <c r="O2583" t="s">
        <v>297</v>
      </c>
    </row>
    <row r="2584" spans="1:15" x14ac:dyDescent="0.3">
      <c r="A2584" t="s">
        <v>3937</v>
      </c>
      <c r="B2584" t="s">
        <v>4184</v>
      </c>
      <c r="C2584">
        <v>2024</v>
      </c>
      <c r="D2584" t="s">
        <v>300</v>
      </c>
      <c r="E2584" t="s">
        <v>342</v>
      </c>
      <c r="F2584">
        <v>16233</v>
      </c>
      <c r="G2584" t="s">
        <v>497</v>
      </c>
      <c r="H2584">
        <v>61</v>
      </c>
      <c r="I2584" t="s">
        <v>4242</v>
      </c>
      <c r="J2584" t="s">
        <v>294</v>
      </c>
      <c r="M2584" t="s">
        <v>295</v>
      </c>
      <c r="N2584" t="s">
        <v>296</v>
      </c>
      <c r="O2584" t="s">
        <v>297</v>
      </c>
    </row>
    <row r="2585" spans="1:15" x14ac:dyDescent="0.3">
      <c r="A2585" t="s">
        <v>3937</v>
      </c>
      <c r="B2585" t="s">
        <v>4184</v>
      </c>
      <c r="C2585">
        <v>2024</v>
      </c>
      <c r="D2585" t="s">
        <v>300</v>
      </c>
      <c r="E2585" t="s">
        <v>1048</v>
      </c>
      <c r="F2585">
        <v>110</v>
      </c>
      <c r="G2585" t="s">
        <v>346</v>
      </c>
      <c r="H2585">
        <v>17</v>
      </c>
      <c r="I2585" t="s">
        <v>4243</v>
      </c>
      <c r="J2585" t="s">
        <v>294</v>
      </c>
      <c r="M2585" t="s">
        <v>295</v>
      </c>
      <c r="N2585" t="s">
        <v>296</v>
      </c>
      <c r="O2585" t="s">
        <v>297</v>
      </c>
    </row>
    <row r="2586" spans="1:15" x14ac:dyDescent="0.3">
      <c r="A2586" t="s">
        <v>3937</v>
      </c>
      <c r="B2586" t="s">
        <v>4184</v>
      </c>
      <c r="C2586">
        <v>2024</v>
      </c>
      <c r="D2586" t="s">
        <v>300</v>
      </c>
      <c r="E2586" t="s">
        <v>1050</v>
      </c>
      <c r="F2586">
        <v>1786</v>
      </c>
      <c r="G2586" t="s">
        <v>302</v>
      </c>
      <c r="H2586">
        <v>17</v>
      </c>
      <c r="I2586" t="s">
        <v>4244</v>
      </c>
      <c r="J2586" t="s">
        <v>294</v>
      </c>
      <c r="M2586" t="s">
        <v>295</v>
      </c>
      <c r="N2586" t="s">
        <v>296</v>
      </c>
      <c r="O2586" t="s">
        <v>297</v>
      </c>
    </row>
    <row r="2587" spans="1:15" x14ac:dyDescent="0.3">
      <c r="A2587" t="s">
        <v>3937</v>
      </c>
      <c r="B2587" t="s">
        <v>4184</v>
      </c>
      <c r="C2587">
        <v>2024</v>
      </c>
      <c r="D2587" t="s">
        <v>300</v>
      </c>
      <c r="E2587" t="s">
        <v>326</v>
      </c>
      <c r="F2587">
        <v>1</v>
      </c>
      <c r="G2587" t="s">
        <v>327</v>
      </c>
      <c r="H2587">
        <v>92</v>
      </c>
      <c r="I2587" t="s">
        <v>4245</v>
      </c>
      <c r="J2587" t="s">
        <v>294</v>
      </c>
      <c r="M2587" t="s">
        <v>295</v>
      </c>
      <c r="N2587" t="s">
        <v>296</v>
      </c>
      <c r="O2587" t="s">
        <v>297</v>
      </c>
    </row>
    <row r="2588" spans="1:15" x14ac:dyDescent="0.3">
      <c r="A2588" t="s">
        <v>3937</v>
      </c>
      <c r="B2588" t="s">
        <v>4184</v>
      </c>
      <c r="C2588">
        <v>2024</v>
      </c>
      <c r="D2588" t="s">
        <v>300</v>
      </c>
      <c r="E2588" t="s">
        <v>4008</v>
      </c>
      <c r="F2588">
        <v>1.83</v>
      </c>
      <c r="G2588" t="s">
        <v>327</v>
      </c>
      <c r="H2588">
        <v>92</v>
      </c>
      <c r="I2588" t="s">
        <v>4246</v>
      </c>
      <c r="J2588" t="s">
        <v>294</v>
      </c>
      <c r="M2588" t="s">
        <v>295</v>
      </c>
      <c r="N2588" t="s">
        <v>296</v>
      </c>
      <c r="O2588" t="s">
        <v>297</v>
      </c>
    </row>
    <row r="2589" spans="1:15" x14ac:dyDescent="0.3">
      <c r="A2589" t="s">
        <v>3937</v>
      </c>
      <c r="B2589" t="s">
        <v>4184</v>
      </c>
      <c r="C2589">
        <v>2024</v>
      </c>
      <c r="D2589" t="s">
        <v>300</v>
      </c>
      <c r="E2589" t="s">
        <v>333</v>
      </c>
      <c r="F2589">
        <v>-5.0099999999999999E-2</v>
      </c>
      <c r="G2589" t="s">
        <v>334</v>
      </c>
      <c r="H2589">
        <v>9</v>
      </c>
      <c r="I2589" t="s">
        <v>4247</v>
      </c>
      <c r="J2589" t="s">
        <v>294</v>
      </c>
      <c r="M2589" t="s">
        <v>295</v>
      </c>
      <c r="N2589" t="s">
        <v>296</v>
      </c>
      <c r="O2589" t="s">
        <v>297</v>
      </c>
    </row>
    <row r="2590" spans="1:15" x14ac:dyDescent="0.3">
      <c r="A2590" t="s">
        <v>3937</v>
      </c>
      <c r="B2590" t="s">
        <v>4184</v>
      </c>
      <c r="C2590">
        <v>2024</v>
      </c>
      <c r="D2590" t="s">
        <v>300</v>
      </c>
      <c r="E2590" t="s">
        <v>336</v>
      </c>
      <c r="F2590">
        <v>-0.14180000000000001</v>
      </c>
      <c r="G2590" t="s">
        <v>334</v>
      </c>
      <c r="H2590">
        <v>9</v>
      </c>
      <c r="I2590" t="s">
        <v>4248</v>
      </c>
      <c r="J2590" t="s">
        <v>294</v>
      </c>
      <c r="M2590" t="s">
        <v>295</v>
      </c>
      <c r="N2590" t="s">
        <v>296</v>
      </c>
      <c r="O2590" t="s">
        <v>297</v>
      </c>
    </row>
    <row r="2591" spans="1:15" x14ac:dyDescent="0.3">
      <c r="A2591" t="s">
        <v>3937</v>
      </c>
      <c r="B2591" t="s">
        <v>4184</v>
      </c>
      <c r="C2591">
        <v>2024</v>
      </c>
      <c r="D2591" t="s">
        <v>300</v>
      </c>
      <c r="E2591" t="s">
        <v>340</v>
      </c>
      <c r="F2591">
        <v>0.10299999999999999</v>
      </c>
      <c r="G2591" t="s">
        <v>334</v>
      </c>
      <c r="H2591">
        <v>9</v>
      </c>
      <c r="I2591" t="s">
        <v>4249</v>
      </c>
      <c r="J2591" t="s">
        <v>294</v>
      </c>
      <c r="M2591" t="s">
        <v>295</v>
      </c>
      <c r="N2591" t="s">
        <v>296</v>
      </c>
      <c r="O2591" t="s">
        <v>297</v>
      </c>
    </row>
    <row r="2592" spans="1:15" x14ac:dyDescent="0.3">
      <c r="A2592" t="s">
        <v>3937</v>
      </c>
      <c r="B2592" t="s">
        <v>4184</v>
      </c>
      <c r="C2592">
        <v>2024</v>
      </c>
      <c r="D2592" t="s">
        <v>358</v>
      </c>
      <c r="E2592" t="s">
        <v>504</v>
      </c>
      <c r="F2592">
        <v>43987</v>
      </c>
      <c r="G2592" t="s">
        <v>360</v>
      </c>
      <c r="H2592">
        <v>16</v>
      </c>
      <c r="I2592" t="s">
        <v>4250</v>
      </c>
      <c r="J2592" t="s">
        <v>294</v>
      </c>
      <c r="M2592" t="s">
        <v>295</v>
      </c>
      <c r="N2592" t="s">
        <v>296</v>
      </c>
      <c r="O2592" t="s">
        <v>297</v>
      </c>
    </row>
    <row r="2593" spans="1:15" x14ac:dyDescent="0.3">
      <c r="A2593" t="s">
        <v>3937</v>
      </c>
      <c r="B2593" t="s">
        <v>4184</v>
      </c>
      <c r="C2593">
        <v>2024</v>
      </c>
      <c r="D2593" t="s">
        <v>358</v>
      </c>
      <c r="E2593" t="s">
        <v>1058</v>
      </c>
      <c r="F2593">
        <v>37475</v>
      </c>
      <c r="G2593" t="s">
        <v>360</v>
      </c>
      <c r="H2593">
        <v>16</v>
      </c>
      <c r="I2593" t="s">
        <v>4251</v>
      </c>
      <c r="J2593" t="s">
        <v>294</v>
      </c>
      <c r="M2593" t="s">
        <v>295</v>
      </c>
      <c r="N2593" t="s">
        <v>296</v>
      </c>
      <c r="O2593" t="s">
        <v>297</v>
      </c>
    </row>
    <row r="2594" spans="1:15" x14ac:dyDescent="0.3">
      <c r="A2594" t="s">
        <v>3937</v>
      </c>
      <c r="B2594" t="s">
        <v>4184</v>
      </c>
      <c r="C2594">
        <v>2024</v>
      </c>
      <c r="D2594" t="s">
        <v>358</v>
      </c>
      <c r="E2594" t="s">
        <v>364</v>
      </c>
      <c r="F2594">
        <v>6512</v>
      </c>
      <c r="G2594" t="s">
        <v>360</v>
      </c>
      <c r="H2594">
        <v>16</v>
      </c>
      <c r="I2594" t="s">
        <v>4144</v>
      </c>
      <c r="J2594" t="s">
        <v>294</v>
      </c>
      <c r="M2594" t="s">
        <v>295</v>
      </c>
      <c r="N2594" t="s">
        <v>296</v>
      </c>
      <c r="O2594" t="s">
        <v>297</v>
      </c>
    </row>
    <row r="2595" spans="1:15" x14ac:dyDescent="0.3">
      <c r="A2595" t="s">
        <v>3937</v>
      </c>
      <c r="B2595" t="s">
        <v>4184</v>
      </c>
      <c r="C2595">
        <v>2024</v>
      </c>
      <c r="D2595" t="s">
        <v>358</v>
      </c>
      <c r="E2595" t="s">
        <v>4016</v>
      </c>
      <c r="F2595">
        <v>31699</v>
      </c>
      <c r="G2595" t="s">
        <v>360</v>
      </c>
      <c r="H2595">
        <v>16</v>
      </c>
      <c r="I2595" t="s">
        <v>4252</v>
      </c>
      <c r="J2595" t="s">
        <v>294</v>
      </c>
      <c r="M2595" t="s">
        <v>295</v>
      </c>
      <c r="N2595" t="s">
        <v>296</v>
      </c>
      <c r="O2595" t="s">
        <v>297</v>
      </c>
    </row>
    <row r="2596" spans="1:15" x14ac:dyDescent="0.3">
      <c r="A2596" t="s">
        <v>3937</v>
      </c>
      <c r="B2596" t="s">
        <v>4184</v>
      </c>
      <c r="C2596">
        <v>2024</v>
      </c>
      <c r="D2596" t="s">
        <v>358</v>
      </c>
      <c r="E2596" t="s">
        <v>4018</v>
      </c>
      <c r="F2596">
        <v>12288</v>
      </c>
      <c r="G2596" t="s">
        <v>360</v>
      </c>
      <c r="H2596">
        <v>16</v>
      </c>
      <c r="I2596" t="s">
        <v>4253</v>
      </c>
      <c r="J2596" t="s">
        <v>294</v>
      </c>
      <c r="M2596" t="s">
        <v>295</v>
      </c>
      <c r="N2596" t="s">
        <v>296</v>
      </c>
      <c r="O2596" t="s">
        <v>297</v>
      </c>
    </row>
    <row r="2597" spans="1:15" x14ac:dyDescent="0.3">
      <c r="A2597" t="s">
        <v>3937</v>
      </c>
      <c r="B2597" t="s">
        <v>4184</v>
      </c>
      <c r="C2597">
        <v>2024</v>
      </c>
      <c r="D2597" t="s">
        <v>358</v>
      </c>
      <c r="E2597" t="s">
        <v>4147</v>
      </c>
      <c r="F2597">
        <v>27647</v>
      </c>
      <c r="G2597" t="s">
        <v>360</v>
      </c>
      <c r="H2597">
        <v>16</v>
      </c>
      <c r="I2597" t="s">
        <v>4254</v>
      </c>
      <c r="J2597" t="s">
        <v>294</v>
      </c>
      <c r="M2597" t="s">
        <v>295</v>
      </c>
      <c r="N2597" t="s">
        <v>296</v>
      </c>
      <c r="O2597" t="s">
        <v>297</v>
      </c>
    </row>
    <row r="2598" spans="1:15" x14ac:dyDescent="0.3">
      <c r="A2598" t="s">
        <v>3937</v>
      </c>
      <c r="B2598" t="s">
        <v>4184</v>
      </c>
      <c r="C2598">
        <v>2024</v>
      </c>
      <c r="D2598" t="s">
        <v>358</v>
      </c>
      <c r="E2598" t="s">
        <v>4255</v>
      </c>
      <c r="F2598">
        <v>4052</v>
      </c>
      <c r="G2598" t="s">
        <v>360</v>
      </c>
      <c r="H2598">
        <v>16</v>
      </c>
      <c r="I2598" t="s">
        <v>4256</v>
      </c>
      <c r="J2598" t="s">
        <v>294</v>
      </c>
      <c r="M2598" t="s">
        <v>295</v>
      </c>
      <c r="N2598" t="s">
        <v>296</v>
      </c>
      <c r="O2598" t="s">
        <v>297</v>
      </c>
    </row>
    <row r="2599" spans="1:15" x14ac:dyDescent="0.3">
      <c r="A2599" t="s">
        <v>3937</v>
      </c>
      <c r="B2599" t="s">
        <v>4184</v>
      </c>
      <c r="C2599">
        <v>2024</v>
      </c>
      <c r="D2599" t="s">
        <v>358</v>
      </c>
      <c r="E2599" t="s">
        <v>4257</v>
      </c>
      <c r="F2599">
        <v>29723</v>
      </c>
      <c r="G2599" t="s">
        <v>360</v>
      </c>
      <c r="H2599">
        <v>50</v>
      </c>
      <c r="I2599" t="s">
        <v>4258</v>
      </c>
      <c r="J2599" t="s">
        <v>294</v>
      </c>
      <c r="M2599" t="s">
        <v>295</v>
      </c>
      <c r="N2599" t="s">
        <v>296</v>
      </c>
      <c r="O2599" t="s">
        <v>297</v>
      </c>
    </row>
    <row r="2600" spans="1:15" x14ac:dyDescent="0.3">
      <c r="A2600" t="s">
        <v>3937</v>
      </c>
      <c r="B2600" t="s">
        <v>4184</v>
      </c>
      <c r="C2600">
        <v>2024</v>
      </c>
      <c r="D2600" t="s">
        <v>358</v>
      </c>
      <c r="E2600" t="s">
        <v>4259</v>
      </c>
      <c r="F2600">
        <v>27918</v>
      </c>
      <c r="G2600" t="s">
        <v>360</v>
      </c>
      <c r="H2600">
        <v>50</v>
      </c>
      <c r="I2600" t="s">
        <v>4260</v>
      </c>
      <c r="J2600" t="s">
        <v>294</v>
      </c>
      <c r="M2600" t="s">
        <v>295</v>
      </c>
      <c r="N2600" t="s">
        <v>296</v>
      </c>
      <c r="O2600" t="s">
        <v>297</v>
      </c>
    </row>
    <row r="2601" spans="1:15" x14ac:dyDescent="0.3">
      <c r="A2601" t="s">
        <v>3937</v>
      </c>
      <c r="B2601" t="s">
        <v>4184</v>
      </c>
      <c r="C2601">
        <v>2024</v>
      </c>
      <c r="D2601" t="s">
        <v>358</v>
      </c>
      <c r="E2601" t="s">
        <v>4023</v>
      </c>
      <c r="F2601">
        <v>21407</v>
      </c>
      <c r="G2601" t="s">
        <v>360</v>
      </c>
      <c r="H2601">
        <v>50</v>
      </c>
      <c r="I2601" t="s">
        <v>4261</v>
      </c>
      <c r="J2601" t="s">
        <v>294</v>
      </c>
      <c r="M2601" t="s">
        <v>295</v>
      </c>
      <c r="N2601" t="s">
        <v>296</v>
      </c>
      <c r="O2601" t="s">
        <v>297</v>
      </c>
    </row>
    <row r="2602" spans="1:15" x14ac:dyDescent="0.3">
      <c r="A2602" t="s">
        <v>3937</v>
      </c>
      <c r="B2602" t="s">
        <v>4184</v>
      </c>
      <c r="C2602">
        <v>2024</v>
      </c>
      <c r="D2602" t="s">
        <v>358</v>
      </c>
      <c r="E2602" t="s">
        <v>4025</v>
      </c>
      <c r="F2602">
        <v>39334</v>
      </c>
      <c r="G2602" t="s">
        <v>360</v>
      </c>
      <c r="H2602">
        <v>50</v>
      </c>
      <c r="I2602" t="s">
        <v>4262</v>
      </c>
      <c r="J2602" t="s">
        <v>294</v>
      </c>
      <c r="M2602" t="s">
        <v>295</v>
      </c>
      <c r="N2602" t="s">
        <v>296</v>
      </c>
      <c r="O2602" t="s">
        <v>297</v>
      </c>
    </row>
    <row r="2603" spans="1:15" x14ac:dyDescent="0.3">
      <c r="A2603" t="s">
        <v>3937</v>
      </c>
      <c r="B2603" t="s">
        <v>4184</v>
      </c>
      <c r="C2603">
        <v>2024</v>
      </c>
      <c r="D2603" t="s">
        <v>358</v>
      </c>
      <c r="E2603" t="s">
        <v>4263</v>
      </c>
      <c r="F2603">
        <v>15130</v>
      </c>
      <c r="G2603" t="s">
        <v>360</v>
      </c>
      <c r="H2603">
        <v>50</v>
      </c>
      <c r="I2603" t="s">
        <v>4264</v>
      </c>
      <c r="J2603" t="s">
        <v>294</v>
      </c>
      <c r="M2603" t="s">
        <v>295</v>
      </c>
      <c r="N2603" t="s">
        <v>296</v>
      </c>
      <c r="O2603" t="s">
        <v>297</v>
      </c>
    </row>
    <row r="2604" spans="1:15" x14ac:dyDescent="0.3">
      <c r="A2604" t="s">
        <v>3937</v>
      </c>
      <c r="B2604" t="s">
        <v>4184</v>
      </c>
      <c r="C2604">
        <v>2024</v>
      </c>
      <c r="D2604" t="s">
        <v>358</v>
      </c>
      <c r="E2604" t="s">
        <v>4265</v>
      </c>
      <c r="F2604">
        <v>10276</v>
      </c>
      <c r="G2604" t="s">
        <v>360</v>
      </c>
      <c r="H2604">
        <v>50</v>
      </c>
      <c r="I2604" t="s">
        <v>4266</v>
      </c>
      <c r="J2604" t="s">
        <v>294</v>
      </c>
      <c r="M2604" t="s">
        <v>295</v>
      </c>
      <c r="N2604" t="s">
        <v>296</v>
      </c>
      <c r="O2604" t="s">
        <v>297</v>
      </c>
    </row>
    <row r="2605" spans="1:15" x14ac:dyDescent="0.3">
      <c r="A2605" t="s">
        <v>3937</v>
      </c>
      <c r="B2605" t="s">
        <v>4184</v>
      </c>
      <c r="C2605">
        <v>2024</v>
      </c>
      <c r="D2605" t="s">
        <v>358</v>
      </c>
      <c r="E2605" t="s">
        <v>4267</v>
      </c>
      <c r="F2605">
        <v>4854</v>
      </c>
      <c r="G2605" t="s">
        <v>360</v>
      </c>
      <c r="H2605">
        <v>50</v>
      </c>
      <c r="I2605" t="s">
        <v>4268</v>
      </c>
      <c r="J2605" t="s">
        <v>294</v>
      </c>
      <c r="M2605" t="s">
        <v>295</v>
      </c>
      <c r="N2605" t="s">
        <v>296</v>
      </c>
      <c r="O2605" t="s">
        <v>297</v>
      </c>
    </row>
    <row r="2606" spans="1:15" x14ac:dyDescent="0.3">
      <c r="A2606" t="s">
        <v>3937</v>
      </c>
      <c r="B2606" t="s">
        <v>4184</v>
      </c>
      <c r="C2606">
        <v>2024</v>
      </c>
      <c r="D2606" t="s">
        <v>358</v>
      </c>
      <c r="E2606" t="s">
        <v>4269</v>
      </c>
      <c r="F2606">
        <v>535</v>
      </c>
      <c r="G2606" t="s">
        <v>360</v>
      </c>
      <c r="H2606">
        <v>50</v>
      </c>
      <c r="I2606" t="s">
        <v>4270</v>
      </c>
      <c r="J2606" t="s">
        <v>294</v>
      </c>
      <c r="M2606" t="s">
        <v>295</v>
      </c>
      <c r="N2606" t="s">
        <v>296</v>
      </c>
      <c r="O2606" t="s">
        <v>297</v>
      </c>
    </row>
    <row r="2607" spans="1:15" x14ac:dyDescent="0.3">
      <c r="A2607" t="s">
        <v>3937</v>
      </c>
      <c r="B2607" t="s">
        <v>4184</v>
      </c>
      <c r="C2607">
        <v>2024</v>
      </c>
      <c r="D2607" t="s">
        <v>358</v>
      </c>
      <c r="E2607" t="s">
        <v>4271</v>
      </c>
      <c r="F2607">
        <v>504</v>
      </c>
      <c r="G2607" t="s">
        <v>360</v>
      </c>
      <c r="H2607">
        <v>50</v>
      </c>
      <c r="I2607" t="s">
        <v>4272</v>
      </c>
      <c r="J2607" t="s">
        <v>294</v>
      </c>
      <c r="M2607" t="s">
        <v>295</v>
      </c>
      <c r="N2607" t="s">
        <v>296</v>
      </c>
      <c r="O2607" t="s">
        <v>297</v>
      </c>
    </row>
    <row r="2608" spans="1:15" x14ac:dyDescent="0.3">
      <c r="A2608" t="s">
        <v>3937</v>
      </c>
      <c r="B2608" t="s">
        <v>4184</v>
      </c>
      <c r="C2608">
        <v>2024</v>
      </c>
      <c r="D2608" t="s">
        <v>358</v>
      </c>
      <c r="E2608" t="s">
        <v>523</v>
      </c>
      <c r="F2608">
        <v>2</v>
      </c>
      <c r="G2608" t="s">
        <v>384</v>
      </c>
      <c r="H2608">
        <v>81</v>
      </c>
      <c r="I2608" t="s">
        <v>4273</v>
      </c>
      <c r="J2608" t="s">
        <v>294</v>
      </c>
      <c r="M2608" t="s">
        <v>295</v>
      </c>
      <c r="N2608" t="s">
        <v>296</v>
      </c>
      <c r="O2608" t="s">
        <v>297</v>
      </c>
    </row>
    <row r="2609" spans="1:15" x14ac:dyDescent="0.3">
      <c r="A2609" t="s">
        <v>3937</v>
      </c>
      <c r="B2609" t="s">
        <v>4184</v>
      </c>
      <c r="C2609">
        <v>2024</v>
      </c>
      <c r="D2609" t="s">
        <v>358</v>
      </c>
      <c r="E2609" t="s">
        <v>4032</v>
      </c>
      <c r="F2609">
        <v>513000</v>
      </c>
      <c r="G2609" t="s">
        <v>4033</v>
      </c>
      <c r="H2609">
        <v>81</v>
      </c>
      <c r="I2609" t="s">
        <v>4274</v>
      </c>
      <c r="J2609" t="s">
        <v>294</v>
      </c>
      <c r="M2609" t="s">
        <v>295</v>
      </c>
      <c r="N2609" t="s">
        <v>296</v>
      </c>
      <c r="O2609" t="s">
        <v>297</v>
      </c>
    </row>
    <row r="2610" spans="1:15" x14ac:dyDescent="0.3">
      <c r="A2610" t="s">
        <v>3937</v>
      </c>
      <c r="B2610" t="s">
        <v>4184</v>
      </c>
      <c r="C2610">
        <v>2024</v>
      </c>
      <c r="D2610" t="s">
        <v>358</v>
      </c>
      <c r="E2610" t="s">
        <v>4035</v>
      </c>
      <c r="F2610">
        <v>226797</v>
      </c>
      <c r="G2610" t="s">
        <v>396</v>
      </c>
      <c r="H2610">
        <v>81</v>
      </c>
      <c r="I2610" t="s">
        <v>4275</v>
      </c>
      <c r="J2610" t="s">
        <v>294</v>
      </c>
      <c r="M2610" t="s">
        <v>295</v>
      </c>
      <c r="N2610" t="s">
        <v>296</v>
      </c>
      <c r="O2610" t="s">
        <v>297</v>
      </c>
    </row>
    <row r="2611" spans="1:15" x14ac:dyDescent="0.3">
      <c r="A2611" t="s">
        <v>3937</v>
      </c>
      <c r="B2611" t="s">
        <v>4184</v>
      </c>
      <c r="C2611">
        <v>2024</v>
      </c>
      <c r="D2611" t="s">
        <v>358</v>
      </c>
      <c r="E2611" t="s">
        <v>4276</v>
      </c>
      <c r="F2611">
        <v>9</v>
      </c>
      <c r="G2611" t="s">
        <v>384</v>
      </c>
      <c r="H2611">
        <v>83</v>
      </c>
      <c r="I2611" t="s">
        <v>4277</v>
      </c>
      <c r="J2611" t="s">
        <v>294</v>
      </c>
      <c r="M2611" t="s">
        <v>295</v>
      </c>
      <c r="N2611" t="s">
        <v>296</v>
      </c>
      <c r="O2611" t="s">
        <v>297</v>
      </c>
    </row>
    <row r="2612" spans="1:15" x14ac:dyDescent="0.3">
      <c r="A2612" t="s">
        <v>3937</v>
      </c>
      <c r="B2612" t="s">
        <v>4184</v>
      </c>
      <c r="C2612">
        <v>2024</v>
      </c>
      <c r="D2612" t="s">
        <v>358</v>
      </c>
      <c r="E2612" t="s">
        <v>4037</v>
      </c>
      <c r="F2612">
        <v>5487</v>
      </c>
      <c r="G2612" t="s">
        <v>4033</v>
      </c>
      <c r="H2612">
        <v>83</v>
      </c>
      <c r="I2612" t="s">
        <v>4278</v>
      </c>
      <c r="J2612" t="s">
        <v>294</v>
      </c>
      <c r="M2612" t="s">
        <v>295</v>
      </c>
      <c r="N2612" t="s">
        <v>296</v>
      </c>
      <c r="O2612" t="s">
        <v>297</v>
      </c>
    </row>
    <row r="2613" spans="1:15" x14ac:dyDescent="0.3">
      <c r="A2613" t="s">
        <v>3937</v>
      </c>
      <c r="B2613" t="s">
        <v>4184</v>
      </c>
      <c r="C2613">
        <v>2024</v>
      </c>
      <c r="D2613" t="s">
        <v>358</v>
      </c>
      <c r="E2613" t="s">
        <v>4279</v>
      </c>
      <c r="F2613">
        <v>3</v>
      </c>
      <c r="G2613" t="s">
        <v>384</v>
      </c>
      <c r="H2613">
        <v>84</v>
      </c>
      <c r="I2613" t="s">
        <v>4280</v>
      </c>
      <c r="J2613" t="s">
        <v>294</v>
      </c>
      <c r="M2613" t="s">
        <v>295</v>
      </c>
      <c r="N2613" t="s">
        <v>296</v>
      </c>
      <c r="O2613" t="s">
        <v>297</v>
      </c>
    </row>
    <row r="2614" spans="1:15" x14ac:dyDescent="0.3">
      <c r="A2614" t="s">
        <v>3937</v>
      </c>
      <c r="B2614" t="s">
        <v>4184</v>
      </c>
      <c r="C2614">
        <v>2024</v>
      </c>
      <c r="D2614" t="s">
        <v>358</v>
      </c>
      <c r="E2614" t="s">
        <v>4039</v>
      </c>
      <c r="F2614">
        <v>26040</v>
      </c>
      <c r="G2614" t="s">
        <v>4033</v>
      </c>
      <c r="H2614">
        <v>84</v>
      </c>
      <c r="I2614" t="s">
        <v>4281</v>
      </c>
      <c r="J2614" t="s">
        <v>294</v>
      </c>
      <c r="M2614" t="s">
        <v>295</v>
      </c>
      <c r="N2614" t="s">
        <v>296</v>
      </c>
      <c r="O2614" t="s">
        <v>297</v>
      </c>
    </row>
    <row r="2615" spans="1:15" x14ac:dyDescent="0.3">
      <c r="A2615" t="s">
        <v>3937</v>
      </c>
      <c r="B2615" t="s">
        <v>4184</v>
      </c>
      <c r="C2615">
        <v>2024</v>
      </c>
      <c r="D2615" t="s">
        <v>358</v>
      </c>
      <c r="E2615" t="s">
        <v>4282</v>
      </c>
      <c r="F2615">
        <v>1</v>
      </c>
      <c r="G2615" t="s">
        <v>384</v>
      </c>
      <c r="H2615">
        <v>85</v>
      </c>
      <c r="I2615" t="s">
        <v>4283</v>
      </c>
      <c r="J2615" t="s">
        <v>294</v>
      </c>
      <c r="M2615" t="s">
        <v>295</v>
      </c>
      <c r="N2615" t="s">
        <v>296</v>
      </c>
      <c r="O2615" t="s">
        <v>297</v>
      </c>
    </row>
    <row r="2616" spans="1:15" x14ac:dyDescent="0.3">
      <c r="A2616" t="s">
        <v>3937</v>
      </c>
      <c r="B2616" t="s">
        <v>4184</v>
      </c>
      <c r="C2616">
        <v>2024</v>
      </c>
      <c r="D2616" t="s">
        <v>358</v>
      </c>
      <c r="E2616" t="s">
        <v>4284</v>
      </c>
      <c r="F2616">
        <v>400</v>
      </c>
      <c r="G2616" t="s">
        <v>4033</v>
      </c>
      <c r="H2616">
        <v>47</v>
      </c>
      <c r="I2616" t="s">
        <v>4285</v>
      </c>
      <c r="J2616" t="s">
        <v>294</v>
      </c>
      <c r="M2616" t="s">
        <v>295</v>
      </c>
      <c r="N2616" t="s">
        <v>296</v>
      </c>
      <c r="O2616" t="s">
        <v>297</v>
      </c>
    </row>
    <row r="2617" spans="1:15" x14ac:dyDescent="0.3">
      <c r="A2617" t="s">
        <v>3937</v>
      </c>
      <c r="B2617" t="s">
        <v>4184</v>
      </c>
      <c r="C2617">
        <v>2024</v>
      </c>
      <c r="D2617" t="s">
        <v>394</v>
      </c>
      <c r="E2617" t="s">
        <v>4041</v>
      </c>
      <c r="F2617">
        <v>105499</v>
      </c>
      <c r="G2617" t="s">
        <v>396</v>
      </c>
      <c r="H2617">
        <v>11</v>
      </c>
      <c r="I2617" t="s">
        <v>4286</v>
      </c>
      <c r="J2617" t="s">
        <v>294</v>
      </c>
      <c r="M2617" t="s">
        <v>295</v>
      </c>
      <c r="N2617" t="s">
        <v>296</v>
      </c>
      <c r="O2617" t="s">
        <v>297</v>
      </c>
    </row>
    <row r="2618" spans="1:15" x14ac:dyDescent="0.3">
      <c r="A2618" t="s">
        <v>3937</v>
      </c>
      <c r="B2618" t="s">
        <v>4184</v>
      </c>
      <c r="C2618">
        <v>2024</v>
      </c>
      <c r="D2618" t="s">
        <v>394</v>
      </c>
      <c r="E2618" t="s">
        <v>406</v>
      </c>
      <c r="F2618">
        <v>44955</v>
      </c>
      <c r="G2618" t="s">
        <v>396</v>
      </c>
      <c r="H2618">
        <v>11</v>
      </c>
      <c r="I2618" t="s">
        <v>4287</v>
      </c>
      <c r="J2618" t="s">
        <v>294</v>
      </c>
      <c r="M2618" t="s">
        <v>295</v>
      </c>
      <c r="N2618" t="s">
        <v>296</v>
      </c>
      <c r="O2618" t="s">
        <v>297</v>
      </c>
    </row>
    <row r="2619" spans="1:15" x14ac:dyDescent="0.3">
      <c r="A2619" t="s">
        <v>3937</v>
      </c>
      <c r="B2619" t="s">
        <v>4184</v>
      </c>
      <c r="C2619">
        <v>2024</v>
      </c>
      <c r="D2619" t="s">
        <v>394</v>
      </c>
      <c r="E2619" t="s">
        <v>416</v>
      </c>
      <c r="F2619">
        <v>7888</v>
      </c>
      <c r="G2619" t="s">
        <v>396</v>
      </c>
      <c r="H2619">
        <v>11</v>
      </c>
      <c r="I2619" t="s">
        <v>4288</v>
      </c>
      <c r="J2619" t="s">
        <v>294</v>
      </c>
      <c r="M2619" t="s">
        <v>295</v>
      </c>
      <c r="N2619" t="s">
        <v>296</v>
      </c>
      <c r="O2619" t="s">
        <v>297</v>
      </c>
    </row>
    <row r="2620" spans="1:15" x14ac:dyDescent="0.3">
      <c r="A2620" t="s">
        <v>3937</v>
      </c>
      <c r="B2620" t="s">
        <v>4184</v>
      </c>
      <c r="C2620">
        <v>2024</v>
      </c>
      <c r="D2620" t="s">
        <v>394</v>
      </c>
      <c r="E2620" t="s">
        <v>4045</v>
      </c>
      <c r="F2620">
        <v>5931</v>
      </c>
      <c r="G2620" t="s">
        <v>396</v>
      </c>
      <c r="H2620">
        <v>11</v>
      </c>
      <c r="I2620" t="s">
        <v>4289</v>
      </c>
      <c r="J2620" t="s">
        <v>294</v>
      </c>
      <c r="M2620" t="s">
        <v>295</v>
      </c>
      <c r="N2620" t="s">
        <v>296</v>
      </c>
      <c r="O2620" t="s">
        <v>297</v>
      </c>
    </row>
    <row r="2621" spans="1:15" x14ac:dyDescent="0.3">
      <c r="A2621" t="s">
        <v>3937</v>
      </c>
      <c r="B2621" t="s">
        <v>4184</v>
      </c>
      <c r="C2621">
        <v>2024</v>
      </c>
      <c r="D2621" t="s">
        <v>394</v>
      </c>
      <c r="E2621" t="s">
        <v>4047</v>
      </c>
      <c r="F2621">
        <v>10071</v>
      </c>
      <c r="G2621" t="s">
        <v>396</v>
      </c>
      <c r="H2621">
        <v>11</v>
      </c>
      <c r="I2621" t="s">
        <v>4290</v>
      </c>
      <c r="J2621" t="s">
        <v>294</v>
      </c>
      <c r="M2621" t="s">
        <v>295</v>
      </c>
      <c r="N2621" t="s">
        <v>296</v>
      </c>
      <c r="O2621" t="s">
        <v>297</v>
      </c>
    </row>
    <row r="2622" spans="1:15" x14ac:dyDescent="0.3">
      <c r="A2622" t="s">
        <v>3937</v>
      </c>
      <c r="B2622" t="s">
        <v>4184</v>
      </c>
      <c r="C2622">
        <v>2024</v>
      </c>
      <c r="D2622" t="s">
        <v>394</v>
      </c>
      <c r="E2622" t="s">
        <v>4049</v>
      </c>
      <c r="F2622">
        <v>26</v>
      </c>
      <c r="G2622" t="s">
        <v>396</v>
      </c>
      <c r="H2622">
        <v>11</v>
      </c>
      <c r="I2622" t="s">
        <v>4291</v>
      </c>
      <c r="J2622" t="s">
        <v>294</v>
      </c>
      <c r="M2622" t="s">
        <v>295</v>
      </c>
      <c r="N2622" t="s">
        <v>296</v>
      </c>
      <c r="O2622" t="s">
        <v>297</v>
      </c>
    </row>
    <row r="2623" spans="1:15" x14ac:dyDescent="0.3">
      <c r="A2623" t="s">
        <v>3937</v>
      </c>
      <c r="B2623" t="s">
        <v>4184</v>
      </c>
      <c r="C2623">
        <v>2024</v>
      </c>
      <c r="D2623" t="s">
        <v>394</v>
      </c>
      <c r="E2623" t="s">
        <v>4051</v>
      </c>
      <c r="F2623">
        <v>2412</v>
      </c>
      <c r="G2623" t="s">
        <v>396</v>
      </c>
      <c r="H2623">
        <v>11</v>
      </c>
      <c r="I2623" t="s">
        <v>4292</v>
      </c>
      <c r="J2623" t="s">
        <v>294</v>
      </c>
      <c r="M2623" t="s">
        <v>295</v>
      </c>
      <c r="N2623" t="s">
        <v>296</v>
      </c>
      <c r="O2623" t="s">
        <v>297</v>
      </c>
    </row>
    <row r="2624" spans="1:15" x14ac:dyDescent="0.3">
      <c r="A2624" t="s">
        <v>3937</v>
      </c>
      <c r="B2624" t="s">
        <v>4184</v>
      </c>
      <c r="C2624">
        <v>2024</v>
      </c>
      <c r="D2624" t="s">
        <v>394</v>
      </c>
      <c r="E2624" t="s">
        <v>422</v>
      </c>
      <c r="F2624">
        <v>6.62</v>
      </c>
      <c r="G2624" t="s">
        <v>423</v>
      </c>
      <c r="H2624">
        <v>11</v>
      </c>
      <c r="I2624" t="s">
        <v>4293</v>
      </c>
      <c r="J2624" t="s">
        <v>294</v>
      </c>
      <c r="M2624" t="s">
        <v>295</v>
      </c>
      <c r="N2624" t="s">
        <v>296</v>
      </c>
      <c r="O2624" t="s">
        <v>297</v>
      </c>
    </row>
    <row r="2625" spans="1:15" x14ac:dyDescent="0.3">
      <c r="A2625" t="s">
        <v>3937</v>
      </c>
      <c r="B2625" t="s">
        <v>4184</v>
      </c>
      <c r="C2625">
        <v>2024</v>
      </c>
      <c r="D2625" t="s">
        <v>394</v>
      </c>
      <c r="E2625" t="s">
        <v>3238</v>
      </c>
      <c r="F2625">
        <v>0.19819999999999999</v>
      </c>
      <c r="G2625" t="s">
        <v>334</v>
      </c>
      <c r="H2625">
        <v>11</v>
      </c>
      <c r="I2625" t="s">
        <v>4294</v>
      </c>
      <c r="J2625" t="s">
        <v>294</v>
      </c>
      <c r="M2625" t="s">
        <v>295</v>
      </c>
      <c r="N2625" t="s">
        <v>296</v>
      </c>
      <c r="O2625" t="s">
        <v>297</v>
      </c>
    </row>
    <row r="2626" spans="1:15" x14ac:dyDescent="0.3">
      <c r="A2626" t="s">
        <v>3937</v>
      </c>
      <c r="B2626" t="s">
        <v>4184</v>
      </c>
      <c r="C2626">
        <v>2024</v>
      </c>
      <c r="D2626" t="s">
        <v>394</v>
      </c>
      <c r="E2626" t="s">
        <v>3240</v>
      </c>
      <c r="F2626">
        <v>3.4799999999999998E-2</v>
      </c>
      <c r="G2626" t="s">
        <v>334</v>
      </c>
      <c r="H2626">
        <v>11</v>
      </c>
      <c r="I2626" t="s">
        <v>4295</v>
      </c>
      <c r="J2626" t="s">
        <v>294</v>
      </c>
      <c r="M2626" t="s">
        <v>295</v>
      </c>
      <c r="N2626" t="s">
        <v>296</v>
      </c>
      <c r="O2626" t="s">
        <v>297</v>
      </c>
    </row>
    <row r="2627" spans="1:15" x14ac:dyDescent="0.3">
      <c r="A2627" t="s">
        <v>3937</v>
      </c>
      <c r="B2627" t="s">
        <v>4184</v>
      </c>
      <c r="C2627">
        <v>2024</v>
      </c>
      <c r="D2627" t="s">
        <v>394</v>
      </c>
      <c r="E2627" t="s">
        <v>425</v>
      </c>
      <c r="F2627">
        <v>1.31</v>
      </c>
      <c r="G2627" t="s">
        <v>423</v>
      </c>
      <c r="H2627">
        <v>11</v>
      </c>
      <c r="I2627" t="s">
        <v>4296</v>
      </c>
      <c r="J2627" t="s">
        <v>294</v>
      </c>
      <c r="M2627" t="s">
        <v>295</v>
      </c>
      <c r="N2627" t="s">
        <v>296</v>
      </c>
      <c r="O2627" t="s">
        <v>297</v>
      </c>
    </row>
    <row r="2628" spans="1:15" x14ac:dyDescent="0.3">
      <c r="A2628" t="s">
        <v>3937</v>
      </c>
      <c r="B2628" t="s">
        <v>4184</v>
      </c>
      <c r="C2628">
        <v>2024</v>
      </c>
      <c r="D2628" t="s">
        <v>394</v>
      </c>
      <c r="E2628" t="s">
        <v>4167</v>
      </c>
      <c r="F2628">
        <v>0.54720000000000002</v>
      </c>
      <c r="G2628" t="s">
        <v>334</v>
      </c>
      <c r="H2628">
        <v>11</v>
      </c>
      <c r="I2628" t="s">
        <v>4297</v>
      </c>
      <c r="J2628" t="s">
        <v>294</v>
      </c>
      <c r="M2628" t="s">
        <v>295</v>
      </c>
      <c r="N2628" t="s">
        <v>296</v>
      </c>
      <c r="O2628" t="s">
        <v>297</v>
      </c>
    </row>
    <row r="2629" spans="1:15" x14ac:dyDescent="0.3">
      <c r="A2629" t="s">
        <v>3937</v>
      </c>
      <c r="B2629" t="s">
        <v>4184</v>
      </c>
      <c r="C2629">
        <v>2024</v>
      </c>
      <c r="D2629" t="s">
        <v>394</v>
      </c>
      <c r="E2629" t="s">
        <v>4057</v>
      </c>
      <c r="F2629">
        <v>0.44209999999999999</v>
      </c>
      <c r="G2629" t="s">
        <v>334</v>
      </c>
      <c r="H2629">
        <v>11</v>
      </c>
      <c r="I2629" t="s">
        <v>4298</v>
      </c>
      <c r="J2629" t="s">
        <v>294</v>
      </c>
      <c r="M2629" t="s">
        <v>295</v>
      </c>
      <c r="N2629" t="s">
        <v>296</v>
      </c>
      <c r="O2629" t="s">
        <v>297</v>
      </c>
    </row>
    <row r="2630" spans="1:15" x14ac:dyDescent="0.3">
      <c r="A2630" t="s">
        <v>3937</v>
      </c>
      <c r="B2630" t="s">
        <v>4184</v>
      </c>
      <c r="C2630">
        <v>2024</v>
      </c>
      <c r="D2630" t="s">
        <v>394</v>
      </c>
      <c r="E2630" t="s">
        <v>438</v>
      </c>
      <c r="F2630">
        <v>43051</v>
      </c>
      <c r="G2630" t="s">
        <v>396</v>
      </c>
      <c r="H2630">
        <v>11</v>
      </c>
      <c r="I2630" t="s">
        <v>4299</v>
      </c>
      <c r="J2630" t="s">
        <v>294</v>
      </c>
      <c r="M2630" t="s">
        <v>295</v>
      </c>
      <c r="N2630" t="s">
        <v>296</v>
      </c>
      <c r="O2630" t="s">
        <v>297</v>
      </c>
    </row>
    <row r="2631" spans="1:15" x14ac:dyDescent="0.3">
      <c r="A2631" t="s">
        <v>3937</v>
      </c>
      <c r="B2631" t="s">
        <v>4184</v>
      </c>
      <c r="C2631">
        <v>2024</v>
      </c>
      <c r="D2631" t="s">
        <v>394</v>
      </c>
      <c r="E2631" t="s">
        <v>3243</v>
      </c>
      <c r="F2631">
        <v>7710</v>
      </c>
      <c r="G2631" t="s">
        <v>396</v>
      </c>
      <c r="H2631">
        <v>11</v>
      </c>
      <c r="I2631" t="s">
        <v>4300</v>
      </c>
      <c r="J2631" t="s">
        <v>294</v>
      </c>
      <c r="M2631" t="s">
        <v>295</v>
      </c>
      <c r="N2631" t="s">
        <v>296</v>
      </c>
      <c r="O2631" t="s">
        <v>297</v>
      </c>
    </row>
    <row r="2632" spans="1:15" x14ac:dyDescent="0.3">
      <c r="A2632" t="s">
        <v>3937</v>
      </c>
      <c r="B2632" t="s">
        <v>4184</v>
      </c>
      <c r="C2632">
        <v>2024</v>
      </c>
      <c r="D2632" t="s">
        <v>394</v>
      </c>
      <c r="E2632" t="s">
        <v>4065</v>
      </c>
      <c r="F2632">
        <v>11614</v>
      </c>
      <c r="G2632" t="s">
        <v>396</v>
      </c>
      <c r="H2632">
        <v>11</v>
      </c>
      <c r="I2632" t="s">
        <v>4301</v>
      </c>
      <c r="J2632" t="s">
        <v>294</v>
      </c>
      <c r="M2632" t="s">
        <v>295</v>
      </c>
      <c r="N2632" t="s">
        <v>296</v>
      </c>
      <c r="O2632" t="s">
        <v>297</v>
      </c>
    </row>
    <row r="2633" spans="1:15" x14ac:dyDescent="0.3">
      <c r="A2633" t="s">
        <v>3937</v>
      </c>
      <c r="B2633" t="s">
        <v>4184</v>
      </c>
      <c r="C2633">
        <v>2024</v>
      </c>
      <c r="D2633" t="s">
        <v>394</v>
      </c>
      <c r="E2633" t="s">
        <v>4067</v>
      </c>
      <c r="F2633">
        <v>1958</v>
      </c>
      <c r="G2633" t="s">
        <v>396</v>
      </c>
      <c r="H2633">
        <v>11</v>
      </c>
      <c r="I2633" t="s">
        <v>4302</v>
      </c>
      <c r="J2633" t="s">
        <v>294</v>
      </c>
      <c r="M2633" t="s">
        <v>295</v>
      </c>
      <c r="N2633" t="s">
        <v>296</v>
      </c>
      <c r="O2633" t="s">
        <v>297</v>
      </c>
    </row>
    <row r="2634" spans="1:15" x14ac:dyDescent="0.3">
      <c r="A2634" t="s">
        <v>3937</v>
      </c>
      <c r="B2634" t="s">
        <v>4184</v>
      </c>
      <c r="C2634">
        <v>2024</v>
      </c>
      <c r="D2634" t="s">
        <v>394</v>
      </c>
      <c r="E2634" t="s">
        <v>4303</v>
      </c>
      <c r="F2634">
        <v>469</v>
      </c>
      <c r="G2634" t="s">
        <v>396</v>
      </c>
      <c r="H2634">
        <v>12</v>
      </c>
      <c r="I2634" t="s">
        <v>4304</v>
      </c>
      <c r="J2634" t="s">
        <v>294</v>
      </c>
      <c r="M2634" t="s">
        <v>295</v>
      </c>
      <c r="N2634" t="s">
        <v>296</v>
      </c>
      <c r="O2634" t="s">
        <v>297</v>
      </c>
    </row>
    <row r="2635" spans="1:15" x14ac:dyDescent="0.3">
      <c r="A2635" t="s">
        <v>3937</v>
      </c>
      <c r="B2635" t="s">
        <v>4184</v>
      </c>
      <c r="C2635">
        <v>2024</v>
      </c>
      <c r="D2635" t="s">
        <v>394</v>
      </c>
      <c r="E2635" t="s">
        <v>4069</v>
      </c>
      <c r="F2635">
        <v>13169</v>
      </c>
      <c r="G2635" t="s">
        <v>436</v>
      </c>
      <c r="H2635">
        <v>12</v>
      </c>
      <c r="I2635" t="s">
        <v>4305</v>
      </c>
      <c r="J2635" t="s">
        <v>294</v>
      </c>
      <c r="M2635" t="s">
        <v>295</v>
      </c>
      <c r="N2635" t="s">
        <v>296</v>
      </c>
      <c r="O2635" t="s">
        <v>297</v>
      </c>
    </row>
    <row r="2636" spans="1:15" x14ac:dyDescent="0.3">
      <c r="A2636" t="s">
        <v>3937</v>
      </c>
      <c r="B2636" t="s">
        <v>4184</v>
      </c>
      <c r="C2636">
        <v>2024</v>
      </c>
      <c r="D2636" t="s">
        <v>394</v>
      </c>
      <c r="E2636" t="s">
        <v>4071</v>
      </c>
      <c r="F2636">
        <v>7687</v>
      </c>
      <c r="G2636" t="s">
        <v>436</v>
      </c>
      <c r="H2636">
        <v>12</v>
      </c>
      <c r="I2636" t="s">
        <v>4306</v>
      </c>
      <c r="J2636" t="s">
        <v>294</v>
      </c>
      <c r="M2636" t="s">
        <v>295</v>
      </c>
      <c r="N2636" t="s">
        <v>296</v>
      </c>
      <c r="O2636" t="s">
        <v>297</v>
      </c>
    </row>
    <row r="2637" spans="1:15" x14ac:dyDescent="0.3">
      <c r="A2637" t="s">
        <v>3937</v>
      </c>
      <c r="B2637" t="s">
        <v>4184</v>
      </c>
      <c r="C2637">
        <v>2024</v>
      </c>
      <c r="D2637" t="s">
        <v>394</v>
      </c>
      <c r="E2637" t="s">
        <v>4073</v>
      </c>
      <c r="F2637">
        <v>28950</v>
      </c>
      <c r="G2637" t="s">
        <v>436</v>
      </c>
      <c r="H2637">
        <v>12</v>
      </c>
      <c r="I2637" t="s">
        <v>4307</v>
      </c>
      <c r="J2637" t="s">
        <v>294</v>
      </c>
      <c r="M2637" t="s">
        <v>295</v>
      </c>
      <c r="N2637" t="s">
        <v>296</v>
      </c>
      <c r="O2637" t="s">
        <v>297</v>
      </c>
    </row>
    <row r="2638" spans="1:15" x14ac:dyDescent="0.3">
      <c r="A2638" t="s">
        <v>3937</v>
      </c>
      <c r="B2638" t="s">
        <v>4184</v>
      </c>
      <c r="C2638">
        <v>2024</v>
      </c>
      <c r="D2638" t="s">
        <v>394</v>
      </c>
      <c r="E2638" t="s">
        <v>4075</v>
      </c>
      <c r="F2638">
        <v>34153</v>
      </c>
      <c r="G2638" t="s">
        <v>436</v>
      </c>
      <c r="H2638">
        <v>12</v>
      </c>
      <c r="I2638" t="s">
        <v>4308</v>
      </c>
      <c r="J2638" t="s">
        <v>294</v>
      </c>
      <c r="M2638" t="s">
        <v>295</v>
      </c>
      <c r="N2638" t="s">
        <v>296</v>
      </c>
      <c r="O2638" t="s">
        <v>297</v>
      </c>
    </row>
    <row r="2639" spans="1:15" x14ac:dyDescent="0.3">
      <c r="A2639" t="s">
        <v>3937</v>
      </c>
      <c r="B2639" t="s">
        <v>4184</v>
      </c>
      <c r="C2639">
        <v>2024</v>
      </c>
      <c r="D2639" t="s">
        <v>394</v>
      </c>
      <c r="E2639" t="s">
        <v>4177</v>
      </c>
      <c r="F2639">
        <v>49224</v>
      </c>
      <c r="G2639" t="s">
        <v>436</v>
      </c>
      <c r="H2639">
        <v>12</v>
      </c>
      <c r="I2639" t="s">
        <v>4309</v>
      </c>
      <c r="J2639" t="s">
        <v>294</v>
      </c>
      <c r="M2639" t="s">
        <v>295</v>
      </c>
      <c r="N2639" t="s">
        <v>296</v>
      </c>
      <c r="O2639" t="s">
        <v>297</v>
      </c>
    </row>
    <row r="2640" spans="1:15" x14ac:dyDescent="0.3">
      <c r="A2640" t="s">
        <v>3937</v>
      </c>
      <c r="B2640" t="s">
        <v>4184</v>
      </c>
      <c r="C2640">
        <v>2024</v>
      </c>
      <c r="D2640" t="s">
        <v>394</v>
      </c>
      <c r="E2640" t="s">
        <v>4179</v>
      </c>
      <c r="F2640">
        <v>17423</v>
      </c>
      <c r="G2640" t="s">
        <v>436</v>
      </c>
      <c r="H2640">
        <v>12</v>
      </c>
      <c r="I2640" t="s">
        <v>4310</v>
      </c>
      <c r="J2640" t="s">
        <v>294</v>
      </c>
      <c r="M2640" t="s">
        <v>295</v>
      </c>
      <c r="N2640" t="s">
        <v>296</v>
      </c>
      <c r="O2640" t="s">
        <v>297</v>
      </c>
    </row>
    <row r="2641" spans="1:15" x14ac:dyDescent="0.3">
      <c r="A2641" t="s">
        <v>3937</v>
      </c>
      <c r="B2641" t="s">
        <v>4184</v>
      </c>
      <c r="C2641">
        <v>2024</v>
      </c>
      <c r="D2641" t="s">
        <v>394</v>
      </c>
      <c r="E2641" t="s">
        <v>4311</v>
      </c>
      <c r="F2641">
        <v>628</v>
      </c>
      <c r="G2641" t="s">
        <v>302</v>
      </c>
      <c r="H2641">
        <v>279</v>
      </c>
      <c r="I2641" t="s">
        <v>4312</v>
      </c>
      <c r="J2641" t="s">
        <v>294</v>
      </c>
      <c r="M2641" t="s">
        <v>295</v>
      </c>
      <c r="N2641" t="s">
        <v>296</v>
      </c>
      <c r="O2641" t="s">
        <v>297</v>
      </c>
    </row>
    <row r="2642" spans="1:15" x14ac:dyDescent="0.3">
      <c r="A2642" t="s">
        <v>3937</v>
      </c>
      <c r="B2642" t="s">
        <v>4184</v>
      </c>
      <c r="C2642">
        <v>2024</v>
      </c>
      <c r="D2642" t="s">
        <v>394</v>
      </c>
      <c r="E2642" t="s">
        <v>4313</v>
      </c>
      <c r="F2642">
        <v>433</v>
      </c>
      <c r="G2642" t="s">
        <v>302</v>
      </c>
      <c r="H2642">
        <v>279</v>
      </c>
      <c r="I2642" t="s">
        <v>4314</v>
      </c>
      <c r="J2642" t="s">
        <v>294</v>
      </c>
      <c r="M2642" t="s">
        <v>295</v>
      </c>
      <c r="N2642" t="s">
        <v>296</v>
      </c>
      <c r="O2642" t="s">
        <v>297</v>
      </c>
    </row>
    <row r="2643" spans="1:15" x14ac:dyDescent="0.3">
      <c r="A2643" t="s">
        <v>3937</v>
      </c>
      <c r="B2643" t="s">
        <v>4184</v>
      </c>
      <c r="C2643">
        <v>2024</v>
      </c>
      <c r="D2643" t="s">
        <v>394</v>
      </c>
      <c r="E2643" t="s">
        <v>4315</v>
      </c>
      <c r="F2643">
        <v>785</v>
      </c>
      <c r="G2643" t="s">
        <v>302</v>
      </c>
      <c r="H2643">
        <v>281</v>
      </c>
      <c r="I2643" t="s">
        <v>4316</v>
      </c>
      <c r="J2643" t="s">
        <v>294</v>
      </c>
      <c r="M2643" t="s">
        <v>295</v>
      </c>
      <c r="N2643" t="s">
        <v>296</v>
      </c>
      <c r="O2643" t="s">
        <v>297</v>
      </c>
    </row>
    <row r="2644" spans="1:15" x14ac:dyDescent="0.3">
      <c r="A2644" t="s">
        <v>3937</v>
      </c>
      <c r="B2644" t="s">
        <v>4184</v>
      </c>
      <c r="C2644">
        <v>2024</v>
      </c>
      <c r="D2644" t="s">
        <v>394</v>
      </c>
      <c r="E2644" t="s">
        <v>4317</v>
      </c>
      <c r="F2644">
        <v>213</v>
      </c>
      <c r="G2644" t="s">
        <v>302</v>
      </c>
      <c r="H2644">
        <v>281</v>
      </c>
      <c r="I2644" t="s">
        <v>4318</v>
      </c>
      <c r="J2644" t="s">
        <v>294</v>
      </c>
      <c r="M2644" t="s">
        <v>295</v>
      </c>
      <c r="N2644" t="s">
        <v>296</v>
      </c>
      <c r="O2644" t="s">
        <v>297</v>
      </c>
    </row>
    <row r="2645" spans="1:15" x14ac:dyDescent="0.3">
      <c r="A2645" t="s">
        <v>3937</v>
      </c>
      <c r="B2645" t="s">
        <v>4184</v>
      </c>
      <c r="C2645">
        <v>2024</v>
      </c>
      <c r="D2645" t="s">
        <v>563</v>
      </c>
      <c r="E2645" t="s">
        <v>4319</v>
      </c>
      <c r="F2645" t="s">
        <v>4320</v>
      </c>
      <c r="G2645" t="s">
        <v>292</v>
      </c>
      <c r="H2645">
        <v>20</v>
      </c>
      <c r="I2645" t="s">
        <v>4321</v>
      </c>
      <c r="J2645" t="s">
        <v>294</v>
      </c>
      <c r="M2645" t="s">
        <v>295</v>
      </c>
      <c r="N2645" t="s">
        <v>296</v>
      </c>
      <c r="O2645" t="s">
        <v>297</v>
      </c>
    </row>
    <row r="2646" spans="1:15" x14ac:dyDescent="0.3">
      <c r="A2646" t="s">
        <v>3937</v>
      </c>
      <c r="B2646" t="s">
        <v>4184</v>
      </c>
      <c r="C2646">
        <v>2024</v>
      </c>
      <c r="D2646" t="s">
        <v>563</v>
      </c>
      <c r="E2646" t="s">
        <v>4322</v>
      </c>
      <c r="F2646">
        <v>1</v>
      </c>
      <c r="G2646" t="s">
        <v>384</v>
      </c>
      <c r="H2646">
        <v>43</v>
      </c>
      <c r="I2646" t="s">
        <v>4323</v>
      </c>
      <c r="J2646" t="s">
        <v>294</v>
      </c>
      <c r="M2646" t="s">
        <v>295</v>
      </c>
      <c r="N2646" t="s">
        <v>296</v>
      </c>
      <c r="O2646" t="s">
        <v>297</v>
      </c>
    </row>
    <row r="2647" spans="1:15" x14ac:dyDescent="0.3">
      <c r="A2647" t="s">
        <v>4324</v>
      </c>
      <c r="B2647" t="s">
        <v>4325</v>
      </c>
      <c r="C2647">
        <v>2022</v>
      </c>
      <c r="D2647" t="s">
        <v>272</v>
      </c>
      <c r="E2647" t="s">
        <v>291</v>
      </c>
      <c r="F2647" t="s">
        <v>4324</v>
      </c>
      <c r="G2647" t="s">
        <v>292</v>
      </c>
      <c r="H2647">
        <v>8</v>
      </c>
      <c r="I2647" t="s">
        <v>4326</v>
      </c>
      <c r="J2647" t="s">
        <v>294</v>
      </c>
      <c r="M2647" t="s">
        <v>295</v>
      </c>
      <c r="N2647" t="s">
        <v>296</v>
      </c>
      <c r="O2647" t="s">
        <v>297</v>
      </c>
    </row>
    <row r="2648" spans="1:15" x14ac:dyDescent="0.3">
      <c r="A2648" t="s">
        <v>4324</v>
      </c>
      <c r="B2648" t="s">
        <v>4325</v>
      </c>
      <c r="C2648">
        <v>2022</v>
      </c>
      <c r="D2648" t="s">
        <v>272</v>
      </c>
      <c r="E2648" t="s">
        <v>4327</v>
      </c>
      <c r="F2648">
        <v>1906</v>
      </c>
      <c r="G2648" t="s">
        <v>299</v>
      </c>
      <c r="H2648">
        <v>8</v>
      </c>
      <c r="I2648" t="s">
        <v>4328</v>
      </c>
      <c r="J2648" t="s">
        <v>294</v>
      </c>
      <c r="M2648" t="s">
        <v>295</v>
      </c>
      <c r="N2648" t="s">
        <v>296</v>
      </c>
      <c r="O2648" t="s">
        <v>297</v>
      </c>
    </row>
    <row r="2649" spans="1:15" x14ac:dyDescent="0.3">
      <c r="A2649" t="s">
        <v>4324</v>
      </c>
      <c r="B2649" t="s">
        <v>4325</v>
      </c>
      <c r="C2649">
        <v>2022</v>
      </c>
      <c r="D2649" t="s">
        <v>272</v>
      </c>
      <c r="E2649" t="s">
        <v>4329</v>
      </c>
      <c r="F2649" t="s">
        <v>4330</v>
      </c>
      <c r="G2649" t="s">
        <v>334</v>
      </c>
      <c r="H2649">
        <v>10</v>
      </c>
      <c r="I2649" t="s">
        <v>4331</v>
      </c>
      <c r="J2649" t="s">
        <v>294</v>
      </c>
      <c r="M2649" t="s">
        <v>295</v>
      </c>
      <c r="N2649" t="s">
        <v>296</v>
      </c>
      <c r="O2649" t="s">
        <v>297</v>
      </c>
    </row>
    <row r="2650" spans="1:15" x14ac:dyDescent="0.3">
      <c r="A2650" t="s">
        <v>4324</v>
      </c>
      <c r="B2650" t="s">
        <v>4325</v>
      </c>
      <c r="C2650">
        <v>2022</v>
      </c>
      <c r="D2650" t="s">
        <v>272</v>
      </c>
      <c r="E2650" t="s">
        <v>2704</v>
      </c>
      <c r="F2650" t="s">
        <v>4332</v>
      </c>
      <c r="G2650" t="s">
        <v>292</v>
      </c>
      <c r="H2650">
        <v>10</v>
      </c>
      <c r="I2650" t="s">
        <v>4333</v>
      </c>
      <c r="J2650" t="s">
        <v>294</v>
      </c>
      <c r="M2650" t="s">
        <v>295</v>
      </c>
      <c r="N2650" t="s">
        <v>296</v>
      </c>
      <c r="O2650" t="s">
        <v>297</v>
      </c>
    </row>
    <row r="2651" spans="1:15" x14ac:dyDescent="0.3">
      <c r="A2651" t="s">
        <v>4324</v>
      </c>
      <c r="B2651" t="s">
        <v>4325</v>
      </c>
      <c r="C2651">
        <v>2022</v>
      </c>
      <c r="D2651" t="s">
        <v>272</v>
      </c>
      <c r="E2651" t="s">
        <v>445</v>
      </c>
      <c r="F2651">
        <v>0.40379999999999999</v>
      </c>
      <c r="G2651" t="s">
        <v>334</v>
      </c>
      <c r="H2651">
        <v>10</v>
      </c>
      <c r="I2651" t="s">
        <v>4334</v>
      </c>
      <c r="J2651" t="s">
        <v>294</v>
      </c>
      <c r="M2651" t="s">
        <v>295</v>
      </c>
      <c r="N2651" t="s">
        <v>296</v>
      </c>
      <c r="O2651" t="s">
        <v>297</v>
      </c>
    </row>
    <row r="2652" spans="1:15" x14ac:dyDescent="0.3">
      <c r="A2652" t="s">
        <v>4324</v>
      </c>
      <c r="B2652" t="s">
        <v>4325</v>
      </c>
      <c r="C2652">
        <v>2022</v>
      </c>
      <c r="D2652" t="s">
        <v>272</v>
      </c>
      <c r="E2652" t="s">
        <v>4335</v>
      </c>
      <c r="F2652">
        <v>6819963965</v>
      </c>
      <c r="G2652" t="s">
        <v>1633</v>
      </c>
      <c r="H2652">
        <v>10</v>
      </c>
      <c r="I2652" t="s">
        <v>4336</v>
      </c>
      <c r="J2652" t="s">
        <v>294</v>
      </c>
      <c r="M2652" t="s">
        <v>295</v>
      </c>
      <c r="N2652" t="s">
        <v>296</v>
      </c>
      <c r="O2652" t="s">
        <v>297</v>
      </c>
    </row>
    <row r="2653" spans="1:15" x14ac:dyDescent="0.3">
      <c r="A2653" t="s">
        <v>4324</v>
      </c>
      <c r="B2653" t="s">
        <v>4325</v>
      </c>
      <c r="C2653">
        <v>2022</v>
      </c>
      <c r="D2653" t="s">
        <v>272</v>
      </c>
      <c r="E2653" t="s">
        <v>4337</v>
      </c>
      <c r="F2653">
        <v>2900000</v>
      </c>
      <c r="G2653" t="s">
        <v>1633</v>
      </c>
      <c r="H2653">
        <v>10</v>
      </c>
      <c r="I2653" t="s">
        <v>4338</v>
      </c>
      <c r="J2653" t="s">
        <v>294</v>
      </c>
      <c r="M2653" t="s">
        <v>295</v>
      </c>
      <c r="N2653" t="s">
        <v>296</v>
      </c>
      <c r="O2653" t="s">
        <v>297</v>
      </c>
    </row>
    <row r="2654" spans="1:15" x14ac:dyDescent="0.3">
      <c r="A2654" t="s">
        <v>4324</v>
      </c>
      <c r="B2654" t="s">
        <v>4325</v>
      </c>
      <c r="C2654">
        <v>2022</v>
      </c>
      <c r="D2654" t="s">
        <v>300</v>
      </c>
      <c r="E2654" t="s">
        <v>3142</v>
      </c>
      <c r="F2654">
        <v>4585</v>
      </c>
      <c r="G2654" t="s">
        <v>302</v>
      </c>
      <c r="H2654">
        <v>4</v>
      </c>
      <c r="I2654" t="s">
        <v>4339</v>
      </c>
      <c r="J2654" t="s">
        <v>294</v>
      </c>
      <c r="M2654" t="s">
        <v>295</v>
      </c>
      <c r="N2654" t="s">
        <v>296</v>
      </c>
      <c r="O2654" t="s">
        <v>297</v>
      </c>
    </row>
    <row r="2655" spans="1:15" x14ac:dyDescent="0.3">
      <c r="A2655" t="s">
        <v>4324</v>
      </c>
      <c r="B2655" t="s">
        <v>4325</v>
      </c>
      <c r="C2655">
        <v>2022</v>
      </c>
      <c r="D2655" t="s">
        <v>300</v>
      </c>
      <c r="E2655" t="s">
        <v>4340</v>
      </c>
      <c r="F2655">
        <v>0.01</v>
      </c>
      <c r="G2655" t="s">
        <v>334</v>
      </c>
      <c r="H2655">
        <v>27</v>
      </c>
      <c r="I2655" t="s">
        <v>4341</v>
      </c>
      <c r="J2655" t="s">
        <v>294</v>
      </c>
      <c r="M2655" t="s">
        <v>295</v>
      </c>
      <c r="N2655" t="s">
        <v>296</v>
      </c>
      <c r="O2655" t="s">
        <v>297</v>
      </c>
    </row>
    <row r="2656" spans="1:15" x14ac:dyDescent="0.3">
      <c r="A2656" t="s">
        <v>4324</v>
      </c>
      <c r="B2656" t="s">
        <v>4325</v>
      </c>
      <c r="C2656">
        <v>2022</v>
      </c>
      <c r="D2656" t="s">
        <v>300</v>
      </c>
      <c r="E2656" t="s">
        <v>4342</v>
      </c>
      <c r="F2656">
        <v>4350</v>
      </c>
      <c r="G2656" t="s">
        <v>302</v>
      </c>
      <c r="H2656">
        <v>27</v>
      </c>
      <c r="I2656" t="s">
        <v>4343</v>
      </c>
      <c r="J2656" t="s">
        <v>294</v>
      </c>
      <c r="M2656" t="s">
        <v>295</v>
      </c>
      <c r="N2656" t="s">
        <v>296</v>
      </c>
      <c r="O2656" t="s">
        <v>297</v>
      </c>
    </row>
    <row r="2657" spans="1:15" x14ac:dyDescent="0.3">
      <c r="A2657" t="s">
        <v>4324</v>
      </c>
      <c r="B2657" t="s">
        <v>4325</v>
      </c>
      <c r="C2657">
        <v>2022</v>
      </c>
      <c r="D2657" t="s">
        <v>300</v>
      </c>
      <c r="E2657" t="s">
        <v>4344</v>
      </c>
      <c r="F2657">
        <v>0.95</v>
      </c>
      <c r="G2657" t="s">
        <v>334</v>
      </c>
      <c r="H2657">
        <v>27</v>
      </c>
      <c r="I2657" t="s">
        <v>4345</v>
      </c>
      <c r="J2657" t="s">
        <v>294</v>
      </c>
      <c r="M2657" t="s">
        <v>295</v>
      </c>
      <c r="N2657" t="s">
        <v>296</v>
      </c>
      <c r="O2657" t="s">
        <v>297</v>
      </c>
    </row>
    <row r="2658" spans="1:15" x14ac:dyDescent="0.3">
      <c r="A2658" t="s">
        <v>4324</v>
      </c>
      <c r="B2658" t="s">
        <v>4325</v>
      </c>
      <c r="C2658">
        <v>2022</v>
      </c>
      <c r="D2658" t="s">
        <v>300</v>
      </c>
      <c r="E2658" t="s">
        <v>4346</v>
      </c>
      <c r="F2658">
        <v>0.61</v>
      </c>
      <c r="G2658" t="s">
        <v>334</v>
      </c>
      <c r="H2658">
        <v>27</v>
      </c>
      <c r="I2658" t="s">
        <v>4347</v>
      </c>
      <c r="J2658" t="s">
        <v>294</v>
      </c>
      <c r="M2658" t="s">
        <v>295</v>
      </c>
      <c r="N2658" t="s">
        <v>296</v>
      </c>
      <c r="O2658" t="s">
        <v>297</v>
      </c>
    </row>
    <row r="2659" spans="1:15" x14ac:dyDescent="0.3">
      <c r="A2659" t="s">
        <v>4324</v>
      </c>
      <c r="B2659" t="s">
        <v>4325</v>
      </c>
      <c r="C2659">
        <v>2022</v>
      </c>
      <c r="D2659" t="s">
        <v>300</v>
      </c>
      <c r="E2659" t="s">
        <v>688</v>
      </c>
      <c r="F2659">
        <v>3094</v>
      </c>
      <c r="G2659" t="s">
        <v>302</v>
      </c>
      <c r="H2659">
        <v>119</v>
      </c>
      <c r="I2659" t="s">
        <v>4348</v>
      </c>
      <c r="J2659" t="s">
        <v>294</v>
      </c>
      <c r="M2659" t="s">
        <v>295</v>
      </c>
      <c r="N2659" t="s">
        <v>296</v>
      </c>
      <c r="O2659" t="s">
        <v>297</v>
      </c>
    </row>
    <row r="2660" spans="1:15" x14ac:dyDescent="0.3">
      <c r="A2660" t="s">
        <v>4324</v>
      </c>
      <c r="B2660" t="s">
        <v>4325</v>
      </c>
      <c r="C2660">
        <v>2022</v>
      </c>
      <c r="D2660" t="s">
        <v>300</v>
      </c>
      <c r="E2660" t="s">
        <v>304</v>
      </c>
      <c r="F2660">
        <v>1491</v>
      </c>
      <c r="G2660" t="s">
        <v>302</v>
      </c>
      <c r="H2660">
        <v>4</v>
      </c>
      <c r="I2660" t="s">
        <v>4349</v>
      </c>
      <c r="J2660" t="s">
        <v>294</v>
      </c>
      <c r="M2660" t="s">
        <v>295</v>
      </c>
      <c r="N2660" t="s">
        <v>296</v>
      </c>
      <c r="O2660" t="s">
        <v>297</v>
      </c>
    </row>
    <row r="2661" spans="1:15" x14ac:dyDescent="0.3">
      <c r="A2661" t="s">
        <v>4324</v>
      </c>
      <c r="B2661" t="s">
        <v>4325</v>
      </c>
      <c r="C2661">
        <v>2022</v>
      </c>
      <c r="D2661" t="s">
        <v>300</v>
      </c>
      <c r="E2661" t="s">
        <v>1187</v>
      </c>
      <c r="F2661">
        <v>0.32500000000000001</v>
      </c>
      <c r="G2661" t="s">
        <v>334</v>
      </c>
      <c r="H2661">
        <v>4</v>
      </c>
      <c r="I2661" t="s">
        <v>4350</v>
      </c>
      <c r="J2661" t="s">
        <v>294</v>
      </c>
      <c r="M2661" t="s">
        <v>295</v>
      </c>
      <c r="N2661" t="s">
        <v>296</v>
      </c>
      <c r="O2661" t="s">
        <v>297</v>
      </c>
    </row>
    <row r="2662" spans="1:15" x14ac:dyDescent="0.3">
      <c r="A2662" t="s">
        <v>4324</v>
      </c>
      <c r="B2662" t="s">
        <v>4325</v>
      </c>
      <c r="C2662">
        <v>2022</v>
      </c>
      <c r="D2662" t="s">
        <v>300</v>
      </c>
      <c r="E2662" t="s">
        <v>1112</v>
      </c>
      <c r="F2662">
        <v>1206</v>
      </c>
      <c r="G2662" t="s">
        <v>302</v>
      </c>
      <c r="H2662">
        <v>4</v>
      </c>
      <c r="I2662" t="s">
        <v>4351</v>
      </c>
      <c r="J2662" t="s">
        <v>294</v>
      </c>
      <c r="M2662" t="s">
        <v>295</v>
      </c>
      <c r="N2662" t="s">
        <v>296</v>
      </c>
      <c r="O2662" t="s">
        <v>297</v>
      </c>
    </row>
    <row r="2663" spans="1:15" x14ac:dyDescent="0.3">
      <c r="A2663" t="s">
        <v>4324</v>
      </c>
      <c r="B2663" t="s">
        <v>4325</v>
      </c>
      <c r="C2663">
        <v>2022</v>
      </c>
      <c r="D2663" t="s">
        <v>300</v>
      </c>
      <c r="E2663" t="s">
        <v>4352</v>
      </c>
      <c r="F2663">
        <v>0.26300000000000001</v>
      </c>
      <c r="G2663" t="s">
        <v>334</v>
      </c>
      <c r="H2663">
        <v>4</v>
      </c>
      <c r="I2663" t="s">
        <v>4353</v>
      </c>
      <c r="J2663" t="s">
        <v>294</v>
      </c>
      <c r="M2663" t="s">
        <v>295</v>
      </c>
      <c r="N2663" t="s">
        <v>296</v>
      </c>
      <c r="O2663" t="s">
        <v>297</v>
      </c>
    </row>
    <row r="2664" spans="1:15" x14ac:dyDescent="0.3">
      <c r="A2664" t="s">
        <v>4324</v>
      </c>
      <c r="B2664" t="s">
        <v>4325</v>
      </c>
      <c r="C2664">
        <v>2022</v>
      </c>
      <c r="D2664" t="s">
        <v>300</v>
      </c>
      <c r="E2664" t="s">
        <v>880</v>
      </c>
      <c r="F2664">
        <v>1747</v>
      </c>
      <c r="G2664" t="s">
        <v>302</v>
      </c>
      <c r="H2664">
        <v>4</v>
      </c>
      <c r="I2664" t="s">
        <v>4354</v>
      </c>
      <c r="J2664" t="s">
        <v>294</v>
      </c>
      <c r="M2664" t="s">
        <v>295</v>
      </c>
      <c r="N2664" t="s">
        <v>296</v>
      </c>
      <c r="O2664" t="s">
        <v>297</v>
      </c>
    </row>
    <row r="2665" spans="1:15" x14ac:dyDescent="0.3">
      <c r="A2665" t="s">
        <v>4324</v>
      </c>
      <c r="B2665" t="s">
        <v>4325</v>
      </c>
      <c r="C2665">
        <v>2022</v>
      </c>
      <c r="D2665" t="s">
        <v>300</v>
      </c>
      <c r="E2665" t="s">
        <v>901</v>
      </c>
      <c r="F2665">
        <v>0.38100000000000001</v>
      </c>
      <c r="G2665" t="s">
        <v>334</v>
      </c>
      <c r="H2665">
        <v>4</v>
      </c>
      <c r="I2665" t="s">
        <v>4355</v>
      </c>
      <c r="J2665" t="s">
        <v>294</v>
      </c>
      <c r="M2665" t="s">
        <v>295</v>
      </c>
      <c r="N2665" t="s">
        <v>296</v>
      </c>
      <c r="O2665" t="s">
        <v>297</v>
      </c>
    </row>
    <row r="2666" spans="1:15" x14ac:dyDescent="0.3">
      <c r="A2666" t="s">
        <v>4324</v>
      </c>
      <c r="B2666" t="s">
        <v>4325</v>
      </c>
      <c r="C2666">
        <v>2022</v>
      </c>
      <c r="D2666" t="s">
        <v>300</v>
      </c>
      <c r="E2666" t="s">
        <v>4356</v>
      </c>
      <c r="F2666">
        <v>-51</v>
      </c>
      <c r="G2666" t="s">
        <v>302</v>
      </c>
      <c r="H2666">
        <v>119</v>
      </c>
      <c r="I2666" t="s">
        <v>4357</v>
      </c>
      <c r="J2666" t="s">
        <v>294</v>
      </c>
      <c r="M2666" t="s">
        <v>295</v>
      </c>
      <c r="N2666" t="s">
        <v>296</v>
      </c>
      <c r="O2666" t="s">
        <v>297</v>
      </c>
    </row>
    <row r="2667" spans="1:15" x14ac:dyDescent="0.3">
      <c r="A2667" t="s">
        <v>4324</v>
      </c>
      <c r="B2667" t="s">
        <v>4325</v>
      </c>
      <c r="C2667">
        <v>2022</v>
      </c>
      <c r="D2667" t="s">
        <v>300</v>
      </c>
      <c r="E2667" t="s">
        <v>1162</v>
      </c>
      <c r="F2667">
        <v>80</v>
      </c>
      <c r="G2667" t="s">
        <v>302</v>
      </c>
      <c r="H2667">
        <v>119</v>
      </c>
      <c r="I2667" t="s">
        <v>4358</v>
      </c>
      <c r="J2667" t="s">
        <v>294</v>
      </c>
      <c r="M2667" t="s">
        <v>295</v>
      </c>
      <c r="N2667" t="s">
        <v>296</v>
      </c>
      <c r="O2667" t="s">
        <v>297</v>
      </c>
    </row>
    <row r="2668" spans="1:15" x14ac:dyDescent="0.3">
      <c r="A2668" t="s">
        <v>4324</v>
      </c>
      <c r="B2668" t="s">
        <v>4325</v>
      </c>
      <c r="C2668">
        <v>2022</v>
      </c>
      <c r="D2668" t="s">
        <v>300</v>
      </c>
      <c r="E2668" t="s">
        <v>457</v>
      </c>
      <c r="F2668">
        <v>1</v>
      </c>
      <c r="G2668" t="s">
        <v>302</v>
      </c>
      <c r="H2668">
        <v>119</v>
      </c>
      <c r="I2668" t="s">
        <v>4359</v>
      </c>
      <c r="J2668" t="s">
        <v>294</v>
      </c>
      <c r="M2668" t="s">
        <v>295</v>
      </c>
      <c r="N2668" t="s">
        <v>296</v>
      </c>
      <c r="O2668" t="s">
        <v>297</v>
      </c>
    </row>
    <row r="2669" spans="1:15" x14ac:dyDescent="0.3">
      <c r="A2669" t="s">
        <v>4324</v>
      </c>
      <c r="B2669" t="s">
        <v>4325</v>
      </c>
      <c r="C2669">
        <v>2022</v>
      </c>
      <c r="D2669" t="s">
        <v>300</v>
      </c>
      <c r="E2669" t="s">
        <v>459</v>
      </c>
      <c r="F2669">
        <v>1284</v>
      </c>
      <c r="G2669" t="s">
        <v>302</v>
      </c>
      <c r="H2669">
        <v>119</v>
      </c>
      <c r="I2669" t="s">
        <v>4360</v>
      </c>
      <c r="J2669" t="s">
        <v>294</v>
      </c>
      <c r="M2669" t="s">
        <v>295</v>
      </c>
      <c r="N2669" t="s">
        <v>296</v>
      </c>
      <c r="O2669" t="s">
        <v>297</v>
      </c>
    </row>
    <row r="2670" spans="1:15" x14ac:dyDescent="0.3">
      <c r="A2670" t="s">
        <v>4324</v>
      </c>
      <c r="B2670" t="s">
        <v>4325</v>
      </c>
      <c r="C2670">
        <v>2022</v>
      </c>
      <c r="D2670" t="s">
        <v>300</v>
      </c>
      <c r="E2670" t="s">
        <v>581</v>
      </c>
      <c r="F2670">
        <v>248</v>
      </c>
      <c r="G2670" t="s">
        <v>302</v>
      </c>
      <c r="H2670">
        <v>119</v>
      </c>
      <c r="I2670" t="s">
        <v>4361</v>
      </c>
      <c r="J2670" t="s">
        <v>294</v>
      </c>
      <c r="M2670" t="s">
        <v>295</v>
      </c>
      <c r="N2670" t="s">
        <v>296</v>
      </c>
      <c r="O2670" t="s">
        <v>297</v>
      </c>
    </row>
    <row r="2671" spans="1:15" x14ac:dyDescent="0.3">
      <c r="A2671" t="s">
        <v>4324</v>
      </c>
      <c r="B2671" t="s">
        <v>4325</v>
      </c>
      <c r="C2671">
        <v>2022</v>
      </c>
      <c r="D2671" t="s">
        <v>300</v>
      </c>
      <c r="E2671" t="s">
        <v>306</v>
      </c>
      <c r="F2671">
        <v>1035</v>
      </c>
      <c r="G2671" t="s">
        <v>302</v>
      </c>
      <c r="H2671">
        <v>4</v>
      </c>
      <c r="I2671" t="s">
        <v>4362</v>
      </c>
      <c r="J2671" t="s">
        <v>294</v>
      </c>
      <c r="M2671" t="s">
        <v>295</v>
      </c>
      <c r="N2671" t="s">
        <v>296</v>
      </c>
      <c r="O2671" t="s">
        <v>297</v>
      </c>
    </row>
    <row r="2672" spans="1:15" x14ac:dyDescent="0.3">
      <c r="A2672" t="s">
        <v>4324</v>
      </c>
      <c r="B2672" t="s">
        <v>4325</v>
      </c>
      <c r="C2672">
        <v>2022</v>
      </c>
      <c r="D2672" t="s">
        <v>300</v>
      </c>
      <c r="E2672" t="s">
        <v>308</v>
      </c>
      <c r="F2672">
        <v>1036</v>
      </c>
      <c r="G2672" t="s">
        <v>302</v>
      </c>
      <c r="H2672">
        <v>4</v>
      </c>
      <c r="I2672" t="s">
        <v>4363</v>
      </c>
      <c r="J2672" t="s">
        <v>294</v>
      </c>
      <c r="M2672" t="s">
        <v>295</v>
      </c>
      <c r="N2672" t="s">
        <v>296</v>
      </c>
      <c r="O2672" t="s">
        <v>297</v>
      </c>
    </row>
    <row r="2673" spans="1:15" x14ac:dyDescent="0.3">
      <c r="A2673" t="s">
        <v>4324</v>
      </c>
      <c r="B2673" t="s">
        <v>4325</v>
      </c>
      <c r="C2673">
        <v>2022</v>
      </c>
      <c r="D2673" t="s">
        <v>300</v>
      </c>
      <c r="E2673" t="s">
        <v>316</v>
      </c>
      <c r="F2673">
        <v>12417</v>
      </c>
      <c r="G2673" t="s">
        <v>302</v>
      </c>
      <c r="H2673">
        <v>4</v>
      </c>
      <c r="I2673" t="s">
        <v>4364</v>
      </c>
      <c r="J2673" t="s">
        <v>294</v>
      </c>
      <c r="M2673" t="s">
        <v>295</v>
      </c>
      <c r="N2673" t="s">
        <v>296</v>
      </c>
      <c r="O2673" t="s">
        <v>297</v>
      </c>
    </row>
    <row r="2674" spans="1:15" x14ac:dyDescent="0.3">
      <c r="A2674" t="s">
        <v>4324</v>
      </c>
      <c r="B2674" t="s">
        <v>4325</v>
      </c>
      <c r="C2674">
        <v>2022</v>
      </c>
      <c r="D2674" t="s">
        <v>300</v>
      </c>
      <c r="E2674" t="s">
        <v>312</v>
      </c>
      <c r="F2674">
        <v>5107</v>
      </c>
      <c r="G2674" t="s">
        <v>302</v>
      </c>
      <c r="H2674">
        <v>4</v>
      </c>
      <c r="I2674" t="s">
        <v>4365</v>
      </c>
      <c r="J2674" t="s">
        <v>294</v>
      </c>
      <c r="M2674" t="s">
        <v>295</v>
      </c>
      <c r="N2674" t="s">
        <v>296</v>
      </c>
      <c r="O2674" t="s">
        <v>297</v>
      </c>
    </row>
    <row r="2675" spans="1:15" x14ac:dyDescent="0.3">
      <c r="A2675" t="s">
        <v>4324</v>
      </c>
      <c r="B2675" t="s">
        <v>4325</v>
      </c>
      <c r="C2675">
        <v>2022</v>
      </c>
      <c r="D2675" t="s">
        <v>300</v>
      </c>
      <c r="E2675" t="s">
        <v>314</v>
      </c>
      <c r="F2675">
        <v>7310</v>
      </c>
      <c r="G2675" t="s">
        <v>302</v>
      </c>
      <c r="H2675">
        <v>117</v>
      </c>
      <c r="I2675" t="s">
        <v>4366</v>
      </c>
      <c r="J2675" t="s">
        <v>294</v>
      </c>
      <c r="M2675" t="s">
        <v>295</v>
      </c>
      <c r="N2675" t="s">
        <v>296</v>
      </c>
      <c r="O2675" t="s">
        <v>297</v>
      </c>
    </row>
    <row r="2676" spans="1:15" x14ac:dyDescent="0.3">
      <c r="A2676" t="s">
        <v>4324</v>
      </c>
      <c r="B2676" t="s">
        <v>4325</v>
      </c>
      <c r="C2676">
        <v>2022</v>
      </c>
      <c r="D2676" t="s">
        <v>300</v>
      </c>
      <c r="E2676" t="s">
        <v>2667</v>
      </c>
      <c r="F2676">
        <v>3847</v>
      </c>
      <c r="G2676" t="s">
        <v>302</v>
      </c>
      <c r="H2676">
        <v>122</v>
      </c>
      <c r="I2676" t="s">
        <v>4367</v>
      </c>
      <c r="J2676" t="s">
        <v>294</v>
      </c>
      <c r="M2676" t="s">
        <v>295</v>
      </c>
      <c r="N2676" t="s">
        <v>296</v>
      </c>
      <c r="O2676" t="s">
        <v>297</v>
      </c>
    </row>
    <row r="2677" spans="1:15" x14ac:dyDescent="0.3">
      <c r="A2677" t="s">
        <v>4324</v>
      </c>
      <c r="B2677" t="s">
        <v>4325</v>
      </c>
      <c r="C2677">
        <v>2022</v>
      </c>
      <c r="D2677" t="s">
        <v>300</v>
      </c>
      <c r="E2677" t="s">
        <v>481</v>
      </c>
      <c r="F2677">
        <v>653</v>
      </c>
      <c r="G2677" t="s">
        <v>302</v>
      </c>
      <c r="H2677">
        <v>117</v>
      </c>
      <c r="I2677" t="s">
        <v>4368</v>
      </c>
      <c r="J2677" t="s">
        <v>294</v>
      </c>
      <c r="M2677" t="s">
        <v>295</v>
      </c>
      <c r="N2677" t="s">
        <v>296</v>
      </c>
      <c r="O2677" t="s">
        <v>297</v>
      </c>
    </row>
    <row r="2678" spans="1:15" x14ac:dyDescent="0.3">
      <c r="A2678" t="s">
        <v>4324</v>
      </c>
      <c r="B2678" t="s">
        <v>4325</v>
      </c>
      <c r="C2678">
        <v>2022</v>
      </c>
      <c r="D2678" t="s">
        <v>300</v>
      </c>
      <c r="E2678" t="s">
        <v>4369</v>
      </c>
      <c r="F2678">
        <v>162</v>
      </c>
      <c r="G2678" t="s">
        <v>302</v>
      </c>
      <c r="H2678">
        <v>117</v>
      </c>
      <c r="I2678" t="s">
        <v>4370</v>
      </c>
      <c r="J2678" t="s">
        <v>294</v>
      </c>
      <c r="M2678" t="s">
        <v>295</v>
      </c>
      <c r="N2678" t="s">
        <v>296</v>
      </c>
      <c r="O2678" t="s">
        <v>297</v>
      </c>
    </row>
    <row r="2679" spans="1:15" x14ac:dyDescent="0.3">
      <c r="A2679" t="s">
        <v>4324</v>
      </c>
      <c r="B2679" t="s">
        <v>4325</v>
      </c>
      <c r="C2679">
        <v>2022</v>
      </c>
      <c r="D2679" t="s">
        <v>300</v>
      </c>
      <c r="E2679" t="s">
        <v>4371</v>
      </c>
      <c r="F2679">
        <v>1262</v>
      </c>
      <c r="G2679" t="s">
        <v>302</v>
      </c>
      <c r="H2679">
        <v>117</v>
      </c>
      <c r="I2679" t="s">
        <v>4372</v>
      </c>
      <c r="J2679" t="s">
        <v>294</v>
      </c>
      <c r="M2679" t="s">
        <v>295</v>
      </c>
      <c r="N2679" t="s">
        <v>296</v>
      </c>
      <c r="O2679" t="s">
        <v>297</v>
      </c>
    </row>
    <row r="2680" spans="1:15" x14ac:dyDescent="0.3">
      <c r="A2680" t="s">
        <v>4324</v>
      </c>
      <c r="B2680" t="s">
        <v>4325</v>
      </c>
      <c r="C2680">
        <v>2022</v>
      </c>
      <c r="D2680" t="s">
        <v>300</v>
      </c>
      <c r="E2680" t="s">
        <v>1122</v>
      </c>
      <c r="F2680">
        <v>5666</v>
      </c>
      <c r="G2680" t="s">
        <v>302</v>
      </c>
      <c r="H2680">
        <v>117</v>
      </c>
      <c r="I2680" t="s">
        <v>4373</v>
      </c>
      <c r="J2680" t="s">
        <v>294</v>
      </c>
      <c r="M2680" t="s">
        <v>295</v>
      </c>
      <c r="N2680" t="s">
        <v>296</v>
      </c>
      <c r="O2680" t="s">
        <v>297</v>
      </c>
    </row>
    <row r="2681" spans="1:15" x14ac:dyDescent="0.3">
      <c r="A2681" t="s">
        <v>4324</v>
      </c>
      <c r="B2681" t="s">
        <v>4325</v>
      </c>
      <c r="C2681">
        <v>2022</v>
      </c>
      <c r="D2681" t="s">
        <v>300</v>
      </c>
      <c r="E2681" t="s">
        <v>322</v>
      </c>
      <c r="F2681">
        <v>1481</v>
      </c>
      <c r="G2681" t="s">
        <v>302</v>
      </c>
      <c r="H2681">
        <v>4</v>
      </c>
      <c r="I2681" t="s">
        <v>4374</v>
      </c>
      <c r="J2681" t="s">
        <v>294</v>
      </c>
      <c r="M2681" t="s">
        <v>295</v>
      </c>
      <c r="N2681" t="s">
        <v>296</v>
      </c>
      <c r="O2681" t="s">
        <v>297</v>
      </c>
    </row>
    <row r="2682" spans="1:15" x14ac:dyDescent="0.3">
      <c r="A2682" t="s">
        <v>4324</v>
      </c>
      <c r="B2682" t="s">
        <v>4325</v>
      </c>
      <c r="C2682">
        <v>2022</v>
      </c>
      <c r="D2682" t="s">
        <v>300</v>
      </c>
      <c r="E2682" t="s">
        <v>318</v>
      </c>
      <c r="F2682">
        <v>710</v>
      </c>
      <c r="G2682" t="s">
        <v>302</v>
      </c>
      <c r="H2682">
        <v>4</v>
      </c>
      <c r="I2682" t="s">
        <v>4375</v>
      </c>
      <c r="J2682" t="s">
        <v>294</v>
      </c>
      <c r="M2682" t="s">
        <v>295</v>
      </c>
      <c r="N2682" t="s">
        <v>296</v>
      </c>
      <c r="O2682" t="s">
        <v>297</v>
      </c>
    </row>
    <row r="2683" spans="1:15" x14ac:dyDescent="0.3">
      <c r="A2683" t="s">
        <v>4324</v>
      </c>
      <c r="B2683" t="s">
        <v>4325</v>
      </c>
      <c r="C2683">
        <v>2022</v>
      </c>
      <c r="D2683" t="s">
        <v>300</v>
      </c>
      <c r="E2683" t="s">
        <v>468</v>
      </c>
      <c r="F2683">
        <v>772</v>
      </c>
      <c r="G2683" t="s">
        <v>302</v>
      </c>
      <c r="H2683">
        <v>118</v>
      </c>
      <c r="I2683" t="s">
        <v>4376</v>
      </c>
      <c r="J2683" t="s">
        <v>294</v>
      </c>
      <c r="M2683" t="s">
        <v>295</v>
      </c>
      <c r="N2683" t="s">
        <v>296</v>
      </c>
      <c r="O2683" t="s">
        <v>297</v>
      </c>
    </row>
    <row r="2684" spans="1:15" x14ac:dyDescent="0.3">
      <c r="A2684" t="s">
        <v>4324</v>
      </c>
      <c r="B2684" t="s">
        <v>4325</v>
      </c>
      <c r="C2684">
        <v>2022</v>
      </c>
      <c r="D2684" t="s">
        <v>300</v>
      </c>
      <c r="E2684" t="s">
        <v>4377</v>
      </c>
      <c r="F2684">
        <v>0</v>
      </c>
      <c r="G2684" t="s">
        <v>302</v>
      </c>
      <c r="H2684">
        <v>4</v>
      </c>
      <c r="I2684" t="s">
        <v>4378</v>
      </c>
      <c r="J2684" t="s">
        <v>294</v>
      </c>
      <c r="M2684" t="s">
        <v>295</v>
      </c>
      <c r="N2684" t="s">
        <v>296</v>
      </c>
      <c r="O2684" t="s">
        <v>297</v>
      </c>
    </row>
    <row r="2685" spans="1:15" x14ac:dyDescent="0.3">
      <c r="A2685" t="s">
        <v>4324</v>
      </c>
      <c r="B2685" t="s">
        <v>4325</v>
      </c>
      <c r="C2685">
        <v>2022</v>
      </c>
      <c r="D2685" t="s">
        <v>300</v>
      </c>
      <c r="E2685" t="s">
        <v>4379</v>
      </c>
      <c r="F2685">
        <v>655</v>
      </c>
      <c r="G2685" t="s">
        <v>302</v>
      </c>
      <c r="H2685">
        <v>118</v>
      </c>
      <c r="I2685" t="s">
        <v>4380</v>
      </c>
      <c r="J2685" t="s">
        <v>294</v>
      </c>
      <c r="M2685" t="s">
        <v>295</v>
      </c>
      <c r="N2685" t="s">
        <v>296</v>
      </c>
      <c r="O2685" t="s">
        <v>297</v>
      </c>
    </row>
    <row r="2686" spans="1:15" x14ac:dyDescent="0.3">
      <c r="A2686" t="s">
        <v>4324</v>
      </c>
      <c r="B2686" t="s">
        <v>4325</v>
      </c>
      <c r="C2686">
        <v>2022</v>
      </c>
      <c r="D2686" t="s">
        <v>300</v>
      </c>
      <c r="E2686" t="s">
        <v>324</v>
      </c>
      <c r="F2686">
        <v>10936</v>
      </c>
      <c r="G2686" t="s">
        <v>302</v>
      </c>
      <c r="H2686">
        <v>4</v>
      </c>
      <c r="I2686" t="s">
        <v>4381</v>
      </c>
      <c r="J2686" t="s">
        <v>294</v>
      </c>
      <c r="M2686" t="s">
        <v>295</v>
      </c>
      <c r="N2686" t="s">
        <v>296</v>
      </c>
      <c r="O2686" t="s">
        <v>297</v>
      </c>
    </row>
    <row r="2687" spans="1:15" x14ac:dyDescent="0.3">
      <c r="A2687" t="s">
        <v>4324</v>
      </c>
      <c r="B2687" t="s">
        <v>4325</v>
      </c>
      <c r="C2687">
        <v>2022</v>
      </c>
      <c r="D2687" t="s">
        <v>300</v>
      </c>
      <c r="E2687" t="s">
        <v>601</v>
      </c>
      <c r="F2687">
        <v>1087</v>
      </c>
      <c r="G2687" t="s">
        <v>302</v>
      </c>
      <c r="H2687">
        <v>122</v>
      </c>
      <c r="I2687" t="s">
        <v>4382</v>
      </c>
      <c r="J2687" t="s">
        <v>294</v>
      </c>
      <c r="M2687" t="s">
        <v>295</v>
      </c>
      <c r="N2687" t="s">
        <v>296</v>
      </c>
      <c r="O2687" t="s">
        <v>297</v>
      </c>
    </row>
    <row r="2688" spans="1:15" x14ac:dyDescent="0.3">
      <c r="A2688" t="s">
        <v>4324</v>
      </c>
      <c r="B2688" t="s">
        <v>4325</v>
      </c>
      <c r="C2688">
        <v>2022</v>
      </c>
      <c r="D2688" t="s">
        <v>300</v>
      </c>
      <c r="E2688" t="s">
        <v>603</v>
      </c>
      <c r="F2688">
        <v>-334</v>
      </c>
      <c r="G2688" t="s">
        <v>302</v>
      </c>
      <c r="H2688">
        <v>122</v>
      </c>
      <c r="I2688" t="s">
        <v>4383</v>
      </c>
      <c r="J2688" t="s">
        <v>294</v>
      </c>
      <c r="M2688" t="s">
        <v>295</v>
      </c>
      <c r="N2688" t="s">
        <v>296</v>
      </c>
      <c r="O2688" t="s">
        <v>297</v>
      </c>
    </row>
    <row r="2689" spans="1:15" x14ac:dyDescent="0.3">
      <c r="A2689" t="s">
        <v>4324</v>
      </c>
      <c r="B2689" t="s">
        <v>4325</v>
      </c>
      <c r="C2689">
        <v>2022</v>
      </c>
      <c r="D2689" t="s">
        <v>300</v>
      </c>
      <c r="E2689" t="s">
        <v>716</v>
      </c>
      <c r="F2689">
        <v>-352</v>
      </c>
      <c r="G2689" t="s">
        <v>302</v>
      </c>
      <c r="H2689">
        <v>122</v>
      </c>
      <c r="I2689" t="s">
        <v>4384</v>
      </c>
      <c r="J2689" t="s">
        <v>294</v>
      </c>
      <c r="M2689" t="s">
        <v>295</v>
      </c>
      <c r="N2689" t="s">
        <v>296</v>
      </c>
      <c r="O2689" t="s">
        <v>297</v>
      </c>
    </row>
    <row r="2690" spans="1:15" x14ac:dyDescent="0.3">
      <c r="A2690" t="s">
        <v>4324</v>
      </c>
      <c r="B2690" t="s">
        <v>4325</v>
      </c>
      <c r="C2690">
        <v>2022</v>
      </c>
      <c r="D2690" t="s">
        <v>300</v>
      </c>
      <c r="E2690" t="s">
        <v>4385</v>
      </c>
      <c r="F2690">
        <v>321</v>
      </c>
      <c r="G2690" t="s">
        <v>302</v>
      </c>
      <c r="H2690">
        <v>4</v>
      </c>
      <c r="I2690" t="s">
        <v>4386</v>
      </c>
      <c r="J2690" t="s">
        <v>294</v>
      </c>
      <c r="M2690" t="s">
        <v>295</v>
      </c>
      <c r="N2690" t="s">
        <v>296</v>
      </c>
      <c r="O2690" t="s">
        <v>297</v>
      </c>
    </row>
    <row r="2691" spans="1:15" x14ac:dyDescent="0.3">
      <c r="A2691" t="s">
        <v>4324</v>
      </c>
      <c r="B2691" t="s">
        <v>4325</v>
      </c>
      <c r="C2691">
        <v>2022</v>
      </c>
      <c r="D2691" t="s">
        <v>300</v>
      </c>
      <c r="E2691" t="s">
        <v>4387</v>
      </c>
      <c r="F2691">
        <v>348</v>
      </c>
      <c r="G2691" t="s">
        <v>302</v>
      </c>
      <c r="H2691">
        <v>34</v>
      </c>
      <c r="I2691" t="s">
        <v>4388</v>
      </c>
      <c r="J2691" t="s">
        <v>294</v>
      </c>
      <c r="M2691" t="s">
        <v>295</v>
      </c>
      <c r="N2691" t="s">
        <v>296</v>
      </c>
      <c r="O2691" t="s">
        <v>297</v>
      </c>
    </row>
    <row r="2692" spans="1:15" x14ac:dyDescent="0.3">
      <c r="A2692" t="s">
        <v>4324</v>
      </c>
      <c r="B2692" t="s">
        <v>4325</v>
      </c>
      <c r="C2692">
        <v>2022</v>
      </c>
      <c r="D2692" t="s">
        <v>300</v>
      </c>
      <c r="E2692" t="s">
        <v>4389</v>
      </c>
      <c r="F2692">
        <v>51</v>
      </c>
      <c r="G2692" t="s">
        <v>346</v>
      </c>
      <c r="H2692">
        <v>34</v>
      </c>
      <c r="I2692" t="s">
        <v>4390</v>
      </c>
      <c r="J2692" t="s">
        <v>294</v>
      </c>
      <c r="M2692" t="s">
        <v>295</v>
      </c>
      <c r="N2692" t="s">
        <v>296</v>
      </c>
      <c r="O2692" t="s">
        <v>297</v>
      </c>
    </row>
    <row r="2693" spans="1:15" x14ac:dyDescent="0.3">
      <c r="A2693" t="s">
        <v>4324</v>
      </c>
      <c r="B2693" t="s">
        <v>4325</v>
      </c>
      <c r="C2693">
        <v>2022</v>
      </c>
      <c r="D2693" t="s">
        <v>300</v>
      </c>
      <c r="E2693" t="s">
        <v>918</v>
      </c>
      <c r="F2693">
        <v>0.35</v>
      </c>
      <c r="G2693" t="s">
        <v>334</v>
      </c>
      <c r="H2693">
        <v>34</v>
      </c>
      <c r="I2693" t="s">
        <v>4391</v>
      </c>
      <c r="J2693" t="s">
        <v>294</v>
      </c>
      <c r="M2693" t="s">
        <v>295</v>
      </c>
      <c r="N2693" t="s">
        <v>296</v>
      </c>
      <c r="O2693" t="s">
        <v>297</v>
      </c>
    </row>
    <row r="2694" spans="1:15" x14ac:dyDescent="0.3">
      <c r="A2694" t="s">
        <v>4324</v>
      </c>
      <c r="B2694" t="s">
        <v>4325</v>
      </c>
      <c r="C2694">
        <v>2022</v>
      </c>
      <c r="D2694" t="s">
        <v>300</v>
      </c>
      <c r="E2694" t="s">
        <v>3049</v>
      </c>
      <c r="F2694">
        <v>152</v>
      </c>
      <c r="G2694" t="s">
        <v>346</v>
      </c>
      <c r="H2694">
        <v>4</v>
      </c>
      <c r="I2694" t="s">
        <v>4392</v>
      </c>
      <c r="J2694" t="s">
        <v>294</v>
      </c>
      <c r="M2694" t="s">
        <v>295</v>
      </c>
      <c r="N2694" t="s">
        <v>296</v>
      </c>
      <c r="O2694" t="s">
        <v>297</v>
      </c>
    </row>
    <row r="2695" spans="1:15" x14ac:dyDescent="0.3">
      <c r="A2695" t="s">
        <v>4324</v>
      </c>
      <c r="B2695" t="s">
        <v>4325</v>
      </c>
      <c r="C2695">
        <v>2022</v>
      </c>
      <c r="D2695" t="s">
        <v>300</v>
      </c>
      <c r="E2695" t="s">
        <v>4393</v>
      </c>
      <c r="F2695">
        <v>1015</v>
      </c>
      <c r="G2695" t="s">
        <v>346</v>
      </c>
      <c r="H2695">
        <v>15</v>
      </c>
      <c r="I2695" t="s">
        <v>4394</v>
      </c>
      <c r="J2695" t="s">
        <v>294</v>
      </c>
      <c r="M2695" t="s">
        <v>295</v>
      </c>
      <c r="N2695" t="s">
        <v>296</v>
      </c>
      <c r="O2695" t="s">
        <v>297</v>
      </c>
    </row>
    <row r="2696" spans="1:15" x14ac:dyDescent="0.3">
      <c r="A2696" t="s">
        <v>4324</v>
      </c>
      <c r="B2696" t="s">
        <v>4325</v>
      </c>
      <c r="C2696">
        <v>2022</v>
      </c>
      <c r="D2696" t="s">
        <v>300</v>
      </c>
      <c r="E2696" t="s">
        <v>4395</v>
      </c>
      <c r="F2696">
        <v>1570</v>
      </c>
      <c r="G2696" t="s">
        <v>346</v>
      </c>
      <c r="H2696">
        <v>15</v>
      </c>
      <c r="I2696" t="s">
        <v>4396</v>
      </c>
      <c r="J2696" t="s">
        <v>294</v>
      </c>
      <c r="M2696" t="s">
        <v>295</v>
      </c>
      <c r="N2696" t="s">
        <v>296</v>
      </c>
      <c r="O2696" t="s">
        <v>297</v>
      </c>
    </row>
    <row r="2697" spans="1:15" x14ac:dyDescent="0.3">
      <c r="A2697" t="s">
        <v>4324</v>
      </c>
      <c r="B2697" t="s">
        <v>4325</v>
      </c>
      <c r="C2697">
        <v>2022</v>
      </c>
      <c r="D2697" t="s">
        <v>300</v>
      </c>
      <c r="E2697" t="s">
        <v>4397</v>
      </c>
      <c r="F2697">
        <v>1005</v>
      </c>
      <c r="G2697" t="s">
        <v>346</v>
      </c>
      <c r="H2697">
        <v>15</v>
      </c>
      <c r="I2697" t="s">
        <v>4396</v>
      </c>
      <c r="J2697" t="s">
        <v>294</v>
      </c>
      <c r="M2697" t="s">
        <v>295</v>
      </c>
      <c r="N2697" t="s">
        <v>296</v>
      </c>
      <c r="O2697" t="s">
        <v>297</v>
      </c>
    </row>
    <row r="2698" spans="1:15" x14ac:dyDescent="0.3">
      <c r="A2698" t="s">
        <v>4324</v>
      </c>
      <c r="B2698" t="s">
        <v>4325</v>
      </c>
      <c r="C2698">
        <v>2022</v>
      </c>
      <c r="D2698" t="s">
        <v>300</v>
      </c>
      <c r="E2698" t="s">
        <v>4398</v>
      </c>
      <c r="F2698">
        <v>6922</v>
      </c>
      <c r="G2698" t="s">
        <v>302</v>
      </c>
      <c r="H2698">
        <v>34</v>
      </c>
      <c r="I2698" t="s">
        <v>4399</v>
      </c>
      <c r="J2698" t="s">
        <v>294</v>
      </c>
      <c r="M2698" t="s">
        <v>295</v>
      </c>
      <c r="N2698" t="s">
        <v>296</v>
      </c>
      <c r="O2698" t="s">
        <v>297</v>
      </c>
    </row>
    <row r="2699" spans="1:15" x14ac:dyDescent="0.3">
      <c r="A2699" t="s">
        <v>4324</v>
      </c>
      <c r="B2699" t="s">
        <v>4325</v>
      </c>
      <c r="C2699">
        <v>2022</v>
      </c>
      <c r="D2699" t="s">
        <v>300</v>
      </c>
      <c r="E2699" t="s">
        <v>326</v>
      </c>
      <c r="F2699">
        <v>7.2</v>
      </c>
      <c r="G2699" t="s">
        <v>327</v>
      </c>
      <c r="H2699">
        <v>4</v>
      </c>
      <c r="I2699" t="s">
        <v>4400</v>
      </c>
      <c r="J2699" t="s">
        <v>294</v>
      </c>
      <c r="M2699" t="s">
        <v>295</v>
      </c>
      <c r="N2699" t="s">
        <v>296</v>
      </c>
      <c r="O2699" t="s">
        <v>297</v>
      </c>
    </row>
    <row r="2700" spans="1:15" x14ac:dyDescent="0.3">
      <c r="A2700" t="s">
        <v>4324</v>
      </c>
      <c r="B2700" t="s">
        <v>4325</v>
      </c>
      <c r="C2700">
        <v>2022</v>
      </c>
      <c r="D2700" t="s">
        <v>300</v>
      </c>
      <c r="E2700" t="s">
        <v>4401</v>
      </c>
      <c r="F2700">
        <v>0.14000000000000001</v>
      </c>
      <c r="G2700" t="s">
        <v>327</v>
      </c>
      <c r="H2700">
        <v>4</v>
      </c>
      <c r="I2700" t="s">
        <v>4402</v>
      </c>
      <c r="J2700" t="s">
        <v>294</v>
      </c>
      <c r="M2700" t="s">
        <v>295</v>
      </c>
      <c r="N2700" t="s">
        <v>296</v>
      </c>
      <c r="O2700" t="s">
        <v>297</v>
      </c>
    </row>
    <row r="2701" spans="1:15" x14ac:dyDescent="0.3">
      <c r="A2701" t="s">
        <v>4324</v>
      </c>
      <c r="B2701" t="s">
        <v>4325</v>
      </c>
      <c r="C2701">
        <v>2022</v>
      </c>
      <c r="D2701" t="s">
        <v>300</v>
      </c>
      <c r="E2701" t="s">
        <v>4403</v>
      </c>
      <c r="F2701">
        <v>-0.35</v>
      </c>
      <c r="G2701" t="s">
        <v>327</v>
      </c>
      <c r="H2701">
        <v>4</v>
      </c>
      <c r="I2701" t="s">
        <v>4404</v>
      </c>
      <c r="J2701" t="s">
        <v>294</v>
      </c>
      <c r="M2701" t="s">
        <v>295</v>
      </c>
      <c r="N2701" t="s">
        <v>296</v>
      </c>
      <c r="O2701" t="s">
        <v>297</v>
      </c>
    </row>
    <row r="2702" spans="1:15" x14ac:dyDescent="0.3">
      <c r="A2702" t="s">
        <v>4324</v>
      </c>
      <c r="B2702" t="s">
        <v>4325</v>
      </c>
      <c r="C2702">
        <v>2022</v>
      </c>
      <c r="D2702" t="s">
        <v>300</v>
      </c>
      <c r="E2702" t="s">
        <v>3052</v>
      </c>
      <c r="F2702">
        <v>8.5000000000000006E-2</v>
      </c>
      <c r="G2702" t="s">
        <v>334</v>
      </c>
      <c r="H2702">
        <v>4</v>
      </c>
      <c r="I2702" t="s">
        <v>4405</v>
      </c>
      <c r="J2702" t="s">
        <v>294</v>
      </c>
      <c r="M2702" t="s">
        <v>295</v>
      </c>
      <c r="N2702" t="s">
        <v>296</v>
      </c>
      <c r="O2702" t="s">
        <v>297</v>
      </c>
    </row>
    <row r="2703" spans="1:15" x14ac:dyDescent="0.3">
      <c r="A2703" t="s">
        <v>4324</v>
      </c>
      <c r="B2703" t="s">
        <v>4325</v>
      </c>
      <c r="C2703">
        <v>2022</v>
      </c>
      <c r="D2703" t="s">
        <v>300</v>
      </c>
      <c r="E2703" t="s">
        <v>3054</v>
      </c>
      <c r="F2703">
        <v>9.8000000000000004E-2</v>
      </c>
      <c r="G2703" t="s">
        <v>334</v>
      </c>
      <c r="H2703">
        <v>4</v>
      </c>
      <c r="I2703" t="s">
        <v>4406</v>
      </c>
      <c r="J2703" t="s">
        <v>294</v>
      </c>
      <c r="M2703" t="s">
        <v>295</v>
      </c>
      <c r="N2703" t="s">
        <v>296</v>
      </c>
      <c r="O2703" t="s">
        <v>297</v>
      </c>
    </row>
    <row r="2704" spans="1:15" x14ac:dyDescent="0.3">
      <c r="A2704" t="s">
        <v>4324</v>
      </c>
      <c r="B2704" t="s">
        <v>4325</v>
      </c>
      <c r="C2704">
        <v>2022</v>
      </c>
      <c r="D2704" t="s">
        <v>358</v>
      </c>
      <c r="E2704" t="s">
        <v>4407</v>
      </c>
      <c r="F2704">
        <v>111240</v>
      </c>
      <c r="G2704" t="s">
        <v>360</v>
      </c>
      <c r="H2704">
        <v>5</v>
      </c>
      <c r="I2704" t="s">
        <v>4408</v>
      </c>
      <c r="J2704" t="s">
        <v>294</v>
      </c>
      <c r="M2704" t="s">
        <v>295</v>
      </c>
      <c r="N2704" t="s">
        <v>296</v>
      </c>
      <c r="O2704" t="s">
        <v>297</v>
      </c>
    </row>
    <row r="2705" spans="1:15" x14ac:dyDescent="0.3">
      <c r="A2705" t="s">
        <v>4324</v>
      </c>
      <c r="B2705" t="s">
        <v>4325</v>
      </c>
      <c r="C2705">
        <v>2022</v>
      </c>
      <c r="D2705" t="s">
        <v>358</v>
      </c>
      <c r="E2705" t="s">
        <v>4409</v>
      </c>
      <c r="F2705">
        <v>91151</v>
      </c>
      <c r="G2705" t="s">
        <v>360</v>
      </c>
      <c r="H2705">
        <v>5</v>
      </c>
      <c r="I2705" t="s">
        <v>4410</v>
      </c>
      <c r="J2705" t="s">
        <v>294</v>
      </c>
      <c r="M2705" t="s">
        <v>295</v>
      </c>
      <c r="N2705" t="s">
        <v>296</v>
      </c>
      <c r="O2705" t="s">
        <v>297</v>
      </c>
    </row>
    <row r="2706" spans="1:15" x14ac:dyDescent="0.3">
      <c r="A2706" t="s">
        <v>4324</v>
      </c>
      <c r="B2706" t="s">
        <v>4325</v>
      </c>
      <c r="C2706">
        <v>2022</v>
      </c>
      <c r="D2706" t="s">
        <v>358</v>
      </c>
      <c r="E2706" t="s">
        <v>4411</v>
      </c>
      <c r="F2706">
        <v>83742</v>
      </c>
      <c r="G2706" t="s">
        <v>360</v>
      </c>
      <c r="H2706">
        <v>5</v>
      </c>
      <c r="I2706" t="s">
        <v>4412</v>
      </c>
      <c r="J2706" t="s">
        <v>294</v>
      </c>
      <c r="M2706" t="s">
        <v>295</v>
      </c>
      <c r="N2706" t="s">
        <v>296</v>
      </c>
      <c r="O2706" t="s">
        <v>297</v>
      </c>
    </row>
    <row r="2707" spans="1:15" x14ac:dyDescent="0.3">
      <c r="A2707" t="s">
        <v>4324</v>
      </c>
      <c r="B2707" t="s">
        <v>4325</v>
      </c>
      <c r="C2707">
        <v>2022</v>
      </c>
      <c r="D2707" t="s">
        <v>358</v>
      </c>
      <c r="E2707" t="s">
        <v>4413</v>
      </c>
      <c r="F2707">
        <v>7409</v>
      </c>
      <c r="G2707" t="s">
        <v>360</v>
      </c>
      <c r="H2707">
        <v>5</v>
      </c>
      <c r="I2707" t="s">
        <v>4414</v>
      </c>
      <c r="J2707" t="s">
        <v>294</v>
      </c>
      <c r="M2707" t="s">
        <v>295</v>
      </c>
      <c r="N2707" t="s">
        <v>296</v>
      </c>
      <c r="O2707" t="s">
        <v>297</v>
      </c>
    </row>
    <row r="2708" spans="1:15" x14ac:dyDescent="0.3">
      <c r="A2708" t="s">
        <v>4324</v>
      </c>
      <c r="B2708" t="s">
        <v>4325</v>
      </c>
      <c r="C2708">
        <v>2022</v>
      </c>
      <c r="D2708" t="s">
        <v>358</v>
      </c>
      <c r="E2708" t="s">
        <v>4415</v>
      </c>
      <c r="F2708">
        <v>2710</v>
      </c>
      <c r="G2708" t="s">
        <v>360</v>
      </c>
      <c r="H2708">
        <v>5</v>
      </c>
      <c r="I2708" t="s">
        <v>4416</v>
      </c>
      <c r="J2708" t="s">
        <v>294</v>
      </c>
      <c r="M2708" t="s">
        <v>295</v>
      </c>
      <c r="N2708" t="s">
        <v>296</v>
      </c>
      <c r="O2708" t="s">
        <v>297</v>
      </c>
    </row>
    <row r="2709" spans="1:15" x14ac:dyDescent="0.3">
      <c r="A2709" t="s">
        <v>4324</v>
      </c>
      <c r="B2709" t="s">
        <v>4325</v>
      </c>
      <c r="C2709">
        <v>2022</v>
      </c>
      <c r="D2709" t="s">
        <v>358</v>
      </c>
      <c r="E2709" t="s">
        <v>4417</v>
      </c>
      <c r="F2709">
        <v>44377</v>
      </c>
      <c r="G2709" t="s">
        <v>360</v>
      </c>
      <c r="H2709">
        <v>5</v>
      </c>
      <c r="I2709" t="s">
        <v>4418</v>
      </c>
      <c r="J2709" t="s">
        <v>294</v>
      </c>
      <c r="M2709" t="s">
        <v>295</v>
      </c>
      <c r="N2709" t="s">
        <v>296</v>
      </c>
      <c r="O2709" t="s">
        <v>297</v>
      </c>
    </row>
    <row r="2710" spans="1:15" x14ac:dyDescent="0.3">
      <c r="A2710" t="s">
        <v>4324</v>
      </c>
      <c r="B2710" t="s">
        <v>4325</v>
      </c>
      <c r="C2710">
        <v>2022</v>
      </c>
      <c r="D2710" t="s">
        <v>358</v>
      </c>
      <c r="E2710" t="s">
        <v>4419</v>
      </c>
      <c r="F2710">
        <v>36656</v>
      </c>
      <c r="G2710" t="s">
        <v>360</v>
      </c>
      <c r="H2710">
        <v>5</v>
      </c>
      <c r="I2710" t="s">
        <v>4420</v>
      </c>
      <c r="J2710" t="s">
        <v>294</v>
      </c>
      <c r="M2710" t="s">
        <v>295</v>
      </c>
      <c r="N2710" t="s">
        <v>296</v>
      </c>
      <c r="O2710" t="s">
        <v>297</v>
      </c>
    </row>
    <row r="2711" spans="1:15" x14ac:dyDescent="0.3">
      <c r="A2711" t="s">
        <v>4324</v>
      </c>
      <c r="B2711" t="s">
        <v>4325</v>
      </c>
      <c r="C2711">
        <v>2022</v>
      </c>
      <c r="D2711" t="s">
        <v>358</v>
      </c>
      <c r="E2711" t="s">
        <v>4421</v>
      </c>
      <c r="F2711">
        <v>16074</v>
      </c>
      <c r="G2711" t="s">
        <v>360</v>
      </c>
      <c r="H2711">
        <v>5</v>
      </c>
      <c r="I2711" t="s">
        <v>4422</v>
      </c>
      <c r="J2711" t="s">
        <v>294</v>
      </c>
      <c r="M2711" t="s">
        <v>295</v>
      </c>
      <c r="N2711" t="s">
        <v>296</v>
      </c>
      <c r="O2711" t="s">
        <v>297</v>
      </c>
    </row>
    <row r="2712" spans="1:15" x14ac:dyDescent="0.3">
      <c r="A2712" t="s">
        <v>4324</v>
      </c>
      <c r="B2712" t="s">
        <v>4325</v>
      </c>
      <c r="C2712">
        <v>2022</v>
      </c>
      <c r="D2712" t="s">
        <v>358</v>
      </c>
      <c r="E2712" t="s">
        <v>4423</v>
      </c>
      <c r="F2712">
        <v>4015</v>
      </c>
      <c r="G2712" t="s">
        <v>360</v>
      </c>
      <c r="H2712">
        <v>5</v>
      </c>
      <c r="I2712" t="s">
        <v>4424</v>
      </c>
      <c r="J2712" t="s">
        <v>294</v>
      </c>
      <c r="M2712" t="s">
        <v>295</v>
      </c>
      <c r="N2712" t="s">
        <v>296</v>
      </c>
      <c r="O2712" t="s">
        <v>297</v>
      </c>
    </row>
    <row r="2713" spans="1:15" x14ac:dyDescent="0.3">
      <c r="A2713" t="s">
        <v>4324</v>
      </c>
      <c r="B2713" t="s">
        <v>4325</v>
      </c>
      <c r="C2713">
        <v>2022</v>
      </c>
      <c r="D2713" t="s">
        <v>358</v>
      </c>
      <c r="E2713" t="s">
        <v>4425</v>
      </c>
      <c r="F2713">
        <v>35064</v>
      </c>
      <c r="G2713" t="s">
        <v>360</v>
      </c>
      <c r="H2713">
        <v>5</v>
      </c>
      <c r="I2713" t="s">
        <v>4426</v>
      </c>
      <c r="J2713" t="s">
        <v>294</v>
      </c>
      <c r="M2713" t="s">
        <v>295</v>
      </c>
      <c r="N2713" t="s">
        <v>296</v>
      </c>
      <c r="O2713" t="s">
        <v>297</v>
      </c>
    </row>
    <row r="2714" spans="1:15" x14ac:dyDescent="0.3">
      <c r="A2714" t="s">
        <v>4324</v>
      </c>
      <c r="B2714" t="s">
        <v>4325</v>
      </c>
      <c r="C2714">
        <v>2022</v>
      </c>
      <c r="D2714" t="s">
        <v>358</v>
      </c>
      <c r="E2714" t="s">
        <v>4427</v>
      </c>
      <c r="F2714">
        <v>36473</v>
      </c>
      <c r="G2714" t="s">
        <v>360</v>
      </c>
      <c r="H2714">
        <v>5</v>
      </c>
      <c r="I2714" t="s">
        <v>4428</v>
      </c>
      <c r="J2714" t="s">
        <v>294</v>
      </c>
      <c r="M2714" t="s">
        <v>295</v>
      </c>
      <c r="N2714" t="s">
        <v>296</v>
      </c>
      <c r="O2714" t="s">
        <v>297</v>
      </c>
    </row>
    <row r="2715" spans="1:15" x14ac:dyDescent="0.3">
      <c r="A2715" t="s">
        <v>4324</v>
      </c>
      <c r="B2715" t="s">
        <v>4325</v>
      </c>
      <c r="C2715">
        <v>2022</v>
      </c>
      <c r="D2715" t="s">
        <v>358</v>
      </c>
      <c r="E2715" t="s">
        <v>4429</v>
      </c>
      <c r="F2715">
        <v>48900</v>
      </c>
      <c r="G2715" t="s">
        <v>360</v>
      </c>
      <c r="H2715">
        <v>5</v>
      </c>
      <c r="I2715" t="s">
        <v>4430</v>
      </c>
      <c r="J2715" t="s">
        <v>294</v>
      </c>
      <c r="M2715" t="s">
        <v>295</v>
      </c>
      <c r="N2715" t="s">
        <v>296</v>
      </c>
      <c r="O2715" t="s">
        <v>297</v>
      </c>
    </row>
    <row r="2716" spans="1:15" x14ac:dyDescent="0.3">
      <c r="A2716" t="s">
        <v>4324</v>
      </c>
      <c r="B2716" t="s">
        <v>4325</v>
      </c>
      <c r="C2716">
        <v>2022</v>
      </c>
      <c r="D2716" t="s">
        <v>358</v>
      </c>
      <c r="E2716" t="s">
        <v>4431</v>
      </c>
      <c r="F2716">
        <v>17152</v>
      </c>
      <c r="G2716" t="s">
        <v>360</v>
      </c>
      <c r="H2716">
        <v>5</v>
      </c>
      <c r="I2716" t="s">
        <v>4432</v>
      </c>
      <c r="J2716" t="s">
        <v>294</v>
      </c>
      <c r="M2716" t="s">
        <v>295</v>
      </c>
      <c r="N2716" t="s">
        <v>296</v>
      </c>
      <c r="O2716" t="s">
        <v>297</v>
      </c>
    </row>
    <row r="2717" spans="1:15" x14ac:dyDescent="0.3">
      <c r="A2717" t="s">
        <v>4324</v>
      </c>
      <c r="B2717" t="s">
        <v>4325</v>
      </c>
      <c r="C2717">
        <v>2022</v>
      </c>
      <c r="D2717" t="s">
        <v>358</v>
      </c>
      <c r="E2717" t="s">
        <v>4433</v>
      </c>
      <c r="F2717">
        <v>3249</v>
      </c>
      <c r="G2717" t="s">
        <v>360</v>
      </c>
      <c r="H2717">
        <v>5</v>
      </c>
      <c r="I2717" t="s">
        <v>4434</v>
      </c>
      <c r="J2717" t="s">
        <v>294</v>
      </c>
      <c r="M2717" t="s">
        <v>295</v>
      </c>
      <c r="N2717" t="s">
        <v>296</v>
      </c>
      <c r="O2717" t="s">
        <v>297</v>
      </c>
    </row>
    <row r="2718" spans="1:15" x14ac:dyDescent="0.3">
      <c r="A2718" t="s">
        <v>4324</v>
      </c>
      <c r="B2718" t="s">
        <v>4325</v>
      </c>
      <c r="C2718">
        <v>2022</v>
      </c>
      <c r="D2718" t="s">
        <v>358</v>
      </c>
      <c r="E2718" t="s">
        <v>4435</v>
      </c>
      <c r="F2718">
        <v>5466</v>
      </c>
      <c r="G2718" t="s">
        <v>360</v>
      </c>
      <c r="H2718">
        <v>5</v>
      </c>
      <c r="I2718" t="s">
        <v>4436</v>
      </c>
      <c r="J2718" t="s">
        <v>294</v>
      </c>
      <c r="M2718" t="s">
        <v>295</v>
      </c>
      <c r="N2718" t="s">
        <v>296</v>
      </c>
      <c r="O2718" t="s">
        <v>297</v>
      </c>
    </row>
    <row r="2719" spans="1:15" x14ac:dyDescent="0.3">
      <c r="A2719" t="s">
        <v>4324</v>
      </c>
      <c r="B2719" t="s">
        <v>4325</v>
      </c>
      <c r="C2719">
        <v>2022</v>
      </c>
      <c r="D2719" t="s">
        <v>358</v>
      </c>
      <c r="E2719" t="s">
        <v>4437</v>
      </c>
      <c r="F2719">
        <v>12</v>
      </c>
      <c r="G2719" t="s">
        <v>384</v>
      </c>
      <c r="H2719">
        <v>9</v>
      </c>
      <c r="I2719" t="s">
        <v>4438</v>
      </c>
      <c r="J2719" t="s">
        <v>294</v>
      </c>
      <c r="M2719" t="s">
        <v>295</v>
      </c>
      <c r="N2719" t="s">
        <v>296</v>
      </c>
      <c r="O2719" t="s">
        <v>297</v>
      </c>
    </row>
    <row r="2720" spans="1:15" x14ac:dyDescent="0.3">
      <c r="A2720" t="s">
        <v>4324</v>
      </c>
      <c r="B2720" t="s">
        <v>4325</v>
      </c>
      <c r="C2720">
        <v>2022</v>
      </c>
      <c r="D2720" t="s">
        <v>358</v>
      </c>
      <c r="E2720" t="s">
        <v>4439</v>
      </c>
      <c r="F2720">
        <v>2700000</v>
      </c>
      <c r="G2720" t="s">
        <v>4440</v>
      </c>
      <c r="H2720">
        <v>9</v>
      </c>
      <c r="I2720" t="s">
        <v>4441</v>
      </c>
      <c r="J2720" t="s">
        <v>294</v>
      </c>
      <c r="M2720" t="s">
        <v>295</v>
      </c>
      <c r="N2720" t="s">
        <v>296</v>
      </c>
      <c r="O2720" t="s">
        <v>297</v>
      </c>
    </row>
    <row r="2721" spans="1:15" x14ac:dyDescent="0.3">
      <c r="A2721" t="s">
        <v>4324</v>
      </c>
      <c r="B2721" t="s">
        <v>4325</v>
      </c>
      <c r="C2721">
        <v>2022</v>
      </c>
      <c r="D2721" t="s">
        <v>358</v>
      </c>
      <c r="E2721" t="s">
        <v>4442</v>
      </c>
      <c r="F2721">
        <v>3</v>
      </c>
      <c r="G2721" t="s">
        <v>384</v>
      </c>
      <c r="H2721">
        <v>9</v>
      </c>
      <c r="I2721" t="s">
        <v>4443</v>
      </c>
      <c r="J2721" t="s">
        <v>294</v>
      </c>
      <c r="M2721" t="s">
        <v>295</v>
      </c>
      <c r="N2721" t="s">
        <v>296</v>
      </c>
      <c r="O2721" t="s">
        <v>297</v>
      </c>
    </row>
    <row r="2722" spans="1:15" x14ac:dyDescent="0.3">
      <c r="A2722" t="s">
        <v>4324</v>
      </c>
      <c r="B2722" t="s">
        <v>4325</v>
      </c>
      <c r="C2722">
        <v>2022</v>
      </c>
      <c r="D2722" t="s">
        <v>358</v>
      </c>
      <c r="E2722" t="s">
        <v>4444</v>
      </c>
      <c r="F2722">
        <v>2</v>
      </c>
      <c r="G2722" t="s">
        <v>384</v>
      </c>
      <c r="H2722">
        <v>9</v>
      </c>
      <c r="I2722" t="s">
        <v>4445</v>
      </c>
      <c r="J2722" t="s">
        <v>294</v>
      </c>
      <c r="M2722" t="s">
        <v>295</v>
      </c>
      <c r="N2722" t="s">
        <v>296</v>
      </c>
      <c r="O2722" t="s">
        <v>297</v>
      </c>
    </row>
    <row r="2723" spans="1:15" x14ac:dyDescent="0.3">
      <c r="A2723" t="s">
        <v>4324</v>
      </c>
      <c r="B2723" t="s">
        <v>4325</v>
      </c>
      <c r="C2723">
        <v>2022</v>
      </c>
      <c r="D2723" t="s">
        <v>358</v>
      </c>
      <c r="E2723" t="s">
        <v>4446</v>
      </c>
      <c r="F2723">
        <v>1</v>
      </c>
      <c r="G2723" t="s">
        <v>384</v>
      </c>
      <c r="H2723">
        <v>9</v>
      </c>
      <c r="I2723" t="s">
        <v>4447</v>
      </c>
      <c r="J2723" t="s">
        <v>294</v>
      </c>
      <c r="M2723" t="s">
        <v>295</v>
      </c>
      <c r="N2723" t="s">
        <v>296</v>
      </c>
      <c r="O2723" t="s">
        <v>297</v>
      </c>
    </row>
    <row r="2724" spans="1:15" x14ac:dyDescent="0.3">
      <c r="A2724" t="s">
        <v>4324</v>
      </c>
      <c r="B2724" t="s">
        <v>4325</v>
      </c>
      <c r="C2724">
        <v>2022</v>
      </c>
      <c r="D2724" t="s">
        <v>358</v>
      </c>
      <c r="E2724" t="s">
        <v>4448</v>
      </c>
      <c r="F2724">
        <v>1</v>
      </c>
      <c r="G2724" t="s">
        <v>384</v>
      </c>
      <c r="H2724">
        <v>9</v>
      </c>
      <c r="I2724" t="s">
        <v>4447</v>
      </c>
      <c r="J2724" t="s">
        <v>294</v>
      </c>
      <c r="M2724" t="s">
        <v>295</v>
      </c>
      <c r="N2724" t="s">
        <v>296</v>
      </c>
      <c r="O2724" t="s">
        <v>297</v>
      </c>
    </row>
    <row r="2725" spans="1:15" x14ac:dyDescent="0.3">
      <c r="A2725" t="s">
        <v>4324</v>
      </c>
      <c r="B2725" t="s">
        <v>4325</v>
      </c>
      <c r="C2725">
        <v>2022</v>
      </c>
      <c r="D2725" t="s">
        <v>394</v>
      </c>
      <c r="E2725" t="s">
        <v>4449</v>
      </c>
      <c r="F2725">
        <v>1417000</v>
      </c>
      <c r="G2725" t="s">
        <v>396</v>
      </c>
      <c r="H2725">
        <v>5</v>
      </c>
      <c r="I2725" t="s">
        <v>4450</v>
      </c>
      <c r="J2725" t="s">
        <v>294</v>
      </c>
      <c r="M2725" t="s">
        <v>295</v>
      </c>
      <c r="N2725" t="s">
        <v>296</v>
      </c>
      <c r="O2725" t="s">
        <v>297</v>
      </c>
    </row>
    <row r="2726" spans="1:15" x14ac:dyDescent="0.3">
      <c r="A2726" t="s">
        <v>4324</v>
      </c>
      <c r="B2726" t="s">
        <v>4325</v>
      </c>
      <c r="C2726">
        <v>2022</v>
      </c>
      <c r="D2726" t="s">
        <v>394</v>
      </c>
      <c r="E2726" t="s">
        <v>4451</v>
      </c>
      <c r="F2726">
        <v>1174000</v>
      </c>
      <c r="G2726" t="s">
        <v>396</v>
      </c>
      <c r="H2726">
        <v>5</v>
      </c>
      <c r="I2726" t="s">
        <v>4452</v>
      </c>
      <c r="J2726" t="s">
        <v>294</v>
      </c>
      <c r="M2726" t="s">
        <v>295</v>
      </c>
      <c r="N2726" t="s">
        <v>296</v>
      </c>
      <c r="O2726" t="s">
        <v>297</v>
      </c>
    </row>
    <row r="2727" spans="1:15" x14ac:dyDescent="0.3">
      <c r="A2727" t="s">
        <v>4324</v>
      </c>
      <c r="B2727" t="s">
        <v>4325</v>
      </c>
      <c r="C2727">
        <v>2022</v>
      </c>
      <c r="D2727" t="s">
        <v>394</v>
      </c>
      <c r="E2727" t="s">
        <v>4453</v>
      </c>
      <c r="F2727">
        <v>243000</v>
      </c>
      <c r="G2727" t="s">
        <v>396</v>
      </c>
      <c r="H2727">
        <v>40</v>
      </c>
      <c r="I2727" t="s">
        <v>4454</v>
      </c>
      <c r="J2727" t="s">
        <v>294</v>
      </c>
      <c r="M2727" t="s">
        <v>295</v>
      </c>
      <c r="N2727" t="s">
        <v>296</v>
      </c>
      <c r="O2727" t="s">
        <v>297</v>
      </c>
    </row>
    <row r="2728" spans="1:15" x14ac:dyDescent="0.3">
      <c r="A2728" t="s">
        <v>4324</v>
      </c>
      <c r="B2728" t="s">
        <v>4325</v>
      </c>
      <c r="C2728">
        <v>2022</v>
      </c>
      <c r="D2728" t="s">
        <v>394</v>
      </c>
      <c r="E2728" t="s">
        <v>406</v>
      </c>
      <c r="F2728">
        <v>306000</v>
      </c>
      <c r="G2728" t="s">
        <v>396</v>
      </c>
      <c r="H2728">
        <v>5</v>
      </c>
      <c r="I2728" t="s">
        <v>4455</v>
      </c>
      <c r="J2728" t="s">
        <v>294</v>
      </c>
      <c r="M2728" t="s">
        <v>295</v>
      </c>
      <c r="N2728" t="s">
        <v>296</v>
      </c>
      <c r="O2728" t="s">
        <v>297</v>
      </c>
    </row>
    <row r="2729" spans="1:15" x14ac:dyDescent="0.3">
      <c r="A2729" t="s">
        <v>4324</v>
      </c>
      <c r="B2729" t="s">
        <v>4325</v>
      </c>
      <c r="C2729">
        <v>2022</v>
      </c>
      <c r="D2729" t="s">
        <v>394</v>
      </c>
      <c r="E2729" t="s">
        <v>4456</v>
      </c>
      <c r="F2729">
        <v>88000</v>
      </c>
      <c r="G2729" t="s">
        <v>396</v>
      </c>
      <c r="H2729">
        <v>5</v>
      </c>
      <c r="I2729" t="s">
        <v>4457</v>
      </c>
      <c r="J2729" t="s">
        <v>294</v>
      </c>
      <c r="M2729" t="s">
        <v>295</v>
      </c>
      <c r="N2729" t="s">
        <v>296</v>
      </c>
      <c r="O2729" t="s">
        <v>297</v>
      </c>
    </row>
    <row r="2730" spans="1:15" x14ac:dyDescent="0.3">
      <c r="A2730" t="s">
        <v>4324</v>
      </c>
      <c r="B2730" t="s">
        <v>4325</v>
      </c>
      <c r="C2730">
        <v>2022</v>
      </c>
      <c r="D2730" t="s">
        <v>394</v>
      </c>
      <c r="E2730" t="s">
        <v>4458</v>
      </c>
      <c r="F2730">
        <v>7100000</v>
      </c>
      <c r="G2730" t="s">
        <v>4459</v>
      </c>
      <c r="H2730">
        <v>5</v>
      </c>
      <c r="I2730" t="s">
        <v>4460</v>
      </c>
      <c r="J2730" t="s">
        <v>294</v>
      </c>
      <c r="M2730" t="s">
        <v>295</v>
      </c>
      <c r="N2730" t="s">
        <v>296</v>
      </c>
      <c r="O2730" t="s">
        <v>297</v>
      </c>
    </row>
    <row r="2731" spans="1:15" x14ac:dyDescent="0.3">
      <c r="A2731" t="s">
        <v>4324</v>
      </c>
      <c r="B2731" t="s">
        <v>4325</v>
      </c>
      <c r="C2731">
        <v>2022</v>
      </c>
      <c r="D2731" t="s">
        <v>394</v>
      </c>
      <c r="E2731" t="s">
        <v>4461</v>
      </c>
      <c r="F2731">
        <v>5200</v>
      </c>
      <c r="G2731" t="s">
        <v>396</v>
      </c>
      <c r="H2731">
        <v>5</v>
      </c>
      <c r="I2731" t="s">
        <v>4462</v>
      </c>
      <c r="J2731" t="s">
        <v>294</v>
      </c>
      <c r="M2731" t="s">
        <v>295</v>
      </c>
      <c r="N2731" t="s">
        <v>296</v>
      </c>
      <c r="O2731" t="s">
        <v>297</v>
      </c>
    </row>
    <row r="2732" spans="1:15" x14ac:dyDescent="0.3">
      <c r="A2732" t="s">
        <v>4324</v>
      </c>
      <c r="B2732" t="s">
        <v>4325</v>
      </c>
      <c r="C2732">
        <v>2022</v>
      </c>
      <c r="D2732" t="s">
        <v>394</v>
      </c>
      <c r="E2732" t="s">
        <v>4463</v>
      </c>
      <c r="F2732">
        <v>487</v>
      </c>
      <c r="G2732" t="s">
        <v>396</v>
      </c>
      <c r="H2732">
        <v>5</v>
      </c>
      <c r="I2732" t="s">
        <v>4464</v>
      </c>
      <c r="J2732" t="s">
        <v>294</v>
      </c>
      <c r="M2732" t="s">
        <v>295</v>
      </c>
      <c r="N2732" t="s">
        <v>296</v>
      </c>
      <c r="O2732" t="s">
        <v>297</v>
      </c>
    </row>
    <row r="2733" spans="1:15" x14ac:dyDescent="0.3">
      <c r="A2733" t="s">
        <v>4324</v>
      </c>
      <c r="B2733" t="s">
        <v>4325</v>
      </c>
      <c r="C2733">
        <v>2022</v>
      </c>
      <c r="D2733" t="s">
        <v>394</v>
      </c>
      <c r="E2733" t="s">
        <v>4051</v>
      </c>
      <c r="F2733">
        <v>972</v>
      </c>
      <c r="G2733" t="s">
        <v>396</v>
      </c>
      <c r="H2733">
        <v>5</v>
      </c>
      <c r="I2733" t="s">
        <v>4465</v>
      </c>
      <c r="J2733" t="s">
        <v>294</v>
      </c>
      <c r="M2733" t="s">
        <v>295</v>
      </c>
      <c r="N2733" t="s">
        <v>296</v>
      </c>
      <c r="O2733" t="s">
        <v>297</v>
      </c>
    </row>
    <row r="2734" spans="1:15" x14ac:dyDescent="0.3">
      <c r="A2734" t="s">
        <v>4324</v>
      </c>
      <c r="B2734" t="s">
        <v>4325</v>
      </c>
      <c r="C2734">
        <v>2022</v>
      </c>
      <c r="D2734" t="s">
        <v>394</v>
      </c>
      <c r="E2734" t="s">
        <v>438</v>
      </c>
      <c r="F2734">
        <v>286000</v>
      </c>
      <c r="G2734" t="s">
        <v>396</v>
      </c>
      <c r="H2734">
        <v>5</v>
      </c>
      <c r="I2734" t="s">
        <v>4466</v>
      </c>
      <c r="J2734" t="s">
        <v>294</v>
      </c>
      <c r="M2734" t="s">
        <v>295</v>
      </c>
      <c r="N2734" t="s">
        <v>296</v>
      </c>
      <c r="O2734" t="s">
        <v>297</v>
      </c>
    </row>
    <row r="2735" spans="1:15" x14ac:dyDescent="0.3">
      <c r="A2735" t="s">
        <v>4324</v>
      </c>
      <c r="B2735" t="s">
        <v>4325</v>
      </c>
      <c r="C2735">
        <v>2022</v>
      </c>
      <c r="D2735" t="s">
        <v>394</v>
      </c>
      <c r="E2735" t="s">
        <v>4467</v>
      </c>
      <c r="F2735">
        <v>100000</v>
      </c>
      <c r="G2735" t="s">
        <v>396</v>
      </c>
      <c r="H2735">
        <v>5</v>
      </c>
      <c r="I2735" t="s">
        <v>4468</v>
      </c>
      <c r="J2735" t="s">
        <v>294</v>
      </c>
      <c r="M2735" t="s">
        <v>295</v>
      </c>
      <c r="N2735" t="s">
        <v>296</v>
      </c>
      <c r="O2735" t="s">
        <v>297</v>
      </c>
    </row>
    <row r="2736" spans="1:15" x14ac:dyDescent="0.3">
      <c r="A2736" t="s">
        <v>4324</v>
      </c>
      <c r="B2736" t="s">
        <v>4325</v>
      </c>
      <c r="C2736">
        <v>2022</v>
      </c>
      <c r="D2736" t="s">
        <v>394</v>
      </c>
      <c r="E2736" t="s">
        <v>4469</v>
      </c>
      <c r="F2736">
        <v>6400000</v>
      </c>
      <c r="G2736" t="s">
        <v>4459</v>
      </c>
      <c r="H2736">
        <v>5</v>
      </c>
      <c r="I2736" t="s">
        <v>4470</v>
      </c>
      <c r="J2736" t="s">
        <v>294</v>
      </c>
      <c r="M2736" t="s">
        <v>295</v>
      </c>
      <c r="N2736" t="s">
        <v>296</v>
      </c>
      <c r="O2736" t="s">
        <v>297</v>
      </c>
    </row>
    <row r="2737" spans="1:15" x14ac:dyDescent="0.3">
      <c r="A2737" t="s">
        <v>4324</v>
      </c>
      <c r="B2737" t="s">
        <v>4325</v>
      </c>
      <c r="C2737">
        <v>2022</v>
      </c>
      <c r="D2737" t="s">
        <v>394</v>
      </c>
      <c r="E2737" t="s">
        <v>4471</v>
      </c>
      <c r="F2737">
        <v>5800</v>
      </c>
      <c r="G2737" t="s">
        <v>396</v>
      </c>
      <c r="H2737">
        <v>5</v>
      </c>
      <c r="I2737" t="s">
        <v>4472</v>
      </c>
      <c r="J2737" t="s">
        <v>294</v>
      </c>
      <c r="M2737" t="s">
        <v>295</v>
      </c>
      <c r="N2737" t="s">
        <v>296</v>
      </c>
      <c r="O2737" t="s">
        <v>297</v>
      </c>
    </row>
    <row r="2738" spans="1:15" x14ac:dyDescent="0.3">
      <c r="A2738" t="s">
        <v>4324</v>
      </c>
      <c r="B2738" t="s">
        <v>4325</v>
      </c>
      <c r="C2738">
        <v>2022</v>
      </c>
      <c r="D2738" t="s">
        <v>394</v>
      </c>
      <c r="E2738" t="s">
        <v>4473</v>
      </c>
      <c r="F2738">
        <v>0.48</v>
      </c>
      <c r="G2738" t="s">
        <v>334</v>
      </c>
      <c r="H2738">
        <v>27</v>
      </c>
      <c r="I2738" t="s">
        <v>4474</v>
      </c>
      <c r="J2738" t="s">
        <v>294</v>
      </c>
      <c r="M2738" t="s">
        <v>295</v>
      </c>
      <c r="N2738" t="s">
        <v>296</v>
      </c>
      <c r="O2738" t="s">
        <v>297</v>
      </c>
    </row>
    <row r="2739" spans="1:15" x14ac:dyDescent="0.3">
      <c r="A2739" t="s">
        <v>4324</v>
      </c>
      <c r="B2739" t="s">
        <v>4325</v>
      </c>
      <c r="C2739">
        <v>2022</v>
      </c>
      <c r="D2739" t="s">
        <v>394</v>
      </c>
      <c r="E2739" t="s">
        <v>4475</v>
      </c>
      <c r="F2739">
        <v>1370</v>
      </c>
      <c r="G2739" t="s">
        <v>947</v>
      </c>
      <c r="H2739">
        <v>26</v>
      </c>
      <c r="I2739" t="s">
        <v>4476</v>
      </c>
      <c r="J2739" t="s">
        <v>294</v>
      </c>
      <c r="M2739" t="s">
        <v>295</v>
      </c>
      <c r="N2739" t="s">
        <v>296</v>
      </c>
      <c r="O2739" t="s">
        <v>297</v>
      </c>
    </row>
    <row r="2740" spans="1:15" x14ac:dyDescent="0.3">
      <c r="A2740" t="s">
        <v>4324</v>
      </c>
      <c r="B2740" t="s">
        <v>4325</v>
      </c>
      <c r="C2740">
        <v>2022</v>
      </c>
      <c r="D2740" t="s">
        <v>394</v>
      </c>
      <c r="E2740" t="s">
        <v>4477</v>
      </c>
      <c r="F2740">
        <v>1868</v>
      </c>
      <c r="G2740" t="s">
        <v>947</v>
      </c>
      <c r="H2740">
        <v>19</v>
      </c>
      <c r="I2740" t="s">
        <v>4478</v>
      </c>
      <c r="J2740" t="s">
        <v>294</v>
      </c>
      <c r="M2740" t="s">
        <v>295</v>
      </c>
      <c r="N2740" t="s">
        <v>296</v>
      </c>
      <c r="O2740" t="s">
        <v>297</v>
      </c>
    </row>
    <row r="2741" spans="1:15" x14ac:dyDescent="0.3">
      <c r="A2741" t="s">
        <v>4324</v>
      </c>
      <c r="B2741" t="s">
        <v>4325</v>
      </c>
      <c r="C2741">
        <v>2022</v>
      </c>
      <c r="D2741" t="s">
        <v>394</v>
      </c>
      <c r="E2741" t="s">
        <v>4479</v>
      </c>
      <c r="F2741">
        <v>1836</v>
      </c>
      <c r="G2741" t="s">
        <v>947</v>
      </c>
      <c r="H2741">
        <v>39</v>
      </c>
      <c r="I2741" t="s">
        <v>4480</v>
      </c>
      <c r="J2741" t="s">
        <v>294</v>
      </c>
      <c r="M2741" t="s">
        <v>295</v>
      </c>
      <c r="N2741" t="s">
        <v>296</v>
      </c>
      <c r="O2741" t="s">
        <v>297</v>
      </c>
    </row>
    <row r="2742" spans="1:15" x14ac:dyDescent="0.3">
      <c r="A2742" t="s">
        <v>4324</v>
      </c>
      <c r="B2742" t="s">
        <v>4325</v>
      </c>
      <c r="C2742">
        <v>2022</v>
      </c>
      <c r="D2742" t="s">
        <v>563</v>
      </c>
      <c r="E2742" t="s">
        <v>4481</v>
      </c>
      <c r="F2742">
        <v>254000</v>
      </c>
      <c r="G2742" t="s">
        <v>396</v>
      </c>
      <c r="H2742">
        <v>9</v>
      </c>
      <c r="I2742" t="s">
        <v>4482</v>
      </c>
      <c r="J2742" t="s">
        <v>294</v>
      </c>
      <c r="M2742" t="s">
        <v>295</v>
      </c>
      <c r="N2742" t="s">
        <v>296</v>
      </c>
      <c r="O2742" t="s">
        <v>297</v>
      </c>
    </row>
    <row r="2743" spans="1:15" x14ac:dyDescent="0.3">
      <c r="A2743" t="s">
        <v>4324</v>
      </c>
      <c r="B2743" t="s">
        <v>4325</v>
      </c>
      <c r="C2743">
        <v>2022</v>
      </c>
      <c r="D2743" t="s">
        <v>300</v>
      </c>
      <c r="E2743" t="s">
        <v>4483</v>
      </c>
      <c r="F2743">
        <v>136</v>
      </c>
      <c r="G2743" t="s">
        <v>302</v>
      </c>
      <c r="H2743">
        <v>34</v>
      </c>
      <c r="I2743" t="s">
        <v>4484</v>
      </c>
      <c r="J2743" t="s">
        <v>294</v>
      </c>
      <c r="M2743" t="s">
        <v>295</v>
      </c>
      <c r="N2743" t="s">
        <v>296</v>
      </c>
      <c r="O2743" t="s">
        <v>297</v>
      </c>
    </row>
    <row r="2744" spans="1:15" x14ac:dyDescent="0.3">
      <c r="A2744" t="s">
        <v>4324</v>
      </c>
      <c r="B2744" t="s">
        <v>4485</v>
      </c>
      <c r="C2744">
        <v>2023</v>
      </c>
      <c r="D2744" t="s">
        <v>272</v>
      </c>
      <c r="E2744" t="s">
        <v>291</v>
      </c>
      <c r="F2744" t="s">
        <v>4324</v>
      </c>
      <c r="G2744" t="s">
        <v>292</v>
      </c>
      <c r="H2744">
        <v>9</v>
      </c>
      <c r="I2744" t="s">
        <v>4486</v>
      </c>
      <c r="J2744" t="s">
        <v>294</v>
      </c>
      <c r="M2744" t="s">
        <v>295</v>
      </c>
      <c r="N2744" t="s">
        <v>296</v>
      </c>
      <c r="O2744" t="s">
        <v>297</v>
      </c>
    </row>
    <row r="2745" spans="1:15" x14ac:dyDescent="0.3">
      <c r="A2745" t="s">
        <v>4324</v>
      </c>
      <c r="B2745" t="s">
        <v>4485</v>
      </c>
      <c r="C2745">
        <v>2023</v>
      </c>
      <c r="D2745" t="s">
        <v>272</v>
      </c>
      <c r="E2745" t="s">
        <v>4327</v>
      </c>
      <c r="F2745">
        <v>1906</v>
      </c>
      <c r="G2745" t="s">
        <v>299</v>
      </c>
      <c r="H2745">
        <v>9</v>
      </c>
      <c r="I2745" t="s">
        <v>4328</v>
      </c>
      <c r="J2745" t="s">
        <v>294</v>
      </c>
      <c r="M2745" t="s">
        <v>295</v>
      </c>
      <c r="N2745" t="s">
        <v>296</v>
      </c>
      <c r="O2745" t="s">
        <v>297</v>
      </c>
    </row>
    <row r="2746" spans="1:15" x14ac:dyDescent="0.3">
      <c r="A2746" t="s">
        <v>4324</v>
      </c>
      <c r="B2746" t="s">
        <v>4485</v>
      </c>
      <c r="C2746">
        <v>2023</v>
      </c>
      <c r="D2746" t="s">
        <v>272</v>
      </c>
      <c r="E2746" t="s">
        <v>4329</v>
      </c>
      <c r="F2746" t="s">
        <v>4330</v>
      </c>
      <c r="G2746" t="s">
        <v>334</v>
      </c>
      <c r="H2746">
        <v>10</v>
      </c>
      <c r="I2746" t="s">
        <v>4487</v>
      </c>
      <c r="J2746" t="s">
        <v>294</v>
      </c>
      <c r="M2746" t="s">
        <v>295</v>
      </c>
      <c r="N2746" t="s">
        <v>296</v>
      </c>
      <c r="O2746" t="s">
        <v>297</v>
      </c>
    </row>
    <row r="2747" spans="1:15" x14ac:dyDescent="0.3">
      <c r="A2747" t="s">
        <v>4324</v>
      </c>
      <c r="B2747" t="s">
        <v>4485</v>
      </c>
      <c r="C2747">
        <v>2023</v>
      </c>
      <c r="D2747" t="s">
        <v>272</v>
      </c>
      <c r="E2747" t="s">
        <v>2704</v>
      </c>
      <c r="F2747" t="s">
        <v>4488</v>
      </c>
      <c r="G2747" t="s">
        <v>292</v>
      </c>
      <c r="H2747">
        <v>10</v>
      </c>
      <c r="I2747" t="s">
        <v>4489</v>
      </c>
      <c r="J2747" t="s">
        <v>294</v>
      </c>
      <c r="M2747" t="s">
        <v>295</v>
      </c>
      <c r="N2747" t="s">
        <v>296</v>
      </c>
      <c r="O2747" t="s">
        <v>297</v>
      </c>
    </row>
    <row r="2748" spans="1:15" x14ac:dyDescent="0.3">
      <c r="A2748" t="s">
        <v>4324</v>
      </c>
      <c r="B2748" t="s">
        <v>4485</v>
      </c>
      <c r="C2748">
        <v>2023</v>
      </c>
      <c r="D2748" t="s">
        <v>272</v>
      </c>
      <c r="E2748" t="s">
        <v>445</v>
      </c>
      <c r="F2748">
        <v>0.40379999999999999</v>
      </c>
      <c r="G2748" t="s">
        <v>334</v>
      </c>
      <c r="H2748">
        <v>10</v>
      </c>
      <c r="I2748" t="s">
        <v>4490</v>
      </c>
      <c r="J2748" t="s">
        <v>294</v>
      </c>
      <c r="M2748" t="s">
        <v>295</v>
      </c>
      <c r="N2748" t="s">
        <v>296</v>
      </c>
      <c r="O2748" t="s">
        <v>297</v>
      </c>
    </row>
    <row r="2749" spans="1:15" x14ac:dyDescent="0.3">
      <c r="A2749" t="s">
        <v>4324</v>
      </c>
      <c r="B2749" t="s">
        <v>4485</v>
      </c>
      <c r="C2749">
        <v>2023</v>
      </c>
      <c r="D2749" t="s">
        <v>272</v>
      </c>
      <c r="E2749" t="s">
        <v>4335</v>
      </c>
      <c r="F2749">
        <v>6819963965</v>
      </c>
      <c r="G2749" t="s">
        <v>1633</v>
      </c>
      <c r="H2749">
        <v>10</v>
      </c>
      <c r="I2749" t="s">
        <v>4336</v>
      </c>
      <c r="J2749" t="s">
        <v>294</v>
      </c>
      <c r="M2749" t="s">
        <v>295</v>
      </c>
      <c r="N2749" t="s">
        <v>296</v>
      </c>
      <c r="O2749" t="s">
        <v>297</v>
      </c>
    </row>
    <row r="2750" spans="1:15" x14ac:dyDescent="0.3">
      <c r="A2750" t="s">
        <v>4324</v>
      </c>
      <c r="B2750" t="s">
        <v>4485</v>
      </c>
      <c r="C2750">
        <v>2023</v>
      </c>
      <c r="D2750" t="s">
        <v>272</v>
      </c>
      <c r="E2750" t="s">
        <v>4337</v>
      </c>
      <c r="F2750">
        <v>2900000</v>
      </c>
      <c r="G2750" t="s">
        <v>1633</v>
      </c>
      <c r="H2750">
        <v>10</v>
      </c>
      <c r="I2750" t="s">
        <v>4491</v>
      </c>
      <c r="J2750" t="s">
        <v>294</v>
      </c>
      <c r="M2750" t="s">
        <v>295</v>
      </c>
      <c r="N2750" t="s">
        <v>296</v>
      </c>
      <c r="O2750" t="s">
        <v>297</v>
      </c>
    </row>
    <row r="2751" spans="1:15" x14ac:dyDescent="0.3">
      <c r="A2751" t="s">
        <v>4324</v>
      </c>
      <c r="B2751" t="s">
        <v>4485</v>
      </c>
      <c r="C2751">
        <v>2023</v>
      </c>
      <c r="D2751" t="s">
        <v>272</v>
      </c>
      <c r="E2751" t="s">
        <v>3140</v>
      </c>
      <c r="F2751">
        <v>23698</v>
      </c>
      <c r="G2751" t="s">
        <v>384</v>
      </c>
      <c r="H2751">
        <v>10</v>
      </c>
      <c r="I2751" t="s">
        <v>4492</v>
      </c>
      <c r="J2751" t="s">
        <v>294</v>
      </c>
      <c r="M2751" t="s">
        <v>295</v>
      </c>
      <c r="N2751" t="s">
        <v>296</v>
      </c>
      <c r="O2751" t="s">
        <v>297</v>
      </c>
    </row>
    <row r="2752" spans="1:15" x14ac:dyDescent="0.3">
      <c r="A2752" t="s">
        <v>4324</v>
      </c>
      <c r="B2752" t="s">
        <v>4485</v>
      </c>
      <c r="C2752">
        <v>2023</v>
      </c>
      <c r="D2752" t="s">
        <v>300</v>
      </c>
      <c r="E2752" t="s">
        <v>3142</v>
      </c>
      <c r="F2752">
        <v>4190</v>
      </c>
      <c r="G2752" t="s">
        <v>302</v>
      </c>
      <c r="H2752">
        <v>4</v>
      </c>
      <c r="I2752" t="s">
        <v>4493</v>
      </c>
      <c r="J2752" t="s">
        <v>294</v>
      </c>
      <c r="M2752" t="s">
        <v>295</v>
      </c>
      <c r="N2752" t="s">
        <v>296</v>
      </c>
      <c r="O2752" t="s">
        <v>297</v>
      </c>
    </row>
    <row r="2753" spans="1:15" x14ac:dyDescent="0.3">
      <c r="A2753" t="s">
        <v>4324</v>
      </c>
      <c r="B2753" t="s">
        <v>4485</v>
      </c>
      <c r="C2753">
        <v>2023</v>
      </c>
      <c r="D2753" t="s">
        <v>300</v>
      </c>
      <c r="E2753" t="s">
        <v>4340</v>
      </c>
      <c r="F2753">
        <v>-0.09</v>
      </c>
      <c r="G2753" t="s">
        <v>334</v>
      </c>
      <c r="H2753">
        <v>27</v>
      </c>
      <c r="I2753" t="s">
        <v>4494</v>
      </c>
      <c r="J2753" t="s">
        <v>294</v>
      </c>
      <c r="M2753" t="s">
        <v>295</v>
      </c>
      <c r="N2753" t="s">
        <v>296</v>
      </c>
      <c r="O2753" t="s">
        <v>297</v>
      </c>
    </row>
    <row r="2754" spans="1:15" x14ac:dyDescent="0.3">
      <c r="A2754" t="s">
        <v>4324</v>
      </c>
      <c r="B2754" t="s">
        <v>4485</v>
      </c>
      <c r="C2754">
        <v>2023</v>
      </c>
      <c r="D2754" t="s">
        <v>300</v>
      </c>
      <c r="E2754" t="s">
        <v>4342</v>
      </c>
      <c r="F2754">
        <v>3980</v>
      </c>
      <c r="G2754" t="s">
        <v>302</v>
      </c>
      <c r="H2754">
        <v>27</v>
      </c>
      <c r="I2754" t="s">
        <v>4495</v>
      </c>
      <c r="J2754" t="s">
        <v>294</v>
      </c>
      <c r="M2754" t="s">
        <v>295</v>
      </c>
      <c r="N2754" t="s">
        <v>296</v>
      </c>
      <c r="O2754" t="s">
        <v>297</v>
      </c>
    </row>
    <row r="2755" spans="1:15" x14ac:dyDescent="0.3">
      <c r="A2755" t="s">
        <v>4324</v>
      </c>
      <c r="B2755" t="s">
        <v>4485</v>
      </c>
      <c r="C2755">
        <v>2023</v>
      </c>
      <c r="D2755" t="s">
        <v>300</v>
      </c>
      <c r="E2755" t="s">
        <v>4344</v>
      </c>
      <c r="F2755">
        <v>0.95</v>
      </c>
      <c r="G2755" t="s">
        <v>334</v>
      </c>
      <c r="H2755">
        <v>27</v>
      </c>
      <c r="I2755" t="s">
        <v>4345</v>
      </c>
      <c r="J2755" t="s">
        <v>294</v>
      </c>
      <c r="M2755" t="s">
        <v>295</v>
      </c>
      <c r="N2755" t="s">
        <v>296</v>
      </c>
      <c r="O2755" t="s">
        <v>297</v>
      </c>
    </row>
    <row r="2756" spans="1:15" x14ac:dyDescent="0.3">
      <c r="A2756" t="s">
        <v>4324</v>
      </c>
      <c r="B2756" t="s">
        <v>4485</v>
      </c>
      <c r="C2756">
        <v>2023</v>
      </c>
      <c r="D2756" t="s">
        <v>300</v>
      </c>
      <c r="E2756" t="s">
        <v>4346</v>
      </c>
      <c r="F2756">
        <v>0.53</v>
      </c>
      <c r="G2756" t="s">
        <v>334</v>
      </c>
      <c r="H2756">
        <v>27</v>
      </c>
      <c r="I2756" t="s">
        <v>4496</v>
      </c>
      <c r="J2756" t="s">
        <v>294</v>
      </c>
      <c r="M2756" t="s">
        <v>295</v>
      </c>
      <c r="N2756" t="s">
        <v>296</v>
      </c>
      <c r="O2756" t="s">
        <v>297</v>
      </c>
    </row>
    <row r="2757" spans="1:15" x14ac:dyDescent="0.3">
      <c r="A2757" t="s">
        <v>4324</v>
      </c>
      <c r="B2757" t="s">
        <v>4485</v>
      </c>
      <c r="C2757">
        <v>2023</v>
      </c>
      <c r="D2757" t="s">
        <v>300</v>
      </c>
      <c r="E2757" t="s">
        <v>4497</v>
      </c>
      <c r="F2757">
        <v>918</v>
      </c>
      <c r="G2757" t="s">
        <v>302</v>
      </c>
      <c r="H2757">
        <v>36</v>
      </c>
      <c r="I2757" t="s">
        <v>4498</v>
      </c>
      <c r="J2757" t="s">
        <v>294</v>
      </c>
      <c r="M2757" t="s">
        <v>295</v>
      </c>
      <c r="N2757" t="s">
        <v>296</v>
      </c>
      <c r="O2757" t="s">
        <v>297</v>
      </c>
    </row>
    <row r="2758" spans="1:15" x14ac:dyDescent="0.3">
      <c r="A2758" t="s">
        <v>4324</v>
      </c>
      <c r="B2758" t="s">
        <v>4485</v>
      </c>
      <c r="C2758">
        <v>2023</v>
      </c>
      <c r="D2758" t="s">
        <v>300</v>
      </c>
      <c r="E2758" t="s">
        <v>688</v>
      </c>
      <c r="F2758">
        <v>3039</v>
      </c>
      <c r="G2758" t="s">
        <v>302</v>
      </c>
      <c r="H2758">
        <v>117</v>
      </c>
      <c r="I2758" t="s">
        <v>4499</v>
      </c>
      <c r="J2758" t="s">
        <v>294</v>
      </c>
      <c r="M2758" t="s">
        <v>295</v>
      </c>
      <c r="N2758" t="s">
        <v>296</v>
      </c>
      <c r="O2758" t="s">
        <v>297</v>
      </c>
    </row>
    <row r="2759" spans="1:15" x14ac:dyDescent="0.3">
      <c r="A2759" t="s">
        <v>4324</v>
      </c>
      <c r="B2759" t="s">
        <v>4485</v>
      </c>
      <c r="C2759">
        <v>2023</v>
      </c>
      <c r="D2759" t="s">
        <v>300</v>
      </c>
      <c r="E2759" t="s">
        <v>304</v>
      </c>
      <c r="F2759">
        <v>1151</v>
      </c>
      <c r="G2759" t="s">
        <v>302</v>
      </c>
      <c r="H2759">
        <v>4</v>
      </c>
      <c r="I2759" t="s">
        <v>4500</v>
      </c>
      <c r="J2759" t="s">
        <v>294</v>
      </c>
      <c r="M2759" t="s">
        <v>295</v>
      </c>
      <c r="N2759" t="s">
        <v>296</v>
      </c>
      <c r="O2759" t="s">
        <v>297</v>
      </c>
    </row>
    <row r="2760" spans="1:15" x14ac:dyDescent="0.3">
      <c r="A2760" t="s">
        <v>4324</v>
      </c>
      <c r="B2760" t="s">
        <v>4485</v>
      </c>
      <c r="C2760">
        <v>2023</v>
      </c>
      <c r="D2760" t="s">
        <v>300</v>
      </c>
      <c r="E2760" t="s">
        <v>1187</v>
      </c>
      <c r="F2760">
        <v>0.27500000000000002</v>
      </c>
      <c r="G2760" t="s">
        <v>334</v>
      </c>
      <c r="H2760">
        <v>4</v>
      </c>
      <c r="I2760" t="s">
        <v>4501</v>
      </c>
      <c r="J2760" t="s">
        <v>294</v>
      </c>
      <c r="M2760" t="s">
        <v>295</v>
      </c>
      <c r="N2760" t="s">
        <v>296</v>
      </c>
      <c r="O2760" t="s">
        <v>297</v>
      </c>
    </row>
    <row r="2761" spans="1:15" x14ac:dyDescent="0.3">
      <c r="A2761" t="s">
        <v>4324</v>
      </c>
      <c r="B2761" t="s">
        <v>4485</v>
      </c>
      <c r="C2761">
        <v>2023</v>
      </c>
      <c r="D2761" t="s">
        <v>300</v>
      </c>
      <c r="E2761" t="s">
        <v>1112</v>
      </c>
      <c r="F2761">
        <v>759</v>
      </c>
      <c r="G2761" t="s">
        <v>302</v>
      </c>
      <c r="H2761">
        <v>4</v>
      </c>
      <c r="I2761" t="s">
        <v>4502</v>
      </c>
      <c r="J2761" t="s">
        <v>294</v>
      </c>
      <c r="M2761" t="s">
        <v>295</v>
      </c>
      <c r="N2761" t="s">
        <v>296</v>
      </c>
      <c r="O2761" t="s">
        <v>297</v>
      </c>
    </row>
    <row r="2762" spans="1:15" x14ac:dyDescent="0.3">
      <c r="A2762" t="s">
        <v>4324</v>
      </c>
      <c r="B2762" t="s">
        <v>4485</v>
      </c>
      <c r="C2762">
        <v>2023</v>
      </c>
      <c r="D2762" t="s">
        <v>300</v>
      </c>
      <c r="E2762" t="s">
        <v>4352</v>
      </c>
      <c r="F2762">
        <v>0.18099999999999999</v>
      </c>
      <c r="G2762" t="s">
        <v>334</v>
      </c>
      <c r="H2762">
        <v>4</v>
      </c>
      <c r="I2762" t="s">
        <v>4503</v>
      </c>
      <c r="J2762" t="s">
        <v>294</v>
      </c>
      <c r="M2762" t="s">
        <v>295</v>
      </c>
      <c r="N2762" t="s">
        <v>296</v>
      </c>
      <c r="O2762" t="s">
        <v>297</v>
      </c>
    </row>
    <row r="2763" spans="1:15" x14ac:dyDescent="0.3">
      <c r="A2763" t="s">
        <v>4324</v>
      </c>
      <c r="B2763" t="s">
        <v>4485</v>
      </c>
      <c r="C2763">
        <v>2023</v>
      </c>
      <c r="D2763" t="s">
        <v>300</v>
      </c>
      <c r="E2763" t="s">
        <v>880</v>
      </c>
      <c r="F2763">
        <v>1301</v>
      </c>
      <c r="G2763" t="s">
        <v>302</v>
      </c>
      <c r="H2763">
        <v>4</v>
      </c>
      <c r="I2763" t="s">
        <v>4504</v>
      </c>
      <c r="J2763" t="s">
        <v>294</v>
      </c>
      <c r="M2763" t="s">
        <v>295</v>
      </c>
      <c r="N2763" t="s">
        <v>296</v>
      </c>
      <c r="O2763" t="s">
        <v>297</v>
      </c>
    </row>
    <row r="2764" spans="1:15" x14ac:dyDescent="0.3">
      <c r="A2764" t="s">
        <v>4324</v>
      </c>
      <c r="B2764" t="s">
        <v>4485</v>
      </c>
      <c r="C2764">
        <v>2023</v>
      </c>
      <c r="D2764" t="s">
        <v>300</v>
      </c>
      <c r="E2764" t="s">
        <v>901</v>
      </c>
      <c r="F2764">
        <v>0.31</v>
      </c>
      <c r="G2764" t="s">
        <v>334</v>
      </c>
      <c r="H2764">
        <v>4</v>
      </c>
      <c r="I2764" t="s">
        <v>4505</v>
      </c>
      <c r="J2764" t="s">
        <v>294</v>
      </c>
      <c r="M2764" t="s">
        <v>295</v>
      </c>
      <c r="N2764" t="s">
        <v>296</v>
      </c>
      <c r="O2764" t="s">
        <v>297</v>
      </c>
    </row>
    <row r="2765" spans="1:15" x14ac:dyDescent="0.3">
      <c r="A2765" t="s">
        <v>4324</v>
      </c>
      <c r="B2765" t="s">
        <v>4485</v>
      </c>
      <c r="C2765">
        <v>2023</v>
      </c>
      <c r="D2765" t="s">
        <v>300</v>
      </c>
      <c r="E2765" t="s">
        <v>1162</v>
      </c>
      <c r="F2765">
        <v>156</v>
      </c>
      <c r="G2765" t="s">
        <v>302</v>
      </c>
      <c r="H2765">
        <v>117</v>
      </c>
      <c r="I2765" t="s">
        <v>4506</v>
      </c>
      <c r="J2765" t="s">
        <v>294</v>
      </c>
      <c r="M2765" t="s">
        <v>295</v>
      </c>
      <c r="N2765" t="s">
        <v>296</v>
      </c>
      <c r="O2765" t="s">
        <v>297</v>
      </c>
    </row>
    <row r="2766" spans="1:15" x14ac:dyDescent="0.3">
      <c r="A2766" t="s">
        <v>4324</v>
      </c>
      <c r="B2766" t="s">
        <v>4485</v>
      </c>
      <c r="C2766">
        <v>2023</v>
      </c>
      <c r="D2766" t="s">
        <v>300</v>
      </c>
      <c r="E2766" t="s">
        <v>457</v>
      </c>
      <c r="F2766">
        <v>1</v>
      </c>
      <c r="G2766" t="s">
        <v>302</v>
      </c>
      <c r="H2766">
        <v>117</v>
      </c>
      <c r="I2766" t="s">
        <v>4507</v>
      </c>
      <c r="J2766" t="s">
        <v>294</v>
      </c>
      <c r="M2766" t="s">
        <v>295</v>
      </c>
      <c r="N2766" t="s">
        <v>296</v>
      </c>
      <c r="O2766" t="s">
        <v>297</v>
      </c>
    </row>
    <row r="2767" spans="1:15" x14ac:dyDescent="0.3">
      <c r="A2767" t="s">
        <v>4324</v>
      </c>
      <c r="B2767" t="s">
        <v>4485</v>
      </c>
      <c r="C2767">
        <v>2023</v>
      </c>
      <c r="D2767" t="s">
        <v>300</v>
      </c>
      <c r="E2767" t="s">
        <v>4508</v>
      </c>
      <c r="F2767">
        <v>1</v>
      </c>
      <c r="G2767" t="s">
        <v>302</v>
      </c>
      <c r="H2767">
        <v>117</v>
      </c>
      <c r="I2767" t="s">
        <v>4509</v>
      </c>
      <c r="J2767" t="s">
        <v>294</v>
      </c>
      <c r="M2767" t="s">
        <v>295</v>
      </c>
      <c r="N2767" t="s">
        <v>296</v>
      </c>
      <c r="O2767" t="s">
        <v>297</v>
      </c>
    </row>
    <row r="2768" spans="1:15" x14ac:dyDescent="0.3">
      <c r="A2768" t="s">
        <v>4324</v>
      </c>
      <c r="B2768" t="s">
        <v>4485</v>
      </c>
      <c r="C2768">
        <v>2023</v>
      </c>
      <c r="D2768" t="s">
        <v>300</v>
      </c>
      <c r="E2768" t="s">
        <v>459</v>
      </c>
      <c r="F2768">
        <v>911</v>
      </c>
      <c r="G2768" t="s">
        <v>302</v>
      </c>
      <c r="H2768">
        <v>117</v>
      </c>
      <c r="I2768" t="s">
        <v>4510</v>
      </c>
      <c r="J2768" t="s">
        <v>294</v>
      </c>
      <c r="M2768" t="s">
        <v>295</v>
      </c>
      <c r="N2768" t="s">
        <v>296</v>
      </c>
      <c r="O2768" t="s">
        <v>297</v>
      </c>
    </row>
    <row r="2769" spans="1:15" x14ac:dyDescent="0.3">
      <c r="A2769" t="s">
        <v>4324</v>
      </c>
      <c r="B2769" t="s">
        <v>4485</v>
      </c>
      <c r="C2769">
        <v>2023</v>
      </c>
      <c r="D2769" t="s">
        <v>300</v>
      </c>
      <c r="E2769" t="s">
        <v>581</v>
      </c>
      <c r="F2769">
        <v>151</v>
      </c>
      <c r="G2769" t="s">
        <v>302</v>
      </c>
      <c r="H2769">
        <v>117</v>
      </c>
      <c r="I2769" t="s">
        <v>4511</v>
      </c>
      <c r="J2769" t="s">
        <v>294</v>
      </c>
      <c r="M2769" t="s">
        <v>295</v>
      </c>
      <c r="N2769" t="s">
        <v>296</v>
      </c>
      <c r="O2769" t="s">
        <v>297</v>
      </c>
    </row>
    <row r="2770" spans="1:15" x14ac:dyDescent="0.3">
      <c r="A2770" t="s">
        <v>4324</v>
      </c>
      <c r="B2770" t="s">
        <v>4485</v>
      </c>
      <c r="C2770">
        <v>2023</v>
      </c>
      <c r="D2770" t="s">
        <v>300</v>
      </c>
      <c r="E2770" t="s">
        <v>306</v>
      </c>
      <c r="F2770">
        <v>761</v>
      </c>
      <c r="G2770" t="s">
        <v>302</v>
      </c>
      <c r="H2770">
        <v>4</v>
      </c>
      <c r="I2770" t="s">
        <v>4512</v>
      </c>
      <c r="J2770" t="s">
        <v>294</v>
      </c>
      <c r="M2770" t="s">
        <v>295</v>
      </c>
      <c r="N2770" t="s">
        <v>296</v>
      </c>
      <c r="O2770" t="s">
        <v>297</v>
      </c>
    </row>
    <row r="2771" spans="1:15" x14ac:dyDescent="0.3">
      <c r="A2771" t="s">
        <v>4324</v>
      </c>
      <c r="B2771" t="s">
        <v>4485</v>
      </c>
      <c r="C2771">
        <v>2023</v>
      </c>
      <c r="D2771" t="s">
        <v>300</v>
      </c>
      <c r="E2771" t="s">
        <v>308</v>
      </c>
      <c r="F2771">
        <v>762</v>
      </c>
      <c r="G2771" t="s">
        <v>302</v>
      </c>
      <c r="H2771">
        <v>4</v>
      </c>
      <c r="I2771" t="s">
        <v>4513</v>
      </c>
      <c r="J2771" t="s">
        <v>294</v>
      </c>
      <c r="M2771" t="s">
        <v>295</v>
      </c>
      <c r="N2771" t="s">
        <v>296</v>
      </c>
      <c r="O2771" t="s">
        <v>297</v>
      </c>
    </row>
    <row r="2772" spans="1:15" x14ac:dyDescent="0.3">
      <c r="A2772" t="s">
        <v>4324</v>
      </c>
      <c r="B2772" t="s">
        <v>4485</v>
      </c>
      <c r="C2772">
        <v>2023</v>
      </c>
      <c r="D2772" t="s">
        <v>300</v>
      </c>
      <c r="E2772" t="s">
        <v>4514</v>
      </c>
      <c r="F2772">
        <v>927</v>
      </c>
      <c r="G2772" t="s">
        <v>302</v>
      </c>
      <c r="H2772">
        <v>28</v>
      </c>
      <c r="I2772" t="s">
        <v>4515</v>
      </c>
      <c r="J2772" t="s">
        <v>294</v>
      </c>
      <c r="M2772" t="s">
        <v>295</v>
      </c>
      <c r="N2772" t="s">
        <v>296</v>
      </c>
      <c r="O2772" t="s">
        <v>297</v>
      </c>
    </row>
    <row r="2773" spans="1:15" x14ac:dyDescent="0.3">
      <c r="A2773" t="s">
        <v>4324</v>
      </c>
      <c r="B2773" t="s">
        <v>4485</v>
      </c>
      <c r="C2773">
        <v>2023</v>
      </c>
      <c r="D2773" t="s">
        <v>300</v>
      </c>
      <c r="E2773" t="s">
        <v>316</v>
      </c>
      <c r="F2773">
        <v>12514</v>
      </c>
      <c r="G2773" t="s">
        <v>302</v>
      </c>
      <c r="H2773">
        <v>4</v>
      </c>
      <c r="I2773" t="s">
        <v>4516</v>
      </c>
      <c r="J2773" t="s">
        <v>294</v>
      </c>
      <c r="M2773" t="s">
        <v>295</v>
      </c>
      <c r="N2773" t="s">
        <v>296</v>
      </c>
      <c r="O2773" t="s">
        <v>297</v>
      </c>
    </row>
    <row r="2774" spans="1:15" x14ac:dyDescent="0.3">
      <c r="A2774" t="s">
        <v>4324</v>
      </c>
      <c r="B2774" t="s">
        <v>4485</v>
      </c>
      <c r="C2774">
        <v>2023</v>
      </c>
      <c r="D2774" t="s">
        <v>300</v>
      </c>
      <c r="E2774" t="s">
        <v>312</v>
      </c>
      <c r="F2774">
        <v>5377</v>
      </c>
      <c r="G2774" t="s">
        <v>302</v>
      </c>
      <c r="H2774">
        <v>4</v>
      </c>
      <c r="I2774" t="s">
        <v>4517</v>
      </c>
      <c r="J2774" t="s">
        <v>294</v>
      </c>
      <c r="M2774" t="s">
        <v>295</v>
      </c>
      <c r="N2774" t="s">
        <v>296</v>
      </c>
      <c r="O2774" t="s">
        <v>297</v>
      </c>
    </row>
    <row r="2775" spans="1:15" x14ac:dyDescent="0.3">
      <c r="A2775" t="s">
        <v>4324</v>
      </c>
      <c r="B2775" t="s">
        <v>4485</v>
      </c>
      <c r="C2775">
        <v>2023</v>
      </c>
      <c r="D2775" t="s">
        <v>300</v>
      </c>
      <c r="E2775" t="s">
        <v>314</v>
      </c>
      <c r="F2775">
        <v>7137</v>
      </c>
      <c r="G2775" t="s">
        <v>302</v>
      </c>
      <c r="H2775">
        <v>115</v>
      </c>
      <c r="I2775" t="s">
        <v>4518</v>
      </c>
      <c r="J2775" t="s">
        <v>294</v>
      </c>
      <c r="M2775" t="s">
        <v>295</v>
      </c>
      <c r="N2775" t="s">
        <v>296</v>
      </c>
      <c r="O2775" t="s">
        <v>297</v>
      </c>
    </row>
    <row r="2776" spans="1:15" x14ac:dyDescent="0.3">
      <c r="A2776" t="s">
        <v>4324</v>
      </c>
      <c r="B2776" t="s">
        <v>4485</v>
      </c>
      <c r="C2776">
        <v>2023</v>
      </c>
      <c r="D2776" t="s">
        <v>300</v>
      </c>
      <c r="E2776" t="s">
        <v>2667</v>
      </c>
      <c r="F2776">
        <v>4511</v>
      </c>
      <c r="G2776" t="s">
        <v>302</v>
      </c>
      <c r="H2776">
        <v>120</v>
      </c>
      <c r="I2776" t="s">
        <v>4519</v>
      </c>
      <c r="J2776" t="s">
        <v>294</v>
      </c>
      <c r="M2776" t="s">
        <v>295</v>
      </c>
      <c r="N2776" t="s">
        <v>296</v>
      </c>
      <c r="O2776" t="s">
        <v>297</v>
      </c>
    </row>
    <row r="2777" spans="1:15" x14ac:dyDescent="0.3">
      <c r="A2777" t="s">
        <v>4324</v>
      </c>
      <c r="B2777" t="s">
        <v>4485</v>
      </c>
      <c r="C2777">
        <v>2023</v>
      </c>
      <c r="D2777" t="s">
        <v>300</v>
      </c>
      <c r="E2777" t="s">
        <v>481</v>
      </c>
      <c r="F2777">
        <v>431</v>
      </c>
      <c r="G2777" t="s">
        <v>302</v>
      </c>
      <c r="H2777">
        <v>115</v>
      </c>
      <c r="I2777" t="s">
        <v>4520</v>
      </c>
      <c r="J2777" t="s">
        <v>294</v>
      </c>
      <c r="M2777" t="s">
        <v>295</v>
      </c>
      <c r="N2777" t="s">
        <v>296</v>
      </c>
      <c r="O2777" t="s">
        <v>297</v>
      </c>
    </row>
    <row r="2778" spans="1:15" x14ac:dyDescent="0.3">
      <c r="A2778" t="s">
        <v>4324</v>
      </c>
      <c r="B2778" t="s">
        <v>4485</v>
      </c>
      <c r="C2778">
        <v>2023</v>
      </c>
      <c r="D2778" t="s">
        <v>300</v>
      </c>
      <c r="E2778" t="s">
        <v>4369</v>
      </c>
      <c r="F2778">
        <v>163</v>
      </c>
      <c r="G2778" t="s">
        <v>302</v>
      </c>
      <c r="H2778">
        <v>115</v>
      </c>
      <c r="I2778" t="s">
        <v>4521</v>
      </c>
      <c r="J2778" t="s">
        <v>294</v>
      </c>
      <c r="M2778" t="s">
        <v>295</v>
      </c>
      <c r="N2778" t="s">
        <v>296</v>
      </c>
      <c r="O2778" t="s">
        <v>297</v>
      </c>
    </row>
    <row r="2779" spans="1:15" x14ac:dyDescent="0.3">
      <c r="A2779" t="s">
        <v>4324</v>
      </c>
      <c r="B2779" t="s">
        <v>4485</v>
      </c>
      <c r="C2779">
        <v>2023</v>
      </c>
      <c r="D2779" t="s">
        <v>300</v>
      </c>
      <c r="E2779" t="s">
        <v>4371</v>
      </c>
      <c r="F2779">
        <v>1259</v>
      </c>
      <c r="G2779" t="s">
        <v>302</v>
      </c>
      <c r="H2779">
        <v>115</v>
      </c>
      <c r="I2779" t="s">
        <v>4522</v>
      </c>
      <c r="J2779" t="s">
        <v>294</v>
      </c>
      <c r="M2779" t="s">
        <v>295</v>
      </c>
      <c r="N2779" t="s">
        <v>296</v>
      </c>
      <c r="O2779" t="s">
        <v>297</v>
      </c>
    </row>
    <row r="2780" spans="1:15" x14ac:dyDescent="0.3">
      <c r="A2780" t="s">
        <v>4324</v>
      </c>
      <c r="B2780" t="s">
        <v>4485</v>
      </c>
      <c r="C2780">
        <v>2023</v>
      </c>
      <c r="D2780" t="s">
        <v>300</v>
      </c>
      <c r="E2780" t="s">
        <v>1122</v>
      </c>
      <c r="F2780">
        <v>5493</v>
      </c>
      <c r="G2780" t="s">
        <v>302</v>
      </c>
      <c r="H2780">
        <v>115</v>
      </c>
      <c r="I2780" t="s">
        <v>4523</v>
      </c>
      <c r="J2780" t="s">
        <v>294</v>
      </c>
      <c r="M2780" t="s">
        <v>295</v>
      </c>
      <c r="N2780" t="s">
        <v>296</v>
      </c>
      <c r="O2780" t="s">
        <v>297</v>
      </c>
    </row>
    <row r="2781" spans="1:15" x14ac:dyDescent="0.3">
      <c r="A2781" t="s">
        <v>4324</v>
      </c>
      <c r="B2781" t="s">
        <v>4485</v>
      </c>
      <c r="C2781">
        <v>2023</v>
      </c>
      <c r="D2781" t="s">
        <v>300</v>
      </c>
      <c r="E2781" t="s">
        <v>322</v>
      </c>
      <c r="F2781">
        <v>1167</v>
      </c>
      <c r="G2781" t="s">
        <v>302</v>
      </c>
      <c r="H2781">
        <v>4</v>
      </c>
      <c r="I2781" t="s">
        <v>4524</v>
      </c>
      <c r="J2781" t="s">
        <v>294</v>
      </c>
      <c r="M2781" t="s">
        <v>295</v>
      </c>
      <c r="N2781" t="s">
        <v>296</v>
      </c>
      <c r="O2781" t="s">
        <v>297</v>
      </c>
    </row>
    <row r="2782" spans="1:15" x14ac:dyDescent="0.3">
      <c r="A2782" t="s">
        <v>4324</v>
      </c>
      <c r="B2782" t="s">
        <v>4485</v>
      </c>
      <c r="C2782">
        <v>2023</v>
      </c>
      <c r="D2782" t="s">
        <v>300</v>
      </c>
      <c r="E2782" t="s">
        <v>318</v>
      </c>
      <c r="F2782">
        <v>564</v>
      </c>
      <c r="G2782" t="s">
        <v>302</v>
      </c>
      <c r="H2782">
        <v>4</v>
      </c>
      <c r="I2782" t="s">
        <v>4525</v>
      </c>
      <c r="J2782" t="s">
        <v>294</v>
      </c>
      <c r="M2782" t="s">
        <v>295</v>
      </c>
      <c r="N2782" t="s">
        <v>296</v>
      </c>
      <c r="O2782" t="s">
        <v>297</v>
      </c>
    </row>
    <row r="2783" spans="1:15" x14ac:dyDescent="0.3">
      <c r="A2783" t="s">
        <v>4324</v>
      </c>
      <c r="B2783" t="s">
        <v>4485</v>
      </c>
      <c r="C2783">
        <v>2023</v>
      </c>
      <c r="D2783" t="s">
        <v>300</v>
      </c>
      <c r="E2783" t="s">
        <v>468</v>
      </c>
      <c r="F2783">
        <v>602</v>
      </c>
      <c r="G2783" t="s">
        <v>302</v>
      </c>
      <c r="H2783">
        <v>116</v>
      </c>
      <c r="I2783" t="s">
        <v>4526</v>
      </c>
      <c r="J2783" t="s">
        <v>294</v>
      </c>
      <c r="M2783" t="s">
        <v>295</v>
      </c>
      <c r="N2783" t="s">
        <v>296</v>
      </c>
      <c r="O2783" t="s">
        <v>297</v>
      </c>
    </row>
    <row r="2784" spans="1:15" x14ac:dyDescent="0.3">
      <c r="A2784" t="s">
        <v>4324</v>
      </c>
      <c r="B2784" t="s">
        <v>4485</v>
      </c>
      <c r="C2784">
        <v>2023</v>
      </c>
      <c r="D2784" t="s">
        <v>300</v>
      </c>
      <c r="E2784" t="s">
        <v>4377</v>
      </c>
      <c r="F2784">
        <v>0</v>
      </c>
      <c r="G2784" t="s">
        <v>302</v>
      </c>
      <c r="H2784">
        <v>4</v>
      </c>
      <c r="I2784" t="s">
        <v>4378</v>
      </c>
      <c r="J2784" t="s">
        <v>294</v>
      </c>
      <c r="M2784" t="s">
        <v>295</v>
      </c>
      <c r="N2784" t="s">
        <v>296</v>
      </c>
      <c r="O2784" t="s">
        <v>297</v>
      </c>
    </row>
    <row r="2785" spans="1:15" x14ac:dyDescent="0.3">
      <c r="A2785" t="s">
        <v>4324</v>
      </c>
      <c r="B2785" t="s">
        <v>4485</v>
      </c>
      <c r="C2785">
        <v>2023</v>
      </c>
      <c r="D2785" t="s">
        <v>300</v>
      </c>
      <c r="E2785" t="s">
        <v>4379</v>
      </c>
      <c r="F2785">
        <v>457</v>
      </c>
      <c r="G2785" t="s">
        <v>302</v>
      </c>
      <c r="H2785">
        <v>116</v>
      </c>
      <c r="I2785" t="s">
        <v>4527</v>
      </c>
      <c r="J2785" t="s">
        <v>294</v>
      </c>
      <c r="M2785" t="s">
        <v>295</v>
      </c>
      <c r="N2785" t="s">
        <v>296</v>
      </c>
      <c r="O2785" t="s">
        <v>297</v>
      </c>
    </row>
    <row r="2786" spans="1:15" x14ac:dyDescent="0.3">
      <c r="A2786" t="s">
        <v>4324</v>
      </c>
      <c r="B2786" t="s">
        <v>4485</v>
      </c>
      <c r="C2786">
        <v>2023</v>
      </c>
      <c r="D2786" t="s">
        <v>300</v>
      </c>
      <c r="E2786" t="s">
        <v>324</v>
      </c>
      <c r="F2786">
        <v>11347</v>
      </c>
      <c r="G2786" t="s">
        <v>302</v>
      </c>
      <c r="H2786">
        <v>4</v>
      </c>
      <c r="I2786" t="s">
        <v>4528</v>
      </c>
      <c r="J2786" t="s">
        <v>294</v>
      </c>
      <c r="M2786" t="s">
        <v>295</v>
      </c>
      <c r="N2786" t="s">
        <v>296</v>
      </c>
      <c r="O2786" t="s">
        <v>297</v>
      </c>
    </row>
    <row r="2787" spans="1:15" x14ac:dyDescent="0.3">
      <c r="A2787" t="s">
        <v>4324</v>
      </c>
      <c r="B2787" t="s">
        <v>4485</v>
      </c>
      <c r="C2787">
        <v>2023</v>
      </c>
      <c r="D2787" t="s">
        <v>300</v>
      </c>
      <c r="E2787" t="s">
        <v>601</v>
      </c>
      <c r="F2787">
        <v>1411</v>
      </c>
      <c r="G2787" t="s">
        <v>302</v>
      </c>
      <c r="H2787">
        <v>120</v>
      </c>
      <c r="I2787" t="s">
        <v>4529</v>
      </c>
      <c r="J2787" t="s">
        <v>294</v>
      </c>
      <c r="M2787" t="s">
        <v>295</v>
      </c>
      <c r="N2787" t="s">
        <v>296</v>
      </c>
      <c r="O2787" t="s">
        <v>297</v>
      </c>
    </row>
    <row r="2788" spans="1:15" x14ac:dyDescent="0.3">
      <c r="A2788" t="s">
        <v>4324</v>
      </c>
      <c r="B2788" t="s">
        <v>4485</v>
      </c>
      <c r="C2788">
        <v>2023</v>
      </c>
      <c r="D2788" t="s">
        <v>300</v>
      </c>
      <c r="E2788" t="s">
        <v>603</v>
      </c>
      <c r="F2788">
        <v>-364</v>
      </c>
      <c r="G2788" t="s">
        <v>302</v>
      </c>
      <c r="H2788">
        <v>120</v>
      </c>
      <c r="I2788" t="s">
        <v>4530</v>
      </c>
      <c r="J2788" t="s">
        <v>294</v>
      </c>
      <c r="M2788" t="s">
        <v>295</v>
      </c>
      <c r="N2788" t="s">
        <v>296</v>
      </c>
      <c r="O2788" t="s">
        <v>297</v>
      </c>
    </row>
    <row r="2789" spans="1:15" x14ac:dyDescent="0.3">
      <c r="A2789" t="s">
        <v>4324</v>
      </c>
      <c r="B2789" t="s">
        <v>4485</v>
      </c>
      <c r="C2789">
        <v>2023</v>
      </c>
      <c r="D2789" t="s">
        <v>300</v>
      </c>
      <c r="E2789" t="s">
        <v>716</v>
      </c>
      <c r="F2789">
        <v>-367</v>
      </c>
      <c r="G2789" t="s">
        <v>302</v>
      </c>
      <c r="H2789">
        <v>120</v>
      </c>
      <c r="I2789" t="s">
        <v>4531</v>
      </c>
      <c r="J2789" t="s">
        <v>294</v>
      </c>
      <c r="M2789" t="s">
        <v>295</v>
      </c>
      <c r="N2789" t="s">
        <v>296</v>
      </c>
      <c r="O2789" t="s">
        <v>297</v>
      </c>
    </row>
    <row r="2790" spans="1:15" x14ac:dyDescent="0.3">
      <c r="A2790" t="s">
        <v>4324</v>
      </c>
      <c r="B2790" t="s">
        <v>4485</v>
      </c>
      <c r="C2790">
        <v>2023</v>
      </c>
      <c r="D2790" t="s">
        <v>300</v>
      </c>
      <c r="E2790" t="s">
        <v>4385</v>
      </c>
      <c r="F2790">
        <v>369</v>
      </c>
      <c r="G2790" t="s">
        <v>302</v>
      </c>
      <c r="H2790">
        <v>4</v>
      </c>
      <c r="I2790" t="s">
        <v>4532</v>
      </c>
      <c r="J2790" t="s">
        <v>294</v>
      </c>
      <c r="M2790" t="s">
        <v>295</v>
      </c>
      <c r="N2790" t="s">
        <v>296</v>
      </c>
      <c r="O2790" t="s">
        <v>297</v>
      </c>
    </row>
    <row r="2791" spans="1:15" x14ac:dyDescent="0.3">
      <c r="A2791" t="s">
        <v>4324</v>
      </c>
      <c r="B2791" t="s">
        <v>4485</v>
      </c>
      <c r="C2791">
        <v>2023</v>
      </c>
      <c r="D2791" t="s">
        <v>300</v>
      </c>
      <c r="E2791" t="s">
        <v>4387</v>
      </c>
      <c r="F2791">
        <v>361</v>
      </c>
      <c r="G2791" t="s">
        <v>302</v>
      </c>
      <c r="H2791">
        <v>32</v>
      </c>
      <c r="I2791" t="s">
        <v>4533</v>
      </c>
      <c r="J2791" t="s">
        <v>294</v>
      </c>
      <c r="M2791" t="s">
        <v>295</v>
      </c>
      <c r="N2791" t="s">
        <v>296</v>
      </c>
      <c r="O2791" t="s">
        <v>297</v>
      </c>
    </row>
    <row r="2792" spans="1:15" x14ac:dyDescent="0.3">
      <c r="A2792" t="s">
        <v>4324</v>
      </c>
      <c r="B2792" t="s">
        <v>4485</v>
      </c>
      <c r="C2792">
        <v>2023</v>
      </c>
      <c r="D2792" t="s">
        <v>300</v>
      </c>
      <c r="E2792" t="s">
        <v>4534</v>
      </c>
      <c r="F2792">
        <v>53</v>
      </c>
      <c r="G2792" t="s">
        <v>346</v>
      </c>
      <c r="H2792">
        <v>32</v>
      </c>
      <c r="I2792" t="s">
        <v>4535</v>
      </c>
      <c r="J2792" t="s">
        <v>294</v>
      </c>
      <c r="M2792" t="s">
        <v>295</v>
      </c>
      <c r="N2792" t="s">
        <v>296</v>
      </c>
      <c r="O2792" t="s">
        <v>297</v>
      </c>
    </row>
    <row r="2793" spans="1:15" x14ac:dyDescent="0.3">
      <c r="A2793" t="s">
        <v>4324</v>
      </c>
      <c r="B2793" t="s">
        <v>4485</v>
      </c>
      <c r="C2793">
        <v>2023</v>
      </c>
      <c r="D2793" t="s">
        <v>300</v>
      </c>
      <c r="E2793" t="s">
        <v>918</v>
      </c>
      <c r="F2793">
        <v>0.35</v>
      </c>
      <c r="G2793" t="s">
        <v>334</v>
      </c>
      <c r="H2793">
        <v>32</v>
      </c>
      <c r="I2793" t="s">
        <v>4391</v>
      </c>
      <c r="J2793" t="s">
        <v>294</v>
      </c>
      <c r="M2793" t="s">
        <v>295</v>
      </c>
      <c r="N2793" t="s">
        <v>296</v>
      </c>
      <c r="O2793" t="s">
        <v>297</v>
      </c>
    </row>
    <row r="2794" spans="1:15" x14ac:dyDescent="0.3">
      <c r="A2794" t="s">
        <v>4324</v>
      </c>
      <c r="B2794" t="s">
        <v>4485</v>
      </c>
      <c r="C2794">
        <v>2023</v>
      </c>
      <c r="D2794" t="s">
        <v>300</v>
      </c>
      <c r="E2794" t="s">
        <v>3049</v>
      </c>
      <c r="F2794">
        <v>112</v>
      </c>
      <c r="G2794" t="s">
        <v>346</v>
      </c>
      <c r="H2794">
        <v>4</v>
      </c>
      <c r="I2794" t="s">
        <v>4536</v>
      </c>
      <c r="J2794" t="s">
        <v>294</v>
      </c>
      <c r="M2794" t="s">
        <v>295</v>
      </c>
      <c r="N2794" t="s">
        <v>296</v>
      </c>
      <c r="O2794" t="s">
        <v>297</v>
      </c>
    </row>
    <row r="2795" spans="1:15" x14ac:dyDescent="0.3">
      <c r="A2795" t="s">
        <v>4324</v>
      </c>
      <c r="B2795" t="s">
        <v>4485</v>
      </c>
      <c r="C2795">
        <v>2023</v>
      </c>
      <c r="D2795" t="s">
        <v>300</v>
      </c>
      <c r="E2795" t="s">
        <v>4537</v>
      </c>
      <c r="F2795">
        <v>890</v>
      </c>
      <c r="G2795" t="s">
        <v>346</v>
      </c>
      <c r="H2795">
        <v>15</v>
      </c>
      <c r="I2795" t="s">
        <v>4538</v>
      </c>
      <c r="J2795" t="s">
        <v>294</v>
      </c>
      <c r="M2795" t="s">
        <v>295</v>
      </c>
      <c r="N2795" t="s">
        <v>296</v>
      </c>
      <c r="O2795" t="s">
        <v>297</v>
      </c>
    </row>
    <row r="2796" spans="1:15" x14ac:dyDescent="0.3">
      <c r="A2796" t="s">
        <v>4324</v>
      </c>
      <c r="B2796" t="s">
        <v>4485</v>
      </c>
      <c r="C2796">
        <v>2023</v>
      </c>
      <c r="D2796" t="s">
        <v>300</v>
      </c>
      <c r="E2796" t="s">
        <v>4398</v>
      </c>
      <c r="F2796">
        <v>6070</v>
      </c>
      <c r="G2796" t="s">
        <v>302</v>
      </c>
      <c r="H2796">
        <v>32</v>
      </c>
      <c r="I2796" t="s">
        <v>4539</v>
      </c>
      <c r="J2796" t="s">
        <v>294</v>
      </c>
      <c r="M2796" t="s">
        <v>295</v>
      </c>
      <c r="N2796" t="s">
        <v>296</v>
      </c>
      <c r="O2796" t="s">
        <v>297</v>
      </c>
    </row>
    <row r="2797" spans="1:15" x14ac:dyDescent="0.3">
      <c r="A2797" t="s">
        <v>4324</v>
      </c>
      <c r="B2797" t="s">
        <v>4485</v>
      </c>
      <c r="C2797">
        <v>2023</v>
      </c>
      <c r="D2797" t="s">
        <v>300</v>
      </c>
      <c r="E2797" t="s">
        <v>326</v>
      </c>
      <c r="F2797">
        <v>9.5299999999999994</v>
      </c>
      <c r="G2797" t="s">
        <v>327</v>
      </c>
      <c r="H2797">
        <v>4</v>
      </c>
      <c r="I2797" t="s">
        <v>4540</v>
      </c>
      <c r="J2797" t="s">
        <v>294</v>
      </c>
      <c r="M2797" t="s">
        <v>295</v>
      </c>
      <c r="N2797" t="s">
        <v>296</v>
      </c>
      <c r="O2797" t="s">
        <v>297</v>
      </c>
    </row>
    <row r="2798" spans="1:15" x14ac:dyDescent="0.3">
      <c r="A2798" t="s">
        <v>4324</v>
      </c>
      <c r="B2798" t="s">
        <v>4485</v>
      </c>
      <c r="C2798">
        <v>2023</v>
      </c>
      <c r="D2798" t="s">
        <v>300</v>
      </c>
      <c r="E2798" t="s">
        <v>4401</v>
      </c>
      <c r="F2798">
        <v>0.1</v>
      </c>
      <c r="G2798" t="s">
        <v>327</v>
      </c>
      <c r="H2798">
        <v>4</v>
      </c>
      <c r="I2798" t="s">
        <v>4541</v>
      </c>
      <c r="J2798" t="s">
        <v>294</v>
      </c>
      <c r="M2798" t="s">
        <v>295</v>
      </c>
      <c r="N2798" t="s">
        <v>296</v>
      </c>
      <c r="O2798" t="s">
        <v>297</v>
      </c>
    </row>
    <row r="2799" spans="1:15" x14ac:dyDescent="0.3">
      <c r="A2799" t="s">
        <v>4324</v>
      </c>
      <c r="B2799" t="s">
        <v>4485</v>
      </c>
      <c r="C2799">
        <v>2023</v>
      </c>
      <c r="D2799" t="s">
        <v>300</v>
      </c>
      <c r="E2799" t="s">
        <v>4403</v>
      </c>
      <c r="F2799">
        <v>-0.4</v>
      </c>
      <c r="G2799" t="s">
        <v>327</v>
      </c>
      <c r="H2799">
        <v>4</v>
      </c>
      <c r="I2799" t="s">
        <v>4542</v>
      </c>
      <c r="J2799" t="s">
        <v>294</v>
      </c>
      <c r="M2799" t="s">
        <v>295</v>
      </c>
      <c r="N2799" t="s">
        <v>296</v>
      </c>
      <c r="O2799" t="s">
        <v>297</v>
      </c>
    </row>
    <row r="2800" spans="1:15" x14ac:dyDescent="0.3">
      <c r="A2800" t="s">
        <v>4324</v>
      </c>
      <c r="B2800" t="s">
        <v>4485</v>
      </c>
      <c r="C2800">
        <v>2023</v>
      </c>
      <c r="D2800" t="s">
        <v>300</v>
      </c>
      <c r="E2800" t="s">
        <v>4543</v>
      </c>
      <c r="F2800">
        <v>6.0999999999999999E-2</v>
      </c>
      <c r="G2800" t="s">
        <v>334</v>
      </c>
      <c r="H2800">
        <v>4</v>
      </c>
      <c r="I2800" t="s">
        <v>4544</v>
      </c>
      <c r="J2800" t="s">
        <v>294</v>
      </c>
      <c r="M2800" t="s">
        <v>295</v>
      </c>
      <c r="N2800" t="s">
        <v>296</v>
      </c>
      <c r="O2800" t="s">
        <v>297</v>
      </c>
    </row>
    <row r="2801" spans="1:15" x14ac:dyDescent="0.3">
      <c r="A2801" t="s">
        <v>4324</v>
      </c>
      <c r="B2801" t="s">
        <v>4485</v>
      </c>
      <c r="C2801">
        <v>2023</v>
      </c>
      <c r="D2801" t="s">
        <v>300</v>
      </c>
      <c r="E2801" t="s">
        <v>3054</v>
      </c>
      <c r="F2801">
        <v>6.8000000000000005E-2</v>
      </c>
      <c r="G2801" t="s">
        <v>334</v>
      </c>
      <c r="H2801">
        <v>4</v>
      </c>
      <c r="I2801" t="s">
        <v>4545</v>
      </c>
      <c r="J2801" t="s">
        <v>294</v>
      </c>
      <c r="M2801" t="s">
        <v>295</v>
      </c>
      <c r="N2801" t="s">
        <v>296</v>
      </c>
      <c r="O2801" t="s">
        <v>297</v>
      </c>
    </row>
    <row r="2802" spans="1:15" x14ac:dyDescent="0.3">
      <c r="A2802" t="s">
        <v>4324</v>
      </c>
      <c r="B2802" t="s">
        <v>4485</v>
      </c>
      <c r="C2802">
        <v>2023</v>
      </c>
      <c r="D2802" t="s">
        <v>358</v>
      </c>
      <c r="E2802" t="s">
        <v>4407</v>
      </c>
      <c r="F2802">
        <v>111940</v>
      </c>
      <c r="G2802" t="s">
        <v>360</v>
      </c>
      <c r="H2802">
        <v>5</v>
      </c>
      <c r="I2802" t="s">
        <v>4546</v>
      </c>
      <c r="J2802" t="s">
        <v>294</v>
      </c>
      <c r="M2802" t="s">
        <v>295</v>
      </c>
      <c r="N2802" t="s">
        <v>296</v>
      </c>
      <c r="O2802" t="s">
        <v>297</v>
      </c>
    </row>
    <row r="2803" spans="1:15" x14ac:dyDescent="0.3">
      <c r="A2803" t="s">
        <v>4324</v>
      </c>
      <c r="B2803" t="s">
        <v>4485</v>
      </c>
      <c r="C2803">
        <v>2023</v>
      </c>
      <c r="D2803" t="s">
        <v>358</v>
      </c>
      <c r="E2803" t="s">
        <v>4409</v>
      </c>
      <c r="F2803">
        <v>91759</v>
      </c>
      <c r="G2803" t="s">
        <v>360</v>
      </c>
      <c r="H2803">
        <v>5</v>
      </c>
      <c r="I2803" t="s">
        <v>4547</v>
      </c>
      <c r="J2803" t="s">
        <v>294</v>
      </c>
      <c r="M2803" t="s">
        <v>295</v>
      </c>
      <c r="N2803" t="s">
        <v>296</v>
      </c>
      <c r="O2803" t="s">
        <v>297</v>
      </c>
    </row>
    <row r="2804" spans="1:15" x14ac:dyDescent="0.3">
      <c r="A2804" t="s">
        <v>4324</v>
      </c>
      <c r="B2804" t="s">
        <v>4485</v>
      </c>
      <c r="C2804">
        <v>2023</v>
      </c>
      <c r="D2804" t="s">
        <v>358</v>
      </c>
      <c r="E2804" t="s">
        <v>4411</v>
      </c>
      <c r="F2804">
        <v>85198</v>
      </c>
      <c r="G2804" t="s">
        <v>360</v>
      </c>
      <c r="H2804">
        <v>5</v>
      </c>
      <c r="I2804" t="s">
        <v>4548</v>
      </c>
      <c r="J2804" t="s">
        <v>294</v>
      </c>
      <c r="M2804" t="s">
        <v>295</v>
      </c>
      <c r="N2804" t="s">
        <v>296</v>
      </c>
      <c r="O2804" t="s">
        <v>297</v>
      </c>
    </row>
    <row r="2805" spans="1:15" x14ac:dyDescent="0.3">
      <c r="A2805" t="s">
        <v>4324</v>
      </c>
      <c r="B2805" t="s">
        <v>4485</v>
      </c>
      <c r="C2805">
        <v>2023</v>
      </c>
      <c r="D2805" t="s">
        <v>358</v>
      </c>
      <c r="E2805" t="s">
        <v>4413</v>
      </c>
      <c r="F2805">
        <v>6561</v>
      </c>
      <c r="G2805" t="s">
        <v>360</v>
      </c>
      <c r="H2805">
        <v>5</v>
      </c>
      <c r="I2805" t="s">
        <v>4549</v>
      </c>
      <c r="J2805" t="s">
        <v>294</v>
      </c>
      <c r="M2805" t="s">
        <v>295</v>
      </c>
      <c r="N2805" t="s">
        <v>296</v>
      </c>
      <c r="O2805" t="s">
        <v>297</v>
      </c>
    </row>
    <row r="2806" spans="1:15" x14ac:dyDescent="0.3">
      <c r="A2806" t="s">
        <v>4324</v>
      </c>
      <c r="B2806" t="s">
        <v>4485</v>
      </c>
      <c r="C2806">
        <v>2023</v>
      </c>
      <c r="D2806" t="s">
        <v>358</v>
      </c>
      <c r="E2806" t="s">
        <v>4415</v>
      </c>
      <c r="F2806">
        <v>3229</v>
      </c>
      <c r="G2806" t="s">
        <v>360</v>
      </c>
      <c r="H2806">
        <v>5</v>
      </c>
      <c r="I2806" t="s">
        <v>4550</v>
      </c>
      <c r="J2806" t="s">
        <v>294</v>
      </c>
      <c r="M2806" t="s">
        <v>295</v>
      </c>
      <c r="N2806" t="s">
        <v>296</v>
      </c>
      <c r="O2806" t="s">
        <v>297</v>
      </c>
    </row>
    <row r="2807" spans="1:15" x14ac:dyDescent="0.3">
      <c r="A2807" t="s">
        <v>4324</v>
      </c>
      <c r="B2807" t="s">
        <v>4485</v>
      </c>
      <c r="C2807">
        <v>2023</v>
      </c>
      <c r="D2807" t="s">
        <v>358</v>
      </c>
      <c r="E2807" t="s">
        <v>4417</v>
      </c>
      <c r="F2807">
        <v>44302</v>
      </c>
      <c r="G2807" t="s">
        <v>360</v>
      </c>
      <c r="H2807">
        <v>5</v>
      </c>
      <c r="I2807" t="s">
        <v>4551</v>
      </c>
      <c r="J2807" t="s">
        <v>294</v>
      </c>
      <c r="M2807" t="s">
        <v>295</v>
      </c>
      <c r="N2807" t="s">
        <v>296</v>
      </c>
      <c r="O2807" t="s">
        <v>297</v>
      </c>
    </row>
    <row r="2808" spans="1:15" x14ac:dyDescent="0.3">
      <c r="A2808" t="s">
        <v>4324</v>
      </c>
      <c r="B2808" t="s">
        <v>4485</v>
      </c>
      <c r="C2808">
        <v>2023</v>
      </c>
      <c r="D2808" t="s">
        <v>358</v>
      </c>
      <c r="E2808" t="s">
        <v>4419</v>
      </c>
      <c r="F2808">
        <v>37667</v>
      </c>
      <c r="G2808" t="s">
        <v>360</v>
      </c>
      <c r="H2808">
        <v>5</v>
      </c>
      <c r="I2808" t="s">
        <v>4552</v>
      </c>
      <c r="J2808" t="s">
        <v>294</v>
      </c>
      <c r="M2808" t="s">
        <v>295</v>
      </c>
      <c r="N2808" t="s">
        <v>296</v>
      </c>
      <c r="O2808" t="s">
        <v>297</v>
      </c>
    </row>
    <row r="2809" spans="1:15" x14ac:dyDescent="0.3">
      <c r="A2809" t="s">
        <v>4324</v>
      </c>
      <c r="B2809" t="s">
        <v>4485</v>
      </c>
      <c r="C2809">
        <v>2023</v>
      </c>
      <c r="D2809" t="s">
        <v>358</v>
      </c>
      <c r="E2809" t="s">
        <v>4421</v>
      </c>
      <c r="F2809">
        <v>16238</v>
      </c>
      <c r="G2809" t="s">
        <v>360</v>
      </c>
      <c r="H2809">
        <v>5</v>
      </c>
      <c r="I2809" t="s">
        <v>4553</v>
      </c>
      <c r="J2809" t="s">
        <v>294</v>
      </c>
      <c r="M2809" t="s">
        <v>295</v>
      </c>
      <c r="N2809" t="s">
        <v>296</v>
      </c>
      <c r="O2809" t="s">
        <v>297</v>
      </c>
    </row>
    <row r="2810" spans="1:15" x14ac:dyDescent="0.3">
      <c r="A2810" t="s">
        <v>4324</v>
      </c>
      <c r="B2810" t="s">
        <v>4485</v>
      </c>
      <c r="C2810">
        <v>2023</v>
      </c>
      <c r="D2810" t="s">
        <v>358</v>
      </c>
      <c r="E2810" t="s">
        <v>4423</v>
      </c>
      <c r="F2810">
        <v>3943</v>
      </c>
      <c r="G2810" t="s">
        <v>360</v>
      </c>
      <c r="H2810">
        <v>5</v>
      </c>
      <c r="I2810" t="s">
        <v>4554</v>
      </c>
      <c r="J2810" t="s">
        <v>294</v>
      </c>
      <c r="M2810" t="s">
        <v>295</v>
      </c>
      <c r="N2810" t="s">
        <v>296</v>
      </c>
      <c r="O2810" t="s">
        <v>297</v>
      </c>
    </row>
    <row r="2811" spans="1:15" x14ac:dyDescent="0.3">
      <c r="A2811" t="s">
        <v>4324</v>
      </c>
      <c r="B2811" t="s">
        <v>4485</v>
      </c>
      <c r="C2811">
        <v>2023</v>
      </c>
      <c r="D2811" t="s">
        <v>358</v>
      </c>
      <c r="E2811" t="s">
        <v>4425</v>
      </c>
      <c r="F2811">
        <v>35417</v>
      </c>
      <c r="G2811" t="s">
        <v>360</v>
      </c>
      <c r="H2811">
        <v>5</v>
      </c>
      <c r="I2811" t="s">
        <v>4555</v>
      </c>
      <c r="J2811" t="s">
        <v>294</v>
      </c>
      <c r="M2811" t="s">
        <v>295</v>
      </c>
      <c r="N2811" t="s">
        <v>296</v>
      </c>
      <c r="O2811" t="s">
        <v>297</v>
      </c>
    </row>
    <row r="2812" spans="1:15" x14ac:dyDescent="0.3">
      <c r="A2812" t="s">
        <v>4324</v>
      </c>
      <c r="B2812" t="s">
        <v>4485</v>
      </c>
      <c r="C2812">
        <v>2023</v>
      </c>
      <c r="D2812" t="s">
        <v>358</v>
      </c>
      <c r="E2812" t="s">
        <v>4427</v>
      </c>
      <c r="F2812">
        <v>36903</v>
      </c>
      <c r="G2812" t="s">
        <v>360</v>
      </c>
      <c r="H2812">
        <v>5</v>
      </c>
      <c r="I2812" t="s">
        <v>4556</v>
      </c>
      <c r="J2812" t="s">
        <v>294</v>
      </c>
      <c r="M2812" t="s">
        <v>295</v>
      </c>
      <c r="N2812" t="s">
        <v>296</v>
      </c>
      <c r="O2812" t="s">
        <v>297</v>
      </c>
    </row>
    <row r="2813" spans="1:15" x14ac:dyDescent="0.3">
      <c r="A2813" t="s">
        <v>4324</v>
      </c>
      <c r="B2813" t="s">
        <v>4485</v>
      </c>
      <c r="C2813">
        <v>2023</v>
      </c>
      <c r="D2813" t="s">
        <v>358</v>
      </c>
      <c r="E2813" t="s">
        <v>4429</v>
      </c>
      <c r="F2813">
        <v>49222</v>
      </c>
      <c r="G2813" t="s">
        <v>360</v>
      </c>
      <c r="H2813">
        <v>5</v>
      </c>
      <c r="I2813" t="s">
        <v>4557</v>
      </c>
      <c r="J2813" t="s">
        <v>294</v>
      </c>
      <c r="M2813" t="s">
        <v>295</v>
      </c>
      <c r="N2813" t="s">
        <v>296</v>
      </c>
      <c r="O2813" t="s">
        <v>297</v>
      </c>
    </row>
    <row r="2814" spans="1:15" x14ac:dyDescent="0.3">
      <c r="A2814" t="s">
        <v>4324</v>
      </c>
      <c r="B2814" t="s">
        <v>4485</v>
      </c>
      <c r="C2814">
        <v>2023</v>
      </c>
      <c r="D2814" t="s">
        <v>358</v>
      </c>
      <c r="E2814" t="s">
        <v>4431</v>
      </c>
      <c r="F2814">
        <v>17152</v>
      </c>
      <c r="G2814" t="s">
        <v>360</v>
      </c>
      <c r="H2814">
        <v>5</v>
      </c>
      <c r="I2814" t="s">
        <v>4558</v>
      </c>
      <c r="J2814" t="s">
        <v>294</v>
      </c>
      <c r="M2814" t="s">
        <v>295</v>
      </c>
      <c r="N2814" t="s">
        <v>296</v>
      </c>
      <c r="O2814" t="s">
        <v>297</v>
      </c>
    </row>
    <row r="2815" spans="1:15" x14ac:dyDescent="0.3">
      <c r="A2815" t="s">
        <v>4324</v>
      </c>
      <c r="B2815" t="s">
        <v>4485</v>
      </c>
      <c r="C2815">
        <v>2023</v>
      </c>
      <c r="D2815" t="s">
        <v>358</v>
      </c>
      <c r="E2815" t="s">
        <v>4433</v>
      </c>
      <c r="F2815">
        <v>3177</v>
      </c>
      <c r="G2815" t="s">
        <v>360</v>
      </c>
      <c r="H2815">
        <v>5</v>
      </c>
      <c r="I2815" t="s">
        <v>4559</v>
      </c>
      <c r="J2815" t="s">
        <v>294</v>
      </c>
      <c r="M2815" t="s">
        <v>295</v>
      </c>
      <c r="N2815" t="s">
        <v>296</v>
      </c>
      <c r="O2815" t="s">
        <v>297</v>
      </c>
    </row>
    <row r="2816" spans="1:15" x14ac:dyDescent="0.3">
      <c r="A2816" t="s">
        <v>4324</v>
      </c>
      <c r="B2816" t="s">
        <v>4485</v>
      </c>
      <c r="C2816">
        <v>2023</v>
      </c>
      <c r="D2816" t="s">
        <v>358</v>
      </c>
      <c r="E2816" t="s">
        <v>4435</v>
      </c>
      <c r="F2816">
        <v>5486</v>
      </c>
      <c r="G2816" t="s">
        <v>360</v>
      </c>
      <c r="H2816">
        <v>5</v>
      </c>
      <c r="I2816" t="s">
        <v>4560</v>
      </c>
      <c r="J2816" t="s">
        <v>294</v>
      </c>
      <c r="M2816" t="s">
        <v>295</v>
      </c>
      <c r="N2816" t="s">
        <v>296</v>
      </c>
      <c r="O2816" t="s">
        <v>297</v>
      </c>
    </row>
    <row r="2817" spans="1:15" x14ac:dyDescent="0.3">
      <c r="A2817" t="s">
        <v>4324</v>
      </c>
      <c r="B2817" t="s">
        <v>4485</v>
      </c>
      <c r="C2817">
        <v>2023</v>
      </c>
      <c r="D2817" t="s">
        <v>358</v>
      </c>
      <c r="E2817" t="s">
        <v>4561</v>
      </c>
      <c r="F2817">
        <v>2782</v>
      </c>
      <c r="G2817" t="s">
        <v>360</v>
      </c>
      <c r="H2817">
        <v>36</v>
      </c>
      <c r="I2817" t="s">
        <v>4562</v>
      </c>
      <c r="J2817" t="s">
        <v>294</v>
      </c>
      <c r="M2817" t="s">
        <v>295</v>
      </c>
      <c r="N2817" t="s">
        <v>296</v>
      </c>
      <c r="O2817" t="s">
        <v>297</v>
      </c>
    </row>
    <row r="2818" spans="1:15" x14ac:dyDescent="0.3">
      <c r="A2818" t="s">
        <v>4324</v>
      </c>
      <c r="B2818" t="s">
        <v>4485</v>
      </c>
      <c r="C2818">
        <v>2023</v>
      </c>
      <c r="D2818" t="s">
        <v>358</v>
      </c>
      <c r="E2818" t="s">
        <v>4563</v>
      </c>
      <c r="F2818">
        <v>866</v>
      </c>
      <c r="G2818" t="s">
        <v>360</v>
      </c>
      <c r="H2818">
        <v>36</v>
      </c>
      <c r="I2818" t="s">
        <v>4564</v>
      </c>
      <c r="J2818" t="s">
        <v>294</v>
      </c>
      <c r="M2818" t="s">
        <v>295</v>
      </c>
      <c r="N2818" t="s">
        <v>296</v>
      </c>
      <c r="O2818" t="s">
        <v>297</v>
      </c>
    </row>
    <row r="2819" spans="1:15" x14ac:dyDescent="0.3">
      <c r="A2819" t="s">
        <v>4324</v>
      </c>
      <c r="B2819" t="s">
        <v>4485</v>
      </c>
      <c r="C2819">
        <v>2023</v>
      </c>
      <c r="D2819" t="s">
        <v>358</v>
      </c>
      <c r="E2819" t="s">
        <v>4437</v>
      </c>
      <c r="F2819">
        <v>12</v>
      </c>
      <c r="G2819" t="s">
        <v>384</v>
      </c>
      <c r="H2819">
        <v>37</v>
      </c>
      <c r="I2819" t="s">
        <v>4565</v>
      </c>
      <c r="J2819" t="s">
        <v>294</v>
      </c>
      <c r="M2819" t="s">
        <v>295</v>
      </c>
      <c r="N2819" t="s">
        <v>296</v>
      </c>
      <c r="O2819" t="s">
        <v>297</v>
      </c>
    </row>
    <row r="2820" spans="1:15" x14ac:dyDescent="0.3">
      <c r="A2820" t="s">
        <v>4324</v>
      </c>
      <c r="B2820" t="s">
        <v>4485</v>
      </c>
      <c r="C2820">
        <v>2023</v>
      </c>
      <c r="D2820" t="s">
        <v>358</v>
      </c>
      <c r="E2820" t="s">
        <v>4439</v>
      </c>
      <c r="F2820">
        <v>2700000</v>
      </c>
      <c r="G2820" t="s">
        <v>4440</v>
      </c>
      <c r="H2820">
        <v>37</v>
      </c>
      <c r="I2820" t="s">
        <v>4566</v>
      </c>
      <c r="J2820" t="s">
        <v>294</v>
      </c>
      <c r="M2820" t="s">
        <v>295</v>
      </c>
      <c r="N2820" t="s">
        <v>296</v>
      </c>
      <c r="O2820" t="s">
        <v>297</v>
      </c>
    </row>
    <row r="2821" spans="1:15" x14ac:dyDescent="0.3">
      <c r="A2821" t="s">
        <v>4324</v>
      </c>
      <c r="B2821" t="s">
        <v>4485</v>
      </c>
      <c r="C2821">
        <v>2023</v>
      </c>
      <c r="D2821" t="s">
        <v>358</v>
      </c>
      <c r="E2821" t="s">
        <v>4567</v>
      </c>
      <c r="F2821">
        <v>3</v>
      </c>
      <c r="G2821" t="s">
        <v>384</v>
      </c>
      <c r="H2821">
        <v>37</v>
      </c>
      <c r="I2821" t="s">
        <v>4568</v>
      </c>
      <c r="J2821" t="s">
        <v>294</v>
      </c>
      <c r="M2821" t="s">
        <v>295</v>
      </c>
      <c r="N2821" t="s">
        <v>296</v>
      </c>
      <c r="O2821" t="s">
        <v>297</v>
      </c>
    </row>
    <row r="2822" spans="1:15" x14ac:dyDescent="0.3">
      <c r="A2822" t="s">
        <v>4324</v>
      </c>
      <c r="B2822" t="s">
        <v>4485</v>
      </c>
      <c r="C2822">
        <v>2023</v>
      </c>
      <c r="D2822" t="s">
        <v>358</v>
      </c>
      <c r="E2822" t="s">
        <v>4569</v>
      </c>
      <c r="F2822">
        <v>2</v>
      </c>
      <c r="G2822" t="s">
        <v>384</v>
      </c>
      <c r="H2822">
        <v>37</v>
      </c>
      <c r="I2822" t="s">
        <v>4570</v>
      </c>
      <c r="J2822" t="s">
        <v>294</v>
      </c>
      <c r="M2822" t="s">
        <v>295</v>
      </c>
      <c r="N2822" t="s">
        <v>296</v>
      </c>
      <c r="O2822" t="s">
        <v>297</v>
      </c>
    </row>
    <row r="2823" spans="1:15" x14ac:dyDescent="0.3">
      <c r="A2823" t="s">
        <v>4324</v>
      </c>
      <c r="B2823" t="s">
        <v>4485</v>
      </c>
      <c r="C2823">
        <v>2023</v>
      </c>
      <c r="D2823" t="s">
        <v>358</v>
      </c>
      <c r="E2823" t="s">
        <v>4446</v>
      </c>
      <c r="F2823">
        <v>1</v>
      </c>
      <c r="G2823" t="s">
        <v>384</v>
      </c>
      <c r="H2823">
        <v>37</v>
      </c>
      <c r="I2823" t="s">
        <v>4571</v>
      </c>
      <c r="J2823" t="s">
        <v>294</v>
      </c>
      <c r="M2823" t="s">
        <v>295</v>
      </c>
      <c r="N2823" t="s">
        <v>296</v>
      </c>
      <c r="O2823" t="s">
        <v>297</v>
      </c>
    </row>
    <row r="2824" spans="1:15" x14ac:dyDescent="0.3">
      <c r="A2824" t="s">
        <v>4324</v>
      </c>
      <c r="B2824" t="s">
        <v>4485</v>
      </c>
      <c r="C2824">
        <v>2023</v>
      </c>
      <c r="D2824" t="s">
        <v>358</v>
      </c>
      <c r="E2824" t="s">
        <v>4448</v>
      </c>
      <c r="F2824">
        <v>1</v>
      </c>
      <c r="G2824" t="s">
        <v>384</v>
      </c>
      <c r="H2824">
        <v>37</v>
      </c>
      <c r="I2824" t="s">
        <v>4572</v>
      </c>
      <c r="J2824" t="s">
        <v>294</v>
      </c>
      <c r="M2824" t="s">
        <v>295</v>
      </c>
      <c r="N2824" t="s">
        <v>296</v>
      </c>
      <c r="O2824" t="s">
        <v>297</v>
      </c>
    </row>
    <row r="2825" spans="1:15" x14ac:dyDescent="0.3">
      <c r="A2825" t="s">
        <v>4324</v>
      </c>
      <c r="B2825" t="s">
        <v>4485</v>
      </c>
      <c r="C2825">
        <v>2023</v>
      </c>
      <c r="D2825" t="s">
        <v>358</v>
      </c>
      <c r="E2825" t="s">
        <v>4573</v>
      </c>
      <c r="F2825">
        <v>19</v>
      </c>
      <c r="G2825" t="s">
        <v>375</v>
      </c>
      <c r="H2825">
        <v>36</v>
      </c>
      <c r="I2825" t="s">
        <v>4574</v>
      </c>
      <c r="J2825" t="s">
        <v>294</v>
      </c>
      <c r="M2825" t="s">
        <v>295</v>
      </c>
      <c r="N2825" t="s">
        <v>296</v>
      </c>
      <c r="O2825" t="s">
        <v>297</v>
      </c>
    </row>
    <row r="2826" spans="1:15" x14ac:dyDescent="0.3">
      <c r="A2826" t="s">
        <v>4324</v>
      </c>
      <c r="B2826" t="s">
        <v>4485</v>
      </c>
      <c r="C2826">
        <v>2023</v>
      </c>
      <c r="D2826" t="s">
        <v>358</v>
      </c>
      <c r="E2826" t="s">
        <v>4575</v>
      </c>
      <c r="F2826">
        <v>18</v>
      </c>
      <c r="G2826" t="s">
        <v>375</v>
      </c>
      <c r="H2826">
        <v>36</v>
      </c>
      <c r="I2826" t="s">
        <v>4576</v>
      </c>
      <c r="J2826" t="s">
        <v>294</v>
      </c>
      <c r="M2826" t="s">
        <v>295</v>
      </c>
      <c r="N2826" t="s">
        <v>296</v>
      </c>
      <c r="O2826" t="s">
        <v>297</v>
      </c>
    </row>
    <row r="2827" spans="1:15" x14ac:dyDescent="0.3">
      <c r="A2827" t="s">
        <v>4324</v>
      </c>
      <c r="B2827" t="s">
        <v>4485</v>
      </c>
      <c r="C2827">
        <v>2023</v>
      </c>
      <c r="D2827" t="s">
        <v>394</v>
      </c>
      <c r="E2827" t="s">
        <v>4449</v>
      </c>
      <c r="F2827">
        <v>1377000</v>
      </c>
      <c r="G2827" t="s">
        <v>396</v>
      </c>
      <c r="H2827">
        <v>5</v>
      </c>
      <c r="I2827" t="s">
        <v>4577</v>
      </c>
      <c r="J2827" t="s">
        <v>294</v>
      </c>
      <c r="M2827" t="s">
        <v>295</v>
      </c>
      <c r="N2827" t="s">
        <v>296</v>
      </c>
      <c r="O2827" t="s">
        <v>297</v>
      </c>
    </row>
    <row r="2828" spans="1:15" x14ac:dyDescent="0.3">
      <c r="A2828" t="s">
        <v>4324</v>
      </c>
      <c r="B2828" t="s">
        <v>4485</v>
      </c>
      <c r="C2828">
        <v>2023</v>
      </c>
      <c r="D2828" t="s">
        <v>394</v>
      </c>
      <c r="E2828" t="s">
        <v>4451</v>
      </c>
      <c r="F2828">
        <v>1177000</v>
      </c>
      <c r="G2828" t="s">
        <v>396</v>
      </c>
      <c r="H2828">
        <v>5</v>
      </c>
      <c r="I2828" t="s">
        <v>4578</v>
      </c>
      <c r="J2828" t="s">
        <v>294</v>
      </c>
      <c r="M2828" t="s">
        <v>295</v>
      </c>
      <c r="N2828" t="s">
        <v>296</v>
      </c>
      <c r="O2828" t="s">
        <v>297</v>
      </c>
    </row>
    <row r="2829" spans="1:15" x14ac:dyDescent="0.3">
      <c r="A2829" t="s">
        <v>4324</v>
      </c>
      <c r="B2829" t="s">
        <v>4485</v>
      </c>
      <c r="C2829">
        <v>2023</v>
      </c>
      <c r="D2829" t="s">
        <v>394</v>
      </c>
      <c r="E2829" t="s">
        <v>4453</v>
      </c>
      <c r="F2829">
        <v>201000</v>
      </c>
      <c r="G2829" t="s">
        <v>396</v>
      </c>
      <c r="H2829">
        <v>38</v>
      </c>
      <c r="I2829" t="s">
        <v>4579</v>
      </c>
      <c r="J2829" t="s">
        <v>294</v>
      </c>
      <c r="M2829" t="s">
        <v>295</v>
      </c>
      <c r="N2829" t="s">
        <v>296</v>
      </c>
      <c r="O2829" t="s">
        <v>297</v>
      </c>
    </row>
    <row r="2830" spans="1:15" x14ac:dyDescent="0.3">
      <c r="A2830" t="s">
        <v>4324</v>
      </c>
      <c r="B2830" t="s">
        <v>4485</v>
      </c>
      <c r="C2830">
        <v>2023</v>
      </c>
      <c r="D2830" t="s">
        <v>394</v>
      </c>
      <c r="E2830" t="s">
        <v>406</v>
      </c>
      <c r="F2830">
        <v>294000</v>
      </c>
      <c r="G2830" t="s">
        <v>396</v>
      </c>
      <c r="H2830">
        <v>5</v>
      </c>
      <c r="I2830" t="s">
        <v>4580</v>
      </c>
      <c r="J2830" t="s">
        <v>294</v>
      </c>
      <c r="M2830" t="s">
        <v>295</v>
      </c>
      <c r="N2830" t="s">
        <v>296</v>
      </c>
      <c r="O2830" t="s">
        <v>297</v>
      </c>
    </row>
    <row r="2831" spans="1:15" x14ac:dyDescent="0.3">
      <c r="A2831" t="s">
        <v>4324</v>
      </c>
      <c r="B2831" t="s">
        <v>4485</v>
      </c>
      <c r="C2831">
        <v>2023</v>
      </c>
      <c r="D2831" t="s">
        <v>394</v>
      </c>
      <c r="E2831" t="s">
        <v>4456</v>
      </c>
      <c r="F2831">
        <v>87000</v>
      </c>
      <c r="G2831" t="s">
        <v>396</v>
      </c>
      <c r="H2831">
        <v>5</v>
      </c>
      <c r="I2831" t="s">
        <v>4581</v>
      </c>
      <c r="J2831" t="s">
        <v>294</v>
      </c>
      <c r="M2831" t="s">
        <v>295</v>
      </c>
      <c r="N2831" t="s">
        <v>296</v>
      </c>
      <c r="O2831" t="s">
        <v>297</v>
      </c>
    </row>
    <row r="2832" spans="1:15" x14ac:dyDescent="0.3">
      <c r="A2832" t="s">
        <v>4324</v>
      </c>
      <c r="B2832" t="s">
        <v>4485</v>
      </c>
      <c r="C2832">
        <v>2023</v>
      </c>
      <c r="D2832" t="s">
        <v>394</v>
      </c>
      <c r="E2832" t="s">
        <v>4458</v>
      </c>
      <c r="F2832">
        <v>7900000</v>
      </c>
      <c r="G2832" t="s">
        <v>4459</v>
      </c>
      <c r="H2832">
        <v>5</v>
      </c>
      <c r="I2832" t="s">
        <v>4582</v>
      </c>
      <c r="J2832" t="s">
        <v>294</v>
      </c>
      <c r="M2832" t="s">
        <v>295</v>
      </c>
      <c r="N2832" t="s">
        <v>296</v>
      </c>
      <c r="O2832" t="s">
        <v>297</v>
      </c>
    </row>
    <row r="2833" spans="1:15" x14ac:dyDescent="0.3">
      <c r="A2833" t="s">
        <v>4324</v>
      </c>
      <c r="B2833" t="s">
        <v>4485</v>
      </c>
      <c r="C2833">
        <v>2023</v>
      </c>
      <c r="D2833" t="s">
        <v>394</v>
      </c>
      <c r="E2833" t="s">
        <v>4461</v>
      </c>
      <c r="F2833">
        <v>4700</v>
      </c>
      <c r="G2833" t="s">
        <v>396</v>
      </c>
      <c r="H2833">
        <v>5</v>
      </c>
      <c r="I2833" t="s">
        <v>4583</v>
      </c>
      <c r="J2833" t="s">
        <v>294</v>
      </c>
      <c r="M2833" t="s">
        <v>295</v>
      </c>
      <c r="N2833" t="s">
        <v>296</v>
      </c>
      <c r="O2833" t="s">
        <v>297</v>
      </c>
    </row>
    <row r="2834" spans="1:15" x14ac:dyDescent="0.3">
      <c r="A2834" t="s">
        <v>4324</v>
      </c>
      <c r="B2834" t="s">
        <v>4485</v>
      </c>
      <c r="C2834">
        <v>2023</v>
      </c>
      <c r="D2834" t="s">
        <v>394</v>
      </c>
      <c r="E2834" t="s">
        <v>4463</v>
      </c>
      <c r="F2834">
        <v>416</v>
      </c>
      <c r="G2834" t="s">
        <v>396</v>
      </c>
      <c r="H2834">
        <v>5</v>
      </c>
      <c r="I2834" t="s">
        <v>4584</v>
      </c>
      <c r="J2834" t="s">
        <v>294</v>
      </c>
      <c r="M2834" t="s">
        <v>295</v>
      </c>
      <c r="N2834" t="s">
        <v>296</v>
      </c>
      <c r="O2834" t="s">
        <v>297</v>
      </c>
    </row>
    <row r="2835" spans="1:15" x14ac:dyDescent="0.3">
      <c r="A2835" t="s">
        <v>4324</v>
      </c>
      <c r="B2835" t="s">
        <v>4485</v>
      </c>
      <c r="C2835">
        <v>2023</v>
      </c>
      <c r="D2835" t="s">
        <v>394</v>
      </c>
      <c r="E2835" t="s">
        <v>4051</v>
      </c>
      <c r="F2835">
        <v>754</v>
      </c>
      <c r="G2835" t="s">
        <v>396</v>
      </c>
      <c r="H2835">
        <v>5</v>
      </c>
      <c r="I2835" t="s">
        <v>4585</v>
      </c>
      <c r="J2835" t="s">
        <v>294</v>
      </c>
      <c r="M2835" t="s">
        <v>295</v>
      </c>
      <c r="N2835" t="s">
        <v>296</v>
      </c>
      <c r="O2835" t="s">
        <v>297</v>
      </c>
    </row>
    <row r="2836" spans="1:15" x14ac:dyDescent="0.3">
      <c r="A2836" t="s">
        <v>4324</v>
      </c>
      <c r="B2836" t="s">
        <v>4485</v>
      </c>
      <c r="C2836">
        <v>2023</v>
      </c>
      <c r="D2836" t="s">
        <v>394</v>
      </c>
      <c r="E2836" t="s">
        <v>438</v>
      </c>
      <c r="F2836">
        <v>303000</v>
      </c>
      <c r="G2836" t="s">
        <v>396</v>
      </c>
      <c r="H2836">
        <v>5</v>
      </c>
      <c r="I2836" t="s">
        <v>4586</v>
      </c>
      <c r="J2836" t="s">
        <v>294</v>
      </c>
      <c r="M2836" t="s">
        <v>295</v>
      </c>
      <c r="N2836" t="s">
        <v>296</v>
      </c>
      <c r="O2836" t="s">
        <v>297</v>
      </c>
    </row>
    <row r="2837" spans="1:15" x14ac:dyDescent="0.3">
      <c r="A2837" t="s">
        <v>4324</v>
      </c>
      <c r="B2837" t="s">
        <v>4485</v>
      </c>
      <c r="C2837">
        <v>2023</v>
      </c>
      <c r="D2837" t="s">
        <v>394</v>
      </c>
      <c r="E2837" t="s">
        <v>4467</v>
      </c>
      <c r="F2837">
        <v>105000</v>
      </c>
      <c r="G2837" t="s">
        <v>396</v>
      </c>
      <c r="H2837">
        <v>5</v>
      </c>
      <c r="I2837" t="s">
        <v>4587</v>
      </c>
      <c r="J2837" t="s">
        <v>294</v>
      </c>
      <c r="M2837" t="s">
        <v>295</v>
      </c>
      <c r="N2837" t="s">
        <v>296</v>
      </c>
      <c r="O2837" t="s">
        <v>297</v>
      </c>
    </row>
    <row r="2838" spans="1:15" x14ac:dyDescent="0.3">
      <c r="A2838" t="s">
        <v>4324</v>
      </c>
      <c r="B2838" t="s">
        <v>4485</v>
      </c>
      <c r="C2838">
        <v>2023</v>
      </c>
      <c r="D2838" t="s">
        <v>394</v>
      </c>
      <c r="E2838" t="s">
        <v>4469</v>
      </c>
      <c r="F2838">
        <v>7700000</v>
      </c>
      <c r="G2838" t="s">
        <v>4459</v>
      </c>
      <c r="H2838">
        <v>5</v>
      </c>
      <c r="I2838" t="s">
        <v>4588</v>
      </c>
      <c r="J2838" t="s">
        <v>294</v>
      </c>
      <c r="M2838" t="s">
        <v>295</v>
      </c>
      <c r="N2838" t="s">
        <v>296</v>
      </c>
      <c r="O2838" t="s">
        <v>297</v>
      </c>
    </row>
    <row r="2839" spans="1:15" x14ac:dyDescent="0.3">
      <c r="A2839" t="s">
        <v>4324</v>
      </c>
      <c r="B2839" t="s">
        <v>4485</v>
      </c>
      <c r="C2839">
        <v>2023</v>
      </c>
      <c r="D2839" t="s">
        <v>394</v>
      </c>
      <c r="E2839" t="s">
        <v>4471</v>
      </c>
      <c r="F2839">
        <v>5100</v>
      </c>
      <c r="G2839" t="s">
        <v>396</v>
      </c>
      <c r="H2839">
        <v>5</v>
      </c>
      <c r="I2839" t="s">
        <v>4589</v>
      </c>
      <c r="J2839" t="s">
        <v>294</v>
      </c>
      <c r="M2839" t="s">
        <v>295</v>
      </c>
      <c r="N2839" t="s">
        <v>296</v>
      </c>
      <c r="O2839" t="s">
        <v>297</v>
      </c>
    </row>
    <row r="2840" spans="1:15" x14ac:dyDescent="0.3">
      <c r="A2840" t="s">
        <v>4324</v>
      </c>
      <c r="B2840" t="s">
        <v>4485</v>
      </c>
      <c r="C2840">
        <v>2023</v>
      </c>
      <c r="D2840" t="s">
        <v>394</v>
      </c>
      <c r="E2840" t="s">
        <v>4473</v>
      </c>
      <c r="F2840">
        <v>0.53</v>
      </c>
      <c r="G2840" t="s">
        <v>334</v>
      </c>
      <c r="H2840">
        <v>27</v>
      </c>
      <c r="I2840" t="s">
        <v>4590</v>
      </c>
      <c r="J2840" t="s">
        <v>294</v>
      </c>
      <c r="M2840" t="s">
        <v>295</v>
      </c>
      <c r="N2840" t="s">
        <v>296</v>
      </c>
      <c r="O2840" t="s">
        <v>297</v>
      </c>
    </row>
    <row r="2841" spans="1:15" x14ac:dyDescent="0.3">
      <c r="A2841" t="s">
        <v>4324</v>
      </c>
      <c r="B2841" t="s">
        <v>4485</v>
      </c>
      <c r="C2841">
        <v>2023</v>
      </c>
      <c r="D2841" t="s">
        <v>394</v>
      </c>
      <c r="E2841" t="s">
        <v>4591</v>
      </c>
      <c r="F2841">
        <v>972</v>
      </c>
      <c r="G2841" t="s">
        <v>947</v>
      </c>
      <c r="H2841">
        <v>26</v>
      </c>
      <c r="I2841" t="s">
        <v>4592</v>
      </c>
      <c r="J2841" t="s">
        <v>294</v>
      </c>
      <c r="M2841" t="s">
        <v>295</v>
      </c>
      <c r="N2841" t="s">
        <v>296</v>
      </c>
      <c r="O2841" t="s">
        <v>297</v>
      </c>
    </row>
    <row r="2842" spans="1:15" x14ac:dyDescent="0.3">
      <c r="A2842" t="s">
        <v>4324</v>
      </c>
      <c r="B2842" t="s">
        <v>4485</v>
      </c>
      <c r="C2842">
        <v>2023</v>
      </c>
      <c r="D2842" t="s">
        <v>563</v>
      </c>
      <c r="E2842" t="s">
        <v>4481</v>
      </c>
      <c r="F2842">
        <v>258000</v>
      </c>
      <c r="G2842" t="s">
        <v>396</v>
      </c>
      <c r="H2842">
        <v>9</v>
      </c>
      <c r="I2842" t="s">
        <v>4593</v>
      </c>
      <c r="J2842" t="s">
        <v>294</v>
      </c>
      <c r="M2842" t="s">
        <v>295</v>
      </c>
      <c r="N2842" t="s">
        <v>296</v>
      </c>
      <c r="O2842" t="s">
        <v>297</v>
      </c>
    </row>
    <row r="2843" spans="1:15" x14ac:dyDescent="0.3">
      <c r="A2843" t="s">
        <v>4324</v>
      </c>
      <c r="B2843" t="s">
        <v>4485</v>
      </c>
      <c r="C2843">
        <v>2023</v>
      </c>
      <c r="D2843" t="s">
        <v>563</v>
      </c>
      <c r="E2843" t="s">
        <v>4594</v>
      </c>
      <c r="F2843">
        <v>1</v>
      </c>
      <c r="G2843" t="s">
        <v>334</v>
      </c>
      <c r="H2843">
        <v>9</v>
      </c>
      <c r="I2843" t="s">
        <v>4595</v>
      </c>
      <c r="J2843" t="s">
        <v>294</v>
      </c>
      <c r="M2843" t="s">
        <v>295</v>
      </c>
      <c r="N2843" t="s">
        <v>296</v>
      </c>
      <c r="O2843" t="s">
        <v>297</v>
      </c>
    </row>
    <row r="2844" spans="1:15" x14ac:dyDescent="0.3">
      <c r="A2844" t="s">
        <v>4324</v>
      </c>
      <c r="B2844" t="s">
        <v>4485</v>
      </c>
      <c r="C2844">
        <v>2023</v>
      </c>
      <c r="D2844" t="s">
        <v>300</v>
      </c>
      <c r="E2844" t="s">
        <v>489</v>
      </c>
      <c r="F2844">
        <v>54</v>
      </c>
      <c r="G2844" t="s">
        <v>302</v>
      </c>
      <c r="H2844">
        <v>33</v>
      </c>
      <c r="I2844" t="s">
        <v>4596</v>
      </c>
      <c r="J2844" t="s">
        <v>294</v>
      </c>
      <c r="M2844" t="s">
        <v>295</v>
      </c>
      <c r="N2844" t="s">
        <v>296</v>
      </c>
      <c r="O2844" t="s">
        <v>297</v>
      </c>
    </row>
    <row r="2845" spans="1:15" x14ac:dyDescent="0.3">
      <c r="A2845" t="s">
        <v>4324</v>
      </c>
      <c r="B2845" t="s">
        <v>4597</v>
      </c>
      <c r="C2845">
        <v>2024</v>
      </c>
      <c r="D2845" t="s">
        <v>272</v>
      </c>
      <c r="E2845" t="s">
        <v>291</v>
      </c>
      <c r="F2845" t="s">
        <v>4324</v>
      </c>
      <c r="G2845" t="s">
        <v>292</v>
      </c>
      <c r="H2845">
        <v>8</v>
      </c>
      <c r="I2845" t="s">
        <v>4598</v>
      </c>
      <c r="J2845" t="s">
        <v>294</v>
      </c>
      <c r="M2845" t="s">
        <v>295</v>
      </c>
      <c r="N2845" t="s">
        <v>296</v>
      </c>
      <c r="O2845" t="s">
        <v>297</v>
      </c>
    </row>
    <row r="2846" spans="1:15" x14ac:dyDescent="0.3">
      <c r="A2846" t="s">
        <v>4324</v>
      </c>
      <c r="B2846" t="s">
        <v>4597</v>
      </c>
      <c r="C2846">
        <v>2024</v>
      </c>
      <c r="D2846" t="s">
        <v>272</v>
      </c>
      <c r="E2846" t="s">
        <v>4599</v>
      </c>
      <c r="F2846">
        <v>1906</v>
      </c>
      <c r="G2846" t="s">
        <v>299</v>
      </c>
      <c r="H2846">
        <v>8</v>
      </c>
      <c r="I2846" t="s">
        <v>4600</v>
      </c>
      <c r="J2846" t="s">
        <v>294</v>
      </c>
      <c r="M2846" t="s">
        <v>295</v>
      </c>
      <c r="N2846" t="s">
        <v>296</v>
      </c>
      <c r="O2846" t="s">
        <v>297</v>
      </c>
    </row>
    <row r="2847" spans="1:15" x14ac:dyDescent="0.3">
      <c r="A2847" t="s">
        <v>4324</v>
      </c>
      <c r="B2847" t="s">
        <v>4597</v>
      </c>
      <c r="C2847">
        <v>2024</v>
      </c>
      <c r="D2847" t="s">
        <v>272</v>
      </c>
      <c r="E2847" t="s">
        <v>869</v>
      </c>
      <c r="F2847" t="s">
        <v>4601</v>
      </c>
      <c r="G2847" t="s">
        <v>666</v>
      </c>
      <c r="H2847">
        <v>13</v>
      </c>
      <c r="I2847" t="s">
        <v>4602</v>
      </c>
      <c r="J2847" t="s">
        <v>294</v>
      </c>
      <c r="M2847" t="s">
        <v>295</v>
      </c>
      <c r="N2847" t="s">
        <v>296</v>
      </c>
      <c r="O2847" t="s">
        <v>297</v>
      </c>
    </row>
    <row r="2848" spans="1:15" x14ac:dyDescent="0.3">
      <c r="A2848" t="s">
        <v>4324</v>
      </c>
      <c r="B2848" t="s">
        <v>4597</v>
      </c>
      <c r="C2848">
        <v>2024</v>
      </c>
      <c r="D2848" t="s">
        <v>272</v>
      </c>
      <c r="E2848" t="s">
        <v>4329</v>
      </c>
      <c r="F2848" t="s">
        <v>4330</v>
      </c>
      <c r="G2848" t="s">
        <v>334</v>
      </c>
      <c r="H2848">
        <v>10</v>
      </c>
      <c r="I2848" t="s">
        <v>4487</v>
      </c>
      <c r="J2848" t="s">
        <v>294</v>
      </c>
      <c r="M2848" t="s">
        <v>295</v>
      </c>
      <c r="N2848" t="s">
        <v>296</v>
      </c>
      <c r="O2848" t="s">
        <v>297</v>
      </c>
    </row>
    <row r="2849" spans="1:15" x14ac:dyDescent="0.3">
      <c r="A2849" t="s">
        <v>4324</v>
      </c>
      <c r="B2849" t="s">
        <v>4597</v>
      </c>
      <c r="C2849">
        <v>2024</v>
      </c>
      <c r="D2849" t="s">
        <v>272</v>
      </c>
      <c r="E2849" t="s">
        <v>2704</v>
      </c>
      <c r="F2849" t="s">
        <v>4603</v>
      </c>
      <c r="G2849" t="s">
        <v>292</v>
      </c>
      <c r="H2849">
        <v>10</v>
      </c>
      <c r="I2849" t="s">
        <v>4604</v>
      </c>
      <c r="J2849" t="s">
        <v>294</v>
      </c>
      <c r="M2849" t="s">
        <v>295</v>
      </c>
      <c r="N2849" t="s">
        <v>296</v>
      </c>
      <c r="O2849" t="s">
        <v>297</v>
      </c>
    </row>
    <row r="2850" spans="1:15" x14ac:dyDescent="0.3">
      <c r="A2850" t="s">
        <v>4324</v>
      </c>
      <c r="B2850" t="s">
        <v>4597</v>
      </c>
      <c r="C2850">
        <v>2024</v>
      </c>
      <c r="D2850" t="s">
        <v>272</v>
      </c>
      <c r="E2850" t="s">
        <v>445</v>
      </c>
      <c r="F2850">
        <v>0.40379999999999999</v>
      </c>
      <c r="G2850" t="s">
        <v>334</v>
      </c>
      <c r="H2850">
        <v>10</v>
      </c>
      <c r="I2850" t="s">
        <v>4490</v>
      </c>
      <c r="J2850" t="s">
        <v>294</v>
      </c>
      <c r="M2850" t="s">
        <v>295</v>
      </c>
      <c r="N2850" t="s">
        <v>296</v>
      </c>
      <c r="O2850" t="s">
        <v>297</v>
      </c>
    </row>
    <row r="2851" spans="1:15" x14ac:dyDescent="0.3">
      <c r="A2851" t="s">
        <v>4324</v>
      </c>
      <c r="B2851" t="s">
        <v>4597</v>
      </c>
      <c r="C2851">
        <v>2024</v>
      </c>
      <c r="D2851" t="s">
        <v>272</v>
      </c>
      <c r="E2851" t="s">
        <v>4335</v>
      </c>
      <c r="F2851">
        <v>6819963965</v>
      </c>
      <c r="G2851" t="s">
        <v>1633</v>
      </c>
      <c r="H2851">
        <v>10</v>
      </c>
      <c r="I2851" t="s">
        <v>4336</v>
      </c>
      <c r="J2851" t="s">
        <v>294</v>
      </c>
      <c r="M2851" t="s">
        <v>295</v>
      </c>
      <c r="N2851" t="s">
        <v>296</v>
      </c>
      <c r="O2851" t="s">
        <v>297</v>
      </c>
    </row>
    <row r="2852" spans="1:15" x14ac:dyDescent="0.3">
      <c r="A2852" t="s">
        <v>4324</v>
      </c>
      <c r="B2852" t="s">
        <v>4597</v>
      </c>
      <c r="C2852">
        <v>2024</v>
      </c>
      <c r="D2852" t="s">
        <v>272</v>
      </c>
      <c r="E2852" t="s">
        <v>3140</v>
      </c>
      <c r="F2852">
        <v>19312</v>
      </c>
      <c r="G2852" t="s">
        <v>384</v>
      </c>
      <c r="H2852">
        <v>10</v>
      </c>
      <c r="I2852" t="s">
        <v>4605</v>
      </c>
      <c r="J2852" t="s">
        <v>294</v>
      </c>
      <c r="M2852" t="s">
        <v>295</v>
      </c>
      <c r="N2852" t="s">
        <v>296</v>
      </c>
      <c r="O2852" t="s">
        <v>297</v>
      </c>
    </row>
    <row r="2853" spans="1:15" x14ac:dyDescent="0.3">
      <c r="A2853" t="s">
        <v>4324</v>
      </c>
      <c r="B2853" t="s">
        <v>4597</v>
      </c>
      <c r="C2853">
        <v>2024</v>
      </c>
      <c r="D2853" t="s">
        <v>300</v>
      </c>
      <c r="E2853" t="s">
        <v>3142</v>
      </c>
      <c r="F2853">
        <v>4563</v>
      </c>
      <c r="G2853" t="s">
        <v>302</v>
      </c>
      <c r="H2853">
        <v>4</v>
      </c>
      <c r="I2853" t="s">
        <v>4606</v>
      </c>
      <c r="J2853" t="s">
        <v>294</v>
      </c>
      <c r="M2853" t="s">
        <v>295</v>
      </c>
      <c r="N2853" t="s">
        <v>296</v>
      </c>
      <c r="O2853" t="s">
        <v>297</v>
      </c>
    </row>
    <row r="2854" spans="1:15" x14ac:dyDescent="0.3">
      <c r="A2854" t="s">
        <v>4324</v>
      </c>
      <c r="B2854" t="s">
        <v>4597</v>
      </c>
      <c r="C2854">
        <v>2024</v>
      </c>
      <c r="D2854" t="s">
        <v>300</v>
      </c>
      <c r="E2854" t="s">
        <v>4607</v>
      </c>
      <c r="F2854">
        <v>0.09</v>
      </c>
      <c r="G2854" t="s">
        <v>334</v>
      </c>
      <c r="H2854">
        <v>25</v>
      </c>
      <c r="I2854" t="s">
        <v>4608</v>
      </c>
      <c r="J2854" t="s">
        <v>294</v>
      </c>
      <c r="M2854" t="s">
        <v>295</v>
      </c>
      <c r="N2854" t="s">
        <v>296</v>
      </c>
      <c r="O2854" t="s">
        <v>297</v>
      </c>
    </row>
    <row r="2855" spans="1:15" x14ac:dyDescent="0.3">
      <c r="A2855" t="s">
        <v>4324</v>
      </c>
      <c r="B2855" t="s">
        <v>4597</v>
      </c>
      <c r="C2855">
        <v>2024</v>
      </c>
      <c r="D2855" t="s">
        <v>300</v>
      </c>
      <c r="E2855" t="s">
        <v>4342</v>
      </c>
      <c r="F2855">
        <v>4290</v>
      </c>
      <c r="G2855" t="s">
        <v>302</v>
      </c>
      <c r="H2855">
        <v>25</v>
      </c>
      <c r="I2855" t="s">
        <v>4609</v>
      </c>
      <c r="J2855" t="s">
        <v>294</v>
      </c>
      <c r="M2855" t="s">
        <v>295</v>
      </c>
      <c r="N2855" t="s">
        <v>296</v>
      </c>
      <c r="O2855" t="s">
        <v>297</v>
      </c>
    </row>
    <row r="2856" spans="1:15" x14ac:dyDescent="0.3">
      <c r="A2856" t="s">
        <v>4324</v>
      </c>
      <c r="B2856" t="s">
        <v>4597</v>
      </c>
      <c r="C2856">
        <v>2024</v>
      </c>
      <c r="D2856" t="s">
        <v>300</v>
      </c>
      <c r="E2856" t="s">
        <v>4344</v>
      </c>
      <c r="F2856">
        <v>0.94</v>
      </c>
      <c r="G2856" t="s">
        <v>334</v>
      </c>
      <c r="H2856">
        <v>25</v>
      </c>
      <c r="I2856" t="s">
        <v>4610</v>
      </c>
      <c r="J2856" t="s">
        <v>294</v>
      </c>
      <c r="M2856" t="s">
        <v>295</v>
      </c>
      <c r="N2856" t="s">
        <v>296</v>
      </c>
      <c r="O2856" t="s">
        <v>297</v>
      </c>
    </row>
    <row r="2857" spans="1:15" x14ac:dyDescent="0.3">
      <c r="A2857" t="s">
        <v>4324</v>
      </c>
      <c r="B2857" t="s">
        <v>4597</v>
      </c>
      <c r="C2857">
        <v>2024</v>
      </c>
      <c r="D2857" t="s">
        <v>300</v>
      </c>
      <c r="E2857" t="s">
        <v>4346</v>
      </c>
      <c r="F2857">
        <v>0.8</v>
      </c>
      <c r="G2857" t="s">
        <v>334</v>
      </c>
      <c r="H2857">
        <v>25</v>
      </c>
      <c r="I2857" t="s">
        <v>4611</v>
      </c>
      <c r="J2857" t="s">
        <v>294</v>
      </c>
      <c r="M2857" t="s">
        <v>295</v>
      </c>
      <c r="N2857" t="s">
        <v>296</v>
      </c>
      <c r="O2857" t="s">
        <v>297</v>
      </c>
    </row>
    <row r="2858" spans="1:15" x14ac:dyDescent="0.3">
      <c r="A2858" t="s">
        <v>4324</v>
      </c>
      <c r="B2858" t="s">
        <v>4597</v>
      </c>
      <c r="C2858">
        <v>2024</v>
      </c>
      <c r="D2858" t="s">
        <v>300</v>
      </c>
      <c r="E2858" t="s">
        <v>688</v>
      </c>
      <c r="F2858">
        <v>2571</v>
      </c>
      <c r="G2858" t="s">
        <v>302</v>
      </c>
      <c r="H2858">
        <v>122</v>
      </c>
      <c r="I2858" t="s">
        <v>4612</v>
      </c>
      <c r="J2858" t="s">
        <v>294</v>
      </c>
      <c r="M2858" t="s">
        <v>295</v>
      </c>
      <c r="N2858" t="s">
        <v>296</v>
      </c>
      <c r="O2858" t="s">
        <v>297</v>
      </c>
    </row>
    <row r="2859" spans="1:15" x14ac:dyDescent="0.3">
      <c r="A2859" t="s">
        <v>4324</v>
      </c>
      <c r="B2859" t="s">
        <v>4597</v>
      </c>
      <c r="C2859">
        <v>2024</v>
      </c>
      <c r="D2859" t="s">
        <v>300</v>
      </c>
      <c r="E2859" t="s">
        <v>304</v>
      </c>
      <c r="F2859">
        <v>1992</v>
      </c>
      <c r="G2859" t="s">
        <v>302</v>
      </c>
      <c r="H2859">
        <v>4</v>
      </c>
      <c r="I2859" t="s">
        <v>4613</v>
      </c>
      <c r="J2859" t="s">
        <v>294</v>
      </c>
      <c r="M2859" t="s">
        <v>295</v>
      </c>
      <c r="N2859" t="s">
        <v>296</v>
      </c>
      <c r="O2859" t="s">
        <v>297</v>
      </c>
    </row>
    <row r="2860" spans="1:15" x14ac:dyDescent="0.3">
      <c r="A2860" t="s">
        <v>4324</v>
      </c>
      <c r="B2860" t="s">
        <v>4597</v>
      </c>
      <c r="C2860">
        <v>2024</v>
      </c>
      <c r="D2860" t="s">
        <v>300</v>
      </c>
      <c r="E2860" t="s">
        <v>1187</v>
      </c>
      <c r="F2860">
        <v>0.437</v>
      </c>
      <c r="G2860" t="s">
        <v>334</v>
      </c>
      <c r="H2860">
        <v>4</v>
      </c>
      <c r="I2860" t="s">
        <v>4614</v>
      </c>
      <c r="J2860" t="s">
        <v>294</v>
      </c>
      <c r="M2860" t="s">
        <v>295</v>
      </c>
      <c r="N2860" t="s">
        <v>296</v>
      </c>
      <c r="O2860" t="s">
        <v>297</v>
      </c>
    </row>
    <row r="2861" spans="1:15" x14ac:dyDescent="0.3">
      <c r="A2861" t="s">
        <v>4324</v>
      </c>
      <c r="B2861" t="s">
        <v>4597</v>
      </c>
      <c r="C2861">
        <v>2024</v>
      </c>
      <c r="D2861" t="s">
        <v>300</v>
      </c>
      <c r="E2861" t="s">
        <v>1112</v>
      </c>
      <c r="F2861">
        <v>1551</v>
      </c>
      <c r="G2861" t="s">
        <v>302</v>
      </c>
      <c r="H2861">
        <v>4</v>
      </c>
      <c r="I2861" t="s">
        <v>4615</v>
      </c>
      <c r="J2861" t="s">
        <v>294</v>
      </c>
      <c r="M2861" t="s">
        <v>295</v>
      </c>
      <c r="N2861" t="s">
        <v>296</v>
      </c>
      <c r="O2861" t="s">
        <v>297</v>
      </c>
    </row>
    <row r="2862" spans="1:15" x14ac:dyDescent="0.3">
      <c r="A2862" t="s">
        <v>4324</v>
      </c>
      <c r="B2862" t="s">
        <v>4597</v>
      </c>
      <c r="C2862">
        <v>2024</v>
      </c>
      <c r="D2862" t="s">
        <v>300</v>
      </c>
      <c r="E2862" t="s">
        <v>4352</v>
      </c>
      <c r="F2862">
        <v>0.34</v>
      </c>
      <c r="G2862" t="s">
        <v>334</v>
      </c>
      <c r="H2862">
        <v>4</v>
      </c>
      <c r="I2862" t="s">
        <v>4616</v>
      </c>
      <c r="J2862" t="s">
        <v>294</v>
      </c>
      <c r="M2862" t="s">
        <v>295</v>
      </c>
      <c r="N2862" t="s">
        <v>296</v>
      </c>
      <c r="O2862" t="s">
        <v>297</v>
      </c>
    </row>
    <row r="2863" spans="1:15" x14ac:dyDescent="0.3">
      <c r="A2863" t="s">
        <v>4324</v>
      </c>
      <c r="B2863" t="s">
        <v>4597</v>
      </c>
      <c r="C2863">
        <v>2024</v>
      </c>
      <c r="D2863" t="s">
        <v>300</v>
      </c>
      <c r="E2863" t="s">
        <v>880</v>
      </c>
      <c r="F2863">
        <v>2099</v>
      </c>
      <c r="G2863" t="s">
        <v>302</v>
      </c>
      <c r="H2863">
        <v>4</v>
      </c>
      <c r="I2863" t="s">
        <v>4617</v>
      </c>
      <c r="J2863" t="s">
        <v>294</v>
      </c>
      <c r="M2863" t="s">
        <v>295</v>
      </c>
      <c r="N2863" t="s">
        <v>296</v>
      </c>
      <c r="O2863" t="s">
        <v>297</v>
      </c>
    </row>
    <row r="2864" spans="1:15" x14ac:dyDescent="0.3">
      <c r="A2864" t="s">
        <v>4324</v>
      </c>
      <c r="B2864" t="s">
        <v>4597</v>
      </c>
      <c r="C2864">
        <v>2024</v>
      </c>
      <c r="D2864" t="s">
        <v>300</v>
      </c>
      <c r="E2864" t="s">
        <v>901</v>
      </c>
      <c r="F2864">
        <v>0.46</v>
      </c>
      <c r="G2864" t="s">
        <v>334</v>
      </c>
      <c r="H2864">
        <v>4</v>
      </c>
      <c r="I2864" t="s">
        <v>4618</v>
      </c>
      <c r="J2864" t="s">
        <v>294</v>
      </c>
      <c r="M2864" t="s">
        <v>295</v>
      </c>
      <c r="N2864" t="s">
        <v>296</v>
      </c>
      <c r="O2864" t="s">
        <v>297</v>
      </c>
    </row>
    <row r="2865" spans="1:15" x14ac:dyDescent="0.3">
      <c r="A2865" t="s">
        <v>4324</v>
      </c>
      <c r="B2865" t="s">
        <v>4597</v>
      </c>
      <c r="C2865">
        <v>2024</v>
      </c>
      <c r="D2865" t="s">
        <v>300</v>
      </c>
      <c r="E2865" t="s">
        <v>1162</v>
      </c>
      <c r="F2865">
        <v>217</v>
      </c>
      <c r="G2865" t="s">
        <v>302</v>
      </c>
      <c r="H2865">
        <v>122</v>
      </c>
      <c r="I2865" t="s">
        <v>4619</v>
      </c>
      <c r="J2865" t="s">
        <v>294</v>
      </c>
      <c r="M2865" t="s">
        <v>295</v>
      </c>
      <c r="N2865" t="s">
        <v>296</v>
      </c>
      <c r="O2865" t="s">
        <v>297</v>
      </c>
    </row>
    <row r="2866" spans="1:15" x14ac:dyDescent="0.3">
      <c r="A2866" t="s">
        <v>4324</v>
      </c>
      <c r="B2866" t="s">
        <v>4597</v>
      </c>
      <c r="C2866">
        <v>2024</v>
      </c>
      <c r="D2866" t="s">
        <v>300</v>
      </c>
      <c r="E2866" t="s">
        <v>457</v>
      </c>
      <c r="F2866">
        <v>1</v>
      </c>
      <c r="G2866" t="s">
        <v>302</v>
      </c>
      <c r="H2866">
        <v>122</v>
      </c>
      <c r="I2866" t="s">
        <v>4620</v>
      </c>
      <c r="J2866" t="s">
        <v>294</v>
      </c>
      <c r="M2866" t="s">
        <v>295</v>
      </c>
      <c r="N2866" t="s">
        <v>296</v>
      </c>
      <c r="O2866" t="s">
        <v>297</v>
      </c>
    </row>
    <row r="2867" spans="1:15" x14ac:dyDescent="0.3">
      <c r="A2867" t="s">
        <v>4324</v>
      </c>
      <c r="B2867" t="s">
        <v>4597</v>
      </c>
      <c r="C2867">
        <v>2024</v>
      </c>
      <c r="D2867" t="s">
        <v>300</v>
      </c>
      <c r="E2867" t="s">
        <v>4508</v>
      </c>
      <c r="F2867">
        <v>142</v>
      </c>
      <c r="G2867" t="s">
        <v>302</v>
      </c>
      <c r="H2867">
        <v>122</v>
      </c>
      <c r="I2867" t="s">
        <v>4621</v>
      </c>
      <c r="J2867" t="s">
        <v>294</v>
      </c>
      <c r="M2867" t="s">
        <v>295</v>
      </c>
      <c r="N2867" t="s">
        <v>296</v>
      </c>
      <c r="O2867" t="s">
        <v>297</v>
      </c>
    </row>
    <row r="2868" spans="1:15" x14ac:dyDescent="0.3">
      <c r="A2868" t="s">
        <v>4324</v>
      </c>
      <c r="B2868" t="s">
        <v>4597</v>
      </c>
      <c r="C2868">
        <v>2024</v>
      </c>
      <c r="D2868" t="s">
        <v>300</v>
      </c>
      <c r="E2868" t="s">
        <v>459</v>
      </c>
      <c r="F2868">
        <v>1773</v>
      </c>
      <c r="G2868" t="s">
        <v>302</v>
      </c>
      <c r="H2868">
        <v>122</v>
      </c>
      <c r="I2868" t="s">
        <v>4622</v>
      </c>
      <c r="J2868" t="s">
        <v>294</v>
      </c>
      <c r="M2868" t="s">
        <v>295</v>
      </c>
      <c r="N2868" t="s">
        <v>296</v>
      </c>
      <c r="O2868" t="s">
        <v>297</v>
      </c>
    </row>
    <row r="2869" spans="1:15" x14ac:dyDescent="0.3">
      <c r="A2869" t="s">
        <v>4324</v>
      </c>
      <c r="B2869" t="s">
        <v>4597</v>
      </c>
      <c r="C2869">
        <v>2024</v>
      </c>
      <c r="D2869" t="s">
        <v>300</v>
      </c>
      <c r="E2869" t="s">
        <v>581</v>
      </c>
      <c r="F2869">
        <v>297</v>
      </c>
      <c r="G2869" t="s">
        <v>302</v>
      </c>
      <c r="H2869">
        <v>122</v>
      </c>
      <c r="I2869" t="s">
        <v>4623</v>
      </c>
      <c r="J2869" t="s">
        <v>294</v>
      </c>
      <c r="M2869" t="s">
        <v>295</v>
      </c>
      <c r="N2869" t="s">
        <v>296</v>
      </c>
      <c r="O2869" t="s">
        <v>297</v>
      </c>
    </row>
    <row r="2870" spans="1:15" x14ac:dyDescent="0.3">
      <c r="A2870" t="s">
        <v>4324</v>
      </c>
      <c r="B2870" t="s">
        <v>4597</v>
      </c>
      <c r="C2870">
        <v>2024</v>
      </c>
      <c r="D2870" t="s">
        <v>300</v>
      </c>
      <c r="E2870" t="s">
        <v>306</v>
      </c>
      <c r="F2870">
        <v>1476</v>
      </c>
      <c r="G2870" t="s">
        <v>302</v>
      </c>
      <c r="H2870">
        <v>4</v>
      </c>
      <c r="I2870" t="s">
        <v>4624</v>
      </c>
      <c r="J2870" t="s">
        <v>294</v>
      </c>
      <c r="M2870" t="s">
        <v>295</v>
      </c>
      <c r="N2870" t="s">
        <v>296</v>
      </c>
      <c r="O2870" t="s">
        <v>297</v>
      </c>
    </row>
    <row r="2871" spans="1:15" x14ac:dyDescent="0.3">
      <c r="A2871" t="s">
        <v>4324</v>
      </c>
      <c r="B2871" t="s">
        <v>4597</v>
      </c>
      <c r="C2871">
        <v>2024</v>
      </c>
      <c r="D2871" t="s">
        <v>300</v>
      </c>
      <c r="E2871" t="s">
        <v>308</v>
      </c>
      <c r="F2871">
        <v>1477</v>
      </c>
      <c r="G2871" t="s">
        <v>302</v>
      </c>
      <c r="H2871">
        <v>4</v>
      </c>
      <c r="I2871" t="s">
        <v>4625</v>
      </c>
      <c r="J2871" t="s">
        <v>294</v>
      </c>
      <c r="M2871" t="s">
        <v>295</v>
      </c>
      <c r="N2871" t="s">
        <v>296</v>
      </c>
      <c r="O2871" t="s">
        <v>297</v>
      </c>
    </row>
    <row r="2872" spans="1:15" x14ac:dyDescent="0.3">
      <c r="A2872" t="s">
        <v>4324</v>
      </c>
      <c r="B2872" t="s">
        <v>4597</v>
      </c>
      <c r="C2872">
        <v>2024</v>
      </c>
      <c r="D2872" t="s">
        <v>300</v>
      </c>
      <c r="E2872" t="s">
        <v>4626</v>
      </c>
      <c r="F2872">
        <v>1670</v>
      </c>
      <c r="G2872" t="s">
        <v>302</v>
      </c>
      <c r="H2872">
        <v>26</v>
      </c>
      <c r="I2872" t="s">
        <v>4627</v>
      </c>
      <c r="J2872" t="s">
        <v>294</v>
      </c>
      <c r="M2872" t="s">
        <v>295</v>
      </c>
      <c r="N2872" t="s">
        <v>296</v>
      </c>
      <c r="O2872" t="s">
        <v>297</v>
      </c>
    </row>
    <row r="2873" spans="1:15" x14ac:dyDescent="0.3">
      <c r="A2873" t="s">
        <v>4324</v>
      </c>
      <c r="B2873" t="s">
        <v>4597</v>
      </c>
      <c r="C2873">
        <v>2024</v>
      </c>
      <c r="D2873" t="s">
        <v>300</v>
      </c>
      <c r="E2873" t="s">
        <v>316</v>
      </c>
      <c r="F2873">
        <v>13842</v>
      </c>
      <c r="G2873" t="s">
        <v>302</v>
      </c>
      <c r="H2873">
        <v>4</v>
      </c>
      <c r="I2873" t="s">
        <v>4628</v>
      </c>
      <c r="J2873" t="s">
        <v>294</v>
      </c>
      <c r="M2873" t="s">
        <v>295</v>
      </c>
      <c r="N2873" t="s">
        <v>296</v>
      </c>
      <c r="O2873" t="s">
        <v>297</v>
      </c>
    </row>
    <row r="2874" spans="1:15" x14ac:dyDescent="0.3">
      <c r="A2874" t="s">
        <v>4324</v>
      </c>
      <c r="B2874" t="s">
        <v>4597</v>
      </c>
      <c r="C2874">
        <v>2024</v>
      </c>
      <c r="D2874" t="s">
        <v>300</v>
      </c>
      <c r="E2874" t="s">
        <v>312</v>
      </c>
      <c r="F2874">
        <v>7117</v>
      </c>
      <c r="G2874" t="s">
        <v>302</v>
      </c>
      <c r="H2874">
        <v>4</v>
      </c>
      <c r="I2874" t="s">
        <v>4629</v>
      </c>
      <c r="J2874" t="s">
        <v>294</v>
      </c>
      <c r="M2874" t="s">
        <v>295</v>
      </c>
      <c r="N2874" t="s">
        <v>296</v>
      </c>
      <c r="O2874" t="s">
        <v>297</v>
      </c>
    </row>
    <row r="2875" spans="1:15" x14ac:dyDescent="0.3">
      <c r="A2875" t="s">
        <v>4324</v>
      </c>
      <c r="B2875" t="s">
        <v>4597</v>
      </c>
      <c r="C2875">
        <v>2024</v>
      </c>
      <c r="D2875" t="s">
        <v>300</v>
      </c>
      <c r="E2875" t="s">
        <v>314</v>
      </c>
      <c r="F2875">
        <v>6725</v>
      </c>
      <c r="G2875" t="s">
        <v>302</v>
      </c>
      <c r="H2875">
        <v>120</v>
      </c>
      <c r="I2875" t="s">
        <v>4630</v>
      </c>
      <c r="J2875" t="s">
        <v>294</v>
      </c>
      <c r="M2875" t="s">
        <v>295</v>
      </c>
      <c r="N2875" t="s">
        <v>296</v>
      </c>
      <c r="O2875" t="s">
        <v>297</v>
      </c>
    </row>
    <row r="2876" spans="1:15" x14ac:dyDescent="0.3">
      <c r="A2876" t="s">
        <v>4324</v>
      </c>
      <c r="B2876" t="s">
        <v>4597</v>
      </c>
      <c r="C2876">
        <v>2024</v>
      </c>
      <c r="D2876" t="s">
        <v>300</v>
      </c>
      <c r="E2876" t="s">
        <v>2667</v>
      </c>
      <c r="F2876">
        <v>5454</v>
      </c>
      <c r="G2876" t="s">
        <v>302</v>
      </c>
      <c r="H2876">
        <v>125</v>
      </c>
      <c r="I2876" t="s">
        <v>4631</v>
      </c>
      <c r="J2876" t="s">
        <v>294</v>
      </c>
      <c r="M2876" t="s">
        <v>295</v>
      </c>
      <c r="N2876" t="s">
        <v>296</v>
      </c>
      <c r="O2876" t="s">
        <v>297</v>
      </c>
    </row>
    <row r="2877" spans="1:15" x14ac:dyDescent="0.3">
      <c r="A2877" t="s">
        <v>4324</v>
      </c>
      <c r="B2877" t="s">
        <v>4597</v>
      </c>
      <c r="C2877">
        <v>2024</v>
      </c>
      <c r="D2877" t="s">
        <v>300</v>
      </c>
      <c r="E2877" t="s">
        <v>479</v>
      </c>
      <c r="F2877">
        <v>511</v>
      </c>
      <c r="G2877" t="s">
        <v>302</v>
      </c>
      <c r="H2877">
        <v>30</v>
      </c>
      <c r="I2877" t="s">
        <v>4632</v>
      </c>
      <c r="J2877" t="s">
        <v>294</v>
      </c>
      <c r="M2877" t="s">
        <v>295</v>
      </c>
      <c r="N2877" t="s">
        <v>296</v>
      </c>
      <c r="O2877" t="s">
        <v>297</v>
      </c>
    </row>
    <row r="2878" spans="1:15" x14ac:dyDescent="0.3">
      <c r="A2878" t="s">
        <v>4324</v>
      </c>
      <c r="B2878" t="s">
        <v>4597</v>
      </c>
      <c r="C2878">
        <v>2024</v>
      </c>
      <c r="D2878" t="s">
        <v>300</v>
      </c>
      <c r="E2878" t="s">
        <v>481</v>
      </c>
      <c r="F2878">
        <v>620</v>
      </c>
      <c r="G2878" t="s">
        <v>302</v>
      </c>
      <c r="H2878">
        <v>120</v>
      </c>
      <c r="I2878" t="s">
        <v>4633</v>
      </c>
      <c r="J2878" t="s">
        <v>294</v>
      </c>
      <c r="M2878" t="s">
        <v>295</v>
      </c>
      <c r="N2878" t="s">
        <v>296</v>
      </c>
      <c r="O2878" t="s">
        <v>297</v>
      </c>
    </row>
    <row r="2879" spans="1:15" x14ac:dyDescent="0.3">
      <c r="A2879" t="s">
        <v>4324</v>
      </c>
      <c r="B2879" t="s">
        <v>4597</v>
      </c>
      <c r="C2879">
        <v>2024</v>
      </c>
      <c r="D2879" t="s">
        <v>300</v>
      </c>
      <c r="E2879" t="s">
        <v>4369</v>
      </c>
      <c r="F2879">
        <v>305</v>
      </c>
      <c r="G2879" t="s">
        <v>302</v>
      </c>
      <c r="H2879">
        <v>120</v>
      </c>
      <c r="I2879" t="s">
        <v>4634</v>
      </c>
      <c r="J2879" t="s">
        <v>294</v>
      </c>
      <c r="M2879" t="s">
        <v>295</v>
      </c>
      <c r="N2879" t="s">
        <v>296</v>
      </c>
      <c r="O2879" t="s">
        <v>297</v>
      </c>
    </row>
    <row r="2880" spans="1:15" x14ac:dyDescent="0.3">
      <c r="A2880" t="s">
        <v>4324</v>
      </c>
      <c r="B2880" t="s">
        <v>4597</v>
      </c>
      <c r="C2880">
        <v>2024</v>
      </c>
      <c r="D2880" t="s">
        <v>300</v>
      </c>
      <c r="E2880" t="s">
        <v>4371</v>
      </c>
      <c r="F2880">
        <v>1265</v>
      </c>
      <c r="G2880" t="s">
        <v>302</v>
      </c>
      <c r="H2880">
        <v>120</v>
      </c>
      <c r="I2880" t="s">
        <v>4635</v>
      </c>
      <c r="J2880" t="s">
        <v>294</v>
      </c>
      <c r="M2880" t="s">
        <v>295</v>
      </c>
      <c r="N2880" t="s">
        <v>296</v>
      </c>
      <c r="O2880" t="s">
        <v>297</v>
      </c>
    </row>
    <row r="2881" spans="1:15" x14ac:dyDescent="0.3">
      <c r="A2881" t="s">
        <v>4324</v>
      </c>
      <c r="B2881" t="s">
        <v>4597</v>
      </c>
      <c r="C2881">
        <v>2024</v>
      </c>
      <c r="D2881" t="s">
        <v>300</v>
      </c>
      <c r="E2881" t="s">
        <v>1122</v>
      </c>
      <c r="F2881">
        <v>5050</v>
      </c>
      <c r="G2881" t="s">
        <v>302</v>
      </c>
      <c r="H2881">
        <v>120</v>
      </c>
      <c r="I2881" t="s">
        <v>4636</v>
      </c>
      <c r="J2881" t="s">
        <v>294</v>
      </c>
      <c r="M2881" t="s">
        <v>295</v>
      </c>
      <c r="N2881" t="s">
        <v>296</v>
      </c>
      <c r="O2881" t="s">
        <v>297</v>
      </c>
    </row>
    <row r="2882" spans="1:15" x14ac:dyDescent="0.3">
      <c r="A2882" t="s">
        <v>4324</v>
      </c>
      <c r="B2882" t="s">
        <v>4597</v>
      </c>
      <c r="C2882">
        <v>2024</v>
      </c>
      <c r="D2882" t="s">
        <v>300</v>
      </c>
      <c r="E2882" t="s">
        <v>322</v>
      </c>
      <c r="F2882">
        <v>1285</v>
      </c>
      <c r="G2882" t="s">
        <v>302</v>
      </c>
      <c r="H2882">
        <v>4</v>
      </c>
      <c r="I2882" t="s">
        <v>4637</v>
      </c>
      <c r="J2882" t="s">
        <v>294</v>
      </c>
      <c r="M2882" t="s">
        <v>295</v>
      </c>
      <c r="N2882" t="s">
        <v>296</v>
      </c>
      <c r="O2882" t="s">
        <v>297</v>
      </c>
    </row>
    <row r="2883" spans="1:15" x14ac:dyDescent="0.3">
      <c r="A2883" t="s">
        <v>4324</v>
      </c>
      <c r="B2883" t="s">
        <v>4597</v>
      </c>
      <c r="C2883">
        <v>2024</v>
      </c>
      <c r="D2883" t="s">
        <v>300</v>
      </c>
      <c r="E2883" t="s">
        <v>318</v>
      </c>
      <c r="F2883">
        <v>678</v>
      </c>
      <c r="G2883" t="s">
        <v>302</v>
      </c>
      <c r="H2883">
        <v>4</v>
      </c>
      <c r="I2883" t="s">
        <v>4638</v>
      </c>
      <c r="J2883" t="s">
        <v>294</v>
      </c>
      <c r="M2883" t="s">
        <v>295</v>
      </c>
      <c r="N2883" t="s">
        <v>296</v>
      </c>
      <c r="O2883" t="s">
        <v>297</v>
      </c>
    </row>
    <row r="2884" spans="1:15" x14ac:dyDescent="0.3">
      <c r="A2884" t="s">
        <v>4324</v>
      </c>
      <c r="B2884" t="s">
        <v>4597</v>
      </c>
      <c r="C2884">
        <v>2024</v>
      </c>
      <c r="D2884" t="s">
        <v>300</v>
      </c>
      <c r="E2884" t="s">
        <v>468</v>
      </c>
      <c r="F2884">
        <v>607</v>
      </c>
      <c r="G2884" t="s">
        <v>302</v>
      </c>
      <c r="H2884">
        <v>121</v>
      </c>
      <c r="I2884" t="s">
        <v>4639</v>
      </c>
      <c r="J2884" t="s">
        <v>294</v>
      </c>
      <c r="M2884" t="s">
        <v>295</v>
      </c>
      <c r="N2884" t="s">
        <v>296</v>
      </c>
      <c r="O2884" t="s">
        <v>297</v>
      </c>
    </row>
    <row r="2885" spans="1:15" x14ac:dyDescent="0.3">
      <c r="A2885" t="s">
        <v>4324</v>
      </c>
      <c r="B2885" t="s">
        <v>4597</v>
      </c>
      <c r="C2885">
        <v>2024</v>
      </c>
      <c r="D2885" t="s">
        <v>300</v>
      </c>
      <c r="E2885" t="s">
        <v>4640</v>
      </c>
      <c r="F2885">
        <v>0</v>
      </c>
      <c r="G2885" t="s">
        <v>302</v>
      </c>
      <c r="H2885">
        <v>4</v>
      </c>
      <c r="I2885" t="s">
        <v>4378</v>
      </c>
      <c r="J2885" t="s">
        <v>294</v>
      </c>
      <c r="M2885" t="s">
        <v>295</v>
      </c>
      <c r="N2885" t="s">
        <v>296</v>
      </c>
      <c r="O2885" t="s">
        <v>297</v>
      </c>
    </row>
    <row r="2886" spans="1:15" x14ac:dyDescent="0.3">
      <c r="A2886" t="s">
        <v>4324</v>
      </c>
      <c r="B2886" t="s">
        <v>4597</v>
      </c>
      <c r="C2886">
        <v>2024</v>
      </c>
      <c r="D2886" t="s">
        <v>300</v>
      </c>
      <c r="E2886" t="s">
        <v>4641</v>
      </c>
      <c r="F2886">
        <v>487</v>
      </c>
      <c r="G2886" t="s">
        <v>302</v>
      </c>
      <c r="H2886">
        <v>121</v>
      </c>
      <c r="I2886" t="s">
        <v>4642</v>
      </c>
      <c r="J2886" t="s">
        <v>294</v>
      </c>
      <c r="M2886" t="s">
        <v>295</v>
      </c>
      <c r="N2886" t="s">
        <v>296</v>
      </c>
      <c r="O2886" t="s">
        <v>297</v>
      </c>
    </row>
    <row r="2887" spans="1:15" x14ac:dyDescent="0.3">
      <c r="A2887" t="s">
        <v>4324</v>
      </c>
      <c r="B2887" t="s">
        <v>4597</v>
      </c>
      <c r="C2887">
        <v>2024</v>
      </c>
      <c r="D2887" t="s">
        <v>300</v>
      </c>
      <c r="E2887" t="s">
        <v>4643</v>
      </c>
      <c r="F2887">
        <v>12557</v>
      </c>
      <c r="G2887" t="s">
        <v>302</v>
      </c>
      <c r="H2887">
        <v>4</v>
      </c>
      <c r="I2887" t="s">
        <v>4644</v>
      </c>
      <c r="J2887" t="s">
        <v>294</v>
      </c>
      <c r="M2887" t="s">
        <v>295</v>
      </c>
      <c r="N2887" t="s">
        <v>296</v>
      </c>
      <c r="O2887" t="s">
        <v>297</v>
      </c>
    </row>
    <row r="2888" spans="1:15" x14ac:dyDescent="0.3">
      <c r="A2888" t="s">
        <v>4324</v>
      </c>
      <c r="B2888" t="s">
        <v>4597</v>
      </c>
      <c r="C2888">
        <v>2024</v>
      </c>
      <c r="D2888" t="s">
        <v>300</v>
      </c>
      <c r="E2888" t="s">
        <v>4645</v>
      </c>
      <c r="F2888">
        <v>1565</v>
      </c>
      <c r="G2888" t="s">
        <v>302</v>
      </c>
      <c r="H2888">
        <v>125</v>
      </c>
      <c r="I2888" t="s">
        <v>4646</v>
      </c>
      <c r="J2888" t="s">
        <v>294</v>
      </c>
      <c r="M2888" t="s">
        <v>295</v>
      </c>
      <c r="N2888" t="s">
        <v>296</v>
      </c>
      <c r="O2888" t="s">
        <v>297</v>
      </c>
    </row>
    <row r="2889" spans="1:15" x14ac:dyDescent="0.3">
      <c r="A2889" t="s">
        <v>4324</v>
      </c>
      <c r="B2889" t="s">
        <v>4597</v>
      </c>
      <c r="C2889">
        <v>2024</v>
      </c>
      <c r="D2889" t="s">
        <v>300</v>
      </c>
      <c r="E2889" t="s">
        <v>4647</v>
      </c>
      <c r="F2889">
        <v>-420</v>
      </c>
      <c r="G2889" t="s">
        <v>302</v>
      </c>
      <c r="H2889">
        <v>125</v>
      </c>
      <c r="I2889" t="s">
        <v>4648</v>
      </c>
      <c r="J2889" t="s">
        <v>294</v>
      </c>
      <c r="M2889" t="s">
        <v>295</v>
      </c>
      <c r="N2889" t="s">
        <v>296</v>
      </c>
      <c r="O2889" t="s">
        <v>297</v>
      </c>
    </row>
    <row r="2890" spans="1:15" x14ac:dyDescent="0.3">
      <c r="A2890" t="s">
        <v>4324</v>
      </c>
      <c r="B2890" t="s">
        <v>4597</v>
      </c>
      <c r="C2890">
        <v>2024</v>
      </c>
      <c r="D2890" t="s">
        <v>300</v>
      </c>
      <c r="E2890" t="s">
        <v>4649</v>
      </c>
      <c r="F2890">
        <v>-270</v>
      </c>
      <c r="G2890" t="s">
        <v>302</v>
      </c>
      <c r="H2890">
        <v>125</v>
      </c>
      <c r="I2890" t="s">
        <v>4650</v>
      </c>
      <c r="J2890" t="s">
        <v>294</v>
      </c>
      <c r="M2890" t="s">
        <v>295</v>
      </c>
      <c r="N2890" t="s">
        <v>296</v>
      </c>
      <c r="O2890" t="s">
        <v>297</v>
      </c>
    </row>
    <row r="2891" spans="1:15" x14ac:dyDescent="0.3">
      <c r="A2891" t="s">
        <v>4324</v>
      </c>
      <c r="B2891" t="s">
        <v>4597</v>
      </c>
      <c r="C2891">
        <v>2024</v>
      </c>
      <c r="D2891" t="s">
        <v>300</v>
      </c>
      <c r="E2891" t="s">
        <v>4385</v>
      </c>
      <c r="F2891">
        <v>376</v>
      </c>
      <c r="G2891" t="s">
        <v>302</v>
      </c>
      <c r="H2891">
        <v>4</v>
      </c>
      <c r="I2891" t="s">
        <v>4651</v>
      </c>
      <c r="J2891" t="s">
        <v>294</v>
      </c>
      <c r="M2891" t="s">
        <v>295</v>
      </c>
      <c r="N2891" t="s">
        <v>296</v>
      </c>
      <c r="O2891" t="s">
        <v>297</v>
      </c>
    </row>
    <row r="2892" spans="1:15" x14ac:dyDescent="0.3">
      <c r="A2892" t="s">
        <v>4324</v>
      </c>
      <c r="B2892" t="s">
        <v>4597</v>
      </c>
      <c r="C2892">
        <v>2024</v>
      </c>
      <c r="D2892" t="s">
        <v>300</v>
      </c>
      <c r="E2892" t="s">
        <v>4652</v>
      </c>
      <c r="F2892">
        <v>73</v>
      </c>
      <c r="G2892" t="s">
        <v>302</v>
      </c>
      <c r="H2892">
        <v>28</v>
      </c>
      <c r="I2892" t="s">
        <v>4653</v>
      </c>
      <c r="J2892" t="s">
        <v>294</v>
      </c>
      <c r="M2892" t="s">
        <v>295</v>
      </c>
      <c r="N2892" t="s">
        <v>296</v>
      </c>
      <c r="O2892" t="s">
        <v>297</v>
      </c>
    </row>
    <row r="2893" spans="1:15" x14ac:dyDescent="0.3">
      <c r="A2893" t="s">
        <v>4324</v>
      </c>
      <c r="B2893" t="s">
        <v>4597</v>
      </c>
      <c r="C2893">
        <v>2024</v>
      </c>
      <c r="D2893" t="s">
        <v>300</v>
      </c>
      <c r="E2893" t="s">
        <v>4387</v>
      </c>
      <c r="F2893">
        <v>266</v>
      </c>
      <c r="G2893" t="s">
        <v>302</v>
      </c>
      <c r="H2893">
        <v>30</v>
      </c>
      <c r="I2893" t="s">
        <v>4654</v>
      </c>
      <c r="J2893" t="s">
        <v>294</v>
      </c>
      <c r="M2893" t="s">
        <v>295</v>
      </c>
      <c r="N2893" t="s">
        <v>296</v>
      </c>
      <c r="O2893" t="s">
        <v>297</v>
      </c>
    </row>
    <row r="2894" spans="1:15" x14ac:dyDescent="0.3">
      <c r="A2894" t="s">
        <v>4324</v>
      </c>
      <c r="B2894" t="s">
        <v>4597</v>
      </c>
      <c r="C2894">
        <v>2024</v>
      </c>
      <c r="D2894" t="s">
        <v>300</v>
      </c>
      <c r="E2894" t="s">
        <v>4655</v>
      </c>
      <c r="F2894">
        <v>39</v>
      </c>
      <c r="G2894" t="s">
        <v>346</v>
      </c>
      <c r="H2894">
        <v>30</v>
      </c>
      <c r="I2894" t="s">
        <v>4656</v>
      </c>
      <c r="J2894" t="s">
        <v>294</v>
      </c>
      <c r="M2894" t="s">
        <v>295</v>
      </c>
      <c r="N2894" t="s">
        <v>296</v>
      </c>
      <c r="O2894" t="s">
        <v>297</v>
      </c>
    </row>
    <row r="2895" spans="1:15" x14ac:dyDescent="0.3">
      <c r="A2895" t="s">
        <v>4324</v>
      </c>
      <c r="B2895" t="s">
        <v>4597</v>
      </c>
      <c r="C2895">
        <v>2024</v>
      </c>
      <c r="D2895" t="s">
        <v>300</v>
      </c>
      <c r="E2895" t="s">
        <v>918</v>
      </c>
      <c r="F2895">
        <v>0.35</v>
      </c>
      <c r="G2895" t="s">
        <v>334</v>
      </c>
      <c r="H2895">
        <v>30</v>
      </c>
      <c r="I2895" t="s">
        <v>4391</v>
      </c>
      <c r="J2895" t="s">
        <v>294</v>
      </c>
      <c r="M2895" t="s">
        <v>295</v>
      </c>
      <c r="N2895" t="s">
        <v>296</v>
      </c>
      <c r="O2895" t="s">
        <v>297</v>
      </c>
    </row>
    <row r="2896" spans="1:15" x14ac:dyDescent="0.3">
      <c r="A2896" t="s">
        <v>4324</v>
      </c>
      <c r="B2896" t="s">
        <v>4597</v>
      </c>
      <c r="C2896">
        <v>2024</v>
      </c>
      <c r="D2896" t="s">
        <v>300</v>
      </c>
      <c r="E2896" t="s">
        <v>3049</v>
      </c>
      <c r="F2896">
        <v>217</v>
      </c>
      <c r="G2896" t="s">
        <v>346</v>
      </c>
      <c r="H2896">
        <v>4</v>
      </c>
      <c r="I2896" t="s">
        <v>4657</v>
      </c>
      <c r="J2896" t="s">
        <v>294</v>
      </c>
      <c r="M2896" t="s">
        <v>295</v>
      </c>
      <c r="N2896" t="s">
        <v>296</v>
      </c>
      <c r="O2896" t="s">
        <v>297</v>
      </c>
    </row>
    <row r="2897" spans="1:15" x14ac:dyDescent="0.3">
      <c r="A2897" t="s">
        <v>4324</v>
      </c>
      <c r="B2897" t="s">
        <v>4597</v>
      </c>
      <c r="C2897">
        <v>2024</v>
      </c>
      <c r="D2897" t="s">
        <v>300</v>
      </c>
      <c r="E2897" t="s">
        <v>4658</v>
      </c>
      <c r="F2897">
        <v>975</v>
      </c>
      <c r="G2897" t="s">
        <v>346</v>
      </c>
      <c r="H2897">
        <v>15</v>
      </c>
      <c r="I2897" t="s">
        <v>4659</v>
      </c>
      <c r="J2897" t="s">
        <v>294</v>
      </c>
      <c r="M2897" t="s">
        <v>295</v>
      </c>
      <c r="N2897" t="s">
        <v>296</v>
      </c>
      <c r="O2897" t="s">
        <v>297</v>
      </c>
    </row>
    <row r="2898" spans="1:15" x14ac:dyDescent="0.3">
      <c r="A2898" t="s">
        <v>4324</v>
      </c>
      <c r="B2898" t="s">
        <v>4597</v>
      </c>
      <c r="C2898">
        <v>2024</v>
      </c>
      <c r="D2898" t="s">
        <v>300</v>
      </c>
      <c r="E2898" t="s">
        <v>4660</v>
      </c>
      <c r="F2898">
        <v>1305</v>
      </c>
      <c r="G2898" t="s">
        <v>346</v>
      </c>
      <c r="H2898">
        <v>15</v>
      </c>
      <c r="I2898" t="s">
        <v>4661</v>
      </c>
      <c r="J2898" t="s">
        <v>294</v>
      </c>
      <c r="M2898" t="s">
        <v>295</v>
      </c>
      <c r="N2898" t="s">
        <v>296</v>
      </c>
      <c r="O2898" t="s">
        <v>297</v>
      </c>
    </row>
    <row r="2899" spans="1:15" x14ac:dyDescent="0.3">
      <c r="A2899" t="s">
        <v>4324</v>
      </c>
      <c r="B2899" t="s">
        <v>4597</v>
      </c>
      <c r="C2899">
        <v>2024</v>
      </c>
      <c r="D2899" t="s">
        <v>300</v>
      </c>
      <c r="E2899" t="s">
        <v>4662</v>
      </c>
      <c r="F2899">
        <v>750</v>
      </c>
      <c r="G2899" t="s">
        <v>346</v>
      </c>
      <c r="H2899">
        <v>15</v>
      </c>
      <c r="I2899" t="s">
        <v>4661</v>
      </c>
      <c r="J2899" t="s">
        <v>294</v>
      </c>
      <c r="M2899" t="s">
        <v>295</v>
      </c>
      <c r="N2899" t="s">
        <v>296</v>
      </c>
      <c r="O2899" t="s">
        <v>297</v>
      </c>
    </row>
    <row r="2900" spans="1:15" x14ac:dyDescent="0.3">
      <c r="A2900" t="s">
        <v>4324</v>
      </c>
      <c r="B2900" t="s">
        <v>4597</v>
      </c>
      <c r="C2900">
        <v>2024</v>
      </c>
      <c r="D2900" t="s">
        <v>300</v>
      </c>
      <c r="E2900" t="s">
        <v>4398</v>
      </c>
      <c r="F2900">
        <v>6650</v>
      </c>
      <c r="G2900" t="s">
        <v>302</v>
      </c>
      <c r="H2900">
        <v>30</v>
      </c>
      <c r="I2900" t="s">
        <v>4663</v>
      </c>
      <c r="J2900" t="s">
        <v>294</v>
      </c>
      <c r="M2900" t="s">
        <v>295</v>
      </c>
      <c r="N2900" t="s">
        <v>296</v>
      </c>
      <c r="O2900" t="s">
        <v>297</v>
      </c>
    </row>
    <row r="2901" spans="1:15" x14ac:dyDescent="0.3">
      <c r="A2901" t="s">
        <v>4324</v>
      </c>
      <c r="B2901" t="s">
        <v>4597</v>
      </c>
      <c r="C2901">
        <v>2024</v>
      </c>
      <c r="D2901" t="s">
        <v>300</v>
      </c>
      <c r="E2901" t="s">
        <v>326</v>
      </c>
      <c r="F2901">
        <v>10.5</v>
      </c>
      <c r="G2901" t="s">
        <v>327</v>
      </c>
      <c r="H2901">
        <v>4</v>
      </c>
      <c r="I2901" t="s">
        <v>4664</v>
      </c>
      <c r="J2901" t="s">
        <v>294</v>
      </c>
      <c r="M2901" t="s">
        <v>295</v>
      </c>
      <c r="N2901" t="s">
        <v>296</v>
      </c>
      <c r="O2901" t="s">
        <v>297</v>
      </c>
    </row>
    <row r="2902" spans="1:15" x14ac:dyDescent="0.3">
      <c r="A2902" t="s">
        <v>4324</v>
      </c>
      <c r="B2902" t="s">
        <v>4597</v>
      </c>
      <c r="C2902">
        <v>2024</v>
      </c>
      <c r="D2902" t="s">
        <v>300</v>
      </c>
      <c r="E2902" t="s">
        <v>4401</v>
      </c>
      <c r="F2902">
        <v>0.1</v>
      </c>
      <c r="G2902" t="s">
        <v>327</v>
      </c>
      <c r="H2902">
        <v>4</v>
      </c>
      <c r="I2902" t="s">
        <v>4665</v>
      </c>
      <c r="J2902" t="s">
        <v>294</v>
      </c>
      <c r="M2902" t="s">
        <v>295</v>
      </c>
      <c r="N2902" t="s">
        <v>296</v>
      </c>
      <c r="O2902" t="s">
        <v>297</v>
      </c>
    </row>
    <row r="2903" spans="1:15" x14ac:dyDescent="0.3">
      <c r="A2903" t="s">
        <v>4324</v>
      </c>
      <c r="B2903" t="s">
        <v>4597</v>
      </c>
      <c r="C2903">
        <v>2024</v>
      </c>
      <c r="D2903" t="s">
        <v>300</v>
      </c>
      <c r="E2903" t="s">
        <v>4403</v>
      </c>
      <c r="F2903">
        <v>-0.43</v>
      </c>
      <c r="G2903" t="s">
        <v>327</v>
      </c>
      <c r="H2903">
        <v>4</v>
      </c>
      <c r="I2903" t="s">
        <v>4666</v>
      </c>
      <c r="J2903" t="s">
        <v>294</v>
      </c>
      <c r="M2903" t="s">
        <v>295</v>
      </c>
      <c r="N2903" t="s">
        <v>296</v>
      </c>
      <c r="O2903" t="s">
        <v>297</v>
      </c>
    </row>
    <row r="2904" spans="1:15" x14ac:dyDescent="0.3">
      <c r="A2904" t="s">
        <v>4324</v>
      </c>
      <c r="B2904" t="s">
        <v>4597</v>
      </c>
      <c r="C2904">
        <v>2024</v>
      </c>
      <c r="D2904" t="s">
        <v>300</v>
      </c>
      <c r="E2904" t="s">
        <v>4543</v>
      </c>
      <c r="F2904">
        <v>0.112</v>
      </c>
      <c r="G2904" t="s">
        <v>334</v>
      </c>
      <c r="H2904">
        <v>4</v>
      </c>
      <c r="I2904" t="s">
        <v>4667</v>
      </c>
      <c r="J2904" t="s">
        <v>294</v>
      </c>
      <c r="M2904" t="s">
        <v>295</v>
      </c>
      <c r="N2904" t="s">
        <v>296</v>
      </c>
      <c r="O2904" t="s">
        <v>297</v>
      </c>
    </row>
    <row r="2905" spans="1:15" x14ac:dyDescent="0.3">
      <c r="A2905" t="s">
        <v>4324</v>
      </c>
      <c r="B2905" t="s">
        <v>4597</v>
      </c>
      <c r="C2905">
        <v>2024</v>
      </c>
      <c r="D2905" t="s">
        <v>300</v>
      </c>
      <c r="E2905" t="s">
        <v>3054</v>
      </c>
      <c r="F2905">
        <v>0.123</v>
      </c>
      <c r="G2905" t="s">
        <v>334</v>
      </c>
      <c r="H2905">
        <v>4</v>
      </c>
      <c r="I2905" t="s">
        <v>4668</v>
      </c>
      <c r="J2905" t="s">
        <v>294</v>
      </c>
      <c r="M2905" t="s">
        <v>295</v>
      </c>
      <c r="N2905" t="s">
        <v>296</v>
      </c>
      <c r="O2905" t="s">
        <v>297</v>
      </c>
    </row>
    <row r="2906" spans="1:15" x14ac:dyDescent="0.3">
      <c r="A2906" t="s">
        <v>4324</v>
      </c>
      <c r="B2906" t="s">
        <v>4597</v>
      </c>
      <c r="C2906">
        <v>2024</v>
      </c>
      <c r="D2906" t="s">
        <v>358</v>
      </c>
      <c r="E2906" t="s">
        <v>4407</v>
      </c>
      <c r="F2906">
        <v>111367</v>
      </c>
      <c r="G2906" t="s">
        <v>360</v>
      </c>
      <c r="H2906">
        <v>5</v>
      </c>
      <c r="I2906" t="s">
        <v>4669</v>
      </c>
      <c r="J2906" t="s">
        <v>294</v>
      </c>
      <c r="M2906" t="s">
        <v>295</v>
      </c>
      <c r="N2906" t="s">
        <v>296</v>
      </c>
      <c r="O2906" t="s">
        <v>297</v>
      </c>
    </row>
    <row r="2907" spans="1:15" x14ac:dyDescent="0.3">
      <c r="A2907" t="s">
        <v>4324</v>
      </c>
      <c r="B2907" t="s">
        <v>4597</v>
      </c>
      <c r="C2907">
        <v>2024</v>
      </c>
      <c r="D2907" t="s">
        <v>358</v>
      </c>
      <c r="E2907" t="s">
        <v>4409</v>
      </c>
      <c r="F2907">
        <v>91152</v>
      </c>
      <c r="G2907" t="s">
        <v>360</v>
      </c>
      <c r="H2907">
        <v>5</v>
      </c>
      <c r="I2907" t="s">
        <v>4670</v>
      </c>
      <c r="J2907" t="s">
        <v>294</v>
      </c>
      <c r="M2907" t="s">
        <v>295</v>
      </c>
      <c r="N2907" t="s">
        <v>296</v>
      </c>
      <c r="O2907" t="s">
        <v>297</v>
      </c>
    </row>
    <row r="2908" spans="1:15" x14ac:dyDescent="0.3">
      <c r="A2908" t="s">
        <v>4324</v>
      </c>
      <c r="B2908" t="s">
        <v>4597</v>
      </c>
      <c r="C2908">
        <v>2024</v>
      </c>
      <c r="D2908" t="s">
        <v>358</v>
      </c>
      <c r="E2908" t="s">
        <v>4411</v>
      </c>
      <c r="F2908">
        <v>84941</v>
      </c>
      <c r="G2908" t="s">
        <v>360</v>
      </c>
      <c r="H2908">
        <v>5</v>
      </c>
      <c r="I2908" t="s">
        <v>4671</v>
      </c>
      <c r="J2908" t="s">
        <v>294</v>
      </c>
      <c r="M2908" t="s">
        <v>295</v>
      </c>
      <c r="N2908" t="s">
        <v>296</v>
      </c>
      <c r="O2908" t="s">
        <v>297</v>
      </c>
    </row>
    <row r="2909" spans="1:15" x14ac:dyDescent="0.3">
      <c r="A2909" t="s">
        <v>4324</v>
      </c>
      <c r="B2909" t="s">
        <v>4597</v>
      </c>
      <c r="C2909">
        <v>2024</v>
      </c>
      <c r="D2909" t="s">
        <v>358</v>
      </c>
      <c r="E2909" t="s">
        <v>4413</v>
      </c>
      <c r="F2909">
        <v>6211</v>
      </c>
      <c r="G2909" t="s">
        <v>360</v>
      </c>
      <c r="H2909">
        <v>5</v>
      </c>
      <c r="I2909" t="s">
        <v>4672</v>
      </c>
      <c r="J2909" t="s">
        <v>294</v>
      </c>
      <c r="M2909" t="s">
        <v>295</v>
      </c>
      <c r="N2909" t="s">
        <v>296</v>
      </c>
      <c r="O2909" t="s">
        <v>297</v>
      </c>
    </row>
    <row r="2910" spans="1:15" x14ac:dyDescent="0.3">
      <c r="A2910" t="s">
        <v>4324</v>
      </c>
      <c r="B2910" t="s">
        <v>4597</v>
      </c>
      <c r="C2910">
        <v>2024</v>
      </c>
      <c r="D2910" t="s">
        <v>358</v>
      </c>
      <c r="E2910" t="s">
        <v>4421</v>
      </c>
      <c r="F2910">
        <v>16231</v>
      </c>
      <c r="G2910" t="s">
        <v>360</v>
      </c>
      <c r="H2910">
        <v>5</v>
      </c>
      <c r="I2910" t="s">
        <v>4673</v>
      </c>
      <c r="J2910" t="s">
        <v>294</v>
      </c>
      <c r="M2910" t="s">
        <v>295</v>
      </c>
      <c r="N2910" t="s">
        <v>296</v>
      </c>
      <c r="O2910" t="s">
        <v>297</v>
      </c>
    </row>
    <row r="2911" spans="1:15" x14ac:dyDescent="0.3">
      <c r="A2911" t="s">
        <v>4324</v>
      </c>
      <c r="B2911" t="s">
        <v>4597</v>
      </c>
      <c r="C2911">
        <v>2024</v>
      </c>
      <c r="D2911" t="s">
        <v>358</v>
      </c>
      <c r="E2911" t="s">
        <v>4423</v>
      </c>
      <c r="F2911">
        <v>3984</v>
      </c>
      <c r="G2911" t="s">
        <v>360</v>
      </c>
      <c r="H2911">
        <v>5</v>
      </c>
      <c r="I2911" t="s">
        <v>4674</v>
      </c>
      <c r="J2911" t="s">
        <v>294</v>
      </c>
      <c r="M2911" t="s">
        <v>295</v>
      </c>
      <c r="N2911" t="s">
        <v>296</v>
      </c>
      <c r="O2911" t="s">
        <v>297</v>
      </c>
    </row>
    <row r="2912" spans="1:15" x14ac:dyDescent="0.3">
      <c r="A2912" t="s">
        <v>4324</v>
      </c>
      <c r="B2912" t="s">
        <v>4597</v>
      </c>
      <c r="C2912">
        <v>2024</v>
      </c>
      <c r="D2912" t="s">
        <v>358</v>
      </c>
      <c r="E2912" t="s">
        <v>4425</v>
      </c>
      <c r="F2912">
        <v>35779</v>
      </c>
      <c r="G2912" t="s">
        <v>360</v>
      </c>
      <c r="H2912">
        <v>5</v>
      </c>
      <c r="I2912" t="s">
        <v>4675</v>
      </c>
      <c r="J2912" t="s">
        <v>294</v>
      </c>
      <c r="M2912" t="s">
        <v>295</v>
      </c>
      <c r="N2912" t="s">
        <v>296</v>
      </c>
      <c r="O2912" t="s">
        <v>297</v>
      </c>
    </row>
    <row r="2913" spans="1:15" x14ac:dyDescent="0.3">
      <c r="A2913" t="s">
        <v>4324</v>
      </c>
      <c r="B2913" t="s">
        <v>4597</v>
      </c>
      <c r="C2913">
        <v>2024</v>
      </c>
      <c r="D2913" t="s">
        <v>358</v>
      </c>
      <c r="E2913" t="s">
        <v>4427</v>
      </c>
      <c r="F2913">
        <v>37228</v>
      </c>
      <c r="G2913" t="s">
        <v>360</v>
      </c>
      <c r="H2913">
        <v>5</v>
      </c>
      <c r="I2913" t="s">
        <v>4676</v>
      </c>
      <c r="J2913" t="s">
        <v>294</v>
      </c>
      <c r="M2913" t="s">
        <v>295</v>
      </c>
      <c r="N2913" t="s">
        <v>296</v>
      </c>
      <c r="O2913" t="s">
        <v>297</v>
      </c>
    </row>
    <row r="2914" spans="1:15" x14ac:dyDescent="0.3">
      <c r="A2914" t="s">
        <v>4324</v>
      </c>
      <c r="B2914" t="s">
        <v>4597</v>
      </c>
      <c r="C2914">
        <v>2024</v>
      </c>
      <c r="D2914" t="s">
        <v>358</v>
      </c>
      <c r="E2914" t="s">
        <v>4429</v>
      </c>
      <c r="F2914">
        <v>49518</v>
      </c>
      <c r="G2914" t="s">
        <v>360</v>
      </c>
      <c r="H2914">
        <v>5</v>
      </c>
      <c r="I2914" t="s">
        <v>4677</v>
      </c>
      <c r="J2914" t="s">
        <v>294</v>
      </c>
      <c r="M2914" t="s">
        <v>295</v>
      </c>
      <c r="N2914" t="s">
        <v>296</v>
      </c>
      <c r="O2914" t="s">
        <v>297</v>
      </c>
    </row>
    <row r="2915" spans="1:15" x14ac:dyDescent="0.3">
      <c r="A2915" t="s">
        <v>4324</v>
      </c>
      <c r="B2915" t="s">
        <v>4597</v>
      </c>
      <c r="C2915">
        <v>2024</v>
      </c>
      <c r="D2915" t="s">
        <v>358</v>
      </c>
      <c r="E2915" t="s">
        <v>4431</v>
      </c>
      <c r="F2915">
        <v>15924</v>
      </c>
      <c r="G2915" t="s">
        <v>360</v>
      </c>
      <c r="H2915">
        <v>5</v>
      </c>
      <c r="I2915" t="s">
        <v>4678</v>
      </c>
      <c r="J2915" t="s">
        <v>294</v>
      </c>
      <c r="M2915" t="s">
        <v>295</v>
      </c>
      <c r="N2915" t="s">
        <v>296</v>
      </c>
      <c r="O2915" t="s">
        <v>297</v>
      </c>
    </row>
    <row r="2916" spans="1:15" x14ac:dyDescent="0.3">
      <c r="A2916" t="s">
        <v>4324</v>
      </c>
      <c r="B2916" t="s">
        <v>4597</v>
      </c>
      <c r="C2916">
        <v>2024</v>
      </c>
      <c r="D2916" t="s">
        <v>358</v>
      </c>
      <c r="E2916" t="s">
        <v>4433</v>
      </c>
      <c r="F2916">
        <v>3217</v>
      </c>
      <c r="G2916" t="s">
        <v>360</v>
      </c>
      <c r="H2916">
        <v>5</v>
      </c>
      <c r="I2916" t="s">
        <v>4679</v>
      </c>
      <c r="J2916" t="s">
        <v>294</v>
      </c>
      <c r="M2916" t="s">
        <v>295</v>
      </c>
      <c r="N2916" t="s">
        <v>296</v>
      </c>
      <c r="O2916" t="s">
        <v>297</v>
      </c>
    </row>
    <row r="2917" spans="1:15" x14ac:dyDescent="0.3">
      <c r="A2917" t="s">
        <v>4324</v>
      </c>
      <c r="B2917" t="s">
        <v>4597</v>
      </c>
      <c r="C2917">
        <v>2024</v>
      </c>
      <c r="D2917" t="s">
        <v>358</v>
      </c>
      <c r="E2917" t="s">
        <v>4680</v>
      </c>
      <c r="F2917">
        <v>766</v>
      </c>
      <c r="G2917" t="s">
        <v>360</v>
      </c>
      <c r="H2917">
        <v>5</v>
      </c>
      <c r="I2917" t="s">
        <v>4681</v>
      </c>
      <c r="J2917" t="s">
        <v>294</v>
      </c>
      <c r="M2917" t="s">
        <v>295</v>
      </c>
      <c r="N2917" t="s">
        <v>296</v>
      </c>
      <c r="O2917" t="s">
        <v>297</v>
      </c>
    </row>
    <row r="2918" spans="1:15" x14ac:dyDescent="0.3">
      <c r="A2918" t="s">
        <v>4324</v>
      </c>
      <c r="B2918" t="s">
        <v>4597</v>
      </c>
      <c r="C2918">
        <v>2024</v>
      </c>
      <c r="D2918" t="s">
        <v>358</v>
      </c>
      <c r="E2918" t="s">
        <v>4682</v>
      </c>
      <c r="F2918">
        <v>4714</v>
      </c>
      <c r="G2918" t="s">
        <v>360</v>
      </c>
      <c r="H2918">
        <v>5</v>
      </c>
      <c r="I2918" t="s">
        <v>4683</v>
      </c>
      <c r="J2918" t="s">
        <v>294</v>
      </c>
      <c r="M2918" t="s">
        <v>295</v>
      </c>
      <c r="N2918" t="s">
        <v>296</v>
      </c>
      <c r="O2918" t="s">
        <v>297</v>
      </c>
    </row>
    <row r="2919" spans="1:15" x14ac:dyDescent="0.3">
      <c r="A2919" t="s">
        <v>4324</v>
      </c>
      <c r="B2919" t="s">
        <v>4597</v>
      </c>
      <c r="C2919">
        <v>2024</v>
      </c>
      <c r="D2919" t="s">
        <v>358</v>
      </c>
      <c r="E2919" t="s">
        <v>4561</v>
      </c>
      <c r="F2919">
        <v>2822</v>
      </c>
      <c r="G2919" t="s">
        <v>360</v>
      </c>
      <c r="H2919">
        <v>34</v>
      </c>
      <c r="I2919" t="s">
        <v>4684</v>
      </c>
      <c r="J2919" t="s">
        <v>294</v>
      </c>
      <c r="M2919" t="s">
        <v>295</v>
      </c>
      <c r="N2919" t="s">
        <v>296</v>
      </c>
      <c r="O2919" t="s">
        <v>297</v>
      </c>
    </row>
    <row r="2920" spans="1:15" x14ac:dyDescent="0.3">
      <c r="A2920" t="s">
        <v>4324</v>
      </c>
      <c r="B2920" t="s">
        <v>4597</v>
      </c>
      <c r="C2920">
        <v>2024</v>
      </c>
      <c r="D2920" t="s">
        <v>358</v>
      </c>
      <c r="E2920" t="s">
        <v>4563</v>
      </c>
      <c r="F2920">
        <v>866</v>
      </c>
      <c r="G2920" t="s">
        <v>360</v>
      </c>
      <c r="H2920">
        <v>34</v>
      </c>
      <c r="I2920" t="s">
        <v>4564</v>
      </c>
      <c r="J2920" t="s">
        <v>294</v>
      </c>
      <c r="M2920" t="s">
        <v>295</v>
      </c>
      <c r="N2920" t="s">
        <v>296</v>
      </c>
      <c r="O2920" t="s">
        <v>297</v>
      </c>
    </row>
    <row r="2921" spans="1:15" x14ac:dyDescent="0.3">
      <c r="A2921" t="s">
        <v>4324</v>
      </c>
      <c r="B2921" t="s">
        <v>4597</v>
      </c>
      <c r="C2921">
        <v>2024</v>
      </c>
      <c r="D2921" t="s">
        <v>358</v>
      </c>
      <c r="E2921" t="s">
        <v>4437</v>
      </c>
      <c r="F2921">
        <v>12</v>
      </c>
      <c r="G2921" t="s">
        <v>384</v>
      </c>
      <c r="H2921">
        <v>9</v>
      </c>
      <c r="I2921" t="s">
        <v>4685</v>
      </c>
      <c r="J2921" t="s">
        <v>294</v>
      </c>
      <c r="M2921" t="s">
        <v>295</v>
      </c>
      <c r="N2921" t="s">
        <v>296</v>
      </c>
      <c r="O2921" t="s">
        <v>297</v>
      </c>
    </row>
    <row r="2922" spans="1:15" x14ac:dyDescent="0.3">
      <c r="A2922" t="s">
        <v>4324</v>
      </c>
      <c r="B2922" t="s">
        <v>4597</v>
      </c>
      <c r="C2922">
        <v>2024</v>
      </c>
      <c r="D2922" t="s">
        <v>358</v>
      </c>
      <c r="E2922" t="s">
        <v>4686</v>
      </c>
      <c r="F2922">
        <v>2700000</v>
      </c>
      <c r="G2922" t="s">
        <v>4440</v>
      </c>
      <c r="H2922">
        <v>9</v>
      </c>
      <c r="I2922" t="s">
        <v>4687</v>
      </c>
      <c r="J2922" t="s">
        <v>294</v>
      </c>
      <c r="M2922" t="s">
        <v>295</v>
      </c>
      <c r="N2922" t="s">
        <v>296</v>
      </c>
      <c r="O2922" t="s">
        <v>297</v>
      </c>
    </row>
    <row r="2923" spans="1:15" x14ac:dyDescent="0.3">
      <c r="A2923" t="s">
        <v>4324</v>
      </c>
      <c r="B2923" t="s">
        <v>4597</v>
      </c>
      <c r="C2923">
        <v>2024</v>
      </c>
      <c r="D2923" t="s">
        <v>358</v>
      </c>
      <c r="E2923" t="s">
        <v>4688</v>
      </c>
      <c r="F2923">
        <v>3</v>
      </c>
      <c r="G2923" t="s">
        <v>384</v>
      </c>
      <c r="H2923">
        <v>34</v>
      </c>
      <c r="I2923" t="s">
        <v>4689</v>
      </c>
      <c r="J2923" t="s">
        <v>294</v>
      </c>
      <c r="M2923" t="s">
        <v>295</v>
      </c>
      <c r="N2923" t="s">
        <v>296</v>
      </c>
      <c r="O2923" t="s">
        <v>297</v>
      </c>
    </row>
    <row r="2924" spans="1:15" x14ac:dyDescent="0.3">
      <c r="A2924" t="s">
        <v>4324</v>
      </c>
      <c r="B2924" t="s">
        <v>4597</v>
      </c>
      <c r="C2924">
        <v>2024</v>
      </c>
      <c r="D2924" t="s">
        <v>358</v>
      </c>
      <c r="E2924" t="s">
        <v>4690</v>
      </c>
      <c r="F2924">
        <v>26000</v>
      </c>
      <c r="G2924" t="s">
        <v>4440</v>
      </c>
      <c r="H2924">
        <v>34</v>
      </c>
      <c r="I2924" t="s">
        <v>4691</v>
      </c>
      <c r="J2924" t="s">
        <v>294</v>
      </c>
      <c r="M2924" t="s">
        <v>295</v>
      </c>
      <c r="N2924" t="s">
        <v>296</v>
      </c>
      <c r="O2924" t="s">
        <v>297</v>
      </c>
    </row>
    <row r="2925" spans="1:15" x14ac:dyDescent="0.3">
      <c r="A2925" t="s">
        <v>4324</v>
      </c>
      <c r="B2925" t="s">
        <v>4597</v>
      </c>
      <c r="C2925">
        <v>2024</v>
      </c>
      <c r="D2925" t="s">
        <v>358</v>
      </c>
      <c r="E2925" t="s">
        <v>4692</v>
      </c>
      <c r="F2925">
        <v>2</v>
      </c>
      <c r="G2925" t="s">
        <v>384</v>
      </c>
      <c r="H2925">
        <v>34</v>
      </c>
      <c r="I2925" t="s">
        <v>4570</v>
      </c>
      <c r="J2925" t="s">
        <v>294</v>
      </c>
      <c r="M2925" t="s">
        <v>295</v>
      </c>
      <c r="N2925" t="s">
        <v>296</v>
      </c>
      <c r="O2925" t="s">
        <v>297</v>
      </c>
    </row>
    <row r="2926" spans="1:15" x14ac:dyDescent="0.3">
      <c r="A2926" t="s">
        <v>4324</v>
      </c>
      <c r="B2926" t="s">
        <v>4597</v>
      </c>
      <c r="C2926">
        <v>2024</v>
      </c>
      <c r="D2926" t="s">
        <v>358</v>
      </c>
      <c r="E2926" t="s">
        <v>4693</v>
      </c>
      <c r="F2926">
        <v>7000</v>
      </c>
      <c r="G2926" t="s">
        <v>4440</v>
      </c>
      <c r="H2926">
        <v>34</v>
      </c>
      <c r="I2926" t="s">
        <v>4694</v>
      </c>
      <c r="J2926" t="s">
        <v>294</v>
      </c>
      <c r="M2926" t="s">
        <v>295</v>
      </c>
      <c r="N2926" t="s">
        <v>296</v>
      </c>
      <c r="O2926" t="s">
        <v>297</v>
      </c>
    </row>
    <row r="2927" spans="1:15" x14ac:dyDescent="0.3">
      <c r="A2927" t="s">
        <v>4324</v>
      </c>
      <c r="B2927" t="s">
        <v>4597</v>
      </c>
      <c r="C2927">
        <v>2024</v>
      </c>
      <c r="D2927" t="s">
        <v>358</v>
      </c>
      <c r="E2927" t="s">
        <v>4695</v>
      </c>
      <c r="F2927">
        <v>1</v>
      </c>
      <c r="G2927" t="s">
        <v>384</v>
      </c>
      <c r="H2927">
        <v>34</v>
      </c>
      <c r="I2927" t="s">
        <v>4571</v>
      </c>
      <c r="J2927" t="s">
        <v>294</v>
      </c>
      <c r="M2927" t="s">
        <v>295</v>
      </c>
      <c r="N2927" t="s">
        <v>296</v>
      </c>
      <c r="O2927" t="s">
        <v>297</v>
      </c>
    </row>
    <row r="2928" spans="1:15" x14ac:dyDescent="0.3">
      <c r="A2928" t="s">
        <v>4324</v>
      </c>
      <c r="B2928" t="s">
        <v>4597</v>
      </c>
      <c r="C2928">
        <v>2024</v>
      </c>
      <c r="D2928" t="s">
        <v>358</v>
      </c>
      <c r="E2928" t="s">
        <v>4696</v>
      </c>
      <c r="F2928">
        <v>1</v>
      </c>
      <c r="G2928" t="s">
        <v>384</v>
      </c>
      <c r="H2928">
        <v>34</v>
      </c>
      <c r="I2928" t="s">
        <v>4572</v>
      </c>
      <c r="J2928" t="s">
        <v>294</v>
      </c>
      <c r="M2928" t="s">
        <v>295</v>
      </c>
      <c r="N2928" t="s">
        <v>296</v>
      </c>
      <c r="O2928" t="s">
        <v>297</v>
      </c>
    </row>
    <row r="2929" spans="1:15" x14ac:dyDescent="0.3">
      <c r="A2929" t="s">
        <v>4324</v>
      </c>
      <c r="B2929" t="s">
        <v>4597</v>
      </c>
      <c r="C2929">
        <v>2024</v>
      </c>
      <c r="D2929" t="s">
        <v>394</v>
      </c>
      <c r="E2929" t="s">
        <v>4449</v>
      </c>
      <c r="F2929">
        <v>1345000</v>
      </c>
      <c r="G2929" t="s">
        <v>396</v>
      </c>
      <c r="H2929">
        <v>5</v>
      </c>
      <c r="I2929" t="s">
        <v>4697</v>
      </c>
      <c r="J2929" t="s">
        <v>294</v>
      </c>
      <c r="M2929" t="s">
        <v>295</v>
      </c>
      <c r="N2929" t="s">
        <v>296</v>
      </c>
      <c r="O2929" t="s">
        <v>297</v>
      </c>
    </row>
    <row r="2930" spans="1:15" x14ac:dyDescent="0.3">
      <c r="A2930" t="s">
        <v>4324</v>
      </c>
      <c r="B2930" t="s">
        <v>4597</v>
      </c>
      <c r="C2930">
        <v>2024</v>
      </c>
      <c r="D2930" t="s">
        <v>394</v>
      </c>
      <c r="E2930" t="s">
        <v>4451</v>
      </c>
      <c r="F2930">
        <v>1173000</v>
      </c>
      <c r="G2930" t="s">
        <v>396</v>
      </c>
      <c r="H2930">
        <v>5</v>
      </c>
      <c r="I2930" t="s">
        <v>4698</v>
      </c>
      <c r="J2930" t="s">
        <v>294</v>
      </c>
      <c r="M2930" t="s">
        <v>295</v>
      </c>
      <c r="N2930" t="s">
        <v>296</v>
      </c>
      <c r="O2930" t="s">
        <v>297</v>
      </c>
    </row>
    <row r="2931" spans="1:15" x14ac:dyDescent="0.3">
      <c r="A2931" t="s">
        <v>4324</v>
      </c>
      <c r="B2931" t="s">
        <v>4597</v>
      </c>
      <c r="C2931">
        <v>2024</v>
      </c>
      <c r="D2931" t="s">
        <v>394</v>
      </c>
      <c r="E2931" t="s">
        <v>4699</v>
      </c>
      <c r="F2931">
        <v>172000</v>
      </c>
      <c r="G2931" t="s">
        <v>396</v>
      </c>
      <c r="H2931">
        <v>35</v>
      </c>
      <c r="I2931" t="s">
        <v>4700</v>
      </c>
      <c r="J2931" t="s">
        <v>294</v>
      </c>
      <c r="M2931" t="s">
        <v>295</v>
      </c>
      <c r="N2931" t="s">
        <v>296</v>
      </c>
      <c r="O2931" t="s">
        <v>297</v>
      </c>
    </row>
    <row r="2932" spans="1:15" x14ac:dyDescent="0.3">
      <c r="A2932" t="s">
        <v>4324</v>
      </c>
      <c r="B2932" t="s">
        <v>4597</v>
      </c>
      <c r="C2932">
        <v>2024</v>
      </c>
      <c r="D2932" t="s">
        <v>394</v>
      </c>
      <c r="E2932" t="s">
        <v>406</v>
      </c>
      <c r="F2932">
        <v>287000</v>
      </c>
      <c r="G2932" t="s">
        <v>396</v>
      </c>
      <c r="H2932">
        <v>5</v>
      </c>
      <c r="I2932" t="s">
        <v>4701</v>
      </c>
      <c r="J2932" t="s">
        <v>294</v>
      </c>
      <c r="M2932" t="s">
        <v>295</v>
      </c>
      <c r="N2932" t="s">
        <v>296</v>
      </c>
      <c r="O2932" t="s">
        <v>297</v>
      </c>
    </row>
    <row r="2933" spans="1:15" x14ac:dyDescent="0.3">
      <c r="A2933" t="s">
        <v>4324</v>
      </c>
      <c r="B2933" t="s">
        <v>4597</v>
      </c>
      <c r="C2933">
        <v>2024</v>
      </c>
      <c r="D2933" t="s">
        <v>394</v>
      </c>
      <c r="E2933" t="s">
        <v>4456</v>
      </c>
      <c r="F2933">
        <v>82000</v>
      </c>
      <c r="G2933" t="s">
        <v>396</v>
      </c>
      <c r="H2933">
        <v>5</v>
      </c>
      <c r="I2933" t="s">
        <v>4702</v>
      </c>
      <c r="J2933" t="s">
        <v>294</v>
      </c>
      <c r="M2933" t="s">
        <v>295</v>
      </c>
      <c r="N2933" t="s">
        <v>296</v>
      </c>
      <c r="O2933" t="s">
        <v>297</v>
      </c>
    </row>
    <row r="2934" spans="1:15" x14ac:dyDescent="0.3">
      <c r="A2934" t="s">
        <v>4324</v>
      </c>
      <c r="B2934" t="s">
        <v>4597</v>
      </c>
      <c r="C2934">
        <v>2024</v>
      </c>
      <c r="D2934" t="s">
        <v>394</v>
      </c>
      <c r="E2934" t="s">
        <v>4458</v>
      </c>
      <c r="F2934">
        <v>8100000</v>
      </c>
      <c r="G2934" t="s">
        <v>4459</v>
      </c>
      <c r="H2934">
        <v>5</v>
      </c>
      <c r="I2934" t="s">
        <v>4703</v>
      </c>
      <c r="J2934" t="s">
        <v>294</v>
      </c>
      <c r="M2934" t="s">
        <v>295</v>
      </c>
      <c r="N2934" t="s">
        <v>296</v>
      </c>
      <c r="O2934" t="s">
        <v>297</v>
      </c>
    </row>
    <row r="2935" spans="1:15" x14ac:dyDescent="0.3">
      <c r="A2935" t="s">
        <v>4324</v>
      </c>
      <c r="B2935" t="s">
        <v>4597</v>
      </c>
      <c r="C2935">
        <v>2024</v>
      </c>
      <c r="D2935" t="s">
        <v>394</v>
      </c>
      <c r="E2935" t="s">
        <v>4461</v>
      </c>
      <c r="F2935">
        <v>4800</v>
      </c>
      <c r="G2935" t="s">
        <v>396</v>
      </c>
      <c r="H2935">
        <v>5</v>
      </c>
      <c r="I2935" t="s">
        <v>4704</v>
      </c>
      <c r="J2935" t="s">
        <v>294</v>
      </c>
      <c r="M2935" t="s">
        <v>295</v>
      </c>
      <c r="N2935" t="s">
        <v>296</v>
      </c>
      <c r="O2935" t="s">
        <v>297</v>
      </c>
    </row>
    <row r="2936" spans="1:15" x14ac:dyDescent="0.3">
      <c r="A2936" t="s">
        <v>4324</v>
      </c>
      <c r="B2936" t="s">
        <v>4597</v>
      </c>
      <c r="C2936">
        <v>2024</v>
      </c>
      <c r="D2936" t="s">
        <v>394</v>
      </c>
      <c r="E2936" t="s">
        <v>4463</v>
      </c>
      <c r="F2936">
        <v>753</v>
      </c>
      <c r="G2936" t="s">
        <v>396</v>
      </c>
      <c r="H2936">
        <v>5</v>
      </c>
      <c r="I2936" t="s">
        <v>4705</v>
      </c>
      <c r="J2936" t="s">
        <v>294</v>
      </c>
      <c r="M2936" t="s">
        <v>295</v>
      </c>
      <c r="N2936" t="s">
        <v>296</v>
      </c>
      <c r="O2936" t="s">
        <v>297</v>
      </c>
    </row>
    <row r="2937" spans="1:15" x14ac:dyDescent="0.3">
      <c r="A2937" t="s">
        <v>4324</v>
      </c>
      <c r="B2937" t="s">
        <v>4597</v>
      </c>
      <c r="C2937">
        <v>2024</v>
      </c>
      <c r="D2937" t="s">
        <v>394</v>
      </c>
      <c r="E2937" t="s">
        <v>4051</v>
      </c>
      <c r="F2937">
        <v>812</v>
      </c>
      <c r="G2937" t="s">
        <v>396</v>
      </c>
      <c r="H2937">
        <v>5</v>
      </c>
      <c r="I2937" t="s">
        <v>4706</v>
      </c>
      <c r="J2937" t="s">
        <v>294</v>
      </c>
      <c r="M2937" t="s">
        <v>295</v>
      </c>
      <c r="N2937" t="s">
        <v>296</v>
      </c>
      <c r="O2937" t="s">
        <v>297</v>
      </c>
    </row>
    <row r="2938" spans="1:15" x14ac:dyDescent="0.3">
      <c r="A2938" t="s">
        <v>4324</v>
      </c>
      <c r="B2938" t="s">
        <v>4597</v>
      </c>
      <c r="C2938">
        <v>2024</v>
      </c>
      <c r="D2938" t="s">
        <v>394</v>
      </c>
      <c r="E2938" t="s">
        <v>438</v>
      </c>
      <c r="F2938">
        <v>280000</v>
      </c>
      <c r="G2938" t="s">
        <v>396</v>
      </c>
      <c r="H2938">
        <v>5</v>
      </c>
      <c r="I2938" t="s">
        <v>4707</v>
      </c>
      <c r="J2938" t="s">
        <v>294</v>
      </c>
      <c r="M2938" t="s">
        <v>295</v>
      </c>
      <c r="N2938" t="s">
        <v>296</v>
      </c>
      <c r="O2938" t="s">
        <v>297</v>
      </c>
    </row>
    <row r="2939" spans="1:15" x14ac:dyDescent="0.3">
      <c r="A2939" t="s">
        <v>4324</v>
      </c>
      <c r="B2939" t="s">
        <v>4597</v>
      </c>
      <c r="C2939">
        <v>2024</v>
      </c>
      <c r="D2939" t="s">
        <v>394</v>
      </c>
      <c r="E2939" t="s">
        <v>4467</v>
      </c>
      <c r="F2939">
        <v>77000</v>
      </c>
      <c r="G2939" t="s">
        <v>396</v>
      </c>
      <c r="H2939">
        <v>5</v>
      </c>
      <c r="I2939" t="s">
        <v>4708</v>
      </c>
      <c r="J2939" t="s">
        <v>294</v>
      </c>
      <c r="M2939" t="s">
        <v>295</v>
      </c>
      <c r="N2939" t="s">
        <v>296</v>
      </c>
      <c r="O2939" t="s">
        <v>297</v>
      </c>
    </row>
    <row r="2940" spans="1:15" x14ac:dyDescent="0.3">
      <c r="A2940" t="s">
        <v>4324</v>
      </c>
      <c r="B2940" t="s">
        <v>4597</v>
      </c>
      <c r="C2940">
        <v>2024</v>
      </c>
      <c r="D2940" t="s">
        <v>394</v>
      </c>
      <c r="E2940" t="s">
        <v>4469</v>
      </c>
      <c r="F2940">
        <v>7500000</v>
      </c>
      <c r="G2940" t="s">
        <v>4459</v>
      </c>
      <c r="H2940">
        <v>5</v>
      </c>
      <c r="I2940" t="s">
        <v>4709</v>
      </c>
      <c r="J2940" t="s">
        <v>294</v>
      </c>
      <c r="M2940" t="s">
        <v>295</v>
      </c>
      <c r="N2940" t="s">
        <v>296</v>
      </c>
      <c r="O2940" t="s">
        <v>297</v>
      </c>
    </row>
    <row r="2941" spans="1:15" x14ac:dyDescent="0.3">
      <c r="A2941" t="s">
        <v>4324</v>
      </c>
      <c r="B2941" t="s">
        <v>4597</v>
      </c>
      <c r="C2941">
        <v>2024</v>
      </c>
      <c r="D2941" t="s">
        <v>394</v>
      </c>
      <c r="E2941" t="s">
        <v>4471</v>
      </c>
      <c r="F2941">
        <v>4600</v>
      </c>
      <c r="G2941" t="s">
        <v>396</v>
      </c>
      <c r="H2941">
        <v>5</v>
      </c>
      <c r="I2941" t="s">
        <v>4710</v>
      </c>
      <c r="J2941" t="s">
        <v>294</v>
      </c>
      <c r="M2941" t="s">
        <v>295</v>
      </c>
      <c r="N2941" t="s">
        <v>296</v>
      </c>
      <c r="O2941" t="s">
        <v>297</v>
      </c>
    </row>
    <row r="2942" spans="1:15" x14ac:dyDescent="0.3">
      <c r="A2942" t="s">
        <v>4324</v>
      </c>
      <c r="B2942" t="s">
        <v>4597</v>
      </c>
      <c r="C2942">
        <v>2024</v>
      </c>
      <c r="D2942" t="s">
        <v>394</v>
      </c>
      <c r="E2942" t="s">
        <v>4711</v>
      </c>
      <c r="F2942">
        <v>13190</v>
      </c>
      <c r="G2942" t="s">
        <v>436</v>
      </c>
      <c r="H2942">
        <v>16</v>
      </c>
      <c r="I2942" t="s">
        <v>4712</v>
      </c>
      <c r="J2942" t="s">
        <v>294</v>
      </c>
      <c r="M2942" t="s">
        <v>295</v>
      </c>
      <c r="N2942" t="s">
        <v>296</v>
      </c>
      <c r="O2942" t="s">
        <v>297</v>
      </c>
    </row>
    <row r="2943" spans="1:15" x14ac:dyDescent="0.3">
      <c r="A2943" t="s">
        <v>4324</v>
      </c>
      <c r="B2943" t="s">
        <v>4597</v>
      </c>
      <c r="C2943">
        <v>2024</v>
      </c>
      <c r="D2943" t="s">
        <v>394</v>
      </c>
      <c r="E2943" t="s">
        <v>4591</v>
      </c>
      <c r="F2943">
        <v>1113</v>
      </c>
      <c r="G2943" t="s">
        <v>947</v>
      </c>
      <c r="H2943">
        <v>16</v>
      </c>
      <c r="I2943" t="s">
        <v>4713</v>
      </c>
      <c r="J2943" t="s">
        <v>294</v>
      </c>
      <c r="M2943" t="s">
        <v>295</v>
      </c>
      <c r="N2943" t="s">
        <v>296</v>
      </c>
      <c r="O2943" t="s">
        <v>297</v>
      </c>
    </row>
    <row r="2944" spans="1:15" x14ac:dyDescent="0.3">
      <c r="A2944" t="s">
        <v>4324</v>
      </c>
      <c r="B2944" t="s">
        <v>4597</v>
      </c>
      <c r="C2944">
        <v>2024</v>
      </c>
      <c r="D2944" t="s">
        <v>563</v>
      </c>
      <c r="E2944" t="s">
        <v>4481</v>
      </c>
      <c r="F2944">
        <v>247000</v>
      </c>
      <c r="G2944" t="s">
        <v>396</v>
      </c>
      <c r="H2944">
        <v>17</v>
      </c>
      <c r="I2944" t="s">
        <v>4714</v>
      </c>
      <c r="J2944" t="s">
        <v>294</v>
      </c>
      <c r="M2944" t="s">
        <v>295</v>
      </c>
      <c r="N2944" t="s">
        <v>296</v>
      </c>
      <c r="O2944" t="s">
        <v>297</v>
      </c>
    </row>
    <row r="2945" spans="1:15" x14ac:dyDescent="0.3">
      <c r="A2945" t="s">
        <v>4324</v>
      </c>
      <c r="B2945" t="s">
        <v>4597</v>
      </c>
      <c r="C2945">
        <v>2024</v>
      </c>
      <c r="D2945" t="s">
        <v>563</v>
      </c>
      <c r="E2945" t="s">
        <v>4594</v>
      </c>
      <c r="F2945">
        <v>0.97</v>
      </c>
      <c r="G2945" t="s">
        <v>334</v>
      </c>
      <c r="H2945">
        <v>17</v>
      </c>
      <c r="I2945" t="s">
        <v>4715</v>
      </c>
      <c r="J2945" t="s">
        <v>294</v>
      </c>
      <c r="M2945" t="s">
        <v>295</v>
      </c>
      <c r="N2945" t="s">
        <v>296</v>
      </c>
      <c r="O2945" t="s">
        <v>297</v>
      </c>
    </row>
    <row r="2946" spans="1:15" x14ac:dyDescent="0.3">
      <c r="A2946" t="s">
        <v>4324</v>
      </c>
      <c r="B2946" t="s">
        <v>4597</v>
      </c>
      <c r="C2946">
        <v>2024</v>
      </c>
      <c r="D2946" t="s">
        <v>394</v>
      </c>
      <c r="E2946" t="s">
        <v>4716</v>
      </c>
      <c r="F2946">
        <v>22</v>
      </c>
      <c r="G2946" t="s">
        <v>794</v>
      </c>
      <c r="H2946">
        <v>30</v>
      </c>
      <c r="I2946" t="s">
        <v>4717</v>
      </c>
      <c r="J2946" t="s">
        <v>294</v>
      </c>
      <c r="M2946" t="s">
        <v>295</v>
      </c>
      <c r="N2946" t="s">
        <v>296</v>
      </c>
      <c r="O2946" t="s">
        <v>297</v>
      </c>
    </row>
    <row r="2947" spans="1:15" x14ac:dyDescent="0.3">
      <c r="A2947" t="s">
        <v>4718</v>
      </c>
      <c r="B2947" t="s">
        <v>4719</v>
      </c>
      <c r="C2947">
        <v>2022</v>
      </c>
      <c r="D2947" t="s">
        <v>272</v>
      </c>
      <c r="E2947" t="s">
        <v>291</v>
      </c>
      <c r="F2947" t="s">
        <v>4718</v>
      </c>
      <c r="G2947" t="s">
        <v>292</v>
      </c>
      <c r="H2947">
        <v>1</v>
      </c>
      <c r="I2947" t="s">
        <v>4720</v>
      </c>
      <c r="J2947" t="s">
        <v>294</v>
      </c>
      <c r="M2947" t="s">
        <v>295</v>
      </c>
      <c r="N2947" t="s">
        <v>296</v>
      </c>
      <c r="O2947" t="s">
        <v>297</v>
      </c>
    </row>
    <row r="2948" spans="1:15" x14ac:dyDescent="0.3">
      <c r="A2948" t="s">
        <v>4718</v>
      </c>
      <c r="B2948" t="s">
        <v>4719</v>
      </c>
      <c r="C2948">
        <v>2022</v>
      </c>
      <c r="D2948" t="s">
        <v>272</v>
      </c>
      <c r="E2948" t="s">
        <v>4721</v>
      </c>
      <c r="F2948" t="s">
        <v>4722</v>
      </c>
      <c r="G2948" t="s">
        <v>292</v>
      </c>
      <c r="H2948">
        <v>1</v>
      </c>
      <c r="I2948" t="s">
        <v>4723</v>
      </c>
      <c r="J2948" t="s">
        <v>294</v>
      </c>
      <c r="M2948" t="s">
        <v>295</v>
      </c>
      <c r="N2948" t="s">
        <v>296</v>
      </c>
      <c r="O2948" t="s">
        <v>297</v>
      </c>
    </row>
    <row r="2949" spans="1:15" x14ac:dyDescent="0.3">
      <c r="A2949" t="s">
        <v>4718</v>
      </c>
      <c r="B2949" t="s">
        <v>4719</v>
      </c>
      <c r="C2949">
        <v>2022</v>
      </c>
      <c r="D2949" t="s">
        <v>272</v>
      </c>
      <c r="E2949" t="s">
        <v>4724</v>
      </c>
      <c r="F2949" t="s">
        <v>4725</v>
      </c>
      <c r="G2949" t="s">
        <v>292</v>
      </c>
      <c r="H2949">
        <v>9</v>
      </c>
      <c r="I2949" t="s">
        <v>4726</v>
      </c>
      <c r="J2949" t="s">
        <v>294</v>
      </c>
      <c r="M2949" t="s">
        <v>295</v>
      </c>
      <c r="N2949" t="s">
        <v>296</v>
      </c>
      <c r="O2949" t="s">
        <v>297</v>
      </c>
    </row>
    <row r="2950" spans="1:15" x14ac:dyDescent="0.3">
      <c r="A2950" t="s">
        <v>4718</v>
      </c>
      <c r="B2950" t="s">
        <v>4719</v>
      </c>
      <c r="C2950">
        <v>2022</v>
      </c>
      <c r="D2950" t="s">
        <v>272</v>
      </c>
      <c r="E2950" t="s">
        <v>4727</v>
      </c>
      <c r="F2950">
        <v>2005</v>
      </c>
      <c r="G2950" t="s">
        <v>299</v>
      </c>
      <c r="H2950">
        <v>9</v>
      </c>
      <c r="I2950" t="s">
        <v>4728</v>
      </c>
      <c r="J2950" t="s">
        <v>294</v>
      </c>
      <c r="M2950" t="s">
        <v>295</v>
      </c>
      <c r="N2950" t="s">
        <v>296</v>
      </c>
      <c r="O2950" t="s">
        <v>297</v>
      </c>
    </row>
    <row r="2951" spans="1:15" x14ac:dyDescent="0.3">
      <c r="A2951" t="s">
        <v>4718</v>
      </c>
      <c r="B2951" t="s">
        <v>4719</v>
      </c>
      <c r="C2951">
        <v>2022</v>
      </c>
      <c r="D2951" t="s">
        <v>272</v>
      </c>
      <c r="E2951" t="s">
        <v>4729</v>
      </c>
      <c r="F2951" t="s">
        <v>4730</v>
      </c>
      <c r="G2951" t="s">
        <v>292</v>
      </c>
      <c r="H2951">
        <v>9</v>
      </c>
      <c r="I2951" t="s">
        <v>4731</v>
      </c>
      <c r="J2951" t="s">
        <v>294</v>
      </c>
      <c r="M2951" t="s">
        <v>295</v>
      </c>
      <c r="N2951" t="s">
        <v>296</v>
      </c>
      <c r="O2951" t="s">
        <v>297</v>
      </c>
    </row>
    <row r="2952" spans="1:15" x14ac:dyDescent="0.3">
      <c r="A2952" t="s">
        <v>4718</v>
      </c>
      <c r="B2952" t="s">
        <v>4719</v>
      </c>
      <c r="C2952">
        <v>2022</v>
      </c>
      <c r="D2952" t="s">
        <v>272</v>
      </c>
      <c r="E2952" t="s">
        <v>4732</v>
      </c>
      <c r="F2952" t="s">
        <v>4733</v>
      </c>
      <c r="G2952" t="s">
        <v>292</v>
      </c>
      <c r="H2952">
        <v>9</v>
      </c>
      <c r="I2952" t="s">
        <v>4734</v>
      </c>
      <c r="J2952" t="s">
        <v>294</v>
      </c>
      <c r="M2952" t="s">
        <v>295</v>
      </c>
      <c r="N2952" t="s">
        <v>296</v>
      </c>
      <c r="O2952" t="s">
        <v>297</v>
      </c>
    </row>
    <row r="2953" spans="1:15" x14ac:dyDescent="0.3">
      <c r="A2953" t="s">
        <v>4718</v>
      </c>
      <c r="B2953" t="s">
        <v>4719</v>
      </c>
      <c r="C2953">
        <v>2022</v>
      </c>
      <c r="D2953" t="s">
        <v>272</v>
      </c>
      <c r="E2953" t="s">
        <v>869</v>
      </c>
      <c r="F2953" t="s">
        <v>4735</v>
      </c>
      <c r="G2953" t="s">
        <v>666</v>
      </c>
      <c r="H2953">
        <v>10</v>
      </c>
      <c r="I2953" t="s">
        <v>4736</v>
      </c>
      <c r="J2953" t="s">
        <v>294</v>
      </c>
      <c r="M2953" t="s">
        <v>295</v>
      </c>
      <c r="N2953" t="s">
        <v>296</v>
      </c>
      <c r="O2953" t="s">
        <v>297</v>
      </c>
    </row>
    <row r="2954" spans="1:15" x14ac:dyDescent="0.3">
      <c r="A2954" t="s">
        <v>4718</v>
      </c>
      <c r="B2954" t="s">
        <v>4719</v>
      </c>
      <c r="C2954">
        <v>2022</v>
      </c>
      <c r="D2954" t="s">
        <v>272</v>
      </c>
      <c r="E2954" t="s">
        <v>4737</v>
      </c>
      <c r="F2954">
        <v>4000000000</v>
      </c>
      <c r="G2954" t="s">
        <v>1633</v>
      </c>
      <c r="H2954">
        <v>10</v>
      </c>
      <c r="I2954" t="s">
        <v>4738</v>
      </c>
      <c r="J2954" t="s">
        <v>294</v>
      </c>
      <c r="M2954" t="s">
        <v>295</v>
      </c>
      <c r="N2954" t="s">
        <v>296</v>
      </c>
      <c r="O2954" t="s">
        <v>297</v>
      </c>
    </row>
    <row r="2955" spans="1:15" x14ac:dyDescent="0.3">
      <c r="A2955" t="s">
        <v>4718</v>
      </c>
      <c r="B2955" t="s">
        <v>4719</v>
      </c>
      <c r="C2955">
        <v>2022</v>
      </c>
      <c r="D2955" t="s">
        <v>272</v>
      </c>
      <c r="E2955" t="s">
        <v>2975</v>
      </c>
      <c r="F2955">
        <v>110</v>
      </c>
      <c r="G2955" t="s">
        <v>916</v>
      </c>
      <c r="H2955">
        <v>10</v>
      </c>
      <c r="I2955" t="s">
        <v>4739</v>
      </c>
      <c r="J2955" t="s">
        <v>294</v>
      </c>
      <c r="M2955" t="s">
        <v>295</v>
      </c>
      <c r="N2955" t="s">
        <v>296</v>
      </c>
      <c r="O2955" t="s">
        <v>297</v>
      </c>
    </row>
    <row r="2956" spans="1:15" x14ac:dyDescent="0.3">
      <c r="A2956" t="s">
        <v>4718</v>
      </c>
      <c r="B2956" t="s">
        <v>4719</v>
      </c>
      <c r="C2956">
        <v>2022</v>
      </c>
      <c r="D2956" t="s">
        <v>272</v>
      </c>
      <c r="E2956" t="s">
        <v>4740</v>
      </c>
      <c r="F2956">
        <v>9000000004</v>
      </c>
      <c r="G2956" t="s">
        <v>1633</v>
      </c>
      <c r="H2956">
        <v>10</v>
      </c>
      <c r="I2956" t="s">
        <v>4741</v>
      </c>
      <c r="J2956" t="s">
        <v>294</v>
      </c>
      <c r="M2956" t="s">
        <v>295</v>
      </c>
      <c r="N2956" t="s">
        <v>296</v>
      </c>
      <c r="O2956" t="s">
        <v>297</v>
      </c>
    </row>
    <row r="2957" spans="1:15" x14ac:dyDescent="0.3">
      <c r="A2957" t="s">
        <v>4718</v>
      </c>
      <c r="B2957" t="s">
        <v>4719</v>
      </c>
      <c r="C2957">
        <v>2022</v>
      </c>
      <c r="D2957" t="s">
        <v>272</v>
      </c>
      <c r="E2957" t="s">
        <v>1560</v>
      </c>
      <c r="F2957">
        <v>220</v>
      </c>
      <c r="G2957" t="s">
        <v>384</v>
      </c>
      <c r="H2957">
        <v>10</v>
      </c>
      <c r="I2957" t="s">
        <v>4742</v>
      </c>
      <c r="J2957" t="s">
        <v>294</v>
      </c>
      <c r="M2957" t="s">
        <v>295</v>
      </c>
      <c r="N2957" t="s">
        <v>296</v>
      </c>
      <c r="O2957" t="s">
        <v>297</v>
      </c>
    </row>
    <row r="2958" spans="1:15" x14ac:dyDescent="0.3">
      <c r="A2958" t="s">
        <v>4718</v>
      </c>
      <c r="B2958" t="s">
        <v>4719</v>
      </c>
      <c r="C2958">
        <v>2022</v>
      </c>
      <c r="D2958" t="s">
        <v>272</v>
      </c>
      <c r="E2958" t="s">
        <v>4743</v>
      </c>
      <c r="F2958" t="s">
        <v>4744</v>
      </c>
      <c r="G2958" t="s">
        <v>292</v>
      </c>
      <c r="H2958">
        <v>11</v>
      </c>
      <c r="I2958" t="s">
        <v>4745</v>
      </c>
      <c r="J2958" t="s">
        <v>294</v>
      </c>
      <c r="M2958" t="s">
        <v>295</v>
      </c>
      <c r="N2958" t="s">
        <v>296</v>
      </c>
      <c r="O2958" t="s">
        <v>297</v>
      </c>
    </row>
    <row r="2959" spans="1:15" x14ac:dyDescent="0.3">
      <c r="A2959" t="s">
        <v>4718</v>
      </c>
      <c r="B2959" t="s">
        <v>4719</v>
      </c>
      <c r="C2959">
        <v>2022</v>
      </c>
      <c r="D2959" t="s">
        <v>272</v>
      </c>
      <c r="E2959" t="s">
        <v>4746</v>
      </c>
      <c r="F2959" t="s">
        <v>4747</v>
      </c>
      <c r="G2959" t="s">
        <v>292</v>
      </c>
      <c r="H2959">
        <v>11</v>
      </c>
      <c r="I2959" t="s">
        <v>4748</v>
      </c>
      <c r="J2959" t="s">
        <v>294</v>
      </c>
      <c r="M2959" t="s">
        <v>295</v>
      </c>
      <c r="N2959" t="s">
        <v>296</v>
      </c>
      <c r="O2959" t="s">
        <v>297</v>
      </c>
    </row>
    <row r="2960" spans="1:15" x14ac:dyDescent="0.3">
      <c r="A2960" t="s">
        <v>4718</v>
      </c>
      <c r="B2960" t="s">
        <v>4719</v>
      </c>
      <c r="C2960">
        <v>2022</v>
      </c>
      <c r="D2960" t="s">
        <v>272</v>
      </c>
      <c r="E2960" t="s">
        <v>4749</v>
      </c>
      <c r="F2960" t="s">
        <v>4750</v>
      </c>
      <c r="G2960" t="s">
        <v>292</v>
      </c>
      <c r="H2960">
        <v>11</v>
      </c>
      <c r="I2960" t="s">
        <v>4751</v>
      </c>
      <c r="J2960" t="s">
        <v>294</v>
      </c>
      <c r="M2960" t="s">
        <v>295</v>
      </c>
      <c r="N2960" t="s">
        <v>296</v>
      </c>
      <c r="O2960" t="s">
        <v>297</v>
      </c>
    </row>
    <row r="2961" spans="1:15" x14ac:dyDescent="0.3">
      <c r="A2961" t="s">
        <v>4718</v>
      </c>
      <c r="B2961" t="s">
        <v>4719</v>
      </c>
      <c r="C2961">
        <v>2022</v>
      </c>
      <c r="D2961" t="s">
        <v>272</v>
      </c>
      <c r="E2961" t="s">
        <v>4752</v>
      </c>
      <c r="F2961" t="s">
        <v>4753</v>
      </c>
      <c r="G2961" t="s">
        <v>292</v>
      </c>
      <c r="H2961">
        <v>11</v>
      </c>
      <c r="I2961" t="s">
        <v>4754</v>
      </c>
      <c r="J2961" t="s">
        <v>294</v>
      </c>
      <c r="M2961" t="s">
        <v>295</v>
      </c>
      <c r="N2961" t="s">
        <v>296</v>
      </c>
      <c r="O2961" t="s">
        <v>297</v>
      </c>
    </row>
    <row r="2962" spans="1:15" x14ac:dyDescent="0.3">
      <c r="A2962" t="s">
        <v>4718</v>
      </c>
      <c r="B2962" t="s">
        <v>4719</v>
      </c>
      <c r="C2962">
        <v>2022</v>
      </c>
      <c r="D2962" t="s">
        <v>272</v>
      </c>
      <c r="E2962" t="s">
        <v>4755</v>
      </c>
      <c r="F2962" t="s">
        <v>4756</v>
      </c>
      <c r="G2962" t="s">
        <v>292</v>
      </c>
      <c r="H2962">
        <v>11</v>
      </c>
      <c r="I2962" t="s">
        <v>4757</v>
      </c>
      <c r="J2962" t="s">
        <v>294</v>
      </c>
      <c r="M2962" t="s">
        <v>295</v>
      </c>
      <c r="N2962" t="s">
        <v>296</v>
      </c>
      <c r="O2962" t="s">
        <v>297</v>
      </c>
    </row>
    <row r="2963" spans="1:15" x14ac:dyDescent="0.3">
      <c r="A2963" t="s">
        <v>4718</v>
      </c>
      <c r="B2963" t="s">
        <v>4719</v>
      </c>
      <c r="C2963">
        <v>2022</v>
      </c>
      <c r="D2963" t="s">
        <v>300</v>
      </c>
      <c r="E2963" t="s">
        <v>4758</v>
      </c>
      <c r="F2963">
        <v>32.270000000000003</v>
      </c>
      <c r="G2963" t="s">
        <v>302</v>
      </c>
      <c r="H2963">
        <v>6</v>
      </c>
      <c r="I2963" t="s">
        <v>4759</v>
      </c>
      <c r="J2963" t="s">
        <v>294</v>
      </c>
      <c r="M2963" t="s">
        <v>295</v>
      </c>
      <c r="N2963" t="s">
        <v>296</v>
      </c>
      <c r="O2963" t="s">
        <v>297</v>
      </c>
    </row>
    <row r="2964" spans="1:15" x14ac:dyDescent="0.3">
      <c r="A2964" t="s">
        <v>4718</v>
      </c>
      <c r="B2964" t="s">
        <v>4719</v>
      </c>
      <c r="C2964">
        <v>2022</v>
      </c>
      <c r="D2964" t="s">
        <v>300</v>
      </c>
      <c r="E2964" t="s">
        <v>4760</v>
      </c>
      <c r="F2964">
        <v>-35.700000000000003</v>
      </c>
      <c r="G2964" t="s">
        <v>302</v>
      </c>
      <c r="H2964">
        <v>6</v>
      </c>
      <c r="I2964" t="s">
        <v>4761</v>
      </c>
      <c r="J2964" t="s">
        <v>294</v>
      </c>
      <c r="M2964" t="s">
        <v>295</v>
      </c>
      <c r="N2964" t="s">
        <v>296</v>
      </c>
      <c r="O2964" t="s">
        <v>297</v>
      </c>
    </row>
    <row r="2965" spans="1:15" x14ac:dyDescent="0.3">
      <c r="A2965" t="s">
        <v>4718</v>
      </c>
      <c r="B2965" t="s">
        <v>4719</v>
      </c>
      <c r="C2965">
        <v>2022</v>
      </c>
      <c r="D2965" t="s">
        <v>300</v>
      </c>
      <c r="E2965" t="s">
        <v>4762</v>
      </c>
      <c r="F2965">
        <v>-3.43</v>
      </c>
      <c r="G2965" t="s">
        <v>302</v>
      </c>
      <c r="H2965">
        <v>6</v>
      </c>
      <c r="I2965" t="s">
        <v>4763</v>
      </c>
      <c r="J2965" t="s">
        <v>294</v>
      </c>
      <c r="M2965" t="s">
        <v>295</v>
      </c>
      <c r="N2965" t="s">
        <v>296</v>
      </c>
      <c r="O2965" t="s">
        <v>297</v>
      </c>
    </row>
    <row r="2966" spans="1:15" x14ac:dyDescent="0.3">
      <c r="A2966" t="s">
        <v>4718</v>
      </c>
      <c r="B2966" t="s">
        <v>4719</v>
      </c>
      <c r="C2966">
        <v>2022</v>
      </c>
      <c r="D2966" t="s">
        <v>300</v>
      </c>
      <c r="E2966" t="s">
        <v>4764</v>
      </c>
      <c r="F2966">
        <v>-1.92</v>
      </c>
      <c r="G2966" t="s">
        <v>302</v>
      </c>
      <c r="H2966">
        <v>6</v>
      </c>
      <c r="I2966" t="s">
        <v>4765</v>
      </c>
      <c r="J2966" t="s">
        <v>294</v>
      </c>
      <c r="M2966" t="s">
        <v>295</v>
      </c>
      <c r="N2966" t="s">
        <v>296</v>
      </c>
      <c r="O2966" t="s">
        <v>297</v>
      </c>
    </row>
    <row r="2967" spans="1:15" x14ac:dyDescent="0.3">
      <c r="A2967" t="s">
        <v>4718</v>
      </c>
      <c r="B2967" t="s">
        <v>4719</v>
      </c>
      <c r="C2967">
        <v>2022</v>
      </c>
      <c r="D2967" t="s">
        <v>300</v>
      </c>
      <c r="E2967" t="s">
        <v>4766</v>
      </c>
      <c r="F2967">
        <v>-6.37</v>
      </c>
      <c r="G2967" t="s">
        <v>302</v>
      </c>
      <c r="H2967">
        <v>6</v>
      </c>
      <c r="I2967" t="s">
        <v>4767</v>
      </c>
      <c r="J2967" t="s">
        <v>294</v>
      </c>
      <c r="M2967" t="s">
        <v>295</v>
      </c>
      <c r="N2967" t="s">
        <v>296</v>
      </c>
      <c r="O2967" t="s">
        <v>297</v>
      </c>
    </row>
    <row r="2968" spans="1:15" x14ac:dyDescent="0.3">
      <c r="A2968" t="s">
        <v>4718</v>
      </c>
      <c r="B2968" t="s">
        <v>4719</v>
      </c>
      <c r="C2968">
        <v>2022</v>
      </c>
      <c r="D2968" t="s">
        <v>300</v>
      </c>
      <c r="E2968" t="s">
        <v>4768</v>
      </c>
      <c r="F2968">
        <v>-10.68</v>
      </c>
      <c r="G2968" t="s">
        <v>302</v>
      </c>
      <c r="H2968">
        <v>6</v>
      </c>
      <c r="I2968" t="s">
        <v>4769</v>
      </c>
      <c r="J2968" t="s">
        <v>294</v>
      </c>
      <c r="M2968" t="s">
        <v>295</v>
      </c>
      <c r="N2968" t="s">
        <v>296</v>
      </c>
      <c r="O2968" t="s">
        <v>297</v>
      </c>
    </row>
    <row r="2969" spans="1:15" x14ac:dyDescent="0.3">
      <c r="A2969" t="s">
        <v>4718</v>
      </c>
      <c r="B2969" t="s">
        <v>4719</v>
      </c>
      <c r="C2969">
        <v>2022</v>
      </c>
      <c r="D2969" t="s">
        <v>300</v>
      </c>
      <c r="E2969" t="s">
        <v>4770</v>
      </c>
      <c r="F2969">
        <v>-10.68</v>
      </c>
      <c r="G2969" t="s">
        <v>302</v>
      </c>
      <c r="H2969">
        <v>6</v>
      </c>
      <c r="I2969" t="s">
        <v>4771</v>
      </c>
      <c r="J2969" t="s">
        <v>294</v>
      </c>
      <c r="M2969" t="s">
        <v>295</v>
      </c>
      <c r="N2969" t="s">
        <v>296</v>
      </c>
      <c r="O2969" t="s">
        <v>297</v>
      </c>
    </row>
    <row r="2970" spans="1:15" x14ac:dyDescent="0.3">
      <c r="A2970" t="s">
        <v>4718</v>
      </c>
      <c r="B2970" t="s">
        <v>4719</v>
      </c>
      <c r="C2970">
        <v>2022</v>
      </c>
      <c r="D2970" t="s">
        <v>300</v>
      </c>
      <c r="E2970" t="s">
        <v>1324</v>
      </c>
      <c r="F2970">
        <v>-10.57</v>
      </c>
      <c r="G2970" t="s">
        <v>302</v>
      </c>
      <c r="H2970">
        <v>6</v>
      </c>
      <c r="I2970" t="s">
        <v>4772</v>
      </c>
      <c r="J2970" t="s">
        <v>294</v>
      </c>
      <c r="M2970" t="s">
        <v>295</v>
      </c>
      <c r="N2970" t="s">
        <v>296</v>
      </c>
      <c r="O2970" t="s">
        <v>297</v>
      </c>
    </row>
    <row r="2971" spans="1:15" x14ac:dyDescent="0.3">
      <c r="A2971" t="s">
        <v>4718</v>
      </c>
      <c r="B2971" t="s">
        <v>4719</v>
      </c>
      <c r="C2971">
        <v>2022</v>
      </c>
      <c r="D2971" t="s">
        <v>300</v>
      </c>
      <c r="E2971" t="s">
        <v>4773</v>
      </c>
      <c r="F2971">
        <v>-0.11</v>
      </c>
      <c r="G2971" t="s">
        <v>302</v>
      </c>
      <c r="H2971">
        <v>6</v>
      </c>
      <c r="I2971" t="s">
        <v>4774</v>
      </c>
      <c r="J2971" t="s">
        <v>294</v>
      </c>
      <c r="M2971" t="s">
        <v>295</v>
      </c>
      <c r="N2971" t="s">
        <v>296</v>
      </c>
      <c r="O2971" t="s">
        <v>297</v>
      </c>
    </row>
    <row r="2972" spans="1:15" x14ac:dyDescent="0.3">
      <c r="A2972" t="s">
        <v>4718</v>
      </c>
      <c r="B2972" t="s">
        <v>4719</v>
      </c>
      <c r="C2972">
        <v>2022</v>
      </c>
      <c r="D2972" t="s">
        <v>300</v>
      </c>
      <c r="E2972" t="s">
        <v>4775</v>
      </c>
      <c r="F2972">
        <v>-1.17</v>
      </c>
      <c r="G2972" t="s">
        <v>916</v>
      </c>
      <c r="H2972">
        <v>6</v>
      </c>
      <c r="I2972" t="s">
        <v>4776</v>
      </c>
      <c r="J2972" t="s">
        <v>294</v>
      </c>
      <c r="M2972" t="s">
        <v>295</v>
      </c>
      <c r="N2972" t="s">
        <v>296</v>
      </c>
      <c r="O2972" t="s">
        <v>297</v>
      </c>
    </row>
    <row r="2973" spans="1:15" x14ac:dyDescent="0.3">
      <c r="A2973" t="s">
        <v>4718</v>
      </c>
      <c r="B2973" t="s">
        <v>4719</v>
      </c>
      <c r="C2973">
        <v>2022</v>
      </c>
      <c r="D2973" t="s">
        <v>300</v>
      </c>
      <c r="E2973" t="s">
        <v>3492</v>
      </c>
      <c r="F2973">
        <v>2.38</v>
      </c>
      <c r="G2973" t="s">
        <v>302</v>
      </c>
      <c r="H2973">
        <v>3</v>
      </c>
      <c r="I2973" t="s">
        <v>4777</v>
      </c>
      <c r="J2973" t="s">
        <v>294</v>
      </c>
      <c r="M2973" t="s">
        <v>295</v>
      </c>
      <c r="N2973" t="s">
        <v>296</v>
      </c>
      <c r="O2973" t="s">
        <v>297</v>
      </c>
    </row>
    <row r="2974" spans="1:15" x14ac:dyDescent="0.3">
      <c r="A2974" t="s">
        <v>4718</v>
      </c>
      <c r="B2974" t="s">
        <v>4719</v>
      </c>
      <c r="C2974">
        <v>2022</v>
      </c>
      <c r="D2974" t="s">
        <v>300</v>
      </c>
      <c r="E2974" t="s">
        <v>479</v>
      </c>
      <c r="F2974">
        <v>3.5</v>
      </c>
      <c r="G2974" t="s">
        <v>302</v>
      </c>
      <c r="H2974">
        <v>3</v>
      </c>
      <c r="I2974" t="s">
        <v>4778</v>
      </c>
      <c r="J2974" t="s">
        <v>294</v>
      </c>
      <c r="M2974" t="s">
        <v>295</v>
      </c>
      <c r="N2974" t="s">
        <v>296</v>
      </c>
      <c r="O2974" t="s">
        <v>297</v>
      </c>
    </row>
    <row r="2975" spans="1:15" x14ac:dyDescent="0.3">
      <c r="A2975" t="s">
        <v>4718</v>
      </c>
      <c r="B2975" t="s">
        <v>4719</v>
      </c>
      <c r="C2975">
        <v>2022</v>
      </c>
      <c r="D2975" t="s">
        <v>300</v>
      </c>
      <c r="E2975" t="s">
        <v>481</v>
      </c>
      <c r="F2975">
        <v>11.58</v>
      </c>
      <c r="G2975" t="s">
        <v>302</v>
      </c>
      <c r="H2975">
        <v>3</v>
      </c>
      <c r="I2975" t="s">
        <v>4779</v>
      </c>
      <c r="J2975" t="s">
        <v>294</v>
      </c>
      <c r="M2975" t="s">
        <v>295</v>
      </c>
      <c r="N2975" t="s">
        <v>296</v>
      </c>
      <c r="O2975" t="s">
        <v>297</v>
      </c>
    </row>
    <row r="2976" spans="1:15" x14ac:dyDescent="0.3">
      <c r="A2976" t="s">
        <v>4718</v>
      </c>
      <c r="B2976" t="s">
        <v>4719</v>
      </c>
      <c r="C2976">
        <v>2022</v>
      </c>
      <c r="D2976" t="s">
        <v>300</v>
      </c>
      <c r="E2976" t="s">
        <v>4780</v>
      </c>
      <c r="F2976">
        <v>171.38</v>
      </c>
      <c r="G2976" t="s">
        <v>302</v>
      </c>
      <c r="H2976">
        <v>3</v>
      </c>
      <c r="I2976" t="s">
        <v>4781</v>
      </c>
      <c r="J2976" t="s">
        <v>294</v>
      </c>
      <c r="M2976" t="s">
        <v>295</v>
      </c>
      <c r="N2976" t="s">
        <v>296</v>
      </c>
      <c r="O2976" t="s">
        <v>297</v>
      </c>
    </row>
    <row r="2977" spans="1:15" x14ac:dyDescent="0.3">
      <c r="A2977" t="s">
        <v>4718</v>
      </c>
      <c r="B2977" t="s">
        <v>4719</v>
      </c>
      <c r="C2977">
        <v>2022</v>
      </c>
      <c r="D2977" t="s">
        <v>300</v>
      </c>
      <c r="E2977" t="s">
        <v>4119</v>
      </c>
      <c r="F2977">
        <v>9.4499999999999993</v>
      </c>
      <c r="G2977" t="s">
        <v>302</v>
      </c>
      <c r="H2977">
        <v>3</v>
      </c>
      <c r="I2977" t="s">
        <v>4782</v>
      </c>
      <c r="J2977" t="s">
        <v>294</v>
      </c>
      <c r="M2977" t="s">
        <v>295</v>
      </c>
      <c r="N2977" t="s">
        <v>296</v>
      </c>
      <c r="O2977" t="s">
        <v>297</v>
      </c>
    </row>
    <row r="2978" spans="1:15" x14ac:dyDescent="0.3">
      <c r="A2978" t="s">
        <v>4718</v>
      </c>
      <c r="B2978" t="s">
        <v>4719</v>
      </c>
      <c r="C2978">
        <v>2022</v>
      </c>
      <c r="D2978" t="s">
        <v>300</v>
      </c>
      <c r="E2978" t="s">
        <v>312</v>
      </c>
      <c r="F2978">
        <v>205.92</v>
      </c>
      <c r="G2978" t="s">
        <v>302</v>
      </c>
      <c r="H2978">
        <v>3</v>
      </c>
      <c r="I2978" t="s">
        <v>4783</v>
      </c>
      <c r="J2978" t="s">
        <v>294</v>
      </c>
      <c r="M2978" t="s">
        <v>295</v>
      </c>
      <c r="N2978" t="s">
        <v>296</v>
      </c>
      <c r="O2978" t="s">
        <v>297</v>
      </c>
    </row>
    <row r="2979" spans="1:15" x14ac:dyDescent="0.3">
      <c r="A2979" t="s">
        <v>4718</v>
      </c>
      <c r="B2979" t="s">
        <v>4719</v>
      </c>
      <c r="C2979">
        <v>2022</v>
      </c>
      <c r="D2979" t="s">
        <v>300</v>
      </c>
      <c r="E2979" t="s">
        <v>4784</v>
      </c>
      <c r="F2979">
        <v>286.38</v>
      </c>
      <c r="G2979" t="s">
        <v>302</v>
      </c>
      <c r="H2979">
        <v>3</v>
      </c>
      <c r="I2979" t="s">
        <v>4785</v>
      </c>
      <c r="J2979" t="s">
        <v>294</v>
      </c>
      <c r="M2979" t="s">
        <v>295</v>
      </c>
      <c r="N2979" t="s">
        <v>296</v>
      </c>
      <c r="O2979" t="s">
        <v>297</v>
      </c>
    </row>
    <row r="2980" spans="1:15" x14ac:dyDescent="0.3">
      <c r="A2980" t="s">
        <v>4718</v>
      </c>
      <c r="B2980" t="s">
        <v>4719</v>
      </c>
      <c r="C2980">
        <v>2022</v>
      </c>
      <c r="D2980" t="s">
        <v>300</v>
      </c>
      <c r="E2980" t="s">
        <v>2744</v>
      </c>
      <c r="F2980">
        <v>280.58</v>
      </c>
      <c r="G2980" t="s">
        <v>302</v>
      </c>
      <c r="H2980">
        <v>3</v>
      </c>
      <c r="I2980" t="s">
        <v>4786</v>
      </c>
      <c r="J2980" t="s">
        <v>294</v>
      </c>
      <c r="M2980" t="s">
        <v>295</v>
      </c>
      <c r="N2980" t="s">
        <v>296</v>
      </c>
      <c r="O2980" t="s">
        <v>297</v>
      </c>
    </row>
    <row r="2981" spans="1:15" x14ac:dyDescent="0.3">
      <c r="A2981" t="s">
        <v>4718</v>
      </c>
      <c r="B2981" t="s">
        <v>4719</v>
      </c>
      <c r="C2981">
        <v>2022</v>
      </c>
      <c r="D2981" t="s">
        <v>300</v>
      </c>
      <c r="E2981" t="s">
        <v>2902</v>
      </c>
      <c r="F2981">
        <v>62.62</v>
      </c>
      <c r="G2981" t="s">
        <v>302</v>
      </c>
      <c r="H2981">
        <v>3</v>
      </c>
      <c r="I2981" t="s">
        <v>4787</v>
      </c>
      <c r="J2981" t="s">
        <v>294</v>
      </c>
      <c r="M2981" t="s">
        <v>295</v>
      </c>
      <c r="N2981" t="s">
        <v>296</v>
      </c>
      <c r="O2981" t="s">
        <v>297</v>
      </c>
    </row>
    <row r="2982" spans="1:15" x14ac:dyDescent="0.3">
      <c r="A2982" t="s">
        <v>4718</v>
      </c>
      <c r="B2982" t="s">
        <v>4719</v>
      </c>
      <c r="C2982">
        <v>2022</v>
      </c>
      <c r="D2982" t="s">
        <v>300</v>
      </c>
      <c r="E2982" t="s">
        <v>314</v>
      </c>
      <c r="F2982">
        <v>634.27</v>
      </c>
      <c r="G2982" t="s">
        <v>302</v>
      </c>
      <c r="H2982">
        <v>3</v>
      </c>
      <c r="I2982" t="s">
        <v>4788</v>
      </c>
      <c r="J2982" t="s">
        <v>294</v>
      </c>
      <c r="M2982" t="s">
        <v>295</v>
      </c>
      <c r="N2982" t="s">
        <v>296</v>
      </c>
      <c r="O2982" t="s">
        <v>297</v>
      </c>
    </row>
    <row r="2983" spans="1:15" x14ac:dyDescent="0.3">
      <c r="A2983" t="s">
        <v>4718</v>
      </c>
      <c r="B2983" t="s">
        <v>4719</v>
      </c>
      <c r="C2983">
        <v>2022</v>
      </c>
      <c r="D2983" t="s">
        <v>300</v>
      </c>
      <c r="E2983" t="s">
        <v>316</v>
      </c>
      <c r="F2983">
        <v>840.19</v>
      </c>
      <c r="G2983" t="s">
        <v>302</v>
      </c>
      <c r="H2983">
        <v>3</v>
      </c>
      <c r="I2983" t="s">
        <v>4789</v>
      </c>
      <c r="J2983" t="s">
        <v>294</v>
      </c>
      <c r="M2983" t="s">
        <v>295</v>
      </c>
      <c r="N2983" t="s">
        <v>296</v>
      </c>
      <c r="O2983" t="s">
        <v>297</v>
      </c>
    </row>
    <row r="2984" spans="1:15" x14ac:dyDescent="0.3">
      <c r="A2984" t="s">
        <v>4718</v>
      </c>
      <c r="B2984" t="s">
        <v>4719</v>
      </c>
      <c r="C2984">
        <v>2022</v>
      </c>
      <c r="D2984" t="s">
        <v>300</v>
      </c>
      <c r="E2984" t="s">
        <v>1227</v>
      </c>
      <c r="F2984">
        <v>240.91</v>
      </c>
      <c r="G2984" t="s">
        <v>302</v>
      </c>
      <c r="H2984">
        <v>4</v>
      </c>
      <c r="I2984" t="s">
        <v>4790</v>
      </c>
      <c r="J2984" t="s">
        <v>294</v>
      </c>
      <c r="M2984" t="s">
        <v>295</v>
      </c>
      <c r="N2984" t="s">
        <v>296</v>
      </c>
      <c r="O2984" t="s">
        <v>297</v>
      </c>
    </row>
    <row r="2985" spans="1:15" x14ac:dyDescent="0.3">
      <c r="A2985" t="s">
        <v>4718</v>
      </c>
      <c r="B2985" t="s">
        <v>4719</v>
      </c>
      <c r="C2985">
        <v>2022</v>
      </c>
      <c r="D2985" t="s">
        <v>300</v>
      </c>
      <c r="E2985" t="s">
        <v>599</v>
      </c>
      <c r="F2985">
        <v>15.15</v>
      </c>
      <c r="G2985" t="s">
        <v>302</v>
      </c>
      <c r="H2985">
        <v>4</v>
      </c>
      <c r="I2985" t="s">
        <v>4791</v>
      </c>
      <c r="J2985" t="s">
        <v>294</v>
      </c>
      <c r="M2985" t="s">
        <v>295</v>
      </c>
      <c r="N2985" t="s">
        <v>296</v>
      </c>
      <c r="O2985" t="s">
        <v>297</v>
      </c>
    </row>
    <row r="2986" spans="1:15" x14ac:dyDescent="0.3">
      <c r="A2986" t="s">
        <v>4718</v>
      </c>
      <c r="B2986" t="s">
        <v>4719</v>
      </c>
      <c r="C2986">
        <v>2022</v>
      </c>
      <c r="D2986" t="s">
        <v>300</v>
      </c>
      <c r="E2986" t="s">
        <v>4792</v>
      </c>
      <c r="F2986">
        <v>308.57</v>
      </c>
      <c r="G2986" t="s">
        <v>302</v>
      </c>
      <c r="H2986">
        <v>4</v>
      </c>
      <c r="I2986" t="s">
        <v>4793</v>
      </c>
      <c r="J2986" t="s">
        <v>294</v>
      </c>
      <c r="M2986" t="s">
        <v>295</v>
      </c>
      <c r="N2986" t="s">
        <v>296</v>
      </c>
      <c r="O2986" t="s">
        <v>297</v>
      </c>
    </row>
    <row r="2987" spans="1:15" x14ac:dyDescent="0.3">
      <c r="A2987" t="s">
        <v>4718</v>
      </c>
      <c r="B2987" t="s">
        <v>4719</v>
      </c>
      <c r="C2987">
        <v>2022</v>
      </c>
      <c r="D2987" t="s">
        <v>300</v>
      </c>
      <c r="E2987" t="s">
        <v>4794</v>
      </c>
      <c r="F2987">
        <v>59.1</v>
      </c>
      <c r="G2987" t="s">
        <v>302</v>
      </c>
      <c r="H2987">
        <v>4</v>
      </c>
      <c r="I2987" t="s">
        <v>4795</v>
      </c>
      <c r="J2987" t="s">
        <v>294</v>
      </c>
      <c r="M2987" t="s">
        <v>295</v>
      </c>
      <c r="N2987" t="s">
        <v>296</v>
      </c>
      <c r="O2987" t="s">
        <v>297</v>
      </c>
    </row>
    <row r="2988" spans="1:15" x14ac:dyDescent="0.3">
      <c r="A2988" t="s">
        <v>4718</v>
      </c>
      <c r="B2988" t="s">
        <v>4719</v>
      </c>
      <c r="C2988">
        <v>2022</v>
      </c>
      <c r="D2988" t="s">
        <v>300</v>
      </c>
      <c r="E2988" t="s">
        <v>4796</v>
      </c>
      <c r="F2988">
        <v>9.9</v>
      </c>
      <c r="G2988" t="s">
        <v>302</v>
      </c>
      <c r="H2988">
        <v>4</v>
      </c>
      <c r="I2988" t="s">
        <v>4797</v>
      </c>
      <c r="J2988" t="s">
        <v>294</v>
      </c>
      <c r="M2988" t="s">
        <v>295</v>
      </c>
      <c r="N2988" t="s">
        <v>296</v>
      </c>
      <c r="O2988" t="s">
        <v>297</v>
      </c>
    </row>
    <row r="2989" spans="1:15" x14ac:dyDescent="0.3">
      <c r="A2989" t="s">
        <v>4718</v>
      </c>
      <c r="B2989" t="s">
        <v>4719</v>
      </c>
      <c r="C2989">
        <v>2022</v>
      </c>
      <c r="D2989" t="s">
        <v>300</v>
      </c>
      <c r="E2989" t="s">
        <v>318</v>
      </c>
      <c r="F2989">
        <v>645.96</v>
      </c>
      <c r="G2989" t="s">
        <v>302</v>
      </c>
      <c r="H2989">
        <v>4</v>
      </c>
      <c r="I2989" t="s">
        <v>4798</v>
      </c>
      <c r="J2989" t="s">
        <v>294</v>
      </c>
      <c r="M2989" t="s">
        <v>295</v>
      </c>
      <c r="N2989" t="s">
        <v>296</v>
      </c>
      <c r="O2989" t="s">
        <v>297</v>
      </c>
    </row>
    <row r="2990" spans="1:15" x14ac:dyDescent="0.3">
      <c r="A2990" t="s">
        <v>4718</v>
      </c>
      <c r="B2990" t="s">
        <v>4719</v>
      </c>
      <c r="C2990">
        <v>2022</v>
      </c>
      <c r="D2990" t="s">
        <v>300</v>
      </c>
      <c r="E2990" t="s">
        <v>4799</v>
      </c>
      <c r="F2990">
        <v>107.89</v>
      </c>
      <c r="G2990" t="s">
        <v>302</v>
      </c>
      <c r="H2990">
        <v>4</v>
      </c>
      <c r="I2990" t="s">
        <v>4800</v>
      </c>
      <c r="J2990" t="s">
        <v>294</v>
      </c>
      <c r="M2990" t="s">
        <v>295</v>
      </c>
      <c r="N2990" t="s">
        <v>296</v>
      </c>
      <c r="O2990" t="s">
        <v>297</v>
      </c>
    </row>
    <row r="2991" spans="1:15" x14ac:dyDescent="0.3">
      <c r="A2991" t="s">
        <v>4718</v>
      </c>
      <c r="B2991" t="s">
        <v>4719</v>
      </c>
      <c r="C2991">
        <v>2022</v>
      </c>
      <c r="D2991" t="s">
        <v>300</v>
      </c>
      <c r="E2991" t="s">
        <v>4801</v>
      </c>
      <c r="F2991">
        <v>10.41</v>
      </c>
      <c r="G2991" t="s">
        <v>302</v>
      </c>
      <c r="H2991">
        <v>4</v>
      </c>
      <c r="I2991" t="s">
        <v>4802</v>
      </c>
      <c r="J2991" t="s">
        <v>294</v>
      </c>
      <c r="M2991" t="s">
        <v>295</v>
      </c>
      <c r="N2991" t="s">
        <v>296</v>
      </c>
      <c r="O2991" t="s">
        <v>297</v>
      </c>
    </row>
    <row r="2992" spans="1:15" x14ac:dyDescent="0.3">
      <c r="A2992" t="s">
        <v>4718</v>
      </c>
      <c r="B2992" t="s">
        <v>4719</v>
      </c>
      <c r="C2992">
        <v>2022</v>
      </c>
      <c r="D2992" t="s">
        <v>300</v>
      </c>
      <c r="E2992" t="s">
        <v>468</v>
      </c>
      <c r="F2992">
        <v>118.3</v>
      </c>
      <c r="G2992" t="s">
        <v>302</v>
      </c>
      <c r="H2992">
        <v>4</v>
      </c>
      <c r="I2992" t="s">
        <v>4803</v>
      </c>
      <c r="J2992" t="s">
        <v>294</v>
      </c>
      <c r="M2992" t="s">
        <v>295</v>
      </c>
      <c r="N2992" t="s">
        <v>296</v>
      </c>
      <c r="O2992" t="s">
        <v>297</v>
      </c>
    </row>
    <row r="2993" spans="1:15" x14ac:dyDescent="0.3">
      <c r="A2993" t="s">
        <v>4718</v>
      </c>
      <c r="B2993" t="s">
        <v>4719</v>
      </c>
      <c r="C2993">
        <v>2022</v>
      </c>
      <c r="D2993" t="s">
        <v>300</v>
      </c>
      <c r="E2993" t="s">
        <v>322</v>
      </c>
      <c r="F2993">
        <v>764.27</v>
      </c>
      <c r="G2993" t="s">
        <v>302</v>
      </c>
      <c r="H2993">
        <v>4</v>
      </c>
      <c r="I2993" t="s">
        <v>4804</v>
      </c>
      <c r="J2993" t="s">
        <v>294</v>
      </c>
      <c r="M2993" t="s">
        <v>295</v>
      </c>
      <c r="N2993" t="s">
        <v>296</v>
      </c>
      <c r="O2993" t="s">
        <v>297</v>
      </c>
    </row>
    <row r="2994" spans="1:15" x14ac:dyDescent="0.3">
      <c r="A2994" t="s">
        <v>4718</v>
      </c>
      <c r="B2994" t="s">
        <v>4719</v>
      </c>
      <c r="C2994">
        <v>2022</v>
      </c>
      <c r="D2994" t="s">
        <v>300</v>
      </c>
      <c r="E2994" t="s">
        <v>4805</v>
      </c>
      <c r="F2994">
        <v>900</v>
      </c>
      <c r="G2994" t="s">
        <v>302</v>
      </c>
      <c r="H2994">
        <v>5</v>
      </c>
      <c r="I2994" t="s">
        <v>4806</v>
      </c>
      <c r="J2994" t="s">
        <v>294</v>
      </c>
      <c r="M2994" t="s">
        <v>295</v>
      </c>
      <c r="N2994" t="s">
        <v>296</v>
      </c>
      <c r="O2994" t="s">
        <v>297</v>
      </c>
    </row>
    <row r="2995" spans="1:15" x14ac:dyDescent="0.3">
      <c r="A2995" t="s">
        <v>4718</v>
      </c>
      <c r="B2995" t="s">
        <v>4719</v>
      </c>
      <c r="C2995">
        <v>2022</v>
      </c>
      <c r="D2995" t="s">
        <v>300</v>
      </c>
      <c r="E2995" t="s">
        <v>1144</v>
      </c>
      <c r="F2995">
        <v>-14.39</v>
      </c>
      <c r="G2995" t="s">
        <v>302</v>
      </c>
      <c r="H2995">
        <v>5</v>
      </c>
      <c r="I2995" t="s">
        <v>4807</v>
      </c>
      <c r="J2995" t="s">
        <v>294</v>
      </c>
      <c r="M2995" t="s">
        <v>295</v>
      </c>
      <c r="N2995" t="s">
        <v>296</v>
      </c>
      <c r="O2995" t="s">
        <v>297</v>
      </c>
    </row>
    <row r="2996" spans="1:15" x14ac:dyDescent="0.3">
      <c r="A2996" t="s">
        <v>4718</v>
      </c>
      <c r="B2996" t="s">
        <v>4719</v>
      </c>
      <c r="C2996">
        <v>2022</v>
      </c>
      <c r="D2996" t="s">
        <v>300</v>
      </c>
      <c r="E2996" t="s">
        <v>2925</v>
      </c>
      <c r="F2996">
        <v>-812.01</v>
      </c>
      <c r="G2996" t="s">
        <v>302</v>
      </c>
      <c r="H2996">
        <v>5</v>
      </c>
      <c r="I2996" t="s">
        <v>4808</v>
      </c>
      <c r="J2996" t="s">
        <v>294</v>
      </c>
      <c r="M2996" t="s">
        <v>295</v>
      </c>
      <c r="N2996" t="s">
        <v>296</v>
      </c>
      <c r="O2996" t="s">
        <v>297</v>
      </c>
    </row>
    <row r="2997" spans="1:15" x14ac:dyDescent="0.3">
      <c r="A2997" t="s">
        <v>4718</v>
      </c>
      <c r="B2997" t="s">
        <v>4719</v>
      </c>
      <c r="C2997">
        <v>2022</v>
      </c>
      <c r="D2997" t="s">
        <v>300</v>
      </c>
      <c r="E2997" t="s">
        <v>4809</v>
      </c>
      <c r="F2997">
        <v>73.599999999999994</v>
      </c>
      <c r="G2997" t="s">
        <v>302</v>
      </c>
      <c r="H2997">
        <v>5</v>
      </c>
      <c r="I2997" t="s">
        <v>4810</v>
      </c>
      <c r="J2997" t="s">
        <v>294</v>
      </c>
      <c r="M2997" t="s">
        <v>295</v>
      </c>
      <c r="N2997" t="s">
        <v>296</v>
      </c>
      <c r="O2997" t="s">
        <v>297</v>
      </c>
    </row>
    <row r="2998" spans="1:15" x14ac:dyDescent="0.3">
      <c r="A2998" t="s">
        <v>4718</v>
      </c>
      <c r="B2998" t="s">
        <v>4719</v>
      </c>
      <c r="C2998">
        <v>2022</v>
      </c>
      <c r="D2998" t="s">
        <v>300</v>
      </c>
      <c r="E2998" t="s">
        <v>4811</v>
      </c>
      <c r="F2998">
        <v>2.3199999999999998</v>
      </c>
      <c r="G2998" t="s">
        <v>302</v>
      </c>
      <c r="H2998">
        <v>5</v>
      </c>
      <c r="I2998" t="s">
        <v>4812</v>
      </c>
      <c r="J2998" t="s">
        <v>294</v>
      </c>
      <c r="M2998" t="s">
        <v>295</v>
      </c>
      <c r="N2998" t="s">
        <v>296</v>
      </c>
      <c r="O2998" t="s">
        <v>297</v>
      </c>
    </row>
    <row r="2999" spans="1:15" x14ac:dyDescent="0.3">
      <c r="A2999" t="s">
        <v>4718</v>
      </c>
      <c r="B2999" t="s">
        <v>4719</v>
      </c>
      <c r="C2999">
        <v>2022</v>
      </c>
      <c r="D2999" t="s">
        <v>300</v>
      </c>
      <c r="E2999" t="s">
        <v>324</v>
      </c>
      <c r="F2999">
        <v>75.92</v>
      </c>
      <c r="G2999" t="s">
        <v>302</v>
      </c>
      <c r="H2999">
        <v>5</v>
      </c>
      <c r="I2999" t="s">
        <v>4813</v>
      </c>
      <c r="J2999" t="s">
        <v>294</v>
      </c>
      <c r="M2999" t="s">
        <v>295</v>
      </c>
      <c r="N2999" t="s">
        <v>296</v>
      </c>
      <c r="O2999" t="s">
        <v>297</v>
      </c>
    </row>
    <row r="3000" spans="1:15" x14ac:dyDescent="0.3">
      <c r="A3000" t="s">
        <v>4718</v>
      </c>
      <c r="B3000" t="s">
        <v>4719</v>
      </c>
      <c r="C3000">
        <v>2022</v>
      </c>
      <c r="D3000" t="s">
        <v>300</v>
      </c>
      <c r="E3000" t="s">
        <v>4814</v>
      </c>
      <c r="F3000">
        <v>1.62</v>
      </c>
      <c r="G3000" t="s">
        <v>302</v>
      </c>
      <c r="H3000">
        <v>8</v>
      </c>
      <c r="I3000" t="s">
        <v>4815</v>
      </c>
      <c r="J3000" t="s">
        <v>294</v>
      </c>
      <c r="M3000" t="s">
        <v>295</v>
      </c>
      <c r="N3000" t="s">
        <v>296</v>
      </c>
      <c r="O3000" t="s">
        <v>297</v>
      </c>
    </row>
    <row r="3001" spans="1:15" x14ac:dyDescent="0.3">
      <c r="A3001" t="s">
        <v>4718</v>
      </c>
      <c r="B3001" t="s">
        <v>4719</v>
      </c>
      <c r="C3001">
        <v>2022</v>
      </c>
      <c r="D3001" t="s">
        <v>300</v>
      </c>
      <c r="E3001" t="s">
        <v>4816</v>
      </c>
      <c r="F3001">
        <v>0</v>
      </c>
      <c r="G3001" t="s">
        <v>302</v>
      </c>
      <c r="H3001">
        <v>8</v>
      </c>
      <c r="I3001" t="s">
        <v>4817</v>
      </c>
      <c r="J3001" t="s">
        <v>294</v>
      </c>
      <c r="M3001" t="s">
        <v>295</v>
      </c>
      <c r="N3001" t="s">
        <v>296</v>
      </c>
      <c r="O3001" t="s">
        <v>297</v>
      </c>
    </row>
    <row r="3002" spans="1:15" x14ac:dyDescent="0.3">
      <c r="A3002" t="s">
        <v>4718</v>
      </c>
      <c r="B3002" t="s">
        <v>4719</v>
      </c>
      <c r="C3002">
        <v>2022</v>
      </c>
      <c r="D3002" t="s">
        <v>300</v>
      </c>
      <c r="E3002" t="s">
        <v>4818</v>
      </c>
      <c r="F3002">
        <v>-2.2000000000000002</v>
      </c>
      <c r="G3002" t="s">
        <v>302</v>
      </c>
      <c r="H3002">
        <v>8</v>
      </c>
      <c r="I3002" t="s">
        <v>4819</v>
      </c>
      <c r="J3002" t="s">
        <v>294</v>
      </c>
      <c r="M3002" t="s">
        <v>295</v>
      </c>
      <c r="N3002" t="s">
        <v>296</v>
      </c>
      <c r="O3002" t="s">
        <v>297</v>
      </c>
    </row>
    <row r="3003" spans="1:15" x14ac:dyDescent="0.3">
      <c r="A3003" t="s">
        <v>4718</v>
      </c>
      <c r="B3003" t="s">
        <v>4719</v>
      </c>
      <c r="C3003">
        <v>2022</v>
      </c>
      <c r="D3003" t="s">
        <v>300</v>
      </c>
      <c r="E3003" t="s">
        <v>4820</v>
      </c>
      <c r="F3003">
        <v>1.35</v>
      </c>
      <c r="G3003" t="s">
        <v>302</v>
      </c>
      <c r="H3003">
        <v>43</v>
      </c>
      <c r="I3003" t="s">
        <v>4821</v>
      </c>
      <c r="J3003" t="s">
        <v>294</v>
      </c>
      <c r="M3003" t="s">
        <v>295</v>
      </c>
      <c r="N3003" t="s">
        <v>296</v>
      </c>
      <c r="O3003" t="s">
        <v>297</v>
      </c>
    </row>
    <row r="3004" spans="1:15" x14ac:dyDescent="0.3">
      <c r="A3004" t="s">
        <v>4718</v>
      </c>
      <c r="B3004" t="s">
        <v>4719</v>
      </c>
      <c r="C3004">
        <v>2022</v>
      </c>
      <c r="D3004" t="s">
        <v>358</v>
      </c>
      <c r="E3004" t="s">
        <v>4822</v>
      </c>
      <c r="F3004">
        <v>108.19</v>
      </c>
      <c r="G3004" t="s">
        <v>302</v>
      </c>
      <c r="H3004">
        <v>43</v>
      </c>
      <c r="I3004" t="s">
        <v>4823</v>
      </c>
      <c r="J3004" t="s">
        <v>294</v>
      </c>
      <c r="M3004" t="s">
        <v>295</v>
      </c>
      <c r="N3004" t="s">
        <v>296</v>
      </c>
      <c r="O3004" t="s">
        <v>297</v>
      </c>
    </row>
    <row r="3005" spans="1:15" x14ac:dyDescent="0.3">
      <c r="A3005" t="s">
        <v>4718</v>
      </c>
      <c r="B3005" t="s">
        <v>4719</v>
      </c>
      <c r="C3005">
        <v>2022</v>
      </c>
      <c r="D3005" t="s">
        <v>358</v>
      </c>
      <c r="E3005" t="s">
        <v>4824</v>
      </c>
      <c r="F3005">
        <v>197.89</v>
      </c>
      <c r="G3005" t="s">
        <v>302</v>
      </c>
      <c r="H3005">
        <v>43</v>
      </c>
      <c r="I3005" t="s">
        <v>4825</v>
      </c>
      <c r="J3005" t="s">
        <v>294</v>
      </c>
      <c r="M3005" t="s">
        <v>295</v>
      </c>
      <c r="N3005" t="s">
        <v>296</v>
      </c>
      <c r="O3005" t="s">
        <v>297</v>
      </c>
    </row>
    <row r="3006" spans="1:15" x14ac:dyDescent="0.3">
      <c r="A3006" t="s">
        <v>4718</v>
      </c>
      <c r="B3006" t="s">
        <v>4719</v>
      </c>
      <c r="C3006">
        <v>2022</v>
      </c>
      <c r="D3006" t="s">
        <v>358</v>
      </c>
      <c r="E3006" t="s">
        <v>4826</v>
      </c>
      <c r="F3006">
        <v>42.52</v>
      </c>
      <c r="G3006" t="s">
        <v>302</v>
      </c>
      <c r="H3006">
        <v>43</v>
      </c>
      <c r="I3006" t="s">
        <v>4827</v>
      </c>
      <c r="J3006" t="s">
        <v>294</v>
      </c>
      <c r="M3006" t="s">
        <v>295</v>
      </c>
      <c r="N3006" t="s">
        <v>296</v>
      </c>
      <c r="O3006" t="s">
        <v>297</v>
      </c>
    </row>
    <row r="3007" spans="1:15" x14ac:dyDescent="0.3">
      <c r="A3007" t="s">
        <v>4718</v>
      </c>
      <c r="B3007" t="s">
        <v>4719</v>
      </c>
      <c r="C3007">
        <v>2022</v>
      </c>
      <c r="D3007" t="s">
        <v>358</v>
      </c>
      <c r="E3007" t="s">
        <v>236</v>
      </c>
      <c r="F3007">
        <v>133.75</v>
      </c>
      <c r="G3007" t="s">
        <v>302</v>
      </c>
      <c r="H3007">
        <v>45</v>
      </c>
      <c r="I3007" t="s">
        <v>4828</v>
      </c>
      <c r="J3007" t="s">
        <v>294</v>
      </c>
      <c r="M3007" t="s">
        <v>295</v>
      </c>
      <c r="N3007" t="s">
        <v>296</v>
      </c>
      <c r="O3007" t="s">
        <v>297</v>
      </c>
    </row>
    <row r="3008" spans="1:15" x14ac:dyDescent="0.3">
      <c r="A3008" t="s">
        <v>4718</v>
      </c>
      <c r="B3008" t="s">
        <v>4719</v>
      </c>
      <c r="C3008">
        <v>2022</v>
      </c>
      <c r="D3008" t="s">
        <v>358</v>
      </c>
      <c r="E3008" t="s">
        <v>4829</v>
      </c>
      <c r="F3008">
        <v>2951</v>
      </c>
      <c r="G3008" t="s">
        <v>4830</v>
      </c>
      <c r="H3008">
        <v>42</v>
      </c>
      <c r="I3008" t="s">
        <v>4831</v>
      </c>
      <c r="J3008" t="s">
        <v>456</v>
      </c>
      <c r="M3008" t="s">
        <v>295</v>
      </c>
      <c r="N3008" t="s">
        <v>296</v>
      </c>
      <c r="O3008" t="s">
        <v>297</v>
      </c>
    </row>
    <row r="3009" spans="1:15" x14ac:dyDescent="0.3">
      <c r="A3009" t="s">
        <v>4718</v>
      </c>
      <c r="B3009" t="s">
        <v>4719</v>
      </c>
      <c r="C3009">
        <v>2022</v>
      </c>
      <c r="D3009" t="s">
        <v>358</v>
      </c>
      <c r="E3009" t="s">
        <v>4832</v>
      </c>
      <c r="F3009">
        <v>170.87</v>
      </c>
      <c r="G3009" t="s">
        <v>302</v>
      </c>
      <c r="H3009">
        <v>43</v>
      </c>
      <c r="I3009" t="s">
        <v>4833</v>
      </c>
      <c r="J3009" t="s">
        <v>294</v>
      </c>
      <c r="M3009" t="s">
        <v>295</v>
      </c>
      <c r="N3009" t="s">
        <v>296</v>
      </c>
      <c r="O3009" t="s">
        <v>297</v>
      </c>
    </row>
    <row r="3010" spans="1:15" x14ac:dyDescent="0.3">
      <c r="A3010" t="s">
        <v>4718</v>
      </c>
      <c r="B3010" t="s">
        <v>4719</v>
      </c>
      <c r="C3010">
        <v>2022</v>
      </c>
      <c r="D3010" t="s">
        <v>563</v>
      </c>
      <c r="E3010" t="s">
        <v>4834</v>
      </c>
      <c r="F3010" t="s">
        <v>4835</v>
      </c>
      <c r="G3010" t="s">
        <v>292</v>
      </c>
      <c r="H3010">
        <v>44</v>
      </c>
      <c r="I3010" t="s">
        <v>4836</v>
      </c>
      <c r="J3010" t="s">
        <v>294</v>
      </c>
      <c r="M3010" t="s">
        <v>295</v>
      </c>
      <c r="N3010" t="s">
        <v>296</v>
      </c>
      <c r="O3010" t="s">
        <v>297</v>
      </c>
    </row>
    <row r="3011" spans="1:15" x14ac:dyDescent="0.3">
      <c r="A3011" t="s">
        <v>4718</v>
      </c>
      <c r="B3011" t="s">
        <v>4719</v>
      </c>
      <c r="C3011">
        <v>2022</v>
      </c>
      <c r="D3011" t="s">
        <v>252</v>
      </c>
      <c r="E3011" t="s">
        <v>4837</v>
      </c>
      <c r="F3011" t="s">
        <v>4838</v>
      </c>
      <c r="G3011" t="s">
        <v>292</v>
      </c>
      <c r="H3011">
        <v>1</v>
      </c>
      <c r="I3011" t="s">
        <v>4839</v>
      </c>
      <c r="J3011" t="s">
        <v>294</v>
      </c>
      <c r="M3011" t="s">
        <v>295</v>
      </c>
      <c r="N3011" t="s">
        <v>296</v>
      </c>
      <c r="O3011" t="s">
        <v>297</v>
      </c>
    </row>
    <row r="3012" spans="1:15" x14ac:dyDescent="0.3">
      <c r="A3012" t="s">
        <v>4840</v>
      </c>
      <c r="B3012" t="s">
        <v>4841</v>
      </c>
      <c r="C3012">
        <v>2022</v>
      </c>
      <c r="D3012" t="s">
        <v>272</v>
      </c>
      <c r="E3012" t="s">
        <v>291</v>
      </c>
      <c r="F3012" t="s">
        <v>4840</v>
      </c>
      <c r="G3012" t="s">
        <v>292</v>
      </c>
      <c r="H3012">
        <v>1</v>
      </c>
      <c r="I3012" t="s">
        <v>4842</v>
      </c>
      <c r="J3012" t="s">
        <v>294</v>
      </c>
      <c r="M3012" t="s">
        <v>295</v>
      </c>
      <c r="N3012" t="s">
        <v>296</v>
      </c>
      <c r="O3012" t="s">
        <v>297</v>
      </c>
    </row>
    <row r="3013" spans="1:15" x14ac:dyDescent="0.3">
      <c r="A3013" t="s">
        <v>4840</v>
      </c>
      <c r="B3013" t="s">
        <v>4841</v>
      </c>
      <c r="C3013">
        <v>2022</v>
      </c>
      <c r="D3013" t="s">
        <v>272</v>
      </c>
      <c r="E3013" t="s">
        <v>1</v>
      </c>
      <c r="F3013" t="s">
        <v>19</v>
      </c>
      <c r="G3013" t="s">
        <v>292</v>
      </c>
      <c r="H3013">
        <v>1</v>
      </c>
      <c r="I3013" t="s">
        <v>4843</v>
      </c>
      <c r="J3013" t="s">
        <v>294</v>
      </c>
      <c r="M3013" t="s">
        <v>295</v>
      </c>
      <c r="N3013" t="s">
        <v>296</v>
      </c>
      <c r="O3013" t="s">
        <v>297</v>
      </c>
    </row>
    <row r="3014" spans="1:15" x14ac:dyDescent="0.3">
      <c r="A3014" t="s">
        <v>4840</v>
      </c>
      <c r="B3014" t="s">
        <v>4841</v>
      </c>
      <c r="C3014">
        <v>2022</v>
      </c>
      <c r="D3014" t="s">
        <v>272</v>
      </c>
      <c r="E3014" t="s">
        <v>4724</v>
      </c>
      <c r="F3014" t="s">
        <v>4844</v>
      </c>
      <c r="G3014" t="s">
        <v>292</v>
      </c>
      <c r="H3014">
        <v>1</v>
      </c>
      <c r="I3014" t="s">
        <v>4845</v>
      </c>
      <c r="J3014" t="s">
        <v>294</v>
      </c>
      <c r="M3014" t="s">
        <v>295</v>
      </c>
      <c r="N3014" t="s">
        <v>296</v>
      </c>
      <c r="O3014" t="s">
        <v>297</v>
      </c>
    </row>
    <row r="3015" spans="1:15" x14ac:dyDescent="0.3">
      <c r="A3015" t="s">
        <v>4840</v>
      </c>
      <c r="B3015" t="s">
        <v>4841</v>
      </c>
      <c r="C3015">
        <v>2022</v>
      </c>
      <c r="D3015" t="s">
        <v>272</v>
      </c>
      <c r="E3015" t="s">
        <v>442</v>
      </c>
      <c r="F3015" t="s">
        <v>4846</v>
      </c>
      <c r="G3015" t="s">
        <v>334</v>
      </c>
      <c r="H3015">
        <v>42</v>
      </c>
      <c r="I3015" t="s">
        <v>4847</v>
      </c>
      <c r="J3015" t="s">
        <v>294</v>
      </c>
      <c r="M3015" t="s">
        <v>295</v>
      </c>
      <c r="N3015" t="s">
        <v>296</v>
      </c>
      <c r="O3015" t="s">
        <v>297</v>
      </c>
    </row>
    <row r="3016" spans="1:15" x14ac:dyDescent="0.3">
      <c r="A3016" t="s">
        <v>4840</v>
      </c>
      <c r="B3016" t="s">
        <v>4841</v>
      </c>
      <c r="C3016">
        <v>2022</v>
      </c>
      <c r="D3016" t="s">
        <v>272</v>
      </c>
      <c r="E3016" t="s">
        <v>3134</v>
      </c>
      <c r="F3016" t="s">
        <v>4848</v>
      </c>
      <c r="G3016" t="s">
        <v>334</v>
      </c>
      <c r="H3016">
        <v>42</v>
      </c>
      <c r="I3016" t="s">
        <v>4849</v>
      </c>
      <c r="J3016" t="s">
        <v>294</v>
      </c>
      <c r="M3016" t="s">
        <v>295</v>
      </c>
      <c r="N3016" t="s">
        <v>296</v>
      </c>
      <c r="O3016" t="s">
        <v>297</v>
      </c>
    </row>
    <row r="3017" spans="1:15" x14ac:dyDescent="0.3">
      <c r="A3017" t="s">
        <v>4840</v>
      </c>
      <c r="B3017" t="s">
        <v>4841</v>
      </c>
      <c r="C3017">
        <v>2022</v>
      </c>
      <c r="D3017" t="s">
        <v>272</v>
      </c>
      <c r="E3017" t="s">
        <v>445</v>
      </c>
      <c r="F3017">
        <v>0.2036</v>
      </c>
      <c r="G3017" t="s">
        <v>334</v>
      </c>
      <c r="H3017">
        <v>42</v>
      </c>
      <c r="I3017" t="s">
        <v>4850</v>
      </c>
      <c r="J3017" t="s">
        <v>294</v>
      </c>
      <c r="M3017" t="s">
        <v>295</v>
      </c>
      <c r="N3017" t="s">
        <v>296</v>
      </c>
      <c r="O3017" t="s">
        <v>297</v>
      </c>
    </row>
    <row r="3018" spans="1:15" x14ac:dyDescent="0.3">
      <c r="A3018" t="s">
        <v>4840</v>
      </c>
      <c r="B3018" t="s">
        <v>4841</v>
      </c>
      <c r="C3018">
        <v>2022</v>
      </c>
      <c r="D3018" t="s">
        <v>272</v>
      </c>
      <c r="E3018" t="s">
        <v>4851</v>
      </c>
      <c r="F3018" t="s">
        <v>4852</v>
      </c>
      <c r="G3018" t="s">
        <v>292</v>
      </c>
      <c r="H3018">
        <v>44</v>
      </c>
      <c r="I3018" t="s">
        <v>4853</v>
      </c>
      <c r="J3018" t="s">
        <v>294</v>
      </c>
      <c r="M3018" t="s">
        <v>295</v>
      </c>
      <c r="N3018" t="s">
        <v>296</v>
      </c>
      <c r="O3018" t="s">
        <v>297</v>
      </c>
    </row>
    <row r="3019" spans="1:15" x14ac:dyDescent="0.3">
      <c r="A3019" t="s">
        <v>4840</v>
      </c>
      <c r="B3019" t="s">
        <v>4841</v>
      </c>
      <c r="C3019">
        <v>2022</v>
      </c>
      <c r="D3019" t="s">
        <v>300</v>
      </c>
      <c r="E3019" t="s">
        <v>301</v>
      </c>
      <c r="F3019">
        <v>7505.7</v>
      </c>
      <c r="G3019" t="s">
        <v>302</v>
      </c>
      <c r="H3019">
        <v>61</v>
      </c>
      <c r="I3019" t="s">
        <v>4854</v>
      </c>
      <c r="J3019" t="s">
        <v>294</v>
      </c>
      <c r="M3019" t="s">
        <v>295</v>
      </c>
      <c r="N3019" t="s">
        <v>296</v>
      </c>
      <c r="O3019" t="s">
        <v>297</v>
      </c>
    </row>
    <row r="3020" spans="1:15" x14ac:dyDescent="0.3">
      <c r="A3020" t="s">
        <v>4840</v>
      </c>
      <c r="B3020" t="s">
        <v>4841</v>
      </c>
      <c r="C3020">
        <v>2022</v>
      </c>
      <c r="D3020" t="s">
        <v>300</v>
      </c>
      <c r="E3020" t="s">
        <v>450</v>
      </c>
      <c r="F3020">
        <v>6777.09</v>
      </c>
      <c r="G3020" t="s">
        <v>302</v>
      </c>
      <c r="H3020">
        <v>61</v>
      </c>
      <c r="I3020" t="s">
        <v>4855</v>
      </c>
      <c r="J3020" t="s">
        <v>294</v>
      </c>
      <c r="M3020" t="s">
        <v>295</v>
      </c>
      <c r="N3020" t="s">
        <v>296</v>
      </c>
      <c r="O3020" t="s">
        <v>297</v>
      </c>
    </row>
    <row r="3021" spans="1:15" x14ac:dyDescent="0.3">
      <c r="A3021" t="s">
        <v>4840</v>
      </c>
      <c r="B3021" t="s">
        <v>4841</v>
      </c>
      <c r="C3021">
        <v>2022</v>
      </c>
      <c r="D3021" t="s">
        <v>300</v>
      </c>
      <c r="E3021" t="s">
        <v>304</v>
      </c>
      <c r="F3021">
        <v>728.61</v>
      </c>
      <c r="G3021" t="s">
        <v>302</v>
      </c>
      <c r="H3021">
        <v>251</v>
      </c>
      <c r="I3021" t="s">
        <v>4856</v>
      </c>
      <c r="J3021" t="s">
        <v>294</v>
      </c>
      <c r="M3021" t="s">
        <v>295</v>
      </c>
      <c r="N3021" t="s">
        <v>296</v>
      </c>
      <c r="O3021" t="s">
        <v>297</v>
      </c>
    </row>
    <row r="3022" spans="1:15" x14ac:dyDescent="0.3">
      <c r="A3022" t="s">
        <v>4840</v>
      </c>
      <c r="B3022" t="s">
        <v>4841</v>
      </c>
      <c r="C3022">
        <v>2022</v>
      </c>
      <c r="D3022" t="s">
        <v>300</v>
      </c>
      <c r="E3022" t="s">
        <v>1112</v>
      </c>
      <c r="F3022">
        <v>100.54</v>
      </c>
      <c r="G3022" t="s">
        <v>302</v>
      </c>
      <c r="H3022">
        <v>251</v>
      </c>
      <c r="I3022" t="s">
        <v>4857</v>
      </c>
      <c r="J3022" t="s">
        <v>294</v>
      </c>
      <c r="M3022" t="s">
        <v>295</v>
      </c>
      <c r="N3022" t="s">
        <v>296</v>
      </c>
      <c r="O3022" t="s">
        <v>297</v>
      </c>
    </row>
    <row r="3023" spans="1:15" x14ac:dyDescent="0.3">
      <c r="A3023" t="s">
        <v>4840</v>
      </c>
      <c r="B3023" t="s">
        <v>4841</v>
      </c>
      <c r="C3023">
        <v>2022</v>
      </c>
      <c r="D3023" t="s">
        <v>300</v>
      </c>
      <c r="E3023" t="s">
        <v>1216</v>
      </c>
      <c r="F3023">
        <v>95.6</v>
      </c>
      <c r="G3023" t="s">
        <v>302</v>
      </c>
      <c r="H3023">
        <v>251</v>
      </c>
      <c r="I3023" t="s">
        <v>4858</v>
      </c>
      <c r="J3023" t="s">
        <v>294</v>
      </c>
      <c r="M3023" t="s">
        <v>295</v>
      </c>
      <c r="N3023" t="s">
        <v>296</v>
      </c>
      <c r="O3023" t="s">
        <v>297</v>
      </c>
    </row>
    <row r="3024" spans="1:15" x14ac:dyDescent="0.3">
      <c r="A3024" t="s">
        <v>4840</v>
      </c>
      <c r="B3024" t="s">
        <v>4841</v>
      </c>
      <c r="C3024">
        <v>2022</v>
      </c>
      <c r="D3024" t="s">
        <v>300</v>
      </c>
      <c r="E3024" t="s">
        <v>695</v>
      </c>
      <c r="F3024">
        <v>-6.62</v>
      </c>
      <c r="G3024" t="s">
        <v>302</v>
      </c>
      <c r="H3024">
        <v>251</v>
      </c>
      <c r="I3024" t="s">
        <v>4859</v>
      </c>
      <c r="J3024" t="s">
        <v>294</v>
      </c>
      <c r="M3024" t="s">
        <v>295</v>
      </c>
      <c r="N3024" t="s">
        <v>296</v>
      </c>
      <c r="O3024" t="s">
        <v>297</v>
      </c>
    </row>
    <row r="3025" spans="1:15" x14ac:dyDescent="0.3">
      <c r="A3025" t="s">
        <v>4840</v>
      </c>
      <c r="B3025" t="s">
        <v>4841</v>
      </c>
      <c r="C3025">
        <v>2022</v>
      </c>
      <c r="D3025" t="s">
        <v>300</v>
      </c>
      <c r="E3025" t="s">
        <v>767</v>
      </c>
      <c r="F3025">
        <v>-34.79</v>
      </c>
      <c r="G3025" t="s">
        <v>302</v>
      </c>
      <c r="H3025">
        <v>251</v>
      </c>
      <c r="I3025" t="s">
        <v>4860</v>
      </c>
      <c r="J3025" t="s">
        <v>294</v>
      </c>
      <c r="M3025" t="s">
        <v>295</v>
      </c>
      <c r="N3025" t="s">
        <v>296</v>
      </c>
      <c r="O3025" t="s">
        <v>297</v>
      </c>
    </row>
    <row r="3026" spans="1:15" x14ac:dyDescent="0.3">
      <c r="A3026" t="s">
        <v>4840</v>
      </c>
      <c r="B3026" t="s">
        <v>4841</v>
      </c>
      <c r="C3026">
        <v>2022</v>
      </c>
      <c r="D3026" t="s">
        <v>300</v>
      </c>
      <c r="E3026" t="s">
        <v>2882</v>
      </c>
      <c r="F3026">
        <v>-20.100000000000001</v>
      </c>
      <c r="G3026" t="s">
        <v>302</v>
      </c>
      <c r="H3026">
        <v>8</v>
      </c>
      <c r="I3026" t="s">
        <v>4861</v>
      </c>
      <c r="J3026" t="s">
        <v>294</v>
      </c>
      <c r="M3026" t="s">
        <v>295</v>
      </c>
      <c r="N3026" t="s">
        <v>296</v>
      </c>
      <c r="O3026" t="s">
        <v>297</v>
      </c>
    </row>
    <row r="3027" spans="1:15" x14ac:dyDescent="0.3">
      <c r="A3027" t="s">
        <v>4840</v>
      </c>
      <c r="B3027" t="s">
        <v>4841</v>
      </c>
      <c r="C3027">
        <v>2022</v>
      </c>
      <c r="D3027" t="s">
        <v>300</v>
      </c>
      <c r="E3027" t="s">
        <v>4862</v>
      </c>
      <c r="F3027">
        <v>-14.69</v>
      </c>
      <c r="G3027" t="s">
        <v>302</v>
      </c>
      <c r="H3027">
        <v>8</v>
      </c>
      <c r="I3027" t="s">
        <v>4863</v>
      </c>
      <c r="J3027" t="s">
        <v>294</v>
      </c>
      <c r="M3027" t="s">
        <v>295</v>
      </c>
      <c r="N3027" t="s">
        <v>296</v>
      </c>
      <c r="O3027" t="s">
        <v>297</v>
      </c>
    </row>
    <row r="3028" spans="1:15" x14ac:dyDescent="0.3">
      <c r="A3028" t="s">
        <v>4840</v>
      </c>
      <c r="B3028" t="s">
        <v>4841</v>
      </c>
      <c r="C3028">
        <v>2022</v>
      </c>
      <c r="D3028" t="s">
        <v>300</v>
      </c>
      <c r="E3028" t="s">
        <v>769</v>
      </c>
      <c r="F3028">
        <v>-28.73</v>
      </c>
      <c r="G3028" t="s">
        <v>302</v>
      </c>
      <c r="H3028">
        <v>8</v>
      </c>
      <c r="I3028" t="s">
        <v>4864</v>
      </c>
      <c r="J3028" t="s">
        <v>294</v>
      </c>
      <c r="M3028" t="s">
        <v>295</v>
      </c>
      <c r="N3028" t="s">
        <v>296</v>
      </c>
      <c r="O3028" t="s">
        <v>297</v>
      </c>
    </row>
    <row r="3029" spans="1:15" x14ac:dyDescent="0.3">
      <c r="A3029" t="s">
        <v>4840</v>
      </c>
      <c r="B3029" t="s">
        <v>4841</v>
      </c>
      <c r="C3029">
        <v>2022</v>
      </c>
      <c r="D3029" t="s">
        <v>300</v>
      </c>
      <c r="E3029" t="s">
        <v>316</v>
      </c>
      <c r="F3029">
        <v>2561.66</v>
      </c>
      <c r="G3029" t="s">
        <v>302</v>
      </c>
      <c r="H3029">
        <v>61</v>
      </c>
      <c r="I3029" t="s">
        <v>4865</v>
      </c>
      <c r="J3029" t="s">
        <v>294</v>
      </c>
      <c r="M3029" t="s">
        <v>295</v>
      </c>
      <c r="N3029" t="s">
        <v>296</v>
      </c>
      <c r="O3029" t="s">
        <v>297</v>
      </c>
    </row>
    <row r="3030" spans="1:15" x14ac:dyDescent="0.3">
      <c r="A3030" t="s">
        <v>4840</v>
      </c>
      <c r="B3030" t="s">
        <v>4841</v>
      </c>
      <c r="C3030">
        <v>2022</v>
      </c>
      <c r="D3030" t="s">
        <v>300</v>
      </c>
      <c r="E3030" t="s">
        <v>312</v>
      </c>
      <c r="F3030">
        <v>1429.23</v>
      </c>
      <c r="G3030" t="s">
        <v>302</v>
      </c>
      <c r="H3030">
        <v>61</v>
      </c>
      <c r="I3030" t="s">
        <v>4866</v>
      </c>
      <c r="J3030" t="s">
        <v>294</v>
      </c>
      <c r="M3030" t="s">
        <v>295</v>
      </c>
      <c r="N3030" t="s">
        <v>296</v>
      </c>
      <c r="O3030" t="s">
        <v>297</v>
      </c>
    </row>
    <row r="3031" spans="1:15" x14ac:dyDescent="0.3">
      <c r="A3031" t="s">
        <v>4840</v>
      </c>
      <c r="B3031" t="s">
        <v>4841</v>
      </c>
      <c r="C3031">
        <v>2022</v>
      </c>
      <c r="D3031" t="s">
        <v>300</v>
      </c>
      <c r="E3031" t="s">
        <v>314</v>
      </c>
      <c r="F3031">
        <v>1132.43</v>
      </c>
      <c r="G3031" t="s">
        <v>302</v>
      </c>
      <c r="H3031">
        <v>61</v>
      </c>
      <c r="I3031" t="s">
        <v>4867</v>
      </c>
      <c r="J3031" t="s">
        <v>294</v>
      </c>
      <c r="M3031" t="s">
        <v>295</v>
      </c>
      <c r="N3031" t="s">
        <v>296</v>
      </c>
      <c r="O3031" t="s">
        <v>297</v>
      </c>
    </row>
    <row r="3032" spans="1:15" x14ac:dyDescent="0.3">
      <c r="A3032" t="s">
        <v>4840</v>
      </c>
      <c r="B3032" t="s">
        <v>4841</v>
      </c>
      <c r="C3032">
        <v>2022</v>
      </c>
      <c r="D3032" t="s">
        <v>300</v>
      </c>
      <c r="E3032" t="s">
        <v>322</v>
      </c>
      <c r="F3032">
        <v>1916.29</v>
      </c>
      <c r="G3032" t="s">
        <v>302</v>
      </c>
      <c r="H3032">
        <v>61</v>
      </c>
      <c r="I3032" t="s">
        <v>4868</v>
      </c>
      <c r="J3032" t="s">
        <v>294</v>
      </c>
      <c r="M3032" t="s">
        <v>295</v>
      </c>
      <c r="N3032" t="s">
        <v>296</v>
      </c>
      <c r="O3032" t="s">
        <v>297</v>
      </c>
    </row>
    <row r="3033" spans="1:15" x14ac:dyDescent="0.3">
      <c r="A3033" t="s">
        <v>4840</v>
      </c>
      <c r="B3033" t="s">
        <v>4841</v>
      </c>
      <c r="C3033">
        <v>2022</v>
      </c>
      <c r="D3033" t="s">
        <v>300</v>
      </c>
      <c r="E3033" t="s">
        <v>318</v>
      </c>
      <c r="F3033">
        <v>1423.46</v>
      </c>
      <c r="G3033" t="s">
        <v>302</v>
      </c>
      <c r="H3033">
        <v>61</v>
      </c>
      <c r="I3033" t="s">
        <v>4869</v>
      </c>
      <c r="J3033" t="s">
        <v>294</v>
      </c>
      <c r="M3033" t="s">
        <v>295</v>
      </c>
      <c r="N3033" t="s">
        <v>296</v>
      </c>
      <c r="O3033" t="s">
        <v>297</v>
      </c>
    </row>
    <row r="3034" spans="1:15" x14ac:dyDescent="0.3">
      <c r="A3034" t="s">
        <v>4840</v>
      </c>
      <c r="B3034" t="s">
        <v>4841</v>
      </c>
      <c r="C3034">
        <v>2022</v>
      </c>
      <c r="D3034" t="s">
        <v>300</v>
      </c>
      <c r="E3034" t="s">
        <v>468</v>
      </c>
      <c r="F3034">
        <v>492.83</v>
      </c>
      <c r="G3034" t="s">
        <v>302</v>
      </c>
      <c r="H3034">
        <v>61</v>
      </c>
      <c r="I3034" t="s">
        <v>4870</v>
      </c>
      <c r="J3034" t="s">
        <v>294</v>
      </c>
      <c r="M3034" t="s">
        <v>295</v>
      </c>
      <c r="N3034" t="s">
        <v>296</v>
      </c>
      <c r="O3034" t="s">
        <v>297</v>
      </c>
    </row>
    <row r="3035" spans="1:15" x14ac:dyDescent="0.3">
      <c r="A3035" t="s">
        <v>4840</v>
      </c>
      <c r="B3035" t="s">
        <v>4841</v>
      </c>
      <c r="C3035">
        <v>2022</v>
      </c>
      <c r="D3035" t="s">
        <v>300</v>
      </c>
      <c r="E3035" t="s">
        <v>324</v>
      </c>
      <c r="F3035">
        <v>645.37</v>
      </c>
      <c r="G3035" t="s">
        <v>302</v>
      </c>
      <c r="H3035">
        <v>61</v>
      </c>
      <c r="I3035" t="s">
        <v>4871</v>
      </c>
      <c r="J3035" t="s">
        <v>294</v>
      </c>
      <c r="M3035" t="s">
        <v>295</v>
      </c>
      <c r="N3035" t="s">
        <v>296</v>
      </c>
      <c r="O3035" t="s">
        <v>297</v>
      </c>
    </row>
    <row r="3036" spans="1:15" x14ac:dyDescent="0.3">
      <c r="A3036" t="s">
        <v>4840</v>
      </c>
      <c r="B3036" t="s">
        <v>4841</v>
      </c>
      <c r="C3036">
        <v>2022</v>
      </c>
      <c r="D3036" t="s">
        <v>300</v>
      </c>
      <c r="E3036" t="s">
        <v>2918</v>
      </c>
      <c r="F3036">
        <v>606.89</v>
      </c>
      <c r="G3036" t="s">
        <v>302</v>
      </c>
      <c r="H3036">
        <v>250</v>
      </c>
      <c r="I3036" t="s">
        <v>4872</v>
      </c>
      <c r="J3036" t="s">
        <v>294</v>
      </c>
      <c r="M3036" t="s">
        <v>295</v>
      </c>
      <c r="N3036" t="s">
        <v>296</v>
      </c>
      <c r="O3036" t="s">
        <v>297</v>
      </c>
    </row>
    <row r="3037" spans="1:15" x14ac:dyDescent="0.3">
      <c r="A3037" t="s">
        <v>4840</v>
      </c>
      <c r="B3037" t="s">
        <v>4841</v>
      </c>
      <c r="C3037">
        <v>2022</v>
      </c>
      <c r="D3037" t="s">
        <v>300</v>
      </c>
      <c r="E3037" t="s">
        <v>471</v>
      </c>
      <c r="F3037">
        <v>457.6</v>
      </c>
      <c r="G3037" t="s">
        <v>302</v>
      </c>
      <c r="H3037">
        <v>249</v>
      </c>
      <c r="I3037" t="s">
        <v>4873</v>
      </c>
      <c r="J3037" t="s">
        <v>294</v>
      </c>
      <c r="M3037" t="s">
        <v>295</v>
      </c>
      <c r="N3037" t="s">
        <v>296</v>
      </c>
      <c r="O3037" t="s">
        <v>297</v>
      </c>
    </row>
    <row r="3038" spans="1:15" x14ac:dyDescent="0.3">
      <c r="A3038" t="s">
        <v>4840</v>
      </c>
      <c r="B3038" t="s">
        <v>4841</v>
      </c>
      <c r="C3038">
        <v>2022</v>
      </c>
      <c r="D3038" t="s">
        <v>300</v>
      </c>
      <c r="E3038" t="s">
        <v>481</v>
      </c>
      <c r="F3038">
        <v>693.64</v>
      </c>
      <c r="G3038" t="s">
        <v>302</v>
      </c>
      <c r="H3038">
        <v>249</v>
      </c>
      <c r="I3038" t="s">
        <v>4874</v>
      </c>
      <c r="J3038" t="s">
        <v>294</v>
      </c>
      <c r="M3038" t="s">
        <v>295</v>
      </c>
      <c r="N3038" t="s">
        <v>296</v>
      </c>
      <c r="O3038" t="s">
        <v>297</v>
      </c>
    </row>
    <row r="3039" spans="1:15" x14ac:dyDescent="0.3">
      <c r="A3039" t="s">
        <v>4840</v>
      </c>
      <c r="B3039" t="s">
        <v>4841</v>
      </c>
      <c r="C3039">
        <v>2022</v>
      </c>
      <c r="D3039" t="s">
        <v>300</v>
      </c>
      <c r="E3039" t="s">
        <v>595</v>
      </c>
      <c r="F3039">
        <v>1084.69</v>
      </c>
      <c r="G3039" t="s">
        <v>302</v>
      </c>
      <c r="H3039">
        <v>250</v>
      </c>
      <c r="I3039" t="s">
        <v>4875</v>
      </c>
      <c r="J3039" t="s">
        <v>294</v>
      </c>
      <c r="M3039" t="s">
        <v>295</v>
      </c>
      <c r="N3039" t="s">
        <v>296</v>
      </c>
      <c r="O3039" t="s">
        <v>297</v>
      </c>
    </row>
    <row r="3040" spans="1:15" x14ac:dyDescent="0.3">
      <c r="A3040" t="s">
        <v>4840</v>
      </c>
      <c r="B3040" t="s">
        <v>4841</v>
      </c>
      <c r="C3040">
        <v>2022</v>
      </c>
      <c r="D3040" t="s">
        <v>300</v>
      </c>
      <c r="E3040" t="s">
        <v>4876</v>
      </c>
      <c r="F3040">
        <v>145.46</v>
      </c>
      <c r="G3040" t="s">
        <v>302</v>
      </c>
      <c r="H3040">
        <v>250</v>
      </c>
      <c r="I3040" t="s">
        <v>4877</v>
      </c>
      <c r="J3040" t="s">
        <v>294</v>
      </c>
      <c r="M3040" t="s">
        <v>295</v>
      </c>
      <c r="N3040" t="s">
        <v>296</v>
      </c>
      <c r="O3040" t="s">
        <v>297</v>
      </c>
    </row>
    <row r="3041" spans="1:15" x14ac:dyDescent="0.3">
      <c r="A3041" t="s">
        <v>4840</v>
      </c>
      <c r="B3041" t="s">
        <v>4841</v>
      </c>
      <c r="C3041">
        <v>2022</v>
      </c>
      <c r="D3041" t="s">
        <v>300</v>
      </c>
      <c r="E3041" t="s">
        <v>4878</v>
      </c>
      <c r="F3041">
        <v>337.76</v>
      </c>
      <c r="G3041" t="s">
        <v>302</v>
      </c>
      <c r="H3041">
        <v>250</v>
      </c>
      <c r="I3041" t="s">
        <v>4879</v>
      </c>
      <c r="J3041" t="s">
        <v>294</v>
      </c>
      <c r="M3041" t="s">
        <v>295</v>
      </c>
      <c r="N3041" t="s">
        <v>296</v>
      </c>
      <c r="O3041" t="s">
        <v>297</v>
      </c>
    </row>
    <row r="3042" spans="1:15" x14ac:dyDescent="0.3">
      <c r="A3042" t="s">
        <v>4840</v>
      </c>
      <c r="B3042" t="s">
        <v>4841</v>
      </c>
      <c r="C3042">
        <v>2022</v>
      </c>
      <c r="D3042" t="s">
        <v>300</v>
      </c>
      <c r="E3042" t="s">
        <v>4880</v>
      </c>
      <c r="F3042">
        <v>90</v>
      </c>
      <c r="G3042" t="s">
        <v>302</v>
      </c>
      <c r="H3042">
        <v>250</v>
      </c>
      <c r="I3042" t="s">
        <v>4881</v>
      </c>
      <c r="J3042" t="s">
        <v>294</v>
      </c>
      <c r="M3042" t="s">
        <v>295</v>
      </c>
      <c r="N3042" t="s">
        <v>296</v>
      </c>
      <c r="O3042" t="s">
        <v>297</v>
      </c>
    </row>
    <row r="3043" spans="1:15" x14ac:dyDescent="0.3">
      <c r="A3043" t="s">
        <v>4840</v>
      </c>
      <c r="B3043" t="s">
        <v>4841</v>
      </c>
      <c r="C3043">
        <v>2022</v>
      </c>
      <c r="D3043" t="s">
        <v>300</v>
      </c>
      <c r="E3043" t="s">
        <v>597</v>
      </c>
      <c r="F3043">
        <v>1657.91</v>
      </c>
      <c r="G3043" t="s">
        <v>302</v>
      </c>
      <c r="H3043">
        <v>250</v>
      </c>
      <c r="I3043" t="s">
        <v>4882</v>
      </c>
      <c r="J3043" t="s">
        <v>294</v>
      </c>
      <c r="M3043" t="s">
        <v>295</v>
      </c>
      <c r="N3043" t="s">
        <v>296</v>
      </c>
      <c r="O3043" t="s">
        <v>297</v>
      </c>
    </row>
    <row r="3044" spans="1:15" x14ac:dyDescent="0.3">
      <c r="A3044" t="s">
        <v>4840</v>
      </c>
      <c r="B3044" t="s">
        <v>4841</v>
      </c>
      <c r="C3044">
        <v>2022</v>
      </c>
      <c r="D3044" t="s">
        <v>300</v>
      </c>
      <c r="E3044" t="s">
        <v>601</v>
      </c>
      <c r="F3044">
        <v>-285.73</v>
      </c>
      <c r="G3044" t="s">
        <v>302</v>
      </c>
      <c r="H3044">
        <v>8</v>
      </c>
      <c r="I3044" t="s">
        <v>4883</v>
      </c>
      <c r="J3044" t="s">
        <v>294</v>
      </c>
      <c r="M3044" t="s">
        <v>295</v>
      </c>
      <c r="N3044" t="s">
        <v>296</v>
      </c>
      <c r="O3044" t="s">
        <v>297</v>
      </c>
    </row>
    <row r="3045" spans="1:15" x14ac:dyDescent="0.3">
      <c r="A3045" t="s">
        <v>4840</v>
      </c>
      <c r="B3045" t="s">
        <v>4841</v>
      </c>
      <c r="C3045">
        <v>2022</v>
      </c>
      <c r="D3045" t="s">
        <v>300</v>
      </c>
      <c r="E3045" t="s">
        <v>603</v>
      </c>
      <c r="F3045">
        <v>-133.11000000000001</v>
      </c>
      <c r="G3045" t="s">
        <v>302</v>
      </c>
      <c r="H3045">
        <v>8</v>
      </c>
      <c r="I3045" t="s">
        <v>4884</v>
      </c>
      <c r="J3045" t="s">
        <v>294</v>
      </c>
      <c r="M3045" t="s">
        <v>295</v>
      </c>
      <c r="N3045" t="s">
        <v>296</v>
      </c>
      <c r="O3045" t="s">
        <v>297</v>
      </c>
    </row>
    <row r="3046" spans="1:15" x14ac:dyDescent="0.3">
      <c r="A3046" t="s">
        <v>4840</v>
      </c>
      <c r="B3046" t="s">
        <v>4841</v>
      </c>
      <c r="C3046">
        <v>2022</v>
      </c>
      <c r="D3046" t="s">
        <v>300</v>
      </c>
      <c r="E3046" t="s">
        <v>716</v>
      </c>
      <c r="F3046">
        <v>785.68</v>
      </c>
      <c r="G3046" t="s">
        <v>302</v>
      </c>
      <c r="H3046">
        <v>8</v>
      </c>
      <c r="I3046" t="s">
        <v>4885</v>
      </c>
      <c r="J3046" t="s">
        <v>294</v>
      </c>
      <c r="M3046" t="s">
        <v>295</v>
      </c>
      <c r="N3046" t="s">
        <v>296</v>
      </c>
      <c r="O3046" t="s">
        <v>297</v>
      </c>
    </row>
    <row r="3047" spans="1:15" x14ac:dyDescent="0.3">
      <c r="A3047" t="s">
        <v>4840</v>
      </c>
      <c r="B3047" t="s">
        <v>4841</v>
      </c>
      <c r="C3047">
        <v>2022</v>
      </c>
      <c r="D3047" t="s">
        <v>300</v>
      </c>
      <c r="E3047" t="s">
        <v>342</v>
      </c>
      <c r="F3047">
        <v>3554.45</v>
      </c>
      <c r="G3047" t="s">
        <v>1288</v>
      </c>
      <c r="H3047">
        <v>1</v>
      </c>
      <c r="I3047" t="s">
        <v>4886</v>
      </c>
      <c r="J3047" t="s">
        <v>294</v>
      </c>
      <c r="M3047" t="s">
        <v>295</v>
      </c>
      <c r="N3047" t="s">
        <v>296</v>
      </c>
      <c r="O3047" t="s">
        <v>297</v>
      </c>
    </row>
    <row r="3048" spans="1:15" x14ac:dyDescent="0.3">
      <c r="A3048" t="s">
        <v>4840</v>
      </c>
      <c r="B3048" t="s">
        <v>4841</v>
      </c>
      <c r="C3048">
        <v>2022</v>
      </c>
      <c r="D3048" t="s">
        <v>300</v>
      </c>
      <c r="E3048" t="s">
        <v>4887</v>
      </c>
      <c r="F3048">
        <v>-5.69</v>
      </c>
      <c r="G3048" t="s">
        <v>346</v>
      </c>
      <c r="H3048">
        <v>8</v>
      </c>
      <c r="I3048" t="s">
        <v>4888</v>
      </c>
      <c r="J3048" t="s">
        <v>294</v>
      </c>
      <c r="M3048" t="s">
        <v>295</v>
      </c>
      <c r="N3048" t="s">
        <v>296</v>
      </c>
      <c r="O3048" t="s">
        <v>297</v>
      </c>
    </row>
    <row r="3049" spans="1:15" x14ac:dyDescent="0.3">
      <c r="A3049" t="s">
        <v>4840</v>
      </c>
      <c r="B3049" t="s">
        <v>4841</v>
      </c>
      <c r="C3049">
        <v>2022</v>
      </c>
      <c r="D3049" t="s">
        <v>300</v>
      </c>
      <c r="E3049" t="s">
        <v>4889</v>
      </c>
      <c r="F3049">
        <v>845</v>
      </c>
      <c r="G3049" t="s">
        <v>346</v>
      </c>
      <c r="H3049">
        <v>9</v>
      </c>
      <c r="I3049" t="s">
        <v>4890</v>
      </c>
      <c r="J3049" t="s">
        <v>294</v>
      </c>
      <c r="M3049" t="s">
        <v>295</v>
      </c>
      <c r="N3049" t="s">
        <v>296</v>
      </c>
      <c r="O3049" t="s">
        <v>297</v>
      </c>
    </row>
    <row r="3050" spans="1:15" x14ac:dyDescent="0.3">
      <c r="A3050" t="s">
        <v>4840</v>
      </c>
      <c r="B3050" t="s">
        <v>4841</v>
      </c>
      <c r="C3050">
        <v>2022</v>
      </c>
      <c r="D3050" t="s">
        <v>300</v>
      </c>
      <c r="E3050" t="s">
        <v>4891</v>
      </c>
      <c r="F3050">
        <v>3003.51</v>
      </c>
      <c r="G3050" t="s">
        <v>302</v>
      </c>
      <c r="H3050">
        <v>9</v>
      </c>
      <c r="I3050" t="s">
        <v>4892</v>
      </c>
      <c r="J3050" t="s">
        <v>294</v>
      </c>
      <c r="M3050" t="s">
        <v>295</v>
      </c>
      <c r="N3050" t="s">
        <v>296</v>
      </c>
      <c r="O3050" t="s">
        <v>297</v>
      </c>
    </row>
    <row r="3051" spans="1:15" x14ac:dyDescent="0.3">
      <c r="A3051" t="s">
        <v>4840</v>
      </c>
      <c r="B3051" t="s">
        <v>4841</v>
      </c>
      <c r="C3051">
        <v>2022</v>
      </c>
      <c r="D3051" t="s">
        <v>300</v>
      </c>
      <c r="E3051" t="s">
        <v>326</v>
      </c>
      <c r="F3051">
        <v>1.0041</v>
      </c>
      <c r="G3051" t="s">
        <v>327</v>
      </c>
      <c r="H3051">
        <v>9</v>
      </c>
      <c r="I3051" t="s">
        <v>4893</v>
      </c>
      <c r="J3051" t="s">
        <v>294</v>
      </c>
      <c r="M3051" t="s">
        <v>295</v>
      </c>
      <c r="N3051" t="s">
        <v>296</v>
      </c>
      <c r="O3051" t="s">
        <v>297</v>
      </c>
    </row>
    <row r="3052" spans="1:15" x14ac:dyDescent="0.3">
      <c r="A3052" t="s">
        <v>4840</v>
      </c>
      <c r="B3052" t="s">
        <v>4841</v>
      </c>
      <c r="C3052">
        <v>2022</v>
      </c>
      <c r="D3052" t="s">
        <v>300</v>
      </c>
      <c r="E3052" t="s">
        <v>2762</v>
      </c>
      <c r="F3052">
        <v>2.9693000000000001</v>
      </c>
      <c r="G3052" t="s">
        <v>327</v>
      </c>
      <c r="H3052">
        <v>9</v>
      </c>
      <c r="I3052" t="s">
        <v>4894</v>
      </c>
      <c r="J3052" t="s">
        <v>294</v>
      </c>
      <c r="M3052" t="s">
        <v>295</v>
      </c>
      <c r="N3052" t="s">
        <v>296</v>
      </c>
      <c r="O3052" t="s">
        <v>297</v>
      </c>
    </row>
    <row r="3053" spans="1:15" x14ac:dyDescent="0.3">
      <c r="A3053" t="s">
        <v>4840</v>
      </c>
      <c r="B3053" t="s">
        <v>4841</v>
      </c>
      <c r="C3053">
        <v>2022</v>
      </c>
      <c r="D3053" t="s">
        <v>300</v>
      </c>
      <c r="E3053" t="s">
        <v>4895</v>
      </c>
      <c r="F3053">
        <v>0.32150000000000001</v>
      </c>
      <c r="G3053" t="s">
        <v>327</v>
      </c>
      <c r="H3053">
        <v>62</v>
      </c>
      <c r="I3053" t="s">
        <v>4896</v>
      </c>
      <c r="J3053" t="s">
        <v>294</v>
      </c>
      <c r="M3053" t="s">
        <v>295</v>
      </c>
      <c r="N3053" t="s">
        <v>296</v>
      </c>
      <c r="O3053" t="s">
        <v>297</v>
      </c>
    </row>
    <row r="3054" spans="1:15" x14ac:dyDescent="0.3">
      <c r="A3054" t="s">
        <v>4840</v>
      </c>
      <c r="B3054" t="s">
        <v>4841</v>
      </c>
      <c r="C3054">
        <v>2022</v>
      </c>
      <c r="D3054" t="s">
        <v>300</v>
      </c>
      <c r="E3054" t="s">
        <v>4897</v>
      </c>
      <c r="F3054" t="s">
        <v>4898</v>
      </c>
      <c r="G3054" t="s">
        <v>292</v>
      </c>
      <c r="H3054">
        <v>11</v>
      </c>
      <c r="I3054" t="s">
        <v>4899</v>
      </c>
      <c r="J3054" t="s">
        <v>294</v>
      </c>
      <c r="M3054" t="s">
        <v>295</v>
      </c>
      <c r="N3054" t="s">
        <v>296</v>
      </c>
      <c r="O3054" t="s">
        <v>297</v>
      </c>
    </row>
    <row r="3055" spans="1:15" x14ac:dyDescent="0.3">
      <c r="A3055" t="s">
        <v>4840</v>
      </c>
      <c r="B3055" t="s">
        <v>4841</v>
      </c>
      <c r="C3055">
        <v>2022</v>
      </c>
      <c r="D3055" t="s">
        <v>358</v>
      </c>
      <c r="E3055" t="s">
        <v>4900</v>
      </c>
      <c r="F3055">
        <v>26</v>
      </c>
      <c r="G3055" t="s">
        <v>384</v>
      </c>
      <c r="H3055">
        <v>60</v>
      </c>
      <c r="I3055" t="s">
        <v>4901</v>
      </c>
      <c r="J3055" t="s">
        <v>294</v>
      </c>
      <c r="M3055" t="s">
        <v>295</v>
      </c>
      <c r="N3055" t="s">
        <v>296</v>
      </c>
      <c r="O3055" t="s">
        <v>297</v>
      </c>
    </row>
    <row r="3056" spans="1:15" x14ac:dyDescent="0.3">
      <c r="A3056" t="s">
        <v>4840</v>
      </c>
      <c r="B3056" t="s">
        <v>4841</v>
      </c>
      <c r="C3056">
        <v>2022</v>
      </c>
      <c r="D3056" t="s">
        <v>394</v>
      </c>
      <c r="E3056" t="s">
        <v>406</v>
      </c>
      <c r="F3056">
        <v>278280</v>
      </c>
      <c r="G3056" t="s">
        <v>396</v>
      </c>
      <c r="H3056">
        <v>59</v>
      </c>
      <c r="I3056" t="s">
        <v>4902</v>
      </c>
      <c r="J3056" t="s">
        <v>294</v>
      </c>
      <c r="M3056" t="s">
        <v>295</v>
      </c>
      <c r="N3056" t="s">
        <v>296</v>
      </c>
      <c r="O3056" t="s">
        <v>297</v>
      </c>
    </row>
    <row r="3057" spans="1:15" x14ac:dyDescent="0.3">
      <c r="A3057" t="s">
        <v>4840</v>
      </c>
      <c r="B3057" t="s">
        <v>4841</v>
      </c>
      <c r="C3057">
        <v>2022</v>
      </c>
      <c r="D3057" t="s">
        <v>394</v>
      </c>
      <c r="E3057" t="s">
        <v>855</v>
      </c>
      <c r="F3057">
        <v>83960</v>
      </c>
      <c r="G3057" t="s">
        <v>396</v>
      </c>
      <c r="H3057">
        <v>59</v>
      </c>
      <c r="I3057" t="s">
        <v>4903</v>
      </c>
      <c r="J3057" t="s">
        <v>294</v>
      </c>
      <c r="M3057" t="s">
        <v>295</v>
      </c>
      <c r="N3057" t="s">
        <v>296</v>
      </c>
      <c r="O3057" t="s">
        <v>297</v>
      </c>
    </row>
    <row r="3058" spans="1:15" x14ac:dyDescent="0.3">
      <c r="A3058" t="s">
        <v>4840</v>
      </c>
      <c r="B3058" t="s">
        <v>4841</v>
      </c>
      <c r="C3058">
        <v>2022</v>
      </c>
      <c r="D3058" t="s">
        <v>394</v>
      </c>
      <c r="E3058" t="s">
        <v>408</v>
      </c>
      <c r="F3058">
        <v>340060</v>
      </c>
      <c r="G3058" t="s">
        <v>396</v>
      </c>
      <c r="H3058">
        <v>59</v>
      </c>
      <c r="I3058" t="s">
        <v>4904</v>
      </c>
      <c r="J3058" t="s">
        <v>294</v>
      </c>
      <c r="M3058" t="s">
        <v>295</v>
      </c>
      <c r="N3058" t="s">
        <v>296</v>
      </c>
      <c r="O3058" t="s">
        <v>297</v>
      </c>
    </row>
    <row r="3059" spans="1:15" x14ac:dyDescent="0.3">
      <c r="A3059" t="s">
        <v>4840</v>
      </c>
      <c r="B3059" t="s">
        <v>4841</v>
      </c>
      <c r="C3059">
        <v>2022</v>
      </c>
      <c r="D3059" t="s">
        <v>394</v>
      </c>
      <c r="E3059" t="s">
        <v>414</v>
      </c>
      <c r="F3059">
        <v>19610</v>
      </c>
      <c r="G3059" t="s">
        <v>396</v>
      </c>
      <c r="H3059">
        <v>59</v>
      </c>
      <c r="I3059" t="s">
        <v>4905</v>
      </c>
      <c r="J3059" t="s">
        <v>294</v>
      </c>
      <c r="M3059" t="s">
        <v>295</v>
      </c>
      <c r="N3059" t="s">
        <v>296</v>
      </c>
      <c r="O3059" t="s">
        <v>297</v>
      </c>
    </row>
    <row r="3060" spans="1:15" x14ac:dyDescent="0.3">
      <c r="A3060" t="s">
        <v>4840</v>
      </c>
      <c r="B3060" t="s">
        <v>4841</v>
      </c>
      <c r="C3060">
        <v>2022</v>
      </c>
      <c r="D3060" t="s">
        <v>394</v>
      </c>
      <c r="E3060" t="s">
        <v>418</v>
      </c>
      <c r="F3060">
        <v>22550</v>
      </c>
      <c r="G3060" t="s">
        <v>396</v>
      </c>
      <c r="H3060">
        <v>59</v>
      </c>
      <c r="I3060" t="s">
        <v>4906</v>
      </c>
      <c r="J3060" t="s">
        <v>294</v>
      </c>
      <c r="M3060" t="s">
        <v>295</v>
      </c>
      <c r="N3060" t="s">
        <v>296</v>
      </c>
      <c r="O3060" t="s">
        <v>297</v>
      </c>
    </row>
    <row r="3061" spans="1:15" x14ac:dyDescent="0.3">
      <c r="A3061" t="s">
        <v>4840</v>
      </c>
      <c r="B3061" t="s">
        <v>4841</v>
      </c>
      <c r="C3061">
        <v>2022</v>
      </c>
      <c r="D3061" t="s">
        <v>394</v>
      </c>
      <c r="E3061" t="s">
        <v>420</v>
      </c>
      <c r="F3061">
        <v>27340</v>
      </c>
      <c r="G3061" t="s">
        <v>396</v>
      </c>
      <c r="H3061">
        <v>59</v>
      </c>
      <c r="I3061" t="s">
        <v>4907</v>
      </c>
      <c r="J3061" t="s">
        <v>294</v>
      </c>
      <c r="M3061" t="s">
        <v>295</v>
      </c>
      <c r="N3061" t="s">
        <v>296</v>
      </c>
      <c r="O3061" t="s">
        <v>297</v>
      </c>
    </row>
    <row r="3062" spans="1:15" x14ac:dyDescent="0.3">
      <c r="A3062" t="s">
        <v>4840</v>
      </c>
      <c r="B3062" t="s">
        <v>4841</v>
      </c>
      <c r="C3062">
        <v>2022</v>
      </c>
      <c r="D3062" t="s">
        <v>394</v>
      </c>
      <c r="E3062" t="s">
        <v>410</v>
      </c>
      <c r="F3062">
        <v>7690</v>
      </c>
      <c r="G3062" t="s">
        <v>396</v>
      </c>
      <c r="H3062">
        <v>59</v>
      </c>
      <c r="I3062" t="s">
        <v>4908</v>
      </c>
      <c r="J3062" t="s">
        <v>294</v>
      </c>
      <c r="M3062" t="s">
        <v>295</v>
      </c>
      <c r="N3062" t="s">
        <v>296</v>
      </c>
      <c r="O3062" t="s">
        <v>297</v>
      </c>
    </row>
    <row r="3063" spans="1:15" x14ac:dyDescent="0.3">
      <c r="A3063" t="s">
        <v>4840</v>
      </c>
      <c r="B3063" t="s">
        <v>4841</v>
      </c>
      <c r="C3063">
        <v>2022</v>
      </c>
      <c r="D3063" t="s">
        <v>394</v>
      </c>
      <c r="E3063" t="s">
        <v>412</v>
      </c>
      <c r="F3063">
        <v>2440</v>
      </c>
      <c r="G3063" t="s">
        <v>396</v>
      </c>
      <c r="H3063">
        <v>59</v>
      </c>
      <c r="I3063" t="s">
        <v>4909</v>
      </c>
      <c r="J3063" t="s">
        <v>294</v>
      </c>
      <c r="M3063" t="s">
        <v>295</v>
      </c>
      <c r="N3063" t="s">
        <v>296</v>
      </c>
      <c r="O3063" t="s">
        <v>297</v>
      </c>
    </row>
    <row r="3064" spans="1:15" x14ac:dyDescent="0.3">
      <c r="A3064" t="s">
        <v>4840</v>
      </c>
      <c r="B3064" t="s">
        <v>4841</v>
      </c>
      <c r="C3064">
        <v>2022</v>
      </c>
      <c r="D3064" t="s">
        <v>394</v>
      </c>
      <c r="E3064" t="s">
        <v>4910</v>
      </c>
      <c r="F3064">
        <v>1506111</v>
      </c>
      <c r="G3064" t="s">
        <v>396</v>
      </c>
      <c r="H3064">
        <v>68</v>
      </c>
      <c r="I3064" t="s">
        <v>4911</v>
      </c>
      <c r="J3064" t="s">
        <v>294</v>
      </c>
      <c r="M3064" t="s">
        <v>295</v>
      </c>
      <c r="N3064" t="s">
        <v>296</v>
      </c>
      <c r="O3064" t="s">
        <v>297</v>
      </c>
    </row>
    <row r="3065" spans="1:15" x14ac:dyDescent="0.3">
      <c r="A3065" t="s">
        <v>4840</v>
      </c>
      <c r="B3065" t="s">
        <v>4841</v>
      </c>
      <c r="C3065">
        <v>2022</v>
      </c>
      <c r="D3065" t="s">
        <v>394</v>
      </c>
      <c r="E3065" t="s">
        <v>4912</v>
      </c>
      <c r="F3065">
        <v>226186</v>
      </c>
      <c r="G3065" t="s">
        <v>396</v>
      </c>
      <c r="H3065">
        <v>68</v>
      </c>
      <c r="I3065" t="s">
        <v>4913</v>
      </c>
      <c r="J3065" t="s">
        <v>294</v>
      </c>
      <c r="M3065" t="s">
        <v>295</v>
      </c>
      <c r="N3065" t="s">
        <v>296</v>
      </c>
      <c r="O3065" t="s">
        <v>297</v>
      </c>
    </row>
    <row r="3066" spans="1:15" x14ac:dyDescent="0.3">
      <c r="A3066" t="s">
        <v>4840</v>
      </c>
      <c r="B3066" t="s">
        <v>4841</v>
      </c>
      <c r="C3066">
        <v>2022</v>
      </c>
      <c r="D3066" t="s">
        <v>394</v>
      </c>
      <c r="E3066" t="s">
        <v>438</v>
      </c>
      <c r="F3066">
        <v>126936</v>
      </c>
      <c r="G3066" t="s">
        <v>396</v>
      </c>
      <c r="H3066">
        <v>68</v>
      </c>
      <c r="I3066" t="s">
        <v>4914</v>
      </c>
      <c r="J3066" t="s">
        <v>294</v>
      </c>
      <c r="M3066" t="s">
        <v>295</v>
      </c>
      <c r="N3066" t="s">
        <v>296</v>
      </c>
      <c r="O3066" t="s">
        <v>297</v>
      </c>
    </row>
    <row r="3067" spans="1:15" x14ac:dyDescent="0.3">
      <c r="A3067" t="s">
        <v>4840</v>
      </c>
      <c r="B3067" t="s">
        <v>4841</v>
      </c>
      <c r="C3067">
        <v>2022</v>
      </c>
      <c r="D3067" t="s">
        <v>394</v>
      </c>
      <c r="E3067" t="s">
        <v>4915</v>
      </c>
      <c r="F3067">
        <v>318592</v>
      </c>
      <c r="G3067" t="s">
        <v>396</v>
      </c>
      <c r="H3067">
        <v>68</v>
      </c>
      <c r="I3067" t="s">
        <v>4916</v>
      </c>
      <c r="J3067" t="s">
        <v>294</v>
      </c>
      <c r="M3067" t="s">
        <v>295</v>
      </c>
      <c r="N3067" t="s">
        <v>296</v>
      </c>
      <c r="O3067" t="s">
        <v>297</v>
      </c>
    </row>
    <row r="3068" spans="1:15" x14ac:dyDescent="0.3">
      <c r="A3068" t="s">
        <v>4840</v>
      </c>
      <c r="B3068" t="s">
        <v>4841</v>
      </c>
      <c r="C3068">
        <v>2022</v>
      </c>
      <c r="D3068" t="s">
        <v>394</v>
      </c>
      <c r="E3068" t="s">
        <v>4917</v>
      </c>
      <c r="F3068">
        <v>1528</v>
      </c>
      <c r="G3068" t="s">
        <v>302</v>
      </c>
      <c r="H3068">
        <v>59</v>
      </c>
      <c r="I3068" t="s">
        <v>4918</v>
      </c>
      <c r="J3068" t="s">
        <v>294</v>
      </c>
      <c r="M3068" t="s">
        <v>295</v>
      </c>
      <c r="N3068" t="s">
        <v>296</v>
      </c>
      <c r="O3068" t="s">
        <v>297</v>
      </c>
    </row>
    <row r="3069" spans="1:15" x14ac:dyDescent="0.3">
      <c r="A3069" t="s">
        <v>4840</v>
      </c>
      <c r="B3069" t="s">
        <v>4841</v>
      </c>
      <c r="C3069">
        <v>2022</v>
      </c>
      <c r="D3069" t="s">
        <v>394</v>
      </c>
      <c r="E3069" t="s">
        <v>4919</v>
      </c>
      <c r="F3069">
        <v>4898</v>
      </c>
      <c r="G3069" t="s">
        <v>302</v>
      </c>
      <c r="H3069">
        <v>59</v>
      </c>
      <c r="I3069" t="s">
        <v>4920</v>
      </c>
      <c r="J3069" t="s">
        <v>294</v>
      </c>
      <c r="M3069" t="s">
        <v>295</v>
      </c>
      <c r="N3069" t="s">
        <v>296</v>
      </c>
      <c r="O3069" t="s">
        <v>297</v>
      </c>
    </row>
    <row r="3070" spans="1:15" x14ac:dyDescent="0.3">
      <c r="A3070" t="s">
        <v>4840</v>
      </c>
      <c r="B3070" t="s">
        <v>4841</v>
      </c>
      <c r="C3070">
        <v>2022</v>
      </c>
      <c r="D3070" t="s">
        <v>394</v>
      </c>
      <c r="E3070" t="s">
        <v>4921</v>
      </c>
      <c r="F3070">
        <v>313</v>
      </c>
      <c r="G3070" t="s">
        <v>302</v>
      </c>
      <c r="H3070">
        <v>59</v>
      </c>
      <c r="I3070" t="s">
        <v>4922</v>
      </c>
      <c r="J3070" t="s">
        <v>294</v>
      </c>
      <c r="M3070" t="s">
        <v>295</v>
      </c>
      <c r="N3070" t="s">
        <v>296</v>
      </c>
      <c r="O3070" t="s">
        <v>297</v>
      </c>
    </row>
    <row r="3071" spans="1:15" x14ac:dyDescent="0.3">
      <c r="A3071" t="s">
        <v>4840</v>
      </c>
      <c r="B3071" t="s">
        <v>4841</v>
      </c>
      <c r="C3071">
        <v>2022</v>
      </c>
      <c r="D3071" t="s">
        <v>394</v>
      </c>
      <c r="E3071" t="s">
        <v>4923</v>
      </c>
      <c r="F3071">
        <v>58.22</v>
      </c>
      <c r="G3071" t="s">
        <v>302</v>
      </c>
      <c r="H3071">
        <v>60</v>
      </c>
      <c r="I3071" t="s">
        <v>4924</v>
      </c>
      <c r="J3071" t="s">
        <v>294</v>
      </c>
      <c r="M3071" t="s">
        <v>295</v>
      </c>
      <c r="N3071" t="s">
        <v>296</v>
      </c>
      <c r="O3071" t="s">
        <v>297</v>
      </c>
    </row>
    <row r="3072" spans="1:15" x14ac:dyDescent="0.3">
      <c r="A3072" t="s">
        <v>4840</v>
      </c>
      <c r="B3072" t="s">
        <v>4841</v>
      </c>
      <c r="C3072">
        <v>2022</v>
      </c>
      <c r="D3072" t="s">
        <v>394</v>
      </c>
      <c r="E3072" t="s">
        <v>4925</v>
      </c>
      <c r="F3072">
        <v>36.22</v>
      </c>
      <c r="G3072" t="s">
        <v>302</v>
      </c>
      <c r="H3072">
        <v>60</v>
      </c>
      <c r="I3072" t="s">
        <v>4926</v>
      </c>
      <c r="J3072" t="s">
        <v>294</v>
      </c>
      <c r="M3072" t="s">
        <v>295</v>
      </c>
      <c r="N3072" t="s">
        <v>296</v>
      </c>
      <c r="O3072" t="s">
        <v>297</v>
      </c>
    </row>
    <row r="3073" spans="1:15" x14ac:dyDescent="0.3">
      <c r="A3073" t="s">
        <v>4840</v>
      </c>
      <c r="B3073" t="s">
        <v>4841</v>
      </c>
      <c r="C3073">
        <v>2022</v>
      </c>
      <c r="D3073" t="s">
        <v>272</v>
      </c>
      <c r="E3073" t="s">
        <v>1203</v>
      </c>
      <c r="F3073" t="s">
        <v>4927</v>
      </c>
      <c r="G3073" t="s">
        <v>292</v>
      </c>
      <c r="H3073">
        <v>61</v>
      </c>
      <c r="I3073" t="s">
        <v>4928</v>
      </c>
      <c r="J3073" t="s">
        <v>294</v>
      </c>
      <c r="M3073" t="s">
        <v>295</v>
      </c>
      <c r="N3073" t="s">
        <v>296</v>
      </c>
      <c r="O3073" t="s">
        <v>297</v>
      </c>
    </row>
    <row r="3074" spans="1:15" x14ac:dyDescent="0.3">
      <c r="A3074" t="s">
        <v>4840</v>
      </c>
      <c r="B3074" t="s">
        <v>4929</v>
      </c>
      <c r="C3074">
        <v>2023</v>
      </c>
      <c r="D3074" t="s">
        <v>272</v>
      </c>
      <c r="E3074" t="s">
        <v>291</v>
      </c>
      <c r="F3074" t="s">
        <v>4840</v>
      </c>
      <c r="G3074" t="s">
        <v>292</v>
      </c>
      <c r="H3074">
        <v>1</v>
      </c>
      <c r="I3074" t="s">
        <v>4930</v>
      </c>
      <c r="J3074" t="s">
        <v>294</v>
      </c>
      <c r="M3074" t="s">
        <v>295</v>
      </c>
      <c r="N3074" t="s">
        <v>296</v>
      </c>
      <c r="O3074" t="s">
        <v>297</v>
      </c>
    </row>
    <row r="3075" spans="1:15" x14ac:dyDescent="0.3">
      <c r="A3075" t="s">
        <v>4840</v>
      </c>
      <c r="B3075" t="s">
        <v>4929</v>
      </c>
      <c r="C3075">
        <v>2023</v>
      </c>
      <c r="D3075" t="s">
        <v>272</v>
      </c>
      <c r="E3075" t="s">
        <v>1</v>
      </c>
      <c r="F3075" t="s">
        <v>19</v>
      </c>
      <c r="G3075" t="s">
        <v>292</v>
      </c>
      <c r="H3075">
        <v>32</v>
      </c>
      <c r="I3075" t="s">
        <v>4843</v>
      </c>
      <c r="J3075" t="s">
        <v>294</v>
      </c>
      <c r="M3075" t="s">
        <v>295</v>
      </c>
      <c r="N3075" t="s">
        <v>296</v>
      </c>
      <c r="O3075" t="s">
        <v>297</v>
      </c>
    </row>
    <row r="3076" spans="1:15" x14ac:dyDescent="0.3">
      <c r="A3076" t="s">
        <v>4840</v>
      </c>
      <c r="B3076" t="s">
        <v>4929</v>
      </c>
      <c r="C3076">
        <v>2023</v>
      </c>
      <c r="D3076" t="s">
        <v>272</v>
      </c>
      <c r="E3076" t="s">
        <v>4724</v>
      </c>
      <c r="F3076" t="s">
        <v>4844</v>
      </c>
      <c r="G3076" t="s">
        <v>292</v>
      </c>
      <c r="H3076">
        <v>32</v>
      </c>
      <c r="I3076" t="s">
        <v>4931</v>
      </c>
      <c r="J3076" t="s">
        <v>294</v>
      </c>
      <c r="M3076" t="s">
        <v>295</v>
      </c>
      <c r="N3076" t="s">
        <v>296</v>
      </c>
      <c r="O3076" t="s">
        <v>297</v>
      </c>
    </row>
    <row r="3077" spans="1:15" x14ac:dyDescent="0.3">
      <c r="A3077" t="s">
        <v>4840</v>
      </c>
      <c r="B3077" t="s">
        <v>4929</v>
      </c>
      <c r="C3077">
        <v>2023</v>
      </c>
      <c r="D3077" t="s">
        <v>272</v>
      </c>
      <c r="E3077" t="s">
        <v>442</v>
      </c>
      <c r="F3077" t="s">
        <v>4932</v>
      </c>
      <c r="G3077" t="s">
        <v>334</v>
      </c>
      <c r="H3077">
        <v>48</v>
      </c>
      <c r="I3077" t="s">
        <v>4933</v>
      </c>
      <c r="J3077" t="s">
        <v>294</v>
      </c>
      <c r="M3077" t="s">
        <v>295</v>
      </c>
      <c r="N3077" t="s">
        <v>296</v>
      </c>
      <c r="O3077" t="s">
        <v>297</v>
      </c>
    </row>
    <row r="3078" spans="1:15" x14ac:dyDescent="0.3">
      <c r="A3078" t="s">
        <v>4840</v>
      </c>
      <c r="B3078" t="s">
        <v>4929</v>
      </c>
      <c r="C3078">
        <v>2023</v>
      </c>
      <c r="D3078" t="s">
        <v>272</v>
      </c>
      <c r="E3078" t="s">
        <v>4851</v>
      </c>
      <c r="F3078" t="s">
        <v>4852</v>
      </c>
      <c r="G3078" t="s">
        <v>292</v>
      </c>
      <c r="H3078">
        <v>49</v>
      </c>
      <c r="I3078" t="s">
        <v>4853</v>
      </c>
      <c r="J3078" t="s">
        <v>294</v>
      </c>
      <c r="M3078" t="s">
        <v>295</v>
      </c>
      <c r="N3078" t="s">
        <v>296</v>
      </c>
      <c r="O3078" t="s">
        <v>297</v>
      </c>
    </row>
    <row r="3079" spans="1:15" x14ac:dyDescent="0.3">
      <c r="A3079" t="s">
        <v>4840</v>
      </c>
      <c r="B3079" t="s">
        <v>4929</v>
      </c>
      <c r="C3079">
        <v>2023</v>
      </c>
      <c r="D3079" t="s">
        <v>300</v>
      </c>
      <c r="E3079" t="s">
        <v>301</v>
      </c>
      <c r="F3079">
        <v>5425.48</v>
      </c>
      <c r="G3079" t="s">
        <v>302</v>
      </c>
      <c r="H3079">
        <v>67</v>
      </c>
      <c r="I3079" t="s">
        <v>4934</v>
      </c>
      <c r="J3079" t="s">
        <v>294</v>
      </c>
      <c r="M3079" t="s">
        <v>295</v>
      </c>
      <c r="N3079" t="s">
        <v>296</v>
      </c>
      <c r="O3079" t="s">
        <v>297</v>
      </c>
    </row>
    <row r="3080" spans="1:15" x14ac:dyDescent="0.3">
      <c r="A3080" t="s">
        <v>4840</v>
      </c>
      <c r="B3080" t="s">
        <v>4929</v>
      </c>
      <c r="C3080">
        <v>2023</v>
      </c>
      <c r="D3080" t="s">
        <v>300</v>
      </c>
      <c r="E3080" t="s">
        <v>450</v>
      </c>
      <c r="F3080">
        <v>5168.13</v>
      </c>
      <c r="G3080" t="s">
        <v>302</v>
      </c>
      <c r="H3080">
        <v>67</v>
      </c>
      <c r="I3080" t="s">
        <v>4935</v>
      </c>
      <c r="J3080" t="s">
        <v>294</v>
      </c>
      <c r="M3080" t="s">
        <v>295</v>
      </c>
      <c r="N3080" t="s">
        <v>296</v>
      </c>
      <c r="O3080" t="s">
        <v>297</v>
      </c>
    </row>
    <row r="3081" spans="1:15" x14ac:dyDescent="0.3">
      <c r="A3081" t="s">
        <v>4840</v>
      </c>
      <c r="B3081" t="s">
        <v>4929</v>
      </c>
      <c r="C3081">
        <v>2023</v>
      </c>
      <c r="D3081" t="s">
        <v>300</v>
      </c>
      <c r="E3081" t="s">
        <v>304</v>
      </c>
      <c r="F3081">
        <v>257.35000000000002</v>
      </c>
      <c r="G3081" t="s">
        <v>302</v>
      </c>
      <c r="H3081">
        <v>266</v>
      </c>
      <c r="I3081" t="s">
        <v>4936</v>
      </c>
      <c r="J3081" t="s">
        <v>294</v>
      </c>
      <c r="M3081" t="s">
        <v>295</v>
      </c>
      <c r="N3081" t="s">
        <v>296</v>
      </c>
      <c r="O3081" t="s">
        <v>297</v>
      </c>
    </row>
    <row r="3082" spans="1:15" x14ac:dyDescent="0.3">
      <c r="A3082" t="s">
        <v>4840</v>
      </c>
      <c r="B3082" t="s">
        <v>4929</v>
      </c>
      <c r="C3082">
        <v>2023</v>
      </c>
      <c r="D3082" t="s">
        <v>300</v>
      </c>
      <c r="E3082" t="s">
        <v>765</v>
      </c>
      <c r="F3082">
        <v>-43.9</v>
      </c>
      <c r="G3082" t="s">
        <v>302</v>
      </c>
      <c r="H3082">
        <v>266</v>
      </c>
      <c r="I3082" t="s">
        <v>4937</v>
      </c>
      <c r="J3082" t="s">
        <v>294</v>
      </c>
      <c r="M3082" t="s">
        <v>295</v>
      </c>
      <c r="N3082" t="s">
        <v>296</v>
      </c>
      <c r="O3082" t="s">
        <v>297</v>
      </c>
    </row>
    <row r="3083" spans="1:15" x14ac:dyDescent="0.3">
      <c r="A3083" t="s">
        <v>4840</v>
      </c>
      <c r="B3083" t="s">
        <v>4929</v>
      </c>
      <c r="C3083">
        <v>2023</v>
      </c>
      <c r="D3083" t="s">
        <v>300</v>
      </c>
      <c r="E3083" t="s">
        <v>1216</v>
      </c>
      <c r="F3083">
        <v>117.73</v>
      </c>
      <c r="G3083" t="s">
        <v>302</v>
      </c>
      <c r="H3083">
        <v>266</v>
      </c>
      <c r="I3083" t="s">
        <v>4938</v>
      </c>
      <c r="J3083" t="s">
        <v>294</v>
      </c>
      <c r="M3083" t="s">
        <v>295</v>
      </c>
      <c r="N3083" t="s">
        <v>296</v>
      </c>
      <c r="O3083" t="s">
        <v>297</v>
      </c>
    </row>
    <row r="3084" spans="1:15" x14ac:dyDescent="0.3">
      <c r="A3084" t="s">
        <v>4840</v>
      </c>
      <c r="B3084" t="s">
        <v>4929</v>
      </c>
      <c r="C3084">
        <v>2023</v>
      </c>
      <c r="D3084" t="s">
        <v>300</v>
      </c>
      <c r="E3084" t="s">
        <v>695</v>
      </c>
      <c r="F3084">
        <v>-164.04</v>
      </c>
      <c r="G3084" t="s">
        <v>302</v>
      </c>
      <c r="H3084">
        <v>266</v>
      </c>
      <c r="I3084" t="s">
        <v>4939</v>
      </c>
      <c r="J3084" t="s">
        <v>294</v>
      </c>
      <c r="M3084" t="s">
        <v>295</v>
      </c>
      <c r="N3084" t="s">
        <v>296</v>
      </c>
      <c r="O3084" t="s">
        <v>297</v>
      </c>
    </row>
    <row r="3085" spans="1:15" x14ac:dyDescent="0.3">
      <c r="A3085" t="s">
        <v>4840</v>
      </c>
      <c r="B3085" t="s">
        <v>4929</v>
      </c>
      <c r="C3085">
        <v>2023</v>
      </c>
      <c r="D3085" t="s">
        <v>300</v>
      </c>
      <c r="E3085" t="s">
        <v>767</v>
      </c>
      <c r="F3085">
        <v>-172.27</v>
      </c>
      <c r="G3085" t="s">
        <v>302</v>
      </c>
      <c r="H3085">
        <v>266</v>
      </c>
      <c r="I3085" t="s">
        <v>4940</v>
      </c>
      <c r="J3085" t="s">
        <v>294</v>
      </c>
      <c r="M3085" t="s">
        <v>295</v>
      </c>
      <c r="N3085" t="s">
        <v>296</v>
      </c>
      <c r="O3085" t="s">
        <v>297</v>
      </c>
    </row>
    <row r="3086" spans="1:15" x14ac:dyDescent="0.3">
      <c r="A3086" t="s">
        <v>4840</v>
      </c>
      <c r="B3086" t="s">
        <v>4929</v>
      </c>
      <c r="C3086">
        <v>2023</v>
      </c>
      <c r="D3086" t="s">
        <v>300</v>
      </c>
      <c r="E3086" t="s">
        <v>2882</v>
      </c>
      <c r="F3086">
        <v>-152.22999999999999</v>
      </c>
      <c r="G3086" t="s">
        <v>302</v>
      </c>
      <c r="H3086">
        <v>8</v>
      </c>
      <c r="I3086" t="s">
        <v>4941</v>
      </c>
      <c r="J3086" t="s">
        <v>294</v>
      </c>
      <c r="M3086" t="s">
        <v>295</v>
      </c>
      <c r="N3086" t="s">
        <v>296</v>
      </c>
      <c r="O3086" t="s">
        <v>297</v>
      </c>
    </row>
    <row r="3087" spans="1:15" x14ac:dyDescent="0.3">
      <c r="A3087" t="s">
        <v>4840</v>
      </c>
      <c r="B3087" t="s">
        <v>4929</v>
      </c>
      <c r="C3087">
        <v>2023</v>
      </c>
      <c r="D3087" t="s">
        <v>300</v>
      </c>
      <c r="E3087" t="s">
        <v>4862</v>
      </c>
      <c r="F3087">
        <v>-20.04</v>
      </c>
      <c r="G3087" t="s">
        <v>302</v>
      </c>
      <c r="H3087">
        <v>8</v>
      </c>
      <c r="I3087" t="s">
        <v>4942</v>
      </c>
      <c r="J3087" t="s">
        <v>294</v>
      </c>
      <c r="M3087" t="s">
        <v>295</v>
      </c>
      <c r="N3087" t="s">
        <v>296</v>
      </c>
      <c r="O3087" t="s">
        <v>297</v>
      </c>
    </row>
    <row r="3088" spans="1:15" x14ac:dyDescent="0.3">
      <c r="A3088" t="s">
        <v>4840</v>
      </c>
      <c r="B3088" t="s">
        <v>4929</v>
      </c>
      <c r="C3088">
        <v>2023</v>
      </c>
      <c r="D3088" t="s">
        <v>300</v>
      </c>
      <c r="E3088" t="s">
        <v>769</v>
      </c>
      <c r="F3088">
        <v>-163.5</v>
      </c>
      <c r="G3088" t="s">
        <v>302</v>
      </c>
      <c r="H3088">
        <v>8</v>
      </c>
      <c r="I3088" t="s">
        <v>4943</v>
      </c>
      <c r="J3088" t="s">
        <v>294</v>
      </c>
      <c r="M3088" t="s">
        <v>295</v>
      </c>
      <c r="N3088" t="s">
        <v>296</v>
      </c>
      <c r="O3088" t="s">
        <v>297</v>
      </c>
    </row>
    <row r="3089" spans="1:15" x14ac:dyDescent="0.3">
      <c r="A3089" t="s">
        <v>4840</v>
      </c>
      <c r="B3089" t="s">
        <v>4929</v>
      </c>
      <c r="C3089">
        <v>2023</v>
      </c>
      <c r="D3089" t="s">
        <v>300</v>
      </c>
      <c r="E3089" t="s">
        <v>316</v>
      </c>
      <c r="F3089">
        <v>2680.2</v>
      </c>
      <c r="G3089" t="s">
        <v>302</v>
      </c>
      <c r="H3089">
        <v>66</v>
      </c>
      <c r="I3089" t="s">
        <v>4944</v>
      </c>
      <c r="J3089" t="s">
        <v>294</v>
      </c>
      <c r="M3089" t="s">
        <v>295</v>
      </c>
      <c r="N3089" t="s">
        <v>296</v>
      </c>
      <c r="O3089" t="s">
        <v>297</v>
      </c>
    </row>
    <row r="3090" spans="1:15" x14ac:dyDescent="0.3">
      <c r="A3090" t="s">
        <v>4840</v>
      </c>
      <c r="B3090" t="s">
        <v>4929</v>
      </c>
      <c r="C3090">
        <v>2023</v>
      </c>
      <c r="D3090" t="s">
        <v>300</v>
      </c>
      <c r="E3090" t="s">
        <v>312</v>
      </c>
      <c r="F3090">
        <v>1425.67</v>
      </c>
      <c r="G3090" t="s">
        <v>302</v>
      </c>
      <c r="H3090">
        <v>66</v>
      </c>
      <c r="I3090" t="s">
        <v>4945</v>
      </c>
      <c r="J3090" t="s">
        <v>294</v>
      </c>
      <c r="M3090" t="s">
        <v>295</v>
      </c>
      <c r="N3090" t="s">
        <v>296</v>
      </c>
      <c r="O3090" t="s">
        <v>297</v>
      </c>
    </row>
    <row r="3091" spans="1:15" x14ac:dyDescent="0.3">
      <c r="A3091" t="s">
        <v>4840</v>
      </c>
      <c r="B3091" t="s">
        <v>4929</v>
      </c>
      <c r="C3091">
        <v>2023</v>
      </c>
      <c r="D3091" t="s">
        <v>300</v>
      </c>
      <c r="E3091" t="s">
        <v>314</v>
      </c>
      <c r="F3091">
        <v>1254.53</v>
      </c>
      <c r="G3091" t="s">
        <v>302</v>
      </c>
      <c r="H3091">
        <v>66</v>
      </c>
      <c r="I3091" t="s">
        <v>4946</v>
      </c>
      <c r="J3091" t="s">
        <v>294</v>
      </c>
      <c r="M3091" t="s">
        <v>295</v>
      </c>
      <c r="N3091" t="s">
        <v>296</v>
      </c>
      <c r="O3091" t="s">
        <v>297</v>
      </c>
    </row>
    <row r="3092" spans="1:15" x14ac:dyDescent="0.3">
      <c r="A3092" t="s">
        <v>4840</v>
      </c>
      <c r="B3092" t="s">
        <v>4929</v>
      </c>
      <c r="C3092">
        <v>2023</v>
      </c>
      <c r="D3092" t="s">
        <v>300</v>
      </c>
      <c r="E3092" t="s">
        <v>322</v>
      </c>
      <c r="F3092">
        <v>2159.14</v>
      </c>
      <c r="G3092" t="s">
        <v>302</v>
      </c>
      <c r="H3092">
        <v>66</v>
      </c>
      <c r="I3092" t="s">
        <v>4947</v>
      </c>
      <c r="J3092" t="s">
        <v>294</v>
      </c>
      <c r="M3092" t="s">
        <v>295</v>
      </c>
      <c r="N3092" t="s">
        <v>296</v>
      </c>
      <c r="O3092" t="s">
        <v>297</v>
      </c>
    </row>
    <row r="3093" spans="1:15" x14ac:dyDescent="0.3">
      <c r="A3093" t="s">
        <v>4840</v>
      </c>
      <c r="B3093" t="s">
        <v>4929</v>
      </c>
      <c r="C3093">
        <v>2023</v>
      </c>
      <c r="D3093" t="s">
        <v>300</v>
      </c>
      <c r="E3093" t="s">
        <v>318</v>
      </c>
      <c r="F3093">
        <v>1693.11</v>
      </c>
      <c r="G3093" t="s">
        <v>302</v>
      </c>
      <c r="H3093">
        <v>66</v>
      </c>
      <c r="I3093" t="s">
        <v>4948</v>
      </c>
      <c r="J3093" t="s">
        <v>294</v>
      </c>
      <c r="M3093" t="s">
        <v>295</v>
      </c>
      <c r="N3093" t="s">
        <v>296</v>
      </c>
      <c r="O3093" t="s">
        <v>297</v>
      </c>
    </row>
    <row r="3094" spans="1:15" x14ac:dyDescent="0.3">
      <c r="A3094" t="s">
        <v>4840</v>
      </c>
      <c r="B3094" t="s">
        <v>4929</v>
      </c>
      <c r="C3094">
        <v>2023</v>
      </c>
      <c r="D3094" t="s">
        <v>300</v>
      </c>
      <c r="E3094" t="s">
        <v>468</v>
      </c>
      <c r="F3094">
        <v>466.02</v>
      </c>
      <c r="G3094" t="s">
        <v>302</v>
      </c>
      <c r="H3094">
        <v>66</v>
      </c>
      <c r="I3094" t="s">
        <v>4949</v>
      </c>
      <c r="J3094" t="s">
        <v>294</v>
      </c>
      <c r="M3094" t="s">
        <v>295</v>
      </c>
      <c r="N3094" t="s">
        <v>296</v>
      </c>
      <c r="O3094" t="s">
        <v>297</v>
      </c>
    </row>
    <row r="3095" spans="1:15" x14ac:dyDescent="0.3">
      <c r="A3095" t="s">
        <v>4840</v>
      </c>
      <c r="B3095" t="s">
        <v>4929</v>
      </c>
      <c r="C3095">
        <v>2023</v>
      </c>
      <c r="D3095" t="s">
        <v>300</v>
      </c>
      <c r="E3095" t="s">
        <v>324</v>
      </c>
      <c r="F3095">
        <v>521.05999999999995</v>
      </c>
      <c r="G3095" t="s">
        <v>302</v>
      </c>
      <c r="H3095">
        <v>66</v>
      </c>
      <c r="I3095" t="s">
        <v>4950</v>
      </c>
      <c r="J3095" t="s">
        <v>294</v>
      </c>
      <c r="M3095" t="s">
        <v>295</v>
      </c>
      <c r="N3095" t="s">
        <v>296</v>
      </c>
      <c r="O3095" t="s">
        <v>297</v>
      </c>
    </row>
    <row r="3096" spans="1:15" x14ac:dyDescent="0.3">
      <c r="A3096" t="s">
        <v>4840</v>
      </c>
      <c r="B3096" t="s">
        <v>4929</v>
      </c>
      <c r="C3096">
        <v>2023</v>
      </c>
      <c r="D3096" t="s">
        <v>300</v>
      </c>
      <c r="E3096" t="s">
        <v>2918</v>
      </c>
      <c r="F3096">
        <v>460.47</v>
      </c>
      <c r="G3096" t="s">
        <v>302</v>
      </c>
      <c r="H3096">
        <v>266</v>
      </c>
      <c r="I3096" t="s">
        <v>4951</v>
      </c>
      <c r="J3096" t="s">
        <v>294</v>
      </c>
      <c r="M3096" t="s">
        <v>295</v>
      </c>
      <c r="N3096" t="s">
        <v>296</v>
      </c>
      <c r="O3096" t="s">
        <v>297</v>
      </c>
    </row>
    <row r="3097" spans="1:15" x14ac:dyDescent="0.3">
      <c r="A3097" t="s">
        <v>4840</v>
      </c>
      <c r="B3097" t="s">
        <v>4929</v>
      </c>
      <c r="C3097">
        <v>2023</v>
      </c>
      <c r="D3097" t="s">
        <v>300</v>
      </c>
      <c r="E3097" t="s">
        <v>471</v>
      </c>
      <c r="F3097">
        <v>421.27</v>
      </c>
      <c r="G3097" t="s">
        <v>302</v>
      </c>
      <c r="H3097">
        <v>266</v>
      </c>
      <c r="I3097" t="s">
        <v>4952</v>
      </c>
      <c r="J3097" t="s">
        <v>294</v>
      </c>
      <c r="M3097" t="s">
        <v>295</v>
      </c>
      <c r="N3097" t="s">
        <v>296</v>
      </c>
      <c r="O3097" t="s">
        <v>297</v>
      </c>
    </row>
    <row r="3098" spans="1:15" x14ac:dyDescent="0.3">
      <c r="A3098" t="s">
        <v>4840</v>
      </c>
      <c r="B3098" t="s">
        <v>4929</v>
      </c>
      <c r="C3098">
        <v>2023</v>
      </c>
      <c r="D3098" t="s">
        <v>300</v>
      </c>
      <c r="E3098" t="s">
        <v>4953</v>
      </c>
      <c r="F3098">
        <v>305.87</v>
      </c>
      <c r="G3098" t="s">
        <v>302</v>
      </c>
      <c r="H3098">
        <v>67</v>
      </c>
      <c r="I3098" t="s">
        <v>4954</v>
      </c>
      <c r="J3098" t="s">
        <v>294</v>
      </c>
      <c r="M3098" t="s">
        <v>295</v>
      </c>
      <c r="N3098" t="s">
        <v>296</v>
      </c>
      <c r="O3098" t="s">
        <v>297</v>
      </c>
    </row>
    <row r="3099" spans="1:15" x14ac:dyDescent="0.3">
      <c r="A3099" t="s">
        <v>4840</v>
      </c>
      <c r="B3099" t="s">
        <v>4929</v>
      </c>
      <c r="C3099">
        <v>2023</v>
      </c>
      <c r="D3099" t="s">
        <v>300</v>
      </c>
      <c r="E3099" t="s">
        <v>481</v>
      </c>
      <c r="F3099">
        <v>331.71</v>
      </c>
      <c r="G3099" t="s">
        <v>302</v>
      </c>
      <c r="H3099">
        <v>266</v>
      </c>
      <c r="I3099" t="s">
        <v>4955</v>
      </c>
      <c r="J3099" t="s">
        <v>294</v>
      </c>
      <c r="M3099" t="s">
        <v>295</v>
      </c>
      <c r="N3099" t="s">
        <v>296</v>
      </c>
      <c r="O3099" t="s">
        <v>297</v>
      </c>
    </row>
    <row r="3100" spans="1:15" x14ac:dyDescent="0.3">
      <c r="A3100" t="s">
        <v>4840</v>
      </c>
      <c r="B3100" t="s">
        <v>4929</v>
      </c>
      <c r="C3100">
        <v>2023</v>
      </c>
      <c r="D3100" t="s">
        <v>300</v>
      </c>
      <c r="E3100" t="s">
        <v>595</v>
      </c>
      <c r="F3100">
        <v>1425.05</v>
      </c>
      <c r="G3100" t="s">
        <v>302</v>
      </c>
      <c r="H3100">
        <v>266</v>
      </c>
      <c r="I3100" t="s">
        <v>4956</v>
      </c>
      <c r="J3100" t="s">
        <v>294</v>
      </c>
      <c r="M3100" t="s">
        <v>295</v>
      </c>
      <c r="N3100" t="s">
        <v>296</v>
      </c>
      <c r="O3100" t="s">
        <v>297</v>
      </c>
    </row>
    <row r="3101" spans="1:15" x14ac:dyDescent="0.3">
      <c r="A3101" t="s">
        <v>4840</v>
      </c>
      <c r="B3101" t="s">
        <v>4929</v>
      </c>
      <c r="C3101">
        <v>2023</v>
      </c>
      <c r="D3101" t="s">
        <v>300</v>
      </c>
      <c r="E3101" t="s">
        <v>4876</v>
      </c>
      <c r="F3101">
        <v>88.55</v>
      </c>
      <c r="G3101" t="s">
        <v>302</v>
      </c>
      <c r="H3101">
        <v>266</v>
      </c>
      <c r="I3101" t="s">
        <v>4957</v>
      </c>
      <c r="J3101" t="s">
        <v>294</v>
      </c>
      <c r="M3101" t="s">
        <v>295</v>
      </c>
      <c r="N3101" t="s">
        <v>296</v>
      </c>
      <c r="O3101" t="s">
        <v>297</v>
      </c>
    </row>
    <row r="3102" spans="1:15" x14ac:dyDescent="0.3">
      <c r="A3102" t="s">
        <v>4840</v>
      </c>
      <c r="B3102" t="s">
        <v>4929</v>
      </c>
      <c r="C3102">
        <v>2023</v>
      </c>
      <c r="D3102" t="s">
        <v>300</v>
      </c>
      <c r="E3102" t="s">
        <v>4878</v>
      </c>
      <c r="F3102">
        <v>313.35000000000002</v>
      </c>
      <c r="G3102" t="s">
        <v>302</v>
      </c>
      <c r="H3102">
        <v>266</v>
      </c>
      <c r="I3102" t="s">
        <v>4958</v>
      </c>
      <c r="J3102" t="s">
        <v>294</v>
      </c>
      <c r="M3102" t="s">
        <v>295</v>
      </c>
      <c r="N3102" t="s">
        <v>296</v>
      </c>
      <c r="O3102" t="s">
        <v>297</v>
      </c>
    </row>
    <row r="3103" spans="1:15" x14ac:dyDescent="0.3">
      <c r="A3103" t="s">
        <v>4840</v>
      </c>
      <c r="B3103" t="s">
        <v>4929</v>
      </c>
      <c r="C3103">
        <v>2023</v>
      </c>
      <c r="D3103" t="s">
        <v>300</v>
      </c>
      <c r="E3103" t="s">
        <v>4880</v>
      </c>
      <c r="F3103">
        <v>90</v>
      </c>
      <c r="G3103" t="s">
        <v>302</v>
      </c>
      <c r="H3103">
        <v>266</v>
      </c>
      <c r="I3103" t="s">
        <v>4959</v>
      </c>
      <c r="J3103" t="s">
        <v>294</v>
      </c>
      <c r="M3103" t="s">
        <v>295</v>
      </c>
      <c r="N3103" t="s">
        <v>296</v>
      </c>
      <c r="O3103" t="s">
        <v>297</v>
      </c>
    </row>
    <row r="3104" spans="1:15" x14ac:dyDescent="0.3">
      <c r="A3104" t="s">
        <v>4840</v>
      </c>
      <c r="B3104" t="s">
        <v>4929</v>
      </c>
      <c r="C3104">
        <v>2023</v>
      </c>
      <c r="D3104" t="s">
        <v>300</v>
      </c>
      <c r="E3104" t="s">
        <v>597</v>
      </c>
      <c r="F3104">
        <v>1916.95</v>
      </c>
      <c r="G3104" t="s">
        <v>302</v>
      </c>
      <c r="H3104">
        <v>266</v>
      </c>
      <c r="I3104" t="s">
        <v>4960</v>
      </c>
      <c r="J3104" t="s">
        <v>294</v>
      </c>
      <c r="M3104" t="s">
        <v>295</v>
      </c>
      <c r="N3104" t="s">
        <v>296</v>
      </c>
      <c r="O3104" t="s">
        <v>297</v>
      </c>
    </row>
    <row r="3105" spans="1:15" x14ac:dyDescent="0.3">
      <c r="A3105" t="s">
        <v>4840</v>
      </c>
      <c r="B3105" t="s">
        <v>4929</v>
      </c>
      <c r="C3105">
        <v>2023</v>
      </c>
      <c r="D3105" t="s">
        <v>300</v>
      </c>
      <c r="E3105" t="s">
        <v>601</v>
      </c>
      <c r="F3105">
        <v>309.79000000000002</v>
      </c>
      <c r="G3105" t="s">
        <v>302</v>
      </c>
      <c r="H3105">
        <v>70</v>
      </c>
      <c r="I3105" t="s">
        <v>4961</v>
      </c>
      <c r="J3105" t="s">
        <v>294</v>
      </c>
      <c r="M3105" t="s">
        <v>295</v>
      </c>
      <c r="N3105" t="s">
        <v>296</v>
      </c>
      <c r="O3105" t="s">
        <v>297</v>
      </c>
    </row>
    <row r="3106" spans="1:15" x14ac:dyDescent="0.3">
      <c r="A3106" t="s">
        <v>4840</v>
      </c>
      <c r="B3106" t="s">
        <v>4929</v>
      </c>
      <c r="C3106">
        <v>2023</v>
      </c>
      <c r="D3106" t="s">
        <v>300</v>
      </c>
      <c r="E3106" t="s">
        <v>603</v>
      </c>
      <c r="F3106">
        <v>-274.58999999999997</v>
      </c>
      <c r="G3106" t="s">
        <v>302</v>
      </c>
      <c r="H3106">
        <v>70</v>
      </c>
      <c r="I3106" t="s">
        <v>4962</v>
      </c>
      <c r="J3106" t="s">
        <v>294</v>
      </c>
      <c r="M3106" t="s">
        <v>295</v>
      </c>
      <c r="N3106" t="s">
        <v>296</v>
      </c>
      <c r="O3106" t="s">
        <v>297</v>
      </c>
    </row>
    <row r="3107" spans="1:15" x14ac:dyDescent="0.3">
      <c r="A3107" t="s">
        <v>4840</v>
      </c>
      <c r="B3107" t="s">
        <v>4929</v>
      </c>
      <c r="C3107">
        <v>2023</v>
      </c>
      <c r="D3107" t="s">
        <v>300</v>
      </c>
      <c r="E3107" t="s">
        <v>716</v>
      </c>
      <c r="F3107">
        <v>234.33</v>
      </c>
      <c r="G3107" t="s">
        <v>302</v>
      </c>
      <c r="H3107">
        <v>70</v>
      </c>
      <c r="I3107" t="s">
        <v>4963</v>
      </c>
      <c r="J3107" t="s">
        <v>294</v>
      </c>
      <c r="M3107" t="s">
        <v>295</v>
      </c>
      <c r="N3107" t="s">
        <v>296</v>
      </c>
      <c r="O3107" t="s">
        <v>297</v>
      </c>
    </row>
    <row r="3108" spans="1:15" x14ac:dyDescent="0.3">
      <c r="A3108" t="s">
        <v>4840</v>
      </c>
      <c r="B3108" t="s">
        <v>4929</v>
      </c>
      <c r="C3108">
        <v>2023</v>
      </c>
      <c r="D3108" t="s">
        <v>300</v>
      </c>
      <c r="E3108" t="s">
        <v>1140</v>
      </c>
      <c r="F3108">
        <v>180.81</v>
      </c>
      <c r="G3108" t="s">
        <v>302</v>
      </c>
      <c r="H3108">
        <v>68</v>
      </c>
      <c r="I3108" t="s">
        <v>4964</v>
      </c>
      <c r="J3108" t="s">
        <v>294</v>
      </c>
      <c r="M3108" t="s">
        <v>295</v>
      </c>
      <c r="N3108" t="s">
        <v>296</v>
      </c>
      <c r="O3108" t="s">
        <v>297</v>
      </c>
    </row>
    <row r="3109" spans="1:15" x14ac:dyDescent="0.3">
      <c r="A3109" t="s">
        <v>4840</v>
      </c>
      <c r="B3109" t="s">
        <v>4929</v>
      </c>
      <c r="C3109">
        <v>2023</v>
      </c>
      <c r="D3109" t="s">
        <v>300</v>
      </c>
      <c r="E3109" t="s">
        <v>342</v>
      </c>
      <c r="F3109">
        <v>3554.45</v>
      </c>
      <c r="G3109" t="s">
        <v>1288</v>
      </c>
      <c r="H3109">
        <v>9</v>
      </c>
      <c r="I3109" t="s">
        <v>4886</v>
      </c>
      <c r="J3109" t="s">
        <v>294</v>
      </c>
      <c r="M3109" t="s">
        <v>295</v>
      </c>
      <c r="N3109" t="s">
        <v>296</v>
      </c>
      <c r="O3109" t="s">
        <v>297</v>
      </c>
    </row>
    <row r="3110" spans="1:15" x14ac:dyDescent="0.3">
      <c r="A3110" t="s">
        <v>4840</v>
      </c>
      <c r="B3110" t="s">
        <v>4929</v>
      </c>
      <c r="C3110">
        <v>2023</v>
      </c>
      <c r="D3110" t="s">
        <v>300</v>
      </c>
      <c r="E3110" t="s">
        <v>4887</v>
      </c>
      <c r="F3110">
        <v>-43.12</v>
      </c>
      <c r="G3110" t="s">
        <v>346</v>
      </c>
      <c r="H3110">
        <v>8</v>
      </c>
      <c r="I3110" t="s">
        <v>4965</v>
      </c>
      <c r="J3110" t="s">
        <v>294</v>
      </c>
      <c r="M3110" t="s">
        <v>295</v>
      </c>
      <c r="N3110" t="s">
        <v>296</v>
      </c>
      <c r="O3110" t="s">
        <v>297</v>
      </c>
    </row>
    <row r="3111" spans="1:15" x14ac:dyDescent="0.3">
      <c r="A3111" t="s">
        <v>4840</v>
      </c>
      <c r="B3111" t="s">
        <v>4929</v>
      </c>
      <c r="C3111">
        <v>2023</v>
      </c>
      <c r="D3111" t="s">
        <v>300</v>
      </c>
      <c r="E3111" t="s">
        <v>4966</v>
      </c>
      <c r="F3111">
        <v>705</v>
      </c>
      <c r="G3111" t="s">
        <v>346</v>
      </c>
      <c r="H3111">
        <v>9</v>
      </c>
      <c r="I3111" t="s">
        <v>4967</v>
      </c>
      <c r="J3111" t="s">
        <v>294</v>
      </c>
      <c r="M3111" t="s">
        <v>295</v>
      </c>
      <c r="N3111" t="s">
        <v>296</v>
      </c>
      <c r="O3111" t="s">
        <v>297</v>
      </c>
    </row>
    <row r="3112" spans="1:15" x14ac:dyDescent="0.3">
      <c r="A3112" t="s">
        <v>4840</v>
      </c>
      <c r="B3112" t="s">
        <v>4929</v>
      </c>
      <c r="C3112">
        <v>2023</v>
      </c>
      <c r="D3112" t="s">
        <v>300</v>
      </c>
      <c r="E3112" t="s">
        <v>4968</v>
      </c>
      <c r="F3112">
        <v>2505.88</v>
      </c>
      <c r="G3112" t="s">
        <v>302</v>
      </c>
      <c r="H3112">
        <v>9</v>
      </c>
      <c r="I3112" t="s">
        <v>4969</v>
      </c>
      <c r="J3112" t="s">
        <v>294</v>
      </c>
      <c r="M3112" t="s">
        <v>295</v>
      </c>
      <c r="N3112" t="s">
        <v>296</v>
      </c>
      <c r="O3112" t="s">
        <v>297</v>
      </c>
    </row>
    <row r="3113" spans="1:15" x14ac:dyDescent="0.3">
      <c r="A3113" t="s">
        <v>4840</v>
      </c>
      <c r="B3113" t="s">
        <v>4929</v>
      </c>
      <c r="C3113">
        <v>2023</v>
      </c>
      <c r="D3113" t="s">
        <v>300</v>
      </c>
      <c r="E3113" t="s">
        <v>326</v>
      </c>
      <c r="F3113">
        <v>0.84199999999999997</v>
      </c>
      <c r="G3113" t="s">
        <v>327</v>
      </c>
      <c r="H3113">
        <v>9</v>
      </c>
      <c r="I3113" t="s">
        <v>4970</v>
      </c>
      <c r="J3113" t="s">
        <v>294</v>
      </c>
      <c r="M3113" t="s">
        <v>295</v>
      </c>
      <c r="N3113" t="s">
        <v>296</v>
      </c>
      <c r="O3113" t="s">
        <v>297</v>
      </c>
    </row>
    <row r="3114" spans="1:15" x14ac:dyDescent="0.3">
      <c r="A3114" t="s">
        <v>4840</v>
      </c>
      <c r="B3114" t="s">
        <v>4929</v>
      </c>
      <c r="C3114">
        <v>2023</v>
      </c>
      <c r="D3114" t="s">
        <v>300</v>
      </c>
      <c r="E3114" t="s">
        <v>2762</v>
      </c>
      <c r="F3114">
        <v>4.1436999999999999</v>
      </c>
      <c r="G3114" t="s">
        <v>327</v>
      </c>
      <c r="H3114">
        <v>9</v>
      </c>
      <c r="I3114" t="s">
        <v>4971</v>
      </c>
      <c r="J3114" t="s">
        <v>294</v>
      </c>
      <c r="M3114" t="s">
        <v>295</v>
      </c>
      <c r="N3114" t="s">
        <v>296</v>
      </c>
      <c r="O3114" t="s">
        <v>297</v>
      </c>
    </row>
    <row r="3115" spans="1:15" x14ac:dyDescent="0.3">
      <c r="A3115" t="s">
        <v>4840</v>
      </c>
      <c r="B3115" t="s">
        <v>4929</v>
      </c>
      <c r="C3115">
        <v>2023</v>
      </c>
      <c r="D3115" t="s">
        <v>300</v>
      </c>
      <c r="E3115" t="s">
        <v>4895</v>
      </c>
      <c r="F3115">
        <v>0.42949999999999999</v>
      </c>
      <c r="G3115" t="s">
        <v>327</v>
      </c>
      <c r="H3115">
        <v>71</v>
      </c>
      <c r="I3115" t="s">
        <v>4972</v>
      </c>
      <c r="J3115" t="s">
        <v>294</v>
      </c>
      <c r="M3115" t="s">
        <v>295</v>
      </c>
      <c r="N3115" t="s">
        <v>296</v>
      </c>
      <c r="O3115" t="s">
        <v>297</v>
      </c>
    </row>
    <row r="3116" spans="1:15" x14ac:dyDescent="0.3">
      <c r="A3116" t="s">
        <v>4840</v>
      </c>
      <c r="B3116" t="s">
        <v>4929</v>
      </c>
      <c r="C3116">
        <v>2023</v>
      </c>
      <c r="D3116" t="s">
        <v>358</v>
      </c>
      <c r="E3116" t="s">
        <v>4973</v>
      </c>
      <c r="F3116">
        <v>427.88</v>
      </c>
      <c r="G3116" t="s">
        <v>360</v>
      </c>
      <c r="H3116">
        <v>65</v>
      </c>
      <c r="I3116" t="s">
        <v>4974</v>
      </c>
      <c r="J3116" t="s">
        <v>294</v>
      </c>
      <c r="M3116" t="s">
        <v>295</v>
      </c>
      <c r="N3116" t="s">
        <v>296</v>
      </c>
      <c r="O3116" t="s">
        <v>297</v>
      </c>
    </row>
    <row r="3117" spans="1:15" x14ac:dyDescent="0.3">
      <c r="A3117" t="s">
        <v>4840</v>
      </c>
      <c r="B3117" t="s">
        <v>4929</v>
      </c>
      <c r="C3117">
        <v>2023</v>
      </c>
      <c r="D3117" t="s">
        <v>358</v>
      </c>
      <c r="E3117" t="s">
        <v>4975</v>
      </c>
      <c r="F3117">
        <v>967.74</v>
      </c>
      <c r="G3117" t="s">
        <v>360</v>
      </c>
      <c r="H3117">
        <v>65</v>
      </c>
      <c r="I3117" t="s">
        <v>4976</v>
      </c>
      <c r="J3117" t="s">
        <v>294</v>
      </c>
      <c r="M3117" t="s">
        <v>295</v>
      </c>
      <c r="N3117" t="s">
        <v>296</v>
      </c>
      <c r="O3117" t="s">
        <v>297</v>
      </c>
    </row>
    <row r="3118" spans="1:15" x14ac:dyDescent="0.3">
      <c r="A3118" t="s">
        <v>4840</v>
      </c>
      <c r="B3118" t="s">
        <v>4929</v>
      </c>
      <c r="C3118">
        <v>2023</v>
      </c>
      <c r="D3118" t="s">
        <v>358</v>
      </c>
      <c r="E3118" t="s">
        <v>4977</v>
      </c>
      <c r="F3118">
        <v>71.61</v>
      </c>
      <c r="G3118" t="s">
        <v>360</v>
      </c>
      <c r="H3118">
        <v>65</v>
      </c>
      <c r="I3118" t="s">
        <v>4978</v>
      </c>
      <c r="J3118" t="s">
        <v>294</v>
      </c>
      <c r="M3118" t="s">
        <v>295</v>
      </c>
      <c r="N3118" t="s">
        <v>296</v>
      </c>
      <c r="O3118" t="s">
        <v>297</v>
      </c>
    </row>
    <row r="3119" spans="1:15" x14ac:dyDescent="0.3">
      <c r="A3119" t="s">
        <v>4840</v>
      </c>
      <c r="B3119" t="s">
        <v>4929</v>
      </c>
      <c r="C3119">
        <v>2023</v>
      </c>
      <c r="D3119" t="s">
        <v>358</v>
      </c>
      <c r="E3119" t="s">
        <v>4900</v>
      </c>
      <c r="F3119">
        <v>26</v>
      </c>
      <c r="G3119" t="s">
        <v>384</v>
      </c>
      <c r="H3119">
        <v>63</v>
      </c>
      <c r="I3119" t="s">
        <v>4901</v>
      </c>
      <c r="J3119" t="s">
        <v>294</v>
      </c>
      <c r="M3119" t="s">
        <v>295</v>
      </c>
      <c r="N3119" t="s">
        <v>296</v>
      </c>
      <c r="O3119" t="s">
        <v>297</v>
      </c>
    </row>
    <row r="3120" spans="1:15" x14ac:dyDescent="0.3">
      <c r="A3120" t="s">
        <v>4840</v>
      </c>
      <c r="B3120" t="s">
        <v>4929</v>
      </c>
      <c r="C3120">
        <v>2023</v>
      </c>
      <c r="D3120" t="s">
        <v>394</v>
      </c>
      <c r="E3120" t="s">
        <v>406</v>
      </c>
      <c r="F3120">
        <v>256930</v>
      </c>
      <c r="G3120" t="s">
        <v>396</v>
      </c>
      <c r="H3120">
        <v>63</v>
      </c>
      <c r="I3120" t="s">
        <v>4979</v>
      </c>
      <c r="J3120" t="s">
        <v>294</v>
      </c>
      <c r="M3120" t="s">
        <v>295</v>
      </c>
      <c r="N3120" t="s">
        <v>296</v>
      </c>
      <c r="O3120" t="s">
        <v>297</v>
      </c>
    </row>
    <row r="3121" spans="1:15" x14ac:dyDescent="0.3">
      <c r="A3121" t="s">
        <v>4840</v>
      </c>
      <c r="B3121" t="s">
        <v>4929</v>
      </c>
      <c r="C3121">
        <v>2023</v>
      </c>
      <c r="D3121" t="s">
        <v>394</v>
      </c>
      <c r="E3121" t="s">
        <v>855</v>
      </c>
      <c r="F3121">
        <v>77230</v>
      </c>
      <c r="G3121" t="s">
        <v>396</v>
      </c>
      <c r="H3121">
        <v>63</v>
      </c>
      <c r="I3121" t="s">
        <v>4980</v>
      </c>
      <c r="J3121" t="s">
        <v>294</v>
      </c>
      <c r="M3121" t="s">
        <v>295</v>
      </c>
      <c r="N3121" t="s">
        <v>296</v>
      </c>
      <c r="O3121" t="s">
        <v>297</v>
      </c>
    </row>
    <row r="3122" spans="1:15" x14ac:dyDescent="0.3">
      <c r="A3122" t="s">
        <v>4840</v>
      </c>
      <c r="B3122" t="s">
        <v>4929</v>
      </c>
      <c r="C3122">
        <v>2023</v>
      </c>
      <c r="D3122" t="s">
        <v>394</v>
      </c>
      <c r="E3122" t="s">
        <v>408</v>
      </c>
      <c r="F3122">
        <v>274680</v>
      </c>
      <c r="G3122" t="s">
        <v>396</v>
      </c>
      <c r="H3122">
        <v>63</v>
      </c>
      <c r="I3122" t="s">
        <v>4981</v>
      </c>
      <c r="J3122" t="s">
        <v>294</v>
      </c>
      <c r="M3122" t="s">
        <v>295</v>
      </c>
      <c r="N3122" t="s">
        <v>296</v>
      </c>
      <c r="O3122" t="s">
        <v>297</v>
      </c>
    </row>
    <row r="3123" spans="1:15" x14ac:dyDescent="0.3">
      <c r="A3123" t="s">
        <v>4840</v>
      </c>
      <c r="B3123" t="s">
        <v>4929</v>
      </c>
      <c r="C3123">
        <v>2023</v>
      </c>
      <c r="D3123" t="s">
        <v>394</v>
      </c>
      <c r="E3123" t="s">
        <v>414</v>
      </c>
      <c r="F3123">
        <v>15970</v>
      </c>
      <c r="G3123" t="s">
        <v>396</v>
      </c>
      <c r="H3123">
        <v>63</v>
      </c>
      <c r="I3123" t="s">
        <v>4982</v>
      </c>
      <c r="J3123" t="s">
        <v>294</v>
      </c>
      <c r="M3123" t="s">
        <v>295</v>
      </c>
      <c r="N3123" t="s">
        <v>296</v>
      </c>
      <c r="O3123" t="s">
        <v>297</v>
      </c>
    </row>
    <row r="3124" spans="1:15" x14ac:dyDescent="0.3">
      <c r="A3124" t="s">
        <v>4840</v>
      </c>
      <c r="B3124" t="s">
        <v>4929</v>
      </c>
      <c r="C3124">
        <v>2023</v>
      </c>
      <c r="D3124" t="s">
        <v>394</v>
      </c>
      <c r="E3124" t="s">
        <v>418</v>
      </c>
      <c r="F3124">
        <v>15730</v>
      </c>
      <c r="G3124" t="s">
        <v>396</v>
      </c>
      <c r="H3124">
        <v>63</v>
      </c>
      <c r="I3124" t="s">
        <v>4983</v>
      </c>
      <c r="J3124" t="s">
        <v>294</v>
      </c>
      <c r="M3124" t="s">
        <v>295</v>
      </c>
      <c r="N3124" t="s">
        <v>296</v>
      </c>
      <c r="O3124" t="s">
        <v>297</v>
      </c>
    </row>
    <row r="3125" spans="1:15" x14ac:dyDescent="0.3">
      <c r="A3125" t="s">
        <v>4840</v>
      </c>
      <c r="B3125" t="s">
        <v>4929</v>
      </c>
      <c r="C3125">
        <v>2023</v>
      </c>
      <c r="D3125" t="s">
        <v>394</v>
      </c>
      <c r="E3125" t="s">
        <v>420</v>
      </c>
      <c r="F3125">
        <v>19960</v>
      </c>
      <c r="G3125" t="s">
        <v>396</v>
      </c>
      <c r="H3125">
        <v>63</v>
      </c>
      <c r="I3125" t="s">
        <v>4984</v>
      </c>
      <c r="J3125" t="s">
        <v>294</v>
      </c>
      <c r="M3125" t="s">
        <v>295</v>
      </c>
      <c r="N3125" t="s">
        <v>296</v>
      </c>
      <c r="O3125" t="s">
        <v>297</v>
      </c>
    </row>
    <row r="3126" spans="1:15" x14ac:dyDescent="0.3">
      <c r="A3126" t="s">
        <v>4840</v>
      </c>
      <c r="B3126" t="s">
        <v>4929</v>
      </c>
      <c r="C3126">
        <v>2023</v>
      </c>
      <c r="D3126" t="s">
        <v>394</v>
      </c>
      <c r="E3126" t="s">
        <v>410</v>
      </c>
      <c r="F3126">
        <v>9420</v>
      </c>
      <c r="G3126" t="s">
        <v>396</v>
      </c>
      <c r="H3126">
        <v>63</v>
      </c>
      <c r="I3126" t="s">
        <v>4985</v>
      </c>
      <c r="J3126" t="s">
        <v>294</v>
      </c>
      <c r="M3126" t="s">
        <v>295</v>
      </c>
      <c r="N3126" t="s">
        <v>296</v>
      </c>
      <c r="O3126" t="s">
        <v>297</v>
      </c>
    </row>
    <row r="3127" spans="1:15" x14ac:dyDescent="0.3">
      <c r="A3127" t="s">
        <v>4840</v>
      </c>
      <c r="B3127" t="s">
        <v>4929</v>
      </c>
      <c r="C3127">
        <v>2023</v>
      </c>
      <c r="D3127" t="s">
        <v>394</v>
      </c>
      <c r="E3127" t="s">
        <v>412</v>
      </c>
      <c r="F3127">
        <v>3630</v>
      </c>
      <c r="G3127" t="s">
        <v>396</v>
      </c>
      <c r="H3127">
        <v>63</v>
      </c>
      <c r="I3127" t="s">
        <v>4986</v>
      </c>
      <c r="J3127" t="s">
        <v>294</v>
      </c>
      <c r="M3127" t="s">
        <v>295</v>
      </c>
      <c r="N3127" t="s">
        <v>296</v>
      </c>
      <c r="O3127" t="s">
        <v>297</v>
      </c>
    </row>
    <row r="3128" spans="1:15" x14ac:dyDescent="0.3">
      <c r="A3128" t="s">
        <v>4840</v>
      </c>
      <c r="B3128" t="s">
        <v>4929</v>
      </c>
      <c r="C3128">
        <v>2023</v>
      </c>
      <c r="D3128" t="s">
        <v>394</v>
      </c>
      <c r="E3128" t="s">
        <v>4987</v>
      </c>
      <c r="F3128">
        <v>694591</v>
      </c>
      <c r="G3128" t="s">
        <v>396</v>
      </c>
      <c r="H3128">
        <v>65</v>
      </c>
      <c r="I3128" t="s">
        <v>4988</v>
      </c>
      <c r="J3128" t="s">
        <v>294</v>
      </c>
      <c r="M3128" t="s">
        <v>295</v>
      </c>
      <c r="N3128" t="s">
        <v>296</v>
      </c>
      <c r="O3128" t="s">
        <v>297</v>
      </c>
    </row>
    <row r="3129" spans="1:15" x14ac:dyDescent="0.3">
      <c r="A3129" t="s">
        <v>4840</v>
      </c>
      <c r="B3129" t="s">
        <v>4929</v>
      </c>
      <c r="C3129">
        <v>2023</v>
      </c>
      <c r="D3129" t="s">
        <v>394</v>
      </c>
      <c r="E3129" t="s">
        <v>4910</v>
      </c>
      <c r="F3129">
        <v>1470215</v>
      </c>
      <c r="G3129" t="s">
        <v>396</v>
      </c>
      <c r="H3129">
        <v>68</v>
      </c>
      <c r="I3129" t="s">
        <v>4989</v>
      </c>
      <c r="J3129" t="s">
        <v>294</v>
      </c>
      <c r="M3129" t="s">
        <v>295</v>
      </c>
      <c r="N3129" t="s">
        <v>296</v>
      </c>
      <c r="O3129" t="s">
        <v>297</v>
      </c>
    </row>
    <row r="3130" spans="1:15" x14ac:dyDescent="0.3">
      <c r="A3130" t="s">
        <v>4840</v>
      </c>
      <c r="B3130" t="s">
        <v>4929</v>
      </c>
      <c r="C3130">
        <v>2023</v>
      </c>
      <c r="D3130" t="s">
        <v>394</v>
      </c>
      <c r="E3130" t="s">
        <v>4912</v>
      </c>
      <c r="F3130">
        <v>123164</v>
      </c>
      <c r="G3130" t="s">
        <v>396</v>
      </c>
      <c r="H3130">
        <v>68</v>
      </c>
      <c r="I3130" t="s">
        <v>4990</v>
      </c>
      <c r="J3130" t="s">
        <v>294</v>
      </c>
      <c r="M3130" t="s">
        <v>295</v>
      </c>
      <c r="N3130" t="s">
        <v>296</v>
      </c>
      <c r="O3130" t="s">
        <v>297</v>
      </c>
    </row>
    <row r="3131" spans="1:15" x14ac:dyDescent="0.3">
      <c r="A3131" t="s">
        <v>4840</v>
      </c>
      <c r="B3131" t="s">
        <v>4929</v>
      </c>
      <c r="C3131">
        <v>2023</v>
      </c>
      <c r="D3131" t="s">
        <v>394</v>
      </c>
      <c r="E3131" t="s">
        <v>4991</v>
      </c>
      <c r="F3131">
        <v>21231</v>
      </c>
      <c r="G3131" t="s">
        <v>396</v>
      </c>
      <c r="H3131">
        <v>68</v>
      </c>
      <c r="I3131" t="s">
        <v>4992</v>
      </c>
      <c r="J3131" t="s">
        <v>294</v>
      </c>
      <c r="M3131" t="s">
        <v>295</v>
      </c>
      <c r="N3131" t="s">
        <v>296</v>
      </c>
      <c r="O3131" t="s">
        <v>297</v>
      </c>
    </row>
    <row r="3132" spans="1:15" x14ac:dyDescent="0.3">
      <c r="A3132" t="s">
        <v>4840</v>
      </c>
      <c r="B3132" t="s">
        <v>4929</v>
      </c>
      <c r="C3132">
        <v>2023</v>
      </c>
      <c r="D3132" t="s">
        <v>394</v>
      </c>
      <c r="E3132" t="s">
        <v>438</v>
      </c>
      <c r="F3132">
        <v>89259</v>
      </c>
      <c r="G3132" t="s">
        <v>396</v>
      </c>
      <c r="H3132">
        <v>68</v>
      </c>
      <c r="I3132" t="s">
        <v>4993</v>
      </c>
      <c r="J3132" t="s">
        <v>294</v>
      </c>
      <c r="M3132" t="s">
        <v>295</v>
      </c>
      <c r="N3132" t="s">
        <v>296</v>
      </c>
      <c r="O3132" t="s">
        <v>297</v>
      </c>
    </row>
    <row r="3133" spans="1:15" x14ac:dyDescent="0.3">
      <c r="A3133" t="s">
        <v>4840</v>
      </c>
      <c r="B3133" t="s">
        <v>4929</v>
      </c>
      <c r="C3133">
        <v>2023</v>
      </c>
      <c r="D3133" t="s">
        <v>394</v>
      </c>
      <c r="E3133" t="s">
        <v>4994</v>
      </c>
      <c r="F3133">
        <v>59642</v>
      </c>
      <c r="G3133" t="s">
        <v>396</v>
      </c>
      <c r="H3133">
        <v>68</v>
      </c>
      <c r="I3133" t="s">
        <v>4995</v>
      </c>
      <c r="J3133" t="s">
        <v>294</v>
      </c>
      <c r="M3133" t="s">
        <v>295</v>
      </c>
      <c r="N3133" t="s">
        <v>296</v>
      </c>
      <c r="O3133" t="s">
        <v>297</v>
      </c>
    </row>
    <row r="3134" spans="1:15" x14ac:dyDescent="0.3">
      <c r="A3134" t="s">
        <v>4840</v>
      </c>
      <c r="B3134" t="s">
        <v>4929</v>
      </c>
      <c r="C3134">
        <v>2023</v>
      </c>
      <c r="D3134" t="s">
        <v>394</v>
      </c>
      <c r="E3134" t="s">
        <v>4915</v>
      </c>
      <c r="F3134">
        <v>266111</v>
      </c>
      <c r="G3134" t="s">
        <v>396</v>
      </c>
      <c r="H3134">
        <v>68</v>
      </c>
      <c r="I3134" t="s">
        <v>4996</v>
      </c>
      <c r="J3134" t="s">
        <v>294</v>
      </c>
      <c r="M3134" t="s">
        <v>295</v>
      </c>
      <c r="N3134" t="s">
        <v>296</v>
      </c>
      <c r="O3134" t="s">
        <v>297</v>
      </c>
    </row>
    <row r="3135" spans="1:15" x14ac:dyDescent="0.3">
      <c r="A3135" t="s">
        <v>4840</v>
      </c>
      <c r="B3135" t="s">
        <v>4929</v>
      </c>
      <c r="C3135">
        <v>2023</v>
      </c>
      <c r="D3135" t="s">
        <v>394</v>
      </c>
      <c r="E3135" t="s">
        <v>4997</v>
      </c>
      <c r="F3135">
        <v>15498</v>
      </c>
      <c r="G3135" t="s">
        <v>396</v>
      </c>
      <c r="H3135">
        <v>68</v>
      </c>
      <c r="I3135" t="s">
        <v>4998</v>
      </c>
      <c r="J3135" t="s">
        <v>294</v>
      </c>
      <c r="M3135" t="s">
        <v>295</v>
      </c>
      <c r="N3135" t="s">
        <v>296</v>
      </c>
      <c r="O3135" t="s">
        <v>297</v>
      </c>
    </row>
    <row r="3136" spans="1:15" x14ac:dyDescent="0.3">
      <c r="A3136" t="s">
        <v>4840</v>
      </c>
      <c r="B3136" t="s">
        <v>4929</v>
      </c>
      <c r="C3136">
        <v>2023</v>
      </c>
      <c r="D3136" t="s">
        <v>394</v>
      </c>
      <c r="E3136" t="s">
        <v>4999</v>
      </c>
      <c r="F3136">
        <v>11418</v>
      </c>
      <c r="G3136" t="s">
        <v>396</v>
      </c>
      <c r="H3136">
        <v>68</v>
      </c>
      <c r="I3136" t="s">
        <v>5000</v>
      </c>
      <c r="J3136" t="s">
        <v>294</v>
      </c>
      <c r="M3136" t="s">
        <v>295</v>
      </c>
      <c r="N3136" t="s">
        <v>296</v>
      </c>
      <c r="O3136" t="s">
        <v>297</v>
      </c>
    </row>
    <row r="3137" spans="1:15" x14ac:dyDescent="0.3">
      <c r="A3137" t="s">
        <v>4840</v>
      </c>
      <c r="B3137" t="s">
        <v>4929</v>
      </c>
      <c r="C3137">
        <v>2023</v>
      </c>
      <c r="D3137" t="s">
        <v>394</v>
      </c>
      <c r="E3137" t="s">
        <v>5001</v>
      </c>
      <c r="F3137">
        <v>23108</v>
      </c>
      <c r="G3137" t="s">
        <v>396</v>
      </c>
      <c r="H3137">
        <v>68</v>
      </c>
      <c r="I3137" t="s">
        <v>5002</v>
      </c>
      <c r="J3137" t="s">
        <v>294</v>
      </c>
      <c r="M3137" t="s">
        <v>295</v>
      </c>
      <c r="N3137" t="s">
        <v>296</v>
      </c>
      <c r="O3137" t="s">
        <v>297</v>
      </c>
    </row>
    <row r="3138" spans="1:15" x14ac:dyDescent="0.3">
      <c r="A3138" t="s">
        <v>4840</v>
      </c>
      <c r="B3138" t="s">
        <v>4929</v>
      </c>
      <c r="C3138">
        <v>2023</v>
      </c>
      <c r="D3138" t="s">
        <v>394</v>
      </c>
      <c r="E3138" t="s">
        <v>5003</v>
      </c>
      <c r="F3138">
        <v>10609</v>
      </c>
      <c r="G3138" t="s">
        <v>396</v>
      </c>
      <c r="H3138">
        <v>68</v>
      </c>
      <c r="I3138" t="s">
        <v>5004</v>
      </c>
      <c r="J3138" t="s">
        <v>294</v>
      </c>
      <c r="M3138" t="s">
        <v>295</v>
      </c>
      <c r="N3138" t="s">
        <v>296</v>
      </c>
      <c r="O3138" t="s">
        <v>297</v>
      </c>
    </row>
    <row r="3139" spans="1:15" x14ac:dyDescent="0.3">
      <c r="A3139" t="s">
        <v>4840</v>
      </c>
      <c r="B3139" t="s">
        <v>4929</v>
      </c>
      <c r="C3139">
        <v>2023</v>
      </c>
      <c r="D3139" t="s">
        <v>394</v>
      </c>
      <c r="E3139" t="s">
        <v>4917</v>
      </c>
      <c r="F3139">
        <v>1107</v>
      </c>
      <c r="G3139" t="s">
        <v>302</v>
      </c>
      <c r="H3139">
        <v>63</v>
      </c>
      <c r="I3139" t="s">
        <v>5005</v>
      </c>
      <c r="J3139" t="s">
        <v>294</v>
      </c>
      <c r="M3139" t="s">
        <v>295</v>
      </c>
      <c r="N3139" t="s">
        <v>296</v>
      </c>
      <c r="O3139" t="s">
        <v>297</v>
      </c>
    </row>
    <row r="3140" spans="1:15" x14ac:dyDescent="0.3">
      <c r="A3140" t="s">
        <v>4840</v>
      </c>
      <c r="B3140" t="s">
        <v>4929</v>
      </c>
      <c r="C3140">
        <v>2023</v>
      </c>
      <c r="D3140" t="s">
        <v>394</v>
      </c>
      <c r="E3140" t="s">
        <v>4919</v>
      </c>
      <c r="F3140">
        <v>3498</v>
      </c>
      <c r="G3140" t="s">
        <v>302</v>
      </c>
      <c r="H3140">
        <v>63</v>
      </c>
      <c r="I3140" t="s">
        <v>5006</v>
      </c>
      <c r="J3140" t="s">
        <v>294</v>
      </c>
      <c r="M3140" t="s">
        <v>295</v>
      </c>
      <c r="N3140" t="s">
        <v>296</v>
      </c>
      <c r="O3140" t="s">
        <v>297</v>
      </c>
    </row>
    <row r="3141" spans="1:15" x14ac:dyDescent="0.3">
      <c r="A3141" t="s">
        <v>4840</v>
      </c>
      <c r="B3141" t="s">
        <v>4929</v>
      </c>
      <c r="C3141">
        <v>2023</v>
      </c>
      <c r="D3141" t="s">
        <v>394</v>
      </c>
      <c r="E3141" t="s">
        <v>4923</v>
      </c>
      <c r="F3141">
        <v>83.37</v>
      </c>
      <c r="G3141" t="s">
        <v>302</v>
      </c>
      <c r="H3141">
        <v>64</v>
      </c>
      <c r="I3141" t="s">
        <v>5007</v>
      </c>
      <c r="J3141" t="s">
        <v>294</v>
      </c>
      <c r="M3141" t="s">
        <v>295</v>
      </c>
      <c r="N3141" t="s">
        <v>296</v>
      </c>
      <c r="O3141" t="s">
        <v>297</v>
      </c>
    </row>
    <row r="3142" spans="1:15" x14ac:dyDescent="0.3">
      <c r="A3142" t="s">
        <v>4840</v>
      </c>
      <c r="B3142" t="s">
        <v>4929</v>
      </c>
      <c r="C3142">
        <v>2023</v>
      </c>
      <c r="D3142" t="s">
        <v>394</v>
      </c>
      <c r="E3142" t="s">
        <v>4925</v>
      </c>
      <c r="F3142">
        <v>61.94</v>
      </c>
      <c r="G3142" t="s">
        <v>302</v>
      </c>
      <c r="H3142">
        <v>64</v>
      </c>
      <c r="I3142" t="s">
        <v>5008</v>
      </c>
      <c r="J3142" t="s">
        <v>294</v>
      </c>
      <c r="M3142" t="s">
        <v>295</v>
      </c>
      <c r="N3142" t="s">
        <v>296</v>
      </c>
      <c r="O3142" t="s">
        <v>297</v>
      </c>
    </row>
    <row r="3143" spans="1:15" x14ac:dyDescent="0.3">
      <c r="A3143" t="s">
        <v>4840</v>
      </c>
      <c r="B3143" t="s">
        <v>4929</v>
      </c>
      <c r="C3143">
        <v>2023</v>
      </c>
      <c r="D3143" t="s">
        <v>394</v>
      </c>
      <c r="E3143" t="s">
        <v>5009</v>
      </c>
      <c r="F3143">
        <v>1.51</v>
      </c>
      <c r="G3143" t="s">
        <v>302</v>
      </c>
      <c r="H3143">
        <v>65</v>
      </c>
      <c r="I3143" t="s">
        <v>5010</v>
      </c>
      <c r="J3143" t="s">
        <v>294</v>
      </c>
      <c r="M3143" t="s">
        <v>295</v>
      </c>
      <c r="N3143" t="s">
        <v>296</v>
      </c>
      <c r="O3143" t="s">
        <v>297</v>
      </c>
    </row>
    <row r="3144" spans="1:15" x14ac:dyDescent="0.3">
      <c r="A3144" t="s">
        <v>4840</v>
      </c>
      <c r="B3144" t="s">
        <v>4929</v>
      </c>
      <c r="C3144">
        <v>2023</v>
      </c>
      <c r="D3144" t="s">
        <v>272</v>
      </c>
      <c r="E3144" t="s">
        <v>1203</v>
      </c>
      <c r="F3144" t="s">
        <v>4927</v>
      </c>
      <c r="G3144" t="s">
        <v>292</v>
      </c>
      <c r="H3144">
        <v>65</v>
      </c>
      <c r="I3144" t="s">
        <v>4928</v>
      </c>
      <c r="J3144" t="s">
        <v>294</v>
      </c>
      <c r="M3144" t="s">
        <v>295</v>
      </c>
      <c r="N3144" t="s">
        <v>296</v>
      </c>
      <c r="O3144" t="s">
        <v>297</v>
      </c>
    </row>
    <row r="3145" spans="1:15" x14ac:dyDescent="0.3">
      <c r="A3145" t="s">
        <v>4840</v>
      </c>
      <c r="B3145" t="s">
        <v>4929</v>
      </c>
      <c r="C3145">
        <v>2023</v>
      </c>
      <c r="D3145" t="s">
        <v>272</v>
      </c>
      <c r="E3145" t="s">
        <v>5011</v>
      </c>
      <c r="F3145" t="s">
        <v>5012</v>
      </c>
      <c r="G3145" t="s">
        <v>292</v>
      </c>
      <c r="H3145">
        <v>66</v>
      </c>
      <c r="I3145" t="s">
        <v>5013</v>
      </c>
      <c r="J3145" t="s">
        <v>294</v>
      </c>
      <c r="M3145" t="s">
        <v>295</v>
      </c>
      <c r="N3145" t="s">
        <v>296</v>
      </c>
      <c r="O3145" t="s">
        <v>297</v>
      </c>
    </row>
    <row r="3146" spans="1:15" x14ac:dyDescent="0.3">
      <c r="A3146" t="s">
        <v>4840</v>
      </c>
      <c r="B3146" t="s">
        <v>5014</v>
      </c>
      <c r="C3146">
        <v>2024</v>
      </c>
      <c r="D3146" t="s">
        <v>272</v>
      </c>
      <c r="E3146" t="s">
        <v>291</v>
      </c>
      <c r="F3146" t="s">
        <v>4840</v>
      </c>
      <c r="G3146" t="s">
        <v>292</v>
      </c>
      <c r="H3146">
        <v>32</v>
      </c>
      <c r="I3146" t="s">
        <v>5015</v>
      </c>
      <c r="J3146" t="s">
        <v>294</v>
      </c>
      <c r="M3146" t="s">
        <v>295</v>
      </c>
      <c r="N3146" t="s">
        <v>296</v>
      </c>
      <c r="O3146" t="s">
        <v>297</v>
      </c>
    </row>
    <row r="3147" spans="1:15" x14ac:dyDescent="0.3">
      <c r="A3147" t="s">
        <v>4840</v>
      </c>
      <c r="B3147" t="s">
        <v>5014</v>
      </c>
      <c r="C3147">
        <v>2024</v>
      </c>
      <c r="D3147" t="s">
        <v>272</v>
      </c>
      <c r="E3147" t="s">
        <v>1</v>
      </c>
      <c r="F3147" t="s">
        <v>19</v>
      </c>
      <c r="G3147" t="s">
        <v>292</v>
      </c>
      <c r="H3147">
        <v>32</v>
      </c>
      <c r="I3147" t="s">
        <v>4843</v>
      </c>
      <c r="J3147" t="s">
        <v>294</v>
      </c>
      <c r="M3147" t="s">
        <v>295</v>
      </c>
      <c r="N3147" t="s">
        <v>296</v>
      </c>
      <c r="O3147" t="s">
        <v>297</v>
      </c>
    </row>
    <row r="3148" spans="1:15" x14ac:dyDescent="0.3">
      <c r="A3148" t="s">
        <v>4840</v>
      </c>
      <c r="B3148" t="s">
        <v>5014</v>
      </c>
      <c r="C3148">
        <v>2024</v>
      </c>
      <c r="D3148" t="s">
        <v>272</v>
      </c>
      <c r="E3148" t="s">
        <v>4724</v>
      </c>
      <c r="F3148" t="s">
        <v>4844</v>
      </c>
      <c r="G3148" t="s">
        <v>292</v>
      </c>
      <c r="H3148">
        <v>32</v>
      </c>
      <c r="I3148" t="s">
        <v>5016</v>
      </c>
      <c r="J3148" t="s">
        <v>294</v>
      </c>
      <c r="M3148" t="s">
        <v>295</v>
      </c>
      <c r="N3148" t="s">
        <v>296</v>
      </c>
      <c r="O3148" t="s">
        <v>297</v>
      </c>
    </row>
    <row r="3149" spans="1:15" x14ac:dyDescent="0.3">
      <c r="A3149" t="s">
        <v>4840</v>
      </c>
      <c r="B3149" t="s">
        <v>5014</v>
      </c>
      <c r="C3149">
        <v>2024</v>
      </c>
      <c r="D3149" t="s">
        <v>272</v>
      </c>
      <c r="E3149" t="s">
        <v>5017</v>
      </c>
      <c r="F3149" t="s">
        <v>5018</v>
      </c>
      <c r="G3149" t="s">
        <v>292</v>
      </c>
      <c r="H3149">
        <v>33</v>
      </c>
      <c r="I3149" t="s">
        <v>5019</v>
      </c>
      <c r="J3149" t="s">
        <v>294</v>
      </c>
      <c r="M3149" t="s">
        <v>295</v>
      </c>
      <c r="N3149" t="s">
        <v>296</v>
      </c>
      <c r="O3149" t="s">
        <v>297</v>
      </c>
    </row>
    <row r="3150" spans="1:15" x14ac:dyDescent="0.3">
      <c r="A3150" t="s">
        <v>4840</v>
      </c>
      <c r="B3150" t="s">
        <v>5014</v>
      </c>
      <c r="C3150">
        <v>2024</v>
      </c>
      <c r="D3150" t="s">
        <v>272</v>
      </c>
      <c r="E3150" t="s">
        <v>664</v>
      </c>
      <c r="F3150" t="s">
        <v>5020</v>
      </c>
      <c r="G3150" t="s">
        <v>292</v>
      </c>
      <c r="H3150">
        <v>34</v>
      </c>
      <c r="I3150" t="s">
        <v>5021</v>
      </c>
      <c r="J3150" t="s">
        <v>294</v>
      </c>
      <c r="M3150" t="s">
        <v>295</v>
      </c>
      <c r="N3150" t="s">
        <v>296</v>
      </c>
      <c r="O3150" t="s">
        <v>297</v>
      </c>
    </row>
    <row r="3151" spans="1:15" x14ac:dyDescent="0.3">
      <c r="A3151" t="s">
        <v>4840</v>
      </c>
      <c r="B3151" t="s">
        <v>5014</v>
      </c>
      <c r="C3151">
        <v>2024</v>
      </c>
      <c r="D3151" t="s">
        <v>272</v>
      </c>
      <c r="E3151" t="s">
        <v>442</v>
      </c>
      <c r="F3151" t="s">
        <v>4932</v>
      </c>
      <c r="G3151" t="s">
        <v>334</v>
      </c>
      <c r="H3151">
        <v>48</v>
      </c>
      <c r="I3151" t="s">
        <v>5022</v>
      </c>
      <c r="J3151" t="s">
        <v>294</v>
      </c>
      <c r="M3151" t="s">
        <v>295</v>
      </c>
      <c r="N3151" t="s">
        <v>296</v>
      </c>
      <c r="O3151" t="s">
        <v>297</v>
      </c>
    </row>
    <row r="3152" spans="1:15" x14ac:dyDescent="0.3">
      <c r="A3152" t="s">
        <v>4840</v>
      </c>
      <c r="B3152" t="s">
        <v>5014</v>
      </c>
      <c r="C3152">
        <v>2024</v>
      </c>
      <c r="D3152" t="s">
        <v>272</v>
      </c>
      <c r="E3152" t="s">
        <v>3341</v>
      </c>
      <c r="F3152" t="s">
        <v>4848</v>
      </c>
      <c r="G3152" t="s">
        <v>334</v>
      </c>
      <c r="H3152">
        <v>48</v>
      </c>
      <c r="I3152" t="s">
        <v>5023</v>
      </c>
      <c r="J3152" t="s">
        <v>294</v>
      </c>
      <c r="M3152" t="s">
        <v>295</v>
      </c>
      <c r="N3152" t="s">
        <v>296</v>
      </c>
      <c r="O3152" t="s">
        <v>297</v>
      </c>
    </row>
    <row r="3153" spans="1:15" x14ac:dyDescent="0.3">
      <c r="A3153" t="s">
        <v>4840</v>
      </c>
      <c r="B3153" t="s">
        <v>5014</v>
      </c>
      <c r="C3153">
        <v>2024</v>
      </c>
      <c r="D3153" t="s">
        <v>272</v>
      </c>
      <c r="E3153" t="s">
        <v>445</v>
      </c>
      <c r="F3153">
        <v>0.19989999999999999</v>
      </c>
      <c r="G3153" t="s">
        <v>334</v>
      </c>
      <c r="H3153">
        <v>48</v>
      </c>
      <c r="I3153" t="s">
        <v>5024</v>
      </c>
      <c r="J3153" t="s">
        <v>294</v>
      </c>
      <c r="M3153" t="s">
        <v>295</v>
      </c>
      <c r="N3153" t="s">
        <v>296</v>
      </c>
      <c r="O3153" t="s">
        <v>297</v>
      </c>
    </row>
    <row r="3154" spans="1:15" x14ac:dyDescent="0.3">
      <c r="A3154" t="s">
        <v>4840</v>
      </c>
      <c r="B3154" t="s">
        <v>5014</v>
      </c>
      <c r="C3154">
        <v>2024</v>
      </c>
      <c r="D3154" t="s">
        <v>272</v>
      </c>
      <c r="E3154" t="s">
        <v>5025</v>
      </c>
      <c r="F3154">
        <v>8.2000000000000007E-3</v>
      </c>
      <c r="G3154" t="s">
        <v>334</v>
      </c>
      <c r="H3154">
        <v>48</v>
      </c>
      <c r="I3154" t="s">
        <v>5026</v>
      </c>
      <c r="J3154" t="s">
        <v>294</v>
      </c>
      <c r="M3154" t="s">
        <v>295</v>
      </c>
      <c r="N3154" t="s">
        <v>296</v>
      </c>
      <c r="O3154" t="s">
        <v>297</v>
      </c>
    </row>
    <row r="3155" spans="1:15" x14ac:dyDescent="0.3">
      <c r="A3155" t="s">
        <v>4840</v>
      </c>
      <c r="B3155" t="s">
        <v>5014</v>
      </c>
      <c r="C3155">
        <v>2024</v>
      </c>
      <c r="D3155" t="s">
        <v>272</v>
      </c>
      <c r="E3155" t="s">
        <v>4851</v>
      </c>
      <c r="F3155" t="s">
        <v>4852</v>
      </c>
      <c r="G3155" t="s">
        <v>292</v>
      </c>
      <c r="H3155">
        <v>49</v>
      </c>
      <c r="I3155" t="s">
        <v>4853</v>
      </c>
      <c r="J3155" t="s">
        <v>294</v>
      </c>
      <c r="M3155" t="s">
        <v>295</v>
      </c>
      <c r="N3155" t="s">
        <v>296</v>
      </c>
      <c r="O3155" t="s">
        <v>297</v>
      </c>
    </row>
    <row r="3156" spans="1:15" x14ac:dyDescent="0.3">
      <c r="A3156" t="s">
        <v>4840</v>
      </c>
      <c r="B3156" t="s">
        <v>5014</v>
      </c>
      <c r="C3156">
        <v>2024</v>
      </c>
      <c r="D3156" t="s">
        <v>300</v>
      </c>
      <c r="E3156" t="s">
        <v>301</v>
      </c>
      <c r="F3156">
        <v>4685.75</v>
      </c>
      <c r="G3156" t="s">
        <v>302</v>
      </c>
      <c r="H3156">
        <v>65</v>
      </c>
      <c r="I3156" t="s">
        <v>5027</v>
      </c>
      <c r="J3156" t="s">
        <v>294</v>
      </c>
      <c r="M3156" t="s">
        <v>295</v>
      </c>
      <c r="N3156" t="s">
        <v>296</v>
      </c>
      <c r="O3156" t="s">
        <v>297</v>
      </c>
    </row>
    <row r="3157" spans="1:15" x14ac:dyDescent="0.3">
      <c r="A3157" t="s">
        <v>4840</v>
      </c>
      <c r="B3157" t="s">
        <v>5014</v>
      </c>
      <c r="C3157">
        <v>2024</v>
      </c>
      <c r="D3157" t="s">
        <v>300</v>
      </c>
      <c r="E3157" t="s">
        <v>450</v>
      </c>
      <c r="F3157">
        <v>4333.21</v>
      </c>
      <c r="G3157" t="s">
        <v>302</v>
      </c>
      <c r="H3157">
        <v>65</v>
      </c>
      <c r="I3157" t="s">
        <v>5028</v>
      </c>
      <c r="J3157" t="s">
        <v>294</v>
      </c>
      <c r="M3157" t="s">
        <v>295</v>
      </c>
      <c r="N3157" t="s">
        <v>296</v>
      </c>
      <c r="O3157" t="s">
        <v>297</v>
      </c>
    </row>
    <row r="3158" spans="1:15" x14ac:dyDescent="0.3">
      <c r="A3158" t="s">
        <v>4840</v>
      </c>
      <c r="B3158" t="s">
        <v>5014</v>
      </c>
      <c r="C3158">
        <v>2024</v>
      </c>
      <c r="D3158" t="s">
        <v>300</v>
      </c>
      <c r="E3158" t="s">
        <v>304</v>
      </c>
      <c r="F3158">
        <v>352.54</v>
      </c>
      <c r="G3158" t="s">
        <v>302</v>
      </c>
      <c r="H3158">
        <v>261</v>
      </c>
      <c r="I3158" t="s">
        <v>5029</v>
      </c>
      <c r="J3158" t="s">
        <v>294</v>
      </c>
      <c r="M3158" t="s">
        <v>295</v>
      </c>
      <c r="N3158" t="s">
        <v>296</v>
      </c>
      <c r="O3158" t="s">
        <v>297</v>
      </c>
    </row>
    <row r="3159" spans="1:15" x14ac:dyDescent="0.3">
      <c r="A3159" t="s">
        <v>4840</v>
      </c>
      <c r="B3159" t="s">
        <v>5014</v>
      </c>
      <c r="C3159">
        <v>2024</v>
      </c>
      <c r="D3159" t="s">
        <v>300</v>
      </c>
      <c r="E3159" t="s">
        <v>1112</v>
      </c>
      <c r="F3159">
        <v>68.709999999999994</v>
      </c>
      <c r="G3159" t="s">
        <v>302</v>
      </c>
      <c r="H3159">
        <v>261</v>
      </c>
      <c r="I3159" t="s">
        <v>5030</v>
      </c>
      <c r="J3159" t="s">
        <v>294</v>
      </c>
      <c r="M3159" t="s">
        <v>295</v>
      </c>
      <c r="N3159" t="s">
        <v>296</v>
      </c>
      <c r="O3159" t="s">
        <v>297</v>
      </c>
    </row>
    <row r="3160" spans="1:15" x14ac:dyDescent="0.3">
      <c r="A3160" t="s">
        <v>4840</v>
      </c>
      <c r="B3160" t="s">
        <v>5014</v>
      </c>
      <c r="C3160">
        <v>2024</v>
      </c>
      <c r="D3160" t="s">
        <v>300</v>
      </c>
      <c r="E3160" t="s">
        <v>1216</v>
      </c>
      <c r="F3160">
        <v>100.91</v>
      </c>
      <c r="G3160" t="s">
        <v>302</v>
      </c>
      <c r="H3160">
        <v>261</v>
      </c>
      <c r="I3160" t="s">
        <v>5031</v>
      </c>
      <c r="J3160" t="s">
        <v>294</v>
      </c>
      <c r="M3160" t="s">
        <v>295</v>
      </c>
      <c r="N3160" t="s">
        <v>296</v>
      </c>
      <c r="O3160" t="s">
        <v>297</v>
      </c>
    </row>
    <row r="3161" spans="1:15" x14ac:dyDescent="0.3">
      <c r="A3161" t="s">
        <v>4840</v>
      </c>
      <c r="B3161" t="s">
        <v>5014</v>
      </c>
      <c r="C3161">
        <v>2024</v>
      </c>
      <c r="D3161" t="s">
        <v>300</v>
      </c>
      <c r="E3161" t="s">
        <v>5032</v>
      </c>
      <c r="F3161">
        <v>24.64</v>
      </c>
      <c r="G3161" t="s">
        <v>302</v>
      </c>
      <c r="H3161">
        <v>65</v>
      </c>
      <c r="I3161" t="s">
        <v>5033</v>
      </c>
      <c r="J3161" t="s">
        <v>294</v>
      </c>
      <c r="M3161" t="s">
        <v>295</v>
      </c>
      <c r="N3161" t="s">
        <v>296</v>
      </c>
      <c r="O3161" t="s">
        <v>297</v>
      </c>
    </row>
    <row r="3162" spans="1:15" x14ac:dyDescent="0.3">
      <c r="A3162" t="s">
        <v>4840</v>
      </c>
      <c r="B3162" t="s">
        <v>5014</v>
      </c>
      <c r="C3162">
        <v>2024</v>
      </c>
      <c r="D3162" t="s">
        <v>300</v>
      </c>
      <c r="E3162" t="s">
        <v>695</v>
      </c>
      <c r="F3162">
        <v>-19.36</v>
      </c>
      <c r="G3162" t="s">
        <v>302</v>
      </c>
      <c r="H3162">
        <v>65</v>
      </c>
      <c r="I3162" t="s">
        <v>5034</v>
      </c>
      <c r="J3162" t="s">
        <v>294</v>
      </c>
      <c r="M3162" t="s">
        <v>295</v>
      </c>
      <c r="N3162" t="s">
        <v>296</v>
      </c>
      <c r="O3162" t="s">
        <v>297</v>
      </c>
    </row>
    <row r="3163" spans="1:15" x14ac:dyDescent="0.3">
      <c r="A3163" t="s">
        <v>4840</v>
      </c>
      <c r="B3163" t="s">
        <v>5014</v>
      </c>
      <c r="C3163">
        <v>2024</v>
      </c>
      <c r="D3163" t="s">
        <v>300</v>
      </c>
      <c r="E3163" t="s">
        <v>767</v>
      </c>
      <c r="F3163">
        <v>-22.98</v>
      </c>
      <c r="G3163" t="s">
        <v>302</v>
      </c>
      <c r="H3163">
        <v>65</v>
      </c>
      <c r="I3163" t="s">
        <v>5035</v>
      </c>
      <c r="J3163" t="s">
        <v>294</v>
      </c>
      <c r="M3163" t="s">
        <v>295</v>
      </c>
      <c r="N3163" t="s">
        <v>296</v>
      </c>
      <c r="O3163" t="s">
        <v>297</v>
      </c>
    </row>
    <row r="3164" spans="1:15" x14ac:dyDescent="0.3">
      <c r="A3164" t="s">
        <v>4840</v>
      </c>
      <c r="B3164" t="s">
        <v>5014</v>
      </c>
      <c r="C3164">
        <v>2024</v>
      </c>
      <c r="D3164" t="s">
        <v>300</v>
      </c>
      <c r="E3164" t="s">
        <v>2882</v>
      </c>
      <c r="F3164">
        <v>-20.85</v>
      </c>
      <c r="G3164" t="s">
        <v>302</v>
      </c>
      <c r="H3164">
        <v>8</v>
      </c>
      <c r="I3164" t="s">
        <v>5036</v>
      </c>
      <c r="J3164" t="s">
        <v>294</v>
      </c>
      <c r="M3164" t="s">
        <v>295</v>
      </c>
      <c r="N3164" t="s">
        <v>296</v>
      </c>
      <c r="O3164" t="s">
        <v>297</v>
      </c>
    </row>
    <row r="3165" spans="1:15" x14ac:dyDescent="0.3">
      <c r="A3165" t="s">
        <v>4840</v>
      </c>
      <c r="B3165" t="s">
        <v>5014</v>
      </c>
      <c r="C3165">
        <v>2024</v>
      </c>
      <c r="D3165" t="s">
        <v>300</v>
      </c>
      <c r="E3165" t="s">
        <v>4862</v>
      </c>
      <c r="F3165">
        <v>-2.13</v>
      </c>
      <c r="G3165" t="s">
        <v>302</v>
      </c>
      <c r="H3165">
        <v>8</v>
      </c>
      <c r="I3165" t="s">
        <v>5037</v>
      </c>
      <c r="J3165" t="s">
        <v>294</v>
      </c>
      <c r="M3165" t="s">
        <v>295</v>
      </c>
      <c r="N3165" t="s">
        <v>296</v>
      </c>
      <c r="O3165" t="s">
        <v>297</v>
      </c>
    </row>
    <row r="3166" spans="1:15" x14ac:dyDescent="0.3">
      <c r="A3166" t="s">
        <v>4840</v>
      </c>
      <c r="B3166" t="s">
        <v>5014</v>
      </c>
      <c r="C3166">
        <v>2024</v>
      </c>
      <c r="D3166" t="s">
        <v>300</v>
      </c>
      <c r="E3166" t="s">
        <v>769</v>
      </c>
      <c r="F3166">
        <v>-19.68</v>
      </c>
      <c r="G3166" t="s">
        <v>302</v>
      </c>
      <c r="H3166">
        <v>65</v>
      </c>
      <c r="I3166" t="s">
        <v>5038</v>
      </c>
      <c r="J3166" t="s">
        <v>294</v>
      </c>
      <c r="M3166" t="s">
        <v>295</v>
      </c>
      <c r="N3166" t="s">
        <v>296</v>
      </c>
      <c r="O3166" t="s">
        <v>297</v>
      </c>
    </row>
    <row r="3167" spans="1:15" x14ac:dyDescent="0.3">
      <c r="A3167" t="s">
        <v>4840</v>
      </c>
      <c r="B3167" t="s">
        <v>5014</v>
      </c>
      <c r="C3167">
        <v>2024</v>
      </c>
      <c r="D3167" t="s">
        <v>300</v>
      </c>
      <c r="E3167" t="s">
        <v>316</v>
      </c>
      <c r="F3167">
        <v>3073.81</v>
      </c>
      <c r="G3167" t="s">
        <v>302</v>
      </c>
      <c r="H3167">
        <v>63</v>
      </c>
      <c r="I3167" t="s">
        <v>5039</v>
      </c>
      <c r="J3167" t="s">
        <v>294</v>
      </c>
      <c r="M3167" t="s">
        <v>295</v>
      </c>
      <c r="N3167" t="s">
        <v>296</v>
      </c>
      <c r="O3167" t="s">
        <v>297</v>
      </c>
    </row>
    <row r="3168" spans="1:15" x14ac:dyDescent="0.3">
      <c r="A3168" t="s">
        <v>4840</v>
      </c>
      <c r="B3168" t="s">
        <v>5014</v>
      </c>
      <c r="C3168">
        <v>2024</v>
      </c>
      <c r="D3168" t="s">
        <v>300</v>
      </c>
      <c r="E3168" t="s">
        <v>312</v>
      </c>
      <c r="F3168">
        <v>1576.71</v>
      </c>
      <c r="G3168" t="s">
        <v>302</v>
      </c>
      <c r="H3168">
        <v>63</v>
      </c>
      <c r="I3168" t="s">
        <v>5040</v>
      </c>
      <c r="J3168" t="s">
        <v>294</v>
      </c>
      <c r="M3168" t="s">
        <v>295</v>
      </c>
      <c r="N3168" t="s">
        <v>296</v>
      </c>
      <c r="O3168" t="s">
        <v>297</v>
      </c>
    </row>
    <row r="3169" spans="1:15" x14ac:dyDescent="0.3">
      <c r="A3169" t="s">
        <v>4840</v>
      </c>
      <c r="B3169" t="s">
        <v>5014</v>
      </c>
      <c r="C3169">
        <v>2024</v>
      </c>
      <c r="D3169" t="s">
        <v>300</v>
      </c>
      <c r="E3169" t="s">
        <v>314</v>
      </c>
      <c r="F3169">
        <v>1497.1</v>
      </c>
      <c r="G3169" t="s">
        <v>302</v>
      </c>
      <c r="H3169">
        <v>63</v>
      </c>
      <c r="I3169" t="s">
        <v>5041</v>
      </c>
      <c r="J3169" t="s">
        <v>294</v>
      </c>
      <c r="M3169" t="s">
        <v>295</v>
      </c>
      <c r="N3169" t="s">
        <v>296</v>
      </c>
      <c r="O3169" t="s">
        <v>297</v>
      </c>
    </row>
    <row r="3170" spans="1:15" x14ac:dyDescent="0.3">
      <c r="A3170" t="s">
        <v>4840</v>
      </c>
      <c r="B3170" t="s">
        <v>5014</v>
      </c>
      <c r="C3170">
        <v>2024</v>
      </c>
      <c r="D3170" t="s">
        <v>300</v>
      </c>
      <c r="E3170" t="s">
        <v>322</v>
      </c>
      <c r="F3170">
        <v>2568.91</v>
      </c>
      <c r="G3170" t="s">
        <v>302</v>
      </c>
      <c r="H3170">
        <v>63</v>
      </c>
      <c r="I3170" t="s">
        <v>5042</v>
      </c>
      <c r="J3170" t="s">
        <v>294</v>
      </c>
      <c r="M3170" t="s">
        <v>295</v>
      </c>
      <c r="N3170" t="s">
        <v>296</v>
      </c>
      <c r="O3170" t="s">
        <v>297</v>
      </c>
    </row>
    <row r="3171" spans="1:15" x14ac:dyDescent="0.3">
      <c r="A3171" t="s">
        <v>4840</v>
      </c>
      <c r="B3171" t="s">
        <v>5014</v>
      </c>
      <c r="C3171">
        <v>2024</v>
      </c>
      <c r="D3171" t="s">
        <v>300</v>
      </c>
      <c r="E3171" t="s">
        <v>318</v>
      </c>
      <c r="F3171">
        <v>1811.73</v>
      </c>
      <c r="G3171" t="s">
        <v>302</v>
      </c>
      <c r="H3171">
        <v>63</v>
      </c>
      <c r="I3171" t="s">
        <v>5043</v>
      </c>
      <c r="J3171" t="s">
        <v>294</v>
      </c>
      <c r="M3171" t="s">
        <v>295</v>
      </c>
      <c r="N3171" t="s">
        <v>296</v>
      </c>
      <c r="O3171" t="s">
        <v>297</v>
      </c>
    </row>
    <row r="3172" spans="1:15" x14ac:dyDescent="0.3">
      <c r="A3172" t="s">
        <v>4840</v>
      </c>
      <c r="B3172" t="s">
        <v>5014</v>
      </c>
      <c r="C3172">
        <v>2024</v>
      </c>
      <c r="D3172" t="s">
        <v>300</v>
      </c>
      <c r="E3172" t="s">
        <v>468</v>
      </c>
      <c r="F3172">
        <v>757.18</v>
      </c>
      <c r="G3172" t="s">
        <v>302</v>
      </c>
      <c r="H3172">
        <v>63</v>
      </c>
      <c r="I3172" t="s">
        <v>5044</v>
      </c>
      <c r="J3172" t="s">
        <v>294</v>
      </c>
      <c r="M3172" t="s">
        <v>295</v>
      </c>
      <c r="N3172" t="s">
        <v>296</v>
      </c>
      <c r="O3172" t="s">
        <v>297</v>
      </c>
    </row>
    <row r="3173" spans="1:15" x14ac:dyDescent="0.3">
      <c r="A3173" t="s">
        <v>4840</v>
      </c>
      <c r="B3173" t="s">
        <v>5014</v>
      </c>
      <c r="C3173">
        <v>2024</v>
      </c>
      <c r="D3173" t="s">
        <v>300</v>
      </c>
      <c r="E3173" t="s">
        <v>324</v>
      </c>
      <c r="F3173">
        <v>504.89</v>
      </c>
      <c r="G3173" t="s">
        <v>302</v>
      </c>
      <c r="H3173">
        <v>63</v>
      </c>
      <c r="I3173" t="s">
        <v>5045</v>
      </c>
      <c r="J3173" t="s">
        <v>294</v>
      </c>
      <c r="M3173" t="s">
        <v>295</v>
      </c>
      <c r="N3173" t="s">
        <v>296</v>
      </c>
      <c r="O3173" t="s">
        <v>297</v>
      </c>
    </row>
    <row r="3174" spans="1:15" x14ac:dyDescent="0.3">
      <c r="A3174" t="s">
        <v>4840</v>
      </c>
      <c r="B3174" t="s">
        <v>5014</v>
      </c>
      <c r="C3174">
        <v>2024</v>
      </c>
      <c r="D3174" t="s">
        <v>300</v>
      </c>
      <c r="E3174" t="s">
        <v>2918</v>
      </c>
      <c r="F3174">
        <v>442.46</v>
      </c>
      <c r="G3174" t="s">
        <v>302</v>
      </c>
      <c r="H3174">
        <v>262</v>
      </c>
      <c r="I3174" t="s">
        <v>5046</v>
      </c>
      <c r="J3174" t="s">
        <v>294</v>
      </c>
      <c r="M3174" t="s">
        <v>295</v>
      </c>
      <c r="N3174" t="s">
        <v>296</v>
      </c>
      <c r="O3174" t="s">
        <v>297</v>
      </c>
    </row>
    <row r="3175" spans="1:15" x14ac:dyDescent="0.3">
      <c r="A3175" t="s">
        <v>4840</v>
      </c>
      <c r="B3175" t="s">
        <v>5014</v>
      </c>
      <c r="C3175">
        <v>2024</v>
      </c>
      <c r="D3175" t="s">
        <v>300</v>
      </c>
      <c r="E3175" t="s">
        <v>5047</v>
      </c>
      <c r="F3175">
        <v>62.43</v>
      </c>
      <c r="G3175" t="s">
        <v>302</v>
      </c>
      <c r="H3175">
        <v>262</v>
      </c>
      <c r="I3175" t="s">
        <v>5048</v>
      </c>
      <c r="J3175" t="s">
        <v>294</v>
      </c>
      <c r="M3175" t="s">
        <v>295</v>
      </c>
      <c r="N3175" t="s">
        <v>296</v>
      </c>
      <c r="O3175" t="s">
        <v>297</v>
      </c>
    </row>
    <row r="3176" spans="1:15" x14ac:dyDescent="0.3">
      <c r="A3176" t="s">
        <v>4840</v>
      </c>
      <c r="B3176" t="s">
        <v>5014</v>
      </c>
      <c r="C3176">
        <v>2024</v>
      </c>
      <c r="D3176" t="s">
        <v>300</v>
      </c>
      <c r="E3176" t="s">
        <v>471</v>
      </c>
      <c r="F3176">
        <v>276.10000000000002</v>
      </c>
      <c r="G3176" t="s">
        <v>302</v>
      </c>
      <c r="H3176">
        <v>261</v>
      </c>
      <c r="I3176" t="s">
        <v>5049</v>
      </c>
      <c r="J3176" t="s">
        <v>294</v>
      </c>
      <c r="M3176" t="s">
        <v>295</v>
      </c>
      <c r="N3176" t="s">
        <v>296</v>
      </c>
      <c r="O3176" t="s">
        <v>297</v>
      </c>
    </row>
    <row r="3177" spans="1:15" x14ac:dyDescent="0.3">
      <c r="A3177" t="s">
        <v>4840</v>
      </c>
      <c r="B3177" t="s">
        <v>5014</v>
      </c>
      <c r="C3177">
        <v>2024</v>
      </c>
      <c r="D3177" t="s">
        <v>300</v>
      </c>
      <c r="E3177" t="s">
        <v>4953</v>
      </c>
      <c r="F3177">
        <v>476.75</v>
      </c>
      <c r="G3177" t="s">
        <v>302</v>
      </c>
      <c r="H3177">
        <v>261</v>
      </c>
      <c r="I3177" t="s">
        <v>5050</v>
      </c>
      <c r="J3177" t="s">
        <v>294</v>
      </c>
      <c r="M3177" t="s">
        <v>295</v>
      </c>
      <c r="N3177" t="s">
        <v>296</v>
      </c>
      <c r="O3177" t="s">
        <v>297</v>
      </c>
    </row>
    <row r="3178" spans="1:15" x14ac:dyDescent="0.3">
      <c r="A3178" t="s">
        <v>4840</v>
      </c>
      <c r="B3178" t="s">
        <v>5014</v>
      </c>
      <c r="C3178">
        <v>2024</v>
      </c>
      <c r="D3178" t="s">
        <v>300</v>
      </c>
      <c r="E3178" t="s">
        <v>481</v>
      </c>
      <c r="F3178">
        <v>344.63</v>
      </c>
      <c r="G3178" t="s">
        <v>302</v>
      </c>
      <c r="H3178">
        <v>261</v>
      </c>
      <c r="I3178" t="s">
        <v>5051</v>
      </c>
      <c r="J3178" t="s">
        <v>294</v>
      </c>
      <c r="M3178" t="s">
        <v>295</v>
      </c>
      <c r="N3178" t="s">
        <v>296</v>
      </c>
      <c r="O3178" t="s">
        <v>297</v>
      </c>
    </row>
    <row r="3179" spans="1:15" x14ac:dyDescent="0.3">
      <c r="A3179" t="s">
        <v>4840</v>
      </c>
      <c r="B3179" t="s">
        <v>5014</v>
      </c>
      <c r="C3179">
        <v>2024</v>
      </c>
      <c r="D3179" t="s">
        <v>300</v>
      </c>
      <c r="E3179" t="s">
        <v>595</v>
      </c>
      <c r="F3179">
        <v>1357.81</v>
      </c>
      <c r="G3179" t="s">
        <v>302</v>
      </c>
      <c r="H3179">
        <v>262</v>
      </c>
      <c r="I3179" t="s">
        <v>5052</v>
      </c>
      <c r="J3179" t="s">
        <v>294</v>
      </c>
      <c r="M3179" t="s">
        <v>295</v>
      </c>
      <c r="N3179" t="s">
        <v>296</v>
      </c>
      <c r="O3179" t="s">
        <v>297</v>
      </c>
    </row>
    <row r="3180" spans="1:15" x14ac:dyDescent="0.3">
      <c r="A3180" t="s">
        <v>4840</v>
      </c>
      <c r="B3180" t="s">
        <v>5014</v>
      </c>
      <c r="C3180">
        <v>2024</v>
      </c>
      <c r="D3180" t="s">
        <v>300</v>
      </c>
      <c r="E3180" t="s">
        <v>4876</v>
      </c>
      <c r="F3180">
        <v>166.1</v>
      </c>
      <c r="G3180" t="s">
        <v>302</v>
      </c>
      <c r="H3180">
        <v>262</v>
      </c>
      <c r="I3180" t="s">
        <v>5053</v>
      </c>
      <c r="J3180" t="s">
        <v>294</v>
      </c>
      <c r="M3180" t="s">
        <v>295</v>
      </c>
      <c r="N3180" t="s">
        <v>296</v>
      </c>
      <c r="O3180" t="s">
        <v>297</v>
      </c>
    </row>
    <row r="3181" spans="1:15" x14ac:dyDescent="0.3">
      <c r="A3181" t="s">
        <v>4840</v>
      </c>
      <c r="B3181" t="s">
        <v>5014</v>
      </c>
      <c r="C3181">
        <v>2024</v>
      </c>
      <c r="D3181" t="s">
        <v>300</v>
      </c>
      <c r="E3181" t="s">
        <v>4878</v>
      </c>
      <c r="F3181">
        <v>696.08</v>
      </c>
      <c r="G3181" t="s">
        <v>302</v>
      </c>
      <c r="H3181">
        <v>262</v>
      </c>
      <c r="I3181" t="s">
        <v>5054</v>
      </c>
      <c r="J3181" t="s">
        <v>294</v>
      </c>
      <c r="M3181" t="s">
        <v>295</v>
      </c>
      <c r="N3181" t="s">
        <v>296</v>
      </c>
      <c r="O3181" t="s">
        <v>297</v>
      </c>
    </row>
    <row r="3182" spans="1:15" x14ac:dyDescent="0.3">
      <c r="A3182" t="s">
        <v>4840</v>
      </c>
      <c r="B3182" t="s">
        <v>5014</v>
      </c>
      <c r="C3182">
        <v>2024</v>
      </c>
      <c r="D3182" t="s">
        <v>300</v>
      </c>
      <c r="E3182" t="s">
        <v>5055</v>
      </c>
      <c r="F3182">
        <v>90</v>
      </c>
      <c r="G3182" t="s">
        <v>302</v>
      </c>
      <c r="H3182">
        <v>262</v>
      </c>
      <c r="I3182" t="s">
        <v>4881</v>
      </c>
      <c r="J3182" t="s">
        <v>294</v>
      </c>
      <c r="M3182" t="s">
        <v>295</v>
      </c>
      <c r="N3182" t="s">
        <v>296</v>
      </c>
      <c r="O3182" t="s">
        <v>297</v>
      </c>
    </row>
    <row r="3183" spans="1:15" x14ac:dyDescent="0.3">
      <c r="A3183" t="s">
        <v>4840</v>
      </c>
      <c r="B3183" t="s">
        <v>5014</v>
      </c>
      <c r="C3183">
        <v>2024</v>
      </c>
      <c r="D3183" t="s">
        <v>300</v>
      </c>
      <c r="E3183" t="s">
        <v>597</v>
      </c>
      <c r="F3183">
        <v>2310.08</v>
      </c>
      <c r="G3183" t="s">
        <v>302</v>
      </c>
      <c r="H3183">
        <v>262</v>
      </c>
      <c r="I3183" t="s">
        <v>5056</v>
      </c>
      <c r="J3183" t="s">
        <v>294</v>
      </c>
      <c r="M3183" t="s">
        <v>295</v>
      </c>
      <c r="N3183" t="s">
        <v>296</v>
      </c>
      <c r="O3183" t="s">
        <v>297</v>
      </c>
    </row>
    <row r="3184" spans="1:15" x14ac:dyDescent="0.3">
      <c r="A3184" t="s">
        <v>4840</v>
      </c>
      <c r="B3184" t="s">
        <v>5014</v>
      </c>
      <c r="C3184">
        <v>2024</v>
      </c>
      <c r="D3184" t="s">
        <v>300</v>
      </c>
      <c r="E3184" t="s">
        <v>601</v>
      </c>
      <c r="F3184">
        <v>-38.01</v>
      </c>
      <c r="G3184" t="s">
        <v>302</v>
      </c>
      <c r="H3184">
        <v>68</v>
      </c>
      <c r="I3184" t="s">
        <v>5057</v>
      </c>
      <c r="J3184" t="s">
        <v>294</v>
      </c>
      <c r="M3184" t="s">
        <v>295</v>
      </c>
      <c r="N3184" t="s">
        <v>296</v>
      </c>
      <c r="O3184" t="s">
        <v>297</v>
      </c>
    </row>
    <row r="3185" spans="1:15" x14ac:dyDescent="0.3">
      <c r="A3185" t="s">
        <v>4840</v>
      </c>
      <c r="B3185" t="s">
        <v>5014</v>
      </c>
      <c r="C3185">
        <v>2024</v>
      </c>
      <c r="D3185" t="s">
        <v>300</v>
      </c>
      <c r="E3185" t="s">
        <v>603</v>
      </c>
      <c r="F3185">
        <v>-316.94</v>
      </c>
      <c r="G3185" t="s">
        <v>302</v>
      </c>
      <c r="H3185">
        <v>68</v>
      </c>
      <c r="I3185" t="s">
        <v>5058</v>
      </c>
      <c r="J3185" t="s">
        <v>294</v>
      </c>
      <c r="M3185" t="s">
        <v>295</v>
      </c>
      <c r="N3185" t="s">
        <v>296</v>
      </c>
      <c r="O3185" t="s">
        <v>297</v>
      </c>
    </row>
    <row r="3186" spans="1:15" x14ac:dyDescent="0.3">
      <c r="A3186" t="s">
        <v>4840</v>
      </c>
      <c r="B3186" t="s">
        <v>5014</v>
      </c>
      <c r="C3186">
        <v>2024</v>
      </c>
      <c r="D3186" t="s">
        <v>300</v>
      </c>
      <c r="E3186" t="s">
        <v>716</v>
      </c>
      <c r="F3186">
        <v>380.66</v>
      </c>
      <c r="G3186" t="s">
        <v>302</v>
      </c>
      <c r="H3186">
        <v>68</v>
      </c>
      <c r="I3186" t="s">
        <v>5059</v>
      </c>
      <c r="J3186" t="s">
        <v>294</v>
      </c>
      <c r="M3186" t="s">
        <v>295</v>
      </c>
      <c r="N3186" t="s">
        <v>296</v>
      </c>
      <c r="O3186" t="s">
        <v>297</v>
      </c>
    </row>
    <row r="3187" spans="1:15" x14ac:dyDescent="0.3">
      <c r="A3187" t="s">
        <v>4840</v>
      </c>
      <c r="B3187" t="s">
        <v>5014</v>
      </c>
      <c r="C3187">
        <v>2024</v>
      </c>
      <c r="D3187" t="s">
        <v>300</v>
      </c>
      <c r="E3187" t="s">
        <v>1140</v>
      </c>
      <c r="F3187">
        <v>319.07</v>
      </c>
      <c r="G3187" t="s">
        <v>302</v>
      </c>
      <c r="H3187">
        <v>266</v>
      </c>
      <c r="I3187" t="s">
        <v>5060</v>
      </c>
      <c r="J3187" t="s">
        <v>294</v>
      </c>
      <c r="M3187" t="s">
        <v>295</v>
      </c>
      <c r="N3187" t="s">
        <v>296</v>
      </c>
      <c r="O3187" t="s">
        <v>297</v>
      </c>
    </row>
    <row r="3188" spans="1:15" x14ac:dyDescent="0.3">
      <c r="A3188" t="s">
        <v>4840</v>
      </c>
      <c r="B3188" t="s">
        <v>5014</v>
      </c>
      <c r="C3188">
        <v>2024</v>
      </c>
      <c r="D3188" t="s">
        <v>300</v>
      </c>
      <c r="E3188" t="s">
        <v>342</v>
      </c>
      <c r="F3188">
        <v>3554.45</v>
      </c>
      <c r="G3188" t="s">
        <v>1288</v>
      </c>
      <c r="H3188">
        <v>9</v>
      </c>
      <c r="I3188" t="s">
        <v>4886</v>
      </c>
      <c r="J3188" t="s">
        <v>294</v>
      </c>
      <c r="M3188" t="s">
        <v>295</v>
      </c>
      <c r="N3188" t="s">
        <v>296</v>
      </c>
      <c r="O3188" t="s">
        <v>297</v>
      </c>
    </row>
    <row r="3189" spans="1:15" x14ac:dyDescent="0.3">
      <c r="A3189" t="s">
        <v>4840</v>
      </c>
      <c r="B3189" t="s">
        <v>5014</v>
      </c>
      <c r="C3189">
        <v>2024</v>
      </c>
      <c r="D3189" t="s">
        <v>300</v>
      </c>
      <c r="E3189" t="s">
        <v>4887</v>
      </c>
      <c r="F3189">
        <v>-5.91</v>
      </c>
      <c r="G3189" t="s">
        <v>346</v>
      </c>
      <c r="H3189">
        <v>8</v>
      </c>
      <c r="I3189" t="s">
        <v>5061</v>
      </c>
      <c r="J3189" t="s">
        <v>294</v>
      </c>
      <c r="M3189" t="s">
        <v>295</v>
      </c>
      <c r="N3189" t="s">
        <v>296</v>
      </c>
      <c r="O3189" t="s">
        <v>297</v>
      </c>
    </row>
    <row r="3190" spans="1:15" x14ac:dyDescent="0.3">
      <c r="A3190" t="s">
        <v>4840</v>
      </c>
      <c r="B3190" t="s">
        <v>5014</v>
      </c>
      <c r="C3190">
        <v>2024</v>
      </c>
      <c r="D3190" t="s">
        <v>300</v>
      </c>
      <c r="E3190" t="s">
        <v>837</v>
      </c>
      <c r="F3190">
        <v>695</v>
      </c>
      <c r="G3190" t="s">
        <v>346</v>
      </c>
      <c r="H3190">
        <v>9</v>
      </c>
      <c r="I3190" t="s">
        <v>5062</v>
      </c>
      <c r="J3190" t="s">
        <v>294</v>
      </c>
      <c r="M3190" t="s">
        <v>295</v>
      </c>
      <c r="N3190" t="s">
        <v>296</v>
      </c>
      <c r="O3190" t="s">
        <v>297</v>
      </c>
    </row>
    <row r="3191" spans="1:15" x14ac:dyDescent="0.3">
      <c r="A3191" t="s">
        <v>4840</v>
      </c>
      <c r="B3191" t="s">
        <v>5014</v>
      </c>
      <c r="C3191">
        <v>2024</v>
      </c>
      <c r="D3191" t="s">
        <v>300</v>
      </c>
      <c r="E3191" t="s">
        <v>5063</v>
      </c>
      <c r="F3191">
        <v>2470.34</v>
      </c>
      <c r="G3191" t="s">
        <v>302</v>
      </c>
      <c r="H3191">
        <v>9</v>
      </c>
      <c r="I3191" t="s">
        <v>5064</v>
      </c>
      <c r="J3191" t="s">
        <v>294</v>
      </c>
      <c r="M3191" t="s">
        <v>295</v>
      </c>
      <c r="N3191" t="s">
        <v>296</v>
      </c>
      <c r="O3191" t="s">
        <v>297</v>
      </c>
    </row>
    <row r="3192" spans="1:15" x14ac:dyDescent="0.3">
      <c r="A3192" t="s">
        <v>4840</v>
      </c>
      <c r="B3192" t="s">
        <v>5014</v>
      </c>
      <c r="C3192">
        <v>2024</v>
      </c>
      <c r="D3192" t="s">
        <v>300</v>
      </c>
      <c r="E3192" t="s">
        <v>326</v>
      </c>
      <c r="F3192">
        <v>0.87029999999999996</v>
      </c>
      <c r="G3192" t="s">
        <v>327</v>
      </c>
      <c r="H3192">
        <v>9</v>
      </c>
      <c r="I3192" t="s">
        <v>5065</v>
      </c>
      <c r="J3192" t="s">
        <v>294</v>
      </c>
      <c r="M3192" t="s">
        <v>295</v>
      </c>
      <c r="N3192" t="s">
        <v>296</v>
      </c>
      <c r="O3192" t="s">
        <v>297</v>
      </c>
    </row>
    <row r="3193" spans="1:15" x14ac:dyDescent="0.3">
      <c r="A3193" t="s">
        <v>4840</v>
      </c>
      <c r="B3193" t="s">
        <v>5014</v>
      </c>
      <c r="C3193">
        <v>2024</v>
      </c>
      <c r="D3193" t="s">
        <v>300</v>
      </c>
      <c r="E3193" t="s">
        <v>2762</v>
      </c>
      <c r="F3193">
        <v>5.0880000000000001</v>
      </c>
      <c r="G3193" t="s">
        <v>327</v>
      </c>
      <c r="H3193">
        <v>9</v>
      </c>
      <c r="I3193" t="s">
        <v>5066</v>
      </c>
      <c r="J3193" t="s">
        <v>294</v>
      </c>
      <c r="M3193" t="s">
        <v>295</v>
      </c>
      <c r="N3193" t="s">
        <v>296</v>
      </c>
      <c r="O3193" t="s">
        <v>297</v>
      </c>
    </row>
    <row r="3194" spans="1:15" x14ac:dyDescent="0.3">
      <c r="A3194" t="s">
        <v>4840</v>
      </c>
      <c r="B3194" t="s">
        <v>5014</v>
      </c>
      <c r="C3194">
        <v>2024</v>
      </c>
      <c r="D3194" t="s">
        <v>300</v>
      </c>
      <c r="E3194" t="s">
        <v>4895</v>
      </c>
      <c r="F3194">
        <v>0.41549999999999998</v>
      </c>
      <c r="G3194" t="s">
        <v>327</v>
      </c>
      <c r="H3194">
        <v>71</v>
      </c>
      <c r="I3194" t="s">
        <v>5067</v>
      </c>
      <c r="J3194" t="s">
        <v>294</v>
      </c>
      <c r="M3194" t="s">
        <v>295</v>
      </c>
      <c r="N3194" t="s">
        <v>296</v>
      </c>
      <c r="O3194" t="s">
        <v>297</v>
      </c>
    </row>
    <row r="3195" spans="1:15" x14ac:dyDescent="0.3">
      <c r="A3195" t="s">
        <v>4840</v>
      </c>
      <c r="B3195" t="s">
        <v>5014</v>
      </c>
      <c r="C3195">
        <v>2024</v>
      </c>
      <c r="D3195" t="s">
        <v>300</v>
      </c>
      <c r="E3195" t="s">
        <v>5068</v>
      </c>
      <c r="F3195">
        <v>0.68010000000000004</v>
      </c>
      <c r="G3195" t="s">
        <v>327</v>
      </c>
      <c r="H3195">
        <v>71</v>
      </c>
      <c r="I3195" t="s">
        <v>5069</v>
      </c>
      <c r="J3195" t="s">
        <v>294</v>
      </c>
      <c r="M3195" t="s">
        <v>295</v>
      </c>
      <c r="N3195" t="s">
        <v>296</v>
      </c>
      <c r="O3195" t="s">
        <v>297</v>
      </c>
    </row>
    <row r="3196" spans="1:15" x14ac:dyDescent="0.3">
      <c r="A3196" t="s">
        <v>4840</v>
      </c>
      <c r="B3196" t="s">
        <v>5014</v>
      </c>
      <c r="C3196">
        <v>2024</v>
      </c>
      <c r="D3196" t="s">
        <v>358</v>
      </c>
      <c r="E3196" t="s">
        <v>4973</v>
      </c>
      <c r="F3196">
        <v>477.85</v>
      </c>
      <c r="G3196" t="s">
        <v>360</v>
      </c>
      <c r="H3196">
        <v>64</v>
      </c>
      <c r="I3196" t="s">
        <v>5070</v>
      </c>
      <c r="J3196" t="s">
        <v>294</v>
      </c>
      <c r="M3196" t="s">
        <v>295</v>
      </c>
      <c r="N3196" t="s">
        <v>296</v>
      </c>
      <c r="O3196" t="s">
        <v>297</v>
      </c>
    </row>
    <row r="3197" spans="1:15" x14ac:dyDescent="0.3">
      <c r="A3197" t="s">
        <v>4840</v>
      </c>
      <c r="B3197" t="s">
        <v>5014</v>
      </c>
      <c r="C3197">
        <v>2024</v>
      </c>
      <c r="D3197" t="s">
        <v>358</v>
      </c>
      <c r="E3197" t="s">
        <v>4975</v>
      </c>
      <c r="F3197">
        <v>967.74</v>
      </c>
      <c r="G3197" t="s">
        <v>360</v>
      </c>
      <c r="H3197">
        <v>64</v>
      </c>
      <c r="I3197" t="s">
        <v>4976</v>
      </c>
      <c r="J3197" t="s">
        <v>294</v>
      </c>
      <c r="M3197" t="s">
        <v>295</v>
      </c>
      <c r="N3197" t="s">
        <v>296</v>
      </c>
      <c r="O3197" t="s">
        <v>297</v>
      </c>
    </row>
    <row r="3198" spans="1:15" x14ac:dyDescent="0.3">
      <c r="A3198" t="s">
        <v>4840</v>
      </c>
      <c r="B3198" t="s">
        <v>5014</v>
      </c>
      <c r="C3198">
        <v>2024</v>
      </c>
      <c r="D3198" t="s">
        <v>358</v>
      </c>
      <c r="E3198" t="s">
        <v>5071</v>
      </c>
      <c r="F3198">
        <v>49.97</v>
      </c>
      <c r="G3198" t="s">
        <v>360</v>
      </c>
      <c r="H3198">
        <v>64</v>
      </c>
      <c r="I3198" t="s">
        <v>5072</v>
      </c>
      <c r="J3198" t="s">
        <v>294</v>
      </c>
      <c r="M3198" t="s">
        <v>295</v>
      </c>
      <c r="N3198" t="s">
        <v>296</v>
      </c>
      <c r="O3198" t="s">
        <v>297</v>
      </c>
    </row>
    <row r="3199" spans="1:15" x14ac:dyDescent="0.3">
      <c r="A3199" t="s">
        <v>4840</v>
      </c>
      <c r="B3199" t="s">
        <v>5014</v>
      </c>
      <c r="C3199">
        <v>2024</v>
      </c>
      <c r="D3199" t="s">
        <v>358</v>
      </c>
      <c r="E3199" t="s">
        <v>5073</v>
      </c>
      <c r="F3199" t="s">
        <v>5074</v>
      </c>
      <c r="G3199" t="s">
        <v>738</v>
      </c>
      <c r="H3199">
        <v>61</v>
      </c>
      <c r="I3199" t="s">
        <v>5075</v>
      </c>
      <c r="J3199" t="s">
        <v>294</v>
      </c>
      <c r="M3199" t="s">
        <v>295</v>
      </c>
      <c r="N3199" t="s">
        <v>296</v>
      </c>
      <c r="O3199" t="s">
        <v>297</v>
      </c>
    </row>
    <row r="3200" spans="1:15" x14ac:dyDescent="0.3">
      <c r="A3200" t="s">
        <v>4840</v>
      </c>
      <c r="B3200" t="s">
        <v>5014</v>
      </c>
      <c r="C3200">
        <v>2024</v>
      </c>
      <c r="D3200" t="s">
        <v>358</v>
      </c>
      <c r="E3200" t="s">
        <v>5076</v>
      </c>
      <c r="F3200" t="s">
        <v>5077</v>
      </c>
      <c r="G3200" t="s">
        <v>5078</v>
      </c>
      <c r="H3200">
        <v>61</v>
      </c>
      <c r="I3200" t="s">
        <v>5079</v>
      </c>
      <c r="J3200" t="s">
        <v>294</v>
      </c>
      <c r="M3200" t="s">
        <v>295</v>
      </c>
      <c r="N3200" t="s">
        <v>296</v>
      </c>
      <c r="O3200" t="s">
        <v>297</v>
      </c>
    </row>
    <row r="3201" spans="1:15" x14ac:dyDescent="0.3">
      <c r="A3201" t="s">
        <v>4840</v>
      </c>
      <c r="B3201" t="s">
        <v>5014</v>
      </c>
      <c r="C3201">
        <v>2024</v>
      </c>
      <c r="D3201" t="s">
        <v>358</v>
      </c>
      <c r="E3201" t="s">
        <v>5080</v>
      </c>
      <c r="F3201" t="s">
        <v>5081</v>
      </c>
      <c r="G3201" t="s">
        <v>292</v>
      </c>
      <c r="H3201">
        <v>26</v>
      </c>
      <c r="I3201" t="s">
        <v>5082</v>
      </c>
      <c r="J3201" t="s">
        <v>294</v>
      </c>
      <c r="M3201" t="s">
        <v>295</v>
      </c>
      <c r="N3201" t="s">
        <v>296</v>
      </c>
      <c r="O3201" t="s">
        <v>297</v>
      </c>
    </row>
    <row r="3202" spans="1:15" x14ac:dyDescent="0.3">
      <c r="A3202" t="s">
        <v>4840</v>
      </c>
      <c r="B3202" t="s">
        <v>5014</v>
      </c>
      <c r="C3202">
        <v>2024</v>
      </c>
      <c r="D3202" t="s">
        <v>358</v>
      </c>
      <c r="E3202" t="s">
        <v>5083</v>
      </c>
      <c r="F3202" t="s">
        <v>5084</v>
      </c>
      <c r="G3202" t="s">
        <v>5078</v>
      </c>
      <c r="H3202">
        <v>61</v>
      </c>
      <c r="I3202" t="s">
        <v>5085</v>
      </c>
      <c r="J3202" t="s">
        <v>294</v>
      </c>
      <c r="M3202" t="s">
        <v>295</v>
      </c>
      <c r="N3202" t="s">
        <v>296</v>
      </c>
      <c r="O3202" t="s">
        <v>297</v>
      </c>
    </row>
    <row r="3203" spans="1:15" x14ac:dyDescent="0.3">
      <c r="A3203" t="s">
        <v>4840</v>
      </c>
      <c r="B3203" t="s">
        <v>5014</v>
      </c>
      <c r="C3203">
        <v>2024</v>
      </c>
      <c r="D3203" t="s">
        <v>358</v>
      </c>
      <c r="E3203" t="s">
        <v>5086</v>
      </c>
      <c r="F3203">
        <v>75900</v>
      </c>
      <c r="G3203" t="s">
        <v>5087</v>
      </c>
      <c r="H3203">
        <v>61</v>
      </c>
      <c r="I3203" t="s">
        <v>5088</v>
      </c>
      <c r="J3203" t="s">
        <v>294</v>
      </c>
      <c r="M3203" t="s">
        <v>295</v>
      </c>
      <c r="N3203" t="s">
        <v>296</v>
      </c>
      <c r="O3203" t="s">
        <v>297</v>
      </c>
    </row>
    <row r="3204" spans="1:15" x14ac:dyDescent="0.3">
      <c r="A3204" t="s">
        <v>4840</v>
      </c>
      <c r="B3204" t="s">
        <v>5014</v>
      </c>
      <c r="C3204">
        <v>2024</v>
      </c>
      <c r="D3204" t="s">
        <v>358</v>
      </c>
      <c r="E3204" t="s">
        <v>5089</v>
      </c>
      <c r="F3204">
        <v>26</v>
      </c>
      <c r="G3204" t="s">
        <v>384</v>
      </c>
      <c r="H3204">
        <v>63</v>
      </c>
      <c r="I3204" t="s">
        <v>5090</v>
      </c>
      <c r="J3204" t="s">
        <v>294</v>
      </c>
      <c r="M3204" t="s">
        <v>295</v>
      </c>
      <c r="N3204" t="s">
        <v>296</v>
      </c>
      <c r="O3204" t="s">
        <v>297</v>
      </c>
    </row>
    <row r="3205" spans="1:15" x14ac:dyDescent="0.3">
      <c r="A3205" t="s">
        <v>4840</v>
      </c>
      <c r="B3205" t="s">
        <v>5014</v>
      </c>
      <c r="C3205">
        <v>2024</v>
      </c>
      <c r="D3205" t="s">
        <v>394</v>
      </c>
      <c r="E3205" t="s">
        <v>406</v>
      </c>
      <c r="F3205">
        <v>195440</v>
      </c>
      <c r="G3205" t="s">
        <v>396</v>
      </c>
      <c r="H3205">
        <v>63</v>
      </c>
      <c r="I3205" t="s">
        <v>5091</v>
      </c>
      <c r="J3205" t="s">
        <v>294</v>
      </c>
      <c r="M3205" t="s">
        <v>295</v>
      </c>
      <c r="N3205" t="s">
        <v>296</v>
      </c>
      <c r="O3205" t="s">
        <v>297</v>
      </c>
    </row>
    <row r="3206" spans="1:15" x14ac:dyDescent="0.3">
      <c r="A3206" t="s">
        <v>4840</v>
      </c>
      <c r="B3206" t="s">
        <v>5014</v>
      </c>
      <c r="C3206">
        <v>2024</v>
      </c>
      <c r="D3206" t="s">
        <v>394</v>
      </c>
      <c r="E3206" t="s">
        <v>855</v>
      </c>
      <c r="F3206">
        <v>57860</v>
      </c>
      <c r="G3206" t="s">
        <v>396</v>
      </c>
      <c r="H3206">
        <v>63</v>
      </c>
      <c r="I3206" t="s">
        <v>5092</v>
      </c>
      <c r="J3206" t="s">
        <v>294</v>
      </c>
      <c r="M3206" t="s">
        <v>295</v>
      </c>
      <c r="N3206" t="s">
        <v>296</v>
      </c>
      <c r="O3206" t="s">
        <v>297</v>
      </c>
    </row>
    <row r="3207" spans="1:15" x14ac:dyDescent="0.3">
      <c r="A3207" t="s">
        <v>4840</v>
      </c>
      <c r="B3207" t="s">
        <v>5014</v>
      </c>
      <c r="C3207">
        <v>2024</v>
      </c>
      <c r="D3207" t="s">
        <v>394</v>
      </c>
      <c r="E3207" t="s">
        <v>408</v>
      </c>
      <c r="F3207">
        <v>212470</v>
      </c>
      <c r="G3207" t="s">
        <v>396</v>
      </c>
      <c r="H3207">
        <v>63</v>
      </c>
      <c r="I3207" t="s">
        <v>5093</v>
      </c>
      <c r="J3207" t="s">
        <v>294</v>
      </c>
      <c r="M3207" t="s">
        <v>295</v>
      </c>
      <c r="N3207" t="s">
        <v>296</v>
      </c>
      <c r="O3207" t="s">
        <v>297</v>
      </c>
    </row>
    <row r="3208" spans="1:15" x14ac:dyDescent="0.3">
      <c r="A3208" t="s">
        <v>4840</v>
      </c>
      <c r="B3208" t="s">
        <v>5014</v>
      </c>
      <c r="C3208">
        <v>2024</v>
      </c>
      <c r="D3208" t="s">
        <v>394</v>
      </c>
      <c r="E3208" t="s">
        <v>414</v>
      </c>
      <c r="F3208">
        <v>9330</v>
      </c>
      <c r="G3208" t="s">
        <v>396</v>
      </c>
      <c r="H3208">
        <v>63</v>
      </c>
      <c r="I3208" t="s">
        <v>5094</v>
      </c>
      <c r="J3208" t="s">
        <v>294</v>
      </c>
      <c r="M3208" t="s">
        <v>295</v>
      </c>
      <c r="N3208" t="s">
        <v>296</v>
      </c>
      <c r="O3208" t="s">
        <v>297</v>
      </c>
    </row>
    <row r="3209" spans="1:15" x14ac:dyDescent="0.3">
      <c r="A3209" t="s">
        <v>4840</v>
      </c>
      <c r="B3209" t="s">
        <v>5014</v>
      </c>
      <c r="C3209">
        <v>2024</v>
      </c>
      <c r="D3209" t="s">
        <v>394</v>
      </c>
      <c r="E3209" t="s">
        <v>418</v>
      </c>
      <c r="F3209">
        <v>21230</v>
      </c>
      <c r="G3209" t="s">
        <v>396</v>
      </c>
      <c r="H3209">
        <v>63</v>
      </c>
      <c r="I3209" t="s">
        <v>5095</v>
      </c>
      <c r="J3209" t="s">
        <v>294</v>
      </c>
      <c r="M3209" t="s">
        <v>295</v>
      </c>
      <c r="N3209" t="s">
        <v>296</v>
      </c>
      <c r="O3209" t="s">
        <v>297</v>
      </c>
    </row>
    <row r="3210" spans="1:15" x14ac:dyDescent="0.3">
      <c r="A3210" t="s">
        <v>4840</v>
      </c>
      <c r="B3210" t="s">
        <v>5014</v>
      </c>
      <c r="C3210">
        <v>2024</v>
      </c>
      <c r="D3210" t="s">
        <v>394</v>
      </c>
      <c r="E3210" t="s">
        <v>420</v>
      </c>
      <c r="F3210">
        <v>26650</v>
      </c>
      <c r="G3210" t="s">
        <v>396</v>
      </c>
      <c r="H3210">
        <v>63</v>
      </c>
      <c r="I3210" t="s">
        <v>5096</v>
      </c>
      <c r="J3210" t="s">
        <v>294</v>
      </c>
      <c r="M3210" t="s">
        <v>295</v>
      </c>
      <c r="N3210" t="s">
        <v>296</v>
      </c>
      <c r="O3210" t="s">
        <v>297</v>
      </c>
    </row>
    <row r="3211" spans="1:15" x14ac:dyDescent="0.3">
      <c r="A3211" t="s">
        <v>4840</v>
      </c>
      <c r="B3211" t="s">
        <v>5014</v>
      </c>
      <c r="C3211">
        <v>2024</v>
      </c>
      <c r="D3211" t="s">
        <v>394</v>
      </c>
      <c r="E3211" t="s">
        <v>410</v>
      </c>
      <c r="F3211">
        <v>12460</v>
      </c>
      <c r="G3211" t="s">
        <v>396</v>
      </c>
      <c r="H3211">
        <v>63</v>
      </c>
      <c r="I3211" t="s">
        <v>5097</v>
      </c>
      <c r="J3211" t="s">
        <v>294</v>
      </c>
      <c r="M3211" t="s">
        <v>295</v>
      </c>
      <c r="N3211" t="s">
        <v>296</v>
      </c>
      <c r="O3211" t="s">
        <v>297</v>
      </c>
    </row>
    <row r="3212" spans="1:15" x14ac:dyDescent="0.3">
      <c r="A3212" t="s">
        <v>4840</v>
      </c>
      <c r="B3212" t="s">
        <v>5014</v>
      </c>
      <c r="C3212">
        <v>2024</v>
      </c>
      <c r="D3212" t="s">
        <v>394</v>
      </c>
      <c r="E3212" t="s">
        <v>412</v>
      </c>
      <c r="F3212">
        <v>3660</v>
      </c>
      <c r="G3212" t="s">
        <v>396</v>
      </c>
      <c r="H3212">
        <v>63</v>
      </c>
      <c r="I3212" t="s">
        <v>5098</v>
      </c>
      <c r="J3212" t="s">
        <v>294</v>
      </c>
      <c r="M3212" t="s">
        <v>295</v>
      </c>
      <c r="N3212" t="s">
        <v>296</v>
      </c>
      <c r="O3212" t="s">
        <v>297</v>
      </c>
    </row>
    <row r="3213" spans="1:15" x14ac:dyDescent="0.3">
      <c r="A3213" t="s">
        <v>4840</v>
      </c>
      <c r="B3213" t="s">
        <v>5014</v>
      </c>
      <c r="C3213">
        <v>2024</v>
      </c>
      <c r="D3213" t="s">
        <v>394</v>
      </c>
      <c r="E3213" t="s">
        <v>4987</v>
      </c>
      <c r="F3213">
        <v>486707</v>
      </c>
      <c r="G3213" t="s">
        <v>396</v>
      </c>
      <c r="H3213">
        <v>64</v>
      </c>
      <c r="I3213" t="s">
        <v>5099</v>
      </c>
      <c r="J3213" t="s">
        <v>294</v>
      </c>
      <c r="M3213" t="s">
        <v>295</v>
      </c>
      <c r="N3213" t="s">
        <v>296</v>
      </c>
      <c r="O3213" t="s">
        <v>297</v>
      </c>
    </row>
    <row r="3214" spans="1:15" x14ac:dyDescent="0.3">
      <c r="A3214" t="s">
        <v>4840</v>
      </c>
      <c r="B3214" t="s">
        <v>5014</v>
      </c>
      <c r="C3214">
        <v>2024</v>
      </c>
      <c r="D3214" t="s">
        <v>394</v>
      </c>
      <c r="E3214" t="s">
        <v>4910</v>
      </c>
      <c r="F3214">
        <v>1132255</v>
      </c>
      <c r="G3214" t="s">
        <v>396</v>
      </c>
      <c r="H3214">
        <v>67</v>
      </c>
      <c r="I3214" t="s">
        <v>5100</v>
      </c>
      <c r="J3214" t="s">
        <v>294</v>
      </c>
      <c r="M3214" t="s">
        <v>295</v>
      </c>
      <c r="N3214" t="s">
        <v>296</v>
      </c>
      <c r="O3214" t="s">
        <v>297</v>
      </c>
    </row>
    <row r="3215" spans="1:15" x14ac:dyDescent="0.3">
      <c r="A3215" t="s">
        <v>4840</v>
      </c>
      <c r="B3215" t="s">
        <v>5014</v>
      </c>
      <c r="C3215">
        <v>2024</v>
      </c>
      <c r="D3215" t="s">
        <v>394</v>
      </c>
      <c r="E3215" t="s">
        <v>4912</v>
      </c>
      <c r="F3215">
        <v>88257</v>
      </c>
      <c r="G3215" t="s">
        <v>396</v>
      </c>
      <c r="H3215">
        <v>67</v>
      </c>
      <c r="I3215" t="s">
        <v>5101</v>
      </c>
      <c r="J3215" t="s">
        <v>294</v>
      </c>
      <c r="M3215" t="s">
        <v>295</v>
      </c>
      <c r="N3215" t="s">
        <v>296</v>
      </c>
      <c r="O3215" t="s">
        <v>297</v>
      </c>
    </row>
    <row r="3216" spans="1:15" x14ac:dyDescent="0.3">
      <c r="A3216" t="s">
        <v>4840</v>
      </c>
      <c r="B3216" t="s">
        <v>5014</v>
      </c>
      <c r="C3216">
        <v>2024</v>
      </c>
      <c r="D3216" t="s">
        <v>394</v>
      </c>
      <c r="E3216" t="s">
        <v>4991</v>
      </c>
      <c r="F3216">
        <v>31381</v>
      </c>
      <c r="G3216" t="s">
        <v>396</v>
      </c>
      <c r="H3216">
        <v>67</v>
      </c>
      <c r="I3216" t="s">
        <v>5102</v>
      </c>
      <c r="J3216" t="s">
        <v>294</v>
      </c>
      <c r="M3216" t="s">
        <v>295</v>
      </c>
      <c r="N3216" t="s">
        <v>296</v>
      </c>
      <c r="O3216" t="s">
        <v>297</v>
      </c>
    </row>
    <row r="3217" spans="1:15" x14ac:dyDescent="0.3">
      <c r="A3217" t="s">
        <v>4840</v>
      </c>
      <c r="B3217" t="s">
        <v>5014</v>
      </c>
      <c r="C3217">
        <v>2024</v>
      </c>
      <c r="D3217" t="s">
        <v>394</v>
      </c>
      <c r="E3217" t="s">
        <v>438</v>
      </c>
      <c r="F3217">
        <v>59601</v>
      </c>
      <c r="G3217" t="s">
        <v>396</v>
      </c>
      <c r="H3217">
        <v>67</v>
      </c>
      <c r="I3217" t="s">
        <v>5103</v>
      </c>
      <c r="J3217" t="s">
        <v>294</v>
      </c>
      <c r="M3217" t="s">
        <v>295</v>
      </c>
      <c r="N3217" t="s">
        <v>296</v>
      </c>
      <c r="O3217" t="s">
        <v>297</v>
      </c>
    </row>
    <row r="3218" spans="1:15" x14ac:dyDescent="0.3">
      <c r="A3218" t="s">
        <v>4840</v>
      </c>
      <c r="B3218" t="s">
        <v>5014</v>
      </c>
      <c r="C3218">
        <v>2024</v>
      </c>
      <c r="D3218" t="s">
        <v>394</v>
      </c>
      <c r="E3218" t="s">
        <v>4994</v>
      </c>
      <c r="F3218">
        <v>11248</v>
      </c>
      <c r="G3218" t="s">
        <v>396</v>
      </c>
      <c r="H3218">
        <v>67</v>
      </c>
      <c r="I3218" t="s">
        <v>5104</v>
      </c>
      <c r="J3218" t="s">
        <v>294</v>
      </c>
      <c r="M3218" t="s">
        <v>295</v>
      </c>
      <c r="N3218" t="s">
        <v>296</v>
      </c>
      <c r="O3218" t="s">
        <v>297</v>
      </c>
    </row>
    <row r="3219" spans="1:15" x14ac:dyDescent="0.3">
      <c r="A3219" t="s">
        <v>4840</v>
      </c>
      <c r="B3219" t="s">
        <v>5014</v>
      </c>
      <c r="C3219">
        <v>2024</v>
      </c>
      <c r="D3219" t="s">
        <v>394</v>
      </c>
      <c r="E3219" t="s">
        <v>4915</v>
      </c>
      <c r="F3219">
        <v>192406</v>
      </c>
      <c r="G3219" t="s">
        <v>396</v>
      </c>
      <c r="H3219">
        <v>67</v>
      </c>
      <c r="I3219" t="s">
        <v>5105</v>
      </c>
      <c r="J3219" t="s">
        <v>294</v>
      </c>
      <c r="M3219" t="s">
        <v>295</v>
      </c>
      <c r="N3219" t="s">
        <v>296</v>
      </c>
      <c r="O3219" t="s">
        <v>297</v>
      </c>
    </row>
    <row r="3220" spans="1:15" x14ac:dyDescent="0.3">
      <c r="A3220" t="s">
        <v>4840</v>
      </c>
      <c r="B3220" t="s">
        <v>5014</v>
      </c>
      <c r="C3220">
        <v>2024</v>
      </c>
      <c r="D3220" t="s">
        <v>394</v>
      </c>
      <c r="E3220" t="s">
        <v>4997</v>
      </c>
      <c r="F3220">
        <v>11509</v>
      </c>
      <c r="G3220" t="s">
        <v>396</v>
      </c>
      <c r="H3220">
        <v>67</v>
      </c>
      <c r="I3220" t="s">
        <v>5106</v>
      </c>
      <c r="J3220" t="s">
        <v>294</v>
      </c>
      <c r="M3220" t="s">
        <v>295</v>
      </c>
      <c r="N3220" t="s">
        <v>296</v>
      </c>
      <c r="O3220" t="s">
        <v>297</v>
      </c>
    </row>
    <row r="3221" spans="1:15" x14ac:dyDescent="0.3">
      <c r="A3221" t="s">
        <v>4840</v>
      </c>
      <c r="B3221" t="s">
        <v>5014</v>
      </c>
      <c r="C3221">
        <v>2024</v>
      </c>
      <c r="D3221" t="s">
        <v>394</v>
      </c>
      <c r="E3221" t="s">
        <v>4999</v>
      </c>
      <c r="F3221">
        <v>31560</v>
      </c>
      <c r="G3221" t="s">
        <v>396</v>
      </c>
      <c r="H3221">
        <v>67</v>
      </c>
      <c r="I3221" t="s">
        <v>5107</v>
      </c>
      <c r="J3221" t="s">
        <v>294</v>
      </c>
      <c r="M3221" t="s">
        <v>295</v>
      </c>
      <c r="N3221" t="s">
        <v>296</v>
      </c>
      <c r="O3221" t="s">
        <v>297</v>
      </c>
    </row>
    <row r="3222" spans="1:15" x14ac:dyDescent="0.3">
      <c r="A3222" t="s">
        <v>4840</v>
      </c>
      <c r="B3222" t="s">
        <v>5014</v>
      </c>
      <c r="C3222">
        <v>2024</v>
      </c>
      <c r="D3222" t="s">
        <v>394</v>
      </c>
      <c r="E3222" t="s">
        <v>5001</v>
      </c>
      <c r="F3222">
        <v>22361</v>
      </c>
      <c r="G3222" t="s">
        <v>396</v>
      </c>
      <c r="H3222">
        <v>67</v>
      </c>
      <c r="I3222" t="s">
        <v>5108</v>
      </c>
      <c r="J3222" t="s">
        <v>294</v>
      </c>
      <c r="M3222" t="s">
        <v>295</v>
      </c>
      <c r="N3222" t="s">
        <v>296</v>
      </c>
      <c r="O3222" t="s">
        <v>297</v>
      </c>
    </row>
    <row r="3223" spans="1:15" x14ac:dyDescent="0.3">
      <c r="A3223" t="s">
        <v>4840</v>
      </c>
      <c r="B3223" t="s">
        <v>5014</v>
      </c>
      <c r="C3223">
        <v>2024</v>
      </c>
      <c r="D3223" t="s">
        <v>394</v>
      </c>
      <c r="E3223" t="s">
        <v>5003</v>
      </c>
      <c r="F3223">
        <v>9372</v>
      </c>
      <c r="G3223" t="s">
        <v>396</v>
      </c>
      <c r="H3223">
        <v>67</v>
      </c>
      <c r="I3223" t="s">
        <v>5109</v>
      </c>
      <c r="J3223" t="s">
        <v>294</v>
      </c>
      <c r="M3223" t="s">
        <v>295</v>
      </c>
      <c r="N3223" t="s">
        <v>296</v>
      </c>
      <c r="O3223" t="s">
        <v>297</v>
      </c>
    </row>
    <row r="3224" spans="1:15" x14ac:dyDescent="0.3">
      <c r="A3224" t="s">
        <v>4840</v>
      </c>
      <c r="B3224" t="s">
        <v>5014</v>
      </c>
      <c r="C3224">
        <v>2024</v>
      </c>
      <c r="D3224" t="s">
        <v>394</v>
      </c>
      <c r="E3224" t="s">
        <v>5110</v>
      </c>
      <c r="F3224">
        <v>4649</v>
      </c>
      <c r="G3224" t="s">
        <v>396</v>
      </c>
      <c r="H3224">
        <v>67</v>
      </c>
      <c r="I3224" t="s">
        <v>5111</v>
      </c>
      <c r="J3224" t="s">
        <v>294</v>
      </c>
      <c r="M3224" t="s">
        <v>295</v>
      </c>
      <c r="N3224" t="s">
        <v>296</v>
      </c>
      <c r="O3224" t="s">
        <v>297</v>
      </c>
    </row>
    <row r="3225" spans="1:15" x14ac:dyDescent="0.3">
      <c r="A3225" t="s">
        <v>4840</v>
      </c>
      <c r="B3225" t="s">
        <v>5014</v>
      </c>
      <c r="C3225">
        <v>2024</v>
      </c>
      <c r="D3225" t="s">
        <v>394</v>
      </c>
      <c r="E3225" t="s">
        <v>4917</v>
      </c>
      <c r="F3225">
        <v>810</v>
      </c>
      <c r="G3225" t="s">
        <v>302</v>
      </c>
      <c r="H3225">
        <v>63</v>
      </c>
      <c r="I3225" t="s">
        <v>5112</v>
      </c>
      <c r="J3225" t="s">
        <v>294</v>
      </c>
      <c r="M3225" t="s">
        <v>295</v>
      </c>
      <c r="N3225" t="s">
        <v>296</v>
      </c>
      <c r="O3225" t="s">
        <v>297</v>
      </c>
    </row>
    <row r="3226" spans="1:15" x14ac:dyDescent="0.3">
      <c r="A3226" t="s">
        <v>4840</v>
      </c>
      <c r="B3226" t="s">
        <v>5014</v>
      </c>
      <c r="C3226">
        <v>2024</v>
      </c>
      <c r="D3226" t="s">
        <v>394</v>
      </c>
      <c r="E3226" t="s">
        <v>4919</v>
      </c>
      <c r="F3226">
        <v>2728</v>
      </c>
      <c r="G3226" t="s">
        <v>302</v>
      </c>
      <c r="H3226">
        <v>63</v>
      </c>
      <c r="I3226" t="s">
        <v>5113</v>
      </c>
      <c r="J3226" t="s">
        <v>294</v>
      </c>
      <c r="M3226" t="s">
        <v>295</v>
      </c>
      <c r="N3226" t="s">
        <v>296</v>
      </c>
      <c r="O3226" t="s">
        <v>297</v>
      </c>
    </row>
    <row r="3227" spans="1:15" x14ac:dyDescent="0.3">
      <c r="A3227" t="s">
        <v>4840</v>
      </c>
      <c r="B3227" t="s">
        <v>5014</v>
      </c>
      <c r="C3227">
        <v>2024</v>
      </c>
      <c r="D3227" t="s">
        <v>394</v>
      </c>
      <c r="E3227" t="s">
        <v>4921</v>
      </c>
      <c r="F3227">
        <v>538</v>
      </c>
      <c r="G3227" t="s">
        <v>302</v>
      </c>
      <c r="H3227">
        <v>63</v>
      </c>
      <c r="I3227" t="s">
        <v>5114</v>
      </c>
      <c r="J3227" t="s">
        <v>294</v>
      </c>
      <c r="M3227" t="s">
        <v>295</v>
      </c>
      <c r="N3227" t="s">
        <v>296</v>
      </c>
      <c r="O3227" t="s">
        <v>297</v>
      </c>
    </row>
    <row r="3228" spans="1:15" x14ac:dyDescent="0.3">
      <c r="A3228" t="s">
        <v>4840</v>
      </c>
      <c r="B3228" t="s">
        <v>5014</v>
      </c>
      <c r="C3228">
        <v>2024</v>
      </c>
      <c r="D3228" t="s">
        <v>394</v>
      </c>
      <c r="E3228" t="s">
        <v>4923</v>
      </c>
      <c r="F3228">
        <v>89.18</v>
      </c>
      <c r="G3228" t="s">
        <v>302</v>
      </c>
      <c r="H3228">
        <v>64</v>
      </c>
      <c r="I3228" t="s">
        <v>5115</v>
      </c>
      <c r="J3228" t="s">
        <v>294</v>
      </c>
      <c r="M3228" t="s">
        <v>295</v>
      </c>
      <c r="N3228" t="s">
        <v>296</v>
      </c>
      <c r="O3228" t="s">
        <v>297</v>
      </c>
    </row>
    <row r="3229" spans="1:15" x14ac:dyDescent="0.3">
      <c r="A3229" t="s">
        <v>4840</v>
      </c>
      <c r="B3229" t="s">
        <v>5014</v>
      </c>
      <c r="C3229">
        <v>2024</v>
      </c>
      <c r="D3229" t="s">
        <v>394</v>
      </c>
      <c r="E3229" t="s">
        <v>4925</v>
      </c>
      <c r="F3229">
        <v>69.64</v>
      </c>
      <c r="G3229" t="s">
        <v>302</v>
      </c>
      <c r="H3229">
        <v>64</v>
      </c>
      <c r="I3229" t="s">
        <v>5116</v>
      </c>
      <c r="J3229" t="s">
        <v>294</v>
      </c>
      <c r="M3229" t="s">
        <v>295</v>
      </c>
      <c r="N3229" t="s">
        <v>296</v>
      </c>
      <c r="O3229" t="s">
        <v>297</v>
      </c>
    </row>
    <row r="3230" spans="1:15" x14ac:dyDescent="0.3">
      <c r="A3230" t="s">
        <v>4840</v>
      </c>
      <c r="B3230" t="s">
        <v>5014</v>
      </c>
      <c r="C3230">
        <v>2024</v>
      </c>
      <c r="D3230" t="s">
        <v>394</v>
      </c>
      <c r="E3230" t="s">
        <v>5009</v>
      </c>
      <c r="F3230">
        <v>1.3</v>
      </c>
      <c r="G3230" t="s">
        <v>302</v>
      </c>
      <c r="H3230">
        <v>64</v>
      </c>
      <c r="I3230" t="s">
        <v>5117</v>
      </c>
      <c r="J3230" t="s">
        <v>294</v>
      </c>
      <c r="M3230" t="s">
        <v>295</v>
      </c>
      <c r="N3230" t="s">
        <v>296</v>
      </c>
      <c r="O3230" t="s">
        <v>297</v>
      </c>
    </row>
    <row r="3231" spans="1:15" x14ac:dyDescent="0.3">
      <c r="A3231" t="s">
        <v>4840</v>
      </c>
      <c r="B3231" t="s">
        <v>5014</v>
      </c>
      <c r="C3231">
        <v>2024</v>
      </c>
      <c r="D3231" t="s">
        <v>272</v>
      </c>
      <c r="E3231" t="s">
        <v>1203</v>
      </c>
      <c r="F3231" t="s">
        <v>4927</v>
      </c>
      <c r="G3231" t="s">
        <v>292</v>
      </c>
      <c r="H3231">
        <v>64</v>
      </c>
      <c r="I3231" t="s">
        <v>5118</v>
      </c>
      <c r="J3231" t="s">
        <v>294</v>
      </c>
      <c r="M3231" t="s">
        <v>295</v>
      </c>
      <c r="N3231" t="s">
        <v>296</v>
      </c>
      <c r="O3231" t="s">
        <v>297</v>
      </c>
    </row>
    <row r="3232" spans="1:15" x14ac:dyDescent="0.3">
      <c r="A3232" t="s">
        <v>4840</v>
      </c>
      <c r="B3232" t="s">
        <v>5014</v>
      </c>
      <c r="C3232">
        <v>2024</v>
      </c>
      <c r="D3232" t="s">
        <v>563</v>
      </c>
      <c r="E3232" t="s">
        <v>5119</v>
      </c>
      <c r="F3232" t="s">
        <v>5120</v>
      </c>
      <c r="G3232" t="s">
        <v>292</v>
      </c>
      <c r="H3232">
        <v>35</v>
      </c>
      <c r="I3232" t="s">
        <v>5121</v>
      </c>
      <c r="J3232" t="s">
        <v>294</v>
      </c>
      <c r="M3232" t="s">
        <v>295</v>
      </c>
      <c r="N3232" t="s">
        <v>296</v>
      </c>
      <c r="O3232" t="s">
        <v>297</v>
      </c>
    </row>
    <row r="3233" spans="1:15" x14ac:dyDescent="0.3">
      <c r="A3233" t="s">
        <v>4840</v>
      </c>
      <c r="B3233" t="s">
        <v>5014</v>
      </c>
      <c r="C3233">
        <v>2024</v>
      </c>
      <c r="D3233" t="s">
        <v>300</v>
      </c>
      <c r="E3233" t="s">
        <v>5122</v>
      </c>
      <c r="F3233">
        <v>90</v>
      </c>
      <c r="G3233" t="s">
        <v>302</v>
      </c>
      <c r="H3233">
        <v>11</v>
      </c>
      <c r="I3233" t="s">
        <v>5123</v>
      </c>
      <c r="J3233" t="s">
        <v>294</v>
      </c>
      <c r="M3233" t="s">
        <v>295</v>
      </c>
      <c r="N3233" t="s">
        <v>296</v>
      </c>
      <c r="O3233" t="s">
        <v>297</v>
      </c>
    </row>
    <row r="3234" spans="1:15" x14ac:dyDescent="0.3">
      <c r="A3234" t="s">
        <v>5124</v>
      </c>
      <c r="B3234" t="s">
        <v>5125</v>
      </c>
      <c r="C3234">
        <v>2022</v>
      </c>
      <c r="D3234" t="s">
        <v>272</v>
      </c>
      <c r="E3234" t="s">
        <v>291</v>
      </c>
      <c r="F3234" t="s">
        <v>5124</v>
      </c>
      <c r="G3234" t="s">
        <v>292</v>
      </c>
      <c r="H3234">
        <v>49</v>
      </c>
      <c r="I3234" t="s">
        <v>5126</v>
      </c>
      <c r="J3234" t="s">
        <v>294</v>
      </c>
      <c r="M3234" t="s">
        <v>295</v>
      </c>
      <c r="N3234" t="s">
        <v>7</v>
      </c>
      <c r="O3234" t="s">
        <v>297</v>
      </c>
    </row>
    <row r="3235" spans="1:15" x14ac:dyDescent="0.3">
      <c r="A3235" t="s">
        <v>5124</v>
      </c>
      <c r="B3235" t="s">
        <v>5125</v>
      </c>
      <c r="C3235">
        <v>2022</v>
      </c>
      <c r="D3235" t="s">
        <v>272</v>
      </c>
      <c r="E3235" t="s">
        <v>869</v>
      </c>
      <c r="F3235" t="s">
        <v>1628</v>
      </c>
      <c r="G3235" t="s">
        <v>666</v>
      </c>
      <c r="H3235">
        <v>15</v>
      </c>
      <c r="I3235" t="s">
        <v>5127</v>
      </c>
      <c r="J3235" t="s">
        <v>294</v>
      </c>
      <c r="M3235" t="s">
        <v>295</v>
      </c>
      <c r="N3235" t="s">
        <v>7</v>
      </c>
      <c r="O3235" t="s">
        <v>297</v>
      </c>
    </row>
    <row r="3236" spans="1:15" x14ac:dyDescent="0.3">
      <c r="A3236" t="s">
        <v>5124</v>
      </c>
      <c r="B3236" t="s">
        <v>5125</v>
      </c>
      <c r="C3236">
        <v>2022</v>
      </c>
      <c r="D3236" t="s">
        <v>272</v>
      </c>
      <c r="E3236" t="s">
        <v>5128</v>
      </c>
      <c r="F3236">
        <v>300</v>
      </c>
      <c r="G3236" t="s">
        <v>302</v>
      </c>
      <c r="H3236">
        <v>16</v>
      </c>
      <c r="I3236" t="s">
        <v>5129</v>
      </c>
      <c r="J3236" t="s">
        <v>294</v>
      </c>
      <c r="M3236" t="s">
        <v>295</v>
      </c>
      <c r="N3236" t="s">
        <v>7</v>
      </c>
      <c r="O3236" t="s">
        <v>297</v>
      </c>
    </row>
    <row r="3237" spans="1:15" x14ac:dyDescent="0.3">
      <c r="A3237" t="s">
        <v>5124</v>
      </c>
      <c r="B3237" t="s">
        <v>5125</v>
      </c>
      <c r="C3237">
        <v>2022</v>
      </c>
      <c r="D3237" t="s">
        <v>272</v>
      </c>
      <c r="E3237" t="s">
        <v>442</v>
      </c>
      <c r="F3237" t="s">
        <v>5130</v>
      </c>
      <c r="G3237" t="s">
        <v>334</v>
      </c>
      <c r="H3237">
        <v>49</v>
      </c>
      <c r="I3237" t="s">
        <v>5131</v>
      </c>
      <c r="J3237" t="s">
        <v>294</v>
      </c>
      <c r="M3237" t="s">
        <v>295</v>
      </c>
      <c r="N3237" t="s">
        <v>7</v>
      </c>
      <c r="O3237" t="s">
        <v>297</v>
      </c>
    </row>
    <row r="3238" spans="1:15" x14ac:dyDescent="0.3">
      <c r="A3238" t="s">
        <v>5124</v>
      </c>
      <c r="B3238" t="s">
        <v>5125</v>
      </c>
      <c r="C3238">
        <v>2022</v>
      </c>
      <c r="D3238" t="s">
        <v>272</v>
      </c>
      <c r="E3238" t="s">
        <v>5132</v>
      </c>
      <c r="F3238">
        <v>7.8200000000000006E-2</v>
      </c>
      <c r="G3238" t="s">
        <v>334</v>
      </c>
      <c r="H3238">
        <v>49</v>
      </c>
      <c r="I3238" t="s">
        <v>5133</v>
      </c>
      <c r="J3238" t="s">
        <v>294</v>
      </c>
      <c r="M3238" t="s">
        <v>295</v>
      </c>
      <c r="N3238" t="s">
        <v>7</v>
      </c>
      <c r="O3238" t="s">
        <v>297</v>
      </c>
    </row>
    <row r="3239" spans="1:15" x14ac:dyDescent="0.3">
      <c r="A3239" t="s">
        <v>5124</v>
      </c>
      <c r="B3239" t="s">
        <v>5125</v>
      </c>
      <c r="C3239">
        <v>2022</v>
      </c>
      <c r="D3239" t="s">
        <v>272</v>
      </c>
      <c r="E3239" t="s">
        <v>5134</v>
      </c>
      <c r="F3239">
        <v>2.3800000000000002E-2</v>
      </c>
      <c r="G3239" t="s">
        <v>334</v>
      </c>
      <c r="H3239">
        <v>49</v>
      </c>
      <c r="I3239" t="s">
        <v>5135</v>
      </c>
      <c r="J3239" t="s">
        <v>294</v>
      </c>
      <c r="M3239" t="s">
        <v>295</v>
      </c>
      <c r="N3239" t="s">
        <v>7</v>
      </c>
      <c r="O3239" t="s">
        <v>297</v>
      </c>
    </row>
    <row r="3240" spans="1:15" x14ac:dyDescent="0.3">
      <c r="A3240" t="s">
        <v>5124</v>
      </c>
      <c r="B3240" t="s">
        <v>5125</v>
      </c>
      <c r="C3240">
        <v>2022</v>
      </c>
      <c r="D3240" t="s">
        <v>272</v>
      </c>
      <c r="E3240" t="s">
        <v>445</v>
      </c>
      <c r="F3240">
        <v>0.20830000000000001</v>
      </c>
      <c r="G3240" t="s">
        <v>334</v>
      </c>
      <c r="H3240">
        <v>49</v>
      </c>
      <c r="I3240" t="s">
        <v>5136</v>
      </c>
      <c r="J3240" t="s">
        <v>294</v>
      </c>
      <c r="M3240" t="s">
        <v>295</v>
      </c>
      <c r="N3240" t="s">
        <v>7</v>
      </c>
      <c r="O3240" t="s">
        <v>297</v>
      </c>
    </row>
    <row r="3241" spans="1:15" x14ac:dyDescent="0.3">
      <c r="A3241" t="s">
        <v>5124</v>
      </c>
      <c r="B3241" t="s">
        <v>5125</v>
      </c>
      <c r="C3241">
        <v>2022</v>
      </c>
      <c r="D3241" t="s">
        <v>272</v>
      </c>
      <c r="E3241" t="s">
        <v>1560</v>
      </c>
      <c r="F3241">
        <v>1072</v>
      </c>
      <c r="G3241" t="s">
        <v>384</v>
      </c>
      <c r="H3241">
        <v>50</v>
      </c>
      <c r="I3241" t="s">
        <v>5137</v>
      </c>
      <c r="J3241" t="s">
        <v>294</v>
      </c>
      <c r="M3241" t="s">
        <v>295</v>
      </c>
      <c r="N3241" t="s">
        <v>7</v>
      </c>
      <c r="O3241" t="s">
        <v>297</v>
      </c>
    </row>
    <row r="3242" spans="1:15" x14ac:dyDescent="0.3">
      <c r="A3242" t="s">
        <v>5124</v>
      </c>
      <c r="B3242" t="s">
        <v>5125</v>
      </c>
      <c r="C3242">
        <v>2022</v>
      </c>
      <c r="D3242" t="s">
        <v>300</v>
      </c>
      <c r="E3242" t="s">
        <v>3142</v>
      </c>
      <c r="F3242">
        <v>627.88</v>
      </c>
      <c r="G3242" t="s">
        <v>302</v>
      </c>
      <c r="H3242">
        <v>10</v>
      </c>
      <c r="I3242" t="s">
        <v>5138</v>
      </c>
      <c r="J3242" t="s">
        <v>294</v>
      </c>
      <c r="M3242" t="s">
        <v>295</v>
      </c>
      <c r="N3242" t="s">
        <v>7</v>
      </c>
      <c r="O3242" t="s">
        <v>297</v>
      </c>
    </row>
    <row r="3243" spans="1:15" x14ac:dyDescent="0.3">
      <c r="A3243" t="s">
        <v>5124</v>
      </c>
      <c r="B3243" t="s">
        <v>5125</v>
      </c>
      <c r="C3243">
        <v>2022</v>
      </c>
      <c r="D3243" t="s">
        <v>300</v>
      </c>
      <c r="E3243" t="s">
        <v>688</v>
      </c>
      <c r="F3243">
        <v>453.69</v>
      </c>
      <c r="G3243" t="s">
        <v>302</v>
      </c>
      <c r="H3243">
        <v>10</v>
      </c>
      <c r="I3243" t="s">
        <v>5139</v>
      </c>
      <c r="J3243" t="s">
        <v>294</v>
      </c>
      <c r="M3243" t="s">
        <v>295</v>
      </c>
      <c r="N3243" t="s">
        <v>7</v>
      </c>
      <c r="O3243" t="s">
        <v>297</v>
      </c>
    </row>
    <row r="3244" spans="1:15" x14ac:dyDescent="0.3">
      <c r="A3244" t="s">
        <v>5124</v>
      </c>
      <c r="B3244" t="s">
        <v>5125</v>
      </c>
      <c r="C3244">
        <v>2022</v>
      </c>
      <c r="D3244" t="s">
        <v>300</v>
      </c>
      <c r="E3244" t="s">
        <v>304</v>
      </c>
      <c r="F3244">
        <v>174.19</v>
      </c>
      <c r="G3244" t="s">
        <v>302</v>
      </c>
      <c r="H3244">
        <v>10</v>
      </c>
      <c r="I3244" t="s">
        <v>5140</v>
      </c>
      <c r="J3244" t="s">
        <v>294</v>
      </c>
      <c r="M3244" t="s">
        <v>295</v>
      </c>
      <c r="N3244" t="s">
        <v>7</v>
      </c>
      <c r="O3244" t="s">
        <v>297</v>
      </c>
    </row>
    <row r="3245" spans="1:15" x14ac:dyDescent="0.3">
      <c r="A3245" t="s">
        <v>5124</v>
      </c>
      <c r="B3245" t="s">
        <v>5125</v>
      </c>
      <c r="C3245">
        <v>2022</v>
      </c>
      <c r="D3245" t="s">
        <v>300</v>
      </c>
      <c r="E3245" t="s">
        <v>5141</v>
      </c>
      <c r="F3245">
        <v>59.04</v>
      </c>
      <c r="G3245" t="s">
        <v>302</v>
      </c>
      <c r="H3245">
        <v>10</v>
      </c>
      <c r="I3245" t="s">
        <v>5142</v>
      </c>
      <c r="J3245" t="s">
        <v>294</v>
      </c>
      <c r="M3245" t="s">
        <v>295</v>
      </c>
      <c r="N3245" t="s">
        <v>7</v>
      </c>
      <c r="O3245" t="s">
        <v>297</v>
      </c>
    </row>
    <row r="3246" spans="1:15" x14ac:dyDescent="0.3">
      <c r="A3246" t="s">
        <v>5124</v>
      </c>
      <c r="B3246" t="s">
        <v>5125</v>
      </c>
      <c r="C3246">
        <v>2022</v>
      </c>
      <c r="D3246" t="s">
        <v>300</v>
      </c>
      <c r="E3246" t="s">
        <v>1112</v>
      </c>
      <c r="F3246">
        <v>115.15</v>
      </c>
      <c r="G3246" t="s">
        <v>302</v>
      </c>
      <c r="H3246">
        <v>10</v>
      </c>
      <c r="I3246" t="s">
        <v>5143</v>
      </c>
      <c r="J3246" t="s">
        <v>294</v>
      </c>
      <c r="M3246" t="s">
        <v>295</v>
      </c>
      <c r="N3246" t="s">
        <v>7</v>
      </c>
      <c r="O3246" t="s">
        <v>297</v>
      </c>
    </row>
    <row r="3247" spans="1:15" x14ac:dyDescent="0.3">
      <c r="A3247" t="s">
        <v>5124</v>
      </c>
      <c r="B3247" t="s">
        <v>5125</v>
      </c>
      <c r="C3247">
        <v>2022</v>
      </c>
      <c r="D3247" t="s">
        <v>300</v>
      </c>
      <c r="E3247" t="s">
        <v>579</v>
      </c>
      <c r="F3247">
        <v>87.72</v>
      </c>
      <c r="G3247" t="s">
        <v>302</v>
      </c>
      <c r="H3247">
        <v>10</v>
      </c>
      <c r="I3247" t="s">
        <v>5144</v>
      </c>
      <c r="J3247" t="s">
        <v>294</v>
      </c>
      <c r="M3247" t="s">
        <v>295</v>
      </c>
      <c r="N3247" t="s">
        <v>7</v>
      </c>
      <c r="O3247" t="s">
        <v>297</v>
      </c>
    </row>
    <row r="3248" spans="1:15" x14ac:dyDescent="0.3">
      <c r="A3248" t="s">
        <v>5124</v>
      </c>
      <c r="B3248" t="s">
        <v>5125</v>
      </c>
      <c r="C3248">
        <v>2022</v>
      </c>
      <c r="D3248" t="s">
        <v>300</v>
      </c>
      <c r="E3248" t="s">
        <v>306</v>
      </c>
      <c r="F3248">
        <v>61.88</v>
      </c>
      <c r="G3248" t="s">
        <v>302</v>
      </c>
      <c r="I3248" t="s">
        <v>5145</v>
      </c>
      <c r="J3248" t="s">
        <v>294</v>
      </c>
      <c r="M3248" t="s">
        <v>295</v>
      </c>
      <c r="N3248" t="s">
        <v>7</v>
      </c>
      <c r="O3248" t="s">
        <v>297</v>
      </c>
    </row>
    <row r="3249" spans="1:15" x14ac:dyDescent="0.3">
      <c r="A3249" t="s">
        <v>5124</v>
      </c>
      <c r="B3249" t="s">
        <v>5125</v>
      </c>
      <c r="C3249">
        <v>2022</v>
      </c>
      <c r="D3249" t="s">
        <v>300</v>
      </c>
      <c r="E3249" t="s">
        <v>308</v>
      </c>
      <c r="F3249">
        <v>61.52</v>
      </c>
      <c r="G3249" t="s">
        <v>302</v>
      </c>
      <c r="I3249" t="s">
        <v>5146</v>
      </c>
      <c r="J3249" t="s">
        <v>294</v>
      </c>
      <c r="M3249" t="s">
        <v>295</v>
      </c>
      <c r="N3249" t="s">
        <v>7</v>
      </c>
      <c r="O3249" t="s">
        <v>297</v>
      </c>
    </row>
    <row r="3250" spans="1:15" x14ac:dyDescent="0.3">
      <c r="A3250" t="s">
        <v>5124</v>
      </c>
      <c r="B3250" t="s">
        <v>5125</v>
      </c>
      <c r="C3250">
        <v>2022</v>
      </c>
      <c r="D3250" t="s">
        <v>300</v>
      </c>
      <c r="E3250" t="s">
        <v>316</v>
      </c>
      <c r="F3250">
        <v>966.24</v>
      </c>
      <c r="G3250" t="s">
        <v>302</v>
      </c>
      <c r="H3250">
        <v>11</v>
      </c>
      <c r="I3250" t="s">
        <v>5147</v>
      </c>
      <c r="J3250" t="s">
        <v>294</v>
      </c>
      <c r="M3250" t="s">
        <v>295</v>
      </c>
      <c r="N3250" t="s">
        <v>7</v>
      </c>
      <c r="O3250" t="s">
        <v>297</v>
      </c>
    </row>
    <row r="3251" spans="1:15" x14ac:dyDescent="0.3">
      <c r="A3251" t="s">
        <v>5124</v>
      </c>
      <c r="B3251" t="s">
        <v>5125</v>
      </c>
      <c r="C3251">
        <v>2022</v>
      </c>
      <c r="D3251" t="s">
        <v>300</v>
      </c>
      <c r="E3251" t="s">
        <v>312</v>
      </c>
      <c r="F3251">
        <v>460.45</v>
      </c>
      <c r="G3251" t="s">
        <v>302</v>
      </c>
      <c r="H3251">
        <v>11</v>
      </c>
      <c r="I3251" t="s">
        <v>5148</v>
      </c>
      <c r="J3251" t="s">
        <v>294</v>
      </c>
      <c r="M3251" t="s">
        <v>295</v>
      </c>
      <c r="N3251" t="s">
        <v>7</v>
      </c>
      <c r="O3251" t="s">
        <v>297</v>
      </c>
    </row>
    <row r="3252" spans="1:15" x14ac:dyDescent="0.3">
      <c r="A3252" t="s">
        <v>5124</v>
      </c>
      <c r="B3252" t="s">
        <v>5125</v>
      </c>
      <c r="C3252">
        <v>2022</v>
      </c>
      <c r="D3252" t="s">
        <v>300</v>
      </c>
      <c r="E3252" t="s">
        <v>314</v>
      </c>
      <c r="F3252">
        <v>505.79</v>
      </c>
      <c r="G3252" t="s">
        <v>302</v>
      </c>
      <c r="H3252">
        <v>11</v>
      </c>
      <c r="I3252" t="s">
        <v>5149</v>
      </c>
      <c r="J3252" t="s">
        <v>294</v>
      </c>
      <c r="M3252" t="s">
        <v>295</v>
      </c>
      <c r="N3252" t="s">
        <v>7</v>
      </c>
      <c r="O3252" t="s">
        <v>297</v>
      </c>
    </row>
    <row r="3253" spans="1:15" x14ac:dyDescent="0.3">
      <c r="A3253" t="s">
        <v>5124</v>
      </c>
      <c r="B3253" t="s">
        <v>5125</v>
      </c>
      <c r="C3253">
        <v>2022</v>
      </c>
      <c r="D3253" t="s">
        <v>300</v>
      </c>
      <c r="E3253" t="s">
        <v>322</v>
      </c>
      <c r="F3253">
        <v>422.83</v>
      </c>
      <c r="G3253" t="s">
        <v>302</v>
      </c>
      <c r="H3253">
        <v>11</v>
      </c>
      <c r="I3253" t="s">
        <v>5150</v>
      </c>
      <c r="J3253" t="s">
        <v>294</v>
      </c>
      <c r="M3253" t="s">
        <v>295</v>
      </c>
      <c r="N3253" t="s">
        <v>7</v>
      </c>
      <c r="O3253" t="s">
        <v>297</v>
      </c>
    </row>
    <row r="3254" spans="1:15" x14ac:dyDescent="0.3">
      <c r="A3254" t="s">
        <v>5124</v>
      </c>
      <c r="B3254" t="s">
        <v>5125</v>
      </c>
      <c r="C3254">
        <v>2022</v>
      </c>
      <c r="D3254" t="s">
        <v>300</v>
      </c>
      <c r="E3254" t="s">
        <v>318</v>
      </c>
      <c r="F3254">
        <v>211.34</v>
      </c>
      <c r="G3254" t="s">
        <v>302</v>
      </c>
      <c r="H3254">
        <v>11</v>
      </c>
      <c r="I3254" t="s">
        <v>5151</v>
      </c>
      <c r="J3254" t="s">
        <v>294</v>
      </c>
      <c r="M3254" t="s">
        <v>295</v>
      </c>
      <c r="N3254" t="s">
        <v>7</v>
      </c>
      <c r="O3254" t="s">
        <v>297</v>
      </c>
    </row>
    <row r="3255" spans="1:15" x14ac:dyDescent="0.3">
      <c r="A3255" t="s">
        <v>5124</v>
      </c>
      <c r="B3255" t="s">
        <v>5125</v>
      </c>
      <c r="C3255">
        <v>2022</v>
      </c>
      <c r="D3255" t="s">
        <v>300</v>
      </c>
      <c r="E3255" t="s">
        <v>468</v>
      </c>
      <c r="F3255">
        <v>211.49</v>
      </c>
      <c r="G3255" t="s">
        <v>302</v>
      </c>
      <c r="H3255">
        <v>11</v>
      </c>
      <c r="I3255" t="s">
        <v>5152</v>
      </c>
      <c r="J3255" t="s">
        <v>294</v>
      </c>
      <c r="M3255" t="s">
        <v>295</v>
      </c>
      <c r="N3255" t="s">
        <v>7</v>
      </c>
      <c r="O3255" t="s">
        <v>297</v>
      </c>
    </row>
    <row r="3256" spans="1:15" x14ac:dyDescent="0.3">
      <c r="A3256" t="s">
        <v>5124</v>
      </c>
      <c r="B3256" t="s">
        <v>5125</v>
      </c>
      <c r="C3256">
        <v>2022</v>
      </c>
      <c r="D3256" t="s">
        <v>300</v>
      </c>
      <c r="E3256" t="s">
        <v>324</v>
      </c>
      <c r="F3256">
        <v>543.41</v>
      </c>
      <c r="G3256" t="s">
        <v>302</v>
      </c>
      <c r="H3256">
        <v>11</v>
      </c>
      <c r="I3256" t="s">
        <v>5153</v>
      </c>
      <c r="J3256" t="s">
        <v>294</v>
      </c>
      <c r="M3256" t="s">
        <v>295</v>
      </c>
      <c r="N3256" t="s">
        <v>7</v>
      </c>
      <c r="O3256" t="s">
        <v>297</v>
      </c>
    </row>
    <row r="3257" spans="1:15" x14ac:dyDescent="0.3">
      <c r="A3257" t="s">
        <v>5124</v>
      </c>
      <c r="B3257" t="s">
        <v>5125</v>
      </c>
      <c r="C3257">
        <v>2022</v>
      </c>
      <c r="D3257" t="s">
        <v>300</v>
      </c>
      <c r="E3257" t="s">
        <v>5154</v>
      </c>
      <c r="F3257">
        <v>303.67</v>
      </c>
      <c r="G3257" t="s">
        <v>302</v>
      </c>
      <c r="I3257" t="s">
        <v>5155</v>
      </c>
      <c r="J3257" t="s">
        <v>294</v>
      </c>
      <c r="M3257" t="s">
        <v>295</v>
      </c>
      <c r="N3257" t="s">
        <v>7</v>
      </c>
      <c r="O3257" t="s">
        <v>297</v>
      </c>
    </row>
    <row r="3258" spans="1:15" x14ac:dyDescent="0.3">
      <c r="A3258" t="s">
        <v>5124</v>
      </c>
      <c r="B3258" t="s">
        <v>5125</v>
      </c>
      <c r="C3258">
        <v>2022</v>
      </c>
      <c r="D3258" t="s">
        <v>300</v>
      </c>
      <c r="E3258" t="s">
        <v>595</v>
      </c>
      <c r="F3258">
        <v>65</v>
      </c>
      <c r="G3258" t="s">
        <v>302</v>
      </c>
      <c r="I3258" t="s">
        <v>5156</v>
      </c>
      <c r="J3258" t="s">
        <v>294</v>
      </c>
      <c r="M3258" t="s">
        <v>295</v>
      </c>
      <c r="N3258" t="s">
        <v>7</v>
      </c>
      <c r="O3258" t="s">
        <v>297</v>
      </c>
    </row>
    <row r="3259" spans="1:15" x14ac:dyDescent="0.3">
      <c r="A3259" t="s">
        <v>5124</v>
      </c>
      <c r="B3259" t="s">
        <v>5125</v>
      </c>
      <c r="C3259">
        <v>2022</v>
      </c>
      <c r="D3259" t="s">
        <v>300</v>
      </c>
      <c r="E3259" t="s">
        <v>5157</v>
      </c>
      <c r="F3259">
        <v>80.59</v>
      </c>
      <c r="G3259" t="s">
        <v>302</v>
      </c>
      <c r="I3259" t="s">
        <v>5158</v>
      </c>
      <c r="J3259" t="s">
        <v>294</v>
      </c>
      <c r="M3259" t="s">
        <v>295</v>
      </c>
      <c r="N3259" t="s">
        <v>7</v>
      </c>
      <c r="O3259" t="s">
        <v>297</v>
      </c>
    </row>
    <row r="3260" spans="1:15" x14ac:dyDescent="0.3">
      <c r="A3260" t="s">
        <v>5124</v>
      </c>
      <c r="B3260" t="s">
        <v>5125</v>
      </c>
      <c r="C3260">
        <v>2022</v>
      </c>
      <c r="D3260" t="s">
        <v>300</v>
      </c>
      <c r="E3260" t="s">
        <v>475</v>
      </c>
      <c r="F3260">
        <v>207.07</v>
      </c>
      <c r="G3260" t="s">
        <v>302</v>
      </c>
      <c r="I3260" t="s">
        <v>5159</v>
      </c>
      <c r="J3260" t="s">
        <v>294</v>
      </c>
      <c r="M3260" t="s">
        <v>295</v>
      </c>
      <c r="N3260" t="s">
        <v>7</v>
      </c>
      <c r="O3260" t="s">
        <v>297</v>
      </c>
    </row>
    <row r="3261" spans="1:15" x14ac:dyDescent="0.3">
      <c r="A3261" t="s">
        <v>5124</v>
      </c>
      <c r="B3261" t="s">
        <v>5125</v>
      </c>
      <c r="C3261">
        <v>2022</v>
      </c>
      <c r="D3261" t="s">
        <v>300</v>
      </c>
      <c r="E3261" t="s">
        <v>597</v>
      </c>
      <c r="F3261">
        <v>352.67</v>
      </c>
      <c r="G3261" t="s">
        <v>302</v>
      </c>
      <c r="I3261" t="s">
        <v>5160</v>
      </c>
      <c r="J3261" t="s">
        <v>294</v>
      </c>
      <c r="M3261" t="s">
        <v>295</v>
      </c>
      <c r="N3261" t="s">
        <v>7</v>
      </c>
      <c r="O3261" t="s">
        <v>297</v>
      </c>
    </row>
    <row r="3262" spans="1:15" x14ac:dyDescent="0.3">
      <c r="A3262" t="s">
        <v>5124</v>
      </c>
      <c r="B3262" t="s">
        <v>5125</v>
      </c>
      <c r="C3262">
        <v>2022</v>
      </c>
      <c r="D3262" t="s">
        <v>300</v>
      </c>
      <c r="E3262" t="s">
        <v>601</v>
      </c>
      <c r="F3262">
        <v>89.26</v>
      </c>
      <c r="G3262" t="s">
        <v>302</v>
      </c>
      <c r="I3262" t="s">
        <v>5161</v>
      </c>
      <c r="J3262" t="s">
        <v>294</v>
      </c>
      <c r="M3262" t="s">
        <v>295</v>
      </c>
      <c r="N3262" t="s">
        <v>7</v>
      </c>
      <c r="O3262" t="s">
        <v>297</v>
      </c>
    </row>
    <row r="3263" spans="1:15" x14ac:dyDescent="0.3">
      <c r="A3263" t="s">
        <v>5124</v>
      </c>
      <c r="B3263" t="s">
        <v>5125</v>
      </c>
      <c r="C3263">
        <v>2022</v>
      </c>
      <c r="D3263" t="s">
        <v>300</v>
      </c>
      <c r="E3263" t="s">
        <v>603</v>
      </c>
      <c r="F3263">
        <v>-99.88</v>
      </c>
      <c r="G3263" t="s">
        <v>302</v>
      </c>
      <c r="I3263" t="s">
        <v>5162</v>
      </c>
      <c r="J3263" t="s">
        <v>294</v>
      </c>
      <c r="M3263" t="s">
        <v>295</v>
      </c>
      <c r="N3263" t="s">
        <v>7</v>
      </c>
      <c r="O3263" t="s">
        <v>297</v>
      </c>
    </row>
    <row r="3264" spans="1:15" x14ac:dyDescent="0.3">
      <c r="A3264" t="s">
        <v>5124</v>
      </c>
      <c r="B3264" t="s">
        <v>5125</v>
      </c>
      <c r="C3264">
        <v>2022</v>
      </c>
      <c r="D3264" t="s">
        <v>300</v>
      </c>
      <c r="E3264" t="s">
        <v>716</v>
      </c>
      <c r="F3264">
        <v>264.51</v>
      </c>
      <c r="G3264" t="s">
        <v>302</v>
      </c>
      <c r="I3264" t="s">
        <v>5163</v>
      </c>
      <c r="J3264" t="s">
        <v>294</v>
      </c>
      <c r="M3264" t="s">
        <v>295</v>
      </c>
      <c r="N3264" t="s">
        <v>7</v>
      </c>
      <c r="O3264" t="s">
        <v>297</v>
      </c>
    </row>
    <row r="3265" spans="1:15" x14ac:dyDescent="0.3">
      <c r="A3265" t="s">
        <v>5124</v>
      </c>
      <c r="B3265" t="s">
        <v>5125</v>
      </c>
      <c r="C3265">
        <v>2022</v>
      </c>
      <c r="D3265" t="s">
        <v>300</v>
      </c>
      <c r="E3265" t="s">
        <v>2658</v>
      </c>
      <c r="F3265">
        <v>6.2</v>
      </c>
      <c r="G3265" t="s">
        <v>346</v>
      </c>
      <c r="I3265" t="s">
        <v>5164</v>
      </c>
      <c r="J3265" t="s">
        <v>294</v>
      </c>
      <c r="M3265" t="s">
        <v>295</v>
      </c>
      <c r="N3265" t="s">
        <v>7</v>
      </c>
      <c r="O3265" t="s">
        <v>297</v>
      </c>
    </row>
    <row r="3266" spans="1:15" x14ac:dyDescent="0.3">
      <c r="A3266" t="s">
        <v>5124</v>
      </c>
      <c r="B3266" t="s">
        <v>5125</v>
      </c>
      <c r="C3266">
        <v>2022</v>
      </c>
      <c r="D3266" t="s">
        <v>300</v>
      </c>
      <c r="E3266" t="s">
        <v>5165</v>
      </c>
      <c r="F3266">
        <v>12000000000</v>
      </c>
      <c r="G3266" t="s">
        <v>1633</v>
      </c>
      <c r="H3266">
        <v>15</v>
      </c>
      <c r="I3266" t="s">
        <v>5166</v>
      </c>
      <c r="J3266" t="s">
        <v>294</v>
      </c>
      <c r="M3266" t="s">
        <v>295</v>
      </c>
      <c r="N3266" t="s">
        <v>7</v>
      </c>
      <c r="O3266" t="s">
        <v>297</v>
      </c>
    </row>
    <row r="3267" spans="1:15" x14ac:dyDescent="0.3">
      <c r="A3267" t="s">
        <v>5124</v>
      </c>
      <c r="B3267" t="s">
        <v>5125</v>
      </c>
      <c r="C3267">
        <v>2022</v>
      </c>
      <c r="D3267" t="s">
        <v>300</v>
      </c>
      <c r="E3267" t="s">
        <v>5167</v>
      </c>
      <c r="F3267">
        <v>129</v>
      </c>
      <c r="G3267" t="s">
        <v>346</v>
      </c>
      <c r="H3267">
        <v>15</v>
      </c>
      <c r="I3267" t="s">
        <v>5168</v>
      </c>
      <c r="J3267" t="s">
        <v>294</v>
      </c>
      <c r="M3267" t="s">
        <v>295</v>
      </c>
      <c r="N3267" t="s">
        <v>7</v>
      </c>
      <c r="O3267" t="s">
        <v>297</v>
      </c>
    </row>
    <row r="3268" spans="1:15" x14ac:dyDescent="0.3">
      <c r="A3268" t="s">
        <v>5124</v>
      </c>
      <c r="B3268" t="s">
        <v>5125</v>
      </c>
      <c r="C3268">
        <v>2022</v>
      </c>
      <c r="D3268" t="s">
        <v>300</v>
      </c>
      <c r="E3268" t="s">
        <v>5169</v>
      </c>
      <c r="F3268">
        <v>1548</v>
      </c>
      <c r="G3268" t="s">
        <v>302</v>
      </c>
      <c r="H3268">
        <v>15</v>
      </c>
      <c r="I3268" t="s">
        <v>5170</v>
      </c>
      <c r="J3268" t="s">
        <v>294</v>
      </c>
      <c r="M3268" t="s">
        <v>295</v>
      </c>
      <c r="N3268" t="s">
        <v>7</v>
      </c>
      <c r="O3268" t="s">
        <v>297</v>
      </c>
    </row>
    <row r="3269" spans="1:15" x14ac:dyDescent="0.3">
      <c r="A3269" t="s">
        <v>5124</v>
      </c>
      <c r="B3269" t="s">
        <v>5125</v>
      </c>
      <c r="C3269">
        <v>2022</v>
      </c>
      <c r="D3269" t="s">
        <v>300</v>
      </c>
      <c r="E3269" t="s">
        <v>326</v>
      </c>
      <c r="F3269">
        <v>217.87</v>
      </c>
      <c r="G3269" t="s">
        <v>334</v>
      </c>
      <c r="H3269">
        <v>11</v>
      </c>
      <c r="I3269" t="s">
        <v>5171</v>
      </c>
      <c r="J3269" t="s">
        <v>294</v>
      </c>
      <c r="M3269" t="s">
        <v>295</v>
      </c>
      <c r="N3269" t="s">
        <v>7</v>
      </c>
      <c r="O3269" t="s">
        <v>297</v>
      </c>
    </row>
    <row r="3270" spans="1:15" x14ac:dyDescent="0.3">
      <c r="A3270" t="s">
        <v>5124</v>
      </c>
      <c r="B3270" t="s">
        <v>5125</v>
      </c>
      <c r="C3270">
        <v>2022</v>
      </c>
      <c r="D3270" t="s">
        <v>300</v>
      </c>
      <c r="E3270" t="s">
        <v>842</v>
      </c>
      <c r="F3270">
        <v>77.739999999999995</v>
      </c>
      <c r="G3270" t="s">
        <v>334</v>
      </c>
      <c r="H3270">
        <v>11</v>
      </c>
      <c r="I3270" t="s">
        <v>5172</v>
      </c>
      <c r="J3270" t="s">
        <v>294</v>
      </c>
      <c r="M3270" t="s">
        <v>295</v>
      </c>
      <c r="N3270" t="s">
        <v>7</v>
      </c>
      <c r="O3270" t="s">
        <v>297</v>
      </c>
    </row>
    <row r="3271" spans="1:15" x14ac:dyDescent="0.3">
      <c r="A3271" t="s">
        <v>5124</v>
      </c>
      <c r="B3271" t="s">
        <v>5125</v>
      </c>
      <c r="C3271">
        <v>2022</v>
      </c>
      <c r="D3271" t="s">
        <v>300</v>
      </c>
      <c r="E3271" t="s">
        <v>333</v>
      </c>
      <c r="F3271">
        <v>6.4</v>
      </c>
      <c r="G3271" t="s">
        <v>334</v>
      </c>
      <c r="H3271">
        <v>11</v>
      </c>
      <c r="I3271" t="s">
        <v>5173</v>
      </c>
      <c r="J3271" t="s">
        <v>294</v>
      </c>
      <c r="M3271" t="s">
        <v>295</v>
      </c>
      <c r="N3271" t="s">
        <v>7</v>
      </c>
      <c r="O3271" t="s">
        <v>297</v>
      </c>
    </row>
    <row r="3272" spans="1:15" x14ac:dyDescent="0.3">
      <c r="A3272" t="s">
        <v>5124</v>
      </c>
      <c r="B3272" t="s">
        <v>5125</v>
      </c>
      <c r="C3272">
        <v>2022</v>
      </c>
      <c r="D3272" t="s">
        <v>300</v>
      </c>
      <c r="E3272" t="s">
        <v>336</v>
      </c>
      <c r="F3272">
        <v>11.39</v>
      </c>
      <c r="G3272" t="s">
        <v>334</v>
      </c>
      <c r="H3272">
        <v>11</v>
      </c>
      <c r="I3272" t="s">
        <v>5174</v>
      </c>
      <c r="J3272" t="s">
        <v>294</v>
      </c>
      <c r="M3272" t="s">
        <v>295</v>
      </c>
      <c r="N3272" t="s">
        <v>7</v>
      </c>
      <c r="O3272" t="s">
        <v>297</v>
      </c>
    </row>
    <row r="3273" spans="1:15" x14ac:dyDescent="0.3">
      <c r="A3273" t="s">
        <v>5124</v>
      </c>
      <c r="B3273" t="s">
        <v>5125</v>
      </c>
      <c r="C3273">
        <v>2022</v>
      </c>
      <c r="D3273" t="s">
        <v>300</v>
      </c>
      <c r="E3273" t="s">
        <v>5175</v>
      </c>
      <c r="F3273">
        <v>567.12</v>
      </c>
      <c r="G3273" t="s">
        <v>302</v>
      </c>
      <c r="H3273">
        <v>12</v>
      </c>
      <c r="I3273" t="s">
        <v>5176</v>
      </c>
      <c r="J3273" t="s">
        <v>294</v>
      </c>
      <c r="M3273" t="s">
        <v>295</v>
      </c>
      <c r="N3273" t="s">
        <v>7</v>
      </c>
      <c r="O3273" t="s">
        <v>297</v>
      </c>
    </row>
    <row r="3274" spans="1:15" x14ac:dyDescent="0.3">
      <c r="A3274" t="s">
        <v>5124</v>
      </c>
      <c r="B3274" t="s">
        <v>5125</v>
      </c>
      <c r="C3274">
        <v>2022</v>
      </c>
      <c r="D3274" t="s">
        <v>300</v>
      </c>
      <c r="E3274" t="s">
        <v>5177</v>
      </c>
      <c r="F3274">
        <v>60.76</v>
      </c>
      <c r="G3274" t="s">
        <v>302</v>
      </c>
      <c r="H3274">
        <v>12</v>
      </c>
      <c r="I3274" t="s">
        <v>5178</v>
      </c>
      <c r="J3274" t="s">
        <v>294</v>
      </c>
      <c r="M3274" t="s">
        <v>295</v>
      </c>
      <c r="N3274" t="s">
        <v>7</v>
      </c>
      <c r="O3274" t="s">
        <v>297</v>
      </c>
    </row>
    <row r="3275" spans="1:15" x14ac:dyDescent="0.3">
      <c r="A3275" t="s">
        <v>5124</v>
      </c>
      <c r="B3275" t="s">
        <v>5125</v>
      </c>
      <c r="C3275">
        <v>2022</v>
      </c>
      <c r="D3275" t="s">
        <v>358</v>
      </c>
      <c r="E3275" t="s">
        <v>4437</v>
      </c>
      <c r="F3275">
        <v>1</v>
      </c>
      <c r="G3275" t="s">
        <v>384</v>
      </c>
      <c r="I3275" t="s">
        <v>5179</v>
      </c>
      <c r="J3275" t="s">
        <v>294</v>
      </c>
      <c r="M3275" t="s">
        <v>295</v>
      </c>
      <c r="N3275" t="s">
        <v>7</v>
      </c>
      <c r="O3275" t="s">
        <v>297</v>
      </c>
    </row>
    <row r="3276" spans="1:15" x14ac:dyDescent="0.3">
      <c r="A3276" t="s">
        <v>5124</v>
      </c>
      <c r="B3276" t="s">
        <v>5125</v>
      </c>
      <c r="C3276">
        <v>2022</v>
      </c>
      <c r="D3276" t="s">
        <v>358</v>
      </c>
      <c r="E3276" t="s">
        <v>797</v>
      </c>
      <c r="F3276">
        <v>30</v>
      </c>
      <c r="G3276" t="s">
        <v>738</v>
      </c>
      <c r="I3276" t="s">
        <v>5180</v>
      </c>
      <c r="J3276" t="s">
        <v>294</v>
      </c>
      <c r="M3276" t="s">
        <v>295</v>
      </c>
      <c r="N3276" t="s">
        <v>7</v>
      </c>
      <c r="O3276" t="s">
        <v>297</v>
      </c>
    </row>
    <row r="3277" spans="1:15" x14ac:dyDescent="0.3">
      <c r="A3277" t="s">
        <v>5124</v>
      </c>
      <c r="B3277" t="s">
        <v>5125</v>
      </c>
      <c r="C3277">
        <v>2022</v>
      </c>
      <c r="D3277" t="s">
        <v>358</v>
      </c>
      <c r="E3277" t="s">
        <v>5181</v>
      </c>
      <c r="F3277">
        <v>12000</v>
      </c>
      <c r="G3277" t="s">
        <v>360</v>
      </c>
      <c r="I3277" t="s">
        <v>5182</v>
      </c>
      <c r="J3277" t="s">
        <v>294</v>
      </c>
      <c r="M3277" t="s">
        <v>295</v>
      </c>
      <c r="N3277" t="s">
        <v>7</v>
      </c>
      <c r="O3277" t="s">
        <v>297</v>
      </c>
    </row>
    <row r="3278" spans="1:15" x14ac:dyDescent="0.3">
      <c r="A3278" t="s">
        <v>5124</v>
      </c>
      <c r="B3278" t="s">
        <v>5125</v>
      </c>
      <c r="C3278">
        <v>2022</v>
      </c>
      <c r="D3278" t="s">
        <v>358</v>
      </c>
      <c r="E3278" t="s">
        <v>5183</v>
      </c>
      <c r="F3278">
        <v>2202.6</v>
      </c>
      <c r="G3278" t="s">
        <v>360</v>
      </c>
      <c r="I3278" t="s">
        <v>5184</v>
      </c>
      <c r="J3278" t="s">
        <v>294</v>
      </c>
      <c r="M3278" t="s">
        <v>295</v>
      </c>
      <c r="N3278" t="s">
        <v>7</v>
      </c>
      <c r="O3278" t="s">
        <v>297</v>
      </c>
    </row>
    <row r="3279" spans="1:15" x14ac:dyDescent="0.3">
      <c r="A3279" t="s">
        <v>5124</v>
      </c>
      <c r="B3279" t="s">
        <v>5125</v>
      </c>
      <c r="C3279">
        <v>2022</v>
      </c>
      <c r="D3279" t="s">
        <v>394</v>
      </c>
      <c r="E3279" t="s">
        <v>5185</v>
      </c>
      <c r="F3279">
        <v>117967</v>
      </c>
      <c r="G3279" t="s">
        <v>396</v>
      </c>
      <c r="I3279" t="s">
        <v>5186</v>
      </c>
      <c r="J3279" t="s">
        <v>294</v>
      </c>
      <c r="M3279" t="s">
        <v>295</v>
      </c>
      <c r="N3279" t="s">
        <v>7</v>
      </c>
      <c r="O3279" t="s">
        <v>297</v>
      </c>
    </row>
    <row r="3280" spans="1:15" x14ac:dyDescent="0.3">
      <c r="A3280" t="s">
        <v>5124</v>
      </c>
      <c r="B3280" t="s">
        <v>5125</v>
      </c>
      <c r="C3280">
        <v>2022</v>
      </c>
      <c r="D3280" t="s">
        <v>394</v>
      </c>
      <c r="E3280" t="s">
        <v>5187</v>
      </c>
      <c r="F3280">
        <v>71472</v>
      </c>
      <c r="G3280" t="s">
        <v>396</v>
      </c>
      <c r="I3280" t="s">
        <v>5188</v>
      </c>
      <c r="J3280" t="s">
        <v>294</v>
      </c>
      <c r="M3280" t="s">
        <v>295</v>
      </c>
      <c r="N3280" t="s">
        <v>7</v>
      </c>
      <c r="O3280" t="s">
        <v>297</v>
      </c>
    </row>
    <row r="3281" spans="1:15" x14ac:dyDescent="0.3">
      <c r="A3281" t="s">
        <v>5124</v>
      </c>
      <c r="B3281" t="s">
        <v>5125</v>
      </c>
      <c r="C3281">
        <v>2022</v>
      </c>
      <c r="D3281" t="s">
        <v>394</v>
      </c>
      <c r="E3281" t="s">
        <v>402</v>
      </c>
      <c r="F3281">
        <v>189912</v>
      </c>
      <c r="G3281" t="s">
        <v>396</v>
      </c>
      <c r="I3281" t="s">
        <v>5189</v>
      </c>
      <c r="J3281" t="s">
        <v>294</v>
      </c>
      <c r="M3281" t="s">
        <v>295</v>
      </c>
      <c r="N3281" t="s">
        <v>7</v>
      </c>
      <c r="O3281" t="s">
        <v>297</v>
      </c>
    </row>
    <row r="3282" spans="1:15" x14ac:dyDescent="0.3">
      <c r="A3282" t="s">
        <v>5124</v>
      </c>
      <c r="B3282" t="s">
        <v>5125</v>
      </c>
      <c r="C3282">
        <v>2022</v>
      </c>
      <c r="D3282" t="s">
        <v>394</v>
      </c>
      <c r="E3282" t="s">
        <v>406</v>
      </c>
      <c r="F3282">
        <v>43729</v>
      </c>
      <c r="G3282" t="s">
        <v>396</v>
      </c>
      <c r="I3282" t="s">
        <v>5190</v>
      </c>
      <c r="J3282" t="s">
        <v>294</v>
      </c>
      <c r="M3282" t="s">
        <v>295</v>
      </c>
      <c r="N3282" t="s">
        <v>7</v>
      </c>
      <c r="O3282" t="s">
        <v>297</v>
      </c>
    </row>
    <row r="3283" spans="1:15" x14ac:dyDescent="0.3">
      <c r="A3283" t="s">
        <v>5124</v>
      </c>
      <c r="B3283" t="s">
        <v>5125</v>
      </c>
      <c r="C3283">
        <v>2022</v>
      </c>
      <c r="D3283" t="s">
        <v>394</v>
      </c>
      <c r="E3283" t="s">
        <v>438</v>
      </c>
      <c r="F3283">
        <v>44518</v>
      </c>
      <c r="G3283" t="s">
        <v>396</v>
      </c>
      <c r="I3283" t="s">
        <v>5191</v>
      </c>
      <c r="J3283" t="s">
        <v>294</v>
      </c>
      <c r="M3283" t="s">
        <v>295</v>
      </c>
      <c r="N3283" t="s">
        <v>7</v>
      </c>
      <c r="O3283" t="s">
        <v>297</v>
      </c>
    </row>
    <row r="3284" spans="1:15" x14ac:dyDescent="0.3">
      <c r="A3284" t="s">
        <v>5124</v>
      </c>
      <c r="B3284" t="s">
        <v>5125</v>
      </c>
      <c r="C3284">
        <v>2022</v>
      </c>
      <c r="D3284" t="s">
        <v>394</v>
      </c>
      <c r="E3284" t="s">
        <v>855</v>
      </c>
      <c r="F3284">
        <v>7453</v>
      </c>
      <c r="G3284" t="s">
        <v>396</v>
      </c>
      <c r="I3284" t="s">
        <v>5192</v>
      </c>
      <c r="J3284" t="s">
        <v>294</v>
      </c>
      <c r="M3284" t="s">
        <v>295</v>
      </c>
      <c r="N3284" t="s">
        <v>7</v>
      </c>
      <c r="O3284" t="s">
        <v>297</v>
      </c>
    </row>
    <row r="3285" spans="1:15" x14ac:dyDescent="0.3">
      <c r="A3285" t="s">
        <v>5124</v>
      </c>
      <c r="B3285" t="s">
        <v>5125</v>
      </c>
      <c r="C3285">
        <v>2022</v>
      </c>
      <c r="D3285" t="s">
        <v>394</v>
      </c>
      <c r="E3285" t="s">
        <v>4994</v>
      </c>
      <c r="F3285">
        <v>7332</v>
      </c>
      <c r="G3285" t="s">
        <v>396</v>
      </c>
      <c r="I3285" t="s">
        <v>5193</v>
      </c>
      <c r="J3285" t="s">
        <v>294</v>
      </c>
      <c r="M3285" t="s">
        <v>295</v>
      </c>
      <c r="N3285" t="s">
        <v>7</v>
      </c>
      <c r="O3285" t="s">
        <v>297</v>
      </c>
    </row>
    <row r="3286" spans="1:15" x14ac:dyDescent="0.3">
      <c r="A3286" t="s">
        <v>5124</v>
      </c>
      <c r="B3286" t="s">
        <v>5125</v>
      </c>
      <c r="C3286">
        <v>2022</v>
      </c>
      <c r="D3286" t="s">
        <v>394</v>
      </c>
      <c r="E3286" t="s">
        <v>554</v>
      </c>
      <c r="F3286">
        <v>12739</v>
      </c>
      <c r="G3286" t="s">
        <v>436</v>
      </c>
      <c r="I3286" t="s">
        <v>5194</v>
      </c>
      <c r="J3286" t="s">
        <v>294</v>
      </c>
      <c r="M3286" t="s">
        <v>295</v>
      </c>
      <c r="N3286" t="s">
        <v>7</v>
      </c>
      <c r="O3286" t="s">
        <v>297</v>
      </c>
    </row>
    <row r="3287" spans="1:15" x14ac:dyDescent="0.3">
      <c r="A3287" t="s">
        <v>5124</v>
      </c>
      <c r="B3287" t="s">
        <v>5125</v>
      </c>
      <c r="C3287">
        <v>2022</v>
      </c>
      <c r="D3287" t="s">
        <v>394</v>
      </c>
      <c r="E3287" t="s">
        <v>5195</v>
      </c>
      <c r="F3287">
        <v>8286</v>
      </c>
      <c r="G3287" t="s">
        <v>436</v>
      </c>
      <c r="I3287" t="s">
        <v>5196</v>
      </c>
      <c r="J3287" t="s">
        <v>294</v>
      </c>
      <c r="M3287" t="s">
        <v>295</v>
      </c>
      <c r="N3287" t="s">
        <v>7</v>
      </c>
      <c r="O3287" t="s">
        <v>297</v>
      </c>
    </row>
    <row r="3288" spans="1:15" x14ac:dyDescent="0.3">
      <c r="A3288" t="s">
        <v>5124</v>
      </c>
      <c r="B3288" t="s">
        <v>5125</v>
      </c>
      <c r="C3288">
        <v>2022</v>
      </c>
      <c r="D3288" t="s">
        <v>394</v>
      </c>
      <c r="E3288" t="s">
        <v>5197</v>
      </c>
      <c r="F3288">
        <v>0.23019999999999999</v>
      </c>
      <c r="G3288" t="s">
        <v>334</v>
      </c>
      <c r="I3288" t="s">
        <v>5198</v>
      </c>
      <c r="J3288" t="s">
        <v>456</v>
      </c>
      <c r="M3288" t="s">
        <v>295</v>
      </c>
      <c r="N3288" t="s">
        <v>7</v>
      </c>
      <c r="O3288" t="s">
        <v>297</v>
      </c>
    </row>
    <row r="3289" spans="1:15" x14ac:dyDescent="0.3">
      <c r="A3289" t="s">
        <v>5124</v>
      </c>
      <c r="B3289" t="s">
        <v>5125</v>
      </c>
      <c r="C3289">
        <v>2022</v>
      </c>
      <c r="D3289" t="s">
        <v>394</v>
      </c>
      <c r="E3289" t="s">
        <v>5199</v>
      </c>
      <c r="F3289">
        <v>1</v>
      </c>
      <c r="G3289" t="s">
        <v>334</v>
      </c>
      <c r="I3289" t="s">
        <v>5200</v>
      </c>
      <c r="J3289" t="s">
        <v>294</v>
      </c>
      <c r="M3289" t="s">
        <v>295</v>
      </c>
      <c r="N3289" t="s">
        <v>7</v>
      </c>
      <c r="O3289" t="s">
        <v>297</v>
      </c>
    </row>
    <row r="3290" spans="1:15" x14ac:dyDescent="0.3">
      <c r="A3290" t="s">
        <v>5124</v>
      </c>
      <c r="B3290" t="s">
        <v>5201</v>
      </c>
      <c r="C3290">
        <v>2023</v>
      </c>
      <c r="D3290" t="s">
        <v>272</v>
      </c>
      <c r="E3290" t="s">
        <v>291</v>
      </c>
      <c r="F3290" t="s">
        <v>5124</v>
      </c>
      <c r="G3290" t="s">
        <v>292</v>
      </c>
      <c r="H3290">
        <v>78</v>
      </c>
      <c r="I3290" t="s">
        <v>5202</v>
      </c>
      <c r="J3290" t="s">
        <v>294</v>
      </c>
      <c r="M3290" t="s">
        <v>295</v>
      </c>
      <c r="N3290" t="s">
        <v>7</v>
      </c>
      <c r="O3290" t="s">
        <v>297</v>
      </c>
    </row>
    <row r="3291" spans="1:15" x14ac:dyDescent="0.3">
      <c r="A3291" t="s">
        <v>5124</v>
      </c>
      <c r="B3291" t="s">
        <v>5201</v>
      </c>
      <c r="C3291">
        <v>2023</v>
      </c>
      <c r="D3291" t="s">
        <v>272</v>
      </c>
      <c r="E3291" t="s">
        <v>1092</v>
      </c>
      <c r="F3291" t="s">
        <v>5203</v>
      </c>
      <c r="G3291" t="s">
        <v>292</v>
      </c>
      <c r="H3291">
        <v>78</v>
      </c>
      <c r="I3291" t="s">
        <v>5204</v>
      </c>
      <c r="J3291" t="s">
        <v>294</v>
      </c>
      <c r="M3291" t="s">
        <v>295</v>
      </c>
      <c r="N3291" t="s">
        <v>7</v>
      </c>
      <c r="O3291" t="s">
        <v>297</v>
      </c>
    </row>
    <row r="3292" spans="1:15" x14ac:dyDescent="0.3">
      <c r="A3292" t="s">
        <v>5124</v>
      </c>
      <c r="B3292" t="s">
        <v>5201</v>
      </c>
      <c r="C3292">
        <v>2023</v>
      </c>
      <c r="D3292" t="s">
        <v>272</v>
      </c>
      <c r="E3292" t="s">
        <v>869</v>
      </c>
      <c r="F3292" t="s">
        <v>1628</v>
      </c>
      <c r="G3292" t="s">
        <v>666</v>
      </c>
      <c r="H3292">
        <v>79</v>
      </c>
      <c r="I3292" t="s">
        <v>5205</v>
      </c>
      <c r="J3292" t="s">
        <v>294</v>
      </c>
      <c r="M3292" t="s">
        <v>295</v>
      </c>
      <c r="N3292" t="s">
        <v>7</v>
      </c>
      <c r="O3292" t="s">
        <v>297</v>
      </c>
    </row>
    <row r="3293" spans="1:15" x14ac:dyDescent="0.3">
      <c r="A3293" t="s">
        <v>5124</v>
      </c>
      <c r="B3293" t="s">
        <v>5201</v>
      </c>
      <c r="C3293">
        <v>2023</v>
      </c>
      <c r="D3293" t="s">
        <v>272</v>
      </c>
      <c r="E3293" t="s">
        <v>5206</v>
      </c>
      <c r="F3293" t="s">
        <v>5207</v>
      </c>
      <c r="G3293" t="s">
        <v>292</v>
      </c>
      <c r="H3293">
        <v>79</v>
      </c>
      <c r="I3293" t="s">
        <v>5208</v>
      </c>
      <c r="J3293" t="s">
        <v>294</v>
      </c>
      <c r="M3293" t="s">
        <v>295</v>
      </c>
      <c r="N3293" t="s">
        <v>7</v>
      </c>
      <c r="O3293" t="s">
        <v>297</v>
      </c>
    </row>
    <row r="3294" spans="1:15" x14ac:dyDescent="0.3">
      <c r="A3294" t="s">
        <v>5124</v>
      </c>
      <c r="B3294" t="s">
        <v>5201</v>
      </c>
      <c r="C3294">
        <v>2023</v>
      </c>
      <c r="D3294" t="s">
        <v>272</v>
      </c>
      <c r="E3294" t="s">
        <v>2702</v>
      </c>
      <c r="F3294">
        <v>1262</v>
      </c>
      <c r="G3294" t="s">
        <v>384</v>
      </c>
      <c r="I3294" t="s">
        <v>5209</v>
      </c>
      <c r="J3294" t="s">
        <v>294</v>
      </c>
      <c r="M3294" t="s">
        <v>295</v>
      </c>
      <c r="N3294" t="s">
        <v>7</v>
      </c>
      <c r="O3294" t="s">
        <v>297</v>
      </c>
    </row>
    <row r="3295" spans="1:15" x14ac:dyDescent="0.3">
      <c r="A3295" t="s">
        <v>5124</v>
      </c>
      <c r="B3295" t="s">
        <v>5201</v>
      </c>
      <c r="C3295">
        <v>2023</v>
      </c>
      <c r="D3295" t="s">
        <v>300</v>
      </c>
      <c r="E3295" t="s">
        <v>447</v>
      </c>
      <c r="F3295">
        <v>710.98</v>
      </c>
      <c r="G3295" t="s">
        <v>302</v>
      </c>
      <c r="H3295">
        <v>132</v>
      </c>
      <c r="I3295" t="s">
        <v>5210</v>
      </c>
      <c r="J3295" t="s">
        <v>294</v>
      </c>
      <c r="M3295" t="s">
        <v>295</v>
      </c>
      <c r="N3295" t="s">
        <v>7</v>
      </c>
      <c r="O3295" t="s">
        <v>297</v>
      </c>
    </row>
    <row r="3296" spans="1:15" x14ac:dyDescent="0.3">
      <c r="A3296" t="s">
        <v>5124</v>
      </c>
      <c r="B3296" t="s">
        <v>5201</v>
      </c>
      <c r="C3296">
        <v>2023</v>
      </c>
      <c r="D3296" t="s">
        <v>300</v>
      </c>
      <c r="E3296" t="s">
        <v>2868</v>
      </c>
      <c r="F3296">
        <v>585.23</v>
      </c>
      <c r="G3296" t="s">
        <v>302</v>
      </c>
      <c r="I3296" t="s">
        <v>5211</v>
      </c>
      <c r="J3296" t="s">
        <v>294</v>
      </c>
      <c r="M3296" t="s">
        <v>295</v>
      </c>
      <c r="N3296" t="s">
        <v>7</v>
      </c>
      <c r="O3296" t="s">
        <v>297</v>
      </c>
    </row>
    <row r="3297" spans="1:15" x14ac:dyDescent="0.3">
      <c r="A3297" t="s">
        <v>5124</v>
      </c>
      <c r="B3297" t="s">
        <v>5201</v>
      </c>
      <c r="C3297">
        <v>2023</v>
      </c>
      <c r="D3297" t="s">
        <v>300</v>
      </c>
      <c r="E3297" t="s">
        <v>304</v>
      </c>
      <c r="F3297">
        <v>125.75</v>
      </c>
      <c r="G3297" t="s">
        <v>302</v>
      </c>
      <c r="H3297">
        <v>132</v>
      </c>
      <c r="I3297" t="s">
        <v>5212</v>
      </c>
      <c r="J3297" t="s">
        <v>294</v>
      </c>
      <c r="M3297" t="s">
        <v>295</v>
      </c>
      <c r="N3297" t="s">
        <v>7</v>
      </c>
      <c r="O3297" t="s">
        <v>297</v>
      </c>
    </row>
    <row r="3298" spans="1:15" x14ac:dyDescent="0.3">
      <c r="A3298" t="s">
        <v>5124</v>
      </c>
      <c r="B3298" t="s">
        <v>5201</v>
      </c>
      <c r="C3298">
        <v>2023</v>
      </c>
      <c r="D3298" t="s">
        <v>300</v>
      </c>
      <c r="E3298" t="s">
        <v>5141</v>
      </c>
      <c r="F3298">
        <v>63.07</v>
      </c>
      <c r="G3298" t="s">
        <v>302</v>
      </c>
      <c r="I3298" t="s">
        <v>5213</v>
      </c>
      <c r="J3298" t="s">
        <v>294</v>
      </c>
      <c r="M3298" t="s">
        <v>295</v>
      </c>
      <c r="N3298" t="s">
        <v>7</v>
      </c>
      <c r="O3298" t="s">
        <v>297</v>
      </c>
    </row>
    <row r="3299" spans="1:15" x14ac:dyDescent="0.3">
      <c r="A3299" t="s">
        <v>5124</v>
      </c>
      <c r="B3299" t="s">
        <v>5201</v>
      </c>
      <c r="C3299">
        <v>2023</v>
      </c>
      <c r="D3299" t="s">
        <v>300</v>
      </c>
      <c r="E3299" t="s">
        <v>5214</v>
      </c>
      <c r="F3299">
        <v>62.68</v>
      </c>
      <c r="G3299" t="s">
        <v>302</v>
      </c>
      <c r="I3299" t="s">
        <v>5215</v>
      </c>
      <c r="J3299" t="s">
        <v>294</v>
      </c>
      <c r="M3299" t="s">
        <v>295</v>
      </c>
      <c r="N3299" t="s">
        <v>7</v>
      </c>
      <c r="O3299" t="s">
        <v>297</v>
      </c>
    </row>
    <row r="3300" spans="1:15" x14ac:dyDescent="0.3">
      <c r="A3300" t="s">
        <v>5124</v>
      </c>
      <c r="B3300" t="s">
        <v>5201</v>
      </c>
      <c r="C3300">
        <v>2023</v>
      </c>
      <c r="D3300" t="s">
        <v>300</v>
      </c>
      <c r="E3300" t="s">
        <v>5216</v>
      </c>
      <c r="F3300">
        <v>7.08</v>
      </c>
      <c r="G3300" t="s">
        <v>302</v>
      </c>
      <c r="I3300" t="s">
        <v>5217</v>
      </c>
      <c r="J3300" t="s">
        <v>294</v>
      </c>
      <c r="M3300" t="s">
        <v>295</v>
      </c>
      <c r="N3300" t="s">
        <v>7</v>
      </c>
      <c r="O3300" t="s">
        <v>297</v>
      </c>
    </row>
    <row r="3301" spans="1:15" x14ac:dyDescent="0.3">
      <c r="A3301" t="s">
        <v>5124</v>
      </c>
      <c r="B3301" t="s">
        <v>5201</v>
      </c>
      <c r="C3301">
        <v>2023</v>
      </c>
      <c r="D3301" t="s">
        <v>300</v>
      </c>
      <c r="E3301" t="s">
        <v>579</v>
      </c>
      <c r="F3301">
        <v>69.760000000000005</v>
      </c>
      <c r="G3301" t="s">
        <v>302</v>
      </c>
      <c r="I3301" t="s">
        <v>5218</v>
      </c>
      <c r="J3301" t="s">
        <v>294</v>
      </c>
      <c r="M3301" t="s">
        <v>295</v>
      </c>
      <c r="N3301" t="s">
        <v>7</v>
      </c>
      <c r="O3301" t="s">
        <v>297</v>
      </c>
    </row>
    <row r="3302" spans="1:15" x14ac:dyDescent="0.3">
      <c r="A3302" t="s">
        <v>5124</v>
      </c>
      <c r="B3302" t="s">
        <v>5201</v>
      </c>
      <c r="C3302">
        <v>2023</v>
      </c>
      <c r="D3302" t="s">
        <v>300</v>
      </c>
      <c r="E3302" t="s">
        <v>306</v>
      </c>
      <c r="F3302">
        <v>51.38</v>
      </c>
      <c r="G3302" t="s">
        <v>302</v>
      </c>
      <c r="I3302" t="s">
        <v>5219</v>
      </c>
      <c r="J3302" t="s">
        <v>294</v>
      </c>
      <c r="M3302" t="s">
        <v>295</v>
      </c>
      <c r="N3302" t="s">
        <v>7</v>
      </c>
      <c r="O3302" t="s">
        <v>297</v>
      </c>
    </row>
    <row r="3303" spans="1:15" x14ac:dyDescent="0.3">
      <c r="A3303" t="s">
        <v>5124</v>
      </c>
      <c r="B3303" t="s">
        <v>5201</v>
      </c>
      <c r="C3303">
        <v>2023</v>
      </c>
      <c r="D3303" t="s">
        <v>300</v>
      </c>
      <c r="E3303" t="s">
        <v>308</v>
      </c>
      <c r="F3303">
        <v>51.24</v>
      </c>
      <c r="G3303" t="s">
        <v>302</v>
      </c>
      <c r="I3303" t="s">
        <v>5220</v>
      </c>
      <c r="J3303" t="s">
        <v>294</v>
      </c>
      <c r="M3303" t="s">
        <v>295</v>
      </c>
      <c r="N3303" t="s">
        <v>7</v>
      </c>
      <c r="O3303" t="s">
        <v>297</v>
      </c>
    </row>
    <row r="3304" spans="1:15" x14ac:dyDescent="0.3">
      <c r="A3304" t="s">
        <v>5124</v>
      </c>
      <c r="B3304" t="s">
        <v>5201</v>
      </c>
      <c r="C3304">
        <v>2023</v>
      </c>
      <c r="D3304" t="s">
        <v>300</v>
      </c>
      <c r="E3304" t="s">
        <v>316</v>
      </c>
      <c r="F3304">
        <v>1331.79</v>
      </c>
      <c r="G3304" t="s">
        <v>302</v>
      </c>
      <c r="I3304" t="s">
        <v>5221</v>
      </c>
      <c r="J3304" t="s">
        <v>294</v>
      </c>
      <c r="M3304" t="s">
        <v>295</v>
      </c>
      <c r="N3304" t="s">
        <v>7</v>
      </c>
      <c r="O3304" t="s">
        <v>297</v>
      </c>
    </row>
    <row r="3305" spans="1:15" x14ac:dyDescent="0.3">
      <c r="A3305" t="s">
        <v>5124</v>
      </c>
      <c r="B3305" t="s">
        <v>5201</v>
      </c>
      <c r="C3305">
        <v>2023</v>
      </c>
      <c r="D3305" t="s">
        <v>300</v>
      </c>
      <c r="E3305" t="s">
        <v>312</v>
      </c>
      <c r="F3305">
        <v>538.02</v>
      </c>
      <c r="G3305" t="s">
        <v>302</v>
      </c>
      <c r="I3305" t="s">
        <v>5222</v>
      </c>
      <c r="J3305" t="s">
        <v>294</v>
      </c>
      <c r="M3305" t="s">
        <v>295</v>
      </c>
      <c r="N3305" t="s">
        <v>7</v>
      </c>
      <c r="O3305" t="s">
        <v>297</v>
      </c>
    </row>
    <row r="3306" spans="1:15" x14ac:dyDescent="0.3">
      <c r="A3306" t="s">
        <v>5124</v>
      </c>
      <c r="B3306" t="s">
        <v>5201</v>
      </c>
      <c r="C3306">
        <v>2023</v>
      </c>
      <c r="D3306" t="s">
        <v>300</v>
      </c>
      <c r="E3306" t="s">
        <v>314</v>
      </c>
      <c r="F3306">
        <v>793.78</v>
      </c>
      <c r="G3306" t="s">
        <v>302</v>
      </c>
      <c r="I3306" t="s">
        <v>5223</v>
      </c>
      <c r="J3306" t="s">
        <v>294</v>
      </c>
      <c r="M3306" t="s">
        <v>295</v>
      </c>
      <c r="N3306" t="s">
        <v>7</v>
      </c>
      <c r="O3306" t="s">
        <v>297</v>
      </c>
    </row>
    <row r="3307" spans="1:15" x14ac:dyDescent="0.3">
      <c r="A3307" t="s">
        <v>5124</v>
      </c>
      <c r="B3307" t="s">
        <v>5201</v>
      </c>
      <c r="C3307">
        <v>2023</v>
      </c>
      <c r="D3307" t="s">
        <v>300</v>
      </c>
      <c r="E3307" t="s">
        <v>322</v>
      </c>
      <c r="F3307">
        <v>747.32</v>
      </c>
      <c r="G3307" t="s">
        <v>302</v>
      </c>
      <c r="I3307" t="s">
        <v>5224</v>
      </c>
      <c r="J3307" t="s">
        <v>294</v>
      </c>
      <c r="M3307" t="s">
        <v>295</v>
      </c>
      <c r="N3307" t="s">
        <v>7</v>
      </c>
      <c r="O3307" t="s">
        <v>297</v>
      </c>
    </row>
    <row r="3308" spans="1:15" x14ac:dyDescent="0.3">
      <c r="A3308" t="s">
        <v>5124</v>
      </c>
      <c r="B3308" t="s">
        <v>5201</v>
      </c>
      <c r="C3308">
        <v>2023</v>
      </c>
      <c r="D3308" t="s">
        <v>300</v>
      </c>
      <c r="E3308" t="s">
        <v>318</v>
      </c>
      <c r="F3308">
        <v>166.15</v>
      </c>
      <c r="G3308" t="s">
        <v>302</v>
      </c>
      <c r="I3308" t="s">
        <v>5225</v>
      </c>
      <c r="J3308" t="s">
        <v>294</v>
      </c>
      <c r="M3308" t="s">
        <v>295</v>
      </c>
      <c r="N3308" t="s">
        <v>7</v>
      </c>
      <c r="O3308" t="s">
        <v>297</v>
      </c>
    </row>
    <row r="3309" spans="1:15" x14ac:dyDescent="0.3">
      <c r="A3309" t="s">
        <v>5124</v>
      </c>
      <c r="B3309" t="s">
        <v>5201</v>
      </c>
      <c r="C3309">
        <v>2023</v>
      </c>
      <c r="D3309" t="s">
        <v>300</v>
      </c>
      <c r="E3309" t="s">
        <v>468</v>
      </c>
      <c r="F3309">
        <v>581.16999999999996</v>
      </c>
      <c r="G3309" t="s">
        <v>302</v>
      </c>
      <c r="I3309" t="s">
        <v>5226</v>
      </c>
      <c r="J3309" t="s">
        <v>294</v>
      </c>
      <c r="M3309" t="s">
        <v>295</v>
      </c>
      <c r="N3309" t="s">
        <v>7</v>
      </c>
      <c r="O3309" t="s">
        <v>297</v>
      </c>
    </row>
    <row r="3310" spans="1:15" x14ac:dyDescent="0.3">
      <c r="A3310" t="s">
        <v>5124</v>
      </c>
      <c r="B3310" t="s">
        <v>5201</v>
      </c>
      <c r="C3310">
        <v>2023</v>
      </c>
      <c r="D3310" t="s">
        <v>300</v>
      </c>
      <c r="E3310" t="s">
        <v>324</v>
      </c>
      <c r="F3310">
        <v>584.48</v>
      </c>
      <c r="G3310" t="s">
        <v>302</v>
      </c>
      <c r="I3310" t="s">
        <v>5227</v>
      </c>
      <c r="J3310" t="s">
        <v>294</v>
      </c>
      <c r="M3310" t="s">
        <v>295</v>
      </c>
      <c r="N3310" t="s">
        <v>7</v>
      </c>
      <c r="O3310" t="s">
        <v>297</v>
      </c>
    </row>
    <row r="3311" spans="1:15" x14ac:dyDescent="0.3">
      <c r="A3311" t="s">
        <v>5124</v>
      </c>
      <c r="B3311" t="s">
        <v>5201</v>
      </c>
      <c r="C3311">
        <v>2023</v>
      </c>
      <c r="D3311" t="s">
        <v>300</v>
      </c>
      <c r="E3311" t="s">
        <v>5228</v>
      </c>
      <c r="F3311">
        <v>582.98</v>
      </c>
      <c r="G3311" t="s">
        <v>302</v>
      </c>
      <c r="I3311" t="s">
        <v>5229</v>
      </c>
      <c r="J3311" t="s">
        <v>294</v>
      </c>
      <c r="M3311" t="s">
        <v>295</v>
      </c>
      <c r="N3311" t="s">
        <v>7</v>
      </c>
      <c r="O3311" t="s">
        <v>297</v>
      </c>
    </row>
    <row r="3312" spans="1:15" x14ac:dyDescent="0.3">
      <c r="A3312" t="s">
        <v>5124</v>
      </c>
      <c r="B3312" t="s">
        <v>5201</v>
      </c>
      <c r="C3312">
        <v>2023</v>
      </c>
      <c r="D3312" t="s">
        <v>300</v>
      </c>
      <c r="E3312" t="s">
        <v>5230</v>
      </c>
      <c r="F3312">
        <v>188.24</v>
      </c>
      <c r="G3312" t="s">
        <v>302</v>
      </c>
      <c r="H3312">
        <v>142</v>
      </c>
      <c r="I3312" t="s">
        <v>5231</v>
      </c>
      <c r="J3312" t="s">
        <v>294</v>
      </c>
      <c r="M3312" t="s">
        <v>295</v>
      </c>
      <c r="N3312" t="s">
        <v>7</v>
      </c>
      <c r="O3312" t="s">
        <v>297</v>
      </c>
    </row>
    <row r="3313" spans="1:15" x14ac:dyDescent="0.3">
      <c r="A3313" t="s">
        <v>5124</v>
      </c>
      <c r="B3313" t="s">
        <v>5201</v>
      </c>
      <c r="C3313">
        <v>2023</v>
      </c>
      <c r="D3313" t="s">
        <v>300</v>
      </c>
      <c r="E3313" t="s">
        <v>595</v>
      </c>
      <c r="F3313">
        <v>27.99</v>
      </c>
      <c r="G3313" t="s">
        <v>302</v>
      </c>
      <c r="I3313" t="s">
        <v>5232</v>
      </c>
      <c r="J3313" t="s">
        <v>294</v>
      </c>
      <c r="M3313" t="s">
        <v>295</v>
      </c>
      <c r="N3313" t="s">
        <v>7</v>
      </c>
      <c r="O3313" t="s">
        <v>297</v>
      </c>
    </row>
    <row r="3314" spans="1:15" x14ac:dyDescent="0.3">
      <c r="A3314" t="s">
        <v>5124</v>
      </c>
      <c r="B3314" t="s">
        <v>5201</v>
      </c>
      <c r="C3314">
        <v>2023</v>
      </c>
      <c r="D3314" t="s">
        <v>300</v>
      </c>
      <c r="E3314" t="s">
        <v>5157</v>
      </c>
      <c r="F3314">
        <v>63.07</v>
      </c>
      <c r="G3314" t="s">
        <v>302</v>
      </c>
      <c r="I3314" t="s">
        <v>5233</v>
      </c>
      <c r="J3314" t="s">
        <v>294</v>
      </c>
      <c r="M3314" t="s">
        <v>295</v>
      </c>
      <c r="N3314" t="s">
        <v>7</v>
      </c>
      <c r="O3314" t="s">
        <v>297</v>
      </c>
    </row>
    <row r="3315" spans="1:15" x14ac:dyDescent="0.3">
      <c r="A3315" t="s">
        <v>5124</v>
      </c>
      <c r="B3315" t="s">
        <v>5201</v>
      </c>
      <c r="C3315">
        <v>2023</v>
      </c>
      <c r="D3315" t="s">
        <v>300</v>
      </c>
      <c r="E3315" t="s">
        <v>475</v>
      </c>
      <c r="F3315">
        <v>571.78</v>
      </c>
      <c r="G3315" t="s">
        <v>302</v>
      </c>
      <c r="I3315" t="s">
        <v>5234</v>
      </c>
      <c r="J3315" t="s">
        <v>294</v>
      </c>
      <c r="M3315" t="s">
        <v>295</v>
      </c>
      <c r="N3315" t="s">
        <v>7</v>
      </c>
      <c r="O3315" t="s">
        <v>297</v>
      </c>
    </row>
    <row r="3316" spans="1:15" x14ac:dyDescent="0.3">
      <c r="A3316" t="s">
        <v>5124</v>
      </c>
      <c r="B3316" t="s">
        <v>5201</v>
      </c>
      <c r="C3316">
        <v>2023</v>
      </c>
      <c r="D3316" t="s">
        <v>300</v>
      </c>
      <c r="E3316" t="s">
        <v>597</v>
      </c>
      <c r="F3316">
        <v>662.84</v>
      </c>
      <c r="G3316" t="s">
        <v>302</v>
      </c>
      <c r="I3316" t="s">
        <v>5235</v>
      </c>
      <c r="J3316" t="s">
        <v>294</v>
      </c>
      <c r="M3316" t="s">
        <v>295</v>
      </c>
      <c r="N3316" t="s">
        <v>7</v>
      </c>
      <c r="O3316" t="s">
        <v>297</v>
      </c>
    </row>
    <row r="3317" spans="1:15" x14ac:dyDescent="0.3">
      <c r="A3317" t="s">
        <v>5124</v>
      </c>
      <c r="B3317" t="s">
        <v>5201</v>
      </c>
      <c r="C3317">
        <v>2023</v>
      </c>
      <c r="D3317" t="s">
        <v>300</v>
      </c>
      <c r="E3317" t="s">
        <v>601</v>
      </c>
      <c r="F3317">
        <v>16.579999999999998</v>
      </c>
      <c r="G3317" t="s">
        <v>302</v>
      </c>
      <c r="H3317">
        <v>142</v>
      </c>
      <c r="I3317" t="s">
        <v>5236</v>
      </c>
      <c r="J3317" t="s">
        <v>294</v>
      </c>
      <c r="M3317" t="s">
        <v>295</v>
      </c>
      <c r="N3317" t="s">
        <v>7</v>
      </c>
      <c r="O3317" t="s">
        <v>297</v>
      </c>
    </row>
    <row r="3318" spans="1:15" x14ac:dyDescent="0.3">
      <c r="A3318" t="s">
        <v>5124</v>
      </c>
      <c r="B3318" t="s">
        <v>5201</v>
      </c>
      <c r="C3318">
        <v>2023</v>
      </c>
      <c r="D3318" t="s">
        <v>300</v>
      </c>
      <c r="E3318" t="s">
        <v>603</v>
      </c>
      <c r="F3318">
        <v>-328.31</v>
      </c>
      <c r="G3318" t="s">
        <v>302</v>
      </c>
      <c r="H3318">
        <v>142</v>
      </c>
      <c r="I3318" t="s">
        <v>5237</v>
      </c>
      <c r="J3318" t="s">
        <v>294</v>
      </c>
      <c r="M3318" t="s">
        <v>295</v>
      </c>
      <c r="N3318" t="s">
        <v>7</v>
      </c>
      <c r="O3318" t="s">
        <v>297</v>
      </c>
    </row>
    <row r="3319" spans="1:15" x14ac:dyDescent="0.3">
      <c r="A3319" t="s">
        <v>5124</v>
      </c>
      <c r="B3319" t="s">
        <v>5201</v>
      </c>
      <c r="C3319">
        <v>2023</v>
      </c>
      <c r="D3319" t="s">
        <v>300</v>
      </c>
      <c r="E3319" t="s">
        <v>716</v>
      </c>
      <c r="F3319">
        <v>196.3</v>
      </c>
      <c r="G3319" t="s">
        <v>302</v>
      </c>
      <c r="H3319">
        <v>142</v>
      </c>
      <c r="I3319" t="s">
        <v>5238</v>
      </c>
      <c r="J3319" t="s">
        <v>294</v>
      </c>
      <c r="M3319" t="s">
        <v>295</v>
      </c>
      <c r="N3319" t="s">
        <v>7</v>
      </c>
      <c r="O3319" t="s">
        <v>297</v>
      </c>
    </row>
    <row r="3320" spans="1:15" x14ac:dyDescent="0.3">
      <c r="A3320" t="s">
        <v>5124</v>
      </c>
      <c r="B3320" t="s">
        <v>5201</v>
      </c>
      <c r="C3320">
        <v>2023</v>
      </c>
      <c r="D3320" t="s">
        <v>300</v>
      </c>
      <c r="E3320" t="s">
        <v>2658</v>
      </c>
      <c r="F3320">
        <v>4.2699999999999996</v>
      </c>
      <c r="G3320" t="s">
        <v>346</v>
      </c>
      <c r="I3320" t="s">
        <v>5239</v>
      </c>
      <c r="J3320" t="s">
        <v>294</v>
      </c>
      <c r="M3320" t="s">
        <v>295</v>
      </c>
      <c r="N3320" t="s">
        <v>7</v>
      </c>
      <c r="O3320" t="s">
        <v>297</v>
      </c>
    </row>
    <row r="3321" spans="1:15" x14ac:dyDescent="0.3">
      <c r="A3321" t="s">
        <v>5124</v>
      </c>
      <c r="B3321" t="s">
        <v>5201</v>
      </c>
      <c r="C3321">
        <v>2023</v>
      </c>
      <c r="D3321" t="s">
        <v>300</v>
      </c>
      <c r="E3321" t="s">
        <v>5240</v>
      </c>
      <c r="F3321">
        <v>12000119802</v>
      </c>
      <c r="G3321" t="s">
        <v>1633</v>
      </c>
      <c r="I3321" t="s">
        <v>5241</v>
      </c>
      <c r="J3321" t="s">
        <v>294</v>
      </c>
      <c r="M3321" t="s">
        <v>295</v>
      </c>
      <c r="N3321" t="s">
        <v>7</v>
      </c>
      <c r="O3321" t="s">
        <v>297</v>
      </c>
    </row>
    <row r="3322" spans="1:15" x14ac:dyDescent="0.3">
      <c r="A3322" t="s">
        <v>5124</v>
      </c>
      <c r="B3322" t="s">
        <v>5201</v>
      </c>
      <c r="C3322">
        <v>2023</v>
      </c>
      <c r="D3322" t="s">
        <v>300</v>
      </c>
      <c r="E3322" t="s">
        <v>5242</v>
      </c>
      <c r="F3322">
        <v>150</v>
      </c>
      <c r="G3322" t="s">
        <v>346</v>
      </c>
      <c r="I3322" t="s">
        <v>5243</v>
      </c>
      <c r="J3322" t="s">
        <v>294</v>
      </c>
      <c r="M3322" t="s">
        <v>295</v>
      </c>
      <c r="N3322" t="s">
        <v>7</v>
      </c>
      <c r="O3322" t="s">
        <v>297</v>
      </c>
    </row>
    <row r="3323" spans="1:15" x14ac:dyDescent="0.3">
      <c r="A3323" t="s">
        <v>5124</v>
      </c>
      <c r="B3323" t="s">
        <v>5201</v>
      </c>
      <c r="C3323">
        <v>2023</v>
      </c>
      <c r="D3323" t="s">
        <v>300</v>
      </c>
      <c r="E3323" t="s">
        <v>326</v>
      </c>
      <c r="F3323">
        <v>323.81</v>
      </c>
      <c r="G3323" t="s">
        <v>334</v>
      </c>
      <c r="I3323" t="s">
        <v>5244</v>
      </c>
      <c r="J3323" t="s">
        <v>294</v>
      </c>
      <c r="M3323" t="s">
        <v>295</v>
      </c>
      <c r="N3323" t="s">
        <v>7</v>
      </c>
      <c r="O3323" t="s">
        <v>297</v>
      </c>
    </row>
    <row r="3324" spans="1:15" x14ac:dyDescent="0.3">
      <c r="A3324" t="s">
        <v>5124</v>
      </c>
      <c r="B3324" t="s">
        <v>5201</v>
      </c>
      <c r="C3324">
        <v>2023</v>
      </c>
      <c r="D3324" t="s">
        <v>300</v>
      </c>
      <c r="E3324" t="s">
        <v>842</v>
      </c>
      <c r="F3324">
        <v>127.86</v>
      </c>
      <c r="G3324" t="s">
        <v>334</v>
      </c>
      <c r="I3324" t="s">
        <v>5245</v>
      </c>
      <c r="J3324" t="s">
        <v>294</v>
      </c>
      <c r="M3324" t="s">
        <v>295</v>
      </c>
      <c r="N3324" t="s">
        <v>7</v>
      </c>
      <c r="O3324" t="s">
        <v>297</v>
      </c>
    </row>
    <row r="3325" spans="1:15" x14ac:dyDescent="0.3">
      <c r="A3325" t="s">
        <v>5124</v>
      </c>
      <c r="B3325" t="s">
        <v>5201</v>
      </c>
      <c r="C3325">
        <v>2023</v>
      </c>
      <c r="D3325" t="s">
        <v>300</v>
      </c>
      <c r="E3325" t="s">
        <v>333</v>
      </c>
      <c r="F3325">
        <v>3.86</v>
      </c>
      <c r="G3325" t="s">
        <v>334</v>
      </c>
      <c r="I3325" t="s">
        <v>5246</v>
      </c>
      <c r="J3325" t="s">
        <v>294</v>
      </c>
      <c r="M3325" t="s">
        <v>295</v>
      </c>
      <c r="N3325" t="s">
        <v>7</v>
      </c>
      <c r="O3325" t="s">
        <v>297</v>
      </c>
    </row>
    <row r="3326" spans="1:15" x14ac:dyDescent="0.3">
      <c r="A3326" t="s">
        <v>5124</v>
      </c>
      <c r="B3326" t="s">
        <v>5201</v>
      </c>
      <c r="C3326">
        <v>2023</v>
      </c>
      <c r="D3326" t="s">
        <v>300</v>
      </c>
      <c r="E3326" t="s">
        <v>336</v>
      </c>
      <c r="F3326">
        <v>8.7899999999999991</v>
      </c>
      <c r="G3326" t="s">
        <v>334</v>
      </c>
      <c r="I3326" t="s">
        <v>5247</v>
      </c>
      <c r="J3326" t="s">
        <v>294</v>
      </c>
      <c r="M3326" t="s">
        <v>295</v>
      </c>
      <c r="N3326" t="s">
        <v>7</v>
      </c>
      <c r="O3326" t="s">
        <v>297</v>
      </c>
    </row>
    <row r="3327" spans="1:15" x14ac:dyDescent="0.3">
      <c r="A3327" t="s">
        <v>5124</v>
      </c>
      <c r="B3327" t="s">
        <v>5201</v>
      </c>
      <c r="C3327">
        <v>2023</v>
      </c>
      <c r="D3327" t="s">
        <v>300</v>
      </c>
      <c r="E3327" t="s">
        <v>5175</v>
      </c>
      <c r="F3327">
        <v>652.86</v>
      </c>
      <c r="G3327" t="s">
        <v>302</v>
      </c>
      <c r="H3327">
        <v>132</v>
      </c>
      <c r="I3327" t="s">
        <v>5248</v>
      </c>
      <c r="J3327" t="s">
        <v>294</v>
      </c>
      <c r="M3327" t="s">
        <v>295</v>
      </c>
      <c r="N3327" t="s">
        <v>7</v>
      </c>
      <c r="O3327" t="s">
        <v>297</v>
      </c>
    </row>
    <row r="3328" spans="1:15" x14ac:dyDescent="0.3">
      <c r="A3328" t="s">
        <v>5124</v>
      </c>
      <c r="B3328" t="s">
        <v>5201</v>
      </c>
      <c r="C3328">
        <v>2023</v>
      </c>
      <c r="D3328" t="s">
        <v>300</v>
      </c>
      <c r="E3328" t="s">
        <v>5177</v>
      </c>
      <c r="F3328">
        <v>57.41</v>
      </c>
      <c r="G3328" t="s">
        <v>302</v>
      </c>
      <c r="H3328">
        <v>132</v>
      </c>
      <c r="I3328" t="s">
        <v>5249</v>
      </c>
      <c r="J3328" t="s">
        <v>294</v>
      </c>
      <c r="M3328" t="s">
        <v>295</v>
      </c>
      <c r="N3328" t="s">
        <v>7</v>
      </c>
      <c r="O3328" t="s">
        <v>297</v>
      </c>
    </row>
    <row r="3329" spans="1:15" x14ac:dyDescent="0.3">
      <c r="A3329" t="s">
        <v>5124</v>
      </c>
      <c r="B3329" t="s">
        <v>5201</v>
      </c>
      <c r="C3329">
        <v>2023</v>
      </c>
      <c r="D3329" t="s">
        <v>358</v>
      </c>
      <c r="E3329" t="s">
        <v>4437</v>
      </c>
      <c r="F3329">
        <v>2</v>
      </c>
      <c r="G3329" t="s">
        <v>384</v>
      </c>
      <c r="I3329" t="s">
        <v>5250</v>
      </c>
      <c r="J3329" t="s">
        <v>294</v>
      </c>
      <c r="M3329" t="s">
        <v>295</v>
      </c>
      <c r="N3329" t="s">
        <v>7</v>
      </c>
      <c r="O3329" t="s">
        <v>297</v>
      </c>
    </row>
    <row r="3330" spans="1:15" x14ac:dyDescent="0.3">
      <c r="A3330" t="s">
        <v>5124</v>
      </c>
      <c r="B3330" t="s">
        <v>5201</v>
      </c>
      <c r="C3330">
        <v>2023</v>
      </c>
      <c r="D3330" t="s">
        <v>358</v>
      </c>
      <c r="E3330" t="s">
        <v>797</v>
      </c>
      <c r="F3330">
        <v>30</v>
      </c>
      <c r="G3330" t="s">
        <v>738</v>
      </c>
      <c r="I3330" t="s">
        <v>5180</v>
      </c>
      <c r="J3330" t="s">
        <v>294</v>
      </c>
      <c r="M3330" t="s">
        <v>295</v>
      </c>
      <c r="N3330" t="s">
        <v>7</v>
      </c>
      <c r="O3330" t="s">
        <v>297</v>
      </c>
    </row>
    <row r="3331" spans="1:15" x14ac:dyDescent="0.3">
      <c r="A3331" t="s">
        <v>5124</v>
      </c>
      <c r="B3331" t="s">
        <v>5201</v>
      </c>
      <c r="C3331">
        <v>2023</v>
      </c>
      <c r="D3331" t="s">
        <v>394</v>
      </c>
      <c r="E3331" t="s">
        <v>5185</v>
      </c>
      <c r="F3331">
        <v>121778</v>
      </c>
      <c r="G3331" t="s">
        <v>396</v>
      </c>
      <c r="I3331" t="s">
        <v>5251</v>
      </c>
      <c r="J3331" t="s">
        <v>294</v>
      </c>
      <c r="M3331" t="s">
        <v>295</v>
      </c>
      <c r="N3331" t="s">
        <v>7</v>
      </c>
      <c r="O3331" t="s">
        <v>297</v>
      </c>
    </row>
    <row r="3332" spans="1:15" x14ac:dyDescent="0.3">
      <c r="A3332" t="s">
        <v>5124</v>
      </c>
      <c r="B3332" t="s">
        <v>5201</v>
      </c>
      <c r="C3332">
        <v>2023</v>
      </c>
      <c r="D3332" t="s">
        <v>394</v>
      </c>
      <c r="E3332" t="s">
        <v>5252</v>
      </c>
      <c r="F3332">
        <v>180478</v>
      </c>
      <c r="G3332" t="s">
        <v>396</v>
      </c>
      <c r="I3332" t="s">
        <v>5253</v>
      </c>
      <c r="J3332" t="s">
        <v>294</v>
      </c>
      <c r="M3332" t="s">
        <v>295</v>
      </c>
      <c r="N3332" t="s">
        <v>7</v>
      </c>
      <c r="O3332" t="s">
        <v>297</v>
      </c>
    </row>
    <row r="3333" spans="1:15" x14ac:dyDescent="0.3">
      <c r="A3333" t="s">
        <v>5124</v>
      </c>
      <c r="B3333" t="s">
        <v>5201</v>
      </c>
      <c r="C3333">
        <v>2023</v>
      </c>
      <c r="D3333" t="s">
        <v>394</v>
      </c>
      <c r="E3333" t="s">
        <v>402</v>
      </c>
      <c r="F3333">
        <v>302317</v>
      </c>
      <c r="G3333" t="s">
        <v>396</v>
      </c>
      <c r="I3333" t="s">
        <v>5254</v>
      </c>
      <c r="J3333" t="s">
        <v>294</v>
      </c>
      <c r="M3333" t="s">
        <v>295</v>
      </c>
      <c r="N3333" t="s">
        <v>7</v>
      </c>
      <c r="O3333" t="s">
        <v>297</v>
      </c>
    </row>
    <row r="3334" spans="1:15" x14ac:dyDescent="0.3">
      <c r="A3334" t="s">
        <v>5124</v>
      </c>
      <c r="B3334" t="s">
        <v>5201</v>
      </c>
      <c r="C3334">
        <v>2023</v>
      </c>
      <c r="D3334" t="s">
        <v>394</v>
      </c>
      <c r="E3334" t="s">
        <v>406</v>
      </c>
      <c r="F3334">
        <v>57803</v>
      </c>
      <c r="G3334" t="s">
        <v>396</v>
      </c>
      <c r="I3334" t="s">
        <v>5255</v>
      </c>
      <c r="J3334" t="s">
        <v>294</v>
      </c>
      <c r="M3334" t="s">
        <v>295</v>
      </c>
      <c r="N3334" t="s">
        <v>7</v>
      </c>
      <c r="O3334" t="s">
        <v>297</v>
      </c>
    </row>
    <row r="3335" spans="1:15" x14ac:dyDescent="0.3">
      <c r="A3335" t="s">
        <v>5124</v>
      </c>
      <c r="B3335" t="s">
        <v>5201</v>
      </c>
      <c r="C3335">
        <v>2023</v>
      </c>
      <c r="D3335" t="s">
        <v>394</v>
      </c>
      <c r="E3335" t="s">
        <v>438</v>
      </c>
      <c r="F3335">
        <v>59704</v>
      </c>
      <c r="G3335" t="s">
        <v>396</v>
      </c>
      <c r="H3335">
        <v>134</v>
      </c>
      <c r="I3335" t="s">
        <v>5256</v>
      </c>
      <c r="J3335" t="s">
        <v>294</v>
      </c>
      <c r="M3335" t="s">
        <v>295</v>
      </c>
      <c r="N3335" t="s">
        <v>7</v>
      </c>
      <c r="O3335" t="s">
        <v>297</v>
      </c>
    </row>
    <row r="3336" spans="1:15" x14ac:dyDescent="0.3">
      <c r="A3336" t="s">
        <v>5124</v>
      </c>
      <c r="B3336" t="s">
        <v>5201</v>
      </c>
      <c r="C3336">
        <v>2023</v>
      </c>
      <c r="D3336" t="s">
        <v>394</v>
      </c>
      <c r="E3336" t="s">
        <v>855</v>
      </c>
      <c r="F3336">
        <v>10211</v>
      </c>
      <c r="G3336" t="s">
        <v>396</v>
      </c>
      <c r="I3336" t="s">
        <v>5257</v>
      </c>
      <c r="J3336" t="s">
        <v>294</v>
      </c>
      <c r="M3336" t="s">
        <v>295</v>
      </c>
      <c r="N3336" t="s">
        <v>7</v>
      </c>
      <c r="O3336" t="s">
        <v>297</v>
      </c>
    </row>
    <row r="3337" spans="1:15" x14ac:dyDescent="0.3">
      <c r="A3337" t="s">
        <v>5124</v>
      </c>
      <c r="B3337" t="s">
        <v>5201</v>
      </c>
      <c r="C3337">
        <v>2023</v>
      </c>
      <c r="D3337" t="s">
        <v>394</v>
      </c>
      <c r="E3337" t="s">
        <v>4994</v>
      </c>
      <c r="F3337">
        <v>11149</v>
      </c>
      <c r="G3337" t="s">
        <v>396</v>
      </c>
      <c r="H3337">
        <v>134</v>
      </c>
      <c r="I3337" t="s">
        <v>5258</v>
      </c>
      <c r="J3337" t="s">
        <v>294</v>
      </c>
      <c r="M3337" t="s">
        <v>295</v>
      </c>
      <c r="N3337" t="s">
        <v>7</v>
      </c>
      <c r="O3337" t="s">
        <v>297</v>
      </c>
    </row>
    <row r="3338" spans="1:15" x14ac:dyDescent="0.3">
      <c r="A3338" t="s">
        <v>5124</v>
      </c>
      <c r="B3338" t="s">
        <v>5201</v>
      </c>
      <c r="C3338">
        <v>2023</v>
      </c>
      <c r="D3338" t="s">
        <v>394</v>
      </c>
      <c r="E3338" t="s">
        <v>554</v>
      </c>
      <c r="F3338">
        <v>10933</v>
      </c>
      <c r="G3338" t="s">
        <v>436</v>
      </c>
      <c r="I3338" t="s">
        <v>5259</v>
      </c>
      <c r="J3338" t="s">
        <v>294</v>
      </c>
      <c r="M3338" t="s">
        <v>295</v>
      </c>
      <c r="N3338" t="s">
        <v>7</v>
      </c>
      <c r="O3338" t="s">
        <v>297</v>
      </c>
    </row>
    <row r="3339" spans="1:15" x14ac:dyDescent="0.3">
      <c r="A3339" t="s">
        <v>5124</v>
      </c>
      <c r="B3339" t="s">
        <v>5201</v>
      </c>
      <c r="C3339">
        <v>2023</v>
      </c>
      <c r="D3339" t="s">
        <v>394</v>
      </c>
      <c r="E3339" t="s">
        <v>5195</v>
      </c>
      <c r="F3339">
        <v>5063</v>
      </c>
      <c r="G3339" t="s">
        <v>436</v>
      </c>
      <c r="I3339" t="s">
        <v>5260</v>
      </c>
      <c r="J3339" t="s">
        <v>294</v>
      </c>
      <c r="M3339" t="s">
        <v>295</v>
      </c>
      <c r="N3339" t="s">
        <v>7</v>
      </c>
      <c r="O3339" t="s">
        <v>297</v>
      </c>
    </row>
    <row r="3340" spans="1:15" x14ac:dyDescent="0.3">
      <c r="A3340" t="s">
        <v>5124</v>
      </c>
      <c r="B3340" t="s">
        <v>5201</v>
      </c>
      <c r="C3340">
        <v>2023</v>
      </c>
      <c r="D3340" t="s">
        <v>394</v>
      </c>
      <c r="E3340" t="s">
        <v>5197</v>
      </c>
      <c r="F3340">
        <v>0.19120000000000001</v>
      </c>
      <c r="G3340" t="s">
        <v>334</v>
      </c>
      <c r="I3340" t="s">
        <v>5261</v>
      </c>
      <c r="J3340" t="s">
        <v>456</v>
      </c>
      <c r="M3340" t="s">
        <v>295</v>
      </c>
      <c r="N3340" t="s">
        <v>7</v>
      </c>
      <c r="O3340" t="s">
        <v>297</v>
      </c>
    </row>
    <row r="3341" spans="1:15" x14ac:dyDescent="0.3">
      <c r="A3341" t="s">
        <v>5124</v>
      </c>
      <c r="B3341" t="s">
        <v>5201</v>
      </c>
      <c r="C3341">
        <v>2023</v>
      </c>
      <c r="D3341" t="s">
        <v>394</v>
      </c>
      <c r="E3341" t="s">
        <v>5262</v>
      </c>
      <c r="F3341">
        <v>1.1999999999999999E-3</v>
      </c>
      <c r="G3341" t="s">
        <v>334</v>
      </c>
      <c r="H3341">
        <v>131</v>
      </c>
      <c r="I3341" t="s">
        <v>5263</v>
      </c>
      <c r="J3341" t="s">
        <v>294</v>
      </c>
      <c r="M3341" t="s">
        <v>295</v>
      </c>
      <c r="N3341" t="s">
        <v>7</v>
      </c>
      <c r="O3341" t="s">
        <v>297</v>
      </c>
    </row>
    <row r="3342" spans="1:15" x14ac:dyDescent="0.3">
      <c r="A3342" t="s">
        <v>5124</v>
      </c>
      <c r="B3342" t="s">
        <v>5201</v>
      </c>
      <c r="C3342">
        <v>2023</v>
      </c>
      <c r="D3342" t="s">
        <v>394</v>
      </c>
      <c r="E3342" t="s">
        <v>5264</v>
      </c>
      <c r="F3342">
        <v>1</v>
      </c>
      <c r="G3342" t="s">
        <v>334</v>
      </c>
      <c r="H3342">
        <v>131</v>
      </c>
      <c r="I3342" t="s">
        <v>5265</v>
      </c>
      <c r="J3342" t="s">
        <v>294</v>
      </c>
      <c r="M3342" t="s">
        <v>295</v>
      </c>
      <c r="N3342" t="s">
        <v>7</v>
      </c>
      <c r="O3342" t="s">
        <v>297</v>
      </c>
    </row>
    <row r="3343" spans="1:15" x14ac:dyDescent="0.3">
      <c r="A3343" t="s">
        <v>5124</v>
      </c>
      <c r="B3343" t="s">
        <v>5201</v>
      </c>
      <c r="C3343">
        <v>2023</v>
      </c>
      <c r="D3343" t="s">
        <v>563</v>
      </c>
      <c r="E3343" t="s">
        <v>5266</v>
      </c>
      <c r="F3343" t="s">
        <v>5267</v>
      </c>
      <c r="G3343" t="s">
        <v>292</v>
      </c>
      <c r="I3343" t="s">
        <v>5268</v>
      </c>
      <c r="J3343" t="s">
        <v>294</v>
      </c>
      <c r="M3343" t="s">
        <v>295</v>
      </c>
      <c r="N3343" t="s">
        <v>7</v>
      </c>
      <c r="O3343" t="s">
        <v>297</v>
      </c>
    </row>
    <row r="3344" spans="1:15" x14ac:dyDescent="0.3">
      <c r="A3344" t="s">
        <v>5124</v>
      </c>
      <c r="B3344" t="s">
        <v>5269</v>
      </c>
      <c r="C3344">
        <v>2024</v>
      </c>
      <c r="D3344" t="s">
        <v>272</v>
      </c>
      <c r="E3344" t="s">
        <v>291</v>
      </c>
      <c r="F3344" t="s">
        <v>5124</v>
      </c>
      <c r="G3344" t="s">
        <v>292</v>
      </c>
      <c r="H3344">
        <v>60</v>
      </c>
      <c r="I3344" t="s">
        <v>5270</v>
      </c>
      <c r="J3344" t="s">
        <v>294</v>
      </c>
      <c r="M3344" t="s">
        <v>295</v>
      </c>
      <c r="N3344" t="s">
        <v>7</v>
      </c>
      <c r="O3344" t="s">
        <v>297</v>
      </c>
    </row>
    <row r="3345" spans="1:15" x14ac:dyDescent="0.3">
      <c r="A3345" t="s">
        <v>5124</v>
      </c>
      <c r="B3345" t="s">
        <v>5269</v>
      </c>
      <c r="C3345">
        <v>2024</v>
      </c>
      <c r="D3345" t="s">
        <v>272</v>
      </c>
      <c r="E3345" t="s">
        <v>1</v>
      </c>
      <c r="F3345" t="s">
        <v>20</v>
      </c>
      <c r="G3345" t="s">
        <v>292</v>
      </c>
      <c r="H3345">
        <v>60</v>
      </c>
      <c r="I3345" t="s">
        <v>5271</v>
      </c>
      <c r="J3345" t="s">
        <v>294</v>
      </c>
      <c r="M3345" t="s">
        <v>295</v>
      </c>
      <c r="N3345" t="s">
        <v>7</v>
      </c>
      <c r="O3345" t="s">
        <v>297</v>
      </c>
    </row>
    <row r="3346" spans="1:15" x14ac:dyDescent="0.3">
      <c r="A3346" t="s">
        <v>5124</v>
      </c>
      <c r="B3346" t="s">
        <v>5269</v>
      </c>
      <c r="C3346">
        <v>2024</v>
      </c>
      <c r="D3346" t="s">
        <v>272</v>
      </c>
      <c r="E3346" t="s">
        <v>1092</v>
      </c>
      <c r="F3346" t="s">
        <v>5272</v>
      </c>
      <c r="G3346" t="s">
        <v>292</v>
      </c>
      <c r="H3346">
        <v>60</v>
      </c>
      <c r="I3346" t="s">
        <v>5273</v>
      </c>
      <c r="J3346" t="s">
        <v>294</v>
      </c>
      <c r="M3346" t="s">
        <v>295</v>
      </c>
      <c r="N3346" t="s">
        <v>7</v>
      </c>
      <c r="O3346" t="s">
        <v>297</v>
      </c>
    </row>
    <row r="3347" spans="1:15" x14ac:dyDescent="0.3">
      <c r="A3347" t="s">
        <v>5124</v>
      </c>
      <c r="B3347" t="s">
        <v>5269</v>
      </c>
      <c r="C3347">
        <v>2024</v>
      </c>
      <c r="D3347" t="s">
        <v>272</v>
      </c>
      <c r="E3347" t="s">
        <v>869</v>
      </c>
      <c r="F3347" t="s">
        <v>1628</v>
      </c>
      <c r="G3347" t="s">
        <v>666</v>
      </c>
      <c r="H3347">
        <v>61</v>
      </c>
      <c r="I3347" t="s">
        <v>5274</v>
      </c>
      <c r="J3347" t="s">
        <v>294</v>
      </c>
      <c r="M3347" t="s">
        <v>295</v>
      </c>
      <c r="N3347" t="s">
        <v>7</v>
      </c>
      <c r="O3347" t="s">
        <v>297</v>
      </c>
    </row>
    <row r="3348" spans="1:15" x14ac:dyDescent="0.3">
      <c r="A3348" t="s">
        <v>5124</v>
      </c>
      <c r="B3348" t="s">
        <v>5269</v>
      </c>
      <c r="C3348">
        <v>2024</v>
      </c>
      <c r="D3348" t="s">
        <v>272</v>
      </c>
      <c r="E3348" t="s">
        <v>442</v>
      </c>
      <c r="F3348" t="s">
        <v>5275</v>
      </c>
      <c r="G3348" t="s">
        <v>334</v>
      </c>
      <c r="H3348">
        <v>60</v>
      </c>
      <c r="I3348" t="s">
        <v>5276</v>
      </c>
      <c r="J3348" t="s">
        <v>294</v>
      </c>
      <c r="M3348" t="s">
        <v>295</v>
      </c>
      <c r="N3348" t="s">
        <v>7</v>
      </c>
      <c r="O3348" t="s">
        <v>297</v>
      </c>
    </row>
    <row r="3349" spans="1:15" x14ac:dyDescent="0.3">
      <c r="A3349" t="s">
        <v>5124</v>
      </c>
      <c r="B3349" t="s">
        <v>5269</v>
      </c>
      <c r="C3349">
        <v>2024</v>
      </c>
      <c r="D3349" t="s">
        <v>272</v>
      </c>
      <c r="E3349" t="s">
        <v>5277</v>
      </c>
      <c r="F3349">
        <v>7.7899999999999997E-2</v>
      </c>
      <c r="G3349" t="s">
        <v>334</v>
      </c>
      <c r="H3349">
        <v>60</v>
      </c>
      <c r="I3349" t="s">
        <v>5278</v>
      </c>
      <c r="J3349" t="s">
        <v>294</v>
      </c>
      <c r="M3349" t="s">
        <v>295</v>
      </c>
      <c r="N3349" t="s">
        <v>7</v>
      </c>
      <c r="O3349" t="s">
        <v>297</v>
      </c>
    </row>
    <row r="3350" spans="1:15" x14ac:dyDescent="0.3">
      <c r="A3350" t="s">
        <v>5124</v>
      </c>
      <c r="B3350" t="s">
        <v>5269</v>
      </c>
      <c r="C3350">
        <v>2024</v>
      </c>
      <c r="D3350" t="s">
        <v>272</v>
      </c>
      <c r="E3350" t="s">
        <v>445</v>
      </c>
      <c r="F3350">
        <v>0.2339</v>
      </c>
      <c r="G3350" t="s">
        <v>334</v>
      </c>
      <c r="H3350">
        <v>60</v>
      </c>
      <c r="I3350" t="s">
        <v>5279</v>
      </c>
      <c r="J3350" t="s">
        <v>294</v>
      </c>
      <c r="M3350" t="s">
        <v>295</v>
      </c>
      <c r="N3350" t="s">
        <v>7</v>
      </c>
      <c r="O3350" t="s">
        <v>297</v>
      </c>
    </row>
    <row r="3351" spans="1:15" x14ac:dyDescent="0.3">
      <c r="A3351" t="s">
        <v>5124</v>
      </c>
      <c r="B3351" t="s">
        <v>5269</v>
      </c>
      <c r="C3351">
        <v>2024</v>
      </c>
      <c r="D3351" t="s">
        <v>272</v>
      </c>
      <c r="E3351" t="s">
        <v>5280</v>
      </c>
      <c r="F3351" t="s">
        <v>5281</v>
      </c>
      <c r="G3351" t="s">
        <v>292</v>
      </c>
      <c r="H3351">
        <v>61</v>
      </c>
      <c r="I3351" t="s">
        <v>5282</v>
      </c>
      <c r="J3351" t="s">
        <v>294</v>
      </c>
      <c r="M3351" t="s">
        <v>295</v>
      </c>
      <c r="N3351" t="s">
        <v>7</v>
      </c>
      <c r="O3351" t="s">
        <v>297</v>
      </c>
    </row>
    <row r="3352" spans="1:15" x14ac:dyDescent="0.3">
      <c r="A3352" t="s">
        <v>5124</v>
      </c>
      <c r="B3352" t="s">
        <v>5269</v>
      </c>
      <c r="C3352">
        <v>2024</v>
      </c>
      <c r="D3352" t="s">
        <v>272</v>
      </c>
      <c r="E3352" t="s">
        <v>2702</v>
      </c>
      <c r="F3352">
        <v>1328</v>
      </c>
      <c r="G3352" t="s">
        <v>384</v>
      </c>
      <c r="H3352">
        <v>61</v>
      </c>
      <c r="I3352" t="s">
        <v>5283</v>
      </c>
      <c r="J3352" t="s">
        <v>294</v>
      </c>
      <c r="M3352" t="s">
        <v>295</v>
      </c>
      <c r="N3352" t="s">
        <v>7</v>
      </c>
      <c r="O3352" t="s">
        <v>297</v>
      </c>
    </row>
    <row r="3353" spans="1:15" x14ac:dyDescent="0.3">
      <c r="A3353" t="s">
        <v>5124</v>
      </c>
      <c r="B3353" t="s">
        <v>5269</v>
      </c>
      <c r="C3353">
        <v>2024</v>
      </c>
      <c r="D3353" t="s">
        <v>300</v>
      </c>
      <c r="E3353" t="s">
        <v>447</v>
      </c>
      <c r="F3353">
        <v>1006.86</v>
      </c>
      <c r="G3353" t="s">
        <v>302</v>
      </c>
      <c r="H3353">
        <v>20</v>
      </c>
      <c r="I3353" t="s">
        <v>5284</v>
      </c>
      <c r="J3353" t="s">
        <v>294</v>
      </c>
      <c r="M3353" t="s">
        <v>295</v>
      </c>
      <c r="N3353" t="s">
        <v>7</v>
      </c>
      <c r="O3353" t="s">
        <v>297</v>
      </c>
    </row>
    <row r="3354" spans="1:15" x14ac:dyDescent="0.3">
      <c r="A3354" t="s">
        <v>5124</v>
      </c>
      <c r="B3354" t="s">
        <v>5269</v>
      </c>
      <c r="C3354">
        <v>2024</v>
      </c>
      <c r="D3354" t="s">
        <v>300</v>
      </c>
      <c r="E3354" t="s">
        <v>2868</v>
      </c>
      <c r="F3354">
        <v>827.43</v>
      </c>
      <c r="G3354" t="s">
        <v>302</v>
      </c>
      <c r="H3354">
        <v>20</v>
      </c>
      <c r="I3354" t="s">
        <v>5285</v>
      </c>
      <c r="J3354" t="s">
        <v>294</v>
      </c>
      <c r="M3354" t="s">
        <v>295</v>
      </c>
      <c r="N3354" t="s">
        <v>7</v>
      </c>
      <c r="O3354" t="s">
        <v>297</v>
      </c>
    </row>
    <row r="3355" spans="1:15" x14ac:dyDescent="0.3">
      <c r="A3355" t="s">
        <v>5124</v>
      </c>
      <c r="B3355" t="s">
        <v>5269</v>
      </c>
      <c r="C3355">
        <v>2024</v>
      </c>
      <c r="D3355" t="s">
        <v>300</v>
      </c>
      <c r="E3355" t="s">
        <v>304</v>
      </c>
      <c r="F3355">
        <v>179.43</v>
      </c>
      <c r="G3355" t="s">
        <v>302</v>
      </c>
      <c r="H3355">
        <v>20</v>
      </c>
      <c r="I3355" t="s">
        <v>5286</v>
      </c>
      <c r="J3355" t="s">
        <v>294</v>
      </c>
      <c r="M3355" t="s">
        <v>295</v>
      </c>
      <c r="N3355" t="s">
        <v>7</v>
      </c>
      <c r="O3355" t="s">
        <v>297</v>
      </c>
    </row>
    <row r="3356" spans="1:15" x14ac:dyDescent="0.3">
      <c r="A3356" t="s">
        <v>5124</v>
      </c>
      <c r="B3356" t="s">
        <v>5269</v>
      </c>
      <c r="C3356">
        <v>2024</v>
      </c>
      <c r="D3356" t="s">
        <v>300</v>
      </c>
      <c r="E3356" t="s">
        <v>5141</v>
      </c>
      <c r="F3356">
        <v>73.040000000000006</v>
      </c>
      <c r="G3356" t="s">
        <v>302</v>
      </c>
      <c r="H3356">
        <v>20</v>
      </c>
      <c r="I3356" t="s">
        <v>5287</v>
      </c>
      <c r="J3356" t="s">
        <v>294</v>
      </c>
      <c r="M3356" t="s">
        <v>295</v>
      </c>
      <c r="N3356" t="s">
        <v>7</v>
      </c>
      <c r="O3356" t="s">
        <v>297</v>
      </c>
    </row>
    <row r="3357" spans="1:15" x14ac:dyDescent="0.3">
      <c r="A3357" t="s">
        <v>5124</v>
      </c>
      <c r="B3357" t="s">
        <v>5269</v>
      </c>
      <c r="C3357">
        <v>2024</v>
      </c>
      <c r="D3357" t="s">
        <v>300</v>
      </c>
      <c r="E3357" t="s">
        <v>5214</v>
      </c>
      <c r="F3357">
        <v>106.39</v>
      </c>
      <c r="G3357" t="s">
        <v>302</v>
      </c>
      <c r="H3357">
        <v>14</v>
      </c>
      <c r="I3357" t="s">
        <v>5288</v>
      </c>
      <c r="J3357" t="s">
        <v>294</v>
      </c>
      <c r="M3357" t="s">
        <v>295</v>
      </c>
      <c r="N3357" t="s">
        <v>7</v>
      </c>
      <c r="O3357" t="s">
        <v>297</v>
      </c>
    </row>
    <row r="3358" spans="1:15" x14ac:dyDescent="0.3">
      <c r="A3358" t="s">
        <v>5124</v>
      </c>
      <c r="B3358" t="s">
        <v>5269</v>
      </c>
      <c r="C3358">
        <v>2024</v>
      </c>
      <c r="D3358" t="s">
        <v>300</v>
      </c>
      <c r="E3358" t="s">
        <v>5216</v>
      </c>
      <c r="F3358">
        <v>-26.33</v>
      </c>
      <c r="G3358" t="s">
        <v>302</v>
      </c>
      <c r="H3358">
        <v>20</v>
      </c>
      <c r="I3358" t="s">
        <v>5289</v>
      </c>
      <c r="J3358" t="s">
        <v>294</v>
      </c>
      <c r="M3358" t="s">
        <v>295</v>
      </c>
      <c r="N3358" t="s">
        <v>7</v>
      </c>
      <c r="O3358" t="s">
        <v>297</v>
      </c>
    </row>
    <row r="3359" spans="1:15" x14ac:dyDescent="0.3">
      <c r="A3359" t="s">
        <v>5124</v>
      </c>
      <c r="B3359" t="s">
        <v>5269</v>
      </c>
      <c r="C3359">
        <v>2024</v>
      </c>
      <c r="D3359" t="s">
        <v>300</v>
      </c>
      <c r="E3359" t="s">
        <v>579</v>
      </c>
      <c r="F3359">
        <v>80.05</v>
      </c>
      <c r="G3359" t="s">
        <v>302</v>
      </c>
      <c r="H3359">
        <v>20</v>
      </c>
      <c r="I3359" t="s">
        <v>5290</v>
      </c>
      <c r="J3359" t="s">
        <v>294</v>
      </c>
      <c r="M3359" t="s">
        <v>295</v>
      </c>
      <c r="N3359" t="s">
        <v>7</v>
      </c>
      <c r="O3359" t="s">
        <v>297</v>
      </c>
    </row>
    <row r="3360" spans="1:15" x14ac:dyDescent="0.3">
      <c r="A3360" t="s">
        <v>5124</v>
      </c>
      <c r="B3360" t="s">
        <v>5269</v>
      </c>
      <c r="C3360">
        <v>2024</v>
      </c>
      <c r="D3360" t="s">
        <v>300</v>
      </c>
      <c r="E3360" t="s">
        <v>306</v>
      </c>
      <c r="F3360">
        <v>52.25</v>
      </c>
      <c r="G3360" t="s">
        <v>302</v>
      </c>
      <c r="H3360">
        <v>20</v>
      </c>
      <c r="I3360" t="s">
        <v>5291</v>
      </c>
      <c r="J3360" t="s">
        <v>294</v>
      </c>
      <c r="M3360" t="s">
        <v>295</v>
      </c>
      <c r="N3360" t="s">
        <v>7</v>
      </c>
      <c r="O3360" t="s">
        <v>297</v>
      </c>
    </row>
    <row r="3361" spans="1:15" x14ac:dyDescent="0.3">
      <c r="A3361" t="s">
        <v>5124</v>
      </c>
      <c r="B3361" t="s">
        <v>5269</v>
      </c>
      <c r="C3361">
        <v>2024</v>
      </c>
      <c r="D3361" t="s">
        <v>300</v>
      </c>
      <c r="E3361" t="s">
        <v>308</v>
      </c>
      <c r="F3361">
        <v>52.04</v>
      </c>
      <c r="G3361" t="s">
        <v>302</v>
      </c>
      <c r="H3361">
        <v>20</v>
      </c>
      <c r="I3361" t="s">
        <v>5292</v>
      </c>
      <c r="J3361" t="s">
        <v>294</v>
      </c>
      <c r="M3361" t="s">
        <v>295</v>
      </c>
      <c r="N3361" t="s">
        <v>7</v>
      </c>
      <c r="O3361" t="s">
        <v>297</v>
      </c>
    </row>
    <row r="3362" spans="1:15" x14ac:dyDescent="0.3">
      <c r="A3362" t="s">
        <v>5124</v>
      </c>
      <c r="B3362" t="s">
        <v>5269</v>
      </c>
      <c r="C3362">
        <v>2024</v>
      </c>
      <c r="D3362" t="s">
        <v>300</v>
      </c>
      <c r="E3362" t="s">
        <v>316</v>
      </c>
      <c r="F3362">
        <v>1518.44</v>
      </c>
      <c r="G3362" t="s">
        <v>302</v>
      </c>
      <c r="H3362">
        <v>14</v>
      </c>
      <c r="I3362" t="s">
        <v>5293</v>
      </c>
      <c r="J3362" t="s">
        <v>294</v>
      </c>
      <c r="M3362" t="s">
        <v>295</v>
      </c>
      <c r="N3362" t="s">
        <v>7</v>
      </c>
      <c r="O3362" t="s">
        <v>297</v>
      </c>
    </row>
    <row r="3363" spans="1:15" x14ac:dyDescent="0.3">
      <c r="A3363" t="s">
        <v>5124</v>
      </c>
      <c r="B3363" t="s">
        <v>5269</v>
      </c>
      <c r="C3363">
        <v>2024</v>
      </c>
      <c r="D3363" t="s">
        <v>300</v>
      </c>
      <c r="E3363" t="s">
        <v>312</v>
      </c>
      <c r="F3363">
        <v>668.76</v>
      </c>
      <c r="G3363" t="s">
        <v>302</v>
      </c>
      <c r="H3363">
        <v>20</v>
      </c>
      <c r="I3363" t="s">
        <v>5294</v>
      </c>
      <c r="J3363" t="s">
        <v>294</v>
      </c>
      <c r="M3363" t="s">
        <v>295</v>
      </c>
      <c r="N3363" t="s">
        <v>7</v>
      </c>
      <c r="O3363" t="s">
        <v>297</v>
      </c>
    </row>
    <row r="3364" spans="1:15" x14ac:dyDescent="0.3">
      <c r="A3364" t="s">
        <v>5124</v>
      </c>
      <c r="B3364" t="s">
        <v>5269</v>
      </c>
      <c r="C3364">
        <v>2024</v>
      </c>
      <c r="D3364" t="s">
        <v>300</v>
      </c>
      <c r="E3364" t="s">
        <v>314</v>
      </c>
      <c r="F3364">
        <v>849.68</v>
      </c>
      <c r="G3364" t="s">
        <v>302</v>
      </c>
      <c r="H3364">
        <v>20</v>
      </c>
      <c r="I3364" t="s">
        <v>5295</v>
      </c>
      <c r="J3364" t="s">
        <v>294</v>
      </c>
      <c r="M3364" t="s">
        <v>295</v>
      </c>
      <c r="N3364" t="s">
        <v>7</v>
      </c>
      <c r="O3364" t="s">
        <v>297</v>
      </c>
    </row>
    <row r="3365" spans="1:15" x14ac:dyDescent="0.3">
      <c r="A3365" t="s">
        <v>5124</v>
      </c>
      <c r="B3365" t="s">
        <v>5269</v>
      </c>
      <c r="C3365">
        <v>2024</v>
      </c>
      <c r="D3365" t="s">
        <v>300</v>
      </c>
      <c r="E3365" t="s">
        <v>322</v>
      </c>
      <c r="F3365">
        <v>889.1</v>
      </c>
      <c r="G3365" t="s">
        <v>302</v>
      </c>
      <c r="H3365">
        <v>21</v>
      </c>
      <c r="I3365" t="s">
        <v>5296</v>
      </c>
      <c r="J3365" t="s">
        <v>294</v>
      </c>
      <c r="M3365" t="s">
        <v>295</v>
      </c>
      <c r="N3365" t="s">
        <v>7</v>
      </c>
      <c r="O3365" t="s">
        <v>297</v>
      </c>
    </row>
    <row r="3366" spans="1:15" x14ac:dyDescent="0.3">
      <c r="A3366" t="s">
        <v>5124</v>
      </c>
      <c r="B3366" t="s">
        <v>5269</v>
      </c>
      <c r="C3366">
        <v>2024</v>
      </c>
      <c r="D3366" t="s">
        <v>300</v>
      </c>
      <c r="E3366" t="s">
        <v>318</v>
      </c>
      <c r="F3366">
        <v>171.44</v>
      </c>
      <c r="G3366" t="s">
        <v>302</v>
      </c>
      <c r="H3366">
        <v>21</v>
      </c>
      <c r="I3366" t="s">
        <v>5297</v>
      </c>
      <c r="J3366" t="s">
        <v>294</v>
      </c>
      <c r="M3366" t="s">
        <v>295</v>
      </c>
      <c r="N3366" t="s">
        <v>7</v>
      </c>
      <c r="O3366" t="s">
        <v>297</v>
      </c>
    </row>
    <row r="3367" spans="1:15" x14ac:dyDescent="0.3">
      <c r="A3367" t="s">
        <v>5124</v>
      </c>
      <c r="B3367" t="s">
        <v>5269</v>
      </c>
      <c r="C3367">
        <v>2024</v>
      </c>
      <c r="D3367" t="s">
        <v>300</v>
      </c>
      <c r="E3367" t="s">
        <v>468</v>
      </c>
      <c r="F3367">
        <v>717.66</v>
      </c>
      <c r="G3367" t="s">
        <v>302</v>
      </c>
      <c r="H3367">
        <v>21</v>
      </c>
      <c r="I3367" t="s">
        <v>5298</v>
      </c>
      <c r="J3367" t="s">
        <v>294</v>
      </c>
      <c r="M3367" t="s">
        <v>295</v>
      </c>
      <c r="N3367" t="s">
        <v>7</v>
      </c>
      <c r="O3367" t="s">
        <v>297</v>
      </c>
    </row>
    <row r="3368" spans="1:15" x14ac:dyDescent="0.3">
      <c r="A3368" t="s">
        <v>5124</v>
      </c>
      <c r="B3368" t="s">
        <v>5269</v>
      </c>
      <c r="C3368">
        <v>2024</v>
      </c>
      <c r="D3368" t="s">
        <v>300</v>
      </c>
      <c r="E3368" t="s">
        <v>324</v>
      </c>
      <c r="F3368">
        <v>629.34</v>
      </c>
      <c r="G3368" t="s">
        <v>302</v>
      </c>
      <c r="H3368">
        <v>14</v>
      </c>
      <c r="I3368" t="s">
        <v>5299</v>
      </c>
      <c r="J3368" t="s">
        <v>294</v>
      </c>
      <c r="M3368" t="s">
        <v>295</v>
      </c>
      <c r="N3368" t="s">
        <v>7</v>
      </c>
      <c r="O3368" t="s">
        <v>297</v>
      </c>
    </row>
    <row r="3369" spans="1:15" x14ac:dyDescent="0.3">
      <c r="A3369" t="s">
        <v>5124</v>
      </c>
      <c r="B3369" t="s">
        <v>5269</v>
      </c>
      <c r="C3369">
        <v>2024</v>
      </c>
      <c r="D3369" t="s">
        <v>300</v>
      </c>
      <c r="E3369" t="s">
        <v>5228</v>
      </c>
      <c r="F3369">
        <v>627.64</v>
      </c>
      <c r="G3369" t="s">
        <v>302</v>
      </c>
      <c r="H3369">
        <v>21</v>
      </c>
      <c r="I3369" t="s">
        <v>5300</v>
      </c>
      <c r="J3369" t="s">
        <v>294</v>
      </c>
      <c r="M3369" t="s">
        <v>295</v>
      </c>
      <c r="N3369" t="s">
        <v>7</v>
      </c>
      <c r="O3369" t="s">
        <v>297</v>
      </c>
    </row>
    <row r="3370" spans="1:15" x14ac:dyDescent="0.3">
      <c r="A3370" t="s">
        <v>5124</v>
      </c>
      <c r="B3370" t="s">
        <v>5269</v>
      </c>
      <c r="C3370">
        <v>2024</v>
      </c>
      <c r="D3370" t="s">
        <v>300</v>
      </c>
      <c r="E3370" t="s">
        <v>5154</v>
      </c>
      <c r="F3370">
        <v>164.52</v>
      </c>
      <c r="G3370" t="s">
        <v>302</v>
      </c>
      <c r="H3370">
        <v>210</v>
      </c>
      <c r="I3370" t="s">
        <v>5301</v>
      </c>
      <c r="J3370" t="s">
        <v>294</v>
      </c>
      <c r="M3370" t="s">
        <v>295</v>
      </c>
      <c r="N3370" t="s">
        <v>7</v>
      </c>
      <c r="O3370" t="s">
        <v>297</v>
      </c>
    </row>
    <row r="3371" spans="1:15" x14ac:dyDescent="0.3">
      <c r="A3371" t="s">
        <v>5124</v>
      </c>
      <c r="B3371" t="s">
        <v>5269</v>
      </c>
      <c r="C3371">
        <v>2024</v>
      </c>
      <c r="D3371" t="s">
        <v>300</v>
      </c>
      <c r="E3371" t="s">
        <v>595</v>
      </c>
      <c r="F3371">
        <v>20</v>
      </c>
      <c r="G3371" t="s">
        <v>302</v>
      </c>
      <c r="H3371">
        <v>194</v>
      </c>
      <c r="I3371" t="s">
        <v>5302</v>
      </c>
      <c r="J3371" t="s">
        <v>294</v>
      </c>
      <c r="M3371" t="s">
        <v>295</v>
      </c>
      <c r="N3371" t="s">
        <v>7</v>
      </c>
      <c r="O3371" t="s">
        <v>297</v>
      </c>
    </row>
    <row r="3372" spans="1:15" x14ac:dyDescent="0.3">
      <c r="A3372" t="s">
        <v>5124</v>
      </c>
      <c r="B3372" t="s">
        <v>5269</v>
      </c>
      <c r="C3372">
        <v>2024</v>
      </c>
      <c r="D3372" t="s">
        <v>300</v>
      </c>
      <c r="E3372" t="s">
        <v>5303</v>
      </c>
      <c r="F3372">
        <v>68.930000000000007</v>
      </c>
      <c r="G3372" t="s">
        <v>302</v>
      </c>
      <c r="H3372">
        <v>195</v>
      </c>
      <c r="I3372" t="s">
        <v>5304</v>
      </c>
      <c r="J3372" t="s">
        <v>294</v>
      </c>
      <c r="M3372" t="s">
        <v>295</v>
      </c>
      <c r="N3372" t="s">
        <v>7</v>
      </c>
      <c r="O3372" t="s">
        <v>297</v>
      </c>
    </row>
    <row r="3373" spans="1:15" x14ac:dyDescent="0.3">
      <c r="A3373" t="s">
        <v>5124</v>
      </c>
      <c r="B3373" t="s">
        <v>5269</v>
      </c>
      <c r="C3373">
        <v>2024</v>
      </c>
      <c r="D3373" t="s">
        <v>300</v>
      </c>
      <c r="E3373" t="s">
        <v>5305</v>
      </c>
      <c r="F3373">
        <v>709.79</v>
      </c>
      <c r="G3373" t="s">
        <v>302</v>
      </c>
      <c r="H3373">
        <v>195</v>
      </c>
      <c r="I3373" t="s">
        <v>5306</v>
      </c>
      <c r="J3373" t="s">
        <v>294</v>
      </c>
      <c r="M3373" t="s">
        <v>295</v>
      </c>
      <c r="N3373" t="s">
        <v>7</v>
      </c>
      <c r="O3373" t="s">
        <v>297</v>
      </c>
    </row>
    <row r="3374" spans="1:15" x14ac:dyDescent="0.3">
      <c r="A3374" t="s">
        <v>5124</v>
      </c>
      <c r="B3374" t="s">
        <v>5269</v>
      </c>
      <c r="C3374">
        <v>2024</v>
      </c>
      <c r="D3374" t="s">
        <v>300</v>
      </c>
      <c r="E3374" t="s">
        <v>2911</v>
      </c>
      <c r="F3374">
        <v>798.72</v>
      </c>
      <c r="G3374" t="s">
        <v>302</v>
      </c>
      <c r="H3374">
        <v>195</v>
      </c>
      <c r="I3374" t="s">
        <v>5307</v>
      </c>
      <c r="J3374" t="s">
        <v>294</v>
      </c>
      <c r="M3374" t="s">
        <v>295</v>
      </c>
      <c r="N3374" t="s">
        <v>7</v>
      </c>
      <c r="O3374" t="s">
        <v>297</v>
      </c>
    </row>
    <row r="3375" spans="1:15" x14ac:dyDescent="0.3">
      <c r="A3375" t="s">
        <v>5124</v>
      </c>
      <c r="B3375" t="s">
        <v>5269</v>
      </c>
      <c r="C3375">
        <v>2024</v>
      </c>
      <c r="D3375" t="s">
        <v>300</v>
      </c>
      <c r="E3375" t="s">
        <v>601</v>
      </c>
      <c r="F3375">
        <v>114.33</v>
      </c>
      <c r="G3375" t="s">
        <v>302</v>
      </c>
      <c r="H3375">
        <v>209</v>
      </c>
      <c r="I3375" t="s">
        <v>5308</v>
      </c>
      <c r="J3375" t="s">
        <v>294</v>
      </c>
      <c r="M3375" t="s">
        <v>295</v>
      </c>
      <c r="N3375" t="s">
        <v>7</v>
      </c>
      <c r="O3375" t="s">
        <v>297</v>
      </c>
    </row>
    <row r="3376" spans="1:15" x14ac:dyDescent="0.3">
      <c r="A3376" t="s">
        <v>5124</v>
      </c>
      <c r="B3376" t="s">
        <v>5269</v>
      </c>
      <c r="C3376">
        <v>2024</v>
      </c>
      <c r="D3376" t="s">
        <v>300</v>
      </c>
      <c r="E3376" t="s">
        <v>603</v>
      </c>
      <c r="F3376">
        <v>-257.62</v>
      </c>
      <c r="G3376" t="s">
        <v>302</v>
      </c>
      <c r="H3376">
        <v>209</v>
      </c>
      <c r="I3376" t="s">
        <v>5309</v>
      </c>
      <c r="J3376" t="s">
        <v>294</v>
      </c>
      <c r="M3376" t="s">
        <v>295</v>
      </c>
      <c r="N3376" t="s">
        <v>7</v>
      </c>
      <c r="O3376" t="s">
        <v>297</v>
      </c>
    </row>
    <row r="3377" spans="1:15" x14ac:dyDescent="0.3">
      <c r="A3377" t="s">
        <v>5124</v>
      </c>
      <c r="B3377" t="s">
        <v>5269</v>
      </c>
      <c r="C3377">
        <v>2024</v>
      </c>
      <c r="D3377" t="s">
        <v>300</v>
      </c>
      <c r="E3377" t="s">
        <v>716</v>
      </c>
      <c r="F3377">
        <v>119.56</v>
      </c>
      <c r="G3377" t="s">
        <v>302</v>
      </c>
      <c r="H3377">
        <v>209</v>
      </c>
      <c r="I3377" t="s">
        <v>5310</v>
      </c>
      <c r="J3377" t="s">
        <v>294</v>
      </c>
      <c r="M3377" t="s">
        <v>295</v>
      </c>
      <c r="N3377" t="s">
        <v>7</v>
      </c>
      <c r="O3377" t="s">
        <v>297</v>
      </c>
    </row>
    <row r="3378" spans="1:15" x14ac:dyDescent="0.3">
      <c r="A3378" t="s">
        <v>5124</v>
      </c>
      <c r="B3378" t="s">
        <v>5269</v>
      </c>
      <c r="C3378">
        <v>2024</v>
      </c>
      <c r="D3378" t="s">
        <v>300</v>
      </c>
      <c r="E3378" t="s">
        <v>5311</v>
      </c>
      <c r="F3378">
        <v>70.819999999999993</v>
      </c>
      <c r="G3378" t="s">
        <v>302</v>
      </c>
      <c r="H3378">
        <v>221</v>
      </c>
      <c r="I3378" t="s">
        <v>5312</v>
      </c>
      <c r="J3378" t="s">
        <v>294</v>
      </c>
      <c r="M3378" t="s">
        <v>295</v>
      </c>
      <c r="N3378" t="s">
        <v>7</v>
      </c>
      <c r="O3378" t="s">
        <v>297</v>
      </c>
    </row>
    <row r="3379" spans="1:15" x14ac:dyDescent="0.3">
      <c r="A3379" t="s">
        <v>5124</v>
      </c>
      <c r="B3379" t="s">
        <v>5269</v>
      </c>
      <c r="C3379">
        <v>2024</v>
      </c>
      <c r="D3379" t="s">
        <v>300</v>
      </c>
      <c r="E3379" t="s">
        <v>2658</v>
      </c>
      <c r="F3379">
        <v>4.33</v>
      </c>
      <c r="G3379" t="s">
        <v>346</v>
      </c>
      <c r="H3379">
        <v>20</v>
      </c>
      <c r="I3379" t="s">
        <v>5313</v>
      </c>
      <c r="J3379" t="s">
        <v>294</v>
      </c>
      <c r="M3379" t="s">
        <v>295</v>
      </c>
      <c r="N3379" t="s">
        <v>7</v>
      </c>
      <c r="O3379" t="s">
        <v>297</v>
      </c>
    </row>
    <row r="3380" spans="1:15" x14ac:dyDescent="0.3">
      <c r="A3380" t="s">
        <v>5124</v>
      </c>
      <c r="B3380" t="s">
        <v>5269</v>
      </c>
      <c r="C3380">
        <v>2024</v>
      </c>
      <c r="D3380" t="s">
        <v>300</v>
      </c>
      <c r="E3380" t="s">
        <v>5314</v>
      </c>
      <c r="F3380">
        <v>12052397422</v>
      </c>
      <c r="G3380" t="s">
        <v>1633</v>
      </c>
      <c r="H3380">
        <v>23</v>
      </c>
      <c r="I3380" t="s">
        <v>5315</v>
      </c>
      <c r="J3380" t="s">
        <v>294</v>
      </c>
      <c r="M3380" t="s">
        <v>295</v>
      </c>
      <c r="N3380" t="s">
        <v>7</v>
      </c>
      <c r="O3380" t="s">
        <v>297</v>
      </c>
    </row>
    <row r="3381" spans="1:15" x14ac:dyDescent="0.3">
      <c r="A3381" t="s">
        <v>5124</v>
      </c>
      <c r="B3381" t="s">
        <v>5269</v>
      </c>
      <c r="C3381">
        <v>2024</v>
      </c>
      <c r="D3381" t="s">
        <v>300</v>
      </c>
      <c r="E3381" t="s">
        <v>5316</v>
      </c>
      <c r="F3381">
        <v>120</v>
      </c>
      <c r="G3381" t="s">
        <v>346</v>
      </c>
      <c r="H3381">
        <v>23</v>
      </c>
      <c r="I3381" t="s">
        <v>5317</v>
      </c>
      <c r="J3381" t="s">
        <v>294</v>
      </c>
      <c r="M3381" t="s">
        <v>295</v>
      </c>
      <c r="N3381" t="s">
        <v>7</v>
      </c>
      <c r="O3381" t="s">
        <v>297</v>
      </c>
    </row>
    <row r="3382" spans="1:15" x14ac:dyDescent="0.3">
      <c r="A3382" t="s">
        <v>5124</v>
      </c>
      <c r="B3382" t="s">
        <v>5269</v>
      </c>
      <c r="C3382">
        <v>2024</v>
      </c>
      <c r="D3382" t="s">
        <v>300</v>
      </c>
      <c r="E3382" t="s">
        <v>725</v>
      </c>
      <c r="F3382">
        <v>1446.29</v>
      </c>
      <c r="G3382" t="s">
        <v>302</v>
      </c>
      <c r="H3382">
        <v>23</v>
      </c>
      <c r="I3382" t="s">
        <v>5318</v>
      </c>
      <c r="J3382" t="s">
        <v>294</v>
      </c>
      <c r="M3382" t="s">
        <v>295</v>
      </c>
      <c r="N3382" t="s">
        <v>7</v>
      </c>
      <c r="O3382" t="s">
        <v>297</v>
      </c>
    </row>
    <row r="3383" spans="1:15" x14ac:dyDescent="0.3">
      <c r="A3383" t="s">
        <v>5124</v>
      </c>
      <c r="B3383" t="s">
        <v>5269</v>
      </c>
      <c r="C3383">
        <v>2024</v>
      </c>
      <c r="D3383" t="s">
        <v>300</v>
      </c>
      <c r="E3383" t="s">
        <v>5319</v>
      </c>
      <c r="F3383">
        <v>12</v>
      </c>
      <c r="G3383" t="s">
        <v>302</v>
      </c>
      <c r="H3383">
        <v>246</v>
      </c>
      <c r="I3383" t="s">
        <v>5320</v>
      </c>
      <c r="J3383" t="s">
        <v>294</v>
      </c>
      <c r="M3383" t="s">
        <v>295</v>
      </c>
      <c r="N3383" t="s">
        <v>7</v>
      </c>
      <c r="O3383" t="s">
        <v>297</v>
      </c>
    </row>
    <row r="3384" spans="1:15" x14ac:dyDescent="0.3">
      <c r="A3384" t="s">
        <v>5124</v>
      </c>
      <c r="B3384" t="s">
        <v>5269</v>
      </c>
      <c r="C3384">
        <v>2024</v>
      </c>
      <c r="D3384" t="s">
        <v>300</v>
      </c>
      <c r="E3384" t="s">
        <v>326</v>
      </c>
      <c r="F3384">
        <v>390.08</v>
      </c>
      <c r="G3384" t="s">
        <v>334</v>
      </c>
      <c r="H3384">
        <v>21</v>
      </c>
      <c r="I3384" t="s">
        <v>5321</v>
      </c>
      <c r="J3384" t="s">
        <v>294</v>
      </c>
      <c r="M3384" t="s">
        <v>295</v>
      </c>
      <c r="N3384" t="s">
        <v>7</v>
      </c>
      <c r="O3384" t="s">
        <v>297</v>
      </c>
    </row>
    <row r="3385" spans="1:15" x14ac:dyDescent="0.3">
      <c r="A3385" t="s">
        <v>5124</v>
      </c>
      <c r="B3385" t="s">
        <v>5269</v>
      </c>
      <c r="C3385">
        <v>2024</v>
      </c>
      <c r="D3385" t="s">
        <v>300</v>
      </c>
      <c r="E3385" t="s">
        <v>842</v>
      </c>
      <c r="F3385">
        <v>141.28</v>
      </c>
      <c r="G3385" t="s">
        <v>334</v>
      </c>
      <c r="H3385">
        <v>21</v>
      </c>
      <c r="I3385" t="s">
        <v>5322</v>
      </c>
      <c r="J3385" t="s">
        <v>294</v>
      </c>
      <c r="M3385" t="s">
        <v>295</v>
      </c>
      <c r="N3385" t="s">
        <v>7</v>
      </c>
      <c r="O3385" t="s">
        <v>297</v>
      </c>
    </row>
    <row r="3386" spans="1:15" x14ac:dyDescent="0.3">
      <c r="A3386" t="s">
        <v>5124</v>
      </c>
      <c r="B3386" t="s">
        <v>5269</v>
      </c>
      <c r="C3386">
        <v>2024</v>
      </c>
      <c r="D3386" t="s">
        <v>300</v>
      </c>
      <c r="E3386" t="s">
        <v>333</v>
      </c>
      <c r="F3386">
        <v>3.45</v>
      </c>
      <c r="G3386" t="s">
        <v>334</v>
      </c>
      <c r="H3386">
        <v>21</v>
      </c>
      <c r="I3386" t="s">
        <v>5323</v>
      </c>
      <c r="J3386" t="s">
        <v>294</v>
      </c>
      <c r="M3386" t="s">
        <v>295</v>
      </c>
      <c r="N3386" t="s">
        <v>7</v>
      </c>
      <c r="O3386" t="s">
        <v>297</v>
      </c>
    </row>
    <row r="3387" spans="1:15" x14ac:dyDescent="0.3">
      <c r="A3387" t="s">
        <v>5124</v>
      </c>
      <c r="B3387" t="s">
        <v>5269</v>
      </c>
      <c r="C3387">
        <v>2024</v>
      </c>
      <c r="D3387" t="s">
        <v>300</v>
      </c>
      <c r="E3387" t="s">
        <v>336</v>
      </c>
      <c r="F3387">
        <v>8.32</v>
      </c>
      <c r="G3387" t="s">
        <v>334</v>
      </c>
      <c r="H3387">
        <v>21</v>
      </c>
      <c r="I3387" t="s">
        <v>5324</v>
      </c>
      <c r="J3387" t="s">
        <v>294</v>
      </c>
      <c r="M3387" t="s">
        <v>295</v>
      </c>
      <c r="N3387" t="s">
        <v>7</v>
      </c>
      <c r="O3387" t="s">
        <v>297</v>
      </c>
    </row>
    <row r="3388" spans="1:15" x14ac:dyDescent="0.3">
      <c r="A3388" t="s">
        <v>5124</v>
      </c>
      <c r="B3388" t="s">
        <v>5269</v>
      </c>
      <c r="C3388">
        <v>2024</v>
      </c>
      <c r="D3388" t="s">
        <v>300</v>
      </c>
      <c r="E3388" t="s">
        <v>479</v>
      </c>
      <c r="G3388" t="s">
        <v>302</v>
      </c>
      <c r="H3388">
        <v>194</v>
      </c>
      <c r="I3388" t="s">
        <v>5325</v>
      </c>
      <c r="J3388" t="s">
        <v>863</v>
      </c>
      <c r="M3388" t="s">
        <v>295</v>
      </c>
      <c r="N3388" t="s">
        <v>7</v>
      </c>
      <c r="O3388" t="s">
        <v>297</v>
      </c>
    </row>
    <row r="3389" spans="1:15" x14ac:dyDescent="0.3">
      <c r="A3389" t="s">
        <v>5124</v>
      </c>
      <c r="B3389" t="s">
        <v>5269</v>
      </c>
      <c r="C3389">
        <v>2024</v>
      </c>
      <c r="D3389" t="s">
        <v>300</v>
      </c>
      <c r="E3389" t="s">
        <v>5326</v>
      </c>
      <c r="G3389" t="s">
        <v>302</v>
      </c>
      <c r="I3389" t="s">
        <v>5327</v>
      </c>
      <c r="J3389" t="s">
        <v>863</v>
      </c>
      <c r="M3389" t="s">
        <v>295</v>
      </c>
      <c r="N3389" t="s">
        <v>7</v>
      </c>
      <c r="O3389" t="s">
        <v>297</v>
      </c>
    </row>
    <row r="3390" spans="1:15" x14ac:dyDescent="0.3">
      <c r="A3390" t="s">
        <v>5124</v>
      </c>
      <c r="B3390" t="s">
        <v>5269</v>
      </c>
      <c r="C3390">
        <v>2024</v>
      </c>
      <c r="D3390" t="s">
        <v>300</v>
      </c>
      <c r="E3390" t="s">
        <v>5175</v>
      </c>
      <c r="F3390">
        <v>899.85</v>
      </c>
      <c r="G3390" t="s">
        <v>302</v>
      </c>
      <c r="H3390">
        <v>15</v>
      </c>
      <c r="I3390" t="s">
        <v>5328</v>
      </c>
      <c r="J3390" t="s">
        <v>294</v>
      </c>
      <c r="M3390" t="s">
        <v>295</v>
      </c>
      <c r="N3390" t="s">
        <v>7</v>
      </c>
      <c r="O3390" t="s">
        <v>297</v>
      </c>
    </row>
    <row r="3391" spans="1:15" x14ac:dyDescent="0.3">
      <c r="A3391" t="s">
        <v>5124</v>
      </c>
      <c r="B3391" t="s">
        <v>5269</v>
      </c>
      <c r="C3391">
        <v>2024</v>
      </c>
      <c r="D3391" t="s">
        <v>300</v>
      </c>
      <c r="E3391" t="s">
        <v>5177</v>
      </c>
      <c r="F3391">
        <v>32.81</v>
      </c>
      <c r="G3391" t="s">
        <v>302</v>
      </c>
      <c r="H3391">
        <v>18</v>
      </c>
      <c r="I3391" t="s">
        <v>5329</v>
      </c>
      <c r="J3391" t="s">
        <v>294</v>
      </c>
      <c r="M3391" t="s">
        <v>295</v>
      </c>
      <c r="N3391" t="s">
        <v>7</v>
      </c>
      <c r="O3391" t="s">
        <v>297</v>
      </c>
    </row>
    <row r="3392" spans="1:15" x14ac:dyDescent="0.3">
      <c r="A3392" t="s">
        <v>5124</v>
      </c>
      <c r="B3392" t="s">
        <v>5269</v>
      </c>
      <c r="C3392">
        <v>2024</v>
      </c>
      <c r="D3392" t="s">
        <v>300</v>
      </c>
      <c r="E3392" t="s">
        <v>5330</v>
      </c>
      <c r="F3392">
        <v>62.95</v>
      </c>
      <c r="G3392" t="s">
        <v>302</v>
      </c>
      <c r="H3392">
        <v>18</v>
      </c>
      <c r="I3392" t="s">
        <v>5331</v>
      </c>
      <c r="J3392" t="s">
        <v>294</v>
      </c>
      <c r="M3392" t="s">
        <v>295</v>
      </c>
      <c r="N3392" t="s">
        <v>7</v>
      </c>
      <c r="O3392" t="s">
        <v>297</v>
      </c>
    </row>
    <row r="3393" spans="1:15" x14ac:dyDescent="0.3">
      <c r="A3393" t="s">
        <v>5124</v>
      </c>
      <c r="B3393" t="s">
        <v>5269</v>
      </c>
      <c r="C3393">
        <v>2024</v>
      </c>
      <c r="D3393" t="s">
        <v>358</v>
      </c>
      <c r="E3393" t="s">
        <v>5332</v>
      </c>
      <c r="F3393">
        <v>1807.94</v>
      </c>
      <c r="G3393" t="s">
        <v>360</v>
      </c>
      <c r="H3393">
        <v>63</v>
      </c>
      <c r="I3393" t="s">
        <v>5333</v>
      </c>
      <c r="J3393" t="s">
        <v>294</v>
      </c>
      <c r="M3393" t="s">
        <v>295</v>
      </c>
      <c r="N3393" t="s">
        <v>7</v>
      </c>
      <c r="O3393" t="s">
        <v>297</v>
      </c>
    </row>
    <row r="3394" spans="1:15" x14ac:dyDescent="0.3">
      <c r="A3394" t="s">
        <v>5124</v>
      </c>
      <c r="B3394" t="s">
        <v>5269</v>
      </c>
      <c r="C3394">
        <v>2024</v>
      </c>
      <c r="D3394" t="s">
        <v>358</v>
      </c>
      <c r="E3394" t="s">
        <v>5334</v>
      </c>
      <c r="F3394">
        <v>7424.11</v>
      </c>
      <c r="G3394" t="s">
        <v>360</v>
      </c>
      <c r="H3394">
        <v>463</v>
      </c>
      <c r="I3394" t="s">
        <v>5335</v>
      </c>
      <c r="J3394" t="s">
        <v>294</v>
      </c>
      <c r="M3394" t="s">
        <v>295</v>
      </c>
      <c r="N3394" t="s">
        <v>7</v>
      </c>
      <c r="O3394" t="s">
        <v>297</v>
      </c>
    </row>
    <row r="3395" spans="1:15" x14ac:dyDescent="0.3">
      <c r="A3395" t="s">
        <v>5124</v>
      </c>
      <c r="B3395" t="s">
        <v>5269</v>
      </c>
      <c r="C3395">
        <v>2024</v>
      </c>
      <c r="D3395" t="s">
        <v>358</v>
      </c>
      <c r="E3395" t="s">
        <v>5181</v>
      </c>
      <c r="F3395">
        <v>12000</v>
      </c>
      <c r="G3395" t="s">
        <v>360</v>
      </c>
      <c r="H3395">
        <v>84</v>
      </c>
      <c r="I3395" t="s">
        <v>5336</v>
      </c>
      <c r="J3395" t="s">
        <v>294</v>
      </c>
      <c r="M3395" t="s">
        <v>295</v>
      </c>
      <c r="N3395" t="s">
        <v>7</v>
      </c>
      <c r="O3395" t="s">
        <v>297</v>
      </c>
    </row>
    <row r="3396" spans="1:15" x14ac:dyDescent="0.3">
      <c r="A3396" t="s">
        <v>5124</v>
      </c>
      <c r="B3396" t="s">
        <v>5269</v>
      </c>
      <c r="C3396">
        <v>2024</v>
      </c>
      <c r="D3396" t="s">
        <v>358</v>
      </c>
      <c r="E3396" t="s">
        <v>5337</v>
      </c>
      <c r="F3396">
        <v>147.68</v>
      </c>
      <c r="G3396" t="s">
        <v>302</v>
      </c>
      <c r="H3396">
        <v>462</v>
      </c>
      <c r="I3396" t="s">
        <v>5338</v>
      </c>
      <c r="J3396" t="s">
        <v>294</v>
      </c>
      <c r="M3396" t="s">
        <v>295</v>
      </c>
      <c r="N3396" t="s">
        <v>7</v>
      </c>
      <c r="O3396" t="s">
        <v>297</v>
      </c>
    </row>
    <row r="3397" spans="1:15" x14ac:dyDescent="0.3">
      <c r="A3397" t="s">
        <v>5124</v>
      </c>
      <c r="B3397" t="s">
        <v>5269</v>
      </c>
      <c r="C3397">
        <v>2024</v>
      </c>
      <c r="D3397" t="s">
        <v>358</v>
      </c>
      <c r="E3397" t="s">
        <v>5339</v>
      </c>
      <c r="F3397">
        <v>25.36</v>
      </c>
      <c r="G3397" t="s">
        <v>302</v>
      </c>
      <c r="H3397">
        <v>462</v>
      </c>
      <c r="I3397" t="s">
        <v>5340</v>
      </c>
      <c r="J3397" t="s">
        <v>294</v>
      </c>
      <c r="M3397" t="s">
        <v>295</v>
      </c>
      <c r="N3397" t="s">
        <v>7</v>
      </c>
      <c r="O3397" t="s">
        <v>297</v>
      </c>
    </row>
    <row r="3398" spans="1:15" x14ac:dyDescent="0.3">
      <c r="A3398" t="s">
        <v>5124</v>
      </c>
      <c r="B3398" t="s">
        <v>5269</v>
      </c>
      <c r="C3398">
        <v>2024</v>
      </c>
      <c r="D3398" t="s">
        <v>358</v>
      </c>
      <c r="E3398" t="s">
        <v>5341</v>
      </c>
      <c r="F3398">
        <v>776.86</v>
      </c>
      <c r="G3398" t="s">
        <v>302</v>
      </c>
      <c r="H3398">
        <v>194</v>
      </c>
      <c r="I3398" t="s">
        <v>5342</v>
      </c>
      <c r="J3398" t="s">
        <v>294</v>
      </c>
      <c r="M3398" t="s">
        <v>295</v>
      </c>
      <c r="N3398" t="s">
        <v>7</v>
      </c>
      <c r="O3398" t="s">
        <v>297</v>
      </c>
    </row>
    <row r="3399" spans="1:15" x14ac:dyDescent="0.3">
      <c r="A3399" t="s">
        <v>5124</v>
      </c>
      <c r="B3399" t="s">
        <v>5269</v>
      </c>
      <c r="C3399">
        <v>2024</v>
      </c>
      <c r="D3399" t="s">
        <v>358</v>
      </c>
      <c r="E3399" t="s">
        <v>4437</v>
      </c>
      <c r="F3399">
        <v>2</v>
      </c>
      <c r="G3399" t="s">
        <v>384</v>
      </c>
      <c r="H3399">
        <v>84</v>
      </c>
      <c r="I3399" t="s">
        <v>5343</v>
      </c>
      <c r="J3399" t="s">
        <v>294</v>
      </c>
      <c r="M3399" t="s">
        <v>295</v>
      </c>
      <c r="N3399" t="s">
        <v>7</v>
      </c>
      <c r="O3399" t="s">
        <v>297</v>
      </c>
    </row>
    <row r="3400" spans="1:15" x14ac:dyDescent="0.3">
      <c r="A3400" t="s">
        <v>5124</v>
      </c>
      <c r="B3400" t="s">
        <v>5269</v>
      </c>
      <c r="C3400">
        <v>2024</v>
      </c>
      <c r="D3400" t="s">
        <v>358</v>
      </c>
      <c r="E3400" t="s">
        <v>797</v>
      </c>
      <c r="F3400">
        <v>30</v>
      </c>
      <c r="G3400" t="s">
        <v>738</v>
      </c>
      <c r="H3400">
        <v>82</v>
      </c>
      <c r="I3400" t="s">
        <v>5180</v>
      </c>
      <c r="J3400" t="s">
        <v>294</v>
      </c>
      <c r="M3400" t="s">
        <v>295</v>
      </c>
      <c r="N3400" t="s">
        <v>7</v>
      </c>
      <c r="O3400" t="s">
        <v>297</v>
      </c>
    </row>
    <row r="3401" spans="1:15" x14ac:dyDescent="0.3">
      <c r="A3401" t="s">
        <v>5124</v>
      </c>
      <c r="B3401" t="s">
        <v>5269</v>
      </c>
      <c r="C3401">
        <v>2024</v>
      </c>
      <c r="D3401" t="s">
        <v>358</v>
      </c>
      <c r="E3401" t="s">
        <v>5344</v>
      </c>
      <c r="F3401">
        <v>60</v>
      </c>
      <c r="G3401" t="s">
        <v>5345</v>
      </c>
      <c r="H3401">
        <v>21</v>
      </c>
      <c r="I3401" t="s">
        <v>5346</v>
      </c>
      <c r="J3401" t="s">
        <v>294</v>
      </c>
      <c r="M3401" t="s">
        <v>295</v>
      </c>
      <c r="N3401" t="s">
        <v>7</v>
      </c>
      <c r="O3401" t="s">
        <v>297</v>
      </c>
    </row>
    <row r="3402" spans="1:15" x14ac:dyDescent="0.3">
      <c r="A3402" t="s">
        <v>5124</v>
      </c>
      <c r="B3402" t="s">
        <v>5269</v>
      </c>
      <c r="C3402">
        <v>2024</v>
      </c>
      <c r="D3402" t="s">
        <v>358</v>
      </c>
      <c r="E3402" t="s">
        <v>5347</v>
      </c>
      <c r="F3402">
        <v>2</v>
      </c>
      <c r="G3402" t="s">
        <v>384</v>
      </c>
      <c r="H3402">
        <v>84</v>
      </c>
      <c r="I3402" t="s">
        <v>5348</v>
      </c>
      <c r="J3402" t="s">
        <v>294</v>
      </c>
      <c r="M3402" t="s">
        <v>295</v>
      </c>
      <c r="N3402" t="s">
        <v>7</v>
      </c>
      <c r="O3402" t="s">
        <v>297</v>
      </c>
    </row>
    <row r="3403" spans="1:15" x14ac:dyDescent="0.3">
      <c r="A3403" t="s">
        <v>5124</v>
      </c>
      <c r="B3403" t="s">
        <v>5269</v>
      </c>
      <c r="C3403">
        <v>2024</v>
      </c>
      <c r="D3403" t="s">
        <v>358</v>
      </c>
      <c r="E3403" t="s">
        <v>5349</v>
      </c>
      <c r="F3403">
        <v>10</v>
      </c>
      <c r="G3403" t="s">
        <v>738</v>
      </c>
      <c r="H3403">
        <v>32</v>
      </c>
      <c r="I3403" t="s">
        <v>5350</v>
      </c>
      <c r="J3403" t="s">
        <v>456</v>
      </c>
      <c r="M3403" t="s">
        <v>295</v>
      </c>
      <c r="N3403" t="s">
        <v>7</v>
      </c>
      <c r="O3403" t="s">
        <v>297</v>
      </c>
    </row>
    <row r="3404" spans="1:15" x14ac:dyDescent="0.3">
      <c r="A3404" t="s">
        <v>5124</v>
      </c>
      <c r="B3404" t="s">
        <v>5269</v>
      </c>
      <c r="C3404">
        <v>2024</v>
      </c>
      <c r="D3404" t="s">
        <v>394</v>
      </c>
      <c r="E3404" t="s">
        <v>5185</v>
      </c>
      <c r="F3404">
        <v>100830</v>
      </c>
      <c r="G3404" t="s">
        <v>396</v>
      </c>
      <c r="H3404">
        <v>19</v>
      </c>
      <c r="I3404" t="s">
        <v>5351</v>
      </c>
      <c r="J3404" t="s">
        <v>294</v>
      </c>
      <c r="M3404" t="s">
        <v>295</v>
      </c>
      <c r="N3404" t="s">
        <v>7</v>
      </c>
      <c r="O3404" t="s">
        <v>297</v>
      </c>
    </row>
    <row r="3405" spans="1:15" x14ac:dyDescent="0.3">
      <c r="A3405" t="s">
        <v>5124</v>
      </c>
      <c r="B3405" t="s">
        <v>5269</v>
      </c>
      <c r="C3405">
        <v>2024</v>
      </c>
      <c r="D3405" t="s">
        <v>394</v>
      </c>
      <c r="E3405" t="s">
        <v>5252</v>
      </c>
      <c r="F3405">
        <v>217660</v>
      </c>
      <c r="G3405" t="s">
        <v>396</v>
      </c>
      <c r="H3405">
        <v>19</v>
      </c>
      <c r="I3405" t="s">
        <v>5352</v>
      </c>
      <c r="J3405" t="s">
        <v>294</v>
      </c>
      <c r="M3405" t="s">
        <v>295</v>
      </c>
      <c r="N3405" t="s">
        <v>7</v>
      </c>
      <c r="O3405" t="s">
        <v>297</v>
      </c>
    </row>
    <row r="3406" spans="1:15" x14ac:dyDescent="0.3">
      <c r="A3406" t="s">
        <v>5124</v>
      </c>
      <c r="B3406" t="s">
        <v>5269</v>
      </c>
      <c r="C3406">
        <v>2024</v>
      </c>
      <c r="D3406" t="s">
        <v>394</v>
      </c>
      <c r="E3406" t="s">
        <v>402</v>
      </c>
      <c r="F3406">
        <v>318717</v>
      </c>
      <c r="G3406" t="s">
        <v>396</v>
      </c>
      <c r="H3406">
        <v>19</v>
      </c>
      <c r="I3406" t="s">
        <v>5353</v>
      </c>
      <c r="J3406" t="s">
        <v>294</v>
      </c>
      <c r="M3406" t="s">
        <v>295</v>
      </c>
      <c r="N3406" t="s">
        <v>7</v>
      </c>
      <c r="O3406" t="s">
        <v>297</v>
      </c>
    </row>
    <row r="3407" spans="1:15" x14ac:dyDescent="0.3">
      <c r="A3407" t="s">
        <v>5124</v>
      </c>
      <c r="B3407" t="s">
        <v>5269</v>
      </c>
      <c r="C3407">
        <v>2024</v>
      </c>
      <c r="D3407" t="s">
        <v>394</v>
      </c>
      <c r="E3407" t="s">
        <v>406</v>
      </c>
      <c r="F3407">
        <v>69967</v>
      </c>
      <c r="G3407" t="s">
        <v>396</v>
      </c>
      <c r="H3407">
        <v>15</v>
      </c>
      <c r="I3407" t="s">
        <v>5354</v>
      </c>
      <c r="J3407" t="s">
        <v>294</v>
      </c>
      <c r="M3407" t="s">
        <v>295</v>
      </c>
      <c r="N3407" t="s">
        <v>7</v>
      </c>
      <c r="O3407" t="s">
        <v>297</v>
      </c>
    </row>
    <row r="3408" spans="1:15" x14ac:dyDescent="0.3">
      <c r="A3408" t="s">
        <v>5124</v>
      </c>
      <c r="B3408" t="s">
        <v>5269</v>
      </c>
      <c r="C3408">
        <v>2024</v>
      </c>
      <c r="D3408" t="s">
        <v>394</v>
      </c>
      <c r="E3408" t="s">
        <v>438</v>
      </c>
      <c r="F3408">
        <v>69675</v>
      </c>
      <c r="G3408" t="s">
        <v>396</v>
      </c>
      <c r="H3408">
        <v>19</v>
      </c>
      <c r="I3408" t="s">
        <v>5355</v>
      </c>
      <c r="J3408" t="s">
        <v>294</v>
      </c>
      <c r="M3408" t="s">
        <v>295</v>
      </c>
      <c r="N3408" t="s">
        <v>7</v>
      </c>
      <c r="O3408" t="s">
        <v>297</v>
      </c>
    </row>
    <row r="3409" spans="1:15" x14ac:dyDescent="0.3">
      <c r="A3409" t="s">
        <v>5124</v>
      </c>
      <c r="B3409" t="s">
        <v>5269</v>
      </c>
      <c r="C3409">
        <v>2024</v>
      </c>
      <c r="D3409" t="s">
        <v>394</v>
      </c>
      <c r="E3409" t="s">
        <v>855</v>
      </c>
      <c r="F3409">
        <v>13667</v>
      </c>
      <c r="G3409" t="s">
        <v>396</v>
      </c>
      <c r="H3409">
        <v>19</v>
      </c>
      <c r="I3409" t="s">
        <v>5356</v>
      </c>
      <c r="J3409" t="s">
        <v>294</v>
      </c>
      <c r="M3409" t="s">
        <v>295</v>
      </c>
      <c r="N3409" t="s">
        <v>7</v>
      </c>
      <c r="O3409" t="s">
        <v>297</v>
      </c>
    </row>
    <row r="3410" spans="1:15" x14ac:dyDescent="0.3">
      <c r="A3410" t="s">
        <v>5124</v>
      </c>
      <c r="B3410" t="s">
        <v>5269</v>
      </c>
      <c r="C3410">
        <v>2024</v>
      </c>
      <c r="D3410" t="s">
        <v>394</v>
      </c>
      <c r="E3410" t="s">
        <v>4994</v>
      </c>
      <c r="F3410">
        <v>5214</v>
      </c>
      <c r="G3410" t="s">
        <v>396</v>
      </c>
      <c r="H3410">
        <v>19</v>
      </c>
      <c r="I3410" t="s">
        <v>5357</v>
      </c>
      <c r="J3410" t="s">
        <v>294</v>
      </c>
      <c r="M3410" t="s">
        <v>295</v>
      </c>
      <c r="N3410" t="s">
        <v>7</v>
      </c>
      <c r="O3410" t="s">
        <v>297</v>
      </c>
    </row>
    <row r="3411" spans="1:15" x14ac:dyDescent="0.3">
      <c r="A3411" t="s">
        <v>5124</v>
      </c>
      <c r="B3411" t="s">
        <v>5269</v>
      </c>
      <c r="C3411">
        <v>2024</v>
      </c>
      <c r="D3411" t="s">
        <v>394</v>
      </c>
      <c r="E3411" t="s">
        <v>418</v>
      </c>
      <c r="F3411">
        <v>3531</v>
      </c>
      <c r="G3411" t="s">
        <v>396</v>
      </c>
      <c r="H3411">
        <v>19</v>
      </c>
      <c r="I3411" t="s">
        <v>5358</v>
      </c>
      <c r="J3411" t="s">
        <v>294</v>
      </c>
      <c r="M3411" t="s">
        <v>295</v>
      </c>
      <c r="N3411" t="s">
        <v>7</v>
      </c>
      <c r="O3411" t="s">
        <v>297</v>
      </c>
    </row>
    <row r="3412" spans="1:15" x14ac:dyDescent="0.3">
      <c r="A3412" t="s">
        <v>5124</v>
      </c>
      <c r="B3412" t="s">
        <v>5269</v>
      </c>
      <c r="C3412">
        <v>2024</v>
      </c>
      <c r="D3412" t="s">
        <v>394</v>
      </c>
      <c r="E3412" t="s">
        <v>5359</v>
      </c>
      <c r="F3412">
        <v>3364</v>
      </c>
      <c r="G3412" t="s">
        <v>396</v>
      </c>
      <c r="H3412">
        <v>19</v>
      </c>
      <c r="I3412" t="s">
        <v>5360</v>
      </c>
      <c r="J3412" t="s">
        <v>294</v>
      </c>
      <c r="M3412" t="s">
        <v>295</v>
      </c>
      <c r="N3412" t="s">
        <v>7</v>
      </c>
      <c r="O3412" t="s">
        <v>297</v>
      </c>
    </row>
    <row r="3413" spans="1:15" x14ac:dyDescent="0.3">
      <c r="A3413" t="s">
        <v>5124</v>
      </c>
      <c r="B3413" t="s">
        <v>5269</v>
      </c>
      <c r="C3413">
        <v>2024</v>
      </c>
      <c r="D3413" t="s">
        <v>394</v>
      </c>
      <c r="E3413" t="s">
        <v>5361</v>
      </c>
      <c r="F3413">
        <v>12932</v>
      </c>
      <c r="G3413" t="s">
        <v>436</v>
      </c>
      <c r="H3413">
        <v>19</v>
      </c>
      <c r="I3413" t="s">
        <v>5362</v>
      </c>
      <c r="J3413" t="s">
        <v>294</v>
      </c>
      <c r="M3413" t="s">
        <v>295</v>
      </c>
      <c r="N3413" t="s">
        <v>7</v>
      </c>
      <c r="O3413" t="s">
        <v>297</v>
      </c>
    </row>
    <row r="3414" spans="1:15" x14ac:dyDescent="0.3">
      <c r="A3414" t="s">
        <v>5124</v>
      </c>
      <c r="B3414" t="s">
        <v>5269</v>
      </c>
      <c r="C3414">
        <v>2024</v>
      </c>
      <c r="D3414" t="s">
        <v>394</v>
      </c>
      <c r="E3414" t="s">
        <v>5363</v>
      </c>
      <c r="F3414">
        <v>6292</v>
      </c>
      <c r="G3414" t="s">
        <v>436</v>
      </c>
      <c r="H3414">
        <v>19</v>
      </c>
      <c r="I3414" t="s">
        <v>5364</v>
      </c>
      <c r="J3414" t="s">
        <v>294</v>
      </c>
      <c r="M3414" t="s">
        <v>295</v>
      </c>
      <c r="N3414" t="s">
        <v>7</v>
      </c>
      <c r="O3414" t="s">
        <v>297</v>
      </c>
    </row>
    <row r="3415" spans="1:15" x14ac:dyDescent="0.3">
      <c r="A3415" t="s">
        <v>5124</v>
      </c>
      <c r="B3415" t="s">
        <v>5269</v>
      </c>
      <c r="C3415">
        <v>2024</v>
      </c>
      <c r="D3415" t="s">
        <v>394</v>
      </c>
      <c r="E3415" t="s">
        <v>5365</v>
      </c>
      <c r="F3415">
        <v>18713</v>
      </c>
      <c r="G3415" t="s">
        <v>436</v>
      </c>
      <c r="H3415">
        <v>19</v>
      </c>
      <c r="I3415" t="s">
        <v>5366</v>
      </c>
      <c r="J3415" t="s">
        <v>294</v>
      </c>
      <c r="M3415" t="s">
        <v>295</v>
      </c>
      <c r="N3415" t="s">
        <v>7</v>
      </c>
      <c r="O3415" t="s">
        <v>297</v>
      </c>
    </row>
    <row r="3416" spans="1:15" x14ac:dyDescent="0.3">
      <c r="A3416" t="s">
        <v>5124</v>
      </c>
      <c r="B3416" t="s">
        <v>5269</v>
      </c>
      <c r="C3416">
        <v>2024</v>
      </c>
      <c r="D3416" t="s">
        <v>394</v>
      </c>
      <c r="E3416" t="s">
        <v>5367</v>
      </c>
      <c r="F3416">
        <v>0.2195</v>
      </c>
      <c r="G3416" t="s">
        <v>334</v>
      </c>
      <c r="H3416">
        <v>19</v>
      </c>
      <c r="I3416" t="s">
        <v>5368</v>
      </c>
      <c r="J3416" t="s">
        <v>456</v>
      </c>
      <c r="M3416" t="s">
        <v>295</v>
      </c>
      <c r="N3416" t="s">
        <v>7</v>
      </c>
      <c r="O3416" t="s">
        <v>297</v>
      </c>
    </row>
    <row r="3417" spans="1:15" x14ac:dyDescent="0.3">
      <c r="A3417" t="s">
        <v>5124</v>
      </c>
      <c r="B3417" t="s">
        <v>5269</v>
      </c>
      <c r="C3417">
        <v>2024</v>
      </c>
      <c r="D3417" t="s">
        <v>394</v>
      </c>
      <c r="E3417" t="s">
        <v>559</v>
      </c>
      <c r="F3417">
        <v>1</v>
      </c>
      <c r="G3417" t="s">
        <v>334</v>
      </c>
      <c r="H3417">
        <v>131</v>
      </c>
      <c r="I3417" t="s">
        <v>5369</v>
      </c>
      <c r="J3417" t="s">
        <v>294</v>
      </c>
      <c r="M3417" t="s">
        <v>295</v>
      </c>
      <c r="N3417" t="s">
        <v>7</v>
      </c>
      <c r="O3417" t="s">
        <v>297</v>
      </c>
    </row>
    <row r="3418" spans="1:15" x14ac:dyDescent="0.3">
      <c r="A3418" t="s">
        <v>5124</v>
      </c>
      <c r="B3418" t="s">
        <v>5269</v>
      </c>
      <c r="C3418">
        <v>2024</v>
      </c>
      <c r="D3418" t="s">
        <v>394</v>
      </c>
      <c r="E3418" t="s">
        <v>5370</v>
      </c>
      <c r="F3418">
        <v>0.41610000000000003</v>
      </c>
      <c r="G3418" t="s">
        <v>334</v>
      </c>
      <c r="H3418">
        <v>14</v>
      </c>
      <c r="I3418" t="s">
        <v>5371</v>
      </c>
      <c r="J3418" t="s">
        <v>294</v>
      </c>
      <c r="M3418" t="s">
        <v>295</v>
      </c>
      <c r="N3418" t="s">
        <v>7</v>
      </c>
      <c r="O3418" t="s">
        <v>297</v>
      </c>
    </row>
    <row r="3419" spans="1:15" x14ac:dyDescent="0.3">
      <c r="A3419" t="s">
        <v>5124</v>
      </c>
      <c r="B3419" t="s">
        <v>5269</v>
      </c>
      <c r="C3419">
        <v>2024</v>
      </c>
      <c r="D3419" t="s">
        <v>563</v>
      </c>
      <c r="E3419" t="s">
        <v>5266</v>
      </c>
      <c r="F3419" t="s">
        <v>5372</v>
      </c>
      <c r="G3419" t="s">
        <v>292</v>
      </c>
      <c r="H3419">
        <v>61</v>
      </c>
      <c r="I3419" t="s">
        <v>5373</v>
      </c>
      <c r="J3419" t="s">
        <v>294</v>
      </c>
      <c r="M3419" t="s">
        <v>295</v>
      </c>
      <c r="N3419" t="s">
        <v>7</v>
      </c>
      <c r="O3419" t="s">
        <v>297</v>
      </c>
    </row>
    <row r="3420" spans="1:15" x14ac:dyDescent="0.3">
      <c r="A3420" t="s">
        <v>5374</v>
      </c>
      <c r="B3420" t="s">
        <v>5375</v>
      </c>
      <c r="C3420">
        <v>2022</v>
      </c>
      <c r="D3420" t="s">
        <v>272</v>
      </c>
      <c r="E3420" t="s">
        <v>291</v>
      </c>
      <c r="F3420" t="s">
        <v>5374</v>
      </c>
      <c r="G3420" t="s">
        <v>292</v>
      </c>
      <c r="H3420">
        <v>1</v>
      </c>
      <c r="I3420" t="s">
        <v>5374</v>
      </c>
      <c r="J3420" t="s">
        <v>294</v>
      </c>
      <c r="M3420" t="s">
        <v>295</v>
      </c>
      <c r="N3420" t="s">
        <v>7</v>
      </c>
      <c r="O3420" t="s">
        <v>297</v>
      </c>
    </row>
    <row r="3421" spans="1:15" x14ac:dyDescent="0.3">
      <c r="A3421" t="s">
        <v>5374</v>
      </c>
      <c r="B3421" t="s">
        <v>5375</v>
      </c>
      <c r="C3421">
        <v>2022</v>
      </c>
      <c r="D3421" t="s">
        <v>272</v>
      </c>
      <c r="E3421" t="s">
        <v>5376</v>
      </c>
      <c r="F3421" t="s">
        <v>5377</v>
      </c>
      <c r="G3421" t="s">
        <v>292</v>
      </c>
      <c r="H3421">
        <v>14</v>
      </c>
      <c r="I3421" t="s">
        <v>5378</v>
      </c>
      <c r="J3421" t="s">
        <v>294</v>
      </c>
      <c r="M3421" t="s">
        <v>295</v>
      </c>
      <c r="N3421" t="s">
        <v>7</v>
      </c>
      <c r="O3421" t="s">
        <v>297</v>
      </c>
    </row>
    <row r="3422" spans="1:15" x14ac:dyDescent="0.3">
      <c r="A3422" t="s">
        <v>5374</v>
      </c>
      <c r="B3422" t="s">
        <v>5375</v>
      </c>
      <c r="C3422">
        <v>2022</v>
      </c>
      <c r="D3422" t="s">
        <v>272</v>
      </c>
      <c r="E3422" t="s">
        <v>5379</v>
      </c>
      <c r="F3422">
        <v>0.59109999999999996</v>
      </c>
      <c r="G3422" t="s">
        <v>334</v>
      </c>
      <c r="H3422">
        <v>49</v>
      </c>
      <c r="I3422" t="s">
        <v>5380</v>
      </c>
      <c r="J3422" t="s">
        <v>294</v>
      </c>
      <c r="M3422" t="s">
        <v>295</v>
      </c>
      <c r="N3422" t="s">
        <v>7</v>
      </c>
      <c r="O3422" t="s">
        <v>297</v>
      </c>
    </row>
    <row r="3423" spans="1:15" x14ac:dyDescent="0.3">
      <c r="A3423" t="s">
        <v>5374</v>
      </c>
      <c r="B3423" t="s">
        <v>5375</v>
      </c>
      <c r="C3423">
        <v>2022</v>
      </c>
      <c r="D3423" t="s">
        <v>272</v>
      </c>
      <c r="E3423" t="s">
        <v>5381</v>
      </c>
      <c r="F3423">
        <v>0.17119999999999999</v>
      </c>
      <c r="G3423" t="s">
        <v>334</v>
      </c>
      <c r="H3423">
        <v>49</v>
      </c>
      <c r="I3423" t="s">
        <v>5382</v>
      </c>
      <c r="J3423" t="s">
        <v>294</v>
      </c>
      <c r="M3423" t="s">
        <v>295</v>
      </c>
      <c r="N3423" t="s">
        <v>7</v>
      </c>
      <c r="O3423" t="s">
        <v>297</v>
      </c>
    </row>
    <row r="3424" spans="1:15" x14ac:dyDescent="0.3">
      <c r="A3424" t="s">
        <v>5374</v>
      </c>
      <c r="B3424" t="s">
        <v>5375</v>
      </c>
      <c r="C3424">
        <v>2022</v>
      </c>
      <c r="D3424" t="s">
        <v>272</v>
      </c>
      <c r="E3424" t="s">
        <v>5383</v>
      </c>
      <c r="F3424">
        <v>0.1075</v>
      </c>
      <c r="G3424" t="s">
        <v>334</v>
      </c>
      <c r="H3424">
        <v>49</v>
      </c>
      <c r="I3424" t="s">
        <v>5384</v>
      </c>
      <c r="J3424" t="s">
        <v>294</v>
      </c>
      <c r="M3424" t="s">
        <v>295</v>
      </c>
      <c r="N3424" t="s">
        <v>7</v>
      </c>
      <c r="O3424" t="s">
        <v>297</v>
      </c>
    </row>
    <row r="3425" spans="1:15" x14ac:dyDescent="0.3">
      <c r="A3425" t="s">
        <v>5374</v>
      </c>
      <c r="B3425" t="s">
        <v>5375</v>
      </c>
      <c r="C3425">
        <v>2022</v>
      </c>
      <c r="D3425" t="s">
        <v>272</v>
      </c>
      <c r="E3425" t="s">
        <v>5385</v>
      </c>
      <c r="F3425" t="s">
        <v>5386</v>
      </c>
      <c r="G3425" t="s">
        <v>292</v>
      </c>
      <c r="H3425">
        <v>49</v>
      </c>
      <c r="I3425" t="s">
        <v>5387</v>
      </c>
      <c r="J3425" t="s">
        <v>294</v>
      </c>
      <c r="M3425" t="s">
        <v>295</v>
      </c>
      <c r="N3425" t="s">
        <v>7</v>
      </c>
      <c r="O3425" t="s">
        <v>297</v>
      </c>
    </row>
    <row r="3426" spans="1:15" x14ac:dyDescent="0.3">
      <c r="A3426" t="s">
        <v>5374</v>
      </c>
      <c r="B3426" t="s">
        <v>5375</v>
      </c>
      <c r="C3426">
        <v>2022</v>
      </c>
      <c r="D3426" t="s">
        <v>272</v>
      </c>
      <c r="E3426" t="s">
        <v>5388</v>
      </c>
      <c r="F3426">
        <v>145</v>
      </c>
      <c r="G3426" t="s">
        <v>384</v>
      </c>
      <c r="H3426">
        <v>65</v>
      </c>
      <c r="I3426" t="s">
        <v>5389</v>
      </c>
      <c r="J3426" t="s">
        <v>294</v>
      </c>
      <c r="M3426" t="s">
        <v>295</v>
      </c>
      <c r="N3426" t="s">
        <v>7</v>
      </c>
      <c r="O3426" t="s">
        <v>297</v>
      </c>
    </row>
    <row r="3427" spans="1:15" x14ac:dyDescent="0.3">
      <c r="A3427" t="s">
        <v>5374</v>
      </c>
      <c r="B3427" t="s">
        <v>5375</v>
      </c>
      <c r="C3427">
        <v>2022</v>
      </c>
      <c r="D3427" t="s">
        <v>272</v>
      </c>
      <c r="E3427" t="s">
        <v>5390</v>
      </c>
      <c r="F3427" t="s">
        <v>5391</v>
      </c>
      <c r="G3427" t="s">
        <v>292</v>
      </c>
      <c r="H3427">
        <v>52</v>
      </c>
      <c r="I3427" t="s">
        <v>5392</v>
      </c>
      <c r="J3427" t="s">
        <v>294</v>
      </c>
      <c r="M3427" t="s">
        <v>295</v>
      </c>
      <c r="N3427" t="s">
        <v>7</v>
      </c>
      <c r="O3427" t="s">
        <v>297</v>
      </c>
    </row>
    <row r="3428" spans="1:15" x14ac:dyDescent="0.3">
      <c r="A3428" t="s">
        <v>5374</v>
      </c>
      <c r="B3428" t="s">
        <v>5375</v>
      </c>
      <c r="C3428">
        <v>2022</v>
      </c>
      <c r="D3428" t="s">
        <v>272</v>
      </c>
      <c r="E3428" t="s">
        <v>5393</v>
      </c>
      <c r="F3428">
        <v>800</v>
      </c>
      <c r="G3428" t="s">
        <v>1106</v>
      </c>
      <c r="H3428">
        <v>52</v>
      </c>
      <c r="I3428" t="s">
        <v>5394</v>
      </c>
      <c r="J3428" t="s">
        <v>294</v>
      </c>
      <c r="M3428" t="s">
        <v>295</v>
      </c>
      <c r="N3428" t="s">
        <v>7</v>
      </c>
      <c r="O3428" t="s">
        <v>297</v>
      </c>
    </row>
    <row r="3429" spans="1:15" x14ac:dyDescent="0.3">
      <c r="A3429" t="s">
        <v>5374</v>
      </c>
      <c r="B3429" t="s">
        <v>5375</v>
      </c>
      <c r="C3429">
        <v>2022</v>
      </c>
      <c r="D3429" t="s">
        <v>300</v>
      </c>
      <c r="E3429" t="s">
        <v>3142</v>
      </c>
      <c r="F3429">
        <v>1134</v>
      </c>
      <c r="G3429" t="s">
        <v>302</v>
      </c>
      <c r="H3429">
        <v>12</v>
      </c>
      <c r="I3429" t="s">
        <v>5395</v>
      </c>
      <c r="J3429" t="s">
        <v>294</v>
      </c>
      <c r="M3429" t="s">
        <v>295</v>
      </c>
      <c r="N3429" t="s">
        <v>7</v>
      </c>
      <c r="O3429" t="s">
        <v>297</v>
      </c>
    </row>
    <row r="3430" spans="1:15" x14ac:dyDescent="0.3">
      <c r="A3430" t="s">
        <v>5374</v>
      </c>
      <c r="B3430" t="s">
        <v>5375</v>
      </c>
      <c r="C3430">
        <v>2022</v>
      </c>
      <c r="D3430" t="s">
        <v>300</v>
      </c>
      <c r="E3430" t="s">
        <v>688</v>
      </c>
      <c r="F3430">
        <v>728</v>
      </c>
      <c r="G3430" t="s">
        <v>302</v>
      </c>
      <c r="H3430">
        <v>12</v>
      </c>
      <c r="I3430" t="s">
        <v>5396</v>
      </c>
      <c r="J3430" t="s">
        <v>294</v>
      </c>
      <c r="M3430" t="s">
        <v>295</v>
      </c>
      <c r="N3430" t="s">
        <v>7</v>
      </c>
      <c r="O3430" t="s">
        <v>297</v>
      </c>
    </row>
    <row r="3431" spans="1:15" x14ac:dyDescent="0.3">
      <c r="A3431" t="s">
        <v>5374</v>
      </c>
      <c r="B3431" t="s">
        <v>5375</v>
      </c>
      <c r="C3431">
        <v>2022</v>
      </c>
      <c r="D3431" t="s">
        <v>300</v>
      </c>
      <c r="E3431" t="s">
        <v>304</v>
      </c>
      <c r="F3431">
        <v>406</v>
      </c>
      <c r="G3431" t="s">
        <v>302</v>
      </c>
      <c r="H3431">
        <v>12</v>
      </c>
      <c r="I3431" t="s">
        <v>5397</v>
      </c>
      <c r="J3431" t="s">
        <v>294</v>
      </c>
      <c r="M3431" t="s">
        <v>295</v>
      </c>
      <c r="N3431" t="s">
        <v>7</v>
      </c>
      <c r="O3431" t="s">
        <v>297</v>
      </c>
    </row>
    <row r="3432" spans="1:15" x14ac:dyDescent="0.3">
      <c r="A3432" t="s">
        <v>5374</v>
      </c>
      <c r="B3432" t="s">
        <v>5375</v>
      </c>
      <c r="C3432">
        <v>2022</v>
      </c>
      <c r="D3432" t="s">
        <v>300</v>
      </c>
      <c r="E3432" t="s">
        <v>306</v>
      </c>
      <c r="F3432">
        <v>70</v>
      </c>
      <c r="G3432" t="s">
        <v>302</v>
      </c>
      <c r="H3432">
        <v>12</v>
      </c>
      <c r="I3432" t="s">
        <v>5398</v>
      </c>
      <c r="J3432" t="s">
        <v>294</v>
      </c>
      <c r="M3432" t="s">
        <v>295</v>
      </c>
      <c r="N3432" t="s">
        <v>7</v>
      </c>
      <c r="O3432" t="s">
        <v>297</v>
      </c>
    </row>
    <row r="3433" spans="1:15" x14ac:dyDescent="0.3">
      <c r="A3433" t="s">
        <v>5374</v>
      </c>
      <c r="B3433" t="s">
        <v>5375</v>
      </c>
      <c r="C3433">
        <v>2022</v>
      </c>
      <c r="D3433" t="s">
        <v>300</v>
      </c>
      <c r="E3433" t="s">
        <v>5399</v>
      </c>
      <c r="F3433">
        <v>70</v>
      </c>
      <c r="G3433" t="s">
        <v>302</v>
      </c>
      <c r="H3433">
        <v>12</v>
      </c>
      <c r="I3433" t="s">
        <v>5400</v>
      </c>
      <c r="J3433" t="s">
        <v>294</v>
      </c>
      <c r="M3433" t="s">
        <v>295</v>
      </c>
      <c r="N3433" t="s">
        <v>7</v>
      </c>
      <c r="O3433" t="s">
        <v>297</v>
      </c>
    </row>
    <row r="3434" spans="1:15" x14ac:dyDescent="0.3">
      <c r="A3434" t="s">
        <v>5374</v>
      </c>
      <c r="B3434" t="s">
        <v>5375</v>
      </c>
      <c r="C3434">
        <v>2022</v>
      </c>
      <c r="D3434" t="s">
        <v>300</v>
      </c>
      <c r="E3434" t="s">
        <v>316</v>
      </c>
      <c r="F3434">
        <v>3035</v>
      </c>
      <c r="G3434" t="s">
        <v>302</v>
      </c>
      <c r="H3434">
        <v>12</v>
      </c>
      <c r="I3434" t="s">
        <v>5401</v>
      </c>
      <c r="J3434" t="s">
        <v>294</v>
      </c>
      <c r="M3434" t="s">
        <v>295</v>
      </c>
      <c r="N3434" t="s">
        <v>7</v>
      </c>
      <c r="O3434" t="s">
        <v>297</v>
      </c>
    </row>
    <row r="3435" spans="1:15" x14ac:dyDescent="0.3">
      <c r="A3435" t="s">
        <v>5374</v>
      </c>
      <c r="B3435" t="s">
        <v>5375</v>
      </c>
      <c r="C3435">
        <v>2022</v>
      </c>
      <c r="D3435" t="s">
        <v>300</v>
      </c>
      <c r="E3435" t="s">
        <v>312</v>
      </c>
      <c r="F3435">
        <v>331</v>
      </c>
      <c r="G3435" t="s">
        <v>302</v>
      </c>
      <c r="H3435">
        <v>12</v>
      </c>
      <c r="I3435" t="s">
        <v>5402</v>
      </c>
      <c r="J3435" t="s">
        <v>294</v>
      </c>
      <c r="M3435" t="s">
        <v>295</v>
      </c>
      <c r="N3435" t="s">
        <v>7</v>
      </c>
      <c r="O3435" t="s">
        <v>297</v>
      </c>
    </row>
    <row r="3436" spans="1:15" x14ac:dyDescent="0.3">
      <c r="A3436" t="s">
        <v>5374</v>
      </c>
      <c r="B3436" t="s">
        <v>5375</v>
      </c>
      <c r="C3436">
        <v>2022</v>
      </c>
      <c r="D3436" t="s">
        <v>300</v>
      </c>
      <c r="E3436" t="s">
        <v>314</v>
      </c>
      <c r="F3436">
        <v>2705</v>
      </c>
      <c r="G3436" t="s">
        <v>302</v>
      </c>
      <c r="H3436">
        <v>12</v>
      </c>
      <c r="I3436" t="s">
        <v>5403</v>
      </c>
      <c r="J3436" t="s">
        <v>294</v>
      </c>
      <c r="M3436" t="s">
        <v>295</v>
      </c>
      <c r="N3436" t="s">
        <v>7</v>
      </c>
      <c r="O3436" t="s">
        <v>297</v>
      </c>
    </row>
    <row r="3437" spans="1:15" x14ac:dyDescent="0.3">
      <c r="A3437" t="s">
        <v>5374</v>
      </c>
      <c r="B3437" t="s">
        <v>5375</v>
      </c>
      <c r="C3437">
        <v>2022</v>
      </c>
      <c r="D3437" t="s">
        <v>300</v>
      </c>
      <c r="E3437" t="s">
        <v>322</v>
      </c>
      <c r="F3437">
        <v>2405</v>
      </c>
      <c r="G3437" t="s">
        <v>302</v>
      </c>
      <c r="H3437">
        <v>12</v>
      </c>
      <c r="I3437" t="s">
        <v>5404</v>
      </c>
      <c r="J3437" t="s">
        <v>294</v>
      </c>
      <c r="M3437" t="s">
        <v>295</v>
      </c>
      <c r="N3437" t="s">
        <v>7</v>
      </c>
      <c r="O3437" t="s">
        <v>297</v>
      </c>
    </row>
    <row r="3438" spans="1:15" x14ac:dyDescent="0.3">
      <c r="A3438" t="s">
        <v>5374</v>
      </c>
      <c r="B3438" t="s">
        <v>5375</v>
      </c>
      <c r="C3438">
        <v>2022</v>
      </c>
      <c r="D3438" t="s">
        <v>300</v>
      </c>
      <c r="E3438" t="s">
        <v>318</v>
      </c>
      <c r="F3438">
        <v>337</v>
      </c>
      <c r="G3438" t="s">
        <v>302</v>
      </c>
      <c r="H3438">
        <v>12</v>
      </c>
      <c r="I3438" t="s">
        <v>5405</v>
      </c>
      <c r="J3438" t="s">
        <v>294</v>
      </c>
      <c r="M3438" t="s">
        <v>295</v>
      </c>
      <c r="N3438" t="s">
        <v>7</v>
      </c>
      <c r="O3438" t="s">
        <v>297</v>
      </c>
    </row>
    <row r="3439" spans="1:15" x14ac:dyDescent="0.3">
      <c r="A3439" t="s">
        <v>5374</v>
      </c>
      <c r="B3439" t="s">
        <v>5375</v>
      </c>
      <c r="C3439">
        <v>2022</v>
      </c>
      <c r="D3439" t="s">
        <v>300</v>
      </c>
      <c r="E3439" t="s">
        <v>828</v>
      </c>
      <c r="F3439">
        <v>2068</v>
      </c>
      <c r="G3439" t="s">
        <v>302</v>
      </c>
      <c r="H3439">
        <v>12</v>
      </c>
      <c r="I3439" t="s">
        <v>5406</v>
      </c>
      <c r="J3439" t="s">
        <v>294</v>
      </c>
      <c r="M3439" t="s">
        <v>295</v>
      </c>
      <c r="N3439" t="s">
        <v>7</v>
      </c>
      <c r="O3439" t="s">
        <v>297</v>
      </c>
    </row>
    <row r="3440" spans="1:15" x14ac:dyDescent="0.3">
      <c r="A3440" t="s">
        <v>5374</v>
      </c>
      <c r="B3440" t="s">
        <v>5375</v>
      </c>
      <c r="C3440">
        <v>2022</v>
      </c>
      <c r="D3440" t="s">
        <v>300</v>
      </c>
      <c r="E3440" t="s">
        <v>324</v>
      </c>
      <c r="F3440">
        <v>630</v>
      </c>
      <c r="G3440" t="s">
        <v>302</v>
      </c>
      <c r="H3440">
        <v>12</v>
      </c>
      <c r="I3440" t="s">
        <v>5407</v>
      </c>
      <c r="J3440" t="s">
        <v>294</v>
      </c>
      <c r="M3440" t="s">
        <v>295</v>
      </c>
      <c r="N3440" t="s">
        <v>7</v>
      </c>
      <c r="O3440" t="s">
        <v>297</v>
      </c>
    </row>
    <row r="3441" spans="1:15" x14ac:dyDescent="0.3">
      <c r="A3441" t="s">
        <v>5374</v>
      </c>
      <c r="B3441" t="s">
        <v>5375</v>
      </c>
      <c r="C3441">
        <v>2022</v>
      </c>
      <c r="D3441" t="s">
        <v>300</v>
      </c>
      <c r="E3441" t="s">
        <v>5408</v>
      </c>
      <c r="F3441">
        <v>40</v>
      </c>
      <c r="G3441" t="s">
        <v>302</v>
      </c>
      <c r="H3441">
        <v>63</v>
      </c>
      <c r="I3441" t="s">
        <v>5409</v>
      </c>
      <c r="J3441" t="s">
        <v>294</v>
      </c>
      <c r="M3441" t="s">
        <v>295</v>
      </c>
      <c r="N3441" t="s">
        <v>7</v>
      </c>
      <c r="O3441" t="s">
        <v>297</v>
      </c>
    </row>
    <row r="3442" spans="1:15" x14ac:dyDescent="0.3">
      <c r="A3442" t="s">
        <v>5374</v>
      </c>
      <c r="B3442" t="s">
        <v>5375</v>
      </c>
      <c r="C3442">
        <v>2022</v>
      </c>
      <c r="D3442" t="s">
        <v>300</v>
      </c>
      <c r="E3442" t="s">
        <v>601</v>
      </c>
      <c r="F3442">
        <v>47</v>
      </c>
      <c r="G3442" t="s">
        <v>302</v>
      </c>
      <c r="H3442">
        <v>63</v>
      </c>
      <c r="I3442" t="s">
        <v>5410</v>
      </c>
      <c r="J3442" t="s">
        <v>294</v>
      </c>
      <c r="M3442" t="s">
        <v>295</v>
      </c>
      <c r="N3442" t="s">
        <v>7</v>
      </c>
      <c r="O3442" t="s">
        <v>297</v>
      </c>
    </row>
    <row r="3443" spans="1:15" x14ac:dyDescent="0.3">
      <c r="A3443" t="s">
        <v>5374</v>
      </c>
      <c r="B3443" t="s">
        <v>5375</v>
      </c>
      <c r="C3443">
        <v>2022</v>
      </c>
      <c r="D3443" t="s">
        <v>300</v>
      </c>
      <c r="E3443" t="s">
        <v>603</v>
      </c>
      <c r="F3443">
        <v>-137</v>
      </c>
      <c r="G3443" t="s">
        <v>302</v>
      </c>
      <c r="H3443">
        <v>63</v>
      </c>
      <c r="I3443" t="s">
        <v>5411</v>
      </c>
      <c r="J3443" t="s">
        <v>294</v>
      </c>
      <c r="M3443" t="s">
        <v>295</v>
      </c>
      <c r="N3443" t="s">
        <v>7</v>
      </c>
      <c r="O3443" t="s">
        <v>297</v>
      </c>
    </row>
    <row r="3444" spans="1:15" x14ac:dyDescent="0.3">
      <c r="A3444" t="s">
        <v>5374</v>
      </c>
      <c r="B3444" t="s">
        <v>5375</v>
      </c>
      <c r="C3444">
        <v>2022</v>
      </c>
      <c r="D3444" t="s">
        <v>300</v>
      </c>
      <c r="E3444" t="s">
        <v>716</v>
      </c>
      <c r="F3444">
        <v>-61</v>
      </c>
      <c r="G3444" t="s">
        <v>302</v>
      </c>
      <c r="H3444">
        <v>63</v>
      </c>
      <c r="I3444" t="s">
        <v>5412</v>
      </c>
      <c r="J3444" t="s">
        <v>294</v>
      </c>
      <c r="M3444" t="s">
        <v>295</v>
      </c>
      <c r="N3444" t="s">
        <v>7</v>
      </c>
      <c r="O3444" t="s">
        <v>297</v>
      </c>
    </row>
    <row r="3445" spans="1:15" x14ac:dyDescent="0.3">
      <c r="A3445" t="s">
        <v>5374</v>
      </c>
      <c r="B3445" t="s">
        <v>5375</v>
      </c>
      <c r="C3445">
        <v>2022</v>
      </c>
      <c r="D3445" t="s">
        <v>300</v>
      </c>
      <c r="E3445" t="s">
        <v>782</v>
      </c>
      <c r="F3445">
        <v>3</v>
      </c>
      <c r="G3445" t="s">
        <v>346</v>
      </c>
      <c r="H3445">
        <v>12</v>
      </c>
      <c r="I3445" t="s">
        <v>5413</v>
      </c>
      <c r="J3445" t="s">
        <v>294</v>
      </c>
      <c r="M3445" t="s">
        <v>295</v>
      </c>
      <c r="N3445" t="s">
        <v>7</v>
      </c>
      <c r="O3445" t="s">
        <v>297</v>
      </c>
    </row>
    <row r="3446" spans="1:15" x14ac:dyDescent="0.3">
      <c r="A3446" t="s">
        <v>5374</v>
      </c>
      <c r="B3446" t="s">
        <v>5375</v>
      </c>
      <c r="C3446">
        <v>2022</v>
      </c>
      <c r="D3446" t="s">
        <v>300</v>
      </c>
      <c r="E3446" t="s">
        <v>326</v>
      </c>
      <c r="F3446">
        <v>0.98</v>
      </c>
      <c r="G3446" t="s">
        <v>327</v>
      </c>
      <c r="H3446">
        <v>12</v>
      </c>
      <c r="I3446" t="s">
        <v>5414</v>
      </c>
      <c r="J3446" t="s">
        <v>294</v>
      </c>
      <c r="M3446" t="s">
        <v>295</v>
      </c>
      <c r="N3446" t="s">
        <v>7</v>
      </c>
      <c r="O3446" t="s">
        <v>297</v>
      </c>
    </row>
    <row r="3447" spans="1:15" x14ac:dyDescent="0.3">
      <c r="A3447" t="s">
        <v>5374</v>
      </c>
      <c r="B3447" t="s">
        <v>5375</v>
      </c>
      <c r="C3447">
        <v>2022</v>
      </c>
      <c r="D3447" t="s">
        <v>300</v>
      </c>
      <c r="E3447" t="s">
        <v>2762</v>
      </c>
      <c r="F3447">
        <v>3.8170000000000002</v>
      </c>
      <c r="G3447" t="s">
        <v>334</v>
      </c>
      <c r="H3447">
        <v>12</v>
      </c>
      <c r="I3447" t="s">
        <v>5415</v>
      </c>
      <c r="J3447" t="s">
        <v>294</v>
      </c>
      <c r="M3447" t="s">
        <v>295</v>
      </c>
      <c r="N3447" t="s">
        <v>7</v>
      </c>
      <c r="O3447" t="s">
        <v>297</v>
      </c>
    </row>
    <row r="3448" spans="1:15" x14ac:dyDescent="0.3">
      <c r="A3448" t="s">
        <v>5374</v>
      </c>
      <c r="B3448" t="s">
        <v>5375</v>
      </c>
      <c r="C3448">
        <v>2022</v>
      </c>
      <c r="D3448" t="s">
        <v>300</v>
      </c>
      <c r="E3448" t="s">
        <v>5416</v>
      </c>
      <c r="F3448">
        <v>0.79200000000000004</v>
      </c>
      <c r="G3448" t="s">
        <v>334</v>
      </c>
      <c r="H3448">
        <v>12</v>
      </c>
      <c r="I3448" t="s">
        <v>5417</v>
      </c>
      <c r="J3448" t="s">
        <v>294</v>
      </c>
      <c r="M3448" t="s">
        <v>295</v>
      </c>
      <c r="N3448" t="s">
        <v>7</v>
      </c>
      <c r="O3448" t="s">
        <v>297</v>
      </c>
    </row>
    <row r="3449" spans="1:15" x14ac:dyDescent="0.3">
      <c r="A3449" t="s">
        <v>5374</v>
      </c>
      <c r="B3449" t="s">
        <v>5375</v>
      </c>
      <c r="C3449">
        <v>2022</v>
      </c>
      <c r="D3449" t="s">
        <v>358</v>
      </c>
      <c r="E3449" t="s">
        <v>5418</v>
      </c>
      <c r="F3449">
        <v>27265</v>
      </c>
      <c r="G3449" t="s">
        <v>360</v>
      </c>
      <c r="H3449">
        <v>109</v>
      </c>
      <c r="I3449" t="s">
        <v>5419</v>
      </c>
      <c r="J3449" t="s">
        <v>294</v>
      </c>
      <c r="M3449" t="s">
        <v>295</v>
      </c>
      <c r="N3449" t="s">
        <v>7</v>
      </c>
      <c r="O3449" t="s">
        <v>297</v>
      </c>
    </row>
    <row r="3450" spans="1:15" x14ac:dyDescent="0.3">
      <c r="A3450" t="s">
        <v>5374</v>
      </c>
      <c r="B3450" t="s">
        <v>5375</v>
      </c>
      <c r="C3450">
        <v>2022</v>
      </c>
      <c r="D3450" t="s">
        <v>358</v>
      </c>
      <c r="E3450" t="s">
        <v>362</v>
      </c>
      <c r="F3450">
        <v>26384</v>
      </c>
      <c r="G3450" t="s">
        <v>360</v>
      </c>
      <c r="H3450">
        <v>109</v>
      </c>
      <c r="I3450" t="s">
        <v>5420</v>
      </c>
      <c r="J3450" t="s">
        <v>294</v>
      </c>
      <c r="M3450" t="s">
        <v>295</v>
      </c>
      <c r="N3450" t="s">
        <v>7</v>
      </c>
      <c r="O3450" t="s">
        <v>297</v>
      </c>
    </row>
    <row r="3451" spans="1:15" x14ac:dyDescent="0.3">
      <c r="A3451" t="s">
        <v>5374</v>
      </c>
      <c r="B3451" t="s">
        <v>5375</v>
      </c>
      <c r="C3451">
        <v>2022</v>
      </c>
      <c r="D3451" t="s">
        <v>358</v>
      </c>
      <c r="E3451" t="s">
        <v>364</v>
      </c>
      <c r="F3451">
        <v>881</v>
      </c>
      <c r="G3451" t="s">
        <v>360</v>
      </c>
      <c r="H3451">
        <v>109</v>
      </c>
      <c r="I3451" t="s">
        <v>5421</v>
      </c>
      <c r="J3451" t="s">
        <v>294</v>
      </c>
      <c r="M3451" t="s">
        <v>295</v>
      </c>
      <c r="N3451" t="s">
        <v>7</v>
      </c>
      <c r="O3451" t="s">
        <v>297</v>
      </c>
    </row>
    <row r="3452" spans="1:15" x14ac:dyDescent="0.3">
      <c r="A3452" t="s">
        <v>5374</v>
      </c>
      <c r="B3452" t="s">
        <v>5375</v>
      </c>
      <c r="C3452">
        <v>2022</v>
      </c>
      <c r="D3452" t="s">
        <v>358</v>
      </c>
      <c r="E3452" t="s">
        <v>5422</v>
      </c>
      <c r="F3452">
        <v>25197</v>
      </c>
      <c r="G3452" t="s">
        <v>360</v>
      </c>
      <c r="H3452">
        <v>109</v>
      </c>
      <c r="I3452" t="s">
        <v>5423</v>
      </c>
      <c r="J3452" t="s">
        <v>294</v>
      </c>
      <c r="M3452" t="s">
        <v>295</v>
      </c>
      <c r="N3452" t="s">
        <v>7</v>
      </c>
      <c r="O3452" t="s">
        <v>297</v>
      </c>
    </row>
    <row r="3453" spans="1:15" x14ac:dyDescent="0.3">
      <c r="A3453" t="s">
        <v>5374</v>
      </c>
      <c r="B3453" t="s">
        <v>5375</v>
      </c>
      <c r="C3453">
        <v>2022</v>
      </c>
      <c r="D3453" t="s">
        <v>358</v>
      </c>
      <c r="E3453" t="s">
        <v>5424</v>
      </c>
      <c r="F3453">
        <v>1187</v>
      </c>
      <c r="G3453" t="s">
        <v>360</v>
      </c>
      <c r="H3453">
        <v>109</v>
      </c>
      <c r="I3453" t="s">
        <v>5425</v>
      </c>
      <c r="J3453" t="s">
        <v>294</v>
      </c>
      <c r="M3453" t="s">
        <v>295</v>
      </c>
      <c r="N3453" t="s">
        <v>7</v>
      </c>
      <c r="O3453" t="s">
        <v>297</v>
      </c>
    </row>
    <row r="3454" spans="1:15" x14ac:dyDescent="0.3">
      <c r="A3454" t="s">
        <v>5374</v>
      </c>
      <c r="B3454" t="s">
        <v>5375</v>
      </c>
      <c r="C3454">
        <v>2022</v>
      </c>
      <c r="D3454" t="s">
        <v>358</v>
      </c>
      <c r="E3454" t="s">
        <v>5426</v>
      </c>
      <c r="F3454">
        <v>560</v>
      </c>
      <c r="G3454" t="s">
        <v>360</v>
      </c>
      <c r="H3454">
        <v>109</v>
      </c>
      <c r="I3454" t="s">
        <v>5427</v>
      </c>
      <c r="J3454" t="s">
        <v>294</v>
      </c>
      <c r="M3454" t="s">
        <v>295</v>
      </c>
      <c r="N3454" t="s">
        <v>7</v>
      </c>
      <c r="O3454" t="s">
        <v>297</v>
      </c>
    </row>
    <row r="3455" spans="1:15" x14ac:dyDescent="0.3">
      <c r="A3455" t="s">
        <v>5374</v>
      </c>
      <c r="B3455" t="s">
        <v>5375</v>
      </c>
      <c r="C3455">
        <v>2022</v>
      </c>
      <c r="D3455" t="s">
        <v>358</v>
      </c>
      <c r="E3455" t="s">
        <v>5428</v>
      </c>
      <c r="F3455">
        <v>321</v>
      </c>
      <c r="G3455" t="s">
        <v>360</v>
      </c>
      <c r="H3455">
        <v>109</v>
      </c>
      <c r="I3455" t="s">
        <v>5429</v>
      </c>
      <c r="J3455" t="s">
        <v>294</v>
      </c>
      <c r="M3455" t="s">
        <v>295</v>
      </c>
      <c r="N3455" t="s">
        <v>7</v>
      </c>
      <c r="O3455" t="s">
        <v>297</v>
      </c>
    </row>
    <row r="3456" spans="1:15" x14ac:dyDescent="0.3">
      <c r="A3456" t="s">
        <v>5374</v>
      </c>
      <c r="B3456" t="s">
        <v>5375</v>
      </c>
      <c r="C3456">
        <v>2022</v>
      </c>
      <c r="D3456" t="s">
        <v>358</v>
      </c>
      <c r="E3456" t="s">
        <v>5430</v>
      </c>
      <c r="F3456">
        <v>12274</v>
      </c>
      <c r="G3456" t="s">
        <v>360</v>
      </c>
      <c r="H3456">
        <v>38</v>
      </c>
      <c r="I3456" t="s">
        <v>5431</v>
      </c>
      <c r="J3456" t="s">
        <v>294</v>
      </c>
      <c r="M3456" t="s">
        <v>295</v>
      </c>
      <c r="N3456" t="s">
        <v>7</v>
      </c>
      <c r="O3456" t="s">
        <v>297</v>
      </c>
    </row>
    <row r="3457" spans="1:15" x14ac:dyDescent="0.3">
      <c r="A3457" t="s">
        <v>5374</v>
      </c>
      <c r="B3457" t="s">
        <v>5375</v>
      </c>
      <c r="C3457">
        <v>2022</v>
      </c>
      <c r="D3457" t="s">
        <v>358</v>
      </c>
      <c r="E3457" t="s">
        <v>5432</v>
      </c>
      <c r="F3457">
        <v>8259</v>
      </c>
      <c r="G3457" t="s">
        <v>360</v>
      </c>
      <c r="H3457">
        <v>38</v>
      </c>
      <c r="I3457" t="s">
        <v>5433</v>
      </c>
      <c r="J3457" t="s">
        <v>294</v>
      </c>
      <c r="M3457" t="s">
        <v>295</v>
      </c>
      <c r="N3457" t="s">
        <v>7</v>
      </c>
      <c r="O3457" t="s">
        <v>297</v>
      </c>
    </row>
    <row r="3458" spans="1:15" x14ac:dyDescent="0.3">
      <c r="A3458" t="s">
        <v>5374</v>
      </c>
      <c r="B3458" t="s">
        <v>5375</v>
      </c>
      <c r="C3458">
        <v>2022</v>
      </c>
      <c r="D3458" t="s">
        <v>358</v>
      </c>
      <c r="E3458" t="s">
        <v>5434</v>
      </c>
      <c r="F3458">
        <v>4664</v>
      </c>
      <c r="G3458" t="s">
        <v>360</v>
      </c>
      <c r="H3458">
        <v>38</v>
      </c>
      <c r="I3458" t="s">
        <v>5435</v>
      </c>
      <c r="J3458" t="s">
        <v>294</v>
      </c>
      <c r="M3458" t="s">
        <v>295</v>
      </c>
      <c r="N3458" t="s">
        <v>7</v>
      </c>
      <c r="O3458" t="s">
        <v>297</v>
      </c>
    </row>
    <row r="3459" spans="1:15" x14ac:dyDescent="0.3">
      <c r="A3459" t="s">
        <v>5374</v>
      </c>
      <c r="B3459" t="s">
        <v>5375</v>
      </c>
      <c r="C3459">
        <v>2022</v>
      </c>
      <c r="D3459" t="s">
        <v>358</v>
      </c>
      <c r="E3459" t="s">
        <v>5436</v>
      </c>
      <c r="F3459">
        <v>7</v>
      </c>
      <c r="G3459" t="s">
        <v>375</v>
      </c>
      <c r="H3459">
        <v>39</v>
      </c>
      <c r="I3459" t="s">
        <v>5437</v>
      </c>
      <c r="J3459" t="s">
        <v>294</v>
      </c>
      <c r="M3459" t="s">
        <v>295</v>
      </c>
      <c r="N3459" t="s">
        <v>7</v>
      </c>
      <c r="O3459" t="s">
        <v>297</v>
      </c>
    </row>
    <row r="3460" spans="1:15" x14ac:dyDescent="0.3">
      <c r="A3460" t="s">
        <v>5374</v>
      </c>
      <c r="B3460" t="s">
        <v>5375</v>
      </c>
      <c r="C3460">
        <v>2022</v>
      </c>
      <c r="D3460" t="s">
        <v>358</v>
      </c>
      <c r="E3460" t="s">
        <v>523</v>
      </c>
      <c r="F3460">
        <v>1</v>
      </c>
      <c r="G3460" t="s">
        <v>384</v>
      </c>
      <c r="H3460">
        <v>114</v>
      </c>
      <c r="I3460" t="s">
        <v>5438</v>
      </c>
      <c r="J3460" t="s">
        <v>294</v>
      </c>
      <c r="M3460" t="s">
        <v>295</v>
      </c>
      <c r="N3460" t="s">
        <v>7</v>
      </c>
      <c r="O3460" t="s">
        <v>297</v>
      </c>
    </row>
    <row r="3461" spans="1:15" x14ac:dyDescent="0.3">
      <c r="A3461" t="s">
        <v>5374</v>
      </c>
      <c r="B3461" t="s">
        <v>5375</v>
      </c>
      <c r="C3461">
        <v>2022</v>
      </c>
      <c r="D3461" t="s">
        <v>358</v>
      </c>
      <c r="E3461" t="s">
        <v>5439</v>
      </c>
      <c r="F3461">
        <v>60</v>
      </c>
      <c r="G3461" t="s">
        <v>738</v>
      </c>
      <c r="H3461">
        <v>114</v>
      </c>
      <c r="I3461" t="s">
        <v>5440</v>
      </c>
      <c r="J3461" t="s">
        <v>294</v>
      </c>
      <c r="M3461" t="s">
        <v>295</v>
      </c>
      <c r="N3461" t="s">
        <v>7</v>
      </c>
      <c r="O3461" t="s">
        <v>297</v>
      </c>
    </row>
    <row r="3462" spans="1:15" x14ac:dyDescent="0.3">
      <c r="A3462" t="s">
        <v>5374</v>
      </c>
      <c r="B3462" t="s">
        <v>5375</v>
      </c>
      <c r="C3462">
        <v>2022</v>
      </c>
      <c r="D3462" t="s">
        <v>358</v>
      </c>
      <c r="E3462" t="s">
        <v>5441</v>
      </c>
      <c r="F3462">
        <v>6000</v>
      </c>
      <c r="G3462" t="s">
        <v>396</v>
      </c>
      <c r="H3462">
        <v>115</v>
      </c>
      <c r="I3462" t="s">
        <v>5442</v>
      </c>
      <c r="J3462" t="s">
        <v>294</v>
      </c>
      <c r="M3462" t="s">
        <v>295</v>
      </c>
      <c r="N3462" t="s">
        <v>7</v>
      </c>
      <c r="O3462" t="s">
        <v>297</v>
      </c>
    </row>
    <row r="3463" spans="1:15" x14ac:dyDescent="0.3">
      <c r="A3463" t="s">
        <v>5374</v>
      </c>
      <c r="B3463" t="s">
        <v>5375</v>
      </c>
      <c r="C3463">
        <v>2022</v>
      </c>
      <c r="D3463" t="s">
        <v>394</v>
      </c>
      <c r="E3463" t="s">
        <v>531</v>
      </c>
      <c r="F3463">
        <v>399606</v>
      </c>
      <c r="G3463" t="s">
        <v>396</v>
      </c>
      <c r="H3463">
        <v>115</v>
      </c>
      <c r="I3463" t="s">
        <v>5443</v>
      </c>
      <c r="J3463" t="s">
        <v>294</v>
      </c>
      <c r="M3463" t="s">
        <v>295</v>
      </c>
      <c r="N3463" t="s">
        <v>7</v>
      </c>
      <c r="O3463" t="s">
        <v>297</v>
      </c>
    </row>
    <row r="3464" spans="1:15" x14ac:dyDescent="0.3">
      <c r="A3464" t="s">
        <v>5374</v>
      </c>
      <c r="B3464" t="s">
        <v>5375</v>
      </c>
      <c r="C3464">
        <v>2022</v>
      </c>
      <c r="D3464" t="s">
        <v>394</v>
      </c>
      <c r="E3464" t="s">
        <v>5444</v>
      </c>
      <c r="F3464">
        <v>232227</v>
      </c>
      <c r="G3464" t="s">
        <v>396</v>
      </c>
      <c r="H3464">
        <v>115</v>
      </c>
      <c r="I3464" t="s">
        <v>5445</v>
      </c>
      <c r="J3464" t="s">
        <v>294</v>
      </c>
      <c r="M3464" t="s">
        <v>295</v>
      </c>
      <c r="N3464" t="s">
        <v>7</v>
      </c>
      <c r="O3464" t="s">
        <v>297</v>
      </c>
    </row>
    <row r="3465" spans="1:15" x14ac:dyDescent="0.3">
      <c r="A3465" t="s">
        <v>5374</v>
      </c>
      <c r="B3465" t="s">
        <v>5375</v>
      </c>
      <c r="C3465">
        <v>2022</v>
      </c>
      <c r="D3465" t="s">
        <v>394</v>
      </c>
      <c r="E3465" t="s">
        <v>5446</v>
      </c>
      <c r="F3465">
        <v>126345</v>
      </c>
      <c r="G3465" t="s">
        <v>396</v>
      </c>
      <c r="H3465">
        <v>115</v>
      </c>
      <c r="I3465" t="s">
        <v>5447</v>
      </c>
      <c r="J3465" t="s">
        <v>294</v>
      </c>
      <c r="M3465" t="s">
        <v>295</v>
      </c>
      <c r="N3465" t="s">
        <v>7</v>
      </c>
      <c r="O3465" t="s">
        <v>297</v>
      </c>
    </row>
    <row r="3466" spans="1:15" x14ac:dyDescent="0.3">
      <c r="A3466" t="s">
        <v>5374</v>
      </c>
      <c r="B3466" t="s">
        <v>5375</v>
      </c>
      <c r="C3466">
        <v>2022</v>
      </c>
      <c r="D3466" t="s">
        <v>394</v>
      </c>
      <c r="E3466" t="s">
        <v>5448</v>
      </c>
      <c r="F3466">
        <v>41034</v>
      </c>
      <c r="G3466" t="s">
        <v>396</v>
      </c>
      <c r="H3466">
        <v>115</v>
      </c>
      <c r="I3466" t="s">
        <v>5449</v>
      </c>
      <c r="J3466" t="s">
        <v>294</v>
      </c>
      <c r="M3466" t="s">
        <v>295</v>
      </c>
      <c r="N3466" t="s">
        <v>7</v>
      </c>
      <c r="O3466" t="s">
        <v>297</v>
      </c>
    </row>
    <row r="3467" spans="1:15" x14ac:dyDescent="0.3">
      <c r="A3467" t="s">
        <v>5374</v>
      </c>
      <c r="B3467" t="s">
        <v>5375</v>
      </c>
      <c r="C3467">
        <v>2022</v>
      </c>
      <c r="D3467" t="s">
        <v>394</v>
      </c>
      <c r="E3467" t="s">
        <v>406</v>
      </c>
      <c r="F3467">
        <v>82862</v>
      </c>
      <c r="G3467" t="s">
        <v>396</v>
      </c>
      <c r="H3467">
        <v>115</v>
      </c>
      <c r="I3467" t="s">
        <v>5450</v>
      </c>
      <c r="J3467" t="s">
        <v>294</v>
      </c>
      <c r="M3467" t="s">
        <v>295</v>
      </c>
      <c r="N3467" t="s">
        <v>7</v>
      </c>
      <c r="O3467" t="s">
        <v>297</v>
      </c>
    </row>
    <row r="3468" spans="1:15" x14ac:dyDescent="0.3">
      <c r="A3468" t="s">
        <v>5374</v>
      </c>
      <c r="B3468" t="s">
        <v>5375</v>
      </c>
      <c r="C3468">
        <v>2022</v>
      </c>
      <c r="D3468" t="s">
        <v>394</v>
      </c>
      <c r="E3468" t="s">
        <v>855</v>
      </c>
      <c r="F3468">
        <v>15617</v>
      </c>
      <c r="G3468" t="s">
        <v>396</v>
      </c>
      <c r="H3468">
        <v>115</v>
      </c>
      <c r="I3468" t="s">
        <v>5451</v>
      </c>
      <c r="J3468" t="s">
        <v>294</v>
      </c>
      <c r="M3468" t="s">
        <v>295</v>
      </c>
      <c r="N3468" t="s">
        <v>7</v>
      </c>
      <c r="O3468" t="s">
        <v>297</v>
      </c>
    </row>
    <row r="3469" spans="1:15" x14ac:dyDescent="0.3">
      <c r="A3469" t="s">
        <v>5374</v>
      </c>
      <c r="B3469" t="s">
        <v>5375</v>
      </c>
      <c r="C3469">
        <v>2022</v>
      </c>
      <c r="D3469" t="s">
        <v>394</v>
      </c>
      <c r="E3469" t="s">
        <v>1014</v>
      </c>
      <c r="F3469">
        <v>0.2177</v>
      </c>
      <c r="G3469" t="s">
        <v>334</v>
      </c>
      <c r="H3469">
        <v>115</v>
      </c>
      <c r="I3469" t="s">
        <v>5452</v>
      </c>
      <c r="J3469" t="s">
        <v>294</v>
      </c>
      <c r="M3469" t="s">
        <v>295</v>
      </c>
      <c r="N3469" t="s">
        <v>7</v>
      </c>
      <c r="O3469" t="s">
        <v>297</v>
      </c>
    </row>
    <row r="3470" spans="1:15" x14ac:dyDescent="0.3">
      <c r="A3470" t="s">
        <v>5374</v>
      </c>
      <c r="B3470" t="s">
        <v>5375</v>
      </c>
      <c r="C3470">
        <v>2022</v>
      </c>
      <c r="D3470" t="s">
        <v>394</v>
      </c>
      <c r="E3470" t="s">
        <v>438</v>
      </c>
      <c r="F3470">
        <v>80466</v>
      </c>
      <c r="G3470" t="s">
        <v>396</v>
      </c>
      <c r="H3470">
        <v>75</v>
      </c>
      <c r="I3470" t="s">
        <v>5453</v>
      </c>
      <c r="J3470" t="s">
        <v>294</v>
      </c>
      <c r="M3470" t="s">
        <v>295</v>
      </c>
      <c r="N3470" t="s">
        <v>7</v>
      </c>
      <c r="O3470" t="s">
        <v>297</v>
      </c>
    </row>
    <row r="3471" spans="1:15" x14ac:dyDescent="0.3">
      <c r="A3471" t="s">
        <v>5374</v>
      </c>
      <c r="B3471" t="s">
        <v>5375</v>
      </c>
      <c r="C3471">
        <v>2022</v>
      </c>
      <c r="D3471" t="s">
        <v>394</v>
      </c>
      <c r="E3471" t="s">
        <v>4994</v>
      </c>
      <c r="F3471">
        <v>15544</v>
      </c>
      <c r="G3471" t="s">
        <v>396</v>
      </c>
      <c r="H3471">
        <v>75</v>
      </c>
      <c r="I3471" t="s">
        <v>5454</v>
      </c>
      <c r="J3471" t="s">
        <v>294</v>
      </c>
      <c r="M3471" t="s">
        <v>295</v>
      </c>
      <c r="N3471" t="s">
        <v>7</v>
      </c>
      <c r="O3471" t="s">
        <v>297</v>
      </c>
    </row>
    <row r="3472" spans="1:15" x14ac:dyDescent="0.3">
      <c r="A3472" t="s">
        <v>5374</v>
      </c>
      <c r="B3472" t="s">
        <v>5375</v>
      </c>
      <c r="C3472">
        <v>2022</v>
      </c>
      <c r="D3472" t="s">
        <v>394</v>
      </c>
      <c r="E3472" t="s">
        <v>5455</v>
      </c>
      <c r="F3472">
        <v>22930</v>
      </c>
      <c r="G3472" t="s">
        <v>396</v>
      </c>
      <c r="H3472">
        <v>75</v>
      </c>
      <c r="I3472" t="s">
        <v>5456</v>
      </c>
      <c r="J3472" t="s">
        <v>294</v>
      </c>
      <c r="M3472" t="s">
        <v>295</v>
      </c>
      <c r="N3472" t="s">
        <v>7</v>
      </c>
      <c r="O3472" t="s">
        <v>297</v>
      </c>
    </row>
    <row r="3473" spans="1:15" x14ac:dyDescent="0.3">
      <c r="A3473" t="s">
        <v>5374</v>
      </c>
      <c r="B3473" t="s">
        <v>5375</v>
      </c>
      <c r="C3473">
        <v>2022</v>
      </c>
      <c r="D3473" t="s">
        <v>394</v>
      </c>
      <c r="E3473" t="s">
        <v>554</v>
      </c>
      <c r="F3473">
        <v>12145</v>
      </c>
      <c r="G3473" t="s">
        <v>436</v>
      </c>
      <c r="H3473">
        <v>75</v>
      </c>
      <c r="I3473" t="s">
        <v>5457</v>
      </c>
      <c r="J3473" t="s">
        <v>294</v>
      </c>
      <c r="M3473" t="s">
        <v>295</v>
      </c>
      <c r="N3473" t="s">
        <v>7</v>
      </c>
      <c r="O3473" t="s">
        <v>297</v>
      </c>
    </row>
    <row r="3474" spans="1:15" x14ac:dyDescent="0.3">
      <c r="A3474" t="s">
        <v>5374</v>
      </c>
      <c r="B3474" t="s">
        <v>5375</v>
      </c>
      <c r="C3474">
        <v>2022</v>
      </c>
      <c r="D3474" t="s">
        <v>394</v>
      </c>
      <c r="E3474" t="s">
        <v>5195</v>
      </c>
      <c r="F3474">
        <v>7550</v>
      </c>
      <c r="G3474" t="s">
        <v>436</v>
      </c>
      <c r="H3474">
        <v>75</v>
      </c>
      <c r="I3474" t="s">
        <v>5458</v>
      </c>
      <c r="J3474" t="s">
        <v>294</v>
      </c>
      <c r="M3474" t="s">
        <v>295</v>
      </c>
      <c r="N3474" t="s">
        <v>7</v>
      </c>
      <c r="O3474" t="s">
        <v>297</v>
      </c>
    </row>
    <row r="3475" spans="1:15" x14ac:dyDescent="0.3">
      <c r="A3475" t="s">
        <v>5374</v>
      </c>
      <c r="B3475" t="s">
        <v>5375</v>
      </c>
      <c r="C3475">
        <v>2022</v>
      </c>
      <c r="D3475" t="s">
        <v>394</v>
      </c>
      <c r="E3475" t="s">
        <v>3248</v>
      </c>
      <c r="F3475">
        <v>1719</v>
      </c>
      <c r="G3475" t="s">
        <v>436</v>
      </c>
      <c r="H3475">
        <v>75</v>
      </c>
      <c r="I3475" t="s">
        <v>5459</v>
      </c>
      <c r="J3475" t="s">
        <v>294</v>
      </c>
      <c r="M3475" t="s">
        <v>295</v>
      </c>
      <c r="N3475" t="s">
        <v>7</v>
      </c>
      <c r="O3475" t="s">
        <v>297</v>
      </c>
    </row>
    <row r="3476" spans="1:15" x14ac:dyDescent="0.3">
      <c r="A3476" t="s">
        <v>5374</v>
      </c>
      <c r="B3476" t="s">
        <v>5375</v>
      </c>
      <c r="C3476">
        <v>2022</v>
      </c>
      <c r="D3476" t="s">
        <v>394</v>
      </c>
      <c r="E3476" t="s">
        <v>3336</v>
      </c>
      <c r="F3476">
        <v>977</v>
      </c>
      <c r="G3476" t="s">
        <v>302</v>
      </c>
      <c r="H3476">
        <v>72</v>
      </c>
      <c r="I3476" t="s">
        <v>5460</v>
      </c>
      <c r="J3476" t="s">
        <v>294</v>
      </c>
      <c r="M3476" t="s">
        <v>295</v>
      </c>
      <c r="N3476" t="s">
        <v>7</v>
      </c>
      <c r="O3476" t="s">
        <v>297</v>
      </c>
    </row>
    <row r="3477" spans="1:15" x14ac:dyDescent="0.3">
      <c r="A3477" t="s">
        <v>5374</v>
      </c>
      <c r="B3477" t="s">
        <v>5375</v>
      </c>
      <c r="C3477">
        <v>2022</v>
      </c>
      <c r="D3477" t="s">
        <v>394</v>
      </c>
      <c r="E3477" t="s">
        <v>5461</v>
      </c>
      <c r="F3477">
        <v>117</v>
      </c>
      <c r="G3477" t="s">
        <v>302</v>
      </c>
      <c r="H3477">
        <v>72</v>
      </c>
      <c r="I3477" t="s">
        <v>5462</v>
      </c>
      <c r="J3477" t="s">
        <v>294</v>
      </c>
      <c r="M3477" t="s">
        <v>295</v>
      </c>
      <c r="N3477" t="s">
        <v>7</v>
      </c>
      <c r="O3477" t="s">
        <v>297</v>
      </c>
    </row>
    <row r="3478" spans="1:15" x14ac:dyDescent="0.3">
      <c r="A3478" t="s">
        <v>5374</v>
      </c>
      <c r="B3478" t="s">
        <v>5375</v>
      </c>
      <c r="C3478">
        <v>2022</v>
      </c>
      <c r="D3478" t="s">
        <v>394</v>
      </c>
      <c r="E3478" t="s">
        <v>3431</v>
      </c>
      <c r="F3478">
        <v>39</v>
      </c>
      <c r="G3478" t="s">
        <v>302</v>
      </c>
      <c r="H3478">
        <v>72</v>
      </c>
      <c r="I3478" t="s">
        <v>5463</v>
      </c>
      <c r="J3478" t="s">
        <v>294</v>
      </c>
      <c r="M3478" t="s">
        <v>295</v>
      </c>
      <c r="N3478" t="s">
        <v>7</v>
      </c>
      <c r="O3478" t="s">
        <v>297</v>
      </c>
    </row>
    <row r="3479" spans="1:15" x14ac:dyDescent="0.3">
      <c r="A3479" t="s">
        <v>5374</v>
      </c>
      <c r="B3479" t="s">
        <v>5375</v>
      </c>
      <c r="C3479">
        <v>2022</v>
      </c>
      <c r="D3479" t="s">
        <v>394</v>
      </c>
      <c r="E3479" t="s">
        <v>5464</v>
      </c>
      <c r="F3479">
        <v>389878</v>
      </c>
      <c r="G3479" t="s">
        <v>396</v>
      </c>
      <c r="H3479">
        <v>152</v>
      </c>
      <c r="I3479" t="s">
        <v>5465</v>
      </c>
      <c r="J3479" t="s">
        <v>294</v>
      </c>
      <c r="M3479" t="s">
        <v>295</v>
      </c>
      <c r="N3479" t="s">
        <v>7</v>
      </c>
      <c r="O3479" t="s">
        <v>297</v>
      </c>
    </row>
    <row r="3480" spans="1:15" x14ac:dyDescent="0.3">
      <c r="A3480" t="s">
        <v>5374</v>
      </c>
      <c r="B3480" t="s">
        <v>5375</v>
      </c>
      <c r="C3480">
        <v>2022</v>
      </c>
      <c r="D3480" t="s">
        <v>394</v>
      </c>
      <c r="E3480" t="s">
        <v>5466</v>
      </c>
      <c r="F3480">
        <v>80490</v>
      </c>
      <c r="G3480" t="s">
        <v>396</v>
      </c>
      <c r="H3480">
        <v>153</v>
      </c>
      <c r="I3480" t="s">
        <v>5467</v>
      </c>
      <c r="J3480" t="s">
        <v>294</v>
      </c>
      <c r="M3480" t="s">
        <v>295</v>
      </c>
      <c r="N3480" t="s">
        <v>7</v>
      </c>
      <c r="O3480" t="s">
        <v>297</v>
      </c>
    </row>
    <row r="3481" spans="1:15" x14ac:dyDescent="0.3">
      <c r="A3481" t="s">
        <v>5374</v>
      </c>
      <c r="B3481" t="s">
        <v>5375</v>
      </c>
      <c r="C3481">
        <v>2022</v>
      </c>
      <c r="D3481" t="s">
        <v>394</v>
      </c>
      <c r="E3481" t="s">
        <v>5468</v>
      </c>
      <c r="F3481">
        <v>4490</v>
      </c>
      <c r="G3481" t="s">
        <v>396</v>
      </c>
      <c r="H3481">
        <v>153</v>
      </c>
      <c r="I3481" t="s">
        <v>5469</v>
      </c>
      <c r="J3481" t="s">
        <v>294</v>
      </c>
      <c r="M3481" t="s">
        <v>295</v>
      </c>
      <c r="N3481" t="s">
        <v>7</v>
      </c>
      <c r="O3481" t="s">
        <v>297</v>
      </c>
    </row>
    <row r="3482" spans="1:15" x14ac:dyDescent="0.3">
      <c r="A3482" t="s">
        <v>5374</v>
      </c>
      <c r="B3482" t="s">
        <v>5375</v>
      </c>
      <c r="C3482">
        <v>2022</v>
      </c>
      <c r="D3482" t="s">
        <v>563</v>
      </c>
      <c r="E3482" t="s">
        <v>564</v>
      </c>
      <c r="F3482">
        <v>2</v>
      </c>
      <c r="G3482" t="s">
        <v>384</v>
      </c>
      <c r="H3482">
        <v>109</v>
      </c>
      <c r="I3482" t="s">
        <v>5470</v>
      </c>
      <c r="J3482" t="s">
        <v>294</v>
      </c>
      <c r="M3482" t="s">
        <v>295</v>
      </c>
      <c r="N3482" t="s">
        <v>7</v>
      </c>
      <c r="O3482" t="s">
        <v>297</v>
      </c>
    </row>
    <row r="3483" spans="1:15" x14ac:dyDescent="0.3">
      <c r="A3483" t="s">
        <v>5374</v>
      </c>
      <c r="B3483" t="s">
        <v>5375</v>
      </c>
      <c r="C3483">
        <v>2022</v>
      </c>
      <c r="D3483" t="s">
        <v>563</v>
      </c>
      <c r="E3483" t="s">
        <v>5471</v>
      </c>
      <c r="F3483">
        <v>38242</v>
      </c>
      <c r="G3483" t="s">
        <v>1498</v>
      </c>
      <c r="H3483">
        <v>11</v>
      </c>
      <c r="I3483" t="s">
        <v>5472</v>
      </c>
      <c r="J3483" t="s">
        <v>294</v>
      </c>
      <c r="M3483" t="s">
        <v>295</v>
      </c>
      <c r="N3483" t="s">
        <v>7</v>
      </c>
      <c r="O3483" t="s">
        <v>297</v>
      </c>
    </row>
    <row r="3484" spans="1:15" x14ac:dyDescent="0.3">
      <c r="A3484" t="s">
        <v>5374</v>
      </c>
      <c r="B3484" t="s">
        <v>5375</v>
      </c>
      <c r="C3484">
        <v>2022</v>
      </c>
      <c r="D3484" t="s">
        <v>563</v>
      </c>
      <c r="E3484" t="s">
        <v>5473</v>
      </c>
      <c r="F3484">
        <v>1140</v>
      </c>
      <c r="G3484" t="s">
        <v>1106</v>
      </c>
      <c r="H3484">
        <v>11</v>
      </c>
      <c r="I3484" t="s">
        <v>5474</v>
      </c>
      <c r="J3484" t="s">
        <v>294</v>
      </c>
      <c r="M3484" t="s">
        <v>295</v>
      </c>
      <c r="N3484" t="s">
        <v>7</v>
      </c>
      <c r="O3484" t="s">
        <v>297</v>
      </c>
    </row>
    <row r="3485" spans="1:15" x14ac:dyDescent="0.3">
      <c r="A3485" t="s">
        <v>5374</v>
      </c>
      <c r="B3485" t="s">
        <v>5475</v>
      </c>
      <c r="C3485">
        <v>2023</v>
      </c>
      <c r="D3485" t="s">
        <v>272</v>
      </c>
      <c r="E3485" t="s">
        <v>291</v>
      </c>
      <c r="F3485" t="s">
        <v>5374</v>
      </c>
      <c r="G3485" t="s">
        <v>292</v>
      </c>
      <c r="H3485">
        <v>1</v>
      </c>
      <c r="I3485" t="s">
        <v>5374</v>
      </c>
      <c r="J3485" t="s">
        <v>294</v>
      </c>
      <c r="M3485" t="s">
        <v>295</v>
      </c>
      <c r="N3485" t="s">
        <v>7</v>
      </c>
      <c r="O3485" t="s">
        <v>297</v>
      </c>
    </row>
    <row r="3486" spans="1:15" x14ac:dyDescent="0.3">
      <c r="A3486" t="s">
        <v>5374</v>
      </c>
      <c r="B3486" t="s">
        <v>5475</v>
      </c>
      <c r="C3486">
        <v>2023</v>
      </c>
      <c r="D3486" t="s">
        <v>272</v>
      </c>
      <c r="E3486" t="s">
        <v>869</v>
      </c>
      <c r="F3486" t="s">
        <v>5476</v>
      </c>
      <c r="G3486" t="s">
        <v>666</v>
      </c>
      <c r="H3486">
        <v>67</v>
      </c>
      <c r="I3486" t="s">
        <v>5477</v>
      </c>
      <c r="J3486" t="s">
        <v>294</v>
      </c>
      <c r="M3486" t="s">
        <v>295</v>
      </c>
      <c r="N3486" t="s">
        <v>7</v>
      </c>
      <c r="O3486" t="s">
        <v>297</v>
      </c>
    </row>
    <row r="3487" spans="1:15" x14ac:dyDescent="0.3">
      <c r="A3487" t="s">
        <v>5374</v>
      </c>
      <c r="B3487" t="s">
        <v>5475</v>
      </c>
      <c r="C3487">
        <v>2023</v>
      </c>
      <c r="D3487" t="s">
        <v>272</v>
      </c>
      <c r="E3487" t="s">
        <v>2973</v>
      </c>
      <c r="F3487">
        <v>3568235300</v>
      </c>
      <c r="G3487" t="s">
        <v>1633</v>
      </c>
      <c r="H3487">
        <v>67</v>
      </c>
      <c r="I3487" t="s">
        <v>5478</v>
      </c>
      <c r="J3487" t="s">
        <v>294</v>
      </c>
      <c r="M3487" t="s">
        <v>295</v>
      </c>
      <c r="N3487" t="s">
        <v>7</v>
      </c>
      <c r="O3487" t="s">
        <v>297</v>
      </c>
    </row>
    <row r="3488" spans="1:15" x14ac:dyDescent="0.3">
      <c r="A3488" t="s">
        <v>5374</v>
      </c>
      <c r="B3488" t="s">
        <v>5475</v>
      </c>
      <c r="C3488">
        <v>2023</v>
      </c>
      <c r="D3488" t="s">
        <v>272</v>
      </c>
      <c r="E3488" t="s">
        <v>5388</v>
      </c>
      <c r="F3488">
        <v>163</v>
      </c>
      <c r="G3488" t="s">
        <v>384</v>
      </c>
      <c r="H3488">
        <v>65</v>
      </c>
      <c r="I3488" t="s">
        <v>5479</v>
      </c>
      <c r="J3488" t="s">
        <v>294</v>
      </c>
      <c r="M3488" t="s">
        <v>295</v>
      </c>
      <c r="N3488" t="s">
        <v>7</v>
      </c>
      <c r="O3488" t="s">
        <v>297</v>
      </c>
    </row>
    <row r="3489" spans="1:15" x14ac:dyDescent="0.3">
      <c r="A3489" t="s">
        <v>5374</v>
      </c>
      <c r="B3489" t="s">
        <v>5475</v>
      </c>
      <c r="C3489">
        <v>2023</v>
      </c>
      <c r="D3489" t="s">
        <v>272</v>
      </c>
      <c r="E3489" t="s">
        <v>5390</v>
      </c>
      <c r="F3489" t="s">
        <v>5391</v>
      </c>
      <c r="G3489" t="s">
        <v>292</v>
      </c>
      <c r="H3489">
        <v>64</v>
      </c>
      <c r="I3489" t="s">
        <v>5480</v>
      </c>
      <c r="J3489" t="s">
        <v>294</v>
      </c>
      <c r="M3489" t="s">
        <v>295</v>
      </c>
      <c r="N3489" t="s">
        <v>7</v>
      </c>
      <c r="O3489" t="s">
        <v>297</v>
      </c>
    </row>
    <row r="3490" spans="1:15" x14ac:dyDescent="0.3">
      <c r="A3490" t="s">
        <v>5374</v>
      </c>
      <c r="B3490" t="s">
        <v>5475</v>
      </c>
      <c r="C3490">
        <v>2023</v>
      </c>
      <c r="D3490" t="s">
        <v>272</v>
      </c>
      <c r="E3490" t="s">
        <v>5393</v>
      </c>
      <c r="F3490">
        <v>880</v>
      </c>
      <c r="G3490" t="s">
        <v>1106</v>
      </c>
      <c r="H3490">
        <v>64</v>
      </c>
      <c r="I3490" t="s">
        <v>5481</v>
      </c>
      <c r="J3490" t="s">
        <v>294</v>
      </c>
      <c r="M3490" t="s">
        <v>295</v>
      </c>
      <c r="N3490" t="s">
        <v>7</v>
      </c>
      <c r="O3490" t="s">
        <v>297</v>
      </c>
    </row>
    <row r="3491" spans="1:15" x14ac:dyDescent="0.3">
      <c r="A3491" t="s">
        <v>5374</v>
      </c>
      <c r="B3491" t="s">
        <v>5475</v>
      </c>
      <c r="C3491">
        <v>2023</v>
      </c>
      <c r="D3491" t="s">
        <v>300</v>
      </c>
      <c r="E3491" t="s">
        <v>3142</v>
      </c>
      <c r="F3491">
        <v>1185</v>
      </c>
      <c r="G3491" t="s">
        <v>302</v>
      </c>
      <c r="H3491">
        <v>12</v>
      </c>
      <c r="I3491" t="s">
        <v>5482</v>
      </c>
      <c r="J3491" t="s">
        <v>294</v>
      </c>
      <c r="M3491" t="s">
        <v>295</v>
      </c>
      <c r="N3491" t="s">
        <v>7</v>
      </c>
      <c r="O3491" t="s">
        <v>297</v>
      </c>
    </row>
    <row r="3492" spans="1:15" x14ac:dyDescent="0.3">
      <c r="A3492" t="s">
        <v>5374</v>
      </c>
      <c r="B3492" t="s">
        <v>5475</v>
      </c>
      <c r="C3492">
        <v>2023</v>
      </c>
      <c r="D3492" t="s">
        <v>300</v>
      </c>
      <c r="E3492" t="s">
        <v>688</v>
      </c>
      <c r="F3492">
        <v>882</v>
      </c>
      <c r="G3492" t="s">
        <v>302</v>
      </c>
      <c r="H3492">
        <v>12</v>
      </c>
      <c r="I3492" t="s">
        <v>5483</v>
      </c>
      <c r="J3492" t="s">
        <v>294</v>
      </c>
      <c r="M3492" t="s">
        <v>295</v>
      </c>
      <c r="N3492" t="s">
        <v>7</v>
      </c>
      <c r="O3492" t="s">
        <v>297</v>
      </c>
    </row>
    <row r="3493" spans="1:15" x14ac:dyDescent="0.3">
      <c r="A3493" t="s">
        <v>5374</v>
      </c>
      <c r="B3493" t="s">
        <v>5475</v>
      </c>
      <c r="C3493">
        <v>2023</v>
      </c>
      <c r="D3493" t="s">
        <v>300</v>
      </c>
      <c r="E3493" t="s">
        <v>304</v>
      </c>
      <c r="F3493">
        <v>303</v>
      </c>
      <c r="G3493" t="s">
        <v>302</v>
      </c>
      <c r="H3493">
        <v>12</v>
      </c>
      <c r="I3493" t="s">
        <v>5484</v>
      </c>
      <c r="J3493" t="s">
        <v>294</v>
      </c>
      <c r="M3493" t="s">
        <v>295</v>
      </c>
      <c r="N3493" t="s">
        <v>7</v>
      </c>
      <c r="O3493" t="s">
        <v>297</v>
      </c>
    </row>
    <row r="3494" spans="1:15" x14ac:dyDescent="0.3">
      <c r="A3494" t="s">
        <v>5374</v>
      </c>
      <c r="B3494" t="s">
        <v>5475</v>
      </c>
      <c r="C3494">
        <v>2023</v>
      </c>
      <c r="D3494" t="s">
        <v>300</v>
      </c>
      <c r="E3494" t="s">
        <v>306</v>
      </c>
      <c r="F3494">
        <v>2</v>
      </c>
      <c r="G3494" t="s">
        <v>302</v>
      </c>
      <c r="H3494">
        <v>12</v>
      </c>
      <c r="I3494" t="s">
        <v>5485</v>
      </c>
      <c r="J3494" t="s">
        <v>294</v>
      </c>
      <c r="M3494" t="s">
        <v>295</v>
      </c>
      <c r="N3494" t="s">
        <v>7</v>
      </c>
      <c r="O3494" t="s">
        <v>297</v>
      </c>
    </row>
    <row r="3495" spans="1:15" x14ac:dyDescent="0.3">
      <c r="A3495" t="s">
        <v>5374</v>
      </c>
      <c r="B3495" t="s">
        <v>5475</v>
      </c>
      <c r="C3495">
        <v>2023</v>
      </c>
      <c r="D3495" t="s">
        <v>300</v>
      </c>
      <c r="E3495" t="s">
        <v>5399</v>
      </c>
      <c r="F3495">
        <v>2</v>
      </c>
      <c r="G3495" t="s">
        <v>302</v>
      </c>
      <c r="H3495">
        <v>12</v>
      </c>
      <c r="I3495" t="s">
        <v>5486</v>
      </c>
      <c r="J3495" t="s">
        <v>294</v>
      </c>
      <c r="M3495" t="s">
        <v>295</v>
      </c>
      <c r="N3495" t="s">
        <v>7</v>
      </c>
      <c r="O3495" t="s">
        <v>297</v>
      </c>
    </row>
    <row r="3496" spans="1:15" x14ac:dyDescent="0.3">
      <c r="A3496" t="s">
        <v>5374</v>
      </c>
      <c r="B3496" t="s">
        <v>5475</v>
      </c>
      <c r="C3496">
        <v>2023</v>
      </c>
      <c r="D3496" t="s">
        <v>300</v>
      </c>
      <c r="E3496" t="s">
        <v>316</v>
      </c>
      <c r="F3496">
        <v>3672</v>
      </c>
      <c r="G3496" t="s">
        <v>302</v>
      </c>
      <c r="H3496">
        <v>12</v>
      </c>
      <c r="I3496" t="s">
        <v>5487</v>
      </c>
      <c r="J3496" t="s">
        <v>294</v>
      </c>
      <c r="M3496" t="s">
        <v>295</v>
      </c>
      <c r="N3496" t="s">
        <v>7</v>
      </c>
      <c r="O3496" t="s">
        <v>297</v>
      </c>
    </row>
    <row r="3497" spans="1:15" x14ac:dyDescent="0.3">
      <c r="A3497" t="s">
        <v>5374</v>
      </c>
      <c r="B3497" t="s">
        <v>5475</v>
      </c>
      <c r="C3497">
        <v>2023</v>
      </c>
      <c r="D3497" t="s">
        <v>300</v>
      </c>
      <c r="E3497" t="s">
        <v>312</v>
      </c>
      <c r="F3497">
        <v>636</v>
      </c>
      <c r="G3497" t="s">
        <v>302</v>
      </c>
      <c r="H3497">
        <v>12</v>
      </c>
      <c r="I3497" t="s">
        <v>5488</v>
      </c>
      <c r="J3497" t="s">
        <v>294</v>
      </c>
      <c r="M3497" t="s">
        <v>295</v>
      </c>
      <c r="N3497" t="s">
        <v>7</v>
      </c>
      <c r="O3497" t="s">
        <v>297</v>
      </c>
    </row>
    <row r="3498" spans="1:15" x14ac:dyDescent="0.3">
      <c r="A3498" t="s">
        <v>5374</v>
      </c>
      <c r="B3498" t="s">
        <v>5475</v>
      </c>
      <c r="C3498">
        <v>2023</v>
      </c>
      <c r="D3498" t="s">
        <v>300</v>
      </c>
      <c r="E3498" t="s">
        <v>314</v>
      </c>
      <c r="F3498">
        <v>3037</v>
      </c>
      <c r="G3498" t="s">
        <v>302</v>
      </c>
      <c r="H3498">
        <v>12</v>
      </c>
      <c r="I3498" t="s">
        <v>5489</v>
      </c>
      <c r="J3498" t="s">
        <v>294</v>
      </c>
      <c r="M3498" t="s">
        <v>295</v>
      </c>
      <c r="N3498" t="s">
        <v>7</v>
      </c>
      <c r="O3498" t="s">
        <v>297</v>
      </c>
    </row>
    <row r="3499" spans="1:15" x14ac:dyDescent="0.3">
      <c r="A3499" t="s">
        <v>5374</v>
      </c>
      <c r="B3499" t="s">
        <v>5475</v>
      </c>
      <c r="C3499">
        <v>2023</v>
      </c>
      <c r="D3499" t="s">
        <v>300</v>
      </c>
      <c r="E3499" t="s">
        <v>322</v>
      </c>
      <c r="F3499">
        <v>2611</v>
      </c>
      <c r="G3499" t="s">
        <v>302</v>
      </c>
      <c r="H3499">
        <v>12</v>
      </c>
      <c r="I3499" t="s">
        <v>5490</v>
      </c>
      <c r="J3499" t="s">
        <v>294</v>
      </c>
      <c r="M3499" t="s">
        <v>295</v>
      </c>
      <c r="N3499" t="s">
        <v>7</v>
      </c>
      <c r="O3499" t="s">
        <v>297</v>
      </c>
    </row>
    <row r="3500" spans="1:15" x14ac:dyDescent="0.3">
      <c r="A3500" t="s">
        <v>5374</v>
      </c>
      <c r="B3500" t="s">
        <v>5475</v>
      </c>
      <c r="C3500">
        <v>2023</v>
      </c>
      <c r="D3500" t="s">
        <v>300</v>
      </c>
      <c r="E3500" t="s">
        <v>318</v>
      </c>
      <c r="F3500">
        <v>678</v>
      </c>
      <c r="G3500" t="s">
        <v>302</v>
      </c>
      <c r="H3500">
        <v>12</v>
      </c>
      <c r="I3500" t="s">
        <v>5491</v>
      </c>
      <c r="J3500" t="s">
        <v>294</v>
      </c>
      <c r="M3500" t="s">
        <v>295</v>
      </c>
      <c r="N3500" t="s">
        <v>7</v>
      </c>
      <c r="O3500" t="s">
        <v>297</v>
      </c>
    </row>
    <row r="3501" spans="1:15" x14ac:dyDescent="0.3">
      <c r="A3501" t="s">
        <v>5374</v>
      </c>
      <c r="B3501" t="s">
        <v>5475</v>
      </c>
      <c r="C3501">
        <v>2023</v>
      </c>
      <c r="D3501" t="s">
        <v>300</v>
      </c>
      <c r="E3501" t="s">
        <v>828</v>
      </c>
      <c r="F3501">
        <v>1933</v>
      </c>
      <c r="G3501" t="s">
        <v>302</v>
      </c>
      <c r="H3501">
        <v>12</v>
      </c>
      <c r="I3501" t="s">
        <v>5492</v>
      </c>
      <c r="J3501" t="s">
        <v>294</v>
      </c>
      <c r="M3501" t="s">
        <v>295</v>
      </c>
      <c r="N3501" t="s">
        <v>7</v>
      </c>
      <c r="O3501" t="s">
        <v>297</v>
      </c>
    </row>
    <row r="3502" spans="1:15" x14ac:dyDescent="0.3">
      <c r="A3502" t="s">
        <v>5374</v>
      </c>
      <c r="B3502" t="s">
        <v>5475</v>
      </c>
      <c r="C3502">
        <v>2023</v>
      </c>
      <c r="D3502" t="s">
        <v>300</v>
      </c>
      <c r="E3502" t="s">
        <v>324</v>
      </c>
      <c r="F3502">
        <v>1061</v>
      </c>
      <c r="G3502" t="s">
        <v>302</v>
      </c>
      <c r="H3502">
        <v>12</v>
      </c>
      <c r="I3502" t="s">
        <v>5493</v>
      </c>
      <c r="J3502" t="s">
        <v>294</v>
      </c>
      <c r="M3502" t="s">
        <v>295</v>
      </c>
      <c r="N3502" t="s">
        <v>7</v>
      </c>
      <c r="O3502" t="s">
        <v>297</v>
      </c>
    </row>
    <row r="3503" spans="1:15" x14ac:dyDescent="0.3">
      <c r="A3503" t="s">
        <v>5374</v>
      </c>
      <c r="B3503" t="s">
        <v>5475</v>
      </c>
      <c r="C3503">
        <v>2023</v>
      </c>
      <c r="D3503" t="s">
        <v>300</v>
      </c>
      <c r="E3503" t="s">
        <v>5408</v>
      </c>
      <c r="F3503">
        <v>243</v>
      </c>
      <c r="G3503" t="s">
        <v>302</v>
      </c>
      <c r="H3503">
        <v>75</v>
      </c>
      <c r="I3503" t="s">
        <v>5494</v>
      </c>
      <c r="J3503" t="s">
        <v>294</v>
      </c>
      <c r="M3503" t="s">
        <v>295</v>
      </c>
      <c r="N3503" t="s">
        <v>7</v>
      </c>
      <c r="O3503" t="s">
        <v>297</v>
      </c>
    </row>
    <row r="3504" spans="1:15" x14ac:dyDescent="0.3">
      <c r="A3504" t="s">
        <v>5374</v>
      </c>
      <c r="B3504" t="s">
        <v>5475</v>
      </c>
      <c r="C3504">
        <v>2023</v>
      </c>
      <c r="D3504" t="s">
        <v>300</v>
      </c>
      <c r="E3504" t="s">
        <v>601</v>
      </c>
      <c r="F3504">
        <v>136</v>
      </c>
      <c r="G3504" t="s">
        <v>302</v>
      </c>
      <c r="H3504">
        <v>75</v>
      </c>
      <c r="I3504" t="s">
        <v>5495</v>
      </c>
      <c r="J3504" t="s">
        <v>294</v>
      </c>
      <c r="M3504" t="s">
        <v>295</v>
      </c>
      <c r="N3504" t="s">
        <v>7</v>
      </c>
      <c r="O3504" t="s">
        <v>297</v>
      </c>
    </row>
    <row r="3505" spans="1:15" x14ac:dyDescent="0.3">
      <c r="A3505" t="s">
        <v>5374</v>
      </c>
      <c r="B3505" t="s">
        <v>5475</v>
      </c>
      <c r="C3505">
        <v>2023</v>
      </c>
      <c r="D3505" t="s">
        <v>300</v>
      </c>
      <c r="E3505" t="s">
        <v>603</v>
      </c>
      <c r="F3505">
        <v>-330</v>
      </c>
      <c r="G3505" t="s">
        <v>302</v>
      </c>
      <c r="H3505">
        <v>75</v>
      </c>
      <c r="I3505" t="s">
        <v>5496</v>
      </c>
      <c r="J3505" t="s">
        <v>294</v>
      </c>
      <c r="M3505" t="s">
        <v>295</v>
      </c>
      <c r="N3505" t="s">
        <v>7</v>
      </c>
      <c r="O3505" t="s">
        <v>297</v>
      </c>
    </row>
    <row r="3506" spans="1:15" x14ac:dyDescent="0.3">
      <c r="A3506" t="s">
        <v>5374</v>
      </c>
      <c r="B3506" t="s">
        <v>5475</v>
      </c>
      <c r="C3506">
        <v>2023</v>
      </c>
      <c r="D3506" t="s">
        <v>300</v>
      </c>
      <c r="E3506" t="s">
        <v>716</v>
      </c>
      <c r="F3506">
        <v>395</v>
      </c>
      <c r="G3506" t="s">
        <v>302</v>
      </c>
      <c r="H3506">
        <v>75</v>
      </c>
      <c r="I3506" t="s">
        <v>5497</v>
      </c>
      <c r="J3506" t="s">
        <v>294</v>
      </c>
      <c r="M3506" t="s">
        <v>295</v>
      </c>
      <c r="N3506" t="s">
        <v>7</v>
      </c>
      <c r="O3506" t="s">
        <v>297</v>
      </c>
    </row>
    <row r="3507" spans="1:15" x14ac:dyDescent="0.3">
      <c r="A3507" t="s">
        <v>5374</v>
      </c>
      <c r="B3507" t="s">
        <v>5475</v>
      </c>
      <c r="C3507">
        <v>2023</v>
      </c>
      <c r="D3507" t="s">
        <v>300</v>
      </c>
      <c r="E3507" t="s">
        <v>782</v>
      </c>
      <c r="F3507">
        <v>0.09</v>
      </c>
      <c r="G3507" t="s">
        <v>346</v>
      </c>
      <c r="H3507">
        <v>12</v>
      </c>
      <c r="I3507" t="s">
        <v>5498</v>
      </c>
      <c r="J3507" t="s">
        <v>294</v>
      </c>
      <c r="M3507" t="s">
        <v>295</v>
      </c>
      <c r="N3507" t="s">
        <v>7</v>
      </c>
      <c r="O3507" t="s">
        <v>297</v>
      </c>
    </row>
    <row r="3508" spans="1:15" x14ac:dyDescent="0.3">
      <c r="A3508" t="s">
        <v>5374</v>
      </c>
      <c r="B3508" t="s">
        <v>5475</v>
      </c>
      <c r="C3508">
        <v>2023</v>
      </c>
      <c r="D3508" t="s">
        <v>300</v>
      </c>
      <c r="E3508" t="s">
        <v>5499</v>
      </c>
      <c r="F3508">
        <v>23788868114</v>
      </c>
      <c r="G3508" t="s">
        <v>1633</v>
      </c>
      <c r="H3508">
        <v>12</v>
      </c>
      <c r="I3508" t="s">
        <v>5500</v>
      </c>
      <c r="J3508" t="s">
        <v>294</v>
      </c>
      <c r="M3508" t="s">
        <v>295</v>
      </c>
      <c r="N3508" t="s">
        <v>7</v>
      </c>
      <c r="O3508" t="s">
        <v>297</v>
      </c>
    </row>
    <row r="3509" spans="1:15" x14ac:dyDescent="0.3">
      <c r="A3509" t="s">
        <v>5374</v>
      </c>
      <c r="B3509" t="s">
        <v>5475</v>
      </c>
      <c r="C3509">
        <v>2023</v>
      </c>
      <c r="D3509" t="s">
        <v>300</v>
      </c>
      <c r="E3509" t="s">
        <v>1135</v>
      </c>
      <c r="F3509">
        <v>177</v>
      </c>
      <c r="G3509" t="s">
        <v>346</v>
      </c>
      <c r="H3509">
        <v>12</v>
      </c>
      <c r="I3509" t="s">
        <v>5501</v>
      </c>
      <c r="J3509" t="s">
        <v>294</v>
      </c>
      <c r="M3509" t="s">
        <v>295</v>
      </c>
      <c r="N3509" t="s">
        <v>7</v>
      </c>
      <c r="O3509" t="s">
        <v>297</v>
      </c>
    </row>
    <row r="3510" spans="1:15" x14ac:dyDescent="0.3">
      <c r="A3510" t="s">
        <v>5374</v>
      </c>
      <c r="B3510" t="s">
        <v>5475</v>
      </c>
      <c r="C3510">
        <v>2023</v>
      </c>
      <c r="D3510" t="s">
        <v>300</v>
      </c>
      <c r="E3510" t="s">
        <v>1137</v>
      </c>
      <c r="F3510">
        <v>4211</v>
      </c>
      <c r="G3510" t="s">
        <v>302</v>
      </c>
      <c r="H3510">
        <v>12</v>
      </c>
      <c r="I3510" t="s">
        <v>5502</v>
      </c>
      <c r="J3510" t="s">
        <v>294</v>
      </c>
      <c r="M3510" t="s">
        <v>295</v>
      </c>
      <c r="N3510" t="s">
        <v>7</v>
      </c>
      <c r="O3510" t="s">
        <v>297</v>
      </c>
    </row>
    <row r="3511" spans="1:15" x14ac:dyDescent="0.3">
      <c r="A3511" t="s">
        <v>5374</v>
      </c>
      <c r="B3511" t="s">
        <v>5475</v>
      </c>
      <c r="C3511">
        <v>2023</v>
      </c>
      <c r="D3511" t="s">
        <v>300</v>
      </c>
      <c r="E3511" t="s">
        <v>326</v>
      </c>
      <c r="F3511">
        <v>0.94</v>
      </c>
      <c r="G3511" t="s">
        <v>327</v>
      </c>
      <c r="H3511">
        <v>12</v>
      </c>
      <c r="I3511" t="s">
        <v>5503</v>
      </c>
      <c r="J3511" t="s">
        <v>294</v>
      </c>
      <c r="M3511" t="s">
        <v>295</v>
      </c>
      <c r="N3511" t="s">
        <v>7</v>
      </c>
      <c r="O3511" t="s">
        <v>297</v>
      </c>
    </row>
    <row r="3512" spans="1:15" x14ac:dyDescent="0.3">
      <c r="A3512" t="s">
        <v>5374</v>
      </c>
      <c r="B3512" t="s">
        <v>5475</v>
      </c>
      <c r="C3512">
        <v>2023</v>
      </c>
      <c r="D3512" t="s">
        <v>300</v>
      </c>
      <c r="E3512" t="s">
        <v>2762</v>
      </c>
      <c r="F3512">
        <v>2.4605999999999999</v>
      </c>
      <c r="G3512" t="s">
        <v>334</v>
      </c>
      <c r="H3512">
        <v>12</v>
      </c>
      <c r="I3512" t="s">
        <v>5504</v>
      </c>
      <c r="J3512" t="s">
        <v>294</v>
      </c>
      <c r="M3512" t="s">
        <v>295</v>
      </c>
      <c r="N3512" t="s">
        <v>7</v>
      </c>
      <c r="O3512" t="s">
        <v>297</v>
      </c>
    </row>
    <row r="3513" spans="1:15" x14ac:dyDescent="0.3">
      <c r="A3513" t="s">
        <v>5374</v>
      </c>
      <c r="B3513" t="s">
        <v>5475</v>
      </c>
      <c r="C3513">
        <v>2023</v>
      </c>
      <c r="D3513" t="s">
        <v>300</v>
      </c>
      <c r="E3513" t="s">
        <v>5416</v>
      </c>
      <c r="F3513">
        <v>0.71099999999999997</v>
      </c>
      <c r="G3513" t="s">
        <v>334</v>
      </c>
      <c r="H3513">
        <v>12</v>
      </c>
      <c r="I3513" t="s">
        <v>5505</v>
      </c>
      <c r="J3513" t="s">
        <v>294</v>
      </c>
      <c r="M3513" t="s">
        <v>295</v>
      </c>
      <c r="N3513" t="s">
        <v>7</v>
      </c>
      <c r="O3513" t="s">
        <v>297</v>
      </c>
    </row>
    <row r="3514" spans="1:15" x14ac:dyDescent="0.3">
      <c r="A3514" t="s">
        <v>5374</v>
      </c>
      <c r="B3514" t="s">
        <v>5475</v>
      </c>
      <c r="C3514">
        <v>2023</v>
      </c>
      <c r="D3514" t="s">
        <v>358</v>
      </c>
      <c r="E3514" t="s">
        <v>5418</v>
      </c>
      <c r="F3514">
        <v>28148</v>
      </c>
      <c r="G3514" t="s">
        <v>360</v>
      </c>
      <c r="H3514">
        <v>10</v>
      </c>
      <c r="I3514" t="s">
        <v>5506</v>
      </c>
      <c r="J3514" t="s">
        <v>294</v>
      </c>
      <c r="M3514" t="s">
        <v>295</v>
      </c>
      <c r="N3514" t="s">
        <v>7</v>
      </c>
      <c r="O3514" t="s">
        <v>297</v>
      </c>
    </row>
    <row r="3515" spans="1:15" x14ac:dyDescent="0.3">
      <c r="A3515" t="s">
        <v>5374</v>
      </c>
      <c r="B3515" t="s">
        <v>5475</v>
      </c>
      <c r="C3515">
        <v>2023</v>
      </c>
      <c r="D3515" t="s">
        <v>358</v>
      </c>
      <c r="E3515" t="s">
        <v>5507</v>
      </c>
      <c r="F3515">
        <v>12391</v>
      </c>
      <c r="G3515" t="s">
        <v>360</v>
      </c>
      <c r="H3515">
        <v>38</v>
      </c>
      <c r="I3515" t="s">
        <v>5508</v>
      </c>
      <c r="J3515" t="s">
        <v>294</v>
      </c>
      <c r="M3515" t="s">
        <v>295</v>
      </c>
      <c r="N3515" t="s">
        <v>7</v>
      </c>
      <c r="O3515" t="s">
        <v>297</v>
      </c>
    </row>
    <row r="3516" spans="1:15" x14ac:dyDescent="0.3">
      <c r="A3516" t="s">
        <v>5374</v>
      </c>
      <c r="B3516" t="s">
        <v>5475</v>
      </c>
      <c r="C3516">
        <v>2023</v>
      </c>
      <c r="D3516" t="s">
        <v>358</v>
      </c>
      <c r="E3516" t="s">
        <v>5509</v>
      </c>
      <c r="F3516">
        <v>8257</v>
      </c>
      <c r="G3516" t="s">
        <v>360</v>
      </c>
      <c r="H3516">
        <v>38</v>
      </c>
      <c r="I3516" t="s">
        <v>5510</v>
      </c>
      <c r="J3516" t="s">
        <v>294</v>
      </c>
      <c r="M3516" t="s">
        <v>295</v>
      </c>
      <c r="N3516" t="s">
        <v>7</v>
      </c>
      <c r="O3516" t="s">
        <v>297</v>
      </c>
    </row>
    <row r="3517" spans="1:15" x14ac:dyDescent="0.3">
      <c r="A3517" t="s">
        <v>5374</v>
      </c>
      <c r="B3517" t="s">
        <v>5475</v>
      </c>
      <c r="C3517">
        <v>2023</v>
      </c>
      <c r="D3517" t="s">
        <v>358</v>
      </c>
      <c r="E3517" t="s">
        <v>5511</v>
      </c>
      <c r="F3517">
        <v>6119</v>
      </c>
      <c r="G3517" t="s">
        <v>360</v>
      </c>
      <c r="H3517">
        <v>38</v>
      </c>
      <c r="I3517" t="s">
        <v>5512</v>
      </c>
      <c r="J3517" t="s">
        <v>294</v>
      </c>
      <c r="M3517" t="s">
        <v>295</v>
      </c>
      <c r="N3517" t="s">
        <v>7</v>
      </c>
      <c r="O3517" t="s">
        <v>297</v>
      </c>
    </row>
    <row r="3518" spans="1:15" x14ac:dyDescent="0.3">
      <c r="A3518" t="s">
        <v>5374</v>
      </c>
      <c r="B3518" t="s">
        <v>5475</v>
      </c>
      <c r="C3518">
        <v>2023</v>
      </c>
      <c r="D3518" t="s">
        <v>358</v>
      </c>
      <c r="E3518" t="s">
        <v>5513</v>
      </c>
      <c r="F3518">
        <v>1174</v>
      </c>
      <c r="G3518" t="s">
        <v>360</v>
      </c>
      <c r="H3518">
        <v>71</v>
      </c>
      <c r="I3518" t="s">
        <v>5514</v>
      </c>
      <c r="J3518" t="s">
        <v>294</v>
      </c>
      <c r="M3518" t="s">
        <v>295</v>
      </c>
      <c r="N3518" t="s">
        <v>7</v>
      </c>
      <c r="O3518" t="s">
        <v>297</v>
      </c>
    </row>
    <row r="3519" spans="1:15" x14ac:dyDescent="0.3">
      <c r="A3519" t="s">
        <v>5374</v>
      </c>
      <c r="B3519" t="s">
        <v>5475</v>
      </c>
      <c r="C3519">
        <v>2023</v>
      </c>
      <c r="D3519" t="s">
        <v>358</v>
      </c>
      <c r="E3519" t="s">
        <v>5515</v>
      </c>
      <c r="F3519">
        <v>3103</v>
      </c>
      <c r="G3519" t="s">
        <v>360</v>
      </c>
      <c r="H3519">
        <v>71</v>
      </c>
      <c r="I3519" t="s">
        <v>5516</v>
      </c>
      <c r="J3519" t="s">
        <v>294</v>
      </c>
      <c r="M3519" t="s">
        <v>295</v>
      </c>
      <c r="N3519" t="s">
        <v>7</v>
      </c>
      <c r="O3519" t="s">
        <v>297</v>
      </c>
    </row>
    <row r="3520" spans="1:15" x14ac:dyDescent="0.3">
      <c r="A3520" t="s">
        <v>5374</v>
      </c>
      <c r="B3520" t="s">
        <v>5475</v>
      </c>
      <c r="C3520">
        <v>2023</v>
      </c>
      <c r="D3520" t="s">
        <v>358</v>
      </c>
      <c r="E3520" t="s">
        <v>5517</v>
      </c>
      <c r="F3520">
        <v>22490</v>
      </c>
      <c r="G3520" t="s">
        <v>360</v>
      </c>
      <c r="H3520">
        <v>71</v>
      </c>
      <c r="I3520" t="s">
        <v>5518</v>
      </c>
      <c r="J3520" t="s">
        <v>294</v>
      </c>
      <c r="M3520" t="s">
        <v>295</v>
      </c>
      <c r="N3520" t="s">
        <v>7</v>
      </c>
      <c r="O3520" t="s">
        <v>297</v>
      </c>
    </row>
    <row r="3521" spans="1:15" x14ac:dyDescent="0.3">
      <c r="A3521" t="s">
        <v>5374</v>
      </c>
      <c r="B3521" t="s">
        <v>5475</v>
      </c>
      <c r="C3521">
        <v>2023</v>
      </c>
      <c r="D3521" t="s">
        <v>358</v>
      </c>
      <c r="E3521" t="s">
        <v>523</v>
      </c>
      <c r="F3521">
        <v>2</v>
      </c>
      <c r="G3521" t="s">
        <v>384</v>
      </c>
      <c r="H3521">
        <v>46</v>
      </c>
      <c r="I3521" t="s">
        <v>5519</v>
      </c>
      <c r="J3521" t="s">
        <v>294</v>
      </c>
      <c r="M3521" t="s">
        <v>295</v>
      </c>
      <c r="N3521" t="s">
        <v>7</v>
      </c>
      <c r="O3521" t="s">
        <v>297</v>
      </c>
    </row>
    <row r="3522" spans="1:15" x14ac:dyDescent="0.3">
      <c r="A3522" t="s">
        <v>5374</v>
      </c>
      <c r="B3522" t="s">
        <v>5475</v>
      </c>
      <c r="C3522">
        <v>2023</v>
      </c>
      <c r="D3522" t="s">
        <v>358</v>
      </c>
      <c r="E3522" t="s">
        <v>5520</v>
      </c>
      <c r="F3522">
        <v>60</v>
      </c>
      <c r="G3522" t="s">
        <v>738</v>
      </c>
      <c r="H3522">
        <v>150</v>
      </c>
      <c r="I3522" t="s">
        <v>5438</v>
      </c>
      <c r="J3522" t="s">
        <v>294</v>
      </c>
      <c r="M3522" t="s">
        <v>295</v>
      </c>
      <c r="N3522" t="s">
        <v>7</v>
      </c>
      <c r="O3522" t="s">
        <v>297</v>
      </c>
    </row>
    <row r="3523" spans="1:15" x14ac:dyDescent="0.3">
      <c r="A3523" t="s">
        <v>5374</v>
      </c>
      <c r="B3523" t="s">
        <v>5475</v>
      </c>
      <c r="C3523">
        <v>2023</v>
      </c>
      <c r="D3523" t="s">
        <v>358</v>
      </c>
      <c r="E3523" t="s">
        <v>5441</v>
      </c>
      <c r="F3523">
        <v>6000</v>
      </c>
      <c r="G3523" t="s">
        <v>396</v>
      </c>
      <c r="H3523">
        <v>151</v>
      </c>
      <c r="I3523" t="s">
        <v>5521</v>
      </c>
      <c r="J3523" t="s">
        <v>456</v>
      </c>
      <c r="M3523" t="s">
        <v>295</v>
      </c>
      <c r="N3523" t="s">
        <v>7</v>
      </c>
      <c r="O3523" t="s">
        <v>297</v>
      </c>
    </row>
    <row r="3524" spans="1:15" x14ac:dyDescent="0.3">
      <c r="A3524" t="s">
        <v>5374</v>
      </c>
      <c r="B3524" t="s">
        <v>5475</v>
      </c>
      <c r="C3524">
        <v>2023</v>
      </c>
      <c r="D3524" t="s">
        <v>394</v>
      </c>
      <c r="E3524" t="s">
        <v>3706</v>
      </c>
      <c r="F3524">
        <v>463843</v>
      </c>
      <c r="G3524" t="s">
        <v>396</v>
      </c>
      <c r="H3524">
        <v>71</v>
      </c>
      <c r="I3524" t="s">
        <v>5522</v>
      </c>
      <c r="J3524" t="s">
        <v>294</v>
      </c>
      <c r="M3524" t="s">
        <v>295</v>
      </c>
      <c r="N3524" t="s">
        <v>7</v>
      </c>
      <c r="O3524" t="s">
        <v>297</v>
      </c>
    </row>
    <row r="3525" spans="1:15" x14ac:dyDescent="0.3">
      <c r="A3525" t="s">
        <v>5374</v>
      </c>
      <c r="B3525" t="s">
        <v>5475</v>
      </c>
      <c r="C3525">
        <v>2023</v>
      </c>
      <c r="D3525" t="s">
        <v>394</v>
      </c>
      <c r="E3525" t="s">
        <v>406</v>
      </c>
      <c r="F3525">
        <v>91285</v>
      </c>
      <c r="G3525" t="s">
        <v>396</v>
      </c>
      <c r="H3525">
        <v>71</v>
      </c>
      <c r="I3525" t="s">
        <v>5523</v>
      </c>
      <c r="J3525" t="s">
        <v>294</v>
      </c>
      <c r="M3525" t="s">
        <v>295</v>
      </c>
      <c r="N3525" t="s">
        <v>7</v>
      </c>
      <c r="O3525" t="s">
        <v>297</v>
      </c>
    </row>
    <row r="3526" spans="1:15" x14ac:dyDescent="0.3">
      <c r="A3526" t="s">
        <v>5374</v>
      </c>
      <c r="B3526" t="s">
        <v>5475</v>
      </c>
      <c r="C3526">
        <v>2023</v>
      </c>
      <c r="D3526" t="s">
        <v>394</v>
      </c>
      <c r="E3526" t="s">
        <v>855</v>
      </c>
      <c r="F3526">
        <v>18926</v>
      </c>
      <c r="G3526" t="s">
        <v>396</v>
      </c>
      <c r="H3526">
        <v>71</v>
      </c>
      <c r="I3526" t="s">
        <v>5524</v>
      </c>
      <c r="J3526" t="s">
        <v>294</v>
      </c>
      <c r="M3526" t="s">
        <v>295</v>
      </c>
      <c r="N3526" t="s">
        <v>7</v>
      </c>
      <c r="O3526" t="s">
        <v>297</v>
      </c>
    </row>
    <row r="3527" spans="1:15" x14ac:dyDescent="0.3">
      <c r="A3527" t="s">
        <v>5374</v>
      </c>
      <c r="B3527" t="s">
        <v>5475</v>
      </c>
      <c r="C3527">
        <v>2023</v>
      </c>
      <c r="D3527" t="s">
        <v>394</v>
      </c>
      <c r="E3527" t="s">
        <v>1014</v>
      </c>
      <c r="F3527">
        <v>0.21690000000000001</v>
      </c>
      <c r="G3527" t="s">
        <v>334</v>
      </c>
      <c r="H3527">
        <v>71</v>
      </c>
      <c r="I3527" t="s">
        <v>5525</v>
      </c>
      <c r="J3527" t="s">
        <v>294</v>
      </c>
      <c r="M3527" t="s">
        <v>295</v>
      </c>
      <c r="N3527" t="s">
        <v>7</v>
      </c>
      <c r="O3527" t="s">
        <v>297</v>
      </c>
    </row>
    <row r="3528" spans="1:15" x14ac:dyDescent="0.3">
      <c r="A3528" t="s">
        <v>5374</v>
      </c>
      <c r="B3528" t="s">
        <v>5475</v>
      </c>
      <c r="C3528">
        <v>2023</v>
      </c>
      <c r="D3528" t="s">
        <v>394</v>
      </c>
      <c r="E3528" t="s">
        <v>654</v>
      </c>
      <c r="F3528">
        <v>4.6199999999999998E-2</v>
      </c>
      <c r="G3528" t="s">
        <v>334</v>
      </c>
      <c r="H3528">
        <v>151</v>
      </c>
      <c r="I3528" t="s">
        <v>5526</v>
      </c>
      <c r="J3528" t="s">
        <v>294</v>
      </c>
      <c r="M3528" t="s">
        <v>295</v>
      </c>
      <c r="N3528" t="s">
        <v>7</v>
      </c>
      <c r="O3528" t="s">
        <v>297</v>
      </c>
    </row>
    <row r="3529" spans="1:15" x14ac:dyDescent="0.3">
      <c r="A3529" t="s">
        <v>5374</v>
      </c>
      <c r="B3529" t="s">
        <v>5475</v>
      </c>
      <c r="C3529">
        <v>2023</v>
      </c>
      <c r="D3529" t="s">
        <v>394</v>
      </c>
      <c r="E3529" t="s">
        <v>438</v>
      </c>
      <c r="F3529">
        <v>92255</v>
      </c>
      <c r="G3529" t="s">
        <v>396</v>
      </c>
      <c r="H3529">
        <v>75</v>
      </c>
      <c r="I3529" t="s">
        <v>5527</v>
      </c>
      <c r="J3529" t="s">
        <v>294</v>
      </c>
      <c r="M3529" t="s">
        <v>295</v>
      </c>
      <c r="N3529" t="s">
        <v>7</v>
      </c>
      <c r="O3529" t="s">
        <v>297</v>
      </c>
    </row>
    <row r="3530" spans="1:15" x14ac:dyDescent="0.3">
      <c r="A3530" t="s">
        <v>5374</v>
      </c>
      <c r="B3530" t="s">
        <v>5475</v>
      </c>
      <c r="C3530">
        <v>2023</v>
      </c>
      <c r="D3530" t="s">
        <v>394</v>
      </c>
      <c r="E3530" t="s">
        <v>4994</v>
      </c>
      <c r="F3530">
        <v>18760</v>
      </c>
      <c r="G3530" t="s">
        <v>396</v>
      </c>
      <c r="H3530">
        <v>75</v>
      </c>
      <c r="I3530" t="s">
        <v>5528</v>
      </c>
      <c r="J3530" t="s">
        <v>294</v>
      </c>
      <c r="M3530" t="s">
        <v>295</v>
      </c>
      <c r="N3530" t="s">
        <v>7</v>
      </c>
      <c r="O3530" t="s">
        <v>297</v>
      </c>
    </row>
    <row r="3531" spans="1:15" x14ac:dyDescent="0.3">
      <c r="A3531" t="s">
        <v>5374</v>
      </c>
      <c r="B3531" t="s">
        <v>5475</v>
      </c>
      <c r="C3531">
        <v>2023</v>
      </c>
      <c r="D3531" t="s">
        <v>394</v>
      </c>
      <c r="E3531" t="s">
        <v>5455</v>
      </c>
      <c r="F3531">
        <v>47415</v>
      </c>
      <c r="G3531" t="s">
        <v>396</v>
      </c>
      <c r="H3531">
        <v>75</v>
      </c>
      <c r="I3531" t="s">
        <v>5529</v>
      </c>
      <c r="J3531" t="s">
        <v>294</v>
      </c>
      <c r="M3531" t="s">
        <v>295</v>
      </c>
      <c r="N3531" t="s">
        <v>7</v>
      </c>
      <c r="O3531" t="s">
        <v>297</v>
      </c>
    </row>
    <row r="3532" spans="1:15" x14ac:dyDescent="0.3">
      <c r="A3532" t="s">
        <v>5374</v>
      </c>
      <c r="B3532" t="s">
        <v>5475</v>
      </c>
      <c r="C3532">
        <v>2023</v>
      </c>
      <c r="D3532" t="s">
        <v>394</v>
      </c>
      <c r="E3532" t="s">
        <v>554</v>
      </c>
      <c r="F3532">
        <v>10796</v>
      </c>
      <c r="G3532" t="s">
        <v>436</v>
      </c>
      <c r="H3532">
        <v>75</v>
      </c>
      <c r="I3532" t="s">
        <v>5530</v>
      </c>
      <c r="J3532" t="s">
        <v>294</v>
      </c>
      <c r="M3532" t="s">
        <v>295</v>
      </c>
      <c r="N3532" t="s">
        <v>7</v>
      </c>
      <c r="O3532" t="s">
        <v>297</v>
      </c>
    </row>
    <row r="3533" spans="1:15" x14ac:dyDescent="0.3">
      <c r="A3533" t="s">
        <v>5374</v>
      </c>
      <c r="B3533" t="s">
        <v>5475</v>
      </c>
      <c r="C3533">
        <v>2023</v>
      </c>
      <c r="D3533" t="s">
        <v>394</v>
      </c>
      <c r="E3533" t="s">
        <v>5195</v>
      </c>
      <c r="F3533">
        <v>5007</v>
      </c>
      <c r="G3533" t="s">
        <v>436</v>
      </c>
      <c r="H3533">
        <v>75</v>
      </c>
      <c r="I3533" t="s">
        <v>5531</v>
      </c>
      <c r="J3533" t="s">
        <v>294</v>
      </c>
      <c r="M3533" t="s">
        <v>295</v>
      </c>
      <c r="N3533" t="s">
        <v>7</v>
      </c>
      <c r="O3533" t="s">
        <v>297</v>
      </c>
    </row>
    <row r="3534" spans="1:15" x14ac:dyDescent="0.3">
      <c r="A3534" t="s">
        <v>5374</v>
      </c>
      <c r="B3534" t="s">
        <v>5475</v>
      </c>
      <c r="C3534">
        <v>2023</v>
      </c>
      <c r="D3534" t="s">
        <v>394</v>
      </c>
      <c r="E3534" t="s">
        <v>3248</v>
      </c>
      <c r="F3534">
        <v>1996</v>
      </c>
      <c r="G3534" t="s">
        <v>436</v>
      </c>
      <c r="H3534">
        <v>75</v>
      </c>
      <c r="I3534" t="s">
        <v>5532</v>
      </c>
      <c r="J3534" t="s">
        <v>294</v>
      </c>
      <c r="M3534" t="s">
        <v>295</v>
      </c>
      <c r="N3534" t="s">
        <v>7</v>
      </c>
      <c r="O3534" t="s">
        <v>297</v>
      </c>
    </row>
    <row r="3535" spans="1:15" x14ac:dyDescent="0.3">
      <c r="A3535" t="s">
        <v>5374</v>
      </c>
      <c r="B3535" t="s">
        <v>5475</v>
      </c>
      <c r="C3535">
        <v>2023</v>
      </c>
      <c r="D3535" t="s">
        <v>394</v>
      </c>
      <c r="E3535" t="s">
        <v>3336</v>
      </c>
      <c r="F3535">
        <v>996</v>
      </c>
      <c r="G3535" t="s">
        <v>302</v>
      </c>
      <c r="H3535">
        <v>72</v>
      </c>
      <c r="I3535" t="s">
        <v>5533</v>
      </c>
      <c r="J3535" t="s">
        <v>294</v>
      </c>
      <c r="M3535" t="s">
        <v>295</v>
      </c>
      <c r="N3535" t="s">
        <v>7</v>
      </c>
      <c r="O3535" t="s">
        <v>297</v>
      </c>
    </row>
    <row r="3536" spans="1:15" x14ac:dyDescent="0.3">
      <c r="A3536" t="s">
        <v>5374</v>
      </c>
      <c r="B3536" t="s">
        <v>5475</v>
      </c>
      <c r="C3536">
        <v>2023</v>
      </c>
      <c r="D3536" t="s">
        <v>394</v>
      </c>
      <c r="E3536" t="s">
        <v>5461</v>
      </c>
      <c r="F3536">
        <v>94</v>
      </c>
      <c r="G3536" t="s">
        <v>302</v>
      </c>
      <c r="H3536">
        <v>72</v>
      </c>
      <c r="I3536" t="s">
        <v>5534</v>
      </c>
      <c r="J3536" t="s">
        <v>294</v>
      </c>
      <c r="M3536" t="s">
        <v>295</v>
      </c>
      <c r="N3536" t="s">
        <v>7</v>
      </c>
      <c r="O3536" t="s">
        <v>297</v>
      </c>
    </row>
    <row r="3537" spans="1:15" x14ac:dyDescent="0.3">
      <c r="A3537" t="s">
        <v>5374</v>
      </c>
      <c r="B3537" t="s">
        <v>5475</v>
      </c>
      <c r="C3537">
        <v>2023</v>
      </c>
      <c r="D3537" t="s">
        <v>394</v>
      </c>
      <c r="E3537" t="s">
        <v>3431</v>
      </c>
      <c r="F3537">
        <v>95</v>
      </c>
      <c r="G3537" t="s">
        <v>302</v>
      </c>
      <c r="H3537">
        <v>72</v>
      </c>
      <c r="I3537" t="s">
        <v>5535</v>
      </c>
      <c r="J3537" t="s">
        <v>294</v>
      </c>
      <c r="M3537" t="s">
        <v>295</v>
      </c>
      <c r="N3537" t="s">
        <v>7</v>
      </c>
      <c r="O3537" t="s">
        <v>297</v>
      </c>
    </row>
    <row r="3538" spans="1:15" x14ac:dyDescent="0.3">
      <c r="A3538" t="s">
        <v>5374</v>
      </c>
      <c r="B3538" t="s">
        <v>5475</v>
      </c>
      <c r="C3538">
        <v>2023</v>
      </c>
      <c r="D3538" t="s">
        <v>394</v>
      </c>
      <c r="E3538" t="s">
        <v>5536</v>
      </c>
      <c r="F3538">
        <v>442500</v>
      </c>
      <c r="G3538" t="s">
        <v>396</v>
      </c>
      <c r="H3538">
        <v>152</v>
      </c>
      <c r="I3538" t="s">
        <v>5537</v>
      </c>
      <c r="J3538" t="s">
        <v>294</v>
      </c>
      <c r="M3538" t="s">
        <v>295</v>
      </c>
      <c r="N3538" t="s">
        <v>7</v>
      </c>
      <c r="O3538" t="s">
        <v>297</v>
      </c>
    </row>
    <row r="3539" spans="1:15" x14ac:dyDescent="0.3">
      <c r="A3539" t="s">
        <v>5374</v>
      </c>
      <c r="B3539" t="s">
        <v>5475</v>
      </c>
      <c r="C3539">
        <v>2023</v>
      </c>
      <c r="D3539" t="s">
        <v>394</v>
      </c>
      <c r="E3539" t="s">
        <v>5538</v>
      </c>
      <c r="F3539">
        <v>89500</v>
      </c>
      <c r="G3539" t="s">
        <v>396</v>
      </c>
      <c r="H3539">
        <v>153</v>
      </c>
      <c r="I3539" t="s">
        <v>5539</v>
      </c>
      <c r="J3539" t="s">
        <v>294</v>
      </c>
      <c r="M3539" t="s">
        <v>295</v>
      </c>
      <c r="N3539" t="s">
        <v>7</v>
      </c>
      <c r="O3539" t="s">
        <v>297</v>
      </c>
    </row>
    <row r="3540" spans="1:15" x14ac:dyDescent="0.3">
      <c r="A3540" t="s">
        <v>5374</v>
      </c>
      <c r="B3540" t="s">
        <v>5475</v>
      </c>
      <c r="C3540">
        <v>2023</v>
      </c>
      <c r="D3540" t="s">
        <v>394</v>
      </c>
      <c r="E3540" t="s">
        <v>5468</v>
      </c>
      <c r="F3540">
        <v>5598</v>
      </c>
      <c r="G3540" t="s">
        <v>396</v>
      </c>
      <c r="H3540">
        <v>153</v>
      </c>
      <c r="I3540" t="s">
        <v>5540</v>
      </c>
      <c r="J3540" t="s">
        <v>294</v>
      </c>
      <c r="M3540" t="s">
        <v>295</v>
      </c>
      <c r="N3540" t="s">
        <v>7</v>
      </c>
      <c r="O3540" t="s">
        <v>297</v>
      </c>
    </row>
    <row r="3541" spans="1:15" x14ac:dyDescent="0.3">
      <c r="A3541" t="s">
        <v>5374</v>
      </c>
      <c r="B3541" t="s">
        <v>5475</v>
      </c>
      <c r="C3541">
        <v>2023</v>
      </c>
      <c r="D3541" t="s">
        <v>563</v>
      </c>
      <c r="E3541" t="s">
        <v>564</v>
      </c>
      <c r="F3541">
        <v>3</v>
      </c>
      <c r="G3541" t="s">
        <v>384</v>
      </c>
      <c r="H3541">
        <v>47</v>
      </c>
      <c r="I3541" t="s">
        <v>5541</v>
      </c>
      <c r="J3541" t="s">
        <v>294</v>
      </c>
      <c r="M3541" t="s">
        <v>295</v>
      </c>
      <c r="N3541" t="s">
        <v>7</v>
      </c>
      <c r="O3541" t="s">
        <v>297</v>
      </c>
    </row>
    <row r="3542" spans="1:15" x14ac:dyDescent="0.3">
      <c r="A3542" t="s">
        <v>5374</v>
      </c>
      <c r="B3542" t="s">
        <v>5475</v>
      </c>
      <c r="C3542">
        <v>2023</v>
      </c>
      <c r="D3542" t="s">
        <v>563</v>
      </c>
      <c r="E3542" t="s">
        <v>5471</v>
      </c>
      <c r="F3542">
        <v>44860</v>
      </c>
      <c r="G3542" t="s">
        <v>1498</v>
      </c>
      <c r="H3542">
        <v>11</v>
      </c>
      <c r="I3542" t="s">
        <v>5542</v>
      </c>
      <c r="J3542" t="s">
        <v>294</v>
      </c>
      <c r="M3542" t="s">
        <v>295</v>
      </c>
      <c r="N3542" t="s">
        <v>7</v>
      </c>
      <c r="O3542" t="s">
        <v>297</v>
      </c>
    </row>
    <row r="3543" spans="1:15" x14ac:dyDescent="0.3">
      <c r="A3543" t="s">
        <v>5374</v>
      </c>
      <c r="B3543" t="s">
        <v>5475</v>
      </c>
      <c r="C3543">
        <v>2023</v>
      </c>
      <c r="D3543" t="s">
        <v>563</v>
      </c>
      <c r="E3543" t="s">
        <v>5473</v>
      </c>
      <c r="F3543">
        <v>1960</v>
      </c>
      <c r="G3543" t="s">
        <v>1106</v>
      </c>
      <c r="H3543">
        <v>11</v>
      </c>
      <c r="I3543" t="s">
        <v>5543</v>
      </c>
      <c r="J3543" t="s">
        <v>294</v>
      </c>
      <c r="M3543" t="s">
        <v>295</v>
      </c>
      <c r="N3543" t="s">
        <v>7</v>
      </c>
      <c r="O3543" t="s">
        <v>297</v>
      </c>
    </row>
    <row r="3544" spans="1:15" x14ac:dyDescent="0.3">
      <c r="A3544" t="s">
        <v>5374</v>
      </c>
      <c r="B3544" t="s">
        <v>5544</v>
      </c>
      <c r="C3544">
        <v>2024</v>
      </c>
      <c r="D3544" t="s">
        <v>272</v>
      </c>
      <c r="E3544" t="s">
        <v>291</v>
      </c>
      <c r="F3544" t="s">
        <v>5374</v>
      </c>
      <c r="G3544" t="s">
        <v>292</v>
      </c>
      <c r="H3544">
        <v>44</v>
      </c>
      <c r="I3544" t="s">
        <v>5545</v>
      </c>
      <c r="J3544" t="s">
        <v>294</v>
      </c>
      <c r="M3544" t="s">
        <v>295</v>
      </c>
      <c r="N3544" t="s">
        <v>7</v>
      </c>
      <c r="O3544" t="s">
        <v>297</v>
      </c>
    </row>
    <row r="3545" spans="1:15" x14ac:dyDescent="0.3">
      <c r="A3545" t="s">
        <v>5374</v>
      </c>
      <c r="B3545" t="s">
        <v>5544</v>
      </c>
      <c r="C3545">
        <v>2024</v>
      </c>
      <c r="D3545" t="s">
        <v>272</v>
      </c>
      <c r="E3545" t="s">
        <v>1</v>
      </c>
      <c r="F3545" t="s">
        <v>21</v>
      </c>
      <c r="G3545" t="s">
        <v>292</v>
      </c>
      <c r="H3545">
        <v>44</v>
      </c>
      <c r="I3545" t="s">
        <v>5546</v>
      </c>
      <c r="J3545" t="s">
        <v>294</v>
      </c>
      <c r="M3545" t="s">
        <v>295</v>
      </c>
      <c r="N3545" t="s">
        <v>7</v>
      </c>
      <c r="O3545" t="s">
        <v>297</v>
      </c>
    </row>
    <row r="3546" spans="1:15" x14ac:dyDescent="0.3">
      <c r="A3546" t="s">
        <v>5374</v>
      </c>
      <c r="B3546" t="s">
        <v>5544</v>
      </c>
      <c r="C3546">
        <v>2024</v>
      </c>
      <c r="D3546" t="s">
        <v>272</v>
      </c>
      <c r="E3546" t="s">
        <v>2962</v>
      </c>
      <c r="F3546" t="s">
        <v>5547</v>
      </c>
      <c r="G3546" t="s">
        <v>666</v>
      </c>
      <c r="H3546">
        <v>44</v>
      </c>
      <c r="I3546" t="s">
        <v>5548</v>
      </c>
      <c r="J3546" t="s">
        <v>294</v>
      </c>
      <c r="M3546" t="s">
        <v>295</v>
      </c>
      <c r="N3546" t="s">
        <v>7</v>
      </c>
      <c r="O3546" t="s">
        <v>297</v>
      </c>
    </row>
    <row r="3547" spans="1:15" x14ac:dyDescent="0.3">
      <c r="A3547" t="s">
        <v>5374</v>
      </c>
      <c r="B3547" t="s">
        <v>5544</v>
      </c>
      <c r="C3547">
        <v>2024</v>
      </c>
      <c r="D3547" t="s">
        <v>272</v>
      </c>
      <c r="E3547" t="s">
        <v>869</v>
      </c>
      <c r="F3547" t="s">
        <v>5476</v>
      </c>
      <c r="G3547" t="s">
        <v>666</v>
      </c>
      <c r="H3547">
        <v>45</v>
      </c>
      <c r="I3547" t="s">
        <v>5549</v>
      </c>
      <c r="J3547" t="s">
        <v>294</v>
      </c>
      <c r="M3547" t="s">
        <v>295</v>
      </c>
      <c r="N3547" t="s">
        <v>7</v>
      </c>
      <c r="O3547" t="s">
        <v>297</v>
      </c>
    </row>
    <row r="3548" spans="1:15" x14ac:dyDescent="0.3">
      <c r="A3548" t="s">
        <v>5374</v>
      </c>
      <c r="B3548" t="s">
        <v>5544</v>
      </c>
      <c r="C3548">
        <v>2024</v>
      </c>
      <c r="D3548" t="s">
        <v>272</v>
      </c>
      <c r="E3548" t="s">
        <v>5550</v>
      </c>
      <c r="F3548" t="s">
        <v>5551</v>
      </c>
      <c r="G3548" t="s">
        <v>292</v>
      </c>
      <c r="H3548">
        <v>44</v>
      </c>
      <c r="I3548" t="s">
        <v>5552</v>
      </c>
      <c r="J3548" t="s">
        <v>294</v>
      </c>
      <c r="M3548" t="s">
        <v>295</v>
      </c>
      <c r="N3548" t="s">
        <v>7</v>
      </c>
      <c r="O3548" t="s">
        <v>297</v>
      </c>
    </row>
    <row r="3549" spans="1:15" x14ac:dyDescent="0.3">
      <c r="A3549" t="s">
        <v>5374</v>
      </c>
      <c r="B3549" t="s">
        <v>5544</v>
      </c>
      <c r="C3549">
        <v>2024</v>
      </c>
      <c r="D3549" t="s">
        <v>272</v>
      </c>
      <c r="E3549" t="s">
        <v>2697</v>
      </c>
      <c r="F3549">
        <v>4000000</v>
      </c>
      <c r="G3549" t="s">
        <v>1106</v>
      </c>
      <c r="H3549">
        <v>44</v>
      </c>
      <c r="I3549" t="s">
        <v>5553</v>
      </c>
      <c r="J3549" t="s">
        <v>294</v>
      </c>
      <c r="M3549" t="s">
        <v>295</v>
      </c>
      <c r="N3549" t="s">
        <v>7</v>
      </c>
      <c r="O3549" t="s">
        <v>297</v>
      </c>
    </row>
    <row r="3550" spans="1:15" x14ac:dyDescent="0.3">
      <c r="A3550" t="s">
        <v>5374</v>
      </c>
      <c r="B3550" t="s">
        <v>5544</v>
      </c>
      <c r="C3550">
        <v>2024</v>
      </c>
      <c r="D3550" t="s">
        <v>272</v>
      </c>
      <c r="E3550" t="s">
        <v>3646</v>
      </c>
      <c r="F3550">
        <v>1190078</v>
      </c>
      <c r="G3550" t="s">
        <v>1106</v>
      </c>
      <c r="H3550">
        <v>44</v>
      </c>
      <c r="I3550" t="s">
        <v>5554</v>
      </c>
      <c r="J3550" t="s">
        <v>294</v>
      </c>
      <c r="M3550" t="s">
        <v>295</v>
      </c>
      <c r="N3550" t="s">
        <v>7</v>
      </c>
      <c r="O3550" t="s">
        <v>297</v>
      </c>
    </row>
    <row r="3551" spans="1:15" x14ac:dyDescent="0.3">
      <c r="A3551" t="s">
        <v>5374</v>
      </c>
      <c r="B3551" t="s">
        <v>5544</v>
      </c>
      <c r="C3551">
        <v>2024</v>
      </c>
      <c r="D3551" t="s">
        <v>272</v>
      </c>
      <c r="E3551" t="s">
        <v>5388</v>
      </c>
      <c r="F3551">
        <v>180</v>
      </c>
      <c r="G3551" t="s">
        <v>384</v>
      </c>
      <c r="H3551">
        <v>69</v>
      </c>
      <c r="I3551" t="s">
        <v>5555</v>
      </c>
      <c r="J3551" t="s">
        <v>294</v>
      </c>
      <c r="M3551" t="s">
        <v>295</v>
      </c>
      <c r="N3551" t="s">
        <v>7</v>
      </c>
      <c r="O3551" t="s">
        <v>297</v>
      </c>
    </row>
    <row r="3552" spans="1:15" x14ac:dyDescent="0.3">
      <c r="A3552" t="s">
        <v>5374</v>
      </c>
      <c r="B3552" t="s">
        <v>5544</v>
      </c>
      <c r="C3552">
        <v>2024</v>
      </c>
      <c r="D3552" t="s">
        <v>272</v>
      </c>
      <c r="E3552" t="s">
        <v>5556</v>
      </c>
      <c r="F3552">
        <v>0.43580000000000002</v>
      </c>
      <c r="G3552" t="s">
        <v>334</v>
      </c>
      <c r="H3552">
        <v>63</v>
      </c>
      <c r="I3552" t="s">
        <v>5557</v>
      </c>
      <c r="J3552" t="s">
        <v>294</v>
      </c>
      <c r="M3552" t="s">
        <v>295</v>
      </c>
      <c r="N3552" t="s">
        <v>7</v>
      </c>
      <c r="O3552" t="s">
        <v>297</v>
      </c>
    </row>
    <row r="3553" spans="1:15" x14ac:dyDescent="0.3">
      <c r="A3553" t="s">
        <v>5374</v>
      </c>
      <c r="B3553" t="s">
        <v>5544</v>
      </c>
      <c r="C3553">
        <v>2024</v>
      </c>
      <c r="D3553" t="s">
        <v>272</v>
      </c>
      <c r="E3553" t="s">
        <v>5558</v>
      </c>
      <c r="F3553">
        <v>0.10290000000000001</v>
      </c>
      <c r="G3553" t="s">
        <v>334</v>
      </c>
      <c r="H3553">
        <v>63</v>
      </c>
      <c r="I3553" t="s">
        <v>5559</v>
      </c>
      <c r="J3553" t="s">
        <v>294</v>
      </c>
      <c r="M3553" t="s">
        <v>295</v>
      </c>
      <c r="N3553" t="s">
        <v>7</v>
      </c>
      <c r="O3553" t="s">
        <v>297</v>
      </c>
    </row>
    <row r="3554" spans="1:15" x14ac:dyDescent="0.3">
      <c r="A3554" t="s">
        <v>5374</v>
      </c>
      <c r="B3554" t="s">
        <v>5544</v>
      </c>
      <c r="C3554">
        <v>2024</v>
      </c>
      <c r="D3554" t="s">
        <v>272</v>
      </c>
      <c r="E3554" t="s">
        <v>5383</v>
      </c>
      <c r="F3554">
        <v>9.6199999999999994E-2</v>
      </c>
      <c r="G3554" t="s">
        <v>334</v>
      </c>
      <c r="H3554">
        <v>63</v>
      </c>
      <c r="I3554" t="s">
        <v>5560</v>
      </c>
      <c r="J3554" t="s">
        <v>294</v>
      </c>
      <c r="M3554" t="s">
        <v>295</v>
      </c>
      <c r="N3554" t="s">
        <v>7</v>
      </c>
      <c r="O3554" t="s">
        <v>297</v>
      </c>
    </row>
    <row r="3555" spans="1:15" x14ac:dyDescent="0.3">
      <c r="A3555" t="s">
        <v>5374</v>
      </c>
      <c r="B3555" t="s">
        <v>5544</v>
      </c>
      <c r="C3555">
        <v>2024</v>
      </c>
      <c r="D3555" t="s">
        <v>272</v>
      </c>
      <c r="E3555" t="s">
        <v>445</v>
      </c>
      <c r="F3555">
        <v>0.36509999999999998</v>
      </c>
      <c r="G3555" t="s">
        <v>334</v>
      </c>
      <c r="H3555">
        <v>63</v>
      </c>
      <c r="I3555" t="s">
        <v>5561</v>
      </c>
      <c r="J3555" t="s">
        <v>294</v>
      </c>
      <c r="M3555" t="s">
        <v>295</v>
      </c>
      <c r="N3555" t="s">
        <v>7</v>
      </c>
      <c r="O3555" t="s">
        <v>297</v>
      </c>
    </row>
    <row r="3556" spans="1:15" x14ac:dyDescent="0.3">
      <c r="A3556" t="s">
        <v>5374</v>
      </c>
      <c r="B3556" t="s">
        <v>5544</v>
      </c>
      <c r="C3556">
        <v>2024</v>
      </c>
      <c r="D3556" t="s">
        <v>272</v>
      </c>
      <c r="E3556" t="s">
        <v>4851</v>
      </c>
      <c r="F3556" t="s">
        <v>5562</v>
      </c>
      <c r="G3556" t="s">
        <v>292</v>
      </c>
      <c r="H3556">
        <v>65</v>
      </c>
      <c r="I3556" t="s">
        <v>5563</v>
      </c>
      <c r="J3556" t="s">
        <v>294</v>
      </c>
      <c r="M3556" t="s">
        <v>295</v>
      </c>
      <c r="N3556" t="s">
        <v>7</v>
      </c>
      <c r="O3556" t="s">
        <v>297</v>
      </c>
    </row>
    <row r="3557" spans="1:15" x14ac:dyDescent="0.3">
      <c r="A3557" t="s">
        <v>5374</v>
      </c>
      <c r="B3557" t="s">
        <v>5544</v>
      </c>
      <c r="C3557">
        <v>2024</v>
      </c>
      <c r="D3557" t="s">
        <v>272</v>
      </c>
      <c r="E3557" t="s">
        <v>5393</v>
      </c>
      <c r="F3557">
        <v>920</v>
      </c>
      <c r="G3557" t="s">
        <v>1106</v>
      </c>
      <c r="H3557">
        <v>68</v>
      </c>
      <c r="I3557" t="s">
        <v>5564</v>
      </c>
      <c r="J3557" t="s">
        <v>294</v>
      </c>
      <c r="M3557" t="s">
        <v>295</v>
      </c>
      <c r="N3557" t="s">
        <v>7</v>
      </c>
      <c r="O3557" t="s">
        <v>297</v>
      </c>
    </row>
    <row r="3558" spans="1:15" x14ac:dyDescent="0.3">
      <c r="A3558" t="s">
        <v>5374</v>
      </c>
      <c r="B3558" t="s">
        <v>5544</v>
      </c>
      <c r="C3558">
        <v>2024</v>
      </c>
      <c r="D3558" t="s">
        <v>272</v>
      </c>
      <c r="E3558" t="s">
        <v>5390</v>
      </c>
      <c r="F3558" t="s">
        <v>5391</v>
      </c>
      <c r="G3558" t="s">
        <v>292</v>
      </c>
      <c r="H3558">
        <v>68</v>
      </c>
      <c r="I3558" t="s">
        <v>5565</v>
      </c>
      <c r="J3558" t="s">
        <v>294</v>
      </c>
      <c r="M3558" t="s">
        <v>295</v>
      </c>
      <c r="N3558" t="s">
        <v>7</v>
      </c>
      <c r="O3558" t="s">
        <v>297</v>
      </c>
    </row>
    <row r="3559" spans="1:15" x14ac:dyDescent="0.3">
      <c r="A3559" t="s">
        <v>5374</v>
      </c>
      <c r="B3559" t="s">
        <v>5544</v>
      </c>
      <c r="C3559">
        <v>2024</v>
      </c>
      <c r="D3559" t="s">
        <v>300</v>
      </c>
      <c r="E3559" t="s">
        <v>3142</v>
      </c>
      <c r="F3559">
        <v>1490</v>
      </c>
      <c r="G3559" t="s">
        <v>302</v>
      </c>
      <c r="H3559">
        <v>12</v>
      </c>
      <c r="I3559" t="s">
        <v>5566</v>
      </c>
      <c r="J3559" t="s">
        <v>294</v>
      </c>
      <c r="M3559" t="s">
        <v>295</v>
      </c>
      <c r="N3559" t="s">
        <v>7</v>
      </c>
      <c r="O3559" t="s">
        <v>297</v>
      </c>
    </row>
    <row r="3560" spans="1:15" x14ac:dyDescent="0.3">
      <c r="A3560" t="s">
        <v>5374</v>
      </c>
      <c r="B3560" t="s">
        <v>5544</v>
      </c>
      <c r="C3560">
        <v>2024</v>
      </c>
      <c r="D3560" t="s">
        <v>300</v>
      </c>
      <c r="E3560" t="s">
        <v>688</v>
      </c>
      <c r="F3560">
        <v>905</v>
      </c>
      <c r="G3560" t="s">
        <v>302</v>
      </c>
      <c r="H3560">
        <v>12</v>
      </c>
      <c r="I3560" t="s">
        <v>5567</v>
      </c>
      <c r="J3560" t="s">
        <v>294</v>
      </c>
      <c r="M3560" t="s">
        <v>295</v>
      </c>
      <c r="N3560" t="s">
        <v>7</v>
      </c>
      <c r="O3560" t="s">
        <v>297</v>
      </c>
    </row>
    <row r="3561" spans="1:15" x14ac:dyDescent="0.3">
      <c r="A3561" t="s">
        <v>5374</v>
      </c>
      <c r="B3561" t="s">
        <v>5544</v>
      </c>
      <c r="C3561">
        <v>2024</v>
      </c>
      <c r="D3561" t="s">
        <v>300</v>
      </c>
      <c r="E3561" t="s">
        <v>304</v>
      </c>
      <c r="F3561">
        <v>585</v>
      </c>
      <c r="G3561" t="s">
        <v>302</v>
      </c>
      <c r="H3561">
        <v>12</v>
      </c>
      <c r="I3561" t="s">
        <v>5568</v>
      </c>
      <c r="J3561" t="s">
        <v>294</v>
      </c>
      <c r="M3561" t="s">
        <v>295</v>
      </c>
      <c r="N3561" t="s">
        <v>7</v>
      </c>
      <c r="O3561" t="s">
        <v>297</v>
      </c>
    </row>
    <row r="3562" spans="1:15" x14ac:dyDescent="0.3">
      <c r="A3562" t="s">
        <v>5374</v>
      </c>
      <c r="B3562" t="s">
        <v>5544</v>
      </c>
      <c r="C3562">
        <v>2024</v>
      </c>
      <c r="D3562" t="s">
        <v>300</v>
      </c>
      <c r="E3562" t="s">
        <v>306</v>
      </c>
      <c r="F3562">
        <v>305</v>
      </c>
      <c r="G3562" t="s">
        <v>302</v>
      </c>
      <c r="H3562">
        <v>12</v>
      </c>
      <c r="I3562" t="s">
        <v>5569</v>
      </c>
      <c r="J3562" t="s">
        <v>294</v>
      </c>
      <c r="M3562" t="s">
        <v>295</v>
      </c>
      <c r="N3562" t="s">
        <v>7</v>
      </c>
      <c r="O3562" t="s">
        <v>297</v>
      </c>
    </row>
    <row r="3563" spans="1:15" x14ac:dyDescent="0.3">
      <c r="A3563" t="s">
        <v>5374</v>
      </c>
      <c r="B3563" t="s">
        <v>5544</v>
      </c>
      <c r="C3563">
        <v>2024</v>
      </c>
      <c r="D3563" t="s">
        <v>300</v>
      </c>
      <c r="E3563" t="s">
        <v>5399</v>
      </c>
      <c r="F3563">
        <v>305</v>
      </c>
      <c r="G3563" t="s">
        <v>302</v>
      </c>
      <c r="H3563">
        <v>12</v>
      </c>
      <c r="I3563" t="s">
        <v>5570</v>
      </c>
      <c r="J3563" t="s">
        <v>294</v>
      </c>
      <c r="M3563" t="s">
        <v>295</v>
      </c>
      <c r="N3563" t="s">
        <v>7</v>
      </c>
      <c r="O3563" t="s">
        <v>297</v>
      </c>
    </row>
    <row r="3564" spans="1:15" x14ac:dyDescent="0.3">
      <c r="A3564" t="s">
        <v>5374</v>
      </c>
      <c r="B3564" t="s">
        <v>5544</v>
      </c>
      <c r="C3564">
        <v>2024</v>
      </c>
      <c r="D3564" t="s">
        <v>300</v>
      </c>
      <c r="E3564" t="s">
        <v>316</v>
      </c>
      <c r="F3564">
        <v>3728</v>
      </c>
      <c r="G3564" t="s">
        <v>302</v>
      </c>
      <c r="H3564">
        <v>12</v>
      </c>
      <c r="I3564" t="s">
        <v>5571</v>
      </c>
      <c r="J3564" t="s">
        <v>294</v>
      </c>
      <c r="M3564" t="s">
        <v>295</v>
      </c>
      <c r="N3564" t="s">
        <v>7</v>
      </c>
      <c r="O3564" t="s">
        <v>297</v>
      </c>
    </row>
    <row r="3565" spans="1:15" x14ac:dyDescent="0.3">
      <c r="A3565" t="s">
        <v>5374</v>
      </c>
      <c r="B3565" t="s">
        <v>5544</v>
      </c>
      <c r="C3565">
        <v>2024</v>
      </c>
      <c r="D3565" t="s">
        <v>300</v>
      </c>
      <c r="E3565" t="s">
        <v>312</v>
      </c>
      <c r="F3565">
        <v>720</v>
      </c>
      <c r="G3565" t="s">
        <v>302</v>
      </c>
      <c r="H3565">
        <v>12</v>
      </c>
      <c r="I3565" t="s">
        <v>5572</v>
      </c>
      <c r="J3565" t="s">
        <v>294</v>
      </c>
      <c r="M3565" t="s">
        <v>295</v>
      </c>
      <c r="N3565" t="s">
        <v>7</v>
      </c>
      <c r="O3565" t="s">
        <v>297</v>
      </c>
    </row>
    <row r="3566" spans="1:15" x14ac:dyDescent="0.3">
      <c r="A3566" t="s">
        <v>5374</v>
      </c>
      <c r="B3566" t="s">
        <v>5544</v>
      </c>
      <c r="C3566">
        <v>2024</v>
      </c>
      <c r="D3566" t="s">
        <v>300</v>
      </c>
      <c r="E3566" t="s">
        <v>314</v>
      </c>
      <c r="F3566">
        <v>3008</v>
      </c>
      <c r="G3566" t="s">
        <v>302</v>
      </c>
      <c r="H3566">
        <v>12</v>
      </c>
      <c r="I3566" t="s">
        <v>5573</v>
      </c>
      <c r="J3566" t="s">
        <v>294</v>
      </c>
      <c r="M3566" t="s">
        <v>295</v>
      </c>
      <c r="N3566" t="s">
        <v>7</v>
      </c>
      <c r="O3566" t="s">
        <v>297</v>
      </c>
    </row>
    <row r="3567" spans="1:15" x14ac:dyDescent="0.3">
      <c r="A3567" t="s">
        <v>5374</v>
      </c>
      <c r="B3567" t="s">
        <v>5544</v>
      </c>
      <c r="C3567">
        <v>2024</v>
      </c>
      <c r="D3567" t="s">
        <v>300</v>
      </c>
      <c r="E3567" t="s">
        <v>322</v>
      </c>
      <c r="F3567">
        <v>2363</v>
      </c>
      <c r="G3567" t="s">
        <v>302</v>
      </c>
      <c r="H3567">
        <v>12</v>
      </c>
      <c r="I3567" t="s">
        <v>5574</v>
      </c>
      <c r="J3567" t="s">
        <v>294</v>
      </c>
      <c r="M3567" t="s">
        <v>295</v>
      </c>
      <c r="N3567" t="s">
        <v>7</v>
      </c>
      <c r="O3567" t="s">
        <v>297</v>
      </c>
    </row>
    <row r="3568" spans="1:15" x14ac:dyDescent="0.3">
      <c r="A3568" t="s">
        <v>5374</v>
      </c>
      <c r="B3568" t="s">
        <v>5544</v>
      </c>
      <c r="C3568">
        <v>2024</v>
      </c>
      <c r="D3568" t="s">
        <v>300</v>
      </c>
      <c r="E3568" t="s">
        <v>318</v>
      </c>
      <c r="F3568">
        <v>627</v>
      </c>
      <c r="G3568" t="s">
        <v>302</v>
      </c>
      <c r="H3568">
        <v>12</v>
      </c>
      <c r="I3568" t="s">
        <v>5575</v>
      </c>
      <c r="J3568" t="s">
        <v>294</v>
      </c>
      <c r="M3568" t="s">
        <v>295</v>
      </c>
      <c r="N3568" t="s">
        <v>7</v>
      </c>
      <c r="O3568" t="s">
        <v>297</v>
      </c>
    </row>
    <row r="3569" spans="1:15" x14ac:dyDescent="0.3">
      <c r="A3569" t="s">
        <v>5374</v>
      </c>
      <c r="B3569" t="s">
        <v>5544</v>
      </c>
      <c r="C3569">
        <v>2024</v>
      </c>
      <c r="D3569" t="s">
        <v>300</v>
      </c>
      <c r="E3569" t="s">
        <v>828</v>
      </c>
      <c r="F3569">
        <v>1735</v>
      </c>
      <c r="G3569" t="s">
        <v>302</v>
      </c>
      <c r="H3569">
        <v>12</v>
      </c>
      <c r="I3569" t="s">
        <v>5576</v>
      </c>
      <c r="J3569" t="s">
        <v>294</v>
      </c>
      <c r="M3569" t="s">
        <v>295</v>
      </c>
      <c r="N3569" t="s">
        <v>7</v>
      </c>
      <c r="O3569" t="s">
        <v>297</v>
      </c>
    </row>
    <row r="3570" spans="1:15" x14ac:dyDescent="0.3">
      <c r="A3570" t="s">
        <v>5374</v>
      </c>
      <c r="B3570" t="s">
        <v>5544</v>
      </c>
      <c r="C3570">
        <v>2024</v>
      </c>
      <c r="D3570" t="s">
        <v>300</v>
      </c>
      <c r="E3570" t="s">
        <v>324</v>
      </c>
      <c r="F3570">
        <v>1365</v>
      </c>
      <c r="G3570" t="s">
        <v>302</v>
      </c>
      <c r="H3570">
        <v>12</v>
      </c>
      <c r="I3570" t="s">
        <v>5577</v>
      </c>
      <c r="J3570" t="s">
        <v>294</v>
      </c>
      <c r="M3570" t="s">
        <v>295</v>
      </c>
      <c r="N3570" t="s">
        <v>7</v>
      </c>
      <c r="O3570" t="s">
        <v>297</v>
      </c>
    </row>
    <row r="3571" spans="1:15" x14ac:dyDescent="0.3">
      <c r="A3571" t="s">
        <v>5374</v>
      </c>
      <c r="B3571" t="s">
        <v>5544</v>
      </c>
      <c r="C3571">
        <v>2024</v>
      </c>
      <c r="D3571" t="s">
        <v>300</v>
      </c>
      <c r="E3571" t="s">
        <v>5408</v>
      </c>
      <c r="F3571">
        <v>386</v>
      </c>
      <c r="G3571" t="s">
        <v>302</v>
      </c>
      <c r="H3571">
        <v>80</v>
      </c>
      <c r="I3571" t="s">
        <v>5578</v>
      </c>
      <c r="J3571" t="s">
        <v>294</v>
      </c>
      <c r="M3571" t="s">
        <v>295</v>
      </c>
      <c r="N3571" t="s">
        <v>7</v>
      </c>
      <c r="O3571" t="s">
        <v>297</v>
      </c>
    </row>
    <row r="3572" spans="1:15" x14ac:dyDescent="0.3">
      <c r="A3572" t="s">
        <v>5374</v>
      </c>
      <c r="B3572" t="s">
        <v>5544</v>
      </c>
      <c r="C3572">
        <v>2024</v>
      </c>
      <c r="D3572" t="s">
        <v>300</v>
      </c>
      <c r="E3572" t="s">
        <v>601</v>
      </c>
      <c r="F3572">
        <v>438</v>
      </c>
      <c r="G3572" t="s">
        <v>302</v>
      </c>
      <c r="H3572">
        <v>80</v>
      </c>
      <c r="I3572" t="s">
        <v>5579</v>
      </c>
      <c r="J3572" t="s">
        <v>294</v>
      </c>
      <c r="M3572" t="s">
        <v>295</v>
      </c>
      <c r="N3572" t="s">
        <v>7</v>
      </c>
      <c r="O3572" t="s">
        <v>297</v>
      </c>
    </row>
    <row r="3573" spans="1:15" x14ac:dyDescent="0.3">
      <c r="A3573" t="s">
        <v>5374</v>
      </c>
      <c r="B3573" t="s">
        <v>5544</v>
      </c>
      <c r="C3573">
        <v>2024</v>
      </c>
      <c r="D3573" t="s">
        <v>300</v>
      </c>
      <c r="E3573" t="s">
        <v>603</v>
      </c>
      <c r="F3573">
        <v>-175</v>
      </c>
      <c r="G3573" t="s">
        <v>302</v>
      </c>
      <c r="H3573">
        <v>80</v>
      </c>
      <c r="I3573" t="s">
        <v>5580</v>
      </c>
      <c r="J3573" t="s">
        <v>294</v>
      </c>
      <c r="M3573" t="s">
        <v>295</v>
      </c>
      <c r="N3573" t="s">
        <v>7</v>
      </c>
      <c r="O3573" t="s">
        <v>297</v>
      </c>
    </row>
    <row r="3574" spans="1:15" x14ac:dyDescent="0.3">
      <c r="A3574" t="s">
        <v>5374</v>
      </c>
      <c r="B3574" t="s">
        <v>5544</v>
      </c>
      <c r="C3574">
        <v>2024</v>
      </c>
      <c r="D3574" t="s">
        <v>300</v>
      </c>
      <c r="E3574" t="s">
        <v>716</v>
      </c>
      <c r="F3574">
        <v>-120</v>
      </c>
      <c r="G3574" t="s">
        <v>302</v>
      </c>
      <c r="H3574">
        <v>80</v>
      </c>
      <c r="I3574" t="s">
        <v>5581</v>
      </c>
      <c r="J3574" t="s">
        <v>294</v>
      </c>
      <c r="M3574" t="s">
        <v>295</v>
      </c>
      <c r="N3574" t="s">
        <v>7</v>
      </c>
      <c r="O3574" t="s">
        <v>297</v>
      </c>
    </row>
    <row r="3575" spans="1:15" x14ac:dyDescent="0.3">
      <c r="A3575" t="s">
        <v>5374</v>
      </c>
      <c r="B3575" t="s">
        <v>5544</v>
      </c>
      <c r="C3575">
        <v>2024</v>
      </c>
      <c r="D3575" t="s">
        <v>300</v>
      </c>
      <c r="E3575" t="s">
        <v>5582</v>
      </c>
      <c r="F3575">
        <v>75</v>
      </c>
      <c r="G3575" t="s">
        <v>302</v>
      </c>
      <c r="H3575">
        <v>86</v>
      </c>
      <c r="I3575" t="s">
        <v>5583</v>
      </c>
      <c r="J3575" t="s">
        <v>294</v>
      </c>
      <c r="M3575" t="s">
        <v>295</v>
      </c>
      <c r="N3575" t="s">
        <v>7</v>
      </c>
      <c r="O3575" t="s">
        <v>297</v>
      </c>
    </row>
    <row r="3576" spans="1:15" x14ac:dyDescent="0.3">
      <c r="A3576" t="s">
        <v>5374</v>
      </c>
      <c r="B3576" t="s">
        <v>5544</v>
      </c>
      <c r="C3576">
        <v>2024</v>
      </c>
      <c r="D3576" t="s">
        <v>300</v>
      </c>
      <c r="E3576" t="s">
        <v>782</v>
      </c>
      <c r="F3576">
        <v>12.8</v>
      </c>
      <c r="G3576" t="s">
        <v>346</v>
      </c>
      <c r="H3576">
        <v>12</v>
      </c>
      <c r="I3576" t="s">
        <v>5584</v>
      </c>
      <c r="J3576" t="s">
        <v>294</v>
      </c>
      <c r="M3576" t="s">
        <v>295</v>
      </c>
      <c r="N3576" t="s">
        <v>7</v>
      </c>
      <c r="O3576" t="s">
        <v>297</v>
      </c>
    </row>
    <row r="3577" spans="1:15" x14ac:dyDescent="0.3">
      <c r="A3577" t="s">
        <v>5374</v>
      </c>
      <c r="B3577" t="s">
        <v>5544</v>
      </c>
      <c r="C3577">
        <v>2024</v>
      </c>
      <c r="D3577" t="s">
        <v>300</v>
      </c>
      <c r="E3577" t="s">
        <v>342</v>
      </c>
      <c r="F3577">
        <v>23801568645</v>
      </c>
      <c r="G3577" t="s">
        <v>1633</v>
      </c>
      <c r="H3577">
        <v>14</v>
      </c>
      <c r="I3577" t="s">
        <v>5585</v>
      </c>
      <c r="J3577" t="s">
        <v>294</v>
      </c>
      <c r="M3577" t="s">
        <v>295</v>
      </c>
      <c r="N3577" t="s">
        <v>7</v>
      </c>
      <c r="O3577" t="s">
        <v>297</v>
      </c>
    </row>
    <row r="3578" spans="1:15" x14ac:dyDescent="0.3">
      <c r="A3578" t="s">
        <v>5374</v>
      </c>
      <c r="B3578" t="s">
        <v>5544</v>
      </c>
      <c r="C3578">
        <v>2024</v>
      </c>
      <c r="D3578" t="s">
        <v>300</v>
      </c>
      <c r="E3578" t="s">
        <v>1048</v>
      </c>
      <c r="F3578">
        <v>276</v>
      </c>
      <c r="G3578" t="s">
        <v>346</v>
      </c>
      <c r="H3578">
        <v>14</v>
      </c>
      <c r="I3578" t="s">
        <v>5586</v>
      </c>
      <c r="J3578" t="s">
        <v>294</v>
      </c>
      <c r="M3578" t="s">
        <v>295</v>
      </c>
      <c r="N3578" t="s">
        <v>7</v>
      </c>
      <c r="O3578" t="s">
        <v>297</v>
      </c>
    </row>
    <row r="3579" spans="1:15" x14ac:dyDescent="0.3">
      <c r="A3579" t="s">
        <v>5374</v>
      </c>
      <c r="B3579" t="s">
        <v>5544</v>
      </c>
      <c r="C3579">
        <v>2024</v>
      </c>
      <c r="D3579" t="s">
        <v>300</v>
      </c>
      <c r="E3579" t="s">
        <v>5587</v>
      </c>
      <c r="F3579">
        <v>6569</v>
      </c>
      <c r="G3579" t="s">
        <v>302</v>
      </c>
      <c r="H3579">
        <v>14</v>
      </c>
      <c r="I3579" t="s">
        <v>5588</v>
      </c>
      <c r="J3579" t="s">
        <v>294</v>
      </c>
      <c r="M3579" t="s">
        <v>295</v>
      </c>
      <c r="N3579" t="s">
        <v>7</v>
      </c>
      <c r="O3579" t="s">
        <v>297</v>
      </c>
    </row>
    <row r="3580" spans="1:15" x14ac:dyDescent="0.3">
      <c r="A3580" t="s">
        <v>5374</v>
      </c>
      <c r="B3580" t="s">
        <v>5544</v>
      </c>
      <c r="C3580">
        <v>2024</v>
      </c>
      <c r="D3580" t="s">
        <v>300</v>
      </c>
      <c r="E3580" t="s">
        <v>326</v>
      </c>
      <c r="F3580">
        <v>1.1499999999999999</v>
      </c>
      <c r="G3580" t="s">
        <v>327</v>
      </c>
      <c r="H3580">
        <v>12</v>
      </c>
      <c r="I3580" t="s">
        <v>5589</v>
      </c>
      <c r="J3580" t="s">
        <v>294</v>
      </c>
      <c r="M3580" t="s">
        <v>295</v>
      </c>
      <c r="N3580" t="s">
        <v>7</v>
      </c>
      <c r="O3580" t="s">
        <v>297</v>
      </c>
    </row>
    <row r="3581" spans="1:15" x14ac:dyDescent="0.3">
      <c r="A3581" t="s">
        <v>5374</v>
      </c>
      <c r="B3581" t="s">
        <v>5544</v>
      </c>
      <c r="C3581">
        <v>2024</v>
      </c>
      <c r="D3581" t="s">
        <v>300</v>
      </c>
      <c r="E3581" t="s">
        <v>2762</v>
      </c>
      <c r="F3581">
        <v>1.7307999999999999</v>
      </c>
      <c r="G3581" t="s">
        <v>334</v>
      </c>
      <c r="H3581">
        <v>12</v>
      </c>
      <c r="I3581" t="s">
        <v>5590</v>
      </c>
      <c r="J3581" t="s">
        <v>294</v>
      </c>
      <c r="M3581" t="s">
        <v>295</v>
      </c>
      <c r="N3581" t="s">
        <v>7</v>
      </c>
      <c r="O3581" t="s">
        <v>297</v>
      </c>
    </row>
    <row r="3582" spans="1:15" x14ac:dyDescent="0.3">
      <c r="A3582" t="s">
        <v>5374</v>
      </c>
      <c r="B3582" t="s">
        <v>5544</v>
      </c>
      <c r="C3582">
        <v>2024</v>
      </c>
      <c r="D3582" t="s">
        <v>300</v>
      </c>
      <c r="E3582" t="s">
        <v>5416</v>
      </c>
      <c r="F3582">
        <v>0.63380000000000003</v>
      </c>
      <c r="G3582" t="s">
        <v>334</v>
      </c>
      <c r="H3582">
        <v>12</v>
      </c>
      <c r="I3582" t="s">
        <v>5591</v>
      </c>
      <c r="J3582" t="s">
        <v>294</v>
      </c>
      <c r="M3582" t="s">
        <v>295</v>
      </c>
      <c r="N3582" t="s">
        <v>7</v>
      </c>
      <c r="O3582" t="s">
        <v>297</v>
      </c>
    </row>
    <row r="3583" spans="1:15" x14ac:dyDescent="0.3">
      <c r="A3583" t="s">
        <v>5374</v>
      </c>
      <c r="B3583" t="s">
        <v>5544</v>
      </c>
      <c r="C3583">
        <v>2024</v>
      </c>
      <c r="D3583" t="s">
        <v>300</v>
      </c>
      <c r="E3583" t="s">
        <v>333</v>
      </c>
      <c r="F3583">
        <v>8.1699999999999995E-2</v>
      </c>
      <c r="G3583" t="s">
        <v>334</v>
      </c>
      <c r="H3583">
        <v>12</v>
      </c>
      <c r="I3583" t="s">
        <v>5592</v>
      </c>
      <c r="J3583" t="s">
        <v>294</v>
      </c>
      <c r="M3583" t="s">
        <v>295</v>
      </c>
      <c r="N3583" t="s">
        <v>7</v>
      </c>
      <c r="O3583" t="s">
        <v>297</v>
      </c>
    </row>
    <row r="3584" spans="1:15" x14ac:dyDescent="0.3">
      <c r="A3584" t="s">
        <v>5374</v>
      </c>
      <c r="B3584" t="s">
        <v>5544</v>
      </c>
      <c r="C3584">
        <v>2024</v>
      </c>
      <c r="D3584" t="s">
        <v>300</v>
      </c>
      <c r="E3584" t="s">
        <v>336</v>
      </c>
      <c r="F3584">
        <v>0.22320000000000001</v>
      </c>
      <c r="G3584" t="s">
        <v>334</v>
      </c>
      <c r="H3584">
        <v>12</v>
      </c>
      <c r="I3584" t="s">
        <v>5593</v>
      </c>
      <c r="J3584" t="s">
        <v>294</v>
      </c>
      <c r="M3584" t="s">
        <v>295</v>
      </c>
      <c r="N3584" t="s">
        <v>7</v>
      </c>
      <c r="O3584" t="s">
        <v>297</v>
      </c>
    </row>
    <row r="3585" spans="1:15" x14ac:dyDescent="0.3">
      <c r="A3585" t="s">
        <v>5374</v>
      </c>
      <c r="B3585" t="s">
        <v>5544</v>
      </c>
      <c r="C3585">
        <v>2024</v>
      </c>
      <c r="D3585" t="s">
        <v>300</v>
      </c>
      <c r="E3585" t="s">
        <v>901</v>
      </c>
      <c r="F3585">
        <v>0.4738</v>
      </c>
      <c r="G3585" t="s">
        <v>334</v>
      </c>
      <c r="H3585">
        <v>12</v>
      </c>
      <c r="I3585" t="s">
        <v>5594</v>
      </c>
      <c r="J3585" t="s">
        <v>294</v>
      </c>
      <c r="M3585" t="s">
        <v>295</v>
      </c>
      <c r="N3585" t="s">
        <v>7</v>
      </c>
      <c r="O3585" t="s">
        <v>297</v>
      </c>
    </row>
    <row r="3586" spans="1:15" x14ac:dyDescent="0.3">
      <c r="A3586" t="s">
        <v>5374</v>
      </c>
      <c r="B3586" t="s">
        <v>5544</v>
      </c>
      <c r="C3586">
        <v>2024</v>
      </c>
      <c r="D3586" t="s">
        <v>300</v>
      </c>
      <c r="E3586" t="s">
        <v>479</v>
      </c>
      <c r="F3586">
        <v>49824</v>
      </c>
      <c r="G3586" t="s">
        <v>1106</v>
      </c>
      <c r="H3586">
        <v>84</v>
      </c>
      <c r="I3586" t="s">
        <v>5595</v>
      </c>
      <c r="J3586" t="s">
        <v>294</v>
      </c>
      <c r="M3586" t="s">
        <v>295</v>
      </c>
      <c r="N3586" t="s">
        <v>7</v>
      </c>
      <c r="O3586" t="s">
        <v>297</v>
      </c>
    </row>
    <row r="3587" spans="1:15" x14ac:dyDescent="0.3">
      <c r="A3587" t="s">
        <v>5374</v>
      </c>
      <c r="B3587" t="s">
        <v>5544</v>
      </c>
      <c r="C3587">
        <v>2024</v>
      </c>
      <c r="D3587" t="s">
        <v>300</v>
      </c>
      <c r="E3587" t="s">
        <v>5596</v>
      </c>
      <c r="F3587">
        <v>1695</v>
      </c>
      <c r="G3587" t="s">
        <v>302</v>
      </c>
      <c r="H3587">
        <v>86</v>
      </c>
      <c r="I3587" t="s">
        <v>5597</v>
      </c>
      <c r="J3587" t="s">
        <v>294</v>
      </c>
      <c r="M3587" t="s">
        <v>295</v>
      </c>
      <c r="N3587" t="s">
        <v>7</v>
      </c>
      <c r="O3587" t="s">
        <v>297</v>
      </c>
    </row>
    <row r="3588" spans="1:15" x14ac:dyDescent="0.3">
      <c r="A3588" t="s">
        <v>5374</v>
      </c>
      <c r="B3588" t="s">
        <v>5544</v>
      </c>
      <c r="C3588">
        <v>2024</v>
      </c>
      <c r="D3588" t="s">
        <v>300</v>
      </c>
      <c r="E3588" t="s">
        <v>5598</v>
      </c>
      <c r="F3588">
        <v>213</v>
      </c>
      <c r="G3588" t="s">
        <v>302</v>
      </c>
      <c r="H3588">
        <v>86</v>
      </c>
      <c r="I3588" t="s">
        <v>5599</v>
      </c>
      <c r="J3588" t="s">
        <v>294</v>
      </c>
      <c r="M3588" t="s">
        <v>295</v>
      </c>
      <c r="N3588" t="s">
        <v>7</v>
      </c>
      <c r="O3588" t="s">
        <v>297</v>
      </c>
    </row>
    <row r="3589" spans="1:15" x14ac:dyDescent="0.3">
      <c r="A3589" t="s">
        <v>5374</v>
      </c>
      <c r="B3589" t="s">
        <v>5544</v>
      </c>
      <c r="C3589">
        <v>2024</v>
      </c>
      <c r="D3589" t="s">
        <v>358</v>
      </c>
      <c r="E3589" t="s">
        <v>5418</v>
      </c>
      <c r="F3589">
        <v>29125</v>
      </c>
      <c r="G3589" t="s">
        <v>360</v>
      </c>
      <c r="H3589">
        <v>10</v>
      </c>
      <c r="I3589" t="s">
        <v>5600</v>
      </c>
      <c r="J3589" t="s">
        <v>294</v>
      </c>
      <c r="M3589" t="s">
        <v>295</v>
      </c>
      <c r="N3589" t="s">
        <v>7</v>
      </c>
      <c r="O3589" t="s">
        <v>297</v>
      </c>
    </row>
    <row r="3590" spans="1:15" x14ac:dyDescent="0.3">
      <c r="A3590" t="s">
        <v>5374</v>
      </c>
      <c r="B3590" t="s">
        <v>5544</v>
      </c>
      <c r="C3590">
        <v>2024</v>
      </c>
      <c r="D3590" t="s">
        <v>358</v>
      </c>
      <c r="E3590" t="s">
        <v>362</v>
      </c>
      <c r="F3590">
        <v>27384</v>
      </c>
      <c r="G3590" t="s">
        <v>360</v>
      </c>
      <c r="H3590">
        <v>158</v>
      </c>
      <c r="I3590" t="s">
        <v>5601</v>
      </c>
      <c r="J3590" t="s">
        <v>294</v>
      </c>
      <c r="M3590" t="s">
        <v>295</v>
      </c>
      <c r="N3590" t="s">
        <v>7</v>
      </c>
      <c r="O3590" t="s">
        <v>297</v>
      </c>
    </row>
    <row r="3591" spans="1:15" x14ac:dyDescent="0.3">
      <c r="A3591" t="s">
        <v>5374</v>
      </c>
      <c r="B3591" t="s">
        <v>5544</v>
      </c>
      <c r="C3591">
        <v>2024</v>
      </c>
      <c r="D3591" t="s">
        <v>358</v>
      </c>
      <c r="E3591" t="s">
        <v>364</v>
      </c>
      <c r="F3591">
        <v>1741</v>
      </c>
      <c r="G3591" t="s">
        <v>360</v>
      </c>
      <c r="H3591">
        <v>158</v>
      </c>
      <c r="I3591" t="s">
        <v>5602</v>
      </c>
      <c r="J3591" t="s">
        <v>294</v>
      </c>
      <c r="M3591" t="s">
        <v>295</v>
      </c>
      <c r="N3591" t="s">
        <v>7</v>
      </c>
      <c r="O3591" t="s">
        <v>297</v>
      </c>
    </row>
    <row r="3592" spans="1:15" x14ac:dyDescent="0.3">
      <c r="A3592" t="s">
        <v>5374</v>
      </c>
      <c r="B3592" t="s">
        <v>5544</v>
      </c>
      <c r="C3592">
        <v>2024</v>
      </c>
      <c r="D3592" t="s">
        <v>358</v>
      </c>
      <c r="E3592" t="s">
        <v>5422</v>
      </c>
      <c r="F3592">
        <v>26056</v>
      </c>
      <c r="G3592" t="s">
        <v>360</v>
      </c>
      <c r="H3592">
        <v>158</v>
      </c>
      <c r="I3592" t="s">
        <v>5603</v>
      </c>
      <c r="J3592" t="s">
        <v>294</v>
      </c>
      <c r="M3592" t="s">
        <v>295</v>
      </c>
      <c r="N3592" t="s">
        <v>7</v>
      </c>
      <c r="O3592" t="s">
        <v>297</v>
      </c>
    </row>
    <row r="3593" spans="1:15" x14ac:dyDescent="0.3">
      <c r="A3593" t="s">
        <v>5374</v>
      </c>
      <c r="B3593" t="s">
        <v>5544</v>
      </c>
      <c r="C3593">
        <v>2024</v>
      </c>
      <c r="D3593" t="s">
        <v>358</v>
      </c>
      <c r="E3593" t="s">
        <v>5424</v>
      </c>
      <c r="F3593">
        <v>1328</v>
      </c>
      <c r="G3593" t="s">
        <v>360</v>
      </c>
      <c r="H3593">
        <v>158</v>
      </c>
      <c r="I3593" t="s">
        <v>5604</v>
      </c>
      <c r="J3593" t="s">
        <v>294</v>
      </c>
      <c r="M3593" t="s">
        <v>295</v>
      </c>
      <c r="N3593" t="s">
        <v>7</v>
      </c>
      <c r="O3593" t="s">
        <v>297</v>
      </c>
    </row>
    <row r="3594" spans="1:15" x14ac:dyDescent="0.3">
      <c r="A3594" t="s">
        <v>5374</v>
      </c>
      <c r="B3594" t="s">
        <v>5544</v>
      </c>
      <c r="C3594">
        <v>2024</v>
      </c>
      <c r="D3594" t="s">
        <v>358</v>
      </c>
      <c r="E3594" t="s">
        <v>5426</v>
      </c>
      <c r="F3594">
        <v>669</v>
      </c>
      <c r="G3594" t="s">
        <v>360</v>
      </c>
      <c r="H3594">
        <v>158</v>
      </c>
      <c r="I3594" t="s">
        <v>5605</v>
      </c>
      <c r="J3594" t="s">
        <v>294</v>
      </c>
      <c r="M3594" t="s">
        <v>295</v>
      </c>
      <c r="N3594" t="s">
        <v>7</v>
      </c>
      <c r="O3594" t="s">
        <v>297</v>
      </c>
    </row>
    <row r="3595" spans="1:15" x14ac:dyDescent="0.3">
      <c r="A3595" t="s">
        <v>5374</v>
      </c>
      <c r="B3595" t="s">
        <v>5544</v>
      </c>
      <c r="C3595">
        <v>2024</v>
      </c>
      <c r="D3595" t="s">
        <v>358</v>
      </c>
      <c r="E3595" t="s">
        <v>5428</v>
      </c>
      <c r="F3595">
        <v>1072</v>
      </c>
      <c r="G3595" t="s">
        <v>360</v>
      </c>
      <c r="H3595">
        <v>158</v>
      </c>
      <c r="I3595" t="s">
        <v>5606</v>
      </c>
      <c r="J3595" t="s">
        <v>294</v>
      </c>
      <c r="M3595" t="s">
        <v>295</v>
      </c>
      <c r="N3595" t="s">
        <v>7</v>
      </c>
      <c r="O3595" t="s">
        <v>297</v>
      </c>
    </row>
    <row r="3596" spans="1:15" x14ac:dyDescent="0.3">
      <c r="A3596" t="s">
        <v>5374</v>
      </c>
      <c r="B3596" t="s">
        <v>5544</v>
      </c>
      <c r="C3596">
        <v>2024</v>
      </c>
      <c r="D3596" t="s">
        <v>358</v>
      </c>
      <c r="E3596" t="s">
        <v>5430</v>
      </c>
      <c r="F3596">
        <v>12294</v>
      </c>
      <c r="G3596" t="s">
        <v>360</v>
      </c>
      <c r="H3596">
        <v>52</v>
      </c>
      <c r="I3596" t="s">
        <v>5607</v>
      </c>
      <c r="J3596" t="s">
        <v>294</v>
      </c>
      <c r="M3596" t="s">
        <v>295</v>
      </c>
      <c r="N3596" t="s">
        <v>7</v>
      </c>
      <c r="O3596" t="s">
        <v>297</v>
      </c>
    </row>
    <row r="3597" spans="1:15" x14ac:dyDescent="0.3">
      <c r="A3597" t="s">
        <v>5374</v>
      </c>
      <c r="B3597" t="s">
        <v>5544</v>
      </c>
      <c r="C3597">
        <v>2024</v>
      </c>
      <c r="D3597" t="s">
        <v>358</v>
      </c>
      <c r="E3597" t="s">
        <v>5432</v>
      </c>
      <c r="F3597">
        <v>8257</v>
      </c>
      <c r="G3597" t="s">
        <v>360</v>
      </c>
      <c r="H3597">
        <v>52</v>
      </c>
      <c r="I3597" t="s">
        <v>5608</v>
      </c>
      <c r="J3597" t="s">
        <v>294</v>
      </c>
      <c r="M3597" t="s">
        <v>295</v>
      </c>
      <c r="N3597" t="s">
        <v>7</v>
      </c>
      <c r="O3597" t="s">
        <v>297</v>
      </c>
    </row>
    <row r="3598" spans="1:15" x14ac:dyDescent="0.3">
      <c r="A3598" t="s">
        <v>5374</v>
      </c>
      <c r="B3598" t="s">
        <v>5544</v>
      </c>
      <c r="C3598">
        <v>2024</v>
      </c>
      <c r="D3598" t="s">
        <v>358</v>
      </c>
      <c r="E3598" t="s">
        <v>5434</v>
      </c>
      <c r="F3598">
        <v>5503</v>
      </c>
      <c r="G3598" t="s">
        <v>360</v>
      </c>
      <c r="H3598">
        <v>52</v>
      </c>
      <c r="I3598" t="s">
        <v>5609</v>
      </c>
      <c r="J3598" t="s">
        <v>294</v>
      </c>
      <c r="M3598" t="s">
        <v>295</v>
      </c>
      <c r="N3598" t="s">
        <v>7</v>
      </c>
      <c r="O3598" t="s">
        <v>297</v>
      </c>
    </row>
    <row r="3599" spans="1:15" x14ac:dyDescent="0.3">
      <c r="A3599" t="s">
        <v>5374</v>
      </c>
      <c r="B3599" t="s">
        <v>5544</v>
      </c>
      <c r="C3599">
        <v>2024</v>
      </c>
      <c r="D3599" t="s">
        <v>358</v>
      </c>
      <c r="E3599" t="s">
        <v>5436</v>
      </c>
      <c r="F3599">
        <v>9.8000000000000007</v>
      </c>
      <c r="G3599" t="s">
        <v>375</v>
      </c>
      <c r="H3599">
        <v>53</v>
      </c>
      <c r="I3599" t="s">
        <v>5610</v>
      </c>
      <c r="J3599" t="s">
        <v>294</v>
      </c>
      <c r="M3599" t="s">
        <v>295</v>
      </c>
      <c r="N3599" t="s">
        <v>7</v>
      </c>
      <c r="O3599" t="s">
        <v>297</v>
      </c>
    </row>
    <row r="3600" spans="1:15" x14ac:dyDescent="0.3">
      <c r="A3600" t="s">
        <v>5374</v>
      </c>
      <c r="B3600" t="s">
        <v>5544</v>
      </c>
      <c r="C3600">
        <v>2024</v>
      </c>
      <c r="D3600" t="s">
        <v>358</v>
      </c>
      <c r="E3600" t="s">
        <v>5513</v>
      </c>
      <c r="F3600">
        <v>1328</v>
      </c>
      <c r="G3600" t="s">
        <v>360</v>
      </c>
      <c r="H3600">
        <v>77</v>
      </c>
      <c r="I3600" t="s">
        <v>5611</v>
      </c>
      <c r="J3600" t="s">
        <v>294</v>
      </c>
      <c r="M3600" t="s">
        <v>295</v>
      </c>
      <c r="N3600" t="s">
        <v>7</v>
      </c>
      <c r="O3600" t="s">
        <v>297</v>
      </c>
    </row>
    <row r="3601" spans="1:15" x14ac:dyDescent="0.3">
      <c r="A3601" t="s">
        <v>5374</v>
      </c>
      <c r="B3601" t="s">
        <v>5544</v>
      </c>
      <c r="C3601">
        <v>2024</v>
      </c>
      <c r="D3601" t="s">
        <v>358</v>
      </c>
      <c r="E3601" t="s">
        <v>5515</v>
      </c>
      <c r="F3601">
        <v>2086</v>
      </c>
      <c r="G3601" t="s">
        <v>360</v>
      </c>
      <c r="H3601">
        <v>77</v>
      </c>
      <c r="I3601" t="s">
        <v>5612</v>
      </c>
      <c r="J3601" t="s">
        <v>294</v>
      </c>
      <c r="M3601" t="s">
        <v>295</v>
      </c>
      <c r="N3601" t="s">
        <v>7</v>
      </c>
      <c r="O3601" t="s">
        <v>297</v>
      </c>
    </row>
    <row r="3602" spans="1:15" x14ac:dyDescent="0.3">
      <c r="A3602" t="s">
        <v>5374</v>
      </c>
      <c r="B3602" t="s">
        <v>5544</v>
      </c>
      <c r="C3602">
        <v>2024</v>
      </c>
      <c r="D3602" t="s">
        <v>358</v>
      </c>
      <c r="E3602" t="s">
        <v>5517</v>
      </c>
      <c r="F3602">
        <v>23970</v>
      </c>
      <c r="G3602" t="s">
        <v>360</v>
      </c>
      <c r="H3602">
        <v>77</v>
      </c>
      <c r="I3602" t="s">
        <v>5613</v>
      </c>
      <c r="J3602" t="s">
        <v>294</v>
      </c>
      <c r="M3602" t="s">
        <v>295</v>
      </c>
      <c r="N3602" t="s">
        <v>7</v>
      </c>
      <c r="O3602" t="s">
        <v>297</v>
      </c>
    </row>
    <row r="3603" spans="1:15" x14ac:dyDescent="0.3">
      <c r="A3603" t="s">
        <v>5374</v>
      </c>
      <c r="B3603" t="s">
        <v>5544</v>
      </c>
      <c r="C3603">
        <v>2024</v>
      </c>
      <c r="D3603" t="s">
        <v>358</v>
      </c>
      <c r="E3603" t="s">
        <v>523</v>
      </c>
      <c r="F3603">
        <v>2</v>
      </c>
      <c r="G3603" t="s">
        <v>384</v>
      </c>
      <c r="H3603">
        <v>47</v>
      </c>
      <c r="I3603" t="s">
        <v>5614</v>
      </c>
      <c r="J3603" t="s">
        <v>294</v>
      </c>
      <c r="M3603" t="s">
        <v>295</v>
      </c>
      <c r="N3603" t="s">
        <v>7</v>
      </c>
      <c r="O3603" t="s">
        <v>297</v>
      </c>
    </row>
    <row r="3604" spans="1:15" x14ac:dyDescent="0.3">
      <c r="A3604" t="s">
        <v>5374</v>
      </c>
      <c r="B3604" t="s">
        <v>5544</v>
      </c>
      <c r="C3604">
        <v>2024</v>
      </c>
      <c r="D3604" t="s">
        <v>358</v>
      </c>
      <c r="E3604" t="s">
        <v>5615</v>
      </c>
      <c r="F3604">
        <v>120</v>
      </c>
      <c r="G3604" t="s">
        <v>738</v>
      </c>
      <c r="H3604">
        <v>47</v>
      </c>
      <c r="I3604" t="s">
        <v>5616</v>
      </c>
      <c r="J3604" t="s">
        <v>294</v>
      </c>
      <c r="M3604" t="s">
        <v>295</v>
      </c>
      <c r="N3604" t="s">
        <v>7</v>
      </c>
      <c r="O3604" t="s">
        <v>297</v>
      </c>
    </row>
    <row r="3605" spans="1:15" x14ac:dyDescent="0.3">
      <c r="A3605" t="s">
        <v>5374</v>
      </c>
      <c r="B3605" t="s">
        <v>5544</v>
      </c>
      <c r="C3605">
        <v>2024</v>
      </c>
      <c r="D3605" t="s">
        <v>358</v>
      </c>
      <c r="E3605" t="s">
        <v>5617</v>
      </c>
      <c r="F3605" t="s">
        <v>5618</v>
      </c>
      <c r="G3605" t="s">
        <v>292</v>
      </c>
      <c r="H3605">
        <v>47</v>
      </c>
      <c r="I3605" t="s">
        <v>5619</v>
      </c>
      <c r="J3605" t="s">
        <v>294</v>
      </c>
      <c r="M3605" t="s">
        <v>295</v>
      </c>
      <c r="N3605" t="s">
        <v>7</v>
      </c>
      <c r="O3605" t="s">
        <v>297</v>
      </c>
    </row>
    <row r="3606" spans="1:15" x14ac:dyDescent="0.3">
      <c r="A3606" t="s">
        <v>5374</v>
      </c>
      <c r="B3606" t="s">
        <v>5544</v>
      </c>
      <c r="C3606">
        <v>2024</v>
      </c>
      <c r="D3606" t="s">
        <v>358</v>
      </c>
      <c r="E3606" t="s">
        <v>5441</v>
      </c>
      <c r="F3606">
        <v>6000</v>
      </c>
      <c r="G3606" t="s">
        <v>396</v>
      </c>
      <c r="H3606">
        <v>151</v>
      </c>
      <c r="I3606" t="s">
        <v>5521</v>
      </c>
      <c r="J3606" t="s">
        <v>456</v>
      </c>
      <c r="M3606" t="s">
        <v>295</v>
      </c>
      <c r="N3606" t="s">
        <v>7</v>
      </c>
      <c r="O3606" t="s">
        <v>297</v>
      </c>
    </row>
    <row r="3607" spans="1:15" x14ac:dyDescent="0.3">
      <c r="A3607" t="s">
        <v>5374</v>
      </c>
      <c r="B3607" t="s">
        <v>5544</v>
      </c>
      <c r="C3607">
        <v>2024</v>
      </c>
      <c r="D3607" t="s">
        <v>394</v>
      </c>
      <c r="E3607" t="s">
        <v>3706</v>
      </c>
      <c r="F3607">
        <v>477288</v>
      </c>
      <c r="G3607" t="s">
        <v>396</v>
      </c>
      <c r="H3607">
        <v>77</v>
      </c>
      <c r="I3607" t="s">
        <v>5620</v>
      </c>
      <c r="J3607" t="s">
        <v>294</v>
      </c>
      <c r="M3607" t="s">
        <v>295</v>
      </c>
      <c r="N3607" t="s">
        <v>7</v>
      </c>
      <c r="O3607" t="s">
        <v>297</v>
      </c>
    </row>
    <row r="3608" spans="1:15" x14ac:dyDescent="0.3">
      <c r="A3608" t="s">
        <v>5374</v>
      </c>
      <c r="B3608" t="s">
        <v>5544</v>
      </c>
      <c r="C3608">
        <v>2024</v>
      </c>
      <c r="D3608" t="s">
        <v>394</v>
      </c>
      <c r="E3608" t="s">
        <v>406</v>
      </c>
      <c r="F3608">
        <v>105570</v>
      </c>
      <c r="G3608" t="s">
        <v>396</v>
      </c>
      <c r="H3608">
        <v>77</v>
      </c>
      <c r="I3608" t="s">
        <v>5621</v>
      </c>
      <c r="J3608" t="s">
        <v>294</v>
      </c>
      <c r="M3608" t="s">
        <v>295</v>
      </c>
      <c r="N3608" t="s">
        <v>7</v>
      </c>
      <c r="O3608" t="s">
        <v>297</v>
      </c>
    </row>
    <row r="3609" spans="1:15" x14ac:dyDescent="0.3">
      <c r="A3609" t="s">
        <v>5374</v>
      </c>
      <c r="B3609" t="s">
        <v>5544</v>
      </c>
      <c r="C3609">
        <v>2024</v>
      </c>
      <c r="D3609" t="s">
        <v>394</v>
      </c>
      <c r="E3609" t="s">
        <v>855</v>
      </c>
      <c r="F3609">
        <v>21062</v>
      </c>
      <c r="G3609" t="s">
        <v>396</v>
      </c>
      <c r="H3609">
        <v>78</v>
      </c>
      <c r="I3609" t="s">
        <v>5622</v>
      </c>
      <c r="J3609" t="s">
        <v>294</v>
      </c>
      <c r="M3609" t="s">
        <v>295</v>
      </c>
      <c r="N3609" t="s">
        <v>7</v>
      </c>
      <c r="O3609" t="s">
        <v>297</v>
      </c>
    </row>
    <row r="3610" spans="1:15" x14ac:dyDescent="0.3">
      <c r="A3610" t="s">
        <v>5374</v>
      </c>
      <c r="B3610" t="s">
        <v>5544</v>
      </c>
      <c r="C3610">
        <v>2024</v>
      </c>
      <c r="D3610" t="s">
        <v>394</v>
      </c>
      <c r="E3610" t="s">
        <v>1014</v>
      </c>
      <c r="F3610">
        <v>0.21199999999999999</v>
      </c>
      <c r="G3610" t="s">
        <v>334</v>
      </c>
      <c r="H3610">
        <v>78</v>
      </c>
      <c r="I3610" t="s">
        <v>5623</v>
      </c>
      <c r="J3610" t="s">
        <v>294</v>
      </c>
      <c r="M3610" t="s">
        <v>295</v>
      </c>
      <c r="N3610" t="s">
        <v>7</v>
      </c>
      <c r="O3610" t="s">
        <v>297</v>
      </c>
    </row>
    <row r="3611" spans="1:15" x14ac:dyDescent="0.3">
      <c r="A3611" t="s">
        <v>5374</v>
      </c>
      <c r="B3611" t="s">
        <v>5544</v>
      </c>
      <c r="C3611">
        <v>2024</v>
      </c>
      <c r="D3611" t="s">
        <v>394</v>
      </c>
      <c r="E3611" t="s">
        <v>654</v>
      </c>
      <c r="F3611">
        <v>4.2000000000000003E-2</v>
      </c>
      <c r="G3611" t="s">
        <v>334</v>
      </c>
      <c r="H3611">
        <v>78</v>
      </c>
      <c r="I3611" t="s">
        <v>5624</v>
      </c>
      <c r="J3611" t="s">
        <v>294</v>
      </c>
      <c r="M3611" t="s">
        <v>295</v>
      </c>
      <c r="N3611" t="s">
        <v>7</v>
      </c>
      <c r="O3611" t="s">
        <v>297</v>
      </c>
    </row>
    <row r="3612" spans="1:15" x14ac:dyDescent="0.3">
      <c r="A3612" t="s">
        <v>5374</v>
      </c>
      <c r="B3612" t="s">
        <v>5544</v>
      </c>
      <c r="C3612">
        <v>2024</v>
      </c>
      <c r="D3612" t="s">
        <v>394</v>
      </c>
      <c r="E3612" t="s">
        <v>438</v>
      </c>
      <c r="F3612">
        <v>103729</v>
      </c>
      <c r="G3612" t="s">
        <v>396</v>
      </c>
      <c r="H3612">
        <v>81</v>
      </c>
      <c r="I3612" t="s">
        <v>5625</v>
      </c>
      <c r="J3612" t="s">
        <v>294</v>
      </c>
      <c r="M3612" t="s">
        <v>295</v>
      </c>
      <c r="N3612" t="s">
        <v>7</v>
      </c>
      <c r="O3612" t="s">
        <v>297</v>
      </c>
    </row>
    <row r="3613" spans="1:15" x14ac:dyDescent="0.3">
      <c r="A3613" t="s">
        <v>5374</v>
      </c>
      <c r="B3613" t="s">
        <v>5544</v>
      </c>
      <c r="C3613">
        <v>2024</v>
      </c>
      <c r="D3613" t="s">
        <v>394</v>
      </c>
      <c r="E3613" t="s">
        <v>4994</v>
      </c>
      <c r="F3613">
        <v>20613</v>
      </c>
      <c r="G3613" t="s">
        <v>396</v>
      </c>
      <c r="H3613">
        <v>81</v>
      </c>
      <c r="I3613" t="s">
        <v>5626</v>
      </c>
      <c r="J3613" t="s">
        <v>294</v>
      </c>
      <c r="M3613" t="s">
        <v>295</v>
      </c>
      <c r="N3613" t="s">
        <v>7</v>
      </c>
      <c r="O3613" t="s">
        <v>297</v>
      </c>
    </row>
    <row r="3614" spans="1:15" x14ac:dyDescent="0.3">
      <c r="A3614" t="s">
        <v>5374</v>
      </c>
      <c r="B3614" t="s">
        <v>5544</v>
      </c>
      <c r="C3614">
        <v>2024</v>
      </c>
      <c r="D3614" t="s">
        <v>394</v>
      </c>
      <c r="E3614" t="s">
        <v>554</v>
      </c>
      <c r="F3614">
        <v>12802</v>
      </c>
      <c r="G3614" t="s">
        <v>436</v>
      </c>
      <c r="H3614">
        <v>81</v>
      </c>
      <c r="I3614" t="s">
        <v>5627</v>
      </c>
      <c r="J3614" t="s">
        <v>294</v>
      </c>
      <c r="M3614" t="s">
        <v>295</v>
      </c>
      <c r="N3614" t="s">
        <v>7</v>
      </c>
      <c r="O3614" t="s">
        <v>297</v>
      </c>
    </row>
    <row r="3615" spans="1:15" x14ac:dyDescent="0.3">
      <c r="A3615" t="s">
        <v>5374</v>
      </c>
      <c r="B3615" t="s">
        <v>5544</v>
      </c>
      <c r="C3615">
        <v>2024</v>
      </c>
      <c r="D3615" t="s">
        <v>394</v>
      </c>
      <c r="E3615" t="s">
        <v>5195</v>
      </c>
      <c r="F3615">
        <v>7860</v>
      </c>
      <c r="G3615" t="s">
        <v>436</v>
      </c>
      <c r="H3615">
        <v>81</v>
      </c>
      <c r="I3615" t="s">
        <v>5628</v>
      </c>
      <c r="J3615" t="s">
        <v>294</v>
      </c>
      <c r="M3615" t="s">
        <v>295</v>
      </c>
      <c r="N3615" t="s">
        <v>7</v>
      </c>
      <c r="O3615" t="s">
        <v>297</v>
      </c>
    </row>
    <row r="3616" spans="1:15" x14ac:dyDescent="0.3">
      <c r="A3616" t="s">
        <v>5374</v>
      </c>
      <c r="B3616" t="s">
        <v>5544</v>
      </c>
      <c r="C3616">
        <v>2024</v>
      </c>
      <c r="D3616" t="s">
        <v>394</v>
      </c>
      <c r="E3616" t="s">
        <v>3336</v>
      </c>
      <c r="F3616">
        <v>1328</v>
      </c>
      <c r="G3616" t="s">
        <v>302</v>
      </c>
      <c r="H3616">
        <v>81</v>
      </c>
      <c r="I3616" t="s">
        <v>5629</v>
      </c>
      <c r="J3616" t="s">
        <v>294</v>
      </c>
      <c r="M3616" t="s">
        <v>295</v>
      </c>
      <c r="N3616" t="s">
        <v>7</v>
      </c>
      <c r="O3616" t="s">
        <v>297</v>
      </c>
    </row>
    <row r="3617" spans="1:15" x14ac:dyDescent="0.3">
      <c r="A3617" t="s">
        <v>5374</v>
      </c>
      <c r="B3617" t="s">
        <v>5544</v>
      </c>
      <c r="C3617">
        <v>2024</v>
      </c>
      <c r="D3617" t="s">
        <v>394</v>
      </c>
      <c r="E3617" t="s">
        <v>5461</v>
      </c>
      <c r="F3617">
        <v>162</v>
      </c>
      <c r="G3617" t="s">
        <v>302</v>
      </c>
      <c r="H3617">
        <v>81</v>
      </c>
      <c r="I3617" t="s">
        <v>5630</v>
      </c>
      <c r="J3617" t="s">
        <v>294</v>
      </c>
      <c r="M3617" t="s">
        <v>295</v>
      </c>
      <c r="N3617" t="s">
        <v>7</v>
      </c>
      <c r="O3617" t="s">
        <v>297</v>
      </c>
    </row>
    <row r="3618" spans="1:15" x14ac:dyDescent="0.3">
      <c r="A3618" t="s">
        <v>5374</v>
      </c>
      <c r="B3618" t="s">
        <v>5544</v>
      </c>
      <c r="C3618">
        <v>2024</v>
      </c>
      <c r="D3618" t="s">
        <v>394</v>
      </c>
      <c r="E3618" t="s">
        <v>5631</v>
      </c>
      <c r="F3618">
        <v>490000</v>
      </c>
      <c r="G3618" t="s">
        <v>396</v>
      </c>
      <c r="H3618">
        <v>164</v>
      </c>
      <c r="I3618" t="s">
        <v>5632</v>
      </c>
      <c r="J3618" t="s">
        <v>294</v>
      </c>
      <c r="M3618" t="s">
        <v>295</v>
      </c>
      <c r="N3618" t="s">
        <v>7</v>
      </c>
      <c r="O3618" t="s">
        <v>297</v>
      </c>
    </row>
    <row r="3619" spans="1:15" x14ac:dyDescent="0.3">
      <c r="A3619" t="s">
        <v>5374</v>
      </c>
      <c r="B3619" t="s">
        <v>5544</v>
      </c>
      <c r="C3619">
        <v>2024</v>
      </c>
      <c r="D3619" t="s">
        <v>394</v>
      </c>
      <c r="E3619" t="s">
        <v>5468</v>
      </c>
      <c r="F3619">
        <v>14343</v>
      </c>
      <c r="G3619" t="s">
        <v>396</v>
      </c>
      <c r="H3619">
        <v>164</v>
      </c>
      <c r="I3619" t="s">
        <v>5633</v>
      </c>
      <c r="J3619" t="s">
        <v>294</v>
      </c>
      <c r="M3619" t="s">
        <v>295</v>
      </c>
      <c r="N3619" t="s">
        <v>7</v>
      </c>
      <c r="O3619" t="s">
        <v>297</v>
      </c>
    </row>
    <row r="3620" spans="1:15" x14ac:dyDescent="0.3">
      <c r="A3620" t="s">
        <v>5374</v>
      </c>
      <c r="B3620" t="s">
        <v>5544</v>
      </c>
      <c r="C3620">
        <v>2024</v>
      </c>
      <c r="D3620" t="s">
        <v>563</v>
      </c>
      <c r="E3620" t="s">
        <v>564</v>
      </c>
      <c r="F3620">
        <v>3</v>
      </c>
      <c r="G3620" t="s">
        <v>384</v>
      </c>
      <c r="H3620">
        <v>10</v>
      </c>
      <c r="I3620" t="s">
        <v>5634</v>
      </c>
      <c r="J3620" t="s">
        <v>294</v>
      </c>
      <c r="M3620" t="s">
        <v>295</v>
      </c>
      <c r="N3620" t="s">
        <v>7</v>
      </c>
      <c r="O3620" t="s">
        <v>297</v>
      </c>
    </row>
    <row r="3621" spans="1:15" x14ac:dyDescent="0.3">
      <c r="A3621" t="s">
        <v>5374</v>
      </c>
      <c r="B3621" t="s">
        <v>5544</v>
      </c>
      <c r="C3621">
        <v>2024</v>
      </c>
      <c r="D3621" t="s">
        <v>563</v>
      </c>
      <c r="E3621" t="s">
        <v>5471</v>
      </c>
      <c r="F3621">
        <v>29779</v>
      </c>
      <c r="G3621" t="s">
        <v>1498</v>
      </c>
      <c r="H3621">
        <v>10</v>
      </c>
      <c r="I3621" t="s">
        <v>5635</v>
      </c>
      <c r="J3621" t="s">
        <v>294</v>
      </c>
      <c r="M3621" t="s">
        <v>295</v>
      </c>
      <c r="N3621" t="s">
        <v>7</v>
      </c>
      <c r="O3621" t="s">
        <v>297</v>
      </c>
    </row>
    <row r="3622" spans="1:15" x14ac:dyDescent="0.3">
      <c r="A3622" t="s">
        <v>5374</v>
      </c>
      <c r="B3622" t="s">
        <v>5544</v>
      </c>
      <c r="C3622">
        <v>2024</v>
      </c>
      <c r="D3622" t="s">
        <v>563</v>
      </c>
      <c r="E3622" t="s">
        <v>5636</v>
      </c>
      <c r="F3622">
        <v>0.90439999999999998</v>
      </c>
      <c r="G3622" t="s">
        <v>334</v>
      </c>
      <c r="H3622">
        <v>10</v>
      </c>
      <c r="I3622" t="s">
        <v>5637</v>
      </c>
      <c r="J3622" t="s">
        <v>294</v>
      </c>
      <c r="M3622" t="s">
        <v>295</v>
      </c>
      <c r="N3622" t="s">
        <v>7</v>
      </c>
      <c r="O3622" t="s">
        <v>297</v>
      </c>
    </row>
    <row r="3623" spans="1:15" x14ac:dyDescent="0.3">
      <c r="A3623" t="s">
        <v>5374</v>
      </c>
      <c r="B3623" t="s">
        <v>5544</v>
      </c>
      <c r="C3623">
        <v>2024</v>
      </c>
      <c r="D3623" t="s">
        <v>563</v>
      </c>
      <c r="E3623" t="s">
        <v>5473</v>
      </c>
      <c r="F3623">
        <v>1447</v>
      </c>
      <c r="G3623" t="s">
        <v>1106</v>
      </c>
      <c r="H3623">
        <v>11</v>
      </c>
      <c r="I3623" t="s">
        <v>5638</v>
      </c>
      <c r="J3623" t="s">
        <v>294</v>
      </c>
      <c r="M3623" t="s">
        <v>295</v>
      </c>
      <c r="N3623" t="s">
        <v>7</v>
      </c>
      <c r="O3623" t="s">
        <v>297</v>
      </c>
    </row>
    <row r="3624" spans="1:15" x14ac:dyDescent="0.3">
      <c r="A3624" t="s">
        <v>5374</v>
      </c>
      <c r="B3624" t="s">
        <v>5544</v>
      </c>
      <c r="C3624">
        <v>2024</v>
      </c>
      <c r="D3624" t="s">
        <v>563</v>
      </c>
      <c r="E3624" t="s">
        <v>5639</v>
      </c>
      <c r="F3624">
        <v>591812</v>
      </c>
      <c r="G3624" t="s">
        <v>1409</v>
      </c>
      <c r="H3624">
        <v>11</v>
      </c>
      <c r="I3624" t="s">
        <v>5640</v>
      </c>
      <c r="J3624" t="s">
        <v>294</v>
      </c>
      <c r="M3624" t="s">
        <v>295</v>
      </c>
      <c r="N3624" t="s">
        <v>7</v>
      </c>
      <c r="O3624" t="s">
        <v>297</v>
      </c>
    </row>
    <row r="3625" spans="1:15" x14ac:dyDescent="0.3">
      <c r="A3625" t="s">
        <v>5641</v>
      </c>
      <c r="B3625" t="s">
        <v>5642</v>
      </c>
      <c r="C3625">
        <v>2022</v>
      </c>
      <c r="D3625" t="s">
        <v>272</v>
      </c>
      <c r="E3625" t="s">
        <v>291</v>
      </c>
      <c r="F3625" t="s">
        <v>5641</v>
      </c>
      <c r="G3625" t="s">
        <v>292</v>
      </c>
      <c r="H3625">
        <v>2</v>
      </c>
      <c r="I3625" t="s">
        <v>5641</v>
      </c>
      <c r="J3625" t="s">
        <v>294</v>
      </c>
      <c r="M3625" t="s">
        <v>295</v>
      </c>
      <c r="N3625" t="s">
        <v>7</v>
      </c>
      <c r="O3625" t="s">
        <v>297</v>
      </c>
    </row>
    <row r="3626" spans="1:15" x14ac:dyDescent="0.3">
      <c r="A3626" t="s">
        <v>5641</v>
      </c>
      <c r="B3626" t="s">
        <v>5642</v>
      </c>
      <c r="C3626">
        <v>2022</v>
      </c>
      <c r="D3626" t="s">
        <v>272</v>
      </c>
      <c r="E3626" t="s">
        <v>1</v>
      </c>
      <c r="F3626" t="s">
        <v>5643</v>
      </c>
      <c r="G3626" t="s">
        <v>292</v>
      </c>
      <c r="H3626">
        <v>8</v>
      </c>
      <c r="I3626" t="s">
        <v>5644</v>
      </c>
      <c r="J3626" t="s">
        <v>294</v>
      </c>
      <c r="M3626" t="s">
        <v>295</v>
      </c>
      <c r="N3626" t="s">
        <v>7</v>
      </c>
      <c r="O3626" t="s">
        <v>297</v>
      </c>
    </row>
    <row r="3627" spans="1:15" x14ac:dyDescent="0.3">
      <c r="A3627" t="s">
        <v>5641</v>
      </c>
      <c r="B3627" t="s">
        <v>5642</v>
      </c>
      <c r="C3627">
        <v>2022</v>
      </c>
      <c r="D3627" t="s">
        <v>272</v>
      </c>
      <c r="E3627" t="s">
        <v>1100</v>
      </c>
      <c r="F3627" t="s">
        <v>5645</v>
      </c>
      <c r="G3627" t="s">
        <v>292</v>
      </c>
      <c r="H3627">
        <v>45</v>
      </c>
      <c r="I3627" t="s">
        <v>5646</v>
      </c>
      <c r="J3627" t="s">
        <v>294</v>
      </c>
      <c r="M3627" t="s">
        <v>295</v>
      </c>
      <c r="N3627" t="s">
        <v>7</v>
      </c>
      <c r="O3627" t="s">
        <v>297</v>
      </c>
    </row>
    <row r="3628" spans="1:15" x14ac:dyDescent="0.3">
      <c r="A3628" t="s">
        <v>5641</v>
      </c>
      <c r="B3628" t="s">
        <v>5642</v>
      </c>
      <c r="C3628">
        <v>2022</v>
      </c>
      <c r="D3628" t="s">
        <v>272</v>
      </c>
      <c r="E3628" t="s">
        <v>5647</v>
      </c>
      <c r="F3628" t="s">
        <v>5648</v>
      </c>
      <c r="G3628" t="s">
        <v>666</v>
      </c>
      <c r="H3628">
        <v>8</v>
      </c>
      <c r="I3628" t="s">
        <v>5649</v>
      </c>
      <c r="J3628" t="s">
        <v>294</v>
      </c>
      <c r="M3628" t="s">
        <v>295</v>
      </c>
      <c r="N3628" t="s">
        <v>7</v>
      </c>
      <c r="O3628" t="s">
        <v>297</v>
      </c>
    </row>
    <row r="3629" spans="1:15" x14ac:dyDescent="0.3">
      <c r="A3629" t="s">
        <v>5641</v>
      </c>
      <c r="B3629" t="s">
        <v>5642</v>
      </c>
      <c r="C3629">
        <v>2022</v>
      </c>
      <c r="D3629" t="s">
        <v>272</v>
      </c>
      <c r="E3629" t="s">
        <v>2975</v>
      </c>
      <c r="F3629">
        <v>270</v>
      </c>
      <c r="G3629" t="s">
        <v>346</v>
      </c>
      <c r="H3629">
        <v>8</v>
      </c>
      <c r="I3629" t="s">
        <v>5650</v>
      </c>
      <c r="J3629" t="s">
        <v>294</v>
      </c>
      <c r="M3629" t="s">
        <v>295</v>
      </c>
      <c r="N3629" t="s">
        <v>7</v>
      </c>
      <c r="O3629" t="s">
        <v>297</v>
      </c>
    </row>
    <row r="3630" spans="1:15" x14ac:dyDescent="0.3">
      <c r="A3630" t="s">
        <v>5641</v>
      </c>
      <c r="B3630" t="s">
        <v>5642</v>
      </c>
      <c r="C3630">
        <v>2022</v>
      </c>
      <c r="D3630" t="s">
        <v>272</v>
      </c>
      <c r="E3630" t="s">
        <v>442</v>
      </c>
      <c r="F3630" t="s">
        <v>5651</v>
      </c>
      <c r="G3630" t="s">
        <v>292</v>
      </c>
      <c r="H3630">
        <v>47</v>
      </c>
      <c r="I3630" t="s">
        <v>5652</v>
      </c>
      <c r="J3630" t="s">
        <v>294</v>
      </c>
      <c r="M3630" t="s">
        <v>295</v>
      </c>
      <c r="N3630" t="s">
        <v>7</v>
      </c>
      <c r="O3630" t="s">
        <v>297</v>
      </c>
    </row>
    <row r="3631" spans="1:15" x14ac:dyDescent="0.3">
      <c r="A3631" t="s">
        <v>5641</v>
      </c>
      <c r="B3631" t="s">
        <v>5642</v>
      </c>
      <c r="C3631">
        <v>2022</v>
      </c>
      <c r="D3631" t="s">
        <v>272</v>
      </c>
      <c r="E3631" t="s">
        <v>5653</v>
      </c>
      <c r="F3631">
        <v>0.47849999999999998</v>
      </c>
      <c r="G3631" t="s">
        <v>334</v>
      </c>
      <c r="H3631">
        <v>47</v>
      </c>
      <c r="I3631" t="s">
        <v>5654</v>
      </c>
      <c r="J3631" t="s">
        <v>294</v>
      </c>
      <c r="M3631" t="s">
        <v>295</v>
      </c>
      <c r="N3631" t="s">
        <v>7</v>
      </c>
      <c r="O3631" t="s">
        <v>297</v>
      </c>
    </row>
    <row r="3632" spans="1:15" x14ac:dyDescent="0.3">
      <c r="A3632" t="s">
        <v>5641</v>
      </c>
      <c r="B3632" t="s">
        <v>5642</v>
      </c>
      <c r="C3632">
        <v>2022</v>
      </c>
      <c r="D3632" t="s">
        <v>272</v>
      </c>
      <c r="E3632" t="s">
        <v>342</v>
      </c>
      <c r="F3632">
        <v>454056563</v>
      </c>
      <c r="G3632" t="s">
        <v>1633</v>
      </c>
      <c r="H3632">
        <v>8</v>
      </c>
      <c r="I3632" t="s">
        <v>5655</v>
      </c>
      <c r="J3632" t="s">
        <v>294</v>
      </c>
      <c r="M3632" t="s">
        <v>295</v>
      </c>
      <c r="N3632" t="s">
        <v>7</v>
      </c>
      <c r="O3632" t="s">
        <v>297</v>
      </c>
    </row>
    <row r="3633" spans="1:15" x14ac:dyDescent="0.3">
      <c r="A3633" t="s">
        <v>5641</v>
      </c>
      <c r="B3633" t="s">
        <v>5642</v>
      </c>
      <c r="C3633">
        <v>2022</v>
      </c>
      <c r="D3633" t="s">
        <v>300</v>
      </c>
      <c r="E3633" t="s">
        <v>3142</v>
      </c>
      <c r="F3633">
        <v>514.20000000000005</v>
      </c>
      <c r="G3633" t="s">
        <v>302</v>
      </c>
      <c r="H3633">
        <v>6</v>
      </c>
      <c r="I3633" t="s">
        <v>5656</v>
      </c>
      <c r="J3633" t="s">
        <v>294</v>
      </c>
      <c r="M3633" t="s">
        <v>295</v>
      </c>
      <c r="N3633" t="s">
        <v>7</v>
      </c>
      <c r="O3633" t="s">
        <v>297</v>
      </c>
    </row>
    <row r="3634" spans="1:15" x14ac:dyDescent="0.3">
      <c r="A3634" t="s">
        <v>5641</v>
      </c>
      <c r="B3634" t="s">
        <v>5642</v>
      </c>
      <c r="C3634">
        <v>2022</v>
      </c>
      <c r="D3634" t="s">
        <v>300</v>
      </c>
      <c r="E3634" t="s">
        <v>688</v>
      </c>
      <c r="F3634">
        <v>470.06</v>
      </c>
      <c r="G3634" t="s">
        <v>302</v>
      </c>
      <c r="H3634">
        <v>6</v>
      </c>
      <c r="I3634" t="s">
        <v>5657</v>
      </c>
      <c r="J3634" t="s">
        <v>294</v>
      </c>
      <c r="M3634" t="s">
        <v>295</v>
      </c>
      <c r="N3634" t="s">
        <v>7</v>
      </c>
      <c r="O3634" t="s">
        <v>297</v>
      </c>
    </row>
    <row r="3635" spans="1:15" x14ac:dyDescent="0.3">
      <c r="A3635" t="s">
        <v>5641</v>
      </c>
      <c r="B3635" t="s">
        <v>5642</v>
      </c>
      <c r="C3635">
        <v>2022</v>
      </c>
      <c r="D3635" t="s">
        <v>300</v>
      </c>
      <c r="E3635" t="s">
        <v>304</v>
      </c>
      <c r="F3635">
        <v>44.14</v>
      </c>
      <c r="G3635" t="s">
        <v>302</v>
      </c>
      <c r="H3635">
        <v>6</v>
      </c>
      <c r="I3635" t="s">
        <v>5658</v>
      </c>
      <c r="J3635" t="s">
        <v>294</v>
      </c>
      <c r="M3635" t="s">
        <v>295</v>
      </c>
      <c r="N3635" t="s">
        <v>7</v>
      </c>
      <c r="O3635" t="s">
        <v>297</v>
      </c>
    </row>
    <row r="3636" spans="1:15" x14ac:dyDescent="0.3">
      <c r="A3636" t="s">
        <v>5641</v>
      </c>
      <c r="B3636" t="s">
        <v>5642</v>
      </c>
      <c r="C3636">
        <v>2022</v>
      </c>
      <c r="D3636" t="s">
        <v>300</v>
      </c>
      <c r="E3636" t="s">
        <v>1157</v>
      </c>
      <c r="F3636">
        <v>27.02</v>
      </c>
      <c r="G3636" t="s">
        <v>302</v>
      </c>
      <c r="H3636">
        <v>6</v>
      </c>
      <c r="I3636" t="s">
        <v>5659</v>
      </c>
      <c r="J3636" t="s">
        <v>294</v>
      </c>
      <c r="M3636" t="s">
        <v>295</v>
      </c>
      <c r="N3636" t="s">
        <v>7</v>
      </c>
      <c r="O3636" t="s">
        <v>297</v>
      </c>
    </row>
    <row r="3637" spans="1:15" x14ac:dyDescent="0.3">
      <c r="A3637" t="s">
        <v>5641</v>
      </c>
      <c r="B3637" t="s">
        <v>5642</v>
      </c>
      <c r="C3637">
        <v>2022</v>
      </c>
      <c r="D3637" t="s">
        <v>300</v>
      </c>
      <c r="E3637" t="s">
        <v>3633</v>
      </c>
      <c r="F3637">
        <v>15.18</v>
      </c>
      <c r="G3637" t="s">
        <v>302</v>
      </c>
      <c r="H3637">
        <v>38</v>
      </c>
      <c r="I3637" t="s">
        <v>5660</v>
      </c>
      <c r="J3637" t="s">
        <v>294</v>
      </c>
      <c r="M3637" t="s">
        <v>295</v>
      </c>
      <c r="N3637" t="s">
        <v>7</v>
      </c>
      <c r="O3637" t="s">
        <v>297</v>
      </c>
    </row>
    <row r="3638" spans="1:15" x14ac:dyDescent="0.3">
      <c r="A3638" t="s">
        <v>5641</v>
      </c>
      <c r="B3638" t="s">
        <v>5642</v>
      </c>
      <c r="C3638">
        <v>2022</v>
      </c>
      <c r="D3638" t="s">
        <v>300</v>
      </c>
      <c r="E3638" t="s">
        <v>457</v>
      </c>
      <c r="F3638">
        <v>5.43</v>
      </c>
      <c r="G3638" t="s">
        <v>302</v>
      </c>
      <c r="H3638">
        <v>6</v>
      </c>
      <c r="I3638" t="s">
        <v>5661</v>
      </c>
      <c r="J3638" t="s">
        <v>294</v>
      </c>
      <c r="M3638" t="s">
        <v>295</v>
      </c>
      <c r="N3638" t="s">
        <v>7</v>
      </c>
      <c r="O3638" t="s">
        <v>297</v>
      </c>
    </row>
    <row r="3639" spans="1:15" x14ac:dyDescent="0.3">
      <c r="A3639" t="s">
        <v>5641</v>
      </c>
      <c r="B3639" t="s">
        <v>5642</v>
      </c>
      <c r="C3639">
        <v>2022</v>
      </c>
      <c r="D3639" t="s">
        <v>300</v>
      </c>
      <c r="E3639" t="s">
        <v>579</v>
      </c>
      <c r="F3639">
        <v>9.44</v>
      </c>
      <c r="G3639" t="s">
        <v>302</v>
      </c>
      <c r="H3639">
        <v>6</v>
      </c>
      <c r="I3639" t="s">
        <v>5662</v>
      </c>
      <c r="J3639" t="s">
        <v>294</v>
      </c>
      <c r="M3639" t="s">
        <v>295</v>
      </c>
      <c r="N3639" t="s">
        <v>7</v>
      </c>
      <c r="O3639" t="s">
        <v>297</v>
      </c>
    </row>
    <row r="3640" spans="1:15" x14ac:dyDescent="0.3">
      <c r="A3640" t="s">
        <v>5641</v>
      </c>
      <c r="B3640" t="s">
        <v>5642</v>
      </c>
      <c r="C3640">
        <v>2022</v>
      </c>
      <c r="D3640" t="s">
        <v>300</v>
      </c>
      <c r="E3640" t="s">
        <v>5663</v>
      </c>
      <c r="F3640">
        <v>2.72</v>
      </c>
      <c r="G3640" t="s">
        <v>302</v>
      </c>
      <c r="H3640">
        <v>6</v>
      </c>
      <c r="I3640" t="s">
        <v>5664</v>
      </c>
      <c r="J3640" t="s">
        <v>294</v>
      </c>
      <c r="M3640" t="s">
        <v>295</v>
      </c>
      <c r="N3640" t="s">
        <v>7</v>
      </c>
      <c r="O3640" t="s">
        <v>297</v>
      </c>
    </row>
    <row r="3641" spans="1:15" x14ac:dyDescent="0.3">
      <c r="A3641" t="s">
        <v>5641</v>
      </c>
      <c r="B3641" t="s">
        <v>5642</v>
      </c>
      <c r="C3641">
        <v>2022</v>
      </c>
      <c r="D3641" t="s">
        <v>300</v>
      </c>
      <c r="E3641" t="s">
        <v>306</v>
      </c>
      <c r="F3641">
        <v>6.82</v>
      </c>
      <c r="G3641" t="s">
        <v>302</v>
      </c>
      <c r="H3641">
        <v>6</v>
      </c>
      <c r="I3641" t="s">
        <v>5665</v>
      </c>
      <c r="J3641" t="s">
        <v>294</v>
      </c>
      <c r="M3641" t="s">
        <v>295</v>
      </c>
      <c r="N3641" t="s">
        <v>7</v>
      </c>
      <c r="O3641" t="s">
        <v>297</v>
      </c>
    </row>
    <row r="3642" spans="1:15" x14ac:dyDescent="0.3">
      <c r="A3642" t="s">
        <v>5641</v>
      </c>
      <c r="B3642" t="s">
        <v>5642</v>
      </c>
      <c r="C3642">
        <v>2022</v>
      </c>
      <c r="D3642" t="s">
        <v>300</v>
      </c>
      <c r="E3642" t="s">
        <v>316</v>
      </c>
      <c r="F3642">
        <v>157.97999999999999</v>
      </c>
      <c r="G3642" t="s">
        <v>302</v>
      </c>
      <c r="H3642">
        <v>6</v>
      </c>
      <c r="I3642" t="s">
        <v>5666</v>
      </c>
      <c r="J3642" t="s">
        <v>294</v>
      </c>
      <c r="M3642" t="s">
        <v>295</v>
      </c>
      <c r="N3642" t="s">
        <v>7</v>
      </c>
      <c r="O3642" t="s">
        <v>297</v>
      </c>
    </row>
    <row r="3643" spans="1:15" x14ac:dyDescent="0.3">
      <c r="A3643" t="s">
        <v>5641</v>
      </c>
      <c r="B3643" t="s">
        <v>5642</v>
      </c>
      <c r="C3643">
        <v>2022</v>
      </c>
      <c r="D3643" t="s">
        <v>300</v>
      </c>
      <c r="E3643" t="s">
        <v>322</v>
      </c>
      <c r="F3643">
        <v>75.19</v>
      </c>
      <c r="G3643" t="s">
        <v>302</v>
      </c>
      <c r="H3643">
        <v>6</v>
      </c>
      <c r="I3643" t="s">
        <v>5667</v>
      </c>
      <c r="J3643" t="s">
        <v>294</v>
      </c>
      <c r="M3643" t="s">
        <v>295</v>
      </c>
      <c r="N3643" t="s">
        <v>7</v>
      </c>
      <c r="O3643" t="s">
        <v>297</v>
      </c>
    </row>
    <row r="3644" spans="1:15" x14ac:dyDescent="0.3">
      <c r="A3644" t="s">
        <v>5641</v>
      </c>
      <c r="B3644" t="s">
        <v>5642</v>
      </c>
      <c r="C3644">
        <v>2022</v>
      </c>
      <c r="D3644" t="s">
        <v>300</v>
      </c>
      <c r="E3644" t="s">
        <v>324</v>
      </c>
      <c r="F3644">
        <v>82.79</v>
      </c>
      <c r="G3644" t="s">
        <v>302</v>
      </c>
      <c r="H3644">
        <v>6</v>
      </c>
      <c r="I3644" t="s">
        <v>5668</v>
      </c>
      <c r="J3644" t="s">
        <v>294</v>
      </c>
      <c r="M3644" t="s">
        <v>295</v>
      </c>
      <c r="N3644" t="s">
        <v>7</v>
      </c>
      <c r="O3644" t="s">
        <v>297</v>
      </c>
    </row>
    <row r="3645" spans="1:15" x14ac:dyDescent="0.3">
      <c r="A3645" t="s">
        <v>5641</v>
      </c>
      <c r="B3645" t="s">
        <v>5642</v>
      </c>
      <c r="C3645">
        <v>2022</v>
      </c>
      <c r="D3645" t="s">
        <v>300</v>
      </c>
      <c r="E3645" t="s">
        <v>312</v>
      </c>
      <c r="F3645">
        <v>118.48</v>
      </c>
      <c r="G3645" t="s">
        <v>302</v>
      </c>
      <c r="H3645">
        <v>36</v>
      </c>
      <c r="I3645" t="s">
        <v>5669</v>
      </c>
      <c r="J3645" t="s">
        <v>294</v>
      </c>
      <c r="M3645" t="s">
        <v>295</v>
      </c>
      <c r="N3645" t="s">
        <v>7</v>
      </c>
      <c r="O3645" t="s">
        <v>297</v>
      </c>
    </row>
    <row r="3646" spans="1:15" x14ac:dyDescent="0.3">
      <c r="A3646" t="s">
        <v>5641</v>
      </c>
      <c r="B3646" t="s">
        <v>5642</v>
      </c>
      <c r="C3646">
        <v>2022</v>
      </c>
      <c r="D3646" t="s">
        <v>300</v>
      </c>
      <c r="E3646" t="s">
        <v>314</v>
      </c>
      <c r="F3646">
        <v>39.5</v>
      </c>
      <c r="G3646" t="s">
        <v>302</v>
      </c>
      <c r="H3646">
        <v>36</v>
      </c>
      <c r="I3646" t="s">
        <v>5670</v>
      </c>
      <c r="J3646" t="s">
        <v>294</v>
      </c>
      <c r="M3646" t="s">
        <v>295</v>
      </c>
      <c r="N3646" t="s">
        <v>7</v>
      </c>
      <c r="O3646" t="s">
        <v>297</v>
      </c>
    </row>
    <row r="3647" spans="1:15" x14ac:dyDescent="0.3">
      <c r="A3647" t="s">
        <v>5641</v>
      </c>
      <c r="B3647" t="s">
        <v>5642</v>
      </c>
      <c r="C3647">
        <v>2022</v>
      </c>
      <c r="D3647" t="s">
        <v>300</v>
      </c>
      <c r="E3647" t="s">
        <v>318</v>
      </c>
      <c r="F3647">
        <v>67.98</v>
      </c>
      <c r="G3647" t="s">
        <v>302</v>
      </c>
      <c r="H3647">
        <v>37</v>
      </c>
      <c r="I3647" t="s">
        <v>5671</v>
      </c>
      <c r="J3647" t="s">
        <v>294</v>
      </c>
      <c r="M3647" t="s">
        <v>295</v>
      </c>
      <c r="N3647" t="s">
        <v>7</v>
      </c>
      <c r="O3647" t="s">
        <v>297</v>
      </c>
    </row>
    <row r="3648" spans="1:15" x14ac:dyDescent="0.3">
      <c r="A3648" t="s">
        <v>5641</v>
      </c>
      <c r="B3648" t="s">
        <v>5642</v>
      </c>
      <c r="C3648">
        <v>2022</v>
      </c>
      <c r="D3648" t="s">
        <v>300</v>
      </c>
      <c r="E3648" t="s">
        <v>468</v>
      </c>
      <c r="F3648">
        <v>7.22</v>
      </c>
      <c r="G3648" t="s">
        <v>302</v>
      </c>
      <c r="H3648">
        <v>37</v>
      </c>
      <c r="I3648" t="s">
        <v>5672</v>
      </c>
      <c r="J3648" t="s">
        <v>294</v>
      </c>
      <c r="M3648" t="s">
        <v>295</v>
      </c>
      <c r="N3648" t="s">
        <v>7</v>
      </c>
      <c r="O3648" t="s">
        <v>297</v>
      </c>
    </row>
    <row r="3649" spans="1:15" x14ac:dyDescent="0.3">
      <c r="A3649" t="s">
        <v>5641</v>
      </c>
      <c r="B3649" t="s">
        <v>5642</v>
      </c>
      <c r="C3649">
        <v>2022</v>
      </c>
      <c r="D3649" t="s">
        <v>300</v>
      </c>
      <c r="E3649" t="s">
        <v>592</v>
      </c>
      <c r="F3649">
        <v>7.96</v>
      </c>
      <c r="G3649" t="s">
        <v>302</v>
      </c>
      <c r="H3649">
        <v>6</v>
      </c>
      <c r="I3649" t="s">
        <v>5673</v>
      </c>
      <c r="J3649" t="s">
        <v>294</v>
      </c>
      <c r="M3649" t="s">
        <v>295</v>
      </c>
      <c r="N3649" t="s">
        <v>7</v>
      </c>
      <c r="O3649" t="s">
        <v>297</v>
      </c>
    </row>
    <row r="3650" spans="1:15" x14ac:dyDescent="0.3">
      <c r="A3650" t="s">
        <v>5641</v>
      </c>
      <c r="B3650" t="s">
        <v>5642</v>
      </c>
      <c r="C3650">
        <v>2022</v>
      </c>
      <c r="D3650" t="s">
        <v>300</v>
      </c>
      <c r="E3650" t="s">
        <v>479</v>
      </c>
      <c r="F3650">
        <v>33.369999999999997</v>
      </c>
      <c r="G3650" t="s">
        <v>302</v>
      </c>
      <c r="H3650">
        <v>36</v>
      </c>
      <c r="I3650" t="s">
        <v>5674</v>
      </c>
      <c r="J3650" t="s">
        <v>294</v>
      </c>
      <c r="M3650" t="s">
        <v>295</v>
      </c>
      <c r="N3650" t="s">
        <v>7</v>
      </c>
      <c r="O3650" t="s">
        <v>297</v>
      </c>
    </row>
    <row r="3651" spans="1:15" x14ac:dyDescent="0.3">
      <c r="A3651" t="s">
        <v>5641</v>
      </c>
      <c r="B3651" t="s">
        <v>5642</v>
      </c>
      <c r="C3651">
        <v>2022</v>
      </c>
      <c r="D3651" t="s">
        <v>300</v>
      </c>
      <c r="E3651" t="s">
        <v>481</v>
      </c>
      <c r="F3651">
        <v>45.15</v>
      </c>
      <c r="G3651" t="s">
        <v>302</v>
      </c>
      <c r="H3651">
        <v>36</v>
      </c>
      <c r="I3651" t="s">
        <v>5675</v>
      </c>
      <c r="J3651" t="s">
        <v>294</v>
      </c>
      <c r="M3651" t="s">
        <v>295</v>
      </c>
      <c r="N3651" t="s">
        <v>7</v>
      </c>
      <c r="O3651" t="s">
        <v>297</v>
      </c>
    </row>
    <row r="3652" spans="1:15" x14ac:dyDescent="0.3">
      <c r="A3652" t="s">
        <v>5641</v>
      </c>
      <c r="B3652" t="s">
        <v>5642</v>
      </c>
      <c r="C3652">
        <v>2022</v>
      </c>
      <c r="D3652" t="s">
        <v>300</v>
      </c>
      <c r="E3652" t="s">
        <v>5676</v>
      </c>
      <c r="F3652">
        <v>39.35</v>
      </c>
      <c r="G3652" t="s">
        <v>302</v>
      </c>
      <c r="H3652">
        <v>36</v>
      </c>
      <c r="I3652" t="s">
        <v>5677</v>
      </c>
      <c r="J3652" t="s">
        <v>294</v>
      </c>
      <c r="M3652" t="s">
        <v>295</v>
      </c>
      <c r="N3652" t="s">
        <v>7</v>
      </c>
      <c r="O3652" t="s">
        <v>297</v>
      </c>
    </row>
    <row r="3653" spans="1:15" x14ac:dyDescent="0.3">
      <c r="A3653" t="s">
        <v>5641</v>
      </c>
      <c r="B3653" t="s">
        <v>5642</v>
      </c>
      <c r="C3653">
        <v>2022</v>
      </c>
      <c r="D3653" t="s">
        <v>300</v>
      </c>
      <c r="E3653" t="s">
        <v>595</v>
      </c>
      <c r="F3653">
        <v>43.65</v>
      </c>
      <c r="G3653" t="s">
        <v>302</v>
      </c>
      <c r="H3653">
        <v>37</v>
      </c>
      <c r="I3653" t="s">
        <v>5678</v>
      </c>
      <c r="J3653" t="s">
        <v>294</v>
      </c>
      <c r="M3653" t="s">
        <v>295</v>
      </c>
      <c r="N3653" t="s">
        <v>7</v>
      </c>
      <c r="O3653" t="s">
        <v>297</v>
      </c>
    </row>
    <row r="3654" spans="1:15" x14ac:dyDescent="0.3">
      <c r="A3654" t="s">
        <v>5641</v>
      </c>
      <c r="B3654" t="s">
        <v>5642</v>
      </c>
      <c r="C3654">
        <v>2022</v>
      </c>
      <c r="D3654" t="s">
        <v>300</v>
      </c>
      <c r="E3654" t="s">
        <v>5679</v>
      </c>
      <c r="F3654">
        <v>5.69</v>
      </c>
      <c r="G3654" t="s">
        <v>302</v>
      </c>
      <c r="H3654">
        <v>37</v>
      </c>
      <c r="I3654" t="s">
        <v>5680</v>
      </c>
      <c r="J3654" t="s">
        <v>294</v>
      </c>
      <c r="M3654" t="s">
        <v>295</v>
      </c>
      <c r="N3654" t="s">
        <v>7</v>
      </c>
      <c r="O3654" t="s">
        <v>297</v>
      </c>
    </row>
    <row r="3655" spans="1:15" x14ac:dyDescent="0.3">
      <c r="A3655" t="s">
        <v>5641</v>
      </c>
      <c r="B3655" t="s">
        <v>5642</v>
      </c>
      <c r="C3655">
        <v>2022</v>
      </c>
      <c r="D3655" t="s">
        <v>300</v>
      </c>
      <c r="E3655" t="s">
        <v>5681</v>
      </c>
      <c r="F3655">
        <v>1.75</v>
      </c>
      <c r="G3655" t="s">
        <v>302</v>
      </c>
      <c r="H3655">
        <v>37</v>
      </c>
      <c r="I3655" t="s">
        <v>5682</v>
      </c>
      <c r="J3655" t="s">
        <v>294</v>
      </c>
      <c r="M3655" t="s">
        <v>295</v>
      </c>
      <c r="N3655" t="s">
        <v>7</v>
      </c>
      <c r="O3655" t="s">
        <v>297</v>
      </c>
    </row>
    <row r="3656" spans="1:15" x14ac:dyDescent="0.3">
      <c r="A3656" t="s">
        <v>5641</v>
      </c>
      <c r="B3656" t="s">
        <v>5642</v>
      </c>
      <c r="C3656">
        <v>2022</v>
      </c>
      <c r="D3656" t="s">
        <v>300</v>
      </c>
      <c r="E3656" t="s">
        <v>5683</v>
      </c>
      <c r="F3656">
        <v>51.08</v>
      </c>
      <c r="G3656" t="s">
        <v>302</v>
      </c>
      <c r="H3656">
        <v>37</v>
      </c>
      <c r="I3656" t="s">
        <v>5684</v>
      </c>
      <c r="J3656" t="s">
        <v>294</v>
      </c>
      <c r="M3656" t="s">
        <v>295</v>
      </c>
      <c r="N3656" t="s">
        <v>7</v>
      </c>
      <c r="O3656" t="s">
        <v>297</v>
      </c>
    </row>
    <row r="3657" spans="1:15" x14ac:dyDescent="0.3">
      <c r="A3657" t="s">
        <v>5641</v>
      </c>
      <c r="B3657" t="s">
        <v>5642</v>
      </c>
      <c r="C3657">
        <v>2022</v>
      </c>
      <c r="D3657" t="s">
        <v>300</v>
      </c>
      <c r="E3657" t="s">
        <v>601</v>
      </c>
      <c r="F3657">
        <v>18.87</v>
      </c>
      <c r="G3657" t="s">
        <v>302</v>
      </c>
      <c r="H3657">
        <v>6</v>
      </c>
      <c r="I3657" t="s">
        <v>5685</v>
      </c>
      <c r="J3657" t="s">
        <v>294</v>
      </c>
      <c r="M3657" t="s">
        <v>295</v>
      </c>
      <c r="N3657" t="s">
        <v>7</v>
      </c>
      <c r="O3657" t="s">
        <v>297</v>
      </c>
    </row>
    <row r="3658" spans="1:15" x14ac:dyDescent="0.3">
      <c r="A3658" t="s">
        <v>5641</v>
      </c>
      <c r="B3658" t="s">
        <v>5642</v>
      </c>
      <c r="C3658">
        <v>2022</v>
      </c>
      <c r="D3658" t="s">
        <v>300</v>
      </c>
      <c r="E3658" t="s">
        <v>603</v>
      </c>
      <c r="F3658">
        <v>-27.22</v>
      </c>
      <c r="G3658" t="s">
        <v>302</v>
      </c>
      <c r="H3658">
        <v>6</v>
      </c>
      <c r="I3658" t="s">
        <v>5686</v>
      </c>
      <c r="J3658" t="s">
        <v>294</v>
      </c>
      <c r="M3658" t="s">
        <v>295</v>
      </c>
      <c r="N3658" t="s">
        <v>7</v>
      </c>
      <c r="O3658" t="s">
        <v>297</v>
      </c>
    </row>
    <row r="3659" spans="1:15" x14ac:dyDescent="0.3">
      <c r="A3659" t="s">
        <v>5641</v>
      </c>
      <c r="B3659" t="s">
        <v>5642</v>
      </c>
      <c r="C3659">
        <v>2022</v>
      </c>
      <c r="D3659" t="s">
        <v>300</v>
      </c>
      <c r="E3659" t="s">
        <v>716</v>
      </c>
      <c r="F3659">
        <v>11.34</v>
      </c>
      <c r="G3659" t="s">
        <v>302</v>
      </c>
      <c r="H3659">
        <v>6</v>
      </c>
      <c r="I3659" t="s">
        <v>5687</v>
      </c>
      <c r="J3659" t="s">
        <v>294</v>
      </c>
      <c r="M3659" t="s">
        <v>295</v>
      </c>
      <c r="N3659" t="s">
        <v>7</v>
      </c>
      <c r="O3659" t="s">
        <v>297</v>
      </c>
    </row>
    <row r="3660" spans="1:15" x14ac:dyDescent="0.3">
      <c r="A3660" t="s">
        <v>5641</v>
      </c>
      <c r="B3660" t="s">
        <v>5642</v>
      </c>
      <c r="C3660">
        <v>2022</v>
      </c>
      <c r="D3660" t="s">
        <v>300</v>
      </c>
      <c r="E3660" t="s">
        <v>1140</v>
      </c>
      <c r="F3660">
        <v>27.22</v>
      </c>
      <c r="G3660" t="s">
        <v>302</v>
      </c>
      <c r="H3660">
        <v>43</v>
      </c>
      <c r="I3660" t="s">
        <v>5688</v>
      </c>
      <c r="J3660" t="s">
        <v>294</v>
      </c>
      <c r="M3660" t="s">
        <v>295</v>
      </c>
      <c r="N3660" t="s">
        <v>7</v>
      </c>
      <c r="O3660" t="s">
        <v>297</v>
      </c>
    </row>
    <row r="3661" spans="1:15" x14ac:dyDescent="0.3">
      <c r="A3661" t="s">
        <v>5641</v>
      </c>
      <c r="B3661" t="s">
        <v>5642</v>
      </c>
      <c r="C3661">
        <v>2022</v>
      </c>
      <c r="D3661" t="s">
        <v>300</v>
      </c>
      <c r="E3661" t="s">
        <v>345</v>
      </c>
      <c r="F3661">
        <v>15.02</v>
      </c>
      <c r="G3661" t="s">
        <v>346</v>
      </c>
      <c r="H3661">
        <v>6</v>
      </c>
      <c r="I3661" t="s">
        <v>5689</v>
      </c>
      <c r="J3661" t="s">
        <v>294</v>
      </c>
      <c r="M3661" t="s">
        <v>295</v>
      </c>
      <c r="N3661" t="s">
        <v>7</v>
      </c>
      <c r="O3661" t="s">
        <v>297</v>
      </c>
    </row>
    <row r="3662" spans="1:15" x14ac:dyDescent="0.3">
      <c r="A3662" t="s">
        <v>5641</v>
      </c>
      <c r="B3662" t="s">
        <v>5642</v>
      </c>
      <c r="C3662">
        <v>2022</v>
      </c>
      <c r="D3662" t="s">
        <v>300</v>
      </c>
      <c r="E3662" t="s">
        <v>723</v>
      </c>
      <c r="F3662">
        <v>218</v>
      </c>
      <c r="G3662" t="s">
        <v>346</v>
      </c>
      <c r="H3662">
        <v>8</v>
      </c>
      <c r="I3662" t="s">
        <v>5690</v>
      </c>
      <c r="J3662" t="s">
        <v>294</v>
      </c>
      <c r="M3662" t="s">
        <v>295</v>
      </c>
      <c r="N3662" t="s">
        <v>7</v>
      </c>
      <c r="O3662" t="s">
        <v>297</v>
      </c>
    </row>
    <row r="3663" spans="1:15" x14ac:dyDescent="0.3">
      <c r="A3663" t="s">
        <v>5641</v>
      </c>
      <c r="B3663" t="s">
        <v>5642</v>
      </c>
      <c r="C3663">
        <v>2022</v>
      </c>
      <c r="D3663" t="s">
        <v>300</v>
      </c>
      <c r="E3663" t="s">
        <v>326</v>
      </c>
      <c r="F3663">
        <v>1.74</v>
      </c>
      <c r="G3663" t="s">
        <v>327</v>
      </c>
      <c r="H3663">
        <v>6</v>
      </c>
      <c r="I3663" t="s">
        <v>5691</v>
      </c>
      <c r="J3663" t="s">
        <v>294</v>
      </c>
      <c r="M3663" t="s">
        <v>295</v>
      </c>
      <c r="N3663" t="s">
        <v>7</v>
      </c>
      <c r="O3663" t="s">
        <v>297</v>
      </c>
    </row>
    <row r="3664" spans="1:15" x14ac:dyDescent="0.3">
      <c r="A3664" t="s">
        <v>5641</v>
      </c>
      <c r="B3664" t="s">
        <v>5642</v>
      </c>
      <c r="C3664">
        <v>2022</v>
      </c>
      <c r="D3664" t="s">
        <v>300</v>
      </c>
      <c r="E3664" t="s">
        <v>5692</v>
      </c>
      <c r="F3664">
        <v>0.91</v>
      </c>
      <c r="G3664" t="s">
        <v>327</v>
      </c>
      <c r="H3664">
        <v>6</v>
      </c>
      <c r="I3664" t="s">
        <v>5693</v>
      </c>
      <c r="J3664" t="s">
        <v>294</v>
      </c>
      <c r="M3664" t="s">
        <v>295</v>
      </c>
      <c r="N3664" t="s">
        <v>7</v>
      </c>
      <c r="O3664" t="s">
        <v>297</v>
      </c>
    </row>
    <row r="3665" spans="1:15" x14ac:dyDescent="0.3">
      <c r="A3665" t="s">
        <v>5641</v>
      </c>
      <c r="B3665" t="s">
        <v>5642</v>
      </c>
      <c r="C3665">
        <v>2022</v>
      </c>
      <c r="D3665" t="s">
        <v>300</v>
      </c>
      <c r="E3665" t="s">
        <v>5694</v>
      </c>
      <c r="F3665">
        <v>0.48</v>
      </c>
      <c r="G3665" t="s">
        <v>327</v>
      </c>
      <c r="H3665">
        <v>6</v>
      </c>
      <c r="I3665" t="s">
        <v>5695</v>
      </c>
      <c r="J3665" t="s">
        <v>294</v>
      </c>
      <c r="M3665" t="s">
        <v>295</v>
      </c>
      <c r="N3665" t="s">
        <v>7</v>
      </c>
      <c r="O3665" t="s">
        <v>297</v>
      </c>
    </row>
    <row r="3666" spans="1:15" x14ac:dyDescent="0.3">
      <c r="A3666" t="s">
        <v>5641</v>
      </c>
      <c r="B3666" t="s">
        <v>5642</v>
      </c>
      <c r="C3666">
        <v>2022</v>
      </c>
      <c r="D3666" t="s">
        <v>394</v>
      </c>
      <c r="E3666" t="s">
        <v>5696</v>
      </c>
      <c r="F3666">
        <v>186.3</v>
      </c>
      <c r="G3666" t="s">
        <v>302</v>
      </c>
      <c r="H3666">
        <v>42</v>
      </c>
      <c r="I3666" t="s">
        <v>5697</v>
      </c>
      <c r="J3666" t="s">
        <v>294</v>
      </c>
      <c r="M3666" t="s">
        <v>295</v>
      </c>
      <c r="N3666" t="s">
        <v>7</v>
      </c>
      <c r="O3666" t="s">
        <v>297</v>
      </c>
    </row>
    <row r="3667" spans="1:15" x14ac:dyDescent="0.3">
      <c r="A3667" t="s">
        <v>5641</v>
      </c>
      <c r="B3667" t="s">
        <v>5642</v>
      </c>
      <c r="C3667">
        <v>2022</v>
      </c>
      <c r="D3667" t="s">
        <v>394</v>
      </c>
      <c r="E3667" t="s">
        <v>5698</v>
      </c>
      <c r="F3667">
        <v>327.9</v>
      </c>
      <c r="G3667" t="s">
        <v>302</v>
      </c>
      <c r="H3667">
        <v>42</v>
      </c>
      <c r="I3667" t="s">
        <v>5699</v>
      </c>
      <c r="J3667" t="s">
        <v>294</v>
      </c>
      <c r="M3667" t="s">
        <v>295</v>
      </c>
      <c r="N3667" t="s">
        <v>7</v>
      </c>
      <c r="O3667" t="s">
        <v>297</v>
      </c>
    </row>
    <row r="3668" spans="1:15" x14ac:dyDescent="0.3">
      <c r="A3668" t="s">
        <v>5641</v>
      </c>
      <c r="B3668" t="s">
        <v>5642</v>
      </c>
      <c r="C3668">
        <v>2022</v>
      </c>
      <c r="D3668" t="s">
        <v>394</v>
      </c>
      <c r="E3668" t="s">
        <v>5700</v>
      </c>
      <c r="F3668">
        <v>4000</v>
      </c>
      <c r="G3668" t="s">
        <v>1453</v>
      </c>
      <c r="H3668">
        <v>11</v>
      </c>
      <c r="I3668" t="s">
        <v>5701</v>
      </c>
      <c r="J3668" t="s">
        <v>294</v>
      </c>
      <c r="M3668" t="s">
        <v>295</v>
      </c>
      <c r="N3668" t="s">
        <v>7</v>
      </c>
      <c r="O3668" t="s">
        <v>297</v>
      </c>
    </row>
    <row r="3669" spans="1:15" x14ac:dyDescent="0.3">
      <c r="A3669" t="s">
        <v>5641</v>
      </c>
      <c r="B3669" t="s">
        <v>5642</v>
      </c>
      <c r="C3669">
        <v>2022</v>
      </c>
      <c r="D3669" t="s">
        <v>394</v>
      </c>
      <c r="E3669" t="s">
        <v>5702</v>
      </c>
      <c r="F3669">
        <v>100</v>
      </c>
      <c r="G3669" t="s">
        <v>5345</v>
      </c>
      <c r="H3669">
        <v>12</v>
      </c>
      <c r="I3669" t="s">
        <v>5703</v>
      </c>
      <c r="J3669" t="s">
        <v>294</v>
      </c>
      <c r="M3669" t="s">
        <v>295</v>
      </c>
      <c r="N3669" t="s">
        <v>7</v>
      </c>
      <c r="O3669" t="s">
        <v>297</v>
      </c>
    </row>
    <row r="3670" spans="1:15" x14ac:dyDescent="0.3">
      <c r="A3670" t="s">
        <v>5641</v>
      </c>
      <c r="B3670" t="s">
        <v>5642</v>
      </c>
      <c r="C3670">
        <v>2022</v>
      </c>
      <c r="D3670" t="s">
        <v>394</v>
      </c>
      <c r="E3670" t="s">
        <v>5704</v>
      </c>
      <c r="F3670">
        <v>150</v>
      </c>
      <c r="G3670" t="s">
        <v>5345</v>
      </c>
      <c r="H3670">
        <v>12</v>
      </c>
      <c r="I3670" t="s">
        <v>5705</v>
      </c>
      <c r="J3670" t="s">
        <v>294</v>
      </c>
      <c r="M3670" t="s">
        <v>295</v>
      </c>
      <c r="N3670" t="s">
        <v>7</v>
      </c>
      <c r="O3670" t="s">
        <v>297</v>
      </c>
    </row>
    <row r="3671" spans="1:15" x14ac:dyDescent="0.3">
      <c r="A3671" t="s">
        <v>5641</v>
      </c>
      <c r="B3671" t="s">
        <v>5642</v>
      </c>
      <c r="C3671">
        <v>2022</v>
      </c>
      <c r="D3671" t="s">
        <v>394</v>
      </c>
      <c r="E3671" t="s">
        <v>5706</v>
      </c>
      <c r="F3671">
        <v>4</v>
      </c>
      <c r="G3671" t="s">
        <v>384</v>
      </c>
      <c r="H3671">
        <v>12</v>
      </c>
      <c r="I3671" t="s">
        <v>5707</v>
      </c>
      <c r="J3671" t="s">
        <v>294</v>
      </c>
      <c r="M3671" t="s">
        <v>295</v>
      </c>
      <c r="N3671" t="s">
        <v>7</v>
      </c>
      <c r="O3671" t="s">
        <v>297</v>
      </c>
    </row>
    <row r="3672" spans="1:15" x14ac:dyDescent="0.3">
      <c r="A3672" t="s">
        <v>5641</v>
      </c>
      <c r="B3672" t="s">
        <v>5642</v>
      </c>
      <c r="C3672">
        <v>2022</v>
      </c>
      <c r="D3672" t="s">
        <v>394</v>
      </c>
      <c r="E3672" t="s">
        <v>5708</v>
      </c>
      <c r="F3672">
        <v>2100</v>
      </c>
      <c r="G3672" t="s">
        <v>1453</v>
      </c>
      <c r="H3672">
        <v>11</v>
      </c>
      <c r="I3672" t="s">
        <v>5709</v>
      </c>
      <c r="J3672" t="s">
        <v>294</v>
      </c>
      <c r="M3672" t="s">
        <v>295</v>
      </c>
      <c r="N3672" t="s">
        <v>7</v>
      </c>
      <c r="O3672" t="s">
        <v>297</v>
      </c>
    </row>
    <row r="3673" spans="1:15" x14ac:dyDescent="0.3">
      <c r="A3673" t="s">
        <v>5641</v>
      </c>
      <c r="B3673" t="s">
        <v>5642</v>
      </c>
      <c r="C3673">
        <v>2022</v>
      </c>
      <c r="D3673" t="s">
        <v>394</v>
      </c>
      <c r="E3673" t="s">
        <v>5710</v>
      </c>
      <c r="F3673">
        <v>3000</v>
      </c>
      <c r="G3673" t="s">
        <v>1453</v>
      </c>
      <c r="H3673">
        <v>11</v>
      </c>
      <c r="I3673" t="s">
        <v>5711</v>
      </c>
      <c r="J3673" t="s">
        <v>294</v>
      </c>
      <c r="M3673" t="s">
        <v>295</v>
      </c>
      <c r="N3673" t="s">
        <v>7</v>
      </c>
      <c r="O3673" t="s">
        <v>297</v>
      </c>
    </row>
    <row r="3674" spans="1:15" x14ac:dyDescent="0.3">
      <c r="A3674" t="s">
        <v>5641</v>
      </c>
      <c r="B3674" t="s">
        <v>5642</v>
      </c>
      <c r="C3674">
        <v>2022</v>
      </c>
      <c r="D3674" t="s">
        <v>563</v>
      </c>
      <c r="E3674" t="s">
        <v>5712</v>
      </c>
      <c r="F3674">
        <v>720</v>
      </c>
      <c r="G3674" t="s">
        <v>5713</v>
      </c>
      <c r="H3674">
        <v>9</v>
      </c>
      <c r="I3674" t="s">
        <v>5714</v>
      </c>
      <c r="J3674" t="s">
        <v>456</v>
      </c>
      <c r="M3674" t="s">
        <v>295</v>
      </c>
      <c r="N3674" t="s">
        <v>7</v>
      </c>
      <c r="O3674" t="s">
        <v>297</v>
      </c>
    </row>
    <row r="3675" spans="1:15" x14ac:dyDescent="0.3">
      <c r="A3675" t="s">
        <v>5641</v>
      </c>
      <c r="B3675" t="s">
        <v>5642</v>
      </c>
      <c r="C3675">
        <v>2022</v>
      </c>
      <c r="D3675" t="s">
        <v>563</v>
      </c>
      <c r="E3675" t="s">
        <v>5473</v>
      </c>
      <c r="F3675">
        <v>62473850</v>
      </c>
      <c r="G3675" t="s">
        <v>2698</v>
      </c>
      <c r="H3675">
        <v>9</v>
      </c>
      <c r="I3675" t="s">
        <v>5715</v>
      </c>
      <c r="J3675" t="s">
        <v>456</v>
      </c>
      <c r="M3675" t="s">
        <v>295</v>
      </c>
      <c r="N3675" t="s">
        <v>7</v>
      </c>
      <c r="O3675" t="s">
        <v>297</v>
      </c>
    </row>
    <row r="3676" spans="1:15" x14ac:dyDescent="0.3">
      <c r="A3676" t="s">
        <v>5641</v>
      </c>
      <c r="B3676" t="s">
        <v>5716</v>
      </c>
      <c r="C3676">
        <v>2023</v>
      </c>
      <c r="D3676" t="s">
        <v>272</v>
      </c>
      <c r="E3676" t="s">
        <v>291</v>
      </c>
      <c r="F3676" t="s">
        <v>5641</v>
      </c>
      <c r="G3676" t="s">
        <v>292</v>
      </c>
      <c r="H3676">
        <v>1</v>
      </c>
      <c r="I3676" t="s">
        <v>5717</v>
      </c>
      <c r="J3676" t="s">
        <v>294</v>
      </c>
      <c r="M3676" t="s">
        <v>295</v>
      </c>
      <c r="N3676" t="s">
        <v>7</v>
      </c>
      <c r="O3676" t="s">
        <v>297</v>
      </c>
    </row>
    <row r="3677" spans="1:15" x14ac:dyDescent="0.3">
      <c r="A3677" t="s">
        <v>5641</v>
      </c>
      <c r="B3677" t="s">
        <v>5716</v>
      </c>
      <c r="C3677">
        <v>2023</v>
      </c>
      <c r="D3677" t="s">
        <v>272</v>
      </c>
      <c r="E3677" t="s">
        <v>1</v>
      </c>
      <c r="F3677" t="s">
        <v>5643</v>
      </c>
      <c r="G3677" t="s">
        <v>292</v>
      </c>
      <c r="H3677">
        <v>8</v>
      </c>
      <c r="I3677" t="s">
        <v>5718</v>
      </c>
      <c r="J3677" t="s">
        <v>294</v>
      </c>
      <c r="M3677" t="s">
        <v>295</v>
      </c>
      <c r="N3677" t="s">
        <v>7</v>
      </c>
      <c r="O3677" t="s">
        <v>297</v>
      </c>
    </row>
    <row r="3678" spans="1:15" x14ac:dyDescent="0.3">
      <c r="A3678" t="s">
        <v>5641</v>
      </c>
      <c r="B3678" t="s">
        <v>5716</v>
      </c>
      <c r="C3678">
        <v>2023</v>
      </c>
      <c r="D3678" t="s">
        <v>272</v>
      </c>
      <c r="E3678" t="s">
        <v>1100</v>
      </c>
      <c r="F3678" t="s">
        <v>5645</v>
      </c>
      <c r="G3678" t="s">
        <v>292</v>
      </c>
      <c r="H3678">
        <v>43</v>
      </c>
      <c r="I3678" t="s">
        <v>5719</v>
      </c>
      <c r="J3678" t="s">
        <v>294</v>
      </c>
      <c r="M3678" t="s">
        <v>295</v>
      </c>
      <c r="N3678" t="s">
        <v>7</v>
      </c>
      <c r="O3678" t="s">
        <v>297</v>
      </c>
    </row>
    <row r="3679" spans="1:15" x14ac:dyDescent="0.3">
      <c r="A3679" t="s">
        <v>5641</v>
      </c>
      <c r="B3679" t="s">
        <v>5716</v>
      </c>
      <c r="C3679">
        <v>2023</v>
      </c>
      <c r="D3679" t="s">
        <v>272</v>
      </c>
      <c r="E3679" t="s">
        <v>5720</v>
      </c>
      <c r="F3679" t="s">
        <v>5721</v>
      </c>
      <c r="G3679" t="s">
        <v>292</v>
      </c>
      <c r="H3679">
        <v>4</v>
      </c>
      <c r="I3679" t="s">
        <v>5722</v>
      </c>
      <c r="J3679" t="s">
        <v>294</v>
      </c>
      <c r="M3679" t="s">
        <v>295</v>
      </c>
      <c r="N3679" t="s">
        <v>7</v>
      </c>
      <c r="O3679" t="s">
        <v>297</v>
      </c>
    </row>
    <row r="3680" spans="1:15" x14ac:dyDescent="0.3">
      <c r="A3680" t="s">
        <v>5641</v>
      </c>
      <c r="B3680" t="s">
        <v>5716</v>
      </c>
      <c r="C3680">
        <v>2023</v>
      </c>
      <c r="D3680" t="s">
        <v>272</v>
      </c>
      <c r="E3680" t="s">
        <v>5647</v>
      </c>
      <c r="F3680" t="s">
        <v>5648</v>
      </c>
      <c r="G3680" t="s">
        <v>666</v>
      </c>
      <c r="H3680">
        <v>8</v>
      </c>
      <c r="I3680" t="s">
        <v>5723</v>
      </c>
      <c r="J3680" t="s">
        <v>294</v>
      </c>
      <c r="M3680" t="s">
        <v>295</v>
      </c>
      <c r="N3680" t="s">
        <v>7</v>
      </c>
      <c r="O3680" t="s">
        <v>297</v>
      </c>
    </row>
    <row r="3681" spans="1:15" x14ac:dyDescent="0.3">
      <c r="A3681" t="s">
        <v>5641</v>
      </c>
      <c r="B3681" t="s">
        <v>5716</v>
      </c>
      <c r="C3681">
        <v>2023</v>
      </c>
      <c r="D3681" t="s">
        <v>272</v>
      </c>
      <c r="E3681" t="s">
        <v>442</v>
      </c>
      <c r="F3681" t="s">
        <v>5651</v>
      </c>
      <c r="G3681" t="s">
        <v>292</v>
      </c>
      <c r="H3681">
        <v>53</v>
      </c>
      <c r="I3681" t="s">
        <v>5724</v>
      </c>
      <c r="J3681" t="s">
        <v>294</v>
      </c>
      <c r="M3681" t="s">
        <v>295</v>
      </c>
      <c r="N3681" t="s">
        <v>7</v>
      </c>
      <c r="O3681" t="s">
        <v>297</v>
      </c>
    </row>
    <row r="3682" spans="1:15" x14ac:dyDescent="0.3">
      <c r="A3682" t="s">
        <v>5641</v>
      </c>
      <c r="B3682" t="s">
        <v>5716</v>
      </c>
      <c r="C3682">
        <v>2023</v>
      </c>
      <c r="D3682" t="s">
        <v>272</v>
      </c>
      <c r="E3682" t="s">
        <v>5653</v>
      </c>
      <c r="F3682">
        <v>0.47849999999999998</v>
      </c>
      <c r="G3682" t="s">
        <v>334</v>
      </c>
      <c r="H3682">
        <v>51</v>
      </c>
      <c r="I3682" t="s">
        <v>5725</v>
      </c>
      <c r="J3682" t="s">
        <v>294</v>
      </c>
      <c r="M3682" t="s">
        <v>295</v>
      </c>
      <c r="N3682" t="s">
        <v>7</v>
      </c>
      <c r="O3682" t="s">
        <v>297</v>
      </c>
    </row>
    <row r="3683" spans="1:15" x14ac:dyDescent="0.3">
      <c r="A3683" t="s">
        <v>5641</v>
      </c>
      <c r="B3683" t="s">
        <v>5716</v>
      </c>
      <c r="C3683">
        <v>2023</v>
      </c>
      <c r="D3683" t="s">
        <v>272</v>
      </c>
      <c r="E3683" t="s">
        <v>5726</v>
      </c>
      <c r="F3683">
        <v>7.0900000000000005E-2</v>
      </c>
      <c r="G3683" t="s">
        <v>334</v>
      </c>
      <c r="H3683">
        <v>51</v>
      </c>
      <c r="I3683" t="s">
        <v>5727</v>
      </c>
      <c r="J3683" t="s">
        <v>294</v>
      </c>
      <c r="M3683" t="s">
        <v>295</v>
      </c>
      <c r="N3683" t="s">
        <v>7</v>
      </c>
      <c r="O3683" t="s">
        <v>297</v>
      </c>
    </row>
    <row r="3684" spans="1:15" x14ac:dyDescent="0.3">
      <c r="A3684" t="s">
        <v>5641</v>
      </c>
      <c r="B3684" t="s">
        <v>5716</v>
      </c>
      <c r="C3684">
        <v>2023</v>
      </c>
      <c r="D3684" t="s">
        <v>272</v>
      </c>
      <c r="E3684" t="s">
        <v>342</v>
      </c>
      <c r="F3684">
        <v>454056563</v>
      </c>
      <c r="G3684" t="s">
        <v>1633</v>
      </c>
      <c r="H3684">
        <v>8</v>
      </c>
      <c r="I3684" t="s">
        <v>5728</v>
      </c>
      <c r="J3684" t="s">
        <v>294</v>
      </c>
      <c r="M3684" t="s">
        <v>295</v>
      </c>
      <c r="N3684" t="s">
        <v>7</v>
      </c>
      <c r="O3684" t="s">
        <v>297</v>
      </c>
    </row>
    <row r="3685" spans="1:15" x14ac:dyDescent="0.3">
      <c r="A3685" t="s">
        <v>5641</v>
      </c>
      <c r="B3685" t="s">
        <v>5716</v>
      </c>
      <c r="C3685">
        <v>2023</v>
      </c>
      <c r="D3685" t="s">
        <v>272</v>
      </c>
      <c r="E3685" t="s">
        <v>1560</v>
      </c>
      <c r="F3685">
        <v>27</v>
      </c>
      <c r="G3685" t="s">
        <v>384</v>
      </c>
      <c r="H3685">
        <v>70</v>
      </c>
      <c r="I3685" t="s">
        <v>5729</v>
      </c>
      <c r="J3685" t="s">
        <v>294</v>
      </c>
      <c r="M3685" t="s">
        <v>295</v>
      </c>
      <c r="N3685" t="s">
        <v>7</v>
      </c>
      <c r="O3685" t="s">
        <v>297</v>
      </c>
    </row>
    <row r="3686" spans="1:15" x14ac:dyDescent="0.3">
      <c r="A3686" t="s">
        <v>5641</v>
      </c>
      <c r="B3686" t="s">
        <v>5716</v>
      </c>
      <c r="C3686">
        <v>2023</v>
      </c>
      <c r="D3686" t="s">
        <v>300</v>
      </c>
      <c r="E3686" t="s">
        <v>3142</v>
      </c>
      <c r="F3686">
        <v>600.35</v>
      </c>
      <c r="G3686" t="s">
        <v>302</v>
      </c>
      <c r="H3686">
        <v>6</v>
      </c>
      <c r="I3686" t="s">
        <v>5730</v>
      </c>
      <c r="J3686" t="s">
        <v>294</v>
      </c>
      <c r="M3686" t="s">
        <v>295</v>
      </c>
      <c r="N3686" t="s">
        <v>7</v>
      </c>
      <c r="O3686" t="s">
        <v>297</v>
      </c>
    </row>
    <row r="3687" spans="1:15" x14ac:dyDescent="0.3">
      <c r="A3687" t="s">
        <v>5641</v>
      </c>
      <c r="B3687" t="s">
        <v>5716</v>
      </c>
      <c r="C3687">
        <v>2023</v>
      </c>
      <c r="D3687" t="s">
        <v>300</v>
      </c>
      <c r="E3687" t="s">
        <v>688</v>
      </c>
      <c r="F3687">
        <v>564.42999999999995</v>
      </c>
      <c r="G3687" t="s">
        <v>302</v>
      </c>
      <c r="H3687">
        <v>6</v>
      </c>
      <c r="I3687" t="s">
        <v>5731</v>
      </c>
      <c r="J3687" t="s">
        <v>294</v>
      </c>
      <c r="M3687" t="s">
        <v>295</v>
      </c>
      <c r="N3687" t="s">
        <v>7</v>
      </c>
      <c r="O3687" t="s">
        <v>297</v>
      </c>
    </row>
    <row r="3688" spans="1:15" x14ac:dyDescent="0.3">
      <c r="A3688" t="s">
        <v>5641</v>
      </c>
      <c r="B3688" t="s">
        <v>5716</v>
      </c>
      <c r="C3688">
        <v>2023</v>
      </c>
      <c r="D3688" t="s">
        <v>300</v>
      </c>
      <c r="E3688" t="s">
        <v>304</v>
      </c>
      <c r="F3688">
        <v>35.92</v>
      </c>
      <c r="G3688" t="s">
        <v>302</v>
      </c>
      <c r="H3688">
        <v>6</v>
      </c>
      <c r="I3688" t="s">
        <v>5732</v>
      </c>
      <c r="J3688" t="s">
        <v>294</v>
      </c>
      <c r="M3688" t="s">
        <v>295</v>
      </c>
      <c r="N3688" t="s">
        <v>7</v>
      </c>
      <c r="O3688" t="s">
        <v>297</v>
      </c>
    </row>
    <row r="3689" spans="1:15" x14ac:dyDescent="0.3">
      <c r="A3689" t="s">
        <v>5641</v>
      </c>
      <c r="B3689" t="s">
        <v>5716</v>
      </c>
      <c r="C3689">
        <v>2023</v>
      </c>
      <c r="D3689" t="s">
        <v>300</v>
      </c>
      <c r="E3689" t="s">
        <v>1157</v>
      </c>
      <c r="F3689">
        <v>26.99</v>
      </c>
      <c r="G3689" t="s">
        <v>302</v>
      </c>
      <c r="H3689">
        <v>38</v>
      </c>
      <c r="I3689" t="s">
        <v>5733</v>
      </c>
      <c r="J3689" t="s">
        <v>294</v>
      </c>
      <c r="M3689" t="s">
        <v>295</v>
      </c>
      <c r="N3689" t="s">
        <v>7</v>
      </c>
      <c r="O3689" t="s">
        <v>297</v>
      </c>
    </row>
    <row r="3690" spans="1:15" x14ac:dyDescent="0.3">
      <c r="A3690" t="s">
        <v>5641</v>
      </c>
      <c r="B3690" t="s">
        <v>5716</v>
      </c>
      <c r="C3690">
        <v>2023</v>
      </c>
      <c r="D3690" t="s">
        <v>300</v>
      </c>
      <c r="E3690" t="s">
        <v>3633</v>
      </c>
      <c r="F3690">
        <v>11.25</v>
      </c>
      <c r="G3690" t="s">
        <v>302</v>
      </c>
      <c r="H3690">
        <v>38</v>
      </c>
      <c r="I3690" t="s">
        <v>5734</v>
      </c>
      <c r="J3690" t="s">
        <v>294</v>
      </c>
      <c r="M3690" t="s">
        <v>295</v>
      </c>
      <c r="N3690" t="s">
        <v>7</v>
      </c>
      <c r="O3690" t="s">
        <v>297</v>
      </c>
    </row>
    <row r="3691" spans="1:15" x14ac:dyDescent="0.3">
      <c r="A3691" t="s">
        <v>5641</v>
      </c>
      <c r="B3691" t="s">
        <v>5716</v>
      </c>
      <c r="C3691">
        <v>2023</v>
      </c>
      <c r="D3691" t="s">
        <v>300</v>
      </c>
      <c r="E3691" t="s">
        <v>457</v>
      </c>
      <c r="F3691">
        <v>7.33</v>
      </c>
      <c r="G3691" t="s">
        <v>302</v>
      </c>
      <c r="H3691">
        <v>38</v>
      </c>
      <c r="I3691" t="s">
        <v>5735</v>
      </c>
      <c r="J3691" t="s">
        <v>294</v>
      </c>
      <c r="M3691" t="s">
        <v>295</v>
      </c>
      <c r="N3691" t="s">
        <v>7</v>
      </c>
      <c r="O3691" t="s">
        <v>297</v>
      </c>
    </row>
    <row r="3692" spans="1:15" x14ac:dyDescent="0.3">
      <c r="A3692" t="s">
        <v>5641</v>
      </c>
      <c r="B3692" t="s">
        <v>5716</v>
      </c>
      <c r="C3692">
        <v>2023</v>
      </c>
      <c r="D3692" t="s">
        <v>300</v>
      </c>
      <c r="E3692" t="s">
        <v>579</v>
      </c>
      <c r="F3692">
        <v>4.04</v>
      </c>
      <c r="G3692" t="s">
        <v>302</v>
      </c>
      <c r="H3692">
        <v>6</v>
      </c>
      <c r="I3692" t="s">
        <v>5736</v>
      </c>
      <c r="J3692" t="s">
        <v>294</v>
      </c>
      <c r="M3692" t="s">
        <v>295</v>
      </c>
      <c r="N3692" t="s">
        <v>7</v>
      </c>
      <c r="O3692" t="s">
        <v>297</v>
      </c>
    </row>
    <row r="3693" spans="1:15" x14ac:dyDescent="0.3">
      <c r="A3693" t="s">
        <v>5641</v>
      </c>
      <c r="B3693" t="s">
        <v>5716</v>
      </c>
      <c r="C3693">
        <v>2023</v>
      </c>
      <c r="D3693" t="s">
        <v>300</v>
      </c>
      <c r="E3693" t="s">
        <v>581</v>
      </c>
      <c r="F3693">
        <v>0.91</v>
      </c>
      <c r="G3693" t="s">
        <v>302</v>
      </c>
      <c r="H3693">
        <v>38</v>
      </c>
      <c r="I3693" t="s">
        <v>5737</v>
      </c>
      <c r="J3693" t="s">
        <v>294</v>
      </c>
      <c r="M3693" t="s">
        <v>295</v>
      </c>
      <c r="N3693" t="s">
        <v>7</v>
      </c>
      <c r="O3693" t="s">
        <v>297</v>
      </c>
    </row>
    <row r="3694" spans="1:15" x14ac:dyDescent="0.3">
      <c r="A3694" t="s">
        <v>5641</v>
      </c>
      <c r="B3694" t="s">
        <v>5716</v>
      </c>
      <c r="C3694">
        <v>2023</v>
      </c>
      <c r="D3694" t="s">
        <v>300</v>
      </c>
      <c r="E3694" t="s">
        <v>306</v>
      </c>
      <c r="F3694">
        <v>3.13</v>
      </c>
      <c r="G3694" t="s">
        <v>302</v>
      </c>
      <c r="H3694">
        <v>6</v>
      </c>
      <c r="I3694" t="s">
        <v>5738</v>
      </c>
      <c r="J3694" t="s">
        <v>294</v>
      </c>
      <c r="M3694" t="s">
        <v>295</v>
      </c>
      <c r="N3694" t="s">
        <v>7</v>
      </c>
      <c r="O3694" t="s">
        <v>297</v>
      </c>
    </row>
    <row r="3695" spans="1:15" x14ac:dyDescent="0.3">
      <c r="A3695" t="s">
        <v>5641</v>
      </c>
      <c r="B3695" t="s">
        <v>5716</v>
      </c>
      <c r="C3695">
        <v>2023</v>
      </c>
      <c r="D3695" t="s">
        <v>300</v>
      </c>
      <c r="E3695" t="s">
        <v>316</v>
      </c>
      <c r="F3695">
        <v>199.91</v>
      </c>
      <c r="G3695" t="s">
        <v>302</v>
      </c>
      <c r="H3695">
        <v>6</v>
      </c>
      <c r="I3695" t="s">
        <v>5739</v>
      </c>
      <c r="J3695" t="s">
        <v>294</v>
      </c>
      <c r="M3695" t="s">
        <v>295</v>
      </c>
      <c r="N3695" t="s">
        <v>7</v>
      </c>
      <c r="O3695" t="s">
        <v>297</v>
      </c>
    </row>
    <row r="3696" spans="1:15" x14ac:dyDescent="0.3">
      <c r="A3696" t="s">
        <v>5641</v>
      </c>
      <c r="B3696" t="s">
        <v>5716</v>
      </c>
      <c r="C3696">
        <v>2023</v>
      </c>
      <c r="D3696" t="s">
        <v>300</v>
      </c>
      <c r="E3696" t="s">
        <v>312</v>
      </c>
      <c r="F3696">
        <v>136.07</v>
      </c>
      <c r="G3696" t="s">
        <v>302</v>
      </c>
      <c r="H3696">
        <v>6</v>
      </c>
      <c r="I3696" t="s">
        <v>5740</v>
      </c>
      <c r="J3696" t="s">
        <v>294</v>
      </c>
      <c r="M3696" t="s">
        <v>295</v>
      </c>
      <c r="N3696" t="s">
        <v>7</v>
      </c>
      <c r="O3696" t="s">
        <v>297</v>
      </c>
    </row>
    <row r="3697" spans="1:15" x14ac:dyDescent="0.3">
      <c r="A3697" t="s">
        <v>5641</v>
      </c>
      <c r="B3697" t="s">
        <v>5716</v>
      </c>
      <c r="C3697">
        <v>2023</v>
      </c>
      <c r="D3697" t="s">
        <v>300</v>
      </c>
      <c r="E3697" t="s">
        <v>314</v>
      </c>
      <c r="F3697">
        <v>63.84</v>
      </c>
      <c r="G3697" t="s">
        <v>302</v>
      </c>
      <c r="H3697">
        <v>6</v>
      </c>
      <c r="I3697" t="s">
        <v>5741</v>
      </c>
      <c r="J3697" t="s">
        <v>294</v>
      </c>
      <c r="M3697" t="s">
        <v>295</v>
      </c>
      <c r="N3697" t="s">
        <v>7</v>
      </c>
      <c r="O3697" t="s">
        <v>297</v>
      </c>
    </row>
    <row r="3698" spans="1:15" x14ac:dyDescent="0.3">
      <c r="A3698" t="s">
        <v>5641</v>
      </c>
      <c r="B3698" t="s">
        <v>5716</v>
      </c>
      <c r="C3698">
        <v>2023</v>
      </c>
      <c r="D3698" t="s">
        <v>300</v>
      </c>
      <c r="E3698" t="s">
        <v>592</v>
      </c>
      <c r="F3698">
        <v>7.91</v>
      </c>
      <c r="G3698" t="s">
        <v>302</v>
      </c>
      <c r="H3698">
        <v>36</v>
      </c>
      <c r="I3698" t="s">
        <v>5742</v>
      </c>
      <c r="J3698" t="s">
        <v>294</v>
      </c>
      <c r="M3698" t="s">
        <v>295</v>
      </c>
      <c r="N3698" t="s">
        <v>7</v>
      </c>
      <c r="O3698" t="s">
        <v>297</v>
      </c>
    </row>
    <row r="3699" spans="1:15" x14ac:dyDescent="0.3">
      <c r="A3699" t="s">
        <v>5641</v>
      </c>
      <c r="B3699" t="s">
        <v>5716</v>
      </c>
      <c r="C3699">
        <v>2023</v>
      </c>
      <c r="D3699" t="s">
        <v>300</v>
      </c>
      <c r="E3699" t="s">
        <v>479</v>
      </c>
      <c r="F3699">
        <v>33.93</v>
      </c>
      <c r="G3699" t="s">
        <v>302</v>
      </c>
      <c r="H3699">
        <v>36</v>
      </c>
      <c r="I3699" t="s">
        <v>5743</v>
      </c>
      <c r="J3699" t="s">
        <v>294</v>
      </c>
      <c r="M3699" t="s">
        <v>295</v>
      </c>
      <c r="N3699" t="s">
        <v>7</v>
      </c>
      <c r="O3699" t="s">
        <v>297</v>
      </c>
    </row>
    <row r="3700" spans="1:15" x14ac:dyDescent="0.3">
      <c r="A3700" t="s">
        <v>5641</v>
      </c>
      <c r="B3700" t="s">
        <v>5716</v>
      </c>
      <c r="C3700">
        <v>2023</v>
      </c>
      <c r="D3700" t="s">
        <v>300</v>
      </c>
      <c r="E3700" t="s">
        <v>481</v>
      </c>
      <c r="F3700">
        <v>86.56</v>
      </c>
      <c r="G3700" t="s">
        <v>302</v>
      </c>
      <c r="H3700">
        <v>36</v>
      </c>
      <c r="I3700" t="s">
        <v>5744</v>
      </c>
      <c r="J3700" t="s">
        <v>294</v>
      </c>
      <c r="M3700" t="s">
        <v>295</v>
      </c>
      <c r="N3700" t="s">
        <v>7</v>
      </c>
      <c r="O3700" t="s">
        <v>297</v>
      </c>
    </row>
    <row r="3701" spans="1:15" x14ac:dyDescent="0.3">
      <c r="A3701" t="s">
        <v>5641</v>
      </c>
      <c r="B3701" t="s">
        <v>5716</v>
      </c>
      <c r="C3701">
        <v>2023</v>
      </c>
      <c r="D3701" t="s">
        <v>300</v>
      </c>
      <c r="E3701" t="s">
        <v>5676</v>
      </c>
      <c r="F3701">
        <v>59.98</v>
      </c>
      <c r="G3701" t="s">
        <v>302</v>
      </c>
      <c r="H3701">
        <v>36</v>
      </c>
      <c r="I3701" t="s">
        <v>5745</v>
      </c>
      <c r="J3701" t="s">
        <v>294</v>
      </c>
      <c r="M3701" t="s">
        <v>295</v>
      </c>
      <c r="N3701" t="s">
        <v>7</v>
      </c>
      <c r="O3701" t="s">
        <v>297</v>
      </c>
    </row>
    <row r="3702" spans="1:15" x14ac:dyDescent="0.3">
      <c r="A3702" t="s">
        <v>5641</v>
      </c>
      <c r="B3702" t="s">
        <v>5716</v>
      </c>
      <c r="C3702">
        <v>2023</v>
      </c>
      <c r="D3702" t="s">
        <v>300</v>
      </c>
      <c r="E3702" t="s">
        <v>322</v>
      </c>
      <c r="F3702">
        <v>115.42</v>
      </c>
      <c r="G3702" t="s">
        <v>302</v>
      </c>
      <c r="H3702">
        <v>6</v>
      </c>
      <c r="I3702" t="s">
        <v>5746</v>
      </c>
      <c r="J3702" t="s">
        <v>294</v>
      </c>
      <c r="M3702" t="s">
        <v>295</v>
      </c>
      <c r="N3702" t="s">
        <v>7</v>
      </c>
      <c r="O3702" t="s">
        <v>297</v>
      </c>
    </row>
    <row r="3703" spans="1:15" x14ac:dyDescent="0.3">
      <c r="A3703" t="s">
        <v>5641</v>
      </c>
      <c r="B3703" t="s">
        <v>5716</v>
      </c>
      <c r="C3703">
        <v>2023</v>
      </c>
      <c r="D3703" t="s">
        <v>300</v>
      </c>
      <c r="E3703" t="s">
        <v>318</v>
      </c>
      <c r="F3703">
        <v>103.76</v>
      </c>
      <c r="G3703" t="s">
        <v>302</v>
      </c>
      <c r="H3703">
        <v>6</v>
      </c>
      <c r="I3703" t="s">
        <v>5747</v>
      </c>
      <c r="J3703" t="s">
        <v>294</v>
      </c>
      <c r="M3703" t="s">
        <v>295</v>
      </c>
      <c r="N3703" t="s">
        <v>7</v>
      </c>
      <c r="O3703" t="s">
        <v>297</v>
      </c>
    </row>
    <row r="3704" spans="1:15" x14ac:dyDescent="0.3">
      <c r="A3704" t="s">
        <v>5641</v>
      </c>
      <c r="B3704" t="s">
        <v>5716</v>
      </c>
      <c r="C3704">
        <v>2023</v>
      </c>
      <c r="D3704" t="s">
        <v>300</v>
      </c>
      <c r="E3704" t="s">
        <v>468</v>
      </c>
      <c r="F3704">
        <v>11.66</v>
      </c>
      <c r="G3704" t="s">
        <v>302</v>
      </c>
      <c r="H3704">
        <v>37</v>
      </c>
      <c r="I3704" t="s">
        <v>5748</v>
      </c>
      <c r="J3704" t="s">
        <v>294</v>
      </c>
      <c r="M3704" t="s">
        <v>295</v>
      </c>
      <c r="N3704" t="s">
        <v>7</v>
      </c>
      <c r="O3704" t="s">
        <v>297</v>
      </c>
    </row>
    <row r="3705" spans="1:15" x14ac:dyDescent="0.3">
      <c r="A3705" t="s">
        <v>5641</v>
      </c>
      <c r="B3705" t="s">
        <v>5716</v>
      </c>
      <c r="C3705">
        <v>2023</v>
      </c>
      <c r="D3705" t="s">
        <v>300</v>
      </c>
      <c r="E3705" t="s">
        <v>595</v>
      </c>
      <c r="F3705">
        <v>73.95</v>
      </c>
      <c r="G3705" t="s">
        <v>302</v>
      </c>
      <c r="H3705">
        <v>37</v>
      </c>
      <c r="I3705" t="s">
        <v>5749</v>
      </c>
      <c r="J3705" t="s">
        <v>294</v>
      </c>
      <c r="M3705" t="s">
        <v>295</v>
      </c>
      <c r="N3705" t="s">
        <v>7</v>
      </c>
      <c r="O3705" t="s">
        <v>297</v>
      </c>
    </row>
    <row r="3706" spans="1:15" x14ac:dyDescent="0.3">
      <c r="A3706" t="s">
        <v>5641</v>
      </c>
      <c r="B3706" t="s">
        <v>5716</v>
      </c>
      <c r="C3706">
        <v>2023</v>
      </c>
      <c r="D3706" t="s">
        <v>300</v>
      </c>
      <c r="E3706" t="s">
        <v>5681</v>
      </c>
      <c r="F3706">
        <v>2.11</v>
      </c>
      <c r="G3706" t="s">
        <v>302</v>
      </c>
      <c r="H3706">
        <v>37</v>
      </c>
      <c r="I3706" t="s">
        <v>5750</v>
      </c>
      <c r="J3706" t="s">
        <v>294</v>
      </c>
      <c r="M3706" t="s">
        <v>295</v>
      </c>
      <c r="N3706" t="s">
        <v>7</v>
      </c>
      <c r="O3706" t="s">
        <v>297</v>
      </c>
    </row>
    <row r="3707" spans="1:15" x14ac:dyDescent="0.3">
      <c r="A3707" t="s">
        <v>5641</v>
      </c>
      <c r="B3707" t="s">
        <v>5716</v>
      </c>
      <c r="C3707">
        <v>2023</v>
      </c>
      <c r="D3707" t="s">
        <v>300</v>
      </c>
      <c r="E3707" t="s">
        <v>5679</v>
      </c>
      <c r="F3707">
        <v>4.74</v>
      </c>
      <c r="G3707" t="s">
        <v>302</v>
      </c>
      <c r="H3707">
        <v>37</v>
      </c>
      <c r="I3707" t="s">
        <v>5751</v>
      </c>
      <c r="J3707" t="s">
        <v>294</v>
      </c>
      <c r="M3707" t="s">
        <v>295</v>
      </c>
      <c r="N3707" t="s">
        <v>7</v>
      </c>
      <c r="O3707" t="s">
        <v>297</v>
      </c>
    </row>
    <row r="3708" spans="1:15" x14ac:dyDescent="0.3">
      <c r="A3708" t="s">
        <v>5641</v>
      </c>
      <c r="B3708" t="s">
        <v>5716</v>
      </c>
      <c r="C3708">
        <v>2023</v>
      </c>
      <c r="D3708" t="s">
        <v>300</v>
      </c>
      <c r="E3708" t="s">
        <v>5683</v>
      </c>
      <c r="F3708">
        <v>80.8</v>
      </c>
      <c r="G3708" t="s">
        <v>302</v>
      </c>
      <c r="H3708">
        <v>37</v>
      </c>
      <c r="I3708" t="s">
        <v>5752</v>
      </c>
      <c r="J3708" t="s">
        <v>294</v>
      </c>
      <c r="M3708" t="s">
        <v>295</v>
      </c>
      <c r="N3708" t="s">
        <v>7</v>
      </c>
      <c r="O3708" t="s">
        <v>297</v>
      </c>
    </row>
    <row r="3709" spans="1:15" x14ac:dyDescent="0.3">
      <c r="A3709" t="s">
        <v>5641</v>
      </c>
      <c r="B3709" t="s">
        <v>5716</v>
      </c>
      <c r="C3709">
        <v>2023</v>
      </c>
      <c r="D3709" t="s">
        <v>300</v>
      </c>
      <c r="E3709" t="s">
        <v>324</v>
      </c>
      <c r="F3709">
        <v>84.49</v>
      </c>
      <c r="G3709" t="s">
        <v>302</v>
      </c>
      <c r="H3709">
        <v>6</v>
      </c>
      <c r="I3709" t="s">
        <v>5753</v>
      </c>
      <c r="J3709" t="s">
        <v>294</v>
      </c>
      <c r="M3709" t="s">
        <v>295</v>
      </c>
      <c r="N3709" t="s">
        <v>7</v>
      </c>
      <c r="O3709" t="s">
        <v>297</v>
      </c>
    </row>
    <row r="3710" spans="1:15" x14ac:dyDescent="0.3">
      <c r="A3710" t="s">
        <v>5641</v>
      </c>
      <c r="B3710" t="s">
        <v>5716</v>
      </c>
      <c r="C3710">
        <v>2023</v>
      </c>
      <c r="D3710" t="s">
        <v>300</v>
      </c>
      <c r="E3710" t="s">
        <v>601</v>
      </c>
      <c r="F3710">
        <v>-11.95</v>
      </c>
      <c r="G3710" t="s">
        <v>302</v>
      </c>
      <c r="H3710">
        <v>6</v>
      </c>
      <c r="I3710" t="s">
        <v>5754</v>
      </c>
      <c r="J3710" t="s">
        <v>294</v>
      </c>
      <c r="M3710" t="s">
        <v>295</v>
      </c>
      <c r="N3710" t="s">
        <v>7</v>
      </c>
      <c r="O3710" t="s">
        <v>297</v>
      </c>
    </row>
    <row r="3711" spans="1:15" x14ac:dyDescent="0.3">
      <c r="A3711" t="s">
        <v>5641</v>
      </c>
      <c r="B3711" t="s">
        <v>5716</v>
      </c>
      <c r="C3711">
        <v>2023</v>
      </c>
      <c r="D3711" t="s">
        <v>300</v>
      </c>
      <c r="E3711" t="s">
        <v>603</v>
      </c>
      <c r="F3711">
        <v>-14.37</v>
      </c>
      <c r="G3711" t="s">
        <v>302</v>
      </c>
      <c r="H3711">
        <v>6</v>
      </c>
      <c r="I3711" t="s">
        <v>5755</v>
      </c>
      <c r="J3711" t="s">
        <v>294</v>
      </c>
      <c r="M3711" t="s">
        <v>295</v>
      </c>
      <c r="N3711" t="s">
        <v>7</v>
      </c>
      <c r="O3711" t="s">
        <v>297</v>
      </c>
    </row>
    <row r="3712" spans="1:15" x14ac:dyDescent="0.3">
      <c r="A3712" t="s">
        <v>5641</v>
      </c>
      <c r="B3712" t="s">
        <v>5716</v>
      </c>
      <c r="C3712">
        <v>2023</v>
      </c>
      <c r="D3712" t="s">
        <v>300</v>
      </c>
      <c r="E3712" t="s">
        <v>716</v>
      </c>
      <c r="F3712">
        <v>26.27</v>
      </c>
      <c r="G3712" t="s">
        <v>302</v>
      </c>
      <c r="H3712">
        <v>6</v>
      </c>
      <c r="I3712" t="s">
        <v>5756</v>
      </c>
      <c r="J3712" t="s">
        <v>294</v>
      </c>
      <c r="M3712" t="s">
        <v>295</v>
      </c>
      <c r="N3712" t="s">
        <v>7</v>
      </c>
      <c r="O3712" t="s">
        <v>297</v>
      </c>
    </row>
    <row r="3713" spans="1:15" x14ac:dyDescent="0.3">
      <c r="A3713" t="s">
        <v>5641</v>
      </c>
      <c r="B3713" t="s">
        <v>5716</v>
      </c>
      <c r="C3713">
        <v>2023</v>
      </c>
      <c r="D3713" t="s">
        <v>300</v>
      </c>
      <c r="E3713" t="s">
        <v>1140</v>
      </c>
      <c r="F3713">
        <v>14.37</v>
      </c>
      <c r="G3713" t="s">
        <v>302</v>
      </c>
      <c r="H3713">
        <v>40</v>
      </c>
      <c r="I3713" t="s">
        <v>5757</v>
      </c>
      <c r="J3713" t="s">
        <v>294</v>
      </c>
      <c r="M3713" t="s">
        <v>295</v>
      </c>
      <c r="N3713" t="s">
        <v>7</v>
      </c>
      <c r="O3713" t="s">
        <v>297</v>
      </c>
    </row>
    <row r="3714" spans="1:15" x14ac:dyDescent="0.3">
      <c r="A3714" t="s">
        <v>5641</v>
      </c>
      <c r="B3714" t="s">
        <v>5716</v>
      </c>
      <c r="C3714">
        <v>2023</v>
      </c>
      <c r="D3714" t="s">
        <v>300</v>
      </c>
      <c r="E3714" t="s">
        <v>345</v>
      </c>
      <c r="F3714">
        <v>6.89</v>
      </c>
      <c r="G3714" t="s">
        <v>346</v>
      </c>
      <c r="H3714">
        <v>6</v>
      </c>
      <c r="I3714" t="s">
        <v>5758</v>
      </c>
      <c r="J3714" t="s">
        <v>294</v>
      </c>
      <c r="M3714" t="s">
        <v>295</v>
      </c>
      <c r="N3714" t="s">
        <v>7</v>
      </c>
      <c r="O3714" t="s">
        <v>297</v>
      </c>
    </row>
    <row r="3715" spans="1:15" x14ac:dyDescent="0.3">
      <c r="A3715" t="s">
        <v>5641</v>
      </c>
      <c r="B3715" t="s">
        <v>5716</v>
      </c>
      <c r="C3715">
        <v>2023</v>
      </c>
      <c r="D3715" t="s">
        <v>300</v>
      </c>
      <c r="E3715" t="s">
        <v>5759</v>
      </c>
      <c r="F3715">
        <v>1.41</v>
      </c>
      <c r="G3715" t="s">
        <v>302</v>
      </c>
      <c r="H3715">
        <v>152</v>
      </c>
      <c r="I3715" t="s">
        <v>5760</v>
      </c>
      <c r="J3715" t="s">
        <v>294</v>
      </c>
      <c r="M3715" t="s">
        <v>295</v>
      </c>
      <c r="N3715" t="s">
        <v>7</v>
      </c>
      <c r="O3715" t="s">
        <v>297</v>
      </c>
    </row>
    <row r="3716" spans="1:15" x14ac:dyDescent="0.3">
      <c r="A3716" t="s">
        <v>5641</v>
      </c>
      <c r="B3716" t="s">
        <v>5716</v>
      </c>
      <c r="C3716">
        <v>2023</v>
      </c>
      <c r="D3716" t="s">
        <v>300</v>
      </c>
      <c r="E3716" t="s">
        <v>785</v>
      </c>
      <c r="F3716">
        <v>133</v>
      </c>
      <c r="G3716" t="s">
        <v>346</v>
      </c>
      <c r="H3716">
        <v>8</v>
      </c>
      <c r="I3716" t="s">
        <v>5761</v>
      </c>
      <c r="J3716" t="s">
        <v>294</v>
      </c>
      <c r="M3716" t="s">
        <v>295</v>
      </c>
      <c r="N3716" t="s">
        <v>7</v>
      </c>
      <c r="O3716" t="s">
        <v>297</v>
      </c>
    </row>
    <row r="3717" spans="1:15" x14ac:dyDescent="0.3">
      <c r="A3717" t="s">
        <v>5641</v>
      </c>
      <c r="B3717" t="s">
        <v>5716</v>
      </c>
      <c r="C3717">
        <v>2023</v>
      </c>
      <c r="D3717" t="s">
        <v>300</v>
      </c>
      <c r="E3717" t="s">
        <v>326</v>
      </c>
      <c r="F3717">
        <v>1.31</v>
      </c>
      <c r="G3717" t="s">
        <v>327</v>
      </c>
      <c r="H3717">
        <v>40</v>
      </c>
      <c r="I3717" t="s">
        <v>5762</v>
      </c>
      <c r="J3717" t="s">
        <v>294</v>
      </c>
      <c r="M3717" t="s">
        <v>295</v>
      </c>
      <c r="N3717" t="s">
        <v>7</v>
      </c>
      <c r="O3717" t="s">
        <v>297</v>
      </c>
    </row>
    <row r="3718" spans="1:15" x14ac:dyDescent="0.3">
      <c r="A3718" t="s">
        <v>5641</v>
      </c>
      <c r="B3718" t="s">
        <v>5716</v>
      </c>
      <c r="C3718">
        <v>2023</v>
      </c>
      <c r="D3718" t="s">
        <v>300</v>
      </c>
      <c r="E3718" t="s">
        <v>5692</v>
      </c>
      <c r="F3718">
        <v>1.37</v>
      </c>
      <c r="G3718" t="s">
        <v>327</v>
      </c>
      <c r="H3718">
        <v>40</v>
      </c>
      <c r="I3718" t="s">
        <v>5763</v>
      </c>
      <c r="J3718" t="s">
        <v>294</v>
      </c>
      <c r="M3718" t="s">
        <v>295</v>
      </c>
      <c r="N3718" t="s">
        <v>7</v>
      </c>
      <c r="O3718" t="s">
        <v>297</v>
      </c>
    </row>
    <row r="3719" spans="1:15" x14ac:dyDescent="0.3">
      <c r="A3719" t="s">
        <v>5641</v>
      </c>
      <c r="B3719" t="s">
        <v>5716</v>
      </c>
      <c r="C3719">
        <v>2023</v>
      </c>
      <c r="D3719" t="s">
        <v>300</v>
      </c>
      <c r="E3719" t="s">
        <v>5694</v>
      </c>
      <c r="F3719">
        <v>0.57999999999999996</v>
      </c>
      <c r="G3719" t="s">
        <v>327</v>
      </c>
      <c r="H3719">
        <v>40</v>
      </c>
      <c r="I3719" t="s">
        <v>5764</v>
      </c>
      <c r="J3719" t="s">
        <v>294</v>
      </c>
      <c r="M3719" t="s">
        <v>295</v>
      </c>
      <c r="N3719" t="s">
        <v>7</v>
      </c>
      <c r="O3719" t="s">
        <v>297</v>
      </c>
    </row>
    <row r="3720" spans="1:15" x14ac:dyDescent="0.3">
      <c r="A3720" t="s">
        <v>5641</v>
      </c>
      <c r="B3720" t="s">
        <v>5716</v>
      </c>
      <c r="C3720">
        <v>2023</v>
      </c>
      <c r="D3720" t="s">
        <v>394</v>
      </c>
      <c r="E3720" t="s">
        <v>5700</v>
      </c>
      <c r="F3720">
        <v>4000</v>
      </c>
      <c r="G3720" t="s">
        <v>1453</v>
      </c>
      <c r="H3720">
        <v>45</v>
      </c>
      <c r="I3720" t="s">
        <v>5765</v>
      </c>
      <c r="J3720" t="s">
        <v>294</v>
      </c>
      <c r="M3720" t="s">
        <v>295</v>
      </c>
      <c r="N3720" t="s">
        <v>7</v>
      </c>
      <c r="O3720" t="s">
        <v>297</v>
      </c>
    </row>
    <row r="3721" spans="1:15" x14ac:dyDescent="0.3">
      <c r="A3721" t="s">
        <v>5641</v>
      </c>
      <c r="B3721" t="s">
        <v>5716</v>
      </c>
      <c r="C3721">
        <v>2023</v>
      </c>
      <c r="D3721" t="s">
        <v>394</v>
      </c>
      <c r="E3721" t="s">
        <v>5702</v>
      </c>
      <c r="F3721">
        <v>100</v>
      </c>
      <c r="G3721" t="s">
        <v>5345</v>
      </c>
      <c r="H3721">
        <v>45</v>
      </c>
      <c r="I3721" t="s">
        <v>5766</v>
      </c>
      <c r="J3721" t="s">
        <v>294</v>
      </c>
      <c r="M3721" t="s">
        <v>295</v>
      </c>
      <c r="N3721" t="s">
        <v>7</v>
      </c>
      <c r="O3721" t="s">
        <v>297</v>
      </c>
    </row>
    <row r="3722" spans="1:15" x14ac:dyDescent="0.3">
      <c r="A3722" t="s">
        <v>5641</v>
      </c>
      <c r="B3722" t="s">
        <v>5716</v>
      </c>
      <c r="C3722">
        <v>2023</v>
      </c>
      <c r="D3722" t="s">
        <v>394</v>
      </c>
      <c r="E3722" t="s">
        <v>5704</v>
      </c>
      <c r="F3722">
        <v>150</v>
      </c>
      <c r="G3722" t="s">
        <v>5345</v>
      </c>
      <c r="H3722">
        <v>45</v>
      </c>
      <c r="I3722" t="s">
        <v>5767</v>
      </c>
      <c r="J3722" t="s">
        <v>294</v>
      </c>
      <c r="M3722" t="s">
        <v>295</v>
      </c>
      <c r="N3722" t="s">
        <v>7</v>
      </c>
      <c r="O3722" t="s">
        <v>297</v>
      </c>
    </row>
    <row r="3723" spans="1:15" x14ac:dyDescent="0.3">
      <c r="A3723" t="s">
        <v>5641</v>
      </c>
      <c r="B3723" t="s">
        <v>5716</v>
      </c>
      <c r="C3723">
        <v>2023</v>
      </c>
      <c r="D3723" t="s">
        <v>394</v>
      </c>
      <c r="E3723" t="s">
        <v>5706</v>
      </c>
      <c r="F3723">
        <v>4</v>
      </c>
      <c r="G3723" t="s">
        <v>384</v>
      </c>
      <c r="H3723">
        <v>45</v>
      </c>
      <c r="I3723" t="s">
        <v>5707</v>
      </c>
      <c r="J3723" t="s">
        <v>294</v>
      </c>
      <c r="M3723" t="s">
        <v>295</v>
      </c>
      <c r="N3723" t="s">
        <v>7</v>
      </c>
      <c r="O3723" t="s">
        <v>297</v>
      </c>
    </row>
    <row r="3724" spans="1:15" x14ac:dyDescent="0.3">
      <c r="A3724" t="s">
        <v>5641</v>
      </c>
      <c r="B3724" t="s">
        <v>5716</v>
      </c>
      <c r="C3724">
        <v>2023</v>
      </c>
      <c r="D3724" t="s">
        <v>394</v>
      </c>
      <c r="E3724" t="s">
        <v>5708</v>
      </c>
      <c r="F3724">
        <v>500</v>
      </c>
      <c r="G3724" t="s">
        <v>1453</v>
      </c>
      <c r="H3724">
        <v>45</v>
      </c>
      <c r="I3724" t="s">
        <v>5768</v>
      </c>
      <c r="J3724" t="s">
        <v>294</v>
      </c>
      <c r="M3724" t="s">
        <v>295</v>
      </c>
      <c r="N3724" t="s">
        <v>7</v>
      </c>
      <c r="O3724" t="s">
        <v>297</v>
      </c>
    </row>
    <row r="3725" spans="1:15" x14ac:dyDescent="0.3">
      <c r="A3725" t="s">
        <v>5641</v>
      </c>
      <c r="B3725" t="s">
        <v>5716</v>
      </c>
      <c r="C3725">
        <v>2023</v>
      </c>
      <c r="D3725" t="s">
        <v>394</v>
      </c>
      <c r="E3725" t="s">
        <v>5710</v>
      </c>
      <c r="F3725">
        <v>3000</v>
      </c>
      <c r="G3725" t="s">
        <v>1453</v>
      </c>
      <c r="H3725">
        <v>45</v>
      </c>
      <c r="I3725" t="s">
        <v>5769</v>
      </c>
      <c r="J3725" t="s">
        <v>294</v>
      </c>
      <c r="M3725" t="s">
        <v>295</v>
      </c>
      <c r="N3725" t="s">
        <v>7</v>
      </c>
      <c r="O3725" t="s">
        <v>297</v>
      </c>
    </row>
    <row r="3726" spans="1:15" x14ac:dyDescent="0.3">
      <c r="A3726" t="s">
        <v>5641</v>
      </c>
      <c r="B3726" t="s">
        <v>5716</v>
      </c>
      <c r="C3726">
        <v>2023</v>
      </c>
      <c r="D3726" t="s">
        <v>394</v>
      </c>
      <c r="E3726" t="s">
        <v>5770</v>
      </c>
      <c r="F3726" t="s">
        <v>5771</v>
      </c>
      <c r="G3726" t="s">
        <v>292</v>
      </c>
      <c r="H3726">
        <v>45</v>
      </c>
      <c r="I3726" t="s">
        <v>5772</v>
      </c>
      <c r="J3726" t="s">
        <v>294</v>
      </c>
      <c r="M3726" t="s">
        <v>295</v>
      </c>
      <c r="N3726" t="s">
        <v>7</v>
      </c>
      <c r="O3726" t="s">
        <v>297</v>
      </c>
    </row>
    <row r="3727" spans="1:15" x14ac:dyDescent="0.3">
      <c r="A3727" t="s">
        <v>5641</v>
      </c>
      <c r="B3727" t="s">
        <v>5716</v>
      </c>
      <c r="C3727">
        <v>2023</v>
      </c>
      <c r="D3727" t="s">
        <v>394</v>
      </c>
      <c r="E3727" t="s">
        <v>5696</v>
      </c>
      <c r="F3727">
        <v>298.64</v>
      </c>
      <c r="G3727" t="s">
        <v>302</v>
      </c>
      <c r="H3727">
        <v>35</v>
      </c>
      <c r="I3727" t="s">
        <v>5773</v>
      </c>
      <c r="J3727" t="s">
        <v>294</v>
      </c>
      <c r="M3727" t="s">
        <v>295</v>
      </c>
      <c r="N3727" t="s">
        <v>7</v>
      </c>
      <c r="O3727" t="s">
        <v>297</v>
      </c>
    </row>
    <row r="3728" spans="1:15" x14ac:dyDescent="0.3">
      <c r="A3728" t="s">
        <v>5641</v>
      </c>
      <c r="B3728" t="s">
        <v>5716</v>
      </c>
      <c r="C3728">
        <v>2023</v>
      </c>
      <c r="D3728" t="s">
        <v>394</v>
      </c>
      <c r="E3728" t="s">
        <v>5698</v>
      </c>
      <c r="F3728">
        <v>301.70999999999998</v>
      </c>
      <c r="G3728" t="s">
        <v>302</v>
      </c>
      <c r="H3728">
        <v>35</v>
      </c>
      <c r="I3728" t="s">
        <v>5774</v>
      </c>
      <c r="J3728" t="s">
        <v>294</v>
      </c>
      <c r="M3728" t="s">
        <v>295</v>
      </c>
      <c r="N3728" t="s">
        <v>7</v>
      </c>
      <c r="O3728" t="s">
        <v>297</v>
      </c>
    </row>
    <row r="3729" spans="1:15" x14ac:dyDescent="0.3">
      <c r="A3729" t="s">
        <v>5641</v>
      </c>
      <c r="B3729" t="s">
        <v>5716</v>
      </c>
      <c r="C3729">
        <v>2023</v>
      </c>
      <c r="D3729" t="s">
        <v>394</v>
      </c>
      <c r="E3729" t="s">
        <v>5775</v>
      </c>
      <c r="F3729">
        <v>17.690000000000001</v>
      </c>
      <c r="G3729" t="s">
        <v>327</v>
      </c>
      <c r="H3729">
        <v>40</v>
      </c>
      <c r="I3729" t="s">
        <v>5776</v>
      </c>
      <c r="J3729" t="s">
        <v>294</v>
      </c>
      <c r="M3729" t="s">
        <v>295</v>
      </c>
      <c r="N3729" t="s">
        <v>7</v>
      </c>
      <c r="O3729" t="s">
        <v>297</v>
      </c>
    </row>
    <row r="3730" spans="1:15" x14ac:dyDescent="0.3">
      <c r="A3730" t="s">
        <v>5641</v>
      </c>
      <c r="B3730" t="s">
        <v>5716</v>
      </c>
      <c r="C3730">
        <v>2023</v>
      </c>
      <c r="D3730" t="s">
        <v>394</v>
      </c>
      <c r="E3730" t="s">
        <v>5777</v>
      </c>
      <c r="F3730">
        <v>21</v>
      </c>
      <c r="G3730" t="s">
        <v>794</v>
      </c>
      <c r="H3730">
        <v>40</v>
      </c>
      <c r="I3730" t="s">
        <v>5778</v>
      </c>
      <c r="J3730" t="s">
        <v>294</v>
      </c>
      <c r="M3730" t="s">
        <v>295</v>
      </c>
      <c r="N3730" t="s">
        <v>7</v>
      </c>
      <c r="O3730" t="s">
        <v>297</v>
      </c>
    </row>
    <row r="3731" spans="1:15" x14ac:dyDescent="0.3">
      <c r="A3731" t="s">
        <v>5641</v>
      </c>
      <c r="B3731" t="s">
        <v>5716</v>
      </c>
      <c r="C3731">
        <v>2023</v>
      </c>
      <c r="D3731" t="s">
        <v>563</v>
      </c>
      <c r="E3731" t="s">
        <v>5779</v>
      </c>
      <c r="F3731">
        <v>2854401</v>
      </c>
      <c r="G3731" t="s">
        <v>5780</v>
      </c>
      <c r="H3731">
        <v>9</v>
      </c>
      <c r="I3731" t="s">
        <v>5781</v>
      </c>
      <c r="J3731" t="s">
        <v>294</v>
      </c>
      <c r="M3731" t="s">
        <v>295</v>
      </c>
      <c r="N3731" t="s">
        <v>7</v>
      </c>
      <c r="O3731" t="s">
        <v>297</v>
      </c>
    </row>
    <row r="3732" spans="1:15" x14ac:dyDescent="0.3">
      <c r="A3732" t="s">
        <v>5641</v>
      </c>
      <c r="B3732" t="s">
        <v>5716</v>
      </c>
      <c r="C3732">
        <v>2023</v>
      </c>
      <c r="D3732" t="s">
        <v>563</v>
      </c>
      <c r="E3732" t="s">
        <v>5639</v>
      </c>
      <c r="F3732">
        <v>4276</v>
      </c>
      <c r="G3732" t="s">
        <v>1409</v>
      </c>
      <c r="H3732">
        <v>9</v>
      </c>
      <c r="I3732" t="s">
        <v>5782</v>
      </c>
      <c r="J3732" t="s">
        <v>294</v>
      </c>
      <c r="M3732" t="s">
        <v>295</v>
      </c>
      <c r="N3732" t="s">
        <v>7</v>
      </c>
      <c r="O3732" t="s">
        <v>297</v>
      </c>
    </row>
    <row r="3733" spans="1:15" x14ac:dyDescent="0.3">
      <c r="A3733" t="s">
        <v>5641</v>
      </c>
      <c r="B3733" t="s">
        <v>5716</v>
      </c>
      <c r="C3733">
        <v>2023</v>
      </c>
      <c r="D3733" t="s">
        <v>563</v>
      </c>
      <c r="E3733" t="s">
        <v>5783</v>
      </c>
      <c r="F3733">
        <v>2813</v>
      </c>
      <c r="G3733" t="s">
        <v>5784</v>
      </c>
      <c r="H3733">
        <v>9</v>
      </c>
      <c r="I3733" t="s">
        <v>5785</v>
      </c>
      <c r="J3733" t="s">
        <v>294</v>
      </c>
      <c r="M3733" t="s">
        <v>295</v>
      </c>
      <c r="N3733" t="s">
        <v>7</v>
      </c>
      <c r="O3733" t="s">
        <v>297</v>
      </c>
    </row>
    <row r="3734" spans="1:15" x14ac:dyDescent="0.3">
      <c r="A3734" t="s">
        <v>5641</v>
      </c>
      <c r="B3734" t="s">
        <v>5716</v>
      </c>
      <c r="C3734">
        <v>2023</v>
      </c>
      <c r="D3734" t="s">
        <v>563</v>
      </c>
      <c r="E3734" t="s">
        <v>5712</v>
      </c>
      <c r="F3734">
        <v>780</v>
      </c>
      <c r="G3734" t="s">
        <v>5713</v>
      </c>
      <c r="H3734">
        <v>9</v>
      </c>
      <c r="I3734" t="s">
        <v>5786</v>
      </c>
      <c r="J3734" t="s">
        <v>294</v>
      </c>
      <c r="M3734" t="s">
        <v>295</v>
      </c>
      <c r="N3734" t="s">
        <v>7</v>
      </c>
      <c r="O3734" t="s">
        <v>297</v>
      </c>
    </row>
    <row r="3735" spans="1:15" x14ac:dyDescent="0.3">
      <c r="A3735" t="s">
        <v>5641</v>
      </c>
      <c r="B3735" t="s">
        <v>5716</v>
      </c>
      <c r="C3735">
        <v>2023</v>
      </c>
      <c r="D3735" t="s">
        <v>563</v>
      </c>
      <c r="E3735" t="s">
        <v>5473</v>
      </c>
      <c r="F3735">
        <v>74968620</v>
      </c>
      <c r="G3735" t="s">
        <v>2698</v>
      </c>
      <c r="H3735">
        <v>9</v>
      </c>
      <c r="I3735" t="s">
        <v>5787</v>
      </c>
      <c r="J3735" t="s">
        <v>294</v>
      </c>
      <c r="M3735" t="s">
        <v>295</v>
      </c>
      <c r="N3735" t="s">
        <v>7</v>
      </c>
      <c r="O3735" t="s">
        <v>297</v>
      </c>
    </row>
    <row r="3736" spans="1:15" x14ac:dyDescent="0.3">
      <c r="A3736" t="s">
        <v>5641</v>
      </c>
      <c r="B3736" t="s">
        <v>5788</v>
      </c>
      <c r="C3736">
        <v>2024</v>
      </c>
      <c r="D3736" t="s">
        <v>272</v>
      </c>
      <c r="E3736" t="s">
        <v>291</v>
      </c>
      <c r="F3736" t="s">
        <v>5641</v>
      </c>
      <c r="G3736" t="s">
        <v>292</v>
      </c>
      <c r="H3736">
        <v>5</v>
      </c>
      <c r="I3736" t="s">
        <v>5789</v>
      </c>
      <c r="J3736" t="s">
        <v>294</v>
      </c>
      <c r="M3736" t="s">
        <v>295</v>
      </c>
      <c r="N3736" t="s">
        <v>7</v>
      </c>
      <c r="O3736" t="s">
        <v>297</v>
      </c>
    </row>
    <row r="3737" spans="1:15" x14ac:dyDescent="0.3">
      <c r="A3737" t="s">
        <v>5641</v>
      </c>
      <c r="B3737" t="s">
        <v>5788</v>
      </c>
      <c r="C3737">
        <v>2024</v>
      </c>
      <c r="D3737" t="s">
        <v>272</v>
      </c>
      <c r="E3737" t="s">
        <v>1</v>
      </c>
      <c r="F3737" t="s">
        <v>5643</v>
      </c>
      <c r="G3737" t="s">
        <v>292</v>
      </c>
      <c r="H3737">
        <v>14</v>
      </c>
      <c r="I3737" t="s">
        <v>5790</v>
      </c>
      <c r="J3737" t="s">
        <v>294</v>
      </c>
      <c r="M3737" t="s">
        <v>295</v>
      </c>
      <c r="N3737" t="s">
        <v>7</v>
      </c>
      <c r="O3737" t="s">
        <v>297</v>
      </c>
    </row>
    <row r="3738" spans="1:15" x14ac:dyDescent="0.3">
      <c r="A3738" t="s">
        <v>5641</v>
      </c>
      <c r="B3738" t="s">
        <v>5788</v>
      </c>
      <c r="C3738">
        <v>2024</v>
      </c>
      <c r="D3738" t="s">
        <v>272</v>
      </c>
      <c r="E3738" t="s">
        <v>1100</v>
      </c>
      <c r="F3738" t="s">
        <v>5645</v>
      </c>
      <c r="G3738" t="s">
        <v>292</v>
      </c>
      <c r="H3738">
        <v>20</v>
      </c>
      <c r="I3738" t="s">
        <v>5791</v>
      </c>
      <c r="J3738" t="s">
        <v>294</v>
      </c>
      <c r="M3738" t="s">
        <v>295</v>
      </c>
      <c r="N3738" t="s">
        <v>7</v>
      </c>
      <c r="O3738" t="s">
        <v>297</v>
      </c>
    </row>
    <row r="3739" spans="1:15" x14ac:dyDescent="0.3">
      <c r="A3739" t="s">
        <v>5641</v>
      </c>
      <c r="B3739" t="s">
        <v>5788</v>
      </c>
      <c r="C3739">
        <v>2024</v>
      </c>
      <c r="D3739" t="s">
        <v>272</v>
      </c>
      <c r="E3739" t="s">
        <v>5720</v>
      </c>
      <c r="F3739" t="s">
        <v>5792</v>
      </c>
      <c r="G3739" t="s">
        <v>292</v>
      </c>
      <c r="H3739">
        <v>3</v>
      </c>
      <c r="I3739" t="s">
        <v>5793</v>
      </c>
      <c r="J3739" t="s">
        <v>294</v>
      </c>
      <c r="M3739" t="s">
        <v>295</v>
      </c>
      <c r="N3739" t="s">
        <v>7</v>
      </c>
      <c r="O3739" t="s">
        <v>297</v>
      </c>
    </row>
    <row r="3740" spans="1:15" x14ac:dyDescent="0.3">
      <c r="A3740" t="s">
        <v>5641</v>
      </c>
      <c r="B3740" t="s">
        <v>5788</v>
      </c>
      <c r="C3740">
        <v>2024</v>
      </c>
      <c r="D3740" t="s">
        <v>272</v>
      </c>
      <c r="E3740" t="s">
        <v>5647</v>
      </c>
      <c r="F3740" t="s">
        <v>5648</v>
      </c>
      <c r="G3740" t="s">
        <v>666</v>
      </c>
      <c r="H3740">
        <v>14</v>
      </c>
      <c r="I3740" t="s">
        <v>5723</v>
      </c>
      <c r="J3740" t="s">
        <v>294</v>
      </c>
      <c r="M3740" t="s">
        <v>295</v>
      </c>
      <c r="N3740" t="s">
        <v>7</v>
      </c>
      <c r="O3740" t="s">
        <v>297</v>
      </c>
    </row>
    <row r="3741" spans="1:15" x14ac:dyDescent="0.3">
      <c r="A3741" t="s">
        <v>5641</v>
      </c>
      <c r="B3741" t="s">
        <v>5788</v>
      </c>
      <c r="C3741">
        <v>2024</v>
      </c>
      <c r="D3741" t="s">
        <v>272</v>
      </c>
      <c r="E3741" t="s">
        <v>442</v>
      </c>
      <c r="F3741" t="s">
        <v>5651</v>
      </c>
      <c r="G3741" t="s">
        <v>292</v>
      </c>
      <c r="H3741">
        <v>47</v>
      </c>
      <c r="I3741" t="s">
        <v>5794</v>
      </c>
      <c r="J3741" t="s">
        <v>294</v>
      </c>
      <c r="M3741" t="s">
        <v>295</v>
      </c>
      <c r="N3741" t="s">
        <v>7</v>
      </c>
      <c r="O3741" t="s">
        <v>297</v>
      </c>
    </row>
    <row r="3742" spans="1:15" x14ac:dyDescent="0.3">
      <c r="A3742" t="s">
        <v>5641</v>
      </c>
      <c r="B3742" t="s">
        <v>5788</v>
      </c>
      <c r="C3742">
        <v>2024</v>
      </c>
      <c r="D3742" t="s">
        <v>272</v>
      </c>
      <c r="E3742" t="s">
        <v>5653</v>
      </c>
      <c r="F3742">
        <v>0.47849999999999998</v>
      </c>
      <c r="G3742" t="s">
        <v>334</v>
      </c>
      <c r="H3742">
        <v>47</v>
      </c>
      <c r="I3742" t="s">
        <v>5795</v>
      </c>
      <c r="J3742" t="s">
        <v>294</v>
      </c>
      <c r="M3742" t="s">
        <v>295</v>
      </c>
      <c r="N3742" t="s">
        <v>7</v>
      </c>
      <c r="O3742" t="s">
        <v>297</v>
      </c>
    </row>
    <row r="3743" spans="1:15" x14ac:dyDescent="0.3">
      <c r="A3743" t="s">
        <v>5641</v>
      </c>
      <c r="B3743" t="s">
        <v>5788</v>
      </c>
      <c r="C3743">
        <v>2024</v>
      </c>
      <c r="D3743" t="s">
        <v>272</v>
      </c>
      <c r="E3743" t="s">
        <v>5726</v>
      </c>
      <c r="F3743">
        <v>7.0900000000000005E-2</v>
      </c>
      <c r="G3743" t="s">
        <v>334</v>
      </c>
      <c r="H3743">
        <v>47</v>
      </c>
      <c r="I3743" t="s">
        <v>5796</v>
      </c>
      <c r="J3743" t="s">
        <v>294</v>
      </c>
      <c r="M3743" t="s">
        <v>295</v>
      </c>
      <c r="N3743" t="s">
        <v>7</v>
      </c>
      <c r="O3743" t="s">
        <v>297</v>
      </c>
    </row>
    <row r="3744" spans="1:15" x14ac:dyDescent="0.3">
      <c r="A3744" t="s">
        <v>5641</v>
      </c>
      <c r="B3744" t="s">
        <v>5788</v>
      </c>
      <c r="C3744">
        <v>2024</v>
      </c>
      <c r="D3744" t="s">
        <v>272</v>
      </c>
      <c r="E3744" t="s">
        <v>445</v>
      </c>
      <c r="F3744">
        <v>0.33050000000000002</v>
      </c>
      <c r="G3744" t="s">
        <v>334</v>
      </c>
      <c r="H3744">
        <v>47</v>
      </c>
      <c r="I3744" t="s">
        <v>5797</v>
      </c>
      <c r="J3744" t="s">
        <v>294</v>
      </c>
      <c r="M3744" t="s">
        <v>295</v>
      </c>
      <c r="N3744" t="s">
        <v>7</v>
      </c>
      <c r="O3744" t="s">
        <v>297</v>
      </c>
    </row>
    <row r="3745" spans="1:15" x14ac:dyDescent="0.3">
      <c r="A3745" t="s">
        <v>5641</v>
      </c>
      <c r="B3745" t="s">
        <v>5788</v>
      </c>
      <c r="C3745">
        <v>2024</v>
      </c>
      <c r="D3745" t="s">
        <v>272</v>
      </c>
      <c r="E3745" t="s">
        <v>342</v>
      </c>
      <c r="F3745">
        <v>454056563</v>
      </c>
      <c r="G3745" t="s">
        <v>1633</v>
      </c>
      <c r="H3745">
        <v>47</v>
      </c>
      <c r="I3745" t="s">
        <v>5798</v>
      </c>
      <c r="J3745" t="s">
        <v>294</v>
      </c>
      <c r="M3745" t="s">
        <v>295</v>
      </c>
      <c r="N3745" t="s">
        <v>7</v>
      </c>
      <c r="O3745" t="s">
        <v>297</v>
      </c>
    </row>
    <row r="3746" spans="1:15" x14ac:dyDescent="0.3">
      <c r="A3746" t="s">
        <v>5641</v>
      </c>
      <c r="B3746" t="s">
        <v>5788</v>
      </c>
      <c r="C3746">
        <v>2024</v>
      </c>
      <c r="D3746" t="s">
        <v>272</v>
      </c>
      <c r="E3746" t="s">
        <v>1560</v>
      </c>
      <c r="F3746">
        <v>27</v>
      </c>
      <c r="G3746" t="s">
        <v>384</v>
      </c>
      <c r="H3746">
        <v>156</v>
      </c>
      <c r="I3746" t="s">
        <v>5799</v>
      </c>
      <c r="J3746" t="s">
        <v>294</v>
      </c>
      <c r="M3746" t="s">
        <v>295</v>
      </c>
      <c r="N3746" t="s">
        <v>7</v>
      </c>
      <c r="O3746" t="s">
        <v>297</v>
      </c>
    </row>
    <row r="3747" spans="1:15" x14ac:dyDescent="0.3">
      <c r="A3747" t="s">
        <v>5641</v>
      </c>
      <c r="B3747" t="s">
        <v>5788</v>
      </c>
      <c r="C3747">
        <v>2024</v>
      </c>
      <c r="D3747" t="s">
        <v>272</v>
      </c>
      <c r="E3747" t="s">
        <v>5800</v>
      </c>
      <c r="F3747" t="s">
        <v>5801</v>
      </c>
      <c r="G3747" t="s">
        <v>292</v>
      </c>
      <c r="H3747">
        <v>48</v>
      </c>
      <c r="I3747" t="s">
        <v>5802</v>
      </c>
      <c r="J3747" t="s">
        <v>294</v>
      </c>
      <c r="M3747" t="s">
        <v>295</v>
      </c>
      <c r="N3747" t="s">
        <v>7</v>
      </c>
      <c r="O3747" t="s">
        <v>297</v>
      </c>
    </row>
    <row r="3748" spans="1:15" x14ac:dyDescent="0.3">
      <c r="A3748" t="s">
        <v>5641</v>
      </c>
      <c r="B3748" t="s">
        <v>5788</v>
      </c>
      <c r="C3748">
        <v>2024</v>
      </c>
      <c r="D3748" t="s">
        <v>272</v>
      </c>
      <c r="E3748" t="s">
        <v>5803</v>
      </c>
      <c r="F3748" t="s">
        <v>5804</v>
      </c>
      <c r="G3748" t="s">
        <v>292</v>
      </c>
      <c r="H3748">
        <v>48</v>
      </c>
      <c r="I3748" t="s">
        <v>5805</v>
      </c>
      <c r="J3748" t="s">
        <v>294</v>
      </c>
      <c r="M3748" t="s">
        <v>295</v>
      </c>
      <c r="N3748" t="s">
        <v>7</v>
      </c>
      <c r="O3748" t="s">
        <v>297</v>
      </c>
    </row>
    <row r="3749" spans="1:15" x14ac:dyDescent="0.3">
      <c r="A3749" t="s">
        <v>5641</v>
      </c>
      <c r="B3749" t="s">
        <v>5788</v>
      </c>
      <c r="C3749">
        <v>2024</v>
      </c>
      <c r="D3749" t="s">
        <v>300</v>
      </c>
      <c r="E3749" t="s">
        <v>3142</v>
      </c>
      <c r="F3749">
        <v>634.38</v>
      </c>
      <c r="G3749" t="s">
        <v>302</v>
      </c>
      <c r="H3749">
        <v>152</v>
      </c>
      <c r="I3749" t="s">
        <v>5806</v>
      </c>
      <c r="J3749" t="s">
        <v>294</v>
      </c>
      <c r="M3749" t="s">
        <v>295</v>
      </c>
      <c r="N3749" t="s">
        <v>7</v>
      </c>
      <c r="O3749" t="s">
        <v>297</v>
      </c>
    </row>
    <row r="3750" spans="1:15" x14ac:dyDescent="0.3">
      <c r="A3750" t="s">
        <v>5641</v>
      </c>
      <c r="B3750" t="s">
        <v>5788</v>
      </c>
      <c r="C3750">
        <v>2024</v>
      </c>
      <c r="D3750" t="s">
        <v>300</v>
      </c>
      <c r="E3750" t="s">
        <v>688</v>
      </c>
      <c r="F3750">
        <v>589.11</v>
      </c>
      <c r="G3750" t="s">
        <v>302</v>
      </c>
      <c r="H3750">
        <v>152</v>
      </c>
      <c r="I3750" t="s">
        <v>5807</v>
      </c>
      <c r="J3750" t="s">
        <v>294</v>
      </c>
      <c r="M3750" t="s">
        <v>295</v>
      </c>
      <c r="N3750" t="s">
        <v>7</v>
      </c>
      <c r="O3750" t="s">
        <v>297</v>
      </c>
    </row>
    <row r="3751" spans="1:15" x14ac:dyDescent="0.3">
      <c r="A3751" t="s">
        <v>5641</v>
      </c>
      <c r="B3751" t="s">
        <v>5788</v>
      </c>
      <c r="C3751">
        <v>2024</v>
      </c>
      <c r="D3751" t="s">
        <v>300</v>
      </c>
      <c r="E3751" t="s">
        <v>304</v>
      </c>
      <c r="F3751">
        <v>45.26</v>
      </c>
      <c r="G3751" t="s">
        <v>302</v>
      </c>
      <c r="H3751">
        <v>152</v>
      </c>
      <c r="I3751" t="s">
        <v>5808</v>
      </c>
      <c r="J3751" t="s">
        <v>294</v>
      </c>
      <c r="M3751" t="s">
        <v>295</v>
      </c>
      <c r="N3751" t="s">
        <v>7</v>
      </c>
      <c r="O3751" t="s">
        <v>297</v>
      </c>
    </row>
    <row r="3752" spans="1:15" x14ac:dyDescent="0.3">
      <c r="A3752" t="s">
        <v>5641</v>
      </c>
      <c r="B3752" t="s">
        <v>5788</v>
      </c>
      <c r="C3752">
        <v>2024</v>
      </c>
      <c r="D3752" t="s">
        <v>300</v>
      </c>
      <c r="E3752" t="s">
        <v>1157</v>
      </c>
      <c r="F3752">
        <v>35.409999999999997</v>
      </c>
      <c r="G3752" t="s">
        <v>302</v>
      </c>
      <c r="H3752">
        <v>152</v>
      </c>
      <c r="I3752" t="s">
        <v>5809</v>
      </c>
      <c r="J3752" t="s">
        <v>294</v>
      </c>
      <c r="M3752" t="s">
        <v>295</v>
      </c>
      <c r="N3752" t="s">
        <v>7</v>
      </c>
      <c r="O3752" t="s">
        <v>297</v>
      </c>
    </row>
    <row r="3753" spans="1:15" x14ac:dyDescent="0.3">
      <c r="A3753" t="s">
        <v>5641</v>
      </c>
      <c r="B3753" t="s">
        <v>5788</v>
      </c>
      <c r="C3753">
        <v>2024</v>
      </c>
      <c r="D3753" t="s">
        <v>300</v>
      </c>
      <c r="E3753" t="s">
        <v>3633</v>
      </c>
      <c r="F3753">
        <v>16.510000000000002</v>
      </c>
      <c r="G3753" t="s">
        <v>302</v>
      </c>
      <c r="H3753">
        <v>152</v>
      </c>
      <c r="I3753" t="s">
        <v>5810</v>
      </c>
      <c r="J3753" t="s">
        <v>294</v>
      </c>
      <c r="M3753" t="s">
        <v>295</v>
      </c>
      <c r="N3753" t="s">
        <v>7</v>
      </c>
      <c r="O3753" t="s">
        <v>297</v>
      </c>
    </row>
    <row r="3754" spans="1:15" x14ac:dyDescent="0.3">
      <c r="A3754" t="s">
        <v>5641</v>
      </c>
      <c r="B3754" t="s">
        <v>5788</v>
      </c>
      <c r="C3754">
        <v>2024</v>
      </c>
      <c r="D3754" t="s">
        <v>300</v>
      </c>
      <c r="E3754" t="s">
        <v>457</v>
      </c>
      <c r="F3754">
        <v>8.5299999999999994</v>
      </c>
      <c r="G3754" t="s">
        <v>302</v>
      </c>
      <c r="H3754">
        <v>152</v>
      </c>
      <c r="I3754" t="s">
        <v>5811</v>
      </c>
      <c r="J3754" t="s">
        <v>294</v>
      </c>
      <c r="M3754" t="s">
        <v>295</v>
      </c>
      <c r="N3754" t="s">
        <v>7</v>
      </c>
      <c r="O3754" t="s">
        <v>297</v>
      </c>
    </row>
    <row r="3755" spans="1:15" x14ac:dyDescent="0.3">
      <c r="A3755" t="s">
        <v>5641</v>
      </c>
      <c r="B3755" t="s">
        <v>5788</v>
      </c>
      <c r="C3755">
        <v>2024</v>
      </c>
      <c r="D3755" t="s">
        <v>300</v>
      </c>
      <c r="E3755" t="s">
        <v>579</v>
      </c>
      <c r="F3755">
        <v>8.11</v>
      </c>
      <c r="G3755" t="s">
        <v>302</v>
      </c>
      <c r="H3755">
        <v>152</v>
      </c>
      <c r="I3755" t="s">
        <v>5812</v>
      </c>
      <c r="J3755" t="s">
        <v>294</v>
      </c>
      <c r="M3755" t="s">
        <v>295</v>
      </c>
      <c r="N3755" t="s">
        <v>7</v>
      </c>
      <c r="O3755" t="s">
        <v>297</v>
      </c>
    </row>
    <row r="3756" spans="1:15" x14ac:dyDescent="0.3">
      <c r="A3756" t="s">
        <v>5641</v>
      </c>
      <c r="B3756" t="s">
        <v>5788</v>
      </c>
      <c r="C3756">
        <v>2024</v>
      </c>
      <c r="D3756" t="s">
        <v>300</v>
      </c>
      <c r="E3756" t="s">
        <v>581</v>
      </c>
      <c r="F3756">
        <v>1.77</v>
      </c>
      <c r="G3756" t="s">
        <v>302</v>
      </c>
      <c r="H3756">
        <v>152</v>
      </c>
      <c r="I3756" t="s">
        <v>5813</v>
      </c>
      <c r="J3756" t="s">
        <v>294</v>
      </c>
      <c r="M3756" t="s">
        <v>295</v>
      </c>
      <c r="N3756" t="s">
        <v>7</v>
      </c>
      <c r="O3756" t="s">
        <v>297</v>
      </c>
    </row>
    <row r="3757" spans="1:15" x14ac:dyDescent="0.3">
      <c r="A3757" t="s">
        <v>5641</v>
      </c>
      <c r="B3757" t="s">
        <v>5788</v>
      </c>
      <c r="C3757">
        <v>2024</v>
      </c>
      <c r="D3757" t="s">
        <v>300</v>
      </c>
      <c r="E3757" t="s">
        <v>306</v>
      </c>
      <c r="F3757">
        <v>6.35</v>
      </c>
      <c r="G3757" t="s">
        <v>302</v>
      </c>
      <c r="H3757">
        <v>152</v>
      </c>
      <c r="I3757" t="s">
        <v>5814</v>
      </c>
      <c r="J3757" t="s">
        <v>294</v>
      </c>
      <c r="M3757" t="s">
        <v>295</v>
      </c>
      <c r="N3757" t="s">
        <v>7</v>
      </c>
      <c r="O3757" t="s">
        <v>297</v>
      </c>
    </row>
    <row r="3758" spans="1:15" x14ac:dyDescent="0.3">
      <c r="A3758" t="s">
        <v>5641</v>
      </c>
      <c r="B3758" t="s">
        <v>5788</v>
      </c>
      <c r="C3758">
        <v>2024</v>
      </c>
      <c r="D3758" t="s">
        <v>300</v>
      </c>
      <c r="E3758" t="s">
        <v>316</v>
      </c>
      <c r="F3758">
        <v>219.17</v>
      </c>
      <c r="G3758" t="s">
        <v>302</v>
      </c>
      <c r="H3758">
        <v>150</v>
      </c>
      <c r="I3758" t="s">
        <v>5815</v>
      </c>
      <c r="J3758" t="s">
        <v>294</v>
      </c>
      <c r="M3758" t="s">
        <v>295</v>
      </c>
      <c r="N3758" t="s">
        <v>7</v>
      </c>
      <c r="O3758" t="s">
        <v>297</v>
      </c>
    </row>
    <row r="3759" spans="1:15" x14ac:dyDescent="0.3">
      <c r="A3759" t="s">
        <v>5641</v>
      </c>
      <c r="B3759" t="s">
        <v>5788</v>
      </c>
      <c r="C3759">
        <v>2024</v>
      </c>
      <c r="D3759" t="s">
        <v>300</v>
      </c>
      <c r="E3759" t="s">
        <v>312</v>
      </c>
      <c r="F3759">
        <v>147.96</v>
      </c>
      <c r="G3759" t="s">
        <v>302</v>
      </c>
      <c r="H3759">
        <v>150</v>
      </c>
      <c r="I3759" t="s">
        <v>5816</v>
      </c>
      <c r="J3759" t="s">
        <v>294</v>
      </c>
      <c r="M3759" t="s">
        <v>295</v>
      </c>
      <c r="N3759" t="s">
        <v>7</v>
      </c>
      <c r="O3759" t="s">
        <v>297</v>
      </c>
    </row>
    <row r="3760" spans="1:15" x14ac:dyDescent="0.3">
      <c r="A3760" t="s">
        <v>5641</v>
      </c>
      <c r="B3760" t="s">
        <v>5788</v>
      </c>
      <c r="C3760">
        <v>2024</v>
      </c>
      <c r="D3760" t="s">
        <v>300</v>
      </c>
      <c r="E3760" t="s">
        <v>314</v>
      </c>
      <c r="F3760">
        <v>71.209999999999994</v>
      </c>
      <c r="G3760" t="s">
        <v>302</v>
      </c>
      <c r="H3760">
        <v>150</v>
      </c>
      <c r="I3760" t="s">
        <v>5817</v>
      </c>
      <c r="J3760" t="s">
        <v>294</v>
      </c>
      <c r="M3760" t="s">
        <v>295</v>
      </c>
      <c r="N3760" t="s">
        <v>7</v>
      </c>
      <c r="O3760" t="s">
        <v>297</v>
      </c>
    </row>
    <row r="3761" spans="1:15" x14ac:dyDescent="0.3">
      <c r="A3761" t="s">
        <v>5641</v>
      </c>
      <c r="B3761" t="s">
        <v>5788</v>
      </c>
      <c r="C3761">
        <v>2024</v>
      </c>
      <c r="D3761" t="s">
        <v>300</v>
      </c>
      <c r="E3761" t="s">
        <v>592</v>
      </c>
      <c r="F3761">
        <v>9.77</v>
      </c>
      <c r="G3761" t="s">
        <v>302</v>
      </c>
      <c r="H3761">
        <v>150</v>
      </c>
      <c r="I3761" t="s">
        <v>5818</v>
      </c>
      <c r="J3761" t="s">
        <v>294</v>
      </c>
      <c r="M3761" t="s">
        <v>295</v>
      </c>
      <c r="N3761" t="s">
        <v>7</v>
      </c>
      <c r="O3761" t="s">
        <v>297</v>
      </c>
    </row>
    <row r="3762" spans="1:15" x14ac:dyDescent="0.3">
      <c r="A3762" t="s">
        <v>5641</v>
      </c>
      <c r="B3762" t="s">
        <v>5788</v>
      </c>
      <c r="C3762">
        <v>2024</v>
      </c>
      <c r="D3762" t="s">
        <v>300</v>
      </c>
      <c r="E3762" t="s">
        <v>479</v>
      </c>
      <c r="F3762">
        <v>18.53</v>
      </c>
      <c r="G3762" t="s">
        <v>302</v>
      </c>
      <c r="H3762">
        <v>150</v>
      </c>
      <c r="I3762" t="s">
        <v>5819</v>
      </c>
      <c r="J3762" t="s">
        <v>294</v>
      </c>
      <c r="M3762" t="s">
        <v>295</v>
      </c>
      <c r="N3762" t="s">
        <v>7</v>
      </c>
      <c r="O3762" t="s">
        <v>297</v>
      </c>
    </row>
    <row r="3763" spans="1:15" x14ac:dyDescent="0.3">
      <c r="A3763" t="s">
        <v>5641</v>
      </c>
      <c r="B3763" t="s">
        <v>5788</v>
      </c>
      <c r="C3763">
        <v>2024</v>
      </c>
      <c r="D3763" t="s">
        <v>300</v>
      </c>
      <c r="E3763" t="s">
        <v>481</v>
      </c>
      <c r="F3763">
        <v>118.65</v>
      </c>
      <c r="G3763" t="s">
        <v>302</v>
      </c>
      <c r="H3763">
        <v>150</v>
      </c>
      <c r="I3763" t="s">
        <v>5820</v>
      </c>
      <c r="J3763" t="s">
        <v>294</v>
      </c>
      <c r="M3763" t="s">
        <v>295</v>
      </c>
      <c r="N3763" t="s">
        <v>7</v>
      </c>
      <c r="O3763" t="s">
        <v>297</v>
      </c>
    </row>
    <row r="3764" spans="1:15" x14ac:dyDescent="0.3">
      <c r="A3764" t="s">
        <v>5641</v>
      </c>
      <c r="B3764" t="s">
        <v>5788</v>
      </c>
      <c r="C3764">
        <v>2024</v>
      </c>
      <c r="D3764" t="s">
        <v>300</v>
      </c>
      <c r="E3764" t="s">
        <v>5676</v>
      </c>
      <c r="F3764">
        <v>49.07</v>
      </c>
      <c r="G3764" t="s">
        <v>302</v>
      </c>
      <c r="H3764">
        <v>150</v>
      </c>
      <c r="I3764" t="s">
        <v>5821</v>
      </c>
      <c r="J3764" t="s">
        <v>294</v>
      </c>
      <c r="M3764" t="s">
        <v>295</v>
      </c>
      <c r="N3764" t="s">
        <v>7</v>
      </c>
      <c r="O3764" t="s">
        <v>297</v>
      </c>
    </row>
    <row r="3765" spans="1:15" x14ac:dyDescent="0.3">
      <c r="A3765" t="s">
        <v>5641</v>
      </c>
      <c r="B3765" t="s">
        <v>5788</v>
      </c>
      <c r="C3765">
        <v>2024</v>
      </c>
      <c r="D3765" t="s">
        <v>300</v>
      </c>
      <c r="E3765" t="s">
        <v>5822</v>
      </c>
      <c r="F3765">
        <v>6.73</v>
      </c>
      <c r="G3765" t="s">
        <v>302</v>
      </c>
      <c r="H3765">
        <v>150</v>
      </c>
      <c r="I3765" t="s">
        <v>5823</v>
      </c>
      <c r="J3765" t="s">
        <v>294</v>
      </c>
      <c r="M3765" t="s">
        <v>295</v>
      </c>
      <c r="N3765" t="s">
        <v>7</v>
      </c>
      <c r="O3765" t="s">
        <v>297</v>
      </c>
    </row>
    <row r="3766" spans="1:15" x14ac:dyDescent="0.3">
      <c r="A3766" t="s">
        <v>5641</v>
      </c>
      <c r="B3766" t="s">
        <v>5788</v>
      </c>
      <c r="C3766">
        <v>2024</v>
      </c>
      <c r="D3766" t="s">
        <v>300</v>
      </c>
      <c r="E3766" t="s">
        <v>322</v>
      </c>
      <c r="F3766">
        <v>128.36000000000001</v>
      </c>
      <c r="G3766" t="s">
        <v>302</v>
      </c>
      <c r="H3766">
        <v>151</v>
      </c>
      <c r="I3766" t="s">
        <v>5824</v>
      </c>
      <c r="J3766" t="s">
        <v>294</v>
      </c>
      <c r="M3766" t="s">
        <v>295</v>
      </c>
      <c r="N3766" t="s">
        <v>7</v>
      </c>
      <c r="O3766" t="s">
        <v>297</v>
      </c>
    </row>
    <row r="3767" spans="1:15" x14ac:dyDescent="0.3">
      <c r="A3767" t="s">
        <v>5641</v>
      </c>
      <c r="B3767" t="s">
        <v>5788</v>
      </c>
      <c r="C3767">
        <v>2024</v>
      </c>
      <c r="D3767" t="s">
        <v>300</v>
      </c>
      <c r="E3767" t="s">
        <v>318</v>
      </c>
      <c r="F3767">
        <v>123.59</v>
      </c>
      <c r="G3767" t="s">
        <v>302</v>
      </c>
      <c r="H3767">
        <v>151</v>
      </c>
      <c r="I3767" t="s">
        <v>5825</v>
      </c>
      <c r="J3767" t="s">
        <v>294</v>
      </c>
      <c r="M3767" t="s">
        <v>295</v>
      </c>
      <c r="N3767" t="s">
        <v>7</v>
      </c>
      <c r="O3767" t="s">
        <v>297</v>
      </c>
    </row>
    <row r="3768" spans="1:15" x14ac:dyDescent="0.3">
      <c r="A3768" t="s">
        <v>5641</v>
      </c>
      <c r="B3768" t="s">
        <v>5788</v>
      </c>
      <c r="C3768">
        <v>2024</v>
      </c>
      <c r="D3768" t="s">
        <v>300</v>
      </c>
      <c r="E3768" t="s">
        <v>468</v>
      </c>
      <c r="F3768">
        <v>4.7699999999999996</v>
      </c>
      <c r="G3768" t="s">
        <v>302</v>
      </c>
      <c r="H3768">
        <v>151</v>
      </c>
      <c r="I3768" t="s">
        <v>5826</v>
      </c>
      <c r="J3768" t="s">
        <v>294</v>
      </c>
      <c r="M3768" t="s">
        <v>295</v>
      </c>
      <c r="N3768" t="s">
        <v>7</v>
      </c>
      <c r="O3768" t="s">
        <v>297</v>
      </c>
    </row>
    <row r="3769" spans="1:15" x14ac:dyDescent="0.3">
      <c r="A3769" t="s">
        <v>5641</v>
      </c>
      <c r="B3769" t="s">
        <v>5788</v>
      </c>
      <c r="C3769">
        <v>2024</v>
      </c>
      <c r="D3769" t="s">
        <v>300</v>
      </c>
      <c r="E3769" t="s">
        <v>595</v>
      </c>
      <c r="F3769">
        <v>82.12</v>
      </c>
      <c r="G3769" t="s">
        <v>302</v>
      </c>
      <c r="H3769">
        <v>151</v>
      </c>
      <c r="I3769" t="s">
        <v>5827</v>
      </c>
      <c r="J3769" t="s">
        <v>294</v>
      </c>
      <c r="M3769" t="s">
        <v>295</v>
      </c>
      <c r="N3769" t="s">
        <v>7</v>
      </c>
      <c r="O3769" t="s">
        <v>297</v>
      </c>
    </row>
    <row r="3770" spans="1:15" x14ac:dyDescent="0.3">
      <c r="A3770" t="s">
        <v>5641</v>
      </c>
      <c r="B3770" t="s">
        <v>5788</v>
      </c>
      <c r="C3770">
        <v>2024</v>
      </c>
      <c r="D3770" t="s">
        <v>300</v>
      </c>
      <c r="E3770" t="s">
        <v>5681</v>
      </c>
      <c r="F3770">
        <v>2.63</v>
      </c>
      <c r="G3770" t="s">
        <v>302</v>
      </c>
      <c r="H3770">
        <v>151</v>
      </c>
      <c r="I3770" t="s">
        <v>5828</v>
      </c>
      <c r="J3770" t="s">
        <v>294</v>
      </c>
      <c r="M3770" t="s">
        <v>295</v>
      </c>
      <c r="N3770" t="s">
        <v>7</v>
      </c>
      <c r="O3770" t="s">
        <v>297</v>
      </c>
    </row>
    <row r="3771" spans="1:15" x14ac:dyDescent="0.3">
      <c r="A3771" t="s">
        <v>5641</v>
      </c>
      <c r="B3771" t="s">
        <v>5788</v>
      </c>
      <c r="C3771">
        <v>2024</v>
      </c>
      <c r="D3771" t="s">
        <v>300</v>
      </c>
      <c r="E3771" t="s">
        <v>5679</v>
      </c>
      <c r="F3771">
        <v>2.11</v>
      </c>
      <c r="G3771" t="s">
        <v>302</v>
      </c>
      <c r="H3771">
        <v>151</v>
      </c>
      <c r="I3771" t="s">
        <v>5829</v>
      </c>
      <c r="J3771" t="s">
        <v>294</v>
      </c>
      <c r="M3771" t="s">
        <v>295</v>
      </c>
      <c r="N3771" t="s">
        <v>7</v>
      </c>
      <c r="O3771" t="s">
        <v>297</v>
      </c>
    </row>
    <row r="3772" spans="1:15" x14ac:dyDescent="0.3">
      <c r="A3772" t="s">
        <v>5641</v>
      </c>
      <c r="B3772" t="s">
        <v>5788</v>
      </c>
      <c r="C3772">
        <v>2024</v>
      </c>
      <c r="D3772" t="s">
        <v>300</v>
      </c>
      <c r="E3772" t="s">
        <v>5683</v>
      </c>
      <c r="F3772">
        <v>86.87</v>
      </c>
      <c r="G3772" t="s">
        <v>302</v>
      </c>
      <c r="H3772">
        <v>151</v>
      </c>
      <c r="I3772" t="s">
        <v>5830</v>
      </c>
      <c r="J3772" t="s">
        <v>294</v>
      </c>
      <c r="M3772" t="s">
        <v>295</v>
      </c>
      <c r="N3772" t="s">
        <v>7</v>
      </c>
      <c r="O3772" t="s">
        <v>297</v>
      </c>
    </row>
    <row r="3773" spans="1:15" x14ac:dyDescent="0.3">
      <c r="A3773" t="s">
        <v>5641</v>
      </c>
      <c r="B3773" t="s">
        <v>5788</v>
      </c>
      <c r="C3773">
        <v>2024</v>
      </c>
      <c r="D3773" t="s">
        <v>300</v>
      </c>
      <c r="E3773" t="s">
        <v>5831</v>
      </c>
      <c r="F3773">
        <v>6.18</v>
      </c>
      <c r="G3773" t="s">
        <v>302</v>
      </c>
      <c r="H3773">
        <v>151</v>
      </c>
      <c r="I3773" t="s">
        <v>5832</v>
      </c>
      <c r="J3773" t="s">
        <v>294</v>
      </c>
      <c r="M3773" t="s">
        <v>295</v>
      </c>
      <c r="N3773" t="s">
        <v>7</v>
      </c>
      <c r="O3773" t="s">
        <v>297</v>
      </c>
    </row>
    <row r="3774" spans="1:15" x14ac:dyDescent="0.3">
      <c r="A3774" t="s">
        <v>5641</v>
      </c>
      <c r="B3774" t="s">
        <v>5788</v>
      </c>
      <c r="C3774">
        <v>2024</v>
      </c>
      <c r="D3774" t="s">
        <v>300</v>
      </c>
      <c r="E3774" t="s">
        <v>324</v>
      </c>
      <c r="F3774">
        <v>90.81</v>
      </c>
      <c r="G3774" t="s">
        <v>302</v>
      </c>
      <c r="H3774">
        <v>151</v>
      </c>
      <c r="I3774" t="s">
        <v>5833</v>
      </c>
      <c r="J3774" t="s">
        <v>294</v>
      </c>
      <c r="M3774" t="s">
        <v>295</v>
      </c>
      <c r="N3774" t="s">
        <v>7</v>
      </c>
      <c r="O3774" t="s">
        <v>297</v>
      </c>
    </row>
    <row r="3775" spans="1:15" x14ac:dyDescent="0.3">
      <c r="A3775" t="s">
        <v>5641</v>
      </c>
      <c r="B3775" t="s">
        <v>5788</v>
      </c>
      <c r="C3775">
        <v>2024</v>
      </c>
      <c r="D3775" t="s">
        <v>300</v>
      </c>
      <c r="E3775" t="s">
        <v>3518</v>
      </c>
      <c r="F3775">
        <v>45.41</v>
      </c>
      <c r="G3775" t="s">
        <v>302</v>
      </c>
      <c r="H3775">
        <v>151</v>
      </c>
      <c r="I3775" t="s">
        <v>5834</v>
      </c>
      <c r="J3775" t="s">
        <v>294</v>
      </c>
      <c r="M3775" t="s">
        <v>295</v>
      </c>
      <c r="N3775" t="s">
        <v>7</v>
      </c>
      <c r="O3775" t="s">
        <v>297</v>
      </c>
    </row>
    <row r="3776" spans="1:15" x14ac:dyDescent="0.3">
      <c r="A3776" t="s">
        <v>5641</v>
      </c>
      <c r="B3776" t="s">
        <v>5788</v>
      </c>
      <c r="C3776">
        <v>2024</v>
      </c>
      <c r="D3776" t="s">
        <v>300</v>
      </c>
      <c r="E3776" t="s">
        <v>5835</v>
      </c>
      <c r="F3776">
        <v>23.61</v>
      </c>
      <c r="G3776" t="s">
        <v>302</v>
      </c>
      <c r="H3776">
        <v>151</v>
      </c>
      <c r="I3776" t="s">
        <v>5836</v>
      </c>
      <c r="J3776" t="s">
        <v>294</v>
      </c>
      <c r="M3776" t="s">
        <v>295</v>
      </c>
      <c r="N3776" t="s">
        <v>7</v>
      </c>
      <c r="O3776" t="s">
        <v>297</v>
      </c>
    </row>
    <row r="3777" spans="1:15" x14ac:dyDescent="0.3">
      <c r="A3777" t="s">
        <v>5641</v>
      </c>
      <c r="B3777" t="s">
        <v>5788</v>
      </c>
      <c r="C3777">
        <v>2024</v>
      </c>
      <c r="D3777" t="s">
        <v>300</v>
      </c>
      <c r="E3777" t="s">
        <v>1233</v>
      </c>
      <c r="F3777">
        <v>1</v>
      </c>
      <c r="G3777" t="s">
        <v>302</v>
      </c>
      <c r="H3777">
        <v>151</v>
      </c>
      <c r="I3777" t="s">
        <v>5837</v>
      </c>
      <c r="J3777" t="s">
        <v>294</v>
      </c>
      <c r="M3777" t="s">
        <v>295</v>
      </c>
      <c r="N3777" t="s">
        <v>7</v>
      </c>
      <c r="O3777" t="s">
        <v>297</v>
      </c>
    </row>
    <row r="3778" spans="1:15" x14ac:dyDescent="0.3">
      <c r="A3778" t="s">
        <v>5641</v>
      </c>
      <c r="B3778" t="s">
        <v>5788</v>
      </c>
      <c r="C3778">
        <v>2024</v>
      </c>
      <c r="D3778" t="s">
        <v>300</v>
      </c>
      <c r="E3778" t="s">
        <v>1235</v>
      </c>
      <c r="F3778">
        <v>20.85</v>
      </c>
      <c r="G3778" t="s">
        <v>302</v>
      </c>
      <c r="H3778">
        <v>151</v>
      </c>
      <c r="I3778" t="s">
        <v>5838</v>
      </c>
      <c r="J3778" t="s">
        <v>294</v>
      </c>
      <c r="M3778" t="s">
        <v>295</v>
      </c>
      <c r="N3778" t="s">
        <v>7</v>
      </c>
      <c r="O3778" t="s">
        <v>297</v>
      </c>
    </row>
    <row r="3779" spans="1:15" x14ac:dyDescent="0.3">
      <c r="A3779" t="s">
        <v>5641</v>
      </c>
      <c r="B3779" t="s">
        <v>5788</v>
      </c>
      <c r="C3779">
        <v>2024</v>
      </c>
      <c r="D3779" t="s">
        <v>300</v>
      </c>
      <c r="E3779" t="s">
        <v>601</v>
      </c>
      <c r="F3779">
        <v>13.17</v>
      </c>
      <c r="G3779" t="s">
        <v>302</v>
      </c>
      <c r="H3779">
        <v>154</v>
      </c>
      <c r="I3779" t="s">
        <v>5839</v>
      </c>
      <c r="J3779" t="s">
        <v>294</v>
      </c>
      <c r="M3779" t="s">
        <v>295</v>
      </c>
      <c r="N3779" t="s">
        <v>7</v>
      </c>
      <c r="O3779" t="s">
        <v>297</v>
      </c>
    </row>
    <row r="3780" spans="1:15" x14ac:dyDescent="0.3">
      <c r="A3780" t="s">
        <v>5641</v>
      </c>
      <c r="B3780" t="s">
        <v>5788</v>
      </c>
      <c r="C3780">
        <v>2024</v>
      </c>
      <c r="D3780" t="s">
        <v>300</v>
      </c>
      <c r="E3780" t="s">
        <v>603</v>
      </c>
      <c r="F3780">
        <v>-13.41</v>
      </c>
      <c r="G3780" t="s">
        <v>302</v>
      </c>
      <c r="H3780">
        <v>154</v>
      </c>
      <c r="I3780" t="s">
        <v>5840</v>
      </c>
      <c r="J3780" t="s">
        <v>294</v>
      </c>
      <c r="M3780" t="s">
        <v>295</v>
      </c>
      <c r="N3780" t="s">
        <v>7</v>
      </c>
      <c r="O3780" t="s">
        <v>297</v>
      </c>
    </row>
    <row r="3781" spans="1:15" x14ac:dyDescent="0.3">
      <c r="A3781" t="s">
        <v>5641</v>
      </c>
      <c r="B3781" t="s">
        <v>5788</v>
      </c>
      <c r="C3781">
        <v>2024</v>
      </c>
      <c r="D3781" t="s">
        <v>300</v>
      </c>
      <c r="E3781" t="s">
        <v>716</v>
      </c>
      <c r="F3781">
        <v>2.1</v>
      </c>
      <c r="G3781" t="s">
        <v>302</v>
      </c>
      <c r="H3781">
        <v>154</v>
      </c>
      <c r="I3781" t="s">
        <v>5841</v>
      </c>
      <c r="J3781" t="s">
        <v>294</v>
      </c>
      <c r="M3781" t="s">
        <v>295</v>
      </c>
      <c r="N3781" t="s">
        <v>7</v>
      </c>
      <c r="O3781" t="s">
        <v>297</v>
      </c>
    </row>
    <row r="3782" spans="1:15" x14ac:dyDescent="0.3">
      <c r="A3782" t="s">
        <v>5641</v>
      </c>
      <c r="B3782" t="s">
        <v>5788</v>
      </c>
      <c r="C3782">
        <v>2024</v>
      </c>
      <c r="D3782" t="s">
        <v>300</v>
      </c>
      <c r="E3782" t="s">
        <v>1140</v>
      </c>
      <c r="F3782">
        <v>6.69</v>
      </c>
      <c r="G3782" t="s">
        <v>302</v>
      </c>
      <c r="H3782">
        <v>154</v>
      </c>
      <c r="I3782" t="s">
        <v>5842</v>
      </c>
      <c r="J3782" t="s">
        <v>294</v>
      </c>
      <c r="M3782" t="s">
        <v>295</v>
      </c>
      <c r="N3782" t="s">
        <v>7</v>
      </c>
      <c r="O3782" t="s">
        <v>297</v>
      </c>
    </row>
    <row r="3783" spans="1:15" x14ac:dyDescent="0.3">
      <c r="A3783" t="s">
        <v>5641</v>
      </c>
      <c r="B3783" t="s">
        <v>5788</v>
      </c>
      <c r="C3783">
        <v>2024</v>
      </c>
      <c r="D3783" t="s">
        <v>300</v>
      </c>
      <c r="E3783" t="s">
        <v>345</v>
      </c>
      <c r="F3783">
        <v>13.98</v>
      </c>
      <c r="G3783" t="s">
        <v>346</v>
      </c>
      <c r="H3783">
        <v>152</v>
      </c>
      <c r="I3783" t="s">
        <v>5843</v>
      </c>
      <c r="J3783" t="s">
        <v>294</v>
      </c>
      <c r="M3783" t="s">
        <v>295</v>
      </c>
      <c r="N3783" t="s">
        <v>7</v>
      </c>
      <c r="O3783" t="s">
        <v>297</v>
      </c>
    </row>
    <row r="3784" spans="1:15" x14ac:dyDescent="0.3">
      <c r="A3784" t="s">
        <v>5641</v>
      </c>
      <c r="B3784" t="s">
        <v>5788</v>
      </c>
      <c r="C3784">
        <v>2024</v>
      </c>
      <c r="D3784" t="s">
        <v>300</v>
      </c>
      <c r="E3784" t="s">
        <v>498</v>
      </c>
      <c r="F3784">
        <v>98</v>
      </c>
      <c r="G3784" t="s">
        <v>346</v>
      </c>
      <c r="H3784">
        <v>14</v>
      </c>
      <c r="I3784" t="s">
        <v>5844</v>
      </c>
      <c r="J3784" t="s">
        <v>294</v>
      </c>
      <c r="M3784" t="s">
        <v>295</v>
      </c>
      <c r="N3784" t="s">
        <v>7</v>
      </c>
      <c r="O3784" t="s">
        <v>297</v>
      </c>
    </row>
    <row r="3785" spans="1:15" x14ac:dyDescent="0.3">
      <c r="A3785" t="s">
        <v>5641</v>
      </c>
      <c r="B3785" t="s">
        <v>5788</v>
      </c>
      <c r="C3785">
        <v>2024</v>
      </c>
      <c r="D3785" t="s">
        <v>300</v>
      </c>
      <c r="E3785" t="s">
        <v>5063</v>
      </c>
      <c r="F3785">
        <v>44.49</v>
      </c>
      <c r="G3785" t="s">
        <v>302</v>
      </c>
      <c r="H3785">
        <v>14</v>
      </c>
      <c r="I3785" t="s">
        <v>5845</v>
      </c>
      <c r="J3785" t="s">
        <v>294</v>
      </c>
      <c r="M3785" t="s">
        <v>295</v>
      </c>
      <c r="N3785" t="s">
        <v>7</v>
      </c>
      <c r="O3785" t="s">
        <v>297</v>
      </c>
    </row>
    <row r="3786" spans="1:15" x14ac:dyDescent="0.3">
      <c r="A3786" t="s">
        <v>5641</v>
      </c>
      <c r="B3786" t="s">
        <v>5788</v>
      </c>
      <c r="C3786">
        <v>2024</v>
      </c>
      <c r="D3786" t="s">
        <v>300</v>
      </c>
      <c r="E3786" t="s">
        <v>3063</v>
      </c>
      <c r="F3786">
        <v>84</v>
      </c>
      <c r="G3786" t="s">
        <v>1106</v>
      </c>
      <c r="H3786">
        <v>50</v>
      </c>
      <c r="I3786" t="s">
        <v>5846</v>
      </c>
      <c r="J3786" t="s">
        <v>294</v>
      </c>
      <c r="M3786" t="s">
        <v>295</v>
      </c>
      <c r="N3786" t="s">
        <v>7</v>
      </c>
      <c r="O3786" t="s">
        <v>297</v>
      </c>
    </row>
    <row r="3787" spans="1:15" x14ac:dyDescent="0.3">
      <c r="A3787" t="s">
        <v>5641</v>
      </c>
      <c r="B3787" t="s">
        <v>5788</v>
      </c>
      <c r="C3787">
        <v>2024</v>
      </c>
      <c r="D3787" t="s">
        <v>394</v>
      </c>
      <c r="E3787" t="s">
        <v>5847</v>
      </c>
      <c r="F3787">
        <v>20543.14</v>
      </c>
      <c r="G3787" t="s">
        <v>396</v>
      </c>
      <c r="H3787">
        <v>19</v>
      </c>
      <c r="I3787" t="s">
        <v>5848</v>
      </c>
      <c r="J3787" t="s">
        <v>294</v>
      </c>
      <c r="M3787" t="s">
        <v>295</v>
      </c>
      <c r="N3787" t="s">
        <v>7</v>
      </c>
      <c r="O3787" t="s">
        <v>297</v>
      </c>
    </row>
    <row r="3788" spans="1:15" x14ac:dyDescent="0.3">
      <c r="A3788" t="s">
        <v>5641</v>
      </c>
      <c r="B3788" t="s">
        <v>5788</v>
      </c>
      <c r="C3788">
        <v>2024</v>
      </c>
      <c r="D3788" t="s">
        <v>394</v>
      </c>
      <c r="E3788" t="s">
        <v>5849</v>
      </c>
      <c r="F3788">
        <v>30825.360000000001</v>
      </c>
      <c r="G3788" t="s">
        <v>396</v>
      </c>
      <c r="H3788">
        <v>19</v>
      </c>
      <c r="I3788" t="s">
        <v>5850</v>
      </c>
      <c r="J3788" t="s">
        <v>294</v>
      </c>
      <c r="M3788" t="s">
        <v>295</v>
      </c>
      <c r="N3788" t="s">
        <v>7</v>
      </c>
      <c r="O3788" t="s">
        <v>297</v>
      </c>
    </row>
    <row r="3789" spans="1:15" x14ac:dyDescent="0.3">
      <c r="A3789" t="s">
        <v>5641</v>
      </c>
      <c r="B3789" t="s">
        <v>5788</v>
      </c>
      <c r="C3789">
        <v>2024</v>
      </c>
      <c r="D3789" t="s">
        <v>394</v>
      </c>
      <c r="E3789" t="s">
        <v>5851</v>
      </c>
      <c r="F3789">
        <v>239400</v>
      </c>
      <c r="G3789" t="s">
        <v>396</v>
      </c>
      <c r="H3789">
        <v>106</v>
      </c>
      <c r="I3789" t="s">
        <v>5852</v>
      </c>
      <c r="J3789" t="s">
        <v>456</v>
      </c>
      <c r="M3789" t="s">
        <v>295</v>
      </c>
      <c r="N3789" t="s">
        <v>7</v>
      </c>
      <c r="O3789" t="s">
        <v>297</v>
      </c>
    </row>
    <row r="3790" spans="1:15" x14ac:dyDescent="0.3">
      <c r="A3790" t="s">
        <v>5641</v>
      </c>
      <c r="B3790" t="s">
        <v>5788</v>
      </c>
      <c r="C3790">
        <v>2024</v>
      </c>
      <c r="D3790" t="s">
        <v>394</v>
      </c>
      <c r="E3790" t="s">
        <v>5700</v>
      </c>
      <c r="F3790">
        <v>4000</v>
      </c>
      <c r="G3790" t="s">
        <v>1453</v>
      </c>
      <c r="H3790">
        <v>19</v>
      </c>
      <c r="I3790" t="s">
        <v>5853</v>
      </c>
      <c r="J3790" t="s">
        <v>294</v>
      </c>
      <c r="M3790" t="s">
        <v>295</v>
      </c>
      <c r="N3790" t="s">
        <v>7</v>
      </c>
      <c r="O3790" t="s">
        <v>297</v>
      </c>
    </row>
    <row r="3791" spans="1:15" x14ac:dyDescent="0.3">
      <c r="A3791" t="s">
        <v>5641</v>
      </c>
      <c r="B3791" t="s">
        <v>5788</v>
      </c>
      <c r="C3791">
        <v>2024</v>
      </c>
      <c r="D3791" t="s">
        <v>394</v>
      </c>
      <c r="E3791" t="s">
        <v>5854</v>
      </c>
      <c r="F3791">
        <v>2100</v>
      </c>
      <c r="G3791" t="s">
        <v>1453</v>
      </c>
      <c r="H3791">
        <v>19</v>
      </c>
      <c r="I3791" t="s">
        <v>5709</v>
      </c>
      <c r="J3791" t="s">
        <v>294</v>
      </c>
      <c r="M3791" t="s">
        <v>295</v>
      </c>
      <c r="N3791" t="s">
        <v>7</v>
      </c>
      <c r="O3791" t="s">
        <v>297</v>
      </c>
    </row>
    <row r="3792" spans="1:15" x14ac:dyDescent="0.3">
      <c r="A3792" t="s">
        <v>5641</v>
      </c>
      <c r="B3792" t="s">
        <v>5788</v>
      </c>
      <c r="C3792">
        <v>2024</v>
      </c>
      <c r="D3792" t="s">
        <v>394</v>
      </c>
      <c r="E3792" t="s">
        <v>5855</v>
      </c>
      <c r="F3792">
        <v>3000</v>
      </c>
      <c r="G3792" t="s">
        <v>1453</v>
      </c>
      <c r="H3792">
        <v>19</v>
      </c>
      <c r="I3792" t="s">
        <v>5711</v>
      </c>
      <c r="J3792" t="s">
        <v>294</v>
      </c>
      <c r="M3792" t="s">
        <v>295</v>
      </c>
      <c r="N3792" t="s">
        <v>7</v>
      </c>
      <c r="O3792" t="s">
        <v>297</v>
      </c>
    </row>
    <row r="3793" spans="1:15" x14ac:dyDescent="0.3">
      <c r="A3793" t="s">
        <v>5641</v>
      </c>
      <c r="B3793" t="s">
        <v>5788</v>
      </c>
      <c r="C3793">
        <v>2024</v>
      </c>
      <c r="D3793" t="s">
        <v>394</v>
      </c>
      <c r="E3793" t="s">
        <v>5696</v>
      </c>
      <c r="F3793">
        <v>308.88</v>
      </c>
      <c r="G3793" t="s">
        <v>302</v>
      </c>
      <c r="H3793">
        <v>53</v>
      </c>
      <c r="I3793" t="s">
        <v>5856</v>
      </c>
      <c r="J3793" t="s">
        <v>294</v>
      </c>
      <c r="M3793" t="s">
        <v>295</v>
      </c>
      <c r="N3793" t="s">
        <v>7</v>
      </c>
      <c r="O3793" t="s">
        <v>297</v>
      </c>
    </row>
    <row r="3794" spans="1:15" x14ac:dyDescent="0.3">
      <c r="A3794" t="s">
        <v>5641</v>
      </c>
      <c r="B3794" t="s">
        <v>5788</v>
      </c>
      <c r="C3794">
        <v>2024</v>
      </c>
      <c r="D3794" t="s">
        <v>394</v>
      </c>
      <c r="E3794" t="s">
        <v>5698</v>
      </c>
      <c r="F3794">
        <v>325.5</v>
      </c>
      <c r="G3794" t="s">
        <v>302</v>
      </c>
      <c r="H3794">
        <v>53</v>
      </c>
      <c r="I3794" t="s">
        <v>5857</v>
      </c>
      <c r="J3794" t="s">
        <v>294</v>
      </c>
      <c r="M3794" t="s">
        <v>295</v>
      </c>
      <c r="N3794" t="s">
        <v>7</v>
      </c>
      <c r="O3794" t="s">
        <v>297</v>
      </c>
    </row>
    <row r="3795" spans="1:15" x14ac:dyDescent="0.3">
      <c r="A3795" t="s">
        <v>5641</v>
      </c>
      <c r="B3795" t="s">
        <v>5788</v>
      </c>
      <c r="C3795">
        <v>2024</v>
      </c>
      <c r="D3795" t="s">
        <v>394</v>
      </c>
      <c r="E3795" t="s">
        <v>5858</v>
      </c>
      <c r="F3795" t="s">
        <v>5859</v>
      </c>
      <c r="G3795" t="s">
        <v>292</v>
      </c>
      <c r="H3795">
        <v>53</v>
      </c>
      <c r="I3795" t="s">
        <v>5860</v>
      </c>
      <c r="J3795" t="s">
        <v>294</v>
      </c>
      <c r="M3795" t="s">
        <v>295</v>
      </c>
      <c r="N3795" t="s">
        <v>7</v>
      </c>
      <c r="O3795" t="s">
        <v>297</v>
      </c>
    </row>
    <row r="3796" spans="1:15" x14ac:dyDescent="0.3">
      <c r="A3796" t="s">
        <v>5641</v>
      </c>
      <c r="B3796" t="s">
        <v>5788</v>
      </c>
      <c r="C3796">
        <v>2024</v>
      </c>
      <c r="D3796" t="s">
        <v>563</v>
      </c>
      <c r="E3796" t="s">
        <v>5861</v>
      </c>
      <c r="F3796" t="s">
        <v>5862</v>
      </c>
      <c r="G3796" t="s">
        <v>292</v>
      </c>
      <c r="H3796">
        <v>15</v>
      </c>
      <c r="I3796" t="s">
        <v>5863</v>
      </c>
      <c r="J3796" t="s">
        <v>294</v>
      </c>
      <c r="M3796" t="s">
        <v>295</v>
      </c>
      <c r="N3796" t="s">
        <v>7</v>
      </c>
      <c r="O3796" t="s">
        <v>297</v>
      </c>
    </row>
    <row r="3797" spans="1:15" x14ac:dyDescent="0.3">
      <c r="A3797" t="s">
        <v>5641</v>
      </c>
      <c r="B3797" t="s">
        <v>5788</v>
      </c>
      <c r="C3797">
        <v>2024</v>
      </c>
      <c r="D3797" t="s">
        <v>563</v>
      </c>
      <c r="E3797" t="s">
        <v>5864</v>
      </c>
      <c r="F3797" t="s">
        <v>5865</v>
      </c>
      <c r="G3797" t="s">
        <v>292</v>
      </c>
      <c r="H3797">
        <v>15</v>
      </c>
      <c r="I3797" t="s">
        <v>5866</v>
      </c>
      <c r="J3797" t="s">
        <v>294</v>
      </c>
      <c r="M3797" t="s">
        <v>295</v>
      </c>
      <c r="N3797" t="s">
        <v>7</v>
      </c>
      <c r="O3797" t="s">
        <v>297</v>
      </c>
    </row>
    <row r="3798" spans="1:15" x14ac:dyDescent="0.3">
      <c r="A3798" t="s">
        <v>5641</v>
      </c>
      <c r="B3798" t="s">
        <v>5788</v>
      </c>
      <c r="C3798">
        <v>2024</v>
      </c>
      <c r="D3798" t="s">
        <v>563</v>
      </c>
      <c r="E3798" t="s">
        <v>5867</v>
      </c>
      <c r="F3798" t="s">
        <v>5865</v>
      </c>
      <c r="G3798" t="s">
        <v>292</v>
      </c>
      <c r="H3798">
        <v>15</v>
      </c>
      <c r="I3798" t="s">
        <v>5868</v>
      </c>
      <c r="J3798" t="s">
        <v>294</v>
      </c>
      <c r="M3798" t="s">
        <v>295</v>
      </c>
      <c r="N3798" t="s">
        <v>7</v>
      </c>
      <c r="O3798" t="s">
        <v>297</v>
      </c>
    </row>
    <row r="3799" spans="1:15" x14ac:dyDescent="0.3">
      <c r="A3799" t="s">
        <v>5641</v>
      </c>
      <c r="B3799" t="s">
        <v>5788</v>
      </c>
      <c r="C3799">
        <v>2024</v>
      </c>
      <c r="D3799" t="s">
        <v>563</v>
      </c>
      <c r="E3799" t="s">
        <v>5869</v>
      </c>
      <c r="F3799" t="s">
        <v>5870</v>
      </c>
      <c r="G3799" t="s">
        <v>292</v>
      </c>
      <c r="H3799">
        <v>15</v>
      </c>
      <c r="I3799" t="s">
        <v>5871</v>
      </c>
      <c r="J3799" t="s">
        <v>294</v>
      </c>
      <c r="M3799" t="s">
        <v>295</v>
      </c>
      <c r="N3799" t="s">
        <v>7</v>
      </c>
      <c r="O3799" t="s">
        <v>297</v>
      </c>
    </row>
    <row r="3800" spans="1:15" x14ac:dyDescent="0.3">
      <c r="A3800" t="s">
        <v>5641</v>
      </c>
      <c r="B3800" t="s">
        <v>5788</v>
      </c>
      <c r="C3800">
        <v>2024</v>
      </c>
      <c r="D3800" t="s">
        <v>563</v>
      </c>
      <c r="E3800" t="s">
        <v>5779</v>
      </c>
      <c r="F3800">
        <v>4131448</v>
      </c>
      <c r="G3800" t="s">
        <v>5780</v>
      </c>
      <c r="H3800">
        <v>105</v>
      </c>
      <c r="I3800" t="s">
        <v>5872</v>
      </c>
      <c r="J3800" t="s">
        <v>294</v>
      </c>
      <c r="M3800" t="s">
        <v>295</v>
      </c>
      <c r="N3800" t="s">
        <v>7</v>
      </c>
      <c r="O3800" t="s">
        <v>297</v>
      </c>
    </row>
    <row r="3801" spans="1:15" x14ac:dyDescent="0.3">
      <c r="A3801" t="s">
        <v>5641</v>
      </c>
      <c r="B3801" t="s">
        <v>5788</v>
      </c>
      <c r="C3801">
        <v>2024</v>
      </c>
      <c r="D3801" t="s">
        <v>563</v>
      </c>
      <c r="E3801" t="s">
        <v>5639</v>
      </c>
      <c r="F3801">
        <v>18349</v>
      </c>
      <c r="G3801" t="s">
        <v>1409</v>
      </c>
      <c r="H3801">
        <v>105</v>
      </c>
      <c r="I3801" t="s">
        <v>5873</v>
      </c>
      <c r="J3801" t="s">
        <v>294</v>
      </c>
      <c r="M3801" t="s">
        <v>295</v>
      </c>
      <c r="N3801" t="s">
        <v>7</v>
      </c>
      <c r="O3801" t="s">
        <v>297</v>
      </c>
    </row>
    <row r="3802" spans="1:15" x14ac:dyDescent="0.3">
      <c r="A3802" t="s">
        <v>5641</v>
      </c>
      <c r="B3802" t="s">
        <v>5788</v>
      </c>
      <c r="C3802">
        <v>2024</v>
      </c>
      <c r="D3802" t="s">
        <v>563</v>
      </c>
      <c r="E3802" t="s">
        <v>5874</v>
      </c>
      <c r="F3802">
        <v>228</v>
      </c>
      <c r="G3802" t="s">
        <v>384</v>
      </c>
      <c r="H3802">
        <v>105</v>
      </c>
      <c r="I3802" t="s">
        <v>5875</v>
      </c>
      <c r="J3802" t="s">
        <v>456</v>
      </c>
      <c r="M3802" t="s">
        <v>295</v>
      </c>
      <c r="N3802" t="s">
        <v>7</v>
      </c>
      <c r="O3802" t="s">
        <v>297</v>
      </c>
    </row>
    <row r="3803" spans="1:15" x14ac:dyDescent="0.3">
      <c r="A3803" t="s">
        <v>5876</v>
      </c>
      <c r="B3803" t="s">
        <v>5877</v>
      </c>
      <c r="C3803">
        <v>2022</v>
      </c>
      <c r="D3803" t="s">
        <v>272</v>
      </c>
      <c r="E3803" t="s">
        <v>291</v>
      </c>
      <c r="F3803" t="s">
        <v>5876</v>
      </c>
      <c r="G3803" t="s">
        <v>292</v>
      </c>
      <c r="H3803">
        <v>1</v>
      </c>
      <c r="I3803" t="s">
        <v>5876</v>
      </c>
      <c r="J3803" t="s">
        <v>294</v>
      </c>
      <c r="M3803" t="s">
        <v>295</v>
      </c>
      <c r="N3803" t="s">
        <v>7</v>
      </c>
      <c r="O3803" t="s">
        <v>297</v>
      </c>
    </row>
    <row r="3804" spans="1:15" x14ac:dyDescent="0.3">
      <c r="A3804" t="s">
        <v>5876</v>
      </c>
      <c r="B3804" t="s">
        <v>5877</v>
      </c>
      <c r="C3804">
        <v>2022</v>
      </c>
      <c r="D3804" t="s">
        <v>272</v>
      </c>
      <c r="E3804" t="s">
        <v>4724</v>
      </c>
      <c r="F3804" t="s">
        <v>5878</v>
      </c>
      <c r="G3804" t="s">
        <v>292</v>
      </c>
      <c r="H3804">
        <v>19</v>
      </c>
      <c r="I3804" t="s">
        <v>5879</v>
      </c>
      <c r="J3804" t="s">
        <v>294</v>
      </c>
      <c r="M3804" t="s">
        <v>295</v>
      </c>
      <c r="N3804" t="s">
        <v>7</v>
      </c>
      <c r="O3804" t="s">
        <v>297</v>
      </c>
    </row>
    <row r="3805" spans="1:15" x14ac:dyDescent="0.3">
      <c r="A3805" t="s">
        <v>5876</v>
      </c>
      <c r="B3805" t="s">
        <v>5877</v>
      </c>
      <c r="C3805">
        <v>2022</v>
      </c>
      <c r="D3805" t="s">
        <v>272</v>
      </c>
      <c r="E3805" t="s">
        <v>5880</v>
      </c>
      <c r="F3805">
        <v>1995</v>
      </c>
      <c r="G3805" t="s">
        <v>299</v>
      </c>
      <c r="H3805">
        <v>0</v>
      </c>
      <c r="I3805" t="s">
        <v>5881</v>
      </c>
      <c r="J3805" t="s">
        <v>294</v>
      </c>
      <c r="M3805" t="s">
        <v>295</v>
      </c>
      <c r="N3805" t="s">
        <v>7</v>
      </c>
      <c r="O3805" t="s">
        <v>297</v>
      </c>
    </row>
    <row r="3806" spans="1:15" x14ac:dyDescent="0.3">
      <c r="A3806" t="s">
        <v>5876</v>
      </c>
      <c r="B3806" t="s">
        <v>5877</v>
      </c>
      <c r="C3806">
        <v>2022</v>
      </c>
      <c r="D3806" t="s">
        <v>272</v>
      </c>
      <c r="E3806" t="s">
        <v>5882</v>
      </c>
      <c r="F3806">
        <v>38991.120000000003</v>
      </c>
      <c r="G3806" t="s">
        <v>360</v>
      </c>
      <c r="H3806">
        <v>197</v>
      </c>
      <c r="I3806" t="s">
        <v>5883</v>
      </c>
      <c r="J3806" t="s">
        <v>294</v>
      </c>
      <c r="M3806" t="s">
        <v>295</v>
      </c>
      <c r="N3806" t="s">
        <v>7</v>
      </c>
      <c r="O3806" t="s">
        <v>297</v>
      </c>
    </row>
    <row r="3807" spans="1:15" x14ac:dyDescent="0.3">
      <c r="A3807" t="s">
        <v>5876</v>
      </c>
      <c r="B3807" t="s">
        <v>5877</v>
      </c>
      <c r="C3807">
        <v>2022</v>
      </c>
      <c r="D3807" t="s">
        <v>272</v>
      </c>
      <c r="E3807" t="s">
        <v>5884</v>
      </c>
      <c r="F3807" t="s">
        <v>5885</v>
      </c>
      <c r="G3807" t="s">
        <v>334</v>
      </c>
      <c r="H3807">
        <v>9</v>
      </c>
      <c r="I3807" t="s">
        <v>5886</v>
      </c>
      <c r="J3807" t="s">
        <v>294</v>
      </c>
      <c r="M3807" t="s">
        <v>295</v>
      </c>
      <c r="N3807" t="s">
        <v>7</v>
      </c>
      <c r="O3807" t="s">
        <v>297</v>
      </c>
    </row>
    <row r="3808" spans="1:15" x14ac:dyDescent="0.3">
      <c r="A3808" t="s">
        <v>5876</v>
      </c>
      <c r="B3808" t="s">
        <v>5877</v>
      </c>
      <c r="C3808">
        <v>2022</v>
      </c>
      <c r="D3808" t="s">
        <v>272</v>
      </c>
      <c r="E3808" t="s">
        <v>5887</v>
      </c>
      <c r="F3808" t="s">
        <v>5888</v>
      </c>
      <c r="G3808" t="s">
        <v>334</v>
      </c>
      <c r="H3808">
        <v>9</v>
      </c>
      <c r="I3808" t="s">
        <v>5889</v>
      </c>
      <c r="J3808" t="s">
        <v>294</v>
      </c>
      <c r="M3808" t="s">
        <v>295</v>
      </c>
      <c r="N3808" t="s">
        <v>7</v>
      </c>
      <c r="O3808" t="s">
        <v>297</v>
      </c>
    </row>
    <row r="3809" spans="1:15" x14ac:dyDescent="0.3">
      <c r="A3809" t="s">
        <v>5876</v>
      </c>
      <c r="B3809" t="s">
        <v>5877</v>
      </c>
      <c r="C3809">
        <v>2022</v>
      </c>
      <c r="D3809" t="s">
        <v>272</v>
      </c>
      <c r="E3809" t="s">
        <v>445</v>
      </c>
      <c r="F3809">
        <v>0.15679999999999999</v>
      </c>
      <c r="G3809" t="s">
        <v>334</v>
      </c>
      <c r="H3809">
        <v>9</v>
      </c>
      <c r="I3809" t="s">
        <v>5890</v>
      </c>
      <c r="J3809" t="s">
        <v>294</v>
      </c>
      <c r="M3809" t="s">
        <v>295</v>
      </c>
      <c r="N3809" t="s">
        <v>7</v>
      </c>
      <c r="O3809" t="s">
        <v>297</v>
      </c>
    </row>
    <row r="3810" spans="1:15" x14ac:dyDescent="0.3">
      <c r="A3810" t="s">
        <v>5876</v>
      </c>
      <c r="B3810" t="s">
        <v>5877</v>
      </c>
      <c r="C3810">
        <v>2022</v>
      </c>
      <c r="D3810" t="s">
        <v>272</v>
      </c>
      <c r="E3810" t="s">
        <v>1203</v>
      </c>
      <c r="F3810" t="s">
        <v>5891</v>
      </c>
      <c r="G3810" t="s">
        <v>292</v>
      </c>
      <c r="H3810">
        <v>0</v>
      </c>
      <c r="I3810" t="s">
        <v>5892</v>
      </c>
      <c r="J3810" t="s">
        <v>294</v>
      </c>
      <c r="M3810" t="s">
        <v>295</v>
      </c>
      <c r="N3810" t="s">
        <v>7</v>
      </c>
      <c r="O3810" t="s">
        <v>297</v>
      </c>
    </row>
    <row r="3811" spans="1:15" x14ac:dyDescent="0.3">
      <c r="A3811" t="s">
        <v>5876</v>
      </c>
      <c r="B3811" t="s">
        <v>5877</v>
      </c>
      <c r="C3811">
        <v>2022</v>
      </c>
      <c r="D3811" t="s">
        <v>272</v>
      </c>
      <c r="E3811" t="s">
        <v>3256</v>
      </c>
      <c r="F3811" t="s">
        <v>5893</v>
      </c>
      <c r="G3811" t="s">
        <v>292</v>
      </c>
      <c r="H3811">
        <v>198</v>
      </c>
      <c r="I3811" t="s">
        <v>5894</v>
      </c>
      <c r="J3811" t="s">
        <v>294</v>
      </c>
      <c r="M3811" t="s">
        <v>295</v>
      </c>
      <c r="N3811" t="s">
        <v>7</v>
      </c>
      <c r="O3811" t="s">
        <v>297</v>
      </c>
    </row>
    <row r="3812" spans="1:15" x14ac:dyDescent="0.3">
      <c r="A3812" t="s">
        <v>5876</v>
      </c>
      <c r="B3812" t="s">
        <v>5877</v>
      </c>
      <c r="C3812">
        <v>2022</v>
      </c>
      <c r="D3812" t="s">
        <v>272</v>
      </c>
      <c r="E3812" t="s">
        <v>3253</v>
      </c>
      <c r="F3812" t="s">
        <v>5895</v>
      </c>
      <c r="G3812" t="s">
        <v>292</v>
      </c>
      <c r="H3812">
        <v>198</v>
      </c>
      <c r="I3812" t="s">
        <v>5896</v>
      </c>
      <c r="J3812" t="s">
        <v>294</v>
      </c>
      <c r="M3812" t="s">
        <v>295</v>
      </c>
      <c r="N3812" t="s">
        <v>7</v>
      </c>
      <c r="O3812" t="s">
        <v>297</v>
      </c>
    </row>
    <row r="3813" spans="1:15" x14ac:dyDescent="0.3">
      <c r="A3813" t="s">
        <v>5876</v>
      </c>
      <c r="B3813" t="s">
        <v>5877</v>
      </c>
      <c r="C3813">
        <v>2022</v>
      </c>
      <c r="D3813" t="s">
        <v>272</v>
      </c>
      <c r="E3813" t="s">
        <v>5897</v>
      </c>
      <c r="F3813" t="s">
        <v>5898</v>
      </c>
      <c r="G3813" t="s">
        <v>666</v>
      </c>
      <c r="H3813">
        <v>180</v>
      </c>
      <c r="I3813" t="s">
        <v>5899</v>
      </c>
      <c r="J3813" t="s">
        <v>294</v>
      </c>
      <c r="M3813" t="s">
        <v>295</v>
      </c>
      <c r="N3813" t="s">
        <v>7</v>
      </c>
      <c r="O3813" t="s">
        <v>297</v>
      </c>
    </row>
    <row r="3814" spans="1:15" x14ac:dyDescent="0.3">
      <c r="A3814" t="s">
        <v>5876</v>
      </c>
      <c r="B3814" t="s">
        <v>5877</v>
      </c>
      <c r="C3814">
        <v>2022</v>
      </c>
      <c r="D3814" t="s">
        <v>300</v>
      </c>
      <c r="E3814" t="s">
        <v>3629</v>
      </c>
      <c r="F3814">
        <v>1007.31</v>
      </c>
      <c r="G3814" t="s">
        <v>302</v>
      </c>
      <c r="H3814">
        <v>3</v>
      </c>
      <c r="I3814" t="s">
        <v>5900</v>
      </c>
      <c r="J3814" t="s">
        <v>294</v>
      </c>
      <c r="M3814" t="s">
        <v>295</v>
      </c>
      <c r="N3814" t="s">
        <v>7</v>
      </c>
      <c r="O3814" t="s">
        <v>297</v>
      </c>
    </row>
    <row r="3815" spans="1:15" x14ac:dyDescent="0.3">
      <c r="A3815" t="s">
        <v>5876</v>
      </c>
      <c r="B3815" t="s">
        <v>5877</v>
      </c>
      <c r="C3815">
        <v>2022</v>
      </c>
      <c r="D3815" t="s">
        <v>300</v>
      </c>
      <c r="E3815" t="s">
        <v>688</v>
      </c>
      <c r="F3815">
        <v>742.88</v>
      </c>
      <c r="G3815" t="s">
        <v>302</v>
      </c>
      <c r="H3815">
        <v>193</v>
      </c>
      <c r="I3815" t="s">
        <v>5901</v>
      </c>
      <c r="J3815" t="s">
        <v>294</v>
      </c>
      <c r="M3815" t="s">
        <v>295</v>
      </c>
      <c r="N3815" t="s">
        <v>7</v>
      </c>
      <c r="O3815" t="s">
        <v>297</v>
      </c>
    </row>
    <row r="3816" spans="1:15" x14ac:dyDescent="0.3">
      <c r="A3816" t="s">
        <v>5876</v>
      </c>
      <c r="B3816" t="s">
        <v>5877</v>
      </c>
      <c r="C3816">
        <v>2022</v>
      </c>
      <c r="D3816" t="s">
        <v>300</v>
      </c>
      <c r="E3816" t="s">
        <v>304</v>
      </c>
      <c r="F3816">
        <v>264.42</v>
      </c>
      <c r="G3816" t="s">
        <v>302</v>
      </c>
      <c r="H3816">
        <v>3</v>
      </c>
      <c r="I3816" t="s">
        <v>5902</v>
      </c>
      <c r="J3816" t="s">
        <v>294</v>
      </c>
      <c r="M3816" t="s">
        <v>295</v>
      </c>
      <c r="N3816" t="s">
        <v>7</v>
      </c>
      <c r="O3816" t="s">
        <v>297</v>
      </c>
    </row>
    <row r="3817" spans="1:15" x14ac:dyDescent="0.3">
      <c r="A3817" t="s">
        <v>5876</v>
      </c>
      <c r="B3817" t="s">
        <v>5877</v>
      </c>
      <c r="C3817">
        <v>2022</v>
      </c>
      <c r="D3817" t="s">
        <v>300</v>
      </c>
      <c r="E3817" t="s">
        <v>5214</v>
      </c>
      <c r="F3817">
        <v>233.64</v>
      </c>
      <c r="G3817" t="s">
        <v>302</v>
      </c>
      <c r="H3817">
        <v>193</v>
      </c>
      <c r="I3817" t="s">
        <v>5903</v>
      </c>
      <c r="J3817" t="s">
        <v>294</v>
      </c>
      <c r="M3817" t="s">
        <v>295</v>
      </c>
      <c r="N3817" t="s">
        <v>7</v>
      </c>
      <c r="O3817" t="s">
        <v>297</v>
      </c>
    </row>
    <row r="3818" spans="1:15" x14ac:dyDescent="0.3">
      <c r="A3818" t="s">
        <v>5876</v>
      </c>
      <c r="B3818" t="s">
        <v>5877</v>
      </c>
      <c r="C3818">
        <v>2022</v>
      </c>
      <c r="D3818" t="s">
        <v>300</v>
      </c>
      <c r="E3818" t="s">
        <v>457</v>
      </c>
      <c r="F3818">
        <v>62.6</v>
      </c>
      <c r="G3818" t="s">
        <v>302</v>
      </c>
      <c r="H3818">
        <v>193</v>
      </c>
      <c r="I3818" t="s">
        <v>5904</v>
      </c>
      <c r="J3818" t="s">
        <v>294</v>
      </c>
      <c r="M3818" t="s">
        <v>295</v>
      </c>
      <c r="N3818" t="s">
        <v>7</v>
      </c>
      <c r="O3818" t="s">
        <v>297</v>
      </c>
    </row>
    <row r="3819" spans="1:15" x14ac:dyDescent="0.3">
      <c r="A3819" t="s">
        <v>5876</v>
      </c>
      <c r="B3819" t="s">
        <v>5877</v>
      </c>
      <c r="C3819">
        <v>2022</v>
      </c>
      <c r="D3819" t="s">
        <v>300</v>
      </c>
      <c r="E3819" t="s">
        <v>579</v>
      </c>
      <c r="F3819">
        <v>188.88</v>
      </c>
      <c r="G3819" t="s">
        <v>302</v>
      </c>
      <c r="H3819">
        <v>193</v>
      </c>
      <c r="I3819" t="s">
        <v>5905</v>
      </c>
      <c r="J3819" t="s">
        <v>294</v>
      </c>
      <c r="M3819" t="s">
        <v>295</v>
      </c>
      <c r="N3819" t="s">
        <v>7</v>
      </c>
      <c r="O3819" t="s">
        <v>297</v>
      </c>
    </row>
    <row r="3820" spans="1:15" x14ac:dyDescent="0.3">
      <c r="A3820" t="s">
        <v>5876</v>
      </c>
      <c r="B3820" t="s">
        <v>5877</v>
      </c>
      <c r="C3820">
        <v>2022</v>
      </c>
      <c r="D3820" t="s">
        <v>300</v>
      </c>
      <c r="E3820" t="s">
        <v>306</v>
      </c>
      <c r="F3820">
        <v>167.25</v>
      </c>
      <c r="G3820" t="s">
        <v>302</v>
      </c>
      <c r="H3820">
        <v>3</v>
      </c>
      <c r="I3820" t="s">
        <v>5906</v>
      </c>
      <c r="J3820" t="s">
        <v>294</v>
      </c>
      <c r="M3820" t="s">
        <v>295</v>
      </c>
      <c r="N3820" t="s">
        <v>7</v>
      </c>
      <c r="O3820" t="s">
        <v>297</v>
      </c>
    </row>
    <row r="3821" spans="1:15" x14ac:dyDescent="0.3">
      <c r="A3821" t="s">
        <v>5876</v>
      </c>
      <c r="B3821" t="s">
        <v>5877</v>
      </c>
      <c r="C3821">
        <v>2022</v>
      </c>
      <c r="D3821" t="s">
        <v>300</v>
      </c>
      <c r="E3821" t="s">
        <v>308</v>
      </c>
      <c r="F3821">
        <v>172.15</v>
      </c>
      <c r="G3821" t="s">
        <v>302</v>
      </c>
      <c r="H3821">
        <v>196</v>
      </c>
      <c r="I3821" t="s">
        <v>5907</v>
      </c>
      <c r="J3821" t="s">
        <v>294</v>
      </c>
      <c r="M3821" t="s">
        <v>295</v>
      </c>
      <c r="N3821" t="s">
        <v>7</v>
      </c>
      <c r="O3821" t="s">
        <v>297</v>
      </c>
    </row>
    <row r="3822" spans="1:15" x14ac:dyDescent="0.3">
      <c r="A3822" t="s">
        <v>5876</v>
      </c>
      <c r="B3822" t="s">
        <v>5877</v>
      </c>
      <c r="C3822">
        <v>2022</v>
      </c>
      <c r="D3822" t="s">
        <v>300</v>
      </c>
      <c r="E3822" t="s">
        <v>345</v>
      </c>
      <c r="F3822">
        <v>30</v>
      </c>
      <c r="G3822" t="s">
        <v>346</v>
      </c>
      <c r="H3822">
        <v>3</v>
      </c>
      <c r="I3822" t="s">
        <v>5908</v>
      </c>
      <c r="J3822" t="s">
        <v>294</v>
      </c>
      <c r="M3822" t="s">
        <v>295</v>
      </c>
      <c r="N3822" t="s">
        <v>7</v>
      </c>
      <c r="O3822" t="s">
        <v>297</v>
      </c>
    </row>
    <row r="3823" spans="1:15" x14ac:dyDescent="0.3">
      <c r="A3823" t="s">
        <v>5876</v>
      </c>
      <c r="B3823" t="s">
        <v>5877</v>
      </c>
      <c r="C3823">
        <v>2022</v>
      </c>
      <c r="D3823" t="s">
        <v>300</v>
      </c>
      <c r="E3823" t="s">
        <v>316</v>
      </c>
      <c r="F3823">
        <v>2347.52</v>
      </c>
      <c r="G3823" t="s">
        <v>302</v>
      </c>
      <c r="H3823">
        <v>3</v>
      </c>
      <c r="I3823" t="s">
        <v>5909</v>
      </c>
      <c r="J3823" t="s">
        <v>294</v>
      </c>
      <c r="M3823" t="s">
        <v>295</v>
      </c>
      <c r="N3823" t="s">
        <v>7</v>
      </c>
      <c r="O3823" t="s">
        <v>297</v>
      </c>
    </row>
    <row r="3824" spans="1:15" x14ac:dyDescent="0.3">
      <c r="A3824" t="s">
        <v>5876</v>
      </c>
      <c r="B3824" t="s">
        <v>5877</v>
      </c>
      <c r="C3824">
        <v>2022</v>
      </c>
      <c r="D3824" t="s">
        <v>300</v>
      </c>
      <c r="E3824" t="s">
        <v>312</v>
      </c>
      <c r="F3824">
        <v>289.99799999999999</v>
      </c>
      <c r="G3824" t="s">
        <v>302</v>
      </c>
      <c r="H3824">
        <v>75</v>
      </c>
      <c r="I3824" t="s">
        <v>5910</v>
      </c>
      <c r="J3824" t="s">
        <v>294</v>
      </c>
      <c r="M3824" t="s">
        <v>295</v>
      </c>
      <c r="N3824" t="s">
        <v>7</v>
      </c>
      <c r="O3824" t="s">
        <v>297</v>
      </c>
    </row>
    <row r="3825" spans="1:15" x14ac:dyDescent="0.3">
      <c r="A3825" t="s">
        <v>5876</v>
      </c>
      <c r="B3825" t="s">
        <v>5877</v>
      </c>
      <c r="C3825">
        <v>2022</v>
      </c>
      <c r="D3825" t="s">
        <v>300</v>
      </c>
      <c r="E3825" t="s">
        <v>314</v>
      </c>
      <c r="F3825">
        <v>2057.52</v>
      </c>
      <c r="G3825" t="s">
        <v>302</v>
      </c>
      <c r="H3825">
        <v>75</v>
      </c>
      <c r="I3825" t="s">
        <v>5911</v>
      </c>
      <c r="J3825" t="s">
        <v>294</v>
      </c>
      <c r="M3825" t="s">
        <v>295</v>
      </c>
      <c r="N3825" t="s">
        <v>7</v>
      </c>
      <c r="O3825" t="s">
        <v>297</v>
      </c>
    </row>
    <row r="3826" spans="1:15" x14ac:dyDescent="0.3">
      <c r="A3826" t="s">
        <v>5876</v>
      </c>
      <c r="B3826" t="s">
        <v>5877</v>
      </c>
      <c r="C3826">
        <v>2022</v>
      </c>
      <c r="D3826" t="s">
        <v>300</v>
      </c>
      <c r="E3826" t="s">
        <v>322</v>
      </c>
      <c r="F3826">
        <v>918.35</v>
      </c>
      <c r="G3826" t="s">
        <v>302</v>
      </c>
      <c r="H3826">
        <v>3</v>
      </c>
      <c r="I3826" t="s">
        <v>5912</v>
      </c>
      <c r="J3826" t="s">
        <v>294</v>
      </c>
      <c r="M3826" t="s">
        <v>295</v>
      </c>
      <c r="N3826" t="s">
        <v>7</v>
      </c>
      <c r="O3826" t="s">
        <v>297</v>
      </c>
    </row>
    <row r="3827" spans="1:15" x14ac:dyDescent="0.3">
      <c r="A3827" t="s">
        <v>5876</v>
      </c>
      <c r="B3827" t="s">
        <v>5877</v>
      </c>
      <c r="C3827">
        <v>2022</v>
      </c>
      <c r="D3827" t="s">
        <v>300</v>
      </c>
      <c r="E3827" t="s">
        <v>318</v>
      </c>
      <c r="F3827">
        <v>197.37</v>
      </c>
      <c r="G3827" t="s">
        <v>302</v>
      </c>
      <c r="H3827">
        <v>75</v>
      </c>
      <c r="I3827" t="s">
        <v>5913</v>
      </c>
      <c r="J3827" t="s">
        <v>294</v>
      </c>
      <c r="M3827" t="s">
        <v>295</v>
      </c>
      <c r="N3827" t="s">
        <v>7</v>
      </c>
      <c r="O3827" t="s">
        <v>297</v>
      </c>
    </row>
    <row r="3828" spans="1:15" x14ac:dyDescent="0.3">
      <c r="A3828" t="s">
        <v>5876</v>
      </c>
      <c r="B3828" t="s">
        <v>5877</v>
      </c>
      <c r="C3828">
        <v>2022</v>
      </c>
      <c r="D3828" t="s">
        <v>300</v>
      </c>
      <c r="E3828" t="s">
        <v>828</v>
      </c>
      <c r="F3828">
        <v>720.98</v>
      </c>
      <c r="G3828" t="s">
        <v>302</v>
      </c>
      <c r="H3828">
        <v>75</v>
      </c>
      <c r="I3828" t="s">
        <v>5914</v>
      </c>
      <c r="J3828" t="s">
        <v>294</v>
      </c>
      <c r="M3828" t="s">
        <v>295</v>
      </c>
      <c r="N3828" t="s">
        <v>7</v>
      </c>
      <c r="O3828" t="s">
        <v>297</v>
      </c>
    </row>
    <row r="3829" spans="1:15" x14ac:dyDescent="0.3">
      <c r="A3829" t="s">
        <v>5876</v>
      </c>
      <c r="B3829" t="s">
        <v>5877</v>
      </c>
      <c r="C3829">
        <v>2022</v>
      </c>
      <c r="D3829" t="s">
        <v>300</v>
      </c>
      <c r="E3829" t="s">
        <v>324</v>
      </c>
      <c r="F3829">
        <v>1429.17</v>
      </c>
      <c r="G3829" t="s">
        <v>302</v>
      </c>
      <c r="H3829">
        <v>3</v>
      </c>
      <c r="I3829" t="s">
        <v>5915</v>
      </c>
      <c r="J3829" t="s">
        <v>294</v>
      </c>
      <c r="M3829" t="s">
        <v>295</v>
      </c>
      <c r="N3829" t="s">
        <v>7</v>
      </c>
      <c r="O3829" t="s">
        <v>297</v>
      </c>
    </row>
    <row r="3830" spans="1:15" x14ac:dyDescent="0.3">
      <c r="A3830" t="s">
        <v>5876</v>
      </c>
      <c r="B3830" t="s">
        <v>5877</v>
      </c>
      <c r="C3830">
        <v>2022</v>
      </c>
      <c r="D3830" t="s">
        <v>300</v>
      </c>
      <c r="E3830" t="s">
        <v>5154</v>
      </c>
      <c r="F3830">
        <v>35.9</v>
      </c>
      <c r="G3830" t="s">
        <v>302</v>
      </c>
      <c r="H3830">
        <v>229</v>
      </c>
      <c r="I3830" t="s">
        <v>5916</v>
      </c>
      <c r="J3830" t="s">
        <v>294</v>
      </c>
      <c r="M3830" t="s">
        <v>295</v>
      </c>
      <c r="N3830" t="s">
        <v>7</v>
      </c>
      <c r="O3830" t="s">
        <v>297</v>
      </c>
    </row>
    <row r="3831" spans="1:15" x14ac:dyDescent="0.3">
      <c r="A3831" t="s">
        <v>5876</v>
      </c>
      <c r="B3831" t="s">
        <v>5877</v>
      </c>
      <c r="C3831">
        <v>2022</v>
      </c>
      <c r="D3831" t="s">
        <v>300</v>
      </c>
      <c r="E3831" t="s">
        <v>5917</v>
      </c>
      <c r="F3831">
        <v>697.6</v>
      </c>
      <c r="G3831" t="s">
        <v>302</v>
      </c>
      <c r="H3831">
        <v>0</v>
      </c>
      <c r="I3831" t="s">
        <v>5918</v>
      </c>
      <c r="J3831" t="s">
        <v>294</v>
      </c>
      <c r="M3831" t="s">
        <v>295</v>
      </c>
      <c r="N3831" t="s">
        <v>7</v>
      </c>
      <c r="O3831" t="s">
        <v>297</v>
      </c>
    </row>
    <row r="3832" spans="1:15" x14ac:dyDescent="0.3">
      <c r="A3832" t="s">
        <v>5876</v>
      </c>
      <c r="B3832" t="s">
        <v>5877</v>
      </c>
      <c r="C3832">
        <v>2022</v>
      </c>
      <c r="D3832" t="s">
        <v>300</v>
      </c>
      <c r="E3832" t="s">
        <v>5919</v>
      </c>
      <c r="F3832">
        <v>692.08</v>
      </c>
      <c r="G3832" t="s">
        <v>302</v>
      </c>
      <c r="H3832">
        <v>0</v>
      </c>
      <c r="I3832" t="s">
        <v>5920</v>
      </c>
      <c r="J3832" t="s">
        <v>294</v>
      </c>
      <c r="M3832" t="s">
        <v>295</v>
      </c>
      <c r="N3832" t="s">
        <v>7</v>
      </c>
      <c r="O3832" t="s">
        <v>297</v>
      </c>
    </row>
    <row r="3833" spans="1:15" x14ac:dyDescent="0.3">
      <c r="A3833" t="s">
        <v>5876</v>
      </c>
      <c r="B3833" t="s">
        <v>5877</v>
      </c>
      <c r="C3833">
        <v>2022</v>
      </c>
      <c r="D3833" t="s">
        <v>300</v>
      </c>
      <c r="E3833" t="s">
        <v>5921</v>
      </c>
      <c r="F3833">
        <v>122.98</v>
      </c>
      <c r="G3833" t="s">
        <v>302</v>
      </c>
      <c r="H3833">
        <v>0</v>
      </c>
      <c r="I3833" t="s">
        <v>5922</v>
      </c>
      <c r="J3833" t="s">
        <v>294</v>
      </c>
      <c r="M3833" t="s">
        <v>295</v>
      </c>
      <c r="N3833" t="s">
        <v>7</v>
      </c>
      <c r="O3833" t="s">
        <v>297</v>
      </c>
    </row>
    <row r="3834" spans="1:15" x14ac:dyDescent="0.3">
      <c r="A3834" t="s">
        <v>5876</v>
      </c>
      <c r="B3834" t="s">
        <v>5877</v>
      </c>
      <c r="C3834">
        <v>2022</v>
      </c>
      <c r="D3834" t="s">
        <v>300</v>
      </c>
      <c r="E3834" t="s">
        <v>5923</v>
      </c>
      <c r="F3834">
        <v>569.1</v>
      </c>
      <c r="G3834" t="s">
        <v>302</v>
      </c>
      <c r="H3834">
        <v>0</v>
      </c>
      <c r="I3834" t="s">
        <v>5924</v>
      </c>
      <c r="J3834" t="s">
        <v>294</v>
      </c>
      <c r="M3834" t="s">
        <v>295</v>
      </c>
      <c r="N3834" t="s">
        <v>7</v>
      </c>
      <c r="O3834" t="s">
        <v>297</v>
      </c>
    </row>
    <row r="3835" spans="1:15" x14ac:dyDescent="0.3">
      <c r="A3835" t="s">
        <v>5876</v>
      </c>
      <c r="B3835" t="s">
        <v>5877</v>
      </c>
      <c r="C3835">
        <v>2022</v>
      </c>
      <c r="D3835" t="s">
        <v>300</v>
      </c>
      <c r="E3835" t="s">
        <v>601</v>
      </c>
      <c r="F3835">
        <v>213.08</v>
      </c>
      <c r="G3835" t="s">
        <v>302</v>
      </c>
      <c r="H3835">
        <v>196</v>
      </c>
      <c r="I3835" t="s">
        <v>5925</v>
      </c>
      <c r="J3835" t="s">
        <v>294</v>
      </c>
      <c r="M3835" t="s">
        <v>295</v>
      </c>
      <c r="N3835" t="s">
        <v>7</v>
      </c>
      <c r="O3835" t="s">
        <v>297</v>
      </c>
    </row>
    <row r="3836" spans="1:15" x14ac:dyDescent="0.3">
      <c r="A3836" t="s">
        <v>5876</v>
      </c>
      <c r="B3836" t="s">
        <v>5877</v>
      </c>
      <c r="C3836">
        <v>2022</v>
      </c>
      <c r="D3836" t="s">
        <v>300</v>
      </c>
      <c r="E3836" t="s">
        <v>603</v>
      </c>
      <c r="F3836">
        <v>-78.819999999999993</v>
      </c>
      <c r="G3836" t="s">
        <v>302</v>
      </c>
      <c r="H3836">
        <v>196</v>
      </c>
      <c r="I3836" t="s">
        <v>5926</v>
      </c>
      <c r="J3836" t="s">
        <v>294</v>
      </c>
      <c r="M3836" t="s">
        <v>295</v>
      </c>
      <c r="N3836" t="s">
        <v>7</v>
      </c>
      <c r="O3836" t="s">
        <v>297</v>
      </c>
    </row>
    <row r="3837" spans="1:15" x14ac:dyDescent="0.3">
      <c r="A3837" t="s">
        <v>5876</v>
      </c>
      <c r="B3837" t="s">
        <v>5877</v>
      </c>
      <c r="C3837">
        <v>2022</v>
      </c>
      <c r="D3837" t="s">
        <v>300</v>
      </c>
      <c r="E3837" t="s">
        <v>5927</v>
      </c>
      <c r="F3837">
        <v>31.65</v>
      </c>
      <c r="G3837" t="s">
        <v>302</v>
      </c>
      <c r="H3837">
        <v>196</v>
      </c>
      <c r="I3837" t="s">
        <v>5928</v>
      </c>
      <c r="J3837" t="s">
        <v>294</v>
      </c>
      <c r="M3837" t="s">
        <v>295</v>
      </c>
      <c r="N3837" t="s">
        <v>7</v>
      </c>
      <c r="O3837" t="s">
        <v>297</v>
      </c>
    </row>
    <row r="3838" spans="1:15" x14ac:dyDescent="0.3">
      <c r="A3838" t="s">
        <v>5876</v>
      </c>
      <c r="B3838" t="s">
        <v>5877</v>
      </c>
      <c r="C3838">
        <v>2022</v>
      </c>
      <c r="D3838" t="s">
        <v>300</v>
      </c>
      <c r="E3838" t="s">
        <v>5929</v>
      </c>
      <c r="F3838">
        <v>45.42</v>
      </c>
      <c r="G3838" t="s">
        <v>302</v>
      </c>
      <c r="H3838">
        <v>196</v>
      </c>
      <c r="I3838" t="s">
        <v>5930</v>
      </c>
      <c r="J3838" t="s">
        <v>294</v>
      </c>
      <c r="M3838" t="s">
        <v>295</v>
      </c>
      <c r="N3838" t="s">
        <v>7</v>
      </c>
      <c r="O3838" t="s">
        <v>297</v>
      </c>
    </row>
    <row r="3839" spans="1:15" x14ac:dyDescent="0.3">
      <c r="A3839" t="s">
        <v>5876</v>
      </c>
      <c r="B3839" t="s">
        <v>5877</v>
      </c>
      <c r="C3839">
        <v>2022</v>
      </c>
      <c r="D3839" t="s">
        <v>300</v>
      </c>
      <c r="E3839" t="s">
        <v>5931</v>
      </c>
      <c r="F3839">
        <v>77.069999999999993</v>
      </c>
      <c r="G3839" t="s">
        <v>302</v>
      </c>
      <c r="H3839">
        <v>196</v>
      </c>
      <c r="I3839" t="s">
        <v>5932</v>
      </c>
      <c r="J3839" t="s">
        <v>294</v>
      </c>
      <c r="M3839" t="s">
        <v>295</v>
      </c>
      <c r="N3839" t="s">
        <v>7</v>
      </c>
      <c r="O3839" t="s">
        <v>297</v>
      </c>
    </row>
    <row r="3840" spans="1:15" x14ac:dyDescent="0.3">
      <c r="A3840" t="s">
        <v>5876</v>
      </c>
      <c r="B3840" t="s">
        <v>5877</v>
      </c>
      <c r="C3840">
        <v>2022</v>
      </c>
      <c r="D3840" t="s">
        <v>300</v>
      </c>
      <c r="E3840" t="s">
        <v>5933</v>
      </c>
      <c r="F3840">
        <v>99.71</v>
      </c>
      <c r="G3840" t="s">
        <v>302</v>
      </c>
      <c r="H3840">
        <v>196</v>
      </c>
      <c r="I3840" t="s">
        <v>5934</v>
      </c>
      <c r="J3840" t="s">
        <v>294</v>
      </c>
      <c r="M3840" t="s">
        <v>295</v>
      </c>
      <c r="N3840" t="s">
        <v>7</v>
      </c>
      <c r="O3840" t="s">
        <v>297</v>
      </c>
    </row>
    <row r="3841" spans="1:15" x14ac:dyDescent="0.3">
      <c r="A3841" t="s">
        <v>5876</v>
      </c>
      <c r="B3841" t="s">
        <v>5877</v>
      </c>
      <c r="C3841">
        <v>2022</v>
      </c>
      <c r="D3841" t="s">
        <v>300</v>
      </c>
      <c r="E3841" t="s">
        <v>5165</v>
      </c>
      <c r="F3841">
        <v>5737.85</v>
      </c>
      <c r="G3841" t="s">
        <v>497</v>
      </c>
      <c r="H3841">
        <v>0</v>
      </c>
      <c r="I3841" t="s">
        <v>5935</v>
      </c>
      <c r="J3841" t="s">
        <v>294</v>
      </c>
      <c r="M3841" t="s">
        <v>295</v>
      </c>
      <c r="N3841" t="s">
        <v>7</v>
      </c>
      <c r="O3841" t="s">
        <v>297</v>
      </c>
    </row>
    <row r="3842" spans="1:15" x14ac:dyDescent="0.3">
      <c r="A3842" t="s">
        <v>5876</v>
      </c>
      <c r="B3842" t="s">
        <v>5877</v>
      </c>
      <c r="C3842">
        <v>2022</v>
      </c>
      <c r="D3842" t="s">
        <v>300</v>
      </c>
      <c r="E3842" t="s">
        <v>723</v>
      </c>
      <c r="F3842">
        <v>805</v>
      </c>
      <c r="G3842" t="s">
        <v>346</v>
      </c>
      <c r="H3842">
        <v>10</v>
      </c>
      <c r="I3842" t="s">
        <v>5936</v>
      </c>
      <c r="J3842" t="s">
        <v>294</v>
      </c>
      <c r="M3842" t="s">
        <v>295</v>
      </c>
      <c r="N3842" t="s">
        <v>7</v>
      </c>
      <c r="O3842" t="s">
        <v>297</v>
      </c>
    </row>
    <row r="3843" spans="1:15" x14ac:dyDescent="0.3">
      <c r="A3843" t="s">
        <v>5876</v>
      </c>
      <c r="B3843" t="s">
        <v>5877</v>
      </c>
      <c r="C3843">
        <v>2022</v>
      </c>
      <c r="D3843" t="s">
        <v>300</v>
      </c>
      <c r="E3843" t="s">
        <v>3180</v>
      </c>
      <c r="F3843">
        <v>4618.97</v>
      </c>
      <c r="G3843" t="s">
        <v>302</v>
      </c>
      <c r="H3843">
        <v>9</v>
      </c>
      <c r="I3843" t="s">
        <v>5937</v>
      </c>
      <c r="J3843" t="s">
        <v>294</v>
      </c>
      <c r="M3843" t="s">
        <v>295</v>
      </c>
      <c r="N3843" t="s">
        <v>7</v>
      </c>
      <c r="O3843" t="s">
        <v>297</v>
      </c>
    </row>
    <row r="3844" spans="1:15" x14ac:dyDescent="0.3">
      <c r="A3844" t="s">
        <v>5876</v>
      </c>
      <c r="B3844" t="s">
        <v>5877</v>
      </c>
      <c r="C3844">
        <v>2022</v>
      </c>
      <c r="D3844" t="s">
        <v>300</v>
      </c>
      <c r="E3844" t="s">
        <v>326</v>
      </c>
      <c r="F3844">
        <v>1.47</v>
      </c>
      <c r="G3844" t="s">
        <v>327</v>
      </c>
      <c r="H3844">
        <v>3</v>
      </c>
      <c r="I3844" t="s">
        <v>5938</v>
      </c>
      <c r="J3844" t="s">
        <v>294</v>
      </c>
      <c r="M3844" t="s">
        <v>295</v>
      </c>
      <c r="N3844" t="s">
        <v>7</v>
      </c>
      <c r="O3844" t="s">
        <v>297</v>
      </c>
    </row>
    <row r="3845" spans="1:15" x14ac:dyDescent="0.3">
      <c r="A3845" t="s">
        <v>5876</v>
      </c>
      <c r="B3845" t="s">
        <v>5877</v>
      </c>
      <c r="C3845">
        <v>2022</v>
      </c>
      <c r="D3845" t="s">
        <v>300</v>
      </c>
      <c r="E3845" t="s">
        <v>5939</v>
      </c>
      <c r="F3845">
        <v>0.64</v>
      </c>
      <c r="G3845" t="s">
        <v>327</v>
      </c>
      <c r="H3845">
        <v>3</v>
      </c>
      <c r="I3845" t="s">
        <v>5940</v>
      </c>
      <c r="J3845" t="s">
        <v>294</v>
      </c>
      <c r="M3845" t="s">
        <v>295</v>
      </c>
      <c r="N3845" t="s">
        <v>7</v>
      </c>
      <c r="O3845" t="s">
        <v>297</v>
      </c>
    </row>
    <row r="3846" spans="1:15" x14ac:dyDescent="0.3">
      <c r="A3846" t="s">
        <v>5876</v>
      </c>
      <c r="B3846" t="s">
        <v>5877</v>
      </c>
      <c r="C3846">
        <v>2022</v>
      </c>
      <c r="D3846" t="s">
        <v>358</v>
      </c>
      <c r="E3846" t="s">
        <v>5941</v>
      </c>
      <c r="F3846">
        <v>20267</v>
      </c>
      <c r="G3846" t="s">
        <v>360</v>
      </c>
      <c r="H3846">
        <v>14</v>
      </c>
      <c r="I3846" t="s">
        <v>5942</v>
      </c>
      <c r="J3846" t="s">
        <v>294</v>
      </c>
      <c r="M3846" t="s">
        <v>295</v>
      </c>
      <c r="N3846" t="s">
        <v>7</v>
      </c>
      <c r="O3846" t="s">
        <v>297</v>
      </c>
    </row>
    <row r="3847" spans="1:15" x14ac:dyDescent="0.3">
      <c r="A3847" t="s">
        <v>5876</v>
      </c>
      <c r="B3847" t="s">
        <v>5877</v>
      </c>
      <c r="C3847">
        <v>2022</v>
      </c>
      <c r="D3847" t="s">
        <v>358</v>
      </c>
      <c r="E3847" t="s">
        <v>5943</v>
      </c>
      <c r="F3847">
        <v>19417</v>
      </c>
      <c r="G3847" t="s">
        <v>360</v>
      </c>
      <c r="H3847">
        <v>16</v>
      </c>
      <c r="I3847" t="s">
        <v>5944</v>
      </c>
      <c r="J3847" t="s">
        <v>456</v>
      </c>
      <c r="M3847" t="s">
        <v>295</v>
      </c>
      <c r="N3847" t="s">
        <v>7</v>
      </c>
      <c r="O3847" t="s">
        <v>297</v>
      </c>
    </row>
    <row r="3848" spans="1:15" x14ac:dyDescent="0.3">
      <c r="A3848" t="s">
        <v>5876</v>
      </c>
      <c r="B3848" t="s">
        <v>5877</v>
      </c>
      <c r="C3848">
        <v>2022</v>
      </c>
      <c r="D3848" t="s">
        <v>358</v>
      </c>
      <c r="E3848" t="s">
        <v>5882</v>
      </c>
      <c r="F3848">
        <v>38991</v>
      </c>
      <c r="G3848" t="s">
        <v>360</v>
      </c>
      <c r="H3848">
        <v>14</v>
      </c>
      <c r="I3848" t="s">
        <v>5945</v>
      </c>
      <c r="J3848" t="s">
        <v>294</v>
      </c>
      <c r="M3848" t="s">
        <v>295</v>
      </c>
      <c r="N3848" t="s">
        <v>7</v>
      </c>
      <c r="O3848" t="s">
        <v>297</v>
      </c>
    </row>
    <row r="3849" spans="1:15" x14ac:dyDescent="0.3">
      <c r="A3849" t="s">
        <v>5876</v>
      </c>
      <c r="B3849" t="s">
        <v>5877</v>
      </c>
      <c r="C3849">
        <v>2022</v>
      </c>
      <c r="D3849" t="s">
        <v>358</v>
      </c>
      <c r="E3849" t="s">
        <v>523</v>
      </c>
      <c r="F3849">
        <v>1</v>
      </c>
      <c r="G3849" t="s">
        <v>384</v>
      </c>
      <c r="H3849">
        <v>73</v>
      </c>
      <c r="I3849" t="s">
        <v>5946</v>
      </c>
      <c r="J3849" t="s">
        <v>294</v>
      </c>
      <c r="M3849" t="s">
        <v>295</v>
      </c>
      <c r="N3849" t="s">
        <v>7</v>
      </c>
      <c r="O3849" t="s">
        <v>297</v>
      </c>
    </row>
    <row r="3850" spans="1:15" x14ac:dyDescent="0.3">
      <c r="A3850" t="s">
        <v>5876</v>
      </c>
      <c r="B3850" t="s">
        <v>5877</v>
      </c>
      <c r="C3850">
        <v>2022</v>
      </c>
      <c r="D3850" t="s">
        <v>358</v>
      </c>
      <c r="E3850" t="s">
        <v>5947</v>
      </c>
      <c r="F3850">
        <v>60</v>
      </c>
      <c r="G3850" t="s">
        <v>738</v>
      </c>
      <c r="H3850">
        <v>73</v>
      </c>
      <c r="I3850" t="s">
        <v>5948</v>
      </c>
      <c r="J3850" t="s">
        <v>294</v>
      </c>
      <c r="M3850" t="s">
        <v>295</v>
      </c>
      <c r="N3850" t="s">
        <v>7</v>
      </c>
      <c r="O3850" t="s">
        <v>297</v>
      </c>
    </row>
    <row r="3851" spans="1:15" x14ac:dyDescent="0.3">
      <c r="A3851" t="s">
        <v>5876</v>
      </c>
      <c r="B3851" t="s">
        <v>5877</v>
      </c>
      <c r="C3851">
        <v>2022</v>
      </c>
      <c r="D3851" t="s">
        <v>394</v>
      </c>
      <c r="E3851" t="s">
        <v>5949</v>
      </c>
      <c r="F3851">
        <v>243726</v>
      </c>
      <c r="G3851" t="s">
        <v>396</v>
      </c>
      <c r="H3851">
        <v>13</v>
      </c>
      <c r="I3851" t="s">
        <v>5950</v>
      </c>
      <c r="J3851" t="s">
        <v>294</v>
      </c>
      <c r="M3851" t="s">
        <v>295</v>
      </c>
      <c r="N3851" t="s">
        <v>7</v>
      </c>
      <c r="O3851" t="s">
        <v>297</v>
      </c>
    </row>
    <row r="3852" spans="1:15" x14ac:dyDescent="0.3">
      <c r="A3852" t="s">
        <v>5876</v>
      </c>
      <c r="B3852" t="s">
        <v>5877</v>
      </c>
      <c r="C3852">
        <v>2022</v>
      </c>
      <c r="D3852" t="s">
        <v>394</v>
      </c>
      <c r="E3852" t="s">
        <v>5951</v>
      </c>
      <c r="F3852">
        <v>72118</v>
      </c>
      <c r="G3852" t="s">
        <v>396</v>
      </c>
      <c r="H3852">
        <v>13</v>
      </c>
      <c r="I3852" t="s">
        <v>5952</v>
      </c>
      <c r="J3852" t="s">
        <v>294</v>
      </c>
      <c r="M3852" t="s">
        <v>295</v>
      </c>
      <c r="N3852" t="s">
        <v>7</v>
      </c>
      <c r="O3852" t="s">
        <v>297</v>
      </c>
    </row>
    <row r="3853" spans="1:15" x14ac:dyDescent="0.3">
      <c r="A3853" t="s">
        <v>5876</v>
      </c>
      <c r="B3853" t="s">
        <v>5877</v>
      </c>
      <c r="C3853">
        <v>2022</v>
      </c>
      <c r="D3853" t="s">
        <v>394</v>
      </c>
      <c r="E3853" t="s">
        <v>5953</v>
      </c>
      <c r="F3853">
        <v>12856</v>
      </c>
      <c r="G3853" t="s">
        <v>396</v>
      </c>
      <c r="H3853">
        <v>73</v>
      </c>
      <c r="I3853" t="s">
        <v>5954</v>
      </c>
      <c r="J3853" t="s">
        <v>456</v>
      </c>
      <c r="M3853" t="s">
        <v>295</v>
      </c>
      <c r="N3853" t="s">
        <v>7</v>
      </c>
      <c r="O3853" t="s">
        <v>297</v>
      </c>
    </row>
    <row r="3854" spans="1:15" x14ac:dyDescent="0.3">
      <c r="A3854" t="s">
        <v>5876</v>
      </c>
      <c r="B3854" t="s">
        <v>5877</v>
      </c>
      <c r="C3854">
        <v>2022</v>
      </c>
      <c r="D3854" t="s">
        <v>394</v>
      </c>
      <c r="E3854" t="s">
        <v>5955</v>
      </c>
      <c r="F3854">
        <v>962</v>
      </c>
      <c r="G3854" t="s">
        <v>5345</v>
      </c>
      <c r="H3854">
        <v>73</v>
      </c>
      <c r="I3854" t="s">
        <v>5956</v>
      </c>
      <c r="J3854" t="s">
        <v>294</v>
      </c>
      <c r="M3854" t="s">
        <v>295</v>
      </c>
      <c r="N3854" t="s">
        <v>7</v>
      </c>
      <c r="O3854" t="s">
        <v>297</v>
      </c>
    </row>
    <row r="3855" spans="1:15" x14ac:dyDescent="0.3">
      <c r="A3855" t="s">
        <v>5876</v>
      </c>
      <c r="B3855" t="s">
        <v>5877</v>
      </c>
      <c r="C3855">
        <v>2022</v>
      </c>
      <c r="D3855" t="s">
        <v>394</v>
      </c>
      <c r="E3855" t="s">
        <v>5957</v>
      </c>
      <c r="F3855">
        <v>1007.31</v>
      </c>
      <c r="G3855" t="s">
        <v>302</v>
      </c>
      <c r="H3855">
        <v>73</v>
      </c>
      <c r="I3855" t="s">
        <v>5958</v>
      </c>
      <c r="J3855" t="s">
        <v>294</v>
      </c>
      <c r="M3855" t="s">
        <v>295</v>
      </c>
      <c r="N3855" t="s">
        <v>7</v>
      </c>
      <c r="O3855" t="s">
        <v>297</v>
      </c>
    </row>
    <row r="3856" spans="1:15" x14ac:dyDescent="0.3">
      <c r="A3856" t="s">
        <v>5876</v>
      </c>
      <c r="B3856" t="s">
        <v>5877</v>
      </c>
      <c r="C3856">
        <v>2022</v>
      </c>
      <c r="D3856" t="s">
        <v>394</v>
      </c>
      <c r="E3856" t="s">
        <v>5959</v>
      </c>
      <c r="F3856">
        <v>13420</v>
      </c>
      <c r="G3856" t="s">
        <v>436</v>
      </c>
      <c r="H3856">
        <v>14</v>
      </c>
      <c r="I3856" t="s">
        <v>5960</v>
      </c>
      <c r="J3856" t="s">
        <v>294</v>
      </c>
      <c r="M3856" t="s">
        <v>295</v>
      </c>
      <c r="N3856" t="s">
        <v>7</v>
      </c>
      <c r="O3856" t="s">
        <v>297</v>
      </c>
    </row>
    <row r="3857" spans="1:15" x14ac:dyDescent="0.3">
      <c r="A3857" t="s">
        <v>5876</v>
      </c>
      <c r="B3857" t="s">
        <v>5877</v>
      </c>
      <c r="C3857">
        <v>2022</v>
      </c>
      <c r="D3857" t="s">
        <v>394</v>
      </c>
      <c r="E3857" t="s">
        <v>5961</v>
      </c>
      <c r="F3857">
        <v>12159</v>
      </c>
      <c r="G3857" t="s">
        <v>436</v>
      </c>
      <c r="H3857">
        <v>14</v>
      </c>
      <c r="I3857" t="s">
        <v>5962</v>
      </c>
      <c r="J3857" t="s">
        <v>294</v>
      </c>
      <c r="M3857" t="s">
        <v>295</v>
      </c>
      <c r="N3857" t="s">
        <v>7</v>
      </c>
      <c r="O3857" t="s">
        <v>297</v>
      </c>
    </row>
    <row r="3858" spans="1:15" x14ac:dyDescent="0.3">
      <c r="A3858" t="s">
        <v>5876</v>
      </c>
      <c r="B3858" t="s">
        <v>5877</v>
      </c>
      <c r="C3858">
        <v>2022</v>
      </c>
      <c r="D3858" t="s">
        <v>394</v>
      </c>
      <c r="E3858" t="s">
        <v>5963</v>
      </c>
      <c r="F3858" t="s">
        <v>5964</v>
      </c>
      <c r="G3858" t="s">
        <v>302</v>
      </c>
      <c r="H3858">
        <v>0</v>
      </c>
      <c r="I3858" t="s">
        <v>5965</v>
      </c>
      <c r="J3858" t="s">
        <v>863</v>
      </c>
      <c r="M3858" t="s">
        <v>295</v>
      </c>
      <c r="N3858" t="s">
        <v>7</v>
      </c>
      <c r="O3858" t="s">
        <v>297</v>
      </c>
    </row>
    <row r="3859" spans="1:15" x14ac:dyDescent="0.3">
      <c r="A3859" t="s">
        <v>5876</v>
      </c>
      <c r="B3859" t="s">
        <v>5877</v>
      </c>
      <c r="C3859">
        <v>2022</v>
      </c>
      <c r="D3859" t="s">
        <v>272</v>
      </c>
      <c r="E3859" t="s">
        <v>5966</v>
      </c>
      <c r="F3859" t="s">
        <v>5967</v>
      </c>
      <c r="G3859" t="s">
        <v>292</v>
      </c>
      <c r="H3859">
        <v>0</v>
      </c>
      <c r="I3859" t="s">
        <v>5968</v>
      </c>
      <c r="J3859" t="s">
        <v>294</v>
      </c>
      <c r="M3859" t="s">
        <v>295</v>
      </c>
      <c r="N3859" t="s">
        <v>7</v>
      </c>
      <c r="O3859" t="s">
        <v>297</v>
      </c>
    </row>
    <row r="3860" spans="1:15" x14ac:dyDescent="0.3">
      <c r="A3860" t="s">
        <v>5876</v>
      </c>
      <c r="B3860" t="s">
        <v>5877</v>
      </c>
      <c r="C3860">
        <v>2022</v>
      </c>
      <c r="D3860" t="s">
        <v>272</v>
      </c>
      <c r="E3860" t="s">
        <v>5969</v>
      </c>
      <c r="F3860" t="s">
        <v>5967</v>
      </c>
      <c r="G3860" t="s">
        <v>292</v>
      </c>
      <c r="H3860">
        <v>0</v>
      </c>
      <c r="I3860" t="s">
        <v>5970</v>
      </c>
      <c r="J3860" t="s">
        <v>294</v>
      </c>
      <c r="M3860" t="s">
        <v>295</v>
      </c>
      <c r="N3860" t="s">
        <v>7</v>
      </c>
      <c r="O3860" t="s">
        <v>297</v>
      </c>
    </row>
    <row r="3861" spans="1:15" x14ac:dyDescent="0.3">
      <c r="A3861" t="s">
        <v>5876</v>
      </c>
      <c r="B3861" t="s">
        <v>5971</v>
      </c>
      <c r="C3861">
        <v>2023</v>
      </c>
      <c r="D3861" t="s">
        <v>272</v>
      </c>
      <c r="E3861" t="s">
        <v>291</v>
      </c>
      <c r="F3861" t="s">
        <v>5876</v>
      </c>
      <c r="G3861" t="s">
        <v>292</v>
      </c>
      <c r="H3861">
        <v>3</v>
      </c>
      <c r="I3861" t="s">
        <v>5972</v>
      </c>
      <c r="J3861" t="s">
        <v>294</v>
      </c>
      <c r="M3861" t="s">
        <v>295</v>
      </c>
      <c r="N3861" t="s">
        <v>7</v>
      </c>
      <c r="O3861" t="s">
        <v>297</v>
      </c>
    </row>
    <row r="3862" spans="1:15" x14ac:dyDescent="0.3">
      <c r="A3862" t="s">
        <v>5876</v>
      </c>
      <c r="B3862" t="s">
        <v>5971</v>
      </c>
      <c r="C3862">
        <v>2023</v>
      </c>
      <c r="D3862" t="s">
        <v>272</v>
      </c>
      <c r="E3862" t="s">
        <v>4724</v>
      </c>
      <c r="F3862" t="s">
        <v>5878</v>
      </c>
      <c r="G3862" t="s">
        <v>292</v>
      </c>
      <c r="H3862">
        <v>23</v>
      </c>
      <c r="I3862" t="s">
        <v>5973</v>
      </c>
      <c r="J3862" t="s">
        <v>294</v>
      </c>
      <c r="M3862" t="s">
        <v>295</v>
      </c>
      <c r="N3862" t="s">
        <v>7</v>
      </c>
      <c r="O3862" t="s">
        <v>297</v>
      </c>
    </row>
    <row r="3863" spans="1:15" x14ac:dyDescent="0.3">
      <c r="A3863" t="s">
        <v>5876</v>
      </c>
      <c r="B3863" t="s">
        <v>5971</v>
      </c>
      <c r="C3863">
        <v>2023</v>
      </c>
      <c r="D3863" t="s">
        <v>272</v>
      </c>
      <c r="E3863" t="s">
        <v>5884</v>
      </c>
      <c r="F3863" t="s">
        <v>5974</v>
      </c>
      <c r="G3863" t="s">
        <v>334</v>
      </c>
      <c r="H3863">
        <v>44</v>
      </c>
      <c r="I3863" t="s">
        <v>5975</v>
      </c>
      <c r="J3863" t="s">
        <v>294</v>
      </c>
      <c r="M3863" t="s">
        <v>295</v>
      </c>
      <c r="N3863" t="s">
        <v>7</v>
      </c>
      <c r="O3863" t="s">
        <v>297</v>
      </c>
    </row>
    <row r="3864" spans="1:15" x14ac:dyDescent="0.3">
      <c r="A3864" t="s">
        <v>5876</v>
      </c>
      <c r="B3864" t="s">
        <v>5971</v>
      </c>
      <c r="C3864">
        <v>2023</v>
      </c>
      <c r="D3864" t="s">
        <v>272</v>
      </c>
      <c r="E3864" t="s">
        <v>5887</v>
      </c>
      <c r="F3864" t="s">
        <v>5976</v>
      </c>
      <c r="G3864" t="s">
        <v>334</v>
      </c>
      <c r="H3864">
        <v>44</v>
      </c>
      <c r="I3864" t="s">
        <v>5977</v>
      </c>
      <c r="J3864" t="s">
        <v>294</v>
      </c>
      <c r="M3864" t="s">
        <v>295</v>
      </c>
      <c r="N3864" t="s">
        <v>7</v>
      </c>
      <c r="O3864" t="s">
        <v>297</v>
      </c>
    </row>
    <row r="3865" spans="1:15" x14ac:dyDescent="0.3">
      <c r="A3865" t="s">
        <v>5876</v>
      </c>
      <c r="B3865" t="s">
        <v>5971</v>
      </c>
      <c r="C3865">
        <v>2023</v>
      </c>
      <c r="D3865" t="s">
        <v>272</v>
      </c>
      <c r="E3865" t="s">
        <v>5978</v>
      </c>
      <c r="F3865" t="s">
        <v>5979</v>
      </c>
      <c r="G3865" t="s">
        <v>334</v>
      </c>
      <c r="H3865">
        <v>44</v>
      </c>
      <c r="I3865" t="s">
        <v>5980</v>
      </c>
      <c r="J3865" t="s">
        <v>294</v>
      </c>
      <c r="M3865" t="s">
        <v>295</v>
      </c>
      <c r="N3865" t="s">
        <v>7</v>
      </c>
      <c r="O3865" t="s">
        <v>297</v>
      </c>
    </row>
    <row r="3866" spans="1:15" x14ac:dyDescent="0.3">
      <c r="A3866" t="s">
        <v>5876</v>
      </c>
      <c r="B3866" t="s">
        <v>5971</v>
      </c>
      <c r="C3866">
        <v>2023</v>
      </c>
      <c r="D3866" t="s">
        <v>272</v>
      </c>
      <c r="E3866" t="s">
        <v>445</v>
      </c>
      <c r="F3866">
        <v>6.4299999999999996E-2</v>
      </c>
      <c r="G3866" t="s">
        <v>334</v>
      </c>
      <c r="H3866">
        <v>45</v>
      </c>
      <c r="I3866" t="s">
        <v>5981</v>
      </c>
      <c r="J3866" t="s">
        <v>294</v>
      </c>
      <c r="M3866" t="s">
        <v>295</v>
      </c>
      <c r="N3866" t="s">
        <v>7</v>
      </c>
      <c r="O3866" t="s">
        <v>297</v>
      </c>
    </row>
    <row r="3867" spans="1:15" x14ac:dyDescent="0.3">
      <c r="A3867" t="s">
        <v>5876</v>
      </c>
      <c r="B3867" t="s">
        <v>5971</v>
      </c>
      <c r="C3867">
        <v>2023</v>
      </c>
      <c r="D3867" t="s">
        <v>272</v>
      </c>
      <c r="E3867" t="s">
        <v>4851</v>
      </c>
      <c r="F3867" t="s">
        <v>5982</v>
      </c>
      <c r="G3867" t="s">
        <v>292</v>
      </c>
      <c r="H3867">
        <v>46</v>
      </c>
      <c r="I3867" t="s">
        <v>5983</v>
      </c>
      <c r="J3867" t="s">
        <v>294</v>
      </c>
      <c r="M3867" t="s">
        <v>295</v>
      </c>
      <c r="N3867" t="s">
        <v>7</v>
      </c>
      <c r="O3867" t="s">
        <v>297</v>
      </c>
    </row>
    <row r="3868" spans="1:15" x14ac:dyDescent="0.3">
      <c r="A3868" t="s">
        <v>5876</v>
      </c>
      <c r="B3868" t="s">
        <v>5971</v>
      </c>
      <c r="C3868">
        <v>2023</v>
      </c>
      <c r="D3868" t="s">
        <v>272</v>
      </c>
      <c r="E3868" t="s">
        <v>1203</v>
      </c>
      <c r="F3868" t="s">
        <v>5891</v>
      </c>
      <c r="G3868" t="s">
        <v>292</v>
      </c>
      <c r="H3868">
        <v>3</v>
      </c>
      <c r="I3868" t="s">
        <v>5984</v>
      </c>
      <c r="J3868" t="s">
        <v>294</v>
      </c>
      <c r="M3868" t="s">
        <v>295</v>
      </c>
      <c r="N3868" t="s">
        <v>7</v>
      </c>
      <c r="O3868" t="s">
        <v>297</v>
      </c>
    </row>
    <row r="3869" spans="1:15" x14ac:dyDescent="0.3">
      <c r="A3869" t="s">
        <v>5876</v>
      </c>
      <c r="B3869" t="s">
        <v>5971</v>
      </c>
      <c r="C3869">
        <v>2023</v>
      </c>
      <c r="D3869" t="s">
        <v>272</v>
      </c>
      <c r="E3869" t="s">
        <v>3256</v>
      </c>
      <c r="F3869" t="s">
        <v>5893</v>
      </c>
      <c r="G3869" t="s">
        <v>292</v>
      </c>
      <c r="H3869">
        <v>45</v>
      </c>
      <c r="I3869" t="s">
        <v>5985</v>
      </c>
      <c r="J3869" t="s">
        <v>294</v>
      </c>
      <c r="M3869" t="s">
        <v>295</v>
      </c>
      <c r="N3869" t="s">
        <v>7</v>
      </c>
      <c r="O3869" t="s">
        <v>297</v>
      </c>
    </row>
    <row r="3870" spans="1:15" x14ac:dyDescent="0.3">
      <c r="A3870" t="s">
        <v>5876</v>
      </c>
      <c r="B3870" t="s">
        <v>5971</v>
      </c>
      <c r="C3870">
        <v>2023</v>
      </c>
      <c r="D3870" t="s">
        <v>272</v>
      </c>
      <c r="E3870" t="s">
        <v>3253</v>
      </c>
      <c r="F3870" t="s">
        <v>5895</v>
      </c>
      <c r="G3870" t="s">
        <v>292</v>
      </c>
      <c r="H3870">
        <v>45</v>
      </c>
      <c r="I3870" t="s">
        <v>5986</v>
      </c>
      <c r="J3870" t="s">
        <v>294</v>
      </c>
      <c r="M3870" t="s">
        <v>295</v>
      </c>
      <c r="N3870" t="s">
        <v>7</v>
      </c>
      <c r="O3870" t="s">
        <v>297</v>
      </c>
    </row>
    <row r="3871" spans="1:15" x14ac:dyDescent="0.3">
      <c r="A3871" t="s">
        <v>5876</v>
      </c>
      <c r="B3871" t="s">
        <v>5971</v>
      </c>
      <c r="C3871">
        <v>2023</v>
      </c>
      <c r="D3871" t="s">
        <v>300</v>
      </c>
      <c r="E3871" t="s">
        <v>3629</v>
      </c>
      <c r="F3871">
        <v>868.46</v>
      </c>
      <c r="G3871" t="s">
        <v>302</v>
      </c>
      <c r="H3871">
        <v>3</v>
      </c>
      <c r="I3871" t="s">
        <v>5987</v>
      </c>
      <c r="J3871" t="s">
        <v>294</v>
      </c>
      <c r="M3871" t="s">
        <v>295</v>
      </c>
      <c r="N3871" t="s">
        <v>7</v>
      </c>
      <c r="O3871" t="s">
        <v>297</v>
      </c>
    </row>
    <row r="3872" spans="1:15" x14ac:dyDescent="0.3">
      <c r="A3872" t="s">
        <v>5876</v>
      </c>
      <c r="B3872" t="s">
        <v>5971</v>
      </c>
      <c r="C3872">
        <v>2023</v>
      </c>
      <c r="D3872" t="s">
        <v>300</v>
      </c>
      <c r="E3872" t="s">
        <v>304</v>
      </c>
      <c r="F3872">
        <v>246.07</v>
      </c>
      <c r="G3872" t="s">
        <v>302</v>
      </c>
      <c r="H3872">
        <v>3</v>
      </c>
      <c r="I3872" t="s">
        <v>5988</v>
      </c>
      <c r="J3872" t="s">
        <v>294</v>
      </c>
      <c r="M3872" t="s">
        <v>295</v>
      </c>
      <c r="N3872" t="s">
        <v>7</v>
      </c>
      <c r="O3872" t="s">
        <v>297</v>
      </c>
    </row>
    <row r="3873" spans="1:15" x14ac:dyDescent="0.3">
      <c r="A3873" t="s">
        <v>5876</v>
      </c>
      <c r="B3873" t="s">
        <v>5971</v>
      </c>
      <c r="C3873">
        <v>2023</v>
      </c>
      <c r="D3873" t="s">
        <v>300</v>
      </c>
      <c r="E3873" t="s">
        <v>5214</v>
      </c>
      <c r="F3873">
        <v>191.94</v>
      </c>
      <c r="G3873" t="s">
        <v>302</v>
      </c>
      <c r="H3873">
        <v>3</v>
      </c>
      <c r="I3873" t="s">
        <v>5989</v>
      </c>
      <c r="J3873" t="s">
        <v>294</v>
      </c>
      <c r="M3873" t="s">
        <v>295</v>
      </c>
      <c r="N3873" t="s">
        <v>7</v>
      </c>
      <c r="O3873" t="s">
        <v>297</v>
      </c>
    </row>
    <row r="3874" spans="1:15" x14ac:dyDescent="0.3">
      <c r="A3874" t="s">
        <v>5876</v>
      </c>
      <c r="B3874" t="s">
        <v>5971</v>
      </c>
      <c r="C3874">
        <v>2023</v>
      </c>
      <c r="D3874" t="s">
        <v>300</v>
      </c>
      <c r="E3874" t="s">
        <v>306</v>
      </c>
      <c r="F3874">
        <v>108.06</v>
      </c>
      <c r="G3874" t="s">
        <v>302</v>
      </c>
      <c r="H3874">
        <v>3</v>
      </c>
      <c r="I3874" t="s">
        <v>5990</v>
      </c>
      <c r="J3874" t="s">
        <v>294</v>
      </c>
      <c r="M3874" t="s">
        <v>295</v>
      </c>
      <c r="N3874" t="s">
        <v>7</v>
      </c>
      <c r="O3874" t="s">
        <v>297</v>
      </c>
    </row>
    <row r="3875" spans="1:15" x14ac:dyDescent="0.3">
      <c r="A3875" t="s">
        <v>5876</v>
      </c>
      <c r="B3875" t="s">
        <v>5971</v>
      </c>
      <c r="C3875">
        <v>2023</v>
      </c>
      <c r="D3875" t="s">
        <v>300</v>
      </c>
      <c r="E3875" t="s">
        <v>310</v>
      </c>
      <c r="F3875">
        <v>196.91</v>
      </c>
      <c r="G3875" t="s">
        <v>302</v>
      </c>
      <c r="H3875">
        <v>3</v>
      </c>
      <c r="I3875" t="s">
        <v>5991</v>
      </c>
      <c r="J3875" t="s">
        <v>294</v>
      </c>
      <c r="M3875" t="s">
        <v>295</v>
      </c>
      <c r="N3875" t="s">
        <v>7</v>
      </c>
      <c r="O3875" t="s">
        <v>297</v>
      </c>
    </row>
    <row r="3876" spans="1:15" x14ac:dyDescent="0.3">
      <c r="A3876" t="s">
        <v>5876</v>
      </c>
      <c r="B3876" t="s">
        <v>5971</v>
      </c>
      <c r="C3876">
        <v>2023</v>
      </c>
      <c r="D3876" t="s">
        <v>300</v>
      </c>
      <c r="E3876" t="s">
        <v>345</v>
      </c>
      <c r="F3876">
        <v>18.829999999999998</v>
      </c>
      <c r="G3876" t="s">
        <v>346</v>
      </c>
      <c r="H3876">
        <v>3</v>
      </c>
      <c r="I3876" t="s">
        <v>5992</v>
      </c>
      <c r="J3876" t="s">
        <v>294</v>
      </c>
      <c r="M3876" t="s">
        <v>295</v>
      </c>
      <c r="N3876" t="s">
        <v>7</v>
      </c>
      <c r="O3876" t="s">
        <v>297</v>
      </c>
    </row>
    <row r="3877" spans="1:15" x14ac:dyDescent="0.3">
      <c r="A3877" t="s">
        <v>5876</v>
      </c>
      <c r="B3877" t="s">
        <v>5971</v>
      </c>
      <c r="C3877">
        <v>2023</v>
      </c>
      <c r="D3877" t="s">
        <v>300</v>
      </c>
      <c r="E3877" t="s">
        <v>316</v>
      </c>
      <c r="F3877">
        <v>2591.48</v>
      </c>
      <c r="G3877" t="s">
        <v>302</v>
      </c>
      <c r="H3877">
        <v>3</v>
      </c>
      <c r="I3877" t="s">
        <v>5993</v>
      </c>
      <c r="J3877" t="s">
        <v>294</v>
      </c>
      <c r="M3877" t="s">
        <v>295</v>
      </c>
      <c r="N3877" t="s">
        <v>7</v>
      </c>
      <c r="O3877" t="s">
        <v>297</v>
      </c>
    </row>
    <row r="3878" spans="1:15" x14ac:dyDescent="0.3">
      <c r="A3878" t="s">
        <v>5876</v>
      </c>
      <c r="B3878" t="s">
        <v>5971</v>
      </c>
      <c r="C3878">
        <v>2023</v>
      </c>
      <c r="D3878" t="s">
        <v>300</v>
      </c>
      <c r="E3878" t="s">
        <v>312</v>
      </c>
      <c r="F3878">
        <v>290.91000000000003</v>
      </c>
      <c r="G3878" t="s">
        <v>302</v>
      </c>
      <c r="H3878">
        <v>65</v>
      </c>
      <c r="I3878" t="s">
        <v>5994</v>
      </c>
      <c r="J3878" t="s">
        <v>294</v>
      </c>
      <c r="M3878" t="s">
        <v>295</v>
      </c>
      <c r="N3878" t="s">
        <v>7</v>
      </c>
      <c r="O3878" t="s">
        <v>297</v>
      </c>
    </row>
    <row r="3879" spans="1:15" x14ac:dyDescent="0.3">
      <c r="A3879" t="s">
        <v>5876</v>
      </c>
      <c r="B3879" t="s">
        <v>5971</v>
      </c>
      <c r="C3879">
        <v>2023</v>
      </c>
      <c r="D3879" t="s">
        <v>300</v>
      </c>
      <c r="E3879" t="s">
        <v>314</v>
      </c>
      <c r="F3879">
        <v>2300.56</v>
      </c>
      <c r="G3879" t="s">
        <v>302</v>
      </c>
      <c r="H3879">
        <v>65</v>
      </c>
      <c r="I3879" t="s">
        <v>5995</v>
      </c>
      <c r="J3879" t="s">
        <v>294</v>
      </c>
      <c r="M3879" t="s">
        <v>295</v>
      </c>
      <c r="N3879" t="s">
        <v>7</v>
      </c>
      <c r="O3879" t="s">
        <v>297</v>
      </c>
    </row>
    <row r="3880" spans="1:15" x14ac:dyDescent="0.3">
      <c r="A3880" t="s">
        <v>5876</v>
      </c>
      <c r="B3880" t="s">
        <v>5971</v>
      </c>
      <c r="C3880">
        <v>2023</v>
      </c>
      <c r="D3880" t="s">
        <v>300</v>
      </c>
      <c r="E3880" t="s">
        <v>322</v>
      </c>
      <c r="F3880">
        <v>965.4</v>
      </c>
      <c r="G3880" t="s">
        <v>302</v>
      </c>
      <c r="H3880">
        <v>3</v>
      </c>
      <c r="I3880" t="s">
        <v>5996</v>
      </c>
      <c r="J3880" t="s">
        <v>294</v>
      </c>
      <c r="M3880" t="s">
        <v>295</v>
      </c>
      <c r="N3880" t="s">
        <v>7</v>
      </c>
      <c r="O3880" t="s">
        <v>297</v>
      </c>
    </row>
    <row r="3881" spans="1:15" x14ac:dyDescent="0.3">
      <c r="A3881" t="s">
        <v>5876</v>
      </c>
      <c r="B3881" t="s">
        <v>5971</v>
      </c>
      <c r="C3881">
        <v>2023</v>
      </c>
      <c r="D3881" t="s">
        <v>300</v>
      </c>
      <c r="E3881" t="s">
        <v>318</v>
      </c>
      <c r="F3881">
        <v>161.57</v>
      </c>
      <c r="G3881" t="s">
        <v>302</v>
      </c>
      <c r="H3881">
        <v>65</v>
      </c>
      <c r="I3881" t="s">
        <v>5997</v>
      </c>
      <c r="J3881" t="s">
        <v>294</v>
      </c>
      <c r="M3881" t="s">
        <v>295</v>
      </c>
      <c r="N3881" t="s">
        <v>7</v>
      </c>
      <c r="O3881" t="s">
        <v>297</v>
      </c>
    </row>
    <row r="3882" spans="1:15" x14ac:dyDescent="0.3">
      <c r="A3882" t="s">
        <v>5876</v>
      </c>
      <c r="B3882" t="s">
        <v>5971</v>
      </c>
      <c r="C3882">
        <v>2023</v>
      </c>
      <c r="D3882" t="s">
        <v>300</v>
      </c>
      <c r="E3882" t="s">
        <v>828</v>
      </c>
      <c r="F3882">
        <v>803.83</v>
      </c>
      <c r="G3882" t="s">
        <v>302</v>
      </c>
      <c r="H3882">
        <v>65</v>
      </c>
      <c r="I3882" t="s">
        <v>5998</v>
      </c>
      <c r="J3882" t="s">
        <v>294</v>
      </c>
      <c r="M3882" t="s">
        <v>295</v>
      </c>
      <c r="N3882" t="s">
        <v>7</v>
      </c>
      <c r="O3882" t="s">
        <v>297</v>
      </c>
    </row>
    <row r="3883" spans="1:15" x14ac:dyDescent="0.3">
      <c r="A3883" t="s">
        <v>5876</v>
      </c>
      <c r="B3883" t="s">
        <v>5971</v>
      </c>
      <c r="C3883">
        <v>2023</v>
      </c>
      <c r="D3883" t="s">
        <v>300</v>
      </c>
      <c r="E3883" t="s">
        <v>324</v>
      </c>
      <c r="F3883">
        <v>1626.07</v>
      </c>
      <c r="G3883" t="s">
        <v>302</v>
      </c>
      <c r="H3883">
        <v>3</v>
      </c>
      <c r="I3883" t="s">
        <v>5999</v>
      </c>
      <c r="J3883" t="s">
        <v>294</v>
      </c>
      <c r="M3883" t="s">
        <v>295</v>
      </c>
      <c r="N3883" t="s">
        <v>7</v>
      </c>
      <c r="O3883" t="s">
        <v>297</v>
      </c>
    </row>
    <row r="3884" spans="1:15" x14ac:dyDescent="0.3">
      <c r="A3884" t="s">
        <v>5876</v>
      </c>
      <c r="B3884" t="s">
        <v>5971</v>
      </c>
      <c r="C3884">
        <v>2023</v>
      </c>
      <c r="D3884" t="s">
        <v>300</v>
      </c>
      <c r="E3884" t="s">
        <v>5154</v>
      </c>
      <c r="F3884">
        <v>75.59</v>
      </c>
      <c r="G3884" t="s">
        <v>302</v>
      </c>
      <c r="H3884">
        <v>63</v>
      </c>
      <c r="I3884" t="s">
        <v>6000</v>
      </c>
      <c r="J3884" t="s">
        <v>294</v>
      </c>
      <c r="M3884" t="s">
        <v>295</v>
      </c>
      <c r="N3884" t="s">
        <v>7</v>
      </c>
      <c r="O3884" t="s">
        <v>297</v>
      </c>
    </row>
    <row r="3885" spans="1:15" x14ac:dyDescent="0.3">
      <c r="A3885" t="s">
        <v>5876</v>
      </c>
      <c r="B3885" t="s">
        <v>5971</v>
      </c>
      <c r="C3885">
        <v>2023</v>
      </c>
      <c r="D3885" t="s">
        <v>300</v>
      </c>
      <c r="E3885" t="s">
        <v>5917</v>
      </c>
      <c r="F3885">
        <v>574.61</v>
      </c>
      <c r="G3885" t="s">
        <v>302</v>
      </c>
      <c r="H3885">
        <v>0</v>
      </c>
      <c r="I3885" t="s">
        <v>6001</v>
      </c>
      <c r="J3885" t="s">
        <v>294</v>
      </c>
      <c r="M3885" t="s">
        <v>295</v>
      </c>
      <c r="N3885" t="s">
        <v>7</v>
      </c>
      <c r="O3885" t="s">
        <v>297</v>
      </c>
    </row>
    <row r="3886" spans="1:15" x14ac:dyDescent="0.3">
      <c r="A3886" t="s">
        <v>5876</v>
      </c>
      <c r="B3886" t="s">
        <v>5971</v>
      </c>
      <c r="C3886">
        <v>2023</v>
      </c>
      <c r="D3886" t="s">
        <v>300</v>
      </c>
      <c r="E3886" t="s">
        <v>5919</v>
      </c>
      <c r="F3886">
        <v>569.84</v>
      </c>
      <c r="G3886" t="s">
        <v>302</v>
      </c>
      <c r="H3886">
        <v>0</v>
      </c>
      <c r="I3886" t="s">
        <v>6002</v>
      </c>
      <c r="J3886" t="s">
        <v>294</v>
      </c>
      <c r="M3886" t="s">
        <v>295</v>
      </c>
      <c r="N3886" t="s">
        <v>7</v>
      </c>
      <c r="O3886" t="s">
        <v>297</v>
      </c>
    </row>
    <row r="3887" spans="1:15" x14ac:dyDescent="0.3">
      <c r="A3887" t="s">
        <v>5876</v>
      </c>
      <c r="B3887" t="s">
        <v>5971</v>
      </c>
      <c r="C3887">
        <v>2023</v>
      </c>
      <c r="D3887" t="s">
        <v>300</v>
      </c>
      <c r="E3887" t="s">
        <v>5921</v>
      </c>
      <c r="F3887">
        <v>81.92</v>
      </c>
      <c r="G3887" t="s">
        <v>302</v>
      </c>
      <c r="H3887">
        <v>0</v>
      </c>
      <c r="I3887" t="s">
        <v>6003</v>
      </c>
      <c r="J3887" t="s">
        <v>294</v>
      </c>
      <c r="M3887" t="s">
        <v>295</v>
      </c>
      <c r="N3887" t="s">
        <v>7</v>
      </c>
      <c r="O3887" t="s">
        <v>297</v>
      </c>
    </row>
    <row r="3888" spans="1:15" x14ac:dyDescent="0.3">
      <c r="A3888" t="s">
        <v>5876</v>
      </c>
      <c r="B3888" t="s">
        <v>5971</v>
      </c>
      <c r="C3888">
        <v>2023</v>
      </c>
      <c r="D3888" t="s">
        <v>300</v>
      </c>
      <c r="E3888" t="s">
        <v>5923</v>
      </c>
      <c r="F3888">
        <v>487.92</v>
      </c>
      <c r="G3888" t="s">
        <v>302</v>
      </c>
      <c r="H3888">
        <v>0</v>
      </c>
      <c r="I3888" t="s">
        <v>6004</v>
      </c>
      <c r="J3888" t="s">
        <v>294</v>
      </c>
      <c r="M3888" t="s">
        <v>295</v>
      </c>
      <c r="N3888" t="s">
        <v>7</v>
      </c>
      <c r="O3888" t="s">
        <v>297</v>
      </c>
    </row>
    <row r="3889" spans="1:15" x14ac:dyDescent="0.3">
      <c r="A3889" t="s">
        <v>5876</v>
      </c>
      <c r="B3889" t="s">
        <v>5971</v>
      </c>
      <c r="C3889">
        <v>2023</v>
      </c>
      <c r="D3889" t="s">
        <v>300</v>
      </c>
      <c r="E3889" t="s">
        <v>693</v>
      </c>
      <c r="F3889">
        <v>46.65</v>
      </c>
      <c r="G3889" t="s">
        <v>302</v>
      </c>
      <c r="H3889">
        <v>0</v>
      </c>
      <c r="I3889" t="s">
        <v>6005</v>
      </c>
      <c r="J3889" t="s">
        <v>294</v>
      </c>
      <c r="M3889" t="s">
        <v>295</v>
      </c>
      <c r="N3889" t="s">
        <v>7</v>
      </c>
      <c r="O3889" t="s">
        <v>297</v>
      </c>
    </row>
    <row r="3890" spans="1:15" x14ac:dyDescent="0.3">
      <c r="A3890" t="s">
        <v>5876</v>
      </c>
      <c r="B3890" t="s">
        <v>5971</v>
      </c>
      <c r="C3890">
        <v>2023</v>
      </c>
      <c r="D3890" t="s">
        <v>300</v>
      </c>
      <c r="E3890" t="s">
        <v>3171</v>
      </c>
      <c r="F3890">
        <v>355.18</v>
      </c>
      <c r="G3890" t="s">
        <v>302</v>
      </c>
      <c r="H3890">
        <v>0</v>
      </c>
      <c r="I3890" t="s">
        <v>6006</v>
      </c>
      <c r="J3890" t="s">
        <v>294</v>
      </c>
      <c r="M3890" t="s">
        <v>295</v>
      </c>
      <c r="N3890" t="s">
        <v>7</v>
      </c>
      <c r="O3890" t="s">
        <v>297</v>
      </c>
    </row>
    <row r="3891" spans="1:15" x14ac:dyDescent="0.3">
      <c r="A3891" t="s">
        <v>5876</v>
      </c>
      <c r="B3891" t="s">
        <v>5971</v>
      </c>
      <c r="C3891">
        <v>2023</v>
      </c>
      <c r="D3891" t="s">
        <v>300</v>
      </c>
      <c r="E3891" t="s">
        <v>603</v>
      </c>
      <c r="F3891">
        <v>-344.99</v>
      </c>
      <c r="G3891" t="s">
        <v>302</v>
      </c>
      <c r="H3891">
        <v>0</v>
      </c>
      <c r="I3891" t="s">
        <v>6007</v>
      </c>
      <c r="J3891" t="s">
        <v>294</v>
      </c>
      <c r="M3891" t="s">
        <v>295</v>
      </c>
      <c r="N3891" t="s">
        <v>7</v>
      </c>
      <c r="O3891" t="s">
        <v>297</v>
      </c>
    </row>
    <row r="3892" spans="1:15" x14ac:dyDescent="0.3">
      <c r="A3892" t="s">
        <v>5876</v>
      </c>
      <c r="B3892" t="s">
        <v>5971</v>
      </c>
      <c r="C3892">
        <v>2023</v>
      </c>
      <c r="D3892" t="s">
        <v>300</v>
      </c>
      <c r="E3892" t="s">
        <v>5927</v>
      </c>
      <c r="F3892">
        <v>207.02</v>
      </c>
      <c r="G3892" t="s">
        <v>302</v>
      </c>
      <c r="H3892">
        <v>0</v>
      </c>
      <c r="I3892" t="s">
        <v>6008</v>
      </c>
      <c r="J3892" t="s">
        <v>294</v>
      </c>
      <c r="M3892" t="s">
        <v>295</v>
      </c>
      <c r="N3892" t="s">
        <v>7</v>
      </c>
      <c r="O3892" t="s">
        <v>297</v>
      </c>
    </row>
    <row r="3893" spans="1:15" x14ac:dyDescent="0.3">
      <c r="A3893" t="s">
        <v>5876</v>
      </c>
      <c r="B3893" t="s">
        <v>5971</v>
      </c>
      <c r="C3893">
        <v>2023</v>
      </c>
      <c r="D3893" t="s">
        <v>300</v>
      </c>
      <c r="E3893" t="s">
        <v>5929</v>
      </c>
      <c r="F3893">
        <v>146.36000000000001</v>
      </c>
      <c r="G3893" t="s">
        <v>302</v>
      </c>
      <c r="H3893">
        <v>0</v>
      </c>
      <c r="I3893" t="s">
        <v>6009</v>
      </c>
      <c r="J3893" t="s">
        <v>294</v>
      </c>
      <c r="M3893" t="s">
        <v>295</v>
      </c>
      <c r="N3893" t="s">
        <v>7</v>
      </c>
      <c r="O3893" t="s">
        <v>297</v>
      </c>
    </row>
    <row r="3894" spans="1:15" x14ac:dyDescent="0.3">
      <c r="A3894" t="s">
        <v>5876</v>
      </c>
      <c r="B3894" t="s">
        <v>5971</v>
      </c>
      <c r="C3894">
        <v>2023</v>
      </c>
      <c r="D3894" t="s">
        <v>300</v>
      </c>
      <c r="E3894" t="s">
        <v>6010</v>
      </c>
      <c r="F3894">
        <v>353.38</v>
      </c>
      <c r="G3894" t="s">
        <v>302</v>
      </c>
      <c r="H3894">
        <v>0</v>
      </c>
      <c r="I3894" t="s">
        <v>6011</v>
      </c>
      <c r="J3894" t="s">
        <v>294</v>
      </c>
      <c r="M3894" t="s">
        <v>295</v>
      </c>
      <c r="N3894" t="s">
        <v>7</v>
      </c>
      <c r="O3894" t="s">
        <v>297</v>
      </c>
    </row>
    <row r="3895" spans="1:15" x14ac:dyDescent="0.3">
      <c r="A3895" t="s">
        <v>5876</v>
      </c>
      <c r="B3895" t="s">
        <v>5971</v>
      </c>
      <c r="C3895">
        <v>2023</v>
      </c>
      <c r="D3895" t="s">
        <v>300</v>
      </c>
      <c r="E3895" t="s">
        <v>6012</v>
      </c>
      <c r="F3895">
        <v>50.95</v>
      </c>
      <c r="G3895" t="s">
        <v>302</v>
      </c>
      <c r="H3895">
        <v>0</v>
      </c>
      <c r="I3895" t="s">
        <v>6013</v>
      </c>
      <c r="J3895" t="s">
        <v>294</v>
      </c>
      <c r="M3895" t="s">
        <v>295</v>
      </c>
      <c r="N3895" t="s">
        <v>7</v>
      </c>
      <c r="O3895" t="s">
        <v>297</v>
      </c>
    </row>
    <row r="3896" spans="1:15" x14ac:dyDescent="0.3">
      <c r="A3896" t="s">
        <v>5876</v>
      </c>
      <c r="B3896" t="s">
        <v>5971</v>
      </c>
      <c r="C3896">
        <v>2023</v>
      </c>
      <c r="D3896" t="s">
        <v>300</v>
      </c>
      <c r="E3896" t="s">
        <v>342</v>
      </c>
      <c r="F3896">
        <v>5737.85</v>
      </c>
      <c r="G3896" t="s">
        <v>497</v>
      </c>
      <c r="H3896">
        <v>9</v>
      </c>
      <c r="I3896" t="s">
        <v>6014</v>
      </c>
      <c r="J3896" t="s">
        <v>294</v>
      </c>
      <c r="M3896" t="s">
        <v>295</v>
      </c>
      <c r="N3896" t="s">
        <v>7</v>
      </c>
      <c r="O3896" t="s">
        <v>297</v>
      </c>
    </row>
    <row r="3897" spans="1:15" x14ac:dyDescent="0.3">
      <c r="A3897" t="s">
        <v>5876</v>
      </c>
      <c r="B3897" t="s">
        <v>5971</v>
      </c>
      <c r="C3897">
        <v>2023</v>
      </c>
      <c r="D3897" t="s">
        <v>300</v>
      </c>
      <c r="E3897" t="s">
        <v>785</v>
      </c>
      <c r="F3897">
        <v>424</v>
      </c>
      <c r="G3897" t="s">
        <v>346</v>
      </c>
      <c r="H3897">
        <v>0</v>
      </c>
      <c r="I3897" t="s">
        <v>6015</v>
      </c>
      <c r="J3897" t="s">
        <v>456</v>
      </c>
      <c r="M3897" t="s">
        <v>295</v>
      </c>
      <c r="N3897" t="s">
        <v>7</v>
      </c>
      <c r="O3897" t="s">
        <v>297</v>
      </c>
    </row>
    <row r="3898" spans="1:15" x14ac:dyDescent="0.3">
      <c r="A3898" t="s">
        <v>5876</v>
      </c>
      <c r="B3898" t="s">
        <v>5971</v>
      </c>
      <c r="C3898">
        <v>2023</v>
      </c>
      <c r="D3898" t="s">
        <v>300</v>
      </c>
      <c r="E3898" t="s">
        <v>326</v>
      </c>
      <c r="F3898">
        <v>1.8</v>
      </c>
      <c r="G3898" t="s">
        <v>327</v>
      </c>
      <c r="H3898">
        <v>3</v>
      </c>
      <c r="I3898" t="s">
        <v>6016</v>
      </c>
      <c r="J3898" t="s">
        <v>294</v>
      </c>
      <c r="M3898" t="s">
        <v>295</v>
      </c>
      <c r="N3898" t="s">
        <v>7</v>
      </c>
      <c r="O3898" t="s">
        <v>297</v>
      </c>
    </row>
    <row r="3899" spans="1:15" x14ac:dyDescent="0.3">
      <c r="A3899" t="s">
        <v>5876</v>
      </c>
      <c r="B3899" t="s">
        <v>5971</v>
      </c>
      <c r="C3899">
        <v>2023</v>
      </c>
      <c r="D3899" t="s">
        <v>300</v>
      </c>
      <c r="E3899" t="s">
        <v>728</v>
      </c>
      <c r="F3899">
        <v>0.59</v>
      </c>
      <c r="G3899" t="s">
        <v>327</v>
      </c>
      <c r="H3899">
        <v>3</v>
      </c>
      <c r="I3899" t="s">
        <v>6017</v>
      </c>
      <c r="J3899" t="s">
        <v>294</v>
      </c>
      <c r="M3899" t="s">
        <v>295</v>
      </c>
      <c r="N3899" t="s">
        <v>7</v>
      </c>
      <c r="O3899" t="s">
        <v>297</v>
      </c>
    </row>
    <row r="3900" spans="1:15" x14ac:dyDescent="0.3">
      <c r="A3900" t="s">
        <v>5876</v>
      </c>
      <c r="B3900" t="s">
        <v>5971</v>
      </c>
      <c r="C3900">
        <v>2023</v>
      </c>
      <c r="D3900" t="s">
        <v>300</v>
      </c>
      <c r="E3900" t="s">
        <v>3672</v>
      </c>
      <c r="F3900">
        <v>0</v>
      </c>
      <c r="G3900" t="s">
        <v>912</v>
      </c>
      <c r="H3900">
        <v>72</v>
      </c>
      <c r="I3900" t="s">
        <v>6018</v>
      </c>
      <c r="J3900" t="s">
        <v>294</v>
      </c>
      <c r="M3900" t="s">
        <v>295</v>
      </c>
      <c r="N3900" t="s">
        <v>7</v>
      </c>
      <c r="O3900" t="s">
        <v>297</v>
      </c>
    </row>
    <row r="3901" spans="1:15" x14ac:dyDescent="0.3">
      <c r="A3901" t="s">
        <v>5876</v>
      </c>
      <c r="B3901" t="s">
        <v>5971</v>
      </c>
      <c r="C3901">
        <v>2023</v>
      </c>
      <c r="D3901" t="s">
        <v>358</v>
      </c>
      <c r="E3901" t="s">
        <v>504</v>
      </c>
      <c r="F3901">
        <v>20267</v>
      </c>
      <c r="G3901" t="s">
        <v>360</v>
      </c>
      <c r="H3901">
        <v>0</v>
      </c>
      <c r="I3901" t="s">
        <v>6019</v>
      </c>
      <c r="J3901" t="s">
        <v>456</v>
      </c>
      <c r="M3901" t="s">
        <v>295</v>
      </c>
      <c r="N3901" t="s">
        <v>7</v>
      </c>
      <c r="O3901" t="s">
        <v>297</v>
      </c>
    </row>
    <row r="3902" spans="1:15" x14ac:dyDescent="0.3">
      <c r="A3902" t="s">
        <v>5876</v>
      </c>
      <c r="B3902" t="s">
        <v>5971</v>
      </c>
      <c r="C3902">
        <v>2023</v>
      </c>
      <c r="D3902" t="s">
        <v>358</v>
      </c>
      <c r="E3902" t="s">
        <v>508</v>
      </c>
      <c r="F3902">
        <v>19417</v>
      </c>
      <c r="G3902" t="s">
        <v>360</v>
      </c>
      <c r="H3902">
        <v>0</v>
      </c>
      <c r="I3902" t="s">
        <v>6020</v>
      </c>
      <c r="J3902" t="s">
        <v>456</v>
      </c>
      <c r="M3902" t="s">
        <v>295</v>
      </c>
      <c r="N3902" t="s">
        <v>7</v>
      </c>
      <c r="O3902" t="s">
        <v>297</v>
      </c>
    </row>
    <row r="3903" spans="1:15" x14ac:dyDescent="0.3">
      <c r="A3903" t="s">
        <v>5876</v>
      </c>
      <c r="B3903" t="s">
        <v>5971</v>
      </c>
      <c r="C3903">
        <v>2023</v>
      </c>
      <c r="D3903" t="s">
        <v>358</v>
      </c>
      <c r="E3903" t="s">
        <v>523</v>
      </c>
      <c r="F3903">
        <v>1</v>
      </c>
      <c r="G3903" t="s">
        <v>384</v>
      </c>
      <c r="H3903">
        <v>60</v>
      </c>
      <c r="I3903" t="s">
        <v>6021</v>
      </c>
      <c r="J3903" t="s">
        <v>294</v>
      </c>
      <c r="M3903" t="s">
        <v>295</v>
      </c>
      <c r="N3903" t="s">
        <v>7</v>
      </c>
      <c r="O3903" t="s">
        <v>297</v>
      </c>
    </row>
    <row r="3904" spans="1:15" x14ac:dyDescent="0.3">
      <c r="A3904" t="s">
        <v>5876</v>
      </c>
      <c r="B3904" t="s">
        <v>5971</v>
      </c>
      <c r="C3904">
        <v>2023</v>
      </c>
      <c r="D3904" t="s">
        <v>358</v>
      </c>
      <c r="E3904" t="s">
        <v>797</v>
      </c>
      <c r="F3904">
        <v>90</v>
      </c>
      <c r="G3904" t="s">
        <v>738</v>
      </c>
      <c r="H3904">
        <v>60</v>
      </c>
      <c r="I3904" t="s">
        <v>6022</v>
      </c>
      <c r="J3904" t="s">
        <v>294</v>
      </c>
      <c r="M3904" t="s">
        <v>295</v>
      </c>
      <c r="N3904" t="s">
        <v>7</v>
      </c>
      <c r="O3904" t="s">
        <v>297</v>
      </c>
    </row>
    <row r="3905" spans="1:15" x14ac:dyDescent="0.3">
      <c r="A3905" t="s">
        <v>5876</v>
      </c>
      <c r="B3905" t="s">
        <v>5971</v>
      </c>
      <c r="C3905">
        <v>2023</v>
      </c>
      <c r="D3905" t="s">
        <v>394</v>
      </c>
      <c r="E3905" t="s">
        <v>6023</v>
      </c>
      <c r="F3905">
        <v>71957</v>
      </c>
      <c r="G3905" t="s">
        <v>396</v>
      </c>
      <c r="H3905">
        <v>61</v>
      </c>
      <c r="I3905" t="s">
        <v>6024</v>
      </c>
      <c r="J3905" t="s">
        <v>294</v>
      </c>
      <c r="M3905" t="s">
        <v>295</v>
      </c>
      <c r="N3905" t="s">
        <v>7</v>
      </c>
      <c r="O3905" t="s">
        <v>297</v>
      </c>
    </row>
    <row r="3906" spans="1:15" x14ac:dyDescent="0.3">
      <c r="A3906" t="s">
        <v>5876</v>
      </c>
      <c r="B3906" t="s">
        <v>5971</v>
      </c>
      <c r="C3906">
        <v>2023</v>
      </c>
      <c r="D3906" t="s">
        <v>394</v>
      </c>
      <c r="E3906" t="s">
        <v>6025</v>
      </c>
      <c r="F3906">
        <v>13998</v>
      </c>
      <c r="G3906" t="s">
        <v>396</v>
      </c>
      <c r="H3906">
        <v>61</v>
      </c>
      <c r="I3906" t="s">
        <v>6026</v>
      </c>
      <c r="J3906" t="s">
        <v>294</v>
      </c>
      <c r="M3906" t="s">
        <v>295</v>
      </c>
      <c r="N3906" t="s">
        <v>7</v>
      </c>
      <c r="O3906" t="s">
        <v>297</v>
      </c>
    </row>
    <row r="3907" spans="1:15" x14ac:dyDescent="0.3">
      <c r="A3907" t="s">
        <v>5876</v>
      </c>
      <c r="B3907" t="s">
        <v>5971</v>
      </c>
      <c r="C3907">
        <v>2023</v>
      </c>
      <c r="D3907" t="s">
        <v>394</v>
      </c>
      <c r="E3907" t="s">
        <v>5955</v>
      </c>
      <c r="F3907">
        <v>1055</v>
      </c>
      <c r="G3907" t="s">
        <v>5345</v>
      </c>
      <c r="H3907">
        <v>59</v>
      </c>
      <c r="I3907" t="s">
        <v>6027</v>
      </c>
      <c r="J3907" t="s">
        <v>294</v>
      </c>
      <c r="M3907" t="s">
        <v>295</v>
      </c>
      <c r="N3907" t="s">
        <v>7</v>
      </c>
      <c r="O3907" t="s">
        <v>297</v>
      </c>
    </row>
    <row r="3908" spans="1:15" x14ac:dyDescent="0.3">
      <c r="A3908" t="s">
        <v>5876</v>
      </c>
      <c r="B3908" t="s">
        <v>5971</v>
      </c>
      <c r="C3908">
        <v>2023</v>
      </c>
      <c r="D3908" t="s">
        <v>394</v>
      </c>
      <c r="E3908" t="s">
        <v>6028</v>
      </c>
      <c r="F3908">
        <v>868.46</v>
      </c>
      <c r="G3908" t="s">
        <v>302</v>
      </c>
      <c r="H3908">
        <v>59</v>
      </c>
      <c r="I3908" t="s">
        <v>6029</v>
      </c>
      <c r="J3908" t="s">
        <v>294</v>
      </c>
      <c r="M3908" t="s">
        <v>295</v>
      </c>
      <c r="N3908" t="s">
        <v>7</v>
      </c>
      <c r="O3908" t="s">
        <v>297</v>
      </c>
    </row>
    <row r="3909" spans="1:15" x14ac:dyDescent="0.3">
      <c r="A3909" t="s">
        <v>5876</v>
      </c>
      <c r="B3909" t="s">
        <v>5971</v>
      </c>
      <c r="C3909">
        <v>2023</v>
      </c>
      <c r="D3909" t="s">
        <v>394</v>
      </c>
      <c r="E3909" t="s">
        <v>6030</v>
      </c>
      <c r="F3909">
        <v>191.94</v>
      </c>
      <c r="G3909" t="s">
        <v>302</v>
      </c>
      <c r="H3909">
        <v>59</v>
      </c>
      <c r="I3909" t="s">
        <v>6031</v>
      </c>
      <c r="J3909" t="s">
        <v>294</v>
      </c>
      <c r="M3909" t="s">
        <v>295</v>
      </c>
      <c r="N3909" t="s">
        <v>7</v>
      </c>
      <c r="O3909" t="s">
        <v>297</v>
      </c>
    </row>
    <row r="3910" spans="1:15" x14ac:dyDescent="0.3">
      <c r="A3910" t="s">
        <v>5876</v>
      </c>
      <c r="B3910" t="s">
        <v>5971</v>
      </c>
      <c r="C3910">
        <v>2023</v>
      </c>
      <c r="D3910" t="s">
        <v>394</v>
      </c>
      <c r="E3910" t="s">
        <v>6032</v>
      </c>
      <c r="F3910">
        <v>0.84130000000000005</v>
      </c>
      <c r="G3910" t="s">
        <v>334</v>
      </c>
      <c r="H3910">
        <v>61</v>
      </c>
      <c r="I3910" t="s">
        <v>6033</v>
      </c>
      <c r="J3910" t="s">
        <v>294</v>
      </c>
      <c r="M3910" t="s">
        <v>295</v>
      </c>
      <c r="N3910" t="s">
        <v>7</v>
      </c>
      <c r="O3910" t="s">
        <v>297</v>
      </c>
    </row>
    <row r="3911" spans="1:15" x14ac:dyDescent="0.3">
      <c r="A3911" t="s">
        <v>5876</v>
      </c>
      <c r="B3911" t="s">
        <v>5971</v>
      </c>
      <c r="C3911">
        <v>2023</v>
      </c>
      <c r="D3911" t="s">
        <v>394</v>
      </c>
      <c r="E3911" t="s">
        <v>6034</v>
      </c>
      <c r="F3911">
        <v>1205.28</v>
      </c>
      <c r="G3911" t="s">
        <v>302</v>
      </c>
      <c r="H3911">
        <v>69</v>
      </c>
      <c r="I3911" t="s">
        <v>6035</v>
      </c>
      <c r="J3911" t="s">
        <v>294</v>
      </c>
      <c r="M3911" t="s">
        <v>295</v>
      </c>
      <c r="N3911" t="s">
        <v>7</v>
      </c>
      <c r="O3911" t="s">
        <v>297</v>
      </c>
    </row>
    <row r="3912" spans="1:15" x14ac:dyDescent="0.3">
      <c r="A3912" t="s">
        <v>5876</v>
      </c>
      <c r="B3912" t="s">
        <v>5971</v>
      </c>
      <c r="C3912">
        <v>2023</v>
      </c>
      <c r="D3912" t="s">
        <v>563</v>
      </c>
      <c r="E3912" t="s">
        <v>750</v>
      </c>
      <c r="F3912" t="s">
        <v>6036</v>
      </c>
      <c r="G3912" t="s">
        <v>292</v>
      </c>
      <c r="H3912">
        <v>56</v>
      </c>
      <c r="I3912" t="s">
        <v>6037</v>
      </c>
      <c r="J3912" t="s">
        <v>294</v>
      </c>
      <c r="M3912" t="s">
        <v>295</v>
      </c>
      <c r="N3912" t="s">
        <v>7</v>
      </c>
      <c r="O3912" t="s">
        <v>297</v>
      </c>
    </row>
    <row r="3913" spans="1:15" x14ac:dyDescent="0.3">
      <c r="A3913" t="s">
        <v>5876</v>
      </c>
      <c r="B3913" t="s">
        <v>5971</v>
      </c>
      <c r="C3913">
        <v>2023</v>
      </c>
      <c r="D3913" t="s">
        <v>563</v>
      </c>
      <c r="E3913" t="s">
        <v>6038</v>
      </c>
      <c r="F3913" t="s">
        <v>6039</v>
      </c>
      <c r="G3913" t="s">
        <v>292</v>
      </c>
      <c r="H3913">
        <v>56</v>
      </c>
      <c r="I3913" t="s">
        <v>6040</v>
      </c>
      <c r="J3913" t="s">
        <v>294</v>
      </c>
      <c r="M3913" t="s">
        <v>295</v>
      </c>
      <c r="N3913" t="s">
        <v>7</v>
      </c>
      <c r="O3913" t="s">
        <v>297</v>
      </c>
    </row>
    <row r="3914" spans="1:15" x14ac:dyDescent="0.3">
      <c r="A3914" t="s">
        <v>5876</v>
      </c>
      <c r="B3914" t="s">
        <v>5971</v>
      </c>
      <c r="C3914">
        <v>2023</v>
      </c>
      <c r="D3914" t="s">
        <v>272</v>
      </c>
      <c r="E3914" t="s">
        <v>6041</v>
      </c>
      <c r="F3914" t="s">
        <v>6042</v>
      </c>
      <c r="G3914" t="s">
        <v>292</v>
      </c>
      <c r="H3914">
        <v>73</v>
      </c>
      <c r="I3914" t="s">
        <v>6043</v>
      </c>
      <c r="J3914" t="s">
        <v>294</v>
      </c>
      <c r="M3914" t="s">
        <v>295</v>
      </c>
      <c r="N3914" t="s">
        <v>7</v>
      </c>
      <c r="O3914" t="s">
        <v>297</v>
      </c>
    </row>
    <row r="3915" spans="1:15" x14ac:dyDescent="0.3">
      <c r="A3915" t="s">
        <v>5876</v>
      </c>
      <c r="B3915" t="s">
        <v>5971</v>
      </c>
      <c r="C3915">
        <v>2023</v>
      </c>
      <c r="D3915" t="s">
        <v>272</v>
      </c>
      <c r="E3915" t="s">
        <v>6044</v>
      </c>
      <c r="F3915" t="s">
        <v>6045</v>
      </c>
      <c r="G3915" t="s">
        <v>292</v>
      </c>
      <c r="H3915">
        <v>12</v>
      </c>
      <c r="I3915" t="s">
        <v>6046</v>
      </c>
      <c r="J3915" t="s">
        <v>294</v>
      </c>
      <c r="M3915" t="s">
        <v>295</v>
      </c>
      <c r="N3915" t="s">
        <v>7</v>
      </c>
      <c r="O3915" t="s">
        <v>297</v>
      </c>
    </row>
    <row r="3916" spans="1:15" x14ac:dyDescent="0.3">
      <c r="A3916" t="s">
        <v>5876</v>
      </c>
      <c r="B3916" t="s">
        <v>6047</v>
      </c>
      <c r="C3916">
        <v>2024</v>
      </c>
      <c r="D3916" t="s">
        <v>272</v>
      </c>
      <c r="E3916" t="s">
        <v>291</v>
      </c>
      <c r="F3916" t="s">
        <v>5876</v>
      </c>
      <c r="G3916" t="s">
        <v>292</v>
      </c>
      <c r="H3916">
        <v>1</v>
      </c>
      <c r="I3916" t="s">
        <v>6048</v>
      </c>
      <c r="J3916" t="s">
        <v>294</v>
      </c>
      <c r="M3916" t="s">
        <v>295</v>
      </c>
      <c r="N3916" t="s">
        <v>7</v>
      </c>
      <c r="O3916" t="s">
        <v>297</v>
      </c>
    </row>
    <row r="3917" spans="1:15" x14ac:dyDescent="0.3">
      <c r="A3917" t="s">
        <v>5876</v>
      </c>
      <c r="B3917" t="s">
        <v>6047</v>
      </c>
      <c r="C3917">
        <v>2024</v>
      </c>
      <c r="D3917" t="s">
        <v>272</v>
      </c>
      <c r="E3917" t="s">
        <v>4724</v>
      </c>
      <c r="F3917" t="s">
        <v>5878</v>
      </c>
      <c r="G3917" t="s">
        <v>292</v>
      </c>
      <c r="H3917">
        <v>14</v>
      </c>
      <c r="I3917" t="s">
        <v>5973</v>
      </c>
      <c r="J3917" t="s">
        <v>294</v>
      </c>
      <c r="M3917" t="s">
        <v>295</v>
      </c>
      <c r="N3917" t="s">
        <v>7</v>
      </c>
      <c r="O3917" t="s">
        <v>297</v>
      </c>
    </row>
    <row r="3918" spans="1:15" x14ac:dyDescent="0.3">
      <c r="A3918" t="s">
        <v>5876</v>
      </c>
      <c r="B3918" t="s">
        <v>6047</v>
      </c>
      <c r="C3918">
        <v>2024</v>
      </c>
      <c r="D3918" t="s">
        <v>272</v>
      </c>
      <c r="E3918" t="s">
        <v>6049</v>
      </c>
      <c r="F3918">
        <v>1995</v>
      </c>
      <c r="G3918" t="s">
        <v>299</v>
      </c>
      <c r="H3918">
        <v>14</v>
      </c>
      <c r="I3918" t="s">
        <v>6050</v>
      </c>
      <c r="J3918" t="s">
        <v>294</v>
      </c>
      <c r="M3918" t="s">
        <v>295</v>
      </c>
      <c r="N3918" t="s">
        <v>7</v>
      </c>
      <c r="O3918" t="s">
        <v>297</v>
      </c>
    </row>
    <row r="3919" spans="1:15" x14ac:dyDescent="0.3">
      <c r="A3919" t="s">
        <v>5876</v>
      </c>
      <c r="B3919" t="s">
        <v>6047</v>
      </c>
      <c r="C3919">
        <v>2024</v>
      </c>
      <c r="D3919" t="s">
        <v>272</v>
      </c>
      <c r="E3919" t="s">
        <v>851</v>
      </c>
      <c r="F3919">
        <v>41562.25</v>
      </c>
      <c r="G3919" t="s">
        <v>360</v>
      </c>
      <c r="H3919">
        <v>127</v>
      </c>
      <c r="I3919" t="s">
        <v>6051</v>
      </c>
      <c r="J3919" t="s">
        <v>294</v>
      </c>
      <c r="M3919" t="s">
        <v>295</v>
      </c>
      <c r="N3919" t="s">
        <v>7</v>
      </c>
      <c r="O3919" t="s">
        <v>297</v>
      </c>
    </row>
    <row r="3920" spans="1:15" x14ac:dyDescent="0.3">
      <c r="A3920" t="s">
        <v>5876</v>
      </c>
      <c r="B3920" t="s">
        <v>6047</v>
      </c>
      <c r="C3920">
        <v>2024</v>
      </c>
      <c r="D3920" t="s">
        <v>272</v>
      </c>
      <c r="E3920" t="s">
        <v>5884</v>
      </c>
      <c r="F3920" t="s">
        <v>5974</v>
      </c>
      <c r="G3920" t="s">
        <v>334</v>
      </c>
      <c r="H3920">
        <v>35</v>
      </c>
      <c r="I3920" t="s">
        <v>6052</v>
      </c>
      <c r="J3920" t="s">
        <v>294</v>
      </c>
      <c r="M3920" t="s">
        <v>295</v>
      </c>
      <c r="N3920" t="s">
        <v>7</v>
      </c>
      <c r="O3920" t="s">
        <v>297</v>
      </c>
    </row>
    <row r="3921" spans="1:15" x14ac:dyDescent="0.3">
      <c r="A3921" t="s">
        <v>5876</v>
      </c>
      <c r="B3921" t="s">
        <v>6047</v>
      </c>
      <c r="C3921">
        <v>2024</v>
      </c>
      <c r="D3921" t="s">
        <v>272</v>
      </c>
      <c r="E3921" t="s">
        <v>5887</v>
      </c>
      <c r="F3921" t="s">
        <v>5976</v>
      </c>
      <c r="G3921" t="s">
        <v>334</v>
      </c>
      <c r="H3921">
        <v>35</v>
      </c>
      <c r="I3921" t="s">
        <v>6053</v>
      </c>
      <c r="J3921" t="s">
        <v>294</v>
      </c>
      <c r="M3921" t="s">
        <v>295</v>
      </c>
      <c r="N3921" t="s">
        <v>7</v>
      </c>
      <c r="O3921" t="s">
        <v>297</v>
      </c>
    </row>
    <row r="3922" spans="1:15" x14ac:dyDescent="0.3">
      <c r="A3922" t="s">
        <v>5876</v>
      </c>
      <c r="B3922" t="s">
        <v>6047</v>
      </c>
      <c r="C3922">
        <v>2024</v>
      </c>
      <c r="D3922" t="s">
        <v>272</v>
      </c>
      <c r="E3922" t="s">
        <v>5978</v>
      </c>
      <c r="F3922" t="s">
        <v>5979</v>
      </c>
      <c r="G3922" t="s">
        <v>334</v>
      </c>
      <c r="H3922">
        <v>36</v>
      </c>
      <c r="I3922" t="s">
        <v>6054</v>
      </c>
      <c r="J3922" t="s">
        <v>294</v>
      </c>
      <c r="M3922" t="s">
        <v>295</v>
      </c>
      <c r="N3922" t="s">
        <v>7</v>
      </c>
      <c r="O3922" t="s">
        <v>297</v>
      </c>
    </row>
    <row r="3923" spans="1:15" x14ac:dyDescent="0.3">
      <c r="A3923" t="s">
        <v>5876</v>
      </c>
      <c r="B3923" t="s">
        <v>6047</v>
      </c>
      <c r="C3923">
        <v>2024</v>
      </c>
      <c r="D3923" t="s">
        <v>272</v>
      </c>
      <c r="E3923" t="s">
        <v>1203</v>
      </c>
      <c r="F3923" t="s">
        <v>5891</v>
      </c>
      <c r="G3923" t="s">
        <v>292</v>
      </c>
      <c r="H3923">
        <v>3</v>
      </c>
      <c r="I3923" t="s">
        <v>6055</v>
      </c>
      <c r="J3923" t="s">
        <v>294</v>
      </c>
      <c r="M3923" t="s">
        <v>295</v>
      </c>
      <c r="N3923" t="s">
        <v>7</v>
      </c>
      <c r="O3923" t="s">
        <v>297</v>
      </c>
    </row>
    <row r="3924" spans="1:15" x14ac:dyDescent="0.3">
      <c r="A3924" t="s">
        <v>5876</v>
      </c>
      <c r="B3924" t="s">
        <v>6047</v>
      </c>
      <c r="C3924">
        <v>2024</v>
      </c>
      <c r="D3924" t="s">
        <v>272</v>
      </c>
      <c r="E3924" t="s">
        <v>3256</v>
      </c>
      <c r="F3924" t="s">
        <v>6056</v>
      </c>
      <c r="G3924" t="s">
        <v>292</v>
      </c>
      <c r="H3924">
        <v>21</v>
      </c>
      <c r="I3924" t="s">
        <v>6057</v>
      </c>
      <c r="J3924" t="s">
        <v>294</v>
      </c>
      <c r="M3924" t="s">
        <v>295</v>
      </c>
      <c r="N3924" t="s">
        <v>7</v>
      </c>
      <c r="O3924" t="s">
        <v>297</v>
      </c>
    </row>
    <row r="3925" spans="1:15" x14ac:dyDescent="0.3">
      <c r="A3925" t="s">
        <v>5876</v>
      </c>
      <c r="B3925" t="s">
        <v>6047</v>
      </c>
      <c r="C3925">
        <v>2024</v>
      </c>
      <c r="D3925" t="s">
        <v>272</v>
      </c>
      <c r="E3925" t="s">
        <v>3253</v>
      </c>
      <c r="F3925" t="s">
        <v>5895</v>
      </c>
      <c r="G3925" t="s">
        <v>292</v>
      </c>
      <c r="H3925">
        <v>21</v>
      </c>
      <c r="I3925" t="s">
        <v>5896</v>
      </c>
      <c r="J3925" t="s">
        <v>294</v>
      </c>
      <c r="M3925" t="s">
        <v>295</v>
      </c>
      <c r="N3925" t="s">
        <v>7</v>
      </c>
      <c r="O3925" t="s">
        <v>297</v>
      </c>
    </row>
    <row r="3926" spans="1:15" x14ac:dyDescent="0.3">
      <c r="A3926" t="s">
        <v>5876</v>
      </c>
      <c r="B3926" t="s">
        <v>6047</v>
      </c>
      <c r="C3926">
        <v>2024</v>
      </c>
      <c r="D3926" t="s">
        <v>300</v>
      </c>
      <c r="E3926" t="s">
        <v>3629</v>
      </c>
      <c r="F3926">
        <v>738.57</v>
      </c>
      <c r="G3926" t="s">
        <v>302</v>
      </c>
      <c r="H3926">
        <v>4</v>
      </c>
      <c r="I3926" t="s">
        <v>6058</v>
      </c>
      <c r="J3926" t="s">
        <v>294</v>
      </c>
      <c r="M3926" t="s">
        <v>295</v>
      </c>
      <c r="N3926" t="s">
        <v>7</v>
      </c>
      <c r="O3926" t="s">
        <v>297</v>
      </c>
    </row>
    <row r="3927" spans="1:15" x14ac:dyDescent="0.3">
      <c r="A3927" t="s">
        <v>5876</v>
      </c>
      <c r="B3927" t="s">
        <v>6047</v>
      </c>
      <c r="C3927">
        <v>2024</v>
      </c>
      <c r="D3927" t="s">
        <v>300</v>
      </c>
      <c r="E3927" t="s">
        <v>304</v>
      </c>
      <c r="F3927">
        <v>204.97</v>
      </c>
      <c r="G3927" t="s">
        <v>302</v>
      </c>
      <c r="H3927">
        <v>4</v>
      </c>
      <c r="I3927" t="s">
        <v>6059</v>
      </c>
      <c r="J3927" t="s">
        <v>294</v>
      </c>
      <c r="M3927" t="s">
        <v>295</v>
      </c>
      <c r="N3927" t="s">
        <v>7</v>
      </c>
      <c r="O3927" t="s">
        <v>297</v>
      </c>
    </row>
    <row r="3928" spans="1:15" x14ac:dyDescent="0.3">
      <c r="A3928" t="s">
        <v>5876</v>
      </c>
      <c r="B3928" t="s">
        <v>6047</v>
      </c>
      <c r="C3928">
        <v>2024</v>
      </c>
      <c r="D3928" t="s">
        <v>300</v>
      </c>
      <c r="E3928" t="s">
        <v>5214</v>
      </c>
      <c r="F3928">
        <v>150.69</v>
      </c>
      <c r="G3928" t="s">
        <v>302</v>
      </c>
      <c r="H3928">
        <v>4</v>
      </c>
      <c r="I3928" t="s">
        <v>6060</v>
      </c>
      <c r="J3928" t="s">
        <v>294</v>
      </c>
      <c r="M3928" t="s">
        <v>295</v>
      </c>
      <c r="N3928" t="s">
        <v>7</v>
      </c>
      <c r="O3928" t="s">
        <v>297</v>
      </c>
    </row>
    <row r="3929" spans="1:15" x14ac:dyDescent="0.3">
      <c r="A3929" t="s">
        <v>5876</v>
      </c>
      <c r="B3929" t="s">
        <v>6047</v>
      </c>
      <c r="C3929">
        <v>2024</v>
      </c>
      <c r="D3929" t="s">
        <v>300</v>
      </c>
      <c r="E3929" t="s">
        <v>579</v>
      </c>
      <c r="F3929">
        <v>101.82</v>
      </c>
      <c r="G3929" t="s">
        <v>302</v>
      </c>
      <c r="H3929">
        <v>161</v>
      </c>
      <c r="I3929" t="s">
        <v>6061</v>
      </c>
      <c r="J3929" t="s">
        <v>294</v>
      </c>
      <c r="M3929" t="s">
        <v>295</v>
      </c>
      <c r="N3929" t="s">
        <v>7</v>
      </c>
      <c r="O3929" t="s">
        <v>297</v>
      </c>
    </row>
    <row r="3930" spans="1:15" x14ac:dyDescent="0.3">
      <c r="A3930" t="s">
        <v>5876</v>
      </c>
      <c r="B3930" t="s">
        <v>6047</v>
      </c>
      <c r="C3930">
        <v>2024</v>
      </c>
      <c r="D3930" t="s">
        <v>300</v>
      </c>
      <c r="E3930" t="s">
        <v>306</v>
      </c>
      <c r="F3930">
        <v>79.180000000000007</v>
      </c>
      <c r="G3930" t="s">
        <v>302</v>
      </c>
      <c r="H3930">
        <v>4</v>
      </c>
      <c r="I3930" t="s">
        <v>6062</v>
      </c>
      <c r="J3930" t="s">
        <v>294</v>
      </c>
      <c r="M3930" t="s">
        <v>295</v>
      </c>
      <c r="N3930" t="s">
        <v>7</v>
      </c>
      <c r="O3930" t="s">
        <v>297</v>
      </c>
    </row>
    <row r="3931" spans="1:15" x14ac:dyDescent="0.3">
      <c r="A3931" t="s">
        <v>5876</v>
      </c>
      <c r="B3931" t="s">
        <v>6047</v>
      </c>
      <c r="C3931">
        <v>2024</v>
      </c>
      <c r="D3931" t="s">
        <v>300</v>
      </c>
      <c r="E3931" t="s">
        <v>310</v>
      </c>
      <c r="F3931">
        <v>166.88</v>
      </c>
      <c r="G3931" t="s">
        <v>302</v>
      </c>
      <c r="H3931">
        <v>4</v>
      </c>
      <c r="I3931" t="s">
        <v>6063</v>
      </c>
      <c r="J3931" t="s">
        <v>294</v>
      </c>
      <c r="M3931" t="s">
        <v>295</v>
      </c>
      <c r="N3931" t="s">
        <v>7</v>
      </c>
      <c r="O3931" t="s">
        <v>297</v>
      </c>
    </row>
    <row r="3932" spans="1:15" x14ac:dyDescent="0.3">
      <c r="A3932" t="s">
        <v>5876</v>
      </c>
      <c r="B3932" t="s">
        <v>6047</v>
      </c>
      <c r="C3932">
        <v>2024</v>
      </c>
      <c r="D3932" t="s">
        <v>300</v>
      </c>
      <c r="E3932" t="s">
        <v>345</v>
      </c>
      <c r="F3932">
        <v>13.8</v>
      </c>
      <c r="G3932" t="s">
        <v>346</v>
      </c>
      <c r="H3932">
        <v>4</v>
      </c>
      <c r="I3932" t="s">
        <v>6064</v>
      </c>
      <c r="J3932" t="s">
        <v>294</v>
      </c>
      <c r="M3932" t="s">
        <v>295</v>
      </c>
      <c r="N3932" t="s">
        <v>7</v>
      </c>
      <c r="O3932" t="s">
        <v>297</v>
      </c>
    </row>
    <row r="3933" spans="1:15" x14ac:dyDescent="0.3">
      <c r="A3933" t="s">
        <v>5876</v>
      </c>
      <c r="B3933" t="s">
        <v>6047</v>
      </c>
      <c r="C3933">
        <v>2024</v>
      </c>
      <c r="D3933" t="s">
        <v>300</v>
      </c>
      <c r="E3933" t="s">
        <v>316</v>
      </c>
      <c r="F3933">
        <v>2639.2</v>
      </c>
      <c r="G3933" t="s">
        <v>302</v>
      </c>
      <c r="H3933">
        <v>4</v>
      </c>
      <c r="I3933" t="s">
        <v>6065</v>
      </c>
      <c r="J3933" t="s">
        <v>294</v>
      </c>
      <c r="M3933" t="s">
        <v>295</v>
      </c>
      <c r="N3933" t="s">
        <v>7</v>
      </c>
      <c r="O3933" t="s">
        <v>297</v>
      </c>
    </row>
    <row r="3934" spans="1:15" x14ac:dyDescent="0.3">
      <c r="A3934" t="s">
        <v>5876</v>
      </c>
      <c r="B3934" t="s">
        <v>6047</v>
      </c>
      <c r="C3934">
        <v>2024</v>
      </c>
      <c r="D3934" t="s">
        <v>300</v>
      </c>
      <c r="E3934" t="s">
        <v>312</v>
      </c>
      <c r="F3934">
        <v>367.88</v>
      </c>
      <c r="G3934" t="s">
        <v>302</v>
      </c>
      <c r="H3934">
        <v>122</v>
      </c>
      <c r="I3934" t="s">
        <v>6066</v>
      </c>
      <c r="J3934" t="s">
        <v>294</v>
      </c>
      <c r="M3934" t="s">
        <v>295</v>
      </c>
      <c r="N3934" t="s">
        <v>7</v>
      </c>
      <c r="O3934" t="s">
        <v>297</v>
      </c>
    </row>
    <row r="3935" spans="1:15" x14ac:dyDescent="0.3">
      <c r="A3935" t="s">
        <v>5876</v>
      </c>
      <c r="B3935" t="s">
        <v>6047</v>
      </c>
      <c r="C3935">
        <v>2024</v>
      </c>
      <c r="D3935" t="s">
        <v>300</v>
      </c>
      <c r="E3935" t="s">
        <v>314</v>
      </c>
      <c r="F3935">
        <v>2271.3200000000002</v>
      </c>
      <c r="G3935" t="s">
        <v>302</v>
      </c>
      <c r="H3935">
        <v>122</v>
      </c>
      <c r="I3935" t="s">
        <v>6067</v>
      </c>
      <c r="J3935" t="s">
        <v>294</v>
      </c>
      <c r="M3935" t="s">
        <v>295</v>
      </c>
      <c r="N3935" t="s">
        <v>7</v>
      </c>
      <c r="O3935" t="s">
        <v>297</v>
      </c>
    </row>
    <row r="3936" spans="1:15" x14ac:dyDescent="0.3">
      <c r="A3936" t="s">
        <v>5876</v>
      </c>
      <c r="B3936" t="s">
        <v>6047</v>
      </c>
      <c r="C3936">
        <v>2024</v>
      </c>
      <c r="D3936" t="s">
        <v>300</v>
      </c>
      <c r="E3936" t="s">
        <v>322</v>
      </c>
      <c r="F3936">
        <v>846.25</v>
      </c>
      <c r="G3936" t="s">
        <v>302</v>
      </c>
      <c r="H3936">
        <v>4</v>
      </c>
      <c r="I3936" t="s">
        <v>6068</v>
      </c>
      <c r="J3936" t="s">
        <v>294</v>
      </c>
      <c r="M3936" t="s">
        <v>295</v>
      </c>
      <c r="N3936" t="s">
        <v>7</v>
      </c>
      <c r="O3936" t="s">
        <v>297</v>
      </c>
    </row>
    <row r="3937" spans="1:15" x14ac:dyDescent="0.3">
      <c r="A3937" t="s">
        <v>5876</v>
      </c>
      <c r="B3937" t="s">
        <v>6047</v>
      </c>
      <c r="C3937">
        <v>2024</v>
      </c>
      <c r="D3937" t="s">
        <v>300</v>
      </c>
      <c r="E3937" t="s">
        <v>318</v>
      </c>
      <c r="F3937">
        <v>211.18</v>
      </c>
      <c r="G3937" t="s">
        <v>302</v>
      </c>
      <c r="H3937">
        <v>50</v>
      </c>
      <c r="I3937" t="s">
        <v>6069</v>
      </c>
      <c r="J3937" t="s">
        <v>294</v>
      </c>
      <c r="M3937" t="s">
        <v>295</v>
      </c>
      <c r="N3937" t="s">
        <v>7</v>
      </c>
      <c r="O3937" t="s">
        <v>297</v>
      </c>
    </row>
    <row r="3938" spans="1:15" x14ac:dyDescent="0.3">
      <c r="A3938" t="s">
        <v>5876</v>
      </c>
      <c r="B3938" t="s">
        <v>6047</v>
      </c>
      <c r="C3938">
        <v>2024</v>
      </c>
      <c r="D3938" t="s">
        <v>300</v>
      </c>
      <c r="E3938" t="s">
        <v>828</v>
      </c>
      <c r="F3938">
        <v>635.07000000000005</v>
      </c>
      <c r="G3938" t="s">
        <v>302</v>
      </c>
      <c r="H3938">
        <v>50</v>
      </c>
      <c r="I3938" t="s">
        <v>6070</v>
      </c>
      <c r="J3938" t="s">
        <v>294</v>
      </c>
      <c r="M3938" t="s">
        <v>295</v>
      </c>
      <c r="N3938" t="s">
        <v>7</v>
      </c>
      <c r="O3938" t="s">
        <v>297</v>
      </c>
    </row>
    <row r="3939" spans="1:15" x14ac:dyDescent="0.3">
      <c r="A3939" t="s">
        <v>5876</v>
      </c>
      <c r="B3939" t="s">
        <v>6047</v>
      </c>
      <c r="C3939">
        <v>2024</v>
      </c>
      <c r="D3939" t="s">
        <v>300</v>
      </c>
      <c r="E3939" t="s">
        <v>324</v>
      </c>
      <c r="F3939">
        <v>1792.95</v>
      </c>
      <c r="G3939" t="s">
        <v>302</v>
      </c>
      <c r="H3939">
        <v>4</v>
      </c>
      <c r="I3939" t="s">
        <v>6071</v>
      </c>
      <c r="J3939" t="s">
        <v>294</v>
      </c>
      <c r="M3939" t="s">
        <v>295</v>
      </c>
      <c r="N3939" t="s">
        <v>7</v>
      </c>
      <c r="O3939" t="s">
        <v>297</v>
      </c>
    </row>
    <row r="3940" spans="1:15" x14ac:dyDescent="0.3">
      <c r="A3940" t="s">
        <v>5876</v>
      </c>
      <c r="B3940" t="s">
        <v>6047</v>
      </c>
      <c r="C3940">
        <v>2024</v>
      </c>
      <c r="D3940" t="s">
        <v>300</v>
      </c>
      <c r="E3940" t="s">
        <v>5154</v>
      </c>
      <c r="F3940">
        <v>14.23</v>
      </c>
      <c r="G3940" t="s">
        <v>302</v>
      </c>
      <c r="H3940">
        <v>122</v>
      </c>
      <c r="I3940" t="s">
        <v>6072</v>
      </c>
      <c r="J3940" t="s">
        <v>294</v>
      </c>
      <c r="M3940" t="s">
        <v>295</v>
      </c>
      <c r="N3940" t="s">
        <v>7</v>
      </c>
      <c r="O3940" t="s">
        <v>297</v>
      </c>
    </row>
    <row r="3941" spans="1:15" x14ac:dyDescent="0.3">
      <c r="A3941" t="s">
        <v>5876</v>
      </c>
      <c r="B3941" t="s">
        <v>6047</v>
      </c>
      <c r="C3941">
        <v>2024</v>
      </c>
      <c r="D3941" t="s">
        <v>300</v>
      </c>
      <c r="E3941" t="s">
        <v>479</v>
      </c>
      <c r="F3941">
        <v>210.3</v>
      </c>
      <c r="G3941" t="s">
        <v>302</v>
      </c>
      <c r="H3941">
        <v>122</v>
      </c>
      <c r="I3941" t="s">
        <v>6073</v>
      </c>
      <c r="J3941" t="s">
        <v>294</v>
      </c>
      <c r="M3941" t="s">
        <v>295</v>
      </c>
      <c r="N3941" t="s">
        <v>7</v>
      </c>
      <c r="O3941" t="s">
        <v>297</v>
      </c>
    </row>
    <row r="3942" spans="1:15" x14ac:dyDescent="0.3">
      <c r="A3942" t="s">
        <v>5876</v>
      </c>
      <c r="B3942" t="s">
        <v>6047</v>
      </c>
      <c r="C3942">
        <v>2024</v>
      </c>
      <c r="D3942" t="s">
        <v>300</v>
      </c>
      <c r="E3942" t="s">
        <v>481</v>
      </c>
      <c r="F3942">
        <v>43.49</v>
      </c>
      <c r="G3942" t="s">
        <v>302</v>
      </c>
      <c r="H3942">
        <v>122</v>
      </c>
      <c r="I3942" t="s">
        <v>6074</v>
      </c>
      <c r="J3942" t="s">
        <v>294</v>
      </c>
      <c r="M3942" t="s">
        <v>295</v>
      </c>
      <c r="N3942" t="s">
        <v>7</v>
      </c>
      <c r="O3942" t="s">
        <v>297</v>
      </c>
    </row>
    <row r="3943" spans="1:15" x14ac:dyDescent="0.3">
      <c r="A3943" t="s">
        <v>5876</v>
      </c>
      <c r="B3943" t="s">
        <v>6047</v>
      </c>
      <c r="C3943">
        <v>2024</v>
      </c>
      <c r="D3943" t="s">
        <v>300</v>
      </c>
      <c r="E3943" t="s">
        <v>4119</v>
      </c>
      <c r="F3943">
        <v>87.12</v>
      </c>
      <c r="G3943" t="s">
        <v>302</v>
      </c>
      <c r="H3943">
        <v>122</v>
      </c>
      <c r="I3943" t="s">
        <v>6075</v>
      </c>
      <c r="J3943" t="s">
        <v>294</v>
      </c>
      <c r="M3943" t="s">
        <v>295</v>
      </c>
      <c r="N3943" t="s">
        <v>7</v>
      </c>
      <c r="O3943" t="s">
        <v>297</v>
      </c>
    </row>
    <row r="3944" spans="1:15" x14ac:dyDescent="0.3">
      <c r="A3944" t="s">
        <v>5876</v>
      </c>
      <c r="B3944" t="s">
        <v>6047</v>
      </c>
      <c r="C3944">
        <v>2024</v>
      </c>
      <c r="D3944" t="s">
        <v>300</v>
      </c>
      <c r="E3944" t="s">
        <v>6076</v>
      </c>
      <c r="F3944">
        <v>888.86</v>
      </c>
      <c r="G3944" t="s">
        <v>302</v>
      </c>
      <c r="H3944">
        <v>122</v>
      </c>
      <c r="I3944" t="s">
        <v>6077</v>
      </c>
      <c r="J3944" t="s">
        <v>294</v>
      </c>
      <c r="M3944" t="s">
        <v>295</v>
      </c>
      <c r="N3944" t="s">
        <v>7</v>
      </c>
      <c r="O3944" t="s">
        <v>297</v>
      </c>
    </row>
    <row r="3945" spans="1:15" x14ac:dyDescent="0.3">
      <c r="A3945" t="s">
        <v>5876</v>
      </c>
      <c r="B3945" t="s">
        <v>6047</v>
      </c>
      <c r="C3945">
        <v>2024</v>
      </c>
      <c r="D3945" t="s">
        <v>300</v>
      </c>
      <c r="E3945" t="s">
        <v>6078</v>
      </c>
      <c r="F3945">
        <v>183.36</v>
      </c>
      <c r="G3945" t="s">
        <v>302</v>
      </c>
      <c r="H3945">
        <v>122</v>
      </c>
      <c r="I3945" t="s">
        <v>6079</v>
      </c>
      <c r="J3945" t="s">
        <v>294</v>
      </c>
      <c r="M3945" t="s">
        <v>295</v>
      </c>
      <c r="N3945" t="s">
        <v>7</v>
      </c>
      <c r="O3945" t="s">
        <v>297</v>
      </c>
    </row>
    <row r="3946" spans="1:15" x14ac:dyDescent="0.3">
      <c r="A3946" t="s">
        <v>5876</v>
      </c>
      <c r="B3946" t="s">
        <v>6047</v>
      </c>
      <c r="C3946">
        <v>2024</v>
      </c>
      <c r="D3946" t="s">
        <v>300</v>
      </c>
      <c r="E3946" t="s">
        <v>5676</v>
      </c>
      <c r="F3946">
        <v>1179.96</v>
      </c>
      <c r="G3946" t="s">
        <v>302</v>
      </c>
      <c r="H3946">
        <v>122</v>
      </c>
      <c r="I3946" t="s">
        <v>6080</v>
      </c>
      <c r="J3946" t="s">
        <v>294</v>
      </c>
      <c r="M3946" t="s">
        <v>295</v>
      </c>
      <c r="N3946" t="s">
        <v>7</v>
      </c>
      <c r="O3946" t="s">
        <v>297</v>
      </c>
    </row>
    <row r="3947" spans="1:15" x14ac:dyDescent="0.3">
      <c r="A3947" t="s">
        <v>5876</v>
      </c>
      <c r="B3947" t="s">
        <v>6047</v>
      </c>
      <c r="C3947">
        <v>2024</v>
      </c>
      <c r="D3947" t="s">
        <v>300</v>
      </c>
      <c r="E3947" t="s">
        <v>6081</v>
      </c>
      <c r="F3947">
        <v>492.69</v>
      </c>
      <c r="G3947" t="s">
        <v>302</v>
      </c>
      <c r="H3947">
        <v>160</v>
      </c>
      <c r="I3947" t="s">
        <v>6082</v>
      </c>
      <c r="J3947" t="s">
        <v>294</v>
      </c>
      <c r="M3947" t="s">
        <v>295</v>
      </c>
      <c r="N3947" t="s">
        <v>7</v>
      </c>
      <c r="O3947" t="s">
        <v>297</v>
      </c>
    </row>
    <row r="3948" spans="1:15" x14ac:dyDescent="0.3">
      <c r="A3948" t="s">
        <v>5876</v>
      </c>
      <c r="B3948" t="s">
        <v>6047</v>
      </c>
      <c r="C3948">
        <v>2024</v>
      </c>
      <c r="D3948" t="s">
        <v>300</v>
      </c>
      <c r="E3948" t="s">
        <v>6083</v>
      </c>
      <c r="F3948">
        <v>488.72</v>
      </c>
      <c r="G3948" t="s">
        <v>302</v>
      </c>
      <c r="H3948">
        <v>160</v>
      </c>
      <c r="I3948" t="s">
        <v>6084</v>
      </c>
      <c r="J3948" t="s">
        <v>294</v>
      </c>
      <c r="M3948" t="s">
        <v>295</v>
      </c>
      <c r="N3948" t="s">
        <v>7</v>
      </c>
      <c r="O3948" t="s">
        <v>297</v>
      </c>
    </row>
    <row r="3949" spans="1:15" x14ac:dyDescent="0.3">
      <c r="A3949" t="s">
        <v>5876</v>
      </c>
      <c r="B3949" t="s">
        <v>6047</v>
      </c>
      <c r="C3949">
        <v>2024</v>
      </c>
      <c r="D3949" t="s">
        <v>300</v>
      </c>
      <c r="E3949" t="s">
        <v>5921</v>
      </c>
      <c r="F3949">
        <v>129.44</v>
      </c>
      <c r="G3949" t="s">
        <v>302</v>
      </c>
      <c r="H3949">
        <v>160</v>
      </c>
      <c r="I3949" t="s">
        <v>6085</v>
      </c>
      <c r="J3949" t="s">
        <v>294</v>
      </c>
      <c r="M3949" t="s">
        <v>295</v>
      </c>
      <c r="N3949" t="s">
        <v>7</v>
      </c>
      <c r="O3949" t="s">
        <v>297</v>
      </c>
    </row>
    <row r="3950" spans="1:15" x14ac:dyDescent="0.3">
      <c r="A3950" t="s">
        <v>5876</v>
      </c>
      <c r="B3950" t="s">
        <v>6047</v>
      </c>
      <c r="C3950">
        <v>2024</v>
      </c>
      <c r="D3950" t="s">
        <v>300</v>
      </c>
      <c r="E3950" t="s">
        <v>6086</v>
      </c>
      <c r="F3950">
        <v>359.28</v>
      </c>
      <c r="G3950" t="s">
        <v>302</v>
      </c>
      <c r="H3950">
        <v>160</v>
      </c>
      <c r="I3950" t="s">
        <v>6087</v>
      </c>
      <c r="J3950" t="s">
        <v>294</v>
      </c>
      <c r="M3950" t="s">
        <v>295</v>
      </c>
      <c r="N3950" t="s">
        <v>7</v>
      </c>
      <c r="O3950" t="s">
        <v>297</v>
      </c>
    </row>
    <row r="3951" spans="1:15" x14ac:dyDescent="0.3">
      <c r="A3951" t="s">
        <v>5876</v>
      </c>
      <c r="B3951" t="s">
        <v>6047</v>
      </c>
      <c r="C3951">
        <v>2024</v>
      </c>
      <c r="D3951" t="s">
        <v>300</v>
      </c>
      <c r="E3951" t="s">
        <v>693</v>
      </c>
      <c r="F3951">
        <v>40.409999999999997</v>
      </c>
      <c r="G3951" t="s">
        <v>302</v>
      </c>
      <c r="H3951">
        <v>162</v>
      </c>
      <c r="I3951" t="s">
        <v>6088</v>
      </c>
      <c r="J3951" t="s">
        <v>294</v>
      </c>
      <c r="M3951" t="s">
        <v>295</v>
      </c>
      <c r="N3951" t="s">
        <v>7</v>
      </c>
      <c r="O3951" t="s">
        <v>297</v>
      </c>
    </row>
    <row r="3952" spans="1:15" x14ac:dyDescent="0.3">
      <c r="A3952" t="s">
        <v>5876</v>
      </c>
      <c r="B3952" t="s">
        <v>6047</v>
      </c>
      <c r="C3952">
        <v>2024</v>
      </c>
      <c r="D3952" t="s">
        <v>300</v>
      </c>
      <c r="E3952" t="s">
        <v>6089</v>
      </c>
      <c r="F3952">
        <v>7</v>
      </c>
      <c r="G3952" t="s">
        <v>334</v>
      </c>
      <c r="H3952">
        <v>161</v>
      </c>
      <c r="I3952" t="s">
        <v>6090</v>
      </c>
      <c r="J3952" t="s">
        <v>294</v>
      </c>
      <c r="M3952" t="s">
        <v>295</v>
      </c>
      <c r="N3952" t="s">
        <v>7</v>
      </c>
      <c r="O3952" t="s">
        <v>297</v>
      </c>
    </row>
    <row r="3953" spans="1:15" x14ac:dyDescent="0.3">
      <c r="A3953" t="s">
        <v>5876</v>
      </c>
      <c r="B3953" t="s">
        <v>6047</v>
      </c>
      <c r="C3953">
        <v>2024</v>
      </c>
      <c r="D3953" t="s">
        <v>300</v>
      </c>
      <c r="E3953" t="s">
        <v>6091</v>
      </c>
      <c r="F3953">
        <v>100.37</v>
      </c>
      <c r="G3953" t="s">
        <v>302</v>
      </c>
      <c r="H3953">
        <v>156</v>
      </c>
      <c r="I3953" t="s">
        <v>6092</v>
      </c>
      <c r="J3953" t="s">
        <v>294</v>
      </c>
      <c r="M3953" t="s">
        <v>295</v>
      </c>
      <c r="N3953" t="s">
        <v>7</v>
      </c>
      <c r="O3953" t="s">
        <v>297</v>
      </c>
    </row>
    <row r="3954" spans="1:15" x14ac:dyDescent="0.3">
      <c r="A3954" t="s">
        <v>5876</v>
      </c>
      <c r="B3954" t="s">
        <v>6047</v>
      </c>
      <c r="C3954">
        <v>2024</v>
      </c>
      <c r="D3954" t="s">
        <v>300</v>
      </c>
      <c r="E3954" t="s">
        <v>3171</v>
      </c>
      <c r="F3954">
        <v>111.43</v>
      </c>
      <c r="G3954" t="s">
        <v>302</v>
      </c>
      <c r="H3954">
        <v>126</v>
      </c>
      <c r="I3954" t="s">
        <v>6093</v>
      </c>
      <c r="J3954" t="s">
        <v>294</v>
      </c>
      <c r="M3954" t="s">
        <v>295</v>
      </c>
      <c r="N3954" t="s">
        <v>7</v>
      </c>
      <c r="O3954" t="s">
        <v>297</v>
      </c>
    </row>
    <row r="3955" spans="1:15" x14ac:dyDescent="0.3">
      <c r="A3955" t="s">
        <v>5876</v>
      </c>
      <c r="B3955" t="s">
        <v>6047</v>
      </c>
      <c r="C3955">
        <v>2024</v>
      </c>
      <c r="D3955" t="s">
        <v>300</v>
      </c>
      <c r="E3955" t="s">
        <v>3173</v>
      </c>
      <c r="F3955">
        <v>-39.46</v>
      </c>
      <c r="G3955" t="s">
        <v>302</v>
      </c>
      <c r="H3955">
        <v>126</v>
      </c>
      <c r="I3955" t="s">
        <v>6094</v>
      </c>
      <c r="J3955" t="s">
        <v>294</v>
      </c>
      <c r="M3955" t="s">
        <v>295</v>
      </c>
      <c r="N3955" t="s">
        <v>7</v>
      </c>
      <c r="O3955" t="s">
        <v>297</v>
      </c>
    </row>
    <row r="3956" spans="1:15" x14ac:dyDescent="0.3">
      <c r="A3956" t="s">
        <v>5876</v>
      </c>
      <c r="B3956" t="s">
        <v>6047</v>
      </c>
      <c r="C3956">
        <v>2024</v>
      </c>
      <c r="D3956" t="s">
        <v>300</v>
      </c>
      <c r="E3956" t="s">
        <v>3175</v>
      </c>
      <c r="F3956">
        <v>-133.33000000000001</v>
      </c>
      <c r="G3956" t="s">
        <v>302</v>
      </c>
      <c r="H3956">
        <v>126</v>
      </c>
      <c r="I3956" t="s">
        <v>6095</v>
      </c>
      <c r="J3956" t="s">
        <v>294</v>
      </c>
      <c r="M3956" t="s">
        <v>295</v>
      </c>
      <c r="N3956" t="s">
        <v>7</v>
      </c>
      <c r="O3956" t="s">
        <v>297</v>
      </c>
    </row>
    <row r="3957" spans="1:15" x14ac:dyDescent="0.3">
      <c r="A3957" t="s">
        <v>5876</v>
      </c>
      <c r="B3957" t="s">
        <v>6047</v>
      </c>
      <c r="C3957">
        <v>2024</v>
      </c>
      <c r="D3957" t="s">
        <v>300</v>
      </c>
      <c r="E3957" t="s">
        <v>5927</v>
      </c>
      <c r="F3957">
        <v>24.72</v>
      </c>
      <c r="G3957" t="s">
        <v>302</v>
      </c>
      <c r="H3957">
        <v>126</v>
      </c>
      <c r="I3957" t="s">
        <v>6096</v>
      </c>
      <c r="J3957" t="s">
        <v>294</v>
      </c>
      <c r="M3957" t="s">
        <v>295</v>
      </c>
      <c r="N3957" t="s">
        <v>7</v>
      </c>
      <c r="O3957" t="s">
        <v>297</v>
      </c>
    </row>
    <row r="3958" spans="1:15" x14ac:dyDescent="0.3">
      <c r="A3958" t="s">
        <v>5876</v>
      </c>
      <c r="B3958" t="s">
        <v>6047</v>
      </c>
      <c r="C3958">
        <v>2024</v>
      </c>
      <c r="D3958" t="s">
        <v>300</v>
      </c>
      <c r="E3958" t="s">
        <v>5929</v>
      </c>
      <c r="F3958">
        <v>14.73</v>
      </c>
      <c r="G3958" t="s">
        <v>302</v>
      </c>
      <c r="H3958">
        <v>126</v>
      </c>
      <c r="I3958" t="s">
        <v>6097</v>
      </c>
      <c r="J3958" t="s">
        <v>294</v>
      </c>
      <c r="M3958" t="s">
        <v>295</v>
      </c>
      <c r="N3958" t="s">
        <v>7</v>
      </c>
      <c r="O3958" t="s">
        <v>297</v>
      </c>
    </row>
    <row r="3959" spans="1:15" x14ac:dyDescent="0.3">
      <c r="A3959" t="s">
        <v>5876</v>
      </c>
      <c r="B3959" t="s">
        <v>6047</v>
      </c>
      <c r="C3959">
        <v>2024</v>
      </c>
      <c r="D3959" t="s">
        <v>300</v>
      </c>
      <c r="E3959" t="s">
        <v>5931</v>
      </c>
      <c r="F3959">
        <v>39.46</v>
      </c>
      <c r="G3959" t="s">
        <v>302</v>
      </c>
      <c r="H3959">
        <v>126</v>
      </c>
      <c r="I3959" t="s">
        <v>6098</v>
      </c>
      <c r="J3959" t="s">
        <v>294</v>
      </c>
      <c r="M3959" t="s">
        <v>295</v>
      </c>
      <c r="N3959" t="s">
        <v>7</v>
      </c>
      <c r="O3959" t="s">
        <v>297</v>
      </c>
    </row>
    <row r="3960" spans="1:15" x14ac:dyDescent="0.3">
      <c r="A3960" t="s">
        <v>5876</v>
      </c>
      <c r="B3960" t="s">
        <v>6047</v>
      </c>
      <c r="C3960">
        <v>2024</v>
      </c>
      <c r="D3960" t="s">
        <v>300</v>
      </c>
      <c r="E3960" t="s">
        <v>6012</v>
      </c>
      <c r="F3960">
        <v>54.49</v>
      </c>
      <c r="G3960" t="s">
        <v>302</v>
      </c>
      <c r="H3960">
        <v>154</v>
      </c>
      <c r="I3960" t="s">
        <v>6099</v>
      </c>
      <c r="J3960" t="s">
        <v>294</v>
      </c>
      <c r="M3960" t="s">
        <v>295</v>
      </c>
      <c r="N3960" t="s">
        <v>7</v>
      </c>
      <c r="O3960" t="s">
        <v>297</v>
      </c>
    </row>
    <row r="3961" spans="1:15" x14ac:dyDescent="0.3">
      <c r="A3961" t="s">
        <v>5876</v>
      </c>
      <c r="B3961" t="s">
        <v>6047</v>
      </c>
      <c r="C3961">
        <v>2024</v>
      </c>
      <c r="D3961" t="s">
        <v>300</v>
      </c>
      <c r="E3961" t="s">
        <v>581</v>
      </c>
      <c r="F3961">
        <v>22.64</v>
      </c>
      <c r="G3961" t="s">
        <v>302</v>
      </c>
      <c r="H3961">
        <v>161</v>
      </c>
      <c r="I3961" t="s">
        <v>6100</v>
      </c>
      <c r="J3961" t="s">
        <v>294</v>
      </c>
      <c r="M3961" t="s">
        <v>295</v>
      </c>
      <c r="N3961" t="s">
        <v>7</v>
      </c>
      <c r="O3961" t="s">
        <v>297</v>
      </c>
    </row>
    <row r="3962" spans="1:15" x14ac:dyDescent="0.3">
      <c r="A3962" t="s">
        <v>5876</v>
      </c>
      <c r="B3962" t="s">
        <v>6047</v>
      </c>
      <c r="C3962">
        <v>2024</v>
      </c>
      <c r="D3962" t="s">
        <v>300</v>
      </c>
      <c r="E3962" t="s">
        <v>342</v>
      </c>
      <c r="F3962">
        <v>5737.85</v>
      </c>
      <c r="G3962" t="s">
        <v>497</v>
      </c>
      <c r="H3962">
        <v>5</v>
      </c>
      <c r="I3962" t="s">
        <v>6101</v>
      </c>
      <c r="J3962" t="s">
        <v>294</v>
      </c>
      <c r="M3962" t="s">
        <v>295</v>
      </c>
      <c r="N3962" t="s">
        <v>7</v>
      </c>
      <c r="O3962" t="s">
        <v>297</v>
      </c>
    </row>
    <row r="3963" spans="1:15" x14ac:dyDescent="0.3">
      <c r="A3963" t="s">
        <v>5876</v>
      </c>
      <c r="B3963" t="s">
        <v>6047</v>
      </c>
      <c r="C3963">
        <v>2024</v>
      </c>
      <c r="D3963" t="s">
        <v>300</v>
      </c>
      <c r="E3963" t="s">
        <v>498</v>
      </c>
      <c r="F3963">
        <v>424</v>
      </c>
      <c r="G3963" t="s">
        <v>346</v>
      </c>
      <c r="H3963">
        <v>6</v>
      </c>
      <c r="I3963" t="s">
        <v>6102</v>
      </c>
      <c r="J3963" t="s">
        <v>294</v>
      </c>
      <c r="M3963" t="s">
        <v>295</v>
      </c>
      <c r="N3963" t="s">
        <v>7</v>
      </c>
      <c r="O3963" t="s">
        <v>297</v>
      </c>
    </row>
    <row r="3964" spans="1:15" x14ac:dyDescent="0.3">
      <c r="A3964" t="s">
        <v>5876</v>
      </c>
      <c r="B3964" t="s">
        <v>6047</v>
      </c>
      <c r="C3964">
        <v>2024</v>
      </c>
      <c r="D3964" t="s">
        <v>300</v>
      </c>
      <c r="E3964" t="s">
        <v>839</v>
      </c>
      <c r="F3964">
        <v>2432.85</v>
      </c>
      <c r="G3964" t="s">
        <v>302</v>
      </c>
      <c r="H3964">
        <v>5</v>
      </c>
      <c r="I3964" t="s">
        <v>6103</v>
      </c>
      <c r="J3964" t="s">
        <v>294</v>
      </c>
      <c r="M3964" t="s">
        <v>295</v>
      </c>
      <c r="N3964" t="s">
        <v>7</v>
      </c>
      <c r="O3964" t="s">
        <v>297</v>
      </c>
    </row>
    <row r="3965" spans="1:15" x14ac:dyDescent="0.3">
      <c r="A3965" t="s">
        <v>5876</v>
      </c>
      <c r="B3965" t="s">
        <v>6047</v>
      </c>
      <c r="C3965">
        <v>2024</v>
      </c>
      <c r="D3965" t="s">
        <v>300</v>
      </c>
      <c r="E3965" t="s">
        <v>326</v>
      </c>
      <c r="F3965">
        <v>1.74</v>
      </c>
      <c r="G3965" t="s">
        <v>327</v>
      </c>
      <c r="H3965">
        <v>4</v>
      </c>
      <c r="I3965" t="s">
        <v>6104</v>
      </c>
      <c r="J3965" t="s">
        <v>294</v>
      </c>
      <c r="M3965" t="s">
        <v>295</v>
      </c>
      <c r="N3965" t="s">
        <v>7</v>
      </c>
      <c r="O3965" t="s">
        <v>297</v>
      </c>
    </row>
    <row r="3966" spans="1:15" x14ac:dyDescent="0.3">
      <c r="A3966" t="s">
        <v>5876</v>
      </c>
      <c r="B3966" t="s">
        <v>6047</v>
      </c>
      <c r="C3966">
        <v>2024</v>
      </c>
      <c r="D3966" t="s">
        <v>300</v>
      </c>
      <c r="E3966" t="s">
        <v>728</v>
      </c>
      <c r="F3966">
        <v>0.32</v>
      </c>
      <c r="G3966" t="s">
        <v>327</v>
      </c>
      <c r="H3966">
        <v>4</v>
      </c>
      <c r="I3966" t="s">
        <v>6105</v>
      </c>
      <c r="J3966" t="s">
        <v>294</v>
      </c>
      <c r="M3966" t="s">
        <v>295</v>
      </c>
      <c r="N3966" t="s">
        <v>7</v>
      </c>
      <c r="O3966" t="s">
        <v>297</v>
      </c>
    </row>
    <row r="3967" spans="1:15" x14ac:dyDescent="0.3">
      <c r="A3967" t="s">
        <v>5876</v>
      </c>
      <c r="B3967" t="s">
        <v>6047</v>
      </c>
      <c r="C3967">
        <v>2024</v>
      </c>
      <c r="D3967" t="s">
        <v>300</v>
      </c>
      <c r="E3967" t="s">
        <v>3672</v>
      </c>
      <c r="F3967">
        <v>0</v>
      </c>
      <c r="G3967" t="s">
        <v>912</v>
      </c>
      <c r="H3967">
        <v>58</v>
      </c>
      <c r="I3967" t="s">
        <v>6106</v>
      </c>
      <c r="J3967" t="s">
        <v>294</v>
      </c>
      <c r="M3967" t="s">
        <v>295</v>
      </c>
      <c r="N3967" t="s">
        <v>7</v>
      </c>
      <c r="O3967" t="s">
        <v>297</v>
      </c>
    </row>
    <row r="3968" spans="1:15" x14ac:dyDescent="0.3">
      <c r="A3968" t="s">
        <v>5876</v>
      </c>
      <c r="B3968" t="s">
        <v>6047</v>
      </c>
      <c r="C3968">
        <v>2024</v>
      </c>
      <c r="D3968" t="s">
        <v>358</v>
      </c>
      <c r="E3968" t="s">
        <v>504</v>
      </c>
      <c r="F3968">
        <v>22782.14</v>
      </c>
      <c r="G3968" t="s">
        <v>360</v>
      </c>
      <c r="H3968">
        <v>14</v>
      </c>
      <c r="I3968" t="s">
        <v>6107</v>
      </c>
      <c r="J3968" t="s">
        <v>294</v>
      </c>
      <c r="M3968" t="s">
        <v>295</v>
      </c>
      <c r="N3968" t="s">
        <v>7</v>
      </c>
      <c r="O3968" t="s">
        <v>297</v>
      </c>
    </row>
    <row r="3969" spans="1:15" x14ac:dyDescent="0.3">
      <c r="A3969" t="s">
        <v>5876</v>
      </c>
      <c r="B3969" t="s">
        <v>6047</v>
      </c>
      <c r="C3969">
        <v>2024</v>
      </c>
      <c r="D3969" t="s">
        <v>358</v>
      </c>
      <c r="E3969" t="s">
        <v>508</v>
      </c>
      <c r="F3969">
        <v>19491.38</v>
      </c>
      <c r="G3969" t="s">
        <v>360</v>
      </c>
      <c r="H3969">
        <v>14</v>
      </c>
      <c r="I3969" t="s">
        <v>6108</v>
      </c>
      <c r="J3969" t="s">
        <v>294</v>
      </c>
      <c r="M3969" t="s">
        <v>295</v>
      </c>
      <c r="N3969" t="s">
        <v>7</v>
      </c>
      <c r="O3969" t="s">
        <v>297</v>
      </c>
    </row>
    <row r="3970" spans="1:15" x14ac:dyDescent="0.3">
      <c r="A3970" t="s">
        <v>5876</v>
      </c>
      <c r="B3970" t="s">
        <v>6047</v>
      </c>
      <c r="C3970">
        <v>2024</v>
      </c>
      <c r="D3970" t="s">
        <v>358</v>
      </c>
      <c r="E3970" t="s">
        <v>510</v>
      </c>
      <c r="F3970">
        <v>3290.76</v>
      </c>
      <c r="G3970" t="s">
        <v>360</v>
      </c>
      <c r="H3970">
        <v>153</v>
      </c>
      <c r="I3970" t="s">
        <v>6109</v>
      </c>
      <c r="J3970" t="s">
        <v>294</v>
      </c>
      <c r="M3970" t="s">
        <v>295</v>
      </c>
      <c r="N3970" t="s">
        <v>7</v>
      </c>
      <c r="O3970" t="s">
        <v>297</v>
      </c>
    </row>
    <row r="3971" spans="1:15" x14ac:dyDescent="0.3">
      <c r="A3971" t="s">
        <v>5876</v>
      </c>
      <c r="B3971" t="s">
        <v>6047</v>
      </c>
      <c r="C3971">
        <v>2024</v>
      </c>
      <c r="D3971" t="s">
        <v>358</v>
      </c>
      <c r="E3971" t="s">
        <v>851</v>
      </c>
      <c r="F3971">
        <v>41562.25</v>
      </c>
      <c r="G3971" t="s">
        <v>360</v>
      </c>
      <c r="H3971">
        <v>154</v>
      </c>
      <c r="I3971" t="s">
        <v>6110</v>
      </c>
      <c r="J3971" t="s">
        <v>294</v>
      </c>
      <c r="M3971" t="s">
        <v>295</v>
      </c>
      <c r="N3971" t="s">
        <v>7</v>
      </c>
      <c r="O3971" t="s">
        <v>297</v>
      </c>
    </row>
    <row r="3972" spans="1:15" x14ac:dyDescent="0.3">
      <c r="A3972" t="s">
        <v>5876</v>
      </c>
      <c r="B3972" t="s">
        <v>6047</v>
      </c>
      <c r="C3972">
        <v>2024</v>
      </c>
      <c r="D3972" t="s">
        <v>358</v>
      </c>
      <c r="E3972" t="s">
        <v>364</v>
      </c>
      <c r="F3972">
        <v>3838.78</v>
      </c>
      <c r="G3972" t="s">
        <v>360</v>
      </c>
      <c r="H3972">
        <v>150</v>
      </c>
      <c r="I3972" t="s">
        <v>6111</v>
      </c>
      <c r="J3972" t="s">
        <v>294</v>
      </c>
      <c r="M3972" t="s">
        <v>295</v>
      </c>
      <c r="N3972" t="s">
        <v>7</v>
      </c>
      <c r="O3972" t="s">
        <v>297</v>
      </c>
    </row>
    <row r="3973" spans="1:15" x14ac:dyDescent="0.3">
      <c r="A3973" t="s">
        <v>5876</v>
      </c>
      <c r="B3973" t="s">
        <v>6047</v>
      </c>
      <c r="C3973">
        <v>2024</v>
      </c>
      <c r="D3973" t="s">
        <v>358</v>
      </c>
      <c r="E3973" t="s">
        <v>6112</v>
      </c>
      <c r="F3973">
        <v>855.74</v>
      </c>
      <c r="G3973" t="s">
        <v>360</v>
      </c>
      <c r="H3973">
        <v>153</v>
      </c>
      <c r="I3973" t="s">
        <v>6113</v>
      </c>
      <c r="J3973" t="s">
        <v>294</v>
      </c>
      <c r="M3973" t="s">
        <v>295</v>
      </c>
      <c r="N3973" t="s">
        <v>7</v>
      </c>
      <c r="O3973" t="s">
        <v>297</v>
      </c>
    </row>
    <row r="3974" spans="1:15" x14ac:dyDescent="0.3">
      <c r="A3974" t="s">
        <v>5876</v>
      </c>
      <c r="B3974" t="s">
        <v>6047</v>
      </c>
      <c r="C3974">
        <v>2024</v>
      </c>
      <c r="D3974" t="s">
        <v>358</v>
      </c>
      <c r="E3974" t="s">
        <v>523</v>
      </c>
      <c r="F3974">
        <v>1</v>
      </c>
      <c r="G3974" t="s">
        <v>384</v>
      </c>
      <c r="H3974">
        <v>47</v>
      </c>
      <c r="I3974" t="s">
        <v>6021</v>
      </c>
      <c r="J3974" t="s">
        <v>294</v>
      </c>
      <c r="M3974" t="s">
        <v>295</v>
      </c>
      <c r="N3974" t="s">
        <v>7</v>
      </c>
      <c r="O3974" t="s">
        <v>297</v>
      </c>
    </row>
    <row r="3975" spans="1:15" x14ac:dyDescent="0.3">
      <c r="A3975" t="s">
        <v>5876</v>
      </c>
      <c r="B3975" t="s">
        <v>6047</v>
      </c>
      <c r="C3975">
        <v>2024</v>
      </c>
      <c r="D3975" t="s">
        <v>358</v>
      </c>
      <c r="E3975" t="s">
        <v>797</v>
      </c>
      <c r="F3975">
        <v>90</v>
      </c>
      <c r="G3975" t="s">
        <v>738</v>
      </c>
      <c r="H3975">
        <v>47</v>
      </c>
      <c r="I3975" t="s">
        <v>6114</v>
      </c>
      <c r="J3975" t="s">
        <v>294</v>
      </c>
      <c r="M3975" t="s">
        <v>295</v>
      </c>
      <c r="N3975" t="s">
        <v>7</v>
      </c>
      <c r="O3975" t="s">
        <v>297</v>
      </c>
    </row>
    <row r="3976" spans="1:15" x14ac:dyDescent="0.3">
      <c r="A3976" t="s">
        <v>5876</v>
      </c>
      <c r="B3976" t="s">
        <v>6047</v>
      </c>
      <c r="C3976">
        <v>2024</v>
      </c>
      <c r="D3976" t="s">
        <v>394</v>
      </c>
      <c r="E3976" t="s">
        <v>6115</v>
      </c>
      <c r="F3976">
        <v>223235</v>
      </c>
      <c r="G3976" t="s">
        <v>396</v>
      </c>
      <c r="H3976">
        <v>9</v>
      </c>
      <c r="I3976" t="s">
        <v>6116</v>
      </c>
      <c r="J3976" t="s">
        <v>294</v>
      </c>
      <c r="M3976" t="s">
        <v>295</v>
      </c>
      <c r="N3976" t="s">
        <v>7</v>
      </c>
      <c r="O3976" t="s">
        <v>297</v>
      </c>
    </row>
    <row r="3977" spans="1:15" x14ac:dyDescent="0.3">
      <c r="A3977" t="s">
        <v>5876</v>
      </c>
      <c r="B3977" t="s">
        <v>6047</v>
      </c>
      <c r="C3977">
        <v>2024</v>
      </c>
      <c r="D3977" t="s">
        <v>394</v>
      </c>
      <c r="E3977" t="s">
        <v>6117</v>
      </c>
      <c r="F3977">
        <v>53108</v>
      </c>
      <c r="G3977" t="s">
        <v>396</v>
      </c>
      <c r="H3977">
        <v>9</v>
      </c>
      <c r="I3977" t="s">
        <v>6118</v>
      </c>
      <c r="J3977" t="s">
        <v>294</v>
      </c>
      <c r="M3977" t="s">
        <v>295</v>
      </c>
      <c r="N3977" t="s">
        <v>7</v>
      </c>
      <c r="O3977" t="s">
        <v>297</v>
      </c>
    </row>
    <row r="3978" spans="1:15" x14ac:dyDescent="0.3">
      <c r="A3978" t="s">
        <v>5876</v>
      </c>
      <c r="B3978" t="s">
        <v>6047</v>
      </c>
      <c r="C3978">
        <v>2024</v>
      </c>
      <c r="D3978" t="s">
        <v>394</v>
      </c>
      <c r="E3978" t="s">
        <v>6119</v>
      </c>
      <c r="F3978">
        <v>9262</v>
      </c>
      <c r="G3978" t="s">
        <v>396</v>
      </c>
      <c r="H3978">
        <v>49</v>
      </c>
      <c r="I3978" t="s">
        <v>6120</v>
      </c>
      <c r="J3978" t="s">
        <v>456</v>
      </c>
      <c r="M3978" t="s">
        <v>295</v>
      </c>
      <c r="N3978" t="s">
        <v>7</v>
      </c>
      <c r="O3978" t="s">
        <v>297</v>
      </c>
    </row>
    <row r="3979" spans="1:15" x14ac:dyDescent="0.3">
      <c r="A3979" t="s">
        <v>5876</v>
      </c>
      <c r="B3979" t="s">
        <v>6047</v>
      </c>
      <c r="C3979">
        <v>2024</v>
      </c>
      <c r="D3979" t="s">
        <v>394</v>
      </c>
      <c r="E3979" t="s">
        <v>5955</v>
      </c>
      <c r="F3979">
        <v>834</v>
      </c>
      <c r="G3979" t="s">
        <v>5345</v>
      </c>
      <c r="H3979">
        <v>47</v>
      </c>
      <c r="I3979" t="s">
        <v>6121</v>
      </c>
      <c r="J3979" t="s">
        <v>294</v>
      </c>
      <c r="M3979" t="s">
        <v>295</v>
      </c>
      <c r="N3979" t="s">
        <v>7</v>
      </c>
      <c r="O3979" t="s">
        <v>297</v>
      </c>
    </row>
    <row r="3980" spans="1:15" x14ac:dyDescent="0.3">
      <c r="A3980" t="s">
        <v>5876</v>
      </c>
      <c r="B3980" t="s">
        <v>6047</v>
      </c>
      <c r="C3980">
        <v>2024</v>
      </c>
      <c r="D3980" t="s">
        <v>394</v>
      </c>
      <c r="E3980" t="s">
        <v>6028</v>
      </c>
      <c r="F3980">
        <v>735.33</v>
      </c>
      <c r="G3980" t="s">
        <v>302</v>
      </c>
      <c r="H3980">
        <v>47</v>
      </c>
      <c r="I3980" t="s">
        <v>6122</v>
      </c>
      <c r="J3980" t="s">
        <v>294</v>
      </c>
      <c r="M3980" t="s">
        <v>295</v>
      </c>
      <c r="N3980" t="s">
        <v>7</v>
      </c>
      <c r="O3980" t="s">
        <v>297</v>
      </c>
    </row>
    <row r="3981" spans="1:15" x14ac:dyDescent="0.3">
      <c r="A3981" t="s">
        <v>5876</v>
      </c>
      <c r="B3981" t="s">
        <v>6047</v>
      </c>
      <c r="C3981">
        <v>2024</v>
      </c>
      <c r="D3981" t="s">
        <v>394</v>
      </c>
      <c r="E3981" t="s">
        <v>6123</v>
      </c>
      <c r="F3981">
        <v>667.04</v>
      </c>
      <c r="G3981" t="s">
        <v>302</v>
      </c>
      <c r="H3981">
        <v>59</v>
      </c>
      <c r="I3981" t="s">
        <v>6124</v>
      </c>
      <c r="J3981" t="s">
        <v>294</v>
      </c>
      <c r="M3981" t="s">
        <v>295</v>
      </c>
      <c r="N3981" t="s">
        <v>7</v>
      </c>
      <c r="O3981" t="s">
        <v>297</v>
      </c>
    </row>
    <row r="3982" spans="1:15" x14ac:dyDescent="0.3">
      <c r="A3982" t="s">
        <v>5876</v>
      </c>
      <c r="B3982" t="s">
        <v>6047</v>
      </c>
      <c r="C3982">
        <v>2024</v>
      </c>
      <c r="D3982" t="s">
        <v>394</v>
      </c>
      <c r="E3982" t="s">
        <v>6125</v>
      </c>
      <c r="F3982">
        <v>65.239999999999995</v>
      </c>
      <c r="G3982" t="s">
        <v>302</v>
      </c>
      <c r="H3982">
        <v>60</v>
      </c>
      <c r="I3982" t="s">
        <v>6126</v>
      </c>
      <c r="J3982" t="s">
        <v>294</v>
      </c>
      <c r="M3982" t="s">
        <v>295</v>
      </c>
      <c r="N3982" t="s">
        <v>7</v>
      </c>
      <c r="O3982" t="s">
        <v>297</v>
      </c>
    </row>
    <row r="3983" spans="1:15" x14ac:dyDescent="0.3">
      <c r="A3983" t="s">
        <v>5876</v>
      </c>
      <c r="B3983" t="s">
        <v>6047</v>
      </c>
      <c r="C3983">
        <v>2024</v>
      </c>
      <c r="D3983" t="s">
        <v>563</v>
      </c>
      <c r="E3983" t="s">
        <v>750</v>
      </c>
      <c r="F3983" t="s">
        <v>6036</v>
      </c>
      <c r="G3983" t="s">
        <v>292</v>
      </c>
      <c r="H3983">
        <v>46</v>
      </c>
      <c r="I3983" t="s">
        <v>6037</v>
      </c>
      <c r="J3983" t="s">
        <v>294</v>
      </c>
      <c r="M3983" t="s">
        <v>295</v>
      </c>
      <c r="N3983" t="s">
        <v>7</v>
      </c>
      <c r="O3983" t="s">
        <v>297</v>
      </c>
    </row>
    <row r="3984" spans="1:15" x14ac:dyDescent="0.3">
      <c r="A3984" t="s">
        <v>5876</v>
      </c>
      <c r="B3984" t="s">
        <v>6047</v>
      </c>
      <c r="C3984">
        <v>2024</v>
      </c>
      <c r="D3984" t="s">
        <v>563</v>
      </c>
      <c r="E3984" t="s">
        <v>6038</v>
      </c>
      <c r="F3984" t="s">
        <v>6039</v>
      </c>
      <c r="G3984" t="s">
        <v>292</v>
      </c>
      <c r="H3984">
        <v>46</v>
      </c>
      <c r="I3984" t="s">
        <v>6040</v>
      </c>
      <c r="J3984" t="s">
        <v>294</v>
      </c>
      <c r="M3984" t="s">
        <v>295</v>
      </c>
      <c r="N3984" t="s">
        <v>7</v>
      </c>
      <c r="O3984" t="s">
        <v>297</v>
      </c>
    </row>
    <row r="3985" spans="1:15" x14ac:dyDescent="0.3">
      <c r="A3985" t="s">
        <v>5876</v>
      </c>
      <c r="B3985" t="s">
        <v>6047</v>
      </c>
      <c r="C3985">
        <v>2024</v>
      </c>
      <c r="D3985" t="s">
        <v>563</v>
      </c>
      <c r="E3985" t="s">
        <v>6127</v>
      </c>
      <c r="F3985" t="s">
        <v>5967</v>
      </c>
      <c r="G3985" t="s">
        <v>292</v>
      </c>
      <c r="H3985">
        <v>21</v>
      </c>
      <c r="I3985" t="s">
        <v>6128</v>
      </c>
      <c r="J3985" t="s">
        <v>294</v>
      </c>
      <c r="M3985" t="s">
        <v>295</v>
      </c>
      <c r="N3985" t="s">
        <v>7</v>
      </c>
      <c r="O3985" t="s">
        <v>297</v>
      </c>
    </row>
    <row r="3986" spans="1:15" x14ac:dyDescent="0.3">
      <c r="A3986" t="s">
        <v>5876</v>
      </c>
      <c r="B3986" t="s">
        <v>6047</v>
      </c>
      <c r="C3986">
        <v>2024</v>
      </c>
      <c r="D3986" t="s">
        <v>300</v>
      </c>
      <c r="E3986" t="s">
        <v>6129</v>
      </c>
      <c r="F3986">
        <v>849.07</v>
      </c>
      <c r="G3986" t="s">
        <v>302</v>
      </c>
      <c r="H3986">
        <v>55</v>
      </c>
      <c r="I3986" t="s">
        <v>6130</v>
      </c>
      <c r="J3986" t="s">
        <v>294</v>
      </c>
      <c r="M3986" t="s">
        <v>295</v>
      </c>
      <c r="N3986" t="s">
        <v>7</v>
      </c>
      <c r="O3986" t="s">
        <v>297</v>
      </c>
    </row>
    <row r="3987" spans="1:15" x14ac:dyDescent="0.3">
      <c r="A3987" t="s">
        <v>6131</v>
      </c>
      <c r="B3987" t="s">
        <v>6132</v>
      </c>
      <c r="C3987">
        <v>2022</v>
      </c>
      <c r="D3987" t="s">
        <v>272</v>
      </c>
      <c r="E3987" t="s">
        <v>291</v>
      </c>
      <c r="F3987" t="s">
        <v>6131</v>
      </c>
      <c r="G3987" t="s">
        <v>292</v>
      </c>
      <c r="H3987">
        <v>1</v>
      </c>
      <c r="I3987" t="s">
        <v>6133</v>
      </c>
      <c r="J3987" t="s">
        <v>294</v>
      </c>
      <c r="M3987" t="s">
        <v>295</v>
      </c>
      <c r="N3987" t="s">
        <v>7</v>
      </c>
      <c r="O3987" t="s">
        <v>297</v>
      </c>
    </row>
    <row r="3988" spans="1:15" x14ac:dyDescent="0.3">
      <c r="A3988" t="s">
        <v>6131</v>
      </c>
      <c r="B3988" t="s">
        <v>6132</v>
      </c>
      <c r="C3988">
        <v>2022</v>
      </c>
      <c r="D3988" t="s">
        <v>272</v>
      </c>
      <c r="E3988" t="s">
        <v>1</v>
      </c>
      <c r="F3988" t="s">
        <v>51</v>
      </c>
      <c r="G3988" t="s">
        <v>292</v>
      </c>
      <c r="H3988">
        <v>75</v>
      </c>
      <c r="I3988" t="s">
        <v>6134</v>
      </c>
      <c r="J3988" t="s">
        <v>294</v>
      </c>
      <c r="M3988" t="s">
        <v>295</v>
      </c>
      <c r="N3988" t="s">
        <v>7</v>
      </c>
      <c r="O3988" t="s">
        <v>297</v>
      </c>
    </row>
    <row r="3989" spans="1:15" x14ac:dyDescent="0.3">
      <c r="A3989" t="s">
        <v>6131</v>
      </c>
      <c r="B3989" t="s">
        <v>6132</v>
      </c>
      <c r="C3989">
        <v>2022</v>
      </c>
      <c r="D3989" t="s">
        <v>272</v>
      </c>
      <c r="E3989" t="s">
        <v>5647</v>
      </c>
      <c r="F3989" t="s">
        <v>6135</v>
      </c>
      <c r="G3989" t="s">
        <v>666</v>
      </c>
      <c r="H3989">
        <v>75</v>
      </c>
      <c r="I3989" t="s">
        <v>6136</v>
      </c>
      <c r="J3989" t="s">
        <v>294</v>
      </c>
      <c r="M3989" t="s">
        <v>295</v>
      </c>
      <c r="N3989" t="s">
        <v>7</v>
      </c>
      <c r="O3989" t="s">
        <v>297</v>
      </c>
    </row>
    <row r="3990" spans="1:15" x14ac:dyDescent="0.3">
      <c r="A3990" t="s">
        <v>6131</v>
      </c>
      <c r="B3990" t="s">
        <v>6132</v>
      </c>
      <c r="C3990">
        <v>2022</v>
      </c>
      <c r="D3990" t="s">
        <v>272</v>
      </c>
      <c r="E3990" t="s">
        <v>6137</v>
      </c>
      <c r="F3990">
        <v>0.2273</v>
      </c>
      <c r="G3990" t="s">
        <v>334</v>
      </c>
      <c r="H3990">
        <v>72</v>
      </c>
      <c r="I3990" t="s">
        <v>6138</v>
      </c>
      <c r="J3990" t="s">
        <v>294</v>
      </c>
      <c r="M3990" t="s">
        <v>295</v>
      </c>
      <c r="N3990" t="s">
        <v>7</v>
      </c>
      <c r="O3990" t="s">
        <v>297</v>
      </c>
    </row>
    <row r="3991" spans="1:15" x14ac:dyDescent="0.3">
      <c r="A3991" t="s">
        <v>6131</v>
      </c>
      <c r="B3991" t="s">
        <v>6132</v>
      </c>
      <c r="C3991">
        <v>2022</v>
      </c>
      <c r="D3991" t="s">
        <v>272</v>
      </c>
      <c r="E3991" t="s">
        <v>6139</v>
      </c>
      <c r="F3991">
        <v>0.1948</v>
      </c>
      <c r="G3991" t="s">
        <v>334</v>
      </c>
      <c r="H3991">
        <v>72</v>
      </c>
      <c r="I3991" t="s">
        <v>6140</v>
      </c>
      <c r="J3991" t="s">
        <v>294</v>
      </c>
      <c r="M3991" t="s">
        <v>295</v>
      </c>
      <c r="N3991" t="s">
        <v>7</v>
      </c>
      <c r="O3991" t="s">
        <v>297</v>
      </c>
    </row>
    <row r="3992" spans="1:15" x14ac:dyDescent="0.3">
      <c r="A3992" t="s">
        <v>6131</v>
      </c>
      <c r="B3992" t="s">
        <v>6132</v>
      </c>
      <c r="C3992">
        <v>2022</v>
      </c>
      <c r="D3992" t="s">
        <v>272</v>
      </c>
      <c r="E3992" t="s">
        <v>6141</v>
      </c>
      <c r="F3992">
        <v>0.17610000000000001</v>
      </c>
      <c r="G3992" t="s">
        <v>334</v>
      </c>
      <c r="H3992">
        <v>72</v>
      </c>
      <c r="I3992" t="s">
        <v>6142</v>
      </c>
      <c r="J3992" t="s">
        <v>294</v>
      </c>
      <c r="M3992" t="s">
        <v>295</v>
      </c>
      <c r="N3992" t="s">
        <v>7</v>
      </c>
      <c r="O3992" t="s">
        <v>297</v>
      </c>
    </row>
    <row r="3993" spans="1:15" x14ac:dyDescent="0.3">
      <c r="A3993" t="s">
        <v>6131</v>
      </c>
      <c r="B3993" t="s">
        <v>6132</v>
      </c>
      <c r="C3993">
        <v>2022</v>
      </c>
      <c r="D3993" t="s">
        <v>272</v>
      </c>
      <c r="E3993" t="s">
        <v>6143</v>
      </c>
      <c r="F3993">
        <v>0.15290000000000001</v>
      </c>
      <c r="G3993" t="s">
        <v>334</v>
      </c>
      <c r="H3993">
        <v>72</v>
      </c>
      <c r="I3993" t="s">
        <v>6144</v>
      </c>
      <c r="J3993" t="s">
        <v>294</v>
      </c>
      <c r="M3993" t="s">
        <v>295</v>
      </c>
      <c r="N3993" t="s">
        <v>7</v>
      </c>
      <c r="O3993" t="s">
        <v>297</v>
      </c>
    </row>
    <row r="3994" spans="1:15" x14ac:dyDescent="0.3">
      <c r="A3994" t="s">
        <v>6131</v>
      </c>
      <c r="B3994" t="s">
        <v>6132</v>
      </c>
      <c r="C3994">
        <v>2022</v>
      </c>
      <c r="D3994" t="s">
        <v>272</v>
      </c>
      <c r="E3994" t="s">
        <v>445</v>
      </c>
      <c r="F3994">
        <v>0.24890000000000001</v>
      </c>
      <c r="G3994" t="s">
        <v>334</v>
      </c>
      <c r="H3994">
        <v>72</v>
      </c>
      <c r="I3994" t="s">
        <v>6145</v>
      </c>
      <c r="J3994" t="s">
        <v>294</v>
      </c>
      <c r="M3994" t="s">
        <v>295</v>
      </c>
      <c r="N3994" t="s">
        <v>7</v>
      </c>
      <c r="O3994" t="s">
        <v>297</v>
      </c>
    </row>
    <row r="3995" spans="1:15" x14ac:dyDescent="0.3">
      <c r="A3995" t="s">
        <v>6131</v>
      </c>
      <c r="B3995" t="s">
        <v>6132</v>
      </c>
      <c r="C3995">
        <v>2022</v>
      </c>
      <c r="D3995" t="s">
        <v>272</v>
      </c>
      <c r="E3995" t="s">
        <v>6146</v>
      </c>
      <c r="F3995" t="s">
        <v>6147</v>
      </c>
      <c r="G3995" t="s">
        <v>292</v>
      </c>
      <c r="H3995">
        <v>74</v>
      </c>
      <c r="I3995" t="s">
        <v>6148</v>
      </c>
      <c r="J3995" t="s">
        <v>294</v>
      </c>
      <c r="M3995" t="s">
        <v>295</v>
      </c>
      <c r="N3995" t="s">
        <v>7</v>
      </c>
      <c r="O3995" t="s">
        <v>297</v>
      </c>
    </row>
    <row r="3996" spans="1:15" x14ac:dyDescent="0.3">
      <c r="A3996" t="s">
        <v>6131</v>
      </c>
      <c r="B3996" t="s">
        <v>6132</v>
      </c>
      <c r="C3996">
        <v>2022</v>
      </c>
      <c r="D3996" t="s">
        <v>272</v>
      </c>
      <c r="E3996" t="s">
        <v>6149</v>
      </c>
      <c r="F3996" t="s">
        <v>6150</v>
      </c>
      <c r="G3996" t="s">
        <v>292</v>
      </c>
      <c r="H3996">
        <v>74</v>
      </c>
      <c r="I3996" t="s">
        <v>6151</v>
      </c>
      <c r="J3996" t="s">
        <v>294</v>
      </c>
      <c r="M3996" t="s">
        <v>295</v>
      </c>
      <c r="N3996" t="s">
        <v>7</v>
      </c>
      <c r="O3996" t="s">
        <v>297</v>
      </c>
    </row>
    <row r="3997" spans="1:15" x14ac:dyDescent="0.3">
      <c r="A3997" t="s">
        <v>6131</v>
      </c>
      <c r="B3997" t="s">
        <v>6132</v>
      </c>
      <c r="C3997">
        <v>2022</v>
      </c>
      <c r="D3997" t="s">
        <v>272</v>
      </c>
      <c r="E3997" t="s">
        <v>6152</v>
      </c>
      <c r="F3997" t="s">
        <v>6153</v>
      </c>
      <c r="G3997" t="s">
        <v>292</v>
      </c>
      <c r="H3997">
        <v>74</v>
      </c>
      <c r="I3997" t="s">
        <v>6154</v>
      </c>
      <c r="J3997" t="s">
        <v>294</v>
      </c>
      <c r="M3997" t="s">
        <v>295</v>
      </c>
      <c r="N3997" t="s">
        <v>7</v>
      </c>
      <c r="O3997" t="s">
        <v>297</v>
      </c>
    </row>
    <row r="3998" spans="1:15" x14ac:dyDescent="0.3">
      <c r="A3998" t="s">
        <v>6131</v>
      </c>
      <c r="B3998" t="s">
        <v>6132</v>
      </c>
      <c r="C3998">
        <v>2022</v>
      </c>
      <c r="D3998" t="s">
        <v>300</v>
      </c>
      <c r="E3998" t="s">
        <v>301</v>
      </c>
      <c r="F3998">
        <v>2034</v>
      </c>
      <c r="G3998" t="s">
        <v>302</v>
      </c>
      <c r="H3998">
        <v>8</v>
      </c>
      <c r="I3998" t="s">
        <v>6155</v>
      </c>
      <c r="J3998" t="s">
        <v>294</v>
      </c>
      <c r="M3998" t="s">
        <v>295</v>
      </c>
      <c r="N3998" t="s">
        <v>7</v>
      </c>
      <c r="O3998" t="s">
        <v>297</v>
      </c>
    </row>
    <row r="3999" spans="1:15" x14ac:dyDescent="0.3">
      <c r="A3999" t="s">
        <v>6131</v>
      </c>
      <c r="B3999" t="s">
        <v>6132</v>
      </c>
      <c r="C3999">
        <v>2022</v>
      </c>
      <c r="D3999" t="s">
        <v>300</v>
      </c>
      <c r="E3999" t="s">
        <v>688</v>
      </c>
      <c r="F3999">
        <v>1505</v>
      </c>
      <c r="G3999" t="s">
        <v>302</v>
      </c>
      <c r="H3999">
        <v>8</v>
      </c>
      <c r="I3999" t="s">
        <v>6156</v>
      </c>
      <c r="J3999" t="s">
        <v>294</v>
      </c>
      <c r="M3999" t="s">
        <v>295</v>
      </c>
      <c r="N3999" t="s">
        <v>7</v>
      </c>
      <c r="O3999" t="s">
        <v>297</v>
      </c>
    </row>
    <row r="4000" spans="1:15" x14ac:dyDescent="0.3">
      <c r="A4000" t="s">
        <v>6131</v>
      </c>
      <c r="B4000" t="s">
        <v>6132</v>
      </c>
      <c r="C4000">
        <v>2022</v>
      </c>
      <c r="D4000" t="s">
        <v>300</v>
      </c>
      <c r="E4000" t="s">
        <v>304</v>
      </c>
      <c r="F4000">
        <v>529</v>
      </c>
      <c r="G4000" t="s">
        <v>302</v>
      </c>
      <c r="H4000">
        <v>8</v>
      </c>
      <c r="I4000" t="s">
        <v>6157</v>
      </c>
      <c r="J4000" t="s">
        <v>294</v>
      </c>
      <c r="M4000" t="s">
        <v>295</v>
      </c>
      <c r="N4000" t="s">
        <v>7</v>
      </c>
      <c r="O4000" t="s">
        <v>297</v>
      </c>
    </row>
    <row r="4001" spans="1:15" x14ac:dyDescent="0.3">
      <c r="A4001" t="s">
        <v>6131</v>
      </c>
      <c r="B4001" t="s">
        <v>6132</v>
      </c>
      <c r="C4001">
        <v>2022</v>
      </c>
      <c r="D4001" t="s">
        <v>300</v>
      </c>
      <c r="E4001" t="s">
        <v>452</v>
      </c>
      <c r="F4001">
        <v>212</v>
      </c>
      <c r="G4001" t="s">
        <v>302</v>
      </c>
      <c r="H4001">
        <v>8</v>
      </c>
      <c r="I4001" t="s">
        <v>6158</v>
      </c>
      <c r="J4001" t="s">
        <v>294</v>
      </c>
      <c r="M4001" t="s">
        <v>295</v>
      </c>
      <c r="N4001" t="s">
        <v>7</v>
      </c>
      <c r="O4001" t="s">
        <v>297</v>
      </c>
    </row>
    <row r="4002" spans="1:15" x14ac:dyDescent="0.3">
      <c r="A4002" t="s">
        <v>6131</v>
      </c>
      <c r="B4002" t="s">
        <v>6132</v>
      </c>
      <c r="C4002">
        <v>2022</v>
      </c>
      <c r="D4002" t="s">
        <v>300</v>
      </c>
      <c r="E4002" t="s">
        <v>5214</v>
      </c>
      <c r="F4002">
        <v>317</v>
      </c>
      <c r="G4002" t="s">
        <v>302</v>
      </c>
      <c r="H4002">
        <v>8</v>
      </c>
      <c r="I4002" t="s">
        <v>6159</v>
      </c>
      <c r="J4002" t="s">
        <v>294</v>
      </c>
      <c r="M4002" t="s">
        <v>295</v>
      </c>
      <c r="N4002" t="s">
        <v>7</v>
      </c>
      <c r="O4002" t="s">
        <v>297</v>
      </c>
    </row>
    <row r="4003" spans="1:15" x14ac:dyDescent="0.3">
      <c r="A4003" t="s">
        <v>6131</v>
      </c>
      <c r="B4003" t="s">
        <v>6132</v>
      </c>
      <c r="C4003">
        <v>2022</v>
      </c>
      <c r="D4003" t="s">
        <v>300</v>
      </c>
      <c r="E4003" t="s">
        <v>579</v>
      </c>
      <c r="F4003">
        <v>226</v>
      </c>
      <c r="G4003" t="s">
        <v>302</v>
      </c>
      <c r="H4003">
        <v>8</v>
      </c>
      <c r="I4003" t="s">
        <v>6160</v>
      </c>
      <c r="J4003" t="s">
        <v>294</v>
      </c>
      <c r="M4003" t="s">
        <v>295</v>
      </c>
      <c r="N4003" t="s">
        <v>7</v>
      </c>
      <c r="O4003" t="s">
        <v>297</v>
      </c>
    </row>
    <row r="4004" spans="1:15" x14ac:dyDescent="0.3">
      <c r="A4004" t="s">
        <v>6131</v>
      </c>
      <c r="B4004" t="s">
        <v>6132</v>
      </c>
      <c r="C4004">
        <v>2022</v>
      </c>
      <c r="D4004" t="s">
        <v>300</v>
      </c>
      <c r="E4004" t="s">
        <v>306</v>
      </c>
      <c r="F4004">
        <v>173</v>
      </c>
      <c r="G4004" t="s">
        <v>302</v>
      </c>
      <c r="H4004">
        <v>8</v>
      </c>
      <c r="I4004" t="s">
        <v>6161</v>
      </c>
      <c r="J4004" t="s">
        <v>294</v>
      </c>
      <c r="M4004" t="s">
        <v>295</v>
      </c>
      <c r="N4004" t="s">
        <v>7</v>
      </c>
      <c r="O4004" t="s">
        <v>297</v>
      </c>
    </row>
    <row r="4005" spans="1:15" x14ac:dyDescent="0.3">
      <c r="A4005" t="s">
        <v>6131</v>
      </c>
      <c r="B4005" t="s">
        <v>6132</v>
      </c>
      <c r="C4005">
        <v>2022</v>
      </c>
      <c r="D4005" t="s">
        <v>300</v>
      </c>
      <c r="E4005" t="s">
        <v>308</v>
      </c>
      <c r="F4005">
        <v>173</v>
      </c>
      <c r="G4005" t="s">
        <v>302</v>
      </c>
      <c r="H4005">
        <v>8</v>
      </c>
      <c r="I4005" t="s">
        <v>6162</v>
      </c>
      <c r="J4005" t="s">
        <v>294</v>
      </c>
      <c r="M4005" t="s">
        <v>295</v>
      </c>
      <c r="N4005" t="s">
        <v>7</v>
      </c>
      <c r="O4005" t="s">
        <v>297</v>
      </c>
    </row>
    <row r="4006" spans="1:15" x14ac:dyDescent="0.3">
      <c r="A4006" t="s">
        <v>6131</v>
      </c>
      <c r="B4006" t="s">
        <v>6132</v>
      </c>
      <c r="C4006">
        <v>2022</v>
      </c>
      <c r="D4006" t="s">
        <v>300</v>
      </c>
      <c r="E4006" t="s">
        <v>316</v>
      </c>
      <c r="F4006">
        <v>1551</v>
      </c>
      <c r="G4006" t="s">
        <v>302</v>
      </c>
      <c r="H4006">
        <v>10</v>
      </c>
      <c r="I4006" t="s">
        <v>6163</v>
      </c>
      <c r="J4006" t="s">
        <v>294</v>
      </c>
      <c r="M4006" t="s">
        <v>295</v>
      </c>
      <c r="N4006" t="s">
        <v>7</v>
      </c>
      <c r="O4006" t="s">
        <v>297</v>
      </c>
    </row>
    <row r="4007" spans="1:15" x14ac:dyDescent="0.3">
      <c r="A4007" t="s">
        <v>6131</v>
      </c>
      <c r="B4007" t="s">
        <v>6132</v>
      </c>
      <c r="C4007">
        <v>2022</v>
      </c>
      <c r="D4007" t="s">
        <v>300</v>
      </c>
      <c r="E4007" t="s">
        <v>312</v>
      </c>
      <c r="F4007">
        <v>496</v>
      </c>
      <c r="G4007" t="s">
        <v>302</v>
      </c>
      <c r="H4007">
        <v>249</v>
      </c>
      <c r="I4007" t="s">
        <v>6164</v>
      </c>
      <c r="J4007" t="s">
        <v>294</v>
      </c>
      <c r="M4007" t="s">
        <v>295</v>
      </c>
      <c r="N4007" t="s">
        <v>7</v>
      </c>
      <c r="O4007" t="s">
        <v>297</v>
      </c>
    </row>
    <row r="4008" spans="1:15" x14ac:dyDescent="0.3">
      <c r="A4008" t="s">
        <v>6131</v>
      </c>
      <c r="B4008" t="s">
        <v>6132</v>
      </c>
      <c r="C4008">
        <v>2022</v>
      </c>
      <c r="D4008" t="s">
        <v>300</v>
      </c>
      <c r="E4008" t="s">
        <v>314</v>
      </c>
      <c r="F4008">
        <v>1054</v>
      </c>
      <c r="G4008" t="s">
        <v>302</v>
      </c>
      <c r="H4008">
        <v>249</v>
      </c>
      <c r="I4008" t="s">
        <v>6165</v>
      </c>
      <c r="J4008" t="s">
        <v>294</v>
      </c>
      <c r="M4008" t="s">
        <v>295</v>
      </c>
      <c r="N4008" t="s">
        <v>7</v>
      </c>
      <c r="O4008" t="s">
        <v>297</v>
      </c>
    </row>
    <row r="4009" spans="1:15" x14ac:dyDescent="0.3">
      <c r="A4009" t="s">
        <v>6131</v>
      </c>
      <c r="B4009" t="s">
        <v>6132</v>
      </c>
      <c r="C4009">
        <v>2022</v>
      </c>
      <c r="D4009" t="s">
        <v>300</v>
      </c>
      <c r="E4009" t="s">
        <v>322</v>
      </c>
      <c r="F4009">
        <v>842</v>
      </c>
      <c r="G4009" t="s">
        <v>302</v>
      </c>
      <c r="H4009">
        <v>250</v>
      </c>
      <c r="I4009" t="s">
        <v>6166</v>
      </c>
      <c r="J4009" t="s">
        <v>294</v>
      </c>
      <c r="M4009" t="s">
        <v>295</v>
      </c>
      <c r="N4009" t="s">
        <v>7</v>
      </c>
      <c r="O4009" t="s">
        <v>297</v>
      </c>
    </row>
    <row r="4010" spans="1:15" x14ac:dyDescent="0.3">
      <c r="A4010" t="s">
        <v>6131</v>
      </c>
      <c r="B4010" t="s">
        <v>6132</v>
      </c>
      <c r="C4010">
        <v>2022</v>
      </c>
      <c r="D4010" t="s">
        <v>300</v>
      </c>
      <c r="E4010" t="s">
        <v>318</v>
      </c>
      <c r="F4010">
        <v>337</v>
      </c>
      <c r="G4010" t="s">
        <v>302</v>
      </c>
      <c r="H4010">
        <v>250</v>
      </c>
      <c r="I4010" t="s">
        <v>6167</v>
      </c>
      <c r="J4010" t="s">
        <v>294</v>
      </c>
      <c r="M4010" t="s">
        <v>295</v>
      </c>
      <c r="N4010" t="s">
        <v>7</v>
      </c>
      <c r="O4010" t="s">
        <v>297</v>
      </c>
    </row>
    <row r="4011" spans="1:15" x14ac:dyDescent="0.3">
      <c r="A4011" t="s">
        <v>6131</v>
      </c>
      <c r="B4011" t="s">
        <v>6132</v>
      </c>
      <c r="C4011">
        <v>2022</v>
      </c>
      <c r="D4011" t="s">
        <v>300</v>
      </c>
      <c r="E4011" t="s">
        <v>468</v>
      </c>
      <c r="F4011">
        <v>505</v>
      </c>
      <c r="G4011" t="s">
        <v>302</v>
      </c>
      <c r="H4011">
        <v>250</v>
      </c>
      <c r="I4011" t="s">
        <v>6168</v>
      </c>
      <c r="J4011" t="s">
        <v>294</v>
      </c>
      <c r="M4011" t="s">
        <v>295</v>
      </c>
      <c r="N4011" t="s">
        <v>7</v>
      </c>
      <c r="O4011" t="s">
        <v>297</v>
      </c>
    </row>
    <row r="4012" spans="1:15" x14ac:dyDescent="0.3">
      <c r="A4012" t="s">
        <v>6131</v>
      </c>
      <c r="B4012" t="s">
        <v>6132</v>
      </c>
      <c r="C4012">
        <v>2022</v>
      </c>
      <c r="D4012" t="s">
        <v>300</v>
      </c>
      <c r="E4012" t="s">
        <v>324</v>
      </c>
      <c r="F4012">
        <v>708</v>
      </c>
      <c r="G4012" t="s">
        <v>302</v>
      </c>
      <c r="H4012">
        <v>10</v>
      </c>
      <c r="I4012" t="s">
        <v>6169</v>
      </c>
      <c r="J4012" t="s">
        <v>294</v>
      </c>
      <c r="M4012" t="s">
        <v>295</v>
      </c>
      <c r="N4012" t="s">
        <v>7</v>
      </c>
      <c r="O4012" t="s">
        <v>297</v>
      </c>
    </row>
    <row r="4013" spans="1:15" x14ac:dyDescent="0.3">
      <c r="A4013" t="s">
        <v>6131</v>
      </c>
      <c r="B4013" t="s">
        <v>6132</v>
      </c>
      <c r="C4013">
        <v>2022</v>
      </c>
      <c r="D4013" t="s">
        <v>300</v>
      </c>
      <c r="E4013" t="s">
        <v>471</v>
      </c>
      <c r="F4013">
        <v>72</v>
      </c>
      <c r="G4013" t="s">
        <v>302</v>
      </c>
      <c r="H4013">
        <v>249</v>
      </c>
      <c r="I4013" t="s">
        <v>6170</v>
      </c>
      <c r="J4013" t="s">
        <v>294</v>
      </c>
      <c r="M4013" t="s">
        <v>295</v>
      </c>
      <c r="N4013" t="s">
        <v>7</v>
      </c>
      <c r="O4013" t="s">
        <v>297</v>
      </c>
    </row>
    <row r="4014" spans="1:15" x14ac:dyDescent="0.3">
      <c r="A4014" t="s">
        <v>6131</v>
      </c>
      <c r="B4014" t="s">
        <v>6132</v>
      </c>
      <c r="C4014">
        <v>2022</v>
      </c>
      <c r="D4014" t="s">
        <v>300</v>
      </c>
      <c r="E4014" t="s">
        <v>595</v>
      </c>
      <c r="F4014">
        <v>155</v>
      </c>
      <c r="G4014" t="s">
        <v>302</v>
      </c>
      <c r="H4014">
        <v>250</v>
      </c>
      <c r="I4014" t="s">
        <v>6171</v>
      </c>
      <c r="J4014" t="s">
        <v>294</v>
      </c>
      <c r="M4014" t="s">
        <v>295</v>
      </c>
      <c r="N4014" t="s">
        <v>7</v>
      </c>
      <c r="O4014" t="s">
        <v>297</v>
      </c>
    </row>
    <row r="4015" spans="1:15" x14ac:dyDescent="0.3">
      <c r="A4015" t="s">
        <v>6131</v>
      </c>
      <c r="B4015" t="s">
        <v>6132</v>
      </c>
      <c r="C4015">
        <v>2022</v>
      </c>
      <c r="D4015" t="s">
        <v>300</v>
      </c>
      <c r="E4015" t="s">
        <v>4876</v>
      </c>
      <c r="F4015">
        <v>91</v>
      </c>
      <c r="G4015" t="s">
        <v>302</v>
      </c>
      <c r="H4015">
        <v>250</v>
      </c>
      <c r="I4015" t="s">
        <v>6172</v>
      </c>
      <c r="J4015" t="s">
        <v>294</v>
      </c>
      <c r="M4015" t="s">
        <v>295</v>
      </c>
      <c r="N4015" t="s">
        <v>7</v>
      </c>
      <c r="O4015" t="s">
        <v>297</v>
      </c>
    </row>
    <row r="4016" spans="1:15" x14ac:dyDescent="0.3">
      <c r="A4016" t="s">
        <v>6131</v>
      </c>
      <c r="B4016" t="s">
        <v>6132</v>
      </c>
      <c r="C4016">
        <v>2022</v>
      </c>
      <c r="D4016" t="s">
        <v>300</v>
      </c>
      <c r="E4016" t="s">
        <v>475</v>
      </c>
      <c r="F4016">
        <v>439</v>
      </c>
      <c r="G4016" t="s">
        <v>302</v>
      </c>
      <c r="H4016">
        <v>250</v>
      </c>
      <c r="I4016" t="s">
        <v>6173</v>
      </c>
      <c r="J4016" t="s">
        <v>294</v>
      </c>
      <c r="M4016" t="s">
        <v>295</v>
      </c>
      <c r="N4016" t="s">
        <v>7</v>
      </c>
      <c r="O4016" t="s">
        <v>297</v>
      </c>
    </row>
    <row r="4017" spans="1:15" x14ac:dyDescent="0.3">
      <c r="A4017" t="s">
        <v>6131</v>
      </c>
      <c r="B4017" t="s">
        <v>6132</v>
      </c>
      <c r="C4017">
        <v>2022</v>
      </c>
      <c r="D4017" t="s">
        <v>300</v>
      </c>
      <c r="E4017" t="s">
        <v>4225</v>
      </c>
      <c r="F4017">
        <v>685</v>
      </c>
      <c r="G4017" t="s">
        <v>302</v>
      </c>
      <c r="H4017">
        <v>250</v>
      </c>
      <c r="I4017" t="s">
        <v>6174</v>
      </c>
      <c r="J4017" t="s">
        <v>294</v>
      </c>
      <c r="M4017" t="s">
        <v>295</v>
      </c>
      <c r="N4017" t="s">
        <v>7</v>
      </c>
      <c r="O4017" t="s">
        <v>297</v>
      </c>
    </row>
    <row r="4018" spans="1:15" x14ac:dyDescent="0.3">
      <c r="A4018" t="s">
        <v>6131</v>
      </c>
      <c r="B4018" t="s">
        <v>6132</v>
      </c>
      <c r="C4018">
        <v>2022</v>
      </c>
      <c r="D4018" t="s">
        <v>300</v>
      </c>
      <c r="E4018" t="s">
        <v>6175</v>
      </c>
      <c r="F4018">
        <v>43</v>
      </c>
      <c r="G4018" t="s">
        <v>302</v>
      </c>
      <c r="H4018">
        <v>249</v>
      </c>
      <c r="I4018" t="s">
        <v>6176</v>
      </c>
      <c r="J4018" t="s">
        <v>294</v>
      </c>
      <c r="M4018" t="s">
        <v>295</v>
      </c>
      <c r="N4018" t="s">
        <v>7</v>
      </c>
      <c r="O4018" t="s">
        <v>297</v>
      </c>
    </row>
    <row r="4019" spans="1:15" x14ac:dyDescent="0.3">
      <c r="A4019" t="s">
        <v>6131</v>
      </c>
      <c r="B4019" t="s">
        <v>6132</v>
      </c>
      <c r="C4019">
        <v>2022</v>
      </c>
      <c r="D4019" t="s">
        <v>300</v>
      </c>
      <c r="E4019" t="s">
        <v>6177</v>
      </c>
      <c r="F4019">
        <v>300</v>
      </c>
      <c r="G4019" t="s">
        <v>302</v>
      </c>
      <c r="H4019">
        <v>249</v>
      </c>
      <c r="I4019" t="s">
        <v>6178</v>
      </c>
      <c r="J4019" t="s">
        <v>294</v>
      </c>
      <c r="M4019" t="s">
        <v>295</v>
      </c>
      <c r="N4019" t="s">
        <v>7</v>
      </c>
      <c r="O4019" t="s">
        <v>297</v>
      </c>
    </row>
    <row r="4020" spans="1:15" x14ac:dyDescent="0.3">
      <c r="A4020" t="s">
        <v>6131</v>
      </c>
      <c r="B4020" t="s">
        <v>6132</v>
      </c>
      <c r="C4020">
        <v>2022</v>
      </c>
      <c r="D4020" t="s">
        <v>300</v>
      </c>
      <c r="E4020" t="s">
        <v>601</v>
      </c>
      <c r="F4020">
        <v>200</v>
      </c>
      <c r="G4020" t="s">
        <v>302</v>
      </c>
      <c r="H4020">
        <v>109</v>
      </c>
      <c r="I4020" t="s">
        <v>6179</v>
      </c>
      <c r="J4020" t="s">
        <v>294</v>
      </c>
      <c r="M4020" t="s">
        <v>295</v>
      </c>
      <c r="N4020" t="s">
        <v>7</v>
      </c>
      <c r="O4020" t="s">
        <v>297</v>
      </c>
    </row>
    <row r="4021" spans="1:15" x14ac:dyDescent="0.3">
      <c r="A4021" t="s">
        <v>6131</v>
      </c>
      <c r="B4021" t="s">
        <v>6132</v>
      </c>
      <c r="C4021">
        <v>2022</v>
      </c>
      <c r="D4021" t="s">
        <v>300</v>
      </c>
      <c r="E4021" t="s">
        <v>603</v>
      </c>
      <c r="F4021">
        <v>-65</v>
      </c>
      <c r="G4021" t="s">
        <v>302</v>
      </c>
      <c r="H4021">
        <v>109</v>
      </c>
      <c r="I4021" t="s">
        <v>6180</v>
      </c>
      <c r="J4021" t="s">
        <v>294</v>
      </c>
      <c r="M4021" t="s">
        <v>295</v>
      </c>
      <c r="N4021" t="s">
        <v>7</v>
      </c>
      <c r="O4021" t="s">
        <v>297</v>
      </c>
    </row>
    <row r="4022" spans="1:15" x14ac:dyDescent="0.3">
      <c r="A4022" t="s">
        <v>6131</v>
      </c>
      <c r="B4022" t="s">
        <v>6132</v>
      </c>
      <c r="C4022">
        <v>2022</v>
      </c>
      <c r="D4022" t="s">
        <v>300</v>
      </c>
      <c r="E4022" t="s">
        <v>716</v>
      </c>
      <c r="F4022">
        <v>-124</v>
      </c>
      <c r="G4022" t="s">
        <v>302</v>
      </c>
      <c r="H4022">
        <v>109</v>
      </c>
      <c r="I4022" t="s">
        <v>6181</v>
      </c>
      <c r="J4022" t="s">
        <v>294</v>
      </c>
      <c r="M4022" t="s">
        <v>295</v>
      </c>
      <c r="N4022" t="s">
        <v>7</v>
      </c>
      <c r="O4022" t="s">
        <v>297</v>
      </c>
    </row>
    <row r="4023" spans="1:15" x14ac:dyDescent="0.3">
      <c r="A4023" t="s">
        <v>6131</v>
      </c>
      <c r="B4023" t="s">
        <v>6132</v>
      </c>
      <c r="C4023">
        <v>2022</v>
      </c>
      <c r="D4023" t="s">
        <v>300</v>
      </c>
      <c r="E4023" t="s">
        <v>6182</v>
      </c>
      <c r="F4023">
        <v>65</v>
      </c>
      <c r="G4023" t="s">
        <v>302</v>
      </c>
      <c r="H4023">
        <v>109</v>
      </c>
      <c r="I4023" t="s">
        <v>6183</v>
      </c>
      <c r="J4023" t="s">
        <v>456</v>
      </c>
      <c r="M4023" t="s">
        <v>295</v>
      </c>
      <c r="N4023" t="s">
        <v>7</v>
      </c>
      <c r="O4023" t="s">
        <v>297</v>
      </c>
    </row>
    <row r="4024" spans="1:15" x14ac:dyDescent="0.3">
      <c r="A4024" t="s">
        <v>6131</v>
      </c>
      <c r="B4024" t="s">
        <v>6132</v>
      </c>
      <c r="C4024">
        <v>2022</v>
      </c>
      <c r="D4024" t="s">
        <v>300</v>
      </c>
      <c r="E4024" t="s">
        <v>345</v>
      </c>
      <c r="F4024">
        <v>222</v>
      </c>
      <c r="G4024" t="s">
        <v>346</v>
      </c>
      <c r="H4024">
        <v>8</v>
      </c>
      <c r="I4024" t="s">
        <v>6184</v>
      </c>
      <c r="J4024" t="s">
        <v>294</v>
      </c>
      <c r="M4024" t="s">
        <v>295</v>
      </c>
      <c r="N4024" t="s">
        <v>7</v>
      </c>
      <c r="O4024" t="s">
        <v>297</v>
      </c>
    </row>
    <row r="4025" spans="1:15" x14ac:dyDescent="0.3">
      <c r="A4025" t="s">
        <v>6131</v>
      </c>
      <c r="B4025" t="s">
        <v>6132</v>
      </c>
      <c r="C4025">
        <v>2022</v>
      </c>
      <c r="D4025" t="s">
        <v>300</v>
      </c>
      <c r="E4025" t="s">
        <v>342</v>
      </c>
      <c r="F4025">
        <v>781250000</v>
      </c>
      <c r="G4025" t="s">
        <v>1633</v>
      </c>
      <c r="H4025">
        <v>11</v>
      </c>
      <c r="I4025" t="s">
        <v>6185</v>
      </c>
      <c r="J4025" t="s">
        <v>294</v>
      </c>
      <c r="M4025" t="s">
        <v>295</v>
      </c>
      <c r="N4025" t="s">
        <v>7</v>
      </c>
      <c r="O4025" t="s">
        <v>297</v>
      </c>
    </row>
    <row r="4026" spans="1:15" x14ac:dyDescent="0.3">
      <c r="A4026" t="s">
        <v>6131</v>
      </c>
      <c r="B4026" t="s">
        <v>6132</v>
      </c>
      <c r="C4026">
        <v>2022</v>
      </c>
      <c r="D4026" t="s">
        <v>300</v>
      </c>
      <c r="E4026" t="s">
        <v>723</v>
      </c>
      <c r="F4026">
        <v>1400</v>
      </c>
      <c r="G4026" t="s">
        <v>346</v>
      </c>
      <c r="H4026">
        <v>11</v>
      </c>
      <c r="I4026" t="s">
        <v>6186</v>
      </c>
      <c r="J4026" t="s">
        <v>294</v>
      </c>
      <c r="M4026" t="s">
        <v>295</v>
      </c>
      <c r="N4026" t="s">
        <v>7</v>
      </c>
      <c r="O4026" t="s">
        <v>297</v>
      </c>
    </row>
    <row r="4027" spans="1:15" x14ac:dyDescent="0.3">
      <c r="A4027" t="s">
        <v>6131</v>
      </c>
      <c r="B4027" t="s">
        <v>6132</v>
      </c>
      <c r="C4027">
        <v>2022</v>
      </c>
      <c r="D4027" t="s">
        <v>300</v>
      </c>
      <c r="E4027" t="s">
        <v>6187</v>
      </c>
      <c r="F4027">
        <v>70</v>
      </c>
      <c r="G4027" t="s">
        <v>346</v>
      </c>
      <c r="H4027">
        <v>12</v>
      </c>
      <c r="I4027" t="s">
        <v>6188</v>
      </c>
      <c r="J4027" t="s">
        <v>294</v>
      </c>
      <c r="M4027" t="s">
        <v>295</v>
      </c>
      <c r="N4027" t="s">
        <v>7</v>
      </c>
      <c r="O4027" t="s">
        <v>297</v>
      </c>
    </row>
    <row r="4028" spans="1:15" x14ac:dyDescent="0.3">
      <c r="A4028" t="s">
        <v>6131</v>
      </c>
      <c r="B4028" t="s">
        <v>6132</v>
      </c>
      <c r="C4028">
        <v>2022</v>
      </c>
      <c r="D4028" t="s">
        <v>300</v>
      </c>
      <c r="E4028" t="s">
        <v>6189</v>
      </c>
      <c r="F4028">
        <v>50</v>
      </c>
      <c r="G4028" t="s">
        <v>346</v>
      </c>
      <c r="H4028">
        <v>12</v>
      </c>
      <c r="I4028" t="s">
        <v>6190</v>
      </c>
      <c r="J4028" t="s">
        <v>294</v>
      </c>
      <c r="M4028" t="s">
        <v>295</v>
      </c>
      <c r="N4028" t="s">
        <v>7</v>
      </c>
      <c r="O4028" t="s">
        <v>297</v>
      </c>
    </row>
    <row r="4029" spans="1:15" x14ac:dyDescent="0.3">
      <c r="A4029" t="s">
        <v>6131</v>
      </c>
      <c r="B4029" t="s">
        <v>6132</v>
      </c>
      <c r="C4029">
        <v>2022</v>
      </c>
      <c r="D4029" t="s">
        <v>300</v>
      </c>
      <c r="E4029" t="s">
        <v>1342</v>
      </c>
      <c r="F4029">
        <v>1.18</v>
      </c>
      <c r="G4029" t="s">
        <v>327</v>
      </c>
      <c r="H4029">
        <v>10</v>
      </c>
      <c r="I4029" t="s">
        <v>6191</v>
      </c>
      <c r="J4029" t="s">
        <v>294</v>
      </c>
      <c r="M4029" t="s">
        <v>295</v>
      </c>
      <c r="N4029" t="s">
        <v>7</v>
      </c>
      <c r="O4029" t="s">
        <v>297</v>
      </c>
    </row>
    <row r="4030" spans="1:15" x14ac:dyDescent="0.3">
      <c r="A4030" t="s">
        <v>6131</v>
      </c>
      <c r="B4030" t="s">
        <v>6132</v>
      </c>
      <c r="C4030">
        <v>2022</v>
      </c>
      <c r="D4030" t="s">
        <v>300</v>
      </c>
      <c r="E4030" t="s">
        <v>333</v>
      </c>
      <c r="F4030">
        <v>0.1118</v>
      </c>
      <c r="G4030" t="s">
        <v>334</v>
      </c>
      <c r="H4030">
        <v>10</v>
      </c>
      <c r="I4030" t="s">
        <v>6192</v>
      </c>
      <c r="J4030" t="s">
        <v>294</v>
      </c>
      <c r="M4030" t="s">
        <v>295</v>
      </c>
      <c r="N4030" t="s">
        <v>7</v>
      </c>
      <c r="O4030" t="s">
        <v>297</v>
      </c>
    </row>
    <row r="4031" spans="1:15" x14ac:dyDescent="0.3">
      <c r="A4031" t="s">
        <v>6131</v>
      </c>
      <c r="B4031" t="s">
        <v>6132</v>
      </c>
      <c r="C4031">
        <v>2022</v>
      </c>
      <c r="D4031" t="s">
        <v>300</v>
      </c>
      <c r="E4031" t="s">
        <v>336</v>
      </c>
      <c r="F4031">
        <v>0.2447</v>
      </c>
      <c r="G4031" t="s">
        <v>334</v>
      </c>
      <c r="H4031">
        <v>10</v>
      </c>
      <c r="I4031" t="s">
        <v>6193</v>
      </c>
      <c r="J4031" t="s">
        <v>294</v>
      </c>
      <c r="M4031" t="s">
        <v>295</v>
      </c>
      <c r="N4031" t="s">
        <v>7</v>
      </c>
      <c r="O4031" t="s">
        <v>297</v>
      </c>
    </row>
    <row r="4032" spans="1:15" x14ac:dyDescent="0.3">
      <c r="A4032" t="s">
        <v>6131</v>
      </c>
      <c r="B4032" t="s">
        <v>6132</v>
      </c>
      <c r="C4032">
        <v>2022</v>
      </c>
      <c r="D4032" t="s">
        <v>300</v>
      </c>
      <c r="E4032" t="s">
        <v>326</v>
      </c>
      <c r="F4032">
        <v>1.47</v>
      </c>
      <c r="G4032" t="s">
        <v>327</v>
      </c>
      <c r="H4032">
        <v>10</v>
      </c>
      <c r="I4032" t="s">
        <v>6194</v>
      </c>
      <c r="J4032" t="s">
        <v>294</v>
      </c>
      <c r="M4032" t="s">
        <v>295</v>
      </c>
      <c r="N4032" t="s">
        <v>7</v>
      </c>
      <c r="O4032" t="s">
        <v>297</v>
      </c>
    </row>
    <row r="4033" spans="1:15" x14ac:dyDescent="0.3">
      <c r="A4033" t="s">
        <v>6131</v>
      </c>
      <c r="B4033" t="s">
        <v>6132</v>
      </c>
      <c r="C4033">
        <v>2022</v>
      </c>
      <c r="D4033" t="s">
        <v>358</v>
      </c>
      <c r="E4033" t="s">
        <v>6195</v>
      </c>
      <c r="F4033">
        <v>10649</v>
      </c>
      <c r="G4033" t="s">
        <v>360</v>
      </c>
      <c r="H4033">
        <v>102</v>
      </c>
      <c r="I4033" t="s">
        <v>6196</v>
      </c>
      <c r="J4033" t="s">
        <v>294</v>
      </c>
      <c r="M4033" t="s">
        <v>295</v>
      </c>
      <c r="N4033" t="s">
        <v>7</v>
      </c>
      <c r="O4033" t="s">
        <v>297</v>
      </c>
    </row>
    <row r="4034" spans="1:15" x14ac:dyDescent="0.3">
      <c r="A4034" t="s">
        <v>6131</v>
      </c>
      <c r="B4034" t="s">
        <v>6132</v>
      </c>
      <c r="C4034">
        <v>2022</v>
      </c>
      <c r="D4034" t="s">
        <v>358</v>
      </c>
      <c r="E4034" t="s">
        <v>6197</v>
      </c>
      <c r="F4034">
        <v>2675</v>
      </c>
      <c r="G4034" t="s">
        <v>360</v>
      </c>
      <c r="H4034">
        <v>102</v>
      </c>
      <c r="I4034" t="s">
        <v>6198</v>
      </c>
      <c r="J4034" t="s">
        <v>294</v>
      </c>
      <c r="M4034" t="s">
        <v>295</v>
      </c>
      <c r="N4034" t="s">
        <v>7</v>
      </c>
      <c r="O4034" t="s">
        <v>297</v>
      </c>
    </row>
    <row r="4035" spans="1:15" x14ac:dyDescent="0.3">
      <c r="A4035" t="s">
        <v>6131</v>
      </c>
      <c r="B4035" t="s">
        <v>6132</v>
      </c>
      <c r="C4035">
        <v>2022</v>
      </c>
      <c r="D4035" t="s">
        <v>358</v>
      </c>
      <c r="E4035" t="s">
        <v>6199</v>
      </c>
      <c r="F4035">
        <v>1458</v>
      </c>
      <c r="G4035" t="s">
        <v>360</v>
      </c>
      <c r="H4035">
        <v>102</v>
      </c>
      <c r="I4035" t="s">
        <v>6200</v>
      </c>
      <c r="J4035" t="s">
        <v>294</v>
      </c>
      <c r="M4035" t="s">
        <v>295</v>
      </c>
      <c r="N4035" t="s">
        <v>7</v>
      </c>
      <c r="O4035" t="s">
        <v>297</v>
      </c>
    </row>
    <row r="4036" spans="1:15" x14ac:dyDescent="0.3">
      <c r="A4036" t="s">
        <v>6131</v>
      </c>
      <c r="B4036" t="s">
        <v>6132</v>
      </c>
      <c r="C4036">
        <v>2022</v>
      </c>
      <c r="D4036" t="s">
        <v>358</v>
      </c>
      <c r="E4036" t="s">
        <v>6201</v>
      </c>
      <c r="F4036">
        <v>7869</v>
      </c>
      <c r="G4036" t="s">
        <v>360</v>
      </c>
      <c r="H4036">
        <v>102</v>
      </c>
      <c r="I4036" t="s">
        <v>6202</v>
      </c>
      <c r="J4036" t="s">
        <v>294</v>
      </c>
      <c r="M4036" t="s">
        <v>295</v>
      </c>
      <c r="N4036" t="s">
        <v>7</v>
      </c>
      <c r="O4036" t="s">
        <v>297</v>
      </c>
    </row>
    <row r="4037" spans="1:15" x14ac:dyDescent="0.3">
      <c r="A4037" t="s">
        <v>6131</v>
      </c>
      <c r="B4037" t="s">
        <v>6132</v>
      </c>
      <c r="C4037">
        <v>2022</v>
      </c>
      <c r="D4037" t="s">
        <v>358</v>
      </c>
      <c r="E4037" t="s">
        <v>6203</v>
      </c>
      <c r="F4037">
        <v>1322</v>
      </c>
      <c r="G4037" t="s">
        <v>360</v>
      </c>
      <c r="H4037">
        <v>102</v>
      </c>
      <c r="I4037" t="s">
        <v>6204</v>
      </c>
      <c r="J4037" t="s">
        <v>294</v>
      </c>
      <c r="M4037" t="s">
        <v>295</v>
      </c>
      <c r="N4037" t="s">
        <v>7</v>
      </c>
      <c r="O4037" t="s">
        <v>297</v>
      </c>
    </row>
    <row r="4038" spans="1:15" x14ac:dyDescent="0.3">
      <c r="A4038" t="s">
        <v>6131</v>
      </c>
      <c r="B4038" t="s">
        <v>6132</v>
      </c>
      <c r="C4038">
        <v>2022</v>
      </c>
      <c r="D4038" t="s">
        <v>358</v>
      </c>
      <c r="E4038" t="s">
        <v>6205</v>
      </c>
      <c r="F4038">
        <v>2963</v>
      </c>
      <c r="G4038" t="s">
        <v>360</v>
      </c>
      <c r="H4038">
        <v>104</v>
      </c>
      <c r="I4038" t="s">
        <v>6206</v>
      </c>
      <c r="J4038" t="s">
        <v>294</v>
      </c>
      <c r="M4038" t="s">
        <v>295</v>
      </c>
      <c r="N4038" t="s">
        <v>7</v>
      </c>
      <c r="O4038" t="s">
        <v>297</v>
      </c>
    </row>
    <row r="4039" spans="1:15" x14ac:dyDescent="0.3">
      <c r="A4039" t="s">
        <v>6131</v>
      </c>
      <c r="B4039" t="s">
        <v>6132</v>
      </c>
      <c r="C4039">
        <v>2022</v>
      </c>
      <c r="D4039" t="s">
        <v>358</v>
      </c>
      <c r="E4039" t="s">
        <v>6207</v>
      </c>
      <c r="F4039">
        <v>1167</v>
      </c>
      <c r="G4039" t="s">
        <v>360</v>
      </c>
      <c r="H4039">
        <v>104</v>
      </c>
      <c r="I4039" t="s">
        <v>6208</v>
      </c>
      <c r="J4039" t="s">
        <v>294</v>
      </c>
      <c r="M4039" t="s">
        <v>295</v>
      </c>
      <c r="N4039" t="s">
        <v>7</v>
      </c>
      <c r="O4039" t="s">
        <v>297</v>
      </c>
    </row>
    <row r="4040" spans="1:15" x14ac:dyDescent="0.3">
      <c r="A4040" t="s">
        <v>6131</v>
      </c>
      <c r="B4040" t="s">
        <v>6132</v>
      </c>
      <c r="C4040">
        <v>2022</v>
      </c>
      <c r="D4040" t="s">
        <v>358</v>
      </c>
      <c r="E4040" t="s">
        <v>6209</v>
      </c>
      <c r="F4040">
        <v>1</v>
      </c>
      <c r="G4040" t="s">
        <v>384</v>
      </c>
      <c r="H4040">
        <v>101</v>
      </c>
      <c r="I4040" t="s">
        <v>6210</v>
      </c>
      <c r="J4040" t="s">
        <v>294</v>
      </c>
      <c r="M4040" t="s">
        <v>295</v>
      </c>
      <c r="N4040" t="s">
        <v>7</v>
      </c>
      <c r="O4040" t="s">
        <v>297</v>
      </c>
    </row>
    <row r="4041" spans="1:15" x14ac:dyDescent="0.3">
      <c r="A4041" t="s">
        <v>6131</v>
      </c>
      <c r="B4041" t="s">
        <v>6132</v>
      </c>
      <c r="C4041">
        <v>2022</v>
      </c>
      <c r="D4041" t="s">
        <v>358</v>
      </c>
      <c r="E4041" t="s">
        <v>6211</v>
      </c>
      <c r="F4041">
        <v>120</v>
      </c>
      <c r="G4041" t="s">
        <v>738</v>
      </c>
      <c r="H4041">
        <v>101</v>
      </c>
      <c r="I4041" t="s">
        <v>6212</v>
      </c>
      <c r="J4041" t="s">
        <v>294</v>
      </c>
      <c r="M4041" t="s">
        <v>295</v>
      </c>
      <c r="N4041" t="s">
        <v>7</v>
      </c>
      <c r="O4041" t="s">
        <v>297</v>
      </c>
    </row>
    <row r="4042" spans="1:15" x14ac:dyDescent="0.3">
      <c r="A4042" t="s">
        <v>6131</v>
      </c>
      <c r="B4042" t="s">
        <v>6132</v>
      </c>
      <c r="C4042">
        <v>2022</v>
      </c>
      <c r="D4042" t="s">
        <v>358</v>
      </c>
      <c r="E4042" t="s">
        <v>6213</v>
      </c>
      <c r="F4042">
        <v>86.2</v>
      </c>
      <c r="G4042" t="s">
        <v>738</v>
      </c>
      <c r="H4042">
        <v>101</v>
      </c>
      <c r="I4042" t="s">
        <v>6214</v>
      </c>
      <c r="J4042" t="s">
        <v>294</v>
      </c>
      <c r="M4042" t="s">
        <v>295</v>
      </c>
      <c r="N4042" t="s">
        <v>7</v>
      </c>
      <c r="O4042" t="s">
        <v>297</v>
      </c>
    </row>
    <row r="4043" spans="1:15" x14ac:dyDescent="0.3">
      <c r="A4043" t="s">
        <v>6131</v>
      </c>
      <c r="B4043" t="s">
        <v>6132</v>
      </c>
      <c r="C4043">
        <v>2022</v>
      </c>
      <c r="D4043" t="s">
        <v>358</v>
      </c>
      <c r="E4043" t="s">
        <v>6215</v>
      </c>
      <c r="F4043">
        <v>1</v>
      </c>
      <c r="G4043" t="s">
        <v>384</v>
      </c>
      <c r="H4043">
        <v>103</v>
      </c>
      <c r="I4043" t="s">
        <v>6216</v>
      </c>
      <c r="J4043" t="s">
        <v>294</v>
      </c>
      <c r="M4043" t="s">
        <v>295</v>
      </c>
      <c r="N4043" t="s">
        <v>7</v>
      </c>
      <c r="O4043" t="s">
        <v>297</v>
      </c>
    </row>
    <row r="4044" spans="1:15" x14ac:dyDescent="0.3">
      <c r="A4044" t="s">
        <v>6131</v>
      </c>
      <c r="B4044" t="s">
        <v>6132</v>
      </c>
      <c r="C4044">
        <v>2022</v>
      </c>
      <c r="D4044" t="s">
        <v>358</v>
      </c>
      <c r="E4044" t="s">
        <v>6217</v>
      </c>
      <c r="F4044">
        <v>6000</v>
      </c>
      <c r="G4044" t="s">
        <v>6218</v>
      </c>
      <c r="H4044">
        <v>103</v>
      </c>
      <c r="I4044" t="s">
        <v>6219</v>
      </c>
      <c r="J4044" t="s">
        <v>294</v>
      </c>
      <c r="M4044" t="s">
        <v>295</v>
      </c>
      <c r="N4044" t="s">
        <v>7</v>
      </c>
      <c r="O4044" t="s">
        <v>297</v>
      </c>
    </row>
    <row r="4045" spans="1:15" x14ac:dyDescent="0.3">
      <c r="A4045" t="s">
        <v>6131</v>
      </c>
      <c r="B4045" t="s">
        <v>6132</v>
      </c>
      <c r="C4045">
        <v>2022</v>
      </c>
      <c r="D4045" t="s">
        <v>358</v>
      </c>
      <c r="E4045" t="s">
        <v>6220</v>
      </c>
      <c r="F4045">
        <v>2300</v>
      </c>
      <c r="G4045" t="s">
        <v>6218</v>
      </c>
      <c r="H4045">
        <v>103</v>
      </c>
      <c r="I4045" t="s">
        <v>6221</v>
      </c>
      <c r="J4045" t="s">
        <v>294</v>
      </c>
      <c r="M4045" t="s">
        <v>295</v>
      </c>
      <c r="N4045" t="s">
        <v>7</v>
      </c>
      <c r="O4045" t="s">
        <v>297</v>
      </c>
    </row>
    <row r="4046" spans="1:15" x14ac:dyDescent="0.3">
      <c r="A4046" t="s">
        <v>6131</v>
      </c>
      <c r="B4046" t="s">
        <v>6132</v>
      </c>
      <c r="C4046">
        <v>2022</v>
      </c>
      <c r="D4046" t="s">
        <v>358</v>
      </c>
      <c r="E4046" t="s">
        <v>6222</v>
      </c>
      <c r="F4046">
        <v>600</v>
      </c>
      <c r="G4046" t="s">
        <v>6218</v>
      </c>
      <c r="H4046">
        <v>103</v>
      </c>
      <c r="I4046" t="s">
        <v>6223</v>
      </c>
      <c r="J4046" t="s">
        <v>294</v>
      </c>
      <c r="M4046" t="s">
        <v>295</v>
      </c>
      <c r="N4046" t="s">
        <v>7</v>
      </c>
      <c r="O4046" t="s">
        <v>297</v>
      </c>
    </row>
    <row r="4047" spans="1:15" x14ac:dyDescent="0.3">
      <c r="A4047" t="s">
        <v>6131</v>
      </c>
      <c r="B4047" t="s">
        <v>6132</v>
      </c>
      <c r="C4047">
        <v>2022</v>
      </c>
      <c r="D4047" t="s">
        <v>358</v>
      </c>
      <c r="E4047" t="s">
        <v>6224</v>
      </c>
      <c r="F4047">
        <v>131</v>
      </c>
      <c r="G4047" t="s">
        <v>6218</v>
      </c>
      <c r="H4047">
        <v>103</v>
      </c>
      <c r="I4047" t="s">
        <v>6225</v>
      </c>
      <c r="J4047" t="s">
        <v>294</v>
      </c>
      <c r="M4047" t="s">
        <v>295</v>
      </c>
      <c r="N4047" t="s">
        <v>7</v>
      </c>
      <c r="O4047" t="s">
        <v>297</v>
      </c>
    </row>
    <row r="4048" spans="1:15" x14ac:dyDescent="0.3">
      <c r="A4048" t="s">
        <v>6131</v>
      </c>
      <c r="B4048" t="s">
        <v>6132</v>
      </c>
      <c r="C4048">
        <v>2022</v>
      </c>
      <c r="D4048" t="s">
        <v>394</v>
      </c>
      <c r="E4048" t="s">
        <v>6226</v>
      </c>
      <c r="F4048">
        <v>162559</v>
      </c>
      <c r="G4048" t="s">
        <v>396</v>
      </c>
      <c r="H4048">
        <v>102</v>
      </c>
      <c r="I4048" t="s">
        <v>6227</v>
      </c>
      <c r="J4048" t="s">
        <v>294</v>
      </c>
      <c r="M4048" t="s">
        <v>295</v>
      </c>
      <c r="N4048" t="s">
        <v>7</v>
      </c>
      <c r="O4048" t="s">
        <v>297</v>
      </c>
    </row>
    <row r="4049" spans="1:15" x14ac:dyDescent="0.3">
      <c r="A4049" t="s">
        <v>6131</v>
      </c>
      <c r="B4049" t="s">
        <v>6132</v>
      </c>
      <c r="C4049">
        <v>2022</v>
      </c>
      <c r="D4049" t="s">
        <v>394</v>
      </c>
      <c r="E4049" t="s">
        <v>6228</v>
      </c>
      <c r="F4049">
        <v>19677</v>
      </c>
      <c r="G4049" t="s">
        <v>396</v>
      </c>
      <c r="H4049">
        <v>102</v>
      </c>
      <c r="I4049" t="s">
        <v>6229</v>
      </c>
      <c r="J4049" t="s">
        <v>294</v>
      </c>
      <c r="M4049" t="s">
        <v>295</v>
      </c>
      <c r="N4049" t="s">
        <v>7</v>
      </c>
      <c r="O4049" t="s">
        <v>297</v>
      </c>
    </row>
    <row r="4050" spans="1:15" x14ac:dyDescent="0.3">
      <c r="A4050" t="s">
        <v>6131</v>
      </c>
      <c r="B4050" t="s">
        <v>6132</v>
      </c>
      <c r="C4050">
        <v>2022</v>
      </c>
      <c r="D4050" t="s">
        <v>394</v>
      </c>
      <c r="E4050" t="s">
        <v>6230</v>
      </c>
      <c r="F4050">
        <v>279009</v>
      </c>
      <c r="G4050" t="s">
        <v>396</v>
      </c>
      <c r="H4050">
        <v>102</v>
      </c>
      <c r="I4050" t="s">
        <v>6231</v>
      </c>
      <c r="J4050" t="s">
        <v>294</v>
      </c>
      <c r="M4050" t="s">
        <v>295</v>
      </c>
      <c r="N4050" t="s">
        <v>7</v>
      </c>
      <c r="O4050" t="s">
        <v>297</v>
      </c>
    </row>
    <row r="4051" spans="1:15" x14ac:dyDescent="0.3">
      <c r="A4051" t="s">
        <v>6131</v>
      </c>
      <c r="B4051" t="s">
        <v>6132</v>
      </c>
      <c r="C4051">
        <v>2022</v>
      </c>
      <c r="D4051" t="s">
        <v>394</v>
      </c>
      <c r="E4051" t="s">
        <v>537</v>
      </c>
      <c r="F4051">
        <v>461245</v>
      </c>
      <c r="G4051" t="s">
        <v>396</v>
      </c>
      <c r="H4051">
        <v>102</v>
      </c>
      <c r="I4051" t="s">
        <v>6232</v>
      </c>
      <c r="J4051" t="s">
        <v>294</v>
      </c>
      <c r="M4051" t="s">
        <v>295</v>
      </c>
      <c r="N4051" t="s">
        <v>7</v>
      </c>
      <c r="O4051" t="s">
        <v>297</v>
      </c>
    </row>
    <row r="4052" spans="1:15" x14ac:dyDescent="0.3">
      <c r="A4052" t="s">
        <v>6131</v>
      </c>
      <c r="B4052" t="s">
        <v>6132</v>
      </c>
      <c r="C4052">
        <v>2022</v>
      </c>
      <c r="D4052" t="s">
        <v>394</v>
      </c>
      <c r="E4052" t="s">
        <v>406</v>
      </c>
      <c r="F4052">
        <v>100914</v>
      </c>
      <c r="G4052" t="s">
        <v>396</v>
      </c>
      <c r="H4052">
        <v>103</v>
      </c>
      <c r="I4052" t="s">
        <v>6233</v>
      </c>
      <c r="J4052" t="s">
        <v>294</v>
      </c>
      <c r="M4052" t="s">
        <v>295</v>
      </c>
      <c r="N4052" t="s">
        <v>7</v>
      </c>
      <c r="O4052" t="s">
        <v>297</v>
      </c>
    </row>
    <row r="4053" spans="1:15" x14ac:dyDescent="0.3">
      <c r="A4053" t="s">
        <v>6131</v>
      </c>
      <c r="B4053" t="s">
        <v>6132</v>
      </c>
      <c r="C4053">
        <v>2022</v>
      </c>
      <c r="D4053" t="s">
        <v>394</v>
      </c>
      <c r="E4053" t="s">
        <v>6234</v>
      </c>
      <c r="F4053">
        <v>20749</v>
      </c>
      <c r="G4053" t="s">
        <v>396</v>
      </c>
      <c r="H4053">
        <v>103</v>
      </c>
      <c r="I4053" t="s">
        <v>6235</v>
      </c>
      <c r="J4053" t="s">
        <v>294</v>
      </c>
      <c r="M4053" t="s">
        <v>295</v>
      </c>
      <c r="N4053" t="s">
        <v>7</v>
      </c>
      <c r="O4053" t="s">
        <v>297</v>
      </c>
    </row>
    <row r="4054" spans="1:15" x14ac:dyDescent="0.3">
      <c r="A4054" t="s">
        <v>6131</v>
      </c>
      <c r="B4054" t="s">
        <v>6132</v>
      </c>
      <c r="C4054">
        <v>2022</v>
      </c>
      <c r="D4054" t="s">
        <v>394</v>
      </c>
      <c r="E4054" t="s">
        <v>6236</v>
      </c>
      <c r="F4054">
        <v>27198</v>
      </c>
      <c r="G4054" t="s">
        <v>396</v>
      </c>
      <c r="H4054">
        <v>104</v>
      </c>
      <c r="I4054" t="s">
        <v>6237</v>
      </c>
      <c r="J4054" t="s">
        <v>294</v>
      </c>
      <c r="M4054" t="s">
        <v>295</v>
      </c>
      <c r="N4054" t="s">
        <v>7</v>
      </c>
      <c r="O4054" t="s">
        <v>297</v>
      </c>
    </row>
    <row r="4055" spans="1:15" x14ac:dyDescent="0.3">
      <c r="A4055" t="s">
        <v>6131</v>
      </c>
      <c r="B4055" t="s">
        <v>6132</v>
      </c>
      <c r="C4055">
        <v>2022</v>
      </c>
      <c r="D4055" t="s">
        <v>394</v>
      </c>
      <c r="E4055" t="s">
        <v>6238</v>
      </c>
      <c r="F4055">
        <v>1570</v>
      </c>
      <c r="G4055" t="s">
        <v>396</v>
      </c>
      <c r="H4055">
        <v>104</v>
      </c>
      <c r="I4055" t="s">
        <v>6239</v>
      </c>
      <c r="J4055" t="s">
        <v>294</v>
      </c>
      <c r="M4055" t="s">
        <v>295</v>
      </c>
      <c r="N4055" t="s">
        <v>7</v>
      </c>
      <c r="O4055" t="s">
        <v>297</v>
      </c>
    </row>
    <row r="4056" spans="1:15" x14ac:dyDescent="0.3">
      <c r="A4056" t="s">
        <v>6131</v>
      </c>
      <c r="B4056" t="s">
        <v>6132</v>
      </c>
      <c r="C4056">
        <v>2022</v>
      </c>
      <c r="D4056" t="s">
        <v>394</v>
      </c>
      <c r="E4056" t="s">
        <v>6240</v>
      </c>
      <c r="F4056">
        <v>1561</v>
      </c>
      <c r="G4056" t="s">
        <v>396</v>
      </c>
      <c r="H4056">
        <v>104</v>
      </c>
      <c r="I4056" t="s">
        <v>6241</v>
      </c>
      <c r="J4056" t="s">
        <v>294</v>
      </c>
      <c r="M4056" t="s">
        <v>295</v>
      </c>
      <c r="N4056" t="s">
        <v>7</v>
      </c>
      <c r="O4056" t="s">
        <v>297</v>
      </c>
    </row>
    <row r="4057" spans="1:15" x14ac:dyDescent="0.3">
      <c r="A4057" t="s">
        <v>6131</v>
      </c>
      <c r="B4057" t="s">
        <v>6132</v>
      </c>
      <c r="C4057">
        <v>2022</v>
      </c>
      <c r="D4057" t="s">
        <v>394</v>
      </c>
      <c r="E4057" t="s">
        <v>6242</v>
      </c>
      <c r="F4057">
        <v>924</v>
      </c>
      <c r="G4057" t="s">
        <v>396</v>
      </c>
      <c r="H4057">
        <v>104</v>
      </c>
      <c r="I4057" t="s">
        <v>6243</v>
      </c>
      <c r="J4057" t="s">
        <v>294</v>
      </c>
      <c r="M4057" t="s">
        <v>295</v>
      </c>
      <c r="N4057" t="s">
        <v>7</v>
      </c>
      <c r="O4057" t="s">
        <v>297</v>
      </c>
    </row>
    <row r="4058" spans="1:15" x14ac:dyDescent="0.3">
      <c r="A4058" t="s">
        <v>6131</v>
      </c>
      <c r="B4058" t="s">
        <v>6132</v>
      </c>
      <c r="C4058">
        <v>2022</v>
      </c>
      <c r="D4058" t="s">
        <v>394</v>
      </c>
      <c r="E4058" t="s">
        <v>6244</v>
      </c>
      <c r="F4058">
        <v>26976</v>
      </c>
      <c r="G4058" t="s">
        <v>396</v>
      </c>
      <c r="H4058">
        <v>104</v>
      </c>
      <c r="I4058" t="s">
        <v>6245</v>
      </c>
      <c r="J4058" t="s">
        <v>294</v>
      </c>
      <c r="M4058" t="s">
        <v>295</v>
      </c>
      <c r="N4058" t="s">
        <v>7</v>
      </c>
      <c r="O4058" t="s">
        <v>297</v>
      </c>
    </row>
    <row r="4059" spans="1:15" x14ac:dyDescent="0.3">
      <c r="A4059" t="s">
        <v>6131</v>
      </c>
      <c r="B4059" t="s">
        <v>6132</v>
      </c>
      <c r="C4059">
        <v>2022</v>
      </c>
      <c r="D4059" t="s">
        <v>394</v>
      </c>
      <c r="E4059" t="s">
        <v>438</v>
      </c>
      <c r="F4059">
        <v>88704</v>
      </c>
      <c r="G4059" t="s">
        <v>396</v>
      </c>
      <c r="H4059">
        <v>101</v>
      </c>
      <c r="I4059" t="s">
        <v>6246</v>
      </c>
      <c r="J4059" t="s">
        <v>294</v>
      </c>
      <c r="M4059" t="s">
        <v>295</v>
      </c>
      <c r="N4059" t="s">
        <v>7</v>
      </c>
      <c r="O4059" t="s">
        <v>297</v>
      </c>
    </row>
    <row r="4060" spans="1:15" x14ac:dyDescent="0.3">
      <c r="A4060" t="s">
        <v>6131</v>
      </c>
      <c r="B4060" t="s">
        <v>6132</v>
      </c>
      <c r="C4060">
        <v>2022</v>
      </c>
      <c r="D4060" t="s">
        <v>394</v>
      </c>
      <c r="E4060" t="s">
        <v>3243</v>
      </c>
      <c r="F4060">
        <v>19288</v>
      </c>
      <c r="G4060" t="s">
        <v>396</v>
      </c>
      <c r="H4060">
        <v>101</v>
      </c>
      <c r="I4060" t="s">
        <v>6247</v>
      </c>
      <c r="J4060" t="s">
        <v>294</v>
      </c>
      <c r="M4060" t="s">
        <v>295</v>
      </c>
      <c r="N4060" t="s">
        <v>7</v>
      </c>
      <c r="O4060" t="s">
        <v>297</v>
      </c>
    </row>
    <row r="4061" spans="1:15" x14ac:dyDescent="0.3">
      <c r="A4061" t="s">
        <v>6131</v>
      </c>
      <c r="B4061" t="s">
        <v>6132</v>
      </c>
      <c r="C4061">
        <v>2022</v>
      </c>
      <c r="D4061" t="s">
        <v>394</v>
      </c>
      <c r="E4061" t="s">
        <v>6248</v>
      </c>
      <c r="F4061">
        <v>27834</v>
      </c>
      <c r="G4061" t="s">
        <v>396</v>
      </c>
      <c r="H4061">
        <v>103</v>
      </c>
      <c r="I4061" t="s">
        <v>6249</v>
      </c>
      <c r="J4061" t="s">
        <v>294</v>
      </c>
      <c r="M4061" t="s">
        <v>295</v>
      </c>
      <c r="N4061" t="s">
        <v>7</v>
      </c>
      <c r="O4061" t="s">
        <v>297</v>
      </c>
    </row>
    <row r="4062" spans="1:15" x14ac:dyDescent="0.3">
      <c r="A4062" t="s">
        <v>6131</v>
      </c>
      <c r="B4062" t="s">
        <v>6132</v>
      </c>
      <c r="C4062">
        <v>2022</v>
      </c>
      <c r="D4062" t="s">
        <v>394</v>
      </c>
      <c r="E4062" t="s">
        <v>4067</v>
      </c>
      <c r="F4062">
        <v>1562</v>
      </c>
      <c r="G4062" t="s">
        <v>396</v>
      </c>
      <c r="H4062">
        <v>103</v>
      </c>
      <c r="I4062" t="s">
        <v>6250</v>
      </c>
      <c r="J4062" t="s">
        <v>294</v>
      </c>
      <c r="M4062" t="s">
        <v>295</v>
      </c>
      <c r="N4062" t="s">
        <v>7</v>
      </c>
      <c r="O4062" t="s">
        <v>297</v>
      </c>
    </row>
    <row r="4063" spans="1:15" x14ac:dyDescent="0.3">
      <c r="A4063" t="s">
        <v>6131</v>
      </c>
      <c r="B4063" t="s">
        <v>6132</v>
      </c>
      <c r="C4063">
        <v>2022</v>
      </c>
      <c r="D4063" t="s">
        <v>394</v>
      </c>
      <c r="E4063" t="s">
        <v>554</v>
      </c>
      <c r="F4063">
        <v>12108</v>
      </c>
      <c r="G4063" t="s">
        <v>436</v>
      </c>
      <c r="H4063">
        <v>101</v>
      </c>
      <c r="I4063" t="s">
        <v>6251</v>
      </c>
      <c r="J4063" t="s">
        <v>294</v>
      </c>
      <c r="M4063" t="s">
        <v>295</v>
      </c>
      <c r="N4063" t="s">
        <v>7</v>
      </c>
      <c r="O4063" t="s">
        <v>297</v>
      </c>
    </row>
    <row r="4064" spans="1:15" x14ac:dyDescent="0.3">
      <c r="A4064" t="s">
        <v>6131</v>
      </c>
      <c r="B4064" t="s">
        <v>6132</v>
      </c>
      <c r="C4064">
        <v>2022</v>
      </c>
      <c r="D4064" t="s">
        <v>394</v>
      </c>
      <c r="E4064" t="s">
        <v>3246</v>
      </c>
      <c r="F4064">
        <v>7832</v>
      </c>
      <c r="G4064" t="s">
        <v>436</v>
      </c>
      <c r="H4064">
        <v>101</v>
      </c>
      <c r="I4064" t="s">
        <v>6252</v>
      </c>
      <c r="J4064" t="s">
        <v>294</v>
      </c>
      <c r="M4064" t="s">
        <v>295</v>
      </c>
      <c r="N4064" t="s">
        <v>7</v>
      </c>
      <c r="O4064" t="s">
        <v>297</v>
      </c>
    </row>
    <row r="4065" spans="1:15" x14ac:dyDescent="0.3">
      <c r="A4065" t="s">
        <v>6131</v>
      </c>
      <c r="B4065" t="s">
        <v>6132</v>
      </c>
      <c r="C4065">
        <v>2022</v>
      </c>
      <c r="D4065" t="s">
        <v>394</v>
      </c>
      <c r="E4065" t="s">
        <v>6253</v>
      </c>
      <c r="F4065">
        <v>25415</v>
      </c>
      <c r="G4065" t="s">
        <v>436</v>
      </c>
      <c r="H4065">
        <v>103</v>
      </c>
      <c r="I4065" t="s">
        <v>6254</v>
      </c>
      <c r="J4065" t="s">
        <v>294</v>
      </c>
      <c r="M4065" t="s">
        <v>295</v>
      </c>
      <c r="N4065" t="s">
        <v>7</v>
      </c>
      <c r="O4065" t="s">
        <v>297</v>
      </c>
    </row>
    <row r="4066" spans="1:15" x14ac:dyDescent="0.3">
      <c r="A4066" t="s">
        <v>6131</v>
      </c>
      <c r="B4066" t="s">
        <v>6132</v>
      </c>
      <c r="C4066">
        <v>2022</v>
      </c>
      <c r="D4066" t="s">
        <v>394</v>
      </c>
      <c r="E4066" t="s">
        <v>6255</v>
      </c>
      <c r="F4066">
        <v>28865</v>
      </c>
      <c r="G4066" t="s">
        <v>436</v>
      </c>
      <c r="H4066">
        <v>103</v>
      </c>
      <c r="I4066" t="s">
        <v>6256</v>
      </c>
      <c r="J4066" t="s">
        <v>294</v>
      </c>
      <c r="M4066" t="s">
        <v>295</v>
      </c>
      <c r="N4066" t="s">
        <v>7</v>
      </c>
      <c r="O4066" t="s">
        <v>297</v>
      </c>
    </row>
    <row r="4067" spans="1:15" x14ac:dyDescent="0.3">
      <c r="A4067" t="s">
        <v>6131</v>
      </c>
      <c r="B4067" t="s">
        <v>6132</v>
      </c>
      <c r="C4067">
        <v>2022</v>
      </c>
      <c r="D4067" t="s">
        <v>394</v>
      </c>
      <c r="E4067" t="s">
        <v>4311</v>
      </c>
      <c r="F4067">
        <v>1416</v>
      </c>
      <c r="G4067" t="s">
        <v>302</v>
      </c>
      <c r="H4067">
        <v>104</v>
      </c>
      <c r="I4067" t="s">
        <v>6257</v>
      </c>
      <c r="J4067" t="s">
        <v>294</v>
      </c>
      <c r="M4067" t="s">
        <v>295</v>
      </c>
      <c r="N4067" t="s">
        <v>7</v>
      </c>
      <c r="O4067" t="s">
        <v>297</v>
      </c>
    </row>
    <row r="4068" spans="1:15" x14ac:dyDescent="0.3">
      <c r="A4068" t="s">
        <v>6131</v>
      </c>
      <c r="B4068" t="s">
        <v>6132</v>
      </c>
      <c r="C4068">
        <v>2022</v>
      </c>
      <c r="D4068" t="s">
        <v>394</v>
      </c>
      <c r="E4068" t="s">
        <v>4313</v>
      </c>
      <c r="F4068">
        <v>753</v>
      </c>
      <c r="G4068" t="s">
        <v>302</v>
      </c>
      <c r="H4068">
        <v>105</v>
      </c>
      <c r="I4068" t="s">
        <v>6258</v>
      </c>
      <c r="J4068" t="s">
        <v>294</v>
      </c>
      <c r="M4068" t="s">
        <v>295</v>
      </c>
      <c r="N4068" t="s">
        <v>7</v>
      </c>
      <c r="O4068" t="s">
        <v>297</v>
      </c>
    </row>
    <row r="4069" spans="1:15" x14ac:dyDescent="0.3">
      <c r="A4069" t="s">
        <v>6131</v>
      </c>
      <c r="B4069" t="s">
        <v>6132</v>
      </c>
      <c r="C4069">
        <v>2022</v>
      </c>
      <c r="D4069" t="s">
        <v>563</v>
      </c>
      <c r="E4069" t="s">
        <v>6259</v>
      </c>
      <c r="F4069" t="s">
        <v>6260</v>
      </c>
      <c r="G4069" t="s">
        <v>292</v>
      </c>
      <c r="H4069">
        <v>101</v>
      </c>
      <c r="I4069" t="s">
        <v>6261</v>
      </c>
      <c r="J4069" t="s">
        <v>294</v>
      </c>
      <c r="M4069" t="s">
        <v>295</v>
      </c>
      <c r="N4069" t="s">
        <v>7</v>
      </c>
      <c r="O4069" t="s">
        <v>297</v>
      </c>
    </row>
    <row r="4070" spans="1:15" x14ac:dyDescent="0.3">
      <c r="A4070" t="s">
        <v>6131</v>
      </c>
      <c r="B4070" t="s">
        <v>6132</v>
      </c>
      <c r="C4070">
        <v>2022</v>
      </c>
      <c r="D4070" t="s">
        <v>563</v>
      </c>
      <c r="E4070" t="s">
        <v>6262</v>
      </c>
      <c r="F4070" t="s">
        <v>6263</v>
      </c>
      <c r="G4070" t="s">
        <v>292</v>
      </c>
      <c r="H4070">
        <v>12</v>
      </c>
      <c r="I4070" t="s">
        <v>6264</v>
      </c>
      <c r="J4070" t="s">
        <v>294</v>
      </c>
      <c r="M4070" t="s">
        <v>295</v>
      </c>
      <c r="N4070" t="s">
        <v>7</v>
      </c>
      <c r="O4070" t="s">
        <v>297</v>
      </c>
    </row>
    <row r="4071" spans="1:15" x14ac:dyDescent="0.3">
      <c r="A4071" t="s">
        <v>6131</v>
      </c>
      <c r="B4071" t="s">
        <v>6265</v>
      </c>
      <c r="C4071">
        <v>2023</v>
      </c>
      <c r="D4071" t="s">
        <v>272</v>
      </c>
      <c r="E4071" t="s">
        <v>291</v>
      </c>
      <c r="F4071" t="s">
        <v>6131</v>
      </c>
      <c r="G4071" t="s">
        <v>292</v>
      </c>
      <c r="H4071">
        <v>1</v>
      </c>
      <c r="I4071" t="s">
        <v>6266</v>
      </c>
      <c r="J4071" t="s">
        <v>294</v>
      </c>
      <c r="M4071" t="s">
        <v>295</v>
      </c>
      <c r="N4071" t="s">
        <v>7</v>
      </c>
      <c r="O4071" t="s">
        <v>297</v>
      </c>
    </row>
    <row r="4072" spans="1:15" x14ac:dyDescent="0.3">
      <c r="A4072" t="s">
        <v>6131</v>
      </c>
      <c r="B4072" t="s">
        <v>6265</v>
      </c>
      <c r="C4072">
        <v>2023</v>
      </c>
      <c r="D4072" t="s">
        <v>272</v>
      </c>
      <c r="E4072" t="s">
        <v>1</v>
      </c>
      <c r="F4072" t="s">
        <v>51</v>
      </c>
      <c r="G4072" t="s">
        <v>292</v>
      </c>
      <c r="H4072">
        <v>11</v>
      </c>
      <c r="I4072" t="s">
        <v>6267</v>
      </c>
      <c r="J4072" t="s">
        <v>294</v>
      </c>
      <c r="M4072" t="s">
        <v>295</v>
      </c>
      <c r="N4072" t="s">
        <v>7</v>
      </c>
      <c r="O4072" t="s">
        <v>297</v>
      </c>
    </row>
    <row r="4073" spans="1:15" x14ac:dyDescent="0.3">
      <c r="A4073" t="s">
        <v>6131</v>
      </c>
      <c r="B4073" t="s">
        <v>6265</v>
      </c>
      <c r="C4073">
        <v>2023</v>
      </c>
      <c r="D4073" t="s">
        <v>272</v>
      </c>
      <c r="E4073" t="s">
        <v>6137</v>
      </c>
      <c r="F4073">
        <v>0.2276</v>
      </c>
      <c r="G4073" t="s">
        <v>334</v>
      </c>
      <c r="H4073">
        <v>77</v>
      </c>
      <c r="I4073" t="s">
        <v>6268</v>
      </c>
      <c r="J4073" t="s">
        <v>294</v>
      </c>
      <c r="M4073" t="s">
        <v>295</v>
      </c>
      <c r="N4073" t="s">
        <v>7</v>
      </c>
      <c r="O4073" t="s">
        <v>297</v>
      </c>
    </row>
    <row r="4074" spans="1:15" x14ac:dyDescent="0.3">
      <c r="A4074" t="s">
        <v>6131</v>
      </c>
      <c r="B4074" t="s">
        <v>6265</v>
      </c>
      <c r="C4074">
        <v>2023</v>
      </c>
      <c r="D4074" t="s">
        <v>272</v>
      </c>
      <c r="E4074" t="s">
        <v>6139</v>
      </c>
      <c r="F4074">
        <v>0.1948</v>
      </c>
      <c r="G4074" t="s">
        <v>334</v>
      </c>
      <c r="H4074">
        <v>77</v>
      </c>
      <c r="I4074" t="s">
        <v>6269</v>
      </c>
      <c r="J4074" t="s">
        <v>294</v>
      </c>
      <c r="M4074" t="s">
        <v>295</v>
      </c>
      <c r="N4074" t="s">
        <v>7</v>
      </c>
      <c r="O4074" t="s">
        <v>297</v>
      </c>
    </row>
    <row r="4075" spans="1:15" x14ac:dyDescent="0.3">
      <c r="A4075" t="s">
        <v>6131</v>
      </c>
      <c r="B4075" t="s">
        <v>6265</v>
      </c>
      <c r="C4075">
        <v>2023</v>
      </c>
      <c r="D4075" t="s">
        <v>272</v>
      </c>
      <c r="E4075" t="s">
        <v>6141</v>
      </c>
      <c r="F4075">
        <v>0.17610000000000001</v>
      </c>
      <c r="G4075" t="s">
        <v>334</v>
      </c>
      <c r="H4075">
        <v>77</v>
      </c>
      <c r="I4075" t="s">
        <v>6270</v>
      </c>
      <c r="J4075" t="s">
        <v>294</v>
      </c>
      <c r="M4075" t="s">
        <v>295</v>
      </c>
      <c r="N4075" t="s">
        <v>7</v>
      </c>
      <c r="O4075" t="s">
        <v>297</v>
      </c>
    </row>
    <row r="4076" spans="1:15" x14ac:dyDescent="0.3">
      <c r="A4076" t="s">
        <v>6131</v>
      </c>
      <c r="B4076" t="s">
        <v>6265</v>
      </c>
      <c r="C4076">
        <v>2023</v>
      </c>
      <c r="D4076" t="s">
        <v>272</v>
      </c>
      <c r="E4076" t="s">
        <v>6143</v>
      </c>
      <c r="F4076">
        <v>0.1527</v>
      </c>
      <c r="G4076" t="s">
        <v>334</v>
      </c>
      <c r="H4076">
        <v>77</v>
      </c>
      <c r="I4076" t="s">
        <v>6271</v>
      </c>
      <c r="J4076" t="s">
        <v>294</v>
      </c>
      <c r="M4076" t="s">
        <v>295</v>
      </c>
      <c r="N4076" t="s">
        <v>7</v>
      </c>
      <c r="O4076" t="s">
        <v>297</v>
      </c>
    </row>
    <row r="4077" spans="1:15" x14ac:dyDescent="0.3">
      <c r="A4077" t="s">
        <v>6131</v>
      </c>
      <c r="B4077" t="s">
        <v>6265</v>
      </c>
      <c r="C4077">
        <v>2023</v>
      </c>
      <c r="D4077" t="s">
        <v>272</v>
      </c>
      <c r="E4077" t="s">
        <v>445</v>
      </c>
      <c r="F4077">
        <v>0.24879999999999999</v>
      </c>
      <c r="G4077" t="s">
        <v>334</v>
      </c>
      <c r="H4077">
        <v>77</v>
      </c>
      <c r="I4077" t="s">
        <v>6272</v>
      </c>
      <c r="J4077" t="s">
        <v>294</v>
      </c>
      <c r="M4077" t="s">
        <v>295</v>
      </c>
      <c r="N4077" t="s">
        <v>7</v>
      </c>
      <c r="O4077" t="s">
        <v>297</v>
      </c>
    </row>
    <row r="4078" spans="1:15" x14ac:dyDescent="0.3">
      <c r="A4078" t="s">
        <v>6131</v>
      </c>
      <c r="B4078" t="s">
        <v>6265</v>
      </c>
      <c r="C4078">
        <v>2023</v>
      </c>
      <c r="D4078" t="s">
        <v>300</v>
      </c>
      <c r="E4078" t="s">
        <v>301</v>
      </c>
      <c r="F4078">
        <v>2037</v>
      </c>
      <c r="G4078" t="s">
        <v>302</v>
      </c>
      <c r="H4078">
        <v>8</v>
      </c>
      <c r="I4078" t="s">
        <v>6273</v>
      </c>
      <c r="J4078" t="s">
        <v>294</v>
      </c>
      <c r="M4078" t="s">
        <v>295</v>
      </c>
      <c r="N4078" t="s">
        <v>7</v>
      </c>
      <c r="O4078" t="s">
        <v>297</v>
      </c>
    </row>
    <row r="4079" spans="1:15" x14ac:dyDescent="0.3">
      <c r="A4079" t="s">
        <v>6131</v>
      </c>
      <c r="B4079" t="s">
        <v>6265</v>
      </c>
      <c r="C4079">
        <v>2023</v>
      </c>
      <c r="D4079" t="s">
        <v>300</v>
      </c>
      <c r="E4079" t="s">
        <v>688</v>
      </c>
      <c r="F4079">
        <v>1534</v>
      </c>
      <c r="G4079" t="s">
        <v>302</v>
      </c>
      <c r="H4079">
        <v>8</v>
      </c>
      <c r="I4079" t="s">
        <v>6274</v>
      </c>
      <c r="J4079" t="s">
        <v>294</v>
      </c>
      <c r="M4079" t="s">
        <v>295</v>
      </c>
      <c r="N4079" t="s">
        <v>7</v>
      </c>
      <c r="O4079" t="s">
        <v>297</v>
      </c>
    </row>
    <row r="4080" spans="1:15" x14ac:dyDescent="0.3">
      <c r="A4080" t="s">
        <v>6131</v>
      </c>
      <c r="B4080" t="s">
        <v>6265</v>
      </c>
      <c r="C4080">
        <v>2023</v>
      </c>
      <c r="D4080" t="s">
        <v>300</v>
      </c>
      <c r="E4080" t="s">
        <v>304</v>
      </c>
      <c r="F4080">
        <v>503</v>
      </c>
      <c r="G4080" t="s">
        <v>302</v>
      </c>
      <c r="H4080">
        <v>8</v>
      </c>
      <c r="I4080" t="s">
        <v>6275</v>
      </c>
      <c r="J4080" t="s">
        <v>294</v>
      </c>
      <c r="M4080" t="s">
        <v>295</v>
      </c>
      <c r="N4080" t="s">
        <v>7</v>
      </c>
      <c r="O4080" t="s">
        <v>297</v>
      </c>
    </row>
    <row r="4081" spans="1:15" x14ac:dyDescent="0.3">
      <c r="A4081" t="s">
        <v>6131</v>
      </c>
      <c r="B4081" t="s">
        <v>6265</v>
      </c>
      <c r="C4081">
        <v>2023</v>
      </c>
      <c r="D4081" t="s">
        <v>300</v>
      </c>
      <c r="E4081" t="s">
        <v>452</v>
      </c>
      <c r="F4081">
        <v>212</v>
      </c>
      <c r="G4081" t="s">
        <v>302</v>
      </c>
      <c r="H4081">
        <v>8</v>
      </c>
      <c r="I4081" t="s">
        <v>6276</v>
      </c>
      <c r="J4081" t="s">
        <v>294</v>
      </c>
      <c r="M4081" t="s">
        <v>295</v>
      </c>
      <c r="N4081" t="s">
        <v>7</v>
      </c>
      <c r="O4081" t="s">
        <v>297</v>
      </c>
    </row>
    <row r="4082" spans="1:15" x14ac:dyDescent="0.3">
      <c r="A4082" t="s">
        <v>6131</v>
      </c>
      <c r="B4082" t="s">
        <v>6265</v>
      </c>
      <c r="C4082">
        <v>2023</v>
      </c>
      <c r="D4082" t="s">
        <v>300</v>
      </c>
      <c r="E4082" t="s">
        <v>5214</v>
      </c>
      <c r="F4082">
        <v>291</v>
      </c>
      <c r="G4082" t="s">
        <v>302</v>
      </c>
      <c r="H4082">
        <v>8</v>
      </c>
      <c r="I4082" t="s">
        <v>6277</v>
      </c>
      <c r="J4082" t="s">
        <v>294</v>
      </c>
      <c r="M4082" t="s">
        <v>295</v>
      </c>
      <c r="N4082" t="s">
        <v>7</v>
      </c>
      <c r="O4082" t="s">
        <v>297</v>
      </c>
    </row>
    <row r="4083" spans="1:15" x14ac:dyDescent="0.3">
      <c r="A4083" t="s">
        <v>6131</v>
      </c>
      <c r="B4083" t="s">
        <v>6265</v>
      </c>
      <c r="C4083">
        <v>2023</v>
      </c>
      <c r="D4083" t="s">
        <v>300</v>
      </c>
      <c r="E4083" t="s">
        <v>579</v>
      </c>
      <c r="F4083">
        <v>250</v>
      </c>
      <c r="G4083" t="s">
        <v>302</v>
      </c>
      <c r="H4083">
        <v>8</v>
      </c>
      <c r="I4083" t="s">
        <v>6278</v>
      </c>
      <c r="J4083" t="s">
        <v>294</v>
      </c>
      <c r="M4083" t="s">
        <v>295</v>
      </c>
      <c r="N4083" t="s">
        <v>7</v>
      </c>
      <c r="O4083" t="s">
        <v>297</v>
      </c>
    </row>
    <row r="4084" spans="1:15" x14ac:dyDescent="0.3">
      <c r="A4084" t="s">
        <v>6131</v>
      </c>
      <c r="B4084" t="s">
        <v>6265</v>
      </c>
      <c r="C4084">
        <v>2023</v>
      </c>
      <c r="D4084" t="s">
        <v>300</v>
      </c>
      <c r="E4084" t="s">
        <v>306</v>
      </c>
      <c r="F4084">
        <v>192</v>
      </c>
      <c r="G4084" t="s">
        <v>302</v>
      </c>
      <c r="H4084">
        <v>8</v>
      </c>
      <c r="I4084" t="s">
        <v>6279</v>
      </c>
      <c r="J4084" t="s">
        <v>294</v>
      </c>
      <c r="M4084" t="s">
        <v>295</v>
      </c>
      <c r="N4084" t="s">
        <v>7</v>
      </c>
      <c r="O4084" t="s">
        <v>297</v>
      </c>
    </row>
    <row r="4085" spans="1:15" x14ac:dyDescent="0.3">
      <c r="A4085" t="s">
        <v>6131</v>
      </c>
      <c r="B4085" t="s">
        <v>6265</v>
      </c>
      <c r="C4085">
        <v>2023</v>
      </c>
      <c r="D4085" t="s">
        <v>300</v>
      </c>
      <c r="E4085" t="s">
        <v>308</v>
      </c>
      <c r="F4085">
        <v>191</v>
      </c>
      <c r="G4085" t="s">
        <v>302</v>
      </c>
      <c r="H4085">
        <v>8</v>
      </c>
      <c r="I4085" t="s">
        <v>6280</v>
      </c>
      <c r="J4085" t="s">
        <v>294</v>
      </c>
      <c r="M4085" t="s">
        <v>295</v>
      </c>
      <c r="N4085" t="s">
        <v>7</v>
      </c>
      <c r="O4085" t="s">
        <v>297</v>
      </c>
    </row>
    <row r="4086" spans="1:15" x14ac:dyDescent="0.3">
      <c r="A4086" t="s">
        <v>6131</v>
      </c>
      <c r="B4086" t="s">
        <v>6265</v>
      </c>
      <c r="C4086">
        <v>2023</v>
      </c>
      <c r="D4086" t="s">
        <v>300</v>
      </c>
      <c r="E4086" t="s">
        <v>316</v>
      </c>
      <c r="F4086">
        <v>1489</v>
      </c>
      <c r="G4086" t="s">
        <v>302</v>
      </c>
      <c r="H4086">
        <v>10</v>
      </c>
      <c r="I4086" t="s">
        <v>6281</v>
      </c>
      <c r="J4086" t="s">
        <v>294</v>
      </c>
      <c r="M4086" t="s">
        <v>295</v>
      </c>
      <c r="N4086" t="s">
        <v>7</v>
      </c>
      <c r="O4086" t="s">
        <v>297</v>
      </c>
    </row>
    <row r="4087" spans="1:15" x14ac:dyDescent="0.3">
      <c r="A4087" t="s">
        <v>6131</v>
      </c>
      <c r="B4087" t="s">
        <v>6265</v>
      </c>
      <c r="C4087">
        <v>2023</v>
      </c>
      <c r="D4087" t="s">
        <v>300</v>
      </c>
      <c r="E4087" t="s">
        <v>312</v>
      </c>
      <c r="F4087">
        <v>341</v>
      </c>
      <c r="G4087" t="s">
        <v>302</v>
      </c>
      <c r="H4087">
        <v>112</v>
      </c>
      <c r="I4087" t="s">
        <v>6282</v>
      </c>
      <c r="J4087" t="s">
        <v>294</v>
      </c>
      <c r="M4087" t="s">
        <v>295</v>
      </c>
      <c r="N4087" t="s">
        <v>7</v>
      </c>
      <c r="O4087" t="s">
        <v>297</v>
      </c>
    </row>
    <row r="4088" spans="1:15" x14ac:dyDescent="0.3">
      <c r="A4088" t="s">
        <v>6131</v>
      </c>
      <c r="B4088" t="s">
        <v>6265</v>
      </c>
      <c r="C4088">
        <v>2023</v>
      </c>
      <c r="D4088" t="s">
        <v>300</v>
      </c>
      <c r="E4088" t="s">
        <v>314</v>
      </c>
      <c r="F4088">
        <v>1148</v>
      </c>
      <c r="G4088" t="s">
        <v>302</v>
      </c>
      <c r="H4088">
        <v>112</v>
      </c>
      <c r="I4088" t="s">
        <v>6283</v>
      </c>
      <c r="J4088" t="s">
        <v>294</v>
      </c>
      <c r="M4088" t="s">
        <v>295</v>
      </c>
      <c r="N4088" t="s">
        <v>7</v>
      </c>
      <c r="O4088" t="s">
        <v>297</v>
      </c>
    </row>
    <row r="4089" spans="1:15" x14ac:dyDescent="0.3">
      <c r="A4089" t="s">
        <v>6131</v>
      </c>
      <c r="B4089" t="s">
        <v>6265</v>
      </c>
      <c r="C4089">
        <v>2023</v>
      </c>
      <c r="D4089" t="s">
        <v>300</v>
      </c>
      <c r="E4089" t="s">
        <v>322</v>
      </c>
      <c r="F4089">
        <v>692</v>
      </c>
      <c r="G4089" t="s">
        <v>302</v>
      </c>
      <c r="H4089">
        <v>112</v>
      </c>
      <c r="I4089" t="s">
        <v>6284</v>
      </c>
      <c r="J4089" t="s">
        <v>294</v>
      </c>
      <c r="M4089" t="s">
        <v>295</v>
      </c>
      <c r="N4089" t="s">
        <v>7</v>
      </c>
      <c r="O4089" t="s">
        <v>297</v>
      </c>
    </row>
    <row r="4090" spans="1:15" x14ac:dyDescent="0.3">
      <c r="A4090" t="s">
        <v>6131</v>
      </c>
      <c r="B4090" t="s">
        <v>6265</v>
      </c>
      <c r="C4090">
        <v>2023</v>
      </c>
      <c r="D4090" t="s">
        <v>300</v>
      </c>
      <c r="E4090" t="s">
        <v>318</v>
      </c>
      <c r="F4090">
        <v>273</v>
      </c>
      <c r="G4090" t="s">
        <v>302</v>
      </c>
      <c r="H4090">
        <v>112</v>
      </c>
      <c r="I4090" t="s">
        <v>6285</v>
      </c>
      <c r="J4090" t="s">
        <v>294</v>
      </c>
      <c r="M4090" t="s">
        <v>295</v>
      </c>
      <c r="N4090" t="s">
        <v>7</v>
      </c>
      <c r="O4090" t="s">
        <v>297</v>
      </c>
    </row>
    <row r="4091" spans="1:15" x14ac:dyDescent="0.3">
      <c r="A4091" t="s">
        <v>6131</v>
      </c>
      <c r="B4091" t="s">
        <v>6265</v>
      </c>
      <c r="C4091">
        <v>2023</v>
      </c>
      <c r="D4091" t="s">
        <v>300</v>
      </c>
      <c r="E4091" t="s">
        <v>468</v>
      </c>
      <c r="F4091">
        <v>420</v>
      </c>
      <c r="G4091" t="s">
        <v>302</v>
      </c>
      <c r="H4091">
        <v>112</v>
      </c>
      <c r="I4091" t="s">
        <v>6286</v>
      </c>
      <c r="J4091" t="s">
        <v>294</v>
      </c>
      <c r="M4091" t="s">
        <v>295</v>
      </c>
      <c r="N4091" t="s">
        <v>7</v>
      </c>
      <c r="O4091" t="s">
        <v>297</v>
      </c>
    </row>
    <row r="4092" spans="1:15" x14ac:dyDescent="0.3">
      <c r="A4092" t="s">
        <v>6131</v>
      </c>
      <c r="B4092" t="s">
        <v>6265</v>
      </c>
      <c r="C4092">
        <v>2023</v>
      </c>
      <c r="D4092" t="s">
        <v>300</v>
      </c>
      <c r="E4092" t="s">
        <v>324</v>
      </c>
      <c r="F4092">
        <v>797</v>
      </c>
      <c r="G4092" t="s">
        <v>302</v>
      </c>
      <c r="H4092">
        <v>112</v>
      </c>
      <c r="I4092" t="s">
        <v>6287</v>
      </c>
      <c r="J4092" t="s">
        <v>294</v>
      </c>
      <c r="M4092" t="s">
        <v>295</v>
      </c>
      <c r="N4092" t="s">
        <v>7</v>
      </c>
      <c r="O4092" t="s">
        <v>297</v>
      </c>
    </row>
    <row r="4093" spans="1:15" x14ac:dyDescent="0.3">
      <c r="A4093" t="s">
        <v>6131</v>
      </c>
      <c r="B4093" t="s">
        <v>6265</v>
      </c>
      <c r="C4093">
        <v>2023</v>
      </c>
      <c r="D4093" t="s">
        <v>300</v>
      </c>
      <c r="E4093" t="s">
        <v>471</v>
      </c>
      <c r="F4093">
        <v>29</v>
      </c>
      <c r="G4093" t="s">
        <v>302</v>
      </c>
      <c r="H4093">
        <v>279</v>
      </c>
      <c r="I4093" t="s">
        <v>6288</v>
      </c>
      <c r="J4093" t="s">
        <v>294</v>
      </c>
      <c r="M4093" t="s">
        <v>295</v>
      </c>
      <c r="N4093" t="s">
        <v>7</v>
      </c>
      <c r="O4093" t="s">
        <v>297</v>
      </c>
    </row>
    <row r="4094" spans="1:15" x14ac:dyDescent="0.3">
      <c r="A4094" t="s">
        <v>6131</v>
      </c>
      <c r="B4094" t="s">
        <v>6265</v>
      </c>
      <c r="C4094">
        <v>2023</v>
      </c>
      <c r="D4094" t="s">
        <v>300</v>
      </c>
      <c r="E4094" t="s">
        <v>595</v>
      </c>
      <c r="F4094">
        <v>99</v>
      </c>
      <c r="G4094" t="s">
        <v>302</v>
      </c>
      <c r="H4094">
        <v>280</v>
      </c>
      <c r="I4094" t="s">
        <v>6289</v>
      </c>
      <c r="J4094" t="s">
        <v>294</v>
      </c>
      <c r="M4094" t="s">
        <v>295</v>
      </c>
      <c r="N4094" t="s">
        <v>7</v>
      </c>
      <c r="O4094" t="s">
        <v>297</v>
      </c>
    </row>
    <row r="4095" spans="1:15" x14ac:dyDescent="0.3">
      <c r="A4095" t="s">
        <v>6131</v>
      </c>
      <c r="B4095" t="s">
        <v>6265</v>
      </c>
      <c r="C4095">
        <v>2023</v>
      </c>
      <c r="D4095" t="s">
        <v>300</v>
      </c>
      <c r="E4095" t="s">
        <v>4876</v>
      </c>
      <c r="F4095">
        <v>91</v>
      </c>
      <c r="G4095" t="s">
        <v>302</v>
      </c>
      <c r="H4095">
        <v>280</v>
      </c>
      <c r="I4095" t="s">
        <v>6172</v>
      </c>
      <c r="J4095" t="s">
        <v>294</v>
      </c>
      <c r="M4095" t="s">
        <v>295</v>
      </c>
      <c r="N4095" t="s">
        <v>7</v>
      </c>
      <c r="O4095" t="s">
        <v>297</v>
      </c>
    </row>
    <row r="4096" spans="1:15" x14ac:dyDescent="0.3">
      <c r="A4096" t="s">
        <v>6131</v>
      </c>
      <c r="B4096" t="s">
        <v>6265</v>
      </c>
      <c r="C4096">
        <v>2023</v>
      </c>
      <c r="D4096" t="s">
        <v>300</v>
      </c>
      <c r="E4096" t="s">
        <v>475</v>
      </c>
      <c r="F4096">
        <v>346</v>
      </c>
      <c r="G4096" t="s">
        <v>302</v>
      </c>
      <c r="H4096">
        <v>280</v>
      </c>
      <c r="I4096" t="s">
        <v>6290</v>
      </c>
      <c r="J4096" t="s">
        <v>294</v>
      </c>
      <c r="M4096" t="s">
        <v>295</v>
      </c>
      <c r="N4096" t="s">
        <v>7</v>
      </c>
      <c r="O4096" t="s">
        <v>297</v>
      </c>
    </row>
    <row r="4097" spans="1:15" x14ac:dyDescent="0.3">
      <c r="A4097" t="s">
        <v>6131</v>
      </c>
      <c r="B4097" t="s">
        <v>6265</v>
      </c>
      <c r="C4097">
        <v>2023</v>
      </c>
      <c r="D4097" t="s">
        <v>300</v>
      </c>
      <c r="E4097" t="s">
        <v>4225</v>
      </c>
      <c r="F4097">
        <v>536</v>
      </c>
      <c r="G4097" t="s">
        <v>302</v>
      </c>
      <c r="H4097">
        <v>280</v>
      </c>
      <c r="I4097" t="s">
        <v>6291</v>
      </c>
      <c r="J4097" t="s">
        <v>294</v>
      </c>
      <c r="M4097" t="s">
        <v>295</v>
      </c>
      <c r="N4097" t="s">
        <v>7</v>
      </c>
      <c r="O4097" t="s">
        <v>297</v>
      </c>
    </row>
    <row r="4098" spans="1:15" x14ac:dyDescent="0.3">
      <c r="A4098" t="s">
        <v>6131</v>
      </c>
      <c r="B4098" t="s">
        <v>6265</v>
      </c>
      <c r="C4098">
        <v>2023</v>
      </c>
      <c r="D4098" t="s">
        <v>300</v>
      </c>
      <c r="E4098" t="s">
        <v>6175</v>
      </c>
      <c r="F4098">
        <v>61</v>
      </c>
      <c r="G4098" t="s">
        <v>302</v>
      </c>
      <c r="H4098">
        <v>279</v>
      </c>
      <c r="I4098" t="s">
        <v>6292</v>
      </c>
      <c r="J4098" t="s">
        <v>294</v>
      </c>
      <c r="M4098" t="s">
        <v>295</v>
      </c>
      <c r="N4098" t="s">
        <v>7</v>
      </c>
      <c r="O4098" t="s">
        <v>297</v>
      </c>
    </row>
    <row r="4099" spans="1:15" x14ac:dyDescent="0.3">
      <c r="A4099" t="s">
        <v>6131</v>
      </c>
      <c r="B4099" t="s">
        <v>6265</v>
      </c>
      <c r="C4099">
        <v>2023</v>
      </c>
      <c r="D4099" t="s">
        <v>300</v>
      </c>
      <c r="E4099" t="s">
        <v>6177</v>
      </c>
      <c r="F4099">
        <v>160</v>
      </c>
      <c r="G4099" t="s">
        <v>302</v>
      </c>
      <c r="H4099">
        <v>279</v>
      </c>
      <c r="I4099" t="s">
        <v>6293</v>
      </c>
      <c r="J4099" t="s">
        <v>294</v>
      </c>
      <c r="M4099" t="s">
        <v>295</v>
      </c>
      <c r="N4099" t="s">
        <v>7</v>
      </c>
      <c r="O4099" t="s">
        <v>297</v>
      </c>
    </row>
    <row r="4100" spans="1:15" x14ac:dyDescent="0.3">
      <c r="A4100" t="s">
        <v>6131</v>
      </c>
      <c r="B4100" t="s">
        <v>6265</v>
      </c>
      <c r="C4100">
        <v>2023</v>
      </c>
      <c r="D4100" t="s">
        <v>300</v>
      </c>
      <c r="E4100" t="s">
        <v>601</v>
      </c>
      <c r="F4100">
        <v>364</v>
      </c>
      <c r="G4100" t="s">
        <v>302</v>
      </c>
      <c r="H4100">
        <v>114</v>
      </c>
      <c r="I4100" t="s">
        <v>6294</v>
      </c>
      <c r="J4100" t="s">
        <v>294</v>
      </c>
      <c r="M4100" t="s">
        <v>295</v>
      </c>
      <c r="N4100" t="s">
        <v>7</v>
      </c>
      <c r="O4100" t="s">
        <v>297</v>
      </c>
    </row>
    <row r="4101" spans="1:15" x14ac:dyDescent="0.3">
      <c r="A4101" t="s">
        <v>6131</v>
      </c>
      <c r="B4101" t="s">
        <v>6265</v>
      </c>
      <c r="C4101">
        <v>2023</v>
      </c>
      <c r="D4101" t="s">
        <v>300</v>
      </c>
      <c r="E4101" t="s">
        <v>603</v>
      </c>
      <c r="F4101">
        <v>-153</v>
      </c>
      <c r="G4101" t="s">
        <v>302</v>
      </c>
      <c r="H4101">
        <v>114</v>
      </c>
      <c r="I4101" t="s">
        <v>6295</v>
      </c>
      <c r="J4101" t="s">
        <v>294</v>
      </c>
      <c r="M4101" t="s">
        <v>295</v>
      </c>
      <c r="N4101" t="s">
        <v>7</v>
      </c>
      <c r="O4101" t="s">
        <v>297</v>
      </c>
    </row>
    <row r="4102" spans="1:15" x14ac:dyDescent="0.3">
      <c r="A4102" t="s">
        <v>6131</v>
      </c>
      <c r="B4102" t="s">
        <v>6265</v>
      </c>
      <c r="C4102">
        <v>2023</v>
      </c>
      <c r="D4102" t="s">
        <v>300</v>
      </c>
      <c r="E4102" t="s">
        <v>716</v>
      </c>
      <c r="F4102">
        <v>-254</v>
      </c>
      <c r="G4102" t="s">
        <v>302</v>
      </c>
      <c r="H4102">
        <v>114</v>
      </c>
      <c r="I4102" t="s">
        <v>6296</v>
      </c>
      <c r="J4102" t="s">
        <v>294</v>
      </c>
      <c r="M4102" t="s">
        <v>295</v>
      </c>
      <c r="N4102" t="s">
        <v>7</v>
      </c>
      <c r="O4102" t="s">
        <v>297</v>
      </c>
    </row>
    <row r="4103" spans="1:15" x14ac:dyDescent="0.3">
      <c r="A4103" t="s">
        <v>6131</v>
      </c>
      <c r="B4103" t="s">
        <v>6265</v>
      </c>
      <c r="C4103">
        <v>2023</v>
      </c>
      <c r="D4103" t="s">
        <v>300</v>
      </c>
      <c r="E4103" t="s">
        <v>6297</v>
      </c>
      <c r="F4103">
        <v>153</v>
      </c>
      <c r="G4103" t="s">
        <v>302</v>
      </c>
      <c r="H4103">
        <v>114</v>
      </c>
      <c r="I4103" t="s">
        <v>6298</v>
      </c>
      <c r="J4103" t="s">
        <v>456</v>
      </c>
      <c r="M4103" t="s">
        <v>295</v>
      </c>
      <c r="N4103" t="s">
        <v>7</v>
      </c>
      <c r="O4103" t="s">
        <v>297</v>
      </c>
    </row>
    <row r="4104" spans="1:15" x14ac:dyDescent="0.3">
      <c r="A4104" t="s">
        <v>6131</v>
      </c>
      <c r="B4104" t="s">
        <v>6265</v>
      </c>
      <c r="C4104">
        <v>2023</v>
      </c>
      <c r="D4104" t="s">
        <v>300</v>
      </c>
      <c r="E4104" t="s">
        <v>345</v>
      </c>
      <c r="F4104">
        <v>245</v>
      </c>
      <c r="G4104" t="s">
        <v>346</v>
      </c>
      <c r="H4104">
        <v>8</v>
      </c>
      <c r="I4104" t="s">
        <v>6299</v>
      </c>
      <c r="J4104" t="s">
        <v>294</v>
      </c>
      <c r="M4104" t="s">
        <v>295</v>
      </c>
      <c r="N4104" t="s">
        <v>7</v>
      </c>
      <c r="O4104" t="s">
        <v>297</v>
      </c>
    </row>
    <row r="4105" spans="1:15" x14ac:dyDescent="0.3">
      <c r="A4105" t="s">
        <v>6131</v>
      </c>
      <c r="B4105" t="s">
        <v>6265</v>
      </c>
      <c r="C4105">
        <v>2023</v>
      </c>
      <c r="D4105" t="s">
        <v>300</v>
      </c>
      <c r="E4105" t="s">
        <v>342</v>
      </c>
      <c r="F4105">
        <v>781250000</v>
      </c>
      <c r="G4105" t="s">
        <v>1633</v>
      </c>
      <c r="H4105">
        <v>11</v>
      </c>
      <c r="I4105" t="s">
        <v>6185</v>
      </c>
      <c r="J4105" t="s">
        <v>294</v>
      </c>
      <c r="M4105" t="s">
        <v>295</v>
      </c>
      <c r="N4105" t="s">
        <v>7</v>
      </c>
      <c r="O4105" t="s">
        <v>297</v>
      </c>
    </row>
    <row r="4106" spans="1:15" x14ac:dyDescent="0.3">
      <c r="A4106" t="s">
        <v>6131</v>
      </c>
      <c r="B4106" t="s">
        <v>6265</v>
      </c>
      <c r="C4106">
        <v>2023</v>
      </c>
      <c r="D4106" t="s">
        <v>300</v>
      </c>
      <c r="E4106" t="s">
        <v>785</v>
      </c>
      <c r="F4106">
        <v>1400</v>
      </c>
      <c r="G4106" t="s">
        <v>346</v>
      </c>
      <c r="H4106">
        <v>11</v>
      </c>
      <c r="I4106" t="s">
        <v>6300</v>
      </c>
      <c r="J4106" t="s">
        <v>294</v>
      </c>
      <c r="M4106" t="s">
        <v>295</v>
      </c>
      <c r="N4106" t="s">
        <v>7</v>
      </c>
      <c r="O4106" t="s">
        <v>297</v>
      </c>
    </row>
    <row r="4107" spans="1:15" x14ac:dyDescent="0.3">
      <c r="A4107" t="s">
        <v>6131</v>
      </c>
      <c r="B4107" t="s">
        <v>6265</v>
      </c>
      <c r="C4107">
        <v>2023</v>
      </c>
      <c r="D4107" t="s">
        <v>300</v>
      </c>
      <c r="E4107" t="s">
        <v>6301</v>
      </c>
      <c r="F4107">
        <v>60</v>
      </c>
      <c r="G4107" t="s">
        <v>346</v>
      </c>
      <c r="H4107">
        <v>12</v>
      </c>
      <c r="I4107" t="s">
        <v>6302</v>
      </c>
      <c r="J4107" t="s">
        <v>294</v>
      </c>
      <c r="M4107" t="s">
        <v>295</v>
      </c>
      <c r="N4107" t="s">
        <v>7</v>
      </c>
      <c r="O4107" t="s">
        <v>297</v>
      </c>
    </row>
    <row r="4108" spans="1:15" x14ac:dyDescent="0.3">
      <c r="A4108" t="s">
        <v>6131</v>
      </c>
      <c r="B4108" t="s">
        <v>6265</v>
      </c>
      <c r="C4108">
        <v>2023</v>
      </c>
      <c r="D4108" t="s">
        <v>300</v>
      </c>
      <c r="E4108" t="s">
        <v>6303</v>
      </c>
      <c r="F4108">
        <v>70</v>
      </c>
      <c r="G4108" t="s">
        <v>346</v>
      </c>
      <c r="H4108">
        <v>12</v>
      </c>
      <c r="I4108" t="s">
        <v>6304</v>
      </c>
      <c r="J4108" t="s">
        <v>294</v>
      </c>
      <c r="M4108" t="s">
        <v>295</v>
      </c>
      <c r="N4108" t="s">
        <v>7</v>
      </c>
      <c r="O4108" t="s">
        <v>297</v>
      </c>
    </row>
    <row r="4109" spans="1:15" x14ac:dyDescent="0.3">
      <c r="A4109" t="s">
        <v>6131</v>
      </c>
      <c r="B4109" t="s">
        <v>6265</v>
      </c>
      <c r="C4109">
        <v>2023</v>
      </c>
      <c r="D4109" t="s">
        <v>300</v>
      </c>
      <c r="E4109" t="s">
        <v>1342</v>
      </c>
      <c r="F4109">
        <v>0.87</v>
      </c>
      <c r="G4109" t="s">
        <v>327</v>
      </c>
      <c r="H4109">
        <v>10</v>
      </c>
      <c r="I4109" t="s">
        <v>6305</v>
      </c>
      <c r="J4109" t="s">
        <v>294</v>
      </c>
      <c r="M4109" t="s">
        <v>295</v>
      </c>
      <c r="N4109" t="s">
        <v>7</v>
      </c>
      <c r="O4109" t="s">
        <v>297</v>
      </c>
    </row>
    <row r="4110" spans="1:15" x14ac:dyDescent="0.3">
      <c r="A4110" t="s">
        <v>6131</v>
      </c>
      <c r="B4110" t="s">
        <v>6265</v>
      </c>
      <c r="C4110">
        <v>2023</v>
      </c>
      <c r="D4110" t="s">
        <v>300</v>
      </c>
      <c r="E4110" t="s">
        <v>333</v>
      </c>
      <c r="F4110">
        <v>0.12870000000000001</v>
      </c>
      <c r="G4110" t="s">
        <v>334</v>
      </c>
      <c r="H4110">
        <v>10</v>
      </c>
      <c r="I4110" t="s">
        <v>6306</v>
      </c>
      <c r="J4110" t="s">
        <v>294</v>
      </c>
      <c r="M4110" t="s">
        <v>295</v>
      </c>
      <c r="N4110" t="s">
        <v>7</v>
      </c>
      <c r="O4110" t="s">
        <v>297</v>
      </c>
    </row>
    <row r="4111" spans="1:15" x14ac:dyDescent="0.3">
      <c r="A4111" t="s">
        <v>6131</v>
      </c>
      <c r="B4111" t="s">
        <v>6265</v>
      </c>
      <c r="C4111">
        <v>2023</v>
      </c>
      <c r="D4111" t="s">
        <v>300</v>
      </c>
      <c r="E4111" t="s">
        <v>336</v>
      </c>
      <c r="F4111">
        <v>0.24049999999999999</v>
      </c>
      <c r="G4111" t="s">
        <v>334</v>
      </c>
      <c r="H4111">
        <v>10</v>
      </c>
      <c r="I4111" t="s">
        <v>6307</v>
      </c>
      <c r="J4111" t="s">
        <v>294</v>
      </c>
      <c r="M4111" t="s">
        <v>295</v>
      </c>
      <c r="N4111" t="s">
        <v>7</v>
      </c>
      <c r="O4111" t="s">
        <v>297</v>
      </c>
    </row>
    <row r="4112" spans="1:15" x14ac:dyDescent="0.3">
      <c r="A4112" t="s">
        <v>6131</v>
      </c>
      <c r="B4112" t="s">
        <v>6265</v>
      </c>
      <c r="C4112">
        <v>2023</v>
      </c>
      <c r="D4112" t="s">
        <v>300</v>
      </c>
      <c r="E4112" t="s">
        <v>326</v>
      </c>
      <c r="F4112">
        <v>1.25</v>
      </c>
      <c r="G4112" t="s">
        <v>327</v>
      </c>
      <c r="H4112">
        <v>10</v>
      </c>
      <c r="I4112" t="s">
        <v>6308</v>
      </c>
      <c r="J4112" t="s">
        <v>294</v>
      </c>
      <c r="M4112" t="s">
        <v>295</v>
      </c>
      <c r="N4112" t="s">
        <v>7</v>
      </c>
      <c r="O4112" t="s">
        <v>297</v>
      </c>
    </row>
    <row r="4113" spans="1:15" x14ac:dyDescent="0.3">
      <c r="A4113" t="s">
        <v>6131</v>
      </c>
      <c r="B4113" t="s">
        <v>6265</v>
      </c>
      <c r="C4113">
        <v>2023</v>
      </c>
      <c r="D4113" t="s">
        <v>358</v>
      </c>
      <c r="E4113" t="s">
        <v>6195</v>
      </c>
      <c r="F4113">
        <v>11183</v>
      </c>
      <c r="G4113" t="s">
        <v>360</v>
      </c>
      <c r="H4113">
        <v>109</v>
      </c>
      <c r="I4113" t="s">
        <v>6309</v>
      </c>
      <c r="J4113" t="s">
        <v>294</v>
      </c>
      <c r="M4113" t="s">
        <v>295</v>
      </c>
      <c r="N4113" t="s">
        <v>7</v>
      </c>
      <c r="O4113" t="s">
        <v>297</v>
      </c>
    </row>
    <row r="4114" spans="1:15" x14ac:dyDescent="0.3">
      <c r="A4114" t="s">
        <v>6131</v>
      </c>
      <c r="B4114" t="s">
        <v>6265</v>
      </c>
      <c r="C4114">
        <v>2023</v>
      </c>
      <c r="D4114" t="s">
        <v>358</v>
      </c>
      <c r="E4114" t="s">
        <v>6197</v>
      </c>
      <c r="F4114">
        <v>2651</v>
      </c>
      <c r="G4114" t="s">
        <v>360</v>
      </c>
      <c r="H4114">
        <v>109</v>
      </c>
      <c r="I4114" t="s">
        <v>6310</v>
      </c>
      <c r="J4114" t="s">
        <v>294</v>
      </c>
      <c r="M4114" t="s">
        <v>295</v>
      </c>
      <c r="N4114" t="s">
        <v>7</v>
      </c>
      <c r="O4114" t="s">
        <v>297</v>
      </c>
    </row>
    <row r="4115" spans="1:15" x14ac:dyDescent="0.3">
      <c r="A4115" t="s">
        <v>6131</v>
      </c>
      <c r="B4115" t="s">
        <v>6265</v>
      </c>
      <c r="C4115">
        <v>2023</v>
      </c>
      <c r="D4115" t="s">
        <v>358</v>
      </c>
      <c r="E4115" t="s">
        <v>6199</v>
      </c>
      <c r="F4115">
        <v>1064</v>
      </c>
      <c r="G4115" t="s">
        <v>360</v>
      </c>
      <c r="H4115">
        <v>108</v>
      </c>
      <c r="I4115" t="s">
        <v>6311</v>
      </c>
      <c r="J4115" t="s">
        <v>294</v>
      </c>
      <c r="M4115" t="s">
        <v>295</v>
      </c>
      <c r="N4115" t="s">
        <v>7</v>
      </c>
      <c r="O4115" t="s">
        <v>297</v>
      </c>
    </row>
    <row r="4116" spans="1:15" x14ac:dyDescent="0.3">
      <c r="A4116" t="s">
        <v>6131</v>
      </c>
      <c r="B4116" t="s">
        <v>6265</v>
      </c>
      <c r="C4116">
        <v>2023</v>
      </c>
      <c r="D4116" t="s">
        <v>358</v>
      </c>
      <c r="E4116" t="s">
        <v>6201</v>
      </c>
      <c r="F4116">
        <v>8229</v>
      </c>
      <c r="G4116" t="s">
        <v>360</v>
      </c>
      <c r="H4116">
        <v>108</v>
      </c>
      <c r="I4116" t="s">
        <v>6312</v>
      </c>
      <c r="J4116" t="s">
        <v>294</v>
      </c>
      <c r="M4116" t="s">
        <v>295</v>
      </c>
      <c r="N4116" t="s">
        <v>7</v>
      </c>
      <c r="O4116" t="s">
        <v>297</v>
      </c>
    </row>
    <row r="4117" spans="1:15" x14ac:dyDescent="0.3">
      <c r="A4117" t="s">
        <v>6131</v>
      </c>
      <c r="B4117" t="s">
        <v>6265</v>
      </c>
      <c r="C4117">
        <v>2023</v>
      </c>
      <c r="D4117" t="s">
        <v>358</v>
      </c>
      <c r="E4117" t="s">
        <v>6203</v>
      </c>
      <c r="F4117">
        <v>1890</v>
      </c>
      <c r="G4117" t="s">
        <v>360</v>
      </c>
      <c r="H4117">
        <v>108</v>
      </c>
      <c r="I4117" t="s">
        <v>6313</v>
      </c>
      <c r="J4117" t="s">
        <v>294</v>
      </c>
      <c r="M4117" t="s">
        <v>295</v>
      </c>
      <c r="N4117" t="s">
        <v>7</v>
      </c>
      <c r="O4117" t="s">
        <v>297</v>
      </c>
    </row>
    <row r="4118" spans="1:15" x14ac:dyDescent="0.3">
      <c r="A4118" t="s">
        <v>6131</v>
      </c>
      <c r="B4118" t="s">
        <v>6265</v>
      </c>
      <c r="C4118">
        <v>2023</v>
      </c>
      <c r="D4118" t="s">
        <v>358</v>
      </c>
      <c r="E4118" t="s">
        <v>6205</v>
      </c>
      <c r="F4118">
        <v>2895</v>
      </c>
      <c r="G4118" t="s">
        <v>360</v>
      </c>
      <c r="H4118">
        <v>110</v>
      </c>
      <c r="I4118" t="s">
        <v>6314</v>
      </c>
      <c r="J4118" t="s">
        <v>294</v>
      </c>
      <c r="M4118" t="s">
        <v>295</v>
      </c>
      <c r="N4118" t="s">
        <v>7</v>
      </c>
      <c r="O4118" t="s">
        <v>297</v>
      </c>
    </row>
    <row r="4119" spans="1:15" x14ac:dyDescent="0.3">
      <c r="A4119" t="s">
        <v>6131</v>
      </c>
      <c r="B4119" t="s">
        <v>6265</v>
      </c>
      <c r="C4119">
        <v>2023</v>
      </c>
      <c r="D4119" t="s">
        <v>358</v>
      </c>
      <c r="E4119" t="s">
        <v>6207</v>
      </c>
      <c r="F4119">
        <v>995</v>
      </c>
      <c r="G4119" t="s">
        <v>360</v>
      </c>
      <c r="H4119">
        <v>110</v>
      </c>
      <c r="I4119" t="s">
        <v>6315</v>
      </c>
      <c r="J4119" t="s">
        <v>294</v>
      </c>
      <c r="M4119" t="s">
        <v>295</v>
      </c>
      <c r="N4119" t="s">
        <v>7</v>
      </c>
      <c r="O4119" t="s">
        <v>297</v>
      </c>
    </row>
    <row r="4120" spans="1:15" x14ac:dyDescent="0.3">
      <c r="A4120" t="s">
        <v>6131</v>
      </c>
      <c r="B4120" t="s">
        <v>6265</v>
      </c>
      <c r="C4120">
        <v>2023</v>
      </c>
      <c r="D4120" t="s">
        <v>358</v>
      </c>
      <c r="E4120" t="s">
        <v>6209</v>
      </c>
      <c r="F4120">
        <v>1</v>
      </c>
      <c r="G4120" t="s">
        <v>384</v>
      </c>
      <c r="H4120">
        <v>107</v>
      </c>
      <c r="I4120" t="s">
        <v>6316</v>
      </c>
      <c r="J4120" t="s">
        <v>294</v>
      </c>
      <c r="M4120" t="s">
        <v>295</v>
      </c>
      <c r="N4120" t="s">
        <v>7</v>
      </c>
      <c r="O4120" t="s">
        <v>297</v>
      </c>
    </row>
    <row r="4121" spans="1:15" x14ac:dyDescent="0.3">
      <c r="A4121" t="s">
        <v>6131</v>
      </c>
      <c r="B4121" t="s">
        <v>6265</v>
      </c>
      <c r="C4121">
        <v>2023</v>
      </c>
      <c r="D4121" t="s">
        <v>358</v>
      </c>
      <c r="E4121" t="s">
        <v>6211</v>
      </c>
      <c r="F4121">
        <v>120</v>
      </c>
      <c r="G4121" t="s">
        <v>738</v>
      </c>
      <c r="H4121">
        <v>107</v>
      </c>
      <c r="I4121" t="s">
        <v>6317</v>
      </c>
      <c r="J4121" t="s">
        <v>294</v>
      </c>
      <c r="M4121" t="s">
        <v>295</v>
      </c>
      <c r="N4121" t="s">
        <v>7</v>
      </c>
      <c r="O4121" t="s">
        <v>297</v>
      </c>
    </row>
    <row r="4122" spans="1:15" x14ac:dyDescent="0.3">
      <c r="A4122" t="s">
        <v>6131</v>
      </c>
      <c r="B4122" t="s">
        <v>6265</v>
      </c>
      <c r="C4122">
        <v>2023</v>
      </c>
      <c r="D4122" t="s">
        <v>358</v>
      </c>
      <c r="E4122" t="s">
        <v>6213</v>
      </c>
      <c r="F4122">
        <v>83.5</v>
      </c>
      <c r="G4122" t="s">
        <v>738</v>
      </c>
      <c r="H4122">
        <v>107</v>
      </c>
      <c r="I4122" t="s">
        <v>6318</v>
      </c>
      <c r="J4122" t="s">
        <v>294</v>
      </c>
      <c r="M4122" t="s">
        <v>295</v>
      </c>
      <c r="N4122" t="s">
        <v>7</v>
      </c>
      <c r="O4122" t="s">
        <v>297</v>
      </c>
    </row>
    <row r="4123" spans="1:15" x14ac:dyDescent="0.3">
      <c r="A4123" t="s">
        <v>6131</v>
      </c>
      <c r="B4123" t="s">
        <v>6265</v>
      </c>
      <c r="C4123">
        <v>2023</v>
      </c>
      <c r="D4123" t="s">
        <v>358</v>
      </c>
      <c r="E4123" t="s">
        <v>6215</v>
      </c>
      <c r="F4123">
        <v>1</v>
      </c>
      <c r="G4123" t="s">
        <v>384</v>
      </c>
      <c r="H4123">
        <v>109</v>
      </c>
      <c r="I4123" t="s">
        <v>6216</v>
      </c>
      <c r="J4123" t="s">
        <v>294</v>
      </c>
      <c r="M4123" t="s">
        <v>295</v>
      </c>
      <c r="N4123" t="s">
        <v>7</v>
      </c>
      <c r="O4123" t="s">
        <v>297</v>
      </c>
    </row>
    <row r="4124" spans="1:15" x14ac:dyDescent="0.3">
      <c r="A4124" t="s">
        <v>6131</v>
      </c>
      <c r="B4124" t="s">
        <v>6265</v>
      </c>
      <c r="C4124">
        <v>2023</v>
      </c>
      <c r="D4124" t="s">
        <v>358</v>
      </c>
      <c r="E4124" t="s">
        <v>6217</v>
      </c>
      <c r="F4124">
        <v>6000</v>
      </c>
      <c r="G4124" t="s">
        <v>6218</v>
      </c>
      <c r="H4124">
        <v>109</v>
      </c>
      <c r="I4124" t="s">
        <v>6219</v>
      </c>
      <c r="J4124" t="s">
        <v>294</v>
      </c>
      <c r="M4124" t="s">
        <v>295</v>
      </c>
      <c r="N4124" t="s">
        <v>7</v>
      </c>
      <c r="O4124" t="s">
        <v>297</v>
      </c>
    </row>
    <row r="4125" spans="1:15" x14ac:dyDescent="0.3">
      <c r="A4125" t="s">
        <v>6131</v>
      </c>
      <c r="B4125" t="s">
        <v>6265</v>
      </c>
      <c r="C4125">
        <v>2023</v>
      </c>
      <c r="D4125" t="s">
        <v>358</v>
      </c>
      <c r="E4125" t="s">
        <v>6220</v>
      </c>
      <c r="F4125">
        <v>2653</v>
      </c>
      <c r="G4125" t="s">
        <v>6218</v>
      </c>
      <c r="H4125">
        <v>109</v>
      </c>
      <c r="I4125" t="s">
        <v>6319</v>
      </c>
      <c r="J4125" t="s">
        <v>294</v>
      </c>
      <c r="M4125" t="s">
        <v>295</v>
      </c>
      <c r="N4125" t="s">
        <v>7</v>
      </c>
      <c r="O4125" t="s">
        <v>297</v>
      </c>
    </row>
    <row r="4126" spans="1:15" x14ac:dyDescent="0.3">
      <c r="A4126" t="s">
        <v>6131</v>
      </c>
      <c r="B4126" t="s">
        <v>6265</v>
      </c>
      <c r="C4126">
        <v>2023</v>
      </c>
      <c r="D4126" t="s">
        <v>358</v>
      </c>
      <c r="E4126" t="s">
        <v>6222</v>
      </c>
      <c r="F4126">
        <v>600</v>
      </c>
      <c r="G4126" t="s">
        <v>6218</v>
      </c>
      <c r="H4126">
        <v>109</v>
      </c>
      <c r="I4126" t="s">
        <v>6320</v>
      </c>
      <c r="J4126" t="s">
        <v>294</v>
      </c>
      <c r="M4126" t="s">
        <v>295</v>
      </c>
      <c r="N4126" t="s">
        <v>7</v>
      </c>
      <c r="O4126" t="s">
        <v>297</v>
      </c>
    </row>
    <row r="4127" spans="1:15" x14ac:dyDescent="0.3">
      <c r="A4127" t="s">
        <v>6131</v>
      </c>
      <c r="B4127" t="s">
        <v>6265</v>
      </c>
      <c r="C4127">
        <v>2023</v>
      </c>
      <c r="D4127" t="s">
        <v>358</v>
      </c>
      <c r="E4127" t="s">
        <v>6224</v>
      </c>
      <c r="F4127">
        <v>110</v>
      </c>
      <c r="G4127" t="s">
        <v>6218</v>
      </c>
      <c r="H4127">
        <v>109</v>
      </c>
      <c r="I4127" t="s">
        <v>6321</v>
      </c>
      <c r="J4127" t="s">
        <v>294</v>
      </c>
      <c r="M4127" t="s">
        <v>295</v>
      </c>
      <c r="N4127" t="s">
        <v>7</v>
      </c>
      <c r="O4127" t="s">
        <v>297</v>
      </c>
    </row>
    <row r="4128" spans="1:15" x14ac:dyDescent="0.3">
      <c r="A4128" t="s">
        <v>6131</v>
      </c>
      <c r="B4128" t="s">
        <v>6265</v>
      </c>
      <c r="C4128">
        <v>2023</v>
      </c>
      <c r="D4128" t="s">
        <v>394</v>
      </c>
      <c r="E4128" t="s">
        <v>6226</v>
      </c>
      <c r="F4128">
        <v>179913</v>
      </c>
      <c r="G4128" t="s">
        <v>396</v>
      </c>
      <c r="H4128">
        <v>108</v>
      </c>
      <c r="I4128" t="s">
        <v>6322</v>
      </c>
      <c r="J4128" t="s">
        <v>294</v>
      </c>
      <c r="M4128" t="s">
        <v>295</v>
      </c>
      <c r="N4128" t="s">
        <v>7</v>
      </c>
      <c r="O4128" t="s">
        <v>297</v>
      </c>
    </row>
    <row r="4129" spans="1:15" x14ac:dyDescent="0.3">
      <c r="A4129" t="s">
        <v>6131</v>
      </c>
      <c r="B4129" t="s">
        <v>6265</v>
      </c>
      <c r="C4129">
        <v>2023</v>
      </c>
      <c r="D4129" t="s">
        <v>394</v>
      </c>
      <c r="E4129" t="s">
        <v>6228</v>
      </c>
      <c r="F4129">
        <v>30967</v>
      </c>
      <c r="G4129" t="s">
        <v>396</v>
      </c>
      <c r="H4129">
        <v>108</v>
      </c>
      <c r="I4129" t="s">
        <v>6323</v>
      </c>
      <c r="J4129" t="s">
        <v>294</v>
      </c>
      <c r="M4129" t="s">
        <v>295</v>
      </c>
      <c r="N4129" t="s">
        <v>7</v>
      </c>
      <c r="O4129" t="s">
        <v>297</v>
      </c>
    </row>
    <row r="4130" spans="1:15" x14ac:dyDescent="0.3">
      <c r="A4130" t="s">
        <v>6131</v>
      </c>
      <c r="B4130" t="s">
        <v>6265</v>
      </c>
      <c r="C4130">
        <v>2023</v>
      </c>
      <c r="D4130" t="s">
        <v>394</v>
      </c>
      <c r="E4130" t="s">
        <v>6230</v>
      </c>
      <c r="F4130">
        <v>227544</v>
      </c>
      <c r="G4130" t="s">
        <v>396</v>
      </c>
      <c r="H4130">
        <v>108</v>
      </c>
      <c r="I4130" t="s">
        <v>6324</v>
      </c>
      <c r="J4130" t="s">
        <v>294</v>
      </c>
      <c r="M4130" t="s">
        <v>295</v>
      </c>
      <c r="N4130" t="s">
        <v>7</v>
      </c>
      <c r="O4130" t="s">
        <v>297</v>
      </c>
    </row>
    <row r="4131" spans="1:15" x14ac:dyDescent="0.3">
      <c r="A4131" t="s">
        <v>6131</v>
      </c>
      <c r="B4131" t="s">
        <v>6265</v>
      </c>
      <c r="C4131">
        <v>2023</v>
      </c>
      <c r="D4131" t="s">
        <v>394</v>
      </c>
      <c r="E4131" t="s">
        <v>537</v>
      </c>
      <c r="F4131">
        <v>438424</v>
      </c>
      <c r="G4131" t="s">
        <v>396</v>
      </c>
      <c r="H4131">
        <v>108</v>
      </c>
      <c r="I4131" t="s">
        <v>6325</v>
      </c>
      <c r="J4131" t="s">
        <v>294</v>
      </c>
      <c r="M4131" t="s">
        <v>295</v>
      </c>
      <c r="N4131" t="s">
        <v>7</v>
      </c>
      <c r="O4131" t="s">
        <v>297</v>
      </c>
    </row>
    <row r="4132" spans="1:15" x14ac:dyDescent="0.3">
      <c r="A4132" t="s">
        <v>6131</v>
      </c>
      <c r="B4132" t="s">
        <v>6265</v>
      </c>
      <c r="C4132">
        <v>2023</v>
      </c>
      <c r="D4132" t="s">
        <v>394</v>
      </c>
      <c r="E4132" t="s">
        <v>406</v>
      </c>
      <c r="F4132">
        <v>99766</v>
      </c>
      <c r="G4132" t="s">
        <v>396</v>
      </c>
      <c r="H4132">
        <v>109</v>
      </c>
      <c r="I4132" t="s">
        <v>6326</v>
      </c>
      <c r="J4132" t="s">
        <v>294</v>
      </c>
      <c r="M4132" t="s">
        <v>295</v>
      </c>
      <c r="N4132" t="s">
        <v>7</v>
      </c>
      <c r="O4132" t="s">
        <v>297</v>
      </c>
    </row>
    <row r="4133" spans="1:15" x14ac:dyDescent="0.3">
      <c r="A4133" t="s">
        <v>6131</v>
      </c>
      <c r="B4133" t="s">
        <v>6265</v>
      </c>
      <c r="C4133">
        <v>2023</v>
      </c>
      <c r="D4133" t="s">
        <v>394</v>
      </c>
      <c r="E4133" t="s">
        <v>6234</v>
      </c>
      <c r="F4133">
        <v>19947</v>
      </c>
      <c r="G4133" t="s">
        <v>396</v>
      </c>
      <c r="H4133">
        <v>109</v>
      </c>
      <c r="I4133" t="s">
        <v>6327</v>
      </c>
      <c r="J4133" t="s">
        <v>294</v>
      </c>
      <c r="M4133" t="s">
        <v>295</v>
      </c>
      <c r="N4133" t="s">
        <v>7</v>
      </c>
      <c r="O4133" t="s">
        <v>297</v>
      </c>
    </row>
    <row r="4134" spans="1:15" x14ac:dyDescent="0.3">
      <c r="A4134" t="s">
        <v>6131</v>
      </c>
      <c r="B4134" t="s">
        <v>6265</v>
      </c>
      <c r="C4134">
        <v>2023</v>
      </c>
      <c r="D4134" t="s">
        <v>394</v>
      </c>
      <c r="E4134" t="s">
        <v>6236</v>
      </c>
      <c r="F4134">
        <v>31841</v>
      </c>
      <c r="G4134" t="s">
        <v>396</v>
      </c>
      <c r="H4134">
        <v>110</v>
      </c>
      <c r="I4134" t="s">
        <v>6328</v>
      </c>
      <c r="J4134" t="s">
        <v>294</v>
      </c>
      <c r="M4134" t="s">
        <v>295</v>
      </c>
      <c r="N4134" t="s">
        <v>7</v>
      </c>
      <c r="O4134" t="s">
        <v>297</v>
      </c>
    </row>
    <row r="4135" spans="1:15" x14ac:dyDescent="0.3">
      <c r="A4135" t="s">
        <v>6131</v>
      </c>
      <c r="B4135" t="s">
        <v>6265</v>
      </c>
      <c r="C4135">
        <v>2023</v>
      </c>
      <c r="D4135" t="s">
        <v>394</v>
      </c>
      <c r="E4135" t="s">
        <v>6238</v>
      </c>
      <c r="F4135">
        <v>1320</v>
      </c>
      <c r="G4135" t="s">
        <v>396</v>
      </c>
      <c r="H4135">
        <v>110</v>
      </c>
      <c r="I4135" t="s">
        <v>6329</v>
      </c>
      <c r="J4135" t="s">
        <v>294</v>
      </c>
      <c r="M4135" t="s">
        <v>295</v>
      </c>
      <c r="N4135" t="s">
        <v>7</v>
      </c>
      <c r="O4135" t="s">
        <v>297</v>
      </c>
    </row>
    <row r="4136" spans="1:15" x14ac:dyDescent="0.3">
      <c r="A4136" t="s">
        <v>6131</v>
      </c>
      <c r="B4136" t="s">
        <v>6265</v>
      </c>
      <c r="C4136">
        <v>2023</v>
      </c>
      <c r="D4136" t="s">
        <v>394</v>
      </c>
      <c r="E4136" t="s">
        <v>6240</v>
      </c>
      <c r="F4136">
        <v>1315</v>
      </c>
      <c r="G4136" t="s">
        <v>396</v>
      </c>
      <c r="H4136">
        <v>110</v>
      </c>
      <c r="I4136" t="s">
        <v>6330</v>
      </c>
      <c r="J4136" t="s">
        <v>294</v>
      </c>
      <c r="M4136" t="s">
        <v>295</v>
      </c>
      <c r="N4136" t="s">
        <v>7</v>
      </c>
      <c r="O4136" t="s">
        <v>297</v>
      </c>
    </row>
    <row r="4137" spans="1:15" x14ac:dyDescent="0.3">
      <c r="A4137" t="s">
        <v>6131</v>
      </c>
      <c r="B4137" t="s">
        <v>6265</v>
      </c>
      <c r="C4137">
        <v>2023</v>
      </c>
      <c r="D4137" t="s">
        <v>394</v>
      </c>
      <c r="E4137" t="s">
        <v>6242</v>
      </c>
      <c r="F4137">
        <v>919</v>
      </c>
      <c r="G4137" t="s">
        <v>396</v>
      </c>
      <c r="H4137">
        <v>110</v>
      </c>
      <c r="I4137" t="s">
        <v>6331</v>
      </c>
      <c r="J4137" t="s">
        <v>294</v>
      </c>
      <c r="M4137" t="s">
        <v>295</v>
      </c>
      <c r="N4137" t="s">
        <v>7</v>
      </c>
      <c r="O4137" t="s">
        <v>297</v>
      </c>
    </row>
    <row r="4138" spans="1:15" x14ac:dyDescent="0.3">
      <c r="A4138" t="s">
        <v>6131</v>
      </c>
      <c r="B4138" t="s">
        <v>6265</v>
      </c>
      <c r="C4138">
        <v>2023</v>
      </c>
      <c r="D4138" t="s">
        <v>394</v>
      </c>
      <c r="E4138" t="s">
        <v>6244</v>
      </c>
      <c r="F4138">
        <v>28167</v>
      </c>
      <c r="G4138" t="s">
        <v>396</v>
      </c>
      <c r="H4138">
        <v>110</v>
      </c>
      <c r="I4138" t="s">
        <v>6332</v>
      </c>
      <c r="J4138" t="s">
        <v>294</v>
      </c>
      <c r="M4138" t="s">
        <v>295</v>
      </c>
      <c r="N4138" t="s">
        <v>7</v>
      </c>
      <c r="O4138" t="s">
        <v>297</v>
      </c>
    </row>
    <row r="4139" spans="1:15" x14ac:dyDescent="0.3">
      <c r="A4139" t="s">
        <v>6131</v>
      </c>
      <c r="B4139" t="s">
        <v>6265</v>
      </c>
      <c r="C4139">
        <v>2023</v>
      </c>
      <c r="D4139" t="s">
        <v>394</v>
      </c>
      <c r="E4139" t="s">
        <v>438</v>
      </c>
      <c r="F4139">
        <v>107812</v>
      </c>
      <c r="G4139" t="s">
        <v>396</v>
      </c>
      <c r="H4139">
        <v>108</v>
      </c>
      <c r="I4139" t="s">
        <v>6333</v>
      </c>
      <c r="J4139" t="s">
        <v>294</v>
      </c>
      <c r="M4139" t="s">
        <v>295</v>
      </c>
      <c r="N4139" t="s">
        <v>7</v>
      </c>
      <c r="O4139" t="s">
        <v>297</v>
      </c>
    </row>
    <row r="4140" spans="1:15" x14ac:dyDescent="0.3">
      <c r="A4140" t="s">
        <v>6131</v>
      </c>
      <c r="B4140" t="s">
        <v>6265</v>
      </c>
      <c r="C4140">
        <v>2023</v>
      </c>
      <c r="D4140" t="s">
        <v>394</v>
      </c>
      <c r="E4140" t="s">
        <v>3243</v>
      </c>
      <c r="F4140">
        <v>20384</v>
      </c>
      <c r="G4140" t="s">
        <v>396</v>
      </c>
      <c r="H4140">
        <v>108</v>
      </c>
      <c r="I4140" t="s">
        <v>6334</v>
      </c>
      <c r="J4140" t="s">
        <v>294</v>
      </c>
      <c r="M4140" t="s">
        <v>295</v>
      </c>
      <c r="N4140" t="s">
        <v>7</v>
      </c>
      <c r="O4140" t="s">
        <v>297</v>
      </c>
    </row>
    <row r="4141" spans="1:15" x14ac:dyDescent="0.3">
      <c r="A4141" t="s">
        <v>6131</v>
      </c>
      <c r="B4141" t="s">
        <v>6265</v>
      </c>
      <c r="C4141">
        <v>2023</v>
      </c>
      <c r="D4141" t="s">
        <v>394</v>
      </c>
      <c r="E4141" t="s">
        <v>6248</v>
      </c>
      <c r="F4141">
        <v>33030</v>
      </c>
      <c r="G4141" t="s">
        <v>396</v>
      </c>
      <c r="H4141">
        <v>109</v>
      </c>
      <c r="I4141" t="s">
        <v>6335</v>
      </c>
      <c r="J4141" t="s">
        <v>294</v>
      </c>
      <c r="M4141" t="s">
        <v>295</v>
      </c>
      <c r="N4141" t="s">
        <v>7</v>
      </c>
      <c r="O4141" t="s">
        <v>297</v>
      </c>
    </row>
    <row r="4142" spans="1:15" x14ac:dyDescent="0.3">
      <c r="A4142" t="s">
        <v>6131</v>
      </c>
      <c r="B4142" t="s">
        <v>6265</v>
      </c>
      <c r="C4142">
        <v>2023</v>
      </c>
      <c r="D4142" t="s">
        <v>394</v>
      </c>
      <c r="E4142" t="s">
        <v>4067</v>
      </c>
      <c r="F4142">
        <v>1290</v>
      </c>
      <c r="G4142" t="s">
        <v>396</v>
      </c>
      <c r="H4142">
        <v>109</v>
      </c>
      <c r="I4142" t="s">
        <v>6336</v>
      </c>
      <c r="J4142" t="s">
        <v>294</v>
      </c>
      <c r="M4142" t="s">
        <v>295</v>
      </c>
      <c r="N4142" t="s">
        <v>7</v>
      </c>
      <c r="O4142" t="s">
        <v>297</v>
      </c>
    </row>
    <row r="4143" spans="1:15" x14ac:dyDescent="0.3">
      <c r="A4143" t="s">
        <v>6131</v>
      </c>
      <c r="B4143" t="s">
        <v>6265</v>
      </c>
      <c r="C4143">
        <v>2023</v>
      </c>
      <c r="D4143" t="s">
        <v>394</v>
      </c>
      <c r="E4143" t="s">
        <v>554</v>
      </c>
      <c r="F4143">
        <v>11096</v>
      </c>
      <c r="G4143" t="s">
        <v>436</v>
      </c>
      <c r="H4143">
        <v>108</v>
      </c>
      <c r="I4143" t="s">
        <v>6337</v>
      </c>
      <c r="J4143" t="s">
        <v>294</v>
      </c>
      <c r="M4143" t="s">
        <v>295</v>
      </c>
      <c r="N4143" t="s">
        <v>7</v>
      </c>
      <c r="O4143" t="s">
        <v>297</v>
      </c>
    </row>
    <row r="4144" spans="1:15" x14ac:dyDescent="0.3">
      <c r="A4144" t="s">
        <v>6131</v>
      </c>
      <c r="B4144" t="s">
        <v>6265</v>
      </c>
      <c r="C4144">
        <v>2023</v>
      </c>
      <c r="D4144" t="s">
        <v>394</v>
      </c>
      <c r="E4144" t="s">
        <v>3246</v>
      </c>
      <c r="F4144">
        <v>5315</v>
      </c>
      <c r="G4144" t="s">
        <v>436</v>
      </c>
      <c r="H4144">
        <v>108</v>
      </c>
      <c r="I4144" t="s">
        <v>6338</v>
      </c>
      <c r="J4144" t="s">
        <v>294</v>
      </c>
      <c r="M4144" t="s">
        <v>295</v>
      </c>
      <c r="N4144" t="s">
        <v>7</v>
      </c>
      <c r="O4144" t="s">
        <v>297</v>
      </c>
    </row>
    <row r="4145" spans="1:15" x14ac:dyDescent="0.3">
      <c r="A4145" t="s">
        <v>6131</v>
      </c>
      <c r="B4145" t="s">
        <v>6265</v>
      </c>
      <c r="C4145">
        <v>2023</v>
      </c>
      <c r="D4145" t="s">
        <v>394</v>
      </c>
      <c r="E4145" t="s">
        <v>6339</v>
      </c>
      <c r="F4145">
        <v>21066</v>
      </c>
      <c r="G4145" t="s">
        <v>436</v>
      </c>
      <c r="H4145">
        <v>109</v>
      </c>
      <c r="I4145" t="s">
        <v>6340</v>
      </c>
      <c r="J4145" t="s">
        <v>294</v>
      </c>
      <c r="M4145" t="s">
        <v>295</v>
      </c>
      <c r="N4145" t="s">
        <v>7</v>
      </c>
      <c r="O4145" t="s">
        <v>297</v>
      </c>
    </row>
    <row r="4146" spans="1:15" x14ac:dyDescent="0.3">
      <c r="A4146" t="s">
        <v>6131</v>
      </c>
      <c r="B4146" t="s">
        <v>6265</v>
      </c>
      <c r="C4146">
        <v>2023</v>
      </c>
      <c r="D4146" t="s">
        <v>394</v>
      </c>
      <c r="E4146" t="s">
        <v>6255</v>
      </c>
      <c r="F4146">
        <v>27100</v>
      </c>
      <c r="G4146" t="s">
        <v>436</v>
      </c>
      <c r="H4146">
        <v>109</v>
      </c>
      <c r="I4146" t="s">
        <v>6341</v>
      </c>
      <c r="J4146" t="s">
        <v>294</v>
      </c>
      <c r="M4146" t="s">
        <v>295</v>
      </c>
      <c r="N4146" t="s">
        <v>7</v>
      </c>
      <c r="O4146" t="s">
        <v>297</v>
      </c>
    </row>
    <row r="4147" spans="1:15" x14ac:dyDescent="0.3">
      <c r="A4147" t="s">
        <v>6131</v>
      </c>
      <c r="B4147" t="s">
        <v>6265</v>
      </c>
      <c r="C4147">
        <v>2023</v>
      </c>
      <c r="D4147" t="s">
        <v>394</v>
      </c>
      <c r="E4147" t="s">
        <v>4311</v>
      </c>
      <c r="F4147">
        <v>1482</v>
      </c>
      <c r="G4147" t="s">
        <v>302</v>
      </c>
      <c r="H4147">
        <v>111</v>
      </c>
      <c r="I4147" t="s">
        <v>6342</v>
      </c>
      <c r="J4147" t="s">
        <v>294</v>
      </c>
      <c r="M4147" t="s">
        <v>295</v>
      </c>
      <c r="N4147" t="s">
        <v>7</v>
      </c>
      <c r="O4147" t="s">
        <v>297</v>
      </c>
    </row>
    <row r="4148" spans="1:15" x14ac:dyDescent="0.3">
      <c r="A4148" t="s">
        <v>6131</v>
      </c>
      <c r="B4148" t="s">
        <v>6265</v>
      </c>
      <c r="C4148">
        <v>2023</v>
      </c>
      <c r="D4148" t="s">
        <v>394</v>
      </c>
      <c r="E4148" t="s">
        <v>4313</v>
      </c>
      <c r="F4148">
        <v>731</v>
      </c>
      <c r="G4148" t="s">
        <v>302</v>
      </c>
      <c r="H4148">
        <v>111</v>
      </c>
      <c r="I4148" t="s">
        <v>6343</v>
      </c>
      <c r="J4148" t="s">
        <v>294</v>
      </c>
      <c r="M4148" t="s">
        <v>295</v>
      </c>
      <c r="N4148" t="s">
        <v>7</v>
      </c>
      <c r="O4148" t="s">
        <v>297</v>
      </c>
    </row>
    <row r="4149" spans="1:15" x14ac:dyDescent="0.3">
      <c r="A4149" t="s">
        <v>6131</v>
      </c>
      <c r="B4149" t="s">
        <v>6265</v>
      </c>
      <c r="C4149">
        <v>2023</v>
      </c>
      <c r="D4149" t="s">
        <v>394</v>
      </c>
      <c r="E4149" t="s">
        <v>6344</v>
      </c>
      <c r="F4149">
        <v>15</v>
      </c>
      <c r="G4149" t="s">
        <v>302</v>
      </c>
      <c r="H4149">
        <v>111</v>
      </c>
      <c r="I4149" t="s">
        <v>6345</v>
      </c>
      <c r="J4149" t="s">
        <v>294</v>
      </c>
      <c r="M4149" t="s">
        <v>295</v>
      </c>
      <c r="N4149" t="s">
        <v>7</v>
      </c>
      <c r="O4149" t="s">
        <v>297</v>
      </c>
    </row>
    <row r="4150" spans="1:15" x14ac:dyDescent="0.3">
      <c r="A4150" t="s">
        <v>6131</v>
      </c>
      <c r="B4150" t="s">
        <v>6265</v>
      </c>
      <c r="C4150">
        <v>2023</v>
      </c>
      <c r="D4150" t="s">
        <v>563</v>
      </c>
      <c r="E4150" t="s">
        <v>6259</v>
      </c>
      <c r="F4150" t="s">
        <v>6260</v>
      </c>
      <c r="G4150" t="s">
        <v>292</v>
      </c>
      <c r="H4150">
        <v>107</v>
      </c>
      <c r="I4150" t="s">
        <v>6346</v>
      </c>
      <c r="J4150" t="s">
        <v>294</v>
      </c>
      <c r="M4150" t="s">
        <v>295</v>
      </c>
      <c r="N4150" t="s">
        <v>7</v>
      </c>
      <c r="O4150" t="s">
        <v>297</v>
      </c>
    </row>
    <row r="4151" spans="1:15" x14ac:dyDescent="0.3">
      <c r="A4151" t="s">
        <v>6131</v>
      </c>
      <c r="B4151" t="s">
        <v>6347</v>
      </c>
      <c r="C4151">
        <v>2024</v>
      </c>
      <c r="D4151" t="s">
        <v>272</v>
      </c>
      <c r="E4151" t="s">
        <v>291</v>
      </c>
      <c r="F4151" t="s">
        <v>6131</v>
      </c>
      <c r="G4151" t="s">
        <v>292</v>
      </c>
      <c r="H4151">
        <v>1</v>
      </c>
      <c r="I4151" t="s">
        <v>6348</v>
      </c>
      <c r="J4151" t="s">
        <v>294</v>
      </c>
      <c r="M4151" t="s">
        <v>295</v>
      </c>
      <c r="N4151" t="s">
        <v>7</v>
      </c>
      <c r="O4151" t="s">
        <v>297</v>
      </c>
    </row>
    <row r="4152" spans="1:15" x14ac:dyDescent="0.3">
      <c r="A4152" t="s">
        <v>6131</v>
      </c>
      <c r="B4152" t="s">
        <v>6347</v>
      </c>
      <c r="C4152">
        <v>2024</v>
      </c>
      <c r="D4152" t="s">
        <v>272</v>
      </c>
      <c r="E4152" t="s">
        <v>1</v>
      </c>
      <c r="F4152" t="s">
        <v>51</v>
      </c>
      <c r="G4152" t="s">
        <v>292</v>
      </c>
      <c r="H4152">
        <v>69</v>
      </c>
      <c r="I4152" t="s">
        <v>6349</v>
      </c>
      <c r="J4152" t="s">
        <v>294</v>
      </c>
      <c r="M4152" t="s">
        <v>295</v>
      </c>
      <c r="N4152" t="s">
        <v>7</v>
      </c>
      <c r="O4152" t="s">
        <v>297</v>
      </c>
    </row>
    <row r="4153" spans="1:15" x14ac:dyDescent="0.3">
      <c r="A4153" t="s">
        <v>6131</v>
      </c>
      <c r="B4153" t="s">
        <v>6347</v>
      </c>
      <c r="C4153">
        <v>2024</v>
      </c>
      <c r="D4153" t="s">
        <v>272</v>
      </c>
      <c r="E4153" t="s">
        <v>5647</v>
      </c>
      <c r="F4153" t="s">
        <v>6135</v>
      </c>
      <c r="G4153" t="s">
        <v>666</v>
      </c>
      <c r="H4153">
        <v>69</v>
      </c>
      <c r="I4153" t="s">
        <v>6350</v>
      </c>
      <c r="J4153" t="s">
        <v>294</v>
      </c>
      <c r="M4153" t="s">
        <v>295</v>
      </c>
      <c r="N4153" t="s">
        <v>7</v>
      </c>
      <c r="O4153" t="s">
        <v>297</v>
      </c>
    </row>
    <row r="4154" spans="1:15" x14ac:dyDescent="0.3">
      <c r="A4154" t="s">
        <v>6131</v>
      </c>
      <c r="B4154" t="s">
        <v>6347</v>
      </c>
      <c r="C4154">
        <v>2024</v>
      </c>
      <c r="D4154" t="s">
        <v>272</v>
      </c>
      <c r="E4154" t="s">
        <v>6137</v>
      </c>
      <c r="F4154">
        <v>0.2276</v>
      </c>
      <c r="G4154" t="s">
        <v>334</v>
      </c>
      <c r="H4154">
        <v>67</v>
      </c>
      <c r="I4154" t="s">
        <v>6351</v>
      </c>
      <c r="J4154" t="s">
        <v>294</v>
      </c>
      <c r="M4154" t="s">
        <v>295</v>
      </c>
      <c r="N4154" t="s">
        <v>7</v>
      </c>
      <c r="O4154" t="s">
        <v>297</v>
      </c>
    </row>
    <row r="4155" spans="1:15" x14ac:dyDescent="0.3">
      <c r="A4155" t="s">
        <v>6131</v>
      </c>
      <c r="B4155" t="s">
        <v>6347</v>
      </c>
      <c r="C4155">
        <v>2024</v>
      </c>
      <c r="D4155" t="s">
        <v>272</v>
      </c>
      <c r="E4155" t="s">
        <v>6139</v>
      </c>
      <c r="F4155">
        <v>0.1948</v>
      </c>
      <c r="G4155" t="s">
        <v>334</v>
      </c>
      <c r="H4155">
        <v>67</v>
      </c>
      <c r="I4155" t="s">
        <v>6352</v>
      </c>
      <c r="J4155" t="s">
        <v>294</v>
      </c>
      <c r="M4155" t="s">
        <v>295</v>
      </c>
      <c r="N4155" t="s">
        <v>7</v>
      </c>
      <c r="O4155" t="s">
        <v>297</v>
      </c>
    </row>
    <row r="4156" spans="1:15" x14ac:dyDescent="0.3">
      <c r="A4156" t="s">
        <v>6131</v>
      </c>
      <c r="B4156" t="s">
        <v>6347</v>
      </c>
      <c r="C4156">
        <v>2024</v>
      </c>
      <c r="D4156" t="s">
        <v>272</v>
      </c>
      <c r="E4156" t="s">
        <v>6141</v>
      </c>
      <c r="F4156">
        <v>0.17610000000000001</v>
      </c>
      <c r="G4156" t="s">
        <v>334</v>
      </c>
      <c r="H4156">
        <v>67</v>
      </c>
      <c r="I4156" t="s">
        <v>6142</v>
      </c>
      <c r="J4156" t="s">
        <v>294</v>
      </c>
      <c r="M4156" t="s">
        <v>295</v>
      </c>
      <c r="N4156" t="s">
        <v>7</v>
      </c>
      <c r="O4156" t="s">
        <v>297</v>
      </c>
    </row>
    <row r="4157" spans="1:15" x14ac:dyDescent="0.3">
      <c r="A4157" t="s">
        <v>6131</v>
      </c>
      <c r="B4157" t="s">
        <v>6347</v>
      </c>
      <c r="C4157">
        <v>2024</v>
      </c>
      <c r="D4157" t="s">
        <v>272</v>
      </c>
      <c r="E4157" t="s">
        <v>6143</v>
      </c>
      <c r="F4157">
        <v>0.1527</v>
      </c>
      <c r="G4157" t="s">
        <v>334</v>
      </c>
      <c r="H4157">
        <v>67</v>
      </c>
      <c r="I4157" t="s">
        <v>6353</v>
      </c>
      <c r="J4157" t="s">
        <v>294</v>
      </c>
      <c r="M4157" t="s">
        <v>295</v>
      </c>
      <c r="N4157" t="s">
        <v>7</v>
      </c>
      <c r="O4157" t="s">
        <v>297</v>
      </c>
    </row>
    <row r="4158" spans="1:15" x14ac:dyDescent="0.3">
      <c r="A4158" t="s">
        <v>6131</v>
      </c>
      <c r="B4158" t="s">
        <v>6347</v>
      </c>
      <c r="C4158">
        <v>2024</v>
      </c>
      <c r="D4158" t="s">
        <v>272</v>
      </c>
      <c r="E4158" t="s">
        <v>445</v>
      </c>
      <c r="F4158">
        <v>0.24879999999999999</v>
      </c>
      <c r="G4158" t="s">
        <v>334</v>
      </c>
      <c r="H4158">
        <v>67</v>
      </c>
      <c r="I4158" t="s">
        <v>6354</v>
      </c>
      <c r="J4158" t="s">
        <v>294</v>
      </c>
      <c r="M4158" t="s">
        <v>295</v>
      </c>
      <c r="N4158" t="s">
        <v>7</v>
      </c>
      <c r="O4158" t="s">
        <v>297</v>
      </c>
    </row>
    <row r="4159" spans="1:15" x14ac:dyDescent="0.3">
      <c r="A4159" t="s">
        <v>6131</v>
      </c>
      <c r="B4159" t="s">
        <v>6347</v>
      </c>
      <c r="C4159">
        <v>2024</v>
      </c>
      <c r="D4159" t="s">
        <v>272</v>
      </c>
      <c r="E4159" t="s">
        <v>6146</v>
      </c>
      <c r="F4159" t="s">
        <v>6147</v>
      </c>
      <c r="G4159" t="s">
        <v>292</v>
      </c>
      <c r="H4159">
        <v>69</v>
      </c>
      <c r="I4159" t="s">
        <v>6355</v>
      </c>
      <c r="J4159" t="s">
        <v>294</v>
      </c>
      <c r="M4159" t="s">
        <v>295</v>
      </c>
      <c r="N4159" t="s">
        <v>7</v>
      </c>
      <c r="O4159" t="s">
        <v>297</v>
      </c>
    </row>
    <row r="4160" spans="1:15" x14ac:dyDescent="0.3">
      <c r="A4160" t="s">
        <v>6131</v>
      </c>
      <c r="B4160" t="s">
        <v>6347</v>
      </c>
      <c r="C4160">
        <v>2024</v>
      </c>
      <c r="D4160" t="s">
        <v>272</v>
      </c>
      <c r="E4160" t="s">
        <v>6149</v>
      </c>
      <c r="F4160" t="s">
        <v>6150</v>
      </c>
      <c r="G4160" t="s">
        <v>292</v>
      </c>
      <c r="H4160">
        <v>69</v>
      </c>
      <c r="I4160" t="s">
        <v>6356</v>
      </c>
      <c r="J4160" t="s">
        <v>294</v>
      </c>
      <c r="M4160" t="s">
        <v>295</v>
      </c>
      <c r="N4160" t="s">
        <v>7</v>
      </c>
      <c r="O4160" t="s">
        <v>297</v>
      </c>
    </row>
    <row r="4161" spans="1:15" x14ac:dyDescent="0.3">
      <c r="A4161" t="s">
        <v>6131</v>
      </c>
      <c r="B4161" t="s">
        <v>6347</v>
      </c>
      <c r="C4161">
        <v>2024</v>
      </c>
      <c r="D4161" t="s">
        <v>272</v>
      </c>
      <c r="E4161" t="s">
        <v>6152</v>
      </c>
      <c r="F4161" t="s">
        <v>6153</v>
      </c>
      <c r="G4161" t="s">
        <v>292</v>
      </c>
      <c r="H4161">
        <v>69</v>
      </c>
      <c r="I4161" t="s">
        <v>6357</v>
      </c>
      <c r="J4161" t="s">
        <v>294</v>
      </c>
      <c r="M4161" t="s">
        <v>295</v>
      </c>
      <c r="N4161" t="s">
        <v>7</v>
      </c>
      <c r="O4161" t="s">
        <v>297</v>
      </c>
    </row>
    <row r="4162" spans="1:15" x14ac:dyDescent="0.3">
      <c r="A4162" t="s">
        <v>6131</v>
      </c>
      <c r="B4162" t="s">
        <v>6347</v>
      </c>
      <c r="C4162">
        <v>2024</v>
      </c>
      <c r="D4162" t="s">
        <v>300</v>
      </c>
      <c r="E4162" t="s">
        <v>301</v>
      </c>
      <c r="F4162">
        <v>2043</v>
      </c>
      <c r="G4162" t="s">
        <v>302</v>
      </c>
      <c r="H4162">
        <v>8</v>
      </c>
      <c r="I4162" t="s">
        <v>6358</v>
      </c>
      <c r="J4162" t="s">
        <v>294</v>
      </c>
      <c r="M4162" t="s">
        <v>295</v>
      </c>
      <c r="N4162" t="s">
        <v>7</v>
      </c>
      <c r="O4162" t="s">
        <v>297</v>
      </c>
    </row>
    <row r="4163" spans="1:15" x14ac:dyDescent="0.3">
      <c r="A4163" t="s">
        <v>6131</v>
      </c>
      <c r="B4163" t="s">
        <v>6347</v>
      </c>
      <c r="C4163">
        <v>2024</v>
      </c>
      <c r="D4163" t="s">
        <v>300</v>
      </c>
      <c r="E4163" t="s">
        <v>688</v>
      </c>
      <c r="F4163">
        <v>1506</v>
      </c>
      <c r="G4163" t="s">
        <v>302</v>
      </c>
      <c r="H4163">
        <v>8</v>
      </c>
      <c r="I4163" t="s">
        <v>6359</v>
      </c>
      <c r="J4163" t="s">
        <v>294</v>
      </c>
      <c r="M4163" t="s">
        <v>295</v>
      </c>
      <c r="N4163" t="s">
        <v>7</v>
      </c>
      <c r="O4163" t="s">
        <v>297</v>
      </c>
    </row>
    <row r="4164" spans="1:15" x14ac:dyDescent="0.3">
      <c r="A4164" t="s">
        <v>6131</v>
      </c>
      <c r="B4164" t="s">
        <v>6347</v>
      </c>
      <c r="C4164">
        <v>2024</v>
      </c>
      <c r="D4164" t="s">
        <v>300</v>
      </c>
      <c r="E4164" t="s">
        <v>304</v>
      </c>
      <c r="F4164">
        <v>537</v>
      </c>
      <c r="G4164" t="s">
        <v>302</v>
      </c>
      <c r="H4164">
        <v>8</v>
      </c>
      <c r="I4164" t="s">
        <v>6360</v>
      </c>
      <c r="J4164" t="s">
        <v>294</v>
      </c>
      <c r="M4164" t="s">
        <v>295</v>
      </c>
      <c r="N4164" t="s">
        <v>7</v>
      </c>
      <c r="O4164" t="s">
        <v>297</v>
      </c>
    </row>
    <row r="4165" spans="1:15" x14ac:dyDescent="0.3">
      <c r="A4165" t="s">
        <v>6131</v>
      </c>
      <c r="B4165" t="s">
        <v>6347</v>
      </c>
      <c r="C4165">
        <v>2024</v>
      </c>
      <c r="D4165" t="s">
        <v>300</v>
      </c>
      <c r="E4165" t="s">
        <v>452</v>
      </c>
      <c r="F4165">
        <v>205</v>
      </c>
      <c r="G4165" t="s">
        <v>302</v>
      </c>
      <c r="H4165">
        <v>8</v>
      </c>
      <c r="I4165" t="s">
        <v>6361</v>
      </c>
      <c r="J4165" t="s">
        <v>294</v>
      </c>
      <c r="M4165" t="s">
        <v>295</v>
      </c>
      <c r="N4165" t="s">
        <v>7</v>
      </c>
      <c r="O4165" t="s">
        <v>297</v>
      </c>
    </row>
    <row r="4166" spans="1:15" x14ac:dyDescent="0.3">
      <c r="A4166" t="s">
        <v>6131</v>
      </c>
      <c r="B4166" t="s">
        <v>6347</v>
      </c>
      <c r="C4166">
        <v>2024</v>
      </c>
      <c r="D4166" t="s">
        <v>300</v>
      </c>
      <c r="E4166" t="s">
        <v>5214</v>
      </c>
      <c r="F4166">
        <v>333</v>
      </c>
      <c r="G4166" t="s">
        <v>302</v>
      </c>
      <c r="H4166">
        <v>8</v>
      </c>
      <c r="I4166" t="s">
        <v>6362</v>
      </c>
      <c r="J4166" t="s">
        <v>294</v>
      </c>
      <c r="M4166" t="s">
        <v>295</v>
      </c>
      <c r="N4166" t="s">
        <v>7</v>
      </c>
      <c r="O4166" t="s">
        <v>297</v>
      </c>
    </row>
    <row r="4167" spans="1:15" x14ac:dyDescent="0.3">
      <c r="A4167" t="s">
        <v>6131</v>
      </c>
      <c r="B4167" t="s">
        <v>6347</v>
      </c>
      <c r="C4167">
        <v>2024</v>
      </c>
      <c r="D4167" t="s">
        <v>300</v>
      </c>
      <c r="E4167" t="s">
        <v>579</v>
      </c>
      <c r="F4167">
        <v>290</v>
      </c>
      <c r="G4167" t="s">
        <v>302</v>
      </c>
      <c r="H4167">
        <v>8</v>
      </c>
      <c r="I4167" t="s">
        <v>6363</v>
      </c>
      <c r="J4167" t="s">
        <v>294</v>
      </c>
      <c r="M4167" t="s">
        <v>295</v>
      </c>
      <c r="N4167" t="s">
        <v>7</v>
      </c>
      <c r="O4167" t="s">
        <v>297</v>
      </c>
    </row>
    <row r="4168" spans="1:15" x14ac:dyDescent="0.3">
      <c r="A4168" t="s">
        <v>6131</v>
      </c>
      <c r="B4168" t="s">
        <v>6347</v>
      </c>
      <c r="C4168">
        <v>2024</v>
      </c>
      <c r="D4168" t="s">
        <v>300</v>
      </c>
      <c r="E4168" t="s">
        <v>306</v>
      </c>
      <c r="F4168">
        <v>221</v>
      </c>
      <c r="G4168" t="s">
        <v>302</v>
      </c>
      <c r="H4168">
        <v>8</v>
      </c>
      <c r="I4168" t="s">
        <v>6364</v>
      </c>
      <c r="J4168" t="s">
        <v>294</v>
      </c>
      <c r="M4168" t="s">
        <v>295</v>
      </c>
      <c r="N4168" t="s">
        <v>7</v>
      </c>
      <c r="O4168" t="s">
        <v>297</v>
      </c>
    </row>
    <row r="4169" spans="1:15" x14ac:dyDescent="0.3">
      <c r="A4169" t="s">
        <v>6131</v>
      </c>
      <c r="B4169" t="s">
        <v>6347</v>
      </c>
      <c r="C4169">
        <v>2024</v>
      </c>
      <c r="D4169" t="s">
        <v>300</v>
      </c>
      <c r="E4169" t="s">
        <v>308</v>
      </c>
      <c r="F4169">
        <v>220</v>
      </c>
      <c r="G4169" t="s">
        <v>302</v>
      </c>
      <c r="H4169">
        <v>8</v>
      </c>
      <c r="I4169" t="s">
        <v>6365</v>
      </c>
      <c r="J4169" t="s">
        <v>294</v>
      </c>
      <c r="M4169" t="s">
        <v>295</v>
      </c>
      <c r="N4169" t="s">
        <v>7</v>
      </c>
      <c r="O4169" t="s">
        <v>297</v>
      </c>
    </row>
    <row r="4170" spans="1:15" x14ac:dyDescent="0.3">
      <c r="A4170" t="s">
        <v>6131</v>
      </c>
      <c r="B4170" t="s">
        <v>6347</v>
      </c>
      <c r="C4170">
        <v>2024</v>
      </c>
      <c r="D4170" t="s">
        <v>300</v>
      </c>
      <c r="E4170" t="s">
        <v>316</v>
      </c>
      <c r="F4170">
        <v>1764</v>
      </c>
      <c r="G4170" t="s">
        <v>302</v>
      </c>
      <c r="H4170">
        <v>10</v>
      </c>
      <c r="I4170" t="s">
        <v>6366</v>
      </c>
      <c r="J4170" t="s">
        <v>294</v>
      </c>
      <c r="M4170" t="s">
        <v>295</v>
      </c>
      <c r="N4170" t="s">
        <v>7</v>
      </c>
      <c r="O4170" t="s">
        <v>297</v>
      </c>
    </row>
    <row r="4171" spans="1:15" x14ac:dyDescent="0.3">
      <c r="A4171" t="s">
        <v>6131</v>
      </c>
      <c r="B4171" t="s">
        <v>6347</v>
      </c>
      <c r="C4171">
        <v>2024</v>
      </c>
      <c r="D4171" t="s">
        <v>300</v>
      </c>
      <c r="E4171" t="s">
        <v>312</v>
      </c>
      <c r="F4171">
        <v>502</v>
      </c>
      <c r="G4171" t="s">
        <v>302</v>
      </c>
      <c r="H4171">
        <v>88</v>
      </c>
      <c r="I4171" t="s">
        <v>6367</v>
      </c>
      <c r="J4171" t="s">
        <v>294</v>
      </c>
      <c r="M4171" t="s">
        <v>295</v>
      </c>
      <c r="N4171" t="s">
        <v>7</v>
      </c>
      <c r="O4171" t="s">
        <v>297</v>
      </c>
    </row>
    <row r="4172" spans="1:15" x14ac:dyDescent="0.3">
      <c r="A4172" t="s">
        <v>6131</v>
      </c>
      <c r="B4172" t="s">
        <v>6347</v>
      </c>
      <c r="C4172">
        <v>2024</v>
      </c>
      <c r="D4172" t="s">
        <v>300</v>
      </c>
      <c r="E4172" t="s">
        <v>314</v>
      </c>
      <c r="F4172">
        <v>1262</v>
      </c>
      <c r="G4172" t="s">
        <v>302</v>
      </c>
      <c r="H4172">
        <v>88</v>
      </c>
      <c r="I4172" t="s">
        <v>6368</v>
      </c>
      <c r="J4172" t="s">
        <v>294</v>
      </c>
      <c r="M4172" t="s">
        <v>295</v>
      </c>
      <c r="N4172" t="s">
        <v>7</v>
      </c>
      <c r="O4172" t="s">
        <v>297</v>
      </c>
    </row>
    <row r="4173" spans="1:15" x14ac:dyDescent="0.3">
      <c r="A4173" t="s">
        <v>6131</v>
      </c>
      <c r="B4173" t="s">
        <v>6347</v>
      </c>
      <c r="C4173">
        <v>2024</v>
      </c>
      <c r="D4173" t="s">
        <v>300</v>
      </c>
      <c r="E4173" t="s">
        <v>322</v>
      </c>
      <c r="F4173">
        <v>798</v>
      </c>
      <c r="G4173" t="s">
        <v>302</v>
      </c>
      <c r="H4173">
        <v>88</v>
      </c>
      <c r="I4173" t="s">
        <v>6369</v>
      </c>
      <c r="J4173" t="s">
        <v>294</v>
      </c>
      <c r="M4173" t="s">
        <v>295</v>
      </c>
      <c r="N4173" t="s">
        <v>7</v>
      </c>
      <c r="O4173" t="s">
        <v>297</v>
      </c>
    </row>
    <row r="4174" spans="1:15" x14ac:dyDescent="0.3">
      <c r="A4174" t="s">
        <v>6131</v>
      </c>
      <c r="B4174" t="s">
        <v>6347</v>
      </c>
      <c r="C4174">
        <v>2024</v>
      </c>
      <c r="D4174" t="s">
        <v>300</v>
      </c>
      <c r="E4174" t="s">
        <v>318</v>
      </c>
      <c r="F4174">
        <v>489</v>
      </c>
      <c r="G4174" t="s">
        <v>302</v>
      </c>
      <c r="H4174">
        <v>88</v>
      </c>
      <c r="I4174" t="s">
        <v>6370</v>
      </c>
      <c r="J4174" t="s">
        <v>294</v>
      </c>
      <c r="M4174" t="s">
        <v>295</v>
      </c>
      <c r="N4174" t="s">
        <v>7</v>
      </c>
      <c r="O4174" t="s">
        <v>297</v>
      </c>
    </row>
    <row r="4175" spans="1:15" x14ac:dyDescent="0.3">
      <c r="A4175" t="s">
        <v>6131</v>
      </c>
      <c r="B4175" t="s">
        <v>6347</v>
      </c>
      <c r="C4175">
        <v>2024</v>
      </c>
      <c r="D4175" t="s">
        <v>300</v>
      </c>
      <c r="E4175" t="s">
        <v>468</v>
      </c>
      <c r="F4175">
        <v>309</v>
      </c>
      <c r="G4175" t="s">
        <v>302</v>
      </c>
      <c r="H4175">
        <v>88</v>
      </c>
      <c r="I4175" t="s">
        <v>6371</v>
      </c>
      <c r="J4175" t="s">
        <v>294</v>
      </c>
      <c r="M4175" t="s">
        <v>295</v>
      </c>
      <c r="N4175" t="s">
        <v>7</v>
      </c>
      <c r="O4175" t="s">
        <v>297</v>
      </c>
    </row>
    <row r="4176" spans="1:15" x14ac:dyDescent="0.3">
      <c r="A4176" t="s">
        <v>6131</v>
      </c>
      <c r="B4176" t="s">
        <v>6347</v>
      </c>
      <c r="C4176">
        <v>2024</v>
      </c>
      <c r="D4176" t="s">
        <v>300</v>
      </c>
      <c r="E4176" t="s">
        <v>324</v>
      </c>
      <c r="F4176">
        <v>966</v>
      </c>
      <c r="G4176" t="s">
        <v>302</v>
      </c>
      <c r="H4176">
        <v>88</v>
      </c>
      <c r="I4176" t="s">
        <v>6372</v>
      </c>
      <c r="J4176" t="s">
        <v>294</v>
      </c>
      <c r="M4176" t="s">
        <v>295</v>
      </c>
      <c r="N4176" t="s">
        <v>7</v>
      </c>
      <c r="O4176" t="s">
        <v>297</v>
      </c>
    </row>
    <row r="4177" spans="1:15" x14ac:dyDescent="0.3">
      <c r="A4177" t="s">
        <v>6131</v>
      </c>
      <c r="B4177" t="s">
        <v>6347</v>
      </c>
      <c r="C4177">
        <v>2024</v>
      </c>
      <c r="D4177" t="s">
        <v>300</v>
      </c>
      <c r="E4177" t="s">
        <v>471</v>
      </c>
      <c r="F4177">
        <v>22</v>
      </c>
      <c r="G4177" t="s">
        <v>302</v>
      </c>
      <c r="H4177">
        <v>220</v>
      </c>
      <c r="I4177" t="s">
        <v>6373</v>
      </c>
      <c r="J4177" t="s">
        <v>294</v>
      </c>
      <c r="M4177" t="s">
        <v>295</v>
      </c>
      <c r="N4177" t="s">
        <v>7</v>
      </c>
      <c r="O4177" t="s">
        <v>297</v>
      </c>
    </row>
    <row r="4178" spans="1:15" x14ac:dyDescent="0.3">
      <c r="A4178" t="s">
        <v>6131</v>
      </c>
      <c r="B4178" t="s">
        <v>6347</v>
      </c>
      <c r="C4178">
        <v>2024</v>
      </c>
      <c r="D4178" t="s">
        <v>300</v>
      </c>
      <c r="E4178" t="s">
        <v>595</v>
      </c>
      <c r="F4178">
        <v>270</v>
      </c>
      <c r="G4178" t="s">
        <v>302</v>
      </c>
      <c r="H4178">
        <v>221</v>
      </c>
      <c r="I4178" t="s">
        <v>6374</v>
      </c>
      <c r="J4178" t="s">
        <v>294</v>
      </c>
      <c r="M4178" t="s">
        <v>295</v>
      </c>
      <c r="N4178" t="s">
        <v>7</v>
      </c>
      <c r="O4178" t="s">
        <v>297</v>
      </c>
    </row>
    <row r="4179" spans="1:15" x14ac:dyDescent="0.3">
      <c r="A4179" t="s">
        <v>6131</v>
      </c>
      <c r="B4179" t="s">
        <v>6347</v>
      </c>
      <c r="C4179">
        <v>2024</v>
      </c>
      <c r="D4179" t="s">
        <v>300</v>
      </c>
      <c r="E4179" t="s">
        <v>6375</v>
      </c>
      <c r="F4179">
        <v>111</v>
      </c>
      <c r="G4179" t="s">
        <v>302</v>
      </c>
      <c r="H4179">
        <v>221</v>
      </c>
      <c r="I4179" t="s">
        <v>6376</v>
      </c>
      <c r="J4179" t="s">
        <v>294</v>
      </c>
      <c r="M4179" t="s">
        <v>295</v>
      </c>
      <c r="N4179" t="s">
        <v>7</v>
      </c>
      <c r="O4179" t="s">
        <v>297</v>
      </c>
    </row>
    <row r="4180" spans="1:15" x14ac:dyDescent="0.3">
      <c r="A4180" t="s">
        <v>6131</v>
      </c>
      <c r="B4180" t="s">
        <v>6347</v>
      </c>
      <c r="C4180">
        <v>2024</v>
      </c>
      <c r="D4180" t="s">
        <v>300</v>
      </c>
      <c r="E4180" t="s">
        <v>475</v>
      </c>
      <c r="F4180">
        <v>208</v>
      </c>
      <c r="G4180" t="s">
        <v>302</v>
      </c>
      <c r="H4180">
        <v>221</v>
      </c>
      <c r="I4180" t="s">
        <v>6377</v>
      </c>
      <c r="J4180" t="s">
        <v>294</v>
      </c>
      <c r="M4180" t="s">
        <v>295</v>
      </c>
      <c r="N4180" t="s">
        <v>7</v>
      </c>
      <c r="O4180" t="s">
        <v>297</v>
      </c>
    </row>
    <row r="4181" spans="1:15" x14ac:dyDescent="0.3">
      <c r="A4181" t="s">
        <v>6131</v>
      </c>
      <c r="B4181" t="s">
        <v>6347</v>
      </c>
      <c r="C4181">
        <v>2024</v>
      </c>
      <c r="D4181" t="s">
        <v>300</v>
      </c>
      <c r="E4181" t="s">
        <v>4225</v>
      </c>
      <c r="F4181">
        <v>590</v>
      </c>
      <c r="G4181" t="s">
        <v>302</v>
      </c>
      <c r="H4181">
        <v>221</v>
      </c>
      <c r="I4181" t="s">
        <v>6378</v>
      </c>
      <c r="J4181" t="s">
        <v>294</v>
      </c>
      <c r="M4181" t="s">
        <v>295</v>
      </c>
      <c r="N4181" t="s">
        <v>7</v>
      </c>
      <c r="O4181" t="s">
        <v>297</v>
      </c>
    </row>
    <row r="4182" spans="1:15" x14ac:dyDescent="0.3">
      <c r="A4182" t="s">
        <v>6131</v>
      </c>
      <c r="B4182" t="s">
        <v>6347</v>
      </c>
      <c r="C4182">
        <v>2024</v>
      </c>
      <c r="D4182" t="s">
        <v>300</v>
      </c>
      <c r="E4182" t="s">
        <v>6379</v>
      </c>
      <c r="F4182">
        <v>775</v>
      </c>
      <c r="G4182" t="s">
        <v>302</v>
      </c>
      <c r="H4182">
        <v>92</v>
      </c>
      <c r="I4182" t="s">
        <v>6380</v>
      </c>
      <c r="J4182" t="s">
        <v>294</v>
      </c>
      <c r="M4182" t="s">
        <v>295</v>
      </c>
      <c r="N4182" t="s">
        <v>7</v>
      </c>
      <c r="O4182" t="s">
        <v>297</v>
      </c>
    </row>
    <row r="4183" spans="1:15" x14ac:dyDescent="0.3">
      <c r="A4183" t="s">
        <v>6131</v>
      </c>
      <c r="B4183" t="s">
        <v>6347</v>
      </c>
      <c r="C4183">
        <v>2024</v>
      </c>
      <c r="D4183" t="s">
        <v>300</v>
      </c>
      <c r="E4183" t="s">
        <v>6175</v>
      </c>
      <c r="F4183">
        <v>44</v>
      </c>
      <c r="G4183" t="s">
        <v>302</v>
      </c>
      <c r="H4183">
        <v>220</v>
      </c>
      <c r="I4183" t="s">
        <v>6381</v>
      </c>
      <c r="J4183" t="s">
        <v>294</v>
      </c>
      <c r="M4183" t="s">
        <v>295</v>
      </c>
      <c r="N4183" t="s">
        <v>7</v>
      </c>
      <c r="O4183" t="s">
        <v>297</v>
      </c>
    </row>
    <row r="4184" spans="1:15" x14ac:dyDescent="0.3">
      <c r="A4184" t="s">
        <v>6131</v>
      </c>
      <c r="B4184" t="s">
        <v>6347</v>
      </c>
      <c r="C4184">
        <v>2024</v>
      </c>
      <c r="D4184" t="s">
        <v>300</v>
      </c>
      <c r="E4184" t="s">
        <v>6177</v>
      </c>
      <c r="F4184">
        <v>309</v>
      </c>
      <c r="G4184" t="s">
        <v>302</v>
      </c>
      <c r="H4184">
        <v>220</v>
      </c>
      <c r="I4184" t="s">
        <v>6382</v>
      </c>
      <c r="J4184" t="s">
        <v>294</v>
      </c>
      <c r="M4184" t="s">
        <v>295</v>
      </c>
      <c r="N4184" t="s">
        <v>7</v>
      </c>
      <c r="O4184" t="s">
        <v>297</v>
      </c>
    </row>
    <row r="4185" spans="1:15" x14ac:dyDescent="0.3">
      <c r="A4185" t="s">
        <v>6131</v>
      </c>
      <c r="B4185" t="s">
        <v>6347</v>
      </c>
      <c r="C4185">
        <v>2024</v>
      </c>
      <c r="D4185" t="s">
        <v>300</v>
      </c>
      <c r="E4185" t="s">
        <v>601</v>
      </c>
      <c r="F4185">
        <v>157</v>
      </c>
      <c r="G4185" t="s">
        <v>302</v>
      </c>
      <c r="H4185">
        <v>90</v>
      </c>
      <c r="I4185" t="s">
        <v>6383</v>
      </c>
      <c r="J4185" t="s">
        <v>294</v>
      </c>
      <c r="M4185" t="s">
        <v>295</v>
      </c>
      <c r="N4185" t="s">
        <v>7</v>
      </c>
      <c r="O4185" t="s">
        <v>297</v>
      </c>
    </row>
    <row r="4186" spans="1:15" x14ac:dyDescent="0.3">
      <c r="A4186" t="s">
        <v>6131</v>
      </c>
      <c r="B4186" t="s">
        <v>6347</v>
      </c>
      <c r="C4186">
        <v>2024</v>
      </c>
      <c r="D4186" t="s">
        <v>300</v>
      </c>
      <c r="E4186" t="s">
        <v>603</v>
      </c>
      <c r="F4186">
        <v>-140</v>
      </c>
      <c r="G4186" t="s">
        <v>302</v>
      </c>
      <c r="H4186">
        <v>90</v>
      </c>
      <c r="I4186" t="s">
        <v>6384</v>
      </c>
      <c r="J4186" t="s">
        <v>294</v>
      </c>
      <c r="M4186" t="s">
        <v>295</v>
      </c>
      <c r="N4186" t="s">
        <v>7</v>
      </c>
      <c r="O4186" t="s">
        <v>297</v>
      </c>
    </row>
    <row r="4187" spans="1:15" x14ac:dyDescent="0.3">
      <c r="A4187" t="s">
        <v>6131</v>
      </c>
      <c r="B4187" t="s">
        <v>6347</v>
      </c>
      <c r="C4187">
        <v>2024</v>
      </c>
      <c r="D4187" t="s">
        <v>300</v>
      </c>
      <c r="E4187" t="s">
        <v>716</v>
      </c>
      <c r="F4187">
        <v>-23</v>
      </c>
      <c r="G4187" t="s">
        <v>302</v>
      </c>
      <c r="H4187">
        <v>90</v>
      </c>
      <c r="I4187" t="s">
        <v>6385</v>
      </c>
      <c r="J4187" t="s">
        <v>294</v>
      </c>
      <c r="M4187" t="s">
        <v>295</v>
      </c>
      <c r="N4187" t="s">
        <v>7</v>
      </c>
      <c r="O4187" t="s">
        <v>297</v>
      </c>
    </row>
    <row r="4188" spans="1:15" x14ac:dyDescent="0.3">
      <c r="A4188" t="s">
        <v>6131</v>
      </c>
      <c r="B4188" t="s">
        <v>6347</v>
      </c>
      <c r="C4188">
        <v>2024</v>
      </c>
      <c r="D4188" t="s">
        <v>300</v>
      </c>
      <c r="E4188" t="s">
        <v>1386</v>
      </c>
      <c r="F4188">
        <v>157</v>
      </c>
      <c r="G4188" t="s">
        <v>302</v>
      </c>
      <c r="H4188">
        <v>92</v>
      </c>
      <c r="I4188" t="s">
        <v>6386</v>
      </c>
      <c r="J4188" t="s">
        <v>294</v>
      </c>
      <c r="M4188" t="s">
        <v>295</v>
      </c>
      <c r="N4188" t="s">
        <v>7</v>
      </c>
      <c r="O4188" t="s">
        <v>297</v>
      </c>
    </row>
    <row r="4189" spans="1:15" x14ac:dyDescent="0.3">
      <c r="A4189" t="s">
        <v>6131</v>
      </c>
      <c r="B4189" t="s">
        <v>6347</v>
      </c>
      <c r="C4189">
        <v>2024</v>
      </c>
      <c r="D4189" t="s">
        <v>300</v>
      </c>
      <c r="E4189" t="s">
        <v>345</v>
      </c>
      <c r="F4189">
        <v>282</v>
      </c>
      <c r="G4189" t="s">
        <v>346</v>
      </c>
      <c r="H4189">
        <v>8</v>
      </c>
      <c r="I4189" t="s">
        <v>6387</v>
      </c>
      <c r="J4189" t="s">
        <v>294</v>
      </c>
      <c r="M4189" t="s">
        <v>295</v>
      </c>
      <c r="N4189" t="s">
        <v>7</v>
      </c>
      <c r="O4189" t="s">
        <v>297</v>
      </c>
    </row>
    <row r="4190" spans="1:15" x14ac:dyDescent="0.3">
      <c r="A4190" t="s">
        <v>6131</v>
      </c>
      <c r="B4190" t="s">
        <v>6347</v>
      </c>
      <c r="C4190">
        <v>2024</v>
      </c>
      <c r="D4190" t="s">
        <v>300</v>
      </c>
      <c r="E4190" t="s">
        <v>342</v>
      </c>
      <c r="F4190">
        <v>781250000</v>
      </c>
      <c r="G4190" t="s">
        <v>1633</v>
      </c>
      <c r="H4190">
        <v>11</v>
      </c>
      <c r="I4190" t="s">
        <v>6388</v>
      </c>
      <c r="J4190" t="s">
        <v>294</v>
      </c>
      <c r="M4190" t="s">
        <v>295</v>
      </c>
      <c r="N4190" t="s">
        <v>7</v>
      </c>
      <c r="O4190" t="s">
        <v>297</v>
      </c>
    </row>
    <row r="4191" spans="1:15" x14ac:dyDescent="0.3">
      <c r="A4191" t="s">
        <v>6131</v>
      </c>
      <c r="B4191" t="s">
        <v>6347</v>
      </c>
      <c r="C4191">
        <v>2024</v>
      </c>
      <c r="D4191" t="s">
        <v>300</v>
      </c>
      <c r="E4191" t="s">
        <v>498</v>
      </c>
      <c r="F4191">
        <v>1610</v>
      </c>
      <c r="G4191" t="s">
        <v>346</v>
      </c>
      <c r="H4191">
        <v>11</v>
      </c>
      <c r="I4191" t="s">
        <v>6389</v>
      </c>
      <c r="J4191" t="s">
        <v>294</v>
      </c>
      <c r="M4191" t="s">
        <v>295</v>
      </c>
      <c r="N4191" t="s">
        <v>7</v>
      </c>
      <c r="O4191" t="s">
        <v>297</v>
      </c>
    </row>
    <row r="4192" spans="1:15" x14ac:dyDescent="0.3">
      <c r="A4192" t="s">
        <v>6131</v>
      </c>
      <c r="B4192" t="s">
        <v>6347</v>
      </c>
      <c r="C4192">
        <v>2024</v>
      </c>
      <c r="D4192" t="s">
        <v>300</v>
      </c>
      <c r="E4192" t="s">
        <v>356</v>
      </c>
      <c r="F4192">
        <v>1258</v>
      </c>
      <c r="G4192" t="s">
        <v>302</v>
      </c>
      <c r="H4192">
        <v>11</v>
      </c>
      <c r="I4192" t="s">
        <v>6390</v>
      </c>
      <c r="J4192" t="s">
        <v>294</v>
      </c>
      <c r="M4192" t="s">
        <v>295</v>
      </c>
      <c r="N4192" t="s">
        <v>7</v>
      </c>
      <c r="O4192" t="s">
        <v>297</v>
      </c>
    </row>
    <row r="4193" spans="1:15" x14ac:dyDescent="0.3">
      <c r="A4193" t="s">
        <v>6131</v>
      </c>
      <c r="B4193" t="s">
        <v>6347</v>
      </c>
      <c r="C4193">
        <v>2024</v>
      </c>
      <c r="D4193" t="s">
        <v>300</v>
      </c>
      <c r="E4193" t="s">
        <v>6391</v>
      </c>
      <c r="F4193">
        <v>52</v>
      </c>
      <c r="G4193" t="s">
        <v>346</v>
      </c>
      <c r="H4193">
        <v>11</v>
      </c>
      <c r="I4193" t="s">
        <v>6392</v>
      </c>
      <c r="J4193" t="s">
        <v>294</v>
      </c>
      <c r="M4193" t="s">
        <v>295</v>
      </c>
      <c r="N4193" t="s">
        <v>7</v>
      </c>
      <c r="O4193" t="s">
        <v>297</v>
      </c>
    </row>
    <row r="4194" spans="1:15" x14ac:dyDescent="0.3">
      <c r="A4194" t="s">
        <v>6131</v>
      </c>
      <c r="B4194" t="s">
        <v>6347</v>
      </c>
      <c r="C4194">
        <v>2024</v>
      </c>
      <c r="D4194" t="s">
        <v>300</v>
      </c>
      <c r="E4194" t="s">
        <v>6393</v>
      </c>
      <c r="F4194">
        <v>40</v>
      </c>
      <c r="G4194" t="s">
        <v>346</v>
      </c>
      <c r="H4194">
        <v>11</v>
      </c>
      <c r="I4194" t="s">
        <v>6394</v>
      </c>
      <c r="J4194" t="s">
        <v>294</v>
      </c>
      <c r="M4194" t="s">
        <v>295</v>
      </c>
      <c r="N4194" t="s">
        <v>7</v>
      </c>
      <c r="O4194" t="s">
        <v>297</v>
      </c>
    </row>
    <row r="4195" spans="1:15" x14ac:dyDescent="0.3">
      <c r="A4195" t="s">
        <v>6131</v>
      </c>
      <c r="B4195" t="s">
        <v>6347</v>
      </c>
      <c r="C4195">
        <v>2024</v>
      </c>
      <c r="D4195" t="s">
        <v>300</v>
      </c>
      <c r="E4195" t="s">
        <v>1342</v>
      </c>
      <c r="F4195">
        <v>0.83</v>
      </c>
      <c r="G4195" t="s">
        <v>327</v>
      </c>
      <c r="H4195">
        <v>91</v>
      </c>
      <c r="I4195" t="s">
        <v>6395</v>
      </c>
      <c r="J4195" t="s">
        <v>294</v>
      </c>
      <c r="M4195" t="s">
        <v>295</v>
      </c>
      <c r="N4195" t="s">
        <v>7</v>
      </c>
      <c r="O4195" t="s">
        <v>297</v>
      </c>
    </row>
    <row r="4196" spans="1:15" x14ac:dyDescent="0.3">
      <c r="A4196" t="s">
        <v>6131</v>
      </c>
      <c r="B4196" t="s">
        <v>6347</v>
      </c>
      <c r="C4196">
        <v>2024</v>
      </c>
      <c r="D4196" t="s">
        <v>300</v>
      </c>
      <c r="E4196" t="s">
        <v>326</v>
      </c>
      <c r="F4196">
        <v>1.03</v>
      </c>
      <c r="G4196" t="s">
        <v>327</v>
      </c>
      <c r="H4196">
        <v>91</v>
      </c>
      <c r="I4196" t="s">
        <v>6396</v>
      </c>
      <c r="J4196" t="s">
        <v>294</v>
      </c>
      <c r="M4196" t="s">
        <v>295</v>
      </c>
      <c r="N4196" t="s">
        <v>7</v>
      </c>
      <c r="O4196" t="s">
        <v>297</v>
      </c>
    </row>
    <row r="4197" spans="1:15" x14ac:dyDescent="0.3">
      <c r="A4197" t="s">
        <v>6131</v>
      </c>
      <c r="B4197" t="s">
        <v>6347</v>
      </c>
      <c r="C4197">
        <v>2024</v>
      </c>
      <c r="D4197" t="s">
        <v>300</v>
      </c>
      <c r="E4197" t="s">
        <v>333</v>
      </c>
      <c r="F4197">
        <v>0.12529999999999999</v>
      </c>
      <c r="G4197" t="s">
        <v>334</v>
      </c>
      <c r="H4197">
        <v>10</v>
      </c>
      <c r="I4197" t="s">
        <v>6397</v>
      </c>
      <c r="J4197" t="s">
        <v>294</v>
      </c>
      <c r="M4197" t="s">
        <v>295</v>
      </c>
      <c r="N4197" t="s">
        <v>7</v>
      </c>
      <c r="O4197" t="s">
        <v>297</v>
      </c>
    </row>
    <row r="4198" spans="1:15" x14ac:dyDescent="0.3">
      <c r="A4198" t="s">
        <v>6131</v>
      </c>
      <c r="B4198" t="s">
        <v>6347</v>
      </c>
      <c r="C4198">
        <v>2024</v>
      </c>
      <c r="D4198" t="s">
        <v>300</v>
      </c>
      <c r="E4198" t="s">
        <v>336</v>
      </c>
      <c r="F4198">
        <v>0.2288</v>
      </c>
      <c r="G4198" t="s">
        <v>334</v>
      </c>
      <c r="H4198">
        <v>10</v>
      </c>
      <c r="I4198" t="s">
        <v>6398</v>
      </c>
      <c r="J4198" t="s">
        <v>294</v>
      </c>
      <c r="M4198" t="s">
        <v>295</v>
      </c>
      <c r="N4198" t="s">
        <v>7</v>
      </c>
      <c r="O4198" t="s">
        <v>297</v>
      </c>
    </row>
    <row r="4199" spans="1:15" x14ac:dyDescent="0.3">
      <c r="A4199" t="s">
        <v>6131</v>
      </c>
      <c r="B4199" t="s">
        <v>6347</v>
      </c>
      <c r="C4199">
        <v>2024</v>
      </c>
      <c r="D4199" t="s">
        <v>358</v>
      </c>
      <c r="E4199" t="s">
        <v>6399</v>
      </c>
      <c r="F4199">
        <v>15232</v>
      </c>
      <c r="G4199" t="s">
        <v>360</v>
      </c>
      <c r="H4199">
        <v>94</v>
      </c>
      <c r="I4199" t="s">
        <v>6400</v>
      </c>
      <c r="J4199" t="s">
        <v>294</v>
      </c>
      <c r="M4199" t="s">
        <v>295</v>
      </c>
      <c r="N4199" t="s">
        <v>7</v>
      </c>
      <c r="O4199" t="s">
        <v>297</v>
      </c>
    </row>
    <row r="4200" spans="1:15" x14ac:dyDescent="0.3">
      <c r="A4200" t="s">
        <v>6131</v>
      </c>
      <c r="B4200" t="s">
        <v>6347</v>
      </c>
      <c r="C4200">
        <v>2024</v>
      </c>
      <c r="D4200" t="s">
        <v>358</v>
      </c>
      <c r="E4200" t="s">
        <v>6401</v>
      </c>
      <c r="F4200">
        <v>11485</v>
      </c>
      <c r="G4200" t="s">
        <v>360</v>
      </c>
      <c r="H4200">
        <v>85</v>
      </c>
      <c r="I4200" t="s">
        <v>6402</v>
      </c>
      <c r="J4200" t="s">
        <v>294</v>
      </c>
      <c r="M4200" t="s">
        <v>295</v>
      </c>
      <c r="N4200" t="s">
        <v>7</v>
      </c>
      <c r="O4200" t="s">
        <v>297</v>
      </c>
    </row>
    <row r="4201" spans="1:15" x14ac:dyDescent="0.3">
      <c r="A4201" t="s">
        <v>6131</v>
      </c>
      <c r="B4201" t="s">
        <v>6347</v>
      </c>
      <c r="C4201">
        <v>2024</v>
      </c>
      <c r="D4201" t="s">
        <v>358</v>
      </c>
      <c r="E4201" t="s">
        <v>6403</v>
      </c>
      <c r="F4201">
        <v>3747</v>
      </c>
      <c r="G4201" t="s">
        <v>360</v>
      </c>
      <c r="H4201">
        <v>85</v>
      </c>
      <c r="I4201" t="s">
        <v>6404</v>
      </c>
      <c r="J4201" t="s">
        <v>294</v>
      </c>
      <c r="M4201" t="s">
        <v>295</v>
      </c>
      <c r="N4201" t="s">
        <v>7</v>
      </c>
      <c r="O4201" t="s">
        <v>297</v>
      </c>
    </row>
    <row r="4202" spans="1:15" x14ac:dyDescent="0.3">
      <c r="A4202" t="s">
        <v>6131</v>
      </c>
      <c r="B4202" t="s">
        <v>6347</v>
      </c>
      <c r="C4202">
        <v>2024</v>
      </c>
      <c r="D4202" t="s">
        <v>358</v>
      </c>
      <c r="E4202" t="s">
        <v>6199</v>
      </c>
      <c r="F4202">
        <v>1084</v>
      </c>
      <c r="G4202" t="s">
        <v>360</v>
      </c>
      <c r="H4202">
        <v>85</v>
      </c>
      <c r="I4202" t="s">
        <v>6405</v>
      </c>
      <c r="J4202" t="s">
        <v>294</v>
      </c>
      <c r="M4202" t="s">
        <v>295</v>
      </c>
      <c r="N4202" t="s">
        <v>7</v>
      </c>
      <c r="O4202" t="s">
        <v>297</v>
      </c>
    </row>
    <row r="4203" spans="1:15" x14ac:dyDescent="0.3">
      <c r="A4203" t="s">
        <v>6131</v>
      </c>
      <c r="B4203" t="s">
        <v>6347</v>
      </c>
      <c r="C4203">
        <v>2024</v>
      </c>
      <c r="D4203" t="s">
        <v>358</v>
      </c>
      <c r="E4203" t="s">
        <v>6201</v>
      </c>
      <c r="F4203">
        <v>8255</v>
      </c>
      <c r="G4203" t="s">
        <v>360</v>
      </c>
      <c r="H4203">
        <v>85</v>
      </c>
      <c r="I4203" t="s">
        <v>6406</v>
      </c>
      <c r="J4203" t="s">
        <v>294</v>
      </c>
      <c r="M4203" t="s">
        <v>295</v>
      </c>
      <c r="N4203" t="s">
        <v>7</v>
      </c>
      <c r="O4203" t="s">
        <v>297</v>
      </c>
    </row>
    <row r="4204" spans="1:15" x14ac:dyDescent="0.3">
      <c r="A4204" t="s">
        <v>6131</v>
      </c>
      <c r="B4204" t="s">
        <v>6347</v>
      </c>
      <c r="C4204">
        <v>2024</v>
      </c>
      <c r="D4204" t="s">
        <v>358</v>
      </c>
      <c r="E4204" t="s">
        <v>6203</v>
      </c>
      <c r="F4204">
        <v>2146</v>
      </c>
      <c r="G4204" t="s">
        <v>360</v>
      </c>
      <c r="H4204">
        <v>85</v>
      </c>
      <c r="I4204" t="s">
        <v>6407</v>
      </c>
      <c r="J4204" t="s">
        <v>294</v>
      </c>
      <c r="M4204" t="s">
        <v>295</v>
      </c>
      <c r="N4204" t="s">
        <v>7</v>
      </c>
      <c r="O4204" t="s">
        <v>297</v>
      </c>
    </row>
    <row r="4205" spans="1:15" x14ac:dyDescent="0.3">
      <c r="A4205" t="s">
        <v>6131</v>
      </c>
      <c r="B4205" t="s">
        <v>6347</v>
      </c>
      <c r="C4205">
        <v>2024</v>
      </c>
      <c r="D4205" t="s">
        <v>358</v>
      </c>
      <c r="E4205" t="s">
        <v>6205</v>
      </c>
      <c r="F4205">
        <v>2806</v>
      </c>
      <c r="G4205" t="s">
        <v>360</v>
      </c>
      <c r="H4205">
        <v>87</v>
      </c>
      <c r="I4205" t="s">
        <v>6408</v>
      </c>
      <c r="J4205" t="s">
        <v>294</v>
      </c>
      <c r="M4205" t="s">
        <v>295</v>
      </c>
      <c r="N4205" t="s">
        <v>7</v>
      </c>
      <c r="O4205" t="s">
        <v>297</v>
      </c>
    </row>
    <row r="4206" spans="1:15" x14ac:dyDescent="0.3">
      <c r="A4206" t="s">
        <v>6131</v>
      </c>
      <c r="B4206" t="s">
        <v>6347</v>
      </c>
      <c r="C4206">
        <v>2024</v>
      </c>
      <c r="D4206" t="s">
        <v>358</v>
      </c>
      <c r="E4206" t="s">
        <v>6207</v>
      </c>
      <c r="F4206">
        <v>995</v>
      </c>
      <c r="G4206" t="s">
        <v>360</v>
      </c>
      <c r="H4206">
        <v>87</v>
      </c>
      <c r="I4206" t="s">
        <v>6409</v>
      </c>
      <c r="J4206" t="s">
        <v>294</v>
      </c>
      <c r="M4206" t="s">
        <v>295</v>
      </c>
      <c r="N4206" t="s">
        <v>7</v>
      </c>
      <c r="O4206" t="s">
        <v>297</v>
      </c>
    </row>
    <row r="4207" spans="1:15" x14ac:dyDescent="0.3">
      <c r="A4207" t="s">
        <v>6131</v>
      </c>
      <c r="B4207" t="s">
        <v>6347</v>
      </c>
      <c r="C4207">
        <v>2024</v>
      </c>
      <c r="D4207" t="s">
        <v>358</v>
      </c>
      <c r="E4207" t="s">
        <v>6209</v>
      </c>
      <c r="F4207">
        <v>1</v>
      </c>
      <c r="G4207" t="s">
        <v>384</v>
      </c>
      <c r="H4207">
        <v>84</v>
      </c>
      <c r="I4207" t="s">
        <v>6410</v>
      </c>
      <c r="J4207" t="s">
        <v>294</v>
      </c>
      <c r="M4207" t="s">
        <v>295</v>
      </c>
      <c r="N4207" t="s">
        <v>7</v>
      </c>
      <c r="O4207" t="s">
        <v>297</v>
      </c>
    </row>
    <row r="4208" spans="1:15" x14ac:dyDescent="0.3">
      <c r="A4208" t="s">
        <v>6131</v>
      </c>
      <c r="B4208" t="s">
        <v>6347</v>
      </c>
      <c r="C4208">
        <v>2024</v>
      </c>
      <c r="D4208" t="s">
        <v>358</v>
      </c>
      <c r="E4208" t="s">
        <v>6211</v>
      </c>
      <c r="F4208">
        <v>120</v>
      </c>
      <c r="G4208" t="s">
        <v>738</v>
      </c>
      <c r="H4208">
        <v>84</v>
      </c>
      <c r="I4208" t="s">
        <v>6317</v>
      </c>
      <c r="J4208" t="s">
        <v>294</v>
      </c>
      <c r="M4208" t="s">
        <v>295</v>
      </c>
      <c r="N4208" t="s">
        <v>7</v>
      </c>
      <c r="O4208" t="s">
        <v>297</v>
      </c>
    </row>
    <row r="4209" spans="1:15" x14ac:dyDescent="0.3">
      <c r="A4209" t="s">
        <v>6131</v>
      </c>
      <c r="B4209" t="s">
        <v>6347</v>
      </c>
      <c r="C4209">
        <v>2024</v>
      </c>
      <c r="D4209" t="s">
        <v>358</v>
      </c>
      <c r="E4209" t="s">
        <v>6213</v>
      </c>
      <c r="F4209">
        <v>83.5</v>
      </c>
      <c r="G4209" t="s">
        <v>738</v>
      </c>
      <c r="H4209">
        <v>84</v>
      </c>
      <c r="I4209" t="s">
        <v>6411</v>
      </c>
      <c r="J4209" t="s">
        <v>294</v>
      </c>
      <c r="M4209" t="s">
        <v>295</v>
      </c>
      <c r="N4209" t="s">
        <v>7</v>
      </c>
      <c r="O4209" t="s">
        <v>297</v>
      </c>
    </row>
    <row r="4210" spans="1:15" x14ac:dyDescent="0.3">
      <c r="A4210" t="s">
        <v>6131</v>
      </c>
      <c r="B4210" t="s">
        <v>6347</v>
      </c>
      <c r="C4210">
        <v>2024</v>
      </c>
      <c r="D4210" t="s">
        <v>358</v>
      </c>
      <c r="E4210" t="s">
        <v>6215</v>
      </c>
      <c r="F4210">
        <v>1</v>
      </c>
      <c r="G4210" t="s">
        <v>384</v>
      </c>
      <c r="H4210">
        <v>86</v>
      </c>
      <c r="I4210" t="s">
        <v>6412</v>
      </c>
      <c r="J4210" t="s">
        <v>294</v>
      </c>
      <c r="M4210" t="s">
        <v>295</v>
      </c>
      <c r="N4210" t="s">
        <v>7</v>
      </c>
      <c r="O4210" t="s">
        <v>297</v>
      </c>
    </row>
    <row r="4211" spans="1:15" x14ac:dyDescent="0.3">
      <c r="A4211" t="s">
        <v>6131</v>
      </c>
      <c r="B4211" t="s">
        <v>6347</v>
      </c>
      <c r="C4211">
        <v>2024</v>
      </c>
      <c r="D4211" t="s">
        <v>358</v>
      </c>
      <c r="E4211" t="s">
        <v>6217</v>
      </c>
      <c r="F4211">
        <v>6000</v>
      </c>
      <c r="G4211" t="s">
        <v>6218</v>
      </c>
      <c r="H4211">
        <v>86</v>
      </c>
      <c r="I4211" t="s">
        <v>6219</v>
      </c>
      <c r="J4211" t="s">
        <v>294</v>
      </c>
      <c r="M4211" t="s">
        <v>295</v>
      </c>
      <c r="N4211" t="s">
        <v>7</v>
      </c>
      <c r="O4211" t="s">
        <v>297</v>
      </c>
    </row>
    <row r="4212" spans="1:15" x14ac:dyDescent="0.3">
      <c r="A4212" t="s">
        <v>6131</v>
      </c>
      <c r="B4212" t="s">
        <v>6347</v>
      </c>
      <c r="C4212">
        <v>2024</v>
      </c>
      <c r="D4212" t="s">
        <v>358</v>
      </c>
      <c r="E4212" t="s">
        <v>6220</v>
      </c>
      <c r="F4212">
        <v>2653</v>
      </c>
      <c r="G4212" t="s">
        <v>6218</v>
      </c>
      <c r="H4212">
        <v>86</v>
      </c>
      <c r="I4212" t="s">
        <v>6319</v>
      </c>
      <c r="J4212" t="s">
        <v>294</v>
      </c>
      <c r="M4212" t="s">
        <v>295</v>
      </c>
      <c r="N4212" t="s">
        <v>7</v>
      </c>
      <c r="O4212" t="s">
        <v>297</v>
      </c>
    </row>
    <row r="4213" spans="1:15" x14ac:dyDescent="0.3">
      <c r="A4213" t="s">
        <v>6131</v>
      </c>
      <c r="B4213" t="s">
        <v>6347</v>
      </c>
      <c r="C4213">
        <v>2024</v>
      </c>
      <c r="D4213" t="s">
        <v>358</v>
      </c>
      <c r="E4213" t="s">
        <v>6222</v>
      </c>
      <c r="F4213">
        <v>600</v>
      </c>
      <c r="G4213" t="s">
        <v>6218</v>
      </c>
      <c r="H4213">
        <v>86</v>
      </c>
      <c r="I4213" t="s">
        <v>6413</v>
      </c>
      <c r="J4213" t="s">
        <v>294</v>
      </c>
      <c r="M4213" t="s">
        <v>295</v>
      </c>
      <c r="N4213" t="s">
        <v>7</v>
      </c>
      <c r="O4213" t="s">
        <v>297</v>
      </c>
    </row>
    <row r="4214" spans="1:15" x14ac:dyDescent="0.3">
      <c r="A4214" t="s">
        <v>6131</v>
      </c>
      <c r="B4214" t="s">
        <v>6347</v>
      </c>
      <c r="C4214">
        <v>2024</v>
      </c>
      <c r="D4214" t="s">
        <v>358</v>
      </c>
      <c r="E4214" t="s">
        <v>6224</v>
      </c>
      <c r="F4214">
        <v>110</v>
      </c>
      <c r="G4214" t="s">
        <v>6218</v>
      </c>
      <c r="H4214">
        <v>86</v>
      </c>
      <c r="I4214" t="s">
        <v>6321</v>
      </c>
      <c r="J4214" t="s">
        <v>294</v>
      </c>
      <c r="M4214" t="s">
        <v>295</v>
      </c>
      <c r="N4214" t="s">
        <v>7</v>
      </c>
      <c r="O4214" t="s">
        <v>297</v>
      </c>
    </row>
    <row r="4215" spans="1:15" x14ac:dyDescent="0.3">
      <c r="A4215" t="s">
        <v>6131</v>
      </c>
      <c r="B4215" t="s">
        <v>6347</v>
      </c>
      <c r="C4215">
        <v>2024</v>
      </c>
      <c r="D4215" t="s">
        <v>394</v>
      </c>
      <c r="E4215" t="s">
        <v>6226</v>
      </c>
      <c r="F4215">
        <v>155246</v>
      </c>
      <c r="G4215" t="s">
        <v>396</v>
      </c>
      <c r="H4215">
        <v>85</v>
      </c>
      <c r="I4215" t="s">
        <v>6414</v>
      </c>
      <c r="J4215" t="s">
        <v>294</v>
      </c>
      <c r="M4215" t="s">
        <v>295</v>
      </c>
      <c r="N4215" t="s">
        <v>7</v>
      </c>
      <c r="O4215" t="s">
        <v>297</v>
      </c>
    </row>
    <row r="4216" spans="1:15" x14ac:dyDescent="0.3">
      <c r="A4216" t="s">
        <v>6131</v>
      </c>
      <c r="B4216" t="s">
        <v>6347</v>
      </c>
      <c r="C4216">
        <v>2024</v>
      </c>
      <c r="D4216" t="s">
        <v>394</v>
      </c>
      <c r="E4216" t="s">
        <v>6228</v>
      </c>
      <c r="F4216">
        <v>44550</v>
      </c>
      <c r="G4216" t="s">
        <v>396</v>
      </c>
      <c r="H4216">
        <v>85</v>
      </c>
      <c r="I4216" t="s">
        <v>6415</v>
      </c>
      <c r="J4216" t="s">
        <v>294</v>
      </c>
      <c r="M4216" t="s">
        <v>295</v>
      </c>
      <c r="N4216" t="s">
        <v>7</v>
      </c>
      <c r="O4216" t="s">
        <v>297</v>
      </c>
    </row>
    <row r="4217" spans="1:15" x14ac:dyDescent="0.3">
      <c r="A4217" t="s">
        <v>6131</v>
      </c>
      <c r="B4217" t="s">
        <v>6347</v>
      </c>
      <c r="C4217">
        <v>2024</v>
      </c>
      <c r="D4217" t="s">
        <v>394</v>
      </c>
      <c r="E4217" t="s">
        <v>6230</v>
      </c>
      <c r="F4217">
        <v>225533</v>
      </c>
      <c r="G4217" t="s">
        <v>396</v>
      </c>
      <c r="H4217">
        <v>85</v>
      </c>
      <c r="I4217" t="s">
        <v>6416</v>
      </c>
      <c r="J4217" t="s">
        <v>294</v>
      </c>
      <c r="M4217" t="s">
        <v>295</v>
      </c>
      <c r="N4217" t="s">
        <v>7</v>
      </c>
      <c r="O4217" t="s">
        <v>297</v>
      </c>
    </row>
    <row r="4218" spans="1:15" x14ac:dyDescent="0.3">
      <c r="A4218" t="s">
        <v>6131</v>
      </c>
      <c r="B4218" t="s">
        <v>6347</v>
      </c>
      <c r="C4218">
        <v>2024</v>
      </c>
      <c r="D4218" t="s">
        <v>394</v>
      </c>
      <c r="E4218" t="s">
        <v>537</v>
      </c>
      <c r="F4218">
        <v>425329</v>
      </c>
      <c r="G4218" t="s">
        <v>396</v>
      </c>
      <c r="H4218">
        <v>85</v>
      </c>
      <c r="I4218" t="s">
        <v>6417</v>
      </c>
      <c r="J4218" t="s">
        <v>294</v>
      </c>
      <c r="M4218" t="s">
        <v>295</v>
      </c>
      <c r="N4218" t="s">
        <v>7</v>
      </c>
      <c r="O4218" t="s">
        <v>297</v>
      </c>
    </row>
    <row r="4219" spans="1:15" x14ac:dyDescent="0.3">
      <c r="A4219" t="s">
        <v>6131</v>
      </c>
      <c r="B4219" t="s">
        <v>6347</v>
      </c>
      <c r="C4219">
        <v>2024</v>
      </c>
      <c r="D4219" t="s">
        <v>394</v>
      </c>
      <c r="E4219" t="s">
        <v>406</v>
      </c>
      <c r="F4219">
        <v>95507</v>
      </c>
      <c r="G4219" t="s">
        <v>396</v>
      </c>
      <c r="H4219">
        <v>86</v>
      </c>
      <c r="I4219" t="s">
        <v>6418</v>
      </c>
      <c r="J4219" t="s">
        <v>294</v>
      </c>
      <c r="M4219" t="s">
        <v>295</v>
      </c>
      <c r="N4219" t="s">
        <v>7</v>
      </c>
      <c r="O4219" t="s">
        <v>297</v>
      </c>
    </row>
    <row r="4220" spans="1:15" x14ac:dyDescent="0.3">
      <c r="A4220" t="s">
        <v>6131</v>
      </c>
      <c r="B4220" t="s">
        <v>6347</v>
      </c>
      <c r="C4220">
        <v>2024</v>
      </c>
      <c r="D4220" t="s">
        <v>394</v>
      </c>
      <c r="E4220" t="s">
        <v>6234</v>
      </c>
      <c r="F4220">
        <v>19025</v>
      </c>
      <c r="G4220" t="s">
        <v>396</v>
      </c>
      <c r="H4220">
        <v>86</v>
      </c>
      <c r="I4220" t="s">
        <v>6419</v>
      </c>
      <c r="J4220" t="s">
        <v>294</v>
      </c>
      <c r="M4220" t="s">
        <v>295</v>
      </c>
      <c r="N4220" t="s">
        <v>7</v>
      </c>
      <c r="O4220" t="s">
        <v>297</v>
      </c>
    </row>
    <row r="4221" spans="1:15" x14ac:dyDescent="0.3">
      <c r="A4221" t="s">
        <v>6131</v>
      </c>
      <c r="B4221" t="s">
        <v>6347</v>
      </c>
      <c r="C4221">
        <v>2024</v>
      </c>
      <c r="D4221" t="s">
        <v>394</v>
      </c>
      <c r="E4221" t="s">
        <v>6236</v>
      </c>
      <c r="F4221">
        <v>23733</v>
      </c>
      <c r="G4221" t="s">
        <v>396</v>
      </c>
      <c r="H4221">
        <v>87</v>
      </c>
      <c r="I4221" t="s">
        <v>6420</v>
      </c>
      <c r="J4221" t="s">
        <v>294</v>
      </c>
      <c r="M4221" t="s">
        <v>295</v>
      </c>
      <c r="N4221" t="s">
        <v>7</v>
      </c>
      <c r="O4221" t="s">
        <v>297</v>
      </c>
    </row>
    <row r="4222" spans="1:15" x14ac:dyDescent="0.3">
      <c r="A4222" t="s">
        <v>6131</v>
      </c>
      <c r="B4222" t="s">
        <v>6347</v>
      </c>
      <c r="C4222">
        <v>2024</v>
      </c>
      <c r="D4222" t="s">
        <v>394</v>
      </c>
      <c r="E4222" t="s">
        <v>6238</v>
      </c>
      <c r="F4222">
        <v>1608</v>
      </c>
      <c r="G4222" t="s">
        <v>396</v>
      </c>
      <c r="H4222">
        <v>87</v>
      </c>
      <c r="I4222" t="s">
        <v>6421</v>
      </c>
      <c r="J4222" t="s">
        <v>294</v>
      </c>
      <c r="M4222" t="s">
        <v>295</v>
      </c>
      <c r="N4222" t="s">
        <v>7</v>
      </c>
      <c r="O4222" t="s">
        <v>297</v>
      </c>
    </row>
    <row r="4223" spans="1:15" x14ac:dyDescent="0.3">
      <c r="A4223" t="s">
        <v>6131</v>
      </c>
      <c r="B4223" t="s">
        <v>6347</v>
      </c>
      <c r="C4223">
        <v>2024</v>
      </c>
      <c r="D4223" t="s">
        <v>394</v>
      </c>
      <c r="E4223" t="s">
        <v>6240</v>
      </c>
      <c r="F4223">
        <v>1640</v>
      </c>
      <c r="G4223" t="s">
        <v>396</v>
      </c>
      <c r="H4223">
        <v>86</v>
      </c>
      <c r="I4223" t="s">
        <v>6422</v>
      </c>
      <c r="J4223" t="s">
        <v>294</v>
      </c>
      <c r="M4223" t="s">
        <v>295</v>
      </c>
      <c r="N4223" t="s">
        <v>7</v>
      </c>
      <c r="O4223" t="s">
        <v>297</v>
      </c>
    </row>
    <row r="4224" spans="1:15" x14ac:dyDescent="0.3">
      <c r="A4224" t="s">
        <v>6131</v>
      </c>
      <c r="B4224" t="s">
        <v>6347</v>
      </c>
      <c r="C4224">
        <v>2024</v>
      </c>
      <c r="D4224" t="s">
        <v>394</v>
      </c>
      <c r="E4224" t="s">
        <v>6242</v>
      </c>
      <c r="F4224">
        <v>1011</v>
      </c>
      <c r="G4224" t="s">
        <v>396</v>
      </c>
      <c r="H4224">
        <v>86</v>
      </c>
      <c r="I4224" t="s">
        <v>6423</v>
      </c>
      <c r="J4224" t="s">
        <v>294</v>
      </c>
      <c r="M4224" t="s">
        <v>295</v>
      </c>
      <c r="N4224" t="s">
        <v>7</v>
      </c>
      <c r="O4224" t="s">
        <v>297</v>
      </c>
    </row>
    <row r="4225" spans="1:15" x14ac:dyDescent="0.3">
      <c r="A4225" t="s">
        <v>6131</v>
      </c>
      <c r="B4225" t="s">
        <v>6347</v>
      </c>
      <c r="C4225">
        <v>2024</v>
      </c>
      <c r="D4225" t="s">
        <v>394</v>
      </c>
      <c r="E4225" t="s">
        <v>6244</v>
      </c>
      <c r="F4225">
        <v>23994</v>
      </c>
      <c r="G4225" t="s">
        <v>396</v>
      </c>
      <c r="H4225">
        <v>86</v>
      </c>
      <c r="I4225" t="s">
        <v>6424</v>
      </c>
      <c r="J4225" t="s">
        <v>294</v>
      </c>
      <c r="M4225" t="s">
        <v>295</v>
      </c>
      <c r="N4225" t="s">
        <v>7</v>
      </c>
      <c r="O4225" t="s">
        <v>297</v>
      </c>
    </row>
    <row r="4226" spans="1:15" x14ac:dyDescent="0.3">
      <c r="A4226" t="s">
        <v>6131</v>
      </c>
      <c r="B4226" t="s">
        <v>6347</v>
      </c>
      <c r="C4226">
        <v>2024</v>
      </c>
      <c r="D4226" t="s">
        <v>394</v>
      </c>
      <c r="E4226" t="s">
        <v>438</v>
      </c>
      <c r="F4226">
        <v>90928</v>
      </c>
      <c r="G4226" t="s">
        <v>396</v>
      </c>
      <c r="H4226">
        <v>85</v>
      </c>
      <c r="I4226" t="s">
        <v>6425</v>
      </c>
      <c r="J4226" t="s">
        <v>294</v>
      </c>
      <c r="M4226" t="s">
        <v>295</v>
      </c>
      <c r="N4226" t="s">
        <v>7</v>
      </c>
      <c r="O4226" t="s">
        <v>297</v>
      </c>
    </row>
    <row r="4227" spans="1:15" x14ac:dyDescent="0.3">
      <c r="A4227" t="s">
        <v>6131</v>
      </c>
      <c r="B4227" t="s">
        <v>6347</v>
      </c>
      <c r="C4227">
        <v>2024</v>
      </c>
      <c r="D4227" t="s">
        <v>394</v>
      </c>
      <c r="E4227" t="s">
        <v>3243</v>
      </c>
      <c r="F4227">
        <v>18615</v>
      </c>
      <c r="G4227" t="s">
        <v>396</v>
      </c>
      <c r="H4227">
        <v>85</v>
      </c>
      <c r="I4227" t="s">
        <v>6426</v>
      </c>
      <c r="J4227" t="s">
        <v>294</v>
      </c>
      <c r="M4227" t="s">
        <v>295</v>
      </c>
      <c r="N4227" t="s">
        <v>7</v>
      </c>
      <c r="O4227" t="s">
        <v>297</v>
      </c>
    </row>
    <row r="4228" spans="1:15" x14ac:dyDescent="0.3">
      <c r="A4228" t="s">
        <v>6131</v>
      </c>
      <c r="B4228" t="s">
        <v>6347</v>
      </c>
      <c r="C4228">
        <v>2024</v>
      </c>
      <c r="D4228" t="s">
        <v>394</v>
      </c>
      <c r="E4228" t="s">
        <v>6248</v>
      </c>
      <c r="F4228">
        <v>22751</v>
      </c>
      <c r="G4228" t="s">
        <v>396</v>
      </c>
      <c r="H4228">
        <v>86</v>
      </c>
      <c r="I4228" t="s">
        <v>6427</v>
      </c>
      <c r="J4228" t="s">
        <v>294</v>
      </c>
      <c r="M4228" t="s">
        <v>295</v>
      </c>
      <c r="N4228" t="s">
        <v>7</v>
      </c>
      <c r="O4228" t="s">
        <v>297</v>
      </c>
    </row>
    <row r="4229" spans="1:15" x14ac:dyDescent="0.3">
      <c r="A4229" t="s">
        <v>6131</v>
      </c>
      <c r="B4229" t="s">
        <v>6347</v>
      </c>
      <c r="C4229">
        <v>2024</v>
      </c>
      <c r="D4229" t="s">
        <v>394</v>
      </c>
      <c r="E4229" t="s">
        <v>4067</v>
      </c>
      <c r="F4229">
        <v>2133</v>
      </c>
      <c r="G4229" t="s">
        <v>396</v>
      </c>
      <c r="H4229">
        <v>86</v>
      </c>
      <c r="I4229" t="s">
        <v>6428</v>
      </c>
      <c r="J4229" t="s">
        <v>294</v>
      </c>
      <c r="M4229" t="s">
        <v>295</v>
      </c>
      <c r="N4229" t="s">
        <v>7</v>
      </c>
      <c r="O4229" t="s">
        <v>297</v>
      </c>
    </row>
    <row r="4230" spans="1:15" x14ac:dyDescent="0.3">
      <c r="A4230" t="s">
        <v>6131</v>
      </c>
      <c r="B4230" t="s">
        <v>6347</v>
      </c>
      <c r="C4230">
        <v>2024</v>
      </c>
      <c r="D4230" t="s">
        <v>394</v>
      </c>
      <c r="E4230" t="s">
        <v>554</v>
      </c>
      <c r="F4230">
        <v>12978</v>
      </c>
      <c r="G4230" t="s">
        <v>436</v>
      </c>
      <c r="H4230">
        <v>85</v>
      </c>
      <c r="I4230" t="s">
        <v>6429</v>
      </c>
      <c r="J4230" t="s">
        <v>294</v>
      </c>
      <c r="M4230" t="s">
        <v>295</v>
      </c>
      <c r="N4230" t="s">
        <v>7</v>
      </c>
      <c r="O4230" t="s">
        <v>297</v>
      </c>
    </row>
    <row r="4231" spans="1:15" x14ac:dyDescent="0.3">
      <c r="A4231" t="s">
        <v>6131</v>
      </c>
      <c r="B4231" t="s">
        <v>6347</v>
      </c>
      <c r="C4231">
        <v>2024</v>
      </c>
      <c r="D4231" t="s">
        <v>394</v>
      </c>
      <c r="E4231" t="s">
        <v>3246</v>
      </c>
      <c r="F4231">
        <v>8208</v>
      </c>
      <c r="G4231" t="s">
        <v>436</v>
      </c>
      <c r="H4231">
        <v>85</v>
      </c>
      <c r="I4231" t="s">
        <v>6430</v>
      </c>
      <c r="J4231" t="s">
        <v>294</v>
      </c>
      <c r="M4231" t="s">
        <v>295</v>
      </c>
      <c r="N4231" t="s">
        <v>7</v>
      </c>
      <c r="O4231" t="s">
        <v>297</v>
      </c>
    </row>
    <row r="4232" spans="1:15" x14ac:dyDescent="0.3">
      <c r="A4232" t="s">
        <v>6131</v>
      </c>
      <c r="B4232" t="s">
        <v>6347</v>
      </c>
      <c r="C4232">
        <v>2024</v>
      </c>
      <c r="D4232" t="s">
        <v>394</v>
      </c>
      <c r="E4232" t="s">
        <v>6339</v>
      </c>
      <c r="F4232">
        <v>27700</v>
      </c>
      <c r="G4232" t="s">
        <v>436</v>
      </c>
      <c r="H4232">
        <v>86</v>
      </c>
      <c r="I4232" t="s">
        <v>6431</v>
      </c>
      <c r="J4232" t="s">
        <v>294</v>
      </c>
      <c r="M4232" t="s">
        <v>295</v>
      </c>
      <c r="N4232" t="s">
        <v>7</v>
      </c>
      <c r="O4232" t="s">
        <v>297</v>
      </c>
    </row>
    <row r="4233" spans="1:15" x14ac:dyDescent="0.3">
      <c r="A4233" t="s">
        <v>6131</v>
      </c>
      <c r="B4233" t="s">
        <v>6347</v>
      </c>
      <c r="C4233">
        <v>2024</v>
      </c>
      <c r="D4233" t="s">
        <v>394</v>
      </c>
      <c r="E4233" t="s">
        <v>6255</v>
      </c>
      <c r="F4233">
        <v>36124</v>
      </c>
      <c r="G4233" t="s">
        <v>436</v>
      </c>
      <c r="H4233">
        <v>86</v>
      </c>
      <c r="I4233" t="s">
        <v>6432</v>
      </c>
      <c r="J4233" t="s">
        <v>294</v>
      </c>
      <c r="M4233" t="s">
        <v>295</v>
      </c>
      <c r="N4233" t="s">
        <v>7</v>
      </c>
      <c r="O4233" t="s">
        <v>297</v>
      </c>
    </row>
    <row r="4234" spans="1:15" x14ac:dyDescent="0.3">
      <c r="A4234" t="s">
        <v>6131</v>
      </c>
      <c r="B4234" t="s">
        <v>6347</v>
      </c>
      <c r="C4234">
        <v>2024</v>
      </c>
      <c r="D4234" t="s">
        <v>394</v>
      </c>
      <c r="E4234" t="s">
        <v>6433</v>
      </c>
      <c r="F4234">
        <v>13.52</v>
      </c>
      <c r="G4234" t="s">
        <v>423</v>
      </c>
      <c r="H4234">
        <v>94</v>
      </c>
      <c r="I4234" t="s">
        <v>6434</v>
      </c>
      <c r="J4234" t="s">
        <v>294</v>
      </c>
      <c r="M4234" t="s">
        <v>295</v>
      </c>
      <c r="N4234" t="s">
        <v>7</v>
      </c>
      <c r="O4234" t="s">
        <v>297</v>
      </c>
    </row>
    <row r="4235" spans="1:15" x14ac:dyDescent="0.3">
      <c r="A4235" t="s">
        <v>6131</v>
      </c>
      <c r="B4235" t="s">
        <v>6347</v>
      </c>
      <c r="C4235">
        <v>2024</v>
      </c>
      <c r="D4235" t="s">
        <v>394</v>
      </c>
      <c r="E4235" t="s">
        <v>4311</v>
      </c>
      <c r="F4235">
        <v>1550</v>
      </c>
      <c r="G4235" t="s">
        <v>302</v>
      </c>
      <c r="H4235">
        <v>87</v>
      </c>
      <c r="I4235" t="s">
        <v>6435</v>
      </c>
      <c r="J4235" t="s">
        <v>294</v>
      </c>
      <c r="M4235" t="s">
        <v>295</v>
      </c>
      <c r="N4235" t="s">
        <v>7</v>
      </c>
      <c r="O4235" t="s">
        <v>297</v>
      </c>
    </row>
    <row r="4236" spans="1:15" x14ac:dyDescent="0.3">
      <c r="A4236" t="s">
        <v>6131</v>
      </c>
      <c r="B4236" t="s">
        <v>6347</v>
      </c>
      <c r="C4236">
        <v>2024</v>
      </c>
      <c r="D4236" t="s">
        <v>394</v>
      </c>
      <c r="E4236" t="s">
        <v>4313</v>
      </c>
      <c r="F4236">
        <v>707</v>
      </c>
      <c r="G4236" t="s">
        <v>302</v>
      </c>
      <c r="H4236">
        <v>88</v>
      </c>
      <c r="I4236" t="s">
        <v>6436</v>
      </c>
      <c r="J4236" t="s">
        <v>294</v>
      </c>
      <c r="M4236" t="s">
        <v>295</v>
      </c>
      <c r="N4236" t="s">
        <v>7</v>
      </c>
      <c r="O4236" t="s">
        <v>297</v>
      </c>
    </row>
    <row r="4237" spans="1:15" x14ac:dyDescent="0.3">
      <c r="A4237" t="s">
        <v>6131</v>
      </c>
      <c r="B4237" t="s">
        <v>6347</v>
      </c>
      <c r="C4237">
        <v>2024</v>
      </c>
      <c r="D4237" t="s">
        <v>394</v>
      </c>
      <c r="E4237" t="s">
        <v>6437</v>
      </c>
      <c r="F4237">
        <v>14</v>
      </c>
      <c r="G4237" t="s">
        <v>302</v>
      </c>
      <c r="H4237">
        <v>87</v>
      </c>
      <c r="I4237" t="s">
        <v>6438</v>
      </c>
      <c r="J4237" t="s">
        <v>294</v>
      </c>
      <c r="M4237" t="s">
        <v>295</v>
      </c>
      <c r="N4237" t="s">
        <v>7</v>
      </c>
      <c r="O4237" t="s">
        <v>297</v>
      </c>
    </row>
    <row r="4238" spans="1:15" x14ac:dyDescent="0.3">
      <c r="A4238" t="s">
        <v>6131</v>
      </c>
      <c r="B4238" t="s">
        <v>6347</v>
      </c>
      <c r="C4238">
        <v>2024</v>
      </c>
      <c r="D4238" t="s">
        <v>563</v>
      </c>
      <c r="E4238" t="s">
        <v>564</v>
      </c>
      <c r="F4238">
        <v>3</v>
      </c>
      <c r="G4238" t="s">
        <v>384</v>
      </c>
      <c r="H4238">
        <v>12</v>
      </c>
      <c r="I4238" t="s">
        <v>6439</v>
      </c>
      <c r="J4238" t="s">
        <v>294</v>
      </c>
      <c r="M4238" t="s">
        <v>295</v>
      </c>
      <c r="N4238" t="s">
        <v>7</v>
      </c>
      <c r="O4238" t="s">
        <v>297</v>
      </c>
    </row>
    <row r="4239" spans="1:15" x14ac:dyDescent="0.3">
      <c r="A4239" t="s">
        <v>6131</v>
      </c>
      <c r="B4239" t="s">
        <v>6347</v>
      </c>
      <c r="C4239">
        <v>2024</v>
      </c>
      <c r="D4239" t="s">
        <v>563</v>
      </c>
      <c r="E4239" t="s">
        <v>6259</v>
      </c>
      <c r="F4239" t="s">
        <v>6260</v>
      </c>
      <c r="G4239" t="s">
        <v>292</v>
      </c>
      <c r="H4239">
        <v>84</v>
      </c>
      <c r="I4239" t="s">
        <v>6440</v>
      </c>
      <c r="J4239" t="s">
        <v>294</v>
      </c>
      <c r="M4239" t="s">
        <v>295</v>
      </c>
      <c r="N4239" t="s">
        <v>7</v>
      </c>
      <c r="O4239" t="s">
        <v>297</v>
      </c>
    </row>
    <row r="4240" spans="1:15" x14ac:dyDescent="0.3">
      <c r="A4240" t="s">
        <v>6131</v>
      </c>
      <c r="B4240" t="s">
        <v>6347</v>
      </c>
      <c r="C4240">
        <v>2024</v>
      </c>
      <c r="D4240" t="s">
        <v>563</v>
      </c>
      <c r="E4240" t="s">
        <v>6441</v>
      </c>
      <c r="F4240">
        <v>2031</v>
      </c>
      <c r="G4240" t="s">
        <v>6442</v>
      </c>
      <c r="H4240">
        <v>84</v>
      </c>
      <c r="I4240" t="s">
        <v>6443</v>
      </c>
      <c r="J4240" t="s">
        <v>294</v>
      </c>
      <c r="M4240" t="s">
        <v>295</v>
      </c>
      <c r="N4240" t="s">
        <v>7</v>
      </c>
      <c r="O4240" t="s">
        <v>297</v>
      </c>
    </row>
    <row r="4241" spans="1:15" x14ac:dyDescent="0.3">
      <c r="A4241" t="s">
        <v>6444</v>
      </c>
      <c r="B4241" t="s">
        <v>6445</v>
      </c>
      <c r="C4241">
        <v>2023</v>
      </c>
      <c r="D4241" t="s">
        <v>272</v>
      </c>
      <c r="E4241" t="s">
        <v>291</v>
      </c>
      <c r="F4241" t="s">
        <v>6444</v>
      </c>
      <c r="G4241" t="s">
        <v>292</v>
      </c>
      <c r="H4241">
        <v>1</v>
      </c>
      <c r="I4241" t="s">
        <v>6446</v>
      </c>
      <c r="J4241" t="s">
        <v>294</v>
      </c>
      <c r="M4241" t="s">
        <v>295</v>
      </c>
      <c r="N4241" t="s">
        <v>7</v>
      </c>
      <c r="O4241" t="s">
        <v>297</v>
      </c>
    </row>
    <row r="4242" spans="1:15" x14ac:dyDescent="0.3">
      <c r="A4242" t="s">
        <v>6444</v>
      </c>
      <c r="B4242" t="s">
        <v>6445</v>
      </c>
      <c r="C4242">
        <v>2023</v>
      </c>
      <c r="D4242" t="s">
        <v>272</v>
      </c>
      <c r="E4242" t="s">
        <v>4599</v>
      </c>
      <c r="F4242">
        <v>1980</v>
      </c>
      <c r="G4242" t="s">
        <v>299</v>
      </c>
      <c r="H4242">
        <v>40</v>
      </c>
      <c r="I4242" t="s">
        <v>6447</v>
      </c>
      <c r="J4242" t="s">
        <v>294</v>
      </c>
      <c r="M4242" t="s">
        <v>295</v>
      </c>
      <c r="N4242" t="s">
        <v>7</v>
      </c>
      <c r="O4242" t="s">
        <v>297</v>
      </c>
    </row>
    <row r="4243" spans="1:15" x14ac:dyDescent="0.3">
      <c r="A4243" t="s">
        <v>6444</v>
      </c>
      <c r="B4243" t="s">
        <v>6445</v>
      </c>
      <c r="C4243">
        <v>2023</v>
      </c>
      <c r="D4243" t="s">
        <v>272</v>
      </c>
      <c r="E4243" t="s">
        <v>5647</v>
      </c>
      <c r="F4243" t="s">
        <v>6448</v>
      </c>
      <c r="G4243" t="s">
        <v>666</v>
      </c>
      <c r="H4243">
        <v>15</v>
      </c>
      <c r="I4243" t="s">
        <v>6449</v>
      </c>
      <c r="J4243" t="s">
        <v>294</v>
      </c>
      <c r="M4243" t="s">
        <v>295</v>
      </c>
      <c r="N4243" t="s">
        <v>7</v>
      </c>
      <c r="O4243" t="s">
        <v>297</v>
      </c>
    </row>
    <row r="4244" spans="1:15" x14ac:dyDescent="0.3">
      <c r="A4244" t="s">
        <v>6444</v>
      </c>
      <c r="B4244" t="s">
        <v>6445</v>
      </c>
      <c r="C4244">
        <v>2023</v>
      </c>
      <c r="D4244" t="s">
        <v>272</v>
      </c>
      <c r="E4244" t="s">
        <v>6450</v>
      </c>
      <c r="F4244" t="s">
        <v>52</v>
      </c>
      <c r="G4244" t="s">
        <v>292</v>
      </c>
      <c r="H4244">
        <v>15</v>
      </c>
      <c r="I4244" t="s">
        <v>6451</v>
      </c>
      <c r="J4244" t="s">
        <v>294</v>
      </c>
      <c r="M4244" t="s">
        <v>295</v>
      </c>
      <c r="N4244" t="s">
        <v>7</v>
      </c>
      <c r="O4244" t="s">
        <v>297</v>
      </c>
    </row>
    <row r="4245" spans="1:15" x14ac:dyDescent="0.3">
      <c r="A4245" t="s">
        <v>6444</v>
      </c>
      <c r="B4245" t="s">
        <v>6445</v>
      </c>
      <c r="C4245">
        <v>2023</v>
      </c>
      <c r="D4245" t="s">
        <v>272</v>
      </c>
      <c r="E4245" t="s">
        <v>6452</v>
      </c>
      <c r="F4245">
        <v>198</v>
      </c>
      <c r="G4245" t="s">
        <v>346</v>
      </c>
      <c r="H4245">
        <v>15</v>
      </c>
      <c r="I4245" t="s">
        <v>6453</v>
      </c>
      <c r="J4245" t="s">
        <v>294</v>
      </c>
      <c r="M4245" t="s">
        <v>295</v>
      </c>
      <c r="N4245" t="s">
        <v>7</v>
      </c>
      <c r="O4245" t="s">
        <v>297</v>
      </c>
    </row>
    <row r="4246" spans="1:15" x14ac:dyDescent="0.3">
      <c r="A4246" t="s">
        <v>6444</v>
      </c>
      <c r="B4246" t="s">
        <v>6445</v>
      </c>
      <c r="C4246">
        <v>2023</v>
      </c>
      <c r="D4246" t="s">
        <v>272</v>
      </c>
      <c r="E4246" t="s">
        <v>6454</v>
      </c>
      <c r="F4246" t="s">
        <v>6455</v>
      </c>
      <c r="G4246" t="s">
        <v>334</v>
      </c>
      <c r="H4246">
        <v>45</v>
      </c>
      <c r="I4246" t="s">
        <v>6456</v>
      </c>
      <c r="J4246" t="s">
        <v>294</v>
      </c>
      <c r="M4246" t="s">
        <v>295</v>
      </c>
      <c r="N4246" t="s">
        <v>7</v>
      </c>
      <c r="O4246" t="s">
        <v>297</v>
      </c>
    </row>
    <row r="4247" spans="1:15" x14ac:dyDescent="0.3">
      <c r="A4247" t="s">
        <v>6444</v>
      </c>
      <c r="B4247" t="s">
        <v>6445</v>
      </c>
      <c r="C4247">
        <v>2023</v>
      </c>
      <c r="D4247" t="s">
        <v>272</v>
      </c>
      <c r="E4247" t="s">
        <v>445</v>
      </c>
      <c r="F4247">
        <v>0.20760000000000001</v>
      </c>
      <c r="G4247" t="s">
        <v>334</v>
      </c>
      <c r="H4247">
        <v>45</v>
      </c>
      <c r="I4247" t="s">
        <v>6457</v>
      </c>
      <c r="J4247" t="s">
        <v>294</v>
      </c>
      <c r="M4247" t="s">
        <v>295</v>
      </c>
      <c r="N4247" t="s">
        <v>7</v>
      </c>
      <c r="O4247" t="s">
        <v>297</v>
      </c>
    </row>
    <row r="4248" spans="1:15" x14ac:dyDescent="0.3">
      <c r="A4248" t="s">
        <v>6444</v>
      </c>
      <c r="B4248" t="s">
        <v>6445</v>
      </c>
      <c r="C4248">
        <v>2023</v>
      </c>
      <c r="D4248" t="s">
        <v>272</v>
      </c>
      <c r="E4248" t="s">
        <v>6458</v>
      </c>
      <c r="F4248" t="s">
        <v>6459</v>
      </c>
      <c r="G4248" t="s">
        <v>292</v>
      </c>
      <c r="H4248">
        <v>49</v>
      </c>
      <c r="I4248" t="s">
        <v>6460</v>
      </c>
      <c r="J4248" t="s">
        <v>294</v>
      </c>
      <c r="M4248" t="s">
        <v>295</v>
      </c>
      <c r="N4248" t="s">
        <v>7</v>
      </c>
      <c r="O4248" t="s">
        <v>297</v>
      </c>
    </row>
    <row r="4249" spans="1:15" x14ac:dyDescent="0.3">
      <c r="A4249" t="s">
        <v>6444</v>
      </c>
      <c r="B4249" t="s">
        <v>6445</v>
      </c>
      <c r="C4249">
        <v>2023</v>
      </c>
      <c r="D4249" t="s">
        <v>272</v>
      </c>
      <c r="E4249" t="s">
        <v>2702</v>
      </c>
      <c r="F4249">
        <v>250</v>
      </c>
      <c r="G4249" t="s">
        <v>1561</v>
      </c>
      <c r="H4249">
        <v>113</v>
      </c>
      <c r="I4249" t="s">
        <v>6461</v>
      </c>
      <c r="J4249" t="s">
        <v>294</v>
      </c>
      <c r="M4249" t="s">
        <v>295</v>
      </c>
      <c r="N4249" t="s">
        <v>7</v>
      </c>
      <c r="O4249" t="s">
        <v>297</v>
      </c>
    </row>
    <row r="4250" spans="1:15" x14ac:dyDescent="0.3">
      <c r="A4250" t="s">
        <v>6444</v>
      </c>
      <c r="B4250" t="s">
        <v>6445</v>
      </c>
      <c r="C4250">
        <v>2023</v>
      </c>
      <c r="D4250" t="s">
        <v>300</v>
      </c>
      <c r="E4250" t="s">
        <v>3142</v>
      </c>
      <c r="F4250">
        <v>61.66</v>
      </c>
      <c r="G4250" t="s">
        <v>302</v>
      </c>
      <c r="H4250">
        <v>10</v>
      </c>
      <c r="I4250" t="s">
        <v>6462</v>
      </c>
      <c r="J4250" t="s">
        <v>294</v>
      </c>
      <c r="M4250" t="s">
        <v>295</v>
      </c>
      <c r="N4250" t="s">
        <v>7</v>
      </c>
      <c r="O4250" t="s">
        <v>297</v>
      </c>
    </row>
    <row r="4251" spans="1:15" x14ac:dyDescent="0.3">
      <c r="A4251" t="s">
        <v>6444</v>
      </c>
      <c r="B4251" t="s">
        <v>6445</v>
      </c>
      <c r="C4251">
        <v>2023</v>
      </c>
      <c r="D4251" t="s">
        <v>300</v>
      </c>
      <c r="E4251" t="s">
        <v>450</v>
      </c>
      <c r="F4251">
        <v>27.15</v>
      </c>
      <c r="G4251" t="s">
        <v>302</v>
      </c>
      <c r="H4251">
        <v>10</v>
      </c>
      <c r="I4251" t="s">
        <v>6463</v>
      </c>
      <c r="J4251" t="s">
        <v>294</v>
      </c>
      <c r="M4251" t="s">
        <v>295</v>
      </c>
      <c r="N4251" t="s">
        <v>7</v>
      </c>
      <c r="O4251" t="s">
        <v>297</v>
      </c>
    </row>
    <row r="4252" spans="1:15" x14ac:dyDescent="0.3">
      <c r="A4252" t="s">
        <v>6444</v>
      </c>
      <c r="B4252" t="s">
        <v>6445</v>
      </c>
      <c r="C4252">
        <v>2023</v>
      </c>
      <c r="D4252" t="s">
        <v>300</v>
      </c>
      <c r="E4252" t="s">
        <v>304</v>
      </c>
      <c r="F4252">
        <v>34.5</v>
      </c>
      <c r="G4252" t="s">
        <v>302</v>
      </c>
      <c r="H4252">
        <v>10</v>
      </c>
      <c r="I4252" t="s">
        <v>6464</v>
      </c>
      <c r="J4252" t="s">
        <v>294</v>
      </c>
      <c r="M4252" t="s">
        <v>295</v>
      </c>
      <c r="N4252" t="s">
        <v>7</v>
      </c>
      <c r="O4252" t="s">
        <v>297</v>
      </c>
    </row>
    <row r="4253" spans="1:15" x14ac:dyDescent="0.3">
      <c r="A4253" t="s">
        <v>6444</v>
      </c>
      <c r="B4253" t="s">
        <v>6445</v>
      </c>
      <c r="C4253">
        <v>2023</v>
      </c>
      <c r="D4253" t="s">
        <v>300</v>
      </c>
      <c r="E4253" t="s">
        <v>452</v>
      </c>
      <c r="F4253">
        <v>3.51</v>
      </c>
      <c r="G4253" t="s">
        <v>302</v>
      </c>
      <c r="H4253">
        <v>10</v>
      </c>
      <c r="I4253" t="s">
        <v>6465</v>
      </c>
      <c r="J4253" t="s">
        <v>294</v>
      </c>
      <c r="M4253" t="s">
        <v>295</v>
      </c>
      <c r="N4253" t="s">
        <v>7</v>
      </c>
      <c r="O4253" t="s">
        <v>297</v>
      </c>
    </row>
    <row r="4254" spans="1:15" x14ac:dyDescent="0.3">
      <c r="A4254" t="s">
        <v>6444</v>
      </c>
      <c r="B4254" t="s">
        <v>6445</v>
      </c>
      <c r="C4254">
        <v>2023</v>
      </c>
      <c r="D4254" t="s">
        <v>300</v>
      </c>
      <c r="E4254" t="s">
        <v>6466</v>
      </c>
      <c r="F4254">
        <v>1.78</v>
      </c>
      <c r="G4254" t="s">
        <v>302</v>
      </c>
      <c r="H4254">
        <v>10</v>
      </c>
      <c r="I4254" t="s">
        <v>6467</v>
      </c>
      <c r="J4254" t="s">
        <v>294</v>
      </c>
      <c r="M4254" t="s">
        <v>295</v>
      </c>
      <c r="N4254" t="s">
        <v>7</v>
      </c>
      <c r="O4254" t="s">
        <v>297</v>
      </c>
    </row>
    <row r="4255" spans="1:15" x14ac:dyDescent="0.3">
      <c r="A4255" t="s">
        <v>6444</v>
      </c>
      <c r="B4255" t="s">
        <v>6445</v>
      </c>
      <c r="C4255">
        <v>2023</v>
      </c>
      <c r="D4255" t="s">
        <v>300</v>
      </c>
      <c r="E4255" t="s">
        <v>1112</v>
      </c>
      <c r="F4255">
        <v>32.78</v>
      </c>
      <c r="G4255" t="s">
        <v>302</v>
      </c>
      <c r="H4255">
        <v>10</v>
      </c>
      <c r="I4255" t="s">
        <v>6468</v>
      </c>
      <c r="J4255" t="s">
        <v>294</v>
      </c>
      <c r="M4255" t="s">
        <v>295</v>
      </c>
      <c r="N4255" t="s">
        <v>7</v>
      </c>
      <c r="O4255" t="s">
        <v>297</v>
      </c>
    </row>
    <row r="4256" spans="1:15" x14ac:dyDescent="0.3">
      <c r="A4256" t="s">
        <v>6444</v>
      </c>
      <c r="B4256" t="s">
        <v>6445</v>
      </c>
      <c r="C4256">
        <v>2023</v>
      </c>
      <c r="D4256" t="s">
        <v>300</v>
      </c>
      <c r="E4256" t="s">
        <v>579</v>
      </c>
      <c r="F4256">
        <v>32.69</v>
      </c>
      <c r="G4256" t="s">
        <v>302</v>
      </c>
      <c r="H4256">
        <v>10</v>
      </c>
      <c r="I4256" t="s">
        <v>6469</v>
      </c>
      <c r="J4256" t="s">
        <v>294</v>
      </c>
      <c r="M4256" t="s">
        <v>295</v>
      </c>
      <c r="N4256" t="s">
        <v>7</v>
      </c>
      <c r="O4256" t="s">
        <v>297</v>
      </c>
    </row>
    <row r="4257" spans="1:15" x14ac:dyDescent="0.3">
      <c r="A4257" t="s">
        <v>6444</v>
      </c>
      <c r="B4257" t="s">
        <v>6445</v>
      </c>
      <c r="C4257">
        <v>2023</v>
      </c>
      <c r="D4257" t="s">
        <v>300</v>
      </c>
      <c r="E4257" t="s">
        <v>306</v>
      </c>
      <c r="F4257">
        <v>26.19</v>
      </c>
      <c r="G4257" t="s">
        <v>302</v>
      </c>
      <c r="H4257">
        <v>10</v>
      </c>
      <c r="I4257" t="s">
        <v>6470</v>
      </c>
      <c r="J4257" t="s">
        <v>294</v>
      </c>
      <c r="M4257" t="s">
        <v>295</v>
      </c>
      <c r="N4257" t="s">
        <v>7</v>
      </c>
      <c r="O4257" t="s">
        <v>297</v>
      </c>
    </row>
    <row r="4258" spans="1:15" x14ac:dyDescent="0.3">
      <c r="A4258" t="s">
        <v>6444</v>
      </c>
      <c r="B4258" t="s">
        <v>6445</v>
      </c>
      <c r="C4258">
        <v>2023</v>
      </c>
      <c r="D4258" t="s">
        <v>300</v>
      </c>
      <c r="E4258" t="s">
        <v>6471</v>
      </c>
      <c r="F4258">
        <v>0.57320000000000004</v>
      </c>
      <c r="G4258" t="s">
        <v>334</v>
      </c>
      <c r="H4258">
        <v>11</v>
      </c>
      <c r="I4258" t="s">
        <v>6472</v>
      </c>
      <c r="J4258" t="s">
        <v>294</v>
      </c>
      <c r="M4258" t="s">
        <v>295</v>
      </c>
      <c r="N4258" t="s">
        <v>7</v>
      </c>
      <c r="O4258" t="s">
        <v>297</v>
      </c>
    </row>
    <row r="4259" spans="1:15" x14ac:dyDescent="0.3">
      <c r="A4259" t="s">
        <v>6444</v>
      </c>
      <c r="B4259" t="s">
        <v>6445</v>
      </c>
      <c r="C4259">
        <v>2023</v>
      </c>
      <c r="D4259" t="s">
        <v>300</v>
      </c>
      <c r="E4259" t="s">
        <v>581</v>
      </c>
      <c r="F4259">
        <v>6.5</v>
      </c>
      <c r="G4259" t="s">
        <v>302</v>
      </c>
      <c r="H4259">
        <v>10</v>
      </c>
      <c r="I4259" t="s">
        <v>6473</v>
      </c>
      <c r="J4259" t="s">
        <v>294</v>
      </c>
      <c r="M4259" t="s">
        <v>295</v>
      </c>
      <c r="N4259" t="s">
        <v>7</v>
      </c>
      <c r="O4259" t="s">
        <v>297</v>
      </c>
    </row>
    <row r="4260" spans="1:15" x14ac:dyDescent="0.3">
      <c r="A4260" t="s">
        <v>6444</v>
      </c>
      <c r="B4260" t="s">
        <v>6445</v>
      </c>
      <c r="C4260">
        <v>2023</v>
      </c>
      <c r="D4260" t="s">
        <v>300</v>
      </c>
      <c r="E4260" t="s">
        <v>316</v>
      </c>
      <c r="F4260">
        <v>168.91</v>
      </c>
      <c r="G4260" t="s">
        <v>302</v>
      </c>
      <c r="H4260">
        <v>10</v>
      </c>
      <c r="I4260" t="s">
        <v>6474</v>
      </c>
      <c r="J4260" t="s">
        <v>294</v>
      </c>
      <c r="M4260" t="s">
        <v>295</v>
      </c>
      <c r="N4260" t="s">
        <v>7</v>
      </c>
      <c r="O4260" t="s">
        <v>297</v>
      </c>
    </row>
    <row r="4261" spans="1:15" x14ac:dyDescent="0.3">
      <c r="A4261" t="s">
        <v>6444</v>
      </c>
      <c r="B4261" t="s">
        <v>6445</v>
      </c>
      <c r="C4261">
        <v>2023</v>
      </c>
      <c r="D4261" t="s">
        <v>300</v>
      </c>
      <c r="E4261" t="s">
        <v>312</v>
      </c>
      <c r="F4261">
        <v>100.32</v>
      </c>
      <c r="G4261" t="s">
        <v>302</v>
      </c>
      <c r="H4261">
        <v>10</v>
      </c>
      <c r="I4261" t="s">
        <v>6475</v>
      </c>
      <c r="J4261" t="s">
        <v>294</v>
      </c>
      <c r="M4261" t="s">
        <v>295</v>
      </c>
      <c r="N4261" t="s">
        <v>7</v>
      </c>
      <c r="O4261" t="s">
        <v>297</v>
      </c>
    </row>
    <row r="4262" spans="1:15" x14ac:dyDescent="0.3">
      <c r="A4262" t="s">
        <v>6444</v>
      </c>
      <c r="B4262" t="s">
        <v>6445</v>
      </c>
      <c r="C4262">
        <v>2023</v>
      </c>
      <c r="D4262" t="s">
        <v>300</v>
      </c>
      <c r="E4262" t="s">
        <v>314</v>
      </c>
      <c r="F4262">
        <v>68.59</v>
      </c>
      <c r="G4262" t="s">
        <v>302</v>
      </c>
      <c r="H4262">
        <v>10</v>
      </c>
      <c r="I4262" t="s">
        <v>6476</v>
      </c>
      <c r="J4262" t="s">
        <v>294</v>
      </c>
      <c r="M4262" t="s">
        <v>295</v>
      </c>
      <c r="N4262" t="s">
        <v>7</v>
      </c>
      <c r="O4262" t="s">
        <v>297</v>
      </c>
    </row>
    <row r="4263" spans="1:15" x14ac:dyDescent="0.3">
      <c r="A4263" t="s">
        <v>6444</v>
      </c>
      <c r="B4263" t="s">
        <v>6445</v>
      </c>
      <c r="C4263">
        <v>2023</v>
      </c>
      <c r="D4263" t="s">
        <v>300</v>
      </c>
      <c r="E4263" t="s">
        <v>3492</v>
      </c>
      <c r="F4263">
        <v>74.98</v>
      </c>
      <c r="G4263" t="s">
        <v>302</v>
      </c>
      <c r="H4263">
        <v>10</v>
      </c>
      <c r="I4263" t="s">
        <v>6477</v>
      </c>
      <c r="J4263" t="s">
        <v>294</v>
      </c>
      <c r="M4263" t="s">
        <v>295</v>
      </c>
      <c r="N4263" t="s">
        <v>7</v>
      </c>
      <c r="O4263" t="s">
        <v>297</v>
      </c>
    </row>
    <row r="4264" spans="1:15" x14ac:dyDescent="0.3">
      <c r="A4264" t="s">
        <v>6444</v>
      </c>
      <c r="B4264" t="s">
        <v>6445</v>
      </c>
      <c r="C4264">
        <v>2023</v>
      </c>
      <c r="D4264" t="s">
        <v>300</v>
      </c>
      <c r="E4264" t="s">
        <v>6478</v>
      </c>
      <c r="F4264">
        <v>15</v>
      </c>
      <c r="G4264" t="s">
        <v>302</v>
      </c>
      <c r="H4264">
        <v>10</v>
      </c>
      <c r="I4264" t="s">
        <v>6479</v>
      </c>
      <c r="J4264" t="s">
        <v>294</v>
      </c>
      <c r="M4264" t="s">
        <v>295</v>
      </c>
      <c r="N4264" t="s">
        <v>7</v>
      </c>
      <c r="O4264" t="s">
        <v>297</v>
      </c>
    </row>
    <row r="4265" spans="1:15" x14ac:dyDescent="0.3">
      <c r="A4265" t="s">
        <v>6444</v>
      </c>
      <c r="B4265" t="s">
        <v>6445</v>
      </c>
      <c r="C4265">
        <v>2023</v>
      </c>
      <c r="D4265" t="s">
        <v>300</v>
      </c>
      <c r="E4265" t="s">
        <v>479</v>
      </c>
      <c r="F4265">
        <v>0.17</v>
      </c>
      <c r="G4265" t="s">
        <v>302</v>
      </c>
      <c r="H4265">
        <v>10</v>
      </c>
      <c r="I4265" t="s">
        <v>6480</v>
      </c>
      <c r="J4265" t="s">
        <v>294</v>
      </c>
      <c r="M4265" t="s">
        <v>295</v>
      </c>
      <c r="N4265" t="s">
        <v>7</v>
      </c>
      <c r="O4265" t="s">
        <v>297</v>
      </c>
    </row>
    <row r="4266" spans="1:15" x14ac:dyDescent="0.3">
      <c r="A4266" t="s">
        <v>6444</v>
      </c>
      <c r="B4266" t="s">
        <v>6445</v>
      </c>
      <c r="C4266">
        <v>2023</v>
      </c>
      <c r="D4266" t="s">
        <v>300</v>
      </c>
      <c r="E4266" t="s">
        <v>481</v>
      </c>
      <c r="F4266">
        <v>1.33</v>
      </c>
      <c r="G4266" t="s">
        <v>302</v>
      </c>
      <c r="H4266">
        <v>10</v>
      </c>
      <c r="I4266" t="s">
        <v>6481</v>
      </c>
      <c r="J4266" t="s">
        <v>294</v>
      </c>
      <c r="M4266" t="s">
        <v>295</v>
      </c>
      <c r="N4266" t="s">
        <v>7</v>
      </c>
      <c r="O4266" t="s">
        <v>297</v>
      </c>
    </row>
    <row r="4267" spans="1:15" x14ac:dyDescent="0.3">
      <c r="A4267" t="s">
        <v>6444</v>
      </c>
      <c r="B4267" t="s">
        <v>6445</v>
      </c>
      <c r="C4267">
        <v>2023</v>
      </c>
      <c r="D4267" t="s">
        <v>300</v>
      </c>
      <c r="E4267" t="s">
        <v>4119</v>
      </c>
      <c r="F4267">
        <v>8.6199999999999992</v>
      </c>
      <c r="G4267" t="s">
        <v>302</v>
      </c>
      <c r="H4267">
        <v>10</v>
      </c>
      <c r="I4267" t="s">
        <v>6482</v>
      </c>
      <c r="J4267" t="s">
        <v>294</v>
      </c>
      <c r="M4267" t="s">
        <v>295</v>
      </c>
      <c r="N4267" t="s">
        <v>7</v>
      </c>
      <c r="O4267" t="s">
        <v>297</v>
      </c>
    </row>
    <row r="4268" spans="1:15" x14ac:dyDescent="0.3">
      <c r="A4268" t="s">
        <v>6444</v>
      </c>
      <c r="B4268" t="s">
        <v>6445</v>
      </c>
      <c r="C4268">
        <v>2023</v>
      </c>
      <c r="D4268" t="s">
        <v>300</v>
      </c>
      <c r="E4268" t="s">
        <v>2744</v>
      </c>
      <c r="F4268">
        <v>47.79</v>
      </c>
      <c r="G4268" t="s">
        <v>302</v>
      </c>
      <c r="H4268">
        <v>10</v>
      </c>
      <c r="I4268" t="s">
        <v>6483</v>
      </c>
      <c r="J4268" t="s">
        <v>294</v>
      </c>
      <c r="M4268" t="s">
        <v>295</v>
      </c>
      <c r="N4268" t="s">
        <v>7</v>
      </c>
      <c r="O4268" t="s">
        <v>297</v>
      </c>
    </row>
    <row r="4269" spans="1:15" x14ac:dyDescent="0.3">
      <c r="A4269" t="s">
        <v>6444</v>
      </c>
      <c r="B4269" t="s">
        <v>6445</v>
      </c>
      <c r="C4269">
        <v>2023</v>
      </c>
      <c r="D4269" t="s">
        <v>300</v>
      </c>
      <c r="E4269" t="s">
        <v>6484</v>
      </c>
      <c r="F4269">
        <v>9.59</v>
      </c>
      <c r="G4269" t="s">
        <v>302</v>
      </c>
      <c r="H4269">
        <v>10</v>
      </c>
      <c r="I4269" t="s">
        <v>6485</v>
      </c>
      <c r="J4269" t="s">
        <v>294</v>
      </c>
      <c r="M4269" t="s">
        <v>295</v>
      </c>
      <c r="N4269" t="s">
        <v>7</v>
      </c>
      <c r="O4269" t="s">
        <v>297</v>
      </c>
    </row>
    <row r="4270" spans="1:15" x14ac:dyDescent="0.3">
      <c r="A4270" t="s">
        <v>6444</v>
      </c>
      <c r="B4270" t="s">
        <v>6445</v>
      </c>
      <c r="C4270">
        <v>2023</v>
      </c>
      <c r="D4270" t="s">
        <v>300</v>
      </c>
      <c r="E4270" t="s">
        <v>322</v>
      </c>
      <c r="F4270">
        <v>6.18</v>
      </c>
      <c r="G4270" t="s">
        <v>302</v>
      </c>
      <c r="H4270">
        <v>11</v>
      </c>
      <c r="I4270" t="s">
        <v>6486</v>
      </c>
      <c r="J4270" t="s">
        <v>294</v>
      </c>
      <c r="M4270" t="s">
        <v>295</v>
      </c>
      <c r="N4270" t="s">
        <v>7</v>
      </c>
      <c r="O4270" t="s">
        <v>297</v>
      </c>
    </row>
    <row r="4271" spans="1:15" x14ac:dyDescent="0.3">
      <c r="A4271" t="s">
        <v>6444</v>
      </c>
      <c r="B4271" t="s">
        <v>6445</v>
      </c>
      <c r="C4271">
        <v>2023</v>
      </c>
      <c r="D4271" t="s">
        <v>300</v>
      </c>
      <c r="E4271" t="s">
        <v>318</v>
      </c>
      <c r="F4271">
        <v>5.76</v>
      </c>
      <c r="G4271" t="s">
        <v>302</v>
      </c>
      <c r="H4271">
        <v>11</v>
      </c>
      <c r="I4271" t="s">
        <v>6487</v>
      </c>
      <c r="J4271" t="s">
        <v>294</v>
      </c>
      <c r="M4271" t="s">
        <v>295</v>
      </c>
      <c r="N4271" t="s">
        <v>7</v>
      </c>
      <c r="O4271" t="s">
        <v>297</v>
      </c>
    </row>
    <row r="4272" spans="1:15" x14ac:dyDescent="0.3">
      <c r="A4272" t="s">
        <v>6444</v>
      </c>
      <c r="B4272" t="s">
        <v>6445</v>
      </c>
      <c r="C4272">
        <v>2023</v>
      </c>
      <c r="D4272" t="s">
        <v>300</v>
      </c>
      <c r="E4272" t="s">
        <v>468</v>
      </c>
      <c r="F4272">
        <v>0.42</v>
      </c>
      <c r="G4272" t="s">
        <v>302</v>
      </c>
      <c r="H4272">
        <v>11</v>
      </c>
      <c r="I4272" t="s">
        <v>6488</v>
      </c>
      <c r="J4272" t="s">
        <v>294</v>
      </c>
      <c r="M4272" t="s">
        <v>295</v>
      </c>
      <c r="N4272" t="s">
        <v>7</v>
      </c>
      <c r="O4272" t="s">
        <v>297</v>
      </c>
    </row>
    <row r="4273" spans="1:15" x14ac:dyDescent="0.3">
      <c r="A4273" t="s">
        <v>6444</v>
      </c>
      <c r="B4273" t="s">
        <v>6445</v>
      </c>
      <c r="C4273">
        <v>2023</v>
      </c>
      <c r="D4273" t="s">
        <v>300</v>
      </c>
      <c r="E4273" t="s">
        <v>6489</v>
      </c>
      <c r="F4273">
        <v>1.88</v>
      </c>
      <c r="G4273" t="s">
        <v>302</v>
      </c>
      <c r="H4273">
        <v>11</v>
      </c>
      <c r="I4273" t="s">
        <v>6490</v>
      </c>
      <c r="J4273" t="s">
        <v>294</v>
      </c>
      <c r="M4273" t="s">
        <v>295</v>
      </c>
      <c r="N4273" t="s">
        <v>7</v>
      </c>
      <c r="O4273" t="s">
        <v>297</v>
      </c>
    </row>
    <row r="4274" spans="1:15" x14ac:dyDescent="0.3">
      <c r="A4274" t="s">
        <v>6444</v>
      </c>
      <c r="B4274" t="s">
        <v>6445</v>
      </c>
      <c r="C4274">
        <v>2023</v>
      </c>
      <c r="D4274" t="s">
        <v>300</v>
      </c>
      <c r="E4274" t="s">
        <v>324</v>
      </c>
      <c r="F4274">
        <v>162.74</v>
      </c>
      <c r="G4274" t="s">
        <v>302</v>
      </c>
      <c r="H4274">
        <v>11</v>
      </c>
      <c r="I4274" t="s">
        <v>6491</v>
      </c>
      <c r="J4274" t="s">
        <v>294</v>
      </c>
      <c r="M4274" t="s">
        <v>295</v>
      </c>
      <c r="N4274" t="s">
        <v>7</v>
      </c>
      <c r="O4274" t="s">
        <v>297</v>
      </c>
    </row>
    <row r="4275" spans="1:15" x14ac:dyDescent="0.3">
      <c r="A4275" t="s">
        <v>6444</v>
      </c>
      <c r="B4275" t="s">
        <v>6445</v>
      </c>
      <c r="C4275">
        <v>2023</v>
      </c>
      <c r="D4275" t="s">
        <v>300</v>
      </c>
      <c r="E4275" t="s">
        <v>3646</v>
      </c>
      <c r="F4275">
        <v>43.35</v>
      </c>
      <c r="G4275" t="s">
        <v>302</v>
      </c>
      <c r="H4275">
        <v>11</v>
      </c>
      <c r="I4275" t="s">
        <v>6492</v>
      </c>
      <c r="J4275" t="s">
        <v>294</v>
      </c>
      <c r="M4275" t="s">
        <v>295</v>
      </c>
      <c r="N4275" t="s">
        <v>7</v>
      </c>
      <c r="O4275" t="s">
        <v>297</v>
      </c>
    </row>
    <row r="4276" spans="1:15" x14ac:dyDescent="0.3">
      <c r="A4276" t="s">
        <v>6444</v>
      </c>
      <c r="B4276" t="s">
        <v>6445</v>
      </c>
      <c r="C4276">
        <v>2023</v>
      </c>
      <c r="D4276" t="s">
        <v>300</v>
      </c>
      <c r="E4276" t="s">
        <v>1144</v>
      </c>
      <c r="F4276">
        <v>81.260000000000005</v>
      </c>
      <c r="G4276" t="s">
        <v>302</v>
      </c>
      <c r="H4276">
        <v>11</v>
      </c>
      <c r="I4276" t="s">
        <v>6493</v>
      </c>
      <c r="J4276" t="s">
        <v>294</v>
      </c>
      <c r="M4276" t="s">
        <v>295</v>
      </c>
      <c r="N4276" t="s">
        <v>7</v>
      </c>
      <c r="O4276" t="s">
        <v>297</v>
      </c>
    </row>
    <row r="4277" spans="1:15" x14ac:dyDescent="0.3">
      <c r="A4277" t="s">
        <v>6444</v>
      </c>
      <c r="B4277" t="s">
        <v>6445</v>
      </c>
      <c r="C4277">
        <v>2023</v>
      </c>
      <c r="D4277" t="s">
        <v>300</v>
      </c>
      <c r="E4277" t="s">
        <v>6494</v>
      </c>
      <c r="F4277">
        <v>5.67</v>
      </c>
      <c r="G4277" t="s">
        <v>302</v>
      </c>
      <c r="H4277">
        <v>11</v>
      </c>
      <c r="I4277" t="s">
        <v>6495</v>
      </c>
      <c r="J4277" t="s">
        <v>294</v>
      </c>
      <c r="M4277" t="s">
        <v>295</v>
      </c>
      <c r="N4277" t="s">
        <v>7</v>
      </c>
      <c r="O4277" t="s">
        <v>297</v>
      </c>
    </row>
    <row r="4278" spans="1:15" x14ac:dyDescent="0.3">
      <c r="A4278" t="s">
        <v>6444</v>
      </c>
      <c r="B4278" t="s">
        <v>6445</v>
      </c>
      <c r="C4278">
        <v>2023</v>
      </c>
      <c r="D4278" t="s">
        <v>300</v>
      </c>
      <c r="E4278" t="s">
        <v>601</v>
      </c>
      <c r="F4278">
        <v>17.260000000000002</v>
      </c>
      <c r="G4278" t="s">
        <v>302</v>
      </c>
      <c r="H4278">
        <v>61</v>
      </c>
      <c r="I4278" t="s">
        <v>6496</v>
      </c>
      <c r="J4278" t="s">
        <v>294</v>
      </c>
      <c r="M4278" t="s">
        <v>295</v>
      </c>
      <c r="N4278" t="s">
        <v>7</v>
      </c>
      <c r="O4278" t="s">
        <v>297</v>
      </c>
    </row>
    <row r="4279" spans="1:15" x14ac:dyDescent="0.3">
      <c r="A4279" t="s">
        <v>6444</v>
      </c>
      <c r="B4279" t="s">
        <v>6445</v>
      </c>
      <c r="C4279">
        <v>2023</v>
      </c>
      <c r="D4279" t="s">
        <v>300</v>
      </c>
      <c r="E4279" t="s">
        <v>603</v>
      </c>
      <c r="F4279">
        <v>-26.23</v>
      </c>
      <c r="G4279" t="s">
        <v>302</v>
      </c>
      <c r="H4279">
        <v>61</v>
      </c>
      <c r="I4279" t="s">
        <v>6497</v>
      </c>
      <c r="J4279" t="s">
        <v>294</v>
      </c>
      <c r="M4279" t="s">
        <v>295</v>
      </c>
      <c r="N4279" t="s">
        <v>7</v>
      </c>
      <c r="O4279" t="s">
        <v>297</v>
      </c>
    </row>
    <row r="4280" spans="1:15" x14ac:dyDescent="0.3">
      <c r="A4280" t="s">
        <v>6444</v>
      </c>
      <c r="B4280" t="s">
        <v>6445</v>
      </c>
      <c r="C4280">
        <v>2023</v>
      </c>
      <c r="D4280" t="s">
        <v>300</v>
      </c>
      <c r="E4280" t="s">
        <v>716</v>
      </c>
      <c r="F4280">
        <v>80.55</v>
      </c>
      <c r="G4280" t="s">
        <v>302</v>
      </c>
      <c r="H4280">
        <v>61</v>
      </c>
      <c r="I4280" t="s">
        <v>6498</v>
      </c>
      <c r="J4280" t="s">
        <v>294</v>
      </c>
      <c r="M4280" t="s">
        <v>295</v>
      </c>
      <c r="N4280" t="s">
        <v>7</v>
      </c>
      <c r="O4280" t="s">
        <v>297</v>
      </c>
    </row>
    <row r="4281" spans="1:15" x14ac:dyDescent="0.3">
      <c r="A4281" t="s">
        <v>6444</v>
      </c>
      <c r="B4281" t="s">
        <v>6445</v>
      </c>
      <c r="C4281">
        <v>2023</v>
      </c>
      <c r="D4281" t="s">
        <v>300</v>
      </c>
      <c r="E4281" t="s">
        <v>6499</v>
      </c>
      <c r="F4281">
        <v>10.45</v>
      </c>
      <c r="G4281" t="s">
        <v>302</v>
      </c>
      <c r="H4281">
        <v>61</v>
      </c>
      <c r="I4281" t="s">
        <v>6500</v>
      </c>
      <c r="J4281" t="s">
        <v>456</v>
      </c>
      <c r="M4281" t="s">
        <v>295</v>
      </c>
      <c r="N4281" t="s">
        <v>7</v>
      </c>
      <c r="O4281" t="s">
        <v>297</v>
      </c>
    </row>
    <row r="4282" spans="1:15" x14ac:dyDescent="0.3">
      <c r="A4282" t="s">
        <v>6444</v>
      </c>
      <c r="B4282" t="s">
        <v>6445</v>
      </c>
      <c r="C4282">
        <v>2023</v>
      </c>
      <c r="D4282" t="s">
        <v>300</v>
      </c>
      <c r="E4282" t="s">
        <v>326</v>
      </c>
      <c r="F4282">
        <v>17.43</v>
      </c>
      <c r="G4282" t="s">
        <v>327</v>
      </c>
      <c r="H4282">
        <v>13</v>
      </c>
      <c r="I4282" t="s">
        <v>6501</v>
      </c>
      <c r="J4282" t="s">
        <v>294</v>
      </c>
      <c r="M4282" t="s">
        <v>295</v>
      </c>
      <c r="N4282" t="s">
        <v>7</v>
      </c>
      <c r="O4282" t="s">
        <v>297</v>
      </c>
    </row>
    <row r="4283" spans="1:15" x14ac:dyDescent="0.3">
      <c r="A4283" t="s">
        <v>6444</v>
      </c>
      <c r="B4283" t="s">
        <v>6445</v>
      </c>
      <c r="C4283">
        <v>2023</v>
      </c>
      <c r="D4283" t="s">
        <v>300</v>
      </c>
      <c r="E4283" t="s">
        <v>6502</v>
      </c>
      <c r="F4283">
        <v>3.7900000000000003E-2</v>
      </c>
      <c r="G4283" t="s">
        <v>334</v>
      </c>
      <c r="H4283">
        <v>63</v>
      </c>
      <c r="I4283" t="s">
        <v>6503</v>
      </c>
      <c r="J4283" t="s">
        <v>294</v>
      </c>
      <c r="M4283" t="s">
        <v>295</v>
      </c>
      <c r="N4283" t="s">
        <v>7</v>
      </c>
      <c r="O4283" t="s">
        <v>297</v>
      </c>
    </row>
    <row r="4284" spans="1:15" x14ac:dyDescent="0.3">
      <c r="A4284" t="s">
        <v>6444</v>
      </c>
      <c r="B4284" t="s">
        <v>6445</v>
      </c>
      <c r="C4284">
        <v>2023</v>
      </c>
      <c r="D4284" t="s">
        <v>300</v>
      </c>
      <c r="E4284" t="s">
        <v>6504</v>
      </c>
      <c r="F4284">
        <v>156</v>
      </c>
      <c r="G4284" t="s">
        <v>327</v>
      </c>
      <c r="H4284">
        <v>13</v>
      </c>
      <c r="I4284" t="s">
        <v>6505</v>
      </c>
      <c r="J4284" t="s">
        <v>294</v>
      </c>
      <c r="M4284" t="s">
        <v>295</v>
      </c>
      <c r="N4284" t="s">
        <v>7</v>
      </c>
      <c r="O4284" t="s">
        <v>297</v>
      </c>
    </row>
    <row r="4285" spans="1:15" x14ac:dyDescent="0.3">
      <c r="A4285" t="s">
        <v>6444</v>
      </c>
      <c r="B4285" t="s">
        <v>6445</v>
      </c>
      <c r="C4285">
        <v>2023</v>
      </c>
      <c r="D4285" t="s">
        <v>300</v>
      </c>
      <c r="E4285" t="s">
        <v>342</v>
      </c>
      <c r="F4285">
        <v>2167.5</v>
      </c>
      <c r="G4285" t="s">
        <v>497</v>
      </c>
      <c r="H4285">
        <v>45</v>
      </c>
      <c r="I4285" t="s">
        <v>6506</v>
      </c>
      <c r="J4285" t="s">
        <v>294</v>
      </c>
      <c r="M4285" t="s">
        <v>295</v>
      </c>
      <c r="N4285" t="s">
        <v>7</v>
      </c>
      <c r="O4285" t="s">
        <v>297</v>
      </c>
    </row>
    <row r="4286" spans="1:15" x14ac:dyDescent="0.3">
      <c r="A4286" t="s">
        <v>6444</v>
      </c>
      <c r="B4286" t="s">
        <v>6445</v>
      </c>
      <c r="C4286">
        <v>2023</v>
      </c>
      <c r="D4286" t="s">
        <v>300</v>
      </c>
      <c r="E4286" t="s">
        <v>5242</v>
      </c>
      <c r="F4286">
        <v>152</v>
      </c>
      <c r="G4286" t="s">
        <v>346</v>
      </c>
      <c r="H4286">
        <v>15</v>
      </c>
      <c r="I4286" t="s">
        <v>6507</v>
      </c>
      <c r="J4286" t="s">
        <v>294</v>
      </c>
      <c r="M4286" t="s">
        <v>295</v>
      </c>
      <c r="N4286" t="s">
        <v>7</v>
      </c>
      <c r="O4286" t="s">
        <v>297</v>
      </c>
    </row>
    <row r="4287" spans="1:15" x14ac:dyDescent="0.3">
      <c r="A4287" t="s">
        <v>6444</v>
      </c>
      <c r="B4287" t="s">
        <v>6445</v>
      </c>
      <c r="C4287">
        <v>2023</v>
      </c>
      <c r="D4287" t="s">
        <v>300</v>
      </c>
      <c r="E4287" t="s">
        <v>6508</v>
      </c>
      <c r="F4287">
        <v>329.46</v>
      </c>
      <c r="G4287" t="s">
        <v>302</v>
      </c>
      <c r="H4287">
        <v>15</v>
      </c>
      <c r="I4287" t="s">
        <v>6509</v>
      </c>
      <c r="J4287" t="s">
        <v>294</v>
      </c>
      <c r="M4287" t="s">
        <v>295</v>
      </c>
      <c r="N4287" t="s">
        <v>7</v>
      </c>
      <c r="O4287" t="s">
        <v>297</v>
      </c>
    </row>
    <row r="4288" spans="1:15" x14ac:dyDescent="0.3">
      <c r="A4288" t="s">
        <v>6444</v>
      </c>
      <c r="B4288" t="s">
        <v>6445</v>
      </c>
      <c r="C4288">
        <v>2023</v>
      </c>
      <c r="D4288" t="s">
        <v>300</v>
      </c>
      <c r="E4288" t="s">
        <v>6510</v>
      </c>
      <c r="F4288">
        <v>89.1</v>
      </c>
      <c r="G4288" t="s">
        <v>302</v>
      </c>
      <c r="H4288">
        <v>64</v>
      </c>
      <c r="I4288" t="s">
        <v>6511</v>
      </c>
      <c r="J4288" t="s">
        <v>294</v>
      </c>
      <c r="M4288" t="s">
        <v>295</v>
      </c>
      <c r="N4288" t="s">
        <v>7</v>
      </c>
      <c r="O4288" t="s">
        <v>297</v>
      </c>
    </row>
    <row r="4289" spans="1:15" x14ac:dyDescent="0.3">
      <c r="A4289" t="s">
        <v>6444</v>
      </c>
      <c r="B4289" t="s">
        <v>6445</v>
      </c>
      <c r="C4289">
        <v>2023</v>
      </c>
      <c r="D4289" t="s">
        <v>300</v>
      </c>
      <c r="E4289" t="s">
        <v>6512</v>
      </c>
      <c r="F4289">
        <v>3.97</v>
      </c>
      <c r="G4289" t="s">
        <v>302</v>
      </c>
      <c r="H4289">
        <v>64</v>
      </c>
      <c r="I4289" t="s">
        <v>6513</v>
      </c>
      <c r="J4289" t="s">
        <v>294</v>
      </c>
      <c r="M4289" t="s">
        <v>295</v>
      </c>
      <c r="N4289" t="s">
        <v>7</v>
      </c>
      <c r="O4289" t="s">
        <v>297</v>
      </c>
    </row>
    <row r="4290" spans="1:15" x14ac:dyDescent="0.3">
      <c r="A4290" t="s">
        <v>6444</v>
      </c>
      <c r="B4290" t="s">
        <v>6445</v>
      </c>
      <c r="C4290">
        <v>2023</v>
      </c>
      <c r="D4290" t="s">
        <v>300</v>
      </c>
      <c r="E4290" t="s">
        <v>6514</v>
      </c>
      <c r="F4290">
        <v>85.13</v>
      </c>
      <c r="G4290" t="s">
        <v>302</v>
      </c>
      <c r="H4290">
        <v>64</v>
      </c>
      <c r="I4290" t="s">
        <v>6515</v>
      </c>
      <c r="J4290" t="s">
        <v>294</v>
      </c>
      <c r="M4290" t="s">
        <v>295</v>
      </c>
      <c r="N4290" t="s">
        <v>7</v>
      </c>
      <c r="O4290" t="s">
        <v>297</v>
      </c>
    </row>
    <row r="4291" spans="1:15" x14ac:dyDescent="0.3">
      <c r="A4291" t="s">
        <v>6444</v>
      </c>
      <c r="B4291" t="s">
        <v>6445</v>
      </c>
      <c r="C4291">
        <v>2023</v>
      </c>
      <c r="D4291" t="s">
        <v>300</v>
      </c>
      <c r="E4291" t="s">
        <v>6516</v>
      </c>
      <c r="F4291">
        <v>6.38</v>
      </c>
      <c r="G4291" t="s">
        <v>302</v>
      </c>
      <c r="H4291">
        <v>64</v>
      </c>
      <c r="I4291" t="s">
        <v>6517</v>
      </c>
      <c r="J4291" t="s">
        <v>294</v>
      </c>
      <c r="M4291" t="s">
        <v>295</v>
      </c>
      <c r="N4291" t="s">
        <v>7</v>
      </c>
      <c r="O4291" t="s">
        <v>297</v>
      </c>
    </row>
    <row r="4292" spans="1:15" x14ac:dyDescent="0.3">
      <c r="A4292" t="s">
        <v>6444</v>
      </c>
      <c r="B4292" t="s">
        <v>6445</v>
      </c>
      <c r="C4292">
        <v>2023</v>
      </c>
      <c r="D4292" t="s">
        <v>300</v>
      </c>
      <c r="E4292" t="s">
        <v>6518</v>
      </c>
      <c r="F4292">
        <v>6</v>
      </c>
      <c r="G4292" t="s">
        <v>302</v>
      </c>
      <c r="H4292">
        <v>69</v>
      </c>
      <c r="I4292" t="s">
        <v>6519</v>
      </c>
      <c r="J4292" t="s">
        <v>294</v>
      </c>
      <c r="M4292" t="s">
        <v>295</v>
      </c>
      <c r="N4292" t="s">
        <v>7</v>
      </c>
      <c r="O4292" t="s">
        <v>297</v>
      </c>
    </row>
    <row r="4293" spans="1:15" x14ac:dyDescent="0.3">
      <c r="A4293" t="s">
        <v>6444</v>
      </c>
      <c r="B4293" t="s">
        <v>6445</v>
      </c>
      <c r="C4293">
        <v>2023</v>
      </c>
      <c r="D4293" t="s">
        <v>300</v>
      </c>
      <c r="E4293" t="s">
        <v>6520</v>
      </c>
      <c r="F4293">
        <v>2.6</v>
      </c>
      <c r="G4293" t="s">
        <v>302</v>
      </c>
      <c r="H4293">
        <v>69</v>
      </c>
      <c r="I4293" t="s">
        <v>6521</v>
      </c>
      <c r="J4293" t="s">
        <v>294</v>
      </c>
      <c r="M4293" t="s">
        <v>295</v>
      </c>
      <c r="N4293" t="s">
        <v>7</v>
      </c>
      <c r="O4293" t="s">
        <v>297</v>
      </c>
    </row>
    <row r="4294" spans="1:15" x14ac:dyDescent="0.3">
      <c r="A4294" t="s">
        <v>6444</v>
      </c>
      <c r="B4294" t="s">
        <v>6445</v>
      </c>
      <c r="C4294">
        <v>2023</v>
      </c>
      <c r="D4294" t="s">
        <v>358</v>
      </c>
      <c r="E4294" t="s">
        <v>6522</v>
      </c>
      <c r="F4294">
        <v>1180.3900000000001</v>
      </c>
      <c r="G4294" t="s">
        <v>360</v>
      </c>
      <c r="H4294">
        <v>59</v>
      </c>
      <c r="I4294" t="s">
        <v>6523</v>
      </c>
      <c r="J4294" t="s">
        <v>294</v>
      </c>
      <c r="M4294" t="s">
        <v>295</v>
      </c>
      <c r="N4294" t="s">
        <v>7</v>
      </c>
      <c r="O4294" t="s">
        <v>297</v>
      </c>
    </row>
    <row r="4295" spans="1:15" x14ac:dyDescent="0.3">
      <c r="A4295" t="s">
        <v>6444</v>
      </c>
      <c r="B4295" t="s">
        <v>6445</v>
      </c>
      <c r="C4295">
        <v>2023</v>
      </c>
      <c r="D4295" t="s">
        <v>358</v>
      </c>
      <c r="E4295" t="s">
        <v>6524</v>
      </c>
      <c r="F4295">
        <v>882.58</v>
      </c>
      <c r="G4295" t="s">
        <v>360</v>
      </c>
      <c r="H4295">
        <v>59</v>
      </c>
      <c r="I4295" t="s">
        <v>6525</v>
      </c>
      <c r="J4295" t="s">
        <v>294</v>
      </c>
      <c r="M4295" t="s">
        <v>295</v>
      </c>
      <c r="N4295" t="s">
        <v>7</v>
      </c>
      <c r="O4295" t="s">
        <v>297</v>
      </c>
    </row>
    <row r="4296" spans="1:15" x14ac:dyDescent="0.3">
      <c r="A4296" t="s">
        <v>6444</v>
      </c>
      <c r="B4296" t="s">
        <v>6445</v>
      </c>
      <c r="C4296">
        <v>2023</v>
      </c>
      <c r="D4296" t="s">
        <v>358</v>
      </c>
      <c r="E4296" t="s">
        <v>504</v>
      </c>
      <c r="F4296">
        <v>1090.6400000000001</v>
      </c>
      <c r="G4296" t="s">
        <v>360</v>
      </c>
      <c r="H4296">
        <v>59</v>
      </c>
      <c r="I4296" t="s">
        <v>6526</v>
      </c>
      <c r="J4296" t="s">
        <v>294</v>
      </c>
      <c r="M4296" t="s">
        <v>295</v>
      </c>
      <c r="N4296" t="s">
        <v>7</v>
      </c>
      <c r="O4296" t="s">
        <v>297</v>
      </c>
    </row>
    <row r="4297" spans="1:15" x14ac:dyDescent="0.3">
      <c r="A4297" t="s">
        <v>6444</v>
      </c>
      <c r="B4297" t="s">
        <v>6445</v>
      </c>
      <c r="C4297">
        <v>2023</v>
      </c>
      <c r="D4297" t="s">
        <v>358</v>
      </c>
      <c r="E4297" t="s">
        <v>6527</v>
      </c>
      <c r="F4297">
        <v>600</v>
      </c>
      <c r="G4297" t="s">
        <v>360</v>
      </c>
      <c r="H4297">
        <v>59</v>
      </c>
      <c r="I4297" t="s">
        <v>6528</v>
      </c>
      <c r="J4297" t="s">
        <v>294</v>
      </c>
      <c r="M4297" t="s">
        <v>295</v>
      </c>
      <c r="N4297" t="s">
        <v>7</v>
      </c>
      <c r="O4297" t="s">
        <v>297</v>
      </c>
    </row>
    <row r="4298" spans="1:15" x14ac:dyDescent="0.3">
      <c r="A4298" t="s">
        <v>6444</v>
      </c>
      <c r="B4298" t="s">
        <v>6445</v>
      </c>
      <c r="C4298">
        <v>2023</v>
      </c>
      <c r="D4298" t="s">
        <v>358</v>
      </c>
      <c r="E4298" t="s">
        <v>6529</v>
      </c>
      <c r="F4298">
        <v>580.39</v>
      </c>
      <c r="G4298" t="s">
        <v>360</v>
      </c>
      <c r="H4298">
        <v>59</v>
      </c>
      <c r="I4298" t="s">
        <v>6530</v>
      </c>
      <c r="J4298" t="s">
        <v>294</v>
      </c>
      <c r="M4298" t="s">
        <v>295</v>
      </c>
      <c r="N4298" t="s">
        <v>7</v>
      </c>
      <c r="O4298" t="s">
        <v>297</v>
      </c>
    </row>
    <row r="4299" spans="1:15" x14ac:dyDescent="0.3">
      <c r="A4299" t="s">
        <v>6444</v>
      </c>
      <c r="B4299" t="s">
        <v>6445</v>
      </c>
      <c r="C4299">
        <v>2023</v>
      </c>
      <c r="D4299" t="s">
        <v>358</v>
      </c>
      <c r="E4299" t="s">
        <v>6531</v>
      </c>
      <c r="F4299" t="s">
        <v>6532</v>
      </c>
      <c r="G4299" t="s">
        <v>292</v>
      </c>
      <c r="H4299">
        <v>58</v>
      </c>
      <c r="I4299" t="s">
        <v>6533</v>
      </c>
      <c r="J4299" t="s">
        <v>294</v>
      </c>
      <c r="M4299" t="s">
        <v>295</v>
      </c>
      <c r="N4299" t="s">
        <v>7</v>
      </c>
      <c r="O4299" t="s">
        <v>297</v>
      </c>
    </row>
    <row r="4300" spans="1:15" x14ac:dyDescent="0.3">
      <c r="A4300" t="s">
        <v>6444</v>
      </c>
      <c r="B4300" t="s">
        <v>6445</v>
      </c>
      <c r="C4300">
        <v>2023</v>
      </c>
      <c r="D4300" t="s">
        <v>394</v>
      </c>
      <c r="E4300" t="s">
        <v>6534</v>
      </c>
      <c r="F4300">
        <v>26037</v>
      </c>
      <c r="G4300" t="s">
        <v>396</v>
      </c>
      <c r="H4300">
        <v>60</v>
      </c>
      <c r="I4300" t="s">
        <v>6535</v>
      </c>
      <c r="J4300" t="s">
        <v>294</v>
      </c>
      <c r="M4300" t="s">
        <v>295</v>
      </c>
      <c r="N4300" t="s">
        <v>7</v>
      </c>
      <c r="O4300" t="s">
        <v>297</v>
      </c>
    </row>
    <row r="4301" spans="1:15" x14ac:dyDescent="0.3">
      <c r="A4301" t="s">
        <v>6444</v>
      </c>
      <c r="B4301" t="s">
        <v>6445</v>
      </c>
      <c r="C4301">
        <v>2023</v>
      </c>
      <c r="D4301" t="s">
        <v>394</v>
      </c>
      <c r="E4301" t="s">
        <v>5455</v>
      </c>
      <c r="F4301">
        <v>25476</v>
      </c>
      <c r="G4301" t="s">
        <v>396</v>
      </c>
      <c r="H4301">
        <v>113</v>
      </c>
      <c r="I4301" t="s">
        <v>6536</v>
      </c>
      <c r="J4301" t="s">
        <v>294</v>
      </c>
      <c r="M4301" t="s">
        <v>295</v>
      </c>
      <c r="N4301" t="s">
        <v>7</v>
      </c>
      <c r="O4301" t="s">
        <v>297</v>
      </c>
    </row>
    <row r="4302" spans="1:15" x14ac:dyDescent="0.3">
      <c r="A4302" t="s">
        <v>6444</v>
      </c>
      <c r="B4302" t="s">
        <v>6445</v>
      </c>
      <c r="C4302">
        <v>2023</v>
      </c>
      <c r="D4302" t="s">
        <v>394</v>
      </c>
      <c r="E4302" t="s">
        <v>6537</v>
      </c>
      <c r="F4302" t="s">
        <v>6538</v>
      </c>
      <c r="G4302" t="s">
        <v>292</v>
      </c>
      <c r="H4302">
        <v>60</v>
      </c>
      <c r="I4302" t="s">
        <v>6539</v>
      </c>
      <c r="J4302" t="s">
        <v>294</v>
      </c>
      <c r="M4302" t="s">
        <v>295</v>
      </c>
      <c r="N4302" t="s">
        <v>7</v>
      </c>
      <c r="O4302" t="s">
        <v>297</v>
      </c>
    </row>
    <row r="4303" spans="1:15" x14ac:dyDescent="0.3">
      <c r="A4303" t="s">
        <v>6444</v>
      </c>
      <c r="B4303" t="s">
        <v>6445</v>
      </c>
      <c r="C4303">
        <v>2023</v>
      </c>
      <c r="D4303" t="s">
        <v>394</v>
      </c>
      <c r="E4303" t="s">
        <v>6540</v>
      </c>
      <c r="F4303" t="s">
        <v>6541</v>
      </c>
      <c r="G4303" t="s">
        <v>292</v>
      </c>
      <c r="H4303">
        <v>36</v>
      </c>
      <c r="I4303" t="s">
        <v>6542</v>
      </c>
      <c r="J4303" t="s">
        <v>294</v>
      </c>
      <c r="M4303" t="s">
        <v>295</v>
      </c>
      <c r="N4303" t="s">
        <v>7</v>
      </c>
      <c r="O4303" t="s">
        <v>297</v>
      </c>
    </row>
    <row r="4304" spans="1:15" x14ac:dyDescent="0.3">
      <c r="A4304" t="s">
        <v>6444</v>
      </c>
      <c r="B4304" t="s">
        <v>6445</v>
      </c>
      <c r="C4304">
        <v>2023</v>
      </c>
      <c r="D4304" t="s">
        <v>394</v>
      </c>
      <c r="E4304" t="s">
        <v>6543</v>
      </c>
      <c r="F4304">
        <v>43</v>
      </c>
      <c r="G4304" t="s">
        <v>384</v>
      </c>
      <c r="H4304">
        <v>113</v>
      </c>
      <c r="I4304" t="s">
        <v>6544</v>
      </c>
      <c r="J4304" t="s">
        <v>294</v>
      </c>
      <c r="M4304" t="s">
        <v>295</v>
      </c>
      <c r="N4304" t="s">
        <v>7</v>
      </c>
      <c r="O4304" t="s">
        <v>297</v>
      </c>
    </row>
    <row r="4305" spans="1:15" x14ac:dyDescent="0.3">
      <c r="A4305" t="s">
        <v>6444</v>
      </c>
      <c r="B4305" t="s">
        <v>6445</v>
      </c>
      <c r="C4305">
        <v>2023</v>
      </c>
      <c r="D4305" t="s">
        <v>394</v>
      </c>
      <c r="E4305" t="s">
        <v>6545</v>
      </c>
      <c r="F4305">
        <v>3</v>
      </c>
      <c r="G4305" t="s">
        <v>384</v>
      </c>
      <c r="H4305">
        <v>113</v>
      </c>
      <c r="I4305" t="s">
        <v>6546</v>
      </c>
      <c r="J4305" t="s">
        <v>294</v>
      </c>
      <c r="M4305" t="s">
        <v>295</v>
      </c>
      <c r="N4305" t="s">
        <v>7</v>
      </c>
      <c r="O4305" t="s">
        <v>297</v>
      </c>
    </row>
    <row r="4306" spans="1:15" x14ac:dyDescent="0.3">
      <c r="A4306" t="s">
        <v>6444</v>
      </c>
      <c r="B4306" t="s">
        <v>6445</v>
      </c>
      <c r="C4306">
        <v>2023</v>
      </c>
      <c r="D4306" t="s">
        <v>394</v>
      </c>
      <c r="E4306" t="s">
        <v>6547</v>
      </c>
      <c r="F4306">
        <v>225000000</v>
      </c>
      <c r="G4306" t="s">
        <v>4459</v>
      </c>
      <c r="H4306">
        <v>17</v>
      </c>
      <c r="I4306" t="s">
        <v>6548</v>
      </c>
      <c r="J4306" t="s">
        <v>294</v>
      </c>
      <c r="M4306" t="s">
        <v>295</v>
      </c>
      <c r="N4306" t="s">
        <v>7</v>
      </c>
      <c r="O4306" t="s">
        <v>297</v>
      </c>
    </row>
    <row r="4307" spans="1:15" x14ac:dyDescent="0.3">
      <c r="A4307" t="s">
        <v>6444</v>
      </c>
      <c r="B4307" t="s">
        <v>6445</v>
      </c>
      <c r="C4307">
        <v>2023</v>
      </c>
      <c r="D4307" t="s">
        <v>394</v>
      </c>
      <c r="E4307" t="s">
        <v>6549</v>
      </c>
      <c r="F4307" t="s">
        <v>6550</v>
      </c>
      <c r="G4307" t="s">
        <v>346</v>
      </c>
      <c r="H4307">
        <v>17</v>
      </c>
      <c r="I4307" t="s">
        <v>6551</v>
      </c>
      <c r="J4307" t="s">
        <v>294</v>
      </c>
      <c r="M4307" t="s">
        <v>295</v>
      </c>
      <c r="N4307" t="s">
        <v>7</v>
      </c>
      <c r="O4307" t="s">
        <v>297</v>
      </c>
    </row>
    <row r="4308" spans="1:15" x14ac:dyDescent="0.3">
      <c r="A4308" t="s">
        <v>6444</v>
      </c>
      <c r="B4308" t="s">
        <v>6445</v>
      </c>
      <c r="C4308">
        <v>2023</v>
      </c>
      <c r="D4308" t="s">
        <v>394</v>
      </c>
      <c r="E4308" t="s">
        <v>6552</v>
      </c>
      <c r="F4308">
        <v>50.85</v>
      </c>
      <c r="G4308" t="s">
        <v>302</v>
      </c>
      <c r="H4308">
        <v>17</v>
      </c>
      <c r="I4308" t="s">
        <v>6553</v>
      </c>
      <c r="J4308" t="s">
        <v>294</v>
      </c>
      <c r="M4308" t="s">
        <v>295</v>
      </c>
      <c r="N4308" t="s">
        <v>7</v>
      </c>
      <c r="O4308" t="s">
        <v>297</v>
      </c>
    </row>
    <row r="4309" spans="1:15" x14ac:dyDescent="0.3">
      <c r="A4309" t="s">
        <v>6444</v>
      </c>
      <c r="B4309" t="s">
        <v>6445</v>
      </c>
      <c r="C4309">
        <v>2023</v>
      </c>
      <c r="D4309" t="s">
        <v>563</v>
      </c>
      <c r="E4309" t="s">
        <v>6554</v>
      </c>
      <c r="F4309">
        <v>230898</v>
      </c>
      <c r="G4309" t="s">
        <v>1403</v>
      </c>
      <c r="H4309">
        <v>113</v>
      </c>
      <c r="I4309" t="s">
        <v>6555</v>
      </c>
      <c r="J4309" t="s">
        <v>294</v>
      </c>
      <c r="M4309" t="s">
        <v>295</v>
      </c>
      <c r="N4309" t="s">
        <v>7</v>
      </c>
      <c r="O4309" t="s">
        <v>297</v>
      </c>
    </row>
    <row r="4310" spans="1:15" x14ac:dyDescent="0.3">
      <c r="A4310" t="s">
        <v>6444</v>
      </c>
      <c r="B4310" t="s">
        <v>6445</v>
      </c>
      <c r="C4310">
        <v>2023</v>
      </c>
      <c r="D4310" t="s">
        <v>563</v>
      </c>
      <c r="E4310" t="s">
        <v>6556</v>
      </c>
      <c r="F4310">
        <v>600</v>
      </c>
      <c r="G4310" t="s">
        <v>3066</v>
      </c>
      <c r="H4310">
        <v>113</v>
      </c>
      <c r="I4310" t="s">
        <v>6557</v>
      </c>
      <c r="J4310" t="s">
        <v>294</v>
      </c>
      <c r="M4310" t="s">
        <v>295</v>
      </c>
      <c r="N4310" t="s">
        <v>7</v>
      </c>
      <c r="O4310" t="s">
        <v>297</v>
      </c>
    </row>
    <row r="4311" spans="1:15" x14ac:dyDescent="0.3">
      <c r="A4311" t="s">
        <v>6444</v>
      </c>
      <c r="B4311" t="s">
        <v>6445</v>
      </c>
      <c r="C4311">
        <v>2023</v>
      </c>
      <c r="D4311" t="s">
        <v>563</v>
      </c>
      <c r="E4311" t="s">
        <v>6558</v>
      </c>
      <c r="F4311">
        <v>7</v>
      </c>
      <c r="G4311" t="s">
        <v>1561</v>
      </c>
      <c r="H4311">
        <v>113</v>
      </c>
      <c r="I4311" t="s">
        <v>6559</v>
      </c>
      <c r="J4311" t="s">
        <v>294</v>
      </c>
      <c r="M4311" t="s">
        <v>295</v>
      </c>
      <c r="N4311" t="s">
        <v>7</v>
      </c>
      <c r="O4311" t="s">
        <v>297</v>
      </c>
    </row>
    <row r="4312" spans="1:15" x14ac:dyDescent="0.3">
      <c r="A4312" t="s">
        <v>6444</v>
      </c>
      <c r="B4312" t="s">
        <v>6445</v>
      </c>
      <c r="C4312">
        <v>2023</v>
      </c>
      <c r="D4312" t="s">
        <v>563</v>
      </c>
      <c r="E4312" t="s">
        <v>6560</v>
      </c>
      <c r="F4312">
        <v>37</v>
      </c>
      <c r="G4312" t="s">
        <v>6561</v>
      </c>
      <c r="H4312">
        <v>113</v>
      </c>
      <c r="I4312" t="s">
        <v>6562</v>
      </c>
      <c r="J4312" t="s">
        <v>294</v>
      </c>
      <c r="M4312" t="s">
        <v>295</v>
      </c>
      <c r="N4312" t="s">
        <v>7</v>
      </c>
      <c r="O4312" t="s">
        <v>297</v>
      </c>
    </row>
    <row r="4313" spans="1:15" x14ac:dyDescent="0.3">
      <c r="A4313" t="s">
        <v>6444</v>
      </c>
      <c r="B4313" t="s">
        <v>6445</v>
      </c>
      <c r="C4313">
        <v>2023</v>
      </c>
      <c r="D4313" t="s">
        <v>563</v>
      </c>
      <c r="E4313" t="s">
        <v>6563</v>
      </c>
      <c r="F4313">
        <v>0.123</v>
      </c>
      <c r="G4313" t="s">
        <v>302</v>
      </c>
      <c r="H4313">
        <v>113</v>
      </c>
      <c r="I4313" t="s">
        <v>6564</v>
      </c>
      <c r="J4313" t="s">
        <v>294</v>
      </c>
      <c r="M4313" t="s">
        <v>295</v>
      </c>
      <c r="N4313" t="s">
        <v>7</v>
      </c>
      <c r="O4313" t="s">
        <v>297</v>
      </c>
    </row>
    <row r="4314" spans="1:15" x14ac:dyDescent="0.3">
      <c r="A4314" t="s">
        <v>6444</v>
      </c>
      <c r="B4314" t="s">
        <v>6445</v>
      </c>
      <c r="C4314">
        <v>2023</v>
      </c>
      <c r="D4314" t="s">
        <v>252</v>
      </c>
      <c r="E4314" t="s">
        <v>6565</v>
      </c>
      <c r="F4314" t="s">
        <v>6566</v>
      </c>
      <c r="G4314" t="s">
        <v>292</v>
      </c>
      <c r="H4314">
        <v>65</v>
      </c>
      <c r="I4314" t="s">
        <v>6567</v>
      </c>
      <c r="J4314" t="s">
        <v>294</v>
      </c>
      <c r="M4314" t="s">
        <v>295</v>
      </c>
      <c r="N4314" t="s">
        <v>7</v>
      </c>
      <c r="O4314" t="s">
        <v>297</v>
      </c>
    </row>
    <row r="4315" spans="1:15" x14ac:dyDescent="0.3">
      <c r="A4315" t="s">
        <v>6444</v>
      </c>
      <c r="B4315" t="s">
        <v>6445</v>
      </c>
      <c r="C4315">
        <v>2023</v>
      </c>
      <c r="D4315" t="s">
        <v>252</v>
      </c>
      <c r="E4315" t="s">
        <v>6568</v>
      </c>
      <c r="F4315">
        <v>63.51</v>
      </c>
      <c r="G4315" t="s">
        <v>302</v>
      </c>
      <c r="H4315">
        <v>63</v>
      </c>
      <c r="I4315" t="s">
        <v>6569</v>
      </c>
      <c r="J4315" t="s">
        <v>294</v>
      </c>
      <c r="M4315" t="s">
        <v>295</v>
      </c>
      <c r="N4315" t="s">
        <v>7</v>
      </c>
      <c r="O4315" t="s">
        <v>297</v>
      </c>
    </row>
    <row r="4316" spans="1:15" x14ac:dyDescent="0.3">
      <c r="A4316" t="s">
        <v>6444</v>
      </c>
      <c r="B4316" t="s">
        <v>6570</v>
      </c>
      <c r="C4316">
        <v>2024</v>
      </c>
      <c r="D4316" t="s">
        <v>272</v>
      </c>
      <c r="E4316" t="s">
        <v>291</v>
      </c>
      <c r="F4316" t="s">
        <v>6444</v>
      </c>
      <c r="G4316" t="s">
        <v>292</v>
      </c>
      <c r="H4316">
        <v>34</v>
      </c>
      <c r="I4316" t="s">
        <v>6571</v>
      </c>
      <c r="J4316" t="s">
        <v>294</v>
      </c>
      <c r="M4316" t="s">
        <v>295</v>
      </c>
      <c r="N4316" t="s">
        <v>7</v>
      </c>
      <c r="O4316" t="s">
        <v>297</v>
      </c>
    </row>
    <row r="4317" spans="1:15" x14ac:dyDescent="0.3">
      <c r="A4317" t="s">
        <v>6444</v>
      </c>
      <c r="B4317" t="s">
        <v>6570</v>
      </c>
      <c r="C4317">
        <v>2024</v>
      </c>
      <c r="D4317" t="s">
        <v>272</v>
      </c>
      <c r="E4317" t="s">
        <v>4599</v>
      </c>
      <c r="F4317">
        <v>1980</v>
      </c>
      <c r="G4317" t="s">
        <v>299</v>
      </c>
      <c r="H4317">
        <v>34</v>
      </c>
      <c r="I4317" t="s">
        <v>6447</v>
      </c>
      <c r="J4317" t="s">
        <v>294</v>
      </c>
      <c r="M4317" t="s">
        <v>295</v>
      </c>
      <c r="N4317" t="s">
        <v>7</v>
      </c>
      <c r="O4317" t="s">
        <v>297</v>
      </c>
    </row>
    <row r="4318" spans="1:15" x14ac:dyDescent="0.3">
      <c r="A4318" t="s">
        <v>6444</v>
      </c>
      <c r="B4318" t="s">
        <v>6570</v>
      </c>
      <c r="C4318">
        <v>2024</v>
      </c>
      <c r="D4318" t="s">
        <v>272</v>
      </c>
      <c r="E4318" t="s">
        <v>4724</v>
      </c>
      <c r="F4318" t="s">
        <v>6572</v>
      </c>
      <c r="G4318" t="s">
        <v>292</v>
      </c>
      <c r="H4318">
        <v>34</v>
      </c>
      <c r="I4318" t="s">
        <v>6573</v>
      </c>
      <c r="J4318" t="s">
        <v>294</v>
      </c>
      <c r="M4318" t="s">
        <v>295</v>
      </c>
      <c r="N4318" t="s">
        <v>7</v>
      </c>
      <c r="O4318" t="s">
        <v>297</v>
      </c>
    </row>
    <row r="4319" spans="1:15" x14ac:dyDescent="0.3">
      <c r="A4319" t="s">
        <v>6444</v>
      </c>
      <c r="B4319" t="s">
        <v>6570</v>
      </c>
      <c r="C4319">
        <v>2024</v>
      </c>
      <c r="D4319" t="s">
        <v>272</v>
      </c>
      <c r="E4319" t="s">
        <v>5647</v>
      </c>
      <c r="F4319" t="s">
        <v>6448</v>
      </c>
      <c r="G4319" t="s">
        <v>666</v>
      </c>
      <c r="H4319">
        <v>13</v>
      </c>
      <c r="I4319" t="s">
        <v>6574</v>
      </c>
      <c r="J4319" t="s">
        <v>294</v>
      </c>
      <c r="M4319" t="s">
        <v>295</v>
      </c>
      <c r="N4319" t="s">
        <v>7</v>
      </c>
      <c r="O4319" t="s">
        <v>297</v>
      </c>
    </row>
    <row r="4320" spans="1:15" x14ac:dyDescent="0.3">
      <c r="A4320" t="s">
        <v>6444</v>
      </c>
      <c r="B4320" t="s">
        <v>6570</v>
      </c>
      <c r="C4320">
        <v>2024</v>
      </c>
      <c r="D4320" t="s">
        <v>272</v>
      </c>
      <c r="E4320" t="s">
        <v>442</v>
      </c>
      <c r="F4320" t="s">
        <v>6455</v>
      </c>
      <c r="G4320" t="s">
        <v>334</v>
      </c>
      <c r="H4320">
        <v>48</v>
      </c>
      <c r="I4320" t="s">
        <v>6575</v>
      </c>
      <c r="J4320" t="s">
        <v>294</v>
      </c>
      <c r="M4320" t="s">
        <v>295</v>
      </c>
      <c r="N4320" t="s">
        <v>7</v>
      </c>
      <c r="O4320" t="s">
        <v>297</v>
      </c>
    </row>
    <row r="4321" spans="1:15" x14ac:dyDescent="0.3">
      <c r="A4321" t="s">
        <v>6444</v>
      </c>
      <c r="B4321" t="s">
        <v>6570</v>
      </c>
      <c r="C4321">
        <v>2024</v>
      </c>
      <c r="D4321" t="s">
        <v>272</v>
      </c>
      <c r="E4321" t="s">
        <v>445</v>
      </c>
      <c r="F4321">
        <v>0.20760000000000001</v>
      </c>
      <c r="G4321" t="s">
        <v>334</v>
      </c>
      <c r="H4321">
        <v>48</v>
      </c>
      <c r="I4321" t="s">
        <v>6576</v>
      </c>
      <c r="J4321" t="s">
        <v>294</v>
      </c>
      <c r="M4321" t="s">
        <v>295</v>
      </c>
      <c r="N4321" t="s">
        <v>7</v>
      </c>
      <c r="O4321" t="s">
        <v>297</v>
      </c>
    </row>
    <row r="4322" spans="1:15" x14ac:dyDescent="0.3">
      <c r="A4322" t="s">
        <v>6444</v>
      </c>
      <c r="B4322" t="s">
        <v>6570</v>
      </c>
      <c r="C4322">
        <v>2024</v>
      </c>
      <c r="D4322" t="s">
        <v>272</v>
      </c>
      <c r="E4322" t="s">
        <v>6458</v>
      </c>
      <c r="F4322" t="s">
        <v>6459</v>
      </c>
      <c r="G4322" t="s">
        <v>292</v>
      </c>
      <c r="H4322">
        <v>49</v>
      </c>
      <c r="I4322" t="s">
        <v>6577</v>
      </c>
      <c r="J4322" t="s">
        <v>294</v>
      </c>
      <c r="M4322" t="s">
        <v>295</v>
      </c>
      <c r="N4322" t="s">
        <v>7</v>
      </c>
      <c r="O4322" t="s">
        <v>297</v>
      </c>
    </row>
    <row r="4323" spans="1:15" x14ac:dyDescent="0.3">
      <c r="A4323" t="s">
        <v>6444</v>
      </c>
      <c r="B4323" t="s">
        <v>6570</v>
      </c>
      <c r="C4323">
        <v>2024</v>
      </c>
      <c r="D4323" t="s">
        <v>272</v>
      </c>
      <c r="E4323" t="s">
        <v>2702</v>
      </c>
      <c r="F4323">
        <v>267</v>
      </c>
      <c r="G4323" t="s">
        <v>1561</v>
      </c>
      <c r="H4323">
        <v>129</v>
      </c>
      <c r="I4323" t="s">
        <v>6578</v>
      </c>
      <c r="J4323" t="s">
        <v>294</v>
      </c>
      <c r="M4323" t="s">
        <v>295</v>
      </c>
      <c r="N4323" t="s">
        <v>7</v>
      </c>
      <c r="O4323" t="s">
        <v>297</v>
      </c>
    </row>
    <row r="4324" spans="1:15" x14ac:dyDescent="0.3">
      <c r="A4324" t="s">
        <v>6444</v>
      </c>
      <c r="B4324" t="s">
        <v>6570</v>
      </c>
      <c r="C4324">
        <v>2024</v>
      </c>
      <c r="D4324" t="s">
        <v>300</v>
      </c>
      <c r="E4324" t="s">
        <v>3142</v>
      </c>
      <c r="F4324">
        <v>63.58</v>
      </c>
      <c r="G4324" t="s">
        <v>302</v>
      </c>
      <c r="H4324">
        <v>10</v>
      </c>
      <c r="I4324" t="s">
        <v>6579</v>
      </c>
      <c r="J4324" t="s">
        <v>294</v>
      </c>
      <c r="M4324" t="s">
        <v>295</v>
      </c>
      <c r="N4324" t="s">
        <v>7</v>
      </c>
      <c r="O4324" t="s">
        <v>297</v>
      </c>
    </row>
    <row r="4325" spans="1:15" x14ac:dyDescent="0.3">
      <c r="A4325" t="s">
        <v>6444</v>
      </c>
      <c r="B4325" t="s">
        <v>6570</v>
      </c>
      <c r="C4325">
        <v>2024</v>
      </c>
      <c r="D4325" t="s">
        <v>300</v>
      </c>
      <c r="E4325" t="s">
        <v>450</v>
      </c>
      <c r="F4325">
        <v>27.23</v>
      </c>
      <c r="G4325" t="s">
        <v>302</v>
      </c>
      <c r="H4325">
        <v>10</v>
      </c>
      <c r="I4325" t="s">
        <v>6580</v>
      </c>
      <c r="J4325" t="s">
        <v>294</v>
      </c>
      <c r="M4325" t="s">
        <v>295</v>
      </c>
      <c r="N4325" t="s">
        <v>7</v>
      </c>
      <c r="O4325" t="s">
        <v>297</v>
      </c>
    </row>
    <row r="4326" spans="1:15" x14ac:dyDescent="0.3">
      <c r="A4326" t="s">
        <v>6444</v>
      </c>
      <c r="B4326" t="s">
        <v>6570</v>
      </c>
      <c r="C4326">
        <v>2024</v>
      </c>
      <c r="D4326" t="s">
        <v>300</v>
      </c>
      <c r="E4326" t="s">
        <v>304</v>
      </c>
      <c r="F4326">
        <v>36.35</v>
      </c>
      <c r="G4326" t="s">
        <v>302</v>
      </c>
      <c r="H4326">
        <v>10</v>
      </c>
      <c r="I4326" t="s">
        <v>6581</v>
      </c>
      <c r="J4326" t="s">
        <v>294</v>
      </c>
      <c r="M4326" t="s">
        <v>295</v>
      </c>
      <c r="N4326" t="s">
        <v>7</v>
      </c>
      <c r="O4326" t="s">
        <v>297</v>
      </c>
    </row>
    <row r="4327" spans="1:15" x14ac:dyDescent="0.3">
      <c r="A4327" t="s">
        <v>6444</v>
      </c>
      <c r="B4327" t="s">
        <v>6570</v>
      </c>
      <c r="C4327">
        <v>2024</v>
      </c>
      <c r="D4327" t="s">
        <v>300</v>
      </c>
      <c r="E4327" t="s">
        <v>452</v>
      </c>
      <c r="F4327">
        <v>5.69</v>
      </c>
      <c r="G4327" t="s">
        <v>302</v>
      </c>
      <c r="H4327">
        <v>10</v>
      </c>
      <c r="I4327" t="s">
        <v>6582</v>
      </c>
      <c r="J4327" t="s">
        <v>294</v>
      </c>
      <c r="M4327" t="s">
        <v>295</v>
      </c>
      <c r="N4327" t="s">
        <v>7</v>
      </c>
      <c r="O4327" t="s">
        <v>297</v>
      </c>
    </row>
    <row r="4328" spans="1:15" x14ac:dyDescent="0.3">
      <c r="A4328" t="s">
        <v>6444</v>
      </c>
      <c r="B4328" t="s">
        <v>6570</v>
      </c>
      <c r="C4328">
        <v>2024</v>
      </c>
      <c r="D4328" t="s">
        <v>300</v>
      </c>
      <c r="E4328" t="s">
        <v>6466</v>
      </c>
      <c r="F4328">
        <v>2.2999999999999998</v>
      </c>
      <c r="G4328" t="s">
        <v>302</v>
      </c>
      <c r="H4328">
        <v>10</v>
      </c>
      <c r="I4328" t="s">
        <v>6583</v>
      </c>
      <c r="J4328" t="s">
        <v>294</v>
      </c>
      <c r="M4328" t="s">
        <v>295</v>
      </c>
      <c r="N4328" t="s">
        <v>7</v>
      </c>
      <c r="O4328" t="s">
        <v>297</v>
      </c>
    </row>
    <row r="4329" spans="1:15" x14ac:dyDescent="0.3">
      <c r="A4329" t="s">
        <v>6444</v>
      </c>
      <c r="B4329" t="s">
        <v>6570</v>
      </c>
      <c r="C4329">
        <v>2024</v>
      </c>
      <c r="D4329" t="s">
        <v>300</v>
      </c>
      <c r="E4329" t="s">
        <v>1112</v>
      </c>
      <c r="F4329">
        <v>32.96</v>
      </c>
      <c r="G4329" t="s">
        <v>302</v>
      </c>
      <c r="H4329">
        <v>10</v>
      </c>
      <c r="I4329" t="s">
        <v>6584</v>
      </c>
      <c r="J4329" t="s">
        <v>294</v>
      </c>
      <c r="M4329" t="s">
        <v>295</v>
      </c>
      <c r="N4329" t="s">
        <v>7</v>
      </c>
      <c r="O4329" t="s">
        <v>297</v>
      </c>
    </row>
    <row r="4330" spans="1:15" x14ac:dyDescent="0.3">
      <c r="A4330" t="s">
        <v>6444</v>
      </c>
      <c r="B4330" t="s">
        <v>6570</v>
      </c>
      <c r="C4330">
        <v>2024</v>
      </c>
      <c r="D4330" t="s">
        <v>300</v>
      </c>
      <c r="E4330" t="s">
        <v>579</v>
      </c>
      <c r="F4330">
        <v>33.57</v>
      </c>
      <c r="G4330" t="s">
        <v>302</v>
      </c>
      <c r="H4330">
        <v>10</v>
      </c>
      <c r="I4330" t="s">
        <v>6585</v>
      </c>
      <c r="J4330" t="s">
        <v>294</v>
      </c>
      <c r="M4330" t="s">
        <v>295</v>
      </c>
      <c r="N4330" t="s">
        <v>7</v>
      </c>
      <c r="O4330" t="s">
        <v>297</v>
      </c>
    </row>
    <row r="4331" spans="1:15" x14ac:dyDescent="0.3">
      <c r="A4331" t="s">
        <v>6444</v>
      </c>
      <c r="B4331" t="s">
        <v>6570</v>
      </c>
      <c r="C4331">
        <v>2024</v>
      </c>
      <c r="D4331" t="s">
        <v>300</v>
      </c>
      <c r="E4331" t="s">
        <v>306</v>
      </c>
      <c r="F4331">
        <v>27.13</v>
      </c>
      <c r="G4331" t="s">
        <v>302</v>
      </c>
      <c r="H4331">
        <v>10</v>
      </c>
      <c r="I4331" t="s">
        <v>6586</v>
      </c>
      <c r="J4331" t="s">
        <v>294</v>
      </c>
      <c r="M4331" t="s">
        <v>295</v>
      </c>
      <c r="N4331" t="s">
        <v>7</v>
      </c>
      <c r="O4331" t="s">
        <v>297</v>
      </c>
    </row>
    <row r="4332" spans="1:15" x14ac:dyDescent="0.3">
      <c r="A4332" t="s">
        <v>6444</v>
      </c>
      <c r="B4332" t="s">
        <v>6570</v>
      </c>
      <c r="C4332">
        <v>2024</v>
      </c>
      <c r="D4332" t="s">
        <v>300</v>
      </c>
      <c r="E4332" t="s">
        <v>6587</v>
      </c>
      <c r="F4332">
        <v>0.57999999999999996</v>
      </c>
      <c r="G4332" t="s">
        <v>334</v>
      </c>
      <c r="H4332">
        <v>11</v>
      </c>
      <c r="I4332" t="s">
        <v>6588</v>
      </c>
      <c r="J4332" t="s">
        <v>294</v>
      </c>
      <c r="M4332" t="s">
        <v>295</v>
      </c>
      <c r="N4332" t="s">
        <v>7</v>
      </c>
      <c r="O4332" t="s">
        <v>297</v>
      </c>
    </row>
    <row r="4333" spans="1:15" x14ac:dyDescent="0.3">
      <c r="A4333" t="s">
        <v>6444</v>
      </c>
      <c r="B4333" t="s">
        <v>6570</v>
      </c>
      <c r="C4333">
        <v>2024</v>
      </c>
      <c r="D4333" t="s">
        <v>300</v>
      </c>
      <c r="E4333" t="s">
        <v>316</v>
      </c>
      <c r="F4333">
        <v>190.56</v>
      </c>
      <c r="G4333" t="s">
        <v>302</v>
      </c>
      <c r="H4333">
        <v>8</v>
      </c>
      <c r="I4333" t="s">
        <v>6589</v>
      </c>
      <c r="J4333" t="s">
        <v>294</v>
      </c>
      <c r="M4333" t="s">
        <v>295</v>
      </c>
      <c r="N4333" t="s">
        <v>7</v>
      </c>
      <c r="O4333" t="s">
        <v>297</v>
      </c>
    </row>
    <row r="4334" spans="1:15" x14ac:dyDescent="0.3">
      <c r="A4334" t="s">
        <v>6444</v>
      </c>
      <c r="B4334" t="s">
        <v>6570</v>
      </c>
      <c r="C4334">
        <v>2024</v>
      </c>
      <c r="D4334" t="s">
        <v>300</v>
      </c>
      <c r="E4334" t="s">
        <v>312</v>
      </c>
      <c r="F4334">
        <v>77.36</v>
      </c>
      <c r="G4334" t="s">
        <v>302</v>
      </c>
      <c r="H4334">
        <v>8</v>
      </c>
      <c r="I4334" t="s">
        <v>6590</v>
      </c>
      <c r="J4334" t="s">
        <v>294</v>
      </c>
      <c r="M4334" t="s">
        <v>295</v>
      </c>
      <c r="N4334" t="s">
        <v>7</v>
      </c>
      <c r="O4334" t="s">
        <v>297</v>
      </c>
    </row>
    <row r="4335" spans="1:15" x14ac:dyDescent="0.3">
      <c r="A4335" t="s">
        <v>6444</v>
      </c>
      <c r="B4335" t="s">
        <v>6570</v>
      </c>
      <c r="C4335">
        <v>2024</v>
      </c>
      <c r="D4335" t="s">
        <v>300</v>
      </c>
      <c r="E4335" t="s">
        <v>314</v>
      </c>
      <c r="F4335">
        <v>113.2</v>
      </c>
      <c r="G4335" t="s">
        <v>302</v>
      </c>
      <c r="H4335">
        <v>8</v>
      </c>
      <c r="I4335" t="s">
        <v>6591</v>
      </c>
      <c r="J4335" t="s">
        <v>294</v>
      </c>
      <c r="M4335" t="s">
        <v>295</v>
      </c>
      <c r="N4335" t="s">
        <v>7</v>
      </c>
      <c r="O4335" t="s">
        <v>297</v>
      </c>
    </row>
    <row r="4336" spans="1:15" x14ac:dyDescent="0.3">
      <c r="A4336" t="s">
        <v>6444</v>
      </c>
      <c r="B4336" t="s">
        <v>6570</v>
      </c>
      <c r="C4336">
        <v>2024</v>
      </c>
      <c r="D4336" t="s">
        <v>300</v>
      </c>
      <c r="E4336" t="s">
        <v>3492</v>
      </c>
      <c r="F4336">
        <v>64.209999999999994</v>
      </c>
      <c r="G4336" t="s">
        <v>302</v>
      </c>
      <c r="H4336">
        <v>8</v>
      </c>
      <c r="I4336" t="s">
        <v>6592</v>
      </c>
      <c r="J4336" t="s">
        <v>294</v>
      </c>
      <c r="M4336" t="s">
        <v>295</v>
      </c>
      <c r="N4336" t="s">
        <v>7</v>
      </c>
      <c r="O4336" t="s">
        <v>297</v>
      </c>
    </row>
    <row r="4337" spans="1:15" x14ac:dyDescent="0.3">
      <c r="A4337" t="s">
        <v>6444</v>
      </c>
      <c r="B4337" t="s">
        <v>6570</v>
      </c>
      <c r="C4337">
        <v>2024</v>
      </c>
      <c r="D4337" t="s">
        <v>300</v>
      </c>
      <c r="E4337" t="s">
        <v>6478</v>
      </c>
      <c r="F4337">
        <v>0</v>
      </c>
      <c r="G4337" t="s">
        <v>302</v>
      </c>
      <c r="H4337">
        <v>8</v>
      </c>
      <c r="I4337" t="s">
        <v>6593</v>
      </c>
      <c r="J4337" t="s">
        <v>294</v>
      </c>
      <c r="M4337" t="s">
        <v>295</v>
      </c>
      <c r="N4337" t="s">
        <v>7</v>
      </c>
      <c r="O4337" t="s">
        <v>297</v>
      </c>
    </row>
    <row r="4338" spans="1:15" x14ac:dyDescent="0.3">
      <c r="A4338" t="s">
        <v>6444</v>
      </c>
      <c r="B4338" t="s">
        <v>6570</v>
      </c>
      <c r="C4338">
        <v>2024</v>
      </c>
      <c r="D4338" t="s">
        <v>300</v>
      </c>
      <c r="E4338" t="s">
        <v>479</v>
      </c>
      <c r="F4338">
        <v>0.96</v>
      </c>
      <c r="G4338" t="s">
        <v>302</v>
      </c>
      <c r="H4338">
        <v>8</v>
      </c>
      <c r="I4338" t="s">
        <v>6594</v>
      </c>
      <c r="J4338" t="s">
        <v>294</v>
      </c>
      <c r="M4338" t="s">
        <v>295</v>
      </c>
      <c r="N4338" t="s">
        <v>7</v>
      </c>
      <c r="O4338" t="s">
        <v>297</v>
      </c>
    </row>
    <row r="4339" spans="1:15" x14ac:dyDescent="0.3">
      <c r="A4339" t="s">
        <v>6444</v>
      </c>
      <c r="B4339" t="s">
        <v>6570</v>
      </c>
      <c r="C4339">
        <v>2024</v>
      </c>
      <c r="D4339" t="s">
        <v>300</v>
      </c>
      <c r="E4339" t="s">
        <v>481</v>
      </c>
      <c r="F4339">
        <v>1.0900000000000001</v>
      </c>
      <c r="G4339" t="s">
        <v>302</v>
      </c>
      <c r="H4339">
        <v>8</v>
      </c>
      <c r="I4339" t="s">
        <v>6595</v>
      </c>
      <c r="J4339" t="s">
        <v>294</v>
      </c>
      <c r="M4339" t="s">
        <v>295</v>
      </c>
      <c r="N4339" t="s">
        <v>7</v>
      </c>
      <c r="O4339" t="s">
        <v>297</v>
      </c>
    </row>
    <row r="4340" spans="1:15" x14ac:dyDescent="0.3">
      <c r="A4340" t="s">
        <v>6444</v>
      </c>
      <c r="B4340" t="s">
        <v>6570</v>
      </c>
      <c r="C4340">
        <v>2024</v>
      </c>
      <c r="D4340" t="s">
        <v>300</v>
      </c>
      <c r="E4340" t="s">
        <v>6596</v>
      </c>
      <c r="F4340">
        <v>10.91</v>
      </c>
      <c r="G4340" t="s">
        <v>302</v>
      </c>
      <c r="H4340">
        <v>8</v>
      </c>
      <c r="I4340" t="s">
        <v>6597</v>
      </c>
      <c r="J4340" t="s">
        <v>294</v>
      </c>
      <c r="M4340" t="s">
        <v>295</v>
      </c>
      <c r="N4340" t="s">
        <v>7</v>
      </c>
      <c r="O4340" t="s">
        <v>297</v>
      </c>
    </row>
    <row r="4341" spans="1:15" x14ac:dyDescent="0.3">
      <c r="A4341" t="s">
        <v>6444</v>
      </c>
      <c r="B4341" t="s">
        <v>6570</v>
      </c>
      <c r="C4341">
        <v>2024</v>
      </c>
      <c r="D4341" t="s">
        <v>300</v>
      </c>
      <c r="E4341" t="s">
        <v>2744</v>
      </c>
      <c r="F4341">
        <v>91.77</v>
      </c>
      <c r="G4341" t="s">
        <v>302</v>
      </c>
      <c r="H4341">
        <v>8</v>
      </c>
      <c r="I4341" t="s">
        <v>6598</v>
      </c>
      <c r="J4341" t="s">
        <v>294</v>
      </c>
      <c r="M4341" t="s">
        <v>295</v>
      </c>
      <c r="N4341" t="s">
        <v>7</v>
      </c>
      <c r="O4341" t="s">
        <v>297</v>
      </c>
    </row>
    <row r="4342" spans="1:15" x14ac:dyDescent="0.3">
      <c r="A4342" t="s">
        <v>6444</v>
      </c>
      <c r="B4342" t="s">
        <v>6570</v>
      </c>
      <c r="C4342">
        <v>2024</v>
      </c>
      <c r="D4342" t="s">
        <v>300</v>
      </c>
      <c r="E4342" t="s">
        <v>6484</v>
      </c>
      <c r="F4342">
        <v>9.39</v>
      </c>
      <c r="G4342" t="s">
        <v>302</v>
      </c>
      <c r="H4342">
        <v>8</v>
      </c>
      <c r="I4342" t="s">
        <v>6599</v>
      </c>
      <c r="J4342" t="s">
        <v>294</v>
      </c>
      <c r="M4342" t="s">
        <v>295</v>
      </c>
      <c r="N4342" t="s">
        <v>7</v>
      </c>
      <c r="O4342" t="s">
        <v>297</v>
      </c>
    </row>
    <row r="4343" spans="1:15" x14ac:dyDescent="0.3">
      <c r="A4343" t="s">
        <v>6444</v>
      </c>
      <c r="B4343" t="s">
        <v>6570</v>
      </c>
      <c r="C4343">
        <v>2024</v>
      </c>
      <c r="D4343" t="s">
        <v>300</v>
      </c>
      <c r="E4343" t="s">
        <v>6600</v>
      </c>
      <c r="F4343">
        <v>2.6</v>
      </c>
      <c r="G4343" t="s">
        <v>302</v>
      </c>
      <c r="H4343">
        <v>8</v>
      </c>
      <c r="I4343" t="s">
        <v>6601</v>
      </c>
      <c r="J4343" t="s">
        <v>294</v>
      </c>
      <c r="M4343" t="s">
        <v>295</v>
      </c>
      <c r="N4343" t="s">
        <v>7</v>
      </c>
      <c r="O4343" t="s">
        <v>297</v>
      </c>
    </row>
    <row r="4344" spans="1:15" x14ac:dyDescent="0.3">
      <c r="A4344" t="s">
        <v>6444</v>
      </c>
      <c r="B4344" t="s">
        <v>6570</v>
      </c>
      <c r="C4344">
        <v>2024</v>
      </c>
      <c r="D4344" t="s">
        <v>300</v>
      </c>
      <c r="E4344" t="s">
        <v>3988</v>
      </c>
      <c r="F4344">
        <v>1.8</v>
      </c>
      <c r="G4344" t="s">
        <v>302</v>
      </c>
      <c r="H4344">
        <v>8</v>
      </c>
      <c r="I4344" t="s">
        <v>6602</v>
      </c>
      <c r="J4344" t="s">
        <v>294</v>
      </c>
      <c r="M4344" t="s">
        <v>295</v>
      </c>
      <c r="N4344" t="s">
        <v>7</v>
      </c>
      <c r="O4344" t="s">
        <v>297</v>
      </c>
    </row>
    <row r="4345" spans="1:15" x14ac:dyDescent="0.3">
      <c r="A4345" t="s">
        <v>6444</v>
      </c>
      <c r="B4345" t="s">
        <v>6570</v>
      </c>
      <c r="C4345">
        <v>2024</v>
      </c>
      <c r="D4345" t="s">
        <v>300</v>
      </c>
      <c r="E4345" t="s">
        <v>322</v>
      </c>
      <c r="F4345">
        <v>5.41</v>
      </c>
      <c r="G4345" t="s">
        <v>302</v>
      </c>
      <c r="H4345">
        <v>9</v>
      </c>
      <c r="I4345" t="s">
        <v>6603</v>
      </c>
      <c r="J4345" t="s">
        <v>294</v>
      </c>
      <c r="M4345" t="s">
        <v>295</v>
      </c>
      <c r="N4345" t="s">
        <v>7</v>
      </c>
      <c r="O4345" t="s">
        <v>297</v>
      </c>
    </row>
    <row r="4346" spans="1:15" x14ac:dyDescent="0.3">
      <c r="A4346" t="s">
        <v>6444</v>
      </c>
      <c r="B4346" t="s">
        <v>6570</v>
      </c>
      <c r="C4346">
        <v>2024</v>
      </c>
      <c r="D4346" t="s">
        <v>300</v>
      </c>
      <c r="E4346" t="s">
        <v>318</v>
      </c>
      <c r="F4346">
        <v>3.97</v>
      </c>
      <c r="G4346" t="s">
        <v>302</v>
      </c>
      <c r="H4346">
        <v>9</v>
      </c>
      <c r="I4346" t="s">
        <v>6604</v>
      </c>
      <c r="J4346" t="s">
        <v>294</v>
      </c>
      <c r="M4346" t="s">
        <v>295</v>
      </c>
      <c r="N4346" t="s">
        <v>7</v>
      </c>
      <c r="O4346" t="s">
        <v>297</v>
      </c>
    </row>
    <row r="4347" spans="1:15" x14ac:dyDescent="0.3">
      <c r="A4347" t="s">
        <v>6444</v>
      </c>
      <c r="B4347" t="s">
        <v>6570</v>
      </c>
      <c r="C4347">
        <v>2024</v>
      </c>
      <c r="D4347" t="s">
        <v>300</v>
      </c>
      <c r="E4347" t="s">
        <v>468</v>
      </c>
      <c r="F4347">
        <v>1.45</v>
      </c>
      <c r="G4347" t="s">
        <v>302</v>
      </c>
      <c r="H4347">
        <v>9</v>
      </c>
      <c r="I4347" t="s">
        <v>6605</v>
      </c>
      <c r="J4347" t="s">
        <v>294</v>
      </c>
      <c r="M4347" t="s">
        <v>295</v>
      </c>
      <c r="N4347" t="s">
        <v>7</v>
      </c>
      <c r="O4347" t="s">
        <v>297</v>
      </c>
    </row>
    <row r="4348" spans="1:15" x14ac:dyDescent="0.3">
      <c r="A4348" t="s">
        <v>6444</v>
      </c>
      <c r="B4348" t="s">
        <v>6570</v>
      </c>
      <c r="C4348">
        <v>2024</v>
      </c>
      <c r="D4348" t="s">
        <v>300</v>
      </c>
      <c r="E4348" t="s">
        <v>6606</v>
      </c>
      <c r="F4348">
        <v>1.01</v>
      </c>
      <c r="G4348" t="s">
        <v>302</v>
      </c>
      <c r="H4348">
        <v>9</v>
      </c>
      <c r="I4348" t="s">
        <v>6607</v>
      </c>
      <c r="J4348" t="s">
        <v>294</v>
      </c>
      <c r="M4348" t="s">
        <v>295</v>
      </c>
      <c r="N4348" t="s">
        <v>7</v>
      </c>
      <c r="O4348" t="s">
        <v>297</v>
      </c>
    </row>
    <row r="4349" spans="1:15" x14ac:dyDescent="0.3">
      <c r="A4349" t="s">
        <v>6444</v>
      </c>
      <c r="B4349" t="s">
        <v>6570</v>
      </c>
      <c r="C4349">
        <v>2024</v>
      </c>
      <c r="D4349" t="s">
        <v>300</v>
      </c>
      <c r="E4349" t="s">
        <v>6608</v>
      </c>
      <c r="F4349">
        <v>0</v>
      </c>
      <c r="G4349" t="s">
        <v>302</v>
      </c>
      <c r="H4349">
        <v>9</v>
      </c>
      <c r="I4349" t="s">
        <v>6609</v>
      </c>
      <c r="J4349" t="s">
        <v>294</v>
      </c>
      <c r="M4349" t="s">
        <v>295</v>
      </c>
      <c r="N4349" t="s">
        <v>7</v>
      </c>
      <c r="O4349" t="s">
        <v>297</v>
      </c>
    </row>
    <row r="4350" spans="1:15" x14ac:dyDescent="0.3">
      <c r="A4350" t="s">
        <v>6444</v>
      </c>
      <c r="B4350" t="s">
        <v>6570</v>
      </c>
      <c r="C4350">
        <v>2024</v>
      </c>
      <c r="D4350" t="s">
        <v>300</v>
      </c>
      <c r="E4350" t="s">
        <v>324</v>
      </c>
      <c r="F4350">
        <v>185.15</v>
      </c>
      <c r="G4350" t="s">
        <v>302</v>
      </c>
      <c r="H4350">
        <v>9</v>
      </c>
      <c r="I4350" t="s">
        <v>6610</v>
      </c>
      <c r="J4350" t="s">
        <v>294</v>
      </c>
      <c r="M4350" t="s">
        <v>295</v>
      </c>
      <c r="N4350" t="s">
        <v>7</v>
      </c>
      <c r="O4350" t="s">
        <v>297</v>
      </c>
    </row>
    <row r="4351" spans="1:15" x14ac:dyDescent="0.3">
      <c r="A4351" t="s">
        <v>6444</v>
      </c>
      <c r="B4351" t="s">
        <v>6570</v>
      </c>
      <c r="C4351">
        <v>2024</v>
      </c>
      <c r="D4351" t="s">
        <v>300</v>
      </c>
      <c r="E4351" t="s">
        <v>3646</v>
      </c>
      <c r="F4351">
        <v>43.35</v>
      </c>
      <c r="G4351" t="s">
        <v>302</v>
      </c>
      <c r="H4351">
        <v>9</v>
      </c>
      <c r="I4351" t="s">
        <v>6611</v>
      </c>
      <c r="J4351" t="s">
        <v>294</v>
      </c>
      <c r="M4351" t="s">
        <v>295</v>
      </c>
      <c r="N4351" t="s">
        <v>7</v>
      </c>
      <c r="O4351" t="s">
        <v>297</v>
      </c>
    </row>
    <row r="4352" spans="1:15" x14ac:dyDescent="0.3">
      <c r="A4352" t="s">
        <v>6444</v>
      </c>
      <c r="B4352" t="s">
        <v>6570</v>
      </c>
      <c r="C4352">
        <v>2024</v>
      </c>
      <c r="D4352" t="s">
        <v>300</v>
      </c>
      <c r="E4352" t="s">
        <v>1144</v>
      </c>
      <c r="F4352">
        <v>81.260000000000005</v>
      </c>
      <c r="G4352" t="s">
        <v>302</v>
      </c>
      <c r="H4352">
        <v>9</v>
      </c>
      <c r="I4352" t="s">
        <v>6612</v>
      </c>
      <c r="J4352" t="s">
        <v>294</v>
      </c>
      <c r="M4352" t="s">
        <v>295</v>
      </c>
      <c r="N4352" t="s">
        <v>7</v>
      </c>
      <c r="O4352" t="s">
        <v>297</v>
      </c>
    </row>
    <row r="4353" spans="1:15" x14ac:dyDescent="0.3">
      <c r="A4353" t="s">
        <v>6444</v>
      </c>
      <c r="B4353" t="s">
        <v>6570</v>
      </c>
      <c r="C4353">
        <v>2024</v>
      </c>
      <c r="D4353" t="s">
        <v>300</v>
      </c>
      <c r="E4353" t="s">
        <v>6494</v>
      </c>
      <c r="F4353">
        <v>8.67</v>
      </c>
      <c r="G4353" t="s">
        <v>302</v>
      </c>
      <c r="H4353">
        <v>9</v>
      </c>
      <c r="I4353" t="s">
        <v>6613</v>
      </c>
      <c r="J4353" t="s">
        <v>294</v>
      </c>
      <c r="M4353" t="s">
        <v>295</v>
      </c>
      <c r="N4353" t="s">
        <v>7</v>
      </c>
      <c r="O4353" t="s">
        <v>297</v>
      </c>
    </row>
    <row r="4354" spans="1:15" x14ac:dyDescent="0.3">
      <c r="A4354" t="s">
        <v>6444</v>
      </c>
      <c r="B4354" t="s">
        <v>6570</v>
      </c>
      <c r="C4354">
        <v>2024</v>
      </c>
      <c r="D4354" t="s">
        <v>300</v>
      </c>
      <c r="E4354" t="s">
        <v>483</v>
      </c>
      <c r="F4354">
        <v>29.22</v>
      </c>
      <c r="G4354" t="s">
        <v>302</v>
      </c>
      <c r="H4354">
        <v>66</v>
      </c>
      <c r="I4354" t="s">
        <v>6614</v>
      </c>
      <c r="J4354" t="s">
        <v>294</v>
      </c>
      <c r="M4354" t="s">
        <v>295</v>
      </c>
      <c r="N4354" t="s">
        <v>7</v>
      </c>
      <c r="O4354" t="s">
        <v>297</v>
      </c>
    </row>
    <row r="4355" spans="1:15" x14ac:dyDescent="0.3">
      <c r="A4355" t="s">
        <v>6444</v>
      </c>
      <c r="B4355" t="s">
        <v>6570</v>
      </c>
      <c r="C4355">
        <v>2024</v>
      </c>
      <c r="D4355" t="s">
        <v>300</v>
      </c>
      <c r="E4355" t="s">
        <v>485</v>
      </c>
      <c r="F4355">
        <v>-33.130000000000003</v>
      </c>
      <c r="G4355" t="s">
        <v>302</v>
      </c>
      <c r="H4355">
        <v>66</v>
      </c>
      <c r="I4355" t="s">
        <v>6615</v>
      </c>
      <c r="J4355" t="s">
        <v>294</v>
      </c>
      <c r="M4355" t="s">
        <v>295</v>
      </c>
      <c r="N4355" t="s">
        <v>7</v>
      </c>
      <c r="O4355" t="s">
        <v>297</v>
      </c>
    </row>
    <row r="4356" spans="1:15" x14ac:dyDescent="0.3">
      <c r="A4356" t="s">
        <v>6444</v>
      </c>
      <c r="B4356" t="s">
        <v>6570</v>
      </c>
      <c r="C4356">
        <v>2024</v>
      </c>
      <c r="D4356" t="s">
        <v>300</v>
      </c>
      <c r="E4356" t="s">
        <v>3524</v>
      </c>
      <c r="F4356">
        <v>-6.85</v>
      </c>
      <c r="G4356" t="s">
        <v>302</v>
      </c>
      <c r="H4356">
        <v>66</v>
      </c>
      <c r="I4356" t="s">
        <v>6616</v>
      </c>
      <c r="J4356" t="s">
        <v>294</v>
      </c>
      <c r="M4356" t="s">
        <v>295</v>
      </c>
      <c r="N4356" t="s">
        <v>7</v>
      </c>
      <c r="O4356" t="s">
        <v>297</v>
      </c>
    </row>
    <row r="4357" spans="1:15" x14ac:dyDescent="0.3">
      <c r="A4357" t="s">
        <v>6444</v>
      </c>
      <c r="B4357" t="s">
        <v>6570</v>
      </c>
      <c r="C4357">
        <v>2024</v>
      </c>
      <c r="D4357" t="s">
        <v>300</v>
      </c>
      <c r="E4357" t="s">
        <v>6617</v>
      </c>
      <c r="F4357">
        <v>44.6</v>
      </c>
      <c r="G4357" t="s">
        <v>302</v>
      </c>
      <c r="H4357">
        <v>66</v>
      </c>
      <c r="I4357" t="s">
        <v>6618</v>
      </c>
      <c r="J4357" t="s">
        <v>456</v>
      </c>
      <c r="M4357" t="s">
        <v>295</v>
      </c>
      <c r="N4357" t="s">
        <v>7</v>
      </c>
      <c r="O4357" t="s">
        <v>297</v>
      </c>
    </row>
    <row r="4358" spans="1:15" x14ac:dyDescent="0.3">
      <c r="A4358" t="s">
        <v>6444</v>
      </c>
      <c r="B4358" t="s">
        <v>6570</v>
      </c>
      <c r="C4358">
        <v>2024</v>
      </c>
      <c r="D4358" t="s">
        <v>300</v>
      </c>
      <c r="E4358" t="s">
        <v>6619</v>
      </c>
      <c r="F4358">
        <v>4.7699999999999996</v>
      </c>
      <c r="G4358" t="s">
        <v>302</v>
      </c>
      <c r="H4358">
        <v>15</v>
      </c>
      <c r="I4358" t="s">
        <v>6620</v>
      </c>
      <c r="J4358" t="s">
        <v>294</v>
      </c>
      <c r="M4358" t="s">
        <v>295</v>
      </c>
      <c r="N4358" t="s">
        <v>7</v>
      </c>
      <c r="O4358" t="s">
        <v>297</v>
      </c>
    </row>
    <row r="4359" spans="1:15" x14ac:dyDescent="0.3">
      <c r="A4359" t="s">
        <v>6444</v>
      </c>
      <c r="B4359" t="s">
        <v>6570</v>
      </c>
      <c r="C4359">
        <v>2024</v>
      </c>
      <c r="D4359" t="s">
        <v>300</v>
      </c>
      <c r="E4359" t="s">
        <v>6621</v>
      </c>
      <c r="F4359">
        <v>2.2000000000000002</v>
      </c>
      <c r="G4359" t="s">
        <v>346</v>
      </c>
      <c r="H4359">
        <v>15</v>
      </c>
      <c r="I4359" t="s">
        <v>6622</v>
      </c>
      <c r="J4359" t="s">
        <v>456</v>
      </c>
      <c r="M4359" t="s">
        <v>295</v>
      </c>
      <c r="N4359" t="s">
        <v>7</v>
      </c>
      <c r="O4359" t="s">
        <v>297</v>
      </c>
    </row>
    <row r="4360" spans="1:15" x14ac:dyDescent="0.3">
      <c r="A4360" t="s">
        <v>6444</v>
      </c>
      <c r="B4360" t="s">
        <v>6570</v>
      </c>
      <c r="C4360">
        <v>2024</v>
      </c>
      <c r="D4360" t="s">
        <v>300</v>
      </c>
      <c r="E4360" t="s">
        <v>6623</v>
      </c>
      <c r="F4360">
        <v>2167.5149999999999</v>
      </c>
      <c r="G4360" t="s">
        <v>497</v>
      </c>
      <c r="H4360">
        <v>48</v>
      </c>
      <c r="I4360" t="s">
        <v>6624</v>
      </c>
      <c r="J4360" t="s">
        <v>294</v>
      </c>
      <c r="M4360" t="s">
        <v>295</v>
      </c>
      <c r="N4360" t="s">
        <v>7</v>
      </c>
      <c r="O4360" t="s">
        <v>297</v>
      </c>
    </row>
    <row r="4361" spans="1:15" x14ac:dyDescent="0.3">
      <c r="A4361" t="s">
        <v>6444</v>
      </c>
      <c r="B4361" t="s">
        <v>6570</v>
      </c>
      <c r="C4361">
        <v>2024</v>
      </c>
      <c r="D4361" t="s">
        <v>300</v>
      </c>
      <c r="E4361" t="s">
        <v>837</v>
      </c>
      <c r="F4361">
        <v>77</v>
      </c>
      <c r="G4361" t="s">
        <v>346</v>
      </c>
      <c r="H4361">
        <v>13</v>
      </c>
      <c r="I4361" t="s">
        <v>6625</v>
      </c>
      <c r="J4361" t="s">
        <v>294</v>
      </c>
      <c r="M4361" t="s">
        <v>295</v>
      </c>
      <c r="N4361" t="s">
        <v>7</v>
      </c>
      <c r="O4361" t="s">
        <v>297</v>
      </c>
    </row>
    <row r="4362" spans="1:15" x14ac:dyDescent="0.3">
      <c r="A4362" t="s">
        <v>6444</v>
      </c>
      <c r="B4362" t="s">
        <v>6570</v>
      </c>
      <c r="C4362">
        <v>2024</v>
      </c>
      <c r="D4362" t="s">
        <v>300</v>
      </c>
      <c r="E4362" t="s">
        <v>5063</v>
      </c>
      <c r="F4362">
        <v>166.9</v>
      </c>
      <c r="G4362" t="s">
        <v>302</v>
      </c>
      <c r="H4362">
        <v>13</v>
      </c>
      <c r="I4362" t="s">
        <v>6626</v>
      </c>
      <c r="J4362" t="s">
        <v>294</v>
      </c>
      <c r="M4362" t="s">
        <v>295</v>
      </c>
      <c r="N4362" t="s">
        <v>7</v>
      </c>
      <c r="O4362" t="s">
        <v>297</v>
      </c>
    </row>
    <row r="4363" spans="1:15" x14ac:dyDescent="0.3">
      <c r="A4363" t="s">
        <v>6444</v>
      </c>
      <c r="B4363" t="s">
        <v>6570</v>
      </c>
      <c r="C4363">
        <v>2024</v>
      </c>
      <c r="D4363" t="s">
        <v>300</v>
      </c>
      <c r="E4363" t="s">
        <v>2975</v>
      </c>
      <c r="F4363">
        <v>198</v>
      </c>
      <c r="G4363" t="s">
        <v>346</v>
      </c>
      <c r="H4363">
        <v>13</v>
      </c>
      <c r="I4363" t="s">
        <v>6453</v>
      </c>
      <c r="J4363" t="s">
        <v>294</v>
      </c>
      <c r="M4363" t="s">
        <v>295</v>
      </c>
      <c r="N4363" t="s">
        <v>7</v>
      </c>
      <c r="O4363" t="s">
        <v>297</v>
      </c>
    </row>
    <row r="4364" spans="1:15" x14ac:dyDescent="0.3">
      <c r="A4364" t="s">
        <v>6444</v>
      </c>
      <c r="B4364" t="s">
        <v>6570</v>
      </c>
      <c r="C4364">
        <v>2024</v>
      </c>
      <c r="D4364" t="s">
        <v>300</v>
      </c>
      <c r="E4364" t="s">
        <v>6627</v>
      </c>
      <c r="F4364">
        <v>89.1</v>
      </c>
      <c r="G4364" t="s">
        <v>302</v>
      </c>
      <c r="H4364">
        <v>70</v>
      </c>
      <c r="I4364" t="s">
        <v>6628</v>
      </c>
      <c r="J4364" t="s">
        <v>294</v>
      </c>
      <c r="M4364" t="s">
        <v>295</v>
      </c>
      <c r="N4364" t="s">
        <v>7</v>
      </c>
      <c r="O4364" t="s">
        <v>297</v>
      </c>
    </row>
    <row r="4365" spans="1:15" x14ac:dyDescent="0.3">
      <c r="A4365" t="s">
        <v>6444</v>
      </c>
      <c r="B4365" t="s">
        <v>6570</v>
      </c>
      <c r="C4365">
        <v>2024</v>
      </c>
      <c r="D4365" t="s">
        <v>300</v>
      </c>
      <c r="E4365" t="s">
        <v>6514</v>
      </c>
      <c r="F4365">
        <v>85.13</v>
      </c>
      <c r="G4365" t="s">
        <v>302</v>
      </c>
      <c r="H4365">
        <v>70</v>
      </c>
      <c r="I4365" t="s">
        <v>6629</v>
      </c>
      <c r="J4365" t="s">
        <v>294</v>
      </c>
      <c r="M4365" t="s">
        <v>295</v>
      </c>
      <c r="N4365" t="s">
        <v>7</v>
      </c>
      <c r="O4365" t="s">
        <v>297</v>
      </c>
    </row>
    <row r="4366" spans="1:15" x14ac:dyDescent="0.3">
      <c r="A4366" t="s">
        <v>6444</v>
      </c>
      <c r="B4366" t="s">
        <v>6570</v>
      </c>
      <c r="C4366">
        <v>2024</v>
      </c>
      <c r="D4366" t="s">
        <v>300</v>
      </c>
      <c r="E4366" t="s">
        <v>6630</v>
      </c>
      <c r="F4366">
        <v>46.61</v>
      </c>
      <c r="G4366" t="s">
        <v>302</v>
      </c>
      <c r="H4366">
        <v>70</v>
      </c>
      <c r="I4366" t="s">
        <v>6631</v>
      </c>
      <c r="J4366" t="s">
        <v>294</v>
      </c>
      <c r="M4366" t="s">
        <v>295</v>
      </c>
      <c r="N4366" t="s">
        <v>7</v>
      </c>
      <c r="O4366" t="s">
        <v>297</v>
      </c>
    </row>
    <row r="4367" spans="1:15" x14ac:dyDescent="0.3">
      <c r="A4367" t="s">
        <v>6444</v>
      </c>
      <c r="B4367" t="s">
        <v>6570</v>
      </c>
      <c r="C4367">
        <v>2024</v>
      </c>
      <c r="D4367" t="s">
        <v>300</v>
      </c>
      <c r="E4367" t="s">
        <v>326</v>
      </c>
      <c r="F4367">
        <v>19.510000000000002</v>
      </c>
      <c r="G4367" t="s">
        <v>327</v>
      </c>
      <c r="H4367">
        <v>11</v>
      </c>
      <c r="I4367" t="s">
        <v>6632</v>
      </c>
      <c r="J4367" t="s">
        <v>294</v>
      </c>
      <c r="M4367" t="s">
        <v>295</v>
      </c>
      <c r="N4367" t="s">
        <v>7</v>
      </c>
      <c r="O4367" t="s">
        <v>297</v>
      </c>
    </row>
    <row r="4368" spans="1:15" x14ac:dyDescent="0.3">
      <c r="A4368" t="s">
        <v>6444</v>
      </c>
      <c r="B4368" t="s">
        <v>6570</v>
      </c>
      <c r="C4368">
        <v>2024</v>
      </c>
      <c r="D4368" t="s">
        <v>300</v>
      </c>
      <c r="E4368" t="s">
        <v>6502</v>
      </c>
      <c r="F4368">
        <v>2.92E-2</v>
      </c>
      <c r="G4368" t="s">
        <v>334</v>
      </c>
      <c r="H4368">
        <v>11</v>
      </c>
      <c r="I4368" t="s">
        <v>6633</v>
      </c>
      <c r="J4368" t="s">
        <v>294</v>
      </c>
      <c r="M4368" t="s">
        <v>295</v>
      </c>
      <c r="N4368" t="s">
        <v>7</v>
      </c>
      <c r="O4368" t="s">
        <v>297</v>
      </c>
    </row>
    <row r="4369" spans="1:15" x14ac:dyDescent="0.3">
      <c r="A4369" t="s">
        <v>6444</v>
      </c>
      <c r="B4369" t="s">
        <v>6570</v>
      </c>
      <c r="C4369">
        <v>2024</v>
      </c>
      <c r="D4369" t="s">
        <v>300</v>
      </c>
      <c r="E4369" t="s">
        <v>6504</v>
      </c>
      <c r="F4369">
        <v>994.52</v>
      </c>
      <c r="G4369" t="s">
        <v>327</v>
      </c>
      <c r="H4369">
        <v>11</v>
      </c>
      <c r="I4369" t="s">
        <v>6634</v>
      </c>
      <c r="J4369" t="s">
        <v>294</v>
      </c>
      <c r="M4369" t="s">
        <v>295</v>
      </c>
      <c r="N4369" t="s">
        <v>7</v>
      </c>
      <c r="O4369" t="s">
        <v>297</v>
      </c>
    </row>
    <row r="4370" spans="1:15" x14ac:dyDescent="0.3">
      <c r="A4370" t="s">
        <v>6444</v>
      </c>
      <c r="B4370" t="s">
        <v>6570</v>
      </c>
      <c r="C4370">
        <v>2024</v>
      </c>
      <c r="D4370" t="s">
        <v>300</v>
      </c>
      <c r="E4370" t="s">
        <v>581</v>
      </c>
      <c r="F4370">
        <v>6.44</v>
      </c>
      <c r="G4370" t="s">
        <v>302</v>
      </c>
      <c r="H4370">
        <v>10</v>
      </c>
      <c r="I4370" t="s">
        <v>6635</v>
      </c>
      <c r="J4370" t="s">
        <v>294</v>
      </c>
      <c r="M4370" t="s">
        <v>295</v>
      </c>
      <c r="N4370" t="s">
        <v>7</v>
      </c>
      <c r="O4370" t="s">
        <v>297</v>
      </c>
    </row>
    <row r="4371" spans="1:15" x14ac:dyDescent="0.3">
      <c r="A4371" t="s">
        <v>6444</v>
      </c>
      <c r="B4371" t="s">
        <v>6570</v>
      </c>
      <c r="C4371">
        <v>2024</v>
      </c>
      <c r="D4371" t="s">
        <v>358</v>
      </c>
      <c r="E4371" t="s">
        <v>6522</v>
      </c>
      <c r="F4371">
        <v>1180.3900000000001</v>
      </c>
      <c r="G4371" t="s">
        <v>360</v>
      </c>
      <c r="H4371">
        <v>59</v>
      </c>
      <c r="I4371" t="s">
        <v>6523</v>
      </c>
      <c r="J4371" t="s">
        <v>294</v>
      </c>
      <c r="M4371" t="s">
        <v>295</v>
      </c>
      <c r="N4371" t="s">
        <v>7</v>
      </c>
      <c r="O4371" t="s">
        <v>297</v>
      </c>
    </row>
    <row r="4372" spans="1:15" x14ac:dyDescent="0.3">
      <c r="A4372" t="s">
        <v>6444</v>
      </c>
      <c r="B4372" t="s">
        <v>6570</v>
      </c>
      <c r="C4372">
        <v>2024</v>
      </c>
      <c r="D4372" t="s">
        <v>358</v>
      </c>
      <c r="E4372" t="s">
        <v>6524</v>
      </c>
      <c r="F4372">
        <v>882.58</v>
      </c>
      <c r="G4372" t="s">
        <v>360</v>
      </c>
      <c r="H4372">
        <v>59</v>
      </c>
      <c r="I4372" t="s">
        <v>6525</v>
      </c>
      <c r="J4372" t="s">
        <v>294</v>
      </c>
      <c r="M4372" t="s">
        <v>295</v>
      </c>
      <c r="N4372" t="s">
        <v>7</v>
      </c>
      <c r="O4372" t="s">
        <v>297</v>
      </c>
    </row>
    <row r="4373" spans="1:15" x14ac:dyDescent="0.3">
      <c r="A4373" t="s">
        <v>6444</v>
      </c>
      <c r="B4373" t="s">
        <v>6570</v>
      </c>
      <c r="C4373">
        <v>2024</v>
      </c>
      <c r="D4373" t="s">
        <v>358</v>
      </c>
      <c r="E4373" t="s">
        <v>504</v>
      </c>
      <c r="F4373">
        <v>1090.6400000000001</v>
      </c>
      <c r="G4373" t="s">
        <v>360</v>
      </c>
      <c r="H4373">
        <v>59</v>
      </c>
      <c r="I4373" t="s">
        <v>6636</v>
      </c>
      <c r="J4373" t="s">
        <v>294</v>
      </c>
      <c r="M4373" t="s">
        <v>295</v>
      </c>
      <c r="N4373" t="s">
        <v>7</v>
      </c>
      <c r="O4373" t="s">
        <v>297</v>
      </c>
    </row>
    <row r="4374" spans="1:15" x14ac:dyDescent="0.3">
      <c r="A4374" t="s">
        <v>6444</v>
      </c>
      <c r="B4374" t="s">
        <v>6570</v>
      </c>
      <c r="C4374">
        <v>2024</v>
      </c>
      <c r="D4374" t="s">
        <v>358</v>
      </c>
      <c r="E4374" t="s">
        <v>6527</v>
      </c>
      <c r="F4374">
        <v>600</v>
      </c>
      <c r="G4374" t="s">
        <v>360</v>
      </c>
      <c r="H4374">
        <v>59</v>
      </c>
      <c r="I4374" t="s">
        <v>6528</v>
      </c>
      <c r="J4374" t="s">
        <v>294</v>
      </c>
      <c r="M4374" t="s">
        <v>295</v>
      </c>
      <c r="N4374" t="s">
        <v>7</v>
      </c>
      <c r="O4374" t="s">
        <v>297</v>
      </c>
    </row>
    <row r="4375" spans="1:15" x14ac:dyDescent="0.3">
      <c r="A4375" t="s">
        <v>6444</v>
      </c>
      <c r="B4375" t="s">
        <v>6570</v>
      </c>
      <c r="C4375">
        <v>2024</v>
      </c>
      <c r="D4375" t="s">
        <v>358</v>
      </c>
      <c r="E4375" t="s">
        <v>6529</v>
      </c>
      <c r="F4375">
        <v>580.39</v>
      </c>
      <c r="G4375" t="s">
        <v>360</v>
      </c>
      <c r="H4375">
        <v>59</v>
      </c>
      <c r="I4375" t="s">
        <v>6530</v>
      </c>
      <c r="J4375" t="s">
        <v>294</v>
      </c>
      <c r="M4375" t="s">
        <v>295</v>
      </c>
      <c r="N4375" t="s">
        <v>7</v>
      </c>
      <c r="O4375" t="s">
        <v>297</v>
      </c>
    </row>
    <row r="4376" spans="1:15" x14ac:dyDescent="0.3">
      <c r="A4376" t="s">
        <v>6444</v>
      </c>
      <c r="B4376" t="s">
        <v>6570</v>
      </c>
      <c r="C4376">
        <v>2024</v>
      </c>
      <c r="D4376" t="s">
        <v>358</v>
      </c>
      <c r="E4376" t="s">
        <v>6531</v>
      </c>
      <c r="F4376" t="s">
        <v>6532</v>
      </c>
      <c r="G4376" t="s">
        <v>292</v>
      </c>
      <c r="H4376">
        <v>42</v>
      </c>
      <c r="I4376" t="s">
        <v>6637</v>
      </c>
      <c r="J4376" t="s">
        <v>294</v>
      </c>
      <c r="M4376" t="s">
        <v>295</v>
      </c>
      <c r="N4376" t="s">
        <v>7</v>
      </c>
      <c r="O4376" t="s">
        <v>297</v>
      </c>
    </row>
    <row r="4377" spans="1:15" x14ac:dyDescent="0.3">
      <c r="A4377" t="s">
        <v>6444</v>
      </c>
      <c r="B4377" t="s">
        <v>6570</v>
      </c>
      <c r="C4377">
        <v>2024</v>
      </c>
      <c r="D4377" t="s">
        <v>358</v>
      </c>
      <c r="E4377" t="s">
        <v>6638</v>
      </c>
      <c r="F4377">
        <v>10</v>
      </c>
      <c r="G4377" t="s">
        <v>738</v>
      </c>
      <c r="H4377">
        <v>68</v>
      </c>
      <c r="I4377" t="s">
        <v>6639</v>
      </c>
      <c r="J4377" t="s">
        <v>294</v>
      </c>
      <c r="M4377" t="s">
        <v>295</v>
      </c>
      <c r="N4377" t="s">
        <v>7</v>
      </c>
      <c r="O4377" t="s">
        <v>297</v>
      </c>
    </row>
    <row r="4378" spans="1:15" x14ac:dyDescent="0.3">
      <c r="A4378" t="s">
        <v>6444</v>
      </c>
      <c r="B4378" t="s">
        <v>6570</v>
      </c>
      <c r="C4378">
        <v>2024</v>
      </c>
      <c r="D4378" t="s">
        <v>358</v>
      </c>
      <c r="E4378" t="s">
        <v>6640</v>
      </c>
      <c r="F4378">
        <v>0.83</v>
      </c>
      <c r="G4378" t="s">
        <v>334</v>
      </c>
      <c r="H4378">
        <v>27</v>
      </c>
      <c r="I4378" t="s">
        <v>6641</v>
      </c>
      <c r="J4378" t="s">
        <v>294</v>
      </c>
      <c r="M4378" t="s">
        <v>295</v>
      </c>
      <c r="N4378" t="s">
        <v>7</v>
      </c>
      <c r="O4378" t="s">
        <v>297</v>
      </c>
    </row>
    <row r="4379" spans="1:15" x14ac:dyDescent="0.3">
      <c r="A4379" t="s">
        <v>6444</v>
      </c>
      <c r="B4379" t="s">
        <v>6570</v>
      </c>
      <c r="C4379">
        <v>2024</v>
      </c>
      <c r="D4379" t="s">
        <v>358</v>
      </c>
      <c r="E4379" t="s">
        <v>6642</v>
      </c>
      <c r="F4379" t="s">
        <v>6643</v>
      </c>
      <c r="G4379" t="s">
        <v>666</v>
      </c>
      <c r="H4379">
        <v>27</v>
      </c>
      <c r="I4379" t="s">
        <v>6644</v>
      </c>
      <c r="J4379" t="s">
        <v>294</v>
      </c>
      <c r="M4379" t="s">
        <v>295</v>
      </c>
      <c r="N4379" t="s">
        <v>7</v>
      </c>
      <c r="O4379" t="s">
        <v>297</v>
      </c>
    </row>
    <row r="4380" spans="1:15" x14ac:dyDescent="0.3">
      <c r="A4380" t="s">
        <v>6444</v>
      </c>
      <c r="B4380" t="s">
        <v>6570</v>
      </c>
      <c r="C4380">
        <v>2024</v>
      </c>
      <c r="D4380" t="s">
        <v>394</v>
      </c>
      <c r="E4380" t="s">
        <v>6534</v>
      </c>
      <c r="F4380">
        <v>22461</v>
      </c>
      <c r="G4380" t="s">
        <v>396</v>
      </c>
      <c r="H4380">
        <v>60</v>
      </c>
      <c r="I4380" t="s">
        <v>6645</v>
      </c>
      <c r="J4380" t="s">
        <v>294</v>
      </c>
      <c r="M4380" t="s">
        <v>295</v>
      </c>
      <c r="N4380" t="s">
        <v>7</v>
      </c>
      <c r="O4380" t="s">
        <v>297</v>
      </c>
    </row>
    <row r="4381" spans="1:15" x14ac:dyDescent="0.3">
      <c r="A4381" t="s">
        <v>6444</v>
      </c>
      <c r="B4381" t="s">
        <v>6570</v>
      </c>
      <c r="C4381">
        <v>2024</v>
      </c>
      <c r="D4381" t="s">
        <v>394</v>
      </c>
      <c r="E4381" t="s">
        <v>5455</v>
      </c>
      <c r="F4381">
        <v>21362</v>
      </c>
      <c r="G4381" t="s">
        <v>396</v>
      </c>
      <c r="H4381">
        <v>128</v>
      </c>
      <c r="I4381" t="s">
        <v>6646</v>
      </c>
      <c r="J4381" t="s">
        <v>294</v>
      </c>
      <c r="M4381" t="s">
        <v>295</v>
      </c>
      <c r="N4381" t="s">
        <v>7</v>
      </c>
      <c r="O4381" t="s">
        <v>297</v>
      </c>
    </row>
    <row r="4382" spans="1:15" x14ac:dyDescent="0.3">
      <c r="A4382" t="s">
        <v>6444</v>
      </c>
      <c r="B4382" t="s">
        <v>6570</v>
      </c>
      <c r="C4382">
        <v>2024</v>
      </c>
      <c r="D4382" t="s">
        <v>394</v>
      </c>
      <c r="E4382" t="s">
        <v>6647</v>
      </c>
      <c r="F4382">
        <v>-0.13730000000000001</v>
      </c>
      <c r="G4382" t="s">
        <v>334</v>
      </c>
      <c r="H4382">
        <v>60</v>
      </c>
      <c r="I4382" t="s">
        <v>6645</v>
      </c>
      <c r="J4382" t="s">
        <v>294</v>
      </c>
      <c r="M4382" t="s">
        <v>295</v>
      </c>
      <c r="N4382" t="s">
        <v>7</v>
      </c>
      <c r="O4382" t="s">
        <v>297</v>
      </c>
    </row>
    <row r="4383" spans="1:15" x14ac:dyDescent="0.3">
      <c r="A4383" t="s">
        <v>6444</v>
      </c>
      <c r="B4383" t="s">
        <v>6570</v>
      </c>
      <c r="C4383">
        <v>2024</v>
      </c>
      <c r="D4383" t="s">
        <v>394</v>
      </c>
      <c r="E4383" t="s">
        <v>6648</v>
      </c>
      <c r="F4383">
        <v>0.158</v>
      </c>
      <c r="G4383" t="s">
        <v>334</v>
      </c>
      <c r="H4383">
        <v>20</v>
      </c>
      <c r="I4383" t="s">
        <v>6649</v>
      </c>
      <c r="J4383" t="s">
        <v>294</v>
      </c>
      <c r="M4383" t="s">
        <v>295</v>
      </c>
      <c r="N4383" t="s">
        <v>7</v>
      </c>
      <c r="O4383" t="s">
        <v>297</v>
      </c>
    </row>
    <row r="4384" spans="1:15" x14ac:dyDescent="0.3">
      <c r="A4384" t="s">
        <v>6444</v>
      </c>
      <c r="B4384" t="s">
        <v>6570</v>
      </c>
      <c r="C4384">
        <v>2024</v>
      </c>
      <c r="D4384" t="s">
        <v>394</v>
      </c>
      <c r="E4384" t="s">
        <v>6537</v>
      </c>
      <c r="F4384" t="s">
        <v>6650</v>
      </c>
      <c r="G4384" t="s">
        <v>292</v>
      </c>
      <c r="H4384">
        <v>60</v>
      </c>
      <c r="I4384" t="s">
        <v>6651</v>
      </c>
      <c r="J4384" t="s">
        <v>294</v>
      </c>
      <c r="M4384" t="s">
        <v>295</v>
      </c>
      <c r="N4384" t="s">
        <v>7</v>
      </c>
      <c r="O4384" t="s">
        <v>297</v>
      </c>
    </row>
    <row r="4385" spans="1:15" x14ac:dyDescent="0.3">
      <c r="A4385" t="s">
        <v>6444</v>
      </c>
      <c r="B4385" t="s">
        <v>6570</v>
      </c>
      <c r="C4385">
        <v>2024</v>
      </c>
      <c r="D4385" t="s">
        <v>394</v>
      </c>
      <c r="E4385" t="s">
        <v>6540</v>
      </c>
      <c r="F4385" t="s">
        <v>6541</v>
      </c>
      <c r="G4385" t="s">
        <v>292</v>
      </c>
      <c r="H4385">
        <v>38</v>
      </c>
      <c r="I4385" t="s">
        <v>6542</v>
      </c>
      <c r="J4385" t="s">
        <v>294</v>
      </c>
      <c r="M4385" t="s">
        <v>295</v>
      </c>
      <c r="N4385" t="s">
        <v>7</v>
      </c>
      <c r="O4385" t="s">
        <v>297</v>
      </c>
    </row>
    <row r="4386" spans="1:15" x14ac:dyDescent="0.3">
      <c r="A4386" t="s">
        <v>6444</v>
      </c>
      <c r="B4386" t="s">
        <v>6570</v>
      </c>
      <c r="C4386">
        <v>2024</v>
      </c>
      <c r="D4386" t="s">
        <v>394</v>
      </c>
      <c r="E4386" t="s">
        <v>6543</v>
      </c>
      <c r="F4386">
        <v>43</v>
      </c>
      <c r="G4386" t="s">
        <v>384</v>
      </c>
      <c r="H4386">
        <v>128</v>
      </c>
      <c r="I4386" t="s">
        <v>6652</v>
      </c>
      <c r="J4386" t="s">
        <v>294</v>
      </c>
      <c r="M4386" t="s">
        <v>295</v>
      </c>
      <c r="N4386" t="s">
        <v>7</v>
      </c>
      <c r="O4386" t="s">
        <v>297</v>
      </c>
    </row>
    <row r="4387" spans="1:15" x14ac:dyDescent="0.3">
      <c r="A4387" t="s">
        <v>6444</v>
      </c>
      <c r="B4387" t="s">
        <v>6570</v>
      </c>
      <c r="C4387">
        <v>2024</v>
      </c>
      <c r="D4387" t="s">
        <v>394</v>
      </c>
      <c r="E4387" t="s">
        <v>6545</v>
      </c>
      <c r="F4387">
        <v>3</v>
      </c>
      <c r="G4387" t="s">
        <v>384</v>
      </c>
      <c r="H4387">
        <v>128</v>
      </c>
      <c r="I4387" t="s">
        <v>6653</v>
      </c>
      <c r="J4387" t="s">
        <v>294</v>
      </c>
      <c r="M4387" t="s">
        <v>295</v>
      </c>
      <c r="N4387" t="s">
        <v>7</v>
      </c>
      <c r="O4387" t="s">
        <v>297</v>
      </c>
    </row>
    <row r="4388" spans="1:15" x14ac:dyDescent="0.3">
      <c r="A4388" t="s">
        <v>6444</v>
      </c>
      <c r="B4388" t="s">
        <v>6570</v>
      </c>
      <c r="C4388">
        <v>2024</v>
      </c>
      <c r="D4388" t="s">
        <v>394</v>
      </c>
      <c r="E4388" t="s">
        <v>6654</v>
      </c>
      <c r="F4388">
        <v>14</v>
      </c>
      <c r="G4388" t="s">
        <v>794</v>
      </c>
      <c r="H4388">
        <v>67</v>
      </c>
      <c r="I4388" t="s">
        <v>6655</v>
      </c>
      <c r="J4388" t="s">
        <v>294</v>
      </c>
      <c r="M4388" t="s">
        <v>295</v>
      </c>
      <c r="N4388" t="s">
        <v>7</v>
      </c>
      <c r="O4388" t="s">
        <v>297</v>
      </c>
    </row>
    <row r="4389" spans="1:15" x14ac:dyDescent="0.3">
      <c r="A4389" t="s">
        <v>6444</v>
      </c>
      <c r="B4389" t="s">
        <v>6570</v>
      </c>
      <c r="C4389">
        <v>2024</v>
      </c>
      <c r="D4389" t="s">
        <v>563</v>
      </c>
      <c r="E4389" t="s">
        <v>6554</v>
      </c>
      <c r="F4389">
        <v>276017</v>
      </c>
      <c r="G4389" t="s">
        <v>1403</v>
      </c>
      <c r="H4389">
        <v>129</v>
      </c>
      <c r="I4389" t="s">
        <v>6656</v>
      </c>
      <c r="J4389" t="s">
        <v>294</v>
      </c>
      <c r="M4389" t="s">
        <v>295</v>
      </c>
      <c r="N4389" t="s">
        <v>7</v>
      </c>
      <c r="O4389" t="s">
        <v>297</v>
      </c>
    </row>
    <row r="4390" spans="1:15" x14ac:dyDescent="0.3">
      <c r="A4390" t="s">
        <v>6444</v>
      </c>
      <c r="B4390" t="s">
        <v>6570</v>
      </c>
      <c r="C4390">
        <v>2024</v>
      </c>
      <c r="D4390" t="s">
        <v>563</v>
      </c>
      <c r="E4390" t="s">
        <v>6657</v>
      </c>
      <c r="F4390">
        <v>2853.54</v>
      </c>
      <c r="G4390" t="s">
        <v>6658</v>
      </c>
      <c r="H4390">
        <v>129</v>
      </c>
      <c r="I4390" t="s">
        <v>6659</v>
      </c>
      <c r="J4390" t="s">
        <v>294</v>
      </c>
      <c r="M4390" t="s">
        <v>295</v>
      </c>
      <c r="N4390" t="s">
        <v>7</v>
      </c>
      <c r="O4390" t="s">
        <v>297</v>
      </c>
    </row>
    <row r="4391" spans="1:15" x14ac:dyDescent="0.3">
      <c r="A4391" t="s">
        <v>6444</v>
      </c>
      <c r="B4391" t="s">
        <v>6570</v>
      </c>
      <c r="C4391">
        <v>2024</v>
      </c>
      <c r="D4391" t="s">
        <v>563</v>
      </c>
      <c r="E4391" t="s">
        <v>6556</v>
      </c>
      <c r="F4391">
        <v>1920</v>
      </c>
      <c r="G4391" t="s">
        <v>3066</v>
      </c>
      <c r="H4391">
        <v>129</v>
      </c>
      <c r="I4391" t="s">
        <v>6660</v>
      </c>
      <c r="J4391" t="s">
        <v>294</v>
      </c>
      <c r="M4391" t="s">
        <v>295</v>
      </c>
      <c r="N4391" t="s">
        <v>7</v>
      </c>
      <c r="O4391" t="s">
        <v>297</v>
      </c>
    </row>
    <row r="4392" spans="1:15" x14ac:dyDescent="0.3">
      <c r="A4392" t="s">
        <v>6444</v>
      </c>
      <c r="B4392" t="s">
        <v>6570</v>
      </c>
      <c r="C4392">
        <v>2024</v>
      </c>
      <c r="D4392" t="s">
        <v>563</v>
      </c>
      <c r="E4392" t="s">
        <v>6558</v>
      </c>
      <c r="F4392">
        <v>7</v>
      </c>
      <c r="G4392" t="s">
        <v>1561</v>
      </c>
      <c r="H4392">
        <v>129</v>
      </c>
      <c r="I4392" t="s">
        <v>6661</v>
      </c>
      <c r="J4392" t="s">
        <v>294</v>
      </c>
      <c r="M4392" t="s">
        <v>295</v>
      </c>
      <c r="N4392" t="s">
        <v>7</v>
      </c>
      <c r="O4392" t="s">
        <v>297</v>
      </c>
    </row>
    <row r="4393" spans="1:15" x14ac:dyDescent="0.3">
      <c r="A4393" t="s">
        <v>6444</v>
      </c>
      <c r="B4393" t="s">
        <v>6570</v>
      </c>
      <c r="C4393">
        <v>2024</v>
      </c>
      <c r="D4393" t="s">
        <v>563</v>
      </c>
      <c r="E4393" t="s">
        <v>6662</v>
      </c>
      <c r="F4393" t="s">
        <v>6663</v>
      </c>
      <c r="G4393" t="s">
        <v>292</v>
      </c>
      <c r="H4393">
        <v>39</v>
      </c>
      <c r="I4393" t="s">
        <v>6664</v>
      </c>
      <c r="J4393" t="s">
        <v>294</v>
      </c>
      <c r="M4393" t="s">
        <v>295</v>
      </c>
      <c r="N4393" t="s">
        <v>7</v>
      </c>
      <c r="O4393" t="s">
        <v>297</v>
      </c>
    </row>
    <row r="4394" spans="1:15" x14ac:dyDescent="0.3">
      <c r="A4394" t="s">
        <v>6444</v>
      </c>
      <c r="B4394" t="s">
        <v>6570</v>
      </c>
      <c r="C4394">
        <v>2024</v>
      </c>
      <c r="D4394" t="s">
        <v>252</v>
      </c>
      <c r="E4394" t="s">
        <v>6565</v>
      </c>
      <c r="F4394" t="s">
        <v>6566</v>
      </c>
      <c r="G4394" t="s">
        <v>292</v>
      </c>
      <c r="H4394">
        <v>69</v>
      </c>
      <c r="I4394" t="s">
        <v>6665</v>
      </c>
      <c r="J4394" t="s">
        <v>294</v>
      </c>
      <c r="M4394" t="s">
        <v>295</v>
      </c>
      <c r="N4394" t="s">
        <v>7</v>
      </c>
      <c r="O4394" t="s">
        <v>297</v>
      </c>
    </row>
    <row r="4395" spans="1:15" x14ac:dyDescent="0.3">
      <c r="A4395" t="s">
        <v>6444</v>
      </c>
      <c r="B4395" t="s">
        <v>6570</v>
      </c>
      <c r="C4395">
        <v>2024</v>
      </c>
      <c r="D4395" t="s">
        <v>252</v>
      </c>
      <c r="E4395" t="s">
        <v>6666</v>
      </c>
      <c r="F4395">
        <v>66.760000000000005</v>
      </c>
      <c r="G4395" t="s">
        <v>302</v>
      </c>
      <c r="H4395">
        <v>71</v>
      </c>
      <c r="I4395" t="s">
        <v>6667</v>
      </c>
      <c r="J4395" t="s">
        <v>294</v>
      </c>
      <c r="M4395" t="s">
        <v>295</v>
      </c>
      <c r="N4395" t="s">
        <v>7</v>
      </c>
      <c r="O4395" t="s">
        <v>297</v>
      </c>
    </row>
    <row r="4396" spans="1:15" x14ac:dyDescent="0.3">
      <c r="A4396" t="s">
        <v>6444</v>
      </c>
      <c r="B4396" t="s">
        <v>6570</v>
      </c>
      <c r="C4396">
        <v>2024</v>
      </c>
      <c r="D4396" t="s">
        <v>252</v>
      </c>
      <c r="E4396" t="s">
        <v>6668</v>
      </c>
      <c r="F4396">
        <v>24375</v>
      </c>
      <c r="G4396" t="s">
        <v>396</v>
      </c>
      <c r="H4396">
        <v>71</v>
      </c>
      <c r="I4396" t="s">
        <v>6669</v>
      </c>
      <c r="J4396" t="s">
        <v>294</v>
      </c>
      <c r="M4396" t="s">
        <v>295</v>
      </c>
      <c r="N4396" t="s">
        <v>7</v>
      </c>
      <c r="O4396" t="s">
        <v>297</v>
      </c>
    </row>
    <row r="4397" spans="1:15" x14ac:dyDescent="0.3">
      <c r="A4397" t="s">
        <v>6670</v>
      </c>
      <c r="B4397" t="s">
        <v>6671</v>
      </c>
      <c r="C4397">
        <v>2022</v>
      </c>
      <c r="D4397" t="s">
        <v>272</v>
      </c>
      <c r="E4397" t="s">
        <v>291</v>
      </c>
      <c r="F4397" t="s">
        <v>6670</v>
      </c>
      <c r="G4397" t="s">
        <v>292</v>
      </c>
      <c r="H4397">
        <v>1</v>
      </c>
      <c r="I4397" t="s">
        <v>6670</v>
      </c>
      <c r="J4397" t="s">
        <v>294</v>
      </c>
      <c r="M4397" t="s">
        <v>295</v>
      </c>
      <c r="N4397" t="s">
        <v>7</v>
      </c>
      <c r="O4397" t="s">
        <v>297</v>
      </c>
    </row>
    <row r="4398" spans="1:15" x14ac:dyDescent="0.3">
      <c r="A4398" t="s">
        <v>6670</v>
      </c>
      <c r="B4398" t="s">
        <v>6671</v>
      </c>
      <c r="C4398">
        <v>2022</v>
      </c>
      <c r="D4398" t="s">
        <v>272</v>
      </c>
      <c r="E4398" t="s">
        <v>6672</v>
      </c>
      <c r="F4398" t="s">
        <v>53</v>
      </c>
      <c r="G4398" t="s">
        <v>292</v>
      </c>
      <c r="H4398">
        <v>71</v>
      </c>
      <c r="I4398" t="s">
        <v>53</v>
      </c>
      <c r="J4398" t="s">
        <v>294</v>
      </c>
      <c r="M4398" t="s">
        <v>295</v>
      </c>
      <c r="N4398" t="s">
        <v>7</v>
      </c>
      <c r="O4398" t="s">
        <v>297</v>
      </c>
    </row>
    <row r="4399" spans="1:15" x14ac:dyDescent="0.3">
      <c r="A4399" t="s">
        <v>6670</v>
      </c>
      <c r="B4399" t="s">
        <v>6671</v>
      </c>
      <c r="C4399">
        <v>2022</v>
      </c>
      <c r="D4399" t="s">
        <v>272</v>
      </c>
      <c r="E4399" t="s">
        <v>5550</v>
      </c>
      <c r="F4399" t="s">
        <v>6673</v>
      </c>
      <c r="G4399" t="s">
        <v>292</v>
      </c>
      <c r="H4399">
        <v>1</v>
      </c>
      <c r="I4399" t="s">
        <v>6674</v>
      </c>
      <c r="J4399" t="s">
        <v>294</v>
      </c>
      <c r="M4399" t="s">
        <v>295</v>
      </c>
      <c r="N4399" t="s">
        <v>7</v>
      </c>
      <c r="O4399" t="s">
        <v>297</v>
      </c>
    </row>
    <row r="4400" spans="1:15" x14ac:dyDescent="0.3">
      <c r="A4400" t="s">
        <v>6670</v>
      </c>
      <c r="B4400" t="s">
        <v>6671</v>
      </c>
      <c r="C4400">
        <v>2022</v>
      </c>
      <c r="D4400" t="s">
        <v>272</v>
      </c>
      <c r="E4400" t="s">
        <v>442</v>
      </c>
      <c r="F4400" t="s">
        <v>6675</v>
      </c>
      <c r="G4400" t="s">
        <v>334</v>
      </c>
      <c r="H4400">
        <v>73</v>
      </c>
      <c r="I4400" t="s">
        <v>6676</v>
      </c>
      <c r="J4400" t="s">
        <v>294</v>
      </c>
      <c r="M4400" t="s">
        <v>295</v>
      </c>
      <c r="N4400" t="s">
        <v>7</v>
      </c>
      <c r="O4400" t="s">
        <v>297</v>
      </c>
    </row>
    <row r="4401" spans="1:15" x14ac:dyDescent="0.3">
      <c r="A4401" t="s">
        <v>6670</v>
      </c>
      <c r="B4401" t="s">
        <v>6671</v>
      </c>
      <c r="C4401">
        <v>2022</v>
      </c>
      <c r="D4401" t="s">
        <v>272</v>
      </c>
      <c r="E4401" t="s">
        <v>4851</v>
      </c>
      <c r="F4401" t="s">
        <v>6677</v>
      </c>
      <c r="G4401" t="s">
        <v>292</v>
      </c>
      <c r="H4401">
        <v>73</v>
      </c>
      <c r="I4401" t="s">
        <v>6678</v>
      </c>
      <c r="J4401" t="s">
        <v>294</v>
      </c>
      <c r="M4401" t="s">
        <v>295</v>
      </c>
      <c r="N4401" t="s">
        <v>7</v>
      </c>
      <c r="O4401" t="s">
        <v>297</v>
      </c>
    </row>
    <row r="4402" spans="1:15" x14ac:dyDescent="0.3">
      <c r="A4402" t="s">
        <v>6670</v>
      </c>
      <c r="B4402" t="s">
        <v>6671</v>
      </c>
      <c r="C4402">
        <v>2022</v>
      </c>
      <c r="D4402" t="s">
        <v>272</v>
      </c>
      <c r="E4402" t="s">
        <v>4335</v>
      </c>
      <c r="F4402">
        <v>1818622000</v>
      </c>
      <c r="G4402" t="s">
        <v>1633</v>
      </c>
      <c r="H4402">
        <v>72</v>
      </c>
      <c r="I4402" t="s">
        <v>6679</v>
      </c>
      <c r="J4402" t="s">
        <v>294</v>
      </c>
      <c r="M4402" t="s">
        <v>295</v>
      </c>
      <c r="N4402" t="s">
        <v>7</v>
      </c>
      <c r="O4402" t="s">
        <v>297</v>
      </c>
    </row>
    <row r="4403" spans="1:15" x14ac:dyDescent="0.3">
      <c r="A4403" t="s">
        <v>6670</v>
      </c>
      <c r="B4403" t="s">
        <v>6671</v>
      </c>
      <c r="C4403">
        <v>2022</v>
      </c>
      <c r="D4403" t="s">
        <v>272</v>
      </c>
      <c r="E4403" t="s">
        <v>445</v>
      </c>
      <c r="F4403">
        <v>6.4399999999999999E-2</v>
      </c>
      <c r="G4403" t="s">
        <v>334</v>
      </c>
      <c r="H4403">
        <v>72</v>
      </c>
      <c r="I4403" t="s">
        <v>6680</v>
      </c>
      <c r="J4403" t="s">
        <v>294</v>
      </c>
      <c r="M4403" t="s">
        <v>295</v>
      </c>
      <c r="N4403" t="s">
        <v>7</v>
      </c>
      <c r="O4403" t="s">
        <v>297</v>
      </c>
    </row>
    <row r="4404" spans="1:15" x14ac:dyDescent="0.3">
      <c r="A4404" t="s">
        <v>6670</v>
      </c>
      <c r="B4404" t="s">
        <v>6671</v>
      </c>
      <c r="C4404">
        <v>2022</v>
      </c>
      <c r="D4404" t="s">
        <v>272</v>
      </c>
      <c r="E4404" t="s">
        <v>6681</v>
      </c>
      <c r="F4404" t="s">
        <v>6682</v>
      </c>
      <c r="G4404" t="s">
        <v>334</v>
      </c>
      <c r="H4404">
        <v>72</v>
      </c>
      <c r="I4404" t="s">
        <v>6683</v>
      </c>
      <c r="J4404" t="s">
        <v>294</v>
      </c>
      <c r="M4404" t="s">
        <v>295</v>
      </c>
      <c r="N4404" t="s">
        <v>7</v>
      </c>
      <c r="O4404" t="s">
        <v>297</v>
      </c>
    </row>
    <row r="4405" spans="1:15" x14ac:dyDescent="0.3">
      <c r="A4405" t="s">
        <v>6670</v>
      </c>
      <c r="B4405" t="s">
        <v>6671</v>
      </c>
      <c r="C4405">
        <v>2022</v>
      </c>
      <c r="D4405" t="s">
        <v>272</v>
      </c>
      <c r="E4405" t="s">
        <v>6684</v>
      </c>
      <c r="F4405" t="s">
        <v>6685</v>
      </c>
      <c r="G4405" t="s">
        <v>1633</v>
      </c>
      <c r="H4405">
        <v>71</v>
      </c>
      <c r="I4405" t="s">
        <v>6686</v>
      </c>
      <c r="J4405" t="s">
        <v>294</v>
      </c>
      <c r="M4405" t="s">
        <v>295</v>
      </c>
      <c r="N4405" t="s">
        <v>7</v>
      </c>
      <c r="O4405" t="s">
        <v>297</v>
      </c>
    </row>
    <row r="4406" spans="1:15" x14ac:dyDescent="0.3">
      <c r="A4406" t="s">
        <v>6670</v>
      </c>
      <c r="B4406" t="s">
        <v>6671</v>
      </c>
      <c r="C4406">
        <v>2022</v>
      </c>
      <c r="D4406" t="s">
        <v>272</v>
      </c>
      <c r="E4406" t="s">
        <v>1560</v>
      </c>
      <c r="F4406">
        <v>8804</v>
      </c>
      <c r="G4406" t="s">
        <v>1561</v>
      </c>
      <c r="H4406">
        <v>11</v>
      </c>
      <c r="I4406" t="s">
        <v>6687</v>
      </c>
      <c r="J4406" t="s">
        <v>294</v>
      </c>
      <c r="M4406" t="s">
        <v>295</v>
      </c>
      <c r="N4406" t="s">
        <v>7</v>
      </c>
      <c r="O4406" t="s">
        <v>297</v>
      </c>
    </row>
    <row r="4407" spans="1:15" x14ac:dyDescent="0.3">
      <c r="A4407" t="s">
        <v>6670</v>
      </c>
      <c r="B4407" t="s">
        <v>6671</v>
      </c>
      <c r="C4407">
        <v>2022</v>
      </c>
      <c r="D4407" t="s">
        <v>300</v>
      </c>
      <c r="E4407" t="s">
        <v>301</v>
      </c>
      <c r="F4407">
        <v>5672</v>
      </c>
      <c r="G4407" t="s">
        <v>302</v>
      </c>
      <c r="H4407">
        <v>10</v>
      </c>
      <c r="I4407" t="s">
        <v>6688</v>
      </c>
      <c r="J4407" t="s">
        <v>294</v>
      </c>
      <c r="M4407" t="s">
        <v>295</v>
      </c>
      <c r="N4407" t="s">
        <v>7</v>
      </c>
      <c r="O4407" t="s">
        <v>297</v>
      </c>
    </row>
    <row r="4408" spans="1:15" x14ac:dyDescent="0.3">
      <c r="A4408" t="s">
        <v>6670</v>
      </c>
      <c r="B4408" t="s">
        <v>6671</v>
      </c>
      <c r="C4408">
        <v>2022</v>
      </c>
      <c r="D4408" t="s">
        <v>300</v>
      </c>
      <c r="E4408" t="s">
        <v>304</v>
      </c>
      <c r="F4408">
        <v>1984</v>
      </c>
      <c r="G4408" t="s">
        <v>302</v>
      </c>
      <c r="H4408">
        <v>10</v>
      </c>
      <c r="I4408" t="s">
        <v>6689</v>
      </c>
      <c r="J4408" t="s">
        <v>294</v>
      </c>
      <c r="M4408" t="s">
        <v>295</v>
      </c>
      <c r="N4408" t="s">
        <v>7</v>
      </c>
      <c r="O4408" t="s">
        <v>297</v>
      </c>
    </row>
    <row r="4409" spans="1:15" x14ac:dyDescent="0.3">
      <c r="A4409" t="s">
        <v>6670</v>
      </c>
      <c r="B4409" t="s">
        <v>6671</v>
      </c>
      <c r="C4409">
        <v>2022</v>
      </c>
      <c r="D4409" t="s">
        <v>300</v>
      </c>
      <c r="E4409" t="s">
        <v>2868</v>
      </c>
      <c r="F4409">
        <v>3688</v>
      </c>
      <c r="G4409" t="s">
        <v>302</v>
      </c>
      <c r="H4409">
        <v>311</v>
      </c>
      <c r="I4409" t="s">
        <v>6690</v>
      </c>
      <c r="J4409" t="s">
        <v>294</v>
      </c>
      <c r="M4409" t="s">
        <v>295</v>
      </c>
      <c r="N4409" t="s">
        <v>7</v>
      </c>
      <c r="O4409" t="s">
        <v>297</v>
      </c>
    </row>
    <row r="4410" spans="1:15" x14ac:dyDescent="0.3">
      <c r="A4410" t="s">
        <v>6670</v>
      </c>
      <c r="B4410" t="s">
        <v>6671</v>
      </c>
      <c r="C4410">
        <v>2022</v>
      </c>
      <c r="D4410" t="s">
        <v>300</v>
      </c>
      <c r="E4410" t="s">
        <v>6691</v>
      </c>
      <c r="F4410">
        <v>2162</v>
      </c>
      <c r="G4410" t="s">
        <v>302</v>
      </c>
      <c r="H4410">
        <v>10</v>
      </c>
      <c r="I4410" t="s">
        <v>6692</v>
      </c>
      <c r="J4410" t="s">
        <v>294</v>
      </c>
      <c r="M4410" t="s">
        <v>295</v>
      </c>
      <c r="N4410" t="s">
        <v>7</v>
      </c>
      <c r="O4410" t="s">
        <v>297</v>
      </c>
    </row>
    <row r="4411" spans="1:15" x14ac:dyDescent="0.3">
      <c r="A4411" t="s">
        <v>6670</v>
      </c>
      <c r="B4411" t="s">
        <v>6671</v>
      </c>
      <c r="C4411">
        <v>2022</v>
      </c>
      <c r="D4411" t="s">
        <v>300</v>
      </c>
      <c r="E4411" t="s">
        <v>5214</v>
      </c>
      <c r="F4411">
        <v>1619</v>
      </c>
      <c r="G4411" t="s">
        <v>302</v>
      </c>
      <c r="H4411">
        <v>10</v>
      </c>
      <c r="I4411" t="s">
        <v>6693</v>
      </c>
      <c r="J4411" t="s">
        <v>294</v>
      </c>
      <c r="M4411" t="s">
        <v>295</v>
      </c>
      <c r="N4411" t="s">
        <v>7</v>
      </c>
      <c r="O4411" t="s">
        <v>297</v>
      </c>
    </row>
    <row r="4412" spans="1:15" x14ac:dyDescent="0.3">
      <c r="A4412" t="s">
        <v>6670</v>
      </c>
      <c r="B4412" t="s">
        <v>6671</v>
      </c>
      <c r="C4412">
        <v>2022</v>
      </c>
      <c r="D4412" t="s">
        <v>300</v>
      </c>
      <c r="E4412" t="s">
        <v>581</v>
      </c>
      <c r="F4412">
        <v>365</v>
      </c>
      <c r="G4412" t="s">
        <v>302</v>
      </c>
      <c r="H4412">
        <v>311</v>
      </c>
      <c r="I4412" t="s">
        <v>6694</v>
      </c>
      <c r="J4412" t="s">
        <v>294</v>
      </c>
      <c r="M4412" t="s">
        <v>295</v>
      </c>
      <c r="N4412" t="s">
        <v>7</v>
      </c>
      <c r="O4412" t="s">
        <v>297</v>
      </c>
    </row>
    <row r="4413" spans="1:15" x14ac:dyDescent="0.3">
      <c r="A4413" t="s">
        <v>6670</v>
      </c>
      <c r="B4413" t="s">
        <v>6671</v>
      </c>
      <c r="C4413">
        <v>2022</v>
      </c>
      <c r="D4413" t="s">
        <v>300</v>
      </c>
      <c r="E4413" t="s">
        <v>6695</v>
      </c>
      <c r="F4413">
        <v>1039</v>
      </c>
      <c r="G4413" t="s">
        <v>302</v>
      </c>
      <c r="H4413">
        <v>10</v>
      </c>
      <c r="I4413" t="s">
        <v>6696</v>
      </c>
      <c r="J4413" t="s">
        <v>294</v>
      </c>
      <c r="M4413" t="s">
        <v>295</v>
      </c>
      <c r="N4413" t="s">
        <v>7</v>
      </c>
      <c r="O4413" t="s">
        <v>297</v>
      </c>
    </row>
    <row r="4414" spans="1:15" x14ac:dyDescent="0.3">
      <c r="A4414" t="s">
        <v>6670</v>
      </c>
      <c r="B4414" t="s">
        <v>6671</v>
      </c>
      <c r="C4414">
        <v>2022</v>
      </c>
      <c r="D4414" t="s">
        <v>300</v>
      </c>
      <c r="E4414" t="s">
        <v>308</v>
      </c>
      <c r="F4414">
        <v>1050</v>
      </c>
      <c r="G4414" t="s">
        <v>302</v>
      </c>
      <c r="H4414">
        <v>10</v>
      </c>
      <c r="I4414" t="s">
        <v>6697</v>
      </c>
      <c r="J4414" t="s">
        <v>294</v>
      </c>
      <c r="M4414" t="s">
        <v>295</v>
      </c>
      <c r="N4414" t="s">
        <v>7</v>
      </c>
      <c r="O4414" t="s">
        <v>297</v>
      </c>
    </row>
    <row r="4415" spans="1:15" x14ac:dyDescent="0.3">
      <c r="A4415" t="s">
        <v>6670</v>
      </c>
      <c r="B4415" t="s">
        <v>6671</v>
      </c>
      <c r="C4415">
        <v>2022</v>
      </c>
      <c r="D4415" t="s">
        <v>300</v>
      </c>
      <c r="E4415" t="s">
        <v>6698</v>
      </c>
      <c r="F4415">
        <v>-10</v>
      </c>
      <c r="G4415" t="s">
        <v>302</v>
      </c>
      <c r="H4415">
        <v>10</v>
      </c>
      <c r="I4415" t="s">
        <v>6699</v>
      </c>
      <c r="J4415" t="s">
        <v>294</v>
      </c>
      <c r="M4415" t="s">
        <v>295</v>
      </c>
      <c r="N4415" t="s">
        <v>7</v>
      </c>
      <c r="O4415" t="s">
        <v>297</v>
      </c>
    </row>
    <row r="4416" spans="1:15" x14ac:dyDescent="0.3">
      <c r="A4416" t="s">
        <v>6670</v>
      </c>
      <c r="B4416" t="s">
        <v>6671</v>
      </c>
      <c r="C4416">
        <v>2022</v>
      </c>
      <c r="D4416" t="s">
        <v>300</v>
      </c>
      <c r="E4416" t="s">
        <v>316</v>
      </c>
      <c r="F4416">
        <v>10243</v>
      </c>
      <c r="G4416" t="s">
        <v>302</v>
      </c>
      <c r="H4416">
        <v>10</v>
      </c>
      <c r="I4416" t="s">
        <v>6700</v>
      </c>
      <c r="J4416" t="s">
        <v>294</v>
      </c>
      <c r="M4416" t="s">
        <v>295</v>
      </c>
      <c r="N4416" t="s">
        <v>7</v>
      </c>
      <c r="O4416" t="s">
        <v>297</v>
      </c>
    </row>
    <row r="4417" spans="1:15" x14ac:dyDescent="0.3">
      <c r="A4417" t="s">
        <v>6670</v>
      </c>
      <c r="B4417" t="s">
        <v>6671</v>
      </c>
      <c r="C4417">
        <v>2022</v>
      </c>
      <c r="D4417" t="s">
        <v>300</v>
      </c>
      <c r="E4417" t="s">
        <v>312</v>
      </c>
      <c r="F4417">
        <v>1800</v>
      </c>
      <c r="G4417" t="s">
        <v>302</v>
      </c>
      <c r="H4417">
        <v>10</v>
      </c>
      <c r="I4417" t="s">
        <v>6701</v>
      </c>
      <c r="J4417" t="s">
        <v>294</v>
      </c>
      <c r="M4417" t="s">
        <v>295</v>
      </c>
      <c r="N4417" t="s">
        <v>7</v>
      </c>
      <c r="O4417" t="s">
        <v>297</v>
      </c>
    </row>
    <row r="4418" spans="1:15" x14ac:dyDescent="0.3">
      <c r="A4418" t="s">
        <v>6670</v>
      </c>
      <c r="B4418" t="s">
        <v>6671</v>
      </c>
      <c r="C4418">
        <v>2022</v>
      </c>
      <c r="D4418" t="s">
        <v>300</v>
      </c>
      <c r="E4418" t="s">
        <v>314</v>
      </c>
      <c r="F4418">
        <v>8443</v>
      </c>
      <c r="G4418" t="s">
        <v>302</v>
      </c>
      <c r="H4418">
        <v>309</v>
      </c>
      <c r="I4418" t="s">
        <v>6702</v>
      </c>
      <c r="J4418" t="s">
        <v>294</v>
      </c>
      <c r="M4418" t="s">
        <v>295</v>
      </c>
      <c r="N4418" t="s">
        <v>7</v>
      </c>
      <c r="O4418" t="s">
        <v>297</v>
      </c>
    </row>
    <row r="4419" spans="1:15" x14ac:dyDescent="0.3">
      <c r="A4419" t="s">
        <v>6670</v>
      </c>
      <c r="B4419" t="s">
        <v>6671</v>
      </c>
      <c r="C4419">
        <v>2022</v>
      </c>
      <c r="D4419" t="s">
        <v>300</v>
      </c>
      <c r="E4419" t="s">
        <v>471</v>
      </c>
      <c r="F4419">
        <v>535</v>
      </c>
      <c r="G4419" t="s">
        <v>302</v>
      </c>
      <c r="H4419">
        <v>309</v>
      </c>
      <c r="I4419" t="s">
        <v>6703</v>
      </c>
      <c r="J4419" t="s">
        <v>294</v>
      </c>
      <c r="M4419" t="s">
        <v>295</v>
      </c>
      <c r="N4419" t="s">
        <v>7</v>
      </c>
      <c r="O4419" t="s">
        <v>297</v>
      </c>
    </row>
    <row r="4420" spans="1:15" x14ac:dyDescent="0.3">
      <c r="A4420" t="s">
        <v>6670</v>
      </c>
      <c r="B4420" t="s">
        <v>6671</v>
      </c>
      <c r="C4420">
        <v>2022</v>
      </c>
      <c r="D4420" t="s">
        <v>300</v>
      </c>
      <c r="E4420" t="s">
        <v>481</v>
      </c>
      <c r="F4420">
        <v>690</v>
      </c>
      <c r="G4420" t="s">
        <v>302</v>
      </c>
      <c r="H4420">
        <v>309</v>
      </c>
      <c r="I4420" t="s">
        <v>6704</v>
      </c>
      <c r="J4420" t="s">
        <v>294</v>
      </c>
      <c r="M4420" t="s">
        <v>295</v>
      </c>
      <c r="N4420" t="s">
        <v>7</v>
      </c>
      <c r="O4420" t="s">
        <v>297</v>
      </c>
    </row>
    <row r="4421" spans="1:15" x14ac:dyDescent="0.3">
      <c r="A4421" t="s">
        <v>6670</v>
      </c>
      <c r="B4421" t="s">
        <v>6671</v>
      </c>
      <c r="C4421">
        <v>2022</v>
      </c>
      <c r="D4421" t="s">
        <v>300</v>
      </c>
      <c r="E4421" t="s">
        <v>4369</v>
      </c>
      <c r="F4421">
        <v>173</v>
      </c>
      <c r="G4421" t="s">
        <v>302</v>
      </c>
      <c r="H4421">
        <v>309</v>
      </c>
      <c r="I4421" t="s">
        <v>6705</v>
      </c>
      <c r="J4421" t="s">
        <v>294</v>
      </c>
      <c r="M4421" t="s">
        <v>295</v>
      </c>
      <c r="N4421" t="s">
        <v>7</v>
      </c>
      <c r="O4421" t="s">
        <v>297</v>
      </c>
    </row>
    <row r="4422" spans="1:15" x14ac:dyDescent="0.3">
      <c r="A4422" t="s">
        <v>6670</v>
      </c>
      <c r="B4422" t="s">
        <v>6671</v>
      </c>
      <c r="C4422">
        <v>2022</v>
      </c>
      <c r="D4422" t="s">
        <v>300</v>
      </c>
      <c r="E4422" t="s">
        <v>479</v>
      </c>
      <c r="F4422">
        <v>229</v>
      </c>
      <c r="G4422" t="s">
        <v>302</v>
      </c>
      <c r="H4422">
        <v>309</v>
      </c>
      <c r="I4422" t="s">
        <v>6706</v>
      </c>
      <c r="J4422" t="s">
        <v>294</v>
      </c>
      <c r="M4422" t="s">
        <v>295</v>
      </c>
      <c r="N4422" t="s">
        <v>7</v>
      </c>
      <c r="O4422" t="s">
        <v>297</v>
      </c>
    </row>
    <row r="4423" spans="1:15" x14ac:dyDescent="0.3">
      <c r="A4423" t="s">
        <v>6670</v>
      </c>
      <c r="B4423" t="s">
        <v>6671</v>
      </c>
      <c r="C4423">
        <v>2022</v>
      </c>
      <c r="D4423" t="s">
        <v>300</v>
      </c>
      <c r="E4423" t="s">
        <v>3990</v>
      </c>
      <c r="F4423">
        <v>358</v>
      </c>
      <c r="G4423" t="s">
        <v>302</v>
      </c>
      <c r="H4423">
        <v>309</v>
      </c>
      <c r="I4423" t="s">
        <v>6707</v>
      </c>
      <c r="J4423" t="s">
        <v>294</v>
      </c>
      <c r="M4423" t="s">
        <v>295</v>
      </c>
      <c r="N4423" t="s">
        <v>7</v>
      </c>
      <c r="O4423" t="s">
        <v>297</v>
      </c>
    </row>
    <row r="4424" spans="1:15" x14ac:dyDescent="0.3">
      <c r="A4424" t="s">
        <v>6670</v>
      </c>
      <c r="B4424" t="s">
        <v>6671</v>
      </c>
      <c r="C4424">
        <v>2022</v>
      </c>
      <c r="D4424" t="s">
        <v>300</v>
      </c>
      <c r="E4424" t="s">
        <v>6708</v>
      </c>
      <c r="F4424">
        <v>2923</v>
      </c>
      <c r="G4424" t="s">
        <v>302</v>
      </c>
      <c r="H4424">
        <v>309</v>
      </c>
      <c r="I4424" t="s">
        <v>6709</v>
      </c>
      <c r="J4424" t="s">
        <v>294</v>
      </c>
      <c r="M4424" t="s">
        <v>295</v>
      </c>
      <c r="N4424" t="s">
        <v>7</v>
      </c>
      <c r="O4424" t="s">
        <v>297</v>
      </c>
    </row>
    <row r="4425" spans="1:15" x14ac:dyDescent="0.3">
      <c r="A4425" t="s">
        <v>6670</v>
      </c>
      <c r="B4425" t="s">
        <v>6671</v>
      </c>
      <c r="C4425">
        <v>2022</v>
      </c>
      <c r="D4425" t="s">
        <v>300</v>
      </c>
      <c r="E4425" t="s">
        <v>6710</v>
      </c>
      <c r="F4425">
        <v>2706</v>
      </c>
      <c r="G4425" t="s">
        <v>302</v>
      </c>
      <c r="H4425">
        <v>309</v>
      </c>
      <c r="I4425" t="s">
        <v>6711</v>
      </c>
      <c r="J4425" t="s">
        <v>294</v>
      </c>
      <c r="M4425" t="s">
        <v>295</v>
      </c>
      <c r="N4425" t="s">
        <v>7</v>
      </c>
      <c r="O4425" t="s">
        <v>297</v>
      </c>
    </row>
    <row r="4426" spans="1:15" x14ac:dyDescent="0.3">
      <c r="A4426" t="s">
        <v>6670</v>
      </c>
      <c r="B4426" t="s">
        <v>6671</v>
      </c>
      <c r="C4426">
        <v>2022</v>
      </c>
      <c r="D4426" t="s">
        <v>300</v>
      </c>
      <c r="E4426" t="s">
        <v>3984</v>
      </c>
      <c r="F4426">
        <v>1919</v>
      </c>
      <c r="G4426" t="s">
        <v>302</v>
      </c>
      <c r="H4426">
        <v>309</v>
      </c>
      <c r="I4426" t="s">
        <v>6712</v>
      </c>
      <c r="J4426" t="s">
        <v>294</v>
      </c>
      <c r="M4426" t="s">
        <v>295</v>
      </c>
      <c r="N4426" t="s">
        <v>7</v>
      </c>
      <c r="O4426" t="s">
        <v>297</v>
      </c>
    </row>
    <row r="4427" spans="1:15" x14ac:dyDescent="0.3">
      <c r="A4427" t="s">
        <v>6670</v>
      </c>
      <c r="B4427" t="s">
        <v>6671</v>
      </c>
      <c r="C4427">
        <v>2022</v>
      </c>
      <c r="D4427" t="s">
        <v>300</v>
      </c>
      <c r="E4427" t="s">
        <v>322</v>
      </c>
      <c r="F4427">
        <v>5013</v>
      </c>
      <c r="G4427" t="s">
        <v>302</v>
      </c>
      <c r="H4427">
        <v>10</v>
      </c>
      <c r="I4427" t="s">
        <v>6713</v>
      </c>
      <c r="J4427" t="s">
        <v>294</v>
      </c>
      <c r="M4427" t="s">
        <v>295</v>
      </c>
      <c r="N4427" t="s">
        <v>7</v>
      </c>
      <c r="O4427" t="s">
        <v>297</v>
      </c>
    </row>
    <row r="4428" spans="1:15" x14ac:dyDescent="0.3">
      <c r="A4428" t="s">
        <v>6670</v>
      </c>
      <c r="B4428" t="s">
        <v>6671</v>
      </c>
      <c r="C4428">
        <v>2022</v>
      </c>
      <c r="D4428" t="s">
        <v>300</v>
      </c>
      <c r="E4428" t="s">
        <v>318</v>
      </c>
      <c r="F4428">
        <v>1361</v>
      </c>
      <c r="G4428" t="s">
        <v>302</v>
      </c>
      <c r="H4428">
        <v>10</v>
      </c>
      <c r="I4428" t="s">
        <v>6714</v>
      </c>
      <c r="J4428" t="s">
        <v>294</v>
      </c>
      <c r="M4428" t="s">
        <v>295</v>
      </c>
      <c r="N4428" t="s">
        <v>7</v>
      </c>
      <c r="O4428" t="s">
        <v>297</v>
      </c>
    </row>
    <row r="4429" spans="1:15" x14ac:dyDescent="0.3">
      <c r="A4429" t="s">
        <v>6670</v>
      </c>
      <c r="B4429" t="s">
        <v>6671</v>
      </c>
      <c r="C4429">
        <v>2022</v>
      </c>
      <c r="D4429" t="s">
        <v>300</v>
      </c>
      <c r="E4429" t="s">
        <v>828</v>
      </c>
      <c r="F4429">
        <v>3652</v>
      </c>
      <c r="G4429" t="s">
        <v>302</v>
      </c>
      <c r="H4429">
        <v>310</v>
      </c>
      <c r="I4429" t="s">
        <v>6715</v>
      </c>
      <c r="J4429" t="s">
        <v>294</v>
      </c>
      <c r="M4429" t="s">
        <v>295</v>
      </c>
      <c r="N4429" t="s">
        <v>7</v>
      </c>
      <c r="O4429" t="s">
        <v>297</v>
      </c>
    </row>
    <row r="4430" spans="1:15" x14ac:dyDescent="0.3">
      <c r="A4430" t="s">
        <v>6670</v>
      </c>
      <c r="B4430" t="s">
        <v>6671</v>
      </c>
      <c r="C4430">
        <v>2022</v>
      </c>
      <c r="D4430" t="s">
        <v>300</v>
      </c>
      <c r="E4430" t="s">
        <v>599</v>
      </c>
      <c r="F4430">
        <v>418</v>
      </c>
      <c r="G4430" t="s">
        <v>302</v>
      </c>
      <c r="H4430">
        <v>310</v>
      </c>
      <c r="I4430" t="s">
        <v>6716</v>
      </c>
      <c r="J4430" t="s">
        <v>294</v>
      </c>
      <c r="M4430" t="s">
        <v>295</v>
      </c>
      <c r="N4430" t="s">
        <v>7</v>
      </c>
      <c r="O4430" t="s">
        <v>297</v>
      </c>
    </row>
    <row r="4431" spans="1:15" x14ac:dyDescent="0.3">
      <c r="A4431" t="s">
        <v>6670</v>
      </c>
      <c r="B4431" t="s">
        <v>6671</v>
      </c>
      <c r="C4431">
        <v>2022</v>
      </c>
      <c r="D4431" t="s">
        <v>300</v>
      </c>
      <c r="E4431" t="s">
        <v>6717</v>
      </c>
      <c r="F4431">
        <v>208</v>
      </c>
      <c r="G4431" t="s">
        <v>302</v>
      </c>
      <c r="H4431">
        <v>310</v>
      </c>
      <c r="I4431" t="s">
        <v>6718</v>
      </c>
      <c r="J4431" t="s">
        <v>294</v>
      </c>
      <c r="M4431" t="s">
        <v>295</v>
      </c>
      <c r="N4431" t="s">
        <v>7</v>
      </c>
      <c r="O4431" t="s">
        <v>297</v>
      </c>
    </row>
    <row r="4432" spans="1:15" x14ac:dyDescent="0.3">
      <c r="A4432" t="s">
        <v>6670</v>
      </c>
      <c r="B4432" t="s">
        <v>6671</v>
      </c>
      <c r="C4432">
        <v>2022</v>
      </c>
      <c r="D4432" t="s">
        <v>300</v>
      </c>
      <c r="E4432" t="s">
        <v>6719</v>
      </c>
      <c r="F4432">
        <v>175</v>
      </c>
      <c r="G4432" t="s">
        <v>302</v>
      </c>
      <c r="H4432">
        <v>310</v>
      </c>
      <c r="I4432" t="s">
        <v>6720</v>
      </c>
      <c r="J4432" t="s">
        <v>294</v>
      </c>
      <c r="M4432" t="s">
        <v>295</v>
      </c>
      <c r="N4432" t="s">
        <v>7</v>
      </c>
      <c r="O4432" t="s">
        <v>297</v>
      </c>
    </row>
    <row r="4433" spans="1:15" x14ac:dyDescent="0.3">
      <c r="A4433" t="s">
        <v>6670</v>
      </c>
      <c r="B4433" t="s">
        <v>6671</v>
      </c>
      <c r="C4433">
        <v>2022</v>
      </c>
      <c r="D4433" t="s">
        <v>300</v>
      </c>
      <c r="E4433" t="s">
        <v>6721</v>
      </c>
      <c r="F4433">
        <v>94</v>
      </c>
      <c r="G4433" t="s">
        <v>302</v>
      </c>
      <c r="H4433">
        <v>310</v>
      </c>
      <c r="I4433" t="s">
        <v>6722</v>
      </c>
      <c r="J4433" t="s">
        <v>294</v>
      </c>
      <c r="M4433" t="s">
        <v>295</v>
      </c>
      <c r="N4433" t="s">
        <v>7</v>
      </c>
      <c r="O4433" t="s">
        <v>297</v>
      </c>
    </row>
    <row r="4434" spans="1:15" x14ac:dyDescent="0.3">
      <c r="A4434" t="s">
        <v>6670</v>
      </c>
      <c r="B4434" t="s">
        <v>6671</v>
      </c>
      <c r="C4434">
        <v>2022</v>
      </c>
      <c r="D4434" t="s">
        <v>300</v>
      </c>
      <c r="E4434" t="s">
        <v>6723</v>
      </c>
      <c r="F4434">
        <v>785</v>
      </c>
      <c r="G4434" t="s">
        <v>302</v>
      </c>
      <c r="H4434">
        <v>310</v>
      </c>
      <c r="I4434" t="s">
        <v>6724</v>
      </c>
      <c r="J4434" t="s">
        <v>294</v>
      </c>
      <c r="M4434" t="s">
        <v>295</v>
      </c>
      <c r="N4434" t="s">
        <v>7</v>
      </c>
      <c r="O4434" t="s">
        <v>297</v>
      </c>
    </row>
    <row r="4435" spans="1:15" x14ac:dyDescent="0.3">
      <c r="A4435" t="s">
        <v>6670</v>
      </c>
      <c r="B4435" t="s">
        <v>6671</v>
      </c>
      <c r="C4435">
        <v>2022</v>
      </c>
      <c r="D4435" t="s">
        <v>300</v>
      </c>
      <c r="E4435" t="s">
        <v>6725</v>
      </c>
      <c r="F4435">
        <v>823</v>
      </c>
      <c r="G4435" t="s">
        <v>302</v>
      </c>
      <c r="H4435">
        <v>310</v>
      </c>
      <c r="I4435" t="s">
        <v>6726</v>
      </c>
      <c r="J4435" t="s">
        <v>294</v>
      </c>
      <c r="M4435" t="s">
        <v>295</v>
      </c>
      <c r="N4435" t="s">
        <v>7</v>
      </c>
      <c r="O4435" t="s">
        <v>297</v>
      </c>
    </row>
    <row r="4436" spans="1:15" x14ac:dyDescent="0.3">
      <c r="A4436" t="s">
        <v>6670</v>
      </c>
      <c r="B4436" t="s">
        <v>6671</v>
      </c>
      <c r="C4436">
        <v>2022</v>
      </c>
      <c r="D4436" t="s">
        <v>300</v>
      </c>
      <c r="E4436" t="s">
        <v>475</v>
      </c>
      <c r="F4436">
        <v>997</v>
      </c>
      <c r="G4436" t="s">
        <v>302</v>
      </c>
      <c r="H4436">
        <v>310</v>
      </c>
      <c r="I4436" t="s">
        <v>6727</v>
      </c>
      <c r="J4436" t="s">
        <v>294</v>
      </c>
      <c r="M4436" t="s">
        <v>295</v>
      </c>
      <c r="N4436" t="s">
        <v>7</v>
      </c>
      <c r="O4436" t="s">
        <v>297</v>
      </c>
    </row>
    <row r="4437" spans="1:15" x14ac:dyDescent="0.3">
      <c r="A4437" t="s">
        <v>6670</v>
      </c>
      <c r="B4437" t="s">
        <v>6671</v>
      </c>
      <c r="C4437">
        <v>2022</v>
      </c>
      <c r="D4437" t="s">
        <v>300</v>
      </c>
      <c r="E4437" t="s">
        <v>6728</v>
      </c>
      <c r="F4437">
        <v>3082</v>
      </c>
      <c r="G4437" t="s">
        <v>302</v>
      </c>
      <c r="H4437">
        <v>310</v>
      </c>
      <c r="I4437" t="s">
        <v>6729</v>
      </c>
      <c r="J4437" t="s">
        <v>294</v>
      </c>
      <c r="M4437" t="s">
        <v>295</v>
      </c>
      <c r="N4437" t="s">
        <v>7</v>
      </c>
      <c r="O4437" t="s">
        <v>297</v>
      </c>
    </row>
    <row r="4438" spans="1:15" x14ac:dyDescent="0.3">
      <c r="A4438" t="s">
        <v>6670</v>
      </c>
      <c r="B4438" t="s">
        <v>6671</v>
      </c>
      <c r="C4438">
        <v>2022</v>
      </c>
      <c r="D4438" t="s">
        <v>300</v>
      </c>
      <c r="E4438" t="s">
        <v>324</v>
      </c>
      <c r="F4438">
        <v>5230</v>
      </c>
      <c r="G4438" t="s">
        <v>302</v>
      </c>
      <c r="H4438">
        <v>10</v>
      </c>
      <c r="I4438" t="s">
        <v>6730</v>
      </c>
      <c r="J4438" t="s">
        <v>294</v>
      </c>
      <c r="M4438" t="s">
        <v>295</v>
      </c>
      <c r="N4438" t="s">
        <v>7</v>
      </c>
      <c r="O4438" t="s">
        <v>297</v>
      </c>
    </row>
    <row r="4439" spans="1:15" x14ac:dyDescent="0.3">
      <c r="A4439" t="s">
        <v>6670</v>
      </c>
      <c r="B4439" t="s">
        <v>6671</v>
      </c>
      <c r="C4439">
        <v>2022</v>
      </c>
      <c r="D4439" t="s">
        <v>300</v>
      </c>
      <c r="E4439" t="s">
        <v>601</v>
      </c>
      <c r="F4439">
        <v>1254</v>
      </c>
      <c r="G4439" t="s">
        <v>302</v>
      </c>
      <c r="H4439">
        <v>111</v>
      </c>
      <c r="I4439" t="s">
        <v>6731</v>
      </c>
      <c r="J4439" t="s">
        <v>294</v>
      </c>
      <c r="M4439" t="s">
        <v>295</v>
      </c>
      <c r="N4439" t="s">
        <v>7</v>
      </c>
      <c r="O4439" t="s">
        <v>297</v>
      </c>
    </row>
    <row r="4440" spans="1:15" x14ac:dyDescent="0.3">
      <c r="A4440" t="s">
        <v>6670</v>
      </c>
      <c r="B4440" t="s">
        <v>6671</v>
      </c>
      <c r="C4440">
        <v>2022</v>
      </c>
      <c r="D4440" t="s">
        <v>300</v>
      </c>
      <c r="E4440" t="s">
        <v>603</v>
      </c>
      <c r="F4440">
        <v>-407</v>
      </c>
      <c r="G4440" t="s">
        <v>302</v>
      </c>
      <c r="H4440">
        <v>111</v>
      </c>
      <c r="I4440" t="s">
        <v>6732</v>
      </c>
      <c r="J4440" t="s">
        <v>294</v>
      </c>
      <c r="M4440" t="s">
        <v>295</v>
      </c>
      <c r="N4440" t="s">
        <v>7</v>
      </c>
      <c r="O4440" t="s">
        <v>297</v>
      </c>
    </row>
    <row r="4441" spans="1:15" x14ac:dyDescent="0.3">
      <c r="A4441" t="s">
        <v>6670</v>
      </c>
      <c r="B4441" t="s">
        <v>6671</v>
      </c>
      <c r="C4441">
        <v>2022</v>
      </c>
      <c r="D4441" t="s">
        <v>300</v>
      </c>
      <c r="E4441" t="s">
        <v>716</v>
      </c>
      <c r="F4441">
        <v>-808</v>
      </c>
      <c r="G4441" t="s">
        <v>302</v>
      </c>
      <c r="H4441">
        <v>111</v>
      </c>
      <c r="I4441" t="s">
        <v>6733</v>
      </c>
      <c r="J4441" t="s">
        <v>294</v>
      </c>
      <c r="M4441" t="s">
        <v>295</v>
      </c>
      <c r="N4441" t="s">
        <v>7</v>
      </c>
      <c r="O4441" t="s">
        <v>297</v>
      </c>
    </row>
    <row r="4442" spans="1:15" x14ac:dyDescent="0.3">
      <c r="A4442" t="s">
        <v>6670</v>
      </c>
      <c r="B4442" t="s">
        <v>6671</v>
      </c>
      <c r="C4442">
        <v>2022</v>
      </c>
      <c r="D4442" t="s">
        <v>300</v>
      </c>
      <c r="E4442" t="s">
        <v>6734</v>
      </c>
      <c r="F4442">
        <v>192</v>
      </c>
      <c r="G4442" t="s">
        <v>302</v>
      </c>
      <c r="H4442">
        <v>112</v>
      </c>
      <c r="I4442" t="s">
        <v>6735</v>
      </c>
      <c r="J4442" t="s">
        <v>294</v>
      </c>
      <c r="M4442" t="s">
        <v>295</v>
      </c>
      <c r="N4442" t="s">
        <v>7</v>
      </c>
      <c r="O4442" t="s">
        <v>297</v>
      </c>
    </row>
    <row r="4443" spans="1:15" x14ac:dyDescent="0.3">
      <c r="A4443" t="s">
        <v>6670</v>
      </c>
      <c r="B4443" t="s">
        <v>6671</v>
      </c>
      <c r="C4443">
        <v>2022</v>
      </c>
      <c r="D4443" t="s">
        <v>300</v>
      </c>
      <c r="E4443" t="s">
        <v>6736</v>
      </c>
      <c r="F4443">
        <v>212</v>
      </c>
      <c r="G4443" t="s">
        <v>302</v>
      </c>
      <c r="H4443">
        <v>112</v>
      </c>
      <c r="I4443" t="s">
        <v>6737</v>
      </c>
      <c r="J4443" t="s">
        <v>294</v>
      </c>
      <c r="M4443" t="s">
        <v>295</v>
      </c>
      <c r="N4443" t="s">
        <v>7</v>
      </c>
      <c r="O4443" t="s">
        <v>297</v>
      </c>
    </row>
    <row r="4444" spans="1:15" x14ac:dyDescent="0.3">
      <c r="A4444" t="s">
        <v>6670</v>
      </c>
      <c r="B4444" t="s">
        <v>6671</v>
      </c>
      <c r="C4444">
        <v>2022</v>
      </c>
      <c r="D4444" t="s">
        <v>300</v>
      </c>
      <c r="E4444" t="s">
        <v>5931</v>
      </c>
      <c r="F4444">
        <v>404</v>
      </c>
      <c r="G4444" t="s">
        <v>302</v>
      </c>
      <c r="H4444">
        <v>112</v>
      </c>
      <c r="I4444" t="s">
        <v>6738</v>
      </c>
      <c r="J4444" t="s">
        <v>294</v>
      </c>
      <c r="M4444" t="s">
        <v>295</v>
      </c>
      <c r="N4444" t="s">
        <v>7</v>
      </c>
      <c r="O4444" t="s">
        <v>297</v>
      </c>
    </row>
    <row r="4445" spans="1:15" x14ac:dyDescent="0.3">
      <c r="A4445" t="s">
        <v>6670</v>
      </c>
      <c r="B4445" t="s">
        <v>6671</v>
      </c>
      <c r="C4445">
        <v>2022</v>
      </c>
      <c r="D4445" t="s">
        <v>300</v>
      </c>
      <c r="E4445" t="s">
        <v>3049</v>
      </c>
      <c r="F4445">
        <v>577</v>
      </c>
      <c r="G4445" t="s">
        <v>346</v>
      </c>
      <c r="H4445">
        <v>10</v>
      </c>
      <c r="I4445" t="s">
        <v>6739</v>
      </c>
      <c r="J4445" t="s">
        <v>294</v>
      </c>
      <c r="M4445" t="s">
        <v>295</v>
      </c>
      <c r="N4445" t="s">
        <v>7</v>
      </c>
      <c r="O4445" t="s">
        <v>297</v>
      </c>
    </row>
    <row r="4446" spans="1:15" x14ac:dyDescent="0.3">
      <c r="A4446" t="s">
        <v>6670</v>
      </c>
      <c r="B4446" t="s">
        <v>6671</v>
      </c>
      <c r="C4446">
        <v>2022</v>
      </c>
      <c r="D4446" t="s">
        <v>300</v>
      </c>
      <c r="E4446" t="s">
        <v>342</v>
      </c>
      <c r="F4446">
        <v>1819</v>
      </c>
      <c r="G4446" t="s">
        <v>497</v>
      </c>
      <c r="H4446">
        <v>10</v>
      </c>
      <c r="I4446" t="s">
        <v>6740</v>
      </c>
      <c r="J4446" t="s">
        <v>294</v>
      </c>
      <c r="M4446" t="s">
        <v>295</v>
      </c>
      <c r="N4446" t="s">
        <v>7</v>
      </c>
      <c r="O4446" t="s">
        <v>297</v>
      </c>
    </row>
    <row r="4447" spans="1:15" x14ac:dyDescent="0.3">
      <c r="A4447" t="s">
        <v>6670</v>
      </c>
      <c r="B4447" t="s">
        <v>6671</v>
      </c>
      <c r="C4447">
        <v>2022</v>
      </c>
      <c r="D4447" t="s">
        <v>300</v>
      </c>
      <c r="E4447" t="s">
        <v>723</v>
      </c>
      <c r="F4447">
        <v>2100</v>
      </c>
      <c r="G4447" t="s">
        <v>346</v>
      </c>
      <c r="H4447">
        <v>14</v>
      </c>
      <c r="I4447" t="s">
        <v>6741</v>
      </c>
      <c r="J4447" t="s">
        <v>294</v>
      </c>
      <c r="M4447" t="s">
        <v>295</v>
      </c>
      <c r="N4447" t="s">
        <v>7</v>
      </c>
      <c r="O4447" t="s">
        <v>297</v>
      </c>
    </row>
    <row r="4448" spans="1:15" x14ac:dyDescent="0.3">
      <c r="A4448" t="s">
        <v>6670</v>
      </c>
      <c r="B4448" t="s">
        <v>6671</v>
      </c>
      <c r="C4448">
        <v>2022</v>
      </c>
      <c r="D4448" t="s">
        <v>300</v>
      </c>
      <c r="E4448" t="s">
        <v>3180</v>
      </c>
      <c r="F4448">
        <v>3819</v>
      </c>
      <c r="G4448" t="s">
        <v>302</v>
      </c>
      <c r="H4448">
        <v>14</v>
      </c>
      <c r="I4448" t="s">
        <v>6742</v>
      </c>
      <c r="J4448" t="s">
        <v>294</v>
      </c>
      <c r="M4448" t="s">
        <v>295</v>
      </c>
      <c r="N4448" t="s">
        <v>7</v>
      </c>
      <c r="O4448" t="s">
        <v>297</v>
      </c>
    </row>
    <row r="4449" spans="1:15" x14ac:dyDescent="0.3">
      <c r="A4449" t="s">
        <v>6670</v>
      </c>
      <c r="B4449" t="s">
        <v>6671</v>
      </c>
      <c r="C4449">
        <v>2022</v>
      </c>
      <c r="D4449" t="s">
        <v>300</v>
      </c>
      <c r="E4449" t="s">
        <v>6743</v>
      </c>
      <c r="F4449">
        <v>135</v>
      </c>
      <c r="G4449" t="s">
        <v>346</v>
      </c>
      <c r="H4449">
        <v>74</v>
      </c>
      <c r="I4449" t="s">
        <v>6744</v>
      </c>
      <c r="J4449" t="s">
        <v>294</v>
      </c>
      <c r="M4449" t="s">
        <v>295</v>
      </c>
      <c r="N4449" t="s">
        <v>7</v>
      </c>
      <c r="O4449" t="s">
        <v>297</v>
      </c>
    </row>
    <row r="4450" spans="1:15" x14ac:dyDescent="0.3">
      <c r="A4450" t="s">
        <v>6670</v>
      </c>
      <c r="B4450" t="s">
        <v>6671</v>
      </c>
      <c r="C4450">
        <v>2022</v>
      </c>
      <c r="D4450" t="s">
        <v>300</v>
      </c>
      <c r="E4450" t="s">
        <v>6745</v>
      </c>
      <c r="F4450">
        <v>90</v>
      </c>
      <c r="G4450" t="s">
        <v>346</v>
      </c>
      <c r="H4450">
        <v>74</v>
      </c>
      <c r="I4450" t="s">
        <v>6746</v>
      </c>
      <c r="J4450" t="s">
        <v>294</v>
      </c>
      <c r="M4450" t="s">
        <v>295</v>
      </c>
      <c r="N4450" t="s">
        <v>7</v>
      </c>
      <c r="O4450" t="s">
        <v>297</v>
      </c>
    </row>
    <row r="4451" spans="1:15" x14ac:dyDescent="0.3">
      <c r="A4451" t="s">
        <v>6670</v>
      </c>
      <c r="B4451" t="s">
        <v>6671</v>
      </c>
      <c r="C4451">
        <v>2022</v>
      </c>
      <c r="D4451" t="s">
        <v>300</v>
      </c>
      <c r="E4451" t="s">
        <v>333</v>
      </c>
      <c r="F4451">
        <v>0.10100000000000001</v>
      </c>
      <c r="G4451" t="s">
        <v>334</v>
      </c>
      <c r="H4451">
        <v>11</v>
      </c>
      <c r="I4451" t="s">
        <v>6747</v>
      </c>
      <c r="J4451" t="s">
        <v>294</v>
      </c>
      <c r="M4451" t="s">
        <v>295</v>
      </c>
      <c r="N4451" t="s">
        <v>7</v>
      </c>
      <c r="O4451" t="s">
        <v>297</v>
      </c>
    </row>
    <row r="4452" spans="1:15" x14ac:dyDescent="0.3">
      <c r="A4452" t="s">
        <v>6670</v>
      </c>
      <c r="B4452" t="s">
        <v>6671</v>
      </c>
      <c r="C4452">
        <v>2022</v>
      </c>
      <c r="D4452" t="s">
        <v>300</v>
      </c>
      <c r="E4452" t="s">
        <v>336</v>
      </c>
      <c r="F4452">
        <v>0.19900000000000001</v>
      </c>
      <c r="G4452" t="s">
        <v>334</v>
      </c>
      <c r="H4452">
        <v>11</v>
      </c>
      <c r="I4452" t="s">
        <v>6748</v>
      </c>
      <c r="J4452" t="s">
        <v>294</v>
      </c>
      <c r="M4452" t="s">
        <v>295</v>
      </c>
      <c r="N4452" t="s">
        <v>7</v>
      </c>
      <c r="O4452" t="s">
        <v>297</v>
      </c>
    </row>
    <row r="4453" spans="1:15" x14ac:dyDescent="0.3">
      <c r="A4453" t="s">
        <v>6670</v>
      </c>
      <c r="B4453" t="s">
        <v>6671</v>
      </c>
      <c r="C4453">
        <v>2022</v>
      </c>
      <c r="D4453" t="s">
        <v>300</v>
      </c>
      <c r="E4453" t="s">
        <v>6749</v>
      </c>
      <c r="F4453">
        <v>0.49199999999999999</v>
      </c>
      <c r="G4453" t="s">
        <v>334</v>
      </c>
      <c r="H4453">
        <v>11</v>
      </c>
      <c r="I4453" t="s">
        <v>6750</v>
      </c>
      <c r="J4453" t="s">
        <v>294</v>
      </c>
      <c r="M4453" t="s">
        <v>295</v>
      </c>
      <c r="N4453" t="s">
        <v>7</v>
      </c>
      <c r="O4453" t="s">
        <v>297</v>
      </c>
    </row>
    <row r="4454" spans="1:15" x14ac:dyDescent="0.3">
      <c r="A4454" t="s">
        <v>6670</v>
      </c>
      <c r="B4454" t="s">
        <v>6671</v>
      </c>
      <c r="C4454">
        <v>2022</v>
      </c>
      <c r="D4454" t="s">
        <v>300</v>
      </c>
      <c r="E4454" t="s">
        <v>326</v>
      </c>
      <c r="F4454">
        <v>1.323</v>
      </c>
      <c r="G4454" t="s">
        <v>327</v>
      </c>
      <c r="H4454">
        <v>11</v>
      </c>
      <c r="I4454" t="s">
        <v>6751</v>
      </c>
      <c r="J4454" t="s">
        <v>294</v>
      </c>
      <c r="M4454" t="s">
        <v>295</v>
      </c>
      <c r="N4454" t="s">
        <v>7</v>
      </c>
      <c r="O4454" t="s">
        <v>297</v>
      </c>
    </row>
    <row r="4455" spans="1:15" x14ac:dyDescent="0.3">
      <c r="A4455" t="s">
        <v>6670</v>
      </c>
      <c r="B4455" t="s">
        <v>6671</v>
      </c>
      <c r="C4455">
        <v>2022</v>
      </c>
      <c r="D4455" t="s">
        <v>300</v>
      </c>
      <c r="E4455" t="s">
        <v>340</v>
      </c>
      <c r="F4455">
        <v>0.35</v>
      </c>
      <c r="G4455" t="s">
        <v>334</v>
      </c>
      <c r="H4455">
        <v>11</v>
      </c>
      <c r="I4455" t="s">
        <v>6752</v>
      </c>
      <c r="J4455" t="s">
        <v>294</v>
      </c>
      <c r="M4455" t="s">
        <v>295</v>
      </c>
      <c r="N4455" t="s">
        <v>7</v>
      </c>
      <c r="O4455" t="s">
        <v>297</v>
      </c>
    </row>
    <row r="4456" spans="1:15" x14ac:dyDescent="0.3">
      <c r="A4456" t="s">
        <v>6670</v>
      </c>
      <c r="B4456" t="s">
        <v>6671</v>
      </c>
      <c r="C4456">
        <v>2022</v>
      </c>
      <c r="D4456" t="s">
        <v>300</v>
      </c>
      <c r="E4456" t="s">
        <v>6753</v>
      </c>
      <c r="F4456">
        <v>0.28499999999999998</v>
      </c>
      <c r="G4456" t="s">
        <v>334</v>
      </c>
      <c r="H4456">
        <v>11</v>
      </c>
      <c r="I4456" t="s">
        <v>6754</v>
      </c>
      <c r="J4456" t="s">
        <v>294</v>
      </c>
      <c r="M4456" t="s">
        <v>295</v>
      </c>
      <c r="N4456" t="s">
        <v>7</v>
      </c>
      <c r="O4456" t="s">
        <v>297</v>
      </c>
    </row>
    <row r="4457" spans="1:15" x14ac:dyDescent="0.3">
      <c r="A4457" t="s">
        <v>6670</v>
      </c>
      <c r="B4457" t="s">
        <v>6671</v>
      </c>
      <c r="C4457">
        <v>2022</v>
      </c>
      <c r="D4457" t="s">
        <v>300</v>
      </c>
      <c r="E4457" t="s">
        <v>901</v>
      </c>
      <c r="F4457">
        <v>0.38100000000000001</v>
      </c>
      <c r="G4457" t="s">
        <v>334</v>
      </c>
      <c r="H4457">
        <v>11</v>
      </c>
      <c r="I4457" t="s">
        <v>6755</v>
      </c>
      <c r="J4457" t="s">
        <v>294</v>
      </c>
      <c r="M4457" t="s">
        <v>295</v>
      </c>
      <c r="N4457" t="s">
        <v>7</v>
      </c>
      <c r="O4457" t="s">
        <v>297</v>
      </c>
    </row>
    <row r="4458" spans="1:15" x14ac:dyDescent="0.3">
      <c r="A4458" t="s">
        <v>6670</v>
      </c>
      <c r="B4458" t="s">
        <v>6671</v>
      </c>
      <c r="C4458">
        <v>2022</v>
      </c>
      <c r="D4458" t="s">
        <v>300</v>
      </c>
      <c r="E4458" t="s">
        <v>903</v>
      </c>
      <c r="F4458">
        <v>0.183</v>
      </c>
      <c r="G4458" t="s">
        <v>334</v>
      </c>
      <c r="H4458">
        <v>11</v>
      </c>
      <c r="I4458" t="s">
        <v>6756</v>
      </c>
      <c r="J4458" t="s">
        <v>294</v>
      </c>
      <c r="M4458" t="s">
        <v>295</v>
      </c>
      <c r="N4458" t="s">
        <v>7</v>
      </c>
      <c r="O4458" t="s">
        <v>297</v>
      </c>
    </row>
    <row r="4459" spans="1:15" x14ac:dyDescent="0.3">
      <c r="A4459" t="s">
        <v>6670</v>
      </c>
      <c r="B4459" t="s">
        <v>6671</v>
      </c>
      <c r="C4459">
        <v>2022</v>
      </c>
      <c r="D4459" t="s">
        <v>358</v>
      </c>
      <c r="E4459" t="s">
        <v>6757</v>
      </c>
      <c r="F4459">
        <v>133000</v>
      </c>
      <c r="G4459" t="s">
        <v>360</v>
      </c>
      <c r="H4459">
        <v>92</v>
      </c>
      <c r="I4459" t="s">
        <v>6758</v>
      </c>
      <c r="J4459" t="s">
        <v>294</v>
      </c>
      <c r="M4459" t="s">
        <v>295</v>
      </c>
      <c r="N4459" t="s">
        <v>7</v>
      </c>
      <c r="O4459" t="s">
        <v>297</v>
      </c>
    </row>
    <row r="4460" spans="1:15" x14ac:dyDescent="0.3">
      <c r="A4460" t="s">
        <v>6670</v>
      </c>
      <c r="B4460" t="s">
        <v>6671</v>
      </c>
      <c r="C4460">
        <v>2022</v>
      </c>
      <c r="D4460" t="s">
        <v>358</v>
      </c>
      <c r="E4460" t="s">
        <v>6759</v>
      </c>
      <c r="F4460">
        <v>83000</v>
      </c>
      <c r="G4460" t="s">
        <v>360</v>
      </c>
      <c r="H4460">
        <v>92</v>
      </c>
      <c r="I4460" t="s">
        <v>6760</v>
      </c>
      <c r="J4460" t="s">
        <v>294</v>
      </c>
      <c r="M4460" t="s">
        <v>295</v>
      </c>
      <c r="N4460" t="s">
        <v>7</v>
      </c>
      <c r="O4460" t="s">
        <v>297</v>
      </c>
    </row>
    <row r="4461" spans="1:15" x14ac:dyDescent="0.3">
      <c r="A4461" t="s">
        <v>6670</v>
      </c>
      <c r="B4461" t="s">
        <v>6671</v>
      </c>
      <c r="C4461">
        <v>2022</v>
      </c>
      <c r="D4461" t="s">
        <v>358</v>
      </c>
      <c r="E4461" t="s">
        <v>6761</v>
      </c>
      <c r="F4461">
        <v>50036</v>
      </c>
      <c r="G4461" t="s">
        <v>360</v>
      </c>
      <c r="H4461">
        <v>61</v>
      </c>
      <c r="I4461" t="s">
        <v>6762</v>
      </c>
      <c r="J4461" t="s">
        <v>294</v>
      </c>
      <c r="M4461" t="s">
        <v>295</v>
      </c>
      <c r="N4461" t="s">
        <v>7</v>
      </c>
      <c r="O4461" t="s">
        <v>297</v>
      </c>
    </row>
    <row r="4462" spans="1:15" x14ac:dyDescent="0.3">
      <c r="A4462" t="s">
        <v>6670</v>
      </c>
      <c r="B4462" t="s">
        <v>6671</v>
      </c>
      <c r="C4462">
        <v>2022</v>
      </c>
      <c r="D4462" t="s">
        <v>358</v>
      </c>
      <c r="E4462" t="s">
        <v>930</v>
      </c>
      <c r="F4462">
        <v>49687</v>
      </c>
      <c r="G4462" t="s">
        <v>360</v>
      </c>
      <c r="H4462">
        <v>68</v>
      </c>
      <c r="I4462" t="s">
        <v>6763</v>
      </c>
      <c r="J4462" t="s">
        <v>294</v>
      </c>
      <c r="M4462" t="s">
        <v>295</v>
      </c>
      <c r="N4462" t="s">
        <v>7</v>
      </c>
      <c r="O4462" t="s">
        <v>297</v>
      </c>
    </row>
    <row r="4463" spans="1:15" x14ac:dyDescent="0.3">
      <c r="A4463" t="s">
        <v>6670</v>
      </c>
      <c r="B4463" t="s">
        <v>6671</v>
      </c>
      <c r="C4463">
        <v>2022</v>
      </c>
      <c r="D4463" t="s">
        <v>358</v>
      </c>
      <c r="E4463" t="s">
        <v>6764</v>
      </c>
      <c r="F4463">
        <v>36798</v>
      </c>
      <c r="G4463" t="s">
        <v>384</v>
      </c>
      <c r="H4463">
        <v>68</v>
      </c>
      <c r="I4463" t="s">
        <v>6765</v>
      </c>
      <c r="J4463" t="s">
        <v>294</v>
      </c>
      <c r="M4463" t="s">
        <v>295</v>
      </c>
      <c r="N4463" t="s">
        <v>7</v>
      </c>
      <c r="O4463" t="s">
        <v>297</v>
      </c>
    </row>
    <row r="4464" spans="1:15" x14ac:dyDescent="0.3">
      <c r="A4464" t="s">
        <v>6670</v>
      </c>
      <c r="B4464" t="s">
        <v>6671</v>
      </c>
      <c r="C4464">
        <v>2022</v>
      </c>
      <c r="D4464" t="s">
        <v>358</v>
      </c>
      <c r="E4464" t="s">
        <v>6766</v>
      </c>
      <c r="F4464">
        <v>0.92</v>
      </c>
      <c r="G4464" t="s">
        <v>334</v>
      </c>
      <c r="H4464">
        <v>92</v>
      </c>
      <c r="I4464" t="s">
        <v>6767</v>
      </c>
      <c r="J4464" t="s">
        <v>294</v>
      </c>
      <c r="M4464" t="s">
        <v>295</v>
      </c>
      <c r="N4464" t="s">
        <v>7</v>
      </c>
      <c r="O4464" t="s">
        <v>297</v>
      </c>
    </row>
    <row r="4465" spans="1:15" x14ac:dyDescent="0.3">
      <c r="A4465" t="s">
        <v>6670</v>
      </c>
      <c r="B4465" t="s">
        <v>6671</v>
      </c>
      <c r="C4465">
        <v>2022</v>
      </c>
      <c r="D4465" t="s">
        <v>358</v>
      </c>
      <c r="E4465" t="s">
        <v>6768</v>
      </c>
      <c r="F4465">
        <v>14</v>
      </c>
      <c r="G4465" t="s">
        <v>375</v>
      </c>
      <c r="H4465">
        <v>92</v>
      </c>
      <c r="I4465" t="s">
        <v>6769</v>
      </c>
      <c r="J4465" t="s">
        <v>294</v>
      </c>
      <c r="M4465" t="s">
        <v>295</v>
      </c>
      <c r="N4465" t="s">
        <v>7</v>
      </c>
      <c r="O4465" t="s">
        <v>297</v>
      </c>
    </row>
    <row r="4466" spans="1:15" x14ac:dyDescent="0.3">
      <c r="A4466" t="s">
        <v>6670</v>
      </c>
      <c r="B4466" t="s">
        <v>6671</v>
      </c>
      <c r="C4466">
        <v>2022</v>
      </c>
      <c r="D4466" t="s">
        <v>358</v>
      </c>
      <c r="E4466" t="s">
        <v>6770</v>
      </c>
      <c r="F4466">
        <v>17</v>
      </c>
      <c r="G4466" t="s">
        <v>375</v>
      </c>
      <c r="H4466">
        <v>92</v>
      </c>
      <c r="I4466" t="s">
        <v>6771</v>
      </c>
      <c r="J4466" t="s">
        <v>294</v>
      </c>
      <c r="M4466" t="s">
        <v>295</v>
      </c>
      <c r="N4466" t="s">
        <v>7</v>
      </c>
      <c r="O4466" t="s">
        <v>297</v>
      </c>
    </row>
    <row r="4467" spans="1:15" x14ac:dyDescent="0.3">
      <c r="A4467" t="s">
        <v>6670</v>
      </c>
      <c r="B4467" t="s">
        <v>6671</v>
      </c>
      <c r="C4467">
        <v>2022</v>
      </c>
      <c r="D4467" t="s">
        <v>358</v>
      </c>
      <c r="E4467" t="s">
        <v>6772</v>
      </c>
      <c r="F4467">
        <v>12781</v>
      </c>
      <c r="G4467" t="s">
        <v>360</v>
      </c>
      <c r="H4467">
        <v>92</v>
      </c>
      <c r="I4467" t="s">
        <v>6773</v>
      </c>
      <c r="J4467" t="s">
        <v>294</v>
      </c>
      <c r="M4467" t="s">
        <v>295</v>
      </c>
      <c r="N4467" t="s">
        <v>7</v>
      </c>
      <c r="O4467" t="s">
        <v>297</v>
      </c>
    </row>
    <row r="4468" spans="1:15" x14ac:dyDescent="0.3">
      <c r="A4468" t="s">
        <v>6670</v>
      </c>
      <c r="B4468" t="s">
        <v>6671</v>
      </c>
      <c r="C4468">
        <v>2022</v>
      </c>
      <c r="D4468" t="s">
        <v>358</v>
      </c>
      <c r="E4468" t="s">
        <v>6774</v>
      </c>
      <c r="F4468">
        <v>21000</v>
      </c>
      <c r="G4468" t="s">
        <v>360</v>
      </c>
      <c r="H4468">
        <v>92</v>
      </c>
      <c r="I4468" t="s">
        <v>6775</v>
      </c>
      <c r="J4468" t="s">
        <v>294</v>
      </c>
      <c r="M4468" t="s">
        <v>295</v>
      </c>
      <c r="N4468" t="s">
        <v>7</v>
      </c>
      <c r="O4468" t="s">
        <v>297</v>
      </c>
    </row>
    <row r="4469" spans="1:15" x14ac:dyDescent="0.3">
      <c r="A4469" t="s">
        <v>6670</v>
      </c>
      <c r="B4469" t="s">
        <v>6671</v>
      </c>
      <c r="C4469">
        <v>2022</v>
      </c>
      <c r="D4469" t="s">
        <v>358</v>
      </c>
      <c r="E4469" t="s">
        <v>4263</v>
      </c>
      <c r="F4469">
        <v>22361</v>
      </c>
      <c r="G4469" t="s">
        <v>360</v>
      </c>
      <c r="H4469">
        <v>92</v>
      </c>
      <c r="I4469" t="s">
        <v>6776</v>
      </c>
      <c r="J4469" t="s">
        <v>294</v>
      </c>
      <c r="M4469" t="s">
        <v>295</v>
      </c>
      <c r="N4469" t="s">
        <v>7</v>
      </c>
      <c r="O4469" t="s">
        <v>297</v>
      </c>
    </row>
    <row r="4470" spans="1:15" x14ac:dyDescent="0.3">
      <c r="A4470" t="s">
        <v>6670</v>
      </c>
      <c r="B4470" t="s">
        <v>6671</v>
      </c>
      <c r="C4470">
        <v>2022</v>
      </c>
      <c r="D4470" t="s">
        <v>358</v>
      </c>
      <c r="E4470" t="s">
        <v>6777</v>
      </c>
      <c r="F4470">
        <v>100000</v>
      </c>
      <c r="G4470" t="s">
        <v>360</v>
      </c>
      <c r="H4470">
        <v>92</v>
      </c>
      <c r="I4470" t="s">
        <v>6778</v>
      </c>
      <c r="J4470" t="s">
        <v>294</v>
      </c>
      <c r="M4470" t="s">
        <v>295</v>
      </c>
      <c r="N4470" t="s">
        <v>7</v>
      </c>
      <c r="O4470" t="s">
        <v>297</v>
      </c>
    </row>
    <row r="4471" spans="1:15" x14ac:dyDescent="0.3">
      <c r="A4471" t="s">
        <v>6670</v>
      </c>
      <c r="B4471" t="s">
        <v>6671</v>
      </c>
      <c r="C4471">
        <v>2022</v>
      </c>
      <c r="D4471" t="s">
        <v>358</v>
      </c>
      <c r="E4471" t="s">
        <v>6779</v>
      </c>
      <c r="F4471">
        <v>8</v>
      </c>
      <c r="G4471" t="s">
        <v>384</v>
      </c>
      <c r="H4471">
        <v>90</v>
      </c>
      <c r="I4471" t="s">
        <v>6780</v>
      </c>
      <c r="J4471" t="s">
        <v>294</v>
      </c>
      <c r="M4471" t="s">
        <v>295</v>
      </c>
      <c r="N4471" t="s">
        <v>7</v>
      </c>
      <c r="O4471" t="s">
        <v>297</v>
      </c>
    </row>
    <row r="4472" spans="1:15" x14ac:dyDescent="0.3">
      <c r="A4472" t="s">
        <v>6670</v>
      </c>
      <c r="B4472" t="s">
        <v>6671</v>
      </c>
      <c r="C4472">
        <v>2022</v>
      </c>
      <c r="D4472" t="s">
        <v>358</v>
      </c>
      <c r="E4472" t="s">
        <v>934</v>
      </c>
      <c r="F4472">
        <v>515</v>
      </c>
      <c r="G4472" t="s">
        <v>738</v>
      </c>
      <c r="H4472">
        <v>90</v>
      </c>
      <c r="I4472" t="s">
        <v>6781</v>
      </c>
      <c r="J4472" t="s">
        <v>294</v>
      </c>
      <c r="M4472" t="s">
        <v>295</v>
      </c>
      <c r="N4472" t="s">
        <v>7</v>
      </c>
      <c r="O4472" t="s">
        <v>297</v>
      </c>
    </row>
    <row r="4473" spans="1:15" x14ac:dyDescent="0.3">
      <c r="A4473" t="s">
        <v>6670</v>
      </c>
      <c r="B4473" t="s">
        <v>6671</v>
      </c>
      <c r="C4473">
        <v>2022</v>
      </c>
      <c r="D4473" t="s">
        <v>394</v>
      </c>
      <c r="E4473" t="s">
        <v>6782</v>
      </c>
      <c r="F4473">
        <v>1913594</v>
      </c>
      <c r="G4473" t="s">
        <v>396</v>
      </c>
      <c r="H4473">
        <v>90</v>
      </c>
      <c r="I4473" t="s">
        <v>6783</v>
      </c>
      <c r="J4473" t="s">
        <v>294</v>
      </c>
      <c r="M4473" t="s">
        <v>295</v>
      </c>
      <c r="N4473" t="s">
        <v>7</v>
      </c>
      <c r="O4473" t="s">
        <v>297</v>
      </c>
    </row>
    <row r="4474" spans="1:15" x14ac:dyDescent="0.3">
      <c r="A4474" t="s">
        <v>6670</v>
      </c>
      <c r="B4474" t="s">
        <v>6671</v>
      </c>
      <c r="C4474">
        <v>2022</v>
      </c>
      <c r="D4474" t="s">
        <v>394</v>
      </c>
      <c r="E4474" t="s">
        <v>533</v>
      </c>
      <c r="F4474">
        <v>1242866</v>
      </c>
      <c r="G4474" t="s">
        <v>396</v>
      </c>
      <c r="H4474">
        <v>90</v>
      </c>
      <c r="I4474" t="s">
        <v>6784</v>
      </c>
      <c r="J4474" t="s">
        <v>294</v>
      </c>
      <c r="M4474" t="s">
        <v>295</v>
      </c>
      <c r="N4474" t="s">
        <v>7</v>
      </c>
      <c r="O4474" t="s">
        <v>297</v>
      </c>
    </row>
    <row r="4475" spans="1:15" x14ac:dyDescent="0.3">
      <c r="A4475" t="s">
        <v>6670</v>
      </c>
      <c r="B4475" t="s">
        <v>6671</v>
      </c>
      <c r="C4475">
        <v>2022</v>
      </c>
      <c r="D4475" t="s">
        <v>394</v>
      </c>
      <c r="E4475" t="s">
        <v>6785</v>
      </c>
      <c r="F4475">
        <v>670728</v>
      </c>
      <c r="G4475" t="s">
        <v>396</v>
      </c>
      <c r="H4475">
        <v>90</v>
      </c>
      <c r="I4475" t="s">
        <v>6786</v>
      </c>
      <c r="J4475" t="s">
        <v>294</v>
      </c>
      <c r="M4475" t="s">
        <v>295</v>
      </c>
      <c r="N4475" t="s">
        <v>7</v>
      </c>
      <c r="O4475" t="s">
        <v>297</v>
      </c>
    </row>
    <row r="4476" spans="1:15" x14ac:dyDescent="0.3">
      <c r="A4476" t="s">
        <v>6670</v>
      </c>
      <c r="B4476" t="s">
        <v>6671</v>
      </c>
      <c r="C4476">
        <v>2022</v>
      </c>
      <c r="D4476" t="s">
        <v>394</v>
      </c>
      <c r="E4476" t="s">
        <v>406</v>
      </c>
      <c r="F4476">
        <v>394847</v>
      </c>
      <c r="G4476" t="s">
        <v>396</v>
      </c>
      <c r="H4476">
        <v>89</v>
      </c>
      <c r="I4476" t="s">
        <v>6787</v>
      </c>
      <c r="J4476" t="s">
        <v>294</v>
      </c>
      <c r="M4476" t="s">
        <v>295</v>
      </c>
      <c r="N4476" t="s">
        <v>7</v>
      </c>
      <c r="O4476" t="s">
        <v>297</v>
      </c>
    </row>
    <row r="4477" spans="1:15" x14ac:dyDescent="0.3">
      <c r="A4477" t="s">
        <v>6670</v>
      </c>
      <c r="B4477" t="s">
        <v>6671</v>
      </c>
      <c r="C4477">
        <v>2022</v>
      </c>
      <c r="D4477" t="s">
        <v>394</v>
      </c>
      <c r="E4477" t="s">
        <v>4456</v>
      </c>
      <c r="F4477">
        <v>98321</v>
      </c>
      <c r="G4477" t="s">
        <v>396</v>
      </c>
      <c r="H4477">
        <v>89</v>
      </c>
      <c r="I4477" t="s">
        <v>6788</v>
      </c>
      <c r="J4477" t="s">
        <v>294</v>
      </c>
      <c r="M4477" t="s">
        <v>295</v>
      </c>
      <c r="N4477" t="s">
        <v>7</v>
      </c>
      <c r="O4477" t="s">
        <v>297</v>
      </c>
    </row>
    <row r="4478" spans="1:15" x14ac:dyDescent="0.3">
      <c r="A4478" t="s">
        <v>6670</v>
      </c>
      <c r="B4478" t="s">
        <v>6671</v>
      </c>
      <c r="C4478">
        <v>2022</v>
      </c>
      <c r="D4478" t="s">
        <v>394</v>
      </c>
      <c r="E4478" t="s">
        <v>6789</v>
      </c>
      <c r="F4478">
        <v>22528000</v>
      </c>
      <c r="G4478" t="s">
        <v>6790</v>
      </c>
      <c r="H4478">
        <v>89</v>
      </c>
      <c r="I4478" t="s">
        <v>6791</v>
      </c>
      <c r="J4478" t="s">
        <v>294</v>
      </c>
      <c r="M4478" t="s">
        <v>295</v>
      </c>
      <c r="N4478" t="s">
        <v>7</v>
      </c>
      <c r="O4478" t="s">
        <v>297</v>
      </c>
    </row>
    <row r="4479" spans="1:15" x14ac:dyDescent="0.3">
      <c r="A4479" t="s">
        <v>6670</v>
      </c>
      <c r="B4479" t="s">
        <v>6671</v>
      </c>
      <c r="C4479">
        <v>2022</v>
      </c>
      <c r="D4479" t="s">
        <v>394</v>
      </c>
      <c r="E4479" t="s">
        <v>6792</v>
      </c>
      <c r="F4479">
        <v>3030</v>
      </c>
      <c r="G4479" t="s">
        <v>396</v>
      </c>
      <c r="H4479">
        <v>89</v>
      </c>
      <c r="I4479" t="s">
        <v>6793</v>
      </c>
      <c r="J4479" t="s">
        <v>294</v>
      </c>
      <c r="M4479" t="s">
        <v>295</v>
      </c>
      <c r="N4479" t="s">
        <v>7</v>
      </c>
      <c r="O4479" t="s">
        <v>297</v>
      </c>
    </row>
    <row r="4480" spans="1:15" x14ac:dyDescent="0.3">
      <c r="A4480" t="s">
        <v>6670</v>
      </c>
      <c r="B4480" t="s">
        <v>6671</v>
      </c>
      <c r="C4480">
        <v>2022</v>
      </c>
      <c r="D4480" t="s">
        <v>394</v>
      </c>
      <c r="E4480" t="s">
        <v>438</v>
      </c>
      <c r="F4480">
        <v>375395</v>
      </c>
      <c r="G4480" t="s">
        <v>396</v>
      </c>
      <c r="H4480">
        <v>89</v>
      </c>
      <c r="I4480" t="s">
        <v>6794</v>
      </c>
      <c r="J4480" t="s">
        <v>294</v>
      </c>
      <c r="M4480" t="s">
        <v>295</v>
      </c>
      <c r="N4480" t="s">
        <v>7</v>
      </c>
      <c r="O4480" t="s">
        <v>297</v>
      </c>
    </row>
    <row r="4481" spans="1:15" x14ac:dyDescent="0.3">
      <c r="A4481" t="s">
        <v>6670</v>
      </c>
      <c r="B4481" t="s">
        <v>6671</v>
      </c>
      <c r="C4481">
        <v>2022</v>
      </c>
      <c r="D4481" t="s">
        <v>394</v>
      </c>
      <c r="E4481" t="s">
        <v>4994</v>
      </c>
      <c r="F4481">
        <v>95992</v>
      </c>
      <c r="G4481" t="s">
        <v>396</v>
      </c>
      <c r="H4481">
        <v>89</v>
      </c>
      <c r="I4481" t="s">
        <v>6795</v>
      </c>
      <c r="J4481" t="s">
        <v>294</v>
      </c>
      <c r="M4481" t="s">
        <v>295</v>
      </c>
      <c r="N4481" t="s">
        <v>7</v>
      </c>
      <c r="O4481" t="s">
        <v>297</v>
      </c>
    </row>
    <row r="4482" spans="1:15" x14ac:dyDescent="0.3">
      <c r="A4482" t="s">
        <v>6670</v>
      </c>
      <c r="B4482" t="s">
        <v>6671</v>
      </c>
      <c r="C4482">
        <v>2022</v>
      </c>
      <c r="D4482" t="s">
        <v>394</v>
      </c>
      <c r="E4482" t="s">
        <v>6796</v>
      </c>
      <c r="F4482">
        <v>20286000</v>
      </c>
      <c r="G4482" t="s">
        <v>6790</v>
      </c>
      <c r="H4482">
        <v>89</v>
      </c>
      <c r="I4482" t="s">
        <v>6797</v>
      </c>
      <c r="J4482" t="s">
        <v>294</v>
      </c>
      <c r="M4482" t="s">
        <v>295</v>
      </c>
      <c r="N4482" t="s">
        <v>7</v>
      </c>
      <c r="O4482" t="s">
        <v>297</v>
      </c>
    </row>
    <row r="4483" spans="1:15" x14ac:dyDescent="0.3">
      <c r="A4483" t="s">
        <v>6670</v>
      </c>
      <c r="B4483" t="s">
        <v>6671</v>
      </c>
      <c r="C4483">
        <v>2022</v>
      </c>
      <c r="D4483" t="s">
        <v>394</v>
      </c>
      <c r="E4483" t="s">
        <v>6798</v>
      </c>
      <c r="F4483">
        <v>2951</v>
      </c>
      <c r="G4483" t="s">
        <v>396</v>
      </c>
      <c r="H4483">
        <v>89</v>
      </c>
      <c r="I4483" t="s">
        <v>6799</v>
      </c>
      <c r="J4483" t="s">
        <v>294</v>
      </c>
      <c r="M4483" t="s">
        <v>295</v>
      </c>
      <c r="N4483" t="s">
        <v>7</v>
      </c>
      <c r="O4483" t="s">
        <v>297</v>
      </c>
    </row>
    <row r="4484" spans="1:15" x14ac:dyDescent="0.3">
      <c r="A4484" t="s">
        <v>6670</v>
      </c>
      <c r="B4484" t="s">
        <v>6671</v>
      </c>
      <c r="C4484">
        <v>2022</v>
      </c>
      <c r="D4484" t="s">
        <v>394</v>
      </c>
      <c r="E4484" t="s">
        <v>554</v>
      </c>
      <c r="F4484">
        <v>12341</v>
      </c>
      <c r="G4484" t="s">
        <v>436</v>
      </c>
      <c r="H4484">
        <v>89</v>
      </c>
      <c r="I4484" t="s">
        <v>6800</v>
      </c>
      <c r="J4484" t="s">
        <v>294</v>
      </c>
      <c r="M4484" t="s">
        <v>295</v>
      </c>
      <c r="N4484" t="s">
        <v>7</v>
      </c>
      <c r="O4484" t="s">
        <v>297</v>
      </c>
    </row>
    <row r="4485" spans="1:15" x14ac:dyDescent="0.3">
      <c r="A4485" t="s">
        <v>6670</v>
      </c>
      <c r="B4485" t="s">
        <v>6671</v>
      </c>
      <c r="C4485">
        <v>2022</v>
      </c>
      <c r="D4485" t="s">
        <v>394</v>
      </c>
      <c r="E4485" t="s">
        <v>5195</v>
      </c>
      <c r="F4485">
        <v>7668</v>
      </c>
      <c r="G4485" t="s">
        <v>436</v>
      </c>
      <c r="H4485">
        <v>89</v>
      </c>
      <c r="I4485" t="s">
        <v>6801</v>
      </c>
      <c r="J4485" t="s">
        <v>294</v>
      </c>
      <c r="M4485" t="s">
        <v>295</v>
      </c>
      <c r="N4485" t="s">
        <v>7</v>
      </c>
      <c r="O4485" t="s">
        <v>297</v>
      </c>
    </row>
    <row r="4486" spans="1:15" x14ac:dyDescent="0.3">
      <c r="A4486" t="s">
        <v>6670</v>
      </c>
      <c r="B4486" t="s">
        <v>6671</v>
      </c>
      <c r="C4486">
        <v>2022</v>
      </c>
      <c r="D4486" t="s">
        <v>394</v>
      </c>
      <c r="E4486" t="s">
        <v>6802</v>
      </c>
      <c r="F4486">
        <v>8375</v>
      </c>
      <c r="G4486" t="s">
        <v>6803</v>
      </c>
      <c r="H4486">
        <v>89</v>
      </c>
      <c r="I4486" t="s">
        <v>6804</v>
      </c>
      <c r="J4486" t="s">
        <v>294</v>
      </c>
      <c r="M4486" t="s">
        <v>295</v>
      </c>
      <c r="N4486" t="s">
        <v>7</v>
      </c>
      <c r="O4486" t="s">
        <v>297</v>
      </c>
    </row>
    <row r="4487" spans="1:15" x14ac:dyDescent="0.3">
      <c r="A4487" t="s">
        <v>6670</v>
      </c>
      <c r="B4487" t="s">
        <v>6671</v>
      </c>
      <c r="C4487">
        <v>2022</v>
      </c>
      <c r="D4487" t="s">
        <v>394</v>
      </c>
      <c r="E4487" t="s">
        <v>550</v>
      </c>
      <c r="F4487">
        <v>0.21</v>
      </c>
      <c r="G4487" t="s">
        <v>334</v>
      </c>
      <c r="H4487">
        <v>100</v>
      </c>
      <c r="I4487" t="s">
        <v>6805</v>
      </c>
      <c r="J4487" t="s">
        <v>294</v>
      </c>
      <c r="M4487" t="s">
        <v>295</v>
      </c>
      <c r="N4487" t="s">
        <v>7</v>
      </c>
      <c r="O4487" t="s">
        <v>297</v>
      </c>
    </row>
    <row r="4488" spans="1:15" x14ac:dyDescent="0.3">
      <c r="A4488" t="s">
        <v>6670</v>
      </c>
      <c r="B4488" t="s">
        <v>6671</v>
      </c>
      <c r="C4488">
        <v>2022</v>
      </c>
      <c r="D4488" t="s">
        <v>394</v>
      </c>
      <c r="E4488" t="s">
        <v>6806</v>
      </c>
      <c r="F4488">
        <v>0.36</v>
      </c>
      <c r="G4488" t="s">
        <v>334</v>
      </c>
      <c r="H4488">
        <v>90</v>
      </c>
      <c r="I4488" t="s">
        <v>6807</v>
      </c>
      <c r="J4488" t="s">
        <v>294</v>
      </c>
      <c r="M4488" t="s">
        <v>295</v>
      </c>
      <c r="N4488" t="s">
        <v>7</v>
      </c>
      <c r="O4488" t="s">
        <v>297</v>
      </c>
    </row>
    <row r="4489" spans="1:15" x14ac:dyDescent="0.3">
      <c r="A4489" t="s">
        <v>6670</v>
      </c>
      <c r="B4489" t="s">
        <v>6671</v>
      </c>
      <c r="C4489">
        <v>2022</v>
      </c>
      <c r="D4489" t="s">
        <v>394</v>
      </c>
      <c r="E4489" t="s">
        <v>6808</v>
      </c>
      <c r="F4489">
        <v>0.64</v>
      </c>
      <c r="G4489" t="s">
        <v>334</v>
      </c>
      <c r="H4489">
        <v>27</v>
      </c>
      <c r="I4489" t="s">
        <v>6809</v>
      </c>
      <c r="J4489" t="s">
        <v>294</v>
      </c>
      <c r="M4489" t="s">
        <v>295</v>
      </c>
      <c r="N4489" t="s">
        <v>7</v>
      </c>
      <c r="O4489" t="s">
        <v>297</v>
      </c>
    </row>
    <row r="4490" spans="1:15" x14ac:dyDescent="0.3">
      <c r="A4490" t="s">
        <v>6670</v>
      </c>
      <c r="B4490" t="s">
        <v>6671</v>
      </c>
      <c r="C4490">
        <v>2022</v>
      </c>
      <c r="D4490" t="s">
        <v>394</v>
      </c>
      <c r="E4490" t="s">
        <v>6810</v>
      </c>
      <c r="F4490">
        <v>5443</v>
      </c>
      <c r="G4490" t="s">
        <v>302</v>
      </c>
      <c r="H4490">
        <v>93</v>
      </c>
      <c r="I4490" t="s">
        <v>6811</v>
      </c>
      <c r="J4490" t="s">
        <v>294</v>
      </c>
      <c r="M4490" t="s">
        <v>295</v>
      </c>
      <c r="N4490" t="s">
        <v>7</v>
      </c>
      <c r="O4490" t="s">
        <v>297</v>
      </c>
    </row>
    <row r="4491" spans="1:15" x14ac:dyDescent="0.3">
      <c r="A4491" t="s">
        <v>6670</v>
      </c>
      <c r="B4491" t="s">
        <v>6671</v>
      </c>
      <c r="C4491">
        <v>2022</v>
      </c>
      <c r="D4491" t="s">
        <v>394</v>
      </c>
      <c r="E4491" t="s">
        <v>6812</v>
      </c>
      <c r="F4491">
        <v>230</v>
      </c>
      <c r="G4491" t="s">
        <v>302</v>
      </c>
      <c r="H4491">
        <v>93</v>
      </c>
      <c r="I4491" t="s">
        <v>6813</v>
      </c>
      <c r="J4491" t="s">
        <v>294</v>
      </c>
      <c r="M4491" t="s">
        <v>295</v>
      </c>
      <c r="N4491" t="s">
        <v>7</v>
      </c>
      <c r="O4491" t="s">
        <v>297</v>
      </c>
    </row>
    <row r="4492" spans="1:15" x14ac:dyDescent="0.3">
      <c r="A4492" t="s">
        <v>6670</v>
      </c>
      <c r="B4492" t="s">
        <v>6671</v>
      </c>
      <c r="C4492">
        <v>2022</v>
      </c>
      <c r="D4492" t="s">
        <v>394</v>
      </c>
      <c r="E4492" t="s">
        <v>6814</v>
      </c>
      <c r="F4492">
        <v>1588</v>
      </c>
      <c r="G4492" t="s">
        <v>302</v>
      </c>
      <c r="H4492">
        <v>93</v>
      </c>
      <c r="I4492" t="s">
        <v>6815</v>
      </c>
      <c r="J4492" t="s">
        <v>294</v>
      </c>
      <c r="M4492" t="s">
        <v>295</v>
      </c>
      <c r="N4492" t="s">
        <v>7</v>
      </c>
      <c r="O4492" t="s">
        <v>297</v>
      </c>
    </row>
    <row r="4493" spans="1:15" x14ac:dyDescent="0.3">
      <c r="A4493" t="s">
        <v>6670</v>
      </c>
      <c r="B4493" t="s">
        <v>6671</v>
      </c>
      <c r="C4493">
        <v>2022</v>
      </c>
      <c r="D4493" t="s">
        <v>394</v>
      </c>
      <c r="E4493" t="s">
        <v>6816</v>
      </c>
      <c r="F4493">
        <v>16</v>
      </c>
      <c r="G4493" t="s">
        <v>302</v>
      </c>
      <c r="H4493">
        <v>93</v>
      </c>
      <c r="I4493" t="s">
        <v>6817</v>
      </c>
      <c r="J4493" t="s">
        <v>294</v>
      </c>
      <c r="M4493" t="s">
        <v>295</v>
      </c>
      <c r="N4493" t="s">
        <v>7</v>
      </c>
      <c r="O4493" t="s">
        <v>297</v>
      </c>
    </row>
    <row r="4494" spans="1:15" x14ac:dyDescent="0.3">
      <c r="A4494" t="s">
        <v>6670</v>
      </c>
      <c r="B4494" t="s">
        <v>6818</v>
      </c>
      <c r="C4494">
        <v>2023</v>
      </c>
      <c r="D4494" t="s">
        <v>272</v>
      </c>
      <c r="E4494" t="s">
        <v>291</v>
      </c>
      <c r="F4494" t="s">
        <v>6670</v>
      </c>
      <c r="G4494" t="s">
        <v>292</v>
      </c>
      <c r="H4494">
        <v>1</v>
      </c>
      <c r="I4494" t="s">
        <v>6670</v>
      </c>
      <c r="J4494" t="s">
        <v>294</v>
      </c>
      <c r="M4494" t="s">
        <v>295</v>
      </c>
      <c r="N4494" t="s">
        <v>7</v>
      </c>
      <c r="O4494" t="s">
        <v>297</v>
      </c>
    </row>
    <row r="4495" spans="1:15" x14ac:dyDescent="0.3">
      <c r="A4495" t="s">
        <v>6670</v>
      </c>
      <c r="B4495" t="s">
        <v>6818</v>
      </c>
      <c r="C4495">
        <v>2023</v>
      </c>
      <c r="D4495" t="s">
        <v>272</v>
      </c>
      <c r="E4495" t="s">
        <v>6672</v>
      </c>
      <c r="F4495" t="s">
        <v>53</v>
      </c>
      <c r="G4495" t="s">
        <v>292</v>
      </c>
      <c r="H4495">
        <v>69</v>
      </c>
      <c r="I4495" t="s">
        <v>6819</v>
      </c>
      <c r="J4495" t="s">
        <v>294</v>
      </c>
      <c r="M4495" t="s">
        <v>295</v>
      </c>
      <c r="N4495" t="s">
        <v>7</v>
      </c>
      <c r="O4495" t="s">
        <v>297</v>
      </c>
    </row>
    <row r="4496" spans="1:15" x14ac:dyDescent="0.3">
      <c r="A4496" t="s">
        <v>6670</v>
      </c>
      <c r="B4496" t="s">
        <v>6818</v>
      </c>
      <c r="C4496">
        <v>2023</v>
      </c>
      <c r="D4496" t="s">
        <v>272</v>
      </c>
      <c r="E4496" t="s">
        <v>5550</v>
      </c>
      <c r="F4496" t="s">
        <v>6673</v>
      </c>
      <c r="G4496" t="s">
        <v>292</v>
      </c>
      <c r="H4496">
        <v>76</v>
      </c>
      <c r="I4496" t="s">
        <v>6820</v>
      </c>
      <c r="J4496" t="s">
        <v>294</v>
      </c>
      <c r="M4496" t="s">
        <v>295</v>
      </c>
      <c r="N4496" t="s">
        <v>7</v>
      </c>
      <c r="O4496" t="s">
        <v>297</v>
      </c>
    </row>
    <row r="4497" spans="1:15" x14ac:dyDescent="0.3">
      <c r="A4497" t="s">
        <v>6670</v>
      </c>
      <c r="B4497" t="s">
        <v>6818</v>
      </c>
      <c r="C4497">
        <v>2023</v>
      </c>
      <c r="D4497" t="s">
        <v>272</v>
      </c>
      <c r="E4497" t="s">
        <v>442</v>
      </c>
      <c r="F4497" t="s">
        <v>6675</v>
      </c>
      <c r="G4497" t="s">
        <v>334</v>
      </c>
      <c r="H4497">
        <v>74</v>
      </c>
      <c r="I4497" t="s">
        <v>6821</v>
      </c>
      <c r="J4497" t="s">
        <v>294</v>
      </c>
      <c r="M4497" t="s">
        <v>295</v>
      </c>
      <c r="N4497" t="s">
        <v>7</v>
      </c>
      <c r="O4497" t="s">
        <v>297</v>
      </c>
    </row>
    <row r="4498" spans="1:15" x14ac:dyDescent="0.3">
      <c r="A4498" t="s">
        <v>6670</v>
      </c>
      <c r="B4498" t="s">
        <v>6818</v>
      </c>
      <c r="C4498">
        <v>2023</v>
      </c>
      <c r="D4498" t="s">
        <v>272</v>
      </c>
      <c r="E4498" t="s">
        <v>4851</v>
      </c>
      <c r="F4498" t="s">
        <v>6677</v>
      </c>
      <c r="G4498" t="s">
        <v>292</v>
      </c>
      <c r="H4498">
        <v>74</v>
      </c>
      <c r="I4498" t="s">
        <v>6678</v>
      </c>
      <c r="J4498" t="s">
        <v>294</v>
      </c>
      <c r="M4498" t="s">
        <v>295</v>
      </c>
      <c r="N4498" t="s">
        <v>7</v>
      </c>
      <c r="O4498" t="s">
        <v>297</v>
      </c>
    </row>
    <row r="4499" spans="1:15" x14ac:dyDescent="0.3">
      <c r="A4499" t="s">
        <v>6670</v>
      </c>
      <c r="B4499" t="s">
        <v>6818</v>
      </c>
      <c r="C4499">
        <v>2023</v>
      </c>
      <c r="D4499" t="s">
        <v>272</v>
      </c>
      <c r="E4499" t="s">
        <v>4335</v>
      </c>
      <c r="F4499">
        <v>1818622000</v>
      </c>
      <c r="G4499" t="s">
        <v>1633</v>
      </c>
      <c r="H4499">
        <v>73</v>
      </c>
      <c r="I4499" t="s">
        <v>6822</v>
      </c>
      <c r="J4499" t="s">
        <v>294</v>
      </c>
      <c r="M4499" t="s">
        <v>295</v>
      </c>
      <c r="N4499" t="s">
        <v>7</v>
      </c>
      <c r="O4499" t="s">
        <v>297</v>
      </c>
    </row>
    <row r="4500" spans="1:15" x14ac:dyDescent="0.3">
      <c r="A4500" t="s">
        <v>6670</v>
      </c>
      <c r="B4500" t="s">
        <v>6818</v>
      </c>
      <c r="C4500">
        <v>2023</v>
      </c>
      <c r="D4500" t="s">
        <v>272</v>
      </c>
      <c r="E4500" t="s">
        <v>445</v>
      </c>
      <c r="F4500">
        <v>5.4199999999999998E-2</v>
      </c>
      <c r="G4500" t="s">
        <v>334</v>
      </c>
      <c r="H4500">
        <v>73</v>
      </c>
      <c r="I4500" t="s">
        <v>6823</v>
      </c>
      <c r="J4500" t="s">
        <v>294</v>
      </c>
      <c r="M4500" t="s">
        <v>295</v>
      </c>
      <c r="N4500" t="s">
        <v>7</v>
      </c>
      <c r="O4500" t="s">
        <v>297</v>
      </c>
    </row>
    <row r="4501" spans="1:15" x14ac:dyDescent="0.3">
      <c r="A4501" t="s">
        <v>6670</v>
      </c>
      <c r="B4501" t="s">
        <v>6818</v>
      </c>
      <c r="C4501">
        <v>2023</v>
      </c>
      <c r="D4501" t="s">
        <v>272</v>
      </c>
      <c r="E4501" t="s">
        <v>6681</v>
      </c>
      <c r="F4501" t="s">
        <v>6824</v>
      </c>
      <c r="G4501" t="s">
        <v>334</v>
      </c>
      <c r="H4501">
        <v>74</v>
      </c>
      <c r="I4501" t="s">
        <v>6825</v>
      </c>
      <c r="J4501" t="s">
        <v>294</v>
      </c>
      <c r="M4501" t="s">
        <v>295</v>
      </c>
      <c r="N4501" t="s">
        <v>7</v>
      </c>
      <c r="O4501" t="s">
        <v>297</v>
      </c>
    </row>
    <row r="4502" spans="1:15" x14ac:dyDescent="0.3">
      <c r="A4502" t="s">
        <v>6670</v>
      </c>
      <c r="B4502" t="s">
        <v>6818</v>
      </c>
      <c r="C4502">
        <v>2023</v>
      </c>
      <c r="D4502" t="s">
        <v>272</v>
      </c>
      <c r="E4502" t="s">
        <v>1560</v>
      </c>
      <c r="F4502">
        <v>9283</v>
      </c>
      <c r="G4502" t="s">
        <v>1561</v>
      </c>
      <c r="H4502">
        <v>11</v>
      </c>
      <c r="I4502" t="s">
        <v>6826</v>
      </c>
      <c r="J4502" t="s">
        <v>294</v>
      </c>
      <c r="M4502" t="s">
        <v>295</v>
      </c>
      <c r="N4502" t="s">
        <v>7</v>
      </c>
      <c r="O4502" t="s">
        <v>297</v>
      </c>
    </row>
    <row r="4503" spans="1:15" x14ac:dyDescent="0.3">
      <c r="A4503" t="s">
        <v>6670</v>
      </c>
      <c r="B4503" t="s">
        <v>6818</v>
      </c>
      <c r="C4503">
        <v>2023</v>
      </c>
      <c r="D4503" t="s">
        <v>300</v>
      </c>
      <c r="E4503" t="s">
        <v>301</v>
      </c>
      <c r="F4503">
        <v>5621</v>
      </c>
      <c r="G4503" t="s">
        <v>302</v>
      </c>
      <c r="H4503">
        <v>10</v>
      </c>
      <c r="I4503" t="s">
        <v>6827</v>
      </c>
      <c r="J4503" t="s">
        <v>294</v>
      </c>
      <c r="M4503" t="s">
        <v>295</v>
      </c>
      <c r="N4503" t="s">
        <v>7</v>
      </c>
      <c r="O4503" t="s">
        <v>297</v>
      </c>
    </row>
    <row r="4504" spans="1:15" x14ac:dyDescent="0.3">
      <c r="A4504" t="s">
        <v>6670</v>
      </c>
      <c r="B4504" t="s">
        <v>6818</v>
      </c>
      <c r="C4504">
        <v>2023</v>
      </c>
      <c r="D4504" t="s">
        <v>300</v>
      </c>
      <c r="E4504" t="s">
        <v>304</v>
      </c>
      <c r="F4504">
        <v>1327</v>
      </c>
      <c r="G4504" t="s">
        <v>302</v>
      </c>
      <c r="H4504">
        <v>10</v>
      </c>
      <c r="I4504" t="s">
        <v>6828</v>
      </c>
      <c r="J4504" t="s">
        <v>294</v>
      </c>
      <c r="M4504" t="s">
        <v>295</v>
      </c>
      <c r="N4504" t="s">
        <v>7</v>
      </c>
      <c r="O4504" t="s">
        <v>297</v>
      </c>
    </row>
    <row r="4505" spans="1:15" x14ac:dyDescent="0.3">
      <c r="A4505" t="s">
        <v>6670</v>
      </c>
      <c r="B4505" t="s">
        <v>6818</v>
      </c>
      <c r="C4505">
        <v>2023</v>
      </c>
      <c r="D4505" t="s">
        <v>300</v>
      </c>
      <c r="E4505" t="s">
        <v>2868</v>
      </c>
      <c r="F4505">
        <v>4294</v>
      </c>
      <c r="G4505" t="s">
        <v>302</v>
      </c>
      <c r="H4505">
        <v>116</v>
      </c>
      <c r="I4505" t="s">
        <v>6829</v>
      </c>
      <c r="J4505" t="s">
        <v>294</v>
      </c>
      <c r="M4505" t="s">
        <v>295</v>
      </c>
      <c r="N4505" t="s">
        <v>7</v>
      </c>
      <c r="O4505" t="s">
        <v>297</v>
      </c>
    </row>
    <row r="4506" spans="1:15" x14ac:dyDescent="0.3">
      <c r="A4506" t="s">
        <v>6670</v>
      </c>
      <c r="B4506" t="s">
        <v>6818</v>
      </c>
      <c r="C4506">
        <v>2023</v>
      </c>
      <c r="D4506" t="s">
        <v>300</v>
      </c>
      <c r="E4506" t="s">
        <v>5214</v>
      </c>
      <c r="F4506">
        <v>937</v>
      </c>
      <c r="G4506" t="s">
        <v>302</v>
      </c>
      <c r="H4506">
        <v>10</v>
      </c>
      <c r="I4506" t="s">
        <v>6830</v>
      </c>
      <c r="J4506" t="s">
        <v>294</v>
      </c>
      <c r="M4506" t="s">
        <v>295</v>
      </c>
      <c r="N4506" t="s">
        <v>7</v>
      </c>
      <c r="O4506" t="s">
        <v>297</v>
      </c>
    </row>
    <row r="4507" spans="1:15" x14ac:dyDescent="0.3">
      <c r="A4507" t="s">
        <v>6670</v>
      </c>
      <c r="B4507" t="s">
        <v>6818</v>
      </c>
      <c r="C4507">
        <v>2023</v>
      </c>
      <c r="D4507" t="s">
        <v>300</v>
      </c>
      <c r="E4507" t="s">
        <v>579</v>
      </c>
      <c r="F4507">
        <v>744</v>
      </c>
      <c r="G4507" t="s">
        <v>302</v>
      </c>
      <c r="H4507">
        <v>116</v>
      </c>
      <c r="I4507" t="s">
        <v>6831</v>
      </c>
      <c r="J4507" t="s">
        <v>294</v>
      </c>
      <c r="M4507" t="s">
        <v>295</v>
      </c>
      <c r="N4507" t="s">
        <v>7</v>
      </c>
      <c r="O4507" t="s">
        <v>297</v>
      </c>
    </row>
    <row r="4508" spans="1:15" x14ac:dyDescent="0.3">
      <c r="A4508" t="s">
        <v>6670</v>
      </c>
      <c r="B4508" t="s">
        <v>6818</v>
      </c>
      <c r="C4508">
        <v>2023</v>
      </c>
      <c r="D4508" t="s">
        <v>300</v>
      </c>
      <c r="E4508" t="s">
        <v>581</v>
      </c>
      <c r="F4508">
        <v>304</v>
      </c>
      <c r="G4508" t="s">
        <v>302</v>
      </c>
      <c r="H4508">
        <v>116</v>
      </c>
      <c r="I4508" t="s">
        <v>6832</v>
      </c>
      <c r="J4508" t="s">
        <v>294</v>
      </c>
      <c r="M4508" t="s">
        <v>295</v>
      </c>
      <c r="N4508" t="s">
        <v>7</v>
      </c>
      <c r="O4508" t="s">
        <v>297</v>
      </c>
    </row>
    <row r="4509" spans="1:15" x14ac:dyDescent="0.3">
      <c r="A4509" t="s">
        <v>6670</v>
      </c>
      <c r="B4509" t="s">
        <v>6818</v>
      </c>
      <c r="C4509">
        <v>2023</v>
      </c>
      <c r="D4509" t="s">
        <v>300</v>
      </c>
      <c r="E4509" t="s">
        <v>6695</v>
      </c>
      <c r="F4509">
        <v>441</v>
      </c>
      <c r="G4509" t="s">
        <v>302</v>
      </c>
      <c r="H4509">
        <v>10</v>
      </c>
      <c r="I4509" t="s">
        <v>6833</v>
      </c>
      <c r="J4509" t="s">
        <v>294</v>
      </c>
      <c r="M4509" t="s">
        <v>295</v>
      </c>
      <c r="N4509" t="s">
        <v>7</v>
      </c>
      <c r="O4509" t="s">
        <v>297</v>
      </c>
    </row>
    <row r="4510" spans="1:15" x14ac:dyDescent="0.3">
      <c r="A4510" t="s">
        <v>6670</v>
      </c>
      <c r="B4510" t="s">
        <v>6818</v>
      </c>
      <c r="C4510">
        <v>2023</v>
      </c>
      <c r="D4510" t="s">
        <v>300</v>
      </c>
      <c r="E4510" t="s">
        <v>308</v>
      </c>
      <c r="F4510">
        <v>484</v>
      </c>
      <c r="G4510" t="s">
        <v>302</v>
      </c>
      <c r="H4510">
        <v>10</v>
      </c>
      <c r="I4510" t="s">
        <v>6834</v>
      </c>
      <c r="J4510" t="s">
        <v>294</v>
      </c>
      <c r="M4510" t="s">
        <v>295</v>
      </c>
      <c r="N4510" t="s">
        <v>7</v>
      </c>
      <c r="O4510" t="s">
        <v>297</v>
      </c>
    </row>
    <row r="4511" spans="1:15" x14ac:dyDescent="0.3">
      <c r="A4511" t="s">
        <v>6670</v>
      </c>
      <c r="B4511" t="s">
        <v>6818</v>
      </c>
      <c r="C4511">
        <v>2023</v>
      </c>
      <c r="D4511" t="s">
        <v>300</v>
      </c>
      <c r="E4511" t="s">
        <v>6698</v>
      </c>
      <c r="F4511">
        <v>-43</v>
      </c>
      <c r="G4511" t="s">
        <v>302</v>
      </c>
      <c r="H4511">
        <v>10</v>
      </c>
      <c r="I4511" t="s">
        <v>6835</v>
      </c>
      <c r="J4511" t="s">
        <v>294</v>
      </c>
      <c r="M4511" t="s">
        <v>295</v>
      </c>
      <c r="N4511" t="s">
        <v>7</v>
      </c>
      <c r="O4511" t="s">
        <v>297</v>
      </c>
    </row>
    <row r="4512" spans="1:15" x14ac:dyDescent="0.3">
      <c r="A4512" t="s">
        <v>6670</v>
      </c>
      <c r="B4512" t="s">
        <v>6818</v>
      </c>
      <c r="C4512">
        <v>2023</v>
      </c>
      <c r="D4512" t="s">
        <v>300</v>
      </c>
      <c r="E4512" t="s">
        <v>316</v>
      </c>
      <c r="F4512">
        <v>10068</v>
      </c>
      <c r="G4512" t="s">
        <v>302</v>
      </c>
      <c r="H4512">
        <v>10</v>
      </c>
      <c r="I4512" t="s">
        <v>6836</v>
      </c>
      <c r="J4512" t="s">
        <v>294</v>
      </c>
      <c r="M4512" t="s">
        <v>295</v>
      </c>
      <c r="N4512" t="s">
        <v>7</v>
      </c>
      <c r="O4512" t="s">
        <v>297</v>
      </c>
    </row>
    <row r="4513" spans="1:15" x14ac:dyDescent="0.3">
      <c r="A4513" t="s">
        <v>6670</v>
      </c>
      <c r="B4513" t="s">
        <v>6818</v>
      </c>
      <c r="C4513">
        <v>2023</v>
      </c>
      <c r="D4513" t="s">
        <v>300</v>
      </c>
      <c r="E4513" t="s">
        <v>312</v>
      </c>
      <c r="F4513">
        <v>1616</v>
      </c>
      <c r="G4513" t="s">
        <v>302</v>
      </c>
      <c r="H4513">
        <v>10</v>
      </c>
      <c r="I4513" t="s">
        <v>6837</v>
      </c>
      <c r="J4513" t="s">
        <v>294</v>
      </c>
      <c r="M4513" t="s">
        <v>295</v>
      </c>
      <c r="N4513" t="s">
        <v>7</v>
      </c>
      <c r="O4513" t="s">
        <v>297</v>
      </c>
    </row>
    <row r="4514" spans="1:15" x14ac:dyDescent="0.3">
      <c r="A4514" t="s">
        <v>6670</v>
      </c>
      <c r="B4514" t="s">
        <v>6818</v>
      </c>
      <c r="C4514">
        <v>2023</v>
      </c>
      <c r="D4514" t="s">
        <v>300</v>
      </c>
      <c r="E4514" t="s">
        <v>314</v>
      </c>
      <c r="F4514">
        <v>8452</v>
      </c>
      <c r="G4514" t="s">
        <v>302</v>
      </c>
      <c r="H4514">
        <v>324</v>
      </c>
      <c r="I4514" t="s">
        <v>6838</v>
      </c>
      <c r="J4514" t="s">
        <v>294</v>
      </c>
      <c r="M4514" t="s">
        <v>295</v>
      </c>
      <c r="N4514" t="s">
        <v>7</v>
      </c>
      <c r="O4514" t="s">
        <v>297</v>
      </c>
    </row>
    <row r="4515" spans="1:15" x14ac:dyDescent="0.3">
      <c r="A4515" t="s">
        <v>6670</v>
      </c>
      <c r="B4515" t="s">
        <v>6818</v>
      </c>
      <c r="C4515">
        <v>2023</v>
      </c>
      <c r="D4515" t="s">
        <v>300</v>
      </c>
      <c r="E4515" t="s">
        <v>471</v>
      </c>
      <c r="F4515">
        <v>536</v>
      </c>
      <c r="G4515" t="s">
        <v>302</v>
      </c>
      <c r="H4515">
        <v>324</v>
      </c>
      <c r="I4515" t="s">
        <v>6839</v>
      </c>
      <c r="J4515" t="s">
        <v>294</v>
      </c>
      <c r="M4515" t="s">
        <v>295</v>
      </c>
      <c r="N4515" t="s">
        <v>7</v>
      </c>
      <c r="O4515" t="s">
        <v>297</v>
      </c>
    </row>
    <row r="4516" spans="1:15" x14ac:dyDescent="0.3">
      <c r="A4516" t="s">
        <v>6670</v>
      </c>
      <c r="B4516" t="s">
        <v>6818</v>
      </c>
      <c r="C4516">
        <v>2023</v>
      </c>
      <c r="D4516" t="s">
        <v>300</v>
      </c>
      <c r="E4516" t="s">
        <v>481</v>
      </c>
      <c r="F4516">
        <v>420</v>
      </c>
      <c r="G4516" t="s">
        <v>302</v>
      </c>
      <c r="H4516">
        <v>324</v>
      </c>
      <c r="I4516" t="s">
        <v>6840</v>
      </c>
      <c r="J4516" t="s">
        <v>294</v>
      </c>
      <c r="M4516" t="s">
        <v>295</v>
      </c>
      <c r="N4516" t="s">
        <v>7</v>
      </c>
      <c r="O4516" t="s">
        <v>297</v>
      </c>
    </row>
    <row r="4517" spans="1:15" x14ac:dyDescent="0.3">
      <c r="A4517" t="s">
        <v>6670</v>
      </c>
      <c r="B4517" t="s">
        <v>6818</v>
      </c>
      <c r="C4517">
        <v>2023</v>
      </c>
      <c r="D4517" t="s">
        <v>300</v>
      </c>
      <c r="E4517" t="s">
        <v>4369</v>
      </c>
      <c r="F4517">
        <v>189</v>
      </c>
      <c r="G4517" t="s">
        <v>302</v>
      </c>
      <c r="H4517">
        <v>324</v>
      </c>
      <c r="I4517" t="s">
        <v>6841</v>
      </c>
      <c r="J4517" t="s">
        <v>294</v>
      </c>
      <c r="M4517" t="s">
        <v>295</v>
      </c>
      <c r="N4517" t="s">
        <v>7</v>
      </c>
      <c r="O4517" t="s">
        <v>297</v>
      </c>
    </row>
    <row r="4518" spans="1:15" x14ac:dyDescent="0.3">
      <c r="A4518" t="s">
        <v>6670</v>
      </c>
      <c r="B4518" t="s">
        <v>6818</v>
      </c>
      <c r="C4518">
        <v>2023</v>
      </c>
      <c r="D4518" t="s">
        <v>300</v>
      </c>
      <c r="E4518" t="s">
        <v>479</v>
      </c>
      <c r="F4518">
        <v>156</v>
      </c>
      <c r="G4518" t="s">
        <v>302</v>
      </c>
      <c r="H4518">
        <v>324</v>
      </c>
      <c r="I4518" t="s">
        <v>6842</v>
      </c>
      <c r="J4518" t="s">
        <v>294</v>
      </c>
      <c r="M4518" t="s">
        <v>295</v>
      </c>
      <c r="N4518" t="s">
        <v>7</v>
      </c>
      <c r="O4518" t="s">
        <v>297</v>
      </c>
    </row>
    <row r="4519" spans="1:15" x14ac:dyDescent="0.3">
      <c r="A4519" t="s">
        <v>6670</v>
      </c>
      <c r="B4519" t="s">
        <v>6818</v>
      </c>
      <c r="C4519">
        <v>2023</v>
      </c>
      <c r="D4519" t="s">
        <v>300</v>
      </c>
      <c r="E4519" t="s">
        <v>3990</v>
      </c>
      <c r="F4519">
        <v>254</v>
      </c>
      <c r="G4519" t="s">
        <v>302</v>
      </c>
      <c r="H4519">
        <v>324</v>
      </c>
      <c r="I4519" t="s">
        <v>6843</v>
      </c>
      <c r="J4519" t="s">
        <v>294</v>
      </c>
      <c r="M4519" t="s">
        <v>295</v>
      </c>
      <c r="N4519" t="s">
        <v>7</v>
      </c>
      <c r="O4519" t="s">
        <v>297</v>
      </c>
    </row>
    <row r="4520" spans="1:15" x14ac:dyDescent="0.3">
      <c r="A4520" t="s">
        <v>6670</v>
      </c>
      <c r="B4520" t="s">
        <v>6818</v>
      </c>
      <c r="C4520">
        <v>2023</v>
      </c>
      <c r="D4520" t="s">
        <v>300</v>
      </c>
      <c r="E4520" t="s">
        <v>6844</v>
      </c>
      <c r="F4520">
        <v>5745</v>
      </c>
      <c r="G4520" t="s">
        <v>302</v>
      </c>
      <c r="H4520">
        <v>324</v>
      </c>
      <c r="I4520" t="s">
        <v>6845</v>
      </c>
      <c r="J4520" t="s">
        <v>294</v>
      </c>
      <c r="M4520" t="s">
        <v>295</v>
      </c>
      <c r="N4520" t="s">
        <v>7</v>
      </c>
      <c r="O4520" t="s">
        <v>297</v>
      </c>
    </row>
    <row r="4521" spans="1:15" x14ac:dyDescent="0.3">
      <c r="A4521" t="s">
        <v>6670</v>
      </c>
      <c r="B4521" t="s">
        <v>6818</v>
      </c>
      <c r="C4521">
        <v>2023</v>
      </c>
      <c r="D4521" t="s">
        <v>300</v>
      </c>
      <c r="E4521" t="s">
        <v>3984</v>
      </c>
      <c r="F4521">
        <v>2022</v>
      </c>
      <c r="G4521" t="s">
        <v>302</v>
      </c>
      <c r="H4521">
        <v>324</v>
      </c>
      <c r="I4521" t="s">
        <v>6846</v>
      </c>
      <c r="J4521" t="s">
        <v>294</v>
      </c>
      <c r="M4521" t="s">
        <v>295</v>
      </c>
      <c r="N4521" t="s">
        <v>7</v>
      </c>
      <c r="O4521" t="s">
        <v>297</v>
      </c>
    </row>
    <row r="4522" spans="1:15" x14ac:dyDescent="0.3">
      <c r="A4522" t="s">
        <v>6670</v>
      </c>
      <c r="B4522" t="s">
        <v>6818</v>
      </c>
      <c r="C4522">
        <v>2023</v>
      </c>
      <c r="D4522" t="s">
        <v>300</v>
      </c>
      <c r="E4522" t="s">
        <v>322</v>
      </c>
      <c r="F4522">
        <v>4555</v>
      </c>
      <c r="G4522" t="s">
        <v>302</v>
      </c>
      <c r="H4522">
        <v>10</v>
      </c>
      <c r="I4522" t="s">
        <v>6847</v>
      </c>
      <c r="J4522" t="s">
        <v>294</v>
      </c>
      <c r="M4522" t="s">
        <v>295</v>
      </c>
      <c r="N4522" t="s">
        <v>7</v>
      </c>
      <c r="O4522" t="s">
        <v>297</v>
      </c>
    </row>
    <row r="4523" spans="1:15" x14ac:dyDescent="0.3">
      <c r="A4523" t="s">
        <v>6670</v>
      </c>
      <c r="B4523" t="s">
        <v>6818</v>
      </c>
      <c r="C4523">
        <v>2023</v>
      </c>
      <c r="D4523" t="s">
        <v>300</v>
      </c>
      <c r="E4523" t="s">
        <v>318</v>
      </c>
      <c r="F4523">
        <v>1310</v>
      </c>
      <c r="G4523" t="s">
        <v>302</v>
      </c>
      <c r="H4523">
        <v>10</v>
      </c>
      <c r="I4523" t="s">
        <v>6848</v>
      </c>
      <c r="J4523" t="s">
        <v>294</v>
      </c>
      <c r="M4523" t="s">
        <v>295</v>
      </c>
      <c r="N4523" t="s">
        <v>7</v>
      </c>
      <c r="O4523" t="s">
        <v>297</v>
      </c>
    </row>
    <row r="4524" spans="1:15" x14ac:dyDescent="0.3">
      <c r="A4524" t="s">
        <v>6670</v>
      </c>
      <c r="B4524" t="s">
        <v>6818</v>
      </c>
      <c r="C4524">
        <v>2023</v>
      </c>
      <c r="D4524" t="s">
        <v>300</v>
      </c>
      <c r="E4524" t="s">
        <v>828</v>
      </c>
      <c r="F4524">
        <v>3245</v>
      </c>
      <c r="G4524" t="s">
        <v>302</v>
      </c>
      <c r="H4524">
        <v>325</v>
      </c>
      <c r="I4524" t="s">
        <v>6849</v>
      </c>
      <c r="J4524" t="s">
        <v>294</v>
      </c>
      <c r="M4524" t="s">
        <v>295</v>
      </c>
      <c r="N4524" t="s">
        <v>7</v>
      </c>
      <c r="O4524" t="s">
        <v>297</v>
      </c>
    </row>
    <row r="4525" spans="1:15" x14ac:dyDescent="0.3">
      <c r="A4525" t="s">
        <v>6670</v>
      </c>
      <c r="B4525" t="s">
        <v>6818</v>
      </c>
      <c r="C4525">
        <v>2023</v>
      </c>
      <c r="D4525" t="s">
        <v>300</v>
      </c>
      <c r="E4525" t="s">
        <v>599</v>
      </c>
      <c r="F4525">
        <v>423</v>
      </c>
      <c r="G4525" t="s">
        <v>302</v>
      </c>
      <c r="H4525">
        <v>325</v>
      </c>
      <c r="I4525" t="s">
        <v>6850</v>
      </c>
      <c r="J4525" t="s">
        <v>294</v>
      </c>
      <c r="M4525" t="s">
        <v>295</v>
      </c>
      <c r="N4525" t="s">
        <v>7</v>
      </c>
      <c r="O4525" t="s">
        <v>297</v>
      </c>
    </row>
    <row r="4526" spans="1:15" x14ac:dyDescent="0.3">
      <c r="A4526" t="s">
        <v>6670</v>
      </c>
      <c r="B4526" t="s">
        <v>6818</v>
      </c>
      <c r="C4526">
        <v>2023</v>
      </c>
      <c r="D4526" t="s">
        <v>300</v>
      </c>
      <c r="E4526" t="s">
        <v>6717</v>
      </c>
      <c r="F4526">
        <v>127</v>
      </c>
      <c r="G4526" t="s">
        <v>302</v>
      </c>
      <c r="H4526">
        <v>325</v>
      </c>
      <c r="I4526" t="s">
        <v>6851</v>
      </c>
      <c r="J4526" t="s">
        <v>294</v>
      </c>
      <c r="M4526" t="s">
        <v>295</v>
      </c>
      <c r="N4526" t="s">
        <v>7</v>
      </c>
      <c r="O4526" t="s">
        <v>297</v>
      </c>
    </row>
    <row r="4527" spans="1:15" x14ac:dyDescent="0.3">
      <c r="A4527" t="s">
        <v>6670</v>
      </c>
      <c r="B4527" t="s">
        <v>6818</v>
      </c>
      <c r="C4527">
        <v>2023</v>
      </c>
      <c r="D4527" t="s">
        <v>300</v>
      </c>
      <c r="E4527" t="s">
        <v>6719</v>
      </c>
      <c r="F4527">
        <v>237</v>
      </c>
      <c r="G4527" t="s">
        <v>302</v>
      </c>
      <c r="H4527">
        <v>325</v>
      </c>
      <c r="I4527" t="s">
        <v>6852</v>
      </c>
      <c r="J4527" t="s">
        <v>294</v>
      </c>
      <c r="M4527" t="s">
        <v>295</v>
      </c>
      <c r="N4527" t="s">
        <v>7</v>
      </c>
      <c r="O4527" t="s">
        <v>297</v>
      </c>
    </row>
    <row r="4528" spans="1:15" x14ac:dyDescent="0.3">
      <c r="A4528" t="s">
        <v>6670</v>
      </c>
      <c r="B4528" t="s">
        <v>6818</v>
      </c>
      <c r="C4528">
        <v>2023</v>
      </c>
      <c r="D4528" t="s">
        <v>300</v>
      </c>
      <c r="E4528" t="s">
        <v>6721</v>
      </c>
      <c r="F4528">
        <v>138</v>
      </c>
      <c r="G4528" t="s">
        <v>302</v>
      </c>
      <c r="H4528">
        <v>325</v>
      </c>
      <c r="I4528" t="s">
        <v>6853</v>
      </c>
      <c r="J4528" t="s">
        <v>294</v>
      </c>
      <c r="M4528" t="s">
        <v>295</v>
      </c>
      <c r="N4528" t="s">
        <v>7</v>
      </c>
      <c r="O4528" t="s">
        <v>297</v>
      </c>
    </row>
    <row r="4529" spans="1:15" x14ac:dyDescent="0.3">
      <c r="A4529" t="s">
        <v>6670</v>
      </c>
      <c r="B4529" t="s">
        <v>6818</v>
      </c>
      <c r="C4529">
        <v>2023</v>
      </c>
      <c r="D4529" t="s">
        <v>300</v>
      </c>
      <c r="E4529" t="s">
        <v>6723</v>
      </c>
      <c r="F4529">
        <v>660</v>
      </c>
      <c r="G4529" t="s">
        <v>302</v>
      </c>
      <c r="H4529">
        <v>325</v>
      </c>
      <c r="I4529" t="s">
        <v>6854</v>
      </c>
      <c r="J4529" t="s">
        <v>294</v>
      </c>
      <c r="M4529" t="s">
        <v>295</v>
      </c>
      <c r="N4529" t="s">
        <v>7</v>
      </c>
      <c r="O4529" t="s">
        <v>297</v>
      </c>
    </row>
    <row r="4530" spans="1:15" x14ac:dyDescent="0.3">
      <c r="A4530" t="s">
        <v>6670</v>
      </c>
      <c r="B4530" t="s">
        <v>6818</v>
      </c>
      <c r="C4530">
        <v>2023</v>
      </c>
      <c r="D4530" t="s">
        <v>300</v>
      </c>
      <c r="E4530" t="s">
        <v>6725</v>
      </c>
      <c r="F4530">
        <v>587</v>
      </c>
      <c r="G4530" t="s">
        <v>302</v>
      </c>
      <c r="H4530">
        <v>325</v>
      </c>
      <c r="I4530" t="s">
        <v>6855</v>
      </c>
      <c r="J4530" t="s">
        <v>294</v>
      </c>
      <c r="M4530" t="s">
        <v>295</v>
      </c>
      <c r="N4530" t="s">
        <v>7</v>
      </c>
      <c r="O4530" t="s">
        <v>297</v>
      </c>
    </row>
    <row r="4531" spans="1:15" x14ac:dyDescent="0.3">
      <c r="A4531" t="s">
        <v>6670</v>
      </c>
      <c r="B4531" t="s">
        <v>6818</v>
      </c>
      <c r="C4531">
        <v>2023</v>
      </c>
      <c r="D4531" t="s">
        <v>300</v>
      </c>
      <c r="E4531" t="s">
        <v>475</v>
      </c>
      <c r="F4531">
        <v>1089</v>
      </c>
      <c r="G4531" t="s">
        <v>302</v>
      </c>
      <c r="H4531">
        <v>325</v>
      </c>
      <c r="I4531" t="s">
        <v>6856</v>
      </c>
      <c r="J4531" t="s">
        <v>294</v>
      </c>
      <c r="M4531" t="s">
        <v>295</v>
      </c>
      <c r="N4531" t="s">
        <v>7</v>
      </c>
      <c r="O4531" t="s">
        <v>297</v>
      </c>
    </row>
    <row r="4532" spans="1:15" x14ac:dyDescent="0.3">
      <c r="A4532" t="s">
        <v>6670</v>
      </c>
      <c r="B4532" t="s">
        <v>6818</v>
      </c>
      <c r="C4532">
        <v>2023</v>
      </c>
      <c r="D4532" t="s">
        <v>300</v>
      </c>
      <c r="E4532" t="s">
        <v>6728</v>
      </c>
      <c r="F4532">
        <v>2837</v>
      </c>
      <c r="G4532" t="s">
        <v>302</v>
      </c>
      <c r="H4532">
        <v>325</v>
      </c>
      <c r="I4532" t="s">
        <v>6857</v>
      </c>
      <c r="J4532" t="s">
        <v>294</v>
      </c>
      <c r="M4532" t="s">
        <v>295</v>
      </c>
      <c r="N4532" t="s">
        <v>7</v>
      </c>
      <c r="O4532" t="s">
        <v>297</v>
      </c>
    </row>
    <row r="4533" spans="1:15" x14ac:dyDescent="0.3">
      <c r="A4533" t="s">
        <v>6670</v>
      </c>
      <c r="B4533" t="s">
        <v>6818</v>
      </c>
      <c r="C4533">
        <v>2023</v>
      </c>
      <c r="D4533" t="s">
        <v>300</v>
      </c>
      <c r="E4533" t="s">
        <v>324</v>
      </c>
      <c r="F4533">
        <v>5512</v>
      </c>
      <c r="G4533" t="s">
        <v>302</v>
      </c>
      <c r="H4533">
        <v>10</v>
      </c>
      <c r="I4533" t="s">
        <v>6858</v>
      </c>
      <c r="J4533" t="s">
        <v>294</v>
      </c>
      <c r="M4533" t="s">
        <v>295</v>
      </c>
      <c r="N4533" t="s">
        <v>7</v>
      </c>
      <c r="O4533" t="s">
        <v>297</v>
      </c>
    </row>
    <row r="4534" spans="1:15" x14ac:dyDescent="0.3">
      <c r="A4534" t="s">
        <v>6670</v>
      </c>
      <c r="B4534" t="s">
        <v>6818</v>
      </c>
      <c r="C4534">
        <v>2023</v>
      </c>
      <c r="D4534" t="s">
        <v>300</v>
      </c>
      <c r="E4534" t="s">
        <v>601</v>
      </c>
      <c r="F4534">
        <v>1423</v>
      </c>
      <c r="G4534" t="s">
        <v>302</v>
      </c>
      <c r="H4534">
        <v>117</v>
      </c>
      <c r="I4534" t="s">
        <v>6859</v>
      </c>
      <c r="J4534" t="s">
        <v>294</v>
      </c>
      <c r="M4534" t="s">
        <v>295</v>
      </c>
      <c r="N4534" t="s">
        <v>7</v>
      </c>
      <c r="O4534" t="s">
        <v>297</v>
      </c>
    </row>
    <row r="4535" spans="1:15" x14ac:dyDescent="0.3">
      <c r="A4535" t="s">
        <v>6670</v>
      </c>
      <c r="B4535" t="s">
        <v>6818</v>
      </c>
      <c r="C4535">
        <v>2023</v>
      </c>
      <c r="D4535" t="s">
        <v>300</v>
      </c>
      <c r="E4535" t="s">
        <v>603</v>
      </c>
      <c r="F4535">
        <v>-539</v>
      </c>
      <c r="G4535" t="s">
        <v>302</v>
      </c>
      <c r="H4535">
        <v>117</v>
      </c>
      <c r="I4535" t="s">
        <v>6860</v>
      </c>
      <c r="J4535" t="s">
        <v>294</v>
      </c>
      <c r="M4535" t="s">
        <v>295</v>
      </c>
      <c r="N4535" t="s">
        <v>7</v>
      </c>
      <c r="O4535" t="s">
        <v>297</v>
      </c>
    </row>
    <row r="4536" spans="1:15" x14ac:dyDescent="0.3">
      <c r="A4536" t="s">
        <v>6670</v>
      </c>
      <c r="B4536" t="s">
        <v>6818</v>
      </c>
      <c r="C4536">
        <v>2023</v>
      </c>
      <c r="D4536" t="s">
        <v>300</v>
      </c>
      <c r="E4536" t="s">
        <v>716</v>
      </c>
      <c r="F4536">
        <v>-883</v>
      </c>
      <c r="G4536" t="s">
        <v>302</v>
      </c>
      <c r="H4536">
        <v>117</v>
      </c>
      <c r="I4536" t="s">
        <v>6861</v>
      </c>
      <c r="J4536" t="s">
        <v>294</v>
      </c>
      <c r="M4536" t="s">
        <v>295</v>
      </c>
      <c r="N4536" t="s">
        <v>7</v>
      </c>
      <c r="O4536" t="s">
        <v>297</v>
      </c>
    </row>
    <row r="4537" spans="1:15" x14ac:dyDescent="0.3">
      <c r="A4537" t="s">
        <v>6670</v>
      </c>
      <c r="B4537" t="s">
        <v>6818</v>
      </c>
      <c r="C4537">
        <v>2023</v>
      </c>
      <c r="D4537" t="s">
        <v>300</v>
      </c>
      <c r="E4537" t="s">
        <v>6734</v>
      </c>
      <c r="F4537">
        <v>313</v>
      </c>
      <c r="G4537" t="s">
        <v>302</v>
      </c>
      <c r="H4537">
        <v>117</v>
      </c>
      <c r="I4537" t="s">
        <v>6862</v>
      </c>
      <c r="J4537" t="s">
        <v>294</v>
      </c>
      <c r="M4537" t="s">
        <v>295</v>
      </c>
      <c r="N4537" t="s">
        <v>7</v>
      </c>
      <c r="O4537" t="s">
        <v>297</v>
      </c>
    </row>
    <row r="4538" spans="1:15" x14ac:dyDescent="0.3">
      <c r="A4538" t="s">
        <v>6670</v>
      </c>
      <c r="B4538" t="s">
        <v>6818</v>
      </c>
      <c r="C4538">
        <v>2023</v>
      </c>
      <c r="D4538" t="s">
        <v>300</v>
      </c>
      <c r="E4538" t="s">
        <v>6863</v>
      </c>
      <c r="F4538">
        <v>240</v>
      </c>
      <c r="G4538" t="s">
        <v>302</v>
      </c>
      <c r="H4538">
        <v>117</v>
      </c>
      <c r="I4538" t="s">
        <v>6864</v>
      </c>
      <c r="J4538" t="s">
        <v>294</v>
      </c>
      <c r="M4538" t="s">
        <v>295</v>
      </c>
      <c r="N4538" t="s">
        <v>7</v>
      </c>
      <c r="O4538" t="s">
        <v>297</v>
      </c>
    </row>
    <row r="4539" spans="1:15" x14ac:dyDescent="0.3">
      <c r="A4539" t="s">
        <v>6670</v>
      </c>
      <c r="B4539" t="s">
        <v>6818</v>
      </c>
      <c r="C4539">
        <v>2023</v>
      </c>
      <c r="D4539" t="s">
        <v>300</v>
      </c>
      <c r="E4539" t="s">
        <v>5931</v>
      </c>
      <c r="F4539">
        <v>553</v>
      </c>
      <c r="G4539" t="s">
        <v>302</v>
      </c>
      <c r="H4539">
        <v>117</v>
      </c>
      <c r="I4539" t="s">
        <v>6865</v>
      </c>
      <c r="J4539" t="s">
        <v>294</v>
      </c>
      <c r="M4539" t="s">
        <v>295</v>
      </c>
      <c r="N4539" t="s">
        <v>7</v>
      </c>
      <c r="O4539" t="s">
        <v>297</v>
      </c>
    </row>
    <row r="4540" spans="1:15" x14ac:dyDescent="0.3">
      <c r="A4540" t="s">
        <v>6670</v>
      </c>
      <c r="B4540" t="s">
        <v>6818</v>
      </c>
      <c r="C4540">
        <v>2023</v>
      </c>
      <c r="D4540" t="s">
        <v>300</v>
      </c>
      <c r="E4540" t="s">
        <v>3049</v>
      </c>
      <c r="F4540">
        <v>266</v>
      </c>
      <c r="G4540" t="s">
        <v>346</v>
      </c>
      <c r="H4540">
        <v>10</v>
      </c>
      <c r="I4540" t="s">
        <v>6866</v>
      </c>
      <c r="J4540" t="s">
        <v>294</v>
      </c>
      <c r="M4540" t="s">
        <v>295</v>
      </c>
      <c r="N4540" t="s">
        <v>7</v>
      </c>
      <c r="O4540" t="s">
        <v>297</v>
      </c>
    </row>
    <row r="4541" spans="1:15" x14ac:dyDescent="0.3">
      <c r="A4541" t="s">
        <v>6670</v>
      </c>
      <c r="B4541" t="s">
        <v>6818</v>
      </c>
      <c r="C4541">
        <v>2023</v>
      </c>
      <c r="D4541" t="s">
        <v>300</v>
      </c>
      <c r="E4541" t="s">
        <v>342</v>
      </c>
      <c r="F4541">
        <v>1819</v>
      </c>
      <c r="G4541" t="s">
        <v>497</v>
      </c>
      <c r="H4541">
        <v>10</v>
      </c>
      <c r="I4541" t="s">
        <v>6740</v>
      </c>
      <c r="J4541" t="s">
        <v>294</v>
      </c>
      <c r="M4541" t="s">
        <v>295</v>
      </c>
      <c r="N4541" t="s">
        <v>7</v>
      </c>
      <c r="O4541" t="s">
        <v>297</v>
      </c>
    </row>
    <row r="4542" spans="1:15" x14ac:dyDescent="0.3">
      <c r="A4542" t="s">
        <v>6670</v>
      </c>
      <c r="B4542" t="s">
        <v>6818</v>
      </c>
      <c r="C4542">
        <v>2023</v>
      </c>
      <c r="D4542" t="s">
        <v>300</v>
      </c>
      <c r="E4542" t="s">
        <v>785</v>
      </c>
      <c r="F4542">
        <v>2010</v>
      </c>
      <c r="G4542" t="s">
        <v>346</v>
      </c>
      <c r="H4542">
        <v>14</v>
      </c>
      <c r="I4542" t="s">
        <v>6867</v>
      </c>
      <c r="J4542" t="s">
        <v>294</v>
      </c>
      <c r="M4542" t="s">
        <v>295</v>
      </c>
      <c r="N4542" t="s">
        <v>7</v>
      </c>
      <c r="O4542" t="s">
        <v>297</v>
      </c>
    </row>
    <row r="4543" spans="1:15" x14ac:dyDescent="0.3">
      <c r="A4543" t="s">
        <v>6670</v>
      </c>
      <c r="B4543" t="s">
        <v>6818</v>
      </c>
      <c r="C4543">
        <v>2023</v>
      </c>
      <c r="D4543" t="s">
        <v>300</v>
      </c>
      <c r="E4543" t="s">
        <v>3292</v>
      </c>
      <c r="F4543">
        <v>3655</v>
      </c>
      <c r="G4543" t="s">
        <v>302</v>
      </c>
      <c r="H4543">
        <v>14</v>
      </c>
      <c r="I4543" t="s">
        <v>6868</v>
      </c>
      <c r="J4543" t="s">
        <v>294</v>
      </c>
      <c r="M4543" t="s">
        <v>295</v>
      </c>
      <c r="N4543" t="s">
        <v>7</v>
      </c>
      <c r="O4543" t="s">
        <v>297</v>
      </c>
    </row>
    <row r="4544" spans="1:15" x14ac:dyDescent="0.3">
      <c r="A4544" t="s">
        <v>6670</v>
      </c>
      <c r="B4544" t="s">
        <v>6818</v>
      </c>
      <c r="C4544">
        <v>2023</v>
      </c>
      <c r="D4544" t="s">
        <v>300</v>
      </c>
      <c r="E4544" t="s">
        <v>6869</v>
      </c>
      <c r="F4544">
        <v>524</v>
      </c>
      <c r="G4544" t="s">
        <v>302</v>
      </c>
      <c r="H4544">
        <v>75</v>
      </c>
      <c r="I4544" t="s">
        <v>6870</v>
      </c>
      <c r="J4544" t="s">
        <v>294</v>
      </c>
      <c r="M4544" t="s">
        <v>295</v>
      </c>
      <c r="N4544" t="s">
        <v>7</v>
      </c>
      <c r="O4544" t="s">
        <v>297</v>
      </c>
    </row>
    <row r="4545" spans="1:15" x14ac:dyDescent="0.3">
      <c r="A4545" t="s">
        <v>6670</v>
      </c>
      <c r="B4545" t="s">
        <v>6818</v>
      </c>
      <c r="C4545">
        <v>2023</v>
      </c>
      <c r="D4545" t="s">
        <v>300</v>
      </c>
      <c r="E4545" t="s">
        <v>6871</v>
      </c>
      <c r="F4545">
        <v>288</v>
      </c>
      <c r="G4545" t="s">
        <v>346</v>
      </c>
      <c r="H4545">
        <v>75</v>
      </c>
      <c r="I4545" t="s">
        <v>6872</v>
      </c>
      <c r="J4545" t="s">
        <v>294</v>
      </c>
      <c r="M4545" t="s">
        <v>295</v>
      </c>
      <c r="N4545" t="s">
        <v>7</v>
      </c>
      <c r="O4545" t="s">
        <v>297</v>
      </c>
    </row>
    <row r="4546" spans="1:15" x14ac:dyDescent="0.3">
      <c r="A4546" t="s">
        <v>6670</v>
      </c>
      <c r="B4546" t="s">
        <v>6818</v>
      </c>
      <c r="C4546">
        <v>2023</v>
      </c>
      <c r="D4546" t="s">
        <v>300</v>
      </c>
      <c r="E4546" t="s">
        <v>6873</v>
      </c>
      <c r="F4546">
        <v>90</v>
      </c>
      <c r="G4546" t="s">
        <v>346</v>
      </c>
      <c r="H4546">
        <v>75</v>
      </c>
      <c r="I4546" t="s">
        <v>6874</v>
      </c>
      <c r="J4546" t="s">
        <v>294</v>
      </c>
      <c r="M4546" t="s">
        <v>295</v>
      </c>
      <c r="N4546" t="s">
        <v>7</v>
      </c>
      <c r="O4546" t="s">
        <v>297</v>
      </c>
    </row>
    <row r="4547" spans="1:15" x14ac:dyDescent="0.3">
      <c r="A4547" t="s">
        <v>6670</v>
      </c>
      <c r="B4547" t="s">
        <v>6818</v>
      </c>
      <c r="C4547">
        <v>2023</v>
      </c>
      <c r="D4547" t="s">
        <v>300</v>
      </c>
      <c r="E4547" t="s">
        <v>6875</v>
      </c>
      <c r="F4547">
        <v>198</v>
      </c>
      <c r="G4547" t="s">
        <v>346</v>
      </c>
      <c r="H4547">
        <v>75</v>
      </c>
      <c r="I4547" t="s">
        <v>6876</v>
      </c>
      <c r="J4547" t="s">
        <v>294</v>
      </c>
      <c r="M4547" t="s">
        <v>295</v>
      </c>
      <c r="N4547" t="s">
        <v>7</v>
      </c>
      <c r="O4547" t="s">
        <v>297</v>
      </c>
    </row>
    <row r="4548" spans="1:15" x14ac:dyDescent="0.3">
      <c r="A4548" t="s">
        <v>6670</v>
      </c>
      <c r="B4548" t="s">
        <v>6818</v>
      </c>
      <c r="C4548">
        <v>2023</v>
      </c>
      <c r="D4548" t="s">
        <v>300</v>
      </c>
      <c r="E4548" t="s">
        <v>333</v>
      </c>
      <c r="F4548">
        <v>4.3999999999999997E-2</v>
      </c>
      <c r="G4548" t="s">
        <v>334</v>
      </c>
      <c r="H4548">
        <v>11</v>
      </c>
      <c r="I4548" t="s">
        <v>6877</v>
      </c>
      <c r="J4548" t="s">
        <v>294</v>
      </c>
      <c r="M4548" t="s">
        <v>295</v>
      </c>
      <c r="N4548" t="s">
        <v>7</v>
      </c>
      <c r="O4548" t="s">
        <v>297</v>
      </c>
    </row>
    <row r="4549" spans="1:15" x14ac:dyDescent="0.3">
      <c r="A4549" t="s">
        <v>6670</v>
      </c>
      <c r="B4549" t="s">
        <v>6818</v>
      </c>
      <c r="C4549">
        <v>2023</v>
      </c>
      <c r="D4549" t="s">
        <v>300</v>
      </c>
      <c r="E4549" t="s">
        <v>336</v>
      </c>
      <c r="F4549">
        <v>0.08</v>
      </c>
      <c r="G4549" t="s">
        <v>334</v>
      </c>
      <c r="H4549">
        <v>11</v>
      </c>
      <c r="I4549" t="s">
        <v>6878</v>
      </c>
      <c r="J4549" t="s">
        <v>294</v>
      </c>
      <c r="M4549" t="s">
        <v>295</v>
      </c>
      <c r="N4549" t="s">
        <v>7</v>
      </c>
      <c r="O4549" t="s">
        <v>297</v>
      </c>
    </row>
    <row r="4550" spans="1:15" x14ac:dyDescent="0.3">
      <c r="A4550" t="s">
        <v>6670</v>
      </c>
      <c r="B4550" t="s">
        <v>6818</v>
      </c>
      <c r="C4550">
        <v>2023</v>
      </c>
      <c r="D4550" t="s">
        <v>300</v>
      </c>
      <c r="E4550" t="s">
        <v>2762</v>
      </c>
      <c r="F4550">
        <v>0.57999999999999996</v>
      </c>
      <c r="G4550" t="s">
        <v>334</v>
      </c>
      <c r="H4550">
        <v>11</v>
      </c>
      <c r="I4550" t="s">
        <v>6879</v>
      </c>
      <c r="J4550" t="s">
        <v>294</v>
      </c>
      <c r="M4550" t="s">
        <v>295</v>
      </c>
      <c r="N4550" t="s">
        <v>7</v>
      </c>
      <c r="O4550" t="s">
        <v>297</v>
      </c>
    </row>
    <row r="4551" spans="1:15" x14ac:dyDescent="0.3">
      <c r="A4551" t="s">
        <v>6670</v>
      </c>
      <c r="B4551" t="s">
        <v>6818</v>
      </c>
      <c r="C4551">
        <v>2023</v>
      </c>
      <c r="D4551" t="s">
        <v>300</v>
      </c>
      <c r="E4551" t="s">
        <v>326</v>
      </c>
      <c r="F4551">
        <v>1.234</v>
      </c>
      <c r="G4551" t="s">
        <v>327</v>
      </c>
      <c r="H4551">
        <v>11</v>
      </c>
      <c r="I4551" t="s">
        <v>6880</v>
      </c>
      <c r="J4551" t="s">
        <v>294</v>
      </c>
      <c r="M4551" t="s">
        <v>295</v>
      </c>
      <c r="N4551" t="s">
        <v>7</v>
      </c>
      <c r="O4551" t="s">
        <v>297</v>
      </c>
    </row>
    <row r="4552" spans="1:15" x14ac:dyDescent="0.3">
      <c r="A4552" t="s">
        <v>6670</v>
      </c>
      <c r="B4552" t="s">
        <v>6818</v>
      </c>
      <c r="C4552">
        <v>2023</v>
      </c>
      <c r="D4552" t="s">
        <v>300</v>
      </c>
      <c r="E4552" t="s">
        <v>340</v>
      </c>
      <c r="F4552">
        <v>0.23599999999999999</v>
      </c>
      <c r="G4552" t="s">
        <v>334</v>
      </c>
      <c r="H4552">
        <v>11</v>
      </c>
      <c r="I4552" t="s">
        <v>6881</v>
      </c>
      <c r="J4552" t="s">
        <v>294</v>
      </c>
      <c r="M4552" t="s">
        <v>295</v>
      </c>
      <c r="N4552" t="s">
        <v>7</v>
      </c>
      <c r="O4552" t="s">
        <v>297</v>
      </c>
    </row>
    <row r="4553" spans="1:15" x14ac:dyDescent="0.3">
      <c r="A4553" t="s">
        <v>6670</v>
      </c>
      <c r="B4553" t="s">
        <v>6818</v>
      </c>
      <c r="C4553">
        <v>2023</v>
      </c>
      <c r="D4553" t="s">
        <v>300</v>
      </c>
      <c r="E4553" t="s">
        <v>6753</v>
      </c>
      <c r="F4553">
        <v>0.16700000000000001</v>
      </c>
      <c r="G4553" t="s">
        <v>334</v>
      </c>
      <c r="H4553">
        <v>11</v>
      </c>
      <c r="I4553" t="s">
        <v>6882</v>
      </c>
      <c r="J4553" t="s">
        <v>294</v>
      </c>
      <c r="M4553" t="s">
        <v>295</v>
      </c>
      <c r="N4553" t="s">
        <v>7</v>
      </c>
      <c r="O4553" t="s">
        <v>297</v>
      </c>
    </row>
    <row r="4554" spans="1:15" x14ac:dyDescent="0.3">
      <c r="A4554" t="s">
        <v>6670</v>
      </c>
      <c r="B4554" t="s">
        <v>6818</v>
      </c>
      <c r="C4554">
        <v>2023</v>
      </c>
      <c r="D4554" t="s">
        <v>300</v>
      </c>
      <c r="E4554" t="s">
        <v>903</v>
      </c>
      <c r="F4554">
        <v>7.8E-2</v>
      </c>
      <c r="G4554" t="s">
        <v>334</v>
      </c>
      <c r="H4554">
        <v>11</v>
      </c>
      <c r="I4554" t="s">
        <v>6883</v>
      </c>
      <c r="J4554" t="s">
        <v>294</v>
      </c>
      <c r="M4554" t="s">
        <v>295</v>
      </c>
      <c r="N4554" t="s">
        <v>7</v>
      </c>
      <c r="O4554" t="s">
        <v>297</v>
      </c>
    </row>
    <row r="4555" spans="1:15" x14ac:dyDescent="0.3">
      <c r="A4555" t="s">
        <v>6670</v>
      </c>
      <c r="B4555" t="s">
        <v>6818</v>
      </c>
      <c r="C4555">
        <v>2023</v>
      </c>
      <c r="D4555" t="s">
        <v>358</v>
      </c>
      <c r="E4555" t="s">
        <v>6757</v>
      </c>
      <c r="F4555">
        <v>132000</v>
      </c>
      <c r="G4555" t="s">
        <v>360</v>
      </c>
      <c r="H4555">
        <v>96</v>
      </c>
      <c r="I4555" t="s">
        <v>6884</v>
      </c>
      <c r="J4555" t="s">
        <v>294</v>
      </c>
      <c r="M4555" t="s">
        <v>295</v>
      </c>
      <c r="N4555" t="s">
        <v>7</v>
      </c>
      <c r="O4555" t="s">
        <v>297</v>
      </c>
    </row>
    <row r="4556" spans="1:15" x14ac:dyDescent="0.3">
      <c r="A4556" t="s">
        <v>6670</v>
      </c>
      <c r="B4556" t="s">
        <v>6818</v>
      </c>
      <c r="C4556">
        <v>2023</v>
      </c>
      <c r="D4556" t="s">
        <v>358</v>
      </c>
      <c r="E4556" t="s">
        <v>6759</v>
      </c>
      <c r="F4556">
        <v>82000</v>
      </c>
      <c r="G4556" t="s">
        <v>360</v>
      </c>
      <c r="H4556">
        <v>96</v>
      </c>
      <c r="I4556" t="s">
        <v>6885</v>
      </c>
      <c r="J4556" t="s">
        <v>294</v>
      </c>
      <c r="M4556" t="s">
        <v>295</v>
      </c>
      <c r="N4556" t="s">
        <v>7</v>
      </c>
      <c r="O4556" t="s">
        <v>297</v>
      </c>
    </row>
    <row r="4557" spans="1:15" x14ac:dyDescent="0.3">
      <c r="A4557" t="s">
        <v>6670</v>
      </c>
      <c r="B4557" t="s">
        <v>6818</v>
      </c>
      <c r="C4557">
        <v>2023</v>
      </c>
      <c r="D4557" t="s">
        <v>358</v>
      </c>
      <c r="E4557" t="s">
        <v>6761</v>
      </c>
      <c r="F4557">
        <v>50000</v>
      </c>
      <c r="G4557" t="s">
        <v>360</v>
      </c>
      <c r="H4557">
        <v>96</v>
      </c>
      <c r="I4557" t="s">
        <v>6886</v>
      </c>
      <c r="J4557" t="s">
        <v>294</v>
      </c>
      <c r="M4557" t="s">
        <v>295</v>
      </c>
      <c r="N4557" t="s">
        <v>7</v>
      </c>
      <c r="O4557" t="s">
        <v>297</v>
      </c>
    </row>
    <row r="4558" spans="1:15" x14ac:dyDescent="0.3">
      <c r="A4558" t="s">
        <v>6670</v>
      </c>
      <c r="B4558" t="s">
        <v>6818</v>
      </c>
      <c r="C4558">
        <v>2023</v>
      </c>
      <c r="D4558" t="s">
        <v>358</v>
      </c>
      <c r="E4558" t="s">
        <v>930</v>
      </c>
      <c r="F4558">
        <v>50039</v>
      </c>
      <c r="G4558" t="s">
        <v>360</v>
      </c>
      <c r="H4558">
        <v>70</v>
      </c>
      <c r="I4558" t="s">
        <v>6887</v>
      </c>
      <c r="J4558" t="s">
        <v>294</v>
      </c>
      <c r="M4558" t="s">
        <v>295</v>
      </c>
      <c r="N4558" t="s">
        <v>7</v>
      </c>
      <c r="O4558" t="s">
        <v>297</v>
      </c>
    </row>
    <row r="4559" spans="1:15" x14ac:dyDescent="0.3">
      <c r="A4559" t="s">
        <v>6670</v>
      </c>
      <c r="B4559" t="s">
        <v>6818</v>
      </c>
      <c r="C4559">
        <v>2023</v>
      </c>
      <c r="D4559" t="s">
        <v>358</v>
      </c>
      <c r="E4559" t="s">
        <v>6764</v>
      </c>
      <c r="F4559">
        <v>37444</v>
      </c>
      <c r="G4559" t="s">
        <v>384</v>
      </c>
      <c r="H4559">
        <v>70</v>
      </c>
      <c r="I4559" t="s">
        <v>6888</v>
      </c>
      <c r="J4559" t="s">
        <v>294</v>
      </c>
      <c r="M4559" t="s">
        <v>295</v>
      </c>
      <c r="N4559" t="s">
        <v>7</v>
      </c>
      <c r="O4559" t="s">
        <v>297</v>
      </c>
    </row>
    <row r="4560" spans="1:15" x14ac:dyDescent="0.3">
      <c r="A4560" t="s">
        <v>6670</v>
      </c>
      <c r="B4560" t="s">
        <v>6818</v>
      </c>
      <c r="C4560">
        <v>2023</v>
      </c>
      <c r="D4560" t="s">
        <v>358</v>
      </c>
      <c r="E4560" t="s">
        <v>6766</v>
      </c>
      <c r="F4560">
        <v>0.89</v>
      </c>
      <c r="G4560" t="s">
        <v>334</v>
      </c>
      <c r="H4560">
        <v>96</v>
      </c>
      <c r="I4560" t="s">
        <v>6889</v>
      </c>
      <c r="J4560" t="s">
        <v>294</v>
      </c>
      <c r="M4560" t="s">
        <v>295</v>
      </c>
      <c r="N4560" t="s">
        <v>7</v>
      </c>
      <c r="O4560" t="s">
        <v>297</v>
      </c>
    </row>
    <row r="4561" spans="1:15" x14ac:dyDescent="0.3">
      <c r="A4561" t="s">
        <v>6670</v>
      </c>
      <c r="B4561" t="s">
        <v>6818</v>
      </c>
      <c r="C4561">
        <v>2023</v>
      </c>
      <c r="D4561" t="s">
        <v>358</v>
      </c>
      <c r="E4561" t="s">
        <v>6768</v>
      </c>
      <c r="F4561">
        <v>15</v>
      </c>
      <c r="G4561" t="s">
        <v>375</v>
      </c>
      <c r="H4561">
        <v>96</v>
      </c>
      <c r="I4561" t="s">
        <v>6890</v>
      </c>
      <c r="J4561" t="s">
        <v>294</v>
      </c>
      <c r="M4561" t="s">
        <v>295</v>
      </c>
      <c r="N4561" t="s">
        <v>7</v>
      </c>
      <c r="O4561" t="s">
        <v>297</v>
      </c>
    </row>
    <row r="4562" spans="1:15" x14ac:dyDescent="0.3">
      <c r="A4562" t="s">
        <v>6670</v>
      </c>
      <c r="B4562" t="s">
        <v>6818</v>
      </c>
      <c r="C4562">
        <v>2023</v>
      </c>
      <c r="D4562" t="s">
        <v>358</v>
      </c>
      <c r="E4562" t="s">
        <v>6770</v>
      </c>
      <c r="F4562">
        <v>16</v>
      </c>
      <c r="G4562" t="s">
        <v>375</v>
      </c>
      <c r="H4562">
        <v>96</v>
      </c>
      <c r="I4562" t="s">
        <v>6891</v>
      </c>
      <c r="J4562" t="s">
        <v>294</v>
      </c>
      <c r="M4562" t="s">
        <v>295</v>
      </c>
      <c r="N4562" t="s">
        <v>7</v>
      </c>
      <c r="O4562" t="s">
        <v>297</v>
      </c>
    </row>
    <row r="4563" spans="1:15" x14ac:dyDescent="0.3">
      <c r="A4563" t="s">
        <v>6670</v>
      </c>
      <c r="B4563" t="s">
        <v>6818</v>
      </c>
      <c r="C4563">
        <v>2023</v>
      </c>
      <c r="D4563" t="s">
        <v>358</v>
      </c>
      <c r="E4563" t="s">
        <v>6772</v>
      </c>
      <c r="F4563">
        <v>12781</v>
      </c>
      <c r="G4563" t="s">
        <v>360</v>
      </c>
      <c r="H4563">
        <v>99</v>
      </c>
      <c r="I4563" t="s">
        <v>6773</v>
      </c>
      <c r="J4563" t="s">
        <v>294</v>
      </c>
      <c r="M4563" t="s">
        <v>295</v>
      </c>
      <c r="N4563" t="s">
        <v>7</v>
      </c>
      <c r="O4563" t="s">
        <v>297</v>
      </c>
    </row>
    <row r="4564" spans="1:15" x14ac:dyDescent="0.3">
      <c r="A4564" t="s">
        <v>6670</v>
      </c>
      <c r="B4564" t="s">
        <v>6818</v>
      </c>
      <c r="C4564">
        <v>2023</v>
      </c>
      <c r="D4564" t="s">
        <v>358</v>
      </c>
      <c r="E4564" t="s">
        <v>6774</v>
      </c>
      <c r="F4564">
        <v>21000</v>
      </c>
      <c r="G4564" t="s">
        <v>360</v>
      </c>
      <c r="H4564">
        <v>99</v>
      </c>
      <c r="I4564" t="s">
        <v>6892</v>
      </c>
      <c r="J4564" t="s">
        <v>294</v>
      </c>
      <c r="M4564" t="s">
        <v>295</v>
      </c>
      <c r="N4564" t="s">
        <v>7</v>
      </c>
      <c r="O4564" t="s">
        <v>297</v>
      </c>
    </row>
    <row r="4565" spans="1:15" x14ac:dyDescent="0.3">
      <c r="A4565" t="s">
        <v>6670</v>
      </c>
      <c r="B4565" t="s">
        <v>6818</v>
      </c>
      <c r="C4565">
        <v>2023</v>
      </c>
      <c r="D4565" t="s">
        <v>358</v>
      </c>
      <c r="E4565" t="s">
        <v>4263</v>
      </c>
      <c r="F4565">
        <v>22856</v>
      </c>
      <c r="G4565" t="s">
        <v>360</v>
      </c>
      <c r="H4565">
        <v>99</v>
      </c>
      <c r="I4565" t="s">
        <v>6893</v>
      </c>
      <c r="J4565" t="s">
        <v>294</v>
      </c>
      <c r="M4565" t="s">
        <v>295</v>
      </c>
      <c r="N4565" t="s">
        <v>7</v>
      </c>
      <c r="O4565" t="s">
        <v>297</v>
      </c>
    </row>
    <row r="4566" spans="1:15" x14ac:dyDescent="0.3">
      <c r="A4566" t="s">
        <v>6670</v>
      </c>
      <c r="B4566" t="s">
        <v>6818</v>
      </c>
      <c r="C4566">
        <v>2023</v>
      </c>
      <c r="D4566" t="s">
        <v>358</v>
      </c>
      <c r="E4566" t="s">
        <v>6777</v>
      </c>
      <c r="F4566">
        <v>100000</v>
      </c>
      <c r="G4566" t="s">
        <v>360</v>
      </c>
      <c r="H4566">
        <v>99</v>
      </c>
      <c r="I4566" t="s">
        <v>6894</v>
      </c>
      <c r="J4566" t="s">
        <v>294</v>
      </c>
      <c r="M4566" t="s">
        <v>295</v>
      </c>
      <c r="N4566" t="s">
        <v>7</v>
      </c>
      <c r="O4566" t="s">
        <v>297</v>
      </c>
    </row>
    <row r="4567" spans="1:15" x14ac:dyDescent="0.3">
      <c r="A4567" t="s">
        <v>6670</v>
      </c>
      <c r="B4567" t="s">
        <v>6818</v>
      </c>
      <c r="C4567">
        <v>2023</v>
      </c>
      <c r="D4567" t="s">
        <v>358</v>
      </c>
      <c r="E4567" t="s">
        <v>6779</v>
      </c>
      <c r="F4567">
        <v>8</v>
      </c>
      <c r="G4567" t="s">
        <v>384</v>
      </c>
      <c r="H4567">
        <v>96</v>
      </c>
      <c r="I4567" t="s">
        <v>6895</v>
      </c>
      <c r="J4567" t="s">
        <v>294</v>
      </c>
      <c r="M4567" t="s">
        <v>295</v>
      </c>
      <c r="N4567" t="s">
        <v>7</v>
      </c>
      <c r="O4567" t="s">
        <v>297</v>
      </c>
    </row>
    <row r="4568" spans="1:15" x14ac:dyDescent="0.3">
      <c r="A4568" t="s">
        <v>6670</v>
      </c>
      <c r="B4568" t="s">
        <v>6818</v>
      </c>
      <c r="C4568">
        <v>2023</v>
      </c>
      <c r="D4568" t="s">
        <v>358</v>
      </c>
      <c r="E4568" t="s">
        <v>934</v>
      </c>
      <c r="F4568">
        <v>515</v>
      </c>
      <c r="G4568" t="s">
        <v>738</v>
      </c>
      <c r="H4568">
        <v>96</v>
      </c>
      <c r="I4568" t="s">
        <v>6781</v>
      </c>
      <c r="J4568" t="s">
        <v>294</v>
      </c>
      <c r="M4568" t="s">
        <v>295</v>
      </c>
      <c r="N4568" t="s">
        <v>7</v>
      </c>
      <c r="O4568" t="s">
        <v>297</v>
      </c>
    </row>
    <row r="4569" spans="1:15" x14ac:dyDescent="0.3">
      <c r="A4569" t="s">
        <v>6670</v>
      </c>
      <c r="B4569" t="s">
        <v>6818</v>
      </c>
      <c r="C4569">
        <v>2023</v>
      </c>
      <c r="D4569" t="s">
        <v>394</v>
      </c>
      <c r="E4569" t="s">
        <v>531</v>
      </c>
      <c r="F4569">
        <v>1900174</v>
      </c>
      <c r="G4569" t="s">
        <v>396</v>
      </c>
      <c r="H4569">
        <v>96</v>
      </c>
      <c r="I4569" t="s">
        <v>6896</v>
      </c>
      <c r="J4569" t="s">
        <v>294</v>
      </c>
      <c r="M4569" t="s">
        <v>295</v>
      </c>
      <c r="N4569" t="s">
        <v>7</v>
      </c>
      <c r="O4569" t="s">
        <v>297</v>
      </c>
    </row>
    <row r="4570" spans="1:15" x14ac:dyDescent="0.3">
      <c r="A4570" t="s">
        <v>6670</v>
      </c>
      <c r="B4570" t="s">
        <v>6818</v>
      </c>
      <c r="C4570">
        <v>2023</v>
      </c>
      <c r="D4570" t="s">
        <v>394</v>
      </c>
      <c r="E4570" t="s">
        <v>533</v>
      </c>
      <c r="F4570">
        <v>1259629</v>
      </c>
      <c r="G4570" t="s">
        <v>396</v>
      </c>
      <c r="H4570">
        <v>96</v>
      </c>
      <c r="I4570" t="s">
        <v>6897</v>
      </c>
      <c r="J4570" t="s">
        <v>294</v>
      </c>
      <c r="M4570" t="s">
        <v>295</v>
      </c>
      <c r="N4570" t="s">
        <v>7</v>
      </c>
      <c r="O4570" t="s">
        <v>297</v>
      </c>
    </row>
    <row r="4571" spans="1:15" x14ac:dyDescent="0.3">
      <c r="A4571" t="s">
        <v>6670</v>
      </c>
      <c r="B4571" t="s">
        <v>6818</v>
      </c>
      <c r="C4571">
        <v>2023</v>
      </c>
      <c r="D4571" t="s">
        <v>394</v>
      </c>
      <c r="E4571" t="s">
        <v>6785</v>
      </c>
      <c r="F4571">
        <v>640545</v>
      </c>
      <c r="G4571" t="s">
        <v>396</v>
      </c>
      <c r="H4571">
        <v>96</v>
      </c>
      <c r="I4571" t="s">
        <v>6898</v>
      </c>
      <c r="J4571" t="s">
        <v>294</v>
      </c>
      <c r="M4571" t="s">
        <v>295</v>
      </c>
      <c r="N4571" t="s">
        <v>7</v>
      </c>
      <c r="O4571" t="s">
        <v>297</v>
      </c>
    </row>
    <row r="4572" spans="1:15" x14ac:dyDescent="0.3">
      <c r="A4572" t="s">
        <v>6670</v>
      </c>
      <c r="B4572" t="s">
        <v>6818</v>
      </c>
      <c r="C4572">
        <v>2023</v>
      </c>
      <c r="D4572" t="s">
        <v>394</v>
      </c>
      <c r="E4572" t="s">
        <v>406</v>
      </c>
      <c r="F4572">
        <v>396927</v>
      </c>
      <c r="G4572" t="s">
        <v>396</v>
      </c>
      <c r="H4572">
        <v>93</v>
      </c>
      <c r="I4572" t="s">
        <v>6899</v>
      </c>
      <c r="J4572" t="s">
        <v>294</v>
      </c>
      <c r="M4572" t="s">
        <v>295</v>
      </c>
      <c r="N4572" t="s">
        <v>7</v>
      </c>
      <c r="O4572" t="s">
        <v>297</v>
      </c>
    </row>
    <row r="4573" spans="1:15" x14ac:dyDescent="0.3">
      <c r="A4573" t="s">
        <v>6670</v>
      </c>
      <c r="B4573" t="s">
        <v>6818</v>
      </c>
      <c r="C4573">
        <v>2023</v>
      </c>
      <c r="D4573" t="s">
        <v>394</v>
      </c>
      <c r="E4573" t="s">
        <v>4456</v>
      </c>
      <c r="F4573">
        <v>98984</v>
      </c>
      <c r="G4573" t="s">
        <v>396</v>
      </c>
      <c r="H4573">
        <v>93</v>
      </c>
      <c r="I4573" t="s">
        <v>6900</v>
      </c>
      <c r="J4573" t="s">
        <v>294</v>
      </c>
      <c r="M4573" t="s">
        <v>295</v>
      </c>
      <c r="N4573" t="s">
        <v>7</v>
      </c>
      <c r="O4573" t="s">
        <v>297</v>
      </c>
    </row>
    <row r="4574" spans="1:15" x14ac:dyDescent="0.3">
      <c r="A4574" t="s">
        <v>6670</v>
      </c>
      <c r="B4574" t="s">
        <v>6818</v>
      </c>
      <c r="C4574">
        <v>2023</v>
      </c>
      <c r="D4574" t="s">
        <v>394</v>
      </c>
      <c r="E4574" t="s">
        <v>6789</v>
      </c>
      <c r="F4574">
        <v>23805000</v>
      </c>
      <c r="G4574" t="s">
        <v>6790</v>
      </c>
      <c r="H4574">
        <v>93</v>
      </c>
      <c r="I4574" t="s">
        <v>6901</v>
      </c>
      <c r="J4574" t="s">
        <v>294</v>
      </c>
      <c r="M4574" t="s">
        <v>295</v>
      </c>
      <c r="N4574" t="s">
        <v>7</v>
      </c>
      <c r="O4574" t="s">
        <v>297</v>
      </c>
    </row>
    <row r="4575" spans="1:15" x14ac:dyDescent="0.3">
      <c r="A4575" t="s">
        <v>6670</v>
      </c>
      <c r="B4575" t="s">
        <v>6818</v>
      </c>
      <c r="C4575">
        <v>2023</v>
      </c>
      <c r="D4575" t="s">
        <v>394</v>
      </c>
      <c r="E4575" t="s">
        <v>6792</v>
      </c>
      <c r="F4575">
        <v>2686</v>
      </c>
      <c r="G4575" t="s">
        <v>396</v>
      </c>
      <c r="H4575">
        <v>93</v>
      </c>
      <c r="I4575" t="s">
        <v>6902</v>
      </c>
      <c r="J4575" t="s">
        <v>294</v>
      </c>
      <c r="M4575" t="s">
        <v>295</v>
      </c>
      <c r="N4575" t="s">
        <v>7</v>
      </c>
      <c r="O4575" t="s">
        <v>297</v>
      </c>
    </row>
    <row r="4576" spans="1:15" x14ac:dyDescent="0.3">
      <c r="A4576" t="s">
        <v>6670</v>
      </c>
      <c r="B4576" t="s">
        <v>6818</v>
      </c>
      <c r="C4576">
        <v>2023</v>
      </c>
      <c r="D4576" t="s">
        <v>394</v>
      </c>
      <c r="E4576" t="s">
        <v>438</v>
      </c>
      <c r="F4576">
        <v>413283</v>
      </c>
      <c r="G4576" t="s">
        <v>396</v>
      </c>
      <c r="H4576">
        <v>93</v>
      </c>
      <c r="I4576" t="s">
        <v>6903</v>
      </c>
      <c r="J4576" t="s">
        <v>294</v>
      </c>
      <c r="M4576" t="s">
        <v>295</v>
      </c>
      <c r="N4576" t="s">
        <v>7</v>
      </c>
      <c r="O4576" t="s">
        <v>297</v>
      </c>
    </row>
    <row r="4577" spans="1:15" x14ac:dyDescent="0.3">
      <c r="A4577" t="s">
        <v>6670</v>
      </c>
      <c r="B4577" t="s">
        <v>6818</v>
      </c>
      <c r="C4577">
        <v>2023</v>
      </c>
      <c r="D4577" t="s">
        <v>394</v>
      </c>
      <c r="E4577" t="s">
        <v>4994</v>
      </c>
      <c r="F4577">
        <v>101198</v>
      </c>
      <c r="G4577" t="s">
        <v>396</v>
      </c>
      <c r="H4577">
        <v>93</v>
      </c>
      <c r="I4577" t="s">
        <v>6904</v>
      </c>
      <c r="J4577" t="s">
        <v>294</v>
      </c>
      <c r="M4577" t="s">
        <v>295</v>
      </c>
      <c r="N4577" t="s">
        <v>7</v>
      </c>
      <c r="O4577" t="s">
        <v>297</v>
      </c>
    </row>
    <row r="4578" spans="1:15" x14ac:dyDescent="0.3">
      <c r="A4578" t="s">
        <v>6670</v>
      </c>
      <c r="B4578" t="s">
        <v>6818</v>
      </c>
      <c r="C4578">
        <v>2023</v>
      </c>
      <c r="D4578" t="s">
        <v>394</v>
      </c>
      <c r="E4578" t="s">
        <v>6796</v>
      </c>
      <c r="F4578">
        <v>19284000</v>
      </c>
      <c r="G4578" t="s">
        <v>6790</v>
      </c>
      <c r="H4578">
        <v>93</v>
      </c>
      <c r="I4578" t="s">
        <v>6905</v>
      </c>
      <c r="J4578" t="s">
        <v>294</v>
      </c>
      <c r="M4578" t="s">
        <v>295</v>
      </c>
      <c r="N4578" t="s">
        <v>7</v>
      </c>
      <c r="O4578" t="s">
        <v>297</v>
      </c>
    </row>
    <row r="4579" spans="1:15" x14ac:dyDescent="0.3">
      <c r="A4579" t="s">
        <v>6670</v>
      </c>
      <c r="B4579" t="s">
        <v>6818</v>
      </c>
      <c r="C4579">
        <v>2023</v>
      </c>
      <c r="D4579" t="s">
        <v>394</v>
      </c>
      <c r="E4579" t="s">
        <v>6798</v>
      </c>
      <c r="F4579">
        <v>2464</v>
      </c>
      <c r="G4579" t="s">
        <v>396</v>
      </c>
      <c r="H4579">
        <v>93</v>
      </c>
      <c r="I4579" t="s">
        <v>6906</v>
      </c>
      <c r="J4579" t="s">
        <v>294</v>
      </c>
      <c r="M4579" t="s">
        <v>295</v>
      </c>
      <c r="N4579" t="s">
        <v>7</v>
      </c>
      <c r="O4579" t="s">
        <v>297</v>
      </c>
    </row>
    <row r="4580" spans="1:15" x14ac:dyDescent="0.3">
      <c r="A4580" t="s">
        <v>6670</v>
      </c>
      <c r="B4580" t="s">
        <v>6818</v>
      </c>
      <c r="C4580">
        <v>2023</v>
      </c>
      <c r="D4580" t="s">
        <v>394</v>
      </c>
      <c r="E4580" t="s">
        <v>554</v>
      </c>
      <c r="F4580">
        <v>11405</v>
      </c>
      <c r="G4580" t="s">
        <v>436</v>
      </c>
      <c r="H4580">
        <v>97</v>
      </c>
      <c r="I4580" t="s">
        <v>6907</v>
      </c>
      <c r="J4580" t="s">
        <v>294</v>
      </c>
      <c r="M4580" t="s">
        <v>295</v>
      </c>
      <c r="N4580" t="s">
        <v>7</v>
      </c>
      <c r="O4580" t="s">
        <v>297</v>
      </c>
    </row>
    <row r="4581" spans="1:15" x14ac:dyDescent="0.3">
      <c r="A4581" t="s">
        <v>6670</v>
      </c>
      <c r="B4581" t="s">
        <v>6818</v>
      </c>
      <c r="C4581">
        <v>2023</v>
      </c>
      <c r="D4581" t="s">
        <v>394</v>
      </c>
      <c r="E4581" t="s">
        <v>5195</v>
      </c>
      <c r="F4581">
        <v>5306</v>
      </c>
      <c r="G4581" t="s">
        <v>436</v>
      </c>
      <c r="H4581">
        <v>97</v>
      </c>
      <c r="I4581" t="s">
        <v>6908</v>
      </c>
      <c r="J4581" t="s">
        <v>294</v>
      </c>
      <c r="M4581" t="s">
        <v>295</v>
      </c>
      <c r="N4581" t="s">
        <v>7</v>
      </c>
      <c r="O4581" t="s">
        <v>297</v>
      </c>
    </row>
    <row r="4582" spans="1:15" x14ac:dyDescent="0.3">
      <c r="A4582" t="s">
        <v>6670</v>
      </c>
      <c r="B4582" t="s">
        <v>6818</v>
      </c>
      <c r="C4582">
        <v>2023</v>
      </c>
      <c r="D4582" t="s">
        <v>394</v>
      </c>
      <c r="E4582" t="s">
        <v>6802</v>
      </c>
      <c r="F4582">
        <v>8455</v>
      </c>
      <c r="G4582" t="s">
        <v>6803</v>
      </c>
      <c r="H4582">
        <v>98</v>
      </c>
      <c r="I4582" t="s">
        <v>6909</v>
      </c>
      <c r="J4582" t="s">
        <v>294</v>
      </c>
      <c r="M4582" t="s">
        <v>295</v>
      </c>
      <c r="N4582" t="s">
        <v>7</v>
      </c>
      <c r="O4582" t="s">
        <v>297</v>
      </c>
    </row>
    <row r="4583" spans="1:15" x14ac:dyDescent="0.3">
      <c r="A4583" t="s">
        <v>6670</v>
      </c>
      <c r="B4583" t="s">
        <v>6818</v>
      </c>
      <c r="C4583">
        <v>2023</v>
      </c>
      <c r="D4583" t="s">
        <v>394</v>
      </c>
      <c r="E4583" t="s">
        <v>550</v>
      </c>
      <c r="F4583">
        <v>0.214</v>
      </c>
      <c r="G4583" t="s">
        <v>334</v>
      </c>
      <c r="H4583">
        <v>42</v>
      </c>
      <c r="I4583" t="s">
        <v>6910</v>
      </c>
      <c r="J4583" t="s">
        <v>294</v>
      </c>
      <c r="M4583" t="s">
        <v>295</v>
      </c>
      <c r="N4583" t="s">
        <v>7</v>
      </c>
      <c r="O4583" t="s">
        <v>297</v>
      </c>
    </row>
    <row r="4584" spans="1:15" x14ac:dyDescent="0.3">
      <c r="A4584" t="s">
        <v>6670</v>
      </c>
      <c r="B4584" t="s">
        <v>6818</v>
      </c>
      <c r="C4584">
        <v>2023</v>
      </c>
      <c r="D4584" t="s">
        <v>394</v>
      </c>
      <c r="E4584" t="s">
        <v>6806</v>
      </c>
      <c r="F4584">
        <v>0.38</v>
      </c>
      <c r="G4584" t="s">
        <v>334</v>
      </c>
      <c r="H4584">
        <v>96</v>
      </c>
      <c r="I4584" t="s">
        <v>6911</v>
      </c>
      <c r="J4584" t="s">
        <v>294</v>
      </c>
      <c r="M4584" t="s">
        <v>295</v>
      </c>
      <c r="N4584" t="s">
        <v>7</v>
      </c>
      <c r="O4584" t="s">
        <v>297</v>
      </c>
    </row>
    <row r="4585" spans="1:15" x14ac:dyDescent="0.3">
      <c r="A4585" t="s">
        <v>6670</v>
      </c>
      <c r="B4585" t="s">
        <v>6818</v>
      </c>
      <c r="C4585">
        <v>2023</v>
      </c>
      <c r="D4585" t="s">
        <v>394</v>
      </c>
      <c r="E4585" t="s">
        <v>6810</v>
      </c>
      <c r="F4585">
        <v>5358</v>
      </c>
      <c r="G4585" t="s">
        <v>302</v>
      </c>
      <c r="H4585">
        <v>100</v>
      </c>
      <c r="I4585" t="s">
        <v>6912</v>
      </c>
      <c r="J4585" t="s">
        <v>294</v>
      </c>
      <c r="M4585" t="s">
        <v>295</v>
      </c>
      <c r="N4585" t="s">
        <v>7</v>
      </c>
      <c r="O4585" t="s">
        <v>297</v>
      </c>
    </row>
    <row r="4586" spans="1:15" x14ac:dyDescent="0.3">
      <c r="A4586" t="s">
        <v>6670</v>
      </c>
      <c r="B4586" t="s">
        <v>6818</v>
      </c>
      <c r="C4586">
        <v>2023</v>
      </c>
      <c r="D4586" t="s">
        <v>394</v>
      </c>
      <c r="E4586" t="s">
        <v>6812</v>
      </c>
      <c r="F4586">
        <v>264</v>
      </c>
      <c r="G4586" t="s">
        <v>302</v>
      </c>
      <c r="H4586">
        <v>100</v>
      </c>
      <c r="I4586" t="s">
        <v>6913</v>
      </c>
      <c r="J4586" t="s">
        <v>294</v>
      </c>
      <c r="M4586" t="s">
        <v>295</v>
      </c>
      <c r="N4586" t="s">
        <v>7</v>
      </c>
      <c r="O4586" t="s">
        <v>297</v>
      </c>
    </row>
    <row r="4587" spans="1:15" x14ac:dyDescent="0.3">
      <c r="A4587" t="s">
        <v>6670</v>
      </c>
      <c r="B4587" t="s">
        <v>6818</v>
      </c>
      <c r="C4587">
        <v>2023</v>
      </c>
      <c r="D4587" t="s">
        <v>394</v>
      </c>
      <c r="E4587" t="s">
        <v>6814</v>
      </c>
      <c r="F4587">
        <v>1030</v>
      </c>
      <c r="G4587" t="s">
        <v>302</v>
      </c>
      <c r="H4587">
        <v>100</v>
      </c>
      <c r="I4587" t="s">
        <v>6914</v>
      </c>
      <c r="J4587" t="s">
        <v>294</v>
      </c>
      <c r="M4587" t="s">
        <v>295</v>
      </c>
      <c r="N4587" t="s">
        <v>7</v>
      </c>
      <c r="O4587" t="s">
        <v>297</v>
      </c>
    </row>
    <row r="4588" spans="1:15" x14ac:dyDescent="0.3">
      <c r="A4588" t="s">
        <v>6670</v>
      </c>
      <c r="B4588" t="s">
        <v>6818</v>
      </c>
      <c r="C4588">
        <v>2023</v>
      </c>
      <c r="D4588" t="s">
        <v>394</v>
      </c>
      <c r="E4588" t="s">
        <v>6915</v>
      </c>
      <c r="F4588">
        <v>-93</v>
      </c>
      <c r="G4588" t="s">
        <v>302</v>
      </c>
      <c r="H4588">
        <v>100</v>
      </c>
      <c r="I4588" t="s">
        <v>6916</v>
      </c>
      <c r="J4588" t="s">
        <v>294</v>
      </c>
      <c r="M4588" t="s">
        <v>295</v>
      </c>
      <c r="N4588" t="s">
        <v>7</v>
      </c>
      <c r="O4588" t="s">
        <v>297</v>
      </c>
    </row>
    <row r="4589" spans="1:15" x14ac:dyDescent="0.3">
      <c r="A4589" t="s">
        <v>6670</v>
      </c>
      <c r="B4589" t="s">
        <v>6917</v>
      </c>
      <c r="C4589">
        <v>2024</v>
      </c>
      <c r="D4589" t="s">
        <v>272</v>
      </c>
      <c r="E4589" t="s">
        <v>291</v>
      </c>
      <c r="F4589" t="s">
        <v>6670</v>
      </c>
      <c r="G4589" t="s">
        <v>292</v>
      </c>
      <c r="H4589">
        <v>1</v>
      </c>
      <c r="I4589" t="s">
        <v>6670</v>
      </c>
      <c r="J4589" t="s">
        <v>294</v>
      </c>
      <c r="M4589" t="s">
        <v>295</v>
      </c>
      <c r="N4589" t="s">
        <v>7</v>
      </c>
      <c r="O4589" t="s">
        <v>297</v>
      </c>
    </row>
    <row r="4590" spans="1:15" x14ac:dyDescent="0.3">
      <c r="A4590" t="s">
        <v>6670</v>
      </c>
      <c r="B4590" t="s">
        <v>6917</v>
      </c>
      <c r="C4590">
        <v>2024</v>
      </c>
      <c r="D4590" t="s">
        <v>272</v>
      </c>
      <c r="E4590" t="s">
        <v>6672</v>
      </c>
      <c r="F4590" t="s">
        <v>53</v>
      </c>
      <c r="G4590" t="s">
        <v>292</v>
      </c>
      <c r="H4590">
        <v>69</v>
      </c>
      <c r="I4590" t="s">
        <v>6918</v>
      </c>
      <c r="J4590" t="s">
        <v>294</v>
      </c>
      <c r="M4590" t="s">
        <v>295</v>
      </c>
      <c r="N4590" t="s">
        <v>7</v>
      </c>
      <c r="O4590" t="s">
        <v>297</v>
      </c>
    </row>
    <row r="4591" spans="1:15" x14ac:dyDescent="0.3">
      <c r="A4591" t="s">
        <v>6670</v>
      </c>
      <c r="B4591" t="s">
        <v>6917</v>
      </c>
      <c r="C4591">
        <v>2024</v>
      </c>
      <c r="D4591" t="s">
        <v>272</v>
      </c>
      <c r="E4591" t="s">
        <v>5550</v>
      </c>
      <c r="F4591" t="s">
        <v>6673</v>
      </c>
      <c r="G4591" t="s">
        <v>292</v>
      </c>
      <c r="H4591">
        <v>76</v>
      </c>
      <c r="I4591" t="s">
        <v>6919</v>
      </c>
      <c r="J4591" t="s">
        <v>294</v>
      </c>
      <c r="M4591" t="s">
        <v>295</v>
      </c>
      <c r="N4591" t="s">
        <v>7</v>
      </c>
      <c r="O4591" t="s">
        <v>297</v>
      </c>
    </row>
    <row r="4592" spans="1:15" x14ac:dyDescent="0.3">
      <c r="A4592" t="s">
        <v>6670</v>
      </c>
      <c r="B4592" t="s">
        <v>6917</v>
      </c>
      <c r="C4592">
        <v>2024</v>
      </c>
      <c r="D4592" t="s">
        <v>272</v>
      </c>
      <c r="E4592" t="s">
        <v>6920</v>
      </c>
      <c r="F4592" t="s">
        <v>6921</v>
      </c>
      <c r="G4592" t="s">
        <v>334</v>
      </c>
      <c r="H4592">
        <v>79</v>
      </c>
      <c r="I4592" t="s">
        <v>6922</v>
      </c>
      <c r="J4592" t="s">
        <v>294</v>
      </c>
      <c r="M4592" t="s">
        <v>295</v>
      </c>
      <c r="N4592" t="s">
        <v>7</v>
      </c>
      <c r="O4592" t="s">
        <v>297</v>
      </c>
    </row>
    <row r="4593" spans="1:15" x14ac:dyDescent="0.3">
      <c r="A4593" t="s">
        <v>6670</v>
      </c>
      <c r="B4593" t="s">
        <v>6917</v>
      </c>
      <c r="C4593">
        <v>2024</v>
      </c>
      <c r="D4593" t="s">
        <v>272</v>
      </c>
      <c r="E4593" t="s">
        <v>6923</v>
      </c>
      <c r="F4593" t="s">
        <v>6924</v>
      </c>
      <c r="G4593" t="s">
        <v>334</v>
      </c>
      <c r="H4593">
        <v>79</v>
      </c>
      <c r="I4593" t="s">
        <v>6925</v>
      </c>
      <c r="J4593" t="s">
        <v>294</v>
      </c>
      <c r="M4593" t="s">
        <v>295</v>
      </c>
      <c r="N4593" t="s">
        <v>7</v>
      </c>
      <c r="O4593" t="s">
        <v>297</v>
      </c>
    </row>
    <row r="4594" spans="1:15" x14ac:dyDescent="0.3">
      <c r="A4594" t="s">
        <v>6670</v>
      </c>
      <c r="B4594" t="s">
        <v>6917</v>
      </c>
      <c r="C4594">
        <v>2024</v>
      </c>
      <c r="D4594" t="s">
        <v>272</v>
      </c>
      <c r="E4594" t="s">
        <v>4851</v>
      </c>
      <c r="F4594" t="s">
        <v>6677</v>
      </c>
      <c r="G4594" t="s">
        <v>292</v>
      </c>
      <c r="H4594">
        <v>79</v>
      </c>
      <c r="I4594" t="s">
        <v>6926</v>
      </c>
      <c r="J4594" t="s">
        <v>294</v>
      </c>
      <c r="M4594" t="s">
        <v>295</v>
      </c>
      <c r="N4594" t="s">
        <v>7</v>
      </c>
      <c r="O4594" t="s">
        <v>297</v>
      </c>
    </row>
    <row r="4595" spans="1:15" x14ac:dyDescent="0.3">
      <c r="A4595" t="s">
        <v>6670</v>
      </c>
      <c r="B4595" t="s">
        <v>6917</v>
      </c>
      <c r="C4595">
        <v>2024</v>
      </c>
      <c r="D4595" t="s">
        <v>272</v>
      </c>
      <c r="E4595" t="s">
        <v>4335</v>
      </c>
      <c r="F4595">
        <v>1818622000</v>
      </c>
      <c r="G4595" t="s">
        <v>1633</v>
      </c>
      <c r="H4595">
        <v>78</v>
      </c>
      <c r="I4595" t="s">
        <v>6822</v>
      </c>
      <c r="J4595" t="s">
        <v>294</v>
      </c>
      <c r="M4595" t="s">
        <v>295</v>
      </c>
      <c r="N4595" t="s">
        <v>7</v>
      </c>
      <c r="O4595" t="s">
        <v>297</v>
      </c>
    </row>
    <row r="4596" spans="1:15" x14ac:dyDescent="0.3">
      <c r="A4596" t="s">
        <v>6670</v>
      </c>
      <c r="B4596" t="s">
        <v>6917</v>
      </c>
      <c r="C4596">
        <v>2024</v>
      </c>
      <c r="D4596" t="s">
        <v>272</v>
      </c>
      <c r="E4596" t="s">
        <v>445</v>
      </c>
      <c r="F4596">
        <v>0.05</v>
      </c>
      <c r="G4596" t="s">
        <v>334</v>
      </c>
      <c r="H4596">
        <v>78</v>
      </c>
      <c r="I4596" t="s">
        <v>6927</v>
      </c>
      <c r="J4596" t="s">
        <v>294</v>
      </c>
      <c r="M4596" t="s">
        <v>295</v>
      </c>
      <c r="N4596" t="s">
        <v>7</v>
      </c>
      <c r="O4596" t="s">
        <v>297</v>
      </c>
    </row>
    <row r="4597" spans="1:15" x14ac:dyDescent="0.3">
      <c r="A4597" t="s">
        <v>6670</v>
      </c>
      <c r="B4597" t="s">
        <v>6917</v>
      </c>
      <c r="C4597">
        <v>2024</v>
      </c>
      <c r="D4597" t="s">
        <v>272</v>
      </c>
      <c r="E4597" t="s">
        <v>6681</v>
      </c>
      <c r="F4597" t="s">
        <v>6928</v>
      </c>
      <c r="G4597" t="s">
        <v>334</v>
      </c>
      <c r="H4597">
        <v>79</v>
      </c>
      <c r="I4597" t="s">
        <v>6929</v>
      </c>
      <c r="J4597" t="s">
        <v>294</v>
      </c>
      <c r="M4597" t="s">
        <v>295</v>
      </c>
      <c r="N4597" t="s">
        <v>7</v>
      </c>
      <c r="O4597" t="s">
        <v>297</v>
      </c>
    </row>
    <row r="4598" spans="1:15" x14ac:dyDescent="0.3">
      <c r="A4598" t="s">
        <v>6670</v>
      </c>
      <c r="B4598" t="s">
        <v>6917</v>
      </c>
      <c r="C4598">
        <v>2024</v>
      </c>
      <c r="D4598" t="s">
        <v>272</v>
      </c>
      <c r="E4598" t="s">
        <v>1560</v>
      </c>
      <c r="F4598">
        <v>9747</v>
      </c>
      <c r="G4598" t="s">
        <v>1561</v>
      </c>
      <c r="H4598">
        <v>11</v>
      </c>
      <c r="I4598" t="s">
        <v>6930</v>
      </c>
      <c r="J4598" t="s">
        <v>294</v>
      </c>
      <c r="M4598" t="s">
        <v>295</v>
      </c>
      <c r="N4598" t="s">
        <v>7</v>
      </c>
      <c r="O4598" t="s">
        <v>297</v>
      </c>
    </row>
    <row r="4599" spans="1:15" x14ac:dyDescent="0.3">
      <c r="A4599" t="s">
        <v>6670</v>
      </c>
      <c r="B4599" t="s">
        <v>6917</v>
      </c>
      <c r="C4599">
        <v>2024</v>
      </c>
      <c r="D4599" t="s">
        <v>272</v>
      </c>
      <c r="E4599" t="s">
        <v>6931</v>
      </c>
      <c r="F4599">
        <v>25</v>
      </c>
      <c r="G4599" t="s">
        <v>384</v>
      </c>
      <c r="H4599">
        <v>74</v>
      </c>
      <c r="I4599" t="s">
        <v>6932</v>
      </c>
      <c r="J4599" t="s">
        <v>294</v>
      </c>
      <c r="M4599" t="s">
        <v>295</v>
      </c>
      <c r="N4599" t="s">
        <v>7</v>
      </c>
      <c r="O4599" t="s">
        <v>297</v>
      </c>
    </row>
    <row r="4600" spans="1:15" x14ac:dyDescent="0.3">
      <c r="A4600" t="s">
        <v>6670</v>
      </c>
      <c r="B4600" t="s">
        <v>6917</v>
      </c>
      <c r="C4600">
        <v>2024</v>
      </c>
      <c r="D4600" t="s">
        <v>300</v>
      </c>
      <c r="E4600" t="s">
        <v>301</v>
      </c>
      <c r="F4600">
        <v>5694</v>
      </c>
      <c r="G4600" t="s">
        <v>302</v>
      </c>
      <c r="H4600">
        <v>12</v>
      </c>
      <c r="I4600" t="s">
        <v>6933</v>
      </c>
      <c r="J4600" t="s">
        <v>294</v>
      </c>
      <c r="M4600" t="s">
        <v>295</v>
      </c>
      <c r="N4600" t="s">
        <v>7</v>
      </c>
      <c r="O4600" t="s">
        <v>297</v>
      </c>
    </row>
    <row r="4601" spans="1:15" x14ac:dyDescent="0.3">
      <c r="A4601" t="s">
        <v>6670</v>
      </c>
      <c r="B4601" t="s">
        <v>6917</v>
      </c>
      <c r="C4601">
        <v>2024</v>
      </c>
      <c r="D4601" t="s">
        <v>300</v>
      </c>
      <c r="E4601" t="s">
        <v>304</v>
      </c>
      <c r="F4601">
        <v>1601</v>
      </c>
      <c r="G4601" t="s">
        <v>302</v>
      </c>
      <c r="H4601">
        <v>12</v>
      </c>
      <c r="I4601" t="s">
        <v>6934</v>
      </c>
      <c r="J4601" t="s">
        <v>294</v>
      </c>
      <c r="M4601" t="s">
        <v>295</v>
      </c>
      <c r="N4601" t="s">
        <v>7</v>
      </c>
      <c r="O4601" t="s">
        <v>297</v>
      </c>
    </row>
    <row r="4602" spans="1:15" x14ac:dyDescent="0.3">
      <c r="A4602" t="s">
        <v>6670</v>
      </c>
      <c r="B4602" t="s">
        <v>6917</v>
      </c>
      <c r="C4602">
        <v>2024</v>
      </c>
      <c r="D4602" t="s">
        <v>300</v>
      </c>
      <c r="E4602" t="s">
        <v>2868</v>
      </c>
      <c r="F4602">
        <v>4094</v>
      </c>
      <c r="G4602" t="s">
        <v>302</v>
      </c>
      <c r="H4602">
        <v>123</v>
      </c>
      <c r="I4602" t="s">
        <v>6935</v>
      </c>
      <c r="J4602" t="s">
        <v>294</v>
      </c>
      <c r="M4602" t="s">
        <v>295</v>
      </c>
      <c r="N4602" t="s">
        <v>7</v>
      </c>
      <c r="O4602" t="s">
        <v>297</v>
      </c>
    </row>
    <row r="4603" spans="1:15" x14ac:dyDescent="0.3">
      <c r="A4603" t="s">
        <v>6670</v>
      </c>
      <c r="B4603" t="s">
        <v>6917</v>
      </c>
      <c r="C4603">
        <v>2024</v>
      </c>
      <c r="D4603" t="s">
        <v>300</v>
      </c>
      <c r="E4603" t="s">
        <v>5214</v>
      </c>
      <c r="F4603">
        <v>1264</v>
      </c>
      <c r="G4603" t="s">
        <v>302</v>
      </c>
      <c r="H4603">
        <v>12</v>
      </c>
      <c r="I4603" t="s">
        <v>6936</v>
      </c>
      <c r="J4603" t="s">
        <v>294</v>
      </c>
      <c r="M4603" t="s">
        <v>295</v>
      </c>
      <c r="N4603" t="s">
        <v>7</v>
      </c>
      <c r="O4603" t="s">
        <v>297</v>
      </c>
    </row>
    <row r="4604" spans="1:15" x14ac:dyDescent="0.3">
      <c r="A4604" t="s">
        <v>6670</v>
      </c>
      <c r="B4604" t="s">
        <v>6917</v>
      </c>
      <c r="C4604">
        <v>2024</v>
      </c>
      <c r="D4604" t="s">
        <v>300</v>
      </c>
      <c r="E4604" t="s">
        <v>579</v>
      </c>
      <c r="F4604">
        <v>1068</v>
      </c>
      <c r="G4604" t="s">
        <v>302</v>
      </c>
      <c r="H4604">
        <v>123</v>
      </c>
      <c r="I4604" t="s">
        <v>6937</v>
      </c>
      <c r="J4604" t="s">
        <v>294</v>
      </c>
      <c r="M4604" t="s">
        <v>295</v>
      </c>
      <c r="N4604" t="s">
        <v>7</v>
      </c>
      <c r="O4604" t="s">
        <v>297</v>
      </c>
    </row>
    <row r="4605" spans="1:15" x14ac:dyDescent="0.3">
      <c r="A4605" t="s">
        <v>6670</v>
      </c>
      <c r="B4605" t="s">
        <v>6917</v>
      </c>
      <c r="C4605">
        <v>2024</v>
      </c>
      <c r="D4605" t="s">
        <v>300</v>
      </c>
      <c r="E4605" t="s">
        <v>581</v>
      </c>
      <c r="F4605">
        <v>371</v>
      </c>
      <c r="G4605" t="s">
        <v>302</v>
      </c>
      <c r="H4605">
        <v>123</v>
      </c>
      <c r="I4605" t="s">
        <v>6938</v>
      </c>
      <c r="J4605" t="s">
        <v>294</v>
      </c>
      <c r="M4605" t="s">
        <v>295</v>
      </c>
      <c r="N4605" t="s">
        <v>7</v>
      </c>
      <c r="O4605" t="s">
        <v>297</v>
      </c>
    </row>
    <row r="4606" spans="1:15" x14ac:dyDescent="0.3">
      <c r="A4606" t="s">
        <v>6670</v>
      </c>
      <c r="B4606" t="s">
        <v>6917</v>
      </c>
      <c r="C4606">
        <v>2024</v>
      </c>
      <c r="D4606" t="s">
        <v>300</v>
      </c>
      <c r="E4606" t="s">
        <v>6695</v>
      </c>
      <c r="F4606">
        <v>697</v>
      </c>
      <c r="G4606" t="s">
        <v>302</v>
      </c>
      <c r="H4606">
        <v>12</v>
      </c>
      <c r="I4606" t="s">
        <v>6939</v>
      </c>
      <c r="J4606" t="s">
        <v>294</v>
      </c>
      <c r="M4606" t="s">
        <v>295</v>
      </c>
      <c r="N4606" t="s">
        <v>7</v>
      </c>
      <c r="O4606" t="s">
        <v>297</v>
      </c>
    </row>
    <row r="4607" spans="1:15" x14ac:dyDescent="0.3">
      <c r="A4607" t="s">
        <v>6670</v>
      </c>
      <c r="B4607" t="s">
        <v>6917</v>
      </c>
      <c r="C4607">
        <v>2024</v>
      </c>
      <c r="D4607" t="s">
        <v>300</v>
      </c>
      <c r="E4607" t="s">
        <v>308</v>
      </c>
      <c r="F4607">
        <v>749</v>
      </c>
      <c r="G4607" t="s">
        <v>302</v>
      </c>
      <c r="H4607">
        <v>12</v>
      </c>
      <c r="I4607" t="s">
        <v>6940</v>
      </c>
      <c r="J4607" t="s">
        <v>294</v>
      </c>
      <c r="M4607" t="s">
        <v>295</v>
      </c>
      <c r="N4607" t="s">
        <v>7</v>
      </c>
      <c r="O4607" t="s">
        <v>297</v>
      </c>
    </row>
    <row r="4608" spans="1:15" x14ac:dyDescent="0.3">
      <c r="A4608" t="s">
        <v>6670</v>
      </c>
      <c r="B4608" t="s">
        <v>6917</v>
      </c>
      <c r="C4608">
        <v>2024</v>
      </c>
      <c r="D4608" t="s">
        <v>300</v>
      </c>
      <c r="E4608" t="s">
        <v>6698</v>
      </c>
      <c r="F4608">
        <v>-51</v>
      </c>
      <c r="G4608" t="s">
        <v>302</v>
      </c>
      <c r="H4608">
        <v>12</v>
      </c>
      <c r="I4608" t="s">
        <v>6941</v>
      </c>
      <c r="J4608" t="s">
        <v>294</v>
      </c>
      <c r="M4608" t="s">
        <v>295</v>
      </c>
      <c r="N4608" t="s">
        <v>7</v>
      </c>
      <c r="O4608" t="s">
        <v>297</v>
      </c>
    </row>
    <row r="4609" spans="1:15" x14ac:dyDescent="0.3">
      <c r="A4609" t="s">
        <v>6670</v>
      </c>
      <c r="B4609" t="s">
        <v>6917</v>
      </c>
      <c r="C4609">
        <v>2024</v>
      </c>
      <c r="D4609" t="s">
        <v>300</v>
      </c>
      <c r="E4609" t="s">
        <v>316</v>
      </c>
      <c r="F4609">
        <v>10702</v>
      </c>
      <c r="G4609" t="s">
        <v>302</v>
      </c>
      <c r="H4609">
        <v>121</v>
      </c>
      <c r="I4609" t="s">
        <v>6942</v>
      </c>
      <c r="J4609" t="s">
        <v>294</v>
      </c>
      <c r="M4609" t="s">
        <v>295</v>
      </c>
      <c r="N4609" t="s">
        <v>7</v>
      </c>
      <c r="O4609" t="s">
        <v>297</v>
      </c>
    </row>
    <row r="4610" spans="1:15" x14ac:dyDescent="0.3">
      <c r="A4610" t="s">
        <v>6670</v>
      </c>
      <c r="B4610" t="s">
        <v>6917</v>
      </c>
      <c r="C4610">
        <v>2024</v>
      </c>
      <c r="D4610" t="s">
        <v>300</v>
      </c>
      <c r="E4610" t="s">
        <v>312</v>
      </c>
      <c r="F4610">
        <v>2225</v>
      </c>
      <c r="G4610" t="s">
        <v>302</v>
      </c>
      <c r="H4610">
        <v>121</v>
      </c>
      <c r="I4610" t="s">
        <v>6943</v>
      </c>
      <c r="J4610" t="s">
        <v>294</v>
      </c>
      <c r="M4610" t="s">
        <v>295</v>
      </c>
      <c r="N4610" t="s">
        <v>7</v>
      </c>
      <c r="O4610" t="s">
        <v>297</v>
      </c>
    </row>
    <row r="4611" spans="1:15" x14ac:dyDescent="0.3">
      <c r="A4611" t="s">
        <v>6670</v>
      </c>
      <c r="B4611" t="s">
        <v>6917</v>
      </c>
      <c r="C4611">
        <v>2024</v>
      </c>
      <c r="D4611" t="s">
        <v>300</v>
      </c>
      <c r="E4611" t="s">
        <v>314</v>
      </c>
      <c r="F4611">
        <v>8478</v>
      </c>
      <c r="G4611" t="s">
        <v>302</v>
      </c>
      <c r="H4611">
        <v>121</v>
      </c>
      <c r="I4611" t="s">
        <v>6944</v>
      </c>
      <c r="J4611" t="s">
        <v>294</v>
      </c>
      <c r="M4611" t="s">
        <v>295</v>
      </c>
      <c r="N4611" t="s">
        <v>7</v>
      </c>
      <c r="O4611" t="s">
        <v>297</v>
      </c>
    </row>
    <row r="4612" spans="1:15" x14ac:dyDescent="0.3">
      <c r="A4612" t="s">
        <v>6670</v>
      </c>
      <c r="B4612" t="s">
        <v>6917</v>
      </c>
      <c r="C4612">
        <v>2024</v>
      </c>
      <c r="D4612" t="s">
        <v>300</v>
      </c>
      <c r="E4612" t="s">
        <v>471</v>
      </c>
      <c r="F4612">
        <v>841</v>
      </c>
      <c r="G4612" t="s">
        <v>302</v>
      </c>
      <c r="H4612">
        <v>367</v>
      </c>
      <c r="I4612" t="s">
        <v>6945</v>
      </c>
      <c r="J4612" t="s">
        <v>294</v>
      </c>
      <c r="M4612" t="s">
        <v>295</v>
      </c>
      <c r="N4612" t="s">
        <v>7</v>
      </c>
      <c r="O4612" t="s">
        <v>297</v>
      </c>
    </row>
    <row r="4613" spans="1:15" x14ac:dyDescent="0.3">
      <c r="A4613" t="s">
        <v>6670</v>
      </c>
      <c r="B4613" t="s">
        <v>6917</v>
      </c>
      <c r="C4613">
        <v>2024</v>
      </c>
      <c r="D4613" t="s">
        <v>300</v>
      </c>
      <c r="E4613" t="s">
        <v>481</v>
      </c>
      <c r="F4613">
        <v>607</v>
      </c>
      <c r="G4613" t="s">
        <v>302</v>
      </c>
      <c r="H4613">
        <v>367</v>
      </c>
      <c r="I4613" t="s">
        <v>6946</v>
      </c>
      <c r="J4613" t="s">
        <v>294</v>
      </c>
      <c r="M4613" t="s">
        <v>295</v>
      </c>
      <c r="N4613" t="s">
        <v>7</v>
      </c>
      <c r="O4613" t="s">
        <v>297</v>
      </c>
    </row>
    <row r="4614" spans="1:15" x14ac:dyDescent="0.3">
      <c r="A4614" t="s">
        <v>6670</v>
      </c>
      <c r="B4614" t="s">
        <v>6917</v>
      </c>
      <c r="C4614">
        <v>2024</v>
      </c>
      <c r="D4614" t="s">
        <v>300</v>
      </c>
      <c r="E4614" t="s">
        <v>4369</v>
      </c>
      <c r="F4614">
        <v>318</v>
      </c>
      <c r="G4614" t="s">
        <v>302</v>
      </c>
      <c r="H4614">
        <v>367</v>
      </c>
      <c r="I4614" t="s">
        <v>6947</v>
      </c>
      <c r="J4614" t="s">
        <v>294</v>
      </c>
      <c r="M4614" t="s">
        <v>295</v>
      </c>
      <c r="N4614" t="s">
        <v>7</v>
      </c>
      <c r="O4614" t="s">
        <v>297</v>
      </c>
    </row>
    <row r="4615" spans="1:15" x14ac:dyDescent="0.3">
      <c r="A4615" t="s">
        <v>6670</v>
      </c>
      <c r="B4615" t="s">
        <v>6917</v>
      </c>
      <c r="C4615">
        <v>2024</v>
      </c>
      <c r="D4615" t="s">
        <v>300</v>
      </c>
      <c r="E4615" t="s">
        <v>479</v>
      </c>
      <c r="F4615">
        <v>177</v>
      </c>
      <c r="G4615" t="s">
        <v>302</v>
      </c>
      <c r="H4615">
        <v>367</v>
      </c>
      <c r="I4615" t="s">
        <v>6948</v>
      </c>
      <c r="J4615" t="s">
        <v>294</v>
      </c>
      <c r="M4615" t="s">
        <v>295</v>
      </c>
      <c r="N4615" t="s">
        <v>7</v>
      </c>
      <c r="O4615" t="s">
        <v>297</v>
      </c>
    </row>
    <row r="4616" spans="1:15" x14ac:dyDescent="0.3">
      <c r="A4616" t="s">
        <v>6670</v>
      </c>
      <c r="B4616" t="s">
        <v>6917</v>
      </c>
      <c r="C4616">
        <v>2024</v>
      </c>
      <c r="D4616" t="s">
        <v>300</v>
      </c>
      <c r="E4616" t="s">
        <v>3990</v>
      </c>
      <c r="F4616">
        <v>366</v>
      </c>
      <c r="G4616" t="s">
        <v>302</v>
      </c>
      <c r="H4616">
        <v>367</v>
      </c>
      <c r="I4616" t="s">
        <v>6949</v>
      </c>
      <c r="J4616" t="s">
        <v>294</v>
      </c>
      <c r="M4616" t="s">
        <v>295</v>
      </c>
      <c r="N4616" t="s">
        <v>7</v>
      </c>
      <c r="O4616" t="s">
        <v>297</v>
      </c>
    </row>
    <row r="4617" spans="1:15" x14ac:dyDescent="0.3">
      <c r="A4617" t="s">
        <v>6670</v>
      </c>
      <c r="B4617" t="s">
        <v>6917</v>
      </c>
      <c r="C4617">
        <v>2024</v>
      </c>
      <c r="D4617" t="s">
        <v>300</v>
      </c>
      <c r="E4617" t="s">
        <v>6844</v>
      </c>
      <c r="F4617">
        <v>5661</v>
      </c>
      <c r="G4617" t="s">
        <v>302</v>
      </c>
      <c r="H4617">
        <v>367</v>
      </c>
      <c r="I4617" t="s">
        <v>6950</v>
      </c>
      <c r="J4617" t="s">
        <v>294</v>
      </c>
      <c r="M4617" t="s">
        <v>295</v>
      </c>
      <c r="N4617" t="s">
        <v>7</v>
      </c>
      <c r="O4617" t="s">
        <v>297</v>
      </c>
    </row>
    <row r="4618" spans="1:15" x14ac:dyDescent="0.3">
      <c r="A4618" t="s">
        <v>6670</v>
      </c>
      <c r="B4618" t="s">
        <v>6917</v>
      </c>
      <c r="C4618">
        <v>2024</v>
      </c>
      <c r="D4618" t="s">
        <v>300</v>
      </c>
      <c r="E4618" t="s">
        <v>3984</v>
      </c>
      <c r="F4618">
        <v>2064</v>
      </c>
      <c r="G4618" t="s">
        <v>302</v>
      </c>
      <c r="H4618">
        <v>367</v>
      </c>
      <c r="I4618" t="s">
        <v>6951</v>
      </c>
      <c r="J4618" t="s">
        <v>294</v>
      </c>
      <c r="M4618" t="s">
        <v>295</v>
      </c>
      <c r="N4618" t="s">
        <v>7</v>
      </c>
      <c r="O4618" t="s">
        <v>297</v>
      </c>
    </row>
    <row r="4619" spans="1:15" x14ac:dyDescent="0.3">
      <c r="A4619" t="s">
        <v>6670</v>
      </c>
      <c r="B4619" t="s">
        <v>6917</v>
      </c>
      <c r="C4619">
        <v>2024</v>
      </c>
      <c r="D4619" t="s">
        <v>300</v>
      </c>
      <c r="E4619" t="s">
        <v>322</v>
      </c>
      <c r="F4619">
        <v>4492</v>
      </c>
      <c r="G4619" t="s">
        <v>302</v>
      </c>
      <c r="H4619">
        <v>121</v>
      </c>
      <c r="I4619" t="s">
        <v>6952</v>
      </c>
      <c r="J4619" t="s">
        <v>294</v>
      </c>
      <c r="M4619" t="s">
        <v>295</v>
      </c>
      <c r="N4619" t="s">
        <v>7</v>
      </c>
      <c r="O4619" t="s">
        <v>297</v>
      </c>
    </row>
    <row r="4620" spans="1:15" x14ac:dyDescent="0.3">
      <c r="A4620" t="s">
        <v>6670</v>
      </c>
      <c r="B4620" t="s">
        <v>6917</v>
      </c>
      <c r="C4620">
        <v>2024</v>
      </c>
      <c r="D4620" t="s">
        <v>300</v>
      </c>
      <c r="E4620" t="s">
        <v>318</v>
      </c>
      <c r="F4620">
        <v>1760</v>
      </c>
      <c r="G4620" t="s">
        <v>302</v>
      </c>
      <c r="H4620">
        <v>121</v>
      </c>
      <c r="I4620" t="s">
        <v>6953</v>
      </c>
      <c r="J4620" t="s">
        <v>294</v>
      </c>
      <c r="M4620" t="s">
        <v>295</v>
      </c>
      <c r="N4620" t="s">
        <v>7</v>
      </c>
      <c r="O4620" t="s">
        <v>297</v>
      </c>
    </row>
    <row r="4621" spans="1:15" x14ac:dyDescent="0.3">
      <c r="A4621" t="s">
        <v>6670</v>
      </c>
      <c r="B4621" t="s">
        <v>6917</v>
      </c>
      <c r="C4621">
        <v>2024</v>
      </c>
      <c r="D4621" t="s">
        <v>300</v>
      </c>
      <c r="E4621" t="s">
        <v>828</v>
      </c>
      <c r="F4621">
        <v>2732</v>
      </c>
      <c r="G4621" t="s">
        <v>302</v>
      </c>
      <c r="H4621">
        <v>121</v>
      </c>
      <c r="I4621" t="s">
        <v>6954</v>
      </c>
      <c r="J4621" t="s">
        <v>294</v>
      </c>
      <c r="M4621" t="s">
        <v>295</v>
      </c>
      <c r="N4621" t="s">
        <v>7</v>
      </c>
      <c r="O4621" t="s">
        <v>297</v>
      </c>
    </row>
    <row r="4622" spans="1:15" x14ac:dyDescent="0.3">
      <c r="A4622" t="s">
        <v>6670</v>
      </c>
      <c r="B4622" t="s">
        <v>6917</v>
      </c>
      <c r="C4622">
        <v>2024</v>
      </c>
      <c r="D4622" t="s">
        <v>300</v>
      </c>
      <c r="E4622" t="s">
        <v>599</v>
      </c>
      <c r="F4622">
        <v>662</v>
      </c>
      <c r="G4622" t="s">
        <v>302</v>
      </c>
      <c r="H4622">
        <v>368</v>
      </c>
      <c r="I4622" t="s">
        <v>6955</v>
      </c>
      <c r="J4622" t="s">
        <v>294</v>
      </c>
      <c r="M4622" t="s">
        <v>295</v>
      </c>
      <c r="N4622" t="s">
        <v>7</v>
      </c>
      <c r="O4622" t="s">
        <v>297</v>
      </c>
    </row>
    <row r="4623" spans="1:15" x14ac:dyDescent="0.3">
      <c r="A4623" t="s">
        <v>6670</v>
      </c>
      <c r="B4623" t="s">
        <v>6917</v>
      </c>
      <c r="C4623">
        <v>2024</v>
      </c>
      <c r="D4623" t="s">
        <v>300</v>
      </c>
      <c r="E4623" t="s">
        <v>6717</v>
      </c>
      <c r="F4623">
        <v>166</v>
      </c>
      <c r="G4623" t="s">
        <v>302</v>
      </c>
      <c r="H4623">
        <v>368</v>
      </c>
      <c r="I4623" t="s">
        <v>6956</v>
      </c>
      <c r="J4623" t="s">
        <v>294</v>
      </c>
      <c r="M4623" t="s">
        <v>295</v>
      </c>
      <c r="N4623" t="s">
        <v>7</v>
      </c>
      <c r="O4623" t="s">
        <v>297</v>
      </c>
    </row>
    <row r="4624" spans="1:15" x14ac:dyDescent="0.3">
      <c r="A4624" t="s">
        <v>6670</v>
      </c>
      <c r="B4624" t="s">
        <v>6917</v>
      </c>
      <c r="C4624">
        <v>2024</v>
      </c>
      <c r="D4624" t="s">
        <v>300</v>
      </c>
      <c r="E4624" t="s">
        <v>6719</v>
      </c>
      <c r="F4624">
        <v>200</v>
      </c>
      <c r="G4624" t="s">
        <v>302</v>
      </c>
      <c r="H4624">
        <v>368</v>
      </c>
      <c r="I4624" t="s">
        <v>6957</v>
      </c>
      <c r="J4624" t="s">
        <v>294</v>
      </c>
      <c r="M4624" t="s">
        <v>295</v>
      </c>
      <c r="N4624" t="s">
        <v>7</v>
      </c>
      <c r="O4624" t="s">
        <v>297</v>
      </c>
    </row>
    <row r="4625" spans="1:15" x14ac:dyDescent="0.3">
      <c r="A4625" t="s">
        <v>6670</v>
      </c>
      <c r="B4625" t="s">
        <v>6917</v>
      </c>
      <c r="C4625">
        <v>2024</v>
      </c>
      <c r="D4625" t="s">
        <v>300</v>
      </c>
      <c r="E4625" t="s">
        <v>6721</v>
      </c>
      <c r="F4625">
        <v>208</v>
      </c>
      <c r="G4625" t="s">
        <v>302</v>
      </c>
      <c r="H4625">
        <v>368</v>
      </c>
      <c r="I4625" t="s">
        <v>6958</v>
      </c>
      <c r="J4625" t="s">
        <v>294</v>
      </c>
      <c r="M4625" t="s">
        <v>295</v>
      </c>
      <c r="N4625" t="s">
        <v>7</v>
      </c>
      <c r="O4625" t="s">
        <v>297</v>
      </c>
    </row>
    <row r="4626" spans="1:15" x14ac:dyDescent="0.3">
      <c r="A4626" t="s">
        <v>6670</v>
      </c>
      <c r="B4626" t="s">
        <v>6917</v>
      </c>
      <c r="C4626">
        <v>2024</v>
      </c>
      <c r="D4626" t="s">
        <v>300</v>
      </c>
      <c r="E4626" t="s">
        <v>6723</v>
      </c>
      <c r="F4626">
        <v>495</v>
      </c>
      <c r="G4626" t="s">
        <v>302</v>
      </c>
      <c r="H4626">
        <v>368</v>
      </c>
      <c r="I4626" t="s">
        <v>6959</v>
      </c>
      <c r="J4626" t="s">
        <v>294</v>
      </c>
      <c r="M4626" t="s">
        <v>295</v>
      </c>
      <c r="N4626" t="s">
        <v>7</v>
      </c>
      <c r="O4626" t="s">
        <v>297</v>
      </c>
    </row>
    <row r="4627" spans="1:15" x14ac:dyDescent="0.3">
      <c r="A4627" t="s">
        <v>6670</v>
      </c>
      <c r="B4627" t="s">
        <v>6917</v>
      </c>
      <c r="C4627">
        <v>2024</v>
      </c>
      <c r="D4627" t="s">
        <v>300</v>
      </c>
      <c r="E4627" t="s">
        <v>6725</v>
      </c>
      <c r="F4627">
        <v>388</v>
      </c>
      <c r="G4627" t="s">
        <v>302</v>
      </c>
      <c r="H4627">
        <v>368</v>
      </c>
      <c r="I4627" t="s">
        <v>6960</v>
      </c>
      <c r="J4627" t="s">
        <v>294</v>
      </c>
      <c r="M4627" t="s">
        <v>295</v>
      </c>
      <c r="N4627" t="s">
        <v>7</v>
      </c>
      <c r="O4627" t="s">
        <v>297</v>
      </c>
    </row>
    <row r="4628" spans="1:15" x14ac:dyDescent="0.3">
      <c r="A4628" t="s">
        <v>6670</v>
      </c>
      <c r="B4628" t="s">
        <v>6917</v>
      </c>
      <c r="C4628">
        <v>2024</v>
      </c>
      <c r="D4628" t="s">
        <v>300</v>
      </c>
      <c r="E4628" t="s">
        <v>475</v>
      </c>
      <c r="F4628">
        <v>1425</v>
      </c>
      <c r="G4628" t="s">
        <v>302</v>
      </c>
      <c r="H4628">
        <v>368</v>
      </c>
      <c r="I4628" t="s">
        <v>6961</v>
      </c>
      <c r="J4628" t="s">
        <v>294</v>
      </c>
      <c r="M4628" t="s">
        <v>295</v>
      </c>
      <c r="N4628" t="s">
        <v>7</v>
      </c>
      <c r="O4628" t="s">
        <v>297</v>
      </c>
    </row>
    <row r="4629" spans="1:15" x14ac:dyDescent="0.3">
      <c r="A4629" t="s">
        <v>6670</v>
      </c>
      <c r="B4629" t="s">
        <v>6917</v>
      </c>
      <c r="C4629">
        <v>2024</v>
      </c>
      <c r="D4629" t="s">
        <v>300</v>
      </c>
      <c r="E4629" t="s">
        <v>6728</v>
      </c>
      <c r="F4629">
        <v>2882</v>
      </c>
      <c r="G4629" t="s">
        <v>302</v>
      </c>
      <c r="H4629">
        <v>368</v>
      </c>
      <c r="I4629" t="s">
        <v>6962</v>
      </c>
      <c r="J4629" t="s">
        <v>294</v>
      </c>
      <c r="M4629" t="s">
        <v>295</v>
      </c>
      <c r="N4629" t="s">
        <v>7</v>
      </c>
      <c r="O4629" t="s">
        <v>297</v>
      </c>
    </row>
    <row r="4630" spans="1:15" x14ac:dyDescent="0.3">
      <c r="A4630" t="s">
        <v>6670</v>
      </c>
      <c r="B4630" t="s">
        <v>6917</v>
      </c>
      <c r="C4630">
        <v>2024</v>
      </c>
      <c r="D4630" t="s">
        <v>300</v>
      </c>
      <c r="E4630" t="s">
        <v>6963</v>
      </c>
      <c r="F4630">
        <v>210</v>
      </c>
      <c r="G4630" t="s">
        <v>302</v>
      </c>
      <c r="H4630">
        <v>368</v>
      </c>
      <c r="I4630" t="s">
        <v>6964</v>
      </c>
      <c r="J4630" t="s">
        <v>294</v>
      </c>
      <c r="M4630" t="s">
        <v>295</v>
      </c>
      <c r="N4630" t="s">
        <v>7</v>
      </c>
      <c r="O4630" t="s">
        <v>297</v>
      </c>
    </row>
    <row r="4631" spans="1:15" x14ac:dyDescent="0.3">
      <c r="A4631" t="s">
        <v>6670</v>
      </c>
      <c r="B4631" t="s">
        <v>6917</v>
      </c>
      <c r="C4631">
        <v>2024</v>
      </c>
      <c r="D4631" t="s">
        <v>300</v>
      </c>
      <c r="E4631" t="s">
        <v>324</v>
      </c>
      <c r="F4631">
        <v>6210</v>
      </c>
      <c r="G4631" t="s">
        <v>302</v>
      </c>
      <c r="H4631">
        <v>121</v>
      </c>
      <c r="I4631" t="s">
        <v>6965</v>
      </c>
      <c r="J4631" t="s">
        <v>294</v>
      </c>
      <c r="M4631" t="s">
        <v>295</v>
      </c>
      <c r="N4631" t="s">
        <v>7</v>
      </c>
      <c r="O4631" t="s">
        <v>297</v>
      </c>
    </row>
    <row r="4632" spans="1:15" x14ac:dyDescent="0.3">
      <c r="A4632" t="s">
        <v>6670</v>
      </c>
      <c r="B4632" t="s">
        <v>6917</v>
      </c>
      <c r="C4632">
        <v>2024</v>
      </c>
      <c r="D4632" t="s">
        <v>300</v>
      </c>
      <c r="E4632" t="s">
        <v>2918</v>
      </c>
      <c r="F4632">
        <v>5764</v>
      </c>
      <c r="G4632" t="s">
        <v>302</v>
      </c>
      <c r="H4632">
        <v>368</v>
      </c>
      <c r="I4632" t="s">
        <v>6966</v>
      </c>
      <c r="J4632" t="s">
        <v>294</v>
      </c>
      <c r="M4632" t="s">
        <v>295</v>
      </c>
      <c r="N4632" t="s">
        <v>7</v>
      </c>
      <c r="O4632" t="s">
        <v>297</v>
      </c>
    </row>
    <row r="4633" spans="1:15" x14ac:dyDescent="0.3">
      <c r="A4633" t="s">
        <v>6670</v>
      </c>
      <c r="B4633" t="s">
        <v>6917</v>
      </c>
      <c r="C4633">
        <v>2024</v>
      </c>
      <c r="D4633" t="s">
        <v>300</v>
      </c>
      <c r="E4633" t="s">
        <v>2920</v>
      </c>
      <c r="F4633">
        <v>446</v>
      </c>
      <c r="G4633" t="s">
        <v>302</v>
      </c>
      <c r="H4633">
        <v>368</v>
      </c>
      <c r="I4633" t="s">
        <v>6967</v>
      </c>
      <c r="J4633" t="s">
        <v>294</v>
      </c>
      <c r="M4633" t="s">
        <v>295</v>
      </c>
      <c r="N4633" t="s">
        <v>7</v>
      </c>
      <c r="O4633" t="s">
        <v>297</v>
      </c>
    </row>
    <row r="4634" spans="1:15" x14ac:dyDescent="0.3">
      <c r="A4634" t="s">
        <v>6670</v>
      </c>
      <c r="B4634" t="s">
        <v>6917</v>
      </c>
      <c r="C4634">
        <v>2024</v>
      </c>
      <c r="D4634" t="s">
        <v>300</v>
      </c>
      <c r="E4634" t="s">
        <v>1235</v>
      </c>
      <c r="F4634">
        <v>4529</v>
      </c>
      <c r="G4634" t="s">
        <v>302</v>
      </c>
      <c r="H4634">
        <v>368</v>
      </c>
      <c r="I4634" t="s">
        <v>6968</v>
      </c>
      <c r="J4634" t="s">
        <v>294</v>
      </c>
      <c r="M4634" t="s">
        <v>295</v>
      </c>
      <c r="N4634" t="s">
        <v>7</v>
      </c>
      <c r="O4634" t="s">
        <v>297</v>
      </c>
    </row>
    <row r="4635" spans="1:15" x14ac:dyDescent="0.3">
      <c r="A4635" t="s">
        <v>6670</v>
      </c>
      <c r="B4635" t="s">
        <v>6917</v>
      </c>
      <c r="C4635">
        <v>2024</v>
      </c>
      <c r="D4635" t="s">
        <v>300</v>
      </c>
      <c r="E4635" t="s">
        <v>601</v>
      </c>
      <c r="F4635">
        <v>1256</v>
      </c>
      <c r="G4635" t="s">
        <v>302</v>
      </c>
      <c r="H4635">
        <v>123</v>
      </c>
      <c r="I4635" t="s">
        <v>6969</v>
      </c>
      <c r="J4635" t="s">
        <v>294</v>
      </c>
      <c r="M4635" t="s">
        <v>295</v>
      </c>
      <c r="N4635" t="s">
        <v>7</v>
      </c>
      <c r="O4635" t="s">
        <v>297</v>
      </c>
    </row>
    <row r="4636" spans="1:15" x14ac:dyDescent="0.3">
      <c r="A4636" t="s">
        <v>6670</v>
      </c>
      <c r="B4636" t="s">
        <v>6917</v>
      </c>
      <c r="C4636">
        <v>2024</v>
      </c>
      <c r="D4636" t="s">
        <v>300</v>
      </c>
      <c r="E4636" t="s">
        <v>603</v>
      </c>
      <c r="F4636">
        <v>-514</v>
      </c>
      <c r="G4636" t="s">
        <v>302</v>
      </c>
      <c r="H4636">
        <v>123</v>
      </c>
      <c r="I4636" t="s">
        <v>6970</v>
      </c>
      <c r="J4636" t="s">
        <v>294</v>
      </c>
      <c r="M4636" t="s">
        <v>295</v>
      </c>
      <c r="N4636" t="s">
        <v>7</v>
      </c>
      <c r="O4636" t="s">
        <v>297</v>
      </c>
    </row>
    <row r="4637" spans="1:15" x14ac:dyDescent="0.3">
      <c r="A4637" t="s">
        <v>6670</v>
      </c>
      <c r="B4637" t="s">
        <v>6917</v>
      </c>
      <c r="C4637">
        <v>2024</v>
      </c>
      <c r="D4637" t="s">
        <v>300</v>
      </c>
      <c r="E4637" t="s">
        <v>716</v>
      </c>
      <c r="F4637">
        <v>-437</v>
      </c>
      <c r="G4637" t="s">
        <v>302</v>
      </c>
      <c r="H4637">
        <v>123</v>
      </c>
      <c r="I4637" t="s">
        <v>6971</v>
      </c>
      <c r="J4637" t="s">
        <v>294</v>
      </c>
      <c r="M4637" t="s">
        <v>295</v>
      </c>
      <c r="N4637" t="s">
        <v>7</v>
      </c>
      <c r="O4637" t="s">
        <v>297</v>
      </c>
    </row>
    <row r="4638" spans="1:15" x14ac:dyDescent="0.3">
      <c r="A4638" t="s">
        <v>6670</v>
      </c>
      <c r="B4638" t="s">
        <v>6917</v>
      </c>
      <c r="C4638">
        <v>2024</v>
      </c>
      <c r="D4638" t="s">
        <v>300</v>
      </c>
      <c r="E4638" t="s">
        <v>6734</v>
      </c>
      <c r="F4638">
        <v>237</v>
      </c>
      <c r="G4638" t="s">
        <v>302</v>
      </c>
      <c r="H4638">
        <v>128</v>
      </c>
      <c r="I4638" t="s">
        <v>6972</v>
      </c>
      <c r="J4638" t="s">
        <v>294</v>
      </c>
      <c r="M4638" t="s">
        <v>295</v>
      </c>
      <c r="N4638" t="s">
        <v>7</v>
      </c>
      <c r="O4638" t="s">
        <v>297</v>
      </c>
    </row>
    <row r="4639" spans="1:15" x14ac:dyDescent="0.3">
      <c r="A4639" t="s">
        <v>6670</v>
      </c>
      <c r="B4639" t="s">
        <v>6917</v>
      </c>
      <c r="C4639">
        <v>2024</v>
      </c>
      <c r="D4639" t="s">
        <v>300</v>
      </c>
      <c r="E4639" t="s">
        <v>6863</v>
      </c>
      <c r="F4639">
        <v>200</v>
      </c>
      <c r="G4639" t="s">
        <v>302</v>
      </c>
      <c r="H4639">
        <v>128</v>
      </c>
      <c r="I4639" t="s">
        <v>6973</v>
      </c>
      <c r="J4639" t="s">
        <v>294</v>
      </c>
      <c r="M4639" t="s">
        <v>295</v>
      </c>
      <c r="N4639" t="s">
        <v>7</v>
      </c>
      <c r="O4639" t="s">
        <v>297</v>
      </c>
    </row>
    <row r="4640" spans="1:15" x14ac:dyDescent="0.3">
      <c r="A4640" t="s">
        <v>6670</v>
      </c>
      <c r="B4640" t="s">
        <v>6917</v>
      </c>
      <c r="C4640">
        <v>2024</v>
      </c>
      <c r="D4640" t="s">
        <v>300</v>
      </c>
      <c r="E4640" t="s">
        <v>5931</v>
      </c>
      <c r="F4640">
        <v>437</v>
      </c>
      <c r="G4640" t="s">
        <v>302</v>
      </c>
      <c r="H4640">
        <v>128</v>
      </c>
      <c r="I4640" t="s">
        <v>6974</v>
      </c>
      <c r="J4640" t="s">
        <v>294</v>
      </c>
      <c r="M4640" t="s">
        <v>295</v>
      </c>
      <c r="N4640" t="s">
        <v>7</v>
      </c>
      <c r="O4640" t="s">
        <v>297</v>
      </c>
    </row>
    <row r="4641" spans="1:15" x14ac:dyDescent="0.3">
      <c r="A4641" t="s">
        <v>6670</v>
      </c>
      <c r="B4641" t="s">
        <v>6917</v>
      </c>
      <c r="C4641">
        <v>2024</v>
      </c>
      <c r="D4641" t="s">
        <v>300</v>
      </c>
      <c r="E4641" t="s">
        <v>3049</v>
      </c>
      <c r="F4641">
        <v>412</v>
      </c>
      <c r="G4641" t="s">
        <v>346</v>
      </c>
      <c r="H4641">
        <v>12</v>
      </c>
      <c r="I4641" t="s">
        <v>6975</v>
      </c>
      <c r="J4641" t="s">
        <v>294</v>
      </c>
      <c r="M4641" t="s">
        <v>295</v>
      </c>
      <c r="N4641" t="s">
        <v>7</v>
      </c>
      <c r="O4641" t="s">
        <v>297</v>
      </c>
    </row>
    <row r="4642" spans="1:15" x14ac:dyDescent="0.3">
      <c r="A4642" t="s">
        <v>6670</v>
      </c>
      <c r="B4642" t="s">
        <v>6917</v>
      </c>
      <c r="C4642">
        <v>2024</v>
      </c>
      <c r="D4642" t="s">
        <v>300</v>
      </c>
      <c r="E4642" t="s">
        <v>342</v>
      </c>
      <c r="F4642">
        <v>1819</v>
      </c>
      <c r="G4642" t="s">
        <v>497</v>
      </c>
      <c r="H4642">
        <v>12</v>
      </c>
      <c r="I4642" t="s">
        <v>6740</v>
      </c>
      <c r="J4642" t="s">
        <v>294</v>
      </c>
      <c r="M4642" t="s">
        <v>295</v>
      </c>
      <c r="N4642" t="s">
        <v>7</v>
      </c>
      <c r="O4642" t="s">
        <v>297</v>
      </c>
    </row>
    <row r="4643" spans="1:15" x14ac:dyDescent="0.3">
      <c r="A4643" t="s">
        <v>6670</v>
      </c>
      <c r="B4643" t="s">
        <v>6917</v>
      </c>
      <c r="C4643">
        <v>2024</v>
      </c>
      <c r="D4643" t="s">
        <v>300</v>
      </c>
      <c r="E4643" t="s">
        <v>498</v>
      </c>
      <c r="F4643">
        <v>2140</v>
      </c>
      <c r="G4643" t="s">
        <v>346</v>
      </c>
      <c r="H4643">
        <v>14</v>
      </c>
      <c r="I4643" t="s">
        <v>6976</v>
      </c>
      <c r="J4643" t="s">
        <v>294</v>
      </c>
      <c r="M4643" t="s">
        <v>295</v>
      </c>
      <c r="N4643" t="s">
        <v>7</v>
      </c>
      <c r="O4643" t="s">
        <v>297</v>
      </c>
    </row>
    <row r="4644" spans="1:15" x14ac:dyDescent="0.3">
      <c r="A4644" t="s">
        <v>6670</v>
      </c>
      <c r="B4644" t="s">
        <v>6917</v>
      </c>
      <c r="C4644">
        <v>2024</v>
      </c>
      <c r="D4644" t="s">
        <v>300</v>
      </c>
      <c r="E4644" t="s">
        <v>3374</v>
      </c>
      <c r="F4644">
        <v>3892</v>
      </c>
      <c r="G4644" t="s">
        <v>302</v>
      </c>
      <c r="H4644">
        <v>14</v>
      </c>
      <c r="I4644" t="s">
        <v>6977</v>
      </c>
      <c r="J4644" t="s">
        <v>294</v>
      </c>
      <c r="M4644" t="s">
        <v>295</v>
      </c>
      <c r="N4644" t="s">
        <v>7</v>
      </c>
      <c r="O4644" t="s">
        <v>297</v>
      </c>
    </row>
    <row r="4645" spans="1:15" x14ac:dyDescent="0.3">
      <c r="A4645" t="s">
        <v>6670</v>
      </c>
      <c r="B4645" t="s">
        <v>6917</v>
      </c>
      <c r="C4645">
        <v>2024</v>
      </c>
      <c r="D4645" t="s">
        <v>300</v>
      </c>
      <c r="E4645" t="s">
        <v>6978</v>
      </c>
      <c r="F4645">
        <v>121</v>
      </c>
      <c r="G4645" t="s">
        <v>346</v>
      </c>
      <c r="H4645">
        <v>81</v>
      </c>
      <c r="I4645" t="s">
        <v>6979</v>
      </c>
      <c r="J4645" t="s">
        <v>294</v>
      </c>
      <c r="M4645" t="s">
        <v>295</v>
      </c>
      <c r="N4645" t="s">
        <v>7</v>
      </c>
      <c r="O4645" t="s">
        <v>297</v>
      </c>
    </row>
    <row r="4646" spans="1:15" x14ac:dyDescent="0.3">
      <c r="A4646" t="s">
        <v>6670</v>
      </c>
      <c r="B4646" t="s">
        <v>6917</v>
      </c>
      <c r="C4646">
        <v>2024</v>
      </c>
      <c r="D4646" t="s">
        <v>300</v>
      </c>
      <c r="E4646" t="s">
        <v>6980</v>
      </c>
      <c r="F4646">
        <v>220</v>
      </c>
      <c r="G4646" t="s">
        <v>302</v>
      </c>
      <c r="H4646">
        <v>81</v>
      </c>
      <c r="I4646" t="s">
        <v>6981</v>
      </c>
      <c r="J4646" t="s">
        <v>294</v>
      </c>
      <c r="M4646" t="s">
        <v>295</v>
      </c>
      <c r="N4646" t="s">
        <v>7</v>
      </c>
      <c r="O4646" t="s">
        <v>297</v>
      </c>
    </row>
    <row r="4647" spans="1:15" x14ac:dyDescent="0.3">
      <c r="A4647" t="s">
        <v>6670</v>
      </c>
      <c r="B4647" t="s">
        <v>6917</v>
      </c>
      <c r="C4647">
        <v>2024</v>
      </c>
      <c r="D4647" t="s">
        <v>300</v>
      </c>
      <c r="E4647" t="s">
        <v>333</v>
      </c>
      <c r="F4647">
        <v>6.5000000000000002E-2</v>
      </c>
      <c r="G4647" t="s">
        <v>334</v>
      </c>
      <c r="H4647">
        <v>13</v>
      </c>
      <c r="I4647" t="s">
        <v>6982</v>
      </c>
      <c r="J4647" t="s">
        <v>294</v>
      </c>
      <c r="M4647" t="s">
        <v>295</v>
      </c>
      <c r="N4647" t="s">
        <v>7</v>
      </c>
      <c r="O4647" t="s">
        <v>297</v>
      </c>
    </row>
    <row r="4648" spans="1:15" x14ac:dyDescent="0.3">
      <c r="A4648" t="s">
        <v>6670</v>
      </c>
      <c r="B4648" t="s">
        <v>6917</v>
      </c>
      <c r="C4648">
        <v>2024</v>
      </c>
      <c r="D4648" t="s">
        <v>300</v>
      </c>
      <c r="E4648" t="s">
        <v>336</v>
      </c>
      <c r="F4648">
        <v>0.112</v>
      </c>
      <c r="G4648" t="s">
        <v>334</v>
      </c>
      <c r="H4648">
        <v>13</v>
      </c>
      <c r="I4648" t="s">
        <v>6983</v>
      </c>
      <c r="J4648" t="s">
        <v>294</v>
      </c>
      <c r="M4648" t="s">
        <v>295</v>
      </c>
      <c r="N4648" t="s">
        <v>7</v>
      </c>
      <c r="O4648" t="s">
        <v>297</v>
      </c>
    </row>
    <row r="4649" spans="1:15" x14ac:dyDescent="0.3">
      <c r="A4649" t="s">
        <v>6670</v>
      </c>
      <c r="B4649" t="s">
        <v>6917</v>
      </c>
      <c r="C4649">
        <v>2024</v>
      </c>
      <c r="D4649" t="s">
        <v>300</v>
      </c>
      <c r="E4649" t="s">
        <v>2762</v>
      </c>
      <c r="F4649">
        <v>0.495</v>
      </c>
      <c r="G4649" t="s">
        <v>334</v>
      </c>
      <c r="H4649">
        <v>13</v>
      </c>
      <c r="I4649" t="s">
        <v>6984</v>
      </c>
      <c r="J4649" t="s">
        <v>294</v>
      </c>
      <c r="M4649" t="s">
        <v>295</v>
      </c>
      <c r="N4649" t="s">
        <v>7</v>
      </c>
      <c r="O4649" t="s">
        <v>297</v>
      </c>
    </row>
    <row r="4650" spans="1:15" x14ac:dyDescent="0.3">
      <c r="A4650" t="s">
        <v>6670</v>
      </c>
      <c r="B4650" t="s">
        <v>6917</v>
      </c>
      <c r="C4650">
        <v>2024</v>
      </c>
      <c r="D4650" t="s">
        <v>300</v>
      </c>
      <c r="E4650" t="s">
        <v>326</v>
      </c>
      <c r="F4650">
        <v>1.264</v>
      </c>
      <c r="G4650" t="s">
        <v>327</v>
      </c>
      <c r="H4650">
        <v>13</v>
      </c>
      <c r="I4650" t="s">
        <v>6985</v>
      </c>
      <c r="J4650" t="s">
        <v>294</v>
      </c>
      <c r="M4650" t="s">
        <v>295</v>
      </c>
      <c r="N4650" t="s">
        <v>7</v>
      </c>
      <c r="O4650" t="s">
        <v>297</v>
      </c>
    </row>
    <row r="4651" spans="1:15" x14ac:dyDescent="0.3">
      <c r="A4651" t="s">
        <v>6670</v>
      </c>
      <c r="B4651" t="s">
        <v>6917</v>
      </c>
      <c r="C4651">
        <v>2024</v>
      </c>
      <c r="D4651" t="s">
        <v>300</v>
      </c>
      <c r="E4651" t="s">
        <v>340</v>
      </c>
      <c r="F4651">
        <v>0.28100000000000003</v>
      </c>
      <c r="G4651" t="s">
        <v>334</v>
      </c>
      <c r="H4651">
        <v>13</v>
      </c>
      <c r="I4651" t="s">
        <v>6986</v>
      </c>
      <c r="J4651" t="s">
        <v>294</v>
      </c>
      <c r="M4651" t="s">
        <v>295</v>
      </c>
      <c r="N4651" t="s">
        <v>7</v>
      </c>
      <c r="O4651" t="s">
        <v>297</v>
      </c>
    </row>
    <row r="4652" spans="1:15" x14ac:dyDescent="0.3">
      <c r="A4652" t="s">
        <v>6670</v>
      </c>
      <c r="B4652" t="s">
        <v>6917</v>
      </c>
      <c r="C4652">
        <v>2024</v>
      </c>
      <c r="D4652" t="s">
        <v>300</v>
      </c>
      <c r="E4652" t="s">
        <v>6753</v>
      </c>
      <c r="F4652">
        <v>0.222</v>
      </c>
      <c r="G4652" t="s">
        <v>334</v>
      </c>
      <c r="H4652">
        <v>13</v>
      </c>
      <c r="I4652" t="s">
        <v>6987</v>
      </c>
      <c r="J4652" t="s">
        <v>294</v>
      </c>
      <c r="M4652" t="s">
        <v>295</v>
      </c>
      <c r="N4652" t="s">
        <v>7</v>
      </c>
      <c r="O4652" t="s">
        <v>297</v>
      </c>
    </row>
    <row r="4653" spans="1:15" x14ac:dyDescent="0.3">
      <c r="A4653" t="s">
        <v>6670</v>
      </c>
      <c r="B4653" t="s">
        <v>6917</v>
      </c>
      <c r="C4653">
        <v>2024</v>
      </c>
      <c r="D4653" t="s">
        <v>300</v>
      </c>
      <c r="E4653" t="s">
        <v>903</v>
      </c>
      <c r="F4653">
        <v>0.122</v>
      </c>
      <c r="G4653" t="s">
        <v>334</v>
      </c>
      <c r="H4653">
        <v>13</v>
      </c>
      <c r="I4653" t="s">
        <v>6988</v>
      </c>
      <c r="J4653" t="s">
        <v>294</v>
      </c>
      <c r="M4653" t="s">
        <v>295</v>
      </c>
      <c r="N4653" t="s">
        <v>7</v>
      </c>
      <c r="O4653" t="s">
        <v>297</v>
      </c>
    </row>
    <row r="4654" spans="1:15" x14ac:dyDescent="0.3">
      <c r="A4654" t="s">
        <v>6670</v>
      </c>
      <c r="B4654" t="s">
        <v>6917</v>
      </c>
      <c r="C4654">
        <v>2024</v>
      </c>
      <c r="D4654" t="s">
        <v>300</v>
      </c>
      <c r="E4654" t="s">
        <v>1216</v>
      </c>
      <c r="F4654">
        <v>236</v>
      </c>
      <c r="G4654" t="s">
        <v>302</v>
      </c>
      <c r="H4654">
        <v>367</v>
      </c>
      <c r="I4654" t="s">
        <v>6989</v>
      </c>
      <c r="J4654" t="s">
        <v>294</v>
      </c>
      <c r="M4654" t="s">
        <v>295</v>
      </c>
      <c r="N4654" t="s">
        <v>7</v>
      </c>
      <c r="O4654" t="s">
        <v>297</v>
      </c>
    </row>
    <row r="4655" spans="1:15" x14ac:dyDescent="0.3">
      <c r="A4655" t="s">
        <v>6670</v>
      </c>
      <c r="B4655" t="s">
        <v>6917</v>
      </c>
      <c r="C4655">
        <v>2024</v>
      </c>
      <c r="D4655" t="s">
        <v>358</v>
      </c>
      <c r="E4655" t="s">
        <v>6990</v>
      </c>
      <c r="F4655">
        <v>164721</v>
      </c>
      <c r="G4655" t="s">
        <v>360</v>
      </c>
      <c r="H4655">
        <v>62</v>
      </c>
      <c r="I4655" t="s">
        <v>6991</v>
      </c>
      <c r="J4655" t="s">
        <v>294</v>
      </c>
      <c r="M4655" t="s">
        <v>295</v>
      </c>
      <c r="N4655" t="s">
        <v>7</v>
      </c>
      <c r="O4655" t="s">
        <v>297</v>
      </c>
    </row>
    <row r="4656" spans="1:15" x14ac:dyDescent="0.3">
      <c r="A4656" t="s">
        <v>6670</v>
      </c>
      <c r="B4656" t="s">
        <v>6917</v>
      </c>
      <c r="C4656">
        <v>2024</v>
      </c>
      <c r="D4656" t="s">
        <v>358</v>
      </c>
      <c r="E4656" t="s">
        <v>6992</v>
      </c>
      <c r="F4656">
        <v>128000</v>
      </c>
      <c r="G4656" t="s">
        <v>360</v>
      </c>
      <c r="H4656">
        <v>62</v>
      </c>
      <c r="I4656" t="s">
        <v>6993</v>
      </c>
      <c r="J4656" t="s">
        <v>294</v>
      </c>
      <c r="M4656" t="s">
        <v>295</v>
      </c>
      <c r="N4656" t="s">
        <v>7</v>
      </c>
      <c r="O4656" t="s">
        <v>297</v>
      </c>
    </row>
    <row r="4657" spans="1:15" x14ac:dyDescent="0.3">
      <c r="A4657" t="s">
        <v>6670</v>
      </c>
      <c r="B4657" t="s">
        <v>6917</v>
      </c>
      <c r="C4657">
        <v>2024</v>
      </c>
      <c r="D4657" t="s">
        <v>358</v>
      </c>
      <c r="E4657" t="s">
        <v>6759</v>
      </c>
      <c r="F4657">
        <v>79000</v>
      </c>
      <c r="G4657" t="s">
        <v>360</v>
      </c>
      <c r="H4657">
        <v>66</v>
      </c>
      <c r="I4657" t="s">
        <v>6994</v>
      </c>
      <c r="J4657" t="s">
        <v>294</v>
      </c>
      <c r="M4657" t="s">
        <v>295</v>
      </c>
      <c r="N4657" t="s">
        <v>7</v>
      </c>
      <c r="O4657" t="s">
        <v>297</v>
      </c>
    </row>
    <row r="4658" spans="1:15" x14ac:dyDescent="0.3">
      <c r="A4658" t="s">
        <v>6670</v>
      </c>
      <c r="B4658" t="s">
        <v>6917</v>
      </c>
      <c r="C4658">
        <v>2024</v>
      </c>
      <c r="D4658" t="s">
        <v>358</v>
      </c>
      <c r="E4658" t="s">
        <v>6761</v>
      </c>
      <c r="F4658">
        <v>49000</v>
      </c>
      <c r="G4658" t="s">
        <v>360</v>
      </c>
      <c r="H4658">
        <v>67</v>
      </c>
      <c r="I4658" t="s">
        <v>6995</v>
      </c>
      <c r="J4658" t="s">
        <v>294</v>
      </c>
      <c r="M4658" t="s">
        <v>295</v>
      </c>
      <c r="N4658" t="s">
        <v>7</v>
      </c>
      <c r="O4658" t="s">
        <v>297</v>
      </c>
    </row>
    <row r="4659" spans="1:15" x14ac:dyDescent="0.3">
      <c r="A4659" t="s">
        <v>6670</v>
      </c>
      <c r="B4659" t="s">
        <v>6917</v>
      </c>
      <c r="C4659">
        <v>2024</v>
      </c>
      <c r="D4659" t="s">
        <v>358</v>
      </c>
      <c r="E4659" t="s">
        <v>930</v>
      </c>
      <c r="F4659">
        <v>46557</v>
      </c>
      <c r="G4659" t="s">
        <v>360</v>
      </c>
      <c r="H4659">
        <v>68</v>
      </c>
      <c r="I4659" t="s">
        <v>6996</v>
      </c>
      <c r="J4659" t="s">
        <v>294</v>
      </c>
      <c r="M4659" t="s">
        <v>295</v>
      </c>
      <c r="N4659" t="s">
        <v>7</v>
      </c>
      <c r="O4659" t="s">
        <v>297</v>
      </c>
    </row>
    <row r="4660" spans="1:15" x14ac:dyDescent="0.3">
      <c r="A4660" t="s">
        <v>6670</v>
      </c>
      <c r="B4660" t="s">
        <v>6917</v>
      </c>
      <c r="C4660">
        <v>2024</v>
      </c>
      <c r="D4660" t="s">
        <v>358</v>
      </c>
      <c r="E4660" t="s">
        <v>6764</v>
      </c>
      <c r="F4660">
        <v>36453</v>
      </c>
      <c r="G4660" t="s">
        <v>384</v>
      </c>
      <c r="H4660">
        <v>68</v>
      </c>
      <c r="I4660" t="s">
        <v>6997</v>
      </c>
      <c r="J4660" t="s">
        <v>294</v>
      </c>
      <c r="M4660" t="s">
        <v>295</v>
      </c>
      <c r="N4660" t="s">
        <v>7</v>
      </c>
      <c r="O4660" t="s">
        <v>297</v>
      </c>
    </row>
    <row r="4661" spans="1:15" x14ac:dyDescent="0.3">
      <c r="A4661" t="s">
        <v>6670</v>
      </c>
      <c r="B4661" t="s">
        <v>6917</v>
      </c>
      <c r="C4661">
        <v>2024</v>
      </c>
      <c r="D4661" t="s">
        <v>358</v>
      </c>
      <c r="E4661" t="s">
        <v>6998</v>
      </c>
      <c r="F4661">
        <v>108800</v>
      </c>
      <c r="G4661" t="s">
        <v>360</v>
      </c>
      <c r="H4661">
        <v>100</v>
      </c>
      <c r="I4661" t="s">
        <v>6999</v>
      </c>
      <c r="J4661" t="s">
        <v>456</v>
      </c>
      <c r="M4661" t="s">
        <v>295</v>
      </c>
      <c r="N4661" t="s">
        <v>7</v>
      </c>
      <c r="O4661" t="s">
        <v>297</v>
      </c>
    </row>
    <row r="4662" spans="1:15" x14ac:dyDescent="0.3">
      <c r="A4662" t="s">
        <v>6670</v>
      </c>
      <c r="B4662" t="s">
        <v>6917</v>
      </c>
      <c r="C4662">
        <v>2024</v>
      </c>
      <c r="D4662" t="s">
        <v>358</v>
      </c>
      <c r="E4662" t="s">
        <v>6766</v>
      </c>
      <c r="F4662">
        <v>0.85</v>
      </c>
      <c r="G4662" t="s">
        <v>334</v>
      </c>
      <c r="H4662">
        <v>100</v>
      </c>
      <c r="I4662" t="s">
        <v>7000</v>
      </c>
      <c r="J4662" t="s">
        <v>294</v>
      </c>
      <c r="M4662" t="s">
        <v>295</v>
      </c>
      <c r="N4662" t="s">
        <v>7</v>
      </c>
      <c r="O4662" t="s">
        <v>297</v>
      </c>
    </row>
    <row r="4663" spans="1:15" x14ac:dyDescent="0.3">
      <c r="A4663" t="s">
        <v>6670</v>
      </c>
      <c r="B4663" t="s">
        <v>6917</v>
      </c>
      <c r="C4663">
        <v>2024</v>
      </c>
      <c r="D4663" t="s">
        <v>358</v>
      </c>
      <c r="E4663" t="s">
        <v>7001</v>
      </c>
      <c r="F4663">
        <v>11200</v>
      </c>
      <c r="G4663" t="s">
        <v>360</v>
      </c>
      <c r="H4663">
        <v>127</v>
      </c>
      <c r="I4663" t="s">
        <v>7002</v>
      </c>
      <c r="J4663" t="s">
        <v>294</v>
      </c>
      <c r="M4663" t="s">
        <v>295</v>
      </c>
      <c r="N4663" t="s">
        <v>7</v>
      </c>
      <c r="O4663" t="s">
        <v>297</v>
      </c>
    </row>
    <row r="4664" spans="1:15" x14ac:dyDescent="0.3">
      <c r="A4664" t="s">
        <v>6670</v>
      </c>
      <c r="B4664" t="s">
        <v>6917</v>
      </c>
      <c r="C4664">
        <v>2024</v>
      </c>
      <c r="D4664" t="s">
        <v>358</v>
      </c>
      <c r="E4664" t="s">
        <v>7003</v>
      </c>
      <c r="F4664">
        <v>3400</v>
      </c>
      <c r="G4664" t="s">
        <v>360</v>
      </c>
      <c r="H4664">
        <v>127</v>
      </c>
      <c r="I4664" t="s">
        <v>7004</v>
      </c>
      <c r="J4664" t="s">
        <v>294</v>
      </c>
      <c r="M4664" t="s">
        <v>295</v>
      </c>
      <c r="N4664" t="s">
        <v>7</v>
      </c>
      <c r="O4664" t="s">
        <v>297</v>
      </c>
    </row>
    <row r="4665" spans="1:15" x14ac:dyDescent="0.3">
      <c r="A4665" t="s">
        <v>6670</v>
      </c>
      <c r="B4665" t="s">
        <v>6917</v>
      </c>
      <c r="C4665">
        <v>2024</v>
      </c>
      <c r="D4665" t="s">
        <v>358</v>
      </c>
      <c r="E4665" t="s">
        <v>7005</v>
      </c>
      <c r="F4665">
        <v>7800</v>
      </c>
      <c r="G4665" t="s">
        <v>360</v>
      </c>
      <c r="H4665">
        <v>127</v>
      </c>
      <c r="I4665" t="s">
        <v>7006</v>
      </c>
      <c r="J4665" t="s">
        <v>294</v>
      </c>
      <c r="M4665" t="s">
        <v>295</v>
      </c>
      <c r="N4665" t="s">
        <v>7</v>
      </c>
      <c r="O4665" t="s">
        <v>297</v>
      </c>
    </row>
    <row r="4666" spans="1:15" x14ac:dyDescent="0.3">
      <c r="A4666" t="s">
        <v>6670</v>
      </c>
      <c r="B4666" t="s">
        <v>6917</v>
      </c>
      <c r="C4666">
        <v>2024</v>
      </c>
      <c r="D4666" t="s">
        <v>358</v>
      </c>
      <c r="E4666" t="s">
        <v>6768</v>
      </c>
      <c r="F4666">
        <v>15</v>
      </c>
      <c r="G4666" t="s">
        <v>375</v>
      </c>
      <c r="H4666">
        <v>101</v>
      </c>
      <c r="I4666" t="s">
        <v>7007</v>
      </c>
      <c r="J4666" t="s">
        <v>294</v>
      </c>
      <c r="M4666" t="s">
        <v>295</v>
      </c>
      <c r="N4666" t="s">
        <v>7</v>
      </c>
      <c r="O4666" t="s">
        <v>297</v>
      </c>
    </row>
    <row r="4667" spans="1:15" x14ac:dyDescent="0.3">
      <c r="A4667" t="s">
        <v>6670</v>
      </c>
      <c r="B4667" t="s">
        <v>6917</v>
      </c>
      <c r="C4667">
        <v>2024</v>
      </c>
      <c r="D4667" t="s">
        <v>358</v>
      </c>
      <c r="E4667" t="s">
        <v>6770</v>
      </c>
      <c r="F4667">
        <v>13</v>
      </c>
      <c r="G4667" t="s">
        <v>375</v>
      </c>
      <c r="H4667">
        <v>101</v>
      </c>
      <c r="I4667" t="s">
        <v>7008</v>
      </c>
      <c r="J4667" t="s">
        <v>294</v>
      </c>
      <c r="M4667" t="s">
        <v>295</v>
      </c>
      <c r="N4667" t="s">
        <v>7</v>
      </c>
      <c r="O4667" t="s">
        <v>297</v>
      </c>
    </row>
    <row r="4668" spans="1:15" x14ac:dyDescent="0.3">
      <c r="A4668" t="s">
        <v>6670</v>
      </c>
      <c r="B4668" t="s">
        <v>6917</v>
      </c>
      <c r="C4668">
        <v>2024</v>
      </c>
      <c r="D4668" t="s">
        <v>358</v>
      </c>
      <c r="E4668" t="s">
        <v>6772</v>
      </c>
      <c r="F4668">
        <v>12781</v>
      </c>
      <c r="G4668" t="s">
        <v>360</v>
      </c>
      <c r="H4668">
        <v>64</v>
      </c>
      <c r="I4668" t="s">
        <v>7009</v>
      </c>
      <c r="J4668" t="s">
        <v>294</v>
      </c>
      <c r="M4668" t="s">
        <v>295</v>
      </c>
      <c r="N4668" t="s">
        <v>7</v>
      </c>
      <c r="O4668" t="s">
        <v>297</v>
      </c>
    </row>
    <row r="4669" spans="1:15" x14ac:dyDescent="0.3">
      <c r="A4669" t="s">
        <v>6670</v>
      </c>
      <c r="B4669" t="s">
        <v>6917</v>
      </c>
      <c r="C4669">
        <v>2024</v>
      </c>
      <c r="D4669" t="s">
        <v>358</v>
      </c>
      <c r="E4669" t="s">
        <v>6774</v>
      </c>
      <c r="F4669">
        <v>21000</v>
      </c>
      <c r="G4669" t="s">
        <v>360</v>
      </c>
      <c r="H4669">
        <v>64</v>
      </c>
      <c r="I4669" t="s">
        <v>7010</v>
      </c>
      <c r="J4669" t="s">
        <v>294</v>
      </c>
      <c r="M4669" t="s">
        <v>295</v>
      </c>
      <c r="N4669" t="s">
        <v>7</v>
      </c>
      <c r="O4669" t="s">
        <v>297</v>
      </c>
    </row>
    <row r="4670" spans="1:15" x14ac:dyDescent="0.3">
      <c r="A4670" t="s">
        <v>6670</v>
      </c>
      <c r="B4670" t="s">
        <v>6917</v>
      </c>
      <c r="C4670">
        <v>2024</v>
      </c>
      <c r="D4670" t="s">
        <v>358</v>
      </c>
      <c r="E4670" t="s">
        <v>4263</v>
      </c>
      <c r="F4670">
        <v>23120</v>
      </c>
      <c r="G4670" t="s">
        <v>360</v>
      </c>
      <c r="H4670">
        <v>64</v>
      </c>
      <c r="I4670" t="s">
        <v>7011</v>
      </c>
      <c r="J4670" t="s">
        <v>294</v>
      </c>
      <c r="M4670" t="s">
        <v>295</v>
      </c>
      <c r="N4670" t="s">
        <v>7</v>
      </c>
      <c r="O4670" t="s">
        <v>297</v>
      </c>
    </row>
    <row r="4671" spans="1:15" x14ac:dyDescent="0.3">
      <c r="A4671" t="s">
        <v>6670</v>
      </c>
      <c r="B4671" t="s">
        <v>6917</v>
      </c>
      <c r="C4671">
        <v>2024</v>
      </c>
      <c r="D4671" t="s">
        <v>358</v>
      </c>
      <c r="E4671" t="s">
        <v>6777</v>
      </c>
      <c r="F4671">
        <v>100000</v>
      </c>
      <c r="G4671" t="s">
        <v>360</v>
      </c>
      <c r="H4671">
        <v>64</v>
      </c>
      <c r="I4671" t="s">
        <v>7012</v>
      </c>
      <c r="J4671" t="s">
        <v>294</v>
      </c>
      <c r="M4671" t="s">
        <v>295</v>
      </c>
      <c r="N4671" t="s">
        <v>7</v>
      </c>
      <c r="O4671" t="s">
        <v>297</v>
      </c>
    </row>
    <row r="4672" spans="1:15" x14ac:dyDescent="0.3">
      <c r="A4672" t="s">
        <v>6670</v>
      </c>
      <c r="B4672" t="s">
        <v>6917</v>
      </c>
      <c r="C4672">
        <v>2024</v>
      </c>
      <c r="D4672" t="s">
        <v>358</v>
      </c>
      <c r="E4672" t="s">
        <v>1068</v>
      </c>
      <c r="F4672">
        <v>300000</v>
      </c>
      <c r="G4672" t="s">
        <v>360</v>
      </c>
      <c r="H4672">
        <v>62</v>
      </c>
      <c r="I4672" t="s">
        <v>7013</v>
      </c>
      <c r="J4672" t="s">
        <v>294</v>
      </c>
      <c r="M4672" t="s">
        <v>295</v>
      </c>
      <c r="N4672" t="s">
        <v>7</v>
      </c>
      <c r="O4672" t="s">
        <v>297</v>
      </c>
    </row>
    <row r="4673" spans="1:15" x14ac:dyDescent="0.3">
      <c r="A4673" t="s">
        <v>6670</v>
      </c>
      <c r="B4673" t="s">
        <v>6917</v>
      </c>
      <c r="C4673">
        <v>2024</v>
      </c>
      <c r="D4673" t="s">
        <v>358</v>
      </c>
      <c r="E4673" t="s">
        <v>6779</v>
      </c>
      <c r="F4673">
        <v>8</v>
      </c>
      <c r="G4673" t="s">
        <v>384</v>
      </c>
      <c r="H4673">
        <v>63</v>
      </c>
      <c r="I4673" t="s">
        <v>7014</v>
      </c>
      <c r="J4673" t="s">
        <v>294</v>
      </c>
      <c r="M4673" t="s">
        <v>295</v>
      </c>
      <c r="N4673" t="s">
        <v>7</v>
      </c>
      <c r="O4673" t="s">
        <v>297</v>
      </c>
    </row>
    <row r="4674" spans="1:15" x14ac:dyDescent="0.3">
      <c r="A4674" t="s">
        <v>6670</v>
      </c>
      <c r="B4674" t="s">
        <v>6917</v>
      </c>
      <c r="C4674">
        <v>2024</v>
      </c>
      <c r="D4674" t="s">
        <v>358</v>
      </c>
      <c r="E4674" t="s">
        <v>934</v>
      </c>
      <c r="F4674">
        <v>510</v>
      </c>
      <c r="G4674" t="s">
        <v>738</v>
      </c>
      <c r="H4674">
        <v>100</v>
      </c>
      <c r="I4674" t="s">
        <v>7015</v>
      </c>
      <c r="J4674" t="s">
        <v>294</v>
      </c>
      <c r="M4674" t="s">
        <v>295</v>
      </c>
      <c r="N4674" t="s">
        <v>7</v>
      </c>
      <c r="O4674" t="s">
        <v>297</v>
      </c>
    </row>
    <row r="4675" spans="1:15" x14ac:dyDescent="0.3">
      <c r="A4675" t="s">
        <v>6670</v>
      </c>
      <c r="B4675" t="s">
        <v>6917</v>
      </c>
      <c r="C4675">
        <v>2024</v>
      </c>
      <c r="D4675" t="s">
        <v>358</v>
      </c>
      <c r="E4675" t="s">
        <v>7016</v>
      </c>
      <c r="F4675">
        <v>360</v>
      </c>
      <c r="G4675" t="s">
        <v>738</v>
      </c>
      <c r="H4675">
        <v>66</v>
      </c>
      <c r="I4675" t="s">
        <v>7017</v>
      </c>
      <c r="J4675" t="s">
        <v>294</v>
      </c>
      <c r="M4675" t="s">
        <v>295</v>
      </c>
      <c r="N4675" t="s">
        <v>7</v>
      </c>
      <c r="O4675" t="s">
        <v>297</v>
      </c>
    </row>
    <row r="4676" spans="1:15" x14ac:dyDescent="0.3">
      <c r="A4676" t="s">
        <v>6670</v>
      </c>
      <c r="B4676" t="s">
        <v>6917</v>
      </c>
      <c r="C4676">
        <v>2024</v>
      </c>
      <c r="D4676" t="s">
        <v>358</v>
      </c>
      <c r="E4676" t="s">
        <v>7018</v>
      </c>
      <c r="F4676">
        <v>150</v>
      </c>
      <c r="G4676" t="s">
        <v>738</v>
      </c>
      <c r="H4676">
        <v>67</v>
      </c>
      <c r="I4676" t="s">
        <v>7019</v>
      </c>
      <c r="J4676" t="s">
        <v>294</v>
      </c>
      <c r="M4676" t="s">
        <v>295</v>
      </c>
      <c r="N4676" t="s">
        <v>7</v>
      </c>
      <c r="O4676" t="s">
        <v>297</v>
      </c>
    </row>
    <row r="4677" spans="1:15" x14ac:dyDescent="0.3">
      <c r="A4677" t="s">
        <v>6670</v>
      </c>
      <c r="B4677" t="s">
        <v>6917</v>
      </c>
      <c r="C4677">
        <v>2024</v>
      </c>
      <c r="D4677" t="s">
        <v>358</v>
      </c>
      <c r="E4677" t="s">
        <v>7020</v>
      </c>
      <c r="F4677">
        <v>1</v>
      </c>
      <c r="G4677" t="s">
        <v>384</v>
      </c>
      <c r="H4677">
        <v>66</v>
      </c>
      <c r="I4677" t="s">
        <v>7021</v>
      </c>
      <c r="J4677" t="s">
        <v>294</v>
      </c>
      <c r="M4677" t="s">
        <v>295</v>
      </c>
      <c r="N4677" t="s">
        <v>7</v>
      </c>
      <c r="O4677" t="s">
        <v>297</v>
      </c>
    </row>
    <row r="4678" spans="1:15" x14ac:dyDescent="0.3">
      <c r="A4678" t="s">
        <v>6670</v>
      </c>
      <c r="B4678" t="s">
        <v>6917</v>
      </c>
      <c r="C4678">
        <v>2024</v>
      </c>
      <c r="D4678" t="s">
        <v>394</v>
      </c>
      <c r="E4678" t="s">
        <v>531</v>
      </c>
      <c r="F4678">
        <v>1726376</v>
      </c>
      <c r="G4678" t="s">
        <v>396</v>
      </c>
      <c r="H4678">
        <v>100</v>
      </c>
      <c r="I4678" t="s">
        <v>7022</v>
      </c>
      <c r="J4678" t="s">
        <v>294</v>
      </c>
      <c r="M4678" t="s">
        <v>295</v>
      </c>
      <c r="N4678" t="s">
        <v>7</v>
      </c>
      <c r="O4678" t="s">
        <v>297</v>
      </c>
    </row>
    <row r="4679" spans="1:15" x14ac:dyDescent="0.3">
      <c r="A4679" t="s">
        <v>6670</v>
      </c>
      <c r="B4679" t="s">
        <v>6917</v>
      </c>
      <c r="C4679">
        <v>2024</v>
      </c>
      <c r="D4679" t="s">
        <v>394</v>
      </c>
      <c r="E4679" t="s">
        <v>533</v>
      </c>
      <c r="F4679">
        <v>1167927</v>
      </c>
      <c r="G4679" t="s">
        <v>396</v>
      </c>
      <c r="H4679">
        <v>100</v>
      </c>
      <c r="I4679" t="s">
        <v>7023</v>
      </c>
      <c r="J4679" t="s">
        <v>294</v>
      </c>
      <c r="M4679" t="s">
        <v>295</v>
      </c>
      <c r="N4679" t="s">
        <v>7</v>
      </c>
      <c r="O4679" t="s">
        <v>297</v>
      </c>
    </row>
    <row r="4680" spans="1:15" x14ac:dyDescent="0.3">
      <c r="A4680" t="s">
        <v>6670</v>
      </c>
      <c r="B4680" t="s">
        <v>6917</v>
      </c>
      <c r="C4680">
        <v>2024</v>
      </c>
      <c r="D4680" t="s">
        <v>394</v>
      </c>
      <c r="E4680" t="s">
        <v>6785</v>
      </c>
      <c r="F4680">
        <v>558449</v>
      </c>
      <c r="G4680" t="s">
        <v>396</v>
      </c>
      <c r="H4680">
        <v>100</v>
      </c>
      <c r="I4680" t="s">
        <v>7024</v>
      </c>
      <c r="J4680" t="s">
        <v>294</v>
      </c>
      <c r="M4680" t="s">
        <v>295</v>
      </c>
      <c r="N4680" t="s">
        <v>7</v>
      </c>
      <c r="O4680" t="s">
        <v>297</v>
      </c>
    </row>
    <row r="4681" spans="1:15" x14ac:dyDescent="0.3">
      <c r="A4681" t="s">
        <v>6670</v>
      </c>
      <c r="B4681" t="s">
        <v>6917</v>
      </c>
      <c r="C4681">
        <v>2024</v>
      </c>
      <c r="D4681" t="s">
        <v>394</v>
      </c>
      <c r="E4681" t="s">
        <v>7025</v>
      </c>
      <c r="F4681">
        <v>399000</v>
      </c>
      <c r="G4681" t="s">
        <v>396</v>
      </c>
      <c r="H4681">
        <v>44</v>
      </c>
      <c r="I4681" t="s">
        <v>7026</v>
      </c>
      <c r="J4681" t="s">
        <v>294</v>
      </c>
      <c r="M4681" t="s">
        <v>295</v>
      </c>
      <c r="N4681" t="s">
        <v>7</v>
      </c>
      <c r="O4681" t="s">
        <v>297</v>
      </c>
    </row>
    <row r="4682" spans="1:15" x14ac:dyDescent="0.3">
      <c r="A4682" t="s">
        <v>6670</v>
      </c>
      <c r="B4682" t="s">
        <v>6917</v>
      </c>
      <c r="C4682">
        <v>2024</v>
      </c>
      <c r="D4682" t="s">
        <v>394</v>
      </c>
      <c r="E4682" t="s">
        <v>7027</v>
      </c>
      <c r="F4682">
        <v>160000</v>
      </c>
      <c r="G4682" t="s">
        <v>396</v>
      </c>
      <c r="H4682">
        <v>44</v>
      </c>
      <c r="I4682" t="s">
        <v>7028</v>
      </c>
      <c r="J4682" t="s">
        <v>294</v>
      </c>
      <c r="M4682" t="s">
        <v>295</v>
      </c>
      <c r="N4682" t="s">
        <v>7</v>
      </c>
      <c r="O4682" t="s">
        <v>297</v>
      </c>
    </row>
    <row r="4683" spans="1:15" x14ac:dyDescent="0.3">
      <c r="A4683" t="s">
        <v>6670</v>
      </c>
      <c r="B4683" t="s">
        <v>6917</v>
      </c>
      <c r="C4683">
        <v>2024</v>
      </c>
      <c r="D4683" t="s">
        <v>394</v>
      </c>
      <c r="E4683" t="s">
        <v>406</v>
      </c>
      <c r="F4683">
        <v>341287</v>
      </c>
      <c r="G4683" t="s">
        <v>396</v>
      </c>
      <c r="H4683">
        <v>97</v>
      </c>
      <c r="I4683" t="s">
        <v>7029</v>
      </c>
      <c r="J4683" t="s">
        <v>294</v>
      </c>
      <c r="M4683" t="s">
        <v>295</v>
      </c>
      <c r="N4683" t="s">
        <v>7</v>
      </c>
      <c r="O4683" t="s">
        <v>297</v>
      </c>
    </row>
    <row r="4684" spans="1:15" x14ac:dyDescent="0.3">
      <c r="A4684" t="s">
        <v>6670</v>
      </c>
      <c r="B4684" t="s">
        <v>6917</v>
      </c>
      <c r="C4684">
        <v>2024</v>
      </c>
      <c r="D4684" t="s">
        <v>394</v>
      </c>
      <c r="E4684" t="s">
        <v>4456</v>
      </c>
      <c r="F4684">
        <v>83827</v>
      </c>
      <c r="G4684" t="s">
        <v>396</v>
      </c>
      <c r="H4684">
        <v>97</v>
      </c>
      <c r="I4684" t="s">
        <v>7030</v>
      </c>
      <c r="J4684" t="s">
        <v>294</v>
      </c>
      <c r="M4684" t="s">
        <v>295</v>
      </c>
      <c r="N4684" t="s">
        <v>7</v>
      </c>
      <c r="O4684" t="s">
        <v>297</v>
      </c>
    </row>
    <row r="4685" spans="1:15" x14ac:dyDescent="0.3">
      <c r="A4685" t="s">
        <v>6670</v>
      </c>
      <c r="B4685" t="s">
        <v>6917</v>
      </c>
      <c r="C4685">
        <v>2024</v>
      </c>
      <c r="D4685" t="s">
        <v>394</v>
      </c>
      <c r="E4685" t="s">
        <v>6789</v>
      </c>
      <c r="F4685">
        <v>22215000</v>
      </c>
      <c r="G4685" t="s">
        <v>6790</v>
      </c>
      <c r="H4685">
        <v>97</v>
      </c>
      <c r="I4685" t="s">
        <v>7031</v>
      </c>
      <c r="J4685" t="s">
        <v>294</v>
      </c>
      <c r="M4685" t="s">
        <v>295</v>
      </c>
      <c r="N4685" t="s">
        <v>7</v>
      </c>
      <c r="O4685" t="s">
        <v>297</v>
      </c>
    </row>
    <row r="4686" spans="1:15" x14ac:dyDescent="0.3">
      <c r="A4686" t="s">
        <v>6670</v>
      </c>
      <c r="B4686" t="s">
        <v>6917</v>
      </c>
      <c r="C4686">
        <v>2024</v>
      </c>
      <c r="D4686" t="s">
        <v>394</v>
      </c>
      <c r="E4686" t="s">
        <v>6792</v>
      </c>
      <c r="F4686">
        <v>6208</v>
      </c>
      <c r="G4686" t="s">
        <v>396</v>
      </c>
      <c r="H4686">
        <v>97</v>
      </c>
      <c r="I4686" t="s">
        <v>7032</v>
      </c>
      <c r="J4686" t="s">
        <v>294</v>
      </c>
      <c r="M4686" t="s">
        <v>295</v>
      </c>
      <c r="N4686" t="s">
        <v>7</v>
      </c>
      <c r="O4686" t="s">
        <v>297</v>
      </c>
    </row>
    <row r="4687" spans="1:15" x14ac:dyDescent="0.3">
      <c r="A4687" t="s">
        <v>6670</v>
      </c>
      <c r="B4687" t="s">
        <v>6917</v>
      </c>
      <c r="C4687">
        <v>2024</v>
      </c>
      <c r="D4687" t="s">
        <v>394</v>
      </c>
      <c r="E4687" t="s">
        <v>438</v>
      </c>
      <c r="F4687">
        <v>337899</v>
      </c>
      <c r="G4687" t="s">
        <v>396</v>
      </c>
      <c r="H4687">
        <v>101</v>
      </c>
      <c r="I4687" t="s">
        <v>7033</v>
      </c>
      <c r="J4687" t="s">
        <v>294</v>
      </c>
      <c r="M4687" t="s">
        <v>295</v>
      </c>
      <c r="N4687" t="s">
        <v>7</v>
      </c>
      <c r="O4687" t="s">
        <v>297</v>
      </c>
    </row>
    <row r="4688" spans="1:15" x14ac:dyDescent="0.3">
      <c r="A4688" t="s">
        <v>6670</v>
      </c>
      <c r="B4688" t="s">
        <v>6917</v>
      </c>
      <c r="C4688">
        <v>2024</v>
      </c>
      <c r="D4688" t="s">
        <v>394</v>
      </c>
      <c r="E4688" t="s">
        <v>4994</v>
      </c>
      <c r="F4688">
        <v>83554</v>
      </c>
      <c r="G4688" t="s">
        <v>396</v>
      </c>
      <c r="H4688">
        <v>101</v>
      </c>
      <c r="I4688" t="s">
        <v>7034</v>
      </c>
      <c r="J4688" t="s">
        <v>294</v>
      </c>
      <c r="M4688" t="s">
        <v>295</v>
      </c>
      <c r="N4688" t="s">
        <v>7</v>
      </c>
      <c r="O4688" t="s">
        <v>297</v>
      </c>
    </row>
    <row r="4689" spans="1:15" x14ac:dyDescent="0.3">
      <c r="A4689" t="s">
        <v>6670</v>
      </c>
      <c r="B4689" t="s">
        <v>6917</v>
      </c>
      <c r="C4689">
        <v>2024</v>
      </c>
      <c r="D4689" t="s">
        <v>394</v>
      </c>
      <c r="E4689" t="s">
        <v>6796</v>
      </c>
      <c r="F4689">
        <v>20039000</v>
      </c>
      <c r="G4689" t="s">
        <v>6790</v>
      </c>
      <c r="H4689">
        <v>102</v>
      </c>
      <c r="I4689" t="s">
        <v>7035</v>
      </c>
      <c r="J4689" t="s">
        <v>294</v>
      </c>
      <c r="M4689" t="s">
        <v>295</v>
      </c>
      <c r="N4689" t="s">
        <v>7</v>
      </c>
      <c r="O4689" t="s">
        <v>297</v>
      </c>
    </row>
    <row r="4690" spans="1:15" x14ac:dyDescent="0.3">
      <c r="A4690" t="s">
        <v>6670</v>
      </c>
      <c r="B4690" t="s">
        <v>6917</v>
      </c>
      <c r="C4690">
        <v>2024</v>
      </c>
      <c r="D4690" t="s">
        <v>394</v>
      </c>
      <c r="E4690" t="s">
        <v>6798</v>
      </c>
      <c r="F4690">
        <v>5503</v>
      </c>
      <c r="G4690" t="s">
        <v>396</v>
      </c>
      <c r="H4690">
        <v>103</v>
      </c>
      <c r="I4690" t="s">
        <v>7036</v>
      </c>
      <c r="J4690" t="s">
        <v>294</v>
      </c>
      <c r="M4690" t="s">
        <v>295</v>
      </c>
      <c r="N4690" t="s">
        <v>7</v>
      </c>
      <c r="O4690" t="s">
        <v>297</v>
      </c>
    </row>
    <row r="4691" spans="1:15" x14ac:dyDescent="0.3">
      <c r="A4691" t="s">
        <v>6670</v>
      </c>
      <c r="B4691" t="s">
        <v>6917</v>
      </c>
      <c r="C4691">
        <v>2024</v>
      </c>
      <c r="D4691" t="s">
        <v>394</v>
      </c>
      <c r="E4691" t="s">
        <v>554</v>
      </c>
      <c r="F4691">
        <v>13283</v>
      </c>
      <c r="G4691" t="s">
        <v>436</v>
      </c>
      <c r="H4691">
        <v>101</v>
      </c>
      <c r="I4691" t="s">
        <v>7037</v>
      </c>
      <c r="J4691" t="s">
        <v>294</v>
      </c>
      <c r="M4691" t="s">
        <v>295</v>
      </c>
      <c r="N4691" t="s">
        <v>7</v>
      </c>
      <c r="O4691" t="s">
        <v>297</v>
      </c>
    </row>
    <row r="4692" spans="1:15" x14ac:dyDescent="0.3">
      <c r="A4692" t="s">
        <v>6670</v>
      </c>
      <c r="B4692" t="s">
        <v>6917</v>
      </c>
      <c r="C4692">
        <v>2024</v>
      </c>
      <c r="D4692" t="s">
        <v>394</v>
      </c>
      <c r="E4692" t="s">
        <v>5195</v>
      </c>
      <c r="F4692">
        <v>8413</v>
      </c>
      <c r="G4692" t="s">
        <v>436</v>
      </c>
      <c r="H4692">
        <v>101</v>
      </c>
      <c r="I4692" t="s">
        <v>7038</v>
      </c>
      <c r="J4692" t="s">
        <v>294</v>
      </c>
      <c r="M4692" t="s">
        <v>295</v>
      </c>
      <c r="N4692" t="s">
        <v>7</v>
      </c>
      <c r="O4692" t="s">
        <v>297</v>
      </c>
    </row>
    <row r="4693" spans="1:15" x14ac:dyDescent="0.3">
      <c r="A4693" t="s">
        <v>6670</v>
      </c>
      <c r="B4693" t="s">
        <v>6917</v>
      </c>
      <c r="C4693">
        <v>2024</v>
      </c>
      <c r="D4693" t="s">
        <v>394</v>
      </c>
      <c r="E4693" t="s">
        <v>6802</v>
      </c>
      <c r="F4693">
        <v>8553</v>
      </c>
      <c r="G4693" t="s">
        <v>6803</v>
      </c>
      <c r="H4693">
        <v>102</v>
      </c>
      <c r="I4693" t="s">
        <v>7039</v>
      </c>
      <c r="J4693" t="s">
        <v>294</v>
      </c>
      <c r="M4693" t="s">
        <v>295</v>
      </c>
      <c r="N4693" t="s">
        <v>7</v>
      </c>
      <c r="O4693" t="s">
        <v>297</v>
      </c>
    </row>
    <row r="4694" spans="1:15" x14ac:dyDescent="0.3">
      <c r="A4694" t="s">
        <v>6670</v>
      </c>
      <c r="B4694" t="s">
        <v>6917</v>
      </c>
      <c r="C4694">
        <v>2024</v>
      </c>
      <c r="D4694" t="s">
        <v>394</v>
      </c>
      <c r="E4694" t="s">
        <v>550</v>
      </c>
      <c r="F4694">
        <v>0.20499999999999999</v>
      </c>
      <c r="G4694" t="s">
        <v>334</v>
      </c>
      <c r="H4694">
        <v>44</v>
      </c>
      <c r="I4694" t="s">
        <v>7040</v>
      </c>
      <c r="J4694" t="s">
        <v>294</v>
      </c>
      <c r="M4694" t="s">
        <v>295</v>
      </c>
      <c r="N4694" t="s">
        <v>7</v>
      </c>
      <c r="O4694" t="s">
        <v>297</v>
      </c>
    </row>
    <row r="4695" spans="1:15" x14ac:dyDescent="0.3">
      <c r="A4695" t="s">
        <v>6670</v>
      </c>
      <c r="B4695" t="s">
        <v>6917</v>
      </c>
      <c r="C4695">
        <v>2024</v>
      </c>
      <c r="D4695" t="s">
        <v>394</v>
      </c>
      <c r="E4695" t="s">
        <v>6806</v>
      </c>
      <c r="F4695">
        <v>0.42</v>
      </c>
      <c r="G4695" t="s">
        <v>334</v>
      </c>
      <c r="H4695">
        <v>63</v>
      </c>
      <c r="I4695" t="s">
        <v>7041</v>
      </c>
      <c r="J4695" t="s">
        <v>294</v>
      </c>
      <c r="M4695" t="s">
        <v>295</v>
      </c>
      <c r="N4695" t="s">
        <v>7</v>
      </c>
      <c r="O4695" t="s">
        <v>297</v>
      </c>
    </row>
    <row r="4696" spans="1:15" x14ac:dyDescent="0.3">
      <c r="A4696" t="s">
        <v>6670</v>
      </c>
      <c r="B4696" t="s">
        <v>6917</v>
      </c>
      <c r="C4696">
        <v>2024</v>
      </c>
      <c r="D4696" t="s">
        <v>394</v>
      </c>
      <c r="E4696" t="s">
        <v>6810</v>
      </c>
      <c r="F4696">
        <v>5359</v>
      </c>
      <c r="G4696" t="s">
        <v>302</v>
      </c>
      <c r="H4696">
        <v>103</v>
      </c>
      <c r="I4696" t="s">
        <v>7042</v>
      </c>
      <c r="J4696" t="s">
        <v>294</v>
      </c>
      <c r="M4696" t="s">
        <v>295</v>
      </c>
      <c r="N4696" t="s">
        <v>7</v>
      </c>
      <c r="O4696" t="s">
        <v>297</v>
      </c>
    </row>
    <row r="4697" spans="1:15" x14ac:dyDescent="0.3">
      <c r="A4697" t="s">
        <v>6670</v>
      </c>
      <c r="B4697" t="s">
        <v>6917</v>
      </c>
      <c r="C4697">
        <v>2024</v>
      </c>
      <c r="D4697" t="s">
        <v>394</v>
      </c>
      <c r="E4697" t="s">
        <v>6812</v>
      </c>
      <c r="F4697">
        <v>337</v>
      </c>
      <c r="G4697" t="s">
        <v>302</v>
      </c>
      <c r="H4697">
        <v>103</v>
      </c>
      <c r="I4697" t="s">
        <v>7043</v>
      </c>
      <c r="J4697" t="s">
        <v>294</v>
      </c>
      <c r="M4697" t="s">
        <v>295</v>
      </c>
      <c r="N4697" t="s">
        <v>7</v>
      </c>
      <c r="O4697" t="s">
        <v>297</v>
      </c>
    </row>
    <row r="4698" spans="1:15" x14ac:dyDescent="0.3">
      <c r="A4698" t="s">
        <v>6670</v>
      </c>
      <c r="B4698" t="s">
        <v>6917</v>
      </c>
      <c r="C4698">
        <v>2024</v>
      </c>
      <c r="D4698" t="s">
        <v>394</v>
      </c>
      <c r="E4698" t="s">
        <v>6814</v>
      </c>
      <c r="F4698">
        <v>1324</v>
      </c>
      <c r="G4698" t="s">
        <v>302</v>
      </c>
      <c r="H4698">
        <v>103</v>
      </c>
      <c r="I4698" t="s">
        <v>7044</v>
      </c>
      <c r="J4698" t="s">
        <v>294</v>
      </c>
      <c r="M4698" t="s">
        <v>295</v>
      </c>
      <c r="N4698" t="s">
        <v>7</v>
      </c>
      <c r="O4698" t="s">
        <v>297</v>
      </c>
    </row>
    <row r="4699" spans="1:15" x14ac:dyDescent="0.3">
      <c r="A4699" t="s">
        <v>6670</v>
      </c>
      <c r="B4699" t="s">
        <v>6917</v>
      </c>
      <c r="C4699">
        <v>2024</v>
      </c>
      <c r="D4699" t="s">
        <v>394</v>
      </c>
      <c r="E4699" t="s">
        <v>6915</v>
      </c>
      <c r="F4699">
        <v>-60</v>
      </c>
      <c r="G4699" t="s">
        <v>302</v>
      </c>
      <c r="H4699">
        <v>103</v>
      </c>
      <c r="I4699" t="s">
        <v>7045</v>
      </c>
      <c r="J4699" t="s">
        <v>294</v>
      </c>
      <c r="M4699" t="s">
        <v>295</v>
      </c>
      <c r="N4699" t="s">
        <v>7</v>
      </c>
      <c r="O4699" t="s">
        <v>297</v>
      </c>
    </row>
    <row r="4700" spans="1:15" x14ac:dyDescent="0.3">
      <c r="A4700" t="s">
        <v>6670</v>
      </c>
      <c r="B4700" t="s">
        <v>6917</v>
      </c>
      <c r="C4700">
        <v>2024</v>
      </c>
      <c r="D4700" t="s">
        <v>394</v>
      </c>
      <c r="E4700" t="s">
        <v>7046</v>
      </c>
      <c r="F4700">
        <v>703</v>
      </c>
      <c r="G4700" t="s">
        <v>302</v>
      </c>
      <c r="H4700">
        <v>45</v>
      </c>
      <c r="I4700" t="s">
        <v>7047</v>
      </c>
      <c r="J4700" t="s">
        <v>294</v>
      </c>
      <c r="M4700" t="s">
        <v>295</v>
      </c>
      <c r="N4700" t="s">
        <v>7</v>
      </c>
      <c r="O4700" t="s">
        <v>297</v>
      </c>
    </row>
    <row r="4701" spans="1:15" x14ac:dyDescent="0.3">
      <c r="A4701" t="s">
        <v>6670</v>
      </c>
      <c r="B4701" t="s">
        <v>6917</v>
      </c>
      <c r="C4701">
        <v>2024</v>
      </c>
      <c r="D4701" t="s">
        <v>394</v>
      </c>
      <c r="E4701" t="s">
        <v>7048</v>
      </c>
      <c r="F4701">
        <v>171</v>
      </c>
      <c r="G4701" t="s">
        <v>302</v>
      </c>
      <c r="H4701">
        <v>45</v>
      </c>
      <c r="I4701" t="s">
        <v>7049</v>
      </c>
      <c r="J4701" t="s">
        <v>294</v>
      </c>
      <c r="M4701" t="s">
        <v>295</v>
      </c>
      <c r="N4701" t="s">
        <v>7</v>
      </c>
      <c r="O4701" t="s">
        <v>297</v>
      </c>
    </row>
    <row r="4702" spans="1:15" x14ac:dyDescent="0.3">
      <c r="A4702" t="s">
        <v>6670</v>
      </c>
      <c r="B4702" t="s">
        <v>6917</v>
      </c>
      <c r="C4702">
        <v>2024</v>
      </c>
      <c r="D4702" t="s">
        <v>394</v>
      </c>
      <c r="E4702" t="s">
        <v>7050</v>
      </c>
      <c r="F4702">
        <v>49</v>
      </c>
      <c r="G4702" t="s">
        <v>302</v>
      </c>
      <c r="H4702">
        <v>45</v>
      </c>
      <c r="I4702" t="s">
        <v>7051</v>
      </c>
      <c r="J4702" t="s">
        <v>294</v>
      </c>
      <c r="M4702" t="s">
        <v>295</v>
      </c>
      <c r="N4702" t="s">
        <v>7</v>
      </c>
      <c r="O4702" t="s">
        <v>297</v>
      </c>
    </row>
    <row r="4703" spans="1:15" x14ac:dyDescent="0.3">
      <c r="A4703" t="s">
        <v>6670</v>
      </c>
      <c r="B4703" t="s">
        <v>6917</v>
      </c>
      <c r="C4703">
        <v>2024</v>
      </c>
      <c r="D4703" t="s">
        <v>394</v>
      </c>
      <c r="E4703" t="s">
        <v>7052</v>
      </c>
      <c r="F4703">
        <v>108</v>
      </c>
      <c r="G4703" t="s">
        <v>302</v>
      </c>
      <c r="H4703">
        <v>45</v>
      </c>
      <c r="I4703" t="s">
        <v>7053</v>
      </c>
      <c r="J4703" t="s">
        <v>294</v>
      </c>
      <c r="M4703" t="s">
        <v>295</v>
      </c>
      <c r="N4703" t="s">
        <v>7</v>
      </c>
      <c r="O4703" t="s">
        <v>297</v>
      </c>
    </row>
    <row r="4704" spans="1:15" x14ac:dyDescent="0.3">
      <c r="A4704" t="s">
        <v>6670</v>
      </c>
      <c r="B4704" t="s">
        <v>6917</v>
      </c>
      <c r="C4704">
        <v>2024</v>
      </c>
      <c r="D4704" t="s">
        <v>394</v>
      </c>
      <c r="E4704" t="s">
        <v>7054</v>
      </c>
      <c r="F4704">
        <v>0.15</v>
      </c>
      <c r="G4704" t="s">
        <v>334</v>
      </c>
      <c r="H4704">
        <v>64</v>
      </c>
      <c r="I4704" t="s">
        <v>7055</v>
      </c>
      <c r="J4704" t="s">
        <v>294</v>
      </c>
      <c r="M4704" t="s">
        <v>295</v>
      </c>
      <c r="N4704" t="s">
        <v>7</v>
      </c>
      <c r="O4704" t="s">
        <v>297</v>
      </c>
    </row>
    <row r="4705" spans="1:15" x14ac:dyDescent="0.3">
      <c r="A4705" t="s">
        <v>6670</v>
      </c>
      <c r="B4705" t="s">
        <v>6917</v>
      </c>
      <c r="C4705">
        <v>2024</v>
      </c>
      <c r="D4705" t="s">
        <v>394</v>
      </c>
      <c r="E4705" t="s">
        <v>7056</v>
      </c>
      <c r="F4705">
        <v>0.8</v>
      </c>
      <c r="G4705" t="s">
        <v>334</v>
      </c>
      <c r="H4705">
        <v>63</v>
      </c>
      <c r="I4705" t="s">
        <v>7057</v>
      </c>
      <c r="J4705" t="s">
        <v>294</v>
      </c>
      <c r="M4705" t="s">
        <v>295</v>
      </c>
      <c r="N4705" t="s">
        <v>7</v>
      </c>
      <c r="O4705" t="s">
        <v>297</v>
      </c>
    </row>
    <row r="4706" spans="1:15" x14ac:dyDescent="0.3">
      <c r="A4706" t="s">
        <v>6670</v>
      </c>
      <c r="B4706" t="s">
        <v>6917</v>
      </c>
      <c r="C4706">
        <v>2024</v>
      </c>
      <c r="D4706" t="s">
        <v>394</v>
      </c>
      <c r="E4706" t="s">
        <v>7058</v>
      </c>
      <c r="F4706">
        <v>1700</v>
      </c>
      <c r="G4706" t="s">
        <v>302</v>
      </c>
      <c r="H4706">
        <v>68</v>
      </c>
      <c r="I4706" t="s">
        <v>7059</v>
      </c>
      <c r="J4706" t="s">
        <v>294</v>
      </c>
      <c r="M4706" t="s">
        <v>295</v>
      </c>
      <c r="N4706" t="s">
        <v>7</v>
      </c>
      <c r="O4706" t="s">
        <v>297</v>
      </c>
    </row>
    <row r="4707" spans="1:15" x14ac:dyDescent="0.3">
      <c r="A4707" t="s">
        <v>6670</v>
      </c>
      <c r="B4707" t="s">
        <v>6917</v>
      </c>
      <c r="C4707">
        <v>2024</v>
      </c>
      <c r="D4707" t="s">
        <v>563</v>
      </c>
      <c r="E4707" t="s">
        <v>7060</v>
      </c>
      <c r="F4707" t="s">
        <v>7061</v>
      </c>
      <c r="G4707" t="s">
        <v>292</v>
      </c>
      <c r="H4707">
        <v>120</v>
      </c>
      <c r="I4707" t="s">
        <v>7062</v>
      </c>
      <c r="J4707" t="s">
        <v>294</v>
      </c>
      <c r="M4707" t="s">
        <v>295</v>
      </c>
      <c r="N4707" t="s">
        <v>7</v>
      </c>
      <c r="O4707" t="s">
        <v>297</v>
      </c>
    </row>
    <row r="4708" spans="1:15" x14ac:dyDescent="0.3">
      <c r="A4708" t="s">
        <v>6670</v>
      </c>
      <c r="B4708" t="s">
        <v>6917</v>
      </c>
      <c r="C4708">
        <v>2024</v>
      </c>
      <c r="D4708" t="s">
        <v>563</v>
      </c>
      <c r="E4708" t="s">
        <v>7063</v>
      </c>
      <c r="F4708">
        <v>2</v>
      </c>
      <c r="G4708" t="s">
        <v>384</v>
      </c>
      <c r="H4708">
        <v>62</v>
      </c>
      <c r="I4708" t="s">
        <v>7064</v>
      </c>
      <c r="J4708" t="s">
        <v>294</v>
      </c>
      <c r="M4708" t="s">
        <v>295</v>
      </c>
      <c r="N4708" t="s">
        <v>7</v>
      </c>
      <c r="O4708" t="s">
        <v>297</v>
      </c>
    </row>
    <row r="4709" spans="1:15" x14ac:dyDescent="0.3">
      <c r="A4709" t="s">
        <v>7065</v>
      </c>
      <c r="B4709" t="s">
        <v>7066</v>
      </c>
      <c r="C4709">
        <v>2022</v>
      </c>
      <c r="D4709" t="s">
        <v>272</v>
      </c>
      <c r="E4709" t="s">
        <v>291</v>
      </c>
      <c r="F4709" t="s">
        <v>7065</v>
      </c>
      <c r="G4709" t="s">
        <v>292</v>
      </c>
      <c r="H4709">
        <v>1</v>
      </c>
      <c r="I4709" t="s">
        <v>7067</v>
      </c>
      <c r="J4709" t="s">
        <v>294</v>
      </c>
      <c r="M4709" t="s">
        <v>295</v>
      </c>
      <c r="N4709" t="s">
        <v>7</v>
      </c>
      <c r="O4709" t="s">
        <v>297</v>
      </c>
    </row>
    <row r="4710" spans="1:15" x14ac:dyDescent="0.3">
      <c r="A4710" t="s">
        <v>7065</v>
      </c>
      <c r="B4710" t="s">
        <v>7066</v>
      </c>
      <c r="C4710">
        <v>2022</v>
      </c>
      <c r="D4710" t="s">
        <v>272</v>
      </c>
      <c r="E4710" t="s">
        <v>1</v>
      </c>
      <c r="F4710" t="s">
        <v>54</v>
      </c>
      <c r="G4710" t="s">
        <v>292</v>
      </c>
      <c r="H4710">
        <v>17</v>
      </c>
      <c r="I4710" t="s">
        <v>7068</v>
      </c>
      <c r="J4710" t="s">
        <v>294</v>
      </c>
      <c r="M4710" t="s">
        <v>295</v>
      </c>
      <c r="N4710" t="s">
        <v>7</v>
      </c>
      <c r="O4710" t="s">
        <v>297</v>
      </c>
    </row>
    <row r="4711" spans="1:15" x14ac:dyDescent="0.3">
      <c r="A4711" t="s">
        <v>7065</v>
      </c>
      <c r="B4711" t="s">
        <v>7066</v>
      </c>
      <c r="C4711">
        <v>2022</v>
      </c>
      <c r="D4711" t="s">
        <v>272</v>
      </c>
      <c r="E4711" t="s">
        <v>7069</v>
      </c>
      <c r="F4711">
        <v>0.73460000000000003</v>
      </c>
      <c r="G4711" t="s">
        <v>334</v>
      </c>
      <c r="H4711">
        <v>12</v>
      </c>
      <c r="I4711" t="s">
        <v>7070</v>
      </c>
      <c r="J4711" t="s">
        <v>294</v>
      </c>
      <c r="M4711" t="s">
        <v>295</v>
      </c>
      <c r="N4711" t="s">
        <v>7</v>
      </c>
      <c r="O4711" t="s">
        <v>297</v>
      </c>
    </row>
    <row r="4712" spans="1:15" x14ac:dyDescent="0.3">
      <c r="A4712" t="s">
        <v>7065</v>
      </c>
      <c r="B4712" t="s">
        <v>7066</v>
      </c>
      <c r="C4712">
        <v>2022</v>
      </c>
      <c r="D4712" t="s">
        <v>272</v>
      </c>
      <c r="E4712" t="s">
        <v>7071</v>
      </c>
      <c r="F4712">
        <v>6.6799999999999998E-2</v>
      </c>
      <c r="G4712" t="s">
        <v>334</v>
      </c>
      <c r="H4712">
        <v>12</v>
      </c>
      <c r="I4712" t="s">
        <v>7072</v>
      </c>
      <c r="J4712" t="s">
        <v>294</v>
      </c>
      <c r="M4712" t="s">
        <v>295</v>
      </c>
      <c r="N4712" t="s">
        <v>7</v>
      </c>
      <c r="O4712" t="s">
        <v>297</v>
      </c>
    </row>
    <row r="4713" spans="1:15" x14ac:dyDescent="0.3">
      <c r="A4713" t="s">
        <v>7065</v>
      </c>
      <c r="B4713" t="s">
        <v>7066</v>
      </c>
      <c r="C4713">
        <v>2022</v>
      </c>
      <c r="D4713" t="s">
        <v>272</v>
      </c>
      <c r="E4713" t="s">
        <v>445</v>
      </c>
      <c r="F4713">
        <v>0.1986</v>
      </c>
      <c r="G4713" t="s">
        <v>334</v>
      </c>
      <c r="H4713">
        <v>12</v>
      </c>
      <c r="I4713" t="s">
        <v>7073</v>
      </c>
      <c r="J4713" t="s">
        <v>294</v>
      </c>
      <c r="M4713" t="s">
        <v>295</v>
      </c>
      <c r="N4713" t="s">
        <v>7</v>
      </c>
      <c r="O4713" t="s">
        <v>297</v>
      </c>
    </row>
    <row r="4714" spans="1:15" x14ac:dyDescent="0.3">
      <c r="A4714" t="s">
        <v>7065</v>
      </c>
      <c r="B4714" t="s">
        <v>7066</v>
      </c>
      <c r="C4714">
        <v>2022</v>
      </c>
      <c r="D4714" t="s">
        <v>272</v>
      </c>
      <c r="E4714" t="s">
        <v>2704</v>
      </c>
      <c r="F4714" t="s">
        <v>7074</v>
      </c>
      <c r="G4714" t="s">
        <v>292</v>
      </c>
      <c r="H4714">
        <v>12</v>
      </c>
      <c r="I4714" t="s">
        <v>7075</v>
      </c>
      <c r="J4714" t="s">
        <v>294</v>
      </c>
      <c r="M4714" t="s">
        <v>295</v>
      </c>
      <c r="N4714" t="s">
        <v>7</v>
      </c>
      <c r="O4714" t="s">
        <v>297</v>
      </c>
    </row>
    <row r="4715" spans="1:15" x14ac:dyDescent="0.3">
      <c r="A4715" t="s">
        <v>7065</v>
      </c>
      <c r="B4715" t="s">
        <v>7066</v>
      </c>
      <c r="C4715">
        <v>2022</v>
      </c>
      <c r="D4715" t="s">
        <v>272</v>
      </c>
      <c r="E4715" t="s">
        <v>7076</v>
      </c>
      <c r="F4715">
        <v>0.72260000000000002</v>
      </c>
      <c r="G4715" t="s">
        <v>334</v>
      </c>
      <c r="H4715">
        <v>12</v>
      </c>
      <c r="I4715" t="s">
        <v>7077</v>
      </c>
      <c r="J4715" t="s">
        <v>294</v>
      </c>
      <c r="M4715" t="s">
        <v>295</v>
      </c>
      <c r="N4715" t="s">
        <v>7</v>
      </c>
      <c r="O4715" t="s">
        <v>297</v>
      </c>
    </row>
    <row r="4716" spans="1:15" x14ac:dyDescent="0.3">
      <c r="A4716" t="s">
        <v>7065</v>
      </c>
      <c r="B4716" t="s">
        <v>7066</v>
      </c>
      <c r="C4716">
        <v>2022</v>
      </c>
      <c r="D4716" t="s">
        <v>300</v>
      </c>
      <c r="E4716" t="s">
        <v>7078</v>
      </c>
      <c r="F4716">
        <v>17794</v>
      </c>
      <c r="G4716" t="s">
        <v>302</v>
      </c>
      <c r="H4716">
        <v>6</v>
      </c>
      <c r="I4716" t="s">
        <v>7079</v>
      </c>
      <c r="J4716" t="s">
        <v>294</v>
      </c>
      <c r="M4716" t="s">
        <v>295</v>
      </c>
      <c r="N4716" t="s">
        <v>7</v>
      </c>
      <c r="O4716" t="s">
        <v>297</v>
      </c>
    </row>
    <row r="4717" spans="1:15" x14ac:dyDescent="0.3">
      <c r="A4717" t="s">
        <v>7065</v>
      </c>
      <c r="B4717" t="s">
        <v>7066</v>
      </c>
      <c r="C4717">
        <v>2022</v>
      </c>
      <c r="D4717" t="s">
        <v>300</v>
      </c>
      <c r="E4717" t="s">
        <v>304</v>
      </c>
      <c r="F4717">
        <v>4649</v>
      </c>
      <c r="G4717" t="s">
        <v>302</v>
      </c>
      <c r="H4717">
        <v>6</v>
      </c>
      <c r="I4717" t="s">
        <v>7080</v>
      </c>
      <c r="J4717" t="s">
        <v>294</v>
      </c>
      <c r="M4717" t="s">
        <v>295</v>
      </c>
      <c r="N4717" t="s">
        <v>7</v>
      </c>
      <c r="O4717" t="s">
        <v>297</v>
      </c>
    </row>
    <row r="4718" spans="1:15" x14ac:dyDescent="0.3">
      <c r="A4718" t="s">
        <v>7065</v>
      </c>
      <c r="B4718" t="s">
        <v>7066</v>
      </c>
      <c r="C4718">
        <v>2022</v>
      </c>
      <c r="D4718" t="s">
        <v>300</v>
      </c>
      <c r="E4718" t="s">
        <v>688</v>
      </c>
      <c r="F4718">
        <v>13145</v>
      </c>
      <c r="G4718" t="s">
        <v>302</v>
      </c>
      <c r="H4718">
        <v>129</v>
      </c>
      <c r="I4718" t="s">
        <v>7081</v>
      </c>
      <c r="J4718" t="s">
        <v>294</v>
      </c>
      <c r="M4718" t="s">
        <v>295</v>
      </c>
      <c r="N4718" t="s">
        <v>7</v>
      </c>
      <c r="O4718" t="s">
        <v>297</v>
      </c>
    </row>
    <row r="4719" spans="1:15" x14ac:dyDescent="0.3">
      <c r="A4719" t="s">
        <v>7065</v>
      </c>
      <c r="B4719" t="s">
        <v>7066</v>
      </c>
      <c r="C4719">
        <v>2022</v>
      </c>
      <c r="D4719" t="s">
        <v>300</v>
      </c>
      <c r="E4719" t="s">
        <v>1112</v>
      </c>
      <c r="F4719">
        <v>2920</v>
      </c>
      <c r="G4719" t="s">
        <v>302</v>
      </c>
      <c r="H4719">
        <v>6</v>
      </c>
      <c r="I4719" t="s">
        <v>7082</v>
      </c>
      <c r="J4719" t="s">
        <v>294</v>
      </c>
      <c r="M4719" t="s">
        <v>295</v>
      </c>
      <c r="N4719" t="s">
        <v>7</v>
      </c>
      <c r="O4719" t="s">
        <v>297</v>
      </c>
    </row>
    <row r="4720" spans="1:15" x14ac:dyDescent="0.3">
      <c r="A4720" t="s">
        <v>7065</v>
      </c>
      <c r="B4720" t="s">
        <v>7066</v>
      </c>
      <c r="C4720">
        <v>2022</v>
      </c>
      <c r="D4720" t="s">
        <v>300</v>
      </c>
      <c r="E4720" t="s">
        <v>6691</v>
      </c>
      <c r="F4720">
        <v>4684</v>
      </c>
      <c r="G4720" t="s">
        <v>302</v>
      </c>
      <c r="H4720">
        <v>6</v>
      </c>
      <c r="I4720" t="s">
        <v>7083</v>
      </c>
      <c r="J4720" t="s">
        <v>294</v>
      </c>
      <c r="M4720" t="s">
        <v>295</v>
      </c>
      <c r="N4720" t="s">
        <v>7</v>
      </c>
      <c r="O4720" t="s">
        <v>297</v>
      </c>
    </row>
    <row r="4721" spans="1:15" x14ac:dyDescent="0.3">
      <c r="A4721" t="s">
        <v>7065</v>
      </c>
      <c r="B4721" t="s">
        <v>7066</v>
      </c>
      <c r="C4721">
        <v>2022</v>
      </c>
      <c r="D4721" t="s">
        <v>300</v>
      </c>
      <c r="E4721" t="s">
        <v>1162</v>
      </c>
      <c r="F4721">
        <v>94</v>
      </c>
      <c r="G4721" t="s">
        <v>302</v>
      </c>
      <c r="H4721">
        <v>129</v>
      </c>
      <c r="I4721" t="s">
        <v>7084</v>
      </c>
      <c r="J4721" t="s">
        <v>294</v>
      </c>
      <c r="M4721" t="s">
        <v>295</v>
      </c>
      <c r="N4721" t="s">
        <v>7</v>
      </c>
      <c r="O4721" t="s">
        <v>297</v>
      </c>
    </row>
    <row r="4722" spans="1:15" x14ac:dyDescent="0.3">
      <c r="A4722" t="s">
        <v>7065</v>
      </c>
      <c r="B4722" t="s">
        <v>7066</v>
      </c>
      <c r="C4722">
        <v>2022</v>
      </c>
      <c r="D4722" t="s">
        <v>300</v>
      </c>
      <c r="E4722" t="s">
        <v>1216</v>
      </c>
      <c r="F4722">
        <v>620</v>
      </c>
      <c r="G4722" t="s">
        <v>302</v>
      </c>
      <c r="H4722">
        <v>129</v>
      </c>
      <c r="I4722" t="s">
        <v>7085</v>
      </c>
      <c r="J4722" t="s">
        <v>294</v>
      </c>
      <c r="M4722" t="s">
        <v>295</v>
      </c>
      <c r="N4722" t="s">
        <v>7</v>
      </c>
      <c r="O4722" t="s">
        <v>297</v>
      </c>
    </row>
    <row r="4723" spans="1:15" x14ac:dyDescent="0.3">
      <c r="A4723" t="s">
        <v>7065</v>
      </c>
      <c r="B4723" t="s">
        <v>7066</v>
      </c>
      <c r="C4723">
        <v>2022</v>
      </c>
      <c r="D4723" t="s">
        <v>300</v>
      </c>
      <c r="E4723" t="s">
        <v>459</v>
      </c>
      <c r="F4723">
        <v>2397</v>
      </c>
      <c r="G4723" t="s">
        <v>302</v>
      </c>
      <c r="H4723">
        <v>129</v>
      </c>
      <c r="I4723" t="s">
        <v>7086</v>
      </c>
      <c r="J4723" t="s">
        <v>294</v>
      </c>
      <c r="M4723" t="s">
        <v>295</v>
      </c>
      <c r="N4723" t="s">
        <v>7</v>
      </c>
      <c r="O4723" t="s">
        <v>297</v>
      </c>
    </row>
    <row r="4724" spans="1:15" x14ac:dyDescent="0.3">
      <c r="A4724" t="s">
        <v>7065</v>
      </c>
      <c r="B4724" t="s">
        <v>7066</v>
      </c>
      <c r="C4724">
        <v>2022</v>
      </c>
      <c r="D4724" t="s">
        <v>300</v>
      </c>
      <c r="E4724" t="s">
        <v>581</v>
      </c>
      <c r="F4724">
        <v>887</v>
      </c>
      <c r="G4724" t="s">
        <v>302</v>
      </c>
      <c r="H4724">
        <v>129</v>
      </c>
      <c r="I4724" t="s">
        <v>7087</v>
      </c>
      <c r="J4724" t="s">
        <v>294</v>
      </c>
      <c r="M4724" t="s">
        <v>295</v>
      </c>
      <c r="N4724" t="s">
        <v>7</v>
      </c>
      <c r="O4724" t="s">
        <v>297</v>
      </c>
    </row>
    <row r="4725" spans="1:15" x14ac:dyDescent="0.3">
      <c r="A4725" t="s">
        <v>7065</v>
      </c>
      <c r="B4725" t="s">
        <v>7066</v>
      </c>
      <c r="C4725">
        <v>2022</v>
      </c>
      <c r="D4725" t="s">
        <v>300</v>
      </c>
      <c r="E4725" t="s">
        <v>7088</v>
      </c>
      <c r="F4725">
        <v>1510</v>
      </c>
      <c r="G4725" t="s">
        <v>302</v>
      </c>
      <c r="H4725">
        <v>6</v>
      </c>
      <c r="I4725" t="s">
        <v>7089</v>
      </c>
      <c r="J4725" t="s">
        <v>294</v>
      </c>
      <c r="M4725" t="s">
        <v>295</v>
      </c>
      <c r="N4725" t="s">
        <v>7</v>
      </c>
      <c r="O4725" t="s">
        <v>297</v>
      </c>
    </row>
    <row r="4726" spans="1:15" x14ac:dyDescent="0.3">
      <c r="A4726" t="s">
        <v>7065</v>
      </c>
      <c r="B4726" t="s">
        <v>7066</v>
      </c>
      <c r="C4726">
        <v>2022</v>
      </c>
      <c r="D4726" t="s">
        <v>300</v>
      </c>
      <c r="E4726" t="s">
        <v>308</v>
      </c>
      <c r="F4726">
        <v>1198</v>
      </c>
      <c r="G4726" t="s">
        <v>302</v>
      </c>
      <c r="H4726">
        <v>6</v>
      </c>
      <c r="I4726" t="s">
        <v>7090</v>
      </c>
      <c r="J4726" t="s">
        <v>294</v>
      </c>
      <c r="M4726" t="s">
        <v>295</v>
      </c>
      <c r="N4726" t="s">
        <v>7</v>
      </c>
      <c r="O4726" t="s">
        <v>297</v>
      </c>
    </row>
    <row r="4727" spans="1:15" x14ac:dyDescent="0.3">
      <c r="A4727" t="s">
        <v>7065</v>
      </c>
      <c r="B4727" t="s">
        <v>7066</v>
      </c>
      <c r="C4727">
        <v>2022</v>
      </c>
      <c r="D4727" t="s">
        <v>300</v>
      </c>
      <c r="E4727" t="s">
        <v>7091</v>
      </c>
      <c r="F4727">
        <v>311</v>
      </c>
      <c r="G4727" t="s">
        <v>302</v>
      </c>
      <c r="H4727">
        <v>6</v>
      </c>
      <c r="I4727" t="s">
        <v>7092</v>
      </c>
      <c r="J4727" t="s">
        <v>294</v>
      </c>
      <c r="M4727" t="s">
        <v>295</v>
      </c>
      <c r="N4727" t="s">
        <v>7</v>
      </c>
      <c r="O4727" t="s">
        <v>297</v>
      </c>
    </row>
    <row r="4728" spans="1:15" x14ac:dyDescent="0.3">
      <c r="A4728" t="s">
        <v>7065</v>
      </c>
      <c r="B4728" t="s">
        <v>7066</v>
      </c>
      <c r="C4728">
        <v>2022</v>
      </c>
      <c r="D4728" t="s">
        <v>300</v>
      </c>
      <c r="E4728" t="s">
        <v>316</v>
      </c>
      <c r="F4728">
        <v>36113</v>
      </c>
      <c r="G4728" t="s">
        <v>302</v>
      </c>
      <c r="H4728">
        <v>6</v>
      </c>
      <c r="I4728" t="s">
        <v>7093</v>
      </c>
      <c r="J4728" t="s">
        <v>294</v>
      </c>
      <c r="M4728" t="s">
        <v>295</v>
      </c>
      <c r="N4728" t="s">
        <v>7</v>
      </c>
      <c r="O4728" t="s">
        <v>297</v>
      </c>
    </row>
    <row r="4729" spans="1:15" x14ac:dyDescent="0.3">
      <c r="A4729" t="s">
        <v>7065</v>
      </c>
      <c r="B4729" t="s">
        <v>7066</v>
      </c>
      <c r="C4729">
        <v>2022</v>
      </c>
      <c r="D4729" t="s">
        <v>300</v>
      </c>
      <c r="E4729" t="s">
        <v>312</v>
      </c>
      <c r="F4729">
        <v>10443</v>
      </c>
      <c r="G4729" t="s">
        <v>302</v>
      </c>
      <c r="H4729">
        <v>6</v>
      </c>
      <c r="I4729" t="s">
        <v>7094</v>
      </c>
      <c r="J4729" t="s">
        <v>294</v>
      </c>
      <c r="M4729" t="s">
        <v>295</v>
      </c>
      <c r="N4729" t="s">
        <v>7</v>
      </c>
      <c r="O4729" t="s">
        <v>297</v>
      </c>
    </row>
    <row r="4730" spans="1:15" x14ac:dyDescent="0.3">
      <c r="A4730" t="s">
        <v>7065</v>
      </c>
      <c r="B4730" t="s">
        <v>7066</v>
      </c>
      <c r="C4730">
        <v>2022</v>
      </c>
      <c r="D4730" t="s">
        <v>300</v>
      </c>
      <c r="E4730" t="s">
        <v>314</v>
      </c>
      <c r="F4730">
        <v>25670</v>
      </c>
      <c r="G4730" t="s">
        <v>302</v>
      </c>
      <c r="H4730">
        <v>127</v>
      </c>
      <c r="I4730" t="s">
        <v>7095</v>
      </c>
      <c r="J4730" t="s">
        <v>294</v>
      </c>
      <c r="M4730" t="s">
        <v>295</v>
      </c>
      <c r="N4730" t="s">
        <v>7</v>
      </c>
      <c r="O4730" t="s">
        <v>297</v>
      </c>
    </row>
    <row r="4731" spans="1:15" x14ac:dyDescent="0.3">
      <c r="A4731" t="s">
        <v>7065</v>
      </c>
      <c r="B4731" t="s">
        <v>7066</v>
      </c>
      <c r="C4731">
        <v>2022</v>
      </c>
      <c r="D4731" t="s">
        <v>300</v>
      </c>
      <c r="E4731" t="s">
        <v>322</v>
      </c>
      <c r="F4731">
        <v>14946</v>
      </c>
      <c r="G4731" t="s">
        <v>302</v>
      </c>
      <c r="H4731">
        <v>6</v>
      </c>
      <c r="I4731" t="s">
        <v>7096</v>
      </c>
      <c r="J4731" t="s">
        <v>294</v>
      </c>
      <c r="M4731" t="s">
        <v>295</v>
      </c>
      <c r="N4731" t="s">
        <v>7</v>
      </c>
      <c r="O4731" t="s">
        <v>297</v>
      </c>
    </row>
    <row r="4732" spans="1:15" x14ac:dyDescent="0.3">
      <c r="A4732" t="s">
        <v>7065</v>
      </c>
      <c r="B4732" t="s">
        <v>7066</v>
      </c>
      <c r="C4732">
        <v>2022</v>
      </c>
      <c r="D4732" t="s">
        <v>300</v>
      </c>
      <c r="E4732" t="s">
        <v>318</v>
      </c>
      <c r="F4732">
        <v>9461</v>
      </c>
      <c r="G4732" t="s">
        <v>302</v>
      </c>
      <c r="H4732">
        <v>6</v>
      </c>
      <c r="I4732" t="s">
        <v>7097</v>
      </c>
      <c r="J4732" t="s">
        <v>294</v>
      </c>
      <c r="M4732" t="s">
        <v>295</v>
      </c>
      <c r="N4732" t="s">
        <v>7</v>
      </c>
      <c r="O4732" t="s">
        <v>297</v>
      </c>
    </row>
    <row r="4733" spans="1:15" x14ac:dyDescent="0.3">
      <c r="A4733" t="s">
        <v>7065</v>
      </c>
      <c r="B4733" t="s">
        <v>7066</v>
      </c>
      <c r="C4733">
        <v>2022</v>
      </c>
      <c r="D4733" t="s">
        <v>300</v>
      </c>
      <c r="E4733" t="s">
        <v>468</v>
      </c>
      <c r="F4733">
        <v>5485</v>
      </c>
      <c r="G4733" t="s">
        <v>302</v>
      </c>
      <c r="H4733">
        <v>128</v>
      </c>
      <c r="I4733" t="s">
        <v>7098</v>
      </c>
      <c r="J4733" t="s">
        <v>294</v>
      </c>
      <c r="M4733" t="s">
        <v>295</v>
      </c>
      <c r="N4733" t="s">
        <v>7</v>
      </c>
      <c r="O4733" t="s">
        <v>297</v>
      </c>
    </row>
    <row r="4734" spans="1:15" x14ac:dyDescent="0.3">
      <c r="A4734" t="s">
        <v>7065</v>
      </c>
      <c r="B4734" t="s">
        <v>7066</v>
      </c>
      <c r="C4734">
        <v>2022</v>
      </c>
      <c r="D4734" t="s">
        <v>300</v>
      </c>
      <c r="E4734" t="s">
        <v>324</v>
      </c>
      <c r="F4734">
        <v>21167</v>
      </c>
      <c r="G4734" t="s">
        <v>302</v>
      </c>
      <c r="H4734">
        <v>6</v>
      </c>
      <c r="I4734" t="s">
        <v>7099</v>
      </c>
      <c r="J4734" t="s">
        <v>294</v>
      </c>
      <c r="M4734" t="s">
        <v>295</v>
      </c>
      <c r="N4734" t="s">
        <v>7</v>
      </c>
      <c r="O4734" t="s">
        <v>297</v>
      </c>
    </row>
    <row r="4735" spans="1:15" x14ac:dyDescent="0.3">
      <c r="A4735" t="s">
        <v>7065</v>
      </c>
      <c r="B4735" t="s">
        <v>7066</v>
      </c>
      <c r="C4735">
        <v>2022</v>
      </c>
      <c r="D4735" t="s">
        <v>300</v>
      </c>
      <c r="E4735" t="s">
        <v>2920</v>
      </c>
      <c r="F4735">
        <v>4335</v>
      </c>
      <c r="G4735" t="s">
        <v>302</v>
      </c>
      <c r="H4735">
        <v>6</v>
      </c>
      <c r="I4735" t="s">
        <v>7100</v>
      </c>
      <c r="J4735" t="s">
        <v>294</v>
      </c>
      <c r="M4735" t="s">
        <v>295</v>
      </c>
      <c r="N4735" t="s">
        <v>7</v>
      </c>
      <c r="O4735" t="s">
        <v>297</v>
      </c>
    </row>
    <row r="4736" spans="1:15" x14ac:dyDescent="0.3">
      <c r="A4736" t="s">
        <v>7065</v>
      </c>
      <c r="B4736" t="s">
        <v>7066</v>
      </c>
      <c r="C4736">
        <v>2022</v>
      </c>
      <c r="D4736" t="s">
        <v>300</v>
      </c>
      <c r="E4736" t="s">
        <v>7101</v>
      </c>
      <c r="F4736">
        <v>4297</v>
      </c>
      <c r="G4736" t="s">
        <v>302</v>
      </c>
      <c r="H4736">
        <v>133</v>
      </c>
      <c r="I4736" t="s">
        <v>7102</v>
      </c>
      <c r="J4736" t="s">
        <v>294</v>
      </c>
      <c r="M4736" t="s">
        <v>295</v>
      </c>
      <c r="N4736" t="s">
        <v>7</v>
      </c>
      <c r="O4736" t="s">
        <v>297</v>
      </c>
    </row>
    <row r="4737" spans="1:15" x14ac:dyDescent="0.3">
      <c r="A4737" t="s">
        <v>7065</v>
      </c>
      <c r="B4737" t="s">
        <v>7066</v>
      </c>
      <c r="C4737">
        <v>2022</v>
      </c>
      <c r="D4737" t="s">
        <v>300</v>
      </c>
      <c r="E4737" t="s">
        <v>595</v>
      </c>
      <c r="F4737">
        <v>5870</v>
      </c>
      <c r="G4737" t="s">
        <v>302</v>
      </c>
      <c r="H4737">
        <v>128</v>
      </c>
      <c r="I4737" t="s">
        <v>7103</v>
      </c>
      <c r="J4737" t="s">
        <v>294</v>
      </c>
      <c r="M4737" t="s">
        <v>295</v>
      </c>
      <c r="N4737" t="s">
        <v>7</v>
      </c>
      <c r="O4737" t="s">
        <v>297</v>
      </c>
    </row>
    <row r="4738" spans="1:15" x14ac:dyDescent="0.3">
      <c r="A4738" t="s">
        <v>7065</v>
      </c>
      <c r="B4738" t="s">
        <v>7066</v>
      </c>
      <c r="C4738">
        <v>2022</v>
      </c>
      <c r="D4738" t="s">
        <v>300</v>
      </c>
      <c r="E4738" t="s">
        <v>7104</v>
      </c>
      <c r="F4738">
        <v>824</v>
      </c>
      <c r="G4738" t="s">
        <v>302</v>
      </c>
      <c r="H4738">
        <v>128</v>
      </c>
      <c r="I4738" t="s">
        <v>7105</v>
      </c>
      <c r="J4738" t="s">
        <v>294</v>
      </c>
      <c r="M4738" t="s">
        <v>295</v>
      </c>
      <c r="N4738" t="s">
        <v>7</v>
      </c>
      <c r="O4738" t="s">
        <v>297</v>
      </c>
    </row>
    <row r="4739" spans="1:15" x14ac:dyDescent="0.3">
      <c r="A4739" t="s">
        <v>7065</v>
      </c>
      <c r="B4739" t="s">
        <v>7066</v>
      </c>
      <c r="C4739">
        <v>2022</v>
      </c>
      <c r="D4739" t="s">
        <v>300</v>
      </c>
      <c r="E4739" t="s">
        <v>4878</v>
      </c>
      <c r="F4739">
        <v>1838</v>
      </c>
      <c r="G4739" t="s">
        <v>302</v>
      </c>
      <c r="H4739">
        <v>128</v>
      </c>
      <c r="I4739" t="s">
        <v>7106</v>
      </c>
      <c r="J4739" t="s">
        <v>294</v>
      </c>
      <c r="M4739" t="s">
        <v>295</v>
      </c>
      <c r="N4739" t="s">
        <v>7</v>
      </c>
      <c r="O4739" t="s">
        <v>297</v>
      </c>
    </row>
    <row r="4740" spans="1:15" x14ac:dyDescent="0.3">
      <c r="A4740" t="s">
        <v>7065</v>
      </c>
      <c r="B4740" t="s">
        <v>7066</v>
      </c>
      <c r="C4740">
        <v>2022</v>
      </c>
      <c r="D4740" t="s">
        <v>300</v>
      </c>
      <c r="E4740" t="s">
        <v>7107</v>
      </c>
      <c r="F4740">
        <v>9871</v>
      </c>
      <c r="G4740" t="s">
        <v>302</v>
      </c>
      <c r="H4740">
        <v>6</v>
      </c>
      <c r="I4740" t="s">
        <v>7108</v>
      </c>
      <c r="J4740" t="s">
        <v>294</v>
      </c>
      <c r="M4740" t="s">
        <v>295</v>
      </c>
      <c r="N4740" t="s">
        <v>7</v>
      </c>
      <c r="O4740" t="s">
        <v>297</v>
      </c>
    </row>
    <row r="4741" spans="1:15" x14ac:dyDescent="0.3">
      <c r="A4741" t="s">
        <v>7065</v>
      </c>
      <c r="B4741" t="s">
        <v>7066</v>
      </c>
      <c r="C4741">
        <v>2022</v>
      </c>
      <c r="D4741" t="s">
        <v>300</v>
      </c>
      <c r="E4741" t="s">
        <v>481</v>
      </c>
      <c r="F4741">
        <v>3268</v>
      </c>
      <c r="G4741" t="s">
        <v>302</v>
      </c>
      <c r="H4741">
        <v>127</v>
      </c>
      <c r="I4741" t="s">
        <v>7109</v>
      </c>
      <c r="J4741" t="s">
        <v>294</v>
      </c>
      <c r="M4741" t="s">
        <v>295</v>
      </c>
      <c r="N4741" t="s">
        <v>7</v>
      </c>
      <c r="O4741" t="s">
        <v>297</v>
      </c>
    </row>
    <row r="4742" spans="1:15" x14ac:dyDescent="0.3">
      <c r="A4742" t="s">
        <v>7065</v>
      </c>
      <c r="B4742" t="s">
        <v>7066</v>
      </c>
      <c r="C4742">
        <v>2022</v>
      </c>
      <c r="D4742" t="s">
        <v>300</v>
      </c>
      <c r="E4742" t="s">
        <v>4369</v>
      </c>
      <c r="F4742">
        <v>770</v>
      </c>
      <c r="G4742" t="s">
        <v>302</v>
      </c>
      <c r="H4742">
        <v>127</v>
      </c>
      <c r="I4742" t="s">
        <v>7110</v>
      </c>
      <c r="J4742" t="s">
        <v>294</v>
      </c>
      <c r="M4742" t="s">
        <v>295</v>
      </c>
      <c r="N4742" t="s">
        <v>7</v>
      </c>
      <c r="O4742" t="s">
        <v>297</v>
      </c>
    </row>
    <row r="4743" spans="1:15" x14ac:dyDescent="0.3">
      <c r="A4743" t="s">
        <v>7065</v>
      </c>
      <c r="B4743" t="s">
        <v>7066</v>
      </c>
      <c r="C4743">
        <v>2022</v>
      </c>
      <c r="D4743" t="s">
        <v>300</v>
      </c>
      <c r="E4743" t="s">
        <v>2900</v>
      </c>
      <c r="F4743">
        <v>2216</v>
      </c>
      <c r="G4743" t="s">
        <v>302</v>
      </c>
      <c r="H4743">
        <v>127</v>
      </c>
      <c r="I4743" t="s">
        <v>7111</v>
      </c>
      <c r="J4743" t="s">
        <v>294</v>
      </c>
      <c r="M4743" t="s">
        <v>295</v>
      </c>
      <c r="N4743" t="s">
        <v>7</v>
      </c>
      <c r="O4743" t="s">
        <v>297</v>
      </c>
    </row>
    <row r="4744" spans="1:15" x14ac:dyDescent="0.3">
      <c r="A4744" t="s">
        <v>7065</v>
      </c>
      <c r="B4744" t="s">
        <v>7066</v>
      </c>
      <c r="C4744">
        <v>2022</v>
      </c>
      <c r="D4744" t="s">
        <v>300</v>
      </c>
      <c r="E4744" t="s">
        <v>1122</v>
      </c>
      <c r="F4744">
        <v>19212</v>
      </c>
      <c r="G4744" t="s">
        <v>302</v>
      </c>
      <c r="H4744">
        <v>127</v>
      </c>
      <c r="I4744" t="s">
        <v>7112</v>
      </c>
      <c r="J4744" t="s">
        <v>294</v>
      </c>
      <c r="M4744" t="s">
        <v>295</v>
      </c>
      <c r="N4744" t="s">
        <v>7</v>
      </c>
      <c r="O4744" t="s">
        <v>297</v>
      </c>
    </row>
    <row r="4745" spans="1:15" x14ac:dyDescent="0.3">
      <c r="A4745" t="s">
        <v>7065</v>
      </c>
      <c r="B4745" t="s">
        <v>7066</v>
      </c>
      <c r="C4745">
        <v>2022</v>
      </c>
      <c r="D4745" t="s">
        <v>300</v>
      </c>
      <c r="E4745" t="s">
        <v>483</v>
      </c>
      <c r="F4745">
        <v>3596</v>
      </c>
      <c r="G4745" t="s">
        <v>302</v>
      </c>
      <c r="H4745">
        <v>132</v>
      </c>
      <c r="I4745" t="s">
        <v>7113</v>
      </c>
      <c r="J4745" t="s">
        <v>294</v>
      </c>
      <c r="M4745" t="s">
        <v>295</v>
      </c>
      <c r="N4745" t="s">
        <v>7</v>
      </c>
      <c r="O4745" t="s">
        <v>297</v>
      </c>
    </row>
    <row r="4746" spans="1:15" x14ac:dyDescent="0.3">
      <c r="A4746" t="s">
        <v>7065</v>
      </c>
      <c r="B4746" t="s">
        <v>7066</v>
      </c>
      <c r="C4746">
        <v>2022</v>
      </c>
      <c r="D4746" t="s">
        <v>300</v>
      </c>
      <c r="E4746" t="s">
        <v>7114</v>
      </c>
      <c r="F4746">
        <v>-1468</v>
      </c>
      <c r="G4746" t="s">
        <v>302</v>
      </c>
      <c r="H4746">
        <v>132</v>
      </c>
      <c r="I4746" t="s">
        <v>7115</v>
      </c>
      <c r="J4746" t="s">
        <v>294</v>
      </c>
      <c r="M4746" t="s">
        <v>295</v>
      </c>
      <c r="N4746" t="s">
        <v>7</v>
      </c>
      <c r="O4746" t="s">
        <v>297</v>
      </c>
    </row>
    <row r="4747" spans="1:15" x14ac:dyDescent="0.3">
      <c r="A4747" t="s">
        <v>7065</v>
      </c>
      <c r="B4747" t="s">
        <v>7066</v>
      </c>
      <c r="C4747">
        <v>2022</v>
      </c>
      <c r="D4747" t="s">
        <v>300</v>
      </c>
      <c r="E4747" t="s">
        <v>7116</v>
      </c>
      <c r="F4747">
        <v>-1669</v>
      </c>
      <c r="G4747" t="s">
        <v>302</v>
      </c>
      <c r="H4747">
        <v>133</v>
      </c>
      <c r="I4747" t="s">
        <v>7117</v>
      </c>
      <c r="J4747" t="s">
        <v>294</v>
      </c>
      <c r="M4747" t="s">
        <v>295</v>
      </c>
      <c r="N4747" t="s">
        <v>7</v>
      </c>
      <c r="O4747" t="s">
        <v>297</v>
      </c>
    </row>
    <row r="4748" spans="1:15" x14ac:dyDescent="0.3">
      <c r="A4748" t="s">
        <v>7065</v>
      </c>
      <c r="B4748" t="s">
        <v>7066</v>
      </c>
      <c r="C4748">
        <v>2022</v>
      </c>
      <c r="D4748" t="s">
        <v>300</v>
      </c>
      <c r="E4748" t="s">
        <v>1386</v>
      </c>
      <c r="F4748">
        <v>1460</v>
      </c>
      <c r="G4748" t="s">
        <v>302</v>
      </c>
      <c r="H4748">
        <v>6</v>
      </c>
      <c r="I4748" t="s">
        <v>7118</v>
      </c>
      <c r="J4748" t="s">
        <v>294</v>
      </c>
      <c r="M4748" t="s">
        <v>295</v>
      </c>
      <c r="N4748" t="s">
        <v>7</v>
      </c>
      <c r="O4748" t="s">
        <v>297</v>
      </c>
    </row>
    <row r="4749" spans="1:15" x14ac:dyDescent="0.3">
      <c r="A4749" t="s">
        <v>7065</v>
      </c>
      <c r="B4749" t="s">
        <v>7066</v>
      </c>
      <c r="C4749">
        <v>2022</v>
      </c>
      <c r="D4749" t="s">
        <v>300</v>
      </c>
      <c r="E4749" t="s">
        <v>7119</v>
      </c>
      <c r="F4749">
        <v>1214</v>
      </c>
      <c r="G4749" t="s">
        <v>302</v>
      </c>
      <c r="H4749">
        <v>132</v>
      </c>
      <c r="I4749" t="s">
        <v>7120</v>
      </c>
      <c r="J4749" t="s">
        <v>294</v>
      </c>
      <c r="M4749" t="s">
        <v>295</v>
      </c>
      <c r="N4749" t="s">
        <v>7</v>
      </c>
      <c r="O4749" t="s">
        <v>297</v>
      </c>
    </row>
    <row r="4750" spans="1:15" x14ac:dyDescent="0.3">
      <c r="A4750" t="s">
        <v>7065</v>
      </c>
      <c r="B4750" t="s">
        <v>7066</v>
      </c>
      <c r="C4750">
        <v>2022</v>
      </c>
      <c r="D4750" t="s">
        <v>300</v>
      </c>
      <c r="E4750" t="s">
        <v>7121</v>
      </c>
      <c r="F4750">
        <v>199</v>
      </c>
      <c r="G4750" t="s">
        <v>302</v>
      </c>
      <c r="H4750">
        <v>132</v>
      </c>
      <c r="I4750" t="s">
        <v>7122</v>
      </c>
      <c r="J4750" t="s">
        <v>294</v>
      </c>
      <c r="M4750" t="s">
        <v>295</v>
      </c>
      <c r="N4750" t="s">
        <v>7</v>
      </c>
      <c r="O4750" t="s">
        <v>297</v>
      </c>
    </row>
    <row r="4751" spans="1:15" x14ac:dyDescent="0.3">
      <c r="A4751" t="s">
        <v>7065</v>
      </c>
      <c r="B4751" t="s">
        <v>7066</v>
      </c>
      <c r="C4751">
        <v>2022</v>
      </c>
      <c r="D4751" t="s">
        <v>300</v>
      </c>
      <c r="E4751" t="s">
        <v>7123</v>
      </c>
      <c r="F4751">
        <v>202</v>
      </c>
      <c r="G4751" t="s">
        <v>302</v>
      </c>
      <c r="H4751">
        <v>133</v>
      </c>
      <c r="I4751" t="s">
        <v>7124</v>
      </c>
      <c r="J4751" t="s">
        <v>294</v>
      </c>
      <c r="M4751" t="s">
        <v>295</v>
      </c>
      <c r="N4751" t="s">
        <v>7</v>
      </c>
      <c r="O4751" t="s">
        <v>297</v>
      </c>
    </row>
    <row r="4752" spans="1:15" x14ac:dyDescent="0.3">
      <c r="A4752" t="s">
        <v>7065</v>
      </c>
      <c r="B4752" t="s">
        <v>7066</v>
      </c>
      <c r="C4752">
        <v>2022</v>
      </c>
      <c r="D4752" t="s">
        <v>300</v>
      </c>
      <c r="E4752" t="s">
        <v>7125</v>
      </c>
      <c r="F4752">
        <v>77</v>
      </c>
      <c r="G4752" t="s">
        <v>346</v>
      </c>
      <c r="H4752">
        <v>6</v>
      </c>
      <c r="I4752" t="s">
        <v>7126</v>
      </c>
      <c r="J4752" t="s">
        <v>294</v>
      </c>
      <c r="M4752" t="s">
        <v>295</v>
      </c>
      <c r="N4752" t="s">
        <v>7</v>
      </c>
      <c r="O4752" t="s">
        <v>297</v>
      </c>
    </row>
    <row r="4753" spans="1:15" x14ac:dyDescent="0.3">
      <c r="A4753" t="s">
        <v>7065</v>
      </c>
      <c r="B4753" t="s">
        <v>7066</v>
      </c>
      <c r="C4753">
        <v>2022</v>
      </c>
      <c r="D4753" t="s">
        <v>300</v>
      </c>
      <c r="E4753" t="s">
        <v>7127</v>
      </c>
      <c r="F4753">
        <v>15501</v>
      </c>
      <c r="G4753" t="s">
        <v>497</v>
      </c>
      <c r="H4753">
        <v>6</v>
      </c>
      <c r="I4753" t="s">
        <v>7128</v>
      </c>
      <c r="J4753" t="s">
        <v>294</v>
      </c>
      <c r="M4753" t="s">
        <v>295</v>
      </c>
      <c r="N4753" t="s">
        <v>7</v>
      </c>
      <c r="O4753" t="s">
        <v>297</v>
      </c>
    </row>
    <row r="4754" spans="1:15" x14ac:dyDescent="0.3">
      <c r="A4754" t="s">
        <v>7065</v>
      </c>
      <c r="B4754" t="s">
        <v>7066</v>
      </c>
      <c r="C4754">
        <v>2022</v>
      </c>
      <c r="D4754" t="s">
        <v>300</v>
      </c>
      <c r="E4754" t="s">
        <v>7129</v>
      </c>
      <c r="F4754">
        <v>13</v>
      </c>
      <c r="G4754" t="s">
        <v>346</v>
      </c>
      <c r="H4754">
        <v>34</v>
      </c>
      <c r="I4754" t="s">
        <v>7130</v>
      </c>
      <c r="J4754" t="s">
        <v>294</v>
      </c>
      <c r="M4754" t="s">
        <v>295</v>
      </c>
      <c r="N4754" t="s">
        <v>7</v>
      </c>
      <c r="O4754" t="s">
        <v>297</v>
      </c>
    </row>
    <row r="4755" spans="1:15" x14ac:dyDescent="0.3">
      <c r="A4755" t="s">
        <v>7065</v>
      </c>
      <c r="B4755" t="s">
        <v>7066</v>
      </c>
      <c r="C4755">
        <v>2022</v>
      </c>
      <c r="D4755" t="s">
        <v>300</v>
      </c>
      <c r="E4755" t="s">
        <v>7131</v>
      </c>
      <c r="F4755">
        <v>414</v>
      </c>
      <c r="G4755" t="s">
        <v>346</v>
      </c>
      <c r="H4755">
        <v>17</v>
      </c>
      <c r="I4755" t="s">
        <v>7132</v>
      </c>
      <c r="J4755" t="s">
        <v>294</v>
      </c>
      <c r="M4755" t="s">
        <v>295</v>
      </c>
      <c r="N4755" t="s">
        <v>7</v>
      </c>
      <c r="O4755" t="s">
        <v>297</v>
      </c>
    </row>
    <row r="4756" spans="1:15" x14ac:dyDescent="0.3">
      <c r="A4756" t="s">
        <v>7065</v>
      </c>
      <c r="B4756" t="s">
        <v>7066</v>
      </c>
      <c r="C4756">
        <v>2022</v>
      </c>
      <c r="D4756" t="s">
        <v>300</v>
      </c>
      <c r="E4756" t="s">
        <v>7133</v>
      </c>
      <c r="F4756">
        <v>6418</v>
      </c>
      <c r="G4756" t="s">
        <v>302</v>
      </c>
      <c r="H4756">
        <v>34</v>
      </c>
      <c r="I4756" t="s">
        <v>7134</v>
      </c>
      <c r="J4756" t="s">
        <v>294</v>
      </c>
      <c r="M4756" t="s">
        <v>295</v>
      </c>
      <c r="N4756" t="s">
        <v>7</v>
      </c>
      <c r="O4756" t="s">
        <v>297</v>
      </c>
    </row>
    <row r="4757" spans="1:15" x14ac:dyDescent="0.3">
      <c r="A4757" t="s">
        <v>7065</v>
      </c>
      <c r="B4757" t="s">
        <v>7066</v>
      </c>
      <c r="C4757">
        <v>2022</v>
      </c>
      <c r="D4757" t="s">
        <v>300</v>
      </c>
      <c r="E4757" t="s">
        <v>7135</v>
      </c>
      <c r="F4757">
        <v>560</v>
      </c>
      <c r="G4757" t="s">
        <v>346</v>
      </c>
      <c r="H4757">
        <v>17</v>
      </c>
      <c r="I4757" t="s">
        <v>7136</v>
      </c>
      <c r="J4757" t="s">
        <v>294</v>
      </c>
      <c r="M4757" t="s">
        <v>295</v>
      </c>
      <c r="N4757" t="s">
        <v>7</v>
      </c>
      <c r="O4757" t="s">
        <v>297</v>
      </c>
    </row>
    <row r="4758" spans="1:15" x14ac:dyDescent="0.3">
      <c r="A4758" t="s">
        <v>7065</v>
      </c>
      <c r="B4758" t="s">
        <v>7066</v>
      </c>
      <c r="C4758">
        <v>2022</v>
      </c>
      <c r="D4758" t="s">
        <v>300</v>
      </c>
      <c r="E4758" t="s">
        <v>7137</v>
      </c>
      <c r="F4758">
        <v>392</v>
      </c>
      <c r="G4758" t="s">
        <v>346</v>
      </c>
      <c r="H4758">
        <v>17</v>
      </c>
      <c r="I4758" t="s">
        <v>7136</v>
      </c>
      <c r="J4758" t="s">
        <v>294</v>
      </c>
      <c r="M4758" t="s">
        <v>295</v>
      </c>
      <c r="N4758" t="s">
        <v>7</v>
      </c>
      <c r="O4758" t="s">
        <v>297</v>
      </c>
    </row>
    <row r="4759" spans="1:15" x14ac:dyDescent="0.3">
      <c r="A4759" t="s">
        <v>7065</v>
      </c>
      <c r="B4759" t="s">
        <v>7066</v>
      </c>
      <c r="C4759">
        <v>2022</v>
      </c>
      <c r="D4759" t="s">
        <v>300</v>
      </c>
      <c r="E4759" t="s">
        <v>1187</v>
      </c>
      <c r="F4759">
        <v>0.26100000000000001</v>
      </c>
      <c r="G4759" t="s">
        <v>334</v>
      </c>
      <c r="H4759">
        <v>6</v>
      </c>
      <c r="I4759" t="s">
        <v>7138</v>
      </c>
      <c r="J4759" t="s">
        <v>294</v>
      </c>
      <c r="M4759" t="s">
        <v>295</v>
      </c>
      <c r="N4759" t="s">
        <v>7</v>
      </c>
      <c r="O4759" t="s">
        <v>297</v>
      </c>
    </row>
    <row r="4760" spans="1:15" x14ac:dyDescent="0.3">
      <c r="A4760" t="s">
        <v>7065</v>
      </c>
      <c r="B4760" t="s">
        <v>7066</v>
      </c>
      <c r="C4760">
        <v>2022</v>
      </c>
      <c r="D4760" t="s">
        <v>300</v>
      </c>
      <c r="E4760" t="s">
        <v>4352</v>
      </c>
      <c r="F4760">
        <v>0.16400000000000001</v>
      </c>
      <c r="G4760" t="s">
        <v>334</v>
      </c>
      <c r="H4760">
        <v>6</v>
      </c>
      <c r="I4760" t="s">
        <v>7139</v>
      </c>
      <c r="J4760" t="s">
        <v>294</v>
      </c>
      <c r="M4760" t="s">
        <v>295</v>
      </c>
      <c r="N4760" t="s">
        <v>7</v>
      </c>
      <c r="O4760" t="s">
        <v>297</v>
      </c>
    </row>
    <row r="4761" spans="1:15" x14ac:dyDescent="0.3">
      <c r="A4761" t="s">
        <v>7065</v>
      </c>
      <c r="B4761" t="s">
        <v>7066</v>
      </c>
      <c r="C4761">
        <v>2022</v>
      </c>
      <c r="D4761" t="s">
        <v>300</v>
      </c>
      <c r="E4761" t="s">
        <v>901</v>
      </c>
      <c r="F4761">
        <v>0.26300000000000001</v>
      </c>
      <c r="G4761" t="s">
        <v>334</v>
      </c>
      <c r="H4761">
        <v>6</v>
      </c>
      <c r="I4761" t="s">
        <v>7140</v>
      </c>
      <c r="J4761" t="s">
        <v>294</v>
      </c>
      <c r="M4761" t="s">
        <v>295</v>
      </c>
      <c r="N4761" t="s">
        <v>7</v>
      </c>
      <c r="O4761" t="s">
        <v>297</v>
      </c>
    </row>
    <row r="4762" spans="1:15" x14ac:dyDescent="0.3">
      <c r="A4762" t="s">
        <v>7065</v>
      </c>
      <c r="B4762" t="s">
        <v>7066</v>
      </c>
      <c r="C4762">
        <v>2022</v>
      </c>
      <c r="D4762" t="s">
        <v>300</v>
      </c>
      <c r="E4762" t="s">
        <v>7141</v>
      </c>
      <c r="F4762">
        <v>4.2000000000000003E-2</v>
      </c>
      <c r="G4762" t="s">
        <v>334</v>
      </c>
      <c r="H4762">
        <v>6</v>
      </c>
      <c r="I4762" t="s">
        <v>7142</v>
      </c>
      <c r="J4762" t="s">
        <v>294</v>
      </c>
      <c r="M4762" t="s">
        <v>295</v>
      </c>
      <c r="N4762" t="s">
        <v>7</v>
      </c>
      <c r="O4762" t="s">
        <v>297</v>
      </c>
    </row>
    <row r="4763" spans="1:15" x14ac:dyDescent="0.3">
      <c r="A4763" t="s">
        <v>7065</v>
      </c>
      <c r="B4763" t="s">
        <v>7066</v>
      </c>
      <c r="C4763">
        <v>2022</v>
      </c>
      <c r="D4763" t="s">
        <v>300</v>
      </c>
      <c r="E4763" t="s">
        <v>3054</v>
      </c>
      <c r="F4763">
        <v>7.3999999999999996E-2</v>
      </c>
      <c r="G4763" t="s">
        <v>334</v>
      </c>
      <c r="H4763">
        <v>6</v>
      </c>
      <c r="I4763" t="s">
        <v>7143</v>
      </c>
      <c r="J4763" t="s">
        <v>294</v>
      </c>
      <c r="M4763" t="s">
        <v>295</v>
      </c>
      <c r="N4763" t="s">
        <v>7</v>
      </c>
      <c r="O4763" t="s">
        <v>297</v>
      </c>
    </row>
    <row r="4764" spans="1:15" x14ac:dyDescent="0.3">
      <c r="A4764" t="s">
        <v>7065</v>
      </c>
      <c r="B4764" t="s">
        <v>7066</v>
      </c>
      <c r="C4764">
        <v>2022</v>
      </c>
      <c r="D4764" t="s">
        <v>300</v>
      </c>
      <c r="E4764" t="s">
        <v>326</v>
      </c>
      <c r="F4764">
        <v>1.1000000000000001</v>
      </c>
      <c r="G4764" t="s">
        <v>327</v>
      </c>
      <c r="H4764">
        <v>6</v>
      </c>
      <c r="I4764" t="s">
        <v>7144</v>
      </c>
      <c r="J4764" t="s">
        <v>294</v>
      </c>
      <c r="M4764" t="s">
        <v>295</v>
      </c>
      <c r="N4764" t="s">
        <v>7</v>
      </c>
      <c r="O4764" t="s">
        <v>297</v>
      </c>
    </row>
    <row r="4765" spans="1:15" x14ac:dyDescent="0.3">
      <c r="A4765" t="s">
        <v>7065</v>
      </c>
      <c r="B4765" t="s">
        <v>7066</v>
      </c>
      <c r="C4765">
        <v>2022</v>
      </c>
      <c r="D4765" t="s">
        <v>300</v>
      </c>
      <c r="E4765" t="s">
        <v>7145</v>
      </c>
      <c r="F4765">
        <v>0.47</v>
      </c>
      <c r="G4765" t="s">
        <v>327</v>
      </c>
      <c r="H4765">
        <v>6</v>
      </c>
      <c r="I4765" t="s">
        <v>7146</v>
      </c>
      <c r="J4765" t="s">
        <v>294</v>
      </c>
      <c r="M4765" t="s">
        <v>295</v>
      </c>
      <c r="N4765" t="s">
        <v>7</v>
      </c>
      <c r="O4765" t="s">
        <v>297</v>
      </c>
    </row>
    <row r="4766" spans="1:15" x14ac:dyDescent="0.3">
      <c r="A4766" t="s">
        <v>7065</v>
      </c>
      <c r="B4766" t="s">
        <v>7066</v>
      </c>
      <c r="C4766">
        <v>2022</v>
      </c>
      <c r="D4766" t="s">
        <v>300</v>
      </c>
      <c r="E4766" t="s">
        <v>7147</v>
      </c>
      <c r="F4766">
        <v>0.26</v>
      </c>
      <c r="G4766" t="s">
        <v>327</v>
      </c>
      <c r="H4766">
        <v>6</v>
      </c>
      <c r="I4766" t="s">
        <v>7148</v>
      </c>
      <c r="J4766" t="s">
        <v>294</v>
      </c>
      <c r="M4766" t="s">
        <v>295</v>
      </c>
      <c r="N4766" t="s">
        <v>7</v>
      </c>
      <c r="O4766" t="s">
        <v>297</v>
      </c>
    </row>
    <row r="4767" spans="1:15" x14ac:dyDescent="0.3">
      <c r="A4767" t="s">
        <v>7065</v>
      </c>
      <c r="B4767" t="s">
        <v>7066</v>
      </c>
      <c r="C4767">
        <v>2022</v>
      </c>
      <c r="D4767" t="s">
        <v>358</v>
      </c>
      <c r="E4767" t="s">
        <v>4407</v>
      </c>
      <c r="F4767">
        <v>294488</v>
      </c>
      <c r="G4767" t="s">
        <v>360</v>
      </c>
      <c r="H4767">
        <v>7</v>
      </c>
      <c r="I4767" t="s">
        <v>7149</v>
      </c>
      <c r="J4767" t="s">
        <v>294</v>
      </c>
      <c r="M4767" t="s">
        <v>295</v>
      </c>
      <c r="N4767" t="s">
        <v>7</v>
      </c>
      <c r="O4767" t="s">
        <v>297</v>
      </c>
    </row>
    <row r="4768" spans="1:15" x14ac:dyDescent="0.3">
      <c r="A4768" t="s">
        <v>7065</v>
      </c>
      <c r="B4768" t="s">
        <v>7066</v>
      </c>
      <c r="C4768">
        <v>2022</v>
      </c>
      <c r="D4768" t="s">
        <v>358</v>
      </c>
      <c r="E4768" t="s">
        <v>4409</v>
      </c>
      <c r="F4768">
        <v>244768</v>
      </c>
      <c r="G4768" t="s">
        <v>360</v>
      </c>
      <c r="H4768">
        <v>7</v>
      </c>
      <c r="I4768" t="s">
        <v>7150</v>
      </c>
      <c r="J4768" t="s">
        <v>294</v>
      </c>
      <c r="M4768" t="s">
        <v>295</v>
      </c>
      <c r="N4768" t="s">
        <v>7</v>
      </c>
      <c r="O4768" t="s">
        <v>297</v>
      </c>
    </row>
    <row r="4769" spans="1:15" x14ac:dyDescent="0.3">
      <c r="A4769" t="s">
        <v>7065</v>
      </c>
      <c r="B4769" t="s">
        <v>7066</v>
      </c>
      <c r="C4769">
        <v>2022</v>
      </c>
      <c r="D4769" t="s">
        <v>358</v>
      </c>
      <c r="E4769" t="s">
        <v>4411</v>
      </c>
      <c r="F4769">
        <v>218064</v>
      </c>
      <c r="G4769" t="s">
        <v>360</v>
      </c>
      <c r="H4769">
        <v>7</v>
      </c>
      <c r="I4769" t="s">
        <v>7151</v>
      </c>
      <c r="J4769" t="s">
        <v>294</v>
      </c>
      <c r="M4769" t="s">
        <v>295</v>
      </c>
      <c r="N4769" t="s">
        <v>7</v>
      </c>
      <c r="O4769" t="s">
        <v>297</v>
      </c>
    </row>
    <row r="4770" spans="1:15" x14ac:dyDescent="0.3">
      <c r="A4770" t="s">
        <v>7065</v>
      </c>
      <c r="B4770" t="s">
        <v>7066</v>
      </c>
      <c r="C4770">
        <v>2022</v>
      </c>
      <c r="D4770" t="s">
        <v>358</v>
      </c>
      <c r="E4770" t="s">
        <v>4413</v>
      </c>
      <c r="F4770">
        <v>26704</v>
      </c>
      <c r="G4770" t="s">
        <v>360</v>
      </c>
      <c r="H4770">
        <v>7</v>
      </c>
      <c r="I4770" t="s">
        <v>7152</v>
      </c>
      <c r="J4770" t="s">
        <v>294</v>
      </c>
      <c r="M4770" t="s">
        <v>295</v>
      </c>
      <c r="N4770" t="s">
        <v>7</v>
      </c>
      <c r="O4770" t="s">
        <v>297</v>
      </c>
    </row>
    <row r="4771" spans="1:15" x14ac:dyDescent="0.3">
      <c r="A4771" t="s">
        <v>7065</v>
      </c>
      <c r="B4771" t="s">
        <v>7066</v>
      </c>
      <c r="C4771">
        <v>2022</v>
      </c>
      <c r="D4771" t="s">
        <v>358</v>
      </c>
      <c r="E4771" t="s">
        <v>4421</v>
      </c>
      <c r="F4771">
        <v>16074</v>
      </c>
      <c r="G4771" t="s">
        <v>360</v>
      </c>
      <c r="H4771">
        <v>7</v>
      </c>
      <c r="I4771" t="s">
        <v>7153</v>
      </c>
      <c r="J4771" t="s">
        <v>294</v>
      </c>
      <c r="M4771" t="s">
        <v>295</v>
      </c>
      <c r="N4771" t="s">
        <v>7</v>
      </c>
      <c r="O4771" t="s">
        <v>297</v>
      </c>
    </row>
    <row r="4772" spans="1:15" x14ac:dyDescent="0.3">
      <c r="A4772" t="s">
        <v>7065</v>
      </c>
      <c r="B4772" t="s">
        <v>7066</v>
      </c>
      <c r="C4772">
        <v>2022</v>
      </c>
      <c r="D4772" t="s">
        <v>358</v>
      </c>
      <c r="E4772" t="s">
        <v>7154</v>
      </c>
      <c r="F4772">
        <v>14056</v>
      </c>
      <c r="G4772" t="s">
        <v>360</v>
      </c>
      <c r="H4772">
        <v>7</v>
      </c>
      <c r="I4772" t="s">
        <v>7155</v>
      </c>
      <c r="J4772" t="s">
        <v>294</v>
      </c>
      <c r="M4772" t="s">
        <v>295</v>
      </c>
      <c r="N4772" t="s">
        <v>7</v>
      </c>
      <c r="O4772" t="s">
        <v>297</v>
      </c>
    </row>
    <row r="4773" spans="1:15" x14ac:dyDescent="0.3">
      <c r="A4773" t="s">
        <v>7065</v>
      </c>
      <c r="B4773" t="s">
        <v>7066</v>
      </c>
      <c r="C4773">
        <v>2022</v>
      </c>
      <c r="D4773" t="s">
        <v>358</v>
      </c>
      <c r="E4773" t="s">
        <v>7156</v>
      </c>
      <c r="F4773">
        <v>19590</v>
      </c>
      <c r="G4773" t="s">
        <v>360</v>
      </c>
      <c r="H4773">
        <v>7</v>
      </c>
      <c r="I4773" t="s">
        <v>7157</v>
      </c>
      <c r="J4773" t="s">
        <v>294</v>
      </c>
      <c r="M4773" t="s">
        <v>295</v>
      </c>
      <c r="N4773" t="s">
        <v>7</v>
      </c>
      <c r="O4773" t="s">
        <v>297</v>
      </c>
    </row>
    <row r="4774" spans="1:15" x14ac:dyDescent="0.3">
      <c r="A4774" t="s">
        <v>7065</v>
      </c>
      <c r="B4774" t="s">
        <v>7066</v>
      </c>
      <c r="C4774">
        <v>2022</v>
      </c>
      <c r="D4774" t="s">
        <v>358</v>
      </c>
      <c r="E4774" t="s">
        <v>7158</v>
      </c>
      <c r="F4774">
        <v>90551</v>
      </c>
      <c r="G4774" t="s">
        <v>360</v>
      </c>
      <c r="H4774">
        <v>7</v>
      </c>
      <c r="I4774" t="s">
        <v>7159</v>
      </c>
      <c r="J4774" t="s">
        <v>294</v>
      </c>
      <c r="M4774" t="s">
        <v>295</v>
      </c>
      <c r="N4774" t="s">
        <v>7</v>
      </c>
      <c r="O4774" t="s">
        <v>297</v>
      </c>
    </row>
    <row r="4775" spans="1:15" x14ac:dyDescent="0.3">
      <c r="A4775" t="s">
        <v>7065</v>
      </c>
      <c r="B4775" t="s">
        <v>7066</v>
      </c>
      <c r="C4775">
        <v>2022</v>
      </c>
      <c r="D4775" t="s">
        <v>358</v>
      </c>
      <c r="E4775" t="s">
        <v>7160</v>
      </c>
      <c r="F4775">
        <v>7086</v>
      </c>
      <c r="G4775" t="s">
        <v>360</v>
      </c>
      <c r="H4775">
        <v>7</v>
      </c>
      <c r="I4775" t="s">
        <v>7161</v>
      </c>
      <c r="J4775" t="s">
        <v>294</v>
      </c>
      <c r="M4775" t="s">
        <v>295</v>
      </c>
      <c r="N4775" t="s">
        <v>7</v>
      </c>
      <c r="O4775" t="s">
        <v>297</v>
      </c>
    </row>
    <row r="4776" spans="1:15" x14ac:dyDescent="0.3">
      <c r="A4776" t="s">
        <v>7065</v>
      </c>
      <c r="B4776" t="s">
        <v>7066</v>
      </c>
      <c r="C4776">
        <v>2022</v>
      </c>
      <c r="D4776" t="s">
        <v>358</v>
      </c>
      <c r="E4776" t="s">
        <v>7162</v>
      </c>
      <c r="F4776">
        <v>125613</v>
      </c>
      <c r="G4776" t="s">
        <v>360</v>
      </c>
      <c r="H4776">
        <v>7</v>
      </c>
      <c r="I4776" t="s">
        <v>7163</v>
      </c>
      <c r="J4776" t="s">
        <v>294</v>
      </c>
      <c r="M4776" t="s">
        <v>295</v>
      </c>
      <c r="N4776" t="s">
        <v>7</v>
      </c>
      <c r="O4776" t="s">
        <v>297</v>
      </c>
    </row>
    <row r="4777" spans="1:15" x14ac:dyDescent="0.3">
      <c r="A4777" t="s">
        <v>7065</v>
      </c>
      <c r="B4777" t="s">
        <v>7066</v>
      </c>
      <c r="C4777">
        <v>2022</v>
      </c>
      <c r="D4777" t="s">
        <v>358</v>
      </c>
      <c r="E4777" t="s">
        <v>7164</v>
      </c>
      <c r="F4777">
        <v>85365</v>
      </c>
      <c r="G4777" t="s">
        <v>360</v>
      </c>
      <c r="H4777">
        <v>7</v>
      </c>
      <c r="I4777" t="s">
        <v>7165</v>
      </c>
      <c r="J4777" t="s">
        <v>294</v>
      </c>
      <c r="M4777" t="s">
        <v>295</v>
      </c>
      <c r="N4777" t="s">
        <v>7</v>
      </c>
      <c r="O4777" t="s">
        <v>297</v>
      </c>
    </row>
    <row r="4778" spans="1:15" x14ac:dyDescent="0.3">
      <c r="A4778" t="s">
        <v>7065</v>
      </c>
      <c r="B4778" t="s">
        <v>7066</v>
      </c>
      <c r="C4778">
        <v>2022</v>
      </c>
      <c r="D4778" t="s">
        <v>358</v>
      </c>
      <c r="E4778" t="s">
        <v>7166</v>
      </c>
      <c r="F4778">
        <v>56145</v>
      </c>
      <c r="G4778" t="s">
        <v>360</v>
      </c>
      <c r="H4778">
        <v>7</v>
      </c>
      <c r="I4778" t="s">
        <v>7167</v>
      </c>
      <c r="J4778" t="s">
        <v>294</v>
      </c>
      <c r="M4778" t="s">
        <v>295</v>
      </c>
      <c r="N4778" t="s">
        <v>7</v>
      </c>
      <c r="O4778" t="s">
        <v>297</v>
      </c>
    </row>
    <row r="4779" spans="1:15" x14ac:dyDescent="0.3">
      <c r="A4779" t="s">
        <v>7065</v>
      </c>
      <c r="B4779" t="s">
        <v>7066</v>
      </c>
      <c r="C4779">
        <v>2022</v>
      </c>
      <c r="D4779" t="s">
        <v>358</v>
      </c>
      <c r="E4779" t="s">
        <v>7168</v>
      </c>
      <c r="F4779">
        <v>36473</v>
      </c>
      <c r="G4779" t="s">
        <v>360</v>
      </c>
      <c r="H4779">
        <v>7</v>
      </c>
      <c r="I4779" t="s">
        <v>4428</v>
      </c>
      <c r="J4779" t="s">
        <v>294</v>
      </c>
      <c r="M4779" t="s">
        <v>295</v>
      </c>
      <c r="N4779" t="s">
        <v>7</v>
      </c>
      <c r="O4779" t="s">
        <v>297</v>
      </c>
    </row>
    <row r="4780" spans="1:15" x14ac:dyDescent="0.3">
      <c r="A4780" t="s">
        <v>7065</v>
      </c>
      <c r="B4780" t="s">
        <v>7066</v>
      </c>
      <c r="C4780">
        <v>2022</v>
      </c>
      <c r="D4780" t="s">
        <v>358</v>
      </c>
      <c r="E4780" t="s">
        <v>7169</v>
      </c>
      <c r="F4780">
        <v>95919</v>
      </c>
      <c r="G4780" t="s">
        <v>360</v>
      </c>
      <c r="H4780">
        <v>7</v>
      </c>
      <c r="I4780" t="s">
        <v>7170</v>
      </c>
      <c r="J4780" t="s">
        <v>294</v>
      </c>
      <c r="M4780" t="s">
        <v>295</v>
      </c>
      <c r="N4780" t="s">
        <v>7</v>
      </c>
      <c r="O4780" t="s">
        <v>297</v>
      </c>
    </row>
    <row r="4781" spans="1:15" x14ac:dyDescent="0.3">
      <c r="A4781" t="s">
        <v>7065</v>
      </c>
      <c r="B4781" t="s">
        <v>7066</v>
      </c>
      <c r="C4781">
        <v>2022</v>
      </c>
      <c r="D4781" t="s">
        <v>358</v>
      </c>
      <c r="E4781" t="s">
        <v>7171</v>
      </c>
      <c r="F4781">
        <v>24742</v>
      </c>
      <c r="G4781" t="s">
        <v>360</v>
      </c>
      <c r="H4781">
        <v>7</v>
      </c>
      <c r="I4781" t="s">
        <v>7172</v>
      </c>
      <c r="J4781" t="s">
        <v>294</v>
      </c>
      <c r="M4781" t="s">
        <v>295</v>
      </c>
      <c r="N4781" t="s">
        <v>7</v>
      </c>
      <c r="O4781" t="s">
        <v>297</v>
      </c>
    </row>
    <row r="4782" spans="1:15" x14ac:dyDescent="0.3">
      <c r="A4782" t="s">
        <v>7065</v>
      </c>
      <c r="B4782" t="s">
        <v>7066</v>
      </c>
      <c r="C4782">
        <v>2022</v>
      </c>
      <c r="D4782" t="s">
        <v>358</v>
      </c>
      <c r="E4782" t="s">
        <v>7173</v>
      </c>
      <c r="F4782">
        <v>61651</v>
      </c>
      <c r="G4782" t="s">
        <v>360</v>
      </c>
      <c r="H4782">
        <v>7</v>
      </c>
      <c r="I4782" t="s">
        <v>7174</v>
      </c>
      <c r="J4782" t="s">
        <v>294</v>
      </c>
      <c r="M4782" t="s">
        <v>295</v>
      </c>
      <c r="N4782" t="s">
        <v>7</v>
      </c>
      <c r="O4782" t="s">
        <v>297</v>
      </c>
    </row>
    <row r="4783" spans="1:15" x14ac:dyDescent="0.3">
      <c r="A4783" t="s">
        <v>7065</v>
      </c>
      <c r="B4783" t="s">
        <v>7066</v>
      </c>
      <c r="C4783">
        <v>2022</v>
      </c>
      <c r="D4783" t="s">
        <v>358</v>
      </c>
      <c r="E4783" t="s">
        <v>7175</v>
      </c>
      <c r="F4783">
        <v>10842</v>
      </c>
      <c r="G4783" t="s">
        <v>360</v>
      </c>
      <c r="H4783">
        <v>7</v>
      </c>
      <c r="I4783" t="s">
        <v>7176</v>
      </c>
      <c r="J4783" t="s">
        <v>294</v>
      </c>
      <c r="M4783" t="s">
        <v>295</v>
      </c>
      <c r="N4783" t="s">
        <v>7</v>
      </c>
      <c r="O4783" t="s">
        <v>297</v>
      </c>
    </row>
    <row r="4784" spans="1:15" x14ac:dyDescent="0.3">
      <c r="A4784" t="s">
        <v>7065</v>
      </c>
      <c r="B4784" t="s">
        <v>7066</v>
      </c>
      <c r="C4784">
        <v>2022</v>
      </c>
      <c r="D4784" t="s">
        <v>358</v>
      </c>
      <c r="E4784" t="s">
        <v>7177</v>
      </c>
      <c r="F4784">
        <v>3249</v>
      </c>
      <c r="G4784" t="s">
        <v>360</v>
      </c>
      <c r="H4784">
        <v>7</v>
      </c>
      <c r="I4784" t="s">
        <v>4434</v>
      </c>
      <c r="J4784" t="s">
        <v>294</v>
      </c>
      <c r="M4784" t="s">
        <v>295</v>
      </c>
      <c r="N4784" t="s">
        <v>7</v>
      </c>
      <c r="O4784" t="s">
        <v>297</v>
      </c>
    </row>
    <row r="4785" spans="1:15" x14ac:dyDescent="0.3">
      <c r="A4785" t="s">
        <v>7065</v>
      </c>
      <c r="B4785" t="s">
        <v>7066</v>
      </c>
      <c r="C4785">
        <v>2022</v>
      </c>
      <c r="D4785" t="s">
        <v>358</v>
      </c>
      <c r="E4785" t="s">
        <v>521</v>
      </c>
      <c r="F4785">
        <v>5467</v>
      </c>
      <c r="G4785" t="s">
        <v>360</v>
      </c>
      <c r="H4785">
        <v>7</v>
      </c>
      <c r="I4785" t="s">
        <v>7178</v>
      </c>
      <c r="J4785" t="s">
        <v>294</v>
      </c>
      <c r="M4785" t="s">
        <v>295</v>
      </c>
      <c r="N4785" t="s">
        <v>7</v>
      </c>
      <c r="O4785" t="s">
        <v>297</v>
      </c>
    </row>
    <row r="4786" spans="1:15" x14ac:dyDescent="0.3">
      <c r="A4786" t="s">
        <v>7065</v>
      </c>
      <c r="B4786" t="s">
        <v>7066</v>
      </c>
      <c r="C4786">
        <v>2022</v>
      </c>
      <c r="D4786" t="s">
        <v>358</v>
      </c>
      <c r="E4786" t="s">
        <v>4437</v>
      </c>
      <c r="F4786">
        <v>27</v>
      </c>
      <c r="G4786" t="s">
        <v>384</v>
      </c>
      <c r="H4786">
        <v>11</v>
      </c>
      <c r="I4786" t="s">
        <v>7179</v>
      </c>
      <c r="J4786" t="s">
        <v>294</v>
      </c>
      <c r="M4786" t="s">
        <v>295</v>
      </c>
      <c r="N4786" t="s">
        <v>7</v>
      </c>
      <c r="O4786" t="s">
        <v>297</v>
      </c>
    </row>
    <row r="4787" spans="1:15" x14ac:dyDescent="0.3">
      <c r="A4787" t="s">
        <v>7065</v>
      </c>
      <c r="B4787" t="s">
        <v>7066</v>
      </c>
      <c r="C4787">
        <v>2022</v>
      </c>
      <c r="D4787" t="s">
        <v>358</v>
      </c>
      <c r="E4787" t="s">
        <v>7180</v>
      </c>
      <c r="F4787">
        <v>7200000</v>
      </c>
      <c r="G4787" t="s">
        <v>7181</v>
      </c>
      <c r="H4787">
        <v>11</v>
      </c>
      <c r="I4787" t="s">
        <v>7182</v>
      </c>
      <c r="J4787" t="s">
        <v>294</v>
      </c>
      <c r="M4787" t="s">
        <v>295</v>
      </c>
      <c r="N4787" t="s">
        <v>7</v>
      </c>
      <c r="O4787" t="s">
        <v>297</v>
      </c>
    </row>
    <row r="4788" spans="1:15" x14ac:dyDescent="0.3">
      <c r="A4788" t="s">
        <v>7065</v>
      </c>
      <c r="B4788" t="s">
        <v>7066</v>
      </c>
      <c r="C4788">
        <v>2022</v>
      </c>
      <c r="D4788" t="s">
        <v>358</v>
      </c>
      <c r="E4788" t="s">
        <v>7183</v>
      </c>
      <c r="F4788">
        <v>5</v>
      </c>
      <c r="G4788" t="s">
        <v>384</v>
      </c>
      <c r="H4788">
        <v>11</v>
      </c>
      <c r="I4788" t="s">
        <v>7184</v>
      </c>
      <c r="J4788" t="s">
        <v>294</v>
      </c>
      <c r="M4788" t="s">
        <v>295</v>
      </c>
      <c r="N4788" t="s">
        <v>7</v>
      </c>
      <c r="O4788" t="s">
        <v>297</v>
      </c>
    </row>
    <row r="4789" spans="1:15" x14ac:dyDescent="0.3">
      <c r="A4789" t="s">
        <v>7065</v>
      </c>
      <c r="B4789" t="s">
        <v>7066</v>
      </c>
      <c r="C4789">
        <v>2022</v>
      </c>
      <c r="D4789" t="s">
        <v>358</v>
      </c>
      <c r="E4789" t="s">
        <v>7185</v>
      </c>
      <c r="F4789">
        <v>1700000</v>
      </c>
      <c r="G4789" t="s">
        <v>7186</v>
      </c>
      <c r="H4789">
        <v>11</v>
      </c>
      <c r="I4789" t="s">
        <v>7187</v>
      </c>
      <c r="J4789" t="s">
        <v>294</v>
      </c>
      <c r="M4789" t="s">
        <v>295</v>
      </c>
      <c r="N4789" t="s">
        <v>7</v>
      </c>
      <c r="O4789" t="s">
        <v>297</v>
      </c>
    </row>
    <row r="4790" spans="1:15" x14ac:dyDescent="0.3">
      <c r="A4790" t="s">
        <v>7065</v>
      </c>
      <c r="B4790" t="s">
        <v>7066</v>
      </c>
      <c r="C4790">
        <v>2022</v>
      </c>
      <c r="D4790" t="s">
        <v>358</v>
      </c>
      <c r="E4790" t="s">
        <v>7188</v>
      </c>
      <c r="F4790">
        <v>2</v>
      </c>
      <c r="G4790" t="s">
        <v>384</v>
      </c>
      <c r="H4790">
        <v>11</v>
      </c>
      <c r="I4790" t="s">
        <v>7189</v>
      </c>
      <c r="J4790" t="s">
        <v>294</v>
      </c>
      <c r="M4790" t="s">
        <v>295</v>
      </c>
      <c r="N4790" t="s">
        <v>7</v>
      </c>
      <c r="O4790" t="s">
        <v>297</v>
      </c>
    </row>
    <row r="4791" spans="1:15" x14ac:dyDescent="0.3">
      <c r="A4791" t="s">
        <v>7065</v>
      </c>
      <c r="B4791" t="s">
        <v>7066</v>
      </c>
      <c r="C4791">
        <v>2022</v>
      </c>
      <c r="D4791" t="s">
        <v>358</v>
      </c>
      <c r="E4791" t="s">
        <v>7190</v>
      </c>
      <c r="F4791">
        <v>3</v>
      </c>
      <c r="G4791" t="s">
        <v>384</v>
      </c>
      <c r="H4791">
        <v>11</v>
      </c>
      <c r="I4791" t="s">
        <v>4443</v>
      </c>
      <c r="J4791" t="s">
        <v>294</v>
      </c>
      <c r="M4791" t="s">
        <v>295</v>
      </c>
      <c r="N4791" t="s">
        <v>7</v>
      </c>
      <c r="O4791" t="s">
        <v>297</v>
      </c>
    </row>
    <row r="4792" spans="1:15" x14ac:dyDescent="0.3">
      <c r="A4792" t="s">
        <v>7065</v>
      </c>
      <c r="B4792" t="s">
        <v>7066</v>
      </c>
      <c r="C4792">
        <v>2022</v>
      </c>
      <c r="D4792" t="s">
        <v>358</v>
      </c>
      <c r="E4792" t="s">
        <v>7191</v>
      </c>
      <c r="F4792">
        <v>2</v>
      </c>
      <c r="G4792" t="s">
        <v>384</v>
      </c>
      <c r="H4792">
        <v>11</v>
      </c>
      <c r="I4792" t="s">
        <v>4445</v>
      </c>
      <c r="J4792" t="s">
        <v>294</v>
      </c>
      <c r="M4792" t="s">
        <v>295</v>
      </c>
      <c r="N4792" t="s">
        <v>7</v>
      </c>
      <c r="O4792" t="s">
        <v>297</v>
      </c>
    </row>
    <row r="4793" spans="1:15" x14ac:dyDescent="0.3">
      <c r="A4793" t="s">
        <v>7065</v>
      </c>
      <c r="B4793" t="s">
        <v>7066</v>
      </c>
      <c r="C4793">
        <v>2022</v>
      </c>
      <c r="D4793" t="s">
        <v>394</v>
      </c>
      <c r="E4793" t="s">
        <v>7192</v>
      </c>
      <c r="F4793">
        <v>3741</v>
      </c>
      <c r="G4793" t="s">
        <v>557</v>
      </c>
      <c r="H4793">
        <v>7</v>
      </c>
      <c r="I4793" t="s">
        <v>7193</v>
      </c>
      <c r="J4793" t="s">
        <v>294</v>
      </c>
      <c r="M4793" t="s">
        <v>295</v>
      </c>
      <c r="N4793" t="s">
        <v>7</v>
      </c>
      <c r="O4793" t="s">
        <v>297</v>
      </c>
    </row>
    <row r="4794" spans="1:15" x14ac:dyDescent="0.3">
      <c r="A4794" t="s">
        <v>7065</v>
      </c>
      <c r="B4794" t="s">
        <v>7066</v>
      </c>
      <c r="C4794">
        <v>2022</v>
      </c>
      <c r="D4794" t="s">
        <v>394</v>
      </c>
      <c r="E4794" t="s">
        <v>4451</v>
      </c>
      <c r="F4794">
        <v>2812</v>
      </c>
      <c r="G4794" t="s">
        <v>557</v>
      </c>
      <c r="H4794">
        <v>7</v>
      </c>
      <c r="I4794" t="s">
        <v>7194</v>
      </c>
      <c r="J4794" t="s">
        <v>294</v>
      </c>
      <c r="M4794" t="s">
        <v>295</v>
      </c>
      <c r="N4794" t="s">
        <v>7</v>
      </c>
      <c r="O4794" t="s">
        <v>297</v>
      </c>
    </row>
    <row r="4795" spans="1:15" x14ac:dyDescent="0.3">
      <c r="A4795" t="s">
        <v>7065</v>
      </c>
      <c r="B4795" t="s">
        <v>7066</v>
      </c>
      <c r="C4795">
        <v>2022</v>
      </c>
      <c r="D4795" t="s">
        <v>394</v>
      </c>
      <c r="E4795" t="s">
        <v>406</v>
      </c>
      <c r="F4795">
        <v>736</v>
      </c>
      <c r="G4795" t="s">
        <v>557</v>
      </c>
      <c r="H4795">
        <v>7</v>
      </c>
      <c r="I4795" t="s">
        <v>7195</v>
      </c>
      <c r="J4795" t="s">
        <v>294</v>
      </c>
      <c r="M4795" t="s">
        <v>295</v>
      </c>
      <c r="N4795" t="s">
        <v>7</v>
      </c>
      <c r="O4795" t="s">
        <v>297</v>
      </c>
    </row>
    <row r="4796" spans="1:15" x14ac:dyDescent="0.3">
      <c r="A4796" t="s">
        <v>7065</v>
      </c>
      <c r="B4796" t="s">
        <v>7066</v>
      </c>
      <c r="C4796">
        <v>2022</v>
      </c>
      <c r="D4796" t="s">
        <v>394</v>
      </c>
      <c r="E4796" t="s">
        <v>4456</v>
      </c>
      <c r="F4796">
        <v>180</v>
      </c>
      <c r="G4796" t="s">
        <v>557</v>
      </c>
      <c r="H4796">
        <v>7</v>
      </c>
      <c r="I4796" t="s">
        <v>7196</v>
      </c>
      <c r="J4796" t="s">
        <v>294</v>
      </c>
      <c r="M4796" t="s">
        <v>295</v>
      </c>
      <c r="N4796" t="s">
        <v>7</v>
      </c>
      <c r="O4796" t="s">
        <v>297</v>
      </c>
    </row>
    <row r="4797" spans="1:15" x14ac:dyDescent="0.3">
      <c r="A4797" t="s">
        <v>7065</v>
      </c>
      <c r="B4797" t="s">
        <v>7066</v>
      </c>
      <c r="C4797">
        <v>2022</v>
      </c>
      <c r="D4797" t="s">
        <v>394</v>
      </c>
      <c r="E4797" t="s">
        <v>4461</v>
      </c>
      <c r="F4797">
        <v>5.2</v>
      </c>
      <c r="G4797" t="s">
        <v>557</v>
      </c>
      <c r="H4797">
        <v>7</v>
      </c>
      <c r="I4797" t="s">
        <v>4462</v>
      </c>
      <c r="J4797" t="s">
        <v>294</v>
      </c>
      <c r="M4797" t="s">
        <v>295</v>
      </c>
      <c r="N4797" t="s">
        <v>7</v>
      </c>
      <c r="O4797" t="s">
        <v>297</v>
      </c>
    </row>
    <row r="4798" spans="1:15" x14ac:dyDescent="0.3">
      <c r="A4798" t="s">
        <v>7065</v>
      </c>
      <c r="B4798" t="s">
        <v>7066</v>
      </c>
      <c r="C4798">
        <v>2022</v>
      </c>
      <c r="D4798" t="s">
        <v>394</v>
      </c>
      <c r="E4798" t="s">
        <v>7197</v>
      </c>
      <c r="F4798">
        <v>57</v>
      </c>
      <c r="G4798" t="s">
        <v>557</v>
      </c>
      <c r="H4798">
        <v>7</v>
      </c>
      <c r="I4798" t="s">
        <v>7198</v>
      </c>
      <c r="J4798" t="s">
        <v>294</v>
      </c>
      <c r="M4798" t="s">
        <v>295</v>
      </c>
      <c r="N4798" t="s">
        <v>7</v>
      </c>
      <c r="O4798" t="s">
        <v>297</v>
      </c>
    </row>
    <row r="4799" spans="1:15" x14ac:dyDescent="0.3">
      <c r="A4799" t="s">
        <v>7065</v>
      </c>
      <c r="B4799" t="s">
        <v>7066</v>
      </c>
      <c r="C4799">
        <v>2022</v>
      </c>
      <c r="D4799" t="s">
        <v>394</v>
      </c>
      <c r="E4799" t="s">
        <v>438</v>
      </c>
      <c r="F4799">
        <v>701</v>
      </c>
      <c r="G4799" t="s">
        <v>557</v>
      </c>
      <c r="H4799">
        <v>7</v>
      </c>
      <c r="I4799" t="s">
        <v>7199</v>
      </c>
      <c r="J4799" t="s">
        <v>294</v>
      </c>
      <c r="M4799" t="s">
        <v>295</v>
      </c>
      <c r="N4799" t="s">
        <v>7</v>
      </c>
      <c r="O4799" t="s">
        <v>297</v>
      </c>
    </row>
    <row r="4800" spans="1:15" x14ac:dyDescent="0.3">
      <c r="A4800" t="s">
        <v>7065</v>
      </c>
      <c r="B4800" t="s">
        <v>7066</v>
      </c>
      <c r="C4800">
        <v>2022</v>
      </c>
      <c r="D4800" t="s">
        <v>394</v>
      </c>
      <c r="E4800" t="s">
        <v>7200</v>
      </c>
      <c r="F4800">
        <v>166</v>
      </c>
      <c r="G4800" t="s">
        <v>557</v>
      </c>
      <c r="H4800">
        <v>7</v>
      </c>
      <c r="I4800" t="s">
        <v>7201</v>
      </c>
      <c r="J4800" t="s">
        <v>294</v>
      </c>
      <c r="M4800" t="s">
        <v>295</v>
      </c>
      <c r="N4800" t="s">
        <v>7</v>
      </c>
      <c r="O4800" t="s">
        <v>297</v>
      </c>
    </row>
    <row r="4801" spans="1:15" x14ac:dyDescent="0.3">
      <c r="A4801" t="s">
        <v>7065</v>
      </c>
      <c r="B4801" t="s">
        <v>7066</v>
      </c>
      <c r="C4801">
        <v>2022</v>
      </c>
      <c r="D4801" t="s">
        <v>394</v>
      </c>
      <c r="E4801" t="s">
        <v>4469</v>
      </c>
      <c r="F4801">
        <v>9.3000000000000007</v>
      </c>
      <c r="G4801" t="s">
        <v>7202</v>
      </c>
      <c r="H4801">
        <v>7</v>
      </c>
      <c r="I4801" t="s">
        <v>7203</v>
      </c>
      <c r="J4801" t="s">
        <v>294</v>
      </c>
      <c r="M4801" t="s">
        <v>295</v>
      </c>
      <c r="N4801" t="s">
        <v>7</v>
      </c>
      <c r="O4801" t="s">
        <v>297</v>
      </c>
    </row>
    <row r="4802" spans="1:15" x14ac:dyDescent="0.3">
      <c r="A4802" t="s">
        <v>7065</v>
      </c>
      <c r="B4802" t="s">
        <v>7066</v>
      </c>
      <c r="C4802">
        <v>2022</v>
      </c>
      <c r="D4802" t="s">
        <v>394</v>
      </c>
      <c r="E4802" t="s">
        <v>7204</v>
      </c>
      <c r="F4802">
        <v>1868</v>
      </c>
      <c r="G4802" t="s">
        <v>947</v>
      </c>
      <c r="H4802">
        <v>19</v>
      </c>
      <c r="I4802" t="s">
        <v>7205</v>
      </c>
      <c r="J4802" t="s">
        <v>456</v>
      </c>
      <c r="M4802" t="s">
        <v>295</v>
      </c>
      <c r="N4802" t="s">
        <v>7</v>
      </c>
      <c r="O4802" t="s">
        <v>297</v>
      </c>
    </row>
    <row r="4803" spans="1:15" x14ac:dyDescent="0.3">
      <c r="A4803" t="s">
        <v>7065</v>
      </c>
      <c r="B4803" t="s">
        <v>7066</v>
      </c>
      <c r="C4803">
        <v>2022</v>
      </c>
      <c r="D4803" t="s">
        <v>394</v>
      </c>
      <c r="E4803" t="s">
        <v>7206</v>
      </c>
      <c r="F4803">
        <v>15731</v>
      </c>
      <c r="G4803" t="s">
        <v>2769</v>
      </c>
      <c r="H4803">
        <v>19</v>
      </c>
      <c r="I4803" t="s">
        <v>7207</v>
      </c>
      <c r="J4803" t="s">
        <v>294</v>
      </c>
      <c r="M4803" t="s">
        <v>295</v>
      </c>
      <c r="N4803" t="s">
        <v>7</v>
      </c>
      <c r="O4803" t="s">
        <v>297</v>
      </c>
    </row>
    <row r="4804" spans="1:15" x14ac:dyDescent="0.3">
      <c r="A4804" t="s">
        <v>7065</v>
      </c>
      <c r="B4804" t="s">
        <v>7208</v>
      </c>
      <c r="C4804">
        <v>2023</v>
      </c>
      <c r="D4804" t="s">
        <v>272</v>
      </c>
      <c r="E4804" t="s">
        <v>291</v>
      </c>
      <c r="F4804" t="s">
        <v>7065</v>
      </c>
      <c r="G4804" t="s">
        <v>292</v>
      </c>
      <c r="H4804">
        <v>1</v>
      </c>
      <c r="I4804" t="s">
        <v>7209</v>
      </c>
      <c r="J4804" t="s">
        <v>294</v>
      </c>
      <c r="M4804" t="s">
        <v>295</v>
      </c>
      <c r="N4804" t="s">
        <v>7</v>
      </c>
      <c r="O4804" t="s">
        <v>297</v>
      </c>
    </row>
    <row r="4805" spans="1:15" x14ac:dyDescent="0.3">
      <c r="A4805" t="s">
        <v>7065</v>
      </c>
      <c r="B4805" t="s">
        <v>7208</v>
      </c>
      <c r="C4805">
        <v>2023</v>
      </c>
      <c r="D4805" t="s">
        <v>272</v>
      </c>
      <c r="E4805" t="s">
        <v>1</v>
      </c>
      <c r="F4805" t="s">
        <v>54</v>
      </c>
      <c r="G4805" t="s">
        <v>292</v>
      </c>
      <c r="H4805">
        <v>17</v>
      </c>
      <c r="I4805" t="s">
        <v>7068</v>
      </c>
      <c r="J4805" t="s">
        <v>294</v>
      </c>
      <c r="M4805" t="s">
        <v>295</v>
      </c>
      <c r="N4805" t="s">
        <v>7</v>
      </c>
      <c r="O4805" t="s">
        <v>297</v>
      </c>
    </row>
    <row r="4806" spans="1:15" x14ac:dyDescent="0.3">
      <c r="A4806" t="s">
        <v>7065</v>
      </c>
      <c r="B4806" t="s">
        <v>7208</v>
      </c>
      <c r="C4806">
        <v>2023</v>
      </c>
      <c r="D4806" t="s">
        <v>272</v>
      </c>
      <c r="E4806" t="s">
        <v>7069</v>
      </c>
      <c r="F4806">
        <v>0.73460000000000003</v>
      </c>
      <c r="G4806" t="s">
        <v>334</v>
      </c>
      <c r="H4806">
        <v>12</v>
      </c>
      <c r="I4806" t="s">
        <v>7070</v>
      </c>
      <c r="J4806" t="s">
        <v>294</v>
      </c>
      <c r="M4806" t="s">
        <v>295</v>
      </c>
      <c r="N4806" t="s">
        <v>7</v>
      </c>
      <c r="O4806" t="s">
        <v>297</v>
      </c>
    </row>
    <row r="4807" spans="1:15" x14ac:dyDescent="0.3">
      <c r="A4807" t="s">
        <v>7065</v>
      </c>
      <c r="B4807" t="s">
        <v>7208</v>
      </c>
      <c r="C4807">
        <v>2023</v>
      </c>
      <c r="D4807" t="s">
        <v>272</v>
      </c>
      <c r="E4807" t="s">
        <v>7071</v>
      </c>
      <c r="F4807">
        <v>6.6799999999999998E-2</v>
      </c>
      <c r="G4807" t="s">
        <v>334</v>
      </c>
      <c r="H4807">
        <v>12</v>
      </c>
      <c r="I4807" t="s">
        <v>7072</v>
      </c>
      <c r="J4807" t="s">
        <v>294</v>
      </c>
      <c r="M4807" t="s">
        <v>295</v>
      </c>
      <c r="N4807" t="s">
        <v>7</v>
      </c>
      <c r="O4807" t="s">
        <v>297</v>
      </c>
    </row>
    <row r="4808" spans="1:15" x14ac:dyDescent="0.3">
      <c r="A4808" t="s">
        <v>7065</v>
      </c>
      <c r="B4808" t="s">
        <v>7208</v>
      </c>
      <c r="C4808">
        <v>2023</v>
      </c>
      <c r="D4808" t="s">
        <v>272</v>
      </c>
      <c r="E4808" t="s">
        <v>445</v>
      </c>
      <c r="F4808">
        <v>0.1986</v>
      </c>
      <c r="G4808" t="s">
        <v>334</v>
      </c>
      <c r="H4808">
        <v>12</v>
      </c>
      <c r="I4808" t="s">
        <v>7210</v>
      </c>
      <c r="J4808" t="s">
        <v>294</v>
      </c>
      <c r="M4808" t="s">
        <v>295</v>
      </c>
      <c r="N4808" t="s">
        <v>7</v>
      </c>
      <c r="O4808" t="s">
        <v>297</v>
      </c>
    </row>
    <row r="4809" spans="1:15" x14ac:dyDescent="0.3">
      <c r="A4809" t="s">
        <v>7065</v>
      </c>
      <c r="B4809" t="s">
        <v>7208</v>
      </c>
      <c r="C4809">
        <v>2023</v>
      </c>
      <c r="D4809" t="s">
        <v>272</v>
      </c>
      <c r="E4809" t="s">
        <v>2704</v>
      </c>
      <c r="F4809" t="s">
        <v>7074</v>
      </c>
      <c r="G4809" t="s">
        <v>292</v>
      </c>
      <c r="H4809">
        <v>12</v>
      </c>
      <c r="I4809" t="s">
        <v>7211</v>
      </c>
      <c r="J4809" t="s">
        <v>294</v>
      </c>
      <c r="M4809" t="s">
        <v>295</v>
      </c>
      <c r="N4809" t="s">
        <v>7</v>
      </c>
      <c r="O4809" t="s">
        <v>297</v>
      </c>
    </row>
    <row r="4810" spans="1:15" x14ac:dyDescent="0.3">
      <c r="A4810" t="s">
        <v>7065</v>
      </c>
      <c r="B4810" t="s">
        <v>7208</v>
      </c>
      <c r="C4810">
        <v>2023</v>
      </c>
      <c r="D4810" t="s">
        <v>272</v>
      </c>
      <c r="E4810" t="s">
        <v>7076</v>
      </c>
      <c r="F4810">
        <v>0.72940000000000005</v>
      </c>
      <c r="G4810" t="s">
        <v>334</v>
      </c>
      <c r="H4810">
        <v>12</v>
      </c>
      <c r="I4810" t="s">
        <v>7212</v>
      </c>
      <c r="J4810" t="s">
        <v>294</v>
      </c>
      <c r="M4810" t="s">
        <v>295</v>
      </c>
      <c r="N4810" t="s">
        <v>7</v>
      </c>
      <c r="O4810" t="s">
        <v>297</v>
      </c>
    </row>
    <row r="4811" spans="1:15" x14ac:dyDescent="0.3">
      <c r="A4811" t="s">
        <v>7065</v>
      </c>
      <c r="B4811" t="s">
        <v>7208</v>
      </c>
      <c r="C4811">
        <v>2023</v>
      </c>
      <c r="D4811" t="s">
        <v>300</v>
      </c>
      <c r="E4811" t="s">
        <v>7078</v>
      </c>
      <c r="F4811">
        <v>16003</v>
      </c>
      <c r="G4811" t="s">
        <v>302</v>
      </c>
      <c r="H4811">
        <v>6</v>
      </c>
      <c r="I4811" t="s">
        <v>7213</v>
      </c>
      <c r="J4811" t="s">
        <v>294</v>
      </c>
      <c r="M4811" t="s">
        <v>295</v>
      </c>
      <c r="N4811" t="s">
        <v>7</v>
      </c>
      <c r="O4811" t="s">
        <v>297</v>
      </c>
    </row>
    <row r="4812" spans="1:15" x14ac:dyDescent="0.3">
      <c r="A4812" t="s">
        <v>7065</v>
      </c>
      <c r="B4812" t="s">
        <v>7208</v>
      </c>
      <c r="C4812">
        <v>2023</v>
      </c>
      <c r="D4812" t="s">
        <v>300</v>
      </c>
      <c r="E4812" t="s">
        <v>304</v>
      </c>
      <c r="F4812">
        <v>3358</v>
      </c>
      <c r="G4812" t="s">
        <v>302</v>
      </c>
      <c r="H4812">
        <v>6</v>
      </c>
      <c r="I4812" t="s">
        <v>7214</v>
      </c>
      <c r="J4812" t="s">
        <v>294</v>
      </c>
      <c r="M4812" t="s">
        <v>295</v>
      </c>
      <c r="N4812" t="s">
        <v>7</v>
      </c>
      <c r="O4812" t="s">
        <v>297</v>
      </c>
    </row>
    <row r="4813" spans="1:15" x14ac:dyDescent="0.3">
      <c r="A4813" t="s">
        <v>7065</v>
      </c>
      <c r="B4813" t="s">
        <v>7208</v>
      </c>
      <c r="C4813">
        <v>2023</v>
      </c>
      <c r="D4813" t="s">
        <v>300</v>
      </c>
      <c r="E4813" t="s">
        <v>688</v>
      </c>
      <c r="F4813">
        <v>12644</v>
      </c>
      <c r="G4813" t="s">
        <v>302</v>
      </c>
      <c r="H4813">
        <v>130</v>
      </c>
      <c r="I4813" t="s">
        <v>7215</v>
      </c>
      <c r="J4813" t="s">
        <v>294</v>
      </c>
      <c r="M4813" t="s">
        <v>295</v>
      </c>
      <c r="N4813" t="s">
        <v>7</v>
      </c>
      <c r="O4813" t="s">
        <v>297</v>
      </c>
    </row>
    <row r="4814" spans="1:15" x14ac:dyDescent="0.3">
      <c r="A4814" t="s">
        <v>7065</v>
      </c>
      <c r="B4814" t="s">
        <v>7208</v>
      </c>
      <c r="C4814">
        <v>2023</v>
      </c>
      <c r="D4814" t="s">
        <v>300</v>
      </c>
      <c r="E4814" t="s">
        <v>1112</v>
      </c>
      <c r="F4814">
        <v>1930</v>
      </c>
      <c r="G4814" t="s">
        <v>302</v>
      </c>
      <c r="H4814">
        <v>6</v>
      </c>
      <c r="I4814" t="s">
        <v>7216</v>
      </c>
      <c r="J4814" t="s">
        <v>294</v>
      </c>
      <c r="M4814" t="s">
        <v>295</v>
      </c>
      <c r="N4814" t="s">
        <v>7</v>
      </c>
      <c r="O4814" t="s">
        <v>297</v>
      </c>
    </row>
    <row r="4815" spans="1:15" x14ac:dyDescent="0.3">
      <c r="A4815" t="s">
        <v>7065</v>
      </c>
      <c r="B4815" t="s">
        <v>7208</v>
      </c>
      <c r="C4815">
        <v>2023</v>
      </c>
      <c r="D4815" t="s">
        <v>300</v>
      </c>
      <c r="E4815" t="s">
        <v>6691</v>
      </c>
      <c r="F4815">
        <v>3535</v>
      </c>
      <c r="G4815" t="s">
        <v>302</v>
      </c>
      <c r="H4815">
        <v>6</v>
      </c>
      <c r="I4815" t="s">
        <v>7217</v>
      </c>
      <c r="J4815" t="s">
        <v>294</v>
      </c>
      <c r="M4815" t="s">
        <v>295</v>
      </c>
      <c r="N4815" t="s">
        <v>7</v>
      </c>
      <c r="O4815" t="s">
        <v>297</v>
      </c>
    </row>
    <row r="4816" spans="1:15" x14ac:dyDescent="0.3">
      <c r="A4816" t="s">
        <v>7065</v>
      </c>
      <c r="B4816" t="s">
        <v>7208</v>
      </c>
      <c r="C4816">
        <v>2023</v>
      </c>
      <c r="D4816" t="s">
        <v>300</v>
      </c>
      <c r="E4816" t="s">
        <v>1162</v>
      </c>
      <c r="F4816">
        <v>174</v>
      </c>
      <c r="G4816" t="s">
        <v>302</v>
      </c>
      <c r="H4816">
        <v>130</v>
      </c>
      <c r="I4816" t="s">
        <v>7218</v>
      </c>
      <c r="J4816" t="s">
        <v>294</v>
      </c>
      <c r="M4816" t="s">
        <v>295</v>
      </c>
      <c r="N4816" t="s">
        <v>7</v>
      </c>
      <c r="O4816" t="s">
        <v>297</v>
      </c>
    </row>
    <row r="4817" spans="1:15" x14ac:dyDescent="0.3">
      <c r="A4817" t="s">
        <v>7065</v>
      </c>
      <c r="B4817" t="s">
        <v>7208</v>
      </c>
      <c r="C4817">
        <v>2023</v>
      </c>
      <c r="D4817" t="s">
        <v>300</v>
      </c>
      <c r="E4817" t="s">
        <v>1216</v>
      </c>
      <c r="F4817">
        <v>620</v>
      </c>
      <c r="G4817" t="s">
        <v>302</v>
      </c>
      <c r="H4817">
        <v>130</v>
      </c>
      <c r="I4817" t="s">
        <v>7219</v>
      </c>
      <c r="J4817" t="s">
        <v>294</v>
      </c>
      <c r="M4817" t="s">
        <v>295</v>
      </c>
      <c r="N4817" t="s">
        <v>7</v>
      </c>
      <c r="O4817" t="s">
        <v>297</v>
      </c>
    </row>
    <row r="4818" spans="1:15" x14ac:dyDescent="0.3">
      <c r="A4818" t="s">
        <v>7065</v>
      </c>
      <c r="B4818" t="s">
        <v>7208</v>
      </c>
      <c r="C4818">
        <v>2023</v>
      </c>
      <c r="D4818" t="s">
        <v>300</v>
      </c>
      <c r="E4818" t="s">
        <v>459</v>
      </c>
      <c r="F4818">
        <v>1488</v>
      </c>
      <c r="G4818" t="s">
        <v>302</v>
      </c>
      <c r="H4818">
        <v>130</v>
      </c>
      <c r="I4818" t="s">
        <v>7220</v>
      </c>
      <c r="J4818" t="s">
        <v>294</v>
      </c>
      <c r="M4818" t="s">
        <v>295</v>
      </c>
      <c r="N4818" t="s">
        <v>7</v>
      </c>
      <c r="O4818" t="s">
        <v>297</v>
      </c>
    </row>
    <row r="4819" spans="1:15" x14ac:dyDescent="0.3">
      <c r="A4819" t="s">
        <v>7065</v>
      </c>
      <c r="B4819" t="s">
        <v>7208</v>
      </c>
      <c r="C4819">
        <v>2023</v>
      </c>
      <c r="D4819" t="s">
        <v>300</v>
      </c>
      <c r="E4819" t="s">
        <v>581</v>
      </c>
      <c r="F4819">
        <v>561</v>
      </c>
      <c r="G4819" t="s">
        <v>302</v>
      </c>
      <c r="H4819">
        <v>130</v>
      </c>
      <c r="I4819" t="s">
        <v>7221</v>
      </c>
      <c r="J4819" t="s">
        <v>294</v>
      </c>
      <c r="M4819" t="s">
        <v>295</v>
      </c>
      <c r="N4819" t="s">
        <v>7</v>
      </c>
      <c r="O4819" t="s">
        <v>297</v>
      </c>
    </row>
    <row r="4820" spans="1:15" x14ac:dyDescent="0.3">
      <c r="A4820" t="s">
        <v>7065</v>
      </c>
      <c r="B4820" t="s">
        <v>7208</v>
      </c>
      <c r="C4820">
        <v>2023</v>
      </c>
      <c r="D4820" t="s">
        <v>300</v>
      </c>
      <c r="E4820" t="s">
        <v>7088</v>
      </c>
      <c r="F4820">
        <v>927</v>
      </c>
      <c r="G4820" t="s">
        <v>302</v>
      </c>
      <c r="H4820">
        <v>6</v>
      </c>
      <c r="I4820" t="s">
        <v>7222</v>
      </c>
      <c r="J4820" t="s">
        <v>294</v>
      </c>
      <c r="M4820" t="s">
        <v>295</v>
      </c>
      <c r="N4820" t="s">
        <v>7</v>
      </c>
      <c r="O4820" t="s">
        <v>297</v>
      </c>
    </row>
    <row r="4821" spans="1:15" x14ac:dyDescent="0.3">
      <c r="A4821" t="s">
        <v>7065</v>
      </c>
      <c r="B4821" t="s">
        <v>7208</v>
      </c>
      <c r="C4821">
        <v>2023</v>
      </c>
      <c r="D4821" t="s">
        <v>300</v>
      </c>
      <c r="E4821" t="s">
        <v>308</v>
      </c>
      <c r="F4821">
        <v>736</v>
      </c>
      <c r="G4821" t="s">
        <v>302</v>
      </c>
      <c r="H4821">
        <v>6</v>
      </c>
      <c r="I4821" t="s">
        <v>7223</v>
      </c>
      <c r="J4821" t="s">
        <v>294</v>
      </c>
      <c r="M4821" t="s">
        <v>295</v>
      </c>
      <c r="N4821" t="s">
        <v>7</v>
      </c>
      <c r="O4821" t="s">
        <v>297</v>
      </c>
    </row>
    <row r="4822" spans="1:15" x14ac:dyDescent="0.3">
      <c r="A4822" t="s">
        <v>7065</v>
      </c>
      <c r="B4822" t="s">
        <v>7208</v>
      </c>
      <c r="C4822">
        <v>2023</v>
      </c>
      <c r="D4822" t="s">
        <v>300</v>
      </c>
      <c r="E4822" t="s">
        <v>7091</v>
      </c>
      <c r="F4822">
        <v>190</v>
      </c>
      <c r="G4822" t="s">
        <v>302</v>
      </c>
      <c r="H4822">
        <v>6</v>
      </c>
      <c r="I4822" t="s">
        <v>7224</v>
      </c>
      <c r="J4822" t="s">
        <v>294</v>
      </c>
      <c r="M4822" t="s">
        <v>295</v>
      </c>
      <c r="N4822" t="s">
        <v>7</v>
      </c>
      <c r="O4822" t="s">
        <v>297</v>
      </c>
    </row>
    <row r="4823" spans="1:15" x14ac:dyDescent="0.3">
      <c r="A4823" t="s">
        <v>7065</v>
      </c>
      <c r="B4823" t="s">
        <v>7208</v>
      </c>
      <c r="C4823">
        <v>2023</v>
      </c>
      <c r="D4823" t="s">
        <v>300</v>
      </c>
      <c r="E4823" t="s">
        <v>316</v>
      </c>
      <c r="F4823">
        <v>35012</v>
      </c>
      <c r="G4823" t="s">
        <v>302</v>
      </c>
      <c r="H4823">
        <v>6</v>
      </c>
      <c r="I4823" t="s">
        <v>7225</v>
      </c>
      <c r="J4823" t="s">
        <v>294</v>
      </c>
      <c r="M4823" t="s">
        <v>295</v>
      </c>
      <c r="N4823" t="s">
        <v>7</v>
      </c>
      <c r="O4823" t="s">
        <v>297</v>
      </c>
    </row>
    <row r="4824" spans="1:15" x14ac:dyDescent="0.3">
      <c r="A4824" t="s">
        <v>7065</v>
      </c>
      <c r="B4824" t="s">
        <v>7208</v>
      </c>
      <c r="C4824">
        <v>2023</v>
      </c>
      <c r="D4824" t="s">
        <v>300</v>
      </c>
      <c r="E4824" t="s">
        <v>312</v>
      </c>
      <c r="F4824">
        <v>9897</v>
      </c>
      <c r="G4824" t="s">
        <v>302</v>
      </c>
      <c r="H4824">
        <v>6</v>
      </c>
      <c r="I4824" t="s">
        <v>7226</v>
      </c>
      <c r="J4824" t="s">
        <v>294</v>
      </c>
      <c r="M4824" t="s">
        <v>295</v>
      </c>
      <c r="N4824" t="s">
        <v>7</v>
      </c>
      <c r="O4824" t="s">
        <v>297</v>
      </c>
    </row>
    <row r="4825" spans="1:15" x14ac:dyDescent="0.3">
      <c r="A4825" t="s">
        <v>7065</v>
      </c>
      <c r="B4825" t="s">
        <v>7208</v>
      </c>
      <c r="C4825">
        <v>2023</v>
      </c>
      <c r="D4825" t="s">
        <v>300</v>
      </c>
      <c r="E4825" t="s">
        <v>314</v>
      </c>
      <c r="F4825">
        <v>25115</v>
      </c>
      <c r="G4825" t="s">
        <v>302</v>
      </c>
      <c r="H4825">
        <v>128</v>
      </c>
      <c r="I4825" t="s">
        <v>7227</v>
      </c>
      <c r="J4825" t="s">
        <v>294</v>
      </c>
      <c r="M4825" t="s">
        <v>295</v>
      </c>
      <c r="N4825" t="s">
        <v>7</v>
      </c>
      <c r="O4825" t="s">
        <v>297</v>
      </c>
    </row>
    <row r="4826" spans="1:15" x14ac:dyDescent="0.3">
      <c r="A4826" t="s">
        <v>7065</v>
      </c>
      <c r="B4826" t="s">
        <v>7208</v>
      </c>
      <c r="C4826">
        <v>2023</v>
      </c>
      <c r="D4826" t="s">
        <v>300</v>
      </c>
      <c r="E4826" t="s">
        <v>322</v>
      </c>
      <c r="F4826">
        <v>13291</v>
      </c>
      <c r="G4826" t="s">
        <v>302</v>
      </c>
      <c r="H4826">
        <v>6</v>
      </c>
      <c r="I4826" t="s">
        <v>7228</v>
      </c>
      <c r="J4826" t="s">
        <v>294</v>
      </c>
      <c r="M4826" t="s">
        <v>295</v>
      </c>
      <c r="N4826" t="s">
        <v>7</v>
      </c>
      <c r="O4826" t="s">
        <v>297</v>
      </c>
    </row>
    <row r="4827" spans="1:15" x14ac:dyDescent="0.3">
      <c r="A4827" t="s">
        <v>7065</v>
      </c>
      <c r="B4827" t="s">
        <v>7208</v>
      </c>
      <c r="C4827">
        <v>2023</v>
      </c>
      <c r="D4827" t="s">
        <v>300</v>
      </c>
      <c r="E4827" t="s">
        <v>318</v>
      </c>
      <c r="F4827">
        <v>9411</v>
      </c>
      <c r="G4827" t="s">
        <v>302</v>
      </c>
      <c r="H4827">
        <v>6</v>
      </c>
      <c r="I4827" t="s">
        <v>7229</v>
      </c>
      <c r="J4827" t="s">
        <v>294</v>
      </c>
      <c r="M4827" t="s">
        <v>295</v>
      </c>
      <c r="N4827" t="s">
        <v>7</v>
      </c>
      <c r="O4827" t="s">
        <v>297</v>
      </c>
    </row>
    <row r="4828" spans="1:15" x14ac:dyDescent="0.3">
      <c r="A4828" t="s">
        <v>7065</v>
      </c>
      <c r="B4828" t="s">
        <v>7208</v>
      </c>
      <c r="C4828">
        <v>2023</v>
      </c>
      <c r="D4828" t="s">
        <v>300</v>
      </c>
      <c r="E4828" t="s">
        <v>468</v>
      </c>
      <c r="F4828">
        <v>3880</v>
      </c>
      <c r="G4828" t="s">
        <v>302</v>
      </c>
      <c r="H4828">
        <v>129</v>
      </c>
      <c r="I4828" t="s">
        <v>7230</v>
      </c>
      <c r="J4828" t="s">
        <v>294</v>
      </c>
      <c r="M4828" t="s">
        <v>295</v>
      </c>
      <c r="N4828" t="s">
        <v>7</v>
      </c>
      <c r="O4828" t="s">
        <v>297</v>
      </c>
    </row>
    <row r="4829" spans="1:15" x14ac:dyDescent="0.3">
      <c r="A4829" t="s">
        <v>7065</v>
      </c>
      <c r="B4829" t="s">
        <v>7208</v>
      </c>
      <c r="C4829">
        <v>2023</v>
      </c>
      <c r="D4829" t="s">
        <v>300</v>
      </c>
      <c r="E4829" t="s">
        <v>324</v>
      </c>
      <c r="F4829">
        <v>21721</v>
      </c>
      <c r="G4829" t="s">
        <v>302</v>
      </c>
      <c r="H4829">
        <v>6</v>
      </c>
      <c r="I4829" t="s">
        <v>7231</v>
      </c>
      <c r="J4829" t="s">
        <v>294</v>
      </c>
      <c r="M4829" t="s">
        <v>295</v>
      </c>
      <c r="N4829" t="s">
        <v>7</v>
      </c>
      <c r="O4829" t="s">
        <v>297</v>
      </c>
    </row>
    <row r="4830" spans="1:15" x14ac:dyDescent="0.3">
      <c r="A4830" t="s">
        <v>7065</v>
      </c>
      <c r="B4830" t="s">
        <v>7208</v>
      </c>
      <c r="C4830">
        <v>2023</v>
      </c>
      <c r="D4830" t="s">
        <v>300</v>
      </c>
      <c r="E4830" t="s">
        <v>2920</v>
      </c>
      <c r="F4830">
        <v>4384</v>
      </c>
      <c r="G4830" t="s">
        <v>302</v>
      </c>
      <c r="H4830">
        <v>6</v>
      </c>
      <c r="I4830" t="s">
        <v>7232</v>
      </c>
      <c r="J4830" t="s">
        <v>294</v>
      </c>
      <c r="M4830" t="s">
        <v>295</v>
      </c>
      <c r="N4830" t="s">
        <v>7</v>
      </c>
      <c r="O4830" t="s">
        <v>297</v>
      </c>
    </row>
    <row r="4831" spans="1:15" x14ac:dyDescent="0.3">
      <c r="A4831" t="s">
        <v>7065</v>
      </c>
      <c r="B4831" t="s">
        <v>7208</v>
      </c>
      <c r="C4831">
        <v>2023</v>
      </c>
      <c r="D4831" t="s">
        <v>300</v>
      </c>
      <c r="E4831" t="s">
        <v>7101</v>
      </c>
      <c r="F4831">
        <v>5161</v>
      </c>
      <c r="G4831" t="s">
        <v>302</v>
      </c>
      <c r="H4831">
        <v>134</v>
      </c>
      <c r="I4831" t="s">
        <v>7233</v>
      </c>
      <c r="J4831" t="s">
        <v>294</v>
      </c>
      <c r="M4831" t="s">
        <v>295</v>
      </c>
      <c r="N4831" t="s">
        <v>7</v>
      </c>
      <c r="O4831" t="s">
        <v>297</v>
      </c>
    </row>
    <row r="4832" spans="1:15" x14ac:dyDescent="0.3">
      <c r="A4832" t="s">
        <v>7065</v>
      </c>
      <c r="B4832" t="s">
        <v>7208</v>
      </c>
      <c r="C4832">
        <v>2023</v>
      </c>
      <c r="D4832" t="s">
        <v>300</v>
      </c>
      <c r="E4832" t="s">
        <v>595</v>
      </c>
      <c r="F4832">
        <v>5649</v>
      </c>
      <c r="G4832" t="s">
        <v>302</v>
      </c>
      <c r="H4832">
        <v>129</v>
      </c>
      <c r="I4832" t="s">
        <v>7234</v>
      </c>
      <c r="J4832" t="s">
        <v>294</v>
      </c>
      <c r="M4832" t="s">
        <v>295</v>
      </c>
      <c r="N4832" t="s">
        <v>7</v>
      </c>
      <c r="O4832" t="s">
        <v>297</v>
      </c>
    </row>
    <row r="4833" spans="1:15" x14ac:dyDescent="0.3">
      <c r="A4833" t="s">
        <v>7065</v>
      </c>
      <c r="B4833" t="s">
        <v>7208</v>
      </c>
      <c r="C4833">
        <v>2023</v>
      </c>
      <c r="D4833" t="s">
        <v>300</v>
      </c>
      <c r="E4833" t="s">
        <v>7104</v>
      </c>
      <c r="F4833">
        <v>1294</v>
      </c>
      <c r="G4833" t="s">
        <v>302</v>
      </c>
      <c r="H4833">
        <v>129</v>
      </c>
      <c r="I4833" t="s">
        <v>7235</v>
      </c>
      <c r="J4833" t="s">
        <v>294</v>
      </c>
      <c r="M4833" t="s">
        <v>295</v>
      </c>
      <c r="N4833" t="s">
        <v>7</v>
      </c>
      <c r="O4833" t="s">
        <v>297</v>
      </c>
    </row>
    <row r="4834" spans="1:15" x14ac:dyDescent="0.3">
      <c r="A4834" t="s">
        <v>7065</v>
      </c>
      <c r="B4834" t="s">
        <v>7208</v>
      </c>
      <c r="C4834">
        <v>2023</v>
      </c>
      <c r="D4834" t="s">
        <v>300</v>
      </c>
      <c r="E4834" t="s">
        <v>4878</v>
      </c>
      <c r="F4834">
        <v>853</v>
      </c>
      <c r="G4834" t="s">
        <v>302</v>
      </c>
      <c r="H4834">
        <v>129</v>
      </c>
      <c r="I4834" t="s">
        <v>7236</v>
      </c>
      <c r="J4834" t="s">
        <v>294</v>
      </c>
      <c r="M4834" t="s">
        <v>295</v>
      </c>
      <c r="N4834" t="s">
        <v>7</v>
      </c>
      <c r="O4834" t="s">
        <v>297</v>
      </c>
    </row>
    <row r="4835" spans="1:15" x14ac:dyDescent="0.3">
      <c r="A4835" t="s">
        <v>7065</v>
      </c>
      <c r="B4835" t="s">
        <v>7208</v>
      </c>
      <c r="C4835">
        <v>2023</v>
      </c>
      <c r="D4835" t="s">
        <v>300</v>
      </c>
      <c r="E4835" t="s">
        <v>7107</v>
      </c>
      <c r="F4835">
        <v>8693</v>
      </c>
      <c r="G4835" t="s">
        <v>302</v>
      </c>
      <c r="H4835">
        <v>6</v>
      </c>
      <c r="I4835" t="s">
        <v>7237</v>
      </c>
      <c r="J4835" t="s">
        <v>294</v>
      </c>
      <c r="M4835" t="s">
        <v>295</v>
      </c>
      <c r="N4835" t="s">
        <v>7</v>
      </c>
      <c r="O4835" t="s">
        <v>297</v>
      </c>
    </row>
    <row r="4836" spans="1:15" x14ac:dyDescent="0.3">
      <c r="A4836" t="s">
        <v>7065</v>
      </c>
      <c r="B4836" t="s">
        <v>7208</v>
      </c>
      <c r="C4836">
        <v>2023</v>
      </c>
      <c r="D4836" t="s">
        <v>300</v>
      </c>
      <c r="E4836" t="s">
        <v>481</v>
      </c>
      <c r="F4836">
        <v>2471</v>
      </c>
      <c r="G4836" t="s">
        <v>302</v>
      </c>
      <c r="H4836">
        <v>128</v>
      </c>
      <c r="I4836" t="s">
        <v>7238</v>
      </c>
      <c r="J4836" t="s">
        <v>294</v>
      </c>
      <c r="M4836" t="s">
        <v>295</v>
      </c>
      <c r="N4836" t="s">
        <v>7</v>
      </c>
      <c r="O4836" t="s">
        <v>297</v>
      </c>
    </row>
    <row r="4837" spans="1:15" x14ac:dyDescent="0.3">
      <c r="A4837" t="s">
        <v>7065</v>
      </c>
      <c r="B4837" t="s">
        <v>7208</v>
      </c>
      <c r="C4837">
        <v>2023</v>
      </c>
      <c r="D4837" t="s">
        <v>300</v>
      </c>
      <c r="E4837" t="s">
        <v>4369</v>
      </c>
      <c r="F4837">
        <v>764</v>
      </c>
      <c r="G4837" t="s">
        <v>302</v>
      </c>
      <c r="H4837">
        <v>128</v>
      </c>
      <c r="I4837" t="s">
        <v>7239</v>
      </c>
      <c r="J4837" t="s">
        <v>294</v>
      </c>
      <c r="M4837" t="s">
        <v>295</v>
      </c>
      <c r="N4837" t="s">
        <v>7</v>
      </c>
      <c r="O4837" t="s">
        <v>297</v>
      </c>
    </row>
    <row r="4838" spans="1:15" x14ac:dyDescent="0.3">
      <c r="A4838" t="s">
        <v>7065</v>
      </c>
      <c r="B4838" t="s">
        <v>7208</v>
      </c>
      <c r="C4838">
        <v>2023</v>
      </c>
      <c r="D4838" t="s">
        <v>300</v>
      </c>
      <c r="E4838" t="s">
        <v>2900</v>
      </c>
      <c r="F4838">
        <v>2210</v>
      </c>
      <c r="G4838" t="s">
        <v>302</v>
      </c>
      <c r="H4838">
        <v>128</v>
      </c>
      <c r="I4838" t="s">
        <v>7240</v>
      </c>
      <c r="J4838" t="s">
        <v>294</v>
      </c>
      <c r="M4838" t="s">
        <v>295</v>
      </c>
      <c r="N4838" t="s">
        <v>7</v>
      </c>
      <c r="O4838" t="s">
        <v>297</v>
      </c>
    </row>
    <row r="4839" spans="1:15" x14ac:dyDescent="0.3">
      <c r="A4839" t="s">
        <v>7065</v>
      </c>
      <c r="B4839" t="s">
        <v>7208</v>
      </c>
      <c r="C4839">
        <v>2023</v>
      </c>
      <c r="D4839" t="s">
        <v>300</v>
      </c>
      <c r="E4839" t="s">
        <v>1122</v>
      </c>
      <c r="F4839">
        <v>18738</v>
      </c>
      <c r="G4839" t="s">
        <v>302</v>
      </c>
      <c r="H4839">
        <v>128</v>
      </c>
      <c r="I4839" t="s">
        <v>7241</v>
      </c>
      <c r="J4839" t="s">
        <v>294</v>
      </c>
      <c r="M4839" t="s">
        <v>295</v>
      </c>
      <c r="N4839" t="s">
        <v>7</v>
      </c>
      <c r="O4839" t="s">
        <v>297</v>
      </c>
    </row>
    <row r="4840" spans="1:15" x14ac:dyDescent="0.3">
      <c r="A4840" t="s">
        <v>7065</v>
      </c>
      <c r="B4840" t="s">
        <v>7208</v>
      </c>
      <c r="C4840">
        <v>2023</v>
      </c>
      <c r="D4840" t="s">
        <v>300</v>
      </c>
      <c r="E4840" t="s">
        <v>483</v>
      </c>
      <c r="F4840">
        <v>3830</v>
      </c>
      <c r="G4840" t="s">
        <v>302</v>
      </c>
      <c r="H4840">
        <v>133</v>
      </c>
      <c r="I4840" t="s">
        <v>7242</v>
      </c>
      <c r="J4840" t="s">
        <v>294</v>
      </c>
      <c r="M4840" t="s">
        <v>295</v>
      </c>
      <c r="N4840" t="s">
        <v>7</v>
      </c>
      <c r="O4840" t="s">
        <v>297</v>
      </c>
    </row>
    <row r="4841" spans="1:15" x14ac:dyDescent="0.3">
      <c r="A4841" t="s">
        <v>7065</v>
      </c>
      <c r="B4841" t="s">
        <v>7208</v>
      </c>
      <c r="C4841">
        <v>2023</v>
      </c>
      <c r="D4841" t="s">
        <v>300</v>
      </c>
      <c r="E4841" t="s">
        <v>7114</v>
      </c>
      <c r="F4841">
        <v>-1316</v>
      </c>
      <c r="G4841" t="s">
        <v>302</v>
      </c>
      <c r="H4841">
        <v>133</v>
      </c>
      <c r="I4841" t="s">
        <v>7243</v>
      </c>
      <c r="J4841" t="s">
        <v>294</v>
      </c>
      <c r="M4841" t="s">
        <v>295</v>
      </c>
      <c r="N4841" t="s">
        <v>7</v>
      </c>
      <c r="O4841" t="s">
        <v>297</v>
      </c>
    </row>
    <row r="4842" spans="1:15" x14ac:dyDescent="0.3">
      <c r="A4842" t="s">
        <v>7065</v>
      </c>
      <c r="B4842" t="s">
        <v>7208</v>
      </c>
      <c r="C4842">
        <v>2023</v>
      </c>
      <c r="D4842" t="s">
        <v>300</v>
      </c>
      <c r="E4842" t="s">
        <v>7116</v>
      </c>
      <c r="F4842">
        <v>-1620</v>
      </c>
      <c r="G4842" t="s">
        <v>302</v>
      </c>
      <c r="H4842">
        <v>134</v>
      </c>
      <c r="I4842" t="s">
        <v>7244</v>
      </c>
      <c r="J4842" t="s">
        <v>294</v>
      </c>
      <c r="M4842" t="s">
        <v>295</v>
      </c>
      <c r="N4842" t="s">
        <v>7</v>
      </c>
      <c r="O4842" t="s">
        <v>297</v>
      </c>
    </row>
    <row r="4843" spans="1:15" x14ac:dyDescent="0.3">
      <c r="A4843" t="s">
        <v>7065</v>
      </c>
      <c r="B4843" t="s">
        <v>7208</v>
      </c>
      <c r="C4843">
        <v>2023</v>
      </c>
      <c r="D4843" t="s">
        <v>300</v>
      </c>
      <c r="E4843" t="s">
        <v>1386</v>
      </c>
      <c r="F4843">
        <v>1324</v>
      </c>
      <c r="G4843" t="s">
        <v>302</v>
      </c>
      <c r="H4843">
        <v>6</v>
      </c>
      <c r="I4843" t="s">
        <v>7245</v>
      </c>
      <c r="J4843" t="s">
        <v>294</v>
      </c>
      <c r="M4843" t="s">
        <v>295</v>
      </c>
      <c r="N4843" t="s">
        <v>7</v>
      </c>
      <c r="O4843" t="s">
        <v>297</v>
      </c>
    </row>
    <row r="4844" spans="1:15" x14ac:dyDescent="0.3">
      <c r="A4844" t="s">
        <v>7065</v>
      </c>
      <c r="B4844" t="s">
        <v>7208</v>
      </c>
      <c r="C4844">
        <v>2023</v>
      </c>
      <c r="D4844" t="s">
        <v>300</v>
      </c>
      <c r="E4844" t="s">
        <v>7119</v>
      </c>
      <c r="F4844">
        <v>976</v>
      </c>
      <c r="G4844" t="s">
        <v>302</v>
      </c>
      <c r="H4844">
        <v>133</v>
      </c>
      <c r="I4844" t="s">
        <v>7246</v>
      </c>
      <c r="J4844" t="s">
        <v>294</v>
      </c>
      <c r="M4844" t="s">
        <v>295</v>
      </c>
      <c r="N4844" t="s">
        <v>7</v>
      </c>
      <c r="O4844" t="s">
        <v>297</v>
      </c>
    </row>
    <row r="4845" spans="1:15" x14ac:dyDescent="0.3">
      <c r="A4845" t="s">
        <v>7065</v>
      </c>
      <c r="B4845" t="s">
        <v>7208</v>
      </c>
      <c r="C4845">
        <v>2023</v>
      </c>
      <c r="D4845" t="s">
        <v>300</v>
      </c>
      <c r="E4845" t="s">
        <v>7121</v>
      </c>
      <c r="F4845">
        <v>280</v>
      </c>
      <c r="G4845" t="s">
        <v>302</v>
      </c>
      <c r="H4845">
        <v>133</v>
      </c>
      <c r="I4845" t="s">
        <v>7247</v>
      </c>
      <c r="J4845" t="s">
        <v>294</v>
      </c>
      <c r="M4845" t="s">
        <v>295</v>
      </c>
      <c r="N4845" t="s">
        <v>7</v>
      </c>
      <c r="O4845" t="s">
        <v>297</v>
      </c>
    </row>
    <row r="4846" spans="1:15" x14ac:dyDescent="0.3">
      <c r="A4846" t="s">
        <v>7065</v>
      </c>
      <c r="B4846" t="s">
        <v>7208</v>
      </c>
      <c r="C4846">
        <v>2023</v>
      </c>
      <c r="D4846" t="s">
        <v>300</v>
      </c>
      <c r="E4846" t="s">
        <v>7123</v>
      </c>
      <c r="F4846">
        <v>233</v>
      </c>
      <c r="G4846" t="s">
        <v>302</v>
      </c>
      <c r="H4846">
        <v>134</v>
      </c>
      <c r="I4846" t="s">
        <v>7248</v>
      </c>
      <c r="J4846" t="s">
        <v>294</v>
      </c>
      <c r="M4846" t="s">
        <v>295</v>
      </c>
      <c r="N4846" t="s">
        <v>7</v>
      </c>
      <c r="O4846" t="s">
        <v>297</v>
      </c>
    </row>
    <row r="4847" spans="1:15" x14ac:dyDescent="0.3">
      <c r="A4847" t="s">
        <v>7065</v>
      </c>
      <c r="B4847" t="s">
        <v>7208</v>
      </c>
      <c r="C4847">
        <v>2023</v>
      </c>
      <c r="D4847" t="s">
        <v>300</v>
      </c>
      <c r="E4847" t="s">
        <v>7125</v>
      </c>
      <c r="F4847">
        <v>48</v>
      </c>
      <c r="G4847" t="s">
        <v>346</v>
      </c>
      <c r="H4847">
        <v>6</v>
      </c>
      <c r="I4847" t="s">
        <v>7249</v>
      </c>
      <c r="J4847" t="s">
        <v>294</v>
      </c>
      <c r="M4847" t="s">
        <v>295</v>
      </c>
      <c r="N4847" t="s">
        <v>7</v>
      </c>
      <c r="O4847" t="s">
        <v>297</v>
      </c>
    </row>
    <row r="4848" spans="1:15" x14ac:dyDescent="0.3">
      <c r="A4848" t="s">
        <v>7065</v>
      </c>
      <c r="B4848" t="s">
        <v>7208</v>
      </c>
      <c r="C4848">
        <v>2023</v>
      </c>
      <c r="D4848" t="s">
        <v>300</v>
      </c>
      <c r="E4848" t="s">
        <v>7127</v>
      </c>
      <c r="F4848">
        <v>15501</v>
      </c>
      <c r="G4848" t="s">
        <v>497</v>
      </c>
      <c r="H4848">
        <v>6</v>
      </c>
      <c r="I4848" t="s">
        <v>7128</v>
      </c>
      <c r="J4848" t="s">
        <v>294</v>
      </c>
      <c r="M4848" t="s">
        <v>295</v>
      </c>
      <c r="N4848" t="s">
        <v>7</v>
      </c>
      <c r="O4848" t="s">
        <v>297</v>
      </c>
    </row>
    <row r="4849" spans="1:15" x14ac:dyDescent="0.3">
      <c r="A4849" t="s">
        <v>7065</v>
      </c>
      <c r="B4849" t="s">
        <v>7208</v>
      </c>
      <c r="C4849">
        <v>2023</v>
      </c>
      <c r="D4849" t="s">
        <v>300</v>
      </c>
      <c r="E4849" t="s">
        <v>7250</v>
      </c>
      <c r="F4849">
        <v>15</v>
      </c>
      <c r="G4849" t="s">
        <v>346</v>
      </c>
      <c r="H4849">
        <v>32</v>
      </c>
      <c r="I4849" t="s">
        <v>7251</v>
      </c>
      <c r="J4849" t="s">
        <v>294</v>
      </c>
      <c r="M4849" t="s">
        <v>295</v>
      </c>
      <c r="N4849" t="s">
        <v>7</v>
      </c>
      <c r="O4849" t="s">
        <v>297</v>
      </c>
    </row>
    <row r="4850" spans="1:15" x14ac:dyDescent="0.3">
      <c r="A4850" t="s">
        <v>7065</v>
      </c>
      <c r="B4850" t="s">
        <v>7208</v>
      </c>
      <c r="C4850">
        <v>2023</v>
      </c>
      <c r="D4850" t="s">
        <v>300</v>
      </c>
      <c r="E4850" t="s">
        <v>7252</v>
      </c>
      <c r="F4850">
        <v>376</v>
      </c>
      <c r="G4850" t="s">
        <v>346</v>
      </c>
      <c r="H4850">
        <v>17</v>
      </c>
      <c r="I4850" t="s">
        <v>7253</v>
      </c>
      <c r="J4850" t="s">
        <v>294</v>
      </c>
      <c r="M4850" t="s">
        <v>295</v>
      </c>
      <c r="N4850" t="s">
        <v>7</v>
      </c>
      <c r="O4850" t="s">
        <v>297</v>
      </c>
    </row>
    <row r="4851" spans="1:15" x14ac:dyDescent="0.3">
      <c r="A4851" t="s">
        <v>7065</v>
      </c>
      <c r="B4851" t="s">
        <v>7208</v>
      </c>
      <c r="C4851">
        <v>2023</v>
      </c>
      <c r="D4851" t="s">
        <v>300</v>
      </c>
      <c r="E4851" t="s">
        <v>7254</v>
      </c>
      <c r="F4851">
        <v>5828</v>
      </c>
      <c r="G4851" t="s">
        <v>302</v>
      </c>
      <c r="H4851">
        <v>33</v>
      </c>
      <c r="I4851" t="s">
        <v>7255</v>
      </c>
      <c r="J4851" t="s">
        <v>294</v>
      </c>
      <c r="M4851" t="s">
        <v>295</v>
      </c>
      <c r="N4851" t="s">
        <v>7</v>
      </c>
      <c r="O4851" t="s">
        <v>297</v>
      </c>
    </row>
    <row r="4852" spans="1:15" x14ac:dyDescent="0.3">
      <c r="A4852" t="s">
        <v>7065</v>
      </c>
      <c r="B4852" t="s">
        <v>7208</v>
      </c>
      <c r="C4852">
        <v>2023</v>
      </c>
      <c r="D4852" t="s">
        <v>300</v>
      </c>
      <c r="E4852" t="s">
        <v>7256</v>
      </c>
      <c r="F4852">
        <v>452</v>
      </c>
      <c r="G4852" t="s">
        <v>346</v>
      </c>
      <c r="H4852">
        <v>17</v>
      </c>
      <c r="I4852" t="s">
        <v>7257</v>
      </c>
      <c r="J4852" t="s">
        <v>294</v>
      </c>
      <c r="M4852" t="s">
        <v>295</v>
      </c>
      <c r="N4852" t="s">
        <v>7</v>
      </c>
      <c r="O4852" t="s">
        <v>297</v>
      </c>
    </row>
    <row r="4853" spans="1:15" x14ac:dyDescent="0.3">
      <c r="A4853" t="s">
        <v>7065</v>
      </c>
      <c r="B4853" t="s">
        <v>7208</v>
      </c>
      <c r="C4853">
        <v>2023</v>
      </c>
      <c r="D4853" t="s">
        <v>300</v>
      </c>
      <c r="E4853" t="s">
        <v>7258</v>
      </c>
      <c r="F4853">
        <v>362</v>
      </c>
      <c r="G4853" t="s">
        <v>346</v>
      </c>
      <c r="H4853">
        <v>17</v>
      </c>
      <c r="I4853" t="s">
        <v>7257</v>
      </c>
      <c r="J4853" t="s">
        <v>294</v>
      </c>
      <c r="M4853" t="s">
        <v>295</v>
      </c>
      <c r="N4853" t="s">
        <v>7</v>
      </c>
      <c r="O4853" t="s">
        <v>297</v>
      </c>
    </row>
    <row r="4854" spans="1:15" x14ac:dyDescent="0.3">
      <c r="A4854" t="s">
        <v>7065</v>
      </c>
      <c r="B4854" t="s">
        <v>7208</v>
      </c>
      <c r="C4854">
        <v>2023</v>
      </c>
      <c r="D4854" t="s">
        <v>300</v>
      </c>
      <c r="E4854" t="s">
        <v>1187</v>
      </c>
      <c r="F4854">
        <v>0.21</v>
      </c>
      <c r="G4854" t="s">
        <v>334</v>
      </c>
      <c r="H4854">
        <v>6</v>
      </c>
      <c r="I4854" t="s">
        <v>7259</v>
      </c>
      <c r="J4854" t="s">
        <v>294</v>
      </c>
      <c r="M4854" t="s">
        <v>295</v>
      </c>
      <c r="N4854" t="s">
        <v>7</v>
      </c>
      <c r="O4854" t="s">
        <v>297</v>
      </c>
    </row>
    <row r="4855" spans="1:15" x14ac:dyDescent="0.3">
      <c r="A4855" t="s">
        <v>7065</v>
      </c>
      <c r="B4855" t="s">
        <v>7208</v>
      </c>
      <c r="C4855">
        <v>2023</v>
      </c>
      <c r="D4855" t="s">
        <v>300</v>
      </c>
      <c r="E4855" t="s">
        <v>4352</v>
      </c>
      <c r="F4855">
        <v>0.121</v>
      </c>
      <c r="G4855" t="s">
        <v>334</v>
      </c>
      <c r="H4855">
        <v>6</v>
      </c>
      <c r="I4855" t="s">
        <v>7260</v>
      </c>
      <c r="J4855" t="s">
        <v>294</v>
      </c>
      <c r="M4855" t="s">
        <v>295</v>
      </c>
      <c r="N4855" t="s">
        <v>7</v>
      </c>
      <c r="O4855" t="s">
        <v>297</v>
      </c>
    </row>
    <row r="4856" spans="1:15" x14ac:dyDescent="0.3">
      <c r="A4856" t="s">
        <v>7065</v>
      </c>
      <c r="B4856" t="s">
        <v>7208</v>
      </c>
      <c r="C4856">
        <v>2023</v>
      </c>
      <c r="D4856" t="s">
        <v>300</v>
      </c>
      <c r="E4856" t="s">
        <v>901</v>
      </c>
      <c r="F4856">
        <v>0.221</v>
      </c>
      <c r="G4856" t="s">
        <v>334</v>
      </c>
      <c r="H4856">
        <v>6</v>
      </c>
      <c r="I4856" t="s">
        <v>7261</v>
      </c>
      <c r="J4856" t="s">
        <v>294</v>
      </c>
      <c r="M4856" t="s">
        <v>295</v>
      </c>
      <c r="N4856" t="s">
        <v>7</v>
      </c>
      <c r="O4856" t="s">
        <v>297</v>
      </c>
    </row>
    <row r="4857" spans="1:15" x14ac:dyDescent="0.3">
      <c r="A4857" t="s">
        <v>7065</v>
      </c>
      <c r="B4857" t="s">
        <v>7208</v>
      </c>
      <c r="C4857">
        <v>2023</v>
      </c>
      <c r="D4857" t="s">
        <v>300</v>
      </c>
      <c r="E4857" t="s">
        <v>7141</v>
      </c>
      <c r="F4857">
        <v>2.5999999999999999E-2</v>
      </c>
      <c r="G4857" t="s">
        <v>334</v>
      </c>
      <c r="H4857">
        <v>6</v>
      </c>
      <c r="I4857" t="s">
        <v>7262</v>
      </c>
      <c r="J4857" t="s">
        <v>294</v>
      </c>
      <c r="M4857" t="s">
        <v>295</v>
      </c>
      <c r="N4857" t="s">
        <v>7</v>
      </c>
      <c r="O4857" t="s">
        <v>297</v>
      </c>
    </row>
    <row r="4858" spans="1:15" x14ac:dyDescent="0.3">
      <c r="A4858" t="s">
        <v>7065</v>
      </c>
      <c r="B4858" t="s">
        <v>7208</v>
      </c>
      <c r="C4858">
        <v>2023</v>
      </c>
      <c r="D4858" t="s">
        <v>300</v>
      </c>
      <c r="E4858" t="s">
        <v>3054</v>
      </c>
      <c r="F4858">
        <v>4.2999999999999997E-2</v>
      </c>
      <c r="G4858" t="s">
        <v>334</v>
      </c>
      <c r="H4858">
        <v>6</v>
      </c>
      <c r="I4858" t="s">
        <v>7263</v>
      </c>
      <c r="J4858" t="s">
        <v>294</v>
      </c>
      <c r="M4858" t="s">
        <v>295</v>
      </c>
      <c r="N4858" t="s">
        <v>7</v>
      </c>
      <c r="O4858" t="s">
        <v>297</v>
      </c>
    </row>
    <row r="4859" spans="1:15" x14ac:dyDescent="0.3">
      <c r="A4859" t="s">
        <v>7065</v>
      </c>
      <c r="B4859" t="s">
        <v>7208</v>
      </c>
      <c r="C4859">
        <v>2023</v>
      </c>
      <c r="D4859" t="s">
        <v>300</v>
      </c>
      <c r="E4859" t="s">
        <v>326</v>
      </c>
      <c r="F4859">
        <v>1.05</v>
      </c>
      <c r="G4859" t="s">
        <v>327</v>
      </c>
      <c r="H4859">
        <v>6</v>
      </c>
      <c r="I4859" t="s">
        <v>7264</v>
      </c>
      <c r="J4859" t="s">
        <v>294</v>
      </c>
      <c r="M4859" t="s">
        <v>295</v>
      </c>
      <c r="N4859" t="s">
        <v>7</v>
      </c>
      <c r="O4859" t="s">
        <v>297</v>
      </c>
    </row>
    <row r="4860" spans="1:15" x14ac:dyDescent="0.3">
      <c r="A4860" t="s">
        <v>7065</v>
      </c>
      <c r="B4860" t="s">
        <v>7208</v>
      </c>
      <c r="C4860">
        <v>2023</v>
      </c>
      <c r="D4860" t="s">
        <v>300</v>
      </c>
      <c r="E4860" t="s">
        <v>7145</v>
      </c>
      <c r="F4860">
        <v>0.4</v>
      </c>
      <c r="G4860" t="s">
        <v>327</v>
      </c>
      <c r="H4860">
        <v>6</v>
      </c>
      <c r="I4860" t="s">
        <v>7265</v>
      </c>
      <c r="J4860" t="s">
        <v>294</v>
      </c>
      <c r="M4860" t="s">
        <v>295</v>
      </c>
      <c r="N4860" t="s">
        <v>7</v>
      </c>
      <c r="O4860" t="s">
        <v>297</v>
      </c>
    </row>
    <row r="4861" spans="1:15" x14ac:dyDescent="0.3">
      <c r="A4861" t="s">
        <v>7065</v>
      </c>
      <c r="B4861" t="s">
        <v>7208</v>
      </c>
      <c r="C4861">
        <v>2023</v>
      </c>
      <c r="D4861" t="s">
        <v>300</v>
      </c>
      <c r="E4861" t="s">
        <v>7147</v>
      </c>
      <c r="F4861">
        <v>0.16</v>
      </c>
      <c r="G4861" t="s">
        <v>327</v>
      </c>
      <c r="H4861">
        <v>6</v>
      </c>
      <c r="I4861" t="s">
        <v>7266</v>
      </c>
      <c r="J4861" t="s">
        <v>294</v>
      </c>
      <c r="M4861" t="s">
        <v>295</v>
      </c>
      <c r="N4861" t="s">
        <v>7</v>
      </c>
      <c r="O4861" t="s">
        <v>297</v>
      </c>
    </row>
    <row r="4862" spans="1:15" x14ac:dyDescent="0.3">
      <c r="A4862" t="s">
        <v>7065</v>
      </c>
      <c r="B4862" t="s">
        <v>7208</v>
      </c>
      <c r="C4862">
        <v>2023</v>
      </c>
      <c r="D4862" t="s">
        <v>358</v>
      </c>
      <c r="E4862" t="s">
        <v>4407</v>
      </c>
      <c r="F4862">
        <v>293429</v>
      </c>
      <c r="G4862" t="s">
        <v>360</v>
      </c>
      <c r="H4862">
        <v>7</v>
      </c>
      <c r="I4862" t="s">
        <v>7267</v>
      </c>
      <c r="J4862" t="s">
        <v>294</v>
      </c>
      <c r="M4862" t="s">
        <v>295</v>
      </c>
      <c r="N4862" t="s">
        <v>7</v>
      </c>
      <c r="O4862" t="s">
        <v>297</v>
      </c>
    </row>
    <row r="4863" spans="1:15" x14ac:dyDescent="0.3">
      <c r="A4863" t="s">
        <v>7065</v>
      </c>
      <c r="B4863" t="s">
        <v>7208</v>
      </c>
      <c r="C4863">
        <v>2023</v>
      </c>
      <c r="D4863" t="s">
        <v>358</v>
      </c>
      <c r="E4863" t="s">
        <v>4409</v>
      </c>
      <c r="F4863">
        <v>244337</v>
      </c>
      <c r="G4863" t="s">
        <v>360</v>
      </c>
      <c r="H4863">
        <v>7</v>
      </c>
      <c r="I4863" t="s">
        <v>7268</v>
      </c>
      <c r="J4863" t="s">
        <v>294</v>
      </c>
      <c r="M4863" t="s">
        <v>295</v>
      </c>
      <c r="N4863" t="s">
        <v>7</v>
      </c>
      <c r="O4863" t="s">
        <v>297</v>
      </c>
    </row>
    <row r="4864" spans="1:15" x14ac:dyDescent="0.3">
      <c r="A4864" t="s">
        <v>7065</v>
      </c>
      <c r="B4864" t="s">
        <v>7208</v>
      </c>
      <c r="C4864">
        <v>2023</v>
      </c>
      <c r="D4864" t="s">
        <v>358</v>
      </c>
      <c r="E4864" t="s">
        <v>4411</v>
      </c>
      <c r="F4864">
        <v>220531</v>
      </c>
      <c r="G4864" t="s">
        <v>360</v>
      </c>
      <c r="H4864">
        <v>7</v>
      </c>
      <c r="I4864" t="s">
        <v>7269</v>
      </c>
      <c r="J4864" t="s">
        <v>294</v>
      </c>
      <c r="M4864" t="s">
        <v>295</v>
      </c>
      <c r="N4864" t="s">
        <v>7</v>
      </c>
      <c r="O4864" t="s">
        <v>297</v>
      </c>
    </row>
    <row r="4865" spans="1:15" x14ac:dyDescent="0.3">
      <c r="A4865" t="s">
        <v>7065</v>
      </c>
      <c r="B4865" t="s">
        <v>7208</v>
      </c>
      <c r="C4865">
        <v>2023</v>
      </c>
      <c r="D4865" t="s">
        <v>358</v>
      </c>
      <c r="E4865" t="s">
        <v>4413</v>
      </c>
      <c r="F4865">
        <v>23806</v>
      </c>
      <c r="G4865" t="s">
        <v>360</v>
      </c>
      <c r="H4865">
        <v>7</v>
      </c>
      <c r="I4865" t="s">
        <v>7270</v>
      </c>
      <c r="J4865" t="s">
        <v>294</v>
      </c>
      <c r="M4865" t="s">
        <v>295</v>
      </c>
      <c r="N4865" t="s">
        <v>7</v>
      </c>
      <c r="O4865" t="s">
        <v>297</v>
      </c>
    </row>
    <row r="4866" spans="1:15" x14ac:dyDescent="0.3">
      <c r="A4866" t="s">
        <v>7065</v>
      </c>
      <c r="B4866" t="s">
        <v>7208</v>
      </c>
      <c r="C4866">
        <v>2023</v>
      </c>
      <c r="D4866" t="s">
        <v>358</v>
      </c>
      <c r="E4866" t="s">
        <v>4421</v>
      </c>
      <c r="F4866">
        <v>16238</v>
      </c>
      <c r="G4866" t="s">
        <v>360</v>
      </c>
      <c r="H4866">
        <v>7</v>
      </c>
      <c r="I4866" t="s">
        <v>7271</v>
      </c>
      <c r="J4866" t="s">
        <v>294</v>
      </c>
      <c r="M4866" t="s">
        <v>295</v>
      </c>
      <c r="N4866" t="s">
        <v>7</v>
      </c>
      <c r="O4866" t="s">
        <v>297</v>
      </c>
    </row>
    <row r="4867" spans="1:15" x14ac:dyDescent="0.3">
      <c r="A4867" t="s">
        <v>7065</v>
      </c>
      <c r="B4867" t="s">
        <v>7208</v>
      </c>
      <c r="C4867">
        <v>2023</v>
      </c>
      <c r="D4867" t="s">
        <v>358</v>
      </c>
      <c r="E4867" t="s">
        <v>7154</v>
      </c>
      <c r="F4867">
        <v>13384</v>
      </c>
      <c r="G4867" t="s">
        <v>360</v>
      </c>
      <c r="H4867">
        <v>7</v>
      </c>
      <c r="I4867" t="s">
        <v>7272</v>
      </c>
      <c r="J4867" t="s">
        <v>294</v>
      </c>
      <c r="M4867" t="s">
        <v>295</v>
      </c>
      <c r="N4867" t="s">
        <v>7</v>
      </c>
      <c r="O4867" t="s">
        <v>297</v>
      </c>
    </row>
    <row r="4868" spans="1:15" x14ac:dyDescent="0.3">
      <c r="A4868" t="s">
        <v>7065</v>
      </c>
      <c r="B4868" t="s">
        <v>7208</v>
      </c>
      <c r="C4868">
        <v>2023</v>
      </c>
      <c r="D4868" t="s">
        <v>358</v>
      </c>
      <c r="E4868" t="s">
        <v>7156</v>
      </c>
      <c r="F4868">
        <v>19470</v>
      </c>
      <c r="G4868" t="s">
        <v>360</v>
      </c>
      <c r="H4868">
        <v>7</v>
      </c>
      <c r="I4868" t="s">
        <v>7273</v>
      </c>
      <c r="J4868" t="s">
        <v>294</v>
      </c>
      <c r="M4868" t="s">
        <v>295</v>
      </c>
      <c r="N4868" t="s">
        <v>7</v>
      </c>
      <c r="O4868" t="s">
        <v>297</v>
      </c>
    </row>
    <row r="4869" spans="1:15" x14ac:dyDescent="0.3">
      <c r="A4869" t="s">
        <v>7065</v>
      </c>
      <c r="B4869" t="s">
        <v>7208</v>
      </c>
      <c r="C4869">
        <v>2023</v>
      </c>
      <c r="D4869" t="s">
        <v>358</v>
      </c>
      <c r="E4869" t="s">
        <v>7158</v>
      </c>
      <c r="F4869">
        <v>90867</v>
      </c>
      <c r="G4869" t="s">
        <v>360</v>
      </c>
      <c r="H4869">
        <v>7</v>
      </c>
      <c r="I4869" t="s">
        <v>7274</v>
      </c>
      <c r="J4869" t="s">
        <v>294</v>
      </c>
      <c r="M4869" t="s">
        <v>295</v>
      </c>
      <c r="N4869" t="s">
        <v>7</v>
      </c>
      <c r="O4869" t="s">
        <v>297</v>
      </c>
    </row>
    <row r="4870" spans="1:15" x14ac:dyDescent="0.3">
      <c r="A4870" t="s">
        <v>7065</v>
      </c>
      <c r="B4870" t="s">
        <v>7208</v>
      </c>
      <c r="C4870">
        <v>2023</v>
      </c>
      <c r="D4870" t="s">
        <v>358</v>
      </c>
      <c r="E4870" t="s">
        <v>7160</v>
      </c>
      <c r="F4870">
        <v>8693</v>
      </c>
      <c r="G4870" t="s">
        <v>360</v>
      </c>
      <c r="H4870">
        <v>7</v>
      </c>
      <c r="I4870" t="s">
        <v>7275</v>
      </c>
      <c r="J4870" t="s">
        <v>294</v>
      </c>
      <c r="M4870" t="s">
        <v>295</v>
      </c>
      <c r="N4870" t="s">
        <v>7</v>
      </c>
      <c r="O4870" t="s">
        <v>297</v>
      </c>
    </row>
    <row r="4871" spans="1:15" x14ac:dyDescent="0.3">
      <c r="A4871" t="s">
        <v>7065</v>
      </c>
      <c r="B4871" t="s">
        <v>7208</v>
      </c>
      <c r="C4871">
        <v>2023</v>
      </c>
      <c r="D4871" t="s">
        <v>358</v>
      </c>
      <c r="E4871" t="s">
        <v>7162</v>
      </c>
      <c r="F4871">
        <v>126140</v>
      </c>
      <c r="G4871" t="s">
        <v>360</v>
      </c>
      <c r="H4871">
        <v>7</v>
      </c>
      <c r="I4871" t="s">
        <v>7276</v>
      </c>
      <c r="J4871" t="s">
        <v>294</v>
      </c>
      <c r="M4871" t="s">
        <v>295</v>
      </c>
      <c r="N4871" t="s">
        <v>7</v>
      </c>
      <c r="O4871" t="s">
        <v>297</v>
      </c>
    </row>
    <row r="4872" spans="1:15" x14ac:dyDescent="0.3">
      <c r="A4872" t="s">
        <v>7065</v>
      </c>
      <c r="B4872" t="s">
        <v>7208</v>
      </c>
      <c r="C4872">
        <v>2023</v>
      </c>
      <c r="D4872" t="s">
        <v>358</v>
      </c>
      <c r="E4872" t="s">
        <v>7164</v>
      </c>
      <c r="F4872">
        <v>85698</v>
      </c>
      <c r="G4872" t="s">
        <v>360</v>
      </c>
      <c r="H4872">
        <v>7</v>
      </c>
      <c r="I4872" t="s">
        <v>7277</v>
      </c>
      <c r="J4872" t="s">
        <v>294</v>
      </c>
      <c r="M4872" t="s">
        <v>295</v>
      </c>
      <c r="N4872" t="s">
        <v>7</v>
      </c>
      <c r="O4872" t="s">
        <v>297</v>
      </c>
    </row>
    <row r="4873" spans="1:15" x14ac:dyDescent="0.3">
      <c r="A4873" t="s">
        <v>7065</v>
      </c>
      <c r="B4873" t="s">
        <v>7208</v>
      </c>
      <c r="C4873">
        <v>2023</v>
      </c>
      <c r="D4873" t="s">
        <v>358</v>
      </c>
      <c r="E4873" t="s">
        <v>7166</v>
      </c>
      <c r="F4873">
        <v>56175</v>
      </c>
      <c r="G4873" t="s">
        <v>360</v>
      </c>
      <c r="H4873">
        <v>7</v>
      </c>
      <c r="I4873" t="s">
        <v>7278</v>
      </c>
      <c r="J4873" t="s">
        <v>294</v>
      </c>
      <c r="M4873" t="s">
        <v>295</v>
      </c>
      <c r="N4873" t="s">
        <v>7</v>
      </c>
      <c r="O4873" t="s">
        <v>297</v>
      </c>
    </row>
    <row r="4874" spans="1:15" x14ac:dyDescent="0.3">
      <c r="A4874" t="s">
        <v>7065</v>
      </c>
      <c r="B4874" t="s">
        <v>7208</v>
      </c>
      <c r="C4874">
        <v>2023</v>
      </c>
      <c r="D4874" t="s">
        <v>358</v>
      </c>
      <c r="E4874" t="s">
        <v>7168</v>
      </c>
      <c r="F4874">
        <v>36903</v>
      </c>
      <c r="G4874" t="s">
        <v>360</v>
      </c>
      <c r="H4874">
        <v>7</v>
      </c>
      <c r="I4874" t="s">
        <v>4556</v>
      </c>
      <c r="J4874" t="s">
        <v>294</v>
      </c>
      <c r="M4874" t="s">
        <v>295</v>
      </c>
      <c r="N4874" t="s">
        <v>7</v>
      </c>
      <c r="O4874" t="s">
        <v>297</v>
      </c>
    </row>
    <row r="4875" spans="1:15" x14ac:dyDescent="0.3">
      <c r="A4875" t="s">
        <v>7065</v>
      </c>
      <c r="B4875" t="s">
        <v>7208</v>
      </c>
      <c r="C4875">
        <v>2023</v>
      </c>
      <c r="D4875" t="s">
        <v>358</v>
      </c>
      <c r="E4875" t="s">
        <v>7169</v>
      </c>
      <c r="F4875">
        <v>94532</v>
      </c>
      <c r="G4875" t="s">
        <v>360</v>
      </c>
      <c r="H4875">
        <v>7</v>
      </c>
      <c r="I4875" t="s">
        <v>7279</v>
      </c>
      <c r="J4875" t="s">
        <v>294</v>
      </c>
      <c r="M4875" t="s">
        <v>295</v>
      </c>
      <c r="N4875" t="s">
        <v>7</v>
      </c>
      <c r="O4875" t="s">
        <v>297</v>
      </c>
    </row>
    <row r="4876" spans="1:15" x14ac:dyDescent="0.3">
      <c r="A4876" t="s">
        <v>7065</v>
      </c>
      <c r="B4876" t="s">
        <v>7208</v>
      </c>
      <c r="C4876">
        <v>2023</v>
      </c>
      <c r="D4876" t="s">
        <v>358</v>
      </c>
      <c r="E4876" t="s">
        <v>7171</v>
      </c>
      <c r="F4876">
        <v>24675</v>
      </c>
      <c r="G4876" t="s">
        <v>360</v>
      </c>
      <c r="H4876">
        <v>7</v>
      </c>
      <c r="I4876" t="s">
        <v>7280</v>
      </c>
      <c r="J4876" t="s">
        <v>294</v>
      </c>
      <c r="M4876" t="s">
        <v>295</v>
      </c>
      <c r="N4876" t="s">
        <v>7</v>
      </c>
      <c r="O4876" t="s">
        <v>297</v>
      </c>
    </row>
    <row r="4877" spans="1:15" x14ac:dyDescent="0.3">
      <c r="A4877" t="s">
        <v>7065</v>
      </c>
      <c r="B4877" t="s">
        <v>7208</v>
      </c>
      <c r="C4877">
        <v>2023</v>
      </c>
      <c r="D4877" t="s">
        <v>358</v>
      </c>
      <c r="E4877" t="s">
        <v>7173</v>
      </c>
      <c r="F4877">
        <v>61640</v>
      </c>
      <c r="G4877" t="s">
        <v>360</v>
      </c>
      <c r="H4877">
        <v>7</v>
      </c>
      <c r="I4877" t="s">
        <v>7281</v>
      </c>
      <c r="J4877" t="s">
        <v>294</v>
      </c>
      <c r="M4877" t="s">
        <v>295</v>
      </c>
      <c r="N4877" t="s">
        <v>7</v>
      </c>
      <c r="O4877" t="s">
        <v>297</v>
      </c>
    </row>
    <row r="4878" spans="1:15" x14ac:dyDescent="0.3">
      <c r="A4878" t="s">
        <v>7065</v>
      </c>
      <c r="B4878" t="s">
        <v>7208</v>
      </c>
      <c r="C4878">
        <v>2023</v>
      </c>
      <c r="D4878" t="s">
        <v>358</v>
      </c>
      <c r="E4878" t="s">
        <v>7175</v>
      </c>
      <c r="F4878">
        <v>10841</v>
      </c>
      <c r="G4878" t="s">
        <v>360</v>
      </c>
      <c r="H4878">
        <v>7</v>
      </c>
      <c r="I4878" t="s">
        <v>7282</v>
      </c>
      <c r="J4878" t="s">
        <v>294</v>
      </c>
      <c r="M4878" t="s">
        <v>295</v>
      </c>
      <c r="N4878" t="s">
        <v>7</v>
      </c>
      <c r="O4878" t="s">
        <v>297</v>
      </c>
    </row>
    <row r="4879" spans="1:15" x14ac:dyDescent="0.3">
      <c r="A4879" t="s">
        <v>7065</v>
      </c>
      <c r="B4879" t="s">
        <v>7208</v>
      </c>
      <c r="C4879">
        <v>2023</v>
      </c>
      <c r="D4879" t="s">
        <v>358</v>
      </c>
      <c r="E4879" t="s">
        <v>7177</v>
      </c>
      <c r="F4879">
        <v>3177</v>
      </c>
      <c r="G4879" t="s">
        <v>360</v>
      </c>
      <c r="H4879">
        <v>7</v>
      </c>
      <c r="I4879" t="s">
        <v>4559</v>
      </c>
      <c r="J4879" t="s">
        <v>294</v>
      </c>
      <c r="M4879" t="s">
        <v>295</v>
      </c>
      <c r="N4879" t="s">
        <v>7</v>
      </c>
      <c r="O4879" t="s">
        <v>297</v>
      </c>
    </row>
    <row r="4880" spans="1:15" x14ac:dyDescent="0.3">
      <c r="A4880" t="s">
        <v>7065</v>
      </c>
      <c r="B4880" t="s">
        <v>7208</v>
      </c>
      <c r="C4880">
        <v>2023</v>
      </c>
      <c r="D4880" t="s">
        <v>358</v>
      </c>
      <c r="E4880" t="s">
        <v>521</v>
      </c>
      <c r="F4880">
        <v>5486</v>
      </c>
      <c r="G4880" t="s">
        <v>360</v>
      </c>
      <c r="H4880">
        <v>7</v>
      </c>
      <c r="I4880" t="s">
        <v>7283</v>
      </c>
      <c r="J4880" t="s">
        <v>294</v>
      </c>
      <c r="M4880" t="s">
        <v>295</v>
      </c>
      <c r="N4880" t="s">
        <v>7</v>
      </c>
      <c r="O4880" t="s">
        <v>297</v>
      </c>
    </row>
    <row r="4881" spans="1:15" x14ac:dyDescent="0.3">
      <c r="A4881" t="s">
        <v>7065</v>
      </c>
      <c r="B4881" t="s">
        <v>7208</v>
      </c>
      <c r="C4881">
        <v>2023</v>
      </c>
      <c r="D4881" t="s">
        <v>358</v>
      </c>
      <c r="E4881" t="s">
        <v>4437</v>
      </c>
      <c r="F4881">
        <v>27</v>
      </c>
      <c r="G4881" t="s">
        <v>384</v>
      </c>
      <c r="H4881">
        <v>11</v>
      </c>
      <c r="I4881" t="s">
        <v>7284</v>
      </c>
      <c r="J4881" t="s">
        <v>294</v>
      </c>
      <c r="M4881" t="s">
        <v>295</v>
      </c>
      <c r="N4881" t="s">
        <v>7</v>
      </c>
      <c r="O4881" t="s">
        <v>297</v>
      </c>
    </row>
    <row r="4882" spans="1:15" x14ac:dyDescent="0.3">
      <c r="A4882" t="s">
        <v>7065</v>
      </c>
      <c r="B4882" t="s">
        <v>7208</v>
      </c>
      <c r="C4882">
        <v>2023</v>
      </c>
      <c r="D4882" t="s">
        <v>358</v>
      </c>
      <c r="E4882" t="s">
        <v>7180</v>
      </c>
      <c r="F4882">
        <v>7200000</v>
      </c>
      <c r="G4882" t="s">
        <v>7181</v>
      </c>
      <c r="H4882">
        <v>11</v>
      </c>
      <c r="I4882" t="s">
        <v>7285</v>
      </c>
      <c r="J4882" t="s">
        <v>294</v>
      </c>
      <c r="M4882" t="s">
        <v>295</v>
      </c>
      <c r="N4882" t="s">
        <v>7</v>
      </c>
      <c r="O4882" t="s">
        <v>297</v>
      </c>
    </row>
    <row r="4883" spans="1:15" x14ac:dyDescent="0.3">
      <c r="A4883" t="s">
        <v>7065</v>
      </c>
      <c r="B4883" t="s">
        <v>7208</v>
      </c>
      <c r="C4883">
        <v>2023</v>
      </c>
      <c r="D4883" t="s">
        <v>358</v>
      </c>
      <c r="E4883" t="s">
        <v>7183</v>
      </c>
      <c r="F4883">
        <v>5</v>
      </c>
      <c r="G4883" t="s">
        <v>384</v>
      </c>
      <c r="H4883">
        <v>11</v>
      </c>
      <c r="I4883" t="s">
        <v>7286</v>
      </c>
      <c r="J4883" t="s">
        <v>294</v>
      </c>
      <c r="M4883" t="s">
        <v>295</v>
      </c>
      <c r="N4883" t="s">
        <v>7</v>
      </c>
      <c r="O4883" t="s">
        <v>297</v>
      </c>
    </row>
    <row r="4884" spans="1:15" x14ac:dyDescent="0.3">
      <c r="A4884" t="s">
        <v>7065</v>
      </c>
      <c r="B4884" t="s">
        <v>7208</v>
      </c>
      <c r="C4884">
        <v>2023</v>
      </c>
      <c r="D4884" t="s">
        <v>358</v>
      </c>
      <c r="E4884" t="s">
        <v>7185</v>
      </c>
      <c r="F4884">
        <v>1700000</v>
      </c>
      <c r="G4884" t="s">
        <v>7186</v>
      </c>
      <c r="H4884">
        <v>11</v>
      </c>
      <c r="I4884" t="s">
        <v>7287</v>
      </c>
      <c r="J4884" t="s">
        <v>294</v>
      </c>
      <c r="M4884" t="s">
        <v>295</v>
      </c>
      <c r="N4884" t="s">
        <v>7</v>
      </c>
      <c r="O4884" t="s">
        <v>297</v>
      </c>
    </row>
    <row r="4885" spans="1:15" x14ac:dyDescent="0.3">
      <c r="A4885" t="s">
        <v>7065</v>
      </c>
      <c r="B4885" t="s">
        <v>7208</v>
      </c>
      <c r="C4885">
        <v>2023</v>
      </c>
      <c r="D4885" t="s">
        <v>358</v>
      </c>
      <c r="E4885" t="s">
        <v>7188</v>
      </c>
      <c r="F4885">
        <v>2</v>
      </c>
      <c r="G4885" t="s">
        <v>384</v>
      </c>
      <c r="H4885">
        <v>11</v>
      </c>
      <c r="I4885" t="s">
        <v>7189</v>
      </c>
      <c r="J4885" t="s">
        <v>294</v>
      </c>
      <c r="M4885" t="s">
        <v>295</v>
      </c>
      <c r="N4885" t="s">
        <v>7</v>
      </c>
      <c r="O4885" t="s">
        <v>297</v>
      </c>
    </row>
    <row r="4886" spans="1:15" x14ac:dyDescent="0.3">
      <c r="A4886" t="s">
        <v>7065</v>
      </c>
      <c r="B4886" t="s">
        <v>7208</v>
      </c>
      <c r="C4886">
        <v>2023</v>
      </c>
      <c r="D4886" t="s">
        <v>358</v>
      </c>
      <c r="E4886" t="s">
        <v>7190</v>
      </c>
      <c r="F4886">
        <v>3</v>
      </c>
      <c r="G4886" t="s">
        <v>384</v>
      </c>
      <c r="H4886">
        <v>11</v>
      </c>
      <c r="I4886" t="s">
        <v>4443</v>
      </c>
      <c r="J4886" t="s">
        <v>294</v>
      </c>
      <c r="M4886" t="s">
        <v>295</v>
      </c>
      <c r="N4886" t="s">
        <v>7</v>
      </c>
      <c r="O4886" t="s">
        <v>297</v>
      </c>
    </row>
    <row r="4887" spans="1:15" x14ac:dyDescent="0.3">
      <c r="A4887" t="s">
        <v>7065</v>
      </c>
      <c r="B4887" t="s">
        <v>7208</v>
      </c>
      <c r="C4887">
        <v>2023</v>
      </c>
      <c r="D4887" t="s">
        <v>358</v>
      </c>
      <c r="E4887" t="s">
        <v>7191</v>
      </c>
      <c r="F4887">
        <v>2</v>
      </c>
      <c r="G4887" t="s">
        <v>384</v>
      </c>
      <c r="H4887">
        <v>11</v>
      </c>
      <c r="I4887" t="s">
        <v>4445</v>
      </c>
      <c r="J4887" t="s">
        <v>294</v>
      </c>
      <c r="M4887" t="s">
        <v>295</v>
      </c>
      <c r="N4887" t="s">
        <v>7</v>
      </c>
      <c r="O4887" t="s">
        <v>297</v>
      </c>
    </row>
    <row r="4888" spans="1:15" x14ac:dyDescent="0.3">
      <c r="A4888" t="s">
        <v>7065</v>
      </c>
      <c r="B4888" t="s">
        <v>7208</v>
      </c>
      <c r="C4888">
        <v>2023</v>
      </c>
      <c r="D4888" t="s">
        <v>394</v>
      </c>
      <c r="E4888" t="s">
        <v>7192</v>
      </c>
      <c r="F4888">
        <v>3632</v>
      </c>
      <c r="G4888" t="s">
        <v>557</v>
      </c>
      <c r="H4888">
        <v>7</v>
      </c>
      <c r="I4888" t="s">
        <v>7288</v>
      </c>
      <c r="J4888" t="s">
        <v>294</v>
      </c>
      <c r="M4888" t="s">
        <v>295</v>
      </c>
      <c r="N4888" t="s">
        <v>7</v>
      </c>
      <c r="O4888" t="s">
        <v>297</v>
      </c>
    </row>
    <row r="4889" spans="1:15" x14ac:dyDescent="0.3">
      <c r="A4889" t="s">
        <v>7065</v>
      </c>
      <c r="B4889" t="s">
        <v>7208</v>
      </c>
      <c r="C4889">
        <v>2023</v>
      </c>
      <c r="D4889" t="s">
        <v>394</v>
      </c>
      <c r="E4889" t="s">
        <v>4451</v>
      </c>
      <c r="F4889">
        <v>2784</v>
      </c>
      <c r="G4889" t="s">
        <v>557</v>
      </c>
      <c r="H4889">
        <v>7</v>
      </c>
      <c r="I4889" t="s">
        <v>7289</v>
      </c>
      <c r="J4889" t="s">
        <v>294</v>
      </c>
      <c r="M4889" t="s">
        <v>295</v>
      </c>
      <c r="N4889" t="s">
        <v>7</v>
      </c>
      <c r="O4889" t="s">
        <v>297</v>
      </c>
    </row>
    <row r="4890" spans="1:15" x14ac:dyDescent="0.3">
      <c r="A4890" t="s">
        <v>7065</v>
      </c>
      <c r="B4890" t="s">
        <v>7208</v>
      </c>
      <c r="C4890">
        <v>2023</v>
      </c>
      <c r="D4890" t="s">
        <v>394</v>
      </c>
      <c r="E4890" t="s">
        <v>406</v>
      </c>
      <c r="F4890">
        <v>708</v>
      </c>
      <c r="G4890" t="s">
        <v>557</v>
      </c>
      <c r="H4890">
        <v>7</v>
      </c>
      <c r="I4890" t="s">
        <v>7290</v>
      </c>
      <c r="J4890" t="s">
        <v>294</v>
      </c>
      <c r="M4890" t="s">
        <v>295</v>
      </c>
      <c r="N4890" t="s">
        <v>7</v>
      </c>
      <c r="O4890" t="s">
        <v>297</v>
      </c>
    </row>
    <row r="4891" spans="1:15" x14ac:dyDescent="0.3">
      <c r="A4891" t="s">
        <v>7065</v>
      </c>
      <c r="B4891" t="s">
        <v>7208</v>
      </c>
      <c r="C4891">
        <v>2023</v>
      </c>
      <c r="D4891" t="s">
        <v>394</v>
      </c>
      <c r="E4891" t="s">
        <v>4456</v>
      </c>
      <c r="F4891">
        <v>175</v>
      </c>
      <c r="G4891" t="s">
        <v>557</v>
      </c>
      <c r="H4891">
        <v>7</v>
      </c>
      <c r="I4891" t="s">
        <v>7291</v>
      </c>
      <c r="J4891" t="s">
        <v>294</v>
      </c>
      <c r="M4891" t="s">
        <v>295</v>
      </c>
      <c r="N4891" t="s">
        <v>7</v>
      </c>
      <c r="O4891" t="s">
        <v>297</v>
      </c>
    </row>
    <row r="4892" spans="1:15" x14ac:dyDescent="0.3">
      <c r="A4892" t="s">
        <v>7065</v>
      </c>
      <c r="B4892" t="s">
        <v>7208</v>
      </c>
      <c r="C4892">
        <v>2023</v>
      </c>
      <c r="D4892" t="s">
        <v>394</v>
      </c>
      <c r="E4892" t="s">
        <v>4461</v>
      </c>
      <c r="F4892">
        <v>4.7</v>
      </c>
      <c r="G4892" t="s">
        <v>557</v>
      </c>
      <c r="H4892">
        <v>7</v>
      </c>
      <c r="I4892" t="s">
        <v>4583</v>
      </c>
      <c r="J4892" t="s">
        <v>294</v>
      </c>
      <c r="M4892" t="s">
        <v>295</v>
      </c>
      <c r="N4892" t="s">
        <v>7</v>
      </c>
      <c r="O4892" t="s">
        <v>297</v>
      </c>
    </row>
    <row r="4893" spans="1:15" x14ac:dyDescent="0.3">
      <c r="A4893" t="s">
        <v>7065</v>
      </c>
      <c r="B4893" t="s">
        <v>7208</v>
      </c>
      <c r="C4893">
        <v>2023</v>
      </c>
      <c r="D4893" t="s">
        <v>394</v>
      </c>
      <c r="E4893" t="s">
        <v>7197</v>
      </c>
      <c r="F4893">
        <v>58</v>
      </c>
      <c r="G4893" t="s">
        <v>557</v>
      </c>
      <c r="H4893">
        <v>7</v>
      </c>
      <c r="I4893" t="s">
        <v>7292</v>
      </c>
      <c r="J4893" t="s">
        <v>294</v>
      </c>
      <c r="M4893" t="s">
        <v>295</v>
      </c>
      <c r="N4893" t="s">
        <v>7</v>
      </c>
      <c r="O4893" t="s">
        <v>297</v>
      </c>
    </row>
    <row r="4894" spans="1:15" x14ac:dyDescent="0.3">
      <c r="A4894" t="s">
        <v>7065</v>
      </c>
      <c r="B4894" t="s">
        <v>7208</v>
      </c>
      <c r="C4894">
        <v>2023</v>
      </c>
      <c r="D4894" t="s">
        <v>394</v>
      </c>
      <c r="E4894" t="s">
        <v>438</v>
      </c>
      <c r="F4894">
        <v>743</v>
      </c>
      <c r="G4894" t="s">
        <v>557</v>
      </c>
      <c r="H4894">
        <v>7</v>
      </c>
      <c r="I4894" t="s">
        <v>7293</v>
      </c>
      <c r="J4894" t="s">
        <v>294</v>
      </c>
      <c r="M4894" t="s">
        <v>295</v>
      </c>
      <c r="N4894" t="s">
        <v>7</v>
      </c>
      <c r="O4894" t="s">
        <v>297</v>
      </c>
    </row>
    <row r="4895" spans="1:15" x14ac:dyDescent="0.3">
      <c r="A4895" t="s">
        <v>7065</v>
      </c>
      <c r="B4895" t="s">
        <v>7208</v>
      </c>
      <c r="C4895">
        <v>2023</v>
      </c>
      <c r="D4895" t="s">
        <v>394</v>
      </c>
      <c r="E4895" t="s">
        <v>7200</v>
      </c>
      <c r="F4895">
        <v>184</v>
      </c>
      <c r="G4895" t="s">
        <v>557</v>
      </c>
      <c r="H4895">
        <v>7</v>
      </c>
      <c r="I4895" t="s">
        <v>7294</v>
      </c>
      <c r="J4895" t="s">
        <v>294</v>
      </c>
      <c r="M4895" t="s">
        <v>295</v>
      </c>
      <c r="N4895" t="s">
        <v>7</v>
      </c>
      <c r="O4895" t="s">
        <v>297</v>
      </c>
    </row>
    <row r="4896" spans="1:15" x14ac:dyDescent="0.3">
      <c r="A4896" t="s">
        <v>7065</v>
      </c>
      <c r="B4896" t="s">
        <v>7208</v>
      </c>
      <c r="C4896">
        <v>2023</v>
      </c>
      <c r="D4896" t="s">
        <v>394</v>
      </c>
      <c r="E4896" t="s">
        <v>4469</v>
      </c>
      <c r="F4896">
        <v>9.6999999999999993</v>
      </c>
      <c r="G4896" t="s">
        <v>7202</v>
      </c>
      <c r="H4896">
        <v>7</v>
      </c>
      <c r="I4896" t="s">
        <v>7295</v>
      </c>
      <c r="J4896" t="s">
        <v>294</v>
      </c>
      <c r="M4896" t="s">
        <v>295</v>
      </c>
      <c r="N4896" t="s">
        <v>7</v>
      </c>
      <c r="O4896" t="s">
        <v>297</v>
      </c>
    </row>
    <row r="4897" spans="1:15" x14ac:dyDescent="0.3">
      <c r="A4897" t="s">
        <v>7065</v>
      </c>
      <c r="B4897" t="s">
        <v>7208</v>
      </c>
      <c r="C4897">
        <v>2023</v>
      </c>
      <c r="D4897" t="s">
        <v>563</v>
      </c>
      <c r="E4897" t="s">
        <v>750</v>
      </c>
      <c r="F4897" t="s">
        <v>7296</v>
      </c>
      <c r="G4897" t="s">
        <v>292</v>
      </c>
      <c r="H4897">
        <v>4</v>
      </c>
      <c r="I4897" t="s">
        <v>7297</v>
      </c>
      <c r="J4897" t="s">
        <v>294</v>
      </c>
      <c r="M4897" t="s">
        <v>295</v>
      </c>
      <c r="N4897" t="s">
        <v>7</v>
      </c>
      <c r="O4897" t="s">
        <v>297</v>
      </c>
    </row>
    <row r="4898" spans="1:15" x14ac:dyDescent="0.3">
      <c r="A4898" t="s">
        <v>7065</v>
      </c>
      <c r="B4898" t="s">
        <v>7298</v>
      </c>
      <c r="C4898">
        <v>2024</v>
      </c>
      <c r="D4898" t="s">
        <v>272</v>
      </c>
      <c r="E4898" t="s">
        <v>291</v>
      </c>
      <c r="F4898" t="s">
        <v>7065</v>
      </c>
      <c r="G4898" t="s">
        <v>292</v>
      </c>
      <c r="H4898">
        <v>1</v>
      </c>
      <c r="I4898" t="s">
        <v>7299</v>
      </c>
      <c r="J4898" t="s">
        <v>294</v>
      </c>
      <c r="M4898" t="s">
        <v>295</v>
      </c>
      <c r="N4898" t="s">
        <v>7</v>
      </c>
      <c r="O4898" t="s">
        <v>297</v>
      </c>
    </row>
    <row r="4899" spans="1:15" x14ac:dyDescent="0.3">
      <c r="A4899" t="s">
        <v>7065</v>
      </c>
      <c r="B4899" t="s">
        <v>7298</v>
      </c>
      <c r="C4899">
        <v>2024</v>
      </c>
      <c r="D4899" t="s">
        <v>272</v>
      </c>
      <c r="E4899" t="s">
        <v>1</v>
      </c>
      <c r="F4899" t="s">
        <v>54</v>
      </c>
      <c r="G4899" t="s">
        <v>292</v>
      </c>
      <c r="H4899">
        <v>17</v>
      </c>
      <c r="I4899" t="s">
        <v>7300</v>
      </c>
      <c r="J4899" t="s">
        <v>294</v>
      </c>
      <c r="M4899" t="s">
        <v>295</v>
      </c>
      <c r="N4899" t="s">
        <v>7</v>
      </c>
      <c r="O4899" t="s">
        <v>297</v>
      </c>
    </row>
    <row r="4900" spans="1:15" x14ac:dyDescent="0.3">
      <c r="A4900" t="s">
        <v>7065</v>
      </c>
      <c r="B4900" t="s">
        <v>7298</v>
      </c>
      <c r="C4900">
        <v>2024</v>
      </c>
      <c r="D4900" t="s">
        <v>272</v>
      </c>
      <c r="E4900" t="s">
        <v>7069</v>
      </c>
      <c r="F4900">
        <v>0.73460000000000003</v>
      </c>
      <c r="G4900" t="s">
        <v>334</v>
      </c>
      <c r="H4900">
        <v>12</v>
      </c>
      <c r="I4900" t="s">
        <v>7070</v>
      </c>
      <c r="J4900" t="s">
        <v>294</v>
      </c>
      <c r="M4900" t="s">
        <v>295</v>
      </c>
      <c r="N4900" t="s">
        <v>7</v>
      </c>
      <c r="O4900" t="s">
        <v>297</v>
      </c>
    </row>
    <row r="4901" spans="1:15" x14ac:dyDescent="0.3">
      <c r="A4901" t="s">
        <v>7065</v>
      </c>
      <c r="B4901" t="s">
        <v>7298</v>
      </c>
      <c r="C4901">
        <v>2024</v>
      </c>
      <c r="D4901" t="s">
        <v>272</v>
      </c>
      <c r="E4901" t="s">
        <v>7071</v>
      </c>
      <c r="F4901">
        <v>6.6799999999999998E-2</v>
      </c>
      <c r="G4901" t="s">
        <v>334</v>
      </c>
      <c r="H4901">
        <v>12</v>
      </c>
      <c r="I4901" t="s">
        <v>7072</v>
      </c>
      <c r="J4901" t="s">
        <v>294</v>
      </c>
      <c r="M4901" t="s">
        <v>295</v>
      </c>
      <c r="N4901" t="s">
        <v>7</v>
      </c>
      <c r="O4901" t="s">
        <v>297</v>
      </c>
    </row>
    <row r="4902" spans="1:15" x14ac:dyDescent="0.3">
      <c r="A4902" t="s">
        <v>7065</v>
      </c>
      <c r="B4902" t="s">
        <v>7298</v>
      </c>
      <c r="C4902">
        <v>2024</v>
      </c>
      <c r="D4902" t="s">
        <v>272</v>
      </c>
      <c r="E4902" t="s">
        <v>445</v>
      </c>
      <c r="F4902">
        <v>0.1986</v>
      </c>
      <c r="G4902" t="s">
        <v>334</v>
      </c>
      <c r="H4902">
        <v>12</v>
      </c>
      <c r="I4902" t="s">
        <v>7210</v>
      </c>
      <c r="J4902" t="s">
        <v>294</v>
      </c>
      <c r="M4902" t="s">
        <v>295</v>
      </c>
      <c r="N4902" t="s">
        <v>7</v>
      </c>
      <c r="O4902" t="s">
        <v>297</v>
      </c>
    </row>
    <row r="4903" spans="1:15" x14ac:dyDescent="0.3">
      <c r="A4903" t="s">
        <v>7065</v>
      </c>
      <c r="B4903" t="s">
        <v>7298</v>
      </c>
      <c r="C4903">
        <v>2024</v>
      </c>
      <c r="D4903" t="s">
        <v>272</v>
      </c>
      <c r="E4903" t="s">
        <v>2704</v>
      </c>
      <c r="F4903" t="s">
        <v>7074</v>
      </c>
      <c r="G4903" t="s">
        <v>292</v>
      </c>
      <c r="H4903">
        <v>12</v>
      </c>
      <c r="I4903" t="s">
        <v>7075</v>
      </c>
      <c r="J4903" t="s">
        <v>294</v>
      </c>
      <c r="M4903" t="s">
        <v>295</v>
      </c>
      <c r="N4903" t="s">
        <v>7</v>
      </c>
      <c r="O4903" t="s">
        <v>297</v>
      </c>
    </row>
    <row r="4904" spans="1:15" x14ac:dyDescent="0.3">
      <c r="A4904" t="s">
        <v>7065</v>
      </c>
      <c r="B4904" t="s">
        <v>7298</v>
      </c>
      <c r="C4904">
        <v>2024</v>
      </c>
      <c r="D4904" t="s">
        <v>272</v>
      </c>
      <c r="E4904" t="s">
        <v>7301</v>
      </c>
      <c r="F4904">
        <v>315000000</v>
      </c>
      <c r="G4904" t="s">
        <v>1633</v>
      </c>
      <c r="H4904">
        <v>12</v>
      </c>
      <c r="I4904" t="s">
        <v>7302</v>
      </c>
      <c r="J4904" t="s">
        <v>294</v>
      </c>
      <c r="M4904" t="s">
        <v>295</v>
      </c>
      <c r="N4904" t="s">
        <v>7</v>
      </c>
      <c r="O4904" t="s">
        <v>297</v>
      </c>
    </row>
    <row r="4905" spans="1:15" x14ac:dyDescent="0.3">
      <c r="A4905" t="s">
        <v>7065</v>
      </c>
      <c r="B4905" t="s">
        <v>7298</v>
      </c>
      <c r="C4905">
        <v>2024</v>
      </c>
      <c r="D4905" t="s">
        <v>300</v>
      </c>
      <c r="E4905" t="s">
        <v>7078</v>
      </c>
      <c r="F4905">
        <v>15968</v>
      </c>
      <c r="G4905" t="s">
        <v>302</v>
      </c>
      <c r="H4905">
        <v>6</v>
      </c>
      <c r="I4905" t="s">
        <v>7303</v>
      </c>
      <c r="J4905" t="s">
        <v>294</v>
      </c>
      <c r="M4905" t="s">
        <v>295</v>
      </c>
      <c r="N4905" t="s">
        <v>7</v>
      </c>
      <c r="O4905" t="s">
        <v>297</v>
      </c>
    </row>
    <row r="4906" spans="1:15" x14ac:dyDescent="0.3">
      <c r="A4906" t="s">
        <v>7065</v>
      </c>
      <c r="B4906" t="s">
        <v>7298</v>
      </c>
      <c r="C4906">
        <v>2024</v>
      </c>
      <c r="D4906" t="s">
        <v>300</v>
      </c>
      <c r="E4906" t="s">
        <v>304</v>
      </c>
      <c r="F4906">
        <v>4838</v>
      </c>
      <c r="G4906" t="s">
        <v>302</v>
      </c>
      <c r="H4906">
        <v>6</v>
      </c>
      <c r="I4906" t="s">
        <v>7304</v>
      </c>
      <c r="J4906" t="s">
        <v>294</v>
      </c>
      <c r="M4906" t="s">
        <v>295</v>
      </c>
      <c r="N4906" t="s">
        <v>7</v>
      </c>
      <c r="O4906" t="s">
        <v>297</v>
      </c>
    </row>
    <row r="4907" spans="1:15" x14ac:dyDescent="0.3">
      <c r="A4907" t="s">
        <v>7065</v>
      </c>
      <c r="B4907" t="s">
        <v>7298</v>
      </c>
      <c r="C4907">
        <v>2024</v>
      </c>
      <c r="D4907" t="s">
        <v>300</v>
      </c>
      <c r="E4907" t="s">
        <v>688</v>
      </c>
      <c r="F4907">
        <v>11130</v>
      </c>
      <c r="G4907" t="s">
        <v>302</v>
      </c>
      <c r="H4907">
        <v>133</v>
      </c>
      <c r="I4907" t="s">
        <v>7305</v>
      </c>
      <c r="J4907" t="s">
        <v>294</v>
      </c>
      <c r="M4907" t="s">
        <v>295</v>
      </c>
      <c r="N4907" t="s">
        <v>7</v>
      </c>
      <c r="O4907" t="s">
        <v>297</v>
      </c>
    </row>
    <row r="4908" spans="1:15" x14ac:dyDescent="0.3">
      <c r="A4908" t="s">
        <v>7065</v>
      </c>
      <c r="B4908" t="s">
        <v>7298</v>
      </c>
      <c r="C4908">
        <v>2024</v>
      </c>
      <c r="D4908" t="s">
        <v>300</v>
      </c>
      <c r="E4908" t="s">
        <v>1112</v>
      </c>
      <c r="F4908">
        <v>3302</v>
      </c>
      <c r="G4908" t="s">
        <v>302</v>
      </c>
      <c r="H4908">
        <v>6</v>
      </c>
      <c r="I4908" t="s">
        <v>7306</v>
      </c>
      <c r="J4908" t="s">
        <v>294</v>
      </c>
      <c r="M4908" t="s">
        <v>295</v>
      </c>
      <c r="N4908" t="s">
        <v>7</v>
      </c>
      <c r="O4908" t="s">
        <v>297</v>
      </c>
    </row>
    <row r="4909" spans="1:15" x14ac:dyDescent="0.3">
      <c r="A4909" t="s">
        <v>7065</v>
      </c>
      <c r="B4909" t="s">
        <v>7298</v>
      </c>
      <c r="C4909">
        <v>2024</v>
      </c>
      <c r="D4909" t="s">
        <v>300</v>
      </c>
      <c r="E4909" t="s">
        <v>6691</v>
      </c>
      <c r="F4909">
        <v>4731</v>
      </c>
      <c r="G4909" t="s">
        <v>302</v>
      </c>
      <c r="H4909">
        <v>6</v>
      </c>
      <c r="I4909" t="s">
        <v>7307</v>
      </c>
      <c r="J4909" t="s">
        <v>294</v>
      </c>
      <c r="M4909" t="s">
        <v>295</v>
      </c>
      <c r="N4909" t="s">
        <v>7</v>
      </c>
      <c r="O4909" t="s">
        <v>297</v>
      </c>
    </row>
    <row r="4910" spans="1:15" x14ac:dyDescent="0.3">
      <c r="A4910" t="s">
        <v>7065</v>
      </c>
      <c r="B4910" t="s">
        <v>7298</v>
      </c>
      <c r="C4910">
        <v>2024</v>
      </c>
      <c r="D4910" t="s">
        <v>300</v>
      </c>
      <c r="E4910" t="s">
        <v>1162</v>
      </c>
      <c r="F4910">
        <v>235</v>
      </c>
      <c r="G4910" t="s">
        <v>302</v>
      </c>
      <c r="H4910">
        <v>133</v>
      </c>
      <c r="I4910" t="s">
        <v>7308</v>
      </c>
      <c r="J4910" t="s">
        <v>294</v>
      </c>
      <c r="M4910" t="s">
        <v>295</v>
      </c>
      <c r="N4910" t="s">
        <v>7</v>
      </c>
      <c r="O4910" t="s">
        <v>297</v>
      </c>
    </row>
    <row r="4911" spans="1:15" x14ac:dyDescent="0.3">
      <c r="A4911" t="s">
        <v>7065</v>
      </c>
      <c r="B4911" t="s">
        <v>7298</v>
      </c>
      <c r="C4911">
        <v>2024</v>
      </c>
      <c r="D4911" t="s">
        <v>300</v>
      </c>
      <c r="E4911" t="s">
        <v>1216</v>
      </c>
      <c r="F4911">
        <v>560</v>
      </c>
      <c r="G4911" t="s">
        <v>302</v>
      </c>
      <c r="H4911">
        <v>133</v>
      </c>
      <c r="I4911" t="s">
        <v>7309</v>
      </c>
      <c r="J4911" t="s">
        <v>294</v>
      </c>
      <c r="M4911" t="s">
        <v>295</v>
      </c>
      <c r="N4911" t="s">
        <v>7</v>
      </c>
      <c r="O4911" t="s">
        <v>297</v>
      </c>
    </row>
    <row r="4912" spans="1:15" x14ac:dyDescent="0.3">
      <c r="A4912" t="s">
        <v>7065</v>
      </c>
      <c r="B4912" t="s">
        <v>7298</v>
      </c>
      <c r="C4912">
        <v>2024</v>
      </c>
      <c r="D4912" t="s">
        <v>300</v>
      </c>
      <c r="E4912" t="s">
        <v>459</v>
      </c>
      <c r="F4912">
        <v>2985</v>
      </c>
      <c r="G4912" t="s">
        <v>302</v>
      </c>
      <c r="H4912">
        <v>133</v>
      </c>
      <c r="I4912" t="s">
        <v>7310</v>
      </c>
      <c r="J4912" t="s">
        <v>294</v>
      </c>
      <c r="M4912" t="s">
        <v>295</v>
      </c>
      <c r="N4912" t="s">
        <v>7</v>
      </c>
      <c r="O4912" t="s">
        <v>297</v>
      </c>
    </row>
    <row r="4913" spans="1:15" x14ac:dyDescent="0.3">
      <c r="A4913" t="s">
        <v>7065</v>
      </c>
      <c r="B4913" t="s">
        <v>7298</v>
      </c>
      <c r="C4913">
        <v>2024</v>
      </c>
      <c r="D4913" t="s">
        <v>300</v>
      </c>
      <c r="E4913" t="s">
        <v>581</v>
      </c>
      <c r="F4913">
        <v>801</v>
      </c>
      <c r="G4913" t="s">
        <v>302</v>
      </c>
      <c r="H4913">
        <v>133</v>
      </c>
      <c r="I4913" t="s">
        <v>7311</v>
      </c>
      <c r="J4913" t="s">
        <v>294</v>
      </c>
      <c r="M4913" t="s">
        <v>295</v>
      </c>
      <c r="N4913" t="s">
        <v>7</v>
      </c>
      <c r="O4913" t="s">
        <v>297</v>
      </c>
    </row>
    <row r="4914" spans="1:15" x14ac:dyDescent="0.3">
      <c r="A4914" t="s">
        <v>7065</v>
      </c>
      <c r="B4914" t="s">
        <v>7298</v>
      </c>
      <c r="C4914">
        <v>2024</v>
      </c>
      <c r="D4914" t="s">
        <v>300</v>
      </c>
      <c r="E4914" t="s">
        <v>7088</v>
      </c>
      <c r="F4914">
        <v>2184</v>
      </c>
      <c r="G4914" t="s">
        <v>302</v>
      </c>
      <c r="H4914">
        <v>6</v>
      </c>
      <c r="I4914" t="s">
        <v>7312</v>
      </c>
      <c r="J4914" t="s">
        <v>294</v>
      </c>
      <c r="M4914" t="s">
        <v>295</v>
      </c>
      <c r="N4914" t="s">
        <v>7</v>
      </c>
      <c r="O4914" t="s">
        <v>297</v>
      </c>
    </row>
    <row r="4915" spans="1:15" x14ac:dyDescent="0.3">
      <c r="A4915" t="s">
        <v>7065</v>
      </c>
      <c r="B4915" t="s">
        <v>7298</v>
      </c>
      <c r="C4915">
        <v>2024</v>
      </c>
      <c r="D4915" t="s">
        <v>300</v>
      </c>
      <c r="E4915" t="s">
        <v>308</v>
      </c>
      <c r="F4915">
        <v>1550</v>
      </c>
      <c r="G4915" t="s">
        <v>302</v>
      </c>
      <c r="H4915">
        <v>6</v>
      </c>
      <c r="I4915" t="s">
        <v>7313</v>
      </c>
      <c r="J4915" t="s">
        <v>294</v>
      </c>
      <c r="M4915" t="s">
        <v>295</v>
      </c>
      <c r="N4915" t="s">
        <v>7</v>
      </c>
      <c r="O4915" t="s">
        <v>297</v>
      </c>
    </row>
    <row r="4916" spans="1:15" x14ac:dyDescent="0.3">
      <c r="A4916" t="s">
        <v>7065</v>
      </c>
      <c r="B4916" t="s">
        <v>7298</v>
      </c>
      <c r="C4916">
        <v>2024</v>
      </c>
      <c r="D4916" t="s">
        <v>300</v>
      </c>
      <c r="E4916" t="s">
        <v>7091</v>
      </c>
      <c r="F4916">
        <v>634</v>
      </c>
      <c r="G4916" t="s">
        <v>302</v>
      </c>
      <c r="H4916">
        <v>6</v>
      </c>
      <c r="I4916" t="s">
        <v>7314</v>
      </c>
      <c r="J4916" t="s">
        <v>294</v>
      </c>
      <c r="M4916" t="s">
        <v>295</v>
      </c>
      <c r="N4916" t="s">
        <v>7</v>
      </c>
      <c r="O4916" t="s">
        <v>297</v>
      </c>
    </row>
    <row r="4917" spans="1:15" x14ac:dyDescent="0.3">
      <c r="A4917" t="s">
        <v>7065</v>
      </c>
      <c r="B4917" t="s">
        <v>7298</v>
      </c>
      <c r="C4917">
        <v>2024</v>
      </c>
      <c r="D4917" t="s">
        <v>300</v>
      </c>
      <c r="E4917" t="s">
        <v>316</v>
      </c>
      <c r="F4917">
        <v>37248</v>
      </c>
      <c r="G4917" t="s">
        <v>302</v>
      </c>
      <c r="H4917">
        <v>6</v>
      </c>
      <c r="I4917" t="s">
        <v>7315</v>
      </c>
      <c r="J4917" t="s">
        <v>294</v>
      </c>
      <c r="M4917" t="s">
        <v>295</v>
      </c>
      <c r="N4917" t="s">
        <v>7</v>
      </c>
      <c r="O4917" t="s">
        <v>297</v>
      </c>
    </row>
    <row r="4918" spans="1:15" x14ac:dyDescent="0.3">
      <c r="A4918" t="s">
        <v>7065</v>
      </c>
      <c r="B4918" t="s">
        <v>7298</v>
      </c>
      <c r="C4918">
        <v>2024</v>
      </c>
      <c r="D4918" t="s">
        <v>300</v>
      </c>
      <c r="E4918" t="s">
        <v>312</v>
      </c>
      <c r="F4918">
        <v>13233</v>
      </c>
      <c r="G4918" t="s">
        <v>302</v>
      </c>
      <c r="H4918">
        <v>6</v>
      </c>
      <c r="I4918" t="s">
        <v>7316</v>
      </c>
      <c r="J4918" t="s">
        <v>294</v>
      </c>
      <c r="M4918" t="s">
        <v>295</v>
      </c>
      <c r="N4918" t="s">
        <v>7</v>
      </c>
      <c r="O4918" t="s">
        <v>297</v>
      </c>
    </row>
    <row r="4919" spans="1:15" x14ac:dyDescent="0.3">
      <c r="A4919" t="s">
        <v>7065</v>
      </c>
      <c r="B4919" t="s">
        <v>7298</v>
      </c>
      <c r="C4919">
        <v>2024</v>
      </c>
      <c r="D4919" t="s">
        <v>300</v>
      </c>
      <c r="E4919" t="s">
        <v>314</v>
      </c>
      <c r="F4919">
        <v>24015</v>
      </c>
      <c r="G4919" t="s">
        <v>302</v>
      </c>
      <c r="H4919">
        <v>131</v>
      </c>
      <c r="I4919" t="s">
        <v>7317</v>
      </c>
      <c r="J4919" t="s">
        <v>294</v>
      </c>
      <c r="M4919" t="s">
        <v>295</v>
      </c>
      <c r="N4919" t="s">
        <v>7</v>
      </c>
      <c r="O4919" t="s">
        <v>297</v>
      </c>
    </row>
    <row r="4920" spans="1:15" x14ac:dyDescent="0.3">
      <c r="A4920" t="s">
        <v>7065</v>
      </c>
      <c r="B4920" t="s">
        <v>7298</v>
      </c>
      <c r="C4920">
        <v>2024</v>
      </c>
      <c r="D4920" t="s">
        <v>300</v>
      </c>
      <c r="E4920" t="s">
        <v>322</v>
      </c>
      <c r="F4920">
        <v>13260</v>
      </c>
      <c r="G4920" t="s">
        <v>302</v>
      </c>
      <c r="H4920">
        <v>6</v>
      </c>
      <c r="I4920" t="s">
        <v>7318</v>
      </c>
      <c r="J4920" t="s">
        <v>294</v>
      </c>
      <c r="M4920" t="s">
        <v>295</v>
      </c>
      <c r="N4920" t="s">
        <v>7</v>
      </c>
      <c r="O4920" t="s">
        <v>297</v>
      </c>
    </row>
    <row r="4921" spans="1:15" x14ac:dyDescent="0.3">
      <c r="A4921" t="s">
        <v>7065</v>
      </c>
      <c r="B4921" t="s">
        <v>7298</v>
      </c>
      <c r="C4921">
        <v>2024</v>
      </c>
      <c r="D4921" t="s">
        <v>300</v>
      </c>
      <c r="E4921" t="s">
        <v>318</v>
      </c>
      <c r="F4921">
        <v>8769</v>
      </c>
      <c r="G4921" t="s">
        <v>302</v>
      </c>
      <c r="H4921">
        <v>6</v>
      </c>
      <c r="I4921" t="s">
        <v>7319</v>
      </c>
      <c r="J4921" t="s">
        <v>294</v>
      </c>
      <c r="M4921" t="s">
        <v>295</v>
      </c>
      <c r="N4921" t="s">
        <v>7</v>
      </c>
      <c r="O4921" t="s">
        <v>297</v>
      </c>
    </row>
    <row r="4922" spans="1:15" x14ac:dyDescent="0.3">
      <c r="A4922" t="s">
        <v>7065</v>
      </c>
      <c r="B4922" t="s">
        <v>7298</v>
      </c>
      <c r="C4922">
        <v>2024</v>
      </c>
      <c r="D4922" t="s">
        <v>300</v>
      </c>
      <c r="E4922" t="s">
        <v>468</v>
      </c>
      <c r="F4922">
        <v>4491</v>
      </c>
      <c r="G4922" t="s">
        <v>302</v>
      </c>
      <c r="H4922">
        <v>132</v>
      </c>
      <c r="I4922" t="s">
        <v>7320</v>
      </c>
      <c r="J4922" t="s">
        <v>294</v>
      </c>
      <c r="M4922" t="s">
        <v>295</v>
      </c>
      <c r="N4922" t="s">
        <v>7</v>
      </c>
      <c r="O4922" t="s">
        <v>297</v>
      </c>
    </row>
    <row r="4923" spans="1:15" x14ac:dyDescent="0.3">
      <c r="A4923" t="s">
        <v>7065</v>
      </c>
      <c r="B4923" t="s">
        <v>7298</v>
      </c>
      <c r="C4923">
        <v>2024</v>
      </c>
      <c r="D4923" t="s">
        <v>300</v>
      </c>
      <c r="E4923" t="s">
        <v>324</v>
      </c>
      <c r="F4923">
        <v>23987</v>
      </c>
      <c r="G4923" t="s">
        <v>302</v>
      </c>
      <c r="H4923">
        <v>6</v>
      </c>
      <c r="I4923" t="s">
        <v>7321</v>
      </c>
      <c r="J4923" t="s">
        <v>294</v>
      </c>
      <c r="M4923" t="s">
        <v>295</v>
      </c>
      <c r="N4923" t="s">
        <v>7</v>
      </c>
      <c r="O4923" t="s">
        <v>297</v>
      </c>
    </row>
    <row r="4924" spans="1:15" x14ac:dyDescent="0.3">
      <c r="A4924" t="s">
        <v>7065</v>
      </c>
      <c r="B4924" t="s">
        <v>7298</v>
      </c>
      <c r="C4924">
        <v>2024</v>
      </c>
      <c r="D4924" t="s">
        <v>300</v>
      </c>
      <c r="E4924" t="s">
        <v>2920</v>
      </c>
      <c r="F4924">
        <v>5263</v>
      </c>
      <c r="G4924" t="s">
        <v>302</v>
      </c>
      <c r="H4924">
        <v>6</v>
      </c>
      <c r="I4924" t="s">
        <v>7322</v>
      </c>
      <c r="J4924" t="s">
        <v>294</v>
      </c>
      <c r="M4924" t="s">
        <v>295</v>
      </c>
      <c r="N4924" t="s">
        <v>7</v>
      </c>
      <c r="O4924" t="s">
        <v>297</v>
      </c>
    </row>
    <row r="4925" spans="1:15" x14ac:dyDescent="0.3">
      <c r="A4925" t="s">
        <v>7065</v>
      </c>
      <c r="B4925" t="s">
        <v>7298</v>
      </c>
      <c r="C4925">
        <v>2024</v>
      </c>
      <c r="D4925" t="s">
        <v>300</v>
      </c>
      <c r="E4925" t="s">
        <v>7101</v>
      </c>
      <c r="F4925">
        <v>5752</v>
      </c>
      <c r="G4925" t="s">
        <v>302</v>
      </c>
      <c r="H4925">
        <v>137</v>
      </c>
      <c r="I4925" t="s">
        <v>7323</v>
      </c>
      <c r="J4925" t="s">
        <v>294</v>
      </c>
      <c r="M4925" t="s">
        <v>295</v>
      </c>
      <c r="N4925" t="s">
        <v>7</v>
      </c>
      <c r="O4925" t="s">
        <v>297</v>
      </c>
    </row>
    <row r="4926" spans="1:15" x14ac:dyDescent="0.3">
      <c r="A4926" t="s">
        <v>7065</v>
      </c>
      <c r="B4926" t="s">
        <v>7298</v>
      </c>
      <c r="C4926">
        <v>2024</v>
      </c>
      <c r="D4926" t="s">
        <v>300</v>
      </c>
      <c r="E4926" t="s">
        <v>595</v>
      </c>
      <c r="F4926">
        <v>5844</v>
      </c>
      <c r="G4926" t="s">
        <v>302</v>
      </c>
      <c r="H4926">
        <v>132</v>
      </c>
      <c r="I4926" t="s">
        <v>7324</v>
      </c>
      <c r="J4926" t="s">
        <v>294</v>
      </c>
      <c r="M4926" t="s">
        <v>295</v>
      </c>
      <c r="N4926" t="s">
        <v>7</v>
      </c>
      <c r="O4926" t="s">
        <v>297</v>
      </c>
    </row>
    <row r="4927" spans="1:15" x14ac:dyDescent="0.3">
      <c r="A4927" t="s">
        <v>7065</v>
      </c>
      <c r="B4927" t="s">
        <v>7298</v>
      </c>
      <c r="C4927">
        <v>2024</v>
      </c>
      <c r="D4927" t="s">
        <v>300</v>
      </c>
      <c r="E4927" t="s">
        <v>7104</v>
      </c>
      <c r="F4927">
        <v>237</v>
      </c>
      <c r="G4927" t="s">
        <v>302</v>
      </c>
      <c r="H4927">
        <v>132</v>
      </c>
      <c r="I4927" t="s">
        <v>7325</v>
      </c>
      <c r="J4927" t="s">
        <v>294</v>
      </c>
      <c r="M4927" t="s">
        <v>295</v>
      </c>
      <c r="N4927" t="s">
        <v>7</v>
      </c>
      <c r="O4927" t="s">
        <v>297</v>
      </c>
    </row>
    <row r="4928" spans="1:15" x14ac:dyDescent="0.3">
      <c r="A4928" t="s">
        <v>7065</v>
      </c>
      <c r="B4928" t="s">
        <v>7298</v>
      </c>
      <c r="C4928">
        <v>2024</v>
      </c>
      <c r="D4928" t="s">
        <v>300</v>
      </c>
      <c r="E4928" t="s">
        <v>4878</v>
      </c>
      <c r="F4928">
        <v>1690</v>
      </c>
      <c r="G4928" t="s">
        <v>302</v>
      </c>
      <c r="H4928">
        <v>132</v>
      </c>
      <c r="I4928" t="s">
        <v>7326</v>
      </c>
      <c r="J4928" t="s">
        <v>294</v>
      </c>
      <c r="M4928" t="s">
        <v>295</v>
      </c>
      <c r="N4928" t="s">
        <v>7</v>
      </c>
      <c r="O4928" t="s">
        <v>297</v>
      </c>
    </row>
    <row r="4929" spans="1:15" x14ac:dyDescent="0.3">
      <c r="A4929" t="s">
        <v>7065</v>
      </c>
      <c r="B4929" t="s">
        <v>7298</v>
      </c>
      <c r="C4929">
        <v>2024</v>
      </c>
      <c r="D4929" t="s">
        <v>300</v>
      </c>
      <c r="E4929" t="s">
        <v>7107</v>
      </c>
      <c r="F4929">
        <v>8400</v>
      </c>
      <c r="G4929" t="s">
        <v>302</v>
      </c>
      <c r="H4929">
        <v>6</v>
      </c>
      <c r="I4929" t="s">
        <v>7327</v>
      </c>
      <c r="J4929" t="s">
        <v>294</v>
      </c>
      <c r="M4929" t="s">
        <v>295</v>
      </c>
      <c r="N4929" t="s">
        <v>7</v>
      </c>
      <c r="O4929" t="s">
        <v>297</v>
      </c>
    </row>
    <row r="4930" spans="1:15" x14ac:dyDescent="0.3">
      <c r="A4930" t="s">
        <v>7065</v>
      </c>
      <c r="B4930" t="s">
        <v>7298</v>
      </c>
      <c r="C4930">
        <v>2024</v>
      </c>
      <c r="D4930" t="s">
        <v>300</v>
      </c>
      <c r="E4930" t="s">
        <v>7328</v>
      </c>
      <c r="F4930">
        <v>643</v>
      </c>
      <c r="G4930" t="s">
        <v>302</v>
      </c>
      <c r="H4930">
        <v>131</v>
      </c>
      <c r="I4930" t="s">
        <v>7329</v>
      </c>
      <c r="J4930" t="s">
        <v>294</v>
      </c>
      <c r="M4930" t="s">
        <v>295</v>
      </c>
      <c r="N4930" t="s">
        <v>7</v>
      </c>
      <c r="O4930" t="s">
        <v>297</v>
      </c>
    </row>
    <row r="4931" spans="1:15" x14ac:dyDescent="0.3">
      <c r="A4931" t="s">
        <v>7065</v>
      </c>
      <c r="B4931" t="s">
        <v>7298</v>
      </c>
      <c r="C4931">
        <v>2024</v>
      </c>
      <c r="D4931" t="s">
        <v>300</v>
      </c>
      <c r="E4931" t="s">
        <v>7330</v>
      </c>
      <c r="F4931">
        <v>499</v>
      </c>
      <c r="G4931" t="s">
        <v>302</v>
      </c>
      <c r="H4931">
        <v>131</v>
      </c>
      <c r="I4931" t="s">
        <v>7331</v>
      </c>
      <c r="J4931" t="s">
        <v>294</v>
      </c>
      <c r="M4931" t="s">
        <v>295</v>
      </c>
      <c r="N4931" t="s">
        <v>7</v>
      </c>
      <c r="O4931" t="s">
        <v>297</v>
      </c>
    </row>
    <row r="4932" spans="1:15" x14ac:dyDescent="0.3">
      <c r="A4932" t="s">
        <v>7065</v>
      </c>
      <c r="B4932" t="s">
        <v>7298</v>
      </c>
      <c r="C4932">
        <v>2024</v>
      </c>
      <c r="D4932" t="s">
        <v>300</v>
      </c>
      <c r="E4932" t="s">
        <v>481</v>
      </c>
      <c r="F4932">
        <v>3993</v>
      </c>
      <c r="G4932" t="s">
        <v>302</v>
      </c>
      <c r="H4932">
        <v>131</v>
      </c>
      <c r="I4932" t="s">
        <v>7332</v>
      </c>
      <c r="J4932" t="s">
        <v>294</v>
      </c>
      <c r="M4932" t="s">
        <v>295</v>
      </c>
      <c r="N4932" t="s">
        <v>7</v>
      </c>
      <c r="O4932" t="s">
        <v>297</v>
      </c>
    </row>
    <row r="4933" spans="1:15" x14ac:dyDescent="0.3">
      <c r="A4933" t="s">
        <v>7065</v>
      </c>
      <c r="B4933" t="s">
        <v>7298</v>
      </c>
      <c r="C4933">
        <v>2024</v>
      </c>
      <c r="D4933" t="s">
        <v>300</v>
      </c>
      <c r="E4933" t="s">
        <v>4369</v>
      </c>
      <c r="F4933">
        <v>1132</v>
      </c>
      <c r="G4933" t="s">
        <v>302</v>
      </c>
      <c r="H4933">
        <v>131</v>
      </c>
      <c r="I4933" t="s">
        <v>7333</v>
      </c>
      <c r="J4933" t="s">
        <v>294</v>
      </c>
      <c r="M4933" t="s">
        <v>295</v>
      </c>
      <c r="N4933" t="s">
        <v>7</v>
      </c>
      <c r="O4933" t="s">
        <v>297</v>
      </c>
    </row>
    <row r="4934" spans="1:15" x14ac:dyDescent="0.3">
      <c r="A4934" t="s">
        <v>7065</v>
      </c>
      <c r="B4934" t="s">
        <v>7298</v>
      </c>
      <c r="C4934">
        <v>2024</v>
      </c>
      <c r="D4934" t="s">
        <v>300</v>
      </c>
      <c r="E4934" t="s">
        <v>2900</v>
      </c>
      <c r="F4934">
        <v>2210</v>
      </c>
      <c r="G4934" t="s">
        <v>302</v>
      </c>
      <c r="H4934">
        <v>131</v>
      </c>
      <c r="I4934" t="s">
        <v>7334</v>
      </c>
      <c r="J4934" t="s">
        <v>294</v>
      </c>
      <c r="M4934" t="s">
        <v>295</v>
      </c>
      <c r="N4934" t="s">
        <v>7</v>
      </c>
      <c r="O4934" t="s">
        <v>297</v>
      </c>
    </row>
    <row r="4935" spans="1:15" x14ac:dyDescent="0.3">
      <c r="A4935" t="s">
        <v>7065</v>
      </c>
      <c r="B4935" t="s">
        <v>7298</v>
      </c>
      <c r="C4935">
        <v>2024</v>
      </c>
      <c r="D4935" t="s">
        <v>300</v>
      </c>
      <c r="E4935" t="s">
        <v>1122</v>
      </c>
      <c r="F4935">
        <v>17632</v>
      </c>
      <c r="G4935" t="s">
        <v>302</v>
      </c>
      <c r="H4935">
        <v>131</v>
      </c>
      <c r="I4935" t="s">
        <v>7335</v>
      </c>
      <c r="J4935" t="s">
        <v>294</v>
      </c>
      <c r="M4935" t="s">
        <v>295</v>
      </c>
      <c r="N4935" t="s">
        <v>7</v>
      </c>
      <c r="O4935" t="s">
        <v>297</v>
      </c>
    </row>
    <row r="4936" spans="1:15" x14ac:dyDescent="0.3">
      <c r="A4936" t="s">
        <v>7065</v>
      </c>
      <c r="B4936" t="s">
        <v>7298</v>
      </c>
      <c r="C4936">
        <v>2024</v>
      </c>
      <c r="D4936" t="s">
        <v>300</v>
      </c>
      <c r="E4936" t="s">
        <v>4371</v>
      </c>
      <c r="F4936">
        <v>1378</v>
      </c>
      <c r="G4936" t="s">
        <v>302</v>
      </c>
      <c r="H4936">
        <v>131</v>
      </c>
      <c r="I4936" t="s">
        <v>7336</v>
      </c>
      <c r="J4936" t="s">
        <v>294</v>
      </c>
      <c r="M4936" t="s">
        <v>295</v>
      </c>
      <c r="N4936" t="s">
        <v>7</v>
      </c>
      <c r="O4936" t="s">
        <v>297</v>
      </c>
    </row>
    <row r="4937" spans="1:15" x14ac:dyDescent="0.3">
      <c r="A4937" t="s">
        <v>7065</v>
      </c>
      <c r="B4937" t="s">
        <v>7298</v>
      </c>
      <c r="C4937">
        <v>2024</v>
      </c>
      <c r="D4937" t="s">
        <v>300</v>
      </c>
      <c r="E4937" t="s">
        <v>483</v>
      </c>
      <c r="F4937">
        <v>2300</v>
      </c>
      <c r="G4937" t="s">
        <v>302</v>
      </c>
      <c r="H4937">
        <v>136</v>
      </c>
      <c r="I4937" t="s">
        <v>7337</v>
      </c>
      <c r="J4937" t="s">
        <v>294</v>
      </c>
      <c r="M4937" t="s">
        <v>295</v>
      </c>
      <c r="N4937" t="s">
        <v>7</v>
      </c>
      <c r="O4937" t="s">
        <v>297</v>
      </c>
    </row>
    <row r="4938" spans="1:15" x14ac:dyDescent="0.3">
      <c r="A4938" t="s">
        <v>7065</v>
      </c>
      <c r="B4938" t="s">
        <v>7298</v>
      </c>
      <c r="C4938">
        <v>2024</v>
      </c>
      <c r="D4938" t="s">
        <v>300</v>
      </c>
      <c r="E4938" t="s">
        <v>7114</v>
      </c>
      <c r="F4938">
        <v>-1529</v>
      </c>
      <c r="G4938" t="s">
        <v>302</v>
      </c>
      <c r="H4938">
        <v>136</v>
      </c>
      <c r="I4938" t="s">
        <v>7338</v>
      </c>
      <c r="J4938" t="s">
        <v>294</v>
      </c>
      <c r="M4938" t="s">
        <v>295</v>
      </c>
      <c r="N4938" t="s">
        <v>7</v>
      </c>
      <c r="O4938" t="s">
        <v>297</v>
      </c>
    </row>
    <row r="4939" spans="1:15" x14ac:dyDescent="0.3">
      <c r="A4939" t="s">
        <v>7065</v>
      </c>
      <c r="B4939" t="s">
        <v>7298</v>
      </c>
      <c r="C4939">
        <v>2024</v>
      </c>
      <c r="D4939" t="s">
        <v>300</v>
      </c>
      <c r="E4939" t="s">
        <v>7116</v>
      </c>
      <c r="F4939">
        <v>-250</v>
      </c>
      <c r="G4939" t="s">
        <v>302</v>
      </c>
      <c r="H4939">
        <v>137</v>
      </c>
      <c r="I4939" t="s">
        <v>7339</v>
      </c>
      <c r="J4939" t="s">
        <v>294</v>
      </c>
      <c r="M4939" t="s">
        <v>295</v>
      </c>
      <c r="N4939" t="s">
        <v>7</v>
      </c>
      <c r="O4939" t="s">
        <v>297</v>
      </c>
    </row>
    <row r="4940" spans="1:15" x14ac:dyDescent="0.3">
      <c r="A4940" t="s">
        <v>7065</v>
      </c>
      <c r="B4940" t="s">
        <v>7298</v>
      </c>
      <c r="C4940">
        <v>2024</v>
      </c>
      <c r="D4940" t="s">
        <v>300</v>
      </c>
      <c r="E4940" t="s">
        <v>1386</v>
      </c>
      <c r="F4940">
        <v>1264</v>
      </c>
      <c r="G4940" t="s">
        <v>302</v>
      </c>
      <c r="H4940">
        <v>6</v>
      </c>
      <c r="I4940" t="s">
        <v>7340</v>
      </c>
      <c r="J4940" t="s">
        <v>294</v>
      </c>
      <c r="M4940" t="s">
        <v>295</v>
      </c>
      <c r="N4940" t="s">
        <v>7</v>
      </c>
      <c r="O4940" t="s">
        <v>297</v>
      </c>
    </row>
    <row r="4941" spans="1:15" x14ac:dyDescent="0.3">
      <c r="A4941" t="s">
        <v>7065</v>
      </c>
      <c r="B4941" t="s">
        <v>7298</v>
      </c>
      <c r="C4941">
        <v>2024</v>
      </c>
      <c r="D4941" t="s">
        <v>300</v>
      </c>
      <c r="E4941" t="s">
        <v>7119</v>
      </c>
      <c r="F4941">
        <v>958</v>
      </c>
      <c r="G4941" t="s">
        <v>302</v>
      </c>
      <c r="H4941">
        <v>136</v>
      </c>
      <c r="I4941" t="s">
        <v>7341</v>
      </c>
      <c r="J4941" t="s">
        <v>294</v>
      </c>
      <c r="M4941" t="s">
        <v>295</v>
      </c>
      <c r="N4941" t="s">
        <v>7</v>
      </c>
      <c r="O4941" t="s">
        <v>297</v>
      </c>
    </row>
    <row r="4942" spans="1:15" x14ac:dyDescent="0.3">
      <c r="A4942" t="s">
        <v>7065</v>
      </c>
      <c r="B4942" t="s">
        <v>7298</v>
      </c>
      <c r="C4942">
        <v>2024</v>
      </c>
      <c r="D4942" t="s">
        <v>300</v>
      </c>
      <c r="E4942" t="s">
        <v>7121</v>
      </c>
      <c r="F4942">
        <v>272</v>
      </c>
      <c r="G4942" t="s">
        <v>302</v>
      </c>
      <c r="H4942">
        <v>136</v>
      </c>
      <c r="I4942" t="s">
        <v>7342</v>
      </c>
      <c r="J4942" t="s">
        <v>294</v>
      </c>
      <c r="M4942" t="s">
        <v>295</v>
      </c>
      <c r="N4942" t="s">
        <v>7</v>
      </c>
      <c r="O4942" t="s">
        <v>297</v>
      </c>
    </row>
    <row r="4943" spans="1:15" x14ac:dyDescent="0.3">
      <c r="A4943" t="s">
        <v>7065</v>
      </c>
      <c r="B4943" t="s">
        <v>7298</v>
      </c>
      <c r="C4943">
        <v>2024</v>
      </c>
      <c r="D4943" t="s">
        <v>300</v>
      </c>
      <c r="E4943" t="s">
        <v>7123</v>
      </c>
      <c r="F4943">
        <v>155</v>
      </c>
      <c r="G4943" t="s">
        <v>302</v>
      </c>
      <c r="H4943">
        <v>137</v>
      </c>
      <c r="I4943" t="s">
        <v>7343</v>
      </c>
      <c r="J4943" t="s">
        <v>294</v>
      </c>
      <c r="M4943" t="s">
        <v>295</v>
      </c>
      <c r="N4943" t="s">
        <v>7</v>
      </c>
      <c r="O4943" t="s">
        <v>297</v>
      </c>
    </row>
    <row r="4944" spans="1:15" x14ac:dyDescent="0.3">
      <c r="A4944" t="s">
        <v>7065</v>
      </c>
      <c r="B4944" t="s">
        <v>7298</v>
      </c>
      <c r="C4944">
        <v>2024</v>
      </c>
      <c r="D4944" t="s">
        <v>300</v>
      </c>
      <c r="E4944" t="s">
        <v>7125</v>
      </c>
      <c r="F4944">
        <v>100</v>
      </c>
      <c r="G4944" t="s">
        <v>346</v>
      </c>
      <c r="H4944">
        <v>6</v>
      </c>
      <c r="I4944" t="s">
        <v>7344</v>
      </c>
      <c r="J4944" t="s">
        <v>294</v>
      </c>
      <c r="M4944" t="s">
        <v>295</v>
      </c>
      <c r="N4944" t="s">
        <v>7</v>
      </c>
      <c r="O4944" t="s">
        <v>297</v>
      </c>
    </row>
    <row r="4945" spans="1:15" x14ac:dyDescent="0.3">
      <c r="A4945" t="s">
        <v>7065</v>
      </c>
      <c r="B4945" t="s">
        <v>7298</v>
      </c>
      <c r="C4945">
        <v>2024</v>
      </c>
      <c r="D4945" t="s">
        <v>300</v>
      </c>
      <c r="E4945" t="s">
        <v>7127</v>
      </c>
      <c r="F4945">
        <v>15501</v>
      </c>
      <c r="G4945" t="s">
        <v>497</v>
      </c>
      <c r="H4945">
        <v>6</v>
      </c>
      <c r="I4945" t="s">
        <v>7345</v>
      </c>
      <c r="J4945" t="s">
        <v>294</v>
      </c>
      <c r="M4945" t="s">
        <v>295</v>
      </c>
      <c r="N4945" t="s">
        <v>7</v>
      </c>
      <c r="O4945" t="s">
        <v>297</v>
      </c>
    </row>
    <row r="4946" spans="1:15" x14ac:dyDescent="0.3">
      <c r="A4946" t="s">
        <v>7065</v>
      </c>
      <c r="B4946" t="s">
        <v>7298</v>
      </c>
      <c r="C4946">
        <v>2024</v>
      </c>
      <c r="D4946" t="s">
        <v>300</v>
      </c>
      <c r="E4946" t="s">
        <v>7346</v>
      </c>
      <c r="F4946">
        <v>10</v>
      </c>
      <c r="G4946" t="s">
        <v>346</v>
      </c>
      <c r="H4946">
        <v>21</v>
      </c>
      <c r="I4946" t="s">
        <v>7347</v>
      </c>
      <c r="J4946" t="s">
        <v>294</v>
      </c>
      <c r="M4946" t="s">
        <v>295</v>
      </c>
      <c r="N4946" t="s">
        <v>7</v>
      </c>
      <c r="O4946" t="s">
        <v>297</v>
      </c>
    </row>
    <row r="4947" spans="1:15" x14ac:dyDescent="0.3">
      <c r="A4947" t="s">
        <v>7065</v>
      </c>
      <c r="B4947" t="s">
        <v>7298</v>
      </c>
      <c r="C4947">
        <v>2024</v>
      </c>
      <c r="D4947" t="s">
        <v>300</v>
      </c>
      <c r="E4947" t="s">
        <v>7348</v>
      </c>
      <c r="F4947">
        <v>378</v>
      </c>
      <c r="G4947" t="s">
        <v>346</v>
      </c>
      <c r="H4947">
        <v>16</v>
      </c>
      <c r="I4947" t="s">
        <v>7349</v>
      </c>
      <c r="J4947" t="s">
        <v>294</v>
      </c>
      <c r="M4947" t="s">
        <v>295</v>
      </c>
      <c r="N4947" t="s">
        <v>7</v>
      </c>
      <c r="O4947" t="s">
        <v>297</v>
      </c>
    </row>
    <row r="4948" spans="1:15" x14ac:dyDescent="0.3">
      <c r="A4948" t="s">
        <v>7065</v>
      </c>
      <c r="B4948" t="s">
        <v>7298</v>
      </c>
      <c r="C4948">
        <v>2024</v>
      </c>
      <c r="D4948" t="s">
        <v>300</v>
      </c>
      <c r="E4948" t="s">
        <v>7350</v>
      </c>
      <c r="F4948">
        <v>5859</v>
      </c>
      <c r="G4948" t="s">
        <v>302</v>
      </c>
      <c r="H4948">
        <v>16</v>
      </c>
      <c r="I4948" t="s">
        <v>7351</v>
      </c>
      <c r="J4948" t="s">
        <v>294</v>
      </c>
      <c r="M4948" t="s">
        <v>295</v>
      </c>
      <c r="N4948" t="s">
        <v>7</v>
      </c>
      <c r="O4948" t="s">
        <v>297</v>
      </c>
    </row>
    <row r="4949" spans="1:15" x14ac:dyDescent="0.3">
      <c r="A4949" t="s">
        <v>7065</v>
      </c>
      <c r="B4949" t="s">
        <v>7298</v>
      </c>
      <c r="C4949">
        <v>2024</v>
      </c>
      <c r="D4949" t="s">
        <v>300</v>
      </c>
      <c r="E4949" t="s">
        <v>7352</v>
      </c>
      <c r="F4949">
        <v>444</v>
      </c>
      <c r="G4949" t="s">
        <v>346</v>
      </c>
      <c r="H4949">
        <v>16</v>
      </c>
      <c r="I4949" t="s">
        <v>7353</v>
      </c>
      <c r="J4949" t="s">
        <v>294</v>
      </c>
      <c r="M4949" t="s">
        <v>295</v>
      </c>
      <c r="N4949" t="s">
        <v>7</v>
      </c>
      <c r="O4949" t="s">
        <v>297</v>
      </c>
    </row>
    <row r="4950" spans="1:15" x14ac:dyDescent="0.3">
      <c r="A4950" t="s">
        <v>7065</v>
      </c>
      <c r="B4950" t="s">
        <v>7298</v>
      </c>
      <c r="C4950">
        <v>2024</v>
      </c>
      <c r="D4950" t="s">
        <v>300</v>
      </c>
      <c r="E4950" t="s">
        <v>7354</v>
      </c>
      <c r="F4950">
        <v>350</v>
      </c>
      <c r="G4950" t="s">
        <v>346</v>
      </c>
      <c r="H4950">
        <v>16</v>
      </c>
      <c r="I4950" t="s">
        <v>7353</v>
      </c>
      <c r="J4950" t="s">
        <v>294</v>
      </c>
      <c r="M4950" t="s">
        <v>295</v>
      </c>
      <c r="N4950" t="s">
        <v>7</v>
      </c>
      <c r="O4950" t="s">
        <v>297</v>
      </c>
    </row>
    <row r="4951" spans="1:15" x14ac:dyDescent="0.3">
      <c r="A4951" t="s">
        <v>7065</v>
      </c>
      <c r="B4951" t="s">
        <v>7298</v>
      </c>
      <c r="C4951">
        <v>2024</v>
      </c>
      <c r="D4951" t="s">
        <v>300</v>
      </c>
      <c r="E4951" t="s">
        <v>1187</v>
      </c>
      <c r="F4951">
        <v>0.30299999999999999</v>
      </c>
      <c r="G4951" t="s">
        <v>334</v>
      </c>
      <c r="H4951">
        <v>6</v>
      </c>
      <c r="I4951" t="s">
        <v>7355</v>
      </c>
      <c r="J4951" t="s">
        <v>294</v>
      </c>
      <c r="M4951" t="s">
        <v>295</v>
      </c>
      <c r="N4951" t="s">
        <v>7</v>
      </c>
      <c r="O4951" t="s">
        <v>297</v>
      </c>
    </row>
    <row r="4952" spans="1:15" x14ac:dyDescent="0.3">
      <c r="A4952" t="s">
        <v>7065</v>
      </c>
      <c r="B4952" t="s">
        <v>7298</v>
      </c>
      <c r="C4952">
        <v>2024</v>
      </c>
      <c r="D4952" t="s">
        <v>300</v>
      </c>
      <c r="E4952" t="s">
        <v>4352</v>
      </c>
      <c r="F4952">
        <v>0.20699999999999999</v>
      </c>
      <c r="G4952" t="s">
        <v>334</v>
      </c>
      <c r="H4952">
        <v>6</v>
      </c>
      <c r="I4952" t="s">
        <v>7356</v>
      </c>
      <c r="J4952" t="s">
        <v>294</v>
      </c>
      <c r="M4952" t="s">
        <v>295</v>
      </c>
      <c r="N4952" t="s">
        <v>7</v>
      </c>
      <c r="O4952" t="s">
        <v>297</v>
      </c>
    </row>
    <row r="4953" spans="1:15" x14ac:dyDescent="0.3">
      <c r="A4953" t="s">
        <v>7065</v>
      </c>
      <c r="B4953" t="s">
        <v>7298</v>
      </c>
      <c r="C4953">
        <v>2024</v>
      </c>
      <c r="D4953" t="s">
        <v>300</v>
      </c>
      <c r="E4953" t="s">
        <v>901</v>
      </c>
      <c r="F4953">
        <v>0.29599999999999999</v>
      </c>
      <c r="G4953" t="s">
        <v>334</v>
      </c>
      <c r="H4953">
        <v>6</v>
      </c>
      <c r="I4953" t="s">
        <v>7357</v>
      </c>
      <c r="J4953" t="s">
        <v>294</v>
      </c>
      <c r="M4953" t="s">
        <v>295</v>
      </c>
      <c r="N4953" t="s">
        <v>7</v>
      </c>
      <c r="O4953" t="s">
        <v>297</v>
      </c>
    </row>
    <row r="4954" spans="1:15" x14ac:dyDescent="0.3">
      <c r="A4954" t="s">
        <v>7065</v>
      </c>
      <c r="B4954" t="s">
        <v>7298</v>
      </c>
      <c r="C4954">
        <v>2024</v>
      </c>
      <c r="D4954" t="s">
        <v>300</v>
      </c>
      <c r="E4954" t="s">
        <v>7141</v>
      </c>
      <c r="F4954">
        <v>0.06</v>
      </c>
      <c r="G4954" t="s">
        <v>334</v>
      </c>
      <c r="H4954">
        <v>6</v>
      </c>
      <c r="I4954" t="s">
        <v>7358</v>
      </c>
      <c r="J4954" t="s">
        <v>294</v>
      </c>
      <c r="M4954" t="s">
        <v>295</v>
      </c>
      <c r="N4954" t="s">
        <v>7</v>
      </c>
      <c r="O4954" t="s">
        <v>297</v>
      </c>
    </row>
    <row r="4955" spans="1:15" x14ac:dyDescent="0.3">
      <c r="A4955" t="s">
        <v>7065</v>
      </c>
      <c r="B4955" t="s">
        <v>7298</v>
      </c>
      <c r="C4955">
        <v>2024</v>
      </c>
      <c r="D4955" t="s">
        <v>300</v>
      </c>
      <c r="E4955" t="s">
        <v>3054</v>
      </c>
      <c r="F4955">
        <v>9.6000000000000002E-2</v>
      </c>
      <c r="G4955" t="s">
        <v>334</v>
      </c>
      <c r="H4955">
        <v>6</v>
      </c>
      <c r="I4955" t="s">
        <v>7359</v>
      </c>
      <c r="J4955" t="s">
        <v>294</v>
      </c>
      <c r="M4955" t="s">
        <v>295</v>
      </c>
      <c r="N4955" t="s">
        <v>7</v>
      </c>
      <c r="O4955" t="s">
        <v>297</v>
      </c>
    </row>
    <row r="4956" spans="1:15" x14ac:dyDescent="0.3">
      <c r="A4956" t="s">
        <v>7065</v>
      </c>
      <c r="B4956" t="s">
        <v>7298</v>
      </c>
      <c r="C4956">
        <v>2024</v>
      </c>
      <c r="D4956" t="s">
        <v>300</v>
      </c>
      <c r="E4956" t="s">
        <v>326</v>
      </c>
      <c r="F4956">
        <v>1.51</v>
      </c>
      <c r="G4956" t="s">
        <v>327</v>
      </c>
      <c r="H4956">
        <v>6</v>
      </c>
      <c r="I4956" t="s">
        <v>7360</v>
      </c>
      <c r="J4956" t="s">
        <v>294</v>
      </c>
      <c r="M4956" t="s">
        <v>295</v>
      </c>
      <c r="N4956" t="s">
        <v>7</v>
      </c>
      <c r="O4956" t="s">
        <v>297</v>
      </c>
    </row>
    <row r="4957" spans="1:15" x14ac:dyDescent="0.3">
      <c r="A4957" t="s">
        <v>7065</v>
      </c>
      <c r="B4957" t="s">
        <v>7298</v>
      </c>
      <c r="C4957">
        <v>2024</v>
      </c>
      <c r="D4957" t="s">
        <v>300</v>
      </c>
      <c r="E4957" t="s">
        <v>7145</v>
      </c>
      <c r="F4957">
        <v>0.35</v>
      </c>
      <c r="G4957" t="s">
        <v>327</v>
      </c>
      <c r="H4957">
        <v>6</v>
      </c>
      <c r="I4957" t="s">
        <v>7361</v>
      </c>
      <c r="J4957" t="s">
        <v>294</v>
      </c>
      <c r="M4957" t="s">
        <v>295</v>
      </c>
      <c r="N4957" t="s">
        <v>7</v>
      </c>
      <c r="O4957" t="s">
        <v>297</v>
      </c>
    </row>
    <row r="4958" spans="1:15" x14ac:dyDescent="0.3">
      <c r="A4958" t="s">
        <v>7065</v>
      </c>
      <c r="B4958" t="s">
        <v>7298</v>
      </c>
      <c r="C4958">
        <v>2024</v>
      </c>
      <c r="D4958" t="s">
        <v>300</v>
      </c>
      <c r="E4958" t="s">
        <v>7147</v>
      </c>
      <c r="F4958">
        <v>0.11</v>
      </c>
      <c r="G4958" t="s">
        <v>327</v>
      </c>
      <c r="H4958">
        <v>6</v>
      </c>
      <c r="I4958" t="s">
        <v>7362</v>
      </c>
      <c r="J4958" t="s">
        <v>294</v>
      </c>
      <c r="M4958" t="s">
        <v>295</v>
      </c>
      <c r="N4958" t="s">
        <v>7</v>
      </c>
      <c r="O4958" t="s">
        <v>297</v>
      </c>
    </row>
    <row r="4959" spans="1:15" x14ac:dyDescent="0.3">
      <c r="A4959" t="s">
        <v>7065</v>
      </c>
      <c r="B4959" t="s">
        <v>7298</v>
      </c>
      <c r="C4959">
        <v>2024</v>
      </c>
      <c r="D4959" t="s">
        <v>358</v>
      </c>
      <c r="E4959" t="s">
        <v>4407</v>
      </c>
      <c r="F4959">
        <v>288649</v>
      </c>
      <c r="G4959" t="s">
        <v>360</v>
      </c>
      <c r="H4959">
        <v>7</v>
      </c>
      <c r="I4959" t="s">
        <v>7363</v>
      </c>
      <c r="J4959" t="s">
        <v>294</v>
      </c>
      <c r="M4959" t="s">
        <v>295</v>
      </c>
      <c r="N4959" t="s">
        <v>7</v>
      </c>
      <c r="O4959" t="s">
        <v>297</v>
      </c>
    </row>
    <row r="4960" spans="1:15" x14ac:dyDescent="0.3">
      <c r="A4960" t="s">
        <v>7065</v>
      </c>
      <c r="B4960" t="s">
        <v>7298</v>
      </c>
      <c r="C4960">
        <v>2024</v>
      </c>
      <c r="D4960" t="s">
        <v>358</v>
      </c>
      <c r="E4960" t="s">
        <v>4409</v>
      </c>
      <c r="F4960">
        <v>241208</v>
      </c>
      <c r="G4960" t="s">
        <v>360</v>
      </c>
      <c r="H4960">
        <v>7</v>
      </c>
      <c r="I4960" t="s">
        <v>7364</v>
      </c>
      <c r="J4960" t="s">
        <v>294</v>
      </c>
      <c r="M4960" t="s">
        <v>295</v>
      </c>
      <c r="N4960" t="s">
        <v>7</v>
      </c>
      <c r="O4960" t="s">
        <v>297</v>
      </c>
    </row>
    <row r="4961" spans="1:15" x14ac:dyDescent="0.3">
      <c r="A4961" t="s">
        <v>7065</v>
      </c>
      <c r="B4961" t="s">
        <v>7298</v>
      </c>
      <c r="C4961">
        <v>2024</v>
      </c>
      <c r="D4961" t="s">
        <v>358</v>
      </c>
      <c r="E4961" t="s">
        <v>4411</v>
      </c>
      <c r="F4961">
        <v>220318</v>
      </c>
      <c r="G4961" t="s">
        <v>360</v>
      </c>
      <c r="H4961">
        <v>7</v>
      </c>
      <c r="I4961" t="s">
        <v>7365</v>
      </c>
      <c r="J4961" t="s">
        <v>294</v>
      </c>
      <c r="M4961" t="s">
        <v>295</v>
      </c>
      <c r="N4961" t="s">
        <v>7</v>
      </c>
      <c r="O4961" t="s">
        <v>297</v>
      </c>
    </row>
    <row r="4962" spans="1:15" x14ac:dyDescent="0.3">
      <c r="A4962" t="s">
        <v>7065</v>
      </c>
      <c r="B4962" t="s">
        <v>7298</v>
      </c>
      <c r="C4962">
        <v>2024</v>
      </c>
      <c r="D4962" t="s">
        <v>358</v>
      </c>
      <c r="E4962" t="s">
        <v>4413</v>
      </c>
      <c r="F4962">
        <v>20890</v>
      </c>
      <c r="G4962" t="s">
        <v>360</v>
      </c>
      <c r="H4962">
        <v>7</v>
      </c>
      <c r="I4962" t="s">
        <v>7366</v>
      </c>
      <c r="J4962" t="s">
        <v>294</v>
      </c>
      <c r="M4962" t="s">
        <v>295</v>
      </c>
      <c r="N4962" t="s">
        <v>7</v>
      </c>
      <c r="O4962" t="s">
        <v>297</v>
      </c>
    </row>
    <row r="4963" spans="1:15" x14ac:dyDescent="0.3">
      <c r="A4963" t="s">
        <v>7065</v>
      </c>
      <c r="B4963" t="s">
        <v>7298</v>
      </c>
      <c r="C4963">
        <v>2024</v>
      </c>
      <c r="D4963" t="s">
        <v>358</v>
      </c>
      <c r="E4963" t="s">
        <v>4421</v>
      </c>
      <c r="F4963">
        <v>16231</v>
      </c>
      <c r="G4963" t="s">
        <v>360</v>
      </c>
      <c r="H4963">
        <v>7</v>
      </c>
      <c r="I4963" t="s">
        <v>7367</v>
      </c>
      <c r="J4963" t="s">
        <v>294</v>
      </c>
      <c r="M4963" t="s">
        <v>295</v>
      </c>
      <c r="N4963" t="s">
        <v>7</v>
      </c>
      <c r="O4963" t="s">
        <v>297</v>
      </c>
    </row>
    <row r="4964" spans="1:15" x14ac:dyDescent="0.3">
      <c r="A4964" t="s">
        <v>7065</v>
      </c>
      <c r="B4964" t="s">
        <v>7298</v>
      </c>
      <c r="C4964">
        <v>2024</v>
      </c>
      <c r="D4964" t="s">
        <v>358</v>
      </c>
      <c r="E4964" t="s">
        <v>7154</v>
      </c>
      <c r="F4964">
        <v>13583</v>
      </c>
      <c r="G4964" t="s">
        <v>360</v>
      </c>
      <c r="H4964">
        <v>7</v>
      </c>
      <c r="I4964" t="s">
        <v>7368</v>
      </c>
      <c r="J4964" t="s">
        <v>294</v>
      </c>
      <c r="M4964" t="s">
        <v>295</v>
      </c>
      <c r="N4964" t="s">
        <v>7</v>
      </c>
      <c r="O4964" t="s">
        <v>297</v>
      </c>
    </row>
    <row r="4965" spans="1:15" x14ac:dyDescent="0.3">
      <c r="A4965" t="s">
        <v>7065</v>
      </c>
      <c r="B4965" t="s">
        <v>7298</v>
      </c>
      <c r="C4965">
        <v>2024</v>
      </c>
      <c r="D4965" t="s">
        <v>358</v>
      </c>
      <c r="E4965" t="s">
        <v>7369</v>
      </c>
      <c r="F4965">
        <v>17627</v>
      </c>
      <c r="G4965" t="s">
        <v>360</v>
      </c>
      <c r="H4965">
        <v>7</v>
      </c>
      <c r="I4965" t="s">
        <v>7370</v>
      </c>
      <c r="J4965" t="s">
        <v>294</v>
      </c>
      <c r="M4965" t="s">
        <v>295</v>
      </c>
      <c r="N4965" t="s">
        <v>7</v>
      </c>
      <c r="O4965" t="s">
        <v>297</v>
      </c>
    </row>
    <row r="4966" spans="1:15" x14ac:dyDescent="0.3">
      <c r="A4966" t="s">
        <v>7065</v>
      </c>
      <c r="B4966" t="s">
        <v>7298</v>
      </c>
      <c r="C4966">
        <v>2024</v>
      </c>
      <c r="D4966" t="s">
        <v>358</v>
      </c>
      <c r="E4966" t="s">
        <v>7158</v>
      </c>
      <c r="F4966">
        <v>91523</v>
      </c>
      <c r="G4966" t="s">
        <v>360</v>
      </c>
      <c r="H4966">
        <v>7</v>
      </c>
      <c r="I4966" t="s">
        <v>7371</v>
      </c>
      <c r="J4966" t="s">
        <v>294</v>
      </c>
      <c r="M4966" t="s">
        <v>295</v>
      </c>
      <c r="N4966" t="s">
        <v>7</v>
      </c>
      <c r="O4966" t="s">
        <v>297</v>
      </c>
    </row>
    <row r="4967" spans="1:15" x14ac:dyDescent="0.3">
      <c r="A4967" t="s">
        <v>7065</v>
      </c>
      <c r="B4967" t="s">
        <v>7298</v>
      </c>
      <c r="C4967">
        <v>2024</v>
      </c>
      <c r="D4967" t="s">
        <v>358</v>
      </c>
      <c r="E4967" t="s">
        <v>7166</v>
      </c>
      <c r="F4967">
        <v>56172</v>
      </c>
      <c r="G4967" t="s">
        <v>360</v>
      </c>
      <c r="H4967">
        <v>7</v>
      </c>
      <c r="I4967" t="s">
        <v>7372</v>
      </c>
      <c r="J4967" t="s">
        <v>294</v>
      </c>
      <c r="M4967" t="s">
        <v>295</v>
      </c>
      <c r="N4967" t="s">
        <v>7</v>
      </c>
      <c r="O4967" t="s">
        <v>297</v>
      </c>
    </row>
    <row r="4968" spans="1:15" x14ac:dyDescent="0.3">
      <c r="A4968" t="s">
        <v>7065</v>
      </c>
      <c r="B4968" t="s">
        <v>7298</v>
      </c>
      <c r="C4968">
        <v>2024</v>
      </c>
      <c r="D4968" t="s">
        <v>358</v>
      </c>
      <c r="E4968" t="s">
        <v>7168</v>
      </c>
      <c r="F4968">
        <v>37228</v>
      </c>
      <c r="G4968" t="s">
        <v>360</v>
      </c>
      <c r="H4968">
        <v>7</v>
      </c>
      <c r="I4968" t="s">
        <v>7373</v>
      </c>
      <c r="J4968" t="s">
        <v>294</v>
      </c>
      <c r="M4968" t="s">
        <v>295</v>
      </c>
      <c r="N4968" t="s">
        <v>7</v>
      </c>
      <c r="O4968" t="s">
        <v>297</v>
      </c>
    </row>
    <row r="4969" spans="1:15" x14ac:dyDescent="0.3">
      <c r="A4969" t="s">
        <v>7065</v>
      </c>
      <c r="B4969" t="s">
        <v>7298</v>
      </c>
      <c r="C4969">
        <v>2024</v>
      </c>
      <c r="D4969" t="s">
        <v>358</v>
      </c>
      <c r="E4969" t="s">
        <v>7169</v>
      </c>
      <c r="F4969">
        <v>95014</v>
      </c>
      <c r="G4969" t="s">
        <v>360</v>
      </c>
      <c r="H4969">
        <v>7</v>
      </c>
      <c r="I4969" t="s">
        <v>7374</v>
      </c>
      <c r="J4969" t="s">
        <v>294</v>
      </c>
      <c r="M4969" t="s">
        <v>295</v>
      </c>
      <c r="N4969" t="s">
        <v>7</v>
      </c>
      <c r="O4969" t="s">
        <v>297</v>
      </c>
    </row>
    <row r="4970" spans="1:15" x14ac:dyDescent="0.3">
      <c r="A4970" t="s">
        <v>7065</v>
      </c>
      <c r="B4970" t="s">
        <v>7298</v>
      </c>
      <c r="C4970">
        <v>2024</v>
      </c>
      <c r="D4970" t="s">
        <v>358</v>
      </c>
      <c r="E4970" t="s">
        <v>7171</v>
      </c>
      <c r="F4970">
        <v>21722</v>
      </c>
      <c r="G4970" t="s">
        <v>360</v>
      </c>
      <c r="H4970">
        <v>7</v>
      </c>
      <c r="I4970" t="s">
        <v>7375</v>
      </c>
      <c r="J4970" t="s">
        <v>294</v>
      </c>
      <c r="M4970" t="s">
        <v>295</v>
      </c>
      <c r="N4970" t="s">
        <v>7</v>
      </c>
      <c r="O4970" t="s">
        <v>297</v>
      </c>
    </row>
    <row r="4971" spans="1:15" x14ac:dyDescent="0.3">
      <c r="A4971" t="s">
        <v>7065</v>
      </c>
      <c r="B4971" t="s">
        <v>7298</v>
      </c>
      <c r="C4971">
        <v>2024</v>
      </c>
      <c r="D4971" t="s">
        <v>358</v>
      </c>
      <c r="E4971" t="s">
        <v>7173</v>
      </c>
      <c r="F4971">
        <v>58851</v>
      </c>
      <c r="G4971" t="s">
        <v>360</v>
      </c>
      <c r="H4971">
        <v>7</v>
      </c>
      <c r="I4971" t="s">
        <v>7376</v>
      </c>
      <c r="J4971" t="s">
        <v>294</v>
      </c>
      <c r="M4971" t="s">
        <v>295</v>
      </c>
      <c r="N4971" t="s">
        <v>7</v>
      </c>
      <c r="O4971" t="s">
        <v>297</v>
      </c>
    </row>
    <row r="4972" spans="1:15" x14ac:dyDescent="0.3">
      <c r="A4972" t="s">
        <v>7065</v>
      </c>
      <c r="B4972" t="s">
        <v>7298</v>
      </c>
      <c r="C4972">
        <v>2024</v>
      </c>
      <c r="D4972" t="s">
        <v>358</v>
      </c>
      <c r="E4972" t="s">
        <v>7175</v>
      </c>
      <c r="F4972">
        <v>10965</v>
      </c>
      <c r="G4972" t="s">
        <v>360</v>
      </c>
      <c r="H4972">
        <v>7</v>
      </c>
      <c r="I4972" t="s">
        <v>7377</v>
      </c>
      <c r="J4972" t="s">
        <v>294</v>
      </c>
      <c r="M4972" t="s">
        <v>295</v>
      </c>
      <c r="N4972" t="s">
        <v>7</v>
      </c>
      <c r="O4972" t="s">
        <v>297</v>
      </c>
    </row>
    <row r="4973" spans="1:15" x14ac:dyDescent="0.3">
      <c r="A4973" t="s">
        <v>7065</v>
      </c>
      <c r="B4973" t="s">
        <v>7298</v>
      </c>
      <c r="C4973">
        <v>2024</v>
      </c>
      <c r="D4973" t="s">
        <v>358</v>
      </c>
      <c r="E4973" t="s">
        <v>7177</v>
      </c>
      <c r="F4973">
        <v>3217</v>
      </c>
      <c r="G4973" t="s">
        <v>360</v>
      </c>
      <c r="H4973">
        <v>7</v>
      </c>
      <c r="I4973" t="s">
        <v>7378</v>
      </c>
      <c r="J4973" t="s">
        <v>294</v>
      </c>
      <c r="M4973" t="s">
        <v>295</v>
      </c>
      <c r="N4973" t="s">
        <v>7</v>
      </c>
      <c r="O4973" t="s">
        <v>297</v>
      </c>
    </row>
    <row r="4974" spans="1:15" x14ac:dyDescent="0.3">
      <c r="A4974" t="s">
        <v>7065</v>
      </c>
      <c r="B4974" t="s">
        <v>7298</v>
      </c>
      <c r="C4974">
        <v>2024</v>
      </c>
      <c r="D4974" t="s">
        <v>358</v>
      </c>
      <c r="E4974" t="s">
        <v>521</v>
      </c>
      <c r="F4974">
        <v>5480</v>
      </c>
      <c r="G4974" t="s">
        <v>360</v>
      </c>
      <c r="H4974">
        <v>7</v>
      </c>
      <c r="I4974" t="s">
        <v>7379</v>
      </c>
      <c r="J4974" t="s">
        <v>294</v>
      </c>
      <c r="M4974" t="s">
        <v>295</v>
      </c>
      <c r="N4974" t="s">
        <v>7</v>
      </c>
      <c r="O4974" t="s">
        <v>297</v>
      </c>
    </row>
    <row r="4975" spans="1:15" x14ac:dyDescent="0.3">
      <c r="A4975" t="s">
        <v>7065</v>
      </c>
      <c r="B4975" t="s">
        <v>7298</v>
      </c>
      <c r="C4975">
        <v>2024</v>
      </c>
      <c r="D4975" t="s">
        <v>358</v>
      </c>
      <c r="E4975" t="s">
        <v>4437</v>
      </c>
      <c r="F4975">
        <v>27</v>
      </c>
      <c r="G4975" t="s">
        <v>384</v>
      </c>
      <c r="H4975">
        <v>109</v>
      </c>
      <c r="I4975" t="s">
        <v>7380</v>
      </c>
      <c r="J4975" t="s">
        <v>294</v>
      </c>
      <c r="M4975" t="s">
        <v>295</v>
      </c>
      <c r="N4975" t="s">
        <v>7</v>
      </c>
      <c r="O4975" t="s">
        <v>297</v>
      </c>
    </row>
    <row r="4976" spans="1:15" x14ac:dyDescent="0.3">
      <c r="A4976" t="s">
        <v>7065</v>
      </c>
      <c r="B4976" t="s">
        <v>7298</v>
      </c>
      <c r="C4976">
        <v>2024</v>
      </c>
      <c r="D4976" t="s">
        <v>358</v>
      </c>
      <c r="E4976" t="s">
        <v>7381</v>
      </c>
      <c r="F4976">
        <v>7200000</v>
      </c>
      <c r="G4976" t="s">
        <v>7382</v>
      </c>
      <c r="H4976">
        <v>109</v>
      </c>
      <c r="I4976" t="s">
        <v>7284</v>
      </c>
      <c r="J4976" t="s">
        <v>294</v>
      </c>
      <c r="M4976" t="s">
        <v>295</v>
      </c>
      <c r="N4976" t="s">
        <v>7</v>
      </c>
      <c r="O4976" t="s">
        <v>297</v>
      </c>
    </row>
    <row r="4977" spans="1:15" x14ac:dyDescent="0.3">
      <c r="A4977" t="s">
        <v>7065</v>
      </c>
      <c r="B4977" t="s">
        <v>7298</v>
      </c>
      <c r="C4977">
        <v>2024</v>
      </c>
      <c r="D4977" t="s">
        <v>358</v>
      </c>
      <c r="E4977" t="s">
        <v>7183</v>
      </c>
      <c r="F4977">
        <v>5</v>
      </c>
      <c r="G4977" t="s">
        <v>384</v>
      </c>
      <c r="H4977">
        <v>109</v>
      </c>
      <c r="I4977" t="s">
        <v>7383</v>
      </c>
      <c r="J4977" t="s">
        <v>294</v>
      </c>
      <c r="M4977" t="s">
        <v>295</v>
      </c>
      <c r="N4977" t="s">
        <v>7</v>
      </c>
      <c r="O4977" t="s">
        <v>297</v>
      </c>
    </row>
    <row r="4978" spans="1:15" x14ac:dyDescent="0.3">
      <c r="A4978" t="s">
        <v>7065</v>
      </c>
      <c r="B4978" t="s">
        <v>7298</v>
      </c>
      <c r="C4978">
        <v>2024</v>
      </c>
      <c r="D4978" t="s">
        <v>358</v>
      </c>
      <c r="E4978" t="s">
        <v>7384</v>
      </c>
      <c r="F4978">
        <v>1700000</v>
      </c>
      <c r="G4978" t="s">
        <v>7382</v>
      </c>
      <c r="H4978">
        <v>109</v>
      </c>
      <c r="I4978" t="s">
        <v>7385</v>
      </c>
      <c r="J4978" t="s">
        <v>294</v>
      </c>
      <c r="M4978" t="s">
        <v>295</v>
      </c>
      <c r="N4978" t="s">
        <v>7</v>
      </c>
      <c r="O4978" t="s">
        <v>297</v>
      </c>
    </row>
    <row r="4979" spans="1:15" x14ac:dyDescent="0.3">
      <c r="A4979" t="s">
        <v>7065</v>
      </c>
      <c r="B4979" t="s">
        <v>7298</v>
      </c>
      <c r="C4979">
        <v>2024</v>
      </c>
      <c r="D4979" t="s">
        <v>358</v>
      </c>
      <c r="E4979" t="s">
        <v>7386</v>
      </c>
      <c r="F4979">
        <v>2</v>
      </c>
      <c r="G4979" t="s">
        <v>384</v>
      </c>
      <c r="H4979">
        <v>109</v>
      </c>
      <c r="I4979" t="s">
        <v>7387</v>
      </c>
      <c r="J4979" t="s">
        <v>294</v>
      </c>
      <c r="M4979" t="s">
        <v>295</v>
      </c>
      <c r="N4979" t="s">
        <v>7</v>
      </c>
      <c r="O4979" t="s">
        <v>297</v>
      </c>
    </row>
    <row r="4980" spans="1:15" x14ac:dyDescent="0.3">
      <c r="A4980" t="s">
        <v>7065</v>
      </c>
      <c r="B4980" t="s">
        <v>7298</v>
      </c>
      <c r="C4980">
        <v>2024</v>
      </c>
      <c r="D4980" t="s">
        <v>358</v>
      </c>
      <c r="E4980" t="s">
        <v>7388</v>
      </c>
      <c r="F4980">
        <v>2200000</v>
      </c>
      <c r="G4980" t="s">
        <v>7389</v>
      </c>
      <c r="H4980">
        <v>109</v>
      </c>
      <c r="I4980" t="s">
        <v>7390</v>
      </c>
      <c r="J4980" t="s">
        <v>294</v>
      </c>
      <c r="M4980" t="s">
        <v>295</v>
      </c>
      <c r="N4980" t="s">
        <v>7</v>
      </c>
      <c r="O4980" t="s">
        <v>297</v>
      </c>
    </row>
    <row r="4981" spans="1:15" x14ac:dyDescent="0.3">
      <c r="A4981" t="s">
        <v>7065</v>
      </c>
      <c r="B4981" t="s">
        <v>7298</v>
      </c>
      <c r="C4981">
        <v>2024</v>
      </c>
      <c r="D4981" t="s">
        <v>358</v>
      </c>
      <c r="E4981" t="s">
        <v>7190</v>
      </c>
      <c r="F4981">
        <v>3</v>
      </c>
      <c r="G4981" t="s">
        <v>384</v>
      </c>
      <c r="H4981">
        <v>11</v>
      </c>
      <c r="I4981" t="s">
        <v>4443</v>
      </c>
      <c r="J4981" t="s">
        <v>294</v>
      </c>
      <c r="M4981" t="s">
        <v>295</v>
      </c>
      <c r="N4981" t="s">
        <v>7</v>
      </c>
      <c r="O4981" t="s">
        <v>297</v>
      </c>
    </row>
    <row r="4982" spans="1:15" x14ac:dyDescent="0.3">
      <c r="A4982" t="s">
        <v>7065</v>
      </c>
      <c r="B4982" t="s">
        <v>7298</v>
      </c>
      <c r="C4982">
        <v>2024</v>
      </c>
      <c r="D4982" t="s">
        <v>358</v>
      </c>
      <c r="E4982" t="s">
        <v>7191</v>
      </c>
      <c r="F4982">
        <v>2</v>
      </c>
      <c r="G4982" t="s">
        <v>384</v>
      </c>
      <c r="H4982">
        <v>11</v>
      </c>
      <c r="I4982" t="s">
        <v>4445</v>
      </c>
      <c r="J4982" t="s">
        <v>294</v>
      </c>
      <c r="M4982" t="s">
        <v>295</v>
      </c>
      <c r="N4982" t="s">
        <v>7</v>
      </c>
      <c r="O4982" t="s">
        <v>297</v>
      </c>
    </row>
    <row r="4983" spans="1:15" x14ac:dyDescent="0.3">
      <c r="A4983" t="s">
        <v>7065</v>
      </c>
      <c r="B4983" t="s">
        <v>7298</v>
      </c>
      <c r="C4983">
        <v>2024</v>
      </c>
      <c r="D4983" t="s">
        <v>358</v>
      </c>
      <c r="E4983" t="s">
        <v>4446</v>
      </c>
      <c r="F4983">
        <v>1</v>
      </c>
      <c r="G4983" t="s">
        <v>384</v>
      </c>
      <c r="H4983">
        <v>11</v>
      </c>
      <c r="I4983" t="s">
        <v>7391</v>
      </c>
      <c r="J4983" t="s">
        <v>294</v>
      </c>
      <c r="M4983" t="s">
        <v>295</v>
      </c>
      <c r="N4983" t="s">
        <v>7</v>
      </c>
      <c r="O4983" t="s">
        <v>297</v>
      </c>
    </row>
    <row r="4984" spans="1:15" x14ac:dyDescent="0.3">
      <c r="A4984" t="s">
        <v>7065</v>
      </c>
      <c r="B4984" t="s">
        <v>7298</v>
      </c>
      <c r="C4984">
        <v>2024</v>
      </c>
      <c r="D4984" t="s">
        <v>358</v>
      </c>
      <c r="E4984" t="s">
        <v>4448</v>
      </c>
      <c r="F4984">
        <v>1</v>
      </c>
      <c r="G4984" t="s">
        <v>384</v>
      </c>
      <c r="H4984">
        <v>11</v>
      </c>
      <c r="I4984" t="s">
        <v>7392</v>
      </c>
      <c r="J4984" t="s">
        <v>294</v>
      </c>
      <c r="M4984" t="s">
        <v>295</v>
      </c>
      <c r="N4984" t="s">
        <v>7</v>
      </c>
      <c r="O4984" t="s">
        <v>297</v>
      </c>
    </row>
    <row r="4985" spans="1:15" x14ac:dyDescent="0.3">
      <c r="A4985" t="s">
        <v>7065</v>
      </c>
      <c r="B4985" t="s">
        <v>7298</v>
      </c>
      <c r="C4985">
        <v>2024</v>
      </c>
      <c r="D4985" t="s">
        <v>358</v>
      </c>
      <c r="E4985" t="s">
        <v>7393</v>
      </c>
      <c r="F4985">
        <v>2</v>
      </c>
      <c r="G4985" t="s">
        <v>384</v>
      </c>
      <c r="H4985">
        <v>11</v>
      </c>
      <c r="I4985" t="s">
        <v>7394</v>
      </c>
      <c r="J4985" t="s">
        <v>294</v>
      </c>
      <c r="M4985" t="s">
        <v>295</v>
      </c>
      <c r="N4985" t="s">
        <v>7</v>
      </c>
      <c r="O4985" t="s">
        <v>297</v>
      </c>
    </row>
    <row r="4986" spans="1:15" x14ac:dyDescent="0.3">
      <c r="A4986" t="s">
        <v>7065</v>
      </c>
      <c r="B4986" t="s">
        <v>7298</v>
      </c>
      <c r="C4986">
        <v>2024</v>
      </c>
      <c r="D4986" t="s">
        <v>394</v>
      </c>
      <c r="E4986" t="s">
        <v>7192</v>
      </c>
      <c r="F4986">
        <v>3645</v>
      </c>
      <c r="G4986" t="s">
        <v>557</v>
      </c>
      <c r="H4986">
        <v>7</v>
      </c>
      <c r="I4986" t="s">
        <v>7395</v>
      </c>
      <c r="J4986" t="s">
        <v>294</v>
      </c>
      <c r="M4986" t="s">
        <v>295</v>
      </c>
      <c r="N4986" t="s">
        <v>7</v>
      </c>
      <c r="O4986" t="s">
        <v>297</v>
      </c>
    </row>
    <row r="4987" spans="1:15" x14ac:dyDescent="0.3">
      <c r="A4987" t="s">
        <v>7065</v>
      </c>
      <c r="B4987" t="s">
        <v>7298</v>
      </c>
      <c r="C4987">
        <v>2024</v>
      </c>
      <c r="D4987" t="s">
        <v>394</v>
      </c>
      <c r="E4987" t="s">
        <v>4451</v>
      </c>
      <c r="F4987">
        <v>2758</v>
      </c>
      <c r="G4987" t="s">
        <v>557</v>
      </c>
      <c r="H4987">
        <v>7</v>
      </c>
      <c r="I4987" t="s">
        <v>7396</v>
      </c>
      <c r="J4987" t="s">
        <v>294</v>
      </c>
      <c r="M4987" t="s">
        <v>295</v>
      </c>
      <c r="N4987" t="s">
        <v>7</v>
      </c>
      <c r="O4987" t="s">
        <v>297</v>
      </c>
    </row>
    <row r="4988" spans="1:15" x14ac:dyDescent="0.3">
      <c r="A4988" t="s">
        <v>7065</v>
      </c>
      <c r="B4988" t="s">
        <v>7298</v>
      </c>
      <c r="C4988">
        <v>2024</v>
      </c>
      <c r="D4988" t="s">
        <v>394</v>
      </c>
      <c r="E4988" t="s">
        <v>406</v>
      </c>
      <c r="F4988">
        <v>706</v>
      </c>
      <c r="G4988" t="s">
        <v>557</v>
      </c>
      <c r="H4988">
        <v>7</v>
      </c>
      <c r="I4988" t="s">
        <v>7397</v>
      </c>
      <c r="J4988" t="s">
        <v>294</v>
      </c>
      <c r="M4988" t="s">
        <v>295</v>
      </c>
      <c r="N4988" t="s">
        <v>7</v>
      </c>
      <c r="O4988" t="s">
        <v>297</v>
      </c>
    </row>
    <row r="4989" spans="1:15" x14ac:dyDescent="0.3">
      <c r="A4989" t="s">
        <v>7065</v>
      </c>
      <c r="B4989" t="s">
        <v>7298</v>
      </c>
      <c r="C4989">
        <v>2024</v>
      </c>
      <c r="D4989" t="s">
        <v>394</v>
      </c>
      <c r="E4989" t="s">
        <v>4456</v>
      </c>
      <c r="F4989">
        <v>167</v>
      </c>
      <c r="G4989" t="s">
        <v>557</v>
      </c>
      <c r="H4989">
        <v>7</v>
      </c>
      <c r="I4989" t="s">
        <v>7398</v>
      </c>
      <c r="J4989" t="s">
        <v>294</v>
      </c>
      <c r="M4989" t="s">
        <v>295</v>
      </c>
      <c r="N4989" t="s">
        <v>7</v>
      </c>
      <c r="O4989" t="s">
        <v>297</v>
      </c>
    </row>
    <row r="4990" spans="1:15" x14ac:dyDescent="0.3">
      <c r="A4990" t="s">
        <v>7065</v>
      </c>
      <c r="B4990" t="s">
        <v>7298</v>
      </c>
      <c r="C4990">
        <v>2024</v>
      </c>
      <c r="D4990" t="s">
        <v>394</v>
      </c>
      <c r="E4990" t="s">
        <v>4461</v>
      </c>
      <c r="F4990">
        <v>4.8</v>
      </c>
      <c r="G4990" t="s">
        <v>557</v>
      </c>
      <c r="H4990">
        <v>7</v>
      </c>
      <c r="I4990" t="s">
        <v>7399</v>
      </c>
      <c r="J4990" t="s">
        <v>294</v>
      </c>
      <c r="M4990" t="s">
        <v>295</v>
      </c>
      <c r="N4990" t="s">
        <v>7</v>
      </c>
      <c r="O4990" t="s">
        <v>297</v>
      </c>
    </row>
    <row r="4991" spans="1:15" x14ac:dyDescent="0.3">
      <c r="A4991" t="s">
        <v>7065</v>
      </c>
      <c r="B4991" t="s">
        <v>7298</v>
      </c>
      <c r="C4991">
        <v>2024</v>
      </c>
      <c r="D4991" t="s">
        <v>394</v>
      </c>
      <c r="E4991" t="s">
        <v>7197</v>
      </c>
      <c r="F4991">
        <v>54</v>
      </c>
      <c r="G4991" t="s">
        <v>557</v>
      </c>
      <c r="H4991">
        <v>7</v>
      </c>
      <c r="I4991" t="s">
        <v>7400</v>
      </c>
      <c r="J4991" t="s">
        <v>294</v>
      </c>
      <c r="M4991" t="s">
        <v>295</v>
      </c>
      <c r="N4991" t="s">
        <v>7</v>
      </c>
      <c r="O4991" t="s">
        <v>297</v>
      </c>
    </row>
    <row r="4992" spans="1:15" x14ac:dyDescent="0.3">
      <c r="A4992" t="s">
        <v>7065</v>
      </c>
      <c r="B4992" t="s">
        <v>7298</v>
      </c>
      <c r="C4992">
        <v>2024</v>
      </c>
      <c r="D4992" t="s">
        <v>394</v>
      </c>
      <c r="E4992" t="s">
        <v>438</v>
      </c>
      <c r="F4992">
        <v>690</v>
      </c>
      <c r="G4992" t="s">
        <v>557</v>
      </c>
      <c r="H4992">
        <v>7</v>
      </c>
      <c r="I4992" t="s">
        <v>7401</v>
      </c>
      <c r="J4992" t="s">
        <v>294</v>
      </c>
      <c r="M4992" t="s">
        <v>295</v>
      </c>
      <c r="N4992" t="s">
        <v>7</v>
      </c>
      <c r="O4992" t="s">
        <v>297</v>
      </c>
    </row>
    <row r="4993" spans="1:15" x14ac:dyDescent="0.3">
      <c r="A4993" t="s">
        <v>7065</v>
      </c>
      <c r="B4993" t="s">
        <v>7298</v>
      </c>
      <c r="C4993">
        <v>2024</v>
      </c>
      <c r="D4993" t="s">
        <v>394</v>
      </c>
      <c r="E4993" t="s">
        <v>7200</v>
      </c>
      <c r="F4993">
        <v>159</v>
      </c>
      <c r="G4993" t="s">
        <v>557</v>
      </c>
      <c r="H4993">
        <v>7</v>
      </c>
      <c r="I4993" t="s">
        <v>7402</v>
      </c>
      <c r="J4993" t="s">
        <v>294</v>
      </c>
      <c r="M4993" t="s">
        <v>295</v>
      </c>
      <c r="N4993" t="s">
        <v>7</v>
      </c>
      <c r="O4993" t="s">
        <v>297</v>
      </c>
    </row>
    <row r="4994" spans="1:15" x14ac:dyDescent="0.3">
      <c r="A4994" t="s">
        <v>7065</v>
      </c>
      <c r="B4994" t="s">
        <v>7298</v>
      </c>
      <c r="C4994">
        <v>2024</v>
      </c>
      <c r="D4994" t="s">
        <v>394</v>
      </c>
      <c r="E4994" t="s">
        <v>4469</v>
      </c>
      <c r="F4994">
        <v>10.4</v>
      </c>
      <c r="G4994" t="s">
        <v>7202</v>
      </c>
      <c r="H4994">
        <v>7</v>
      </c>
      <c r="I4994" t="s">
        <v>7403</v>
      </c>
      <c r="J4994" t="s">
        <v>294</v>
      </c>
      <c r="M4994" t="s">
        <v>295</v>
      </c>
      <c r="N4994" t="s">
        <v>7</v>
      </c>
      <c r="O4994" t="s">
        <v>297</v>
      </c>
    </row>
    <row r="4995" spans="1:15" x14ac:dyDescent="0.3">
      <c r="A4995" t="s">
        <v>7065</v>
      </c>
      <c r="B4995" t="s">
        <v>7298</v>
      </c>
      <c r="C4995">
        <v>2024</v>
      </c>
      <c r="D4995" t="s">
        <v>394</v>
      </c>
      <c r="E4995" t="s">
        <v>7404</v>
      </c>
      <c r="F4995">
        <v>13190</v>
      </c>
      <c r="G4995" t="s">
        <v>436</v>
      </c>
      <c r="H4995">
        <v>23</v>
      </c>
      <c r="I4995" t="s">
        <v>7405</v>
      </c>
      <c r="J4995" t="s">
        <v>294</v>
      </c>
      <c r="M4995" t="s">
        <v>295</v>
      </c>
      <c r="N4995" t="s">
        <v>7</v>
      </c>
      <c r="O4995" t="s">
        <v>297</v>
      </c>
    </row>
    <row r="4996" spans="1:15" x14ac:dyDescent="0.3">
      <c r="A4996" t="s">
        <v>7065</v>
      </c>
      <c r="B4996" t="s">
        <v>7298</v>
      </c>
      <c r="C4996">
        <v>2024</v>
      </c>
      <c r="D4996" t="s">
        <v>394</v>
      </c>
      <c r="E4996" t="s">
        <v>7406</v>
      </c>
      <c r="F4996">
        <v>1113</v>
      </c>
      <c r="G4996" t="s">
        <v>947</v>
      </c>
      <c r="H4996">
        <v>23</v>
      </c>
      <c r="I4996" t="s">
        <v>7407</v>
      </c>
      <c r="J4996" t="s">
        <v>294</v>
      </c>
      <c r="M4996" t="s">
        <v>295</v>
      </c>
      <c r="N4996" t="s">
        <v>7</v>
      </c>
      <c r="O4996" t="s">
        <v>297</v>
      </c>
    </row>
    <row r="4997" spans="1:15" x14ac:dyDescent="0.3">
      <c r="A4997" t="s">
        <v>7065</v>
      </c>
      <c r="B4997" t="s">
        <v>7298</v>
      </c>
      <c r="C4997">
        <v>2024</v>
      </c>
      <c r="D4997" t="s">
        <v>394</v>
      </c>
      <c r="E4997" t="s">
        <v>7408</v>
      </c>
      <c r="F4997">
        <v>0.1</v>
      </c>
      <c r="G4997" t="s">
        <v>334</v>
      </c>
      <c r="H4997">
        <v>24</v>
      </c>
      <c r="I4997" t="s">
        <v>7409</v>
      </c>
      <c r="J4997" t="s">
        <v>294</v>
      </c>
      <c r="M4997" t="s">
        <v>295</v>
      </c>
      <c r="N4997" t="s">
        <v>7</v>
      </c>
      <c r="O4997" t="s">
        <v>297</v>
      </c>
    </row>
    <row r="4998" spans="1:15" x14ac:dyDescent="0.3">
      <c r="A4998" t="s">
        <v>7065</v>
      </c>
      <c r="B4998" t="s">
        <v>7298</v>
      </c>
      <c r="C4998">
        <v>2024</v>
      </c>
      <c r="D4998" t="s">
        <v>394</v>
      </c>
      <c r="E4998" t="s">
        <v>7410</v>
      </c>
      <c r="F4998">
        <v>0.09</v>
      </c>
      <c r="G4998" t="s">
        <v>334</v>
      </c>
      <c r="H4998">
        <v>24</v>
      </c>
      <c r="I4998" t="s">
        <v>7411</v>
      </c>
      <c r="J4998" t="s">
        <v>294</v>
      </c>
      <c r="M4998" t="s">
        <v>295</v>
      </c>
      <c r="N4998" t="s">
        <v>7</v>
      </c>
      <c r="O4998" t="s">
        <v>297</v>
      </c>
    </row>
    <row r="4999" spans="1:15" x14ac:dyDescent="0.3">
      <c r="A4999" t="s">
        <v>7065</v>
      </c>
      <c r="B4999" t="s">
        <v>7298</v>
      </c>
      <c r="C4999">
        <v>2024</v>
      </c>
      <c r="D4999" t="s">
        <v>563</v>
      </c>
      <c r="E4999" t="s">
        <v>4481</v>
      </c>
      <c r="F4999">
        <v>481000</v>
      </c>
      <c r="G4999" t="s">
        <v>396</v>
      </c>
      <c r="H4999">
        <v>22</v>
      </c>
      <c r="I4999" t="s">
        <v>7412</v>
      </c>
      <c r="J4999" t="s">
        <v>294</v>
      </c>
      <c r="M4999" t="s">
        <v>295</v>
      </c>
      <c r="N4999" t="s">
        <v>7</v>
      </c>
      <c r="O4999" t="s">
        <v>297</v>
      </c>
    </row>
    <row r="5000" spans="1:15" x14ac:dyDescent="0.3">
      <c r="A5000" t="s">
        <v>7065</v>
      </c>
      <c r="B5000" t="s">
        <v>7298</v>
      </c>
      <c r="C5000">
        <v>2024</v>
      </c>
      <c r="D5000" t="s">
        <v>563</v>
      </c>
      <c r="E5000" t="s">
        <v>7413</v>
      </c>
      <c r="F5000">
        <v>1</v>
      </c>
      <c r="G5000" t="s">
        <v>334</v>
      </c>
      <c r="H5000">
        <v>22</v>
      </c>
      <c r="I5000" t="s">
        <v>7414</v>
      </c>
      <c r="J5000" t="s">
        <v>294</v>
      </c>
      <c r="M5000" t="s">
        <v>295</v>
      </c>
      <c r="N5000" t="s">
        <v>7</v>
      </c>
      <c r="O5000" t="s">
        <v>297</v>
      </c>
    </row>
    <row r="5001" spans="1:15" x14ac:dyDescent="0.3">
      <c r="A5001" t="s">
        <v>7065</v>
      </c>
      <c r="B5001" t="s">
        <v>7298</v>
      </c>
      <c r="C5001">
        <v>2024</v>
      </c>
      <c r="D5001" t="s">
        <v>563</v>
      </c>
      <c r="E5001" t="s">
        <v>7415</v>
      </c>
      <c r="F5001" t="s">
        <v>7416</v>
      </c>
      <c r="G5001" t="s">
        <v>292</v>
      </c>
      <c r="H5001">
        <v>22</v>
      </c>
      <c r="I5001" t="s">
        <v>7417</v>
      </c>
      <c r="J5001" t="s">
        <v>294</v>
      </c>
      <c r="M5001" t="s">
        <v>295</v>
      </c>
      <c r="N5001" t="s">
        <v>7</v>
      </c>
      <c r="O5001" t="s">
        <v>297</v>
      </c>
    </row>
    <row r="5002" spans="1:15" x14ac:dyDescent="0.3">
      <c r="A5002" t="s">
        <v>7418</v>
      </c>
      <c r="B5002" t="s">
        <v>7419</v>
      </c>
      <c r="C5002">
        <v>2022</v>
      </c>
      <c r="D5002" t="s">
        <v>272</v>
      </c>
      <c r="E5002" t="s">
        <v>291</v>
      </c>
      <c r="F5002" t="s">
        <v>7418</v>
      </c>
      <c r="G5002" t="s">
        <v>292</v>
      </c>
      <c r="H5002">
        <v>1</v>
      </c>
      <c r="I5002" t="s">
        <v>7420</v>
      </c>
      <c r="J5002" t="s">
        <v>294</v>
      </c>
      <c r="M5002" t="s">
        <v>295</v>
      </c>
      <c r="N5002" t="s">
        <v>7</v>
      </c>
      <c r="O5002" t="s">
        <v>297</v>
      </c>
    </row>
    <row r="5003" spans="1:15" x14ac:dyDescent="0.3">
      <c r="A5003" t="s">
        <v>7418</v>
      </c>
      <c r="B5003" t="s">
        <v>7419</v>
      </c>
      <c r="C5003">
        <v>2022</v>
      </c>
      <c r="D5003" t="s">
        <v>272</v>
      </c>
      <c r="E5003" t="s">
        <v>442</v>
      </c>
      <c r="F5003" t="s">
        <v>7421</v>
      </c>
      <c r="G5003" t="s">
        <v>334</v>
      </c>
      <c r="H5003">
        <v>153</v>
      </c>
      <c r="I5003" t="s">
        <v>7422</v>
      </c>
      <c r="J5003" t="s">
        <v>294</v>
      </c>
      <c r="M5003" t="s">
        <v>295</v>
      </c>
      <c r="N5003" t="s">
        <v>7</v>
      </c>
      <c r="O5003" t="s">
        <v>297</v>
      </c>
    </row>
    <row r="5004" spans="1:15" x14ac:dyDescent="0.3">
      <c r="A5004" t="s">
        <v>7418</v>
      </c>
      <c r="B5004" t="s">
        <v>7419</v>
      </c>
      <c r="C5004">
        <v>2022</v>
      </c>
      <c r="D5004" t="s">
        <v>272</v>
      </c>
      <c r="E5004" t="s">
        <v>445</v>
      </c>
      <c r="F5004">
        <v>7.5999999999999998E-2</v>
      </c>
      <c r="G5004" t="s">
        <v>334</v>
      </c>
      <c r="H5004">
        <v>153</v>
      </c>
      <c r="I5004" t="s">
        <v>7423</v>
      </c>
      <c r="J5004" t="s">
        <v>294</v>
      </c>
      <c r="M5004" t="s">
        <v>295</v>
      </c>
      <c r="N5004" t="s">
        <v>7</v>
      </c>
      <c r="O5004" t="s">
        <v>297</v>
      </c>
    </row>
    <row r="5005" spans="1:15" x14ac:dyDescent="0.3">
      <c r="A5005" t="s">
        <v>7418</v>
      </c>
      <c r="B5005" t="s">
        <v>7419</v>
      </c>
      <c r="C5005">
        <v>2022</v>
      </c>
      <c r="D5005" t="s">
        <v>272</v>
      </c>
      <c r="E5005" t="s">
        <v>7424</v>
      </c>
      <c r="F5005" t="s">
        <v>7425</v>
      </c>
      <c r="G5005" t="s">
        <v>292</v>
      </c>
      <c r="H5005">
        <v>10</v>
      </c>
      <c r="I5005" t="s">
        <v>7426</v>
      </c>
      <c r="J5005" t="s">
        <v>294</v>
      </c>
      <c r="M5005" t="s">
        <v>295</v>
      </c>
      <c r="N5005" t="s">
        <v>7</v>
      </c>
      <c r="O5005" t="s">
        <v>297</v>
      </c>
    </row>
    <row r="5006" spans="1:15" x14ac:dyDescent="0.3">
      <c r="A5006" t="s">
        <v>7418</v>
      </c>
      <c r="B5006" t="s">
        <v>7419</v>
      </c>
      <c r="C5006">
        <v>2022</v>
      </c>
      <c r="D5006" t="s">
        <v>272</v>
      </c>
      <c r="E5006" t="s">
        <v>2702</v>
      </c>
      <c r="F5006">
        <v>27500</v>
      </c>
      <c r="G5006" t="s">
        <v>2969</v>
      </c>
      <c r="H5006">
        <v>10</v>
      </c>
      <c r="I5006" t="s">
        <v>7427</v>
      </c>
      <c r="J5006" t="s">
        <v>294</v>
      </c>
      <c r="M5006" t="s">
        <v>295</v>
      </c>
      <c r="N5006" t="s">
        <v>7</v>
      </c>
      <c r="O5006" t="s">
        <v>297</v>
      </c>
    </row>
    <row r="5007" spans="1:15" x14ac:dyDescent="0.3">
      <c r="A5007" t="s">
        <v>7418</v>
      </c>
      <c r="B5007" t="s">
        <v>7419</v>
      </c>
      <c r="C5007">
        <v>2022</v>
      </c>
      <c r="D5007" t="s">
        <v>272</v>
      </c>
      <c r="E5007" t="s">
        <v>6558</v>
      </c>
      <c r="F5007">
        <v>7700</v>
      </c>
      <c r="G5007" t="s">
        <v>2969</v>
      </c>
      <c r="H5007">
        <v>10</v>
      </c>
      <c r="I5007" t="s">
        <v>7428</v>
      </c>
      <c r="J5007" t="s">
        <v>294</v>
      </c>
      <c r="M5007" t="s">
        <v>295</v>
      </c>
      <c r="N5007" t="s">
        <v>7</v>
      </c>
      <c r="O5007" t="s">
        <v>297</v>
      </c>
    </row>
    <row r="5008" spans="1:15" x14ac:dyDescent="0.3">
      <c r="A5008" t="s">
        <v>7418</v>
      </c>
      <c r="B5008" t="s">
        <v>7419</v>
      </c>
      <c r="C5008">
        <v>2022</v>
      </c>
      <c r="D5008" t="s">
        <v>300</v>
      </c>
      <c r="E5008" t="s">
        <v>682</v>
      </c>
      <c r="F5008">
        <v>75046</v>
      </c>
      <c r="G5008" t="s">
        <v>302</v>
      </c>
      <c r="H5008">
        <v>8</v>
      </c>
      <c r="I5008" t="s">
        <v>7429</v>
      </c>
      <c r="J5008" t="s">
        <v>294</v>
      </c>
      <c r="M5008" t="s">
        <v>295</v>
      </c>
      <c r="N5008" t="s">
        <v>7</v>
      </c>
      <c r="O5008" t="s">
        <v>297</v>
      </c>
    </row>
    <row r="5009" spans="1:15" x14ac:dyDescent="0.3">
      <c r="A5009" t="s">
        <v>7418</v>
      </c>
      <c r="B5009" t="s">
        <v>7419</v>
      </c>
      <c r="C5009">
        <v>2022</v>
      </c>
      <c r="D5009" t="s">
        <v>300</v>
      </c>
      <c r="E5009" t="s">
        <v>304</v>
      </c>
      <c r="F5009">
        <v>13312</v>
      </c>
      <c r="G5009" t="s">
        <v>302</v>
      </c>
      <c r="H5009">
        <v>8</v>
      </c>
      <c r="I5009" t="s">
        <v>7430</v>
      </c>
      <c r="J5009" t="s">
        <v>294</v>
      </c>
      <c r="M5009" t="s">
        <v>295</v>
      </c>
      <c r="N5009" t="s">
        <v>7</v>
      </c>
      <c r="O5009" t="s">
        <v>297</v>
      </c>
    </row>
    <row r="5010" spans="1:15" x14ac:dyDescent="0.3">
      <c r="A5010" t="s">
        <v>7418</v>
      </c>
      <c r="B5010" t="s">
        <v>7419</v>
      </c>
      <c r="C5010">
        <v>2022</v>
      </c>
      <c r="D5010" t="s">
        <v>300</v>
      </c>
      <c r="E5010" t="s">
        <v>880</v>
      </c>
      <c r="F5010">
        <v>9531</v>
      </c>
      <c r="G5010" t="s">
        <v>302</v>
      </c>
      <c r="H5010">
        <v>8</v>
      </c>
      <c r="I5010" t="s">
        <v>7431</v>
      </c>
      <c r="J5010" t="s">
        <v>294</v>
      </c>
      <c r="M5010" t="s">
        <v>295</v>
      </c>
      <c r="N5010" t="s">
        <v>7</v>
      </c>
      <c r="O5010" t="s">
        <v>297</v>
      </c>
    </row>
    <row r="5011" spans="1:15" x14ac:dyDescent="0.3">
      <c r="A5011" t="s">
        <v>7418</v>
      </c>
      <c r="B5011" t="s">
        <v>7419</v>
      </c>
      <c r="C5011">
        <v>2022</v>
      </c>
      <c r="D5011" t="s">
        <v>300</v>
      </c>
      <c r="E5011" t="s">
        <v>7432</v>
      </c>
      <c r="F5011">
        <v>6601</v>
      </c>
      <c r="G5011" t="s">
        <v>302</v>
      </c>
      <c r="H5011">
        <v>178</v>
      </c>
      <c r="I5011" t="s">
        <v>7433</v>
      </c>
      <c r="J5011" t="s">
        <v>294</v>
      </c>
      <c r="M5011" t="s">
        <v>295</v>
      </c>
      <c r="N5011" t="s">
        <v>7</v>
      </c>
      <c r="O5011" t="s">
        <v>297</v>
      </c>
    </row>
    <row r="5012" spans="1:15" x14ac:dyDescent="0.3">
      <c r="A5012" t="s">
        <v>7418</v>
      </c>
      <c r="B5012" t="s">
        <v>7419</v>
      </c>
      <c r="C5012">
        <v>2022</v>
      </c>
      <c r="D5012" t="s">
        <v>300</v>
      </c>
      <c r="E5012" t="s">
        <v>688</v>
      </c>
      <c r="F5012">
        <v>61734</v>
      </c>
      <c r="G5012" t="s">
        <v>302</v>
      </c>
      <c r="H5012">
        <v>178</v>
      </c>
      <c r="I5012" t="s">
        <v>7434</v>
      </c>
      <c r="J5012" t="s">
        <v>294</v>
      </c>
      <c r="M5012" t="s">
        <v>295</v>
      </c>
      <c r="N5012" t="s">
        <v>7</v>
      </c>
      <c r="O5012" t="s">
        <v>297</v>
      </c>
    </row>
    <row r="5013" spans="1:15" x14ac:dyDescent="0.3">
      <c r="A5013" t="s">
        <v>7418</v>
      </c>
      <c r="B5013" t="s">
        <v>7419</v>
      </c>
      <c r="C5013">
        <v>2022</v>
      </c>
      <c r="D5013" t="s">
        <v>300</v>
      </c>
      <c r="E5013" t="s">
        <v>7435</v>
      </c>
      <c r="F5013">
        <v>5418</v>
      </c>
      <c r="G5013" t="s">
        <v>302</v>
      </c>
      <c r="H5013">
        <v>178</v>
      </c>
      <c r="I5013" t="s">
        <v>7436</v>
      </c>
      <c r="J5013" t="s">
        <v>294</v>
      </c>
      <c r="M5013" t="s">
        <v>295</v>
      </c>
      <c r="N5013" t="s">
        <v>7</v>
      </c>
      <c r="O5013" t="s">
        <v>297</v>
      </c>
    </row>
    <row r="5014" spans="1:15" x14ac:dyDescent="0.3">
      <c r="A5014" t="s">
        <v>7418</v>
      </c>
      <c r="B5014" t="s">
        <v>7419</v>
      </c>
      <c r="C5014">
        <v>2022</v>
      </c>
      <c r="D5014" t="s">
        <v>300</v>
      </c>
      <c r="E5014" t="s">
        <v>7437</v>
      </c>
      <c r="F5014">
        <v>1305</v>
      </c>
      <c r="G5014" t="s">
        <v>302</v>
      </c>
      <c r="H5014">
        <v>178</v>
      </c>
      <c r="I5014" t="s">
        <v>7438</v>
      </c>
      <c r="J5014" t="s">
        <v>294</v>
      </c>
      <c r="M5014" t="s">
        <v>295</v>
      </c>
      <c r="N5014" t="s">
        <v>7</v>
      </c>
      <c r="O5014" t="s">
        <v>297</v>
      </c>
    </row>
    <row r="5015" spans="1:15" x14ac:dyDescent="0.3">
      <c r="A5015" t="s">
        <v>7418</v>
      </c>
      <c r="B5015" t="s">
        <v>7419</v>
      </c>
      <c r="C5015">
        <v>2022</v>
      </c>
      <c r="D5015" t="s">
        <v>300</v>
      </c>
      <c r="E5015" t="s">
        <v>693</v>
      </c>
      <c r="F5015">
        <v>1341</v>
      </c>
      <c r="G5015" t="s">
        <v>302</v>
      </c>
      <c r="H5015">
        <v>178</v>
      </c>
      <c r="I5015" t="s">
        <v>7439</v>
      </c>
      <c r="J5015" t="s">
        <v>294</v>
      </c>
      <c r="M5015" t="s">
        <v>295</v>
      </c>
      <c r="N5015" t="s">
        <v>7</v>
      </c>
      <c r="O5015" t="s">
        <v>297</v>
      </c>
    </row>
    <row r="5016" spans="1:15" x14ac:dyDescent="0.3">
      <c r="A5016" t="s">
        <v>7418</v>
      </c>
      <c r="B5016" t="s">
        <v>7419</v>
      </c>
      <c r="C5016">
        <v>2022</v>
      </c>
      <c r="D5016" t="s">
        <v>300</v>
      </c>
      <c r="E5016" t="s">
        <v>7440</v>
      </c>
      <c r="F5016">
        <v>828</v>
      </c>
      <c r="G5016" t="s">
        <v>302</v>
      </c>
      <c r="H5016">
        <v>178</v>
      </c>
      <c r="I5016" t="s">
        <v>7441</v>
      </c>
      <c r="J5016" t="s">
        <v>294</v>
      </c>
      <c r="M5016" t="s">
        <v>295</v>
      </c>
      <c r="N5016" t="s">
        <v>7</v>
      </c>
      <c r="O5016" t="s">
        <v>297</v>
      </c>
    </row>
    <row r="5017" spans="1:15" x14ac:dyDescent="0.3">
      <c r="A5017" t="s">
        <v>7418</v>
      </c>
      <c r="B5017" t="s">
        <v>7419</v>
      </c>
      <c r="C5017">
        <v>2022</v>
      </c>
      <c r="D5017" t="s">
        <v>300</v>
      </c>
      <c r="E5017" t="s">
        <v>579</v>
      </c>
      <c r="F5017">
        <v>6806</v>
      </c>
      <c r="G5017" t="s">
        <v>302</v>
      </c>
      <c r="H5017">
        <v>178</v>
      </c>
      <c r="I5017" t="s">
        <v>7442</v>
      </c>
      <c r="J5017" t="s">
        <v>294</v>
      </c>
      <c r="M5017" t="s">
        <v>295</v>
      </c>
      <c r="N5017" t="s">
        <v>7</v>
      </c>
      <c r="O5017" t="s">
        <v>297</v>
      </c>
    </row>
    <row r="5018" spans="1:15" x14ac:dyDescent="0.3">
      <c r="A5018" t="s">
        <v>7418</v>
      </c>
      <c r="B5018" t="s">
        <v>7419</v>
      </c>
      <c r="C5018">
        <v>2022</v>
      </c>
      <c r="D5018" t="s">
        <v>300</v>
      </c>
      <c r="E5018" t="s">
        <v>1165</v>
      </c>
      <c r="F5018">
        <v>1301</v>
      </c>
      <c r="G5018" t="s">
        <v>302</v>
      </c>
      <c r="H5018">
        <v>178</v>
      </c>
      <c r="I5018" t="s">
        <v>7443</v>
      </c>
      <c r="J5018" t="s">
        <v>294</v>
      </c>
      <c r="M5018" t="s">
        <v>295</v>
      </c>
      <c r="N5018" t="s">
        <v>7</v>
      </c>
      <c r="O5018" t="s">
        <v>297</v>
      </c>
    </row>
    <row r="5019" spans="1:15" x14ac:dyDescent="0.3">
      <c r="A5019" t="s">
        <v>7418</v>
      </c>
      <c r="B5019" t="s">
        <v>7419</v>
      </c>
      <c r="C5019">
        <v>2022</v>
      </c>
      <c r="D5019" t="s">
        <v>300</v>
      </c>
      <c r="E5019" t="s">
        <v>306</v>
      </c>
      <c r="F5019">
        <v>5505</v>
      </c>
      <c r="G5019" t="s">
        <v>302</v>
      </c>
      <c r="H5019">
        <v>8</v>
      </c>
      <c r="I5019" t="s">
        <v>7444</v>
      </c>
      <c r="J5019" t="s">
        <v>294</v>
      </c>
      <c r="M5019" t="s">
        <v>295</v>
      </c>
      <c r="N5019" t="s">
        <v>7</v>
      </c>
      <c r="O5019" t="s">
        <v>297</v>
      </c>
    </row>
    <row r="5020" spans="1:15" x14ac:dyDescent="0.3">
      <c r="A5020" t="s">
        <v>7418</v>
      </c>
      <c r="B5020" t="s">
        <v>7419</v>
      </c>
      <c r="C5020">
        <v>2022</v>
      </c>
      <c r="D5020" t="s">
        <v>300</v>
      </c>
      <c r="E5020" t="s">
        <v>308</v>
      </c>
      <c r="F5020">
        <v>5501</v>
      </c>
      <c r="G5020" t="s">
        <v>302</v>
      </c>
      <c r="H5020">
        <v>8</v>
      </c>
      <c r="I5020" t="s">
        <v>7445</v>
      </c>
      <c r="J5020" t="s">
        <v>294</v>
      </c>
      <c r="M5020" t="s">
        <v>295</v>
      </c>
      <c r="N5020" t="s">
        <v>7</v>
      </c>
      <c r="O5020" t="s">
        <v>297</v>
      </c>
    </row>
    <row r="5021" spans="1:15" x14ac:dyDescent="0.3">
      <c r="A5021" t="s">
        <v>7418</v>
      </c>
      <c r="B5021" t="s">
        <v>7419</v>
      </c>
      <c r="C5021">
        <v>2022</v>
      </c>
      <c r="D5021" t="s">
        <v>300</v>
      </c>
      <c r="E5021" t="s">
        <v>316</v>
      </c>
      <c r="F5021">
        <v>42601</v>
      </c>
      <c r="G5021" t="s">
        <v>302</v>
      </c>
      <c r="H5021">
        <v>8</v>
      </c>
      <c r="I5021" t="s">
        <v>7446</v>
      </c>
      <c r="J5021" t="s">
        <v>294</v>
      </c>
      <c r="M5021" t="s">
        <v>295</v>
      </c>
      <c r="N5021" t="s">
        <v>7</v>
      </c>
      <c r="O5021" t="s">
        <v>297</v>
      </c>
    </row>
    <row r="5022" spans="1:15" x14ac:dyDescent="0.3">
      <c r="A5022" t="s">
        <v>7418</v>
      </c>
      <c r="B5022" t="s">
        <v>7419</v>
      </c>
      <c r="C5022">
        <v>2022</v>
      </c>
      <c r="D5022" t="s">
        <v>300</v>
      </c>
      <c r="E5022" t="s">
        <v>312</v>
      </c>
      <c r="F5022">
        <v>23709</v>
      </c>
      <c r="G5022" t="s">
        <v>302</v>
      </c>
      <c r="H5022">
        <v>176</v>
      </c>
      <c r="I5022" t="s">
        <v>7447</v>
      </c>
      <c r="J5022" t="s">
        <v>294</v>
      </c>
      <c r="M5022" t="s">
        <v>295</v>
      </c>
      <c r="N5022" t="s">
        <v>7</v>
      </c>
      <c r="O5022" t="s">
        <v>297</v>
      </c>
    </row>
    <row r="5023" spans="1:15" x14ac:dyDescent="0.3">
      <c r="A5023" t="s">
        <v>7418</v>
      </c>
      <c r="B5023" t="s">
        <v>7419</v>
      </c>
      <c r="C5023">
        <v>2022</v>
      </c>
      <c r="D5023" t="s">
        <v>300</v>
      </c>
      <c r="E5023" t="s">
        <v>314</v>
      </c>
      <c r="F5023">
        <v>18892</v>
      </c>
      <c r="G5023" t="s">
        <v>302</v>
      </c>
      <c r="H5023">
        <v>176</v>
      </c>
      <c r="I5023" t="s">
        <v>7448</v>
      </c>
      <c r="J5023" t="s">
        <v>294</v>
      </c>
      <c r="M5023" t="s">
        <v>295</v>
      </c>
      <c r="N5023" t="s">
        <v>7</v>
      </c>
      <c r="O5023" t="s">
        <v>297</v>
      </c>
    </row>
    <row r="5024" spans="1:15" x14ac:dyDescent="0.3">
      <c r="A5024" t="s">
        <v>7418</v>
      </c>
      <c r="B5024" t="s">
        <v>7419</v>
      </c>
      <c r="C5024">
        <v>2022</v>
      </c>
      <c r="D5024" t="s">
        <v>300</v>
      </c>
      <c r="E5024" t="s">
        <v>322</v>
      </c>
      <c r="F5024">
        <v>23353</v>
      </c>
      <c r="G5024" t="s">
        <v>302</v>
      </c>
      <c r="H5024">
        <v>8</v>
      </c>
      <c r="I5024" t="s">
        <v>7449</v>
      </c>
      <c r="J5024" t="s">
        <v>294</v>
      </c>
      <c r="M5024" t="s">
        <v>295</v>
      </c>
      <c r="N5024" t="s">
        <v>7</v>
      </c>
      <c r="O5024" t="s">
        <v>297</v>
      </c>
    </row>
    <row r="5025" spans="1:15" x14ac:dyDescent="0.3">
      <c r="A5025" t="s">
        <v>7418</v>
      </c>
      <c r="B5025" t="s">
        <v>7419</v>
      </c>
      <c r="C5025">
        <v>2022</v>
      </c>
      <c r="D5025" t="s">
        <v>300</v>
      </c>
      <c r="E5025" t="s">
        <v>318</v>
      </c>
      <c r="F5025">
        <v>12105</v>
      </c>
      <c r="G5025" t="s">
        <v>302</v>
      </c>
      <c r="H5025">
        <v>177</v>
      </c>
      <c r="I5025" t="s">
        <v>7450</v>
      </c>
      <c r="J5025" t="s">
        <v>294</v>
      </c>
      <c r="M5025" t="s">
        <v>295</v>
      </c>
      <c r="N5025" t="s">
        <v>7</v>
      </c>
      <c r="O5025" t="s">
        <v>297</v>
      </c>
    </row>
    <row r="5026" spans="1:15" x14ac:dyDescent="0.3">
      <c r="A5026" t="s">
        <v>7418</v>
      </c>
      <c r="B5026" t="s">
        <v>7419</v>
      </c>
      <c r="C5026">
        <v>2022</v>
      </c>
      <c r="D5026" t="s">
        <v>300</v>
      </c>
      <c r="E5026" t="s">
        <v>468</v>
      </c>
      <c r="F5026">
        <v>11248</v>
      </c>
      <c r="G5026" t="s">
        <v>302</v>
      </c>
      <c r="H5026">
        <v>177</v>
      </c>
      <c r="I5026" t="s">
        <v>7451</v>
      </c>
      <c r="J5026" t="s">
        <v>294</v>
      </c>
      <c r="M5026" t="s">
        <v>295</v>
      </c>
      <c r="N5026" t="s">
        <v>7</v>
      </c>
      <c r="O5026" t="s">
        <v>297</v>
      </c>
    </row>
    <row r="5027" spans="1:15" x14ac:dyDescent="0.3">
      <c r="A5027" t="s">
        <v>7418</v>
      </c>
      <c r="B5027" t="s">
        <v>7419</v>
      </c>
      <c r="C5027">
        <v>2022</v>
      </c>
      <c r="D5027" t="s">
        <v>300</v>
      </c>
      <c r="E5027" t="s">
        <v>324</v>
      </c>
      <c r="F5027">
        <v>19248</v>
      </c>
      <c r="G5027" t="s">
        <v>302</v>
      </c>
      <c r="H5027">
        <v>8</v>
      </c>
      <c r="I5027" t="s">
        <v>7452</v>
      </c>
      <c r="J5027" t="s">
        <v>294</v>
      </c>
      <c r="M5027" t="s">
        <v>295</v>
      </c>
      <c r="N5027" t="s">
        <v>7</v>
      </c>
      <c r="O5027" t="s">
        <v>297</v>
      </c>
    </row>
    <row r="5028" spans="1:15" x14ac:dyDescent="0.3">
      <c r="A5028" t="s">
        <v>7418</v>
      </c>
      <c r="B5028" t="s">
        <v>7419</v>
      </c>
      <c r="C5028">
        <v>2022</v>
      </c>
      <c r="D5028" t="s">
        <v>300</v>
      </c>
      <c r="E5028" t="s">
        <v>471</v>
      </c>
      <c r="F5028">
        <v>2480</v>
      </c>
      <c r="G5028" t="s">
        <v>302</v>
      </c>
      <c r="H5028">
        <v>176</v>
      </c>
      <c r="I5028" t="s">
        <v>7453</v>
      </c>
      <c r="J5028" t="s">
        <v>294</v>
      </c>
      <c r="M5028" t="s">
        <v>295</v>
      </c>
      <c r="N5028" t="s">
        <v>7</v>
      </c>
      <c r="O5028" t="s">
        <v>297</v>
      </c>
    </row>
    <row r="5029" spans="1:15" x14ac:dyDescent="0.3">
      <c r="A5029" t="s">
        <v>7418</v>
      </c>
      <c r="B5029" t="s">
        <v>7419</v>
      </c>
      <c r="C5029">
        <v>2022</v>
      </c>
      <c r="D5029" t="s">
        <v>300</v>
      </c>
      <c r="E5029" t="s">
        <v>481</v>
      </c>
      <c r="F5029">
        <v>8655</v>
      </c>
      <c r="G5029" t="s">
        <v>302</v>
      </c>
      <c r="H5029">
        <v>176</v>
      </c>
      <c r="I5029" t="s">
        <v>7454</v>
      </c>
      <c r="J5029" t="s">
        <v>294</v>
      </c>
      <c r="M5029" t="s">
        <v>295</v>
      </c>
      <c r="N5029" t="s">
        <v>7</v>
      </c>
      <c r="O5029" t="s">
        <v>297</v>
      </c>
    </row>
    <row r="5030" spans="1:15" x14ac:dyDescent="0.3">
      <c r="A5030" t="s">
        <v>7418</v>
      </c>
      <c r="B5030" t="s">
        <v>7419</v>
      </c>
      <c r="C5030">
        <v>2022</v>
      </c>
      <c r="D5030" t="s">
        <v>300</v>
      </c>
      <c r="E5030" t="s">
        <v>595</v>
      </c>
      <c r="F5030">
        <v>3798</v>
      </c>
      <c r="G5030" t="s">
        <v>302</v>
      </c>
      <c r="H5030">
        <v>177</v>
      </c>
      <c r="I5030" t="s">
        <v>7455</v>
      </c>
      <c r="J5030" t="s">
        <v>294</v>
      </c>
      <c r="M5030" t="s">
        <v>295</v>
      </c>
      <c r="N5030" t="s">
        <v>7</v>
      </c>
      <c r="O5030" t="s">
        <v>297</v>
      </c>
    </row>
    <row r="5031" spans="1:15" x14ac:dyDescent="0.3">
      <c r="A5031" t="s">
        <v>7418</v>
      </c>
      <c r="B5031" t="s">
        <v>7419</v>
      </c>
      <c r="C5031">
        <v>2022</v>
      </c>
      <c r="D5031" t="s">
        <v>300</v>
      </c>
      <c r="E5031" t="s">
        <v>6375</v>
      </c>
      <c r="F5031">
        <v>2478</v>
      </c>
      <c r="G5031" t="s">
        <v>302</v>
      </c>
      <c r="H5031">
        <v>177</v>
      </c>
      <c r="I5031" t="s">
        <v>7456</v>
      </c>
      <c r="J5031" t="s">
        <v>294</v>
      </c>
      <c r="M5031" t="s">
        <v>295</v>
      </c>
      <c r="N5031" t="s">
        <v>7</v>
      </c>
      <c r="O5031" t="s">
        <v>297</v>
      </c>
    </row>
    <row r="5032" spans="1:15" x14ac:dyDescent="0.3">
      <c r="A5032" t="s">
        <v>7418</v>
      </c>
      <c r="B5032" t="s">
        <v>7419</v>
      </c>
      <c r="C5032">
        <v>2022</v>
      </c>
      <c r="D5032" t="s">
        <v>300</v>
      </c>
      <c r="E5032" t="s">
        <v>7457</v>
      </c>
      <c r="F5032">
        <v>1546</v>
      </c>
      <c r="G5032" t="s">
        <v>302</v>
      </c>
      <c r="H5032">
        <v>177</v>
      </c>
      <c r="I5032" t="s">
        <v>7458</v>
      </c>
      <c r="J5032" t="s">
        <v>294</v>
      </c>
      <c r="M5032" t="s">
        <v>295</v>
      </c>
      <c r="N5032" t="s">
        <v>7</v>
      </c>
      <c r="O5032" t="s">
        <v>297</v>
      </c>
    </row>
    <row r="5033" spans="1:15" x14ac:dyDescent="0.3">
      <c r="A5033" t="s">
        <v>7418</v>
      </c>
      <c r="B5033" t="s">
        <v>7419</v>
      </c>
      <c r="C5033">
        <v>2022</v>
      </c>
      <c r="D5033" t="s">
        <v>300</v>
      </c>
      <c r="E5033" t="s">
        <v>475</v>
      </c>
      <c r="F5033">
        <v>4289</v>
      </c>
      <c r="G5033" t="s">
        <v>302</v>
      </c>
      <c r="H5033">
        <v>177</v>
      </c>
      <c r="I5033" t="s">
        <v>7459</v>
      </c>
      <c r="J5033" t="s">
        <v>294</v>
      </c>
      <c r="M5033" t="s">
        <v>295</v>
      </c>
      <c r="N5033" t="s">
        <v>7</v>
      </c>
      <c r="O5033" t="s">
        <v>297</v>
      </c>
    </row>
    <row r="5034" spans="1:15" x14ac:dyDescent="0.3">
      <c r="A5034" t="s">
        <v>7418</v>
      </c>
      <c r="B5034" t="s">
        <v>7419</v>
      </c>
      <c r="C5034">
        <v>2022</v>
      </c>
      <c r="D5034" t="s">
        <v>300</v>
      </c>
      <c r="E5034" t="s">
        <v>7460</v>
      </c>
      <c r="F5034">
        <v>6056</v>
      </c>
      <c r="G5034" t="s">
        <v>302</v>
      </c>
      <c r="H5034">
        <v>177</v>
      </c>
      <c r="I5034" t="s">
        <v>7461</v>
      </c>
      <c r="J5034" t="s">
        <v>294</v>
      </c>
      <c r="M5034" t="s">
        <v>295</v>
      </c>
      <c r="N5034" t="s">
        <v>7</v>
      </c>
      <c r="O5034" t="s">
        <v>297</v>
      </c>
    </row>
    <row r="5035" spans="1:15" x14ac:dyDescent="0.3">
      <c r="A5035" t="s">
        <v>7418</v>
      </c>
      <c r="B5035" t="s">
        <v>7419</v>
      </c>
      <c r="C5035">
        <v>2022</v>
      </c>
      <c r="D5035" t="s">
        <v>300</v>
      </c>
      <c r="E5035" t="s">
        <v>597</v>
      </c>
      <c r="F5035">
        <v>18168</v>
      </c>
      <c r="G5035" t="s">
        <v>302</v>
      </c>
      <c r="H5035">
        <v>177</v>
      </c>
      <c r="I5035" t="s">
        <v>7462</v>
      </c>
      <c r="J5035" t="s">
        <v>294</v>
      </c>
      <c r="M5035" t="s">
        <v>295</v>
      </c>
      <c r="N5035" t="s">
        <v>7</v>
      </c>
      <c r="O5035" t="s">
        <v>297</v>
      </c>
    </row>
    <row r="5036" spans="1:15" x14ac:dyDescent="0.3">
      <c r="A5036" t="s">
        <v>7418</v>
      </c>
      <c r="B5036" t="s">
        <v>7419</v>
      </c>
      <c r="C5036">
        <v>2022</v>
      </c>
      <c r="D5036" t="s">
        <v>300</v>
      </c>
      <c r="E5036" t="s">
        <v>601</v>
      </c>
      <c r="F5036">
        <v>4283</v>
      </c>
      <c r="G5036" t="s">
        <v>302</v>
      </c>
      <c r="H5036">
        <v>180</v>
      </c>
      <c r="I5036" t="s">
        <v>7463</v>
      </c>
      <c r="J5036" t="s">
        <v>294</v>
      </c>
      <c r="M5036" t="s">
        <v>295</v>
      </c>
      <c r="N5036" t="s">
        <v>7</v>
      </c>
      <c r="O5036" t="s">
        <v>297</v>
      </c>
    </row>
    <row r="5037" spans="1:15" x14ac:dyDescent="0.3">
      <c r="A5037" t="s">
        <v>7418</v>
      </c>
      <c r="B5037" t="s">
        <v>7419</v>
      </c>
      <c r="C5037">
        <v>2022</v>
      </c>
      <c r="D5037" t="s">
        <v>300</v>
      </c>
      <c r="E5037" t="s">
        <v>603</v>
      </c>
      <c r="F5037">
        <v>-1303</v>
      </c>
      <c r="G5037" t="s">
        <v>302</v>
      </c>
      <c r="H5037">
        <v>180</v>
      </c>
      <c r="I5037" t="s">
        <v>7464</v>
      </c>
      <c r="J5037" t="s">
        <v>294</v>
      </c>
      <c r="M5037" t="s">
        <v>295</v>
      </c>
      <c r="N5037" t="s">
        <v>7</v>
      </c>
      <c r="O5037" t="s">
        <v>297</v>
      </c>
    </row>
    <row r="5038" spans="1:15" x14ac:dyDescent="0.3">
      <c r="A5038" t="s">
        <v>7418</v>
      </c>
      <c r="B5038" t="s">
        <v>7419</v>
      </c>
      <c r="C5038">
        <v>2022</v>
      </c>
      <c r="D5038" t="s">
        <v>300</v>
      </c>
      <c r="E5038" t="s">
        <v>716</v>
      </c>
      <c r="F5038">
        <v>-3294</v>
      </c>
      <c r="G5038" t="s">
        <v>302</v>
      </c>
      <c r="H5038">
        <v>180</v>
      </c>
      <c r="I5038" t="s">
        <v>7465</v>
      </c>
      <c r="J5038" t="s">
        <v>294</v>
      </c>
      <c r="M5038" t="s">
        <v>295</v>
      </c>
      <c r="N5038" t="s">
        <v>7</v>
      </c>
      <c r="O5038" t="s">
        <v>297</v>
      </c>
    </row>
    <row r="5039" spans="1:15" x14ac:dyDescent="0.3">
      <c r="A5039" t="s">
        <v>7418</v>
      </c>
      <c r="B5039" t="s">
        <v>7419</v>
      </c>
      <c r="C5039">
        <v>2022</v>
      </c>
      <c r="D5039" t="s">
        <v>300</v>
      </c>
      <c r="E5039" t="s">
        <v>7466</v>
      </c>
      <c r="F5039">
        <v>1279</v>
      </c>
      <c r="G5039" t="s">
        <v>302</v>
      </c>
      <c r="H5039">
        <v>180</v>
      </c>
      <c r="I5039" t="s">
        <v>7467</v>
      </c>
      <c r="J5039" t="s">
        <v>294</v>
      </c>
      <c r="M5039" t="s">
        <v>295</v>
      </c>
      <c r="N5039" t="s">
        <v>7</v>
      </c>
      <c r="O5039" t="s">
        <v>297</v>
      </c>
    </row>
    <row r="5040" spans="1:15" x14ac:dyDescent="0.3">
      <c r="A5040" t="s">
        <v>7418</v>
      </c>
      <c r="B5040" t="s">
        <v>7419</v>
      </c>
      <c r="C5040">
        <v>2022</v>
      </c>
      <c r="D5040" t="s">
        <v>300</v>
      </c>
      <c r="E5040" t="s">
        <v>7468</v>
      </c>
      <c r="F5040">
        <v>890</v>
      </c>
      <c r="G5040" t="s">
        <v>302</v>
      </c>
      <c r="H5040">
        <v>180</v>
      </c>
      <c r="I5040" t="s">
        <v>7469</v>
      </c>
      <c r="J5040" t="s">
        <v>294</v>
      </c>
      <c r="M5040" t="s">
        <v>295</v>
      </c>
      <c r="N5040" t="s">
        <v>7</v>
      </c>
      <c r="O5040" t="s">
        <v>297</v>
      </c>
    </row>
    <row r="5041" spans="1:15" x14ac:dyDescent="0.3">
      <c r="A5041" t="s">
        <v>7418</v>
      </c>
      <c r="B5041" t="s">
        <v>7419</v>
      </c>
      <c r="C5041">
        <v>2022</v>
      </c>
      <c r="D5041" t="s">
        <v>300</v>
      </c>
      <c r="E5041" t="s">
        <v>2658</v>
      </c>
      <c r="F5041">
        <v>1915</v>
      </c>
      <c r="G5041" t="s">
        <v>346</v>
      </c>
      <c r="H5041">
        <v>8</v>
      </c>
      <c r="I5041" t="s">
        <v>7470</v>
      </c>
      <c r="J5041" t="s">
        <v>294</v>
      </c>
      <c r="M5041" t="s">
        <v>295</v>
      </c>
      <c r="N5041" t="s">
        <v>7</v>
      </c>
      <c r="O5041" t="s">
        <v>297</v>
      </c>
    </row>
    <row r="5042" spans="1:15" x14ac:dyDescent="0.3">
      <c r="A5042" t="s">
        <v>7418</v>
      </c>
      <c r="B5042" t="s">
        <v>7419</v>
      </c>
      <c r="C5042">
        <v>2022</v>
      </c>
      <c r="D5042" t="s">
        <v>300</v>
      </c>
      <c r="E5042" t="s">
        <v>7471</v>
      </c>
      <c r="F5042">
        <v>200</v>
      </c>
      <c r="G5042" t="s">
        <v>346</v>
      </c>
      <c r="H5042">
        <v>62</v>
      </c>
      <c r="I5042" t="s">
        <v>7472</v>
      </c>
      <c r="J5042" t="s">
        <v>294</v>
      </c>
      <c r="M5042" t="s">
        <v>295</v>
      </c>
      <c r="N5042" t="s">
        <v>7</v>
      </c>
      <c r="O5042" t="s">
        <v>297</v>
      </c>
    </row>
    <row r="5043" spans="1:15" x14ac:dyDescent="0.3">
      <c r="A5043" t="s">
        <v>7418</v>
      </c>
      <c r="B5043" t="s">
        <v>7419</v>
      </c>
      <c r="C5043">
        <v>2022</v>
      </c>
      <c r="D5043" t="s">
        <v>300</v>
      </c>
      <c r="E5043" t="s">
        <v>7473</v>
      </c>
      <c r="F5043">
        <v>370</v>
      </c>
      <c r="G5043" t="s">
        <v>346</v>
      </c>
      <c r="I5043" t="s">
        <v>7474</v>
      </c>
      <c r="J5043" t="s">
        <v>294</v>
      </c>
      <c r="M5043" t="s">
        <v>295</v>
      </c>
      <c r="N5043" t="s">
        <v>7</v>
      </c>
      <c r="O5043" t="s">
        <v>297</v>
      </c>
    </row>
    <row r="5044" spans="1:15" x14ac:dyDescent="0.3">
      <c r="A5044" t="s">
        <v>7418</v>
      </c>
      <c r="B5044" t="s">
        <v>7419</v>
      </c>
      <c r="C5044">
        <v>2022</v>
      </c>
      <c r="D5044" t="s">
        <v>300</v>
      </c>
      <c r="E5044" t="s">
        <v>990</v>
      </c>
      <c r="F5044">
        <v>4950</v>
      </c>
      <c r="G5044" t="s">
        <v>346</v>
      </c>
      <c r="H5044">
        <v>150</v>
      </c>
      <c r="I5044" t="s">
        <v>7475</v>
      </c>
      <c r="J5044" t="s">
        <v>294</v>
      </c>
      <c r="M5044" t="s">
        <v>295</v>
      </c>
      <c r="N5044" t="s">
        <v>7</v>
      </c>
      <c r="O5044" t="s">
        <v>297</v>
      </c>
    </row>
    <row r="5045" spans="1:15" x14ac:dyDescent="0.3">
      <c r="A5045" t="s">
        <v>7418</v>
      </c>
      <c r="B5045" t="s">
        <v>7419</v>
      </c>
      <c r="C5045">
        <v>2022</v>
      </c>
      <c r="D5045" t="s">
        <v>300</v>
      </c>
      <c r="E5045" t="s">
        <v>7476</v>
      </c>
      <c r="F5045">
        <v>14217</v>
      </c>
      <c r="G5045" t="s">
        <v>302</v>
      </c>
      <c r="H5045">
        <v>150</v>
      </c>
      <c r="I5045" t="s">
        <v>7477</v>
      </c>
      <c r="J5045" t="s">
        <v>294</v>
      </c>
      <c r="M5045" t="s">
        <v>295</v>
      </c>
      <c r="N5045" t="s">
        <v>7</v>
      </c>
      <c r="O5045" t="s">
        <v>297</v>
      </c>
    </row>
    <row r="5046" spans="1:15" x14ac:dyDescent="0.3">
      <c r="A5046" t="s">
        <v>7418</v>
      </c>
      <c r="B5046" t="s">
        <v>7419</v>
      </c>
      <c r="C5046">
        <v>2022</v>
      </c>
      <c r="D5046" t="s">
        <v>300</v>
      </c>
      <c r="E5046" t="s">
        <v>342</v>
      </c>
      <c r="F5046">
        <v>2872</v>
      </c>
      <c r="G5046" t="s">
        <v>497</v>
      </c>
      <c r="H5046">
        <v>153</v>
      </c>
      <c r="I5046" t="s">
        <v>7478</v>
      </c>
      <c r="J5046" t="s">
        <v>294</v>
      </c>
      <c r="M5046" t="s">
        <v>295</v>
      </c>
      <c r="N5046" t="s">
        <v>7</v>
      </c>
      <c r="O5046" t="s">
        <v>297</v>
      </c>
    </row>
    <row r="5047" spans="1:15" x14ac:dyDescent="0.3">
      <c r="A5047" t="s">
        <v>7418</v>
      </c>
      <c r="B5047" t="s">
        <v>7419</v>
      </c>
      <c r="C5047">
        <v>2022</v>
      </c>
      <c r="D5047" t="s">
        <v>300</v>
      </c>
      <c r="E5047" t="s">
        <v>501</v>
      </c>
      <c r="F5047">
        <v>0.95</v>
      </c>
      <c r="G5047" t="s">
        <v>327</v>
      </c>
      <c r="H5047">
        <v>8</v>
      </c>
      <c r="I5047" t="s">
        <v>7479</v>
      </c>
      <c r="J5047" t="s">
        <v>294</v>
      </c>
      <c r="M5047" t="s">
        <v>295</v>
      </c>
      <c r="N5047" t="s">
        <v>7</v>
      </c>
      <c r="O5047" t="s">
        <v>297</v>
      </c>
    </row>
    <row r="5048" spans="1:15" x14ac:dyDescent="0.3">
      <c r="A5048" t="s">
        <v>7418</v>
      </c>
      <c r="B5048" t="s">
        <v>7419</v>
      </c>
      <c r="C5048">
        <v>2022</v>
      </c>
      <c r="D5048" t="s">
        <v>300</v>
      </c>
      <c r="E5048" t="s">
        <v>7480</v>
      </c>
      <c r="F5048">
        <v>0.02</v>
      </c>
      <c r="G5048" t="s">
        <v>327</v>
      </c>
      <c r="H5048">
        <v>8</v>
      </c>
      <c r="I5048" t="s">
        <v>7481</v>
      </c>
      <c r="J5048" t="s">
        <v>294</v>
      </c>
      <c r="M5048" t="s">
        <v>295</v>
      </c>
      <c r="N5048" t="s">
        <v>7</v>
      </c>
      <c r="O5048" t="s">
        <v>297</v>
      </c>
    </row>
    <row r="5049" spans="1:15" x14ac:dyDescent="0.3">
      <c r="A5049" t="s">
        <v>7418</v>
      </c>
      <c r="B5049" t="s">
        <v>7419</v>
      </c>
      <c r="C5049">
        <v>2022</v>
      </c>
      <c r="D5049" t="s">
        <v>300</v>
      </c>
      <c r="E5049" t="s">
        <v>7482</v>
      </c>
      <c r="F5049">
        <v>7.11</v>
      </c>
      <c r="G5049" t="s">
        <v>327</v>
      </c>
      <c r="H5049">
        <v>8</v>
      </c>
      <c r="I5049" t="s">
        <v>7483</v>
      </c>
      <c r="J5049" t="s">
        <v>294</v>
      </c>
      <c r="M5049" t="s">
        <v>295</v>
      </c>
      <c r="N5049" t="s">
        <v>7</v>
      </c>
      <c r="O5049" t="s">
        <v>297</v>
      </c>
    </row>
    <row r="5050" spans="1:15" x14ac:dyDescent="0.3">
      <c r="A5050" t="s">
        <v>7418</v>
      </c>
      <c r="B5050" t="s">
        <v>7419</v>
      </c>
      <c r="C5050">
        <v>2022</v>
      </c>
      <c r="D5050" t="s">
        <v>300</v>
      </c>
      <c r="E5050" t="s">
        <v>326</v>
      </c>
      <c r="F5050">
        <v>2</v>
      </c>
      <c r="G5050" t="s">
        <v>327</v>
      </c>
      <c r="H5050">
        <v>8</v>
      </c>
      <c r="I5050" t="s">
        <v>7484</v>
      </c>
      <c r="J5050" t="s">
        <v>294</v>
      </c>
      <c r="M5050" t="s">
        <v>295</v>
      </c>
      <c r="N5050" t="s">
        <v>7</v>
      </c>
      <c r="O5050" t="s">
        <v>297</v>
      </c>
    </row>
    <row r="5051" spans="1:15" x14ac:dyDescent="0.3">
      <c r="A5051" t="s">
        <v>7418</v>
      </c>
      <c r="B5051" t="s">
        <v>7419</v>
      </c>
      <c r="C5051">
        <v>2022</v>
      </c>
      <c r="D5051" t="s">
        <v>300</v>
      </c>
      <c r="E5051" t="s">
        <v>340</v>
      </c>
      <c r="F5051">
        <v>0.17699999999999999</v>
      </c>
      <c r="G5051" t="s">
        <v>334</v>
      </c>
      <c r="H5051">
        <v>8</v>
      </c>
      <c r="I5051" t="s">
        <v>7485</v>
      </c>
      <c r="J5051" t="s">
        <v>294</v>
      </c>
      <c r="M5051" t="s">
        <v>295</v>
      </c>
      <c r="N5051" t="s">
        <v>7</v>
      </c>
      <c r="O5051" t="s">
        <v>297</v>
      </c>
    </row>
    <row r="5052" spans="1:15" x14ac:dyDescent="0.3">
      <c r="A5052" t="s">
        <v>7418</v>
      </c>
      <c r="B5052" t="s">
        <v>7419</v>
      </c>
      <c r="C5052">
        <v>2022</v>
      </c>
      <c r="D5052" t="s">
        <v>300</v>
      </c>
      <c r="E5052" t="s">
        <v>901</v>
      </c>
      <c r="F5052">
        <v>0.127</v>
      </c>
      <c r="G5052" t="s">
        <v>334</v>
      </c>
      <c r="H5052">
        <v>8</v>
      </c>
      <c r="I5052" t="s">
        <v>7486</v>
      </c>
      <c r="J5052" t="s">
        <v>294</v>
      </c>
      <c r="M5052" t="s">
        <v>295</v>
      </c>
      <c r="N5052" t="s">
        <v>7</v>
      </c>
      <c r="O5052" t="s">
        <v>297</v>
      </c>
    </row>
    <row r="5053" spans="1:15" x14ac:dyDescent="0.3">
      <c r="A5053" t="s">
        <v>7418</v>
      </c>
      <c r="B5053" t="s">
        <v>7419</v>
      </c>
      <c r="C5053">
        <v>2022</v>
      </c>
      <c r="D5053" t="s">
        <v>300</v>
      </c>
      <c r="E5053" t="s">
        <v>338</v>
      </c>
      <c r="F5053">
        <v>7.2999999999999995E-2</v>
      </c>
      <c r="G5053" t="s">
        <v>334</v>
      </c>
      <c r="H5053">
        <v>8</v>
      </c>
      <c r="I5053" t="s">
        <v>7487</v>
      </c>
      <c r="J5053" t="s">
        <v>294</v>
      </c>
      <c r="M5053" t="s">
        <v>295</v>
      </c>
      <c r="N5053" t="s">
        <v>7</v>
      </c>
      <c r="O5053" t="s">
        <v>297</v>
      </c>
    </row>
    <row r="5054" spans="1:15" x14ac:dyDescent="0.3">
      <c r="A5054" t="s">
        <v>7418</v>
      </c>
      <c r="B5054" t="s">
        <v>7419</v>
      </c>
      <c r="C5054">
        <v>2022</v>
      </c>
      <c r="D5054" t="s">
        <v>300</v>
      </c>
      <c r="E5054" t="s">
        <v>336</v>
      </c>
      <c r="F5054">
        <v>0.28599999999999998</v>
      </c>
      <c r="G5054" t="s">
        <v>334</v>
      </c>
      <c r="H5054">
        <v>8</v>
      </c>
      <c r="I5054" t="s">
        <v>7488</v>
      </c>
      <c r="J5054" t="s">
        <v>294</v>
      </c>
      <c r="M5054" t="s">
        <v>295</v>
      </c>
      <c r="N5054" t="s">
        <v>7</v>
      </c>
      <c r="O5054" t="s">
        <v>297</v>
      </c>
    </row>
    <row r="5055" spans="1:15" x14ac:dyDescent="0.3">
      <c r="A5055" t="s">
        <v>7418</v>
      </c>
      <c r="B5055" t="s">
        <v>7419</v>
      </c>
      <c r="C5055">
        <v>2022</v>
      </c>
      <c r="D5055" t="s">
        <v>300</v>
      </c>
      <c r="E5055" t="s">
        <v>333</v>
      </c>
      <c r="F5055">
        <v>0.129</v>
      </c>
      <c r="G5055" t="s">
        <v>334</v>
      </c>
      <c r="H5055">
        <v>8</v>
      </c>
      <c r="I5055" t="s">
        <v>7489</v>
      </c>
      <c r="J5055" t="s">
        <v>294</v>
      </c>
      <c r="M5055" t="s">
        <v>295</v>
      </c>
      <c r="N5055" t="s">
        <v>7</v>
      </c>
      <c r="O5055" t="s">
        <v>297</v>
      </c>
    </row>
    <row r="5056" spans="1:15" x14ac:dyDescent="0.3">
      <c r="A5056" t="s">
        <v>7418</v>
      </c>
      <c r="B5056" t="s">
        <v>7419</v>
      </c>
      <c r="C5056">
        <v>2022</v>
      </c>
      <c r="D5056" t="s">
        <v>300</v>
      </c>
      <c r="E5056" t="s">
        <v>7490</v>
      </c>
      <c r="F5056">
        <v>15731</v>
      </c>
      <c r="G5056" t="s">
        <v>2769</v>
      </c>
      <c r="H5056">
        <v>8</v>
      </c>
      <c r="I5056" t="s">
        <v>7491</v>
      </c>
      <c r="J5056" t="s">
        <v>294</v>
      </c>
      <c r="M5056" t="s">
        <v>295</v>
      </c>
      <c r="N5056" t="s">
        <v>7</v>
      </c>
      <c r="O5056" t="s">
        <v>297</v>
      </c>
    </row>
    <row r="5057" spans="1:15" x14ac:dyDescent="0.3">
      <c r="A5057" t="s">
        <v>7418</v>
      </c>
      <c r="B5057" t="s">
        <v>7419</v>
      </c>
      <c r="C5057">
        <v>2022</v>
      </c>
      <c r="D5057" t="s">
        <v>300</v>
      </c>
      <c r="E5057" t="s">
        <v>7492</v>
      </c>
      <c r="F5057">
        <v>14814</v>
      </c>
      <c r="G5057" t="s">
        <v>2769</v>
      </c>
      <c r="H5057">
        <v>8</v>
      </c>
      <c r="I5057" t="s">
        <v>7493</v>
      </c>
      <c r="J5057" t="s">
        <v>294</v>
      </c>
      <c r="M5057" t="s">
        <v>295</v>
      </c>
      <c r="N5057" t="s">
        <v>7</v>
      </c>
      <c r="O5057" t="s">
        <v>297</v>
      </c>
    </row>
    <row r="5058" spans="1:15" x14ac:dyDescent="0.3">
      <c r="A5058" t="s">
        <v>7418</v>
      </c>
      <c r="B5058" t="s">
        <v>7419</v>
      </c>
      <c r="C5058">
        <v>2022</v>
      </c>
      <c r="D5058" t="s">
        <v>358</v>
      </c>
      <c r="E5058" t="s">
        <v>504</v>
      </c>
      <c r="F5058">
        <v>136402</v>
      </c>
      <c r="G5058" t="s">
        <v>360</v>
      </c>
      <c r="H5058">
        <v>51</v>
      </c>
      <c r="I5058" t="s">
        <v>7494</v>
      </c>
      <c r="J5058" t="s">
        <v>294</v>
      </c>
      <c r="M5058" t="s">
        <v>295</v>
      </c>
      <c r="N5058" t="s">
        <v>7</v>
      </c>
      <c r="O5058" t="s">
        <v>297</v>
      </c>
    </row>
    <row r="5059" spans="1:15" x14ac:dyDescent="0.3">
      <c r="A5059" t="s">
        <v>7418</v>
      </c>
      <c r="B5059" t="s">
        <v>7419</v>
      </c>
      <c r="C5059">
        <v>2022</v>
      </c>
      <c r="D5059" t="s">
        <v>358</v>
      </c>
      <c r="E5059" t="s">
        <v>7495</v>
      </c>
      <c r="F5059">
        <v>0.77</v>
      </c>
      <c r="G5059" t="s">
        <v>334</v>
      </c>
      <c r="H5059">
        <v>51</v>
      </c>
      <c r="I5059" t="s">
        <v>7496</v>
      </c>
      <c r="J5059" t="s">
        <v>294</v>
      </c>
      <c r="M5059" t="s">
        <v>295</v>
      </c>
      <c r="N5059" t="s">
        <v>7</v>
      </c>
      <c r="O5059" t="s">
        <v>297</v>
      </c>
    </row>
    <row r="5060" spans="1:15" x14ac:dyDescent="0.3">
      <c r="A5060" t="s">
        <v>7418</v>
      </c>
      <c r="B5060" t="s">
        <v>7419</v>
      </c>
      <c r="C5060">
        <v>2022</v>
      </c>
      <c r="D5060" t="s">
        <v>358</v>
      </c>
      <c r="E5060" t="s">
        <v>7497</v>
      </c>
      <c r="F5060">
        <v>0.23</v>
      </c>
      <c r="G5060" t="s">
        <v>334</v>
      </c>
      <c r="H5060">
        <v>51</v>
      </c>
      <c r="I5060" t="s">
        <v>7498</v>
      </c>
      <c r="J5060" t="s">
        <v>294</v>
      </c>
      <c r="M5060" t="s">
        <v>295</v>
      </c>
      <c r="N5060" t="s">
        <v>7</v>
      </c>
      <c r="O5060" t="s">
        <v>297</v>
      </c>
    </row>
    <row r="5061" spans="1:15" x14ac:dyDescent="0.3">
      <c r="A5061" t="s">
        <v>7418</v>
      </c>
      <c r="B5061" t="s">
        <v>7419</v>
      </c>
      <c r="C5061">
        <v>2022</v>
      </c>
      <c r="D5061" t="s">
        <v>358</v>
      </c>
      <c r="E5061" t="s">
        <v>7499</v>
      </c>
      <c r="F5061">
        <v>0.47</v>
      </c>
      <c r="G5061" t="s">
        <v>334</v>
      </c>
      <c r="H5061">
        <v>50</v>
      </c>
      <c r="I5061" t="s">
        <v>7500</v>
      </c>
      <c r="J5061" t="s">
        <v>294</v>
      </c>
      <c r="M5061" t="s">
        <v>295</v>
      </c>
      <c r="N5061" t="s">
        <v>7</v>
      </c>
      <c r="O5061" t="s">
        <v>297</v>
      </c>
    </row>
    <row r="5062" spans="1:15" x14ac:dyDescent="0.3">
      <c r="A5062" t="s">
        <v>7418</v>
      </c>
      <c r="B5062" t="s">
        <v>7419</v>
      </c>
      <c r="C5062">
        <v>2022</v>
      </c>
      <c r="D5062" t="s">
        <v>358</v>
      </c>
      <c r="E5062" t="s">
        <v>7501</v>
      </c>
      <c r="F5062">
        <v>0.53</v>
      </c>
      <c r="G5062" t="s">
        <v>334</v>
      </c>
      <c r="H5062">
        <v>50</v>
      </c>
      <c r="I5062" t="s">
        <v>7502</v>
      </c>
      <c r="J5062" t="s">
        <v>294</v>
      </c>
      <c r="M5062" t="s">
        <v>295</v>
      </c>
      <c r="N5062" t="s">
        <v>7</v>
      </c>
      <c r="O5062" t="s">
        <v>297</v>
      </c>
    </row>
    <row r="5063" spans="1:15" x14ac:dyDescent="0.3">
      <c r="A5063" t="s">
        <v>7418</v>
      </c>
      <c r="B5063" t="s">
        <v>7419</v>
      </c>
      <c r="C5063">
        <v>2022</v>
      </c>
      <c r="D5063" t="s">
        <v>358</v>
      </c>
      <c r="E5063" t="s">
        <v>7503</v>
      </c>
      <c r="F5063">
        <v>0.95</v>
      </c>
      <c r="G5063" t="s">
        <v>334</v>
      </c>
      <c r="H5063">
        <v>50</v>
      </c>
      <c r="I5063" t="s">
        <v>7504</v>
      </c>
      <c r="J5063" t="s">
        <v>294</v>
      </c>
      <c r="M5063" t="s">
        <v>295</v>
      </c>
      <c r="N5063" t="s">
        <v>7</v>
      </c>
      <c r="O5063" t="s">
        <v>297</v>
      </c>
    </row>
    <row r="5064" spans="1:15" x14ac:dyDescent="0.3">
      <c r="A5064" t="s">
        <v>7418</v>
      </c>
      <c r="B5064" t="s">
        <v>7419</v>
      </c>
      <c r="C5064">
        <v>2022</v>
      </c>
      <c r="D5064" t="s">
        <v>358</v>
      </c>
      <c r="E5064" t="s">
        <v>7505</v>
      </c>
      <c r="F5064">
        <v>7187</v>
      </c>
      <c r="G5064" t="s">
        <v>360</v>
      </c>
      <c r="H5064">
        <v>52</v>
      </c>
      <c r="I5064" t="s">
        <v>7506</v>
      </c>
      <c r="J5064" t="s">
        <v>294</v>
      </c>
      <c r="M5064" t="s">
        <v>295</v>
      </c>
      <c r="N5064" t="s">
        <v>7</v>
      </c>
      <c r="O5064" t="s">
        <v>297</v>
      </c>
    </row>
    <row r="5065" spans="1:15" x14ac:dyDescent="0.3">
      <c r="A5065" t="s">
        <v>7418</v>
      </c>
      <c r="B5065" t="s">
        <v>7419</v>
      </c>
      <c r="C5065">
        <v>2022</v>
      </c>
      <c r="D5065" t="s">
        <v>358</v>
      </c>
      <c r="E5065" t="s">
        <v>7507</v>
      </c>
      <c r="F5065">
        <v>8835</v>
      </c>
      <c r="G5065" t="s">
        <v>360</v>
      </c>
      <c r="H5065">
        <v>52</v>
      </c>
      <c r="I5065" t="s">
        <v>7508</v>
      </c>
      <c r="J5065" t="s">
        <v>294</v>
      </c>
      <c r="M5065" t="s">
        <v>295</v>
      </c>
      <c r="N5065" t="s">
        <v>7</v>
      </c>
      <c r="O5065" t="s">
        <v>297</v>
      </c>
    </row>
    <row r="5066" spans="1:15" x14ac:dyDescent="0.3">
      <c r="A5066" t="s">
        <v>7418</v>
      </c>
      <c r="B5066" t="s">
        <v>7419</v>
      </c>
      <c r="C5066">
        <v>2022</v>
      </c>
      <c r="D5066" t="s">
        <v>358</v>
      </c>
      <c r="E5066" t="s">
        <v>7509</v>
      </c>
      <c r="F5066">
        <v>54323</v>
      </c>
      <c r="G5066" t="s">
        <v>360</v>
      </c>
      <c r="H5066">
        <v>52</v>
      </c>
      <c r="I5066" t="s">
        <v>7510</v>
      </c>
      <c r="J5066" t="s">
        <v>294</v>
      </c>
      <c r="M5066" t="s">
        <v>295</v>
      </c>
      <c r="N5066" t="s">
        <v>7</v>
      </c>
      <c r="O5066" t="s">
        <v>297</v>
      </c>
    </row>
    <row r="5067" spans="1:15" x14ac:dyDescent="0.3">
      <c r="A5067" t="s">
        <v>7418</v>
      </c>
      <c r="B5067" t="s">
        <v>7419</v>
      </c>
      <c r="C5067">
        <v>2022</v>
      </c>
      <c r="D5067" t="s">
        <v>358</v>
      </c>
      <c r="E5067" t="s">
        <v>7511</v>
      </c>
      <c r="F5067">
        <v>31667</v>
      </c>
      <c r="G5067" t="s">
        <v>360</v>
      </c>
      <c r="H5067">
        <v>52</v>
      </c>
      <c r="I5067" t="s">
        <v>7512</v>
      </c>
      <c r="J5067" t="s">
        <v>294</v>
      </c>
      <c r="M5067" t="s">
        <v>295</v>
      </c>
      <c r="N5067" t="s">
        <v>7</v>
      </c>
      <c r="O5067" t="s">
        <v>297</v>
      </c>
    </row>
    <row r="5068" spans="1:15" x14ac:dyDescent="0.3">
      <c r="A5068" t="s">
        <v>7418</v>
      </c>
      <c r="B5068" t="s">
        <v>7419</v>
      </c>
      <c r="C5068">
        <v>2022</v>
      </c>
      <c r="D5068" t="s">
        <v>358</v>
      </c>
      <c r="E5068" t="s">
        <v>7513</v>
      </c>
      <c r="F5068">
        <v>34390</v>
      </c>
      <c r="G5068" t="s">
        <v>360</v>
      </c>
      <c r="H5068">
        <v>52</v>
      </c>
      <c r="I5068" t="s">
        <v>7514</v>
      </c>
      <c r="J5068" t="s">
        <v>294</v>
      </c>
      <c r="M5068" t="s">
        <v>295</v>
      </c>
      <c r="N5068" t="s">
        <v>7</v>
      </c>
      <c r="O5068" t="s">
        <v>297</v>
      </c>
    </row>
    <row r="5069" spans="1:15" x14ac:dyDescent="0.3">
      <c r="A5069" t="s">
        <v>7418</v>
      </c>
      <c r="B5069" t="s">
        <v>7419</v>
      </c>
      <c r="C5069">
        <v>2022</v>
      </c>
      <c r="D5069" t="s">
        <v>358</v>
      </c>
      <c r="E5069" t="s">
        <v>7515</v>
      </c>
      <c r="F5069">
        <v>2800</v>
      </c>
      <c r="G5069" t="s">
        <v>360</v>
      </c>
      <c r="H5069">
        <v>52</v>
      </c>
      <c r="I5069" t="s">
        <v>7516</v>
      </c>
      <c r="J5069" t="s">
        <v>294</v>
      </c>
      <c r="M5069" t="s">
        <v>295</v>
      </c>
      <c r="N5069" t="s">
        <v>7</v>
      </c>
      <c r="O5069" t="s">
        <v>297</v>
      </c>
    </row>
    <row r="5070" spans="1:15" x14ac:dyDescent="0.3">
      <c r="A5070" t="s">
        <v>7418</v>
      </c>
      <c r="B5070" t="s">
        <v>7419</v>
      </c>
      <c r="C5070">
        <v>2022</v>
      </c>
      <c r="D5070" t="s">
        <v>358</v>
      </c>
      <c r="E5070" t="s">
        <v>7517</v>
      </c>
      <c r="F5070">
        <v>16022</v>
      </c>
      <c r="G5070" t="s">
        <v>360</v>
      </c>
      <c r="H5070">
        <v>51</v>
      </c>
      <c r="I5070" t="s">
        <v>7518</v>
      </c>
      <c r="J5070" t="s">
        <v>294</v>
      </c>
      <c r="M5070" t="s">
        <v>295</v>
      </c>
      <c r="N5070" t="s">
        <v>7</v>
      </c>
      <c r="O5070" t="s">
        <v>297</v>
      </c>
    </row>
    <row r="5071" spans="1:15" x14ac:dyDescent="0.3">
      <c r="A5071" t="s">
        <v>7418</v>
      </c>
      <c r="B5071" t="s">
        <v>7419</v>
      </c>
      <c r="C5071">
        <v>2022</v>
      </c>
      <c r="D5071" t="s">
        <v>358</v>
      </c>
      <c r="E5071" t="s">
        <v>523</v>
      </c>
      <c r="F5071">
        <v>16</v>
      </c>
      <c r="G5071" t="s">
        <v>384</v>
      </c>
      <c r="H5071">
        <v>53</v>
      </c>
      <c r="I5071" t="s">
        <v>7519</v>
      </c>
      <c r="J5071" t="s">
        <v>294</v>
      </c>
      <c r="M5071" t="s">
        <v>295</v>
      </c>
      <c r="N5071" t="s">
        <v>7</v>
      </c>
      <c r="O5071" t="s">
        <v>297</v>
      </c>
    </row>
    <row r="5072" spans="1:15" x14ac:dyDescent="0.3">
      <c r="A5072" t="s">
        <v>7418</v>
      </c>
      <c r="B5072" t="s">
        <v>7419</v>
      </c>
      <c r="C5072">
        <v>2022</v>
      </c>
      <c r="D5072" t="s">
        <v>358</v>
      </c>
      <c r="E5072" t="s">
        <v>7520</v>
      </c>
      <c r="F5072">
        <v>4350000</v>
      </c>
      <c r="G5072" t="s">
        <v>7521</v>
      </c>
      <c r="H5072">
        <v>53</v>
      </c>
      <c r="I5072" t="s">
        <v>7522</v>
      </c>
      <c r="J5072" t="s">
        <v>294</v>
      </c>
      <c r="M5072" t="s">
        <v>295</v>
      </c>
      <c r="N5072" t="s">
        <v>7</v>
      </c>
      <c r="O5072" t="s">
        <v>297</v>
      </c>
    </row>
    <row r="5073" spans="1:15" x14ac:dyDescent="0.3">
      <c r="A5073" t="s">
        <v>7418</v>
      </c>
      <c r="B5073" t="s">
        <v>7419</v>
      </c>
      <c r="C5073">
        <v>2022</v>
      </c>
      <c r="D5073" t="s">
        <v>358</v>
      </c>
      <c r="E5073" t="s">
        <v>7523</v>
      </c>
      <c r="F5073">
        <v>2900000</v>
      </c>
      <c r="G5073" t="s">
        <v>7521</v>
      </c>
      <c r="H5073">
        <v>54</v>
      </c>
      <c r="I5073" t="s">
        <v>7524</v>
      </c>
      <c r="J5073" t="s">
        <v>294</v>
      </c>
      <c r="M5073" t="s">
        <v>295</v>
      </c>
      <c r="N5073" t="s">
        <v>7</v>
      </c>
      <c r="O5073" t="s">
        <v>297</v>
      </c>
    </row>
    <row r="5074" spans="1:15" x14ac:dyDescent="0.3">
      <c r="A5074" t="s">
        <v>7418</v>
      </c>
      <c r="B5074" t="s">
        <v>7419</v>
      </c>
      <c r="C5074">
        <v>2022</v>
      </c>
      <c r="D5074" t="s">
        <v>358</v>
      </c>
      <c r="E5074" t="s">
        <v>7525</v>
      </c>
      <c r="F5074">
        <v>810000</v>
      </c>
      <c r="G5074" t="s">
        <v>7521</v>
      </c>
      <c r="H5074">
        <v>54</v>
      </c>
      <c r="I5074" t="s">
        <v>7526</v>
      </c>
      <c r="J5074" t="s">
        <v>294</v>
      </c>
      <c r="M5074" t="s">
        <v>295</v>
      </c>
      <c r="N5074" t="s">
        <v>7</v>
      </c>
      <c r="O5074" t="s">
        <v>297</v>
      </c>
    </row>
    <row r="5075" spans="1:15" x14ac:dyDescent="0.3">
      <c r="A5075" t="s">
        <v>7418</v>
      </c>
      <c r="B5075" t="s">
        <v>7419</v>
      </c>
      <c r="C5075">
        <v>2022</v>
      </c>
      <c r="D5075" t="s">
        <v>358</v>
      </c>
      <c r="E5075" t="s">
        <v>7527</v>
      </c>
      <c r="F5075">
        <v>600000</v>
      </c>
      <c r="G5075" t="s">
        <v>7521</v>
      </c>
      <c r="H5075">
        <v>54</v>
      </c>
      <c r="I5075" t="s">
        <v>7528</v>
      </c>
      <c r="J5075" t="s">
        <v>294</v>
      </c>
      <c r="M5075" t="s">
        <v>295</v>
      </c>
      <c r="N5075" t="s">
        <v>7</v>
      </c>
      <c r="O5075" t="s">
        <v>297</v>
      </c>
    </row>
    <row r="5076" spans="1:15" x14ac:dyDescent="0.3">
      <c r="A5076" t="s">
        <v>7418</v>
      </c>
      <c r="B5076" t="s">
        <v>7419</v>
      </c>
      <c r="C5076">
        <v>2022</v>
      </c>
      <c r="D5076" t="s">
        <v>358</v>
      </c>
      <c r="E5076" t="s">
        <v>7529</v>
      </c>
      <c r="F5076">
        <v>450000</v>
      </c>
      <c r="G5076" t="s">
        <v>7521</v>
      </c>
      <c r="H5076">
        <v>54</v>
      </c>
      <c r="I5076" t="s">
        <v>7530</v>
      </c>
      <c r="J5076" t="s">
        <v>294</v>
      </c>
      <c r="M5076" t="s">
        <v>295</v>
      </c>
      <c r="N5076" t="s">
        <v>7</v>
      </c>
      <c r="O5076" t="s">
        <v>297</v>
      </c>
    </row>
    <row r="5077" spans="1:15" x14ac:dyDescent="0.3">
      <c r="A5077" t="s">
        <v>7418</v>
      </c>
      <c r="B5077" t="s">
        <v>7419</v>
      </c>
      <c r="C5077">
        <v>2022</v>
      </c>
      <c r="D5077" t="s">
        <v>394</v>
      </c>
      <c r="E5077" t="s">
        <v>7531</v>
      </c>
      <c r="F5077">
        <v>2480000</v>
      </c>
      <c r="G5077" t="s">
        <v>396</v>
      </c>
      <c r="H5077">
        <v>52</v>
      </c>
      <c r="I5077" t="s">
        <v>7532</v>
      </c>
      <c r="J5077" t="s">
        <v>294</v>
      </c>
      <c r="M5077" t="s">
        <v>295</v>
      </c>
      <c r="N5077" t="s">
        <v>7</v>
      </c>
      <c r="O5077" t="s">
        <v>297</v>
      </c>
    </row>
    <row r="5078" spans="1:15" x14ac:dyDescent="0.3">
      <c r="A5078" t="s">
        <v>7418</v>
      </c>
      <c r="B5078" t="s">
        <v>7419</v>
      </c>
      <c r="C5078">
        <v>2022</v>
      </c>
      <c r="D5078" t="s">
        <v>394</v>
      </c>
      <c r="E5078" t="s">
        <v>422</v>
      </c>
      <c r="F5078">
        <v>19.2</v>
      </c>
      <c r="G5078" t="s">
        <v>423</v>
      </c>
      <c r="H5078">
        <v>52</v>
      </c>
      <c r="I5078" t="s">
        <v>7533</v>
      </c>
      <c r="J5078" t="s">
        <v>294</v>
      </c>
      <c r="M5078" t="s">
        <v>295</v>
      </c>
      <c r="N5078" t="s">
        <v>7</v>
      </c>
      <c r="O5078" t="s">
        <v>297</v>
      </c>
    </row>
    <row r="5079" spans="1:15" x14ac:dyDescent="0.3">
      <c r="A5079" t="s">
        <v>7418</v>
      </c>
      <c r="B5079" t="s">
        <v>7419</v>
      </c>
      <c r="C5079">
        <v>2022</v>
      </c>
      <c r="D5079" t="s">
        <v>394</v>
      </c>
      <c r="E5079" t="s">
        <v>406</v>
      </c>
      <c r="F5079">
        <v>572000</v>
      </c>
      <c r="G5079" t="s">
        <v>396</v>
      </c>
      <c r="H5079">
        <v>53</v>
      </c>
      <c r="I5079" t="s">
        <v>7534</v>
      </c>
      <c r="J5079" t="s">
        <v>294</v>
      </c>
      <c r="M5079" t="s">
        <v>295</v>
      </c>
      <c r="N5079" t="s">
        <v>7</v>
      </c>
      <c r="O5079" t="s">
        <v>297</v>
      </c>
    </row>
    <row r="5080" spans="1:15" x14ac:dyDescent="0.3">
      <c r="A5080" t="s">
        <v>7418</v>
      </c>
      <c r="B5080" t="s">
        <v>7419</v>
      </c>
      <c r="C5080">
        <v>2022</v>
      </c>
      <c r="D5080" t="s">
        <v>394</v>
      </c>
      <c r="E5080" t="s">
        <v>4456</v>
      </c>
      <c r="F5080">
        <v>157000</v>
      </c>
      <c r="G5080" t="s">
        <v>396</v>
      </c>
      <c r="H5080">
        <v>53</v>
      </c>
      <c r="I5080" t="s">
        <v>7535</v>
      </c>
      <c r="J5080" t="s">
        <v>294</v>
      </c>
      <c r="M5080" t="s">
        <v>295</v>
      </c>
      <c r="N5080" t="s">
        <v>7</v>
      </c>
      <c r="O5080" t="s">
        <v>297</v>
      </c>
    </row>
    <row r="5081" spans="1:15" x14ac:dyDescent="0.3">
      <c r="A5081" t="s">
        <v>7418</v>
      </c>
      <c r="B5081" t="s">
        <v>7419</v>
      </c>
      <c r="C5081">
        <v>2022</v>
      </c>
      <c r="D5081" t="s">
        <v>394</v>
      </c>
      <c r="E5081" t="s">
        <v>7536</v>
      </c>
      <c r="F5081">
        <v>729000</v>
      </c>
      <c r="G5081" t="s">
        <v>396</v>
      </c>
      <c r="H5081">
        <v>10</v>
      </c>
      <c r="I5081" t="s">
        <v>7537</v>
      </c>
      <c r="J5081" t="s">
        <v>294</v>
      </c>
      <c r="M5081" t="s">
        <v>295</v>
      </c>
      <c r="N5081" t="s">
        <v>7</v>
      </c>
      <c r="O5081" t="s">
        <v>297</v>
      </c>
    </row>
    <row r="5082" spans="1:15" x14ac:dyDescent="0.3">
      <c r="A5082" t="s">
        <v>7418</v>
      </c>
      <c r="B5082" t="s">
        <v>7419</v>
      </c>
      <c r="C5082">
        <v>2022</v>
      </c>
      <c r="D5082" t="s">
        <v>394</v>
      </c>
      <c r="E5082" t="s">
        <v>7538</v>
      </c>
      <c r="F5082">
        <v>5.0999999999999996</v>
      </c>
      <c r="G5082" t="s">
        <v>423</v>
      </c>
      <c r="H5082">
        <v>53</v>
      </c>
      <c r="I5082" t="s">
        <v>7539</v>
      </c>
      <c r="J5082" t="s">
        <v>294</v>
      </c>
      <c r="M5082" t="s">
        <v>295</v>
      </c>
      <c r="N5082" t="s">
        <v>7</v>
      </c>
      <c r="O5082" t="s">
        <v>297</v>
      </c>
    </row>
    <row r="5083" spans="1:15" x14ac:dyDescent="0.3">
      <c r="A5083" t="s">
        <v>7418</v>
      </c>
      <c r="B5083" t="s">
        <v>7419</v>
      </c>
      <c r="C5083">
        <v>2022</v>
      </c>
      <c r="D5083" t="s">
        <v>394</v>
      </c>
      <c r="E5083" t="s">
        <v>7540</v>
      </c>
      <c r="F5083">
        <v>0.20799999999999999</v>
      </c>
      <c r="G5083" t="s">
        <v>334</v>
      </c>
      <c r="H5083">
        <v>53</v>
      </c>
      <c r="I5083" t="s">
        <v>7541</v>
      </c>
      <c r="J5083" t="s">
        <v>294</v>
      </c>
      <c r="M5083" t="s">
        <v>295</v>
      </c>
      <c r="N5083" t="s">
        <v>7</v>
      </c>
      <c r="O5083" t="s">
        <v>297</v>
      </c>
    </row>
    <row r="5084" spans="1:15" x14ac:dyDescent="0.3">
      <c r="A5084" t="s">
        <v>7418</v>
      </c>
      <c r="B5084" t="s">
        <v>7419</v>
      </c>
      <c r="C5084">
        <v>2022</v>
      </c>
      <c r="D5084" t="s">
        <v>394</v>
      </c>
      <c r="E5084" t="s">
        <v>552</v>
      </c>
      <c r="F5084">
        <v>5.7000000000000002E-2</v>
      </c>
      <c r="G5084" t="s">
        <v>334</v>
      </c>
      <c r="H5084">
        <v>53</v>
      </c>
      <c r="I5084" t="s">
        <v>7542</v>
      </c>
      <c r="J5084" t="s">
        <v>294</v>
      </c>
      <c r="M5084" t="s">
        <v>295</v>
      </c>
      <c r="N5084" t="s">
        <v>7</v>
      </c>
      <c r="O5084" t="s">
        <v>297</v>
      </c>
    </row>
    <row r="5085" spans="1:15" x14ac:dyDescent="0.3">
      <c r="A5085" t="s">
        <v>7418</v>
      </c>
      <c r="B5085" t="s">
        <v>7419</v>
      </c>
      <c r="C5085">
        <v>2022</v>
      </c>
      <c r="D5085" t="s">
        <v>394</v>
      </c>
      <c r="E5085" t="s">
        <v>7543</v>
      </c>
      <c r="F5085">
        <v>4900000</v>
      </c>
      <c r="G5085" t="s">
        <v>396</v>
      </c>
      <c r="H5085">
        <v>50</v>
      </c>
      <c r="I5085" t="s">
        <v>7544</v>
      </c>
      <c r="J5085" t="s">
        <v>294</v>
      </c>
      <c r="M5085" t="s">
        <v>295</v>
      </c>
      <c r="N5085" t="s">
        <v>7</v>
      </c>
      <c r="O5085" t="s">
        <v>297</v>
      </c>
    </row>
    <row r="5086" spans="1:15" x14ac:dyDescent="0.3">
      <c r="A5086" t="s">
        <v>7418</v>
      </c>
      <c r="B5086" t="s">
        <v>7419</v>
      </c>
      <c r="C5086">
        <v>2022</v>
      </c>
      <c r="D5086" t="s">
        <v>394</v>
      </c>
      <c r="E5086" t="s">
        <v>7545</v>
      </c>
      <c r="F5086">
        <v>678000</v>
      </c>
      <c r="G5086" t="s">
        <v>396</v>
      </c>
      <c r="H5086">
        <v>10</v>
      </c>
      <c r="I5086" t="s">
        <v>7546</v>
      </c>
      <c r="J5086" t="s">
        <v>294</v>
      </c>
      <c r="M5086" t="s">
        <v>295</v>
      </c>
      <c r="N5086" t="s">
        <v>7</v>
      </c>
      <c r="O5086" t="s">
        <v>297</v>
      </c>
    </row>
    <row r="5087" spans="1:15" x14ac:dyDescent="0.3">
      <c r="A5087" t="s">
        <v>7418</v>
      </c>
      <c r="B5087" t="s">
        <v>7419</v>
      </c>
      <c r="C5087">
        <v>2022</v>
      </c>
      <c r="D5087" t="s">
        <v>394</v>
      </c>
      <c r="E5087" t="s">
        <v>7547</v>
      </c>
      <c r="F5087">
        <v>0.95</v>
      </c>
      <c r="G5087" t="s">
        <v>334</v>
      </c>
      <c r="H5087">
        <v>54</v>
      </c>
      <c r="I5087" t="s">
        <v>7548</v>
      </c>
      <c r="J5087" t="s">
        <v>294</v>
      </c>
      <c r="M5087" t="s">
        <v>295</v>
      </c>
      <c r="N5087" t="s">
        <v>7</v>
      </c>
      <c r="O5087" t="s">
        <v>297</v>
      </c>
    </row>
    <row r="5088" spans="1:15" x14ac:dyDescent="0.3">
      <c r="A5088" t="s">
        <v>7418</v>
      </c>
      <c r="B5088" t="s">
        <v>7419</v>
      </c>
      <c r="C5088">
        <v>2022</v>
      </c>
      <c r="D5088" t="s">
        <v>394</v>
      </c>
      <c r="E5088" t="s">
        <v>7549</v>
      </c>
      <c r="F5088">
        <v>1</v>
      </c>
      <c r="G5088" t="s">
        <v>334</v>
      </c>
      <c r="H5088">
        <v>54</v>
      </c>
      <c r="I5088" t="s">
        <v>7528</v>
      </c>
      <c r="J5088" t="s">
        <v>294</v>
      </c>
      <c r="M5088" t="s">
        <v>295</v>
      </c>
      <c r="N5088" t="s">
        <v>7</v>
      </c>
      <c r="O5088" t="s">
        <v>297</v>
      </c>
    </row>
    <row r="5089" spans="1:15" x14ac:dyDescent="0.3">
      <c r="A5089" t="s">
        <v>7418</v>
      </c>
      <c r="B5089" t="s">
        <v>7419</v>
      </c>
      <c r="C5089">
        <v>2022</v>
      </c>
      <c r="D5089" t="s">
        <v>394</v>
      </c>
      <c r="E5089" t="s">
        <v>7550</v>
      </c>
      <c r="F5089">
        <v>1248</v>
      </c>
      <c r="G5089" t="s">
        <v>947</v>
      </c>
      <c r="H5089">
        <v>8</v>
      </c>
      <c r="I5089" t="s">
        <v>7551</v>
      </c>
      <c r="J5089" t="s">
        <v>294</v>
      </c>
      <c r="M5089" t="s">
        <v>295</v>
      </c>
      <c r="N5089" t="s">
        <v>7</v>
      </c>
      <c r="O5089" t="s">
        <v>297</v>
      </c>
    </row>
    <row r="5090" spans="1:15" x14ac:dyDescent="0.3">
      <c r="A5090" t="s">
        <v>7418</v>
      </c>
      <c r="B5090" t="s">
        <v>7419</v>
      </c>
      <c r="C5090">
        <v>2022</v>
      </c>
      <c r="D5090" t="s">
        <v>394</v>
      </c>
      <c r="E5090" t="s">
        <v>7552</v>
      </c>
      <c r="F5090">
        <v>1696000</v>
      </c>
      <c r="G5090" t="s">
        <v>396</v>
      </c>
      <c r="H5090">
        <v>10</v>
      </c>
      <c r="I5090" t="s">
        <v>7553</v>
      </c>
      <c r="J5090" t="s">
        <v>294</v>
      </c>
      <c r="M5090" t="s">
        <v>295</v>
      </c>
      <c r="N5090" t="s">
        <v>7</v>
      </c>
      <c r="O5090" t="s">
        <v>297</v>
      </c>
    </row>
    <row r="5091" spans="1:15" x14ac:dyDescent="0.3">
      <c r="A5091" t="s">
        <v>7418</v>
      </c>
      <c r="B5091" t="s">
        <v>7419</v>
      </c>
      <c r="C5091">
        <v>2022</v>
      </c>
      <c r="D5091" t="s">
        <v>394</v>
      </c>
      <c r="E5091" t="s">
        <v>7554</v>
      </c>
      <c r="F5091">
        <v>1643000</v>
      </c>
      <c r="G5091" t="s">
        <v>396</v>
      </c>
      <c r="H5091">
        <v>10</v>
      </c>
      <c r="I5091" t="s">
        <v>7555</v>
      </c>
      <c r="J5091" t="s">
        <v>294</v>
      </c>
      <c r="M5091" t="s">
        <v>295</v>
      </c>
      <c r="N5091" t="s">
        <v>7</v>
      </c>
      <c r="O5091" t="s">
        <v>297</v>
      </c>
    </row>
    <row r="5092" spans="1:15" x14ac:dyDescent="0.3">
      <c r="A5092" t="s">
        <v>7418</v>
      </c>
      <c r="B5092" t="s">
        <v>7419</v>
      </c>
      <c r="C5092">
        <v>2022</v>
      </c>
      <c r="D5092" t="s">
        <v>563</v>
      </c>
      <c r="E5092" t="s">
        <v>7556</v>
      </c>
      <c r="F5092">
        <v>0.98</v>
      </c>
      <c r="G5092" t="s">
        <v>334</v>
      </c>
      <c r="H5092">
        <v>10</v>
      </c>
      <c r="I5092" t="s">
        <v>7557</v>
      </c>
      <c r="J5092" t="s">
        <v>294</v>
      </c>
      <c r="M5092" t="s">
        <v>295</v>
      </c>
      <c r="N5092" t="s">
        <v>7</v>
      </c>
      <c r="O5092" t="s">
        <v>297</v>
      </c>
    </row>
    <row r="5093" spans="1:15" x14ac:dyDescent="0.3">
      <c r="A5093" t="s">
        <v>7418</v>
      </c>
      <c r="B5093" t="s">
        <v>7419</v>
      </c>
      <c r="C5093">
        <v>2022</v>
      </c>
      <c r="D5093" t="s">
        <v>563</v>
      </c>
      <c r="E5093" t="s">
        <v>7558</v>
      </c>
      <c r="F5093">
        <v>9300</v>
      </c>
      <c r="G5093" t="s">
        <v>360</v>
      </c>
      <c r="H5093">
        <v>10</v>
      </c>
      <c r="I5093" t="s">
        <v>7559</v>
      </c>
      <c r="J5093" t="s">
        <v>294</v>
      </c>
      <c r="M5093" t="s">
        <v>295</v>
      </c>
      <c r="N5093" t="s">
        <v>7</v>
      </c>
      <c r="O5093" t="s">
        <v>297</v>
      </c>
    </row>
    <row r="5094" spans="1:15" x14ac:dyDescent="0.3">
      <c r="A5094" t="s">
        <v>7418</v>
      </c>
      <c r="B5094" t="s">
        <v>7419</v>
      </c>
      <c r="C5094">
        <v>2022</v>
      </c>
      <c r="D5094" t="s">
        <v>563</v>
      </c>
      <c r="E5094" t="s">
        <v>7560</v>
      </c>
      <c r="F5094">
        <v>43000</v>
      </c>
      <c r="G5094" t="s">
        <v>360</v>
      </c>
      <c r="H5094">
        <v>10</v>
      </c>
      <c r="I5094" t="s">
        <v>7561</v>
      </c>
      <c r="J5094" t="s">
        <v>294</v>
      </c>
      <c r="M5094" t="s">
        <v>295</v>
      </c>
      <c r="N5094" t="s">
        <v>7</v>
      </c>
      <c r="O5094" t="s">
        <v>297</v>
      </c>
    </row>
    <row r="5095" spans="1:15" x14ac:dyDescent="0.3">
      <c r="A5095" t="s">
        <v>7418</v>
      </c>
      <c r="B5095" t="s">
        <v>7419</v>
      </c>
      <c r="C5095">
        <v>2022</v>
      </c>
      <c r="D5095" t="s">
        <v>563</v>
      </c>
      <c r="E5095" t="s">
        <v>5639</v>
      </c>
      <c r="F5095">
        <v>7749207</v>
      </c>
      <c r="G5095" t="s">
        <v>1409</v>
      </c>
      <c r="H5095">
        <v>10</v>
      </c>
      <c r="I5095" t="s">
        <v>7562</v>
      </c>
      <c r="J5095" t="s">
        <v>294</v>
      </c>
      <c r="M5095" t="s">
        <v>295</v>
      </c>
      <c r="N5095" t="s">
        <v>7</v>
      </c>
      <c r="O5095" t="s">
        <v>297</v>
      </c>
    </row>
    <row r="5096" spans="1:15" x14ac:dyDescent="0.3">
      <c r="A5096" t="s">
        <v>7418</v>
      </c>
      <c r="B5096" t="s">
        <v>7419</v>
      </c>
      <c r="C5096">
        <v>2022</v>
      </c>
      <c r="D5096" t="s">
        <v>563</v>
      </c>
      <c r="E5096" t="s">
        <v>7563</v>
      </c>
      <c r="F5096">
        <v>146000</v>
      </c>
      <c r="G5096" t="s">
        <v>2969</v>
      </c>
      <c r="H5096">
        <v>10</v>
      </c>
      <c r="I5096" t="s">
        <v>7564</v>
      </c>
      <c r="J5096" t="s">
        <v>294</v>
      </c>
      <c r="M5096" t="s">
        <v>295</v>
      </c>
      <c r="N5096" t="s">
        <v>7</v>
      </c>
      <c r="O5096" t="s">
        <v>297</v>
      </c>
    </row>
    <row r="5097" spans="1:15" x14ac:dyDescent="0.3">
      <c r="A5097" t="s">
        <v>7418</v>
      </c>
      <c r="B5097" t="s">
        <v>7565</v>
      </c>
      <c r="C5097">
        <v>2023</v>
      </c>
      <c r="D5097" t="s">
        <v>272</v>
      </c>
      <c r="E5097" t="s">
        <v>291</v>
      </c>
      <c r="F5097" t="s">
        <v>7418</v>
      </c>
      <c r="G5097" t="s">
        <v>292</v>
      </c>
      <c r="H5097">
        <v>1</v>
      </c>
      <c r="I5097" t="s">
        <v>7566</v>
      </c>
      <c r="J5097" t="s">
        <v>294</v>
      </c>
      <c r="M5097" t="s">
        <v>295</v>
      </c>
      <c r="N5097" t="s">
        <v>7</v>
      </c>
      <c r="O5097" t="s">
        <v>297</v>
      </c>
    </row>
    <row r="5098" spans="1:15" x14ac:dyDescent="0.3">
      <c r="A5098" t="s">
        <v>7418</v>
      </c>
      <c r="B5098" t="s">
        <v>7565</v>
      </c>
      <c r="C5098">
        <v>2023</v>
      </c>
      <c r="D5098" t="s">
        <v>272</v>
      </c>
      <c r="E5098" t="s">
        <v>442</v>
      </c>
      <c r="F5098" t="s">
        <v>7421</v>
      </c>
      <c r="G5098" t="s">
        <v>334</v>
      </c>
      <c r="H5098">
        <v>153</v>
      </c>
      <c r="I5098" t="s">
        <v>7422</v>
      </c>
      <c r="J5098" t="s">
        <v>294</v>
      </c>
      <c r="M5098" t="s">
        <v>295</v>
      </c>
      <c r="N5098" t="s">
        <v>7</v>
      </c>
      <c r="O5098" t="s">
        <v>297</v>
      </c>
    </row>
    <row r="5099" spans="1:15" x14ac:dyDescent="0.3">
      <c r="A5099" t="s">
        <v>7418</v>
      </c>
      <c r="B5099" t="s">
        <v>7565</v>
      </c>
      <c r="C5099">
        <v>2023</v>
      </c>
      <c r="D5099" t="s">
        <v>272</v>
      </c>
      <c r="E5099" t="s">
        <v>445</v>
      </c>
      <c r="F5099">
        <v>7.5999999999999998E-2</v>
      </c>
      <c r="G5099" t="s">
        <v>334</v>
      </c>
      <c r="H5099">
        <v>153</v>
      </c>
      <c r="I5099" t="s">
        <v>7567</v>
      </c>
      <c r="J5099" t="s">
        <v>294</v>
      </c>
      <c r="M5099" t="s">
        <v>295</v>
      </c>
      <c r="N5099" t="s">
        <v>7</v>
      </c>
      <c r="O5099" t="s">
        <v>297</v>
      </c>
    </row>
    <row r="5100" spans="1:15" x14ac:dyDescent="0.3">
      <c r="A5100" t="s">
        <v>7418</v>
      </c>
      <c r="B5100" t="s">
        <v>7565</v>
      </c>
      <c r="C5100">
        <v>2023</v>
      </c>
      <c r="D5100" t="s">
        <v>272</v>
      </c>
      <c r="E5100" t="s">
        <v>7424</v>
      </c>
      <c r="F5100" t="s">
        <v>7425</v>
      </c>
      <c r="G5100" t="s">
        <v>292</v>
      </c>
      <c r="H5100">
        <v>25</v>
      </c>
      <c r="I5100" t="s">
        <v>7426</v>
      </c>
      <c r="J5100" t="s">
        <v>294</v>
      </c>
      <c r="M5100" t="s">
        <v>295</v>
      </c>
      <c r="N5100" t="s">
        <v>7</v>
      </c>
      <c r="O5100" t="s">
        <v>297</v>
      </c>
    </row>
    <row r="5101" spans="1:15" x14ac:dyDescent="0.3">
      <c r="A5101" t="s">
        <v>7418</v>
      </c>
      <c r="B5101" t="s">
        <v>7565</v>
      </c>
      <c r="C5101">
        <v>2023</v>
      </c>
      <c r="D5101" t="s">
        <v>272</v>
      </c>
      <c r="E5101" t="s">
        <v>2702</v>
      </c>
      <c r="F5101">
        <v>28200</v>
      </c>
      <c r="G5101" t="s">
        <v>2969</v>
      </c>
      <c r="H5101">
        <v>10</v>
      </c>
      <c r="I5101" t="s">
        <v>7568</v>
      </c>
      <c r="J5101" t="s">
        <v>294</v>
      </c>
      <c r="M5101" t="s">
        <v>295</v>
      </c>
      <c r="N5101" t="s">
        <v>7</v>
      </c>
      <c r="O5101" t="s">
        <v>297</v>
      </c>
    </row>
    <row r="5102" spans="1:15" x14ac:dyDescent="0.3">
      <c r="A5102" t="s">
        <v>7418</v>
      </c>
      <c r="B5102" t="s">
        <v>7565</v>
      </c>
      <c r="C5102">
        <v>2023</v>
      </c>
      <c r="D5102" t="s">
        <v>272</v>
      </c>
      <c r="E5102" t="s">
        <v>6558</v>
      </c>
      <c r="F5102">
        <v>8000</v>
      </c>
      <c r="G5102" t="s">
        <v>2969</v>
      </c>
      <c r="H5102">
        <v>10</v>
      </c>
      <c r="I5102" t="s">
        <v>7569</v>
      </c>
      <c r="J5102" t="s">
        <v>294</v>
      </c>
      <c r="M5102" t="s">
        <v>295</v>
      </c>
      <c r="N5102" t="s">
        <v>7</v>
      </c>
      <c r="O5102" t="s">
        <v>297</v>
      </c>
    </row>
    <row r="5103" spans="1:15" x14ac:dyDescent="0.3">
      <c r="A5103" t="s">
        <v>7418</v>
      </c>
      <c r="B5103" t="s">
        <v>7565</v>
      </c>
      <c r="C5103">
        <v>2023</v>
      </c>
      <c r="D5103" t="s">
        <v>300</v>
      </c>
      <c r="E5103" t="s">
        <v>682</v>
      </c>
      <c r="F5103">
        <v>66531</v>
      </c>
      <c r="G5103" t="s">
        <v>302</v>
      </c>
      <c r="H5103">
        <v>8</v>
      </c>
      <c r="I5103" t="s">
        <v>7570</v>
      </c>
      <c r="J5103" t="s">
        <v>294</v>
      </c>
      <c r="M5103" t="s">
        <v>295</v>
      </c>
      <c r="N5103" t="s">
        <v>7</v>
      </c>
      <c r="O5103" t="s">
        <v>297</v>
      </c>
    </row>
    <row r="5104" spans="1:15" x14ac:dyDescent="0.3">
      <c r="A5104" t="s">
        <v>7418</v>
      </c>
      <c r="B5104" t="s">
        <v>7565</v>
      </c>
      <c r="C5104">
        <v>2023</v>
      </c>
      <c r="D5104" t="s">
        <v>300</v>
      </c>
      <c r="E5104" t="s">
        <v>304</v>
      </c>
      <c r="F5104">
        <v>6761</v>
      </c>
      <c r="G5104" t="s">
        <v>302</v>
      </c>
      <c r="H5104">
        <v>8</v>
      </c>
      <c r="I5104" t="s">
        <v>7571</v>
      </c>
      <c r="J5104" t="s">
        <v>294</v>
      </c>
      <c r="M5104" t="s">
        <v>295</v>
      </c>
      <c r="N5104" t="s">
        <v>7</v>
      </c>
      <c r="O5104" t="s">
        <v>297</v>
      </c>
    </row>
    <row r="5105" spans="1:15" x14ac:dyDescent="0.3">
      <c r="A5105" t="s">
        <v>7418</v>
      </c>
      <c r="B5105" t="s">
        <v>7565</v>
      </c>
      <c r="C5105">
        <v>2023</v>
      </c>
      <c r="D5105" t="s">
        <v>300</v>
      </c>
      <c r="E5105" t="s">
        <v>880</v>
      </c>
      <c r="F5105">
        <v>3799</v>
      </c>
      <c r="G5105" t="s">
        <v>302</v>
      </c>
      <c r="H5105">
        <v>8</v>
      </c>
      <c r="I5105" t="s">
        <v>7572</v>
      </c>
      <c r="J5105" t="s">
        <v>294</v>
      </c>
      <c r="M5105" t="s">
        <v>295</v>
      </c>
      <c r="N5105" t="s">
        <v>7</v>
      </c>
      <c r="O5105" t="s">
        <v>297</v>
      </c>
    </row>
    <row r="5106" spans="1:15" x14ac:dyDescent="0.3">
      <c r="A5106" t="s">
        <v>7418</v>
      </c>
      <c r="B5106" t="s">
        <v>7565</v>
      </c>
      <c r="C5106">
        <v>2023</v>
      </c>
      <c r="D5106" t="s">
        <v>300</v>
      </c>
      <c r="E5106" t="s">
        <v>7432</v>
      </c>
      <c r="F5106">
        <v>1483</v>
      </c>
      <c r="G5106" t="s">
        <v>302</v>
      </c>
      <c r="H5106">
        <v>180</v>
      </c>
      <c r="I5106" t="s">
        <v>7573</v>
      </c>
      <c r="J5106" t="s">
        <v>294</v>
      </c>
      <c r="M5106" t="s">
        <v>295</v>
      </c>
      <c r="N5106" t="s">
        <v>7</v>
      </c>
      <c r="O5106" t="s">
        <v>297</v>
      </c>
    </row>
    <row r="5107" spans="1:15" x14ac:dyDescent="0.3">
      <c r="A5107" t="s">
        <v>7418</v>
      </c>
      <c r="B5107" t="s">
        <v>7565</v>
      </c>
      <c r="C5107">
        <v>2023</v>
      </c>
      <c r="D5107" t="s">
        <v>300</v>
      </c>
      <c r="E5107" t="s">
        <v>688</v>
      </c>
      <c r="F5107">
        <v>59770</v>
      </c>
      <c r="G5107" t="s">
        <v>302</v>
      </c>
      <c r="H5107">
        <v>180</v>
      </c>
      <c r="I5107" t="s">
        <v>7574</v>
      </c>
      <c r="J5107" t="s">
        <v>294</v>
      </c>
      <c r="M5107" t="s">
        <v>295</v>
      </c>
      <c r="N5107" t="s">
        <v>7</v>
      </c>
      <c r="O5107" t="s">
        <v>297</v>
      </c>
    </row>
    <row r="5108" spans="1:15" x14ac:dyDescent="0.3">
      <c r="A5108" t="s">
        <v>7418</v>
      </c>
      <c r="B5108" t="s">
        <v>7565</v>
      </c>
      <c r="C5108">
        <v>2023</v>
      </c>
      <c r="D5108" t="s">
        <v>300</v>
      </c>
      <c r="E5108" t="s">
        <v>7435</v>
      </c>
      <c r="F5108">
        <v>3861</v>
      </c>
      <c r="G5108" t="s">
        <v>302</v>
      </c>
      <c r="H5108">
        <v>180</v>
      </c>
      <c r="I5108" t="s">
        <v>7575</v>
      </c>
      <c r="J5108" t="s">
        <v>294</v>
      </c>
      <c r="M5108" t="s">
        <v>295</v>
      </c>
      <c r="N5108" t="s">
        <v>7</v>
      </c>
      <c r="O5108" t="s">
        <v>297</v>
      </c>
    </row>
    <row r="5109" spans="1:15" x14ac:dyDescent="0.3">
      <c r="A5109" t="s">
        <v>7418</v>
      </c>
      <c r="B5109" t="s">
        <v>7565</v>
      </c>
      <c r="C5109">
        <v>2023</v>
      </c>
      <c r="D5109" t="s">
        <v>300</v>
      </c>
      <c r="E5109" t="s">
        <v>7437</v>
      </c>
      <c r="F5109">
        <v>1417</v>
      </c>
      <c r="G5109" t="s">
        <v>302</v>
      </c>
      <c r="H5109">
        <v>180</v>
      </c>
      <c r="I5109" t="s">
        <v>7576</v>
      </c>
      <c r="J5109" t="s">
        <v>294</v>
      </c>
      <c r="M5109" t="s">
        <v>295</v>
      </c>
      <c r="N5109" t="s">
        <v>7</v>
      </c>
      <c r="O5109" t="s">
        <v>297</v>
      </c>
    </row>
    <row r="5110" spans="1:15" x14ac:dyDescent="0.3">
      <c r="A5110" t="s">
        <v>7418</v>
      </c>
      <c r="B5110" t="s">
        <v>7565</v>
      </c>
      <c r="C5110">
        <v>2023</v>
      </c>
      <c r="D5110" t="s">
        <v>300</v>
      </c>
      <c r="E5110" t="s">
        <v>693</v>
      </c>
      <c r="F5110">
        <v>1270</v>
      </c>
      <c r="G5110" t="s">
        <v>302</v>
      </c>
      <c r="H5110">
        <v>180</v>
      </c>
      <c r="I5110" t="s">
        <v>7577</v>
      </c>
      <c r="J5110" t="s">
        <v>294</v>
      </c>
      <c r="M5110" t="s">
        <v>295</v>
      </c>
      <c r="N5110" t="s">
        <v>7</v>
      </c>
      <c r="O5110" t="s">
        <v>297</v>
      </c>
    </row>
    <row r="5111" spans="1:15" x14ac:dyDescent="0.3">
      <c r="A5111" t="s">
        <v>7418</v>
      </c>
      <c r="B5111" t="s">
        <v>7565</v>
      </c>
      <c r="C5111">
        <v>2023</v>
      </c>
      <c r="D5111" t="s">
        <v>300</v>
      </c>
      <c r="E5111" t="s">
        <v>7440</v>
      </c>
      <c r="F5111">
        <v>189</v>
      </c>
      <c r="G5111" t="s">
        <v>302</v>
      </c>
      <c r="H5111">
        <v>180</v>
      </c>
      <c r="I5111" t="s">
        <v>7578</v>
      </c>
      <c r="J5111" t="s">
        <v>294</v>
      </c>
      <c r="M5111" t="s">
        <v>295</v>
      </c>
      <c r="N5111" t="s">
        <v>7</v>
      </c>
      <c r="O5111" t="s">
        <v>297</v>
      </c>
    </row>
    <row r="5112" spans="1:15" x14ac:dyDescent="0.3">
      <c r="A5112" t="s">
        <v>7418</v>
      </c>
      <c r="B5112" t="s">
        <v>7565</v>
      </c>
      <c r="C5112">
        <v>2023</v>
      </c>
      <c r="D5112" t="s">
        <v>300</v>
      </c>
      <c r="E5112" t="s">
        <v>579</v>
      </c>
      <c r="F5112">
        <v>1109</v>
      </c>
      <c r="G5112" t="s">
        <v>302</v>
      </c>
      <c r="H5112">
        <v>180</v>
      </c>
      <c r="I5112" t="s">
        <v>7579</v>
      </c>
      <c r="J5112" t="s">
        <v>294</v>
      </c>
      <c r="M5112" t="s">
        <v>295</v>
      </c>
      <c r="N5112" t="s">
        <v>7</v>
      </c>
      <c r="O5112" t="s">
        <v>297</v>
      </c>
    </row>
    <row r="5113" spans="1:15" x14ac:dyDescent="0.3">
      <c r="A5113" t="s">
        <v>7418</v>
      </c>
      <c r="B5113" t="s">
        <v>7565</v>
      </c>
      <c r="C5113">
        <v>2023</v>
      </c>
      <c r="D5113" t="s">
        <v>300</v>
      </c>
      <c r="E5113" t="s">
        <v>1165</v>
      </c>
      <c r="F5113">
        <v>191</v>
      </c>
      <c r="G5113" t="s">
        <v>302</v>
      </c>
      <c r="H5113">
        <v>180</v>
      </c>
      <c r="I5113" t="s">
        <v>7580</v>
      </c>
      <c r="J5113" t="s">
        <v>294</v>
      </c>
      <c r="M5113" t="s">
        <v>295</v>
      </c>
      <c r="N5113" t="s">
        <v>7</v>
      </c>
      <c r="O5113" t="s">
        <v>297</v>
      </c>
    </row>
    <row r="5114" spans="1:15" x14ac:dyDescent="0.3">
      <c r="A5114" t="s">
        <v>7418</v>
      </c>
      <c r="B5114" t="s">
        <v>7565</v>
      </c>
      <c r="C5114">
        <v>2023</v>
      </c>
      <c r="D5114" t="s">
        <v>300</v>
      </c>
      <c r="E5114" t="s">
        <v>306</v>
      </c>
      <c r="F5114">
        <v>918</v>
      </c>
      <c r="G5114" t="s">
        <v>302</v>
      </c>
      <c r="H5114">
        <v>8</v>
      </c>
      <c r="I5114" t="s">
        <v>7581</v>
      </c>
      <c r="J5114" t="s">
        <v>294</v>
      </c>
      <c r="M5114" t="s">
        <v>295</v>
      </c>
      <c r="N5114" t="s">
        <v>7</v>
      </c>
      <c r="O5114" t="s">
        <v>297</v>
      </c>
    </row>
    <row r="5115" spans="1:15" x14ac:dyDescent="0.3">
      <c r="A5115" t="s">
        <v>7418</v>
      </c>
      <c r="B5115" t="s">
        <v>7565</v>
      </c>
      <c r="C5115">
        <v>2023</v>
      </c>
      <c r="D5115" t="s">
        <v>300</v>
      </c>
      <c r="E5115" t="s">
        <v>316</v>
      </c>
      <c r="F5115">
        <v>39716</v>
      </c>
      <c r="G5115" t="s">
        <v>302</v>
      </c>
      <c r="H5115">
        <v>8</v>
      </c>
      <c r="I5115" t="s">
        <v>7582</v>
      </c>
      <c r="J5115" t="s">
        <v>294</v>
      </c>
      <c r="M5115" t="s">
        <v>295</v>
      </c>
      <c r="N5115" t="s">
        <v>7</v>
      </c>
      <c r="O5115" t="s">
        <v>297</v>
      </c>
    </row>
    <row r="5116" spans="1:15" x14ac:dyDescent="0.3">
      <c r="A5116" t="s">
        <v>7418</v>
      </c>
      <c r="B5116" t="s">
        <v>7565</v>
      </c>
      <c r="C5116">
        <v>2023</v>
      </c>
      <c r="D5116" t="s">
        <v>300</v>
      </c>
      <c r="E5116" t="s">
        <v>312</v>
      </c>
      <c r="F5116">
        <v>19141</v>
      </c>
      <c r="G5116" t="s">
        <v>302</v>
      </c>
      <c r="H5116">
        <v>178</v>
      </c>
      <c r="I5116" t="s">
        <v>7583</v>
      </c>
      <c r="J5116" t="s">
        <v>294</v>
      </c>
      <c r="M5116" t="s">
        <v>295</v>
      </c>
      <c r="N5116" t="s">
        <v>7</v>
      </c>
      <c r="O5116" t="s">
        <v>297</v>
      </c>
    </row>
    <row r="5117" spans="1:15" x14ac:dyDescent="0.3">
      <c r="A5117" t="s">
        <v>7418</v>
      </c>
      <c r="B5117" t="s">
        <v>7565</v>
      </c>
      <c r="C5117">
        <v>2023</v>
      </c>
      <c r="D5117" t="s">
        <v>300</v>
      </c>
      <c r="E5117" t="s">
        <v>314</v>
      </c>
      <c r="F5117">
        <v>20575</v>
      </c>
      <c r="G5117" t="s">
        <v>302</v>
      </c>
      <c r="H5117">
        <v>178</v>
      </c>
      <c r="I5117" t="s">
        <v>7584</v>
      </c>
      <c r="J5117" t="s">
        <v>294</v>
      </c>
      <c r="M5117" t="s">
        <v>295</v>
      </c>
      <c r="N5117" t="s">
        <v>7</v>
      </c>
      <c r="O5117" t="s">
        <v>297</v>
      </c>
    </row>
    <row r="5118" spans="1:15" x14ac:dyDescent="0.3">
      <c r="A5118" t="s">
        <v>7418</v>
      </c>
      <c r="B5118" t="s">
        <v>7565</v>
      </c>
      <c r="C5118">
        <v>2023</v>
      </c>
      <c r="D5118" t="s">
        <v>300</v>
      </c>
      <c r="E5118" t="s">
        <v>322</v>
      </c>
      <c r="F5118">
        <v>20644</v>
      </c>
      <c r="G5118" t="s">
        <v>302</v>
      </c>
      <c r="H5118">
        <v>8</v>
      </c>
      <c r="I5118" t="s">
        <v>7585</v>
      </c>
      <c r="J5118" t="s">
        <v>294</v>
      </c>
      <c r="M5118" t="s">
        <v>295</v>
      </c>
      <c r="N5118" t="s">
        <v>7</v>
      </c>
      <c r="O5118" t="s">
        <v>297</v>
      </c>
    </row>
    <row r="5119" spans="1:15" x14ac:dyDescent="0.3">
      <c r="A5119" t="s">
        <v>7418</v>
      </c>
      <c r="B5119" t="s">
        <v>7565</v>
      </c>
      <c r="C5119">
        <v>2023</v>
      </c>
      <c r="D5119" t="s">
        <v>300</v>
      </c>
      <c r="E5119" t="s">
        <v>318</v>
      </c>
      <c r="F5119">
        <v>10225</v>
      </c>
      <c r="G5119" t="s">
        <v>302</v>
      </c>
      <c r="H5119">
        <v>179</v>
      </c>
      <c r="I5119" t="s">
        <v>7586</v>
      </c>
      <c r="J5119" t="s">
        <v>294</v>
      </c>
      <c r="M5119" t="s">
        <v>295</v>
      </c>
      <c r="N5119" t="s">
        <v>7</v>
      </c>
      <c r="O5119" t="s">
        <v>297</v>
      </c>
    </row>
    <row r="5120" spans="1:15" x14ac:dyDescent="0.3">
      <c r="A5120" t="s">
        <v>7418</v>
      </c>
      <c r="B5120" t="s">
        <v>7565</v>
      </c>
      <c r="C5120">
        <v>2023</v>
      </c>
      <c r="D5120" t="s">
        <v>300</v>
      </c>
      <c r="E5120" t="s">
        <v>468</v>
      </c>
      <c r="F5120">
        <v>10419</v>
      </c>
      <c r="G5120" t="s">
        <v>302</v>
      </c>
      <c r="H5120">
        <v>179</v>
      </c>
      <c r="I5120" t="s">
        <v>7587</v>
      </c>
      <c r="J5120" t="s">
        <v>294</v>
      </c>
      <c r="M5120" t="s">
        <v>295</v>
      </c>
      <c r="N5120" t="s">
        <v>7</v>
      </c>
      <c r="O5120" t="s">
        <v>297</v>
      </c>
    </row>
    <row r="5121" spans="1:15" x14ac:dyDescent="0.3">
      <c r="A5121" t="s">
        <v>7418</v>
      </c>
      <c r="B5121" t="s">
        <v>7565</v>
      </c>
      <c r="C5121">
        <v>2023</v>
      </c>
      <c r="D5121" t="s">
        <v>300</v>
      </c>
      <c r="E5121" t="s">
        <v>324</v>
      </c>
      <c r="F5121">
        <v>19072</v>
      </c>
      <c r="G5121" t="s">
        <v>302</v>
      </c>
      <c r="H5121">
        <v>8</v>
      </c>
      <c r="I5121" t="s">
        <v>7588</v>
      </c>
      <c r="J5121" t="s">
        <v>294</v>
      </c>
      <c r="M5121" t="s">
        <v>295</v>
      </c>
      <c r="N5121" t="s">
        <v>7</v>
      </c>
      <c r="O5121" t="s">
        <v>297</v>
      </c>
    </row>
    <row r="5122" spans="1:15" x14ac:dyDescent="0.3">
      <c r="A5122" t="s">
        <v>7418</v>
      </c>
      <c r="B5122" t="s">
        <v>7565</v>
      </c>
      <c r="C5122">
        <v>2023</v>
      </c>
      <c r="D5122" t="s">
        <v>300</v>
      </c>
      <c r="E5122" t="s">
        <v>471</v>
      </c>
      <c r="F5122">
        <v>1642</v>
      </c>
      <c r="G5122" t="s">
        <v>302</v>
      </c>
      <c r="H5122">
        <v>178</v>
      </c>
      <c r="I5122" t="s">
        <v>7589</v>
      </c>
      <c r="J5122" t="s">
        <v>294</v>
      </c>
      <c r="M5122" t="s">
        <v>295</v>
      </c>
      <c r="N5122" t="s">
        <v>7</v>
      </c>
      <c r="O5122" t="s">
        <v>297</v>
      </c>
    </row>
    <row r="5123" spans="1:15" x14ac:dyDescent="0.3">
      <c r="A5123" t="s">
        <v>7418</v>
      </c>
      <c r="B5123" t="s">
        <v>7565</v>
      </c>
      <c r="C5123">
        <v>2023</v>
      </c>
      <c r="D5123" t="s">
        <v>300</v>
      </c>
      <c r="E5123" t="s">
        <v>481</v>
      </c>
      <c r="F5123">
        <v>8769</v>
      </c>
      <c r="G5123" t="s">
        <v>302</v>
      </c>
      <c r="H5123">
        <v>178</v>
      </c>
      <c r="I5123" t="s">
        <v>7590</v>
      </c>
      <c r="J5123" t="s">
        <v>294</v>
      </c>
      <c r="M5123" t="s">
        <v>295</v>
      </c>
      <c r="N5123" t="s">
        <v>7</v>
      </c>
      <c r="O5123" t="s">
        <v>297</v>
      </c>
    </row>
    <row r="5124" spans="1:15" x14ac:dyDescent="0.3">
      <c r="A5124" t="s">
        <v>7418</v>
      </c>
      <c r="B5124" t="s">
        <v>7565</v>
      </c>
      <c r="C5124">
        <v>2023</v>
      </c>
      <c r="D5124" t="s">
        <v>300</v>
      </c>
      <c r="E5124" t="s">
        <v>595</v>
      </c>
      <c r="F5124">
        <v>2923</v>
      </c>
      <c r="G5124" t="s">
        <v>302</v>
      </c>
      <c r="H5124">
        <v>179</v>
      </c>
      <c r="I5124" t="s">
        <v>7591</v>
      </c>
      <c r="J5124" t="s">
        <v>294</v>
      </c>
      <c r="M5124" t="s">
        <v>295</v>
      </c>
      <c r="N5124" t="s">
        <v>7</v>
      </c>
      <c r="O5124" t="s">
        <v>297</v>
      </c>
    </row>
    <row r="5125" spans="1:15" x14ac:dyDescent="0.3">
      <c r="A5125" t="s">
        <v>7418</v>
      </c>
      <c r="B5125" t="s">
        <v>7565</v>
      </c>
      <c r="C5125">
        <v>2023</v>
      </c>
      <c r="D5125" t="s">
        <v>300</v>
      </c>
      <c r="E5125" t="s">
        <v>6375</v>
      </c>
      <c r="F5125">
        <v>1581</v>
      </c>
      <c r="G5125" t="s">
        <v>302</v>
      </c>
      <c r="H5125">
        <v>179</v>
      </c>
      <c r="I5125" t="s">
        <v>7592</v>
      </c>
      <c r="J5125" t="s">
        <v>294</v>
      </c>
      <c r="M5125" t="s">
        <v>295</v>
      </c>
      <c r="N5125" t="s">
        <v>7</v>
      </c>
      <c r="O5125" t="s">
        <v>297</v>
      </c>
    </row>
    <row r="5126" spans="1:15" x14ac:dyDescent="0.3">
      <c r="A5126" t="s">
        <v>7418</v>
      </c>
      <c r="B5126" t="s">
        <v>7565</v>
      </c>
      <c r="C5126">
        <v>2023</v>
      </c>
      <c r="D5126" t="s">
        <v>300</v>
      </c>
      <c r="E5126" t="s">
        <v>7457</v>
      </c>
      <c r="F5126">
        <v>2043</v>
      </c>
      <c r="G5126" t="s">
        <v>302</v>
      </c>
      <c r="H5126">
        <v>179</v>
      </c>
      <c r="I5126" t="s">
        <v>7593</v>
      </c>
      <c r="J5126" t="s">
        <v>294</v>
      </c>
      <c r="M5126" t="s">
        <v>295</v>
      </c>
      <c r="N5126" t="s">
        <v>7</v>
      </c>
      <c r="O5126" t="s">
        <v>297</v>
      </c>
    </row>
    <row r="5127" spans="1:15" x14ac:dyDescent="0.3">
      <c r="A5127" t="s">
        <v>7418</v>
      </c>
      <c r="B5127" t="s">
        <v>7565</v>
      </c>
      <c r="C5127">
        <v>2023</v>
      </c>
      <c r="D5127" t="s">
        <v>300</v>
      </c>
      <c r="E5127" t="s">
        <v>475</v>
      </c>
      <c r="F5127">
        <v>5440</v>
      </c>
      <c r="G5127" t="s">
        <v>302</v>
      </c>
      <c r="H5127">
        <v>179</v>
      </c>
      <c r="I5127" t="s">
        <v>7594</v>
      </c>
      <c r="J5127" t="s">
        <v>294</v>
      </c>
      <c r="M5127" t="s">
        <v>295</v>
      </c>
      <c r="N5127" t="s">
        <v>7</v>
      </c>
      <c r="O5127" t="s">
        <v>297</v>
      </c>
    </row>
    <row r="5128" spans="1:15" x14ac:dyDescent="0.3">
      <c r="A5128" t="s">
        <v>7418</v>
      </c>
      <c r="B5128" t="s">
        <v>7565</v>
      </c>
      <c r="C5128">
        <v>2023</v>
      </c>
      <c r="D5128" t="s">
        <v>300</v>
      </c>
      <c r="E5128" t="s">
        <v>7460</v>
      </c>
      <c r="F5128">
        <v>4022</v>
      </c>
      <c r="G5128" t="s">
        <v>302</v>
      </c>
      <c r="H5128">
        <v>179</v>
      </c>
      <c r="I5128" t="s">
        <v>7595</v>
      </c>
      <c r="J5128" t="s">
        <v>294</v>
      </c>
      <c r="M5128" t="s">
        <v>295</v>
      </c>
      <c r="N5128" t="s">
        <v>7</v>
      </c>
      <c r="O5128" t="s">
        <v>297</v>
      </c>
    </row>
    <row r="5129" spans="1:15" x14ac:dyDescent="0.3">
      <c r="A5129" t="s">
        <v>7418</v>
      </c>
      <c r="B5129" t="s">
        <v>7565</v>
      </c>
      <c r="C5129">
        <v>2023</v>
      </c>
      <c r="D5129" t="s">
        <v>300</v>
      </c>
      <c r="E5129" t="s">
        <v>597</v>
      </c>
      <c r="F5129">
        <v>16008</v>
      </c>
      <c r="G5129" t="s">
        <v>302</v>
      </c>
      <c r="H5129">
        <v>179</v>
      </c>
      <c r="I5129" t="s">
        <v>7596</v>
      </c>
      <c r="J5129" t="s">
        <v>294</v>
      </c>
      <c r="M5129" t="s">
        <v>295</v>
      </c>
      <c r="N5129" t="s">
        <v>7</v>
      </c>
      <c r="O5129" t="s">
        <v>297</v>
      </c>
    </row>
    <row r="5130" spans="1:15" x14ac:dyDescent="0.3">
      <c r="A5130" t="s">
        <v>7418</v>
      </c>
      <c r="B5130" t="s">
        <v>7565</v>
      </c>
      <c r="C5130">
        <v>2023</v>
      </c>
      <c r="D5130" t="s">
        <v>300</v>
      </c>
      <c r="E5130" t="s">
        <v>601</v>
      </c>
      <c r="F5130">
        <v>4038</v>
      </c>
      <c r="G5130" t="s">
        <v>302</v>
      </c>
      <c r="H5130">
        <v>182</v>
      </c>
      <c r="I5130" t="s">
        <v>7597</v>
      </c>
      <c r="J5130" t="s">
        <v>294</v>
      </c>
      <c r="M5130" t="s">
        <v>295</v>
      </c>
      <c r="N5130" t="s">
        <v>7</v>
      </c>
      <c r="O5130" t="s">
        <v>297</v>
      </c>
    </row>
    <row r="5131" spans="1:15" x14ac:dyDescent="0.3">
      <c r="A5131" t="s">
        <v>7418</v>
      </c>
      <c r="B5131" t="s">
        <v>7565</v>
      </c>
      <c r="C5131">
        <v>2023</v>
      </c>
      <c r="D5131" t="s">
        <v>300</v>
      </c>
      <c r="E5131" t="s">
        <v>603</v>
      </c>
      <c r="F5131">
        <v>-1722</v>
      </c>
      <c r="G5131" t="s">
        <v>302</v>
      </c>
      <c r="H5131">
        <v>182</v>
      </c>
      <c r="I5131" t="s">
        <v>7598</v>
      </c>
      <c r="J5131" t="s">
        <v>294</v>
      </c>
      <c r="M5131" t="s">
        <v>295</v>
      </c>
      <c r="N5131" t="s">
        <v>7</v>
      </c>
      <c r="O5131" t="s">
        <v>297</v>
      </c>
    </row>
    <row r="5132" spans="1:15" x14ac:dyDescent="0.3">
      <c r="A5132" t="s">
        <v>7418</v>
      </c>
      <c r="B5132" t="s">
        <v>7565</v>
      </c>
      <c r="C5132">
        <v>2023</v>
      </c>
      <c r="D5132" t="s">
        <v>300</v>
      </c>
      <c r="E5132" t="s">
        <v>716</v>
      </c>
      <c r="F5132">
        <v>-3138</v>
      </c>
      <c r="G5132" t="s">
        <v>302</v>
      </c>
      <c r="H5132">
        <v>182</v>
      </c>
      <c r="I5132" t="s">
        <v>7599</v>
      </c>
      <c r="J5132" t="s">
        <v>294</v>
      </c>
      <c r="M5132" t="s">
        <v>295</v>
      </c>
      <c r="N5132" t="s">
        <v>7</v>
      </c>
      <c r="O5132" t="s">
        <v>297</v>
      </c>
    </row>
    <row r="5133" spans="1:15" x14ac:dyDescent="0.3">
      <c r="A5133" t="s">
        <v>7418</v>
      </c>
      <c r="B5133" t="s">
        <v>7565</v>
      </c>
      <c r="C5133">
        <v>2023</v>
      </c>
      <c r="D5133" t="s">
        <v>300</v>
      </c>
      <c r="E5133" t="s">
        <v>7600</v>
      </c>
      <c r="F5133">
        <v>1699</v>
      </c>
      <c r="G5133" t="s">
        <v>302</v>
      </c>
      <c r="H5133">
        <v>182</v>
      </c>
      <c r="I5133" t="s">
        <v>7601</v>
      </c>
      <c r="J5133" t="s">
        <v>294</v>
      </c>
      <c r="M5133" t="s">
        <v>295</v>
      </c>
      <c r="N5133" t="s">
        <v>7</v>
      </c>
      <c r="O5133" t="s">
        <v>297</v>
      </c>
    </row>
    <row r="5134" spans="1:15" x14ac:dyDescent="0.3">
      <c r="A5134" t="s">
        <v>7418</v>
      </c>
      <c r="B5134" t="s">
        <v>7565</v>
      </c>
      <c r="C5134">
        <v>2023</v>
      </c>
      <c r="D5134" t="s">
        <v>300</v>
      </c>
      <c r="E5134" t="s">
        <v>7602</v>
      </c>
      <c r="F5134">
        <v>148</v>
      </c>
      <c r="G5134" t="s">
        <v>302</v>
      </c>
      <c r="H5134">
        <v>182</v>
      </c>
      <c r="I5134" t="s">
        <v>7603</v>
      </c>
      <c r="J5134" t="s">
        <v>294</v>
      </c>
      <c r="M5134" t="s">
        <v>295</v>
      </c>
      <c r="N5134" t="s">
        <v>7</v>
      </c>
      <c r="O5134" t="s">
        <v>297</v>
      </c>
    </row>
    <row r="5135" spans="1:15" x14ac:dyDescent="0.3">
      <c r="A5135" t="s">
        <v>7418</v>
      </c>
      <c r="B5135" t="s">
        <v>7565</v>
      </c>
      <c r="C5135">
        <v>2023</v>
      </c>
      <c r="D5135" t="s">
        <v>300</v>
      </c>
      <c r="E5135" t="s">
        <v>7466</v>
      </c>
      <c r="F5135">
        <v>1847</v>
      </c>
      <c r="G5135" t="s">
        <v>302</v>
      </c>
      <c r="H5135">
        <v>182</v>
      </c>
      <c r="I5135" t="s">
        <v>7604</v>
      </c>
      <c r="J5135" t="s">
        <v>294</v>
      </c>
      <c r="M5135" t="s">
        <v>295</v>
      </c>
      <c r="N5135" t="s">
        <v>7</v>
      </c>
      <c r="O5135" t="s">
        <v>297</v>
      </c>
    </row>
    <row r="5136" spans="1:15" x14ac:dyDescent="0.3">
      <c r="A5136" t="s">
        <v>7418</v>
      </c>
      <c r="B5136" t="s">
        <v>7565</v>
      </c>
      <c r="C5136">
        <v>2023</v>
      </c>
      <c r="D5136" t="s">
        <v>300</v>
      </c>
      <c r="E5136" t="s">
        <v>7468</v>
      </c>
      <c r="F5136">
        <v>1062</v>
      </c>
      <c r="G5136" t="s">
        <v>302</v>
      </c>
      <c r="H5136">
        <v>182</v>
      </c>
      <c r="I5136" t="s">
        <v>7605</v>
      </c>
      <c r="J5136" t="s">
        <v>294</v>
      </c>
      <c r="M5136" t="s">
        <v>295</v>
      </c>
      <c r="N5136" t="s">
        <v>7</v>
      </c>
      <c r="O5136" t="s">
        <v>297</v>
      </c>
    </row>
    <row r="5137" spans="1:15" x14ac:dyDescent="0.3">
      <c r="A5137" t="s">
        <v>7418</v>
      </c>
      <c r="B5137" t="s">
        <v>7565</v>
      </c>
      <c r="C5137">
        <v>2023</v>
      </c>
      <c r="D5137" t="s">
        <v>300</v>
      </c>
      <c r="E5137" t="s">
        <v>2658</v>
      </c>
      <c r="F5137">
        <v>320</v>
      </c>
      <c r="G5137" t="s">
        <v>346</v>
      </c>
      <c r="H5137">
        <v>8</v>
      </c>
      <c r="I5137" t="s">
        <v>7606</v>
      </c>
      <c r="J5137" t="s">
        <v>294</v>
      </c>
      <c r="M5137" t="s">
        <v>295</v>
      </c>
      <c r="N5137" t="s">
        <v>7</v>
      </c>
      <c r="O5137" t="s">
        <v>297</v>
      </c>
    </row>
    <row r="5138" spans="1:15" x14ac:dyDescent="0.3">
      <c r="A5138" t="s">
        <v>7418</v>
      </c>
      <c r="B5138" t="s">
        <v>7565</v>
      </c>
      <c r="C5138">
        <v>2023</v>
      </c>
      <c r="D5138" t="s">
        <v>300</v>
      </c>
      <c r="E5138" t="s">
        <v>7607</v>
      </c>
      <c r="F5138">
        <v>95</v>
      </c>
      <c r="G5138" t="s">
        <v>346</v>
      </c>
      <c r="H5138">
        <v>58</v>
      </c>
      <c r="I5138" t="s">
        <v>7608</v>
      </c>
      <c r="J5138" t="s">
        <v>294</v>
      </c>
      <c r="M5138" t="s">
        <v>295</v>
      </c>
      <c r="N5138" t="s">
        <v>7</v>
      </c>
      <c r="O5138" t="s">
        <v>297</v>
      </c>
    </row>
    <row r="5139" spans="1:15" x14ac:dyDescent="0.3">
      <c r="A5139" t="s">
        <v>7418</v>
      </c>
      <c r="B5139" t="s">
        <v>7565</v>
      </c>
      <c r="C5139">
        <v>2023</v>
      </c>
      <c r="D5139" t="s">
        <v>300</v>
      </c>
      <c r="E5139" t="s">
        <v>7609</v>
      </c>
      <c r="F5139">
        <v>370</v>
      </c>
      <c r="G5139" t="s">
        <v>346</v>
      </c>
      <c r="H5139">
        <v>58</v>
      </c>
      <c r="I5139" t="s">
        <v>7610</v>
      </c>
      <c r="J5139" t="s">
        <v>294</v>
      </c>
      <c r="M5139" t="s">
        <v>295</v>
      </c>
      <c r="N5139" t="s">
        <v>7</v>
      </c>
      <c r="O5139" t="s">
        <v>297</v>
      </c>
    </row>
    <row r="5140" spans="1:15" x14ac:dyDescent="0.3">
      <c r="A5140" t="s">
        <v>7418</v>
      </c>
      <c r="B5140" t="s">
        <v>7565</v>
      </c>
      <c r="C5140">
        <v>2023</v>
      </c>
      <c r="D5140" t="s">
        <v>300</v>
      </c>
      <c r="E5140" t="s">
        <v>1135</v>
      </c>
      <c r="F5140">
        <v>4000</v>
      </c>
      <c r="G5140" t="s">
        <v>346</v>
      </c>
      <c r="H5140">
        <v>151</v>
      </c>
      <c r="I5140" t="s">
        <v>7611</v>
      </c>
      <c r="J5140" t="s">
        <v>294</v>
      </c>
      <c r="M5140" t="s">
        <v>295</v>
      </c>
      <c r="N5140" t="s">
        <v>7</v>
      </c>
      <c r="O5140" t="s">
        <v>297</v>
      </c>
    </row>
    <row r="5141" spans="1:15" x14ac:dyDescent="0.3">
      <c r="A5141" t="s">
        <v>7418</v>
      </c>
      <c r="B5141" t="s">
        <v>7565</v>
      </c>
      <c r="C5141">
        <v>2023</v>
      </c>
      <c r="D5141" t="s">
        <v>300</v>
      </c>
      <c r="E5141" t="s">
        <v>1137</v>
      </c>
      <c r="F5141">
        <v>11489</v>
      </c>
      <c r="G5141" t="s">
        <v>302</v>
      </c>
      <c r="H5141">
        <v>151</v>
      </c>
      <c r="I5141" t="s">
        <v>7612</v>
      </c>
      <c r="J5141" t="s">
        <v>294</v>
      </c>
      <c r="M5141" t="s">
        <v>295</v>
      </c>
      <c r="N5141" t="s">
        <v>7</v>
      </c>
      <c r="O5141" t="s">
        <v>297</v>
      </c>
    </row>
    <row r="5142" spans="1:15" x14ac:dyDescent="0.3">
      <c r="A5142" t="s">
        <v>7418</v>
      </c>
      <c r="B5142" t="s">
        <v>7565</v>
      </c>
      <c r="C5142">
        <v>2023</v>
      </c>
      <c r="D5142" t="s">
        <v>300</v>
      </c>
      <c r="E5142" t="s">
        <v>342</v>
      </c>
      <c r="F5142">
        <v>2872</v>
      </c>
      <c r="G5142" t="s">
        <v>497</v>
      </c>
      <c r="H5142">
        <v>153</v>
      </c>
      <c r="I5142" t="s">
        <v>7478</v>
      </c>
      <c r="J5142" t="s">
        <v>294</v>
      </c>
      <c r="M5142" t="s">
        <v>295</v>
      </c>
      <c r="N5142" t="s">
        <v>7</v>
      </c>
      <c r="O5142" t="s">
        <v>297</v>
      </c>
    </row>
    <row r="5143" spans="1:15" x14ac:dyDescent="0.3">
      <c r="A5143" t="s">
        <v>7418</v>
      </c>
      <c r="B5143" t="s">
        <v>7565</v>
      </c>
      <c r="C5143">
        <v>2023</v>
      </c>
      <c r="D5143" t="s">
        <v>300</v>
      </c>
      <c r="E5143" t="s">
        <v>501</v>
      </c>
      <c r="F5143">
        <v>0.84</v>
      </c>
      <c r="G5143" t="s">
        <v>327</v>
      </c>
      <c r="H5143">
        <v>8</v>
      </c>
      <c r="I5143" t="s">
        <v>7613</v>
      </c>
      <c r="J5143" t="s">
        <v>294</v>
      </c>
      <c r="M5143" t="s">
        <v>295</v>
      </c>
      <c r="N5143" t="s">
        <v>7</v>
      </c>
      <c r="O5143" t="s">
        <v>297</v>
      </c>
    </row>
    <row r="5144" spans="1:15" x14ac:dyDescent="0.3">
      <c r="A5144" t="s">
        <v>7418</v>
      </c>
      <c r="B5144" t="s">
        <v>7565</v>
      </c>
      <c r="C5144">
        <v>2023</v>
      </c>
      <c r="D5144" t="s">
        <v>300</v>
      </c>
      <c r="E5144" t="s">
        <v>7480</v>
      </c>
      <c r="F5144">
        <v>0.65</v>
      </c>
      <c r="G5144" t="s">
        <v>327</v>
      </c>
      <c r="H5144">
        <v>8</v>
      </c>
      <c r="I5144" t="s">
        <v>7614</v>
      </c>
      <c r="J5144" t="s">
        <v>294</v>
      </c>
      <c r="M5144" t="s">
        <v>295</v>
      </c>
      <c r="N5144" t="s">
        <v>7</v>
      </c>
      <c r="O5144" t="s">
        <v>297</v>
      </c>
    </row>
    <row r="5145" spans="1:15" x14ac:dyDescent="0.3">
      <c r="A5145" t="s">
        <v>7418</v>
      </c>
      <c r="B5145" t="s">
        <v>7565</v>
      </c>
      <c r="C5145">
        <v>2023</v>
      </c>
      <c r="D5145" t="s">
        <v>300</v>
      </c>
      <c r="E5145" t="s">
        <v>326</v>
      </c>
      <c r="F5145">
        <v>1.9</v>
      </c>
      <c r="G5145" t="s">
        <v>327</v>
      </c>
      <c r="H5145">
        <v>8</v>
      </c>
      <c r="I5145" t="s">
        <v>7615</v>
      </c>
      <c r="J5145" t="s">
        <v>294</v>
      </c>
      <c r="M5145" t="s">
        <v>295</v>
      </c>
      <c r="N5145" t="s">
        <v>7</v>
      </c>
      <c r="O5145" t="s">
        <v>297</v>
      </c>
    </row>
    <row r="5146" spans="1:15" x14ac:dyDescent="0.3">
      <c r="A5146" t="s">
        <v>7418</v>
      </c>
      <c r="B5146" t="s">
        <v>7565</v>
      </c>
      <c r="C5146">
        <v>2023</v>
      </c>
      <c r="D5146" t="s">
        <v>300</v>
      </c>
      <c r="E5146" t="s">
        <v>340</v>
      </c>
      <c r="F5146">
        <v>0.10199999999999999</v>
      </c>
      <c r="G5146" t="s">
        <v>334</v>
      </c>
      <c r="H5146">
        <v>8</v>
      </c>
      <c r="I5146" t="s">
        <v>7616</v>
      </c>
      <c r="J5146" t="s">
        <v>294</v>
      </c>
      <c r="M5146" t="s">
        <v>295</v>
      </c>
      <c r="N5146" t="s">
        <v>7</v>
      </c>
      <c r="O5146" t="s">
        <v>297</v>
      </c>
    </row>
    <row r="5147" spans="1:15" x14ac:dyDescent="0.3">
      <c r="A5147" t="s">
        <v>7418</v>
      </c>
      <c r="B5147" t="s">
        <v>7565</v>
      </c>
      <c r="C5147">
        <v>2023</v>
      </c>
      <c r="D5147" t="s">
        <v>300</v>
      </c>
      <c r="E5147" t="s">
        <v>901</v>
      </c>
      <c r="F5147">
        <v>5.7000000000000002E-2</v>
      </c>
      <c r="G5147" t="s">
        <v>334</v>
      </c>
      <c r="H5147">
        <v>8</v>
      </c>
      <c r="I5147" t="s">
        <v>7617</v>
      </c>
      <c r="J5147" t="s">
        <v>294</v>
      </c>
      <c r="M5147" t="s">
        <v>295</v>
      </c>
      <c r="N5147" t="s">
        <v>7</v>
      </c>
      <c r="O5147" t="s">
        <v>297</v>
      </c>
    </row>
    <row r="5148" spans="1:15" x14ac:dyDescent="0.3">
      <c r="A5148" t="s">
        <v>7418</v>
      </c>
      <c r="B5148" t="s">
        <v>7565</v>
      </c>
      <c r="C5148">
        <v>2023</v>
      </c>
      <c r="D5148" t="s">
        <v>300</v>
      </c>
      <c r="E5148" t="s">
        <v>338</v>
      </c>
      <c r="F5148">
        <v>1.4E-2</v>
      </c>
      <c r="G5148" t="s">
        <v>334</v>
      </c>
      <c r="H5148">
        <v>8</v>
      </c>
      <c r="I5148" t="s">
        <v>7618</v>
      </c>
      <c r="J5148" t="s">
        <v>294</v>
      </c>
      <c r="M5148" t="s">
        <v>295</v>
      </c>
      <c r="N5148" t="s">
        <v>7</v>
      </c>
      <c r="O5148" t="s">
        <v>297</v>
      </c>
    </row>
    <row r="5149" spans="1:15" x14ac:dyDescent="0.3">
      <c r="A5149" t="s">
        <v>7418</v>
      </c>
      <c r="B5149" t="s">
        <v>7565</v>
      </c>
      <c r="C5149">
        <v>2023</v>
      </c>
      <c r="D5149" t="s">
        <v>300</v>
      </c>
      <c r="E5149" t="s">
        <v>336</v>
      </c>
      <c r="F5149">
        <v>4.8000000000000001E-2</v>
      </c>
      <c r="G5149" t="s">
        <v>334</v>
      </c>
      <c r="H5149">
        <v>8</v>
      </c>
      <c r="I5149" t="s">
        <v>7619</v>
      </c>
      <c r="J5149" t="s">
        <v>294</v>
      </c>
      <c r="M5149" t="s">
        <v>295</v>
      </c>
      <c r="N5149" t="s">
        <v>7</v>
      </c>
      <c r="O5149" t="s">
        <v>297</v>
      </c>
    </row>
    <row r="5150" spans="1:15" x14ac:dyDescent="0.3">
      <c r="A5150" t="s">
        <v>7418</v>
      </c>
      <c r="B5150" t="s">
        <v>7565</v>
      </c>
      <c r="C5150">
        <v>2023</v>
      </c>
      <c r="D5150" t="s">
        <v>300</v>
      </c>
      <c r="E5150" t="s">
        <v>7490</v>
      </c>
      <c r="F5150">
        <v>15416</v>
      </c>
      <c r="G5150" t="s">
        <v>2769</v>
      </c>
      <c r="H5150">
        <v>8</v>
      </c>
      <c r="I5150" t="s">
        <v>7620</v>
      </c>
      <c r="J5150" t="s">
        <v>294</v>
      </c>
      <c r="M5150" t="s">
        <v>295</v>
      </c>
      <c r="N5150" t="s">
        <v>7</v>
      </c>
      <c r="O5150" t="s">
        <v>297</v>
      </c>
    </row>
    <row r="5151" spans="1:15" x14ac:dyDescent="0.3">
      <c r="A5151" t="s">
        <v>7418</v>
      </c>
      <c r="B5151" t="s">
        <v>7565</v>
      </c>
      <c r="C5151">
        <v>2023</v>
      </c>
      <c r="D5151" t="s">
        <v>300</v>
      </c>
      <c r="E5151" t="s">
        <v>7492</v>
      </c>
      <c r="F5151">
        <v>15243</v>
      </c>
      <c r="G5151" t="s">
        <v>2769</v>
      </c>
      <c r="H5151">
        <v>8</v>
      </c>
      <c r="I5151" t="s">
        <v>7621</v>
      </c>
      <c r="J5151" t="s">
        <v>294</v>
      </c>
      <c r="M5151" t="s">
        <v>295</v>
      </c>
      <c r="N5151" t="s">
        <v>7</v>
      </c>
      <c r="O5151" t="s">
        <v>297</v>
      </c>
    </row>
    <row r="5152" spans="1:15" x14ac:dyDescent="0.3">
      <c r="A5152" t="s">
        <v>7418</v>
      </c>
      <c r="B5152" t="s">
        <v>7565</v>
      </c>
      <c r="C5152">
        <v>2023</v>
      </c>
      <c r="D5152" t="s">
        <v>358</v>
      </c>
      <c r="E5152" t="s">
        <v>504</v>
      </c>
      <c r="F5152">
        <v>134177</v>
      </c>
      <c r="G5152" t="s">
        <v>360</v>
      </c>
      <c r="H5152">
        <v>52</v>
      </c>
      <c r="I5152" t="s">
        <v>7622</v>
      </c>
      <c r="J5152" t="s">
        <v>294</v>
      </c>
      <c r="M5152" t="s">
        <v>295</v>
      </c>
      <c r="N5152" t="s">
        <v>7</v>
      </c>
      <c r="O5152" t="s">
        <v>297</v>
      </c>
    </row>
    <row r="5153" spans="1:15" x14ac:dyDescent="0.3">
      <c r="A5153" t="s">
        <v>7418</v>
      </c>
      <c r="B5153" t="s">
        <v>7565</v>
      </c>
      <c r="C5153">
        <v>2023</v>
      </c>
      <c r="D5153" t="s">
        <v>358</v>
      </c>
      <c r="E5153" t="s">
        <v>7495</v>
      </c>
      <c r="F5153">
        <v>0.77</v>
      </c>
      <c r="G5153" t="s">
        <v>334</v>
      </c>
      <c r="H5153">
        <v>52</v>
      </c>
      <c r="I5153" t="s">
        <v>7623</v>
      </c>
      <c r="J5153" t="s">
        <v>294</v>
      </c>
      <c r="M5153" t="s">
        <v>295</v>
      </c>
      <c r="N5153" t="s">
        <v>7</v>
      </c>
      <c r="O5153" t="s">
        <v>297</v>
      </c>
    </row>
    <row r="5154" spans="1:15" x14ac:dyDescent="0.3">
      <c r="A5154" t="s">
        <v>7418</v>
      </c>
      <c r="B5154" t="s">
        <v>7565</v>
      </c>
      <c r="C5154">
        <v>2023</v>
      </c>
      <c r="D5154" t="s">
        <v>358</v>
      </c>
      <c r="E5154" t="s">
        <v>7497</v>
      </c>
      <c r="F5154">
        <v>0.23</v>
      </c>
      <c r="G5154" t="s">
        <v>334</v>
      </c>
      <c r="H5154">
        <v>52</v>
      </c>
      <c r="I5154" t="s">
        <v>7624</v>
      </c>
      <c r="J5154" t="s">
        <v>294</v>
      </c>
      <c r="M5154" t="s">
        <v>295</v>
      </c>
      <c r="N5154" t="s">
        <v>7</v>
      </c>
      <c r="O5154" t="s">
        <v>297</v>
      </c>
    </row>
    <row r="5155" spans="1:15" x14ac:dyDescent="0.3">
      <c r="A5155" t="s">
        <v>7418</v>
      </c>
      <c r="B5155" t="s">
        <v>7565</v>
      </c>
      <c r="C5155">
        <v>2023</v>
      </c>
      <c r="D5155" t="s">
        <v>358</v>
      </c>
      <c r="E5155" t="s">
        <v>7505</v>
      </c>
      <c r="F5155">
        <v>7834</v>
      </c>
      <c r="G5155" t="s">
        <v>360</v>
      </c>
      <c r="H5155">
        <v>53</v>
      </c>
      <c r="I5155" t="s">
        <v>7625</v>
      </c>
      <c r="J5155" t="s">
        <v>294</v>
      </c>
      <c r="M5155" t="s">
        <v>295</v>
      </c>
      <c r="N5155" t="s">
        <v>7</v>
      </c>
      <c r="O5155" t="s">
        <v>297</v>
      </c>
    </row>
    <row r="5156" spans="1:15" x14ac:dyDescent="0.3">
      <c r="A5156" t="s">
        <v>7418</v>
      </c>
      <c r="B5156" t="s">
        <v>7565</v>
      </c>
      <c r="C5156">
        <v>2023</v>
      </c>
      <c r="D5156" t="s">
        <v>358</v>
      </c>
      <c r="E5156" t="s">
        <v>7507</v>
      </c>
      <c r="F5156">
        <v>9896</v>
      </c>
      <c r="G5156" t="s">
        <v>360</v>
      </c>
      <c r="H5156">
        <v>53</v>
      </c>
      <c r="I5156" t="s">
        <v>7626</v>
      </c>
      <c r="J5156" t="s">
        <v>294</v>
      </c>
      <c r="M5156" t="s">
        <v>295</v>
      </c>
      <c r="N5156" t="s">
        <v>7</v>
      </c>
      <c r="O5156" t="s">
        <v>297</v>
      </c>
    </row>
    <row r="5157" spans="1:15" x14ac:dyDescent="0.3">
      <c r="A5157" t="s">
        <v>7418</v>
      </c>
      <c r="B5157" t="s">
        <v>7565</v>
      </c>
      <c r="C5157">
        <v>2023</v>
      </c>
      <c r="D5157" t="s">
        <v>358</v>
      </c>
      <c r="E5157" t="s">
        <v>7509</v>
      </c>
      <c r="F5157">
        <v>47783</v>
      </c>
      <c r="G5157" t="s">
        <v>360</v>
      </c>
      <c r="H5157">
        <v>53</v>
      </c>
      <c r="I5157" t="s">
        <v>7627</v>
      </c>
      <c r="J5157" t="s">
        <v>294</v>
      </c>
      <c r="M5157" t="s">
        <v>295</v>
      </c>
      <c r="N5157" t="s">
        <v>7</v>
      </c>
      <c r="O5157" t="s">
        <v>297</v>
      </c>
    </row>
    <row r="5158" spans="1:15" x14ac:dyDescent="0.3">
      <c r="A5158" t="s">
        <v>7418</v>
      </c>
      <c r="B5158" t="s">
        <v>7565</v>
      </c>
      <c r="C5158">
        <v>2023</v>
      </c>
      <c r="D5158" t="s">
        <v>358</v>
      </c>
      <c r="E5158" t="s">
        <v>7511</v>
      </c>
      <c r="F5158">
        <v>29711</v>
      </c>
      <c r="G5158" t="s">
        <v>360</v>
      </c>
      <c r="H5158">
        <v>53</v>
      </c>
      <c r="I5158" t="s">
        <v>7628</v>
      </c>
      <c r="J5158" t="s">
        <v>294</v>
      </c>
      <c r="M5158" t="s">
        <v>295</v>
      </c>
      <c r="N5158" t="s">
        <v>7</v>
      </c>
      <c r="O5158" t="s">
        <v>297</v>
      </c>
    </row>
    <row r="5159" spans="1:15" x14ac:dyDescent="0.3">
      <c r="A5159" t="s">
        <v>7418</v>
      </c>
      <c r="B5159" t="s">
        <v>7565</v>
      </c>
      <c r="C5159">
        <v>2023</v>
      </c>
      <c r="D5159" t="s">
        <v>358</v>
      </c>
      <c r="E5159" t="s">
        <v>7513</v>
      </c>
      <c r="F5159">
        <v>38953</v>
      </c>
      <c r="G5159" t="s">
        <v>360</v>
      </c>
      <c r="H5159">
        <v>53</v>
      </c>
      <c r="I5159" t="s">
        <v>7629</v>
      </c>
      <c r="J5159" t="s">
        <v>294</v>
      </c>
      <c r="M5159" t="s">
        <v>295</v>
      </c>
      <c r="N5159" t="s">
        <v>7</v>
      </c>
      <c r="O5159" t="s">
        <v>297</v>
      </c>
    </row>
    <row r="5160" spans="1:15" x14ac:dyDescent="0.3">
      <c r="A5160" t="s">
        <v>7418</v>
      </c>
      <c r="B5160" t="s">
        <v>7565</v>
      </c>
      <c r="C5160">
        <v>2023</v>
      </c>
      <c r="D5160" t="s">
        <v>358</v>
      </c>
      <c r="E5160" t="s">
        <v>7630</v>
      </c>
      <c r="F5160">
        <v>3200</v>
      </c>
      <c r="G5160" t="s">
        <v>360</v>
      </c>
      <c r="H5160">
        <v>52</v>
      </c>
      <c r="I5160" t="s">
        <v>7631</v>
      </c>
      <c r="J5160" t="s">
        <v>294</v>
      </c>
      <c r="M5160" t="s">
        <v>295</v>
      </c>
      <c r="N5160" t="s">
        <v>7</v>
      </c>
      <c r="O5160" t="s">
        <v>297</v>
      </c>
    </row>
    <row r="5161" spans="1:15" x14ac:dyDescent="0.3">
      <c r="A5161" t="s">
        <v>7418</v>
      </c>
      <c r="B5161" t="s">
        <v>7565</v>
      </c>
      <c r="C5161">
        <v>2023</v>
      </c>
      <c r="D5161" t="s">
        <v>358</v>
      </c>
      <c r="E5161" t="s">
        <v>7517</v>
      </c>
      <c r="F5161">
        <v>17730</v>
      </c>
      <c r="G5161" t="s">
        <v>360</v>
      </c>
      <c r="H5161">
        <v>52</v>
      </c>
      <c r="I5161" t="s">
        <v>7632</v>
      </c>
      <c r="J5161" t="s">
        <v>294</v>
      </c>
      <c r="M5161" t="s">
        <v>295</v>
      </c>
      <c r="N5161" t="s">
        <v>7</v>
      </c>
      <c r="O5161" t="s">
        <v>297</v>
      </c>
    </row>
    <row r="5162" spans="1:15" x14ac:dyDescent="0.3">
      <c r="A5162" t="s">
        <v>7418</v>
      </c>
      <c r="B5162" t="s">
        <v>7565</v>
      </c>
      <c r="C5162">
        <v>2023</v>
      </c>
      <c r="D5162" t="s">
        <v>358</v>
      </c>
      <c r="E5162" t="s">
        <v>523</v>
      </c>
      <c r="F5162">
        <v>16</v>
      </c>
      <c r="G5162" t="s">
        <v>384</v>
      </c>
      <c r="H5162">
        <v>54</v>
      </c>
      <c r="I5162" t="s">
        <v>7519</v>
      </c>
      <c r="J5162" t="s">
        <v>294</v>
      </c>
      <c r="M5162" t="s">
        <v>295</v>
      </c>
      <c r="N5162" t="s">
        <v>7</v>
      </c>
      <c r="O5162" t="s">
        <v>297</v>
      </c>
    </row>
    <row r="5163" spans="1:15" x14ac:dyDescent="0.3">
      <c r="A5163" t="s">
        <v>7418</v>
      </c>
      <c r="B5163" t="s">
        <v>7565</v>
      </c>
      <c r="C5163">
        <v>2023</v>
      </c>
      <c r="D5163" t="s">
        <v>358</v>
      </c>
      <c r="E5163" t="s">
        <v>7520</v>
      </c>
      <c r="F5163">
        <v>4350000</v>
      </c>
      <c r="G5163" t="s">
        <v>7521</v>
      </c>
      <c r="H5163">
        <v>54</v>
      </c>
      <c r="I5163" t="s">
        <v>7522</v>
      </c>
      <c r="J5163" t="s">
        <v>294</v>
      </c>
      <c r="M5163" t="s">
        <v>295</v>
      </c>
      <c r="N5163" t="s">
        <v>7</v>
      </c>
      <c r="O5163" t="s">
        <v>297</v>
      </c>
    </row>
    <row r="5164" spans="1:15" x14ac:dyDescent="0.3">
      <c r="A5164" t="s">
        <v>7418</v>
      </c>
      <c r="B5164" t="s">
        <v>7565</v>
      </c>
      <c r="C5164">
        <v>2023</v>
      </c>
      <c r="D5164" t="s">
        <v>358</v>
      </c>
      <c r="E5164" t="s">
        <v>7523</v>
      </c>
      <c r="F5164">
        <v>2900000</v>
      </c>
      <c r="G5164" t="s">
        <v>7521</v>
      </c>
      <c r="H5164">
        <v>54</v>
      </c>
      <c r="I5164" t="s">
        <v>7633</v>
      </c>
      <c r="J5164" t="s">
        <v>294</v>
      </c>
      <c r="M5164" t="s">
        <v>295</v>
      </c>
      <c r="N5164" t="s">
        <v>7</v>
      </c>
      <c r="O5164" t="s">
        <v>297</v>
      </c>
    </row>
    <row r="5165" spans="1:15" x14ac:dyDescent="0.3">
      <c r="A5165" t="s">
        <v>7418</v>
      </c>
      <c r="B5165" t="s">
        <v>7565</v>
      </c>
      <c r="C5165">
        <v>2023</v>
      </c>
      <c r="D5165" t="s">
        <v>358</v>
      </c>
      <c r="E5165" t="s">
        <v>7525</v>
      </c>
      <c r="F5165">
        <v>819000</v>
      </c>
      <c r="G5165" t="s">
        <v>7521</v>
      </c>
      <c r="H5165">
        <v>54</v>
      </c>
      <c r="I5165" t="s">
        <v>7634</v>
      </c>
      <c r="J5165" t="s">
        <v>294</v>
      </c>
      <c r="M5165" t="s">
        <v>295</v>
      </c>
      <c r="N5165" t="s">
        <v>7</v>
      </c>
      <c r="O5165" t="s">
        <v>297</v>
      </c>
    </row>
    <row r="5166" spans="1:15" x14ac:dyDescent="0.3">
      <c r="A5166" t="s">
        <v>7418</v>
      </c>
      <c r="B5166" t="s">
        <v>7565</v>
      </c>
      <c r="C5166">
        <v>2023</v>
      </c>
      <c r="D5166" t="s">
        <v>358</v>
      </c>
      <c r="E5166" t="s">
        <v>3686</v>
      </c>
      <c r="F5166">
        <v>1050000</v>
      </c>
      <c r="G5166" t="s">
        <v>7521</v>
      </c>
      <c r="H5166">
        <v>54</v>
      </c>
      <c r="I5166" t="s">
        <v>7635</v>
      </c>
      <c r="J5166" t="s">
        <v>294</v>
      </c>
      <c r="M5166" t="s">
        <v>295</v>
      </c>
      <c r="N5166" t="s">
        <v>7</v>
      </c>
      <c r="O5166" t="s">
        <v>297</v>
      </c>
    </row>
    <row r="5167" spans="1:15" x14ac:dyDescent="0.3">
      <c r="A5167" t="s">
        <v>7418</v>
      </c>
      <c r="B5167" t="s">
        <v>7565</v>
      </c>
      <c r="C5167">
        <v>2023</v>
      </c>
      <c r="D5167" t="s">
        <v>358</v>
      </c>
      <c r="E5167" t="s">
        <v>7636</v>
      </c>
      <c r="F5167">
        <v>240000</v>
      </c>
      <c r="G5167" t="s">
        <v>7521</v>
      </c>
      <c r="H5167">
        <v>54</v>
      </c>
      <c r="I5167" t="s">
        <v>7637</v>
      </c>
      <c r="J5167" t="s">
        <v>294</v>
      </c>
      <c r="M5167" t="s">
        <v>295</v>
      </c>
      <c r="N5167" t="s">
        <v>7</v>
      </c>
      <c r="O5167" t="s">
        <v>297</v>
      </c>
    </row>
    <row r="5168" spans="1:15" x14ac:dyDescent="0.3">
      <c r="A5168" t="s">
        <v>7418</v>
      </c>
      <c r="B5168" t="s">
        <v>7565</v>
      </c>
      <c r="C5168">
        <v>2023</v>
      </c>
      <c r="D5168" t="s">
        <v>394</v>
      </c>
      <c r="E5168" t="s">
        <v>7531</v>
      </c>
      <c r="F5168">
        <v>2410000</v>
      </c>
      <c r="G5168" t="s">
        <v>396</v>
      </c>
      <c r="H5168">
        <v>54</v>
      </c>
      <c r="I5168" t="s">
        <v>7638</v>
      </c>
      <c r="J5168" t="s">
        <v>294</v>
      </c>
      <c r="M5168" t="s">
        <v>295</v>
      </c>
      <c r="N5168" t="s">
        <v>7</v>
      </c>
      <c r="O5168" t="s">
        <v>297</v>
      </c>
    </row>
    <row r="5169" spans="1:15" x14ac:dyDescent="0.3">
      <c r="A5169" t="s">
        <v>7418</v>
      </c>
      <c r="B5169" t="s">
        <v>7565</v>
      </c>
      <c r="C5169">
        <v>2023</v>
      </c>
      <c r="D5169" t="s">
        <v>394</v>
      </c>
      <c r="E5169" t="s">
        <v>422</v>
      </c>
      <c r="F5169">
        <v>19.100000000000001</v>
      </c>
      <c r="G5169" t="s">
        <v>423</v>
      </c>
      <c r="H5169">
        <v>54</v>
      </c>
      <c r="I5169" t="s">
        <v>7639</v>
      </c>
      <c r="J5169" t="s">
        <v>294</v>
      </c>
      <c r="M5169" t="s">
        <v>295</v>
      </c>
      <c r="N5169" t="s">
        <v>7</v>
      </c>
      <c r="O5169" t="s">
        <v>297</v>
      </c>
    </row>
    <row r="5170" spans="1:15" x14ac:dyDescent="0.3">
      <c r="A5170" t="s">
        <v>7418</v>
      </c>
      <c r="B5170" t="s">
        <v>7565</v>
      </c>
      <c r="C5170">
        <v>2023</v>
      </c>
      <c r="D5170" t="s">
        <v>394</v>
      </c>
      <c r="E5170" t="s">
        <v>406</v>
      </c>
      <c r="F5170">
        <v>567000</v>
      </c>
      <c r="G5170" t="s">
        <v>396</v>
      </c>
      <c r="H5170">
        <v>55</v>
      </c>
      <c r="I5170" t="s">
        <v>7640</v>
      </c>
      <c r="J5170" t="s">
        <v>294</v>
      </c>
      <c r="M5170" t="s">
        <v>295</v>
      </c>
      <c r="N5170" t="s">
        <v>7</v>
      </c>
      <c r="O5170" t="s">
        <v>297</v>
      </c>
    </row>
    <row r="5171" spans="1:15" x14ac:dyDescent="0.3">
      <c r="A5171" t="s">
        <v>7418</v>
      </c>
      <c r="B5171" t="s">
        <v>7565</v>
      </c>
      <c r="C5171">
        <v>2023</v>
      </c>
      <c r="D5171" t="s">
        <v>394</v>
      </c>
      <c r="E5171" t="s">
        <v>4456</v>
      </c>
      <c r="F5171">
        <v>155000</v>
      </c>
      <c r="G5171" t="s">
        <v>396</v>
      </c>
      <c r="H5171">
        <v>55</v>
      </c>
      <c r="I5171" t="s">
        <v>7641</v>
      </c>
      <c r="J5171" t="s">
        <v>294</v>
      </c>
      <c r="M5171" t="s">
        <v>295</v>
      </c>
      <c r="N5171" t="s">
        <v>7</v>
      </c>
      <c r="O5171" t="s">
        <v>297</v>
      </c>
    </row>
    <row r="5172" spans="1:15" x14ac:dyDescent="0.3">
      <c r="A5172" t="s">
        <v>7418</v>
      </c>
      <c r="B5172" t="s">
        <v>7565</v>
      </c>
      <c r="C5172">
        <v>2023</v>
      </c>
      <c r="D5172" t="s">
        <v>394</v>
      </c>
      <c r="E5172" t="s">
        <v>7536</v>
      </c>
      <c r="F5172">
        <v>722000</v>
      </c>
      <c r="G5172" t="s">
        <v>396</v>
      </c>
      <c r="H5172">
        <v>10</v>
      </c>
      <c r="I5172" t="s">
        <v>7642</v>
      </c>
      <c r="J5172" t="s">
        <v>294</v>
      </c>
      <c r="M5172" t="s">
        <v>295</v>
      </c>
      <c r="N5172" t="s">
        <v>7</v>
      </c>
      <c r="O5172" t="s">
        <v>297</v>
      </c>
    </row>
    <row r="5173" spans="1:15" x14ac:dyDescent="0.3">
      <c r="A5173" t="s">
        <v>7418</v>
      </c>
      <c r="B5173" t="s">
        <v>7565</v>
      </c>
      <c r="C5173">
        <v>2023</v>
      </c>
      <c r="D5173" t="s">
        <v>394</v>
      </c>
      <c r="E5173" t="s">
        <v>7538</v>
      </c>
      <c r="F5173">
        <v>5.0999999999999996</v>
      </c>
      <c r="G5173" t="s">
        <v>423</v>
      </c>
      <c r="H5173">
        <v>54</v>
      </c>
      <c r="I5173" t="s">
        <v>7643</v>
      </c>
      <c r="J5173" t="s">
        <v>294</v>
      </c>
      <c r="M5173" t="s">
        <v>295</v>
      </c>
      <c r="N5173" t="s">
        <v>7</v>
      </c>
      <c r="O5173" t="s">
        <v>297</v>
      </c>
    </row>
    <row r="5174" spans="1:15" x14ac:dyDescent="0.3">
      <c r="A5174" t="s">
        <v>7418</v>
      </c>
      <c r="B5174" t="s">
        <v>7565</v>
      </c>
      <c r="C5174">
        <v>2023</v>
      </c>
      <c r="D5174" t="s">
        <v>394</v>
      </c>
      <c r="E5174" t="s">
        <v>7540</v>
      </c>
      <c r="F5174">
        <v>0.20799999999999999</v>
      </c>
      <c r="G5174" t="s">
        <v>334</v>
      </c>
      <c r="H5174">
        <v>54</v>
      </c>
      <c r="I5174" t="s">
        <v>7541</v>
      </c>
      <c r="J5174" t="s">
        <v>294</v>
      </c>
      <c r="M5174" t="s">
        <v>295</v>
      </c>
      <c r="N5174" t="s">
        <v>7</v>
      </c>
      <c r="O5174" t="s">
        <v>297</v>
      </c>
    </row>
    <row r="5175" spans="1:15" x14ac:dyDescent="0.3">
      <c r="A5175" t="s">
        <v>7418</v>
      </c>
      <c r="B5175" t="s">
        <v>7565</v>
      </c>
      <c r="C5175">
        <v>2023</v>
      </c>
      <c r="D5175" t="s">
        <v>394</v>
      </c>
      <c r="E5175" t="s">
        <v>552</v>
      </c>
      <c r="F5175">
        <v>5.7000000000000002E-2</v>
      </c>
      <c r="G5175" t="s">
        <v>334</v>
      </c>
      <c r="H5175">
        <v>54</v>
      </c>
      <c r="I5175" t="s">
        <v>7542</v>
      </c>
      <c r="J5175" t="s">
        <v>294</v>
      </c>
      <c r="M5175" t="s">
        <v>295</v>
      </c>
      <c r="N5175" t="s">
        <v>7</v>
      </c>
      <c r="O5175" t="s">
        <v>297</v>
      </c>
    </row>
    <row r="5176" spans="1:15" x14ac:dyDescent="0.3">
      <c r="A5176" t="s">
        <v>7418</v>
      </c>
      <c r="B5176" t="s">
        <v>7565</v>
      </c>
      <c r="C5176">
        <v>2023</v>
      </c>
      <c r="D5176" t="s">
        <v>394</v>
      </c>
      <c r="E5176" t="s">
        <v>7644</v>
      </c>
      <c r="F5176">
        <v>5480000</v>
      </c>
      <c r="G5176" t="s">
        <v>396</v>
      </c>
      <c r="H5176">
        <v>57</v>
      </c>
      <c r="I5176" t="s">
        <v>7645</v>
      </c>
      <c r="J5176" t="s">
        <v>294</v>
      </c>
      <c r="M5176" t="s">
        <v>295</v>
      </c>
      <c r="N5176" t="s">
        <v>7</v>
      </c>
      <c r="O5176" t="s">
        <v>297</v>
      </c>
    </row>
    <row r="5177" spans="1:15" x14ac:dyDescent="0.3">
      <c r="A5177" t="s">
        <v>7418</v>
      </c>
      <c r="B5177" t="s">
        <v>7565</v>
      </c>
      <c r="C5177">
        <v>2023</v>
      </c>
      <c r="D5177" t="s">
        <v>394</v>
      </c>
      <c r="E5177" t="s">
        <v>7545</v>
      </c>
      <c r="F5177">
        <v>904000</v>
      </c>
      <c r="G5177" t="s">
        <v>396</v>
      </c>
      <c r="H5177">
        <v>10</v>
      </c>
      <c r="I5177" t="s">
        <v>7646</v>
      </c>
      <c r="J5177" t="s">
        <v>294</v>
      </c>
      <c r="M5177" t="s">
        <v>295</v>
      </c>
      <c r="N5177" t="s">
        <v>7</v>
      </c>
      <c r="O5177" t="s">
        <v>297</v>
      </c>
    </row>
    <row r="5178" spans="1:15" x14ac:dyDescent="0.3">
      <c r="A5178" t="s">
        <v>7418</v>
      </c>
      <c r="B5178" t="s">
        <v>7565</v>
      </c>
      <c r="C5178">
        <v>2023</v>
      </c>
      <c r="D5178" t="s">
        <v>394</v>
      </c>
      <c r="E5178" t="s">
        <v>7647</v>
      </c>
      <c r="F5178">
        <v>1100000</v>
      </c>
      <c r="G5178" t="s">
        <v>7648</v>
      </c>
      <c r="H5178">
        <v>56</v>
      </c>
      <c r="I5178" t="s">
        <v>7649</v>
      </c>
      <c r="J5178" t="s">
        <v>294</v>
      </c>
      <c r="M5178" t="s">
        <v>295</v>
      </c>
      <c r="N5178" t="s">
        <v>7</v>
      </c>
      <c r="O5178" t="s">
        <v>297</v>
      </c>
    </row>
    <row r="5179" spans="1:15" x14ac:dyDescent="0.3">
      <c r="A5179" t="s">
        <v>7418</v>
      </c>
      <c r="B5179" t="s">
        <v>7565</v>
      </c>
      <c r="C5179">
        <v>2023</v>
      </c>
      <c r="D5179" t="s">
        <v>394</v>
      </c>
      <c r="E5179" t="s">
        <v>7550</v>
      </c>
      <c r="F5179">
        <v>901</v>
      </c>
      <c r="G5179" t="s">
        <v>947</v>
      </c>
      <c r="H5179">
        <v>8</v>
      </c>
      <c r="I5179" t="s">
        <v>7650</v>
      </c>
      <c r="J5179" t="s">
        <v>294</v>
      </c>
      <c r="M5179" t="s">
        <v>295</v>
      </c>
      <c r="N5179" t="s">
        <v>7</v>
      </c>
      <c r="O5179" t="s">
        <v>297</v>
      </c>
    </row>
    <row r="5180" spans="1:15" x14ac:dyDescent="0.3">
      <c r="A5180" t="s">
        <v>7418</v>
      </c>
      <c r="B5180" t="s">
        <v>7565</v>
      </c>
      <c r="C5180">
        <v>2023</v>
      </c>
      <c r="D5180" t="s">
        <v>394</v>
      </c>
      <c r="E5180" t="s">
        <v>7651</v>
      </c>
      <c r="F5180">
        <v>61820</v>
      </c>
      <c r="G5180" t="s">
        <v>302</v>
      </c>
      <c r="H5180">
        <v>57</v>
      </c>
      <c r="I5180" t="s">
        <v>7652</v>
      </c>
      <c r="J5180" t="s">
        <v>294</v>
      </c>
      <c r="M5180" t="s">
        <v>295</v>
      </c>
      <c r="N5180" t="s">
        <v>7</v>
      </c>
      <c r="O5180" t="s">
        <v>297</v>
      </c>
    </row>
    <row r="5181" spans="1:15" x14ac:dyDescent="0.3">
      <c r="A5181" t="s">
        <v>7418</v>
      </c>
      <c r="B5181" t="s">
        <v>7565</v>
      </c>
      <c r="C5181">
        <v>2023</v>
      </c>
      <c r="D5181" t="s">
        <v>394</v>
      </c>
      <c r="E5181" t="s">
        <v>7653</v>
      </c>
      <c r="F5181">
        <v>7800</v>
      </c>
      <c r="G5181" t="s">
        <v>302</v>
      </c>
      <c r="H5181">
        <v>57</v>
      </c>
      <c r="I5181" t="s">
        <v>7654</v>
      </c>
      <c r="J5181" t="s">
        <v>294</v>
      </c>
      <c r="M5181" t="s">
        <v>295</v>
      </c>
      <c r="N5181" t="s">
        <v>7</v>
      </c>
      <c r="O5181" t="s">
        <v>297</v>
      </c>
    </row>
    <row r="5182" spans="1:15" x14ac:dyDescent="0.3">
      <c r="A5182" t="s">
        <v>7418</v>
      </c>
      <c r="B5182" t="s">
        <v>7565</v>
      </c>
      <c r="C5182">
        <v>2023</v>
      </c>
      <c r="D5182" t="s">
        <v>394</v>
      </c>
      <c r="E5182" t="s">
        <v>7655</v>
      </c>
      <c r="F5182">
        <v>4000</v>
      </c>
      <c r="G5182" t="s">
        <v>302</v>
      </c>
      <c r="H5182">
        <v>57</v>
      </c>
      <c r="I5182" t="s">
        <v>7656</v>
      </c>
      <c r="J5182" t="s">
        <v>294</v>
      </c>
      <c r="M5182" t="s">
        <v>295</v>
      </c>
      <c r="N5182" t="s">
        <v>7</v>
      </c>
      <c r="O5182" t="s">
        <v>297</v>
      </c>
    </row>
    <row r="5183" spans="1:15" x14ac:dyDescent="0.3">
      <c r="A5183" t="s">
        <v>7418</v>
      </c>
      <c r="B5183" t="s">
        <v>7565</v>
      </c>
      <c r="C5183">
        <v>2023</v>
      </c>
      <c r="D5183" t="s">
        <v>394</v>
      </c>
      <c r="E5183" t="s">
        <v>7552</v>
      </c>
      <c r="F5183">
        <v>1726000</v>
      </c>
      <c r="G5183" t="s">
        <v>396</v>
      </c>
      <c r="H5183">
        <v>10</v>
      </c>
      <c r="I5183" t="s">
        <v>7657</v>
      </c>
      <c r="J5183" t="s">
        <v>294</v>
      </c>
      <c r="M5183" t="s">
        <v>295</v>
      </c>
      <c r="N5183" t="s">
        <v>7</v>
      </c>
      <c r="O5183" t="s">
        <v>297</v>
      </c>
    </row>
    <row r="5184" spans="1:15" x14ac:dyDescent="0.3">
      <c r="A5184" t="s">
        <v>7418</v>
      </c>
      <c r="B5184" t="s">
        <v>7565</v>
      </c>
      <c r="C5184">
        <v>2023</v>
      </c>
      <c r="D5184" t="s">
        <v>394</v>
      </c>
      <c r="E5184" t="s">
        <v>7554</v>
      </c>
      <c r="F5184">
        <v>1614000</v>
      </c>
      <c r="G5184" t="s">
        <v>396</v>
      </c>
      <c r="H5184">
        <v>10</v>
      </c>
      <c r="I5184" t="s">
        <v>7658</v>
      </c>
      <c r="J5184" t="s">
        <v>294</v>
      </c>
      <c r="M5184" t="s">
        <v>295</v>
      </c>
      <c r="N5184" t="s">
        <v>7</v>
      </c>
      <c r="O5184" t="s">
        <v>297</v>
      </c>
    </row>
    <row r="5185" spans="1:15" x14ac:dyDescent="0.3">
      <c r="A5185" t="s">
        <v>7418</v>
      </c>
      <c r="B5185" t="s">
        <v>7565</v>
      </c>
      <c r="C5185">
        <v>2023</v>
      </c>
      <c r="D5185" t="s">
        <v>394</v>
      </c>
      <c r="E5185" t="s">
        <v>7547</v>
      </c>
      <c r="F5185">
        <v>1</v>
      </c>
      <c r="G5185" t="s">
        <v>334</v>
      </c>
      <c r="H5185">
        <v>54</v>
      </c>
      <c r="I5185" t="s">
        <v>7659</v>
      </c>
      <c r="J5185" t="s">
        <v>294</v>
      </c>
      <c r="M5185" t="s">
        <v>295</v>
      </c>
      <c r="N5185" t="s">
        <v>7</v>
      </c>
      <c r="O5185" t="s">
        <v>297</v>
      </c>
    </row>
    <row r="5186" spans="1:15" x14ac:dyDescent="0.3">
      <c r="A5186" t="s">
        <v>7418</v>
      </c>
      <c r="B5186" t="s">
        <v>7565</v>
      </c>
      <c r="C5186">
        <v>2023</v>
      </c>
      <c r="D5186" t="s">
        <v>394</v>
      </c>
      <c r="E5186" t="s">
        <v>7549</v>
      </c>
      <c r="F5186">
        <v>0.87</v>
      </c>
      <c r="G5186" t="s">
        <v>334</v>
      </c>
      <c r="H5186">
        <v>54</v>
      </c>
      <c r="I5186" t="s">
        <v>7660</v>
      </c>
      <c r="J5186" t="s">
        <v>294</v>
      </c>
      <c r="M5186" t="s">
        <v>295</v>
      </c>
      <c r="N5186" t="s">
        <v>7</v>
      </c>
      <c r="O5186" t="s">
        <v>297</v>
      </c>
    </row>
    <row r="5187" spans="1:15" x14ac:dyDescent="0.3">
      <c r="A5187" t="s">
        <v>7418</v>
      </c>
      <c r="B5187" t="s">
        <v>7565</v>
      </c>
      <c r="C5187">
        <v>2023</v>
      </c>
      <c r="D5187" t="s">
        <v>563</v>
      </c>
      <c r="E5187" t="s">
        <v>7556</v>
      </c>
      <c r="F5187">
        <v>0.99</v>
      </c>
      <c r="G5187" t="s">
        <v>334</v>
      </c>
      <c r="H5187">
        <v>10</v>
      </c>
      <c r="I5187" t="s">
        <v>7661</v>
      </c>
      <c r="J5187" t="s">
        <v>294</v>
      </c>
      <c r="M5187" t="s">
        <v>295</v>
      </c>
      <c r="N5187" t="s">
        <v>7</v>
      </c>
      <c r="O5187" t="s">
        <v>297</v>
      </c>
    </row>
    <row r="5188" spans="1:15" x14ac:dyDescent="0.3">
      <c r="A5188" t="s">
        <v>7418</v>
      </c>
      <c r="B5188" t="s">
        <v>7565</v>
      </c>
      <c r="C5188">
        <v>2023</v>
      </c>
      <c r="D5188" t="s">
        <v>563</v>
      </c>
      <c r="E5188" t="s">
        <v>7558</v>
      </c>
      <c r="F5188">
        <v>9300</v>
      </c>
      <c r="G5188" t="s">
        <v>360</v>
      </c>
      <c r="H5188">
        <v>10</v>
      </c>
      <c r="I5188" t="s">
        <v>7559</v>
      </c>
      <c r="J5188" t="s">
        <v>294</v>
      </c>
      <c r="M5188" t="s">
        <v>295</v>
      </c>
      <c r="N5188" t="s">
        <v>7</v>
      </c>
      <c r="O5188" t="s">
        <v>297</v>
      </c>
    </row>
    <row r="5189" spans="1:15" x14ac:dyDescent="0.3">
      <c r="A5189" t="s">
        <v>7418</v>
      </c>
      <c r="B5189" t="s">
        <v>7565</v>
      </c>
      <c r="C5189">
        <v>2023</v>
      </c>
      <c r="D5189" t="s">
        <v>563</v>
      </c>
      <c r="E5189" t="s">
        <v>7560</v>
      </c>
      <c r="F5189">
        <v>43000</v>
      </c>
      <c r="G5189" t="s">
        <v>360</v>
      </c>
      <c r="H5189">
        <v>10</v>
      </c>
      <c r="I5189" t="s">
        <v>7561</v>
      </c>
      <c r="J5189" t="s">
        <v>294</v>
      </c>
      <c r="M5189" t="s">
        <v>295</v>
      </c>
      <c r="N5189" t="s">
        <v>7</v>
      </c>
      <c r="O5189" t="s">
        <v>297</v>
      </c>
    </row>
    <row r="5190" spans="1:15" x14ac:dyDescent="0.3">
      <c r="A5190" t="s">
        <v>7418</v>
      </c>
      <c r="B5190" t="s">
        <v>7565</v>
      </c>
      <c r="C5190">
        <v>2023</v>
      </c>
      <c r="D5190" t="s">
        <v>563</v>
      </c>
      <c r="E5190" t="s">
        <v>7662</v>
      </c>
      <c r="F5190">
        <v>786533</v>
      </c>
      <c r="G5190" t="s">
        <v>7663</v>
      </c>
      <c r="H5190">
        <v>10</v>
      </c>
      <c r="I5190" t="s">
        <v>7664</v>
      </c>
      <c r="J5190" t="s">
        <v>294</v>
      </c>
      <c r="M5190" t="s">
        <v>295</v>
      </c>
      <c r="N5190" t="s">
        <v>7</v>
      </c>
      <c r="O5190" t="s">
        <v>297</v>
      </c>
    </row>
    <row r="5191" spans="1:15" x14ac:dyDescent="0.3">
      <c r="A5191" t="s">
        <v>7418</v>
      </c>
      <c r="B5191" t="s">
        <v>7565</v>
      </c>
      <c r="C5191">
        <v>2023</v>
      </c>
      <c r="D5191" t="s">
        <v>563</v>
      </c>
      <c r="E5191" t="s">
        <v>5639</v>
      </c>
      <c r="F5191">
        <v>8839520</v>
      </c>
      <c r="G5191" t="s">
        <v>1409</v>
      </c>
      <c r="H5191">
        <v>10</v>
      </c>
      <c r="I5191" t="s">
        <v>7665</v>
      </c>
      <c r="J5191" t="s">
        <v>294</v>
      </c>
      <c r="M5191" t="s">
        <v>295</v>
      </c>
      <c r="N5191" t="s">
        <v>7</v>
      </c>
      <c r="O5191" t="s">
        <v>297</v>
      </c>
    </row>
    <row r="5192" spans="1:15" x14ac:dyDescent="0.3">
      <c r="A5192" t="s">
        <v>7418</v>
      </c>
      <c r="B5192" t="s">
        <v>7666</v>
      </c>
      <c r="C5192">
        <v>2024</v>
      </c>
      <c r="D5192" t="s">
        <v>272</v>
      </c>
      <c r="E5192" t="s">
        <v>291</v>
      </c>
      <c r="F5192" t="s">
        <v>7418</v>
      </c>
      <c r="G5192" t="s">
        <v>292</v>
      </c>
      <c r="H5192">
        <v>1</v>
      </c>
      <c r="I5192" t="s">
        <v>7667</v>
      </c>
      <c r="J5192" t="s">
        <v>294</v>
      </c>
      <c r="M5192" t="s">
        <v>295</v>
      </c>
      <c r="N5192" t="s">
        <v>7</v>
      </c>
      <c r="O5192" t="s">
        <v>297</v>
      </c>
    </row>
    <row r="5193" spans="1:15" x14ac:dyDescent="0.3">
      <c r="A5193" t="s">
        <v>7418</v>
      </c>
      <c r="B5193" t="s">
        <v>7666</v>
      </c>
      <c r="C5193">
        <v>2024</v>
      </c>
      <c r="D5193" t="s">
        <v>272</v>
      </c>
      <c r="E5193" t="s">
        <v>442</v>
      </c>
      <c r="F5193" t="s">
        <v>7421</v>
      </c>
      <c r="G5193" t="s">
        <v>334</v>
      </c>
      <c r="H5193">
        <v>156</v>
      </c>
      <c r="I5193" t="s">
        <v>7422</v>
      </c>
      <c r="J5193" t="s">
        <v>294</v>
      </c>
      <c r="M5193" t="s">
        <v>295</v>
      </c>
      <c r="N5193" t="s">
        <v>7</v>
      </c>
      <c r="O5193" t="s">
        <v>297</v>
      </c>
    </row>
    <row r="5194" spans="1:15" x14ac:dyDescent="0.3">
      <c r="A5194" t="s">
        <v>7418</v>
      </c>
      <c r="B5194" t="s">
        <v>7666</v>
      </c>
      <c r="C5194">
        <v>2024</v>
      </c>
      <c r="D5194" t="s">
        <v>272</v>
      </c>
      <c r="E5194" t="s">
        <v>445</v>
      </c>
      <c r="F5194">
        <v>7.5999999999999998E-2</v>
      </c>
      <c r="G5194" t="s">
        <v>334</v>
      </c>
      <c r="H5194">
        <v>156</v>
      </c>
      <c r="I5194" t="s">
        <v>7423</v>
      </c>
      <c r="J5194" t="s">
        <v>294</v>
      </c>
      <c r="M5194" t="s">
        <v>295</v>
      </c>
      <c r="N5194" t="s">
        <v>7</v>
      </c>
      <c r="O5194" t="s">
        <v>297</v>
      </c>
    </row>
    <row r="5195" spans="1:15" x14ac:dyDescent="0.3">
      <c r="A5195" t="s">
        <v>7418</v>
      </c>
      <c r="B5195" t="s">
        <v>7666</v>
      </c>
      <c r="C5195">
        <v>2024</v>
      </c>
      <c r="D5195" t="s">
        <v>272</v>
      </c>
      <c r="E5195" t="s">
        <v>7424</v>
      </c>
      <c r="F5195" t="s">
        <v>7425</v>
      </c>
      <c r="G5195" t="s">
        <v>292</v>
      </c>
      <c r="H5195">
        <v>25</v>
      </c>
      <c r="I5195" t="s">
        <v>7668</v>
      </c>
      <c r="J5195" t="s">
        <v>294</v>
      </c>
      <c r="M5195" t="s">
        <v>295</v>
      </c>
      <c r="N5195" t="s">
        <v>7</v>
      </c>
      <c r="O5195" t="s">
        <v>297</v>
      </c>
    </row>
    <row r="5196" spans="1:15" x14ac:dyDescent="0.3">
      <c r="A5196" t="s">
        <v>7418</v>
      </c>
      <c r="B5196" t="s">
        <v>7666</v>
      </c>
      <c r="C5196">
        <v>2024</v>
      </c>
      <c r="D5196" t="s">
        <v>272</v>
      </c>
      <c r="E5196" t="s">
        <v>7669</v>
      </c>
      <c r="F5196" t="s">
        <v>7670</v>
      </c>
      <c r="G5196" t="s">
        <v>292</v>
      </c>
      <c r="H5196">
        <v>23</v>
      </c>
      <c r="I5196" t="s">
        <v>7671</v>
      </c>
      <c r="J5196" t="s">
        <v>294</v>
      </c>
      <c r="M5196" t="s">
        <v>295</v>
      </c>
      <c r="N5196" t="s">
        <v>7</v>
      </c>
      <c r="O5196" t="s">
        <v>297</v>
      </c>
    </row>
    <row r="5197" spans="1:15" x14ac:dyDescent="0.3">
      <c r="A5197" t="s">
        <v>7418</v>
      </c>
      <c r="B5197" t="s">
        <v>7666</v>
      </c>
      <c r="C5197">
        <v>2024</v>
      </c>
      <c r="D5197" t="s">
        <v>272</v>
      </c>
      <c r="E5197" t="s">
        <v>7672</v>
      </c>
      <c r="F5197" t="s">
        <v>7673</v>
      </c>
      <c r="G5197" t="s">
        <v>384</v>
      </c>
      <c r="H5197">
        <v>52</v>
      </c>
      <c r="I5197" t="s">
        <v>7674</v>
      </c>
      <c r="J5197" t="s">
        <v>294</v>
      </c>
      <c r="M5197" t="s">
        <v>295</v>
      </c>
      <c r="N5197" t="s">
        <v>7</v>
      </c>
      <c r="O5197" t="s">
        <v>297</v>
      </c>
    </row>
    <row r="5198" spans="1:15" x14ac:dyDescent="0.3">
      <c r="A5198" t="s">
        <v>7418</v>
      </c>
      <c r="B5198" t="s">
        <v>7666</v>
      </c>
      <c r="C5198">
        <v>2024</v>
      </c>
      <c r="D5198" t="s">
        <v>272</v>
      </c>
      <c r="E5198" t="s">
        <v>2702</v>
      </c>
      <c r="F5198">
        <v>28100</v>
      </c>
      <c r="G5198" t="s">
        <v>2969</v>
      </c>
      <c r="H5198">
        <v>10</v>
      </c>
      <c r="I5198" t="s">
        <v>7675</v>
      </c>
      <c r="J5198" t="s">
        <v>294</v>
      </c>
      <c r="M5198" t="s">
        <v>295</v>
      </c>
      <c r="N5198" t="s">
        <v>7</v>
      </c>
      <c r="O5198" t="s">
        <v>297</v>
      </c>
    </row>
    <row r="5199" spans="1:15" x14ac:dyDescent="0.3">
      <c r="A5199" t="s">
        <v>7418</v>
      </c>
      <c r="B5199" t="s">
        <v>7666</v>
      </c>
      <c r="C5199">
        <v>2024</v>
      </c>
      <c r="D5199" t="s">
        <v>272</v>
      </c>
      <c r="E5199" t="s">
        <v>6558</v>
      </c>
      <c r="F5199">
        <v>7800</v>
      </c>
      <c r="G5199" t="s">
        <v>2969</v>
      </c>
      <c r="H5199">
        <v>10</v>
      </c>
      <c r="I5199" t="s">
        <v>7676</v>
      </c>
      <c r="J5199" t="s">
        <v>294</v>
      </c>
      <c r="M5199" t="s">
        <v>295</v>
      </c>
      <c r="N5199" t="s">
        <v>7</v>
      </c>
      <c r="O5199" t="s">
        <v>297</v>
      </c>
    </row>
    <row r="5200" spans="1:15" x14ac:dyDescent="0.3">
      <c r="A5200" t="s">
        <v>7418</v>
      </c>
      <c r="B5200" t="s">
        <v>7666</v>
      </c>
      <c r="C5200">
        <v>2024</v>
      </c>
      <c r="D5200" t="s">
        <v>300</v>
      </c>
      <c r="E5200" t="s">
        <v>682</v>
      </c>
      <c r="F5200">
        <v>78835</v>
      </c>
      <c r="G5200" t="s">
        <v>302</v>
      </c>
      <c r="H5200">
        <v>8</v>
      </c>
      <c r="I5200" t="s">
        <v>7677</v>
      </c>
      <c r="J5200" t="s">
        <v>294</v>
      </c>
      <c r="M5200" t="s">
        <v>295</v>
      </c>
      <c r="N5200" t="s">
        <v>7</v>
      </c>
      <c r="O5200" t="s">
        <v>297</v>
      </c>
    </row>
    <row r="5201" spans="1:15" x14ac:dyDescent="0.3">
      <c r="A5201" t="s">
        <v>7418</v>
      </c>
      <c r="B5201" t="s">
        <v>7666</v>
      </c>
      <c r="C5201">
        <v>2024</v>
      </c>
      <c r="D5201" t="s">
        <v>300</v>
      </c>
      <c r="E5201" t="s">
        <v>304</v>
      </c>
      <c r="F5201">
        <v>8014</v>
      </c>
      <c r="G5201" t="s">
        <v>302</v>
      </c>
      <c r="H5201">
        <v>8</v>
      </c>
      <c r="I5201" t="s">
        <v>7678</v>
      </c>
      <c r="J5201" t="s">
        <v>294</v>
      </c>
      <c r="M5201" t="s">
        <v>295</v>
      </c>
      <c r="N5201" t="s">
        <v>7</v>
      </c>
      <c r="O5201" t="s">
        <v>297</v>
      </c>
    </row>
    <row r="5202" spans="1:15" x14ac:dyDescent="0.3">
      <c r="A5202" t="s">
        <v>7418</v>
      </c>
      <c r="B5202" t="s">
        <v>7666</v>
      </c>
      <c r="C5202">
        <v>2024</v>
      </c>
      <c r="D5202" t="s">
        <v>300</v>
      </c>
      <c r="E5202" t="s">
        <v>880</v>
      </c>
      <c r="F5202">
        <v>4209</v>
      </c>
      <c r="G5202" t="s">
        <v>302</v>
      </c>
      <c r="H5202">
        <v>8</v>
      </c>
      <c r="I5202" t="s">
        <v>7679</v>
      </c>
      <c r="J5202" t="s">
        <v>294</v>
      </c>
      <c r="M5202" t="s">
        <v>295</v>
      </c>
      <c r="N5202" t="s">
        <v>7</v>
      </c>
      <c r="O5202" t="s">
        <v>297</v>
      </c>
    </row>
    <row r="5203" spans="1:15" x14ac:dyDescent="0.3">
      <c r="A5203" t="s">
        <v>7418</v>
      </c>
      <c r="B5203" t="s">
        <v>7666</v>
      </c>
      <c r="C5203">
        <v>2024</v>
      </c>
      <c r="D5203" t="s">
        <v>300</v>
      </c>
      <c r="E5203" t="s">
        <v>7432</v>
      </c>
      <c r="F5203">
        <v>2025</v>
      </c>
      <c r="G5203" t="s">
        <v>302</v>
      </c>
      <c r="H5203">
        <v>177</v>
      </c>
      <c r="I5203" t="s">
        <v>7680</v>
      </c>
      <c r="J5203" t="s">
        <v>294</v>
      </c>
      <c r="M5203" t="s">
        <v>295</v>
      </c>
      <c r="N5203" t="s">
        <v>7</v>
      </c>
      <c r="O5203" t="s">
        <v>297</v>
      </c>
    </row>
    <row r="5204" spans="1:15" x14ac:dyDescent="0.3">
      <c r="A5204" t="s">
        <v>7418</v>
      </c>
      <c r="B5204" t="s">
        <v>7666</v>
      </c>
      <c r="C5204">
        <v>2024</v>
      </c>
      <c r="D5204" t="s">
        <v>300</v>
      </c>
      <c r="E5204" t="s">
        <v>688</v>
      </c>
      <c r="F5204">
        <v>70821</v>
      </c>
      <c r="G5204" t="s">
        <v>302</v>
      </c>
      <c r="H5204">
        <v>177</v>
      </c>
      <c r="I5204" t="s">
        <v>7681</v>
      </c>
      <c r="J5204" t="s">
        <v>294</v>
      </c>
      <c r="M5204" t="s">
        <v>295</v>
      </c>
      <c r="N5204" t="s">
        <v>7</v>
      </c>
      <c r="O5204" t="s">
        <v>297</v>
      </c>
    </row>
    <row r="5205" spans="1:15" x14ac:dyDescent="0.3">
      <c r="A5205" t="s">
        <v>7418</v>
      </c>
      <c r="B5205" t="s">
        <v>7666</v>
      </c>
      <c r="C5205">
        <v>2024</v>
      </c>
      <c r="D5205" t="s">
        <v>300</v>
      </c>
      <c r="E5205" t="s">
        <v>7435</v>
      </c>
      <c r="F5205">
        <v>4512</v>
      </c>
      <c r="G5205" t="s">
        <v>302</v>
      </c>
      <c r="H5205">
        <v>177</v>
      </c>
      <c r="I5205" t="s">
        <v>7682</v>
      </c>
      <c r="J5205" t="s">
        <v>294</v>
      </c>
      <c r="M5205" t="s">
        <v>295</v>
      </c>
      <c r="N5205" t="s">
        <v>7</v>
      </c>
      <c r="O5205" t="s">
        <v>297</v>
      </c>
    </row>
    <row r="5206" spans="1:15" x14ac:dyDescent="0.3">
      <c r="A5206" t="s">
        <v>7418</v>
      </c>
      <c r="B5206" t="s">
        <v>7666</v>
      </c>
      <c r="C5206">
        <v>2024</v>
      </c>
      <c r="D5206" t="s">
        <v>300</v>
      </c>
      <c r="E5206" t="s">
        <v>7437</v>
      </c>
      <c r="F5206">
        <v>1477</v>
      </c>
      <c r="G5206" t="s">
        <v>302</v>
      </c>
      <c r="H5206">
        <v>177</v>
      </c>
      <c r="I5206" t="s">
        <v>7683</v>
      </c>
      <c r="J5206" t="s">
        <v>294</v>
      </c>
      <c r="M5206" t="s">
        <v>295</v>
      </c>
      <c r="N5206" t="s">
        <v>7</v>
      </c>
      <c r="O5206" t="s">
        <v>297</v>
      </c>
    </row>
    <row r="5207" spans="1:15" x14ac:dyDescent="0.3">
      <c r="A5207" t="s">
        <v>7418</v>
      </c>
      <c r="B5207" t="s">
        <v>7666</v>
      </c>
      <c r="C5207">
        <v>2024</v>
      </c>
      <c r="D5207" t="s">
        <v>300</v>
      </c>
      <c r="E5207" t="s">
        <v>7684</v>
      </c>
      <c r="F5207">
        <v>1189</v>
      </c>
      <c r="G5207" t="s">
        <v>302</v>
      </c>
      <c r="H5207">
        <v>177</v>
      </c>
      <c r="I5207" t="s">
        <v>7685</v>
      </c>
      <c r="J5207" t="s">
        <v>294</v>
      </c>
      <c r="M5207" t="s">
        <v>295</v>
      </c>
      <c r="N5207" t="s">
        <v>7</v>
      </c>
      <c r="O5207" t="s">
        <v>297</v>
      </c>
    </row>
    <row r="5208" spans="1:15" x14ac:dyDescent="0.3">
      <c r="A5208" t="s">
        <v>7418</v>
      </c>
      <c r="B5208" t="s">
        <v>7666</v>
      </c>
      <c r="C5208">
        <v>2024</v>
      </c>
      <c r="D5208" t="s">
        <v>300</v>
      </c>
      <c r="E5208" t="s">
        <v>7440</v>
      </c>
      <c r="F5208">
        <v>104</v>
      </c>
      <c r="G5208" t="s">
        <v>302</v>
      </c>
      <c r="H5208">
        <v>177</v>
      </c>
      <c r="I5208" t="s">
        <v>7686</v>
      </c>
      <c r="J5208" t="s">
        <v>294</v>
      </c>
      <c r="M5208" t="s">
        <v>295</v>
      </c>
      <c r="N5208" t="s">
        <v>7</v>
      </c>
      <c r="O5208" t="s">
        <v>297</v>
      </c>
    </row>
    <row r="5209" spans="1:15" x14ac:dyDescent="0.3">
      <c r="A5209" t="s">
        <v>7418</v>
      </c>
      <c r="B5209" t="s">
        <v>7666</v>
      </c>
      <c r="C5209">
        <v>2024</v>
      </c>
      <c r="D5209" t="s">
        <v>300</v>
      </c>
      <c r="E5209" t="s">
        <v>579</v>
      </c>
      <c r="F5209">
        <v>1585</v>
      </c>
      <c r="G5209" t="s">
        <v>302</v>
      </c>
      <c r="H5209">
        <v>177</v>
      </c>
      <c r="I5209" t="s">
        <v>7687</v>
      </c>
      <c r="J5209" t="s">
        <v>294</v>
      </c>
      <c r="M5209" t="s">
        <v>295</v>
      </c>
      <c r="N5209" t="s">
        <v>7</v>
      </c>
      <c r="O5209" t="s">
        <v>297</v>
      </c>
    </row>
    <row r="5210" spans="1:15" x14ac:dyDescent="0.3">
      <c r="A5210" t="s">
        <v>7418</v>
      </c>
      <c r="B5210" t="s">
        <v>7666</v>
      </c>
      <c r="C5210">
        <v>2024</v>
      </c>
      <c r="D5210" t="s">
        <v>300</v>
      </c>
      <c r="E5210" t="s">
        <v>1165</v>
      </c>
      <c r="F5210">
        <v>307</v>
      </c>
      <c r="G5210" t="s">
        <v>302</v>
      </c>
      <c r="H5210">
        <v>177</v>
      </c>
      <c r="I5210" t="s">
        <v>7688</v>
      </c>
      <c r="J5210" t="s">
        <v>294</v>
      </c>
      <c r="M5210" t="s">
        <v>295</v>
      </c>
      <c r="N5210" t="s">
        <v>7</v>
      </c>
      <c r="O5210" t="s">
        <v>297</v>
      </c>
    </row>
    <row r="5211" spans="1:15" x14ac:dyDescent="0.3">
      <c r="A5211" t="s">
        <v>7418</v>
      </c>
      <c r="B5211" t="s">
        <v>7666</v>
      </c>
      <c r="C5211">
        <v>2024</v>
      </c>
      <c r="D5211" t="s">
        <v>300</v>
      </c>
      <c r="E5211" t="s">
        <v>306</v>
      </c>
      <c r="F5211">
        <v>1278</v>
      </c>
      <c r="G5211" t="s">
        <v>302</v>
      </c>
      <c r="H5211">
        <v>8</v>
      </c>
      <c r="I5211" t="s">
        <v>7689</v>
      </c>
      <c r="J5211" t="s">
        <v>294</v>
      </c>
      <c r="M5211" t="s">
        <v>295</v>
      </c>
      <c r="N5211" t="s">
        <v>7</v>
      </c>
      <c r="O5211" t="s">
        <v>297</v>
      </c>
    </row>
    <row r="5212" spans="1:15" x14ac:dyDescent="0.3">
      <c r="A5212" t="s">
        <v>7418</v>
      </c>
      <c r="B5212" t="s">
        <v>7666</v>
      </c>
      <c r="C5212">
        <v>2024</v>
      </c>
      <c r="D5212" t="s">
        <v>300</v>
      </c>
      <c r="E5212" t="s">
        <v>308</v>
      </c>
      <c r="F5212">
        <v>1278</v>
      </c>
      <c r="G5212" t="s">
        <v>302</v>
      </c>
      <c r="H5212">
        <v>8</v>
      </c>
      <c r="I5212" t="s">
        <v>7690</v>
      </c>
      <c r="J5212" t="s">
        <v>294</v>
      </c>
      <c r="M5212" t="s">
        <v>295</v>
      </c>
      <c r="N5212" t="s">
        <v>7</v>
      </c>
      <c r="O5212" t="s">
        <v>297</v>
      </c>
    </row>
    <row r="5213" spans="1:15" x14ac:dyDescent="0.3">
      <c r="A5213" t="s">
        <v>7418</v>
      </c>
      <c r="B5213" t="s">
        <v>7666</v>
      </c>
      <c r="C5213">
        <v>2024</v>
      </c>
      <c r="D5213" t="s">
        <v>300</v>
      </c>
      <c r="E5213" t="s">
        <v>316</v>
      </c>
      <c r="F5213">
        <v>45333</v>
      </c>
      <c r="G5213" t="s">
        <v>302</v>
      </c>
      <c r="H5213">
        <v>8</v>
      </c>
      <c r="I5213" t="s">
        <v>7691</v>
      </c>
      <c r="J5213" t="s">
        <v>294</v>
      </c>
      <c r="M5213" t="s">
        <v>295</v>
      </c>
      <c r="N5213" t="s">
        <v>7</v>
      </c>
      <c r="O5213" t="s">
        <v>297</v>
      </c>
    </row>
    <row r="5214" spans="1:15" x14ac:dyDescent="0.3">
      <c r="A5214" t="s">
        <v>7418</v>
      </c>
      <c r="B5214" t="s">
        <v>7666</v>
      </c>
      <c r="C5214">
        <v>2024</v>
      </c>
      <c r="D5214" t="s">
        <v>300</v>
      </c>
      <c r="E5214" t="s">
        <v>312</v>
      </c>
      <c r="F5214">
        <v>24442</v>
      </c>
      <c r="G5214" t="s">
        <v>302</v>
      </c>
      <c r="H5214">
        <v>176</v>
      </c>
      <c r="I5214" t="s">
        <v>7692</v>
      </c>
      <c r="J5214" t="s">
        <v>294</v>
      </c>
      <c r="M5214" t="s">
        <v>295</v>
      </c>
      <c r="N5214" t="s">
        <v>7</v>
      </c>
      <c r="O5214" t="s">
        <v>297</v>
      </c>
    </row>
    <row r="5215" spans="1:15" x14ac:dyDescent="0.3">
      <c r="A5215" t="s">
        <v>7418</v>
      </c>
      <c r="B5215" t="s">
        <v>7666</v>
      </c>
      <c r="C5215">
        <v>2024</v>
      </c>
      <c r="D5215" t="s">
        <v>300</v>
      </c>
      <c r="E5215" t="s">
        <v>314</v>
      </c>
      <c r="F5215">
        <v>20892</v>
      </c>
      <c r="G5215" t="s">
        <v>302</v>
      </c>
      <c r="H5215">
        <v>176</v>
      </c>
      <c r="I5215" t="s">
        <v>7693</v>
      </c>
      <c r="J5215" t="s">
        <v>294</v>
      </c>
      <c r="M5215" t="s">
        <v>295</v>
      </c>
      <c r="N5215" t="s">
        <v>7</v>
      </c>
      <c r="O5215" t="s">
        <v>297</v>
      </c>
    </row>
    <row r="5216" spans="1:15" x14ac:dyDescent="0.3">
      <c r="A5216" t="s">
        <v>7418</v>
      </c>
      <c r="B5216" t="s">
        <v>7666</v>
      </c>
      <c r="C5216">
        <v>2024</v>
      </c>
      <c r="D5216" t="s">
        <v>300</v>
      </c>
      <c r="E5216" t="s">
        <v>322</v>
      </c>
      <c r="F5216">
        <v>25450</v>
      </c>
      <c r="G5216" t="s">
        <v>302</v>
      </c>
      <c r="H5216">
        <v>8</v>
      </c>
      <c r="I5216" t="s">
        <v>7694</v>
      </c>
      <c r="J5216" t="s">
        <v>294</v>
      </c>
      <c r="M5216" t="s">
        <v>295</v>
      </c>
      <c r="N5216" t="s">
        <v>7</v>
      </c>
      <c r="O5216" t="s">
        <v>297</v>
      </c>
    </row>
    <row r="5217" spans="1:15" x14ac:dyDescent="0.3">
      <c r="A5217" t="s">
        <v>7418</v>
      </c>
      <c r="B5217" t="s">
        <v>7666</v>
      </c>
      <c r="C5217">
        <v>2024</v>
      </c>
      <c r="D5217" t="s">
        <v>300</v>
      </c>
      <c r="E5217" t="s">
        <v>318</v>
      </c>
      <c r="F5217">
        <v>13371</v>
      </c>
      <c r="G5217" t="s">
        <v>302</v>
      </c>
      <c r="H5217">
        <v>177</v>
      </c>
      <c r="I5217" t="s">
        <v>7695</v>
      </c>
      <c r="J5217" t="s">
        <v>294</v>
      </c>
      <c r="M5217" t="s">
        <v>295</v>
      </c>
      <c r="N5217" t="s">
        <v>7</v>
      </c>
      <c r="O5217" t="s">
        <v>297</v>
      </c>
    </row>
    <row r="5218" spans="1:15" x14ac:dyDescent="0.3">
      <c r="A5218" t="s">
        <v>7418</v>
      </c>
      <c r="B5218" t="s">
        <v>7666</v>
      </c>
      <c r="C5218">
        <v>2024</v>
      </c>
      <c r="D5218" t="s">
        <v>300</v>
      </c>
      <c r="E5218" t="s">
        <v>468</v>
      </c>
      <c r="F5218">
        <v>12079</v>
      </c>
      <c r="G5218" t="s">
        <v>302</v>
      </c>
      <c r="H5218">
        <v>177</v>
      </c>
      <c r="I5218" t="s">
        <v>7696</v>
      </c>
      <c r="J5218" t="s">
        <v>294</v>
      </c>
      <c r="M5218" t="s">
        <v>295</v>
      </c>
      <c r="N5218" t="s">
        <v>7</v>
      </c>
      <c r="O5218" t="s">
        <v>297</v>
      </c>
    </row>
    <row r="5219" spans="1:15" x14ac:dyDescent="0.3">
      <c r="A5219" t="s">
        <v>7418</v>
      </c>
      <c r="B5219" t="s">
        <v>7666</v>
      </c>
      <c r="C5219">
        <v>2024</v>
      </c>
      <c r="D5219" t="s">
        <v>300</v>
      </c>
      <c r="E5219" t="s">
        <v>324</v>
      </c>
      <c r="F5219">
        <v>19883</v>
      </c>
      <c r="G5219" t="s">
        <v>302</v>
      </c>
      <c r="H5219">
        <v>8</v>
      </c>
      <c r="I5219" t="s">
        <v>7697</v>
      </c>
      <c r="J5219" t="s">
        <v>294</v>
      </c>
      <c r="M5219" t="s">
        <v>295</v>
      </c>
      <c r="N5219" t="s">
        <v>7</v>
      </c>
      <c r="O5219" t="s">
        <v>297</v>
      </c>
    </row>
    <row r="5220" spans="1:15" x14ac:dyDescent="0.3">
      <c r="A5220" t="s">
        <v>7418</v>
      </c>
      <c r="B5220" t="s">
        <v>7666</v>
      </c>
      <c r="C5220">
        <v>2024</v>
      </c>
      <c r="D5220" t="s">
        <v>300</v>
      </c>
      <c r="E5220" t="s">
        <v>471</v>
      </c>
      <c r="F5220">
        <v>1586</v>
      </c>
      <c r="G5220" t="s">
        <v>302</v>
      </c>
      <c r="H5220">
        <v>176</v>
      </c>
      <c r="I5220" t="s">
        <v>7698</v>
      </c>
      <c r="J5220" t="s">
        <v>294</v>
      </c>
      <c r="M5220" t="s">
        <v>295</v>
      </c>
      <c r="N5220" t="s">
        <v>7</v>
      </c>
      <c r="O5220" t="s">
        <v>297</v>
      </c>
    </row>
    <row r="5221" spans="1:15" x14ac:dyDescent="0.3">
      <c r="A5221" t="s">
        <v>7418</v>
      </c>
      <c r="B5221" t="s">
        <v>7666</v>
      </c>
      <c r="C5221">
        <v>2024</v>
      </c>
      <c r="D5221" t="s">
        <v>300</v>
      </c>
      <c r="E5221" t="s">
        <v>7699</v>
      </c>
      <c r="F5221">
        <v>2493</v>
      </c>
      <c r="G5221" t="s">
        <v>302</v>
      </c>
      <c r="H5221">
        <v>176</v>
      </c>
      <c r="I5221" t="s">
        <v>7700</v>
      </c>
      <c r="J5221" t="s">
        <v>294</v>
      </c>
      <c r="M5221" t="s">
        <v>295</v>
      </c>
      <c r="N5221" t="s">
        <v>7</v>
      </c>
      <c r="O5221" t="s">
        <v>297</v>
      </c>
    </row>
    <row r="5222" spans="1:15" x14ac:dyDescent="0.3">
      <c r="A5222" t="s">
        <v>7418</v>
      </c>
      <c r="B5222" t="s">
        <v>7666</v>
      </c>
      <c r="C5222">
        <v>2024</v>
      </c>
      <c r="D5222" t="s">
        <v>300</v>
      </c>
      <c r="E5222" t="s">
        <v>7701</v>
      </c>
      <c r="F5222">
        <v>3891</v>
      </c>
      <c r="G5222" t="s">
        <v>302</v>
      </c>
      <c r="H5222">
        <v>176</v>
      </c>
      <c r="I5222" t="s">
        <v>7702</v>
      </c>
      <c r="J5222" t="s">
        <v>294</v>
      </c>
      <c r="M5222" t="s">
        <v>295</v>
      </c>
      <c r="N5222" t="s">
        <v>7</v>
      </c>
      <c r="O5222" t="s">
        <v>297</v>
      </c>
    </row>
    <row r="5223" spans="1:15" x14ac:dyDescent="0.3">
      <c r="A5223" t="s">
        <v>7418</v>
      </c>
      <c r="B5223" t="s">
        <v>7666</v>
      </c>
      <c r="C5223">
        <v>2024</v>
      </c>
      <c r="D5223" t="s">
        <v>300</v>
      </c>
      <c r="E5223" t="s">
        <v>481</v>
      </c>
      <c r="F5223">
        <v>11604</v>
      </c>
      <c r="G5223" t="s">
        <v>302</v>
      </c>
      <c r="H5223">
        <v>176</v>
      </c>
      <c r="I5223" t="s">
        <v>7703</v>
      </c>
      <c r="J5223" t="s">
        <v>294</v>
      </c>
      <c r="M5223" t="s">
        <v>295</v>
      </c>
      <c r="N5223" t="s">
        <v>7</v>
      </c>
      <c r="O5223" t="s">
        <v>297</v>
      </c>
    </row>
    <row r="5224" spans="1:15" x14ac:dyDescent="0.3">
      <c r="A5224" t="s">
        <v>7418</v>
      </c>
      <c r="B5224" t="s">
        <v>7666</v>
      </c>
      <c r="C5224">
        <v>2024</v>
      </c>
      <c r="D5224" t="s">
        <v>300</v>
      </c>
      <c r="E5224" t="s">
        <v>595</v>
      </c>
      <c r="F5224">
        <v>5134</v>
      </c>
      <c r="G5224" t="s">
        <v>302</v>
      </c>
      <c r="H5224">
        <v>177</v>
      </c>
      <c r="I5224" t="s">
        <v>7704</v>
      </c>
      <c r="J5224" t="s">
        <v>294</v>
      </c>
      <c r="M5224" t="s">
        <v>295</v>
      </c>
      <c r="N5224" t="s">
        <v>7</v>
      </c>
      <c r="O5224" t="s">
        <v>297</v>
      </c>
    </row>
    <row r="5225" spans="1:15" x14ac:dyDescent="0.3">
      <c r="A5225" t="s">
        <v>7418</v>
      </c>
      <c r="B5225" t="s">
        <v>7666</v>
      </c>
      <c r="C5225">
        <v>2024</v>
      </c>
      <c r="D5225" t="s">
        <v>300</v>
      </c>
      <c r="E5225" t="s">
        <v>6375</v>
      </c>
      <c r="F5225">
        <v>1108</v>
      </c>
      <c r="G5225" t="s">
        <v>302</v>
      </c>
      <c r="H5225">
        <v>177</v>
      </c>
      <c r="I5225" t="s">
        <v>7705</v>
      </c>
      <c r="J5225" t="s">
        <v>294</v>
      </c>
      <c r="M5225" t="s">
        <v>295</v>
      </c>
      <c r="N5225" t="s">
        <v>7</v>
      </c>
      <c r="O5225" t="s">
        <v>297</v>
      </c>
    </row>
    <row r="5226" spans="1:15" x14ac:dyDescent="0.3">
      <c r="A5226" t="s">
        <v>7418</v>
      </c>
      <c r="B5226" t="s">
        <v>7666</v>
      </c>
      <c r="C5226">
        <v>2024</v>
      </c>
      <c r="D5226" t="s">
        <v>300</v>
      </c>
      <c r="E5226" t="s">
        <v>7457</v>
      </c>
      <c r="F5226">
        <v>1876</v>
      </c>
      <c r="G5226" t="s">
        <v>302</v>
      </c>
      <c r="H5226">
        <v>177</v>
      </c>
      <c r="I5226" t="s">
        <v>7706</v>
      </c>
      <c r="J5226" t="s">
        <v>294</v>
      </c>
      <c r="M5226" t="s">
        <v>295</v>
      </c>
      <c r="N5226" t="s">
        <v>7</v>
      </c>
      <c r="O5226" t="s">
        <v>297</v>
      </c>
    </row>
    <row r="5227" spans="1:15" x14ac:dyDescent="0.3">
      <c r="A5227" t="s">
        <v>7418</v>
      </c>
      <c r="B5227" t="s">
        <v>7666</v>
      </c>
      <c r="C5227">
        <v>2024</v>
      </c>
      <c r="D5227" t="s">
        <v>300</v>
      </c>
      <c r="E5227" t="s">
        <v>475</v>
      </c>
      <c r="F5227">
        <v>8930</v>
      </c>
      <c r="G5227" t="s">
        <v>302</v>
      </c>
      <c r="H5227">
        <v>177</v>
      </c>
      <c r="I5227" t="s">
        <v>7707</v>
      </c>
      <c r="J5227" t="s">
        <v>294</v>
      </c>
      <c r="M5227" t="s">
        <v>295</v>
      </c>
      <c r="N5227" t="s">
        <v>7</v>
      </c>
      <c r="O5227" t="s">
        <v>297</v>
      </c>
    </row>
    <row r="5228" spans="1:15" x14ac:dyDescent="0.3">
      <c r="A5228" t="s">
        <v>7418</v>
      </c>
      <c r="B5228" t="s">
        <v>7666</v>
      </c>
      <c r="C5228">
        <v>2024</v>
      </c>
      <c r="D5228" t="s">
        <v>300</v>
      </c>
      <c r="E5228" t="s">
        <v>7460</v>
      </c>
      <c r="F5228">
        <v>2150</v>
      </c>
      <c r="G5228" t="s">
        <v>302</v>
      </c>
      <c r="H5228">
        <v>177</v>
      </c>
      <c r="I5228" t="s">
        <v>7708</v>
      </c>
      <c r="J5228" t="s">
        <v>294</v>
      </c>
      <c r="M5228" t="s">
        <v>295</v>
      </c>
      <c r="N5228" t="s">
        <v>7</v>
      </c>
      <c r="O5228" t="s">
        <v>297</v>
      </c>
    </row>
    <row r="5229" spans="1:15" x14ac:dyDescent="0.3">
      <c r="A5229" t="s">
        <v>7418</v>
      </c>
      <c r="B5229" t="s">
        <v>7666</v>
      </c>
      <c r="C5229">
        <v>2024</v>
      </c>
      <c r="D5229" t="s">
        <v>300</v>
      </c>
      <c r="E5229" t="s">
        <v>597</v>
      </c>
      <c r="F5229">
        <v>19199</v>
      </c>
      <c r="G5229" t="s">
        <v>302</v>
      </c>
      <c r="H5229">
        <v>177</v>
      </c>
      <c r="I5229" t="s">
        <v>7709</v>
      </c>
      <c r="J5229" t="s">
        <v>294</v>
      </c>
      <c r="M5229" t="s">
        <v>295</v>
      </c>
      <c r="N5229" t="s">
        <v>7</v>
      </c>
      <c r="O5229" t="s">
        <v>297</v>
      </c>
    </row>
    <row r="5230" spans="1:15" x14ac:dyDescent="0.3">
      <c r="A5230" t="s">
        <v>7418</v>
      </c>
      <c r="B5230" t="s">
        <v>7666</v>
      </c>
      <c r="C5230">
        <v>2024</v>
      </c>
      <c r="D5230" t="s">
        <v>300</v>
      </c>
      <c r="E5230" t="s">
        <v>601</v>
      </c>
      <c r="F5230">
        <v>-253</v>
      </c>
      <c r="G5230" t="s">
        <v>302</v>
      </c>
      <c r="H5230">
        <v>180</v>
      </c>
      <c r="I5230" t="s">
        <v>7710</v>
      </c>
      <c r="J5230" t="s">
        <v>294</v>
      </c>
      <c r="M5230" t="s">
        <v>295</v>
      </c>
      <c r="N5230" t="s">
        <v>7</v>
      </c>
      <c r="O5230" t="s">
        <v>297</v>
      </c>
    </row>
    <row r="5231" spans="1:15" x14ac:dyDescent="0.3">
      <c r="A5231" t="s">
        <v>7418</v>
      </c>
      <c r="B5231" t="s">
        <v>7666</v>
      </c>
      <c r="C5231">
        <v>2024</v>
      </c>
      <c r="D5231" t="s">
        <v>300</v>
      </c>
      <c r="E5231" t="s">
        <v>603</v>
      </c>
      <c r="F5231">
        <v>-2119</v>
      </c>
      <c r="G5231" t="s">
        <v>302</v>
      </c>
      <c r="H5231">
        <v>180</v>
      </c>
      <c r="I5231" t="s">
        <v>7711</v>
      </c>
      <c r="J5231" t="s">
        <v>294</v>
      </c>
      <c r="M5231" t="s">
        <v>295</v>
      </c>
      <c r="N5231" t="s">
        <v>7</v>
      </c>
      <c r="O5231" t="s">
        <v>297</v>
      </c>
    </row>
    <row r="5232" spans="1:15" x14ac:dyDescent="0.3">
      <c r="A5232" t="s">
        <v>7418</v>
      </c>
      <c r="B5232" t="s">
        <v>7666</v>
      </c>
      <c r="C5232">
        <v>2024</v>
      </c>
      <c r="D5232" t="s">
        <v>300</v>
      </c>
      <c r="E5232" t="s">
        <v>716</v>
      </c>
      <c r="F5232">
        <v>2294</v>
      </c>
      <c r="G5232" t="s">
        <v>302</v>
      </c>
      <c r="H5232">
        <v>180</v>
      </c>
      <c r="I5232" t="s">
        <v>7712</v>
      </c>
      <c r="J5232" t="s">
        <v>294</v>
      </c>
      <c r="M5232" t="s">
        <v>295</v>
      </c>
      <c r="N5232" t="s">
        <v>7</v>
      </c>
      <c r="O5232" t="s">
        <v>297</v>
      </c>
    </row>
    <row r="5233" spans="1:15" x14ac:dyDescent="0.3">
      <c r="A5233" t="s">
        <v>7418</v>
      </c>
      <c r="B5233" t="s">
        <v>7666</v>
      </c>
      <c r="C5233">
        <v>2024</v>
      </c>
      <c r="D5233" t="s">
        <v>300</v>
      </c>
      <c r="E5233" t="s">
        <v>7466</v>
      </c>
      <c r="F5233">
        <v>2270</v>
      </c>
      <c r="G5233" t="s">
        <v>302</v>
      </c>
      <c r="H5233">
        <v>65</v>
      </c>
      <c r="I5233" t="s">
        <v>7713</v>
      </c>
      <c r="J5233" t="s">
        <v>294</v>
      </c>
      <c r="M5233" t="s">
        <v>295</v>
      </c>
      <c r="N5233" t="s">
        <v>7</v>
      </c>
      <c r="O5233" t="s">
        <v>297</v>
      </c>
    </row>
    <row r="5234" spans="1:15" x14ac:dyDescent="0.3">
      <c r="A5234" t="s">
        <v>7418</v>
      </c>
      <c r="B5234" t="s">
        <v>7666</v>
      </c>
      <c r="C5234">
        <v>2024</v>
      </c>
      <c r="D5234" t="s">
        <v>300</v>
      </c>
      <c r="E5234" t="s">
        <v>489</v>
      </c>
      <c r="F5234">
        <v>1500</v>
      </c>
      <c r="G5234" t="s">
        <v>302</v>
      </c>
      <c r="H5234">
        <v>66</v>
      </c>
      <c r="I5234" t="s">
        <v>7714</v>
      </c>
      <c r="J5234" t="s">
        <v>294</v>
      </c>
      <c r="M5234" t="s">
        <v>295</v>
      </c>
      <c r="N5234" t="s">
        <v>7</v>
      </c>
      <c r="O5234" t="s">
        <v>297</v>
      </c>
    </row>
    <row r="5235" spans="1:15" x14ac:dyDescent="0.3">
      <c r="A5235" t="s">
        <v>7418</v>
      </c>
      <c r="B5235" t="s">
        <v>7666</v>
      </c>
      <c r="C5235">
        <v>2024</v>
      </c>
      <c r="D5235" t="s">
        <v>300</v>
      </c>
      <c r="E5235" t="s">
        <v>7468</v>
      </c>
      <c r="F5235">
        <v>574</v>
      </c>
      <c r="G5235" t="s">
        <v>302</v>
      </c>
      <c r="H5235">
        <v>180</v>
      </c>
      <c r="I5235" t="s">
        <v>7715</v>
      </c>
      <c r="J5235" t="s">
        <v>294</v>
      </c>
      <c r="M5235" t="s">
        <v>295</v>
      </c>
      <c r="N5235" t="s">
        <v>7</v>
      </c>
      <c r="O5235" t="s">
        <v>297</v>
      </c>
    </row>
    <row r="5236" spans="1:15" x14ac:dyDescent="0.3">
      <c r="A5236" t="s">
        <v>7418</v>
      </c>
      <c r="B5236" t="s">
        <v>7666</v>
      </c>
      <c r="C5236">
        <v>2024</v>
      </c>
      <c r="D5236" t="s">
        <v>300</v>
      </c>
      <c r="E5236" t="s">
        <v>2658</v>
      </c>
      <c r="F5236">
        <v>445</v>
      </c>
      <c r="G5236" t="s">
        <v>346</v>
      </c>
      <c r="H5236">
        <v>8</v>
      </c>
      <c r="I5236" t="s">
        <v>7716</v>
      </c>
      <c r="J5236" t="s">
        <v>294</v>
      </c>
      <c r="M5236" t="s">
        <v>295</v>
      </c>
      <c r="N5236" t="s">
        <v>7</v>
      </c>
      <c r="O5236" t="s">
        <v>297</v>
      </c>
    </row>
    <row r="5237" spans="1:15" x14ac:dyDescent="0.3">
      <c r="A5237" t="s">
        <v>7418</v>
      </c>
      <c r="B5237" t="s">
        <v>7666</v>
      </c>
      <c r="C5237">
        <v>2024</v>
      </c>
      <c r="D5237" t="s">
        <v>300</v>
      </c>
      <c r="E5237" t="s">
        <v>342</v>
      </c>
      <c r="F5237">
        <v>2872</v>
      </c>
      <c r="G5237" t="s">
        <v>497</v>
      </c>
      <c r="H5237">
        <v>156</v>
      </c>
      <c r="I5237" t="s">
        <v>7478</v>
      </c>
      <c r="J5237" t="s">
        <v>294</v>
      </c>
      <c r="M5237" t="s">
        <v>295</v>
      </c>
      <c r="N5237" t="s">
        <v>7</v>
      </c>
      <c r="O5237" t="s">
        <v>297</v>
      </c>
    </row>
    <row r="5238" spans="1:15" x14ac:dyDescent="0.3">
      <c r="A5238" t="s">
        <v>7418</v>
      </c>
      <c r="B5238" t="s">
        <v>7666</v>
      </c>
      <c r="C5238">
        <v>2024</v>
      </c>
      <c r="D5238" t="s">
        <v>300</v>
      </c>
      <c r="E5238" t="s">
        <v>7717</v>
      </c>
      <c r="F5238">
        <v>105</v>
      </c>
      <c r="G5238" t="s">
        <v>346</v>
      </c>
      <c r="H5238">
        <v>59</v>
      </c>
      <c r="I5238" t="s">
        <v>7718</v>
      </c>
      <c r="J5238" t="s">
        <v>294</v>
      </c>
      <c r="M5238" t="s">
        <v>295</v>
      </c>
      <c r="N5238" t="s">
        <v>7</v>
      </c>
      <c r="O5238" t="s">
        <v>297</v>
      </c>
    </row>
    <row r="5239" spans="1:15" x14ac:dyDescent="0.3">
      <c r="A5239" t="s">
        <v>7418</v>
      </c>
      <c r="B5239" t="s">
        <v>7666</v>
      </c>
      <c r="C5239">
        <v>2024</v>
      </c>
      <c r="D5239" t="s">
        <v>300</v>
      </c>
      <c r="E5239" t="s">
        <v>1048</v>
      </c>
      <c r="F5239">
        <v>3650</v>
      </c>
      <c r="G5239" t="s">
        <v>346</v>
      </c>
      <c r="H5239">
        <v>155</v>
      </c>
      <c r="I5239" t="s">
        <v>7719</v>
      </c>
      <c r="J5239" t="s">
        <v>294</v>
      </c>
      <c r="M5239" t="s">
        <v>295</v>
      </c>
      <c r="N5239" t="s">
        <v>7</v>
      </c>
      <c r="O5239" t="s">
        <v>297</v>
      </c>
    </row>
    <row r="5240" spans="1:15" x14ac:dyDescent="0.3">
      <c r="A5240" t="s">
        <v>7418</v>
      </c>
      <c r="B5240" t="s">
        <v>7666</v>
      </c>
      <c r="C5240">
        <v>2024</v>
      </c>
      <c r="D5240" t="s">
        <v>300</v>
      </c>
      <c r="E5240" t="s">
        <v>5063</v>
      </c>
      <c r="F5240">
        <v>10484</v>
      </c>
      <c r="G5240" t="s">
        <v>302</v>
      </c>
      <c r="H5240">
        <v>155</v>
      </c>
      <c r="I5240" t="s">
        <v>7720</v>
      </c>
      <c r="J5240" t="s">
        <v>294</v>
      </c>
      <c r="M5240" t="s">
        <v>295</v>
      </c>
      <c r="N5240" t="s">
        <v>7</v>
      </c>
      <c r="O5240" t="s">
        <v>297</v>
      </c>
    </row>
    <row r="5241" spans="1:15" x14ac:dyDescent="0.3">
      <c r="A5241" t="s">
        <v>7418</v>
      </c>
      <c r="B5241" t="s">
        <v>7666</v>
      </c>
      <c r="C5241">
        <v>2024</v>
      </c>
      <c r="D5241" t="s">
        <v>300</v>
      </c>
      <c r="E5241" t="s">
        <v>7721</v>
      </c>
      <c r="F5241">
        <v>0.97</v>
      </c>
      <c r="G5241" t="s">
        <v>327</v>
      </c>
      <c r="H5241">
        <v>60</v>
      </c>
      <c r="I5241" t="s">
        <v>7722</v>
      </c>
      <c r="J5241" t="s">
        <v>294</v>
      </c>
      <c r="M5241" t="s">
        <v>295</v>
      </c>
      <c r="N5241" t="s">
        <v>7</v>
      </c>
      <c r="O5241" t="s">
        <v>297</v>
      </c>
    </row>
    <row r="5242" spans="1:15" x14ac:dyDescent="0.3">
      <c r="A5242" t="s">
        <v>7418</v>
      </c>
      <c r="B5242" t="s">
        <v>7666</v>
      </c>
      <c r="C5242">
        <v>2024</v>
      </c>
      <c r="D5242" t="s">
        <v>300</v>
      </c>
      <c r="E5242" t="s">
        <v>326</v>
      </c>
      <c r="F5242">
        <v>1.8</v>
      </c>
      <c r="G5242" t="s">
        <v>327</v>
      </c>
      <c r="H5242">
        <v>8</v>
      </c>
      <c r="I5242" t="s">
        <v>7723</v>
      </c>
      <c r="J5242" t="s">
        <v>294</v>
      </c>
      <c r="M5242" t="s">
        <v>295</v>
      </c>
      <c r="N5242" t="s">
        <v>7</v>
      </c>
      <c r="O5242" t="s">
        <v>297</v>
      </c>
    </row>
    <row r="5243" spans="1:15" x14ac:dyDescent="0.3">
      <c r="A5243" t="s">
        <v>7418</v>
      </c>
      <c r="B5243" t="s">
        <v>7666</v>
      </c>
      <c r="C5243">
        <v>2024</v>
      </c>
      <c r="D5243" t="s">
        <v>300</v>
      </c>
      <c r="E5243" t="s">
        <v>7480</v>
      </c>
      <c r="F5243">
        <v>0.59</v>
      </c>
      <c r="G5243" t="s">
        <v>327</v>
      </c>
      <c r="H5243">
        <v>8</v>
      </c>
      <c r="I5243" t="s">
        <v>7724</v>
      </c>
      <c r="J5243" t="s">
        <v>294</v>
      </c>
      <c r="M5243" t="s">
        <v>295</v>
      </c>
      <c r="N5243" t="s">
        <v>7</v>
      </c>
      <c r="O5243" t="s">
        <v>297</v>
      </c>
    </row>
    <row r="5244" spans="1:15" x14ac:dyDescent="0.3">
      <c r="A5244" t="s">
        <v>7418</v>
      </c>
      <c r="B5244" t="s">
        <v>7666</v>
      </c>
      <c r="C5244">
        <v>2024</v>
      </c>
      <c r="D5244" t="s">
        <v>300</v>
      </c>
      <c r="E5244" t="s">
        <v>7482</v>
      </c>
      <c r="F5244">
        <v>3.54</v>
      </c>
      <c r="G5244" t="s">
        <v>327</v>
      </c>
      <c r="H5244">
        <v>8</v>
      </c>
      <c r="I5244" t="s">
        <v>7725</v>
      </c>
      <c r="J5244" t="s">
        <v>294</v>
      </c>
      <c r="M5244" t="s">
        <v>295</v>
      </c>
      <c r="N5244" t="s">
        <v>7</v>
      </c>
      <c r="O5244" t="s">
        <v>297</v>
      </c>
    </row>
    <row r="5245" spans="1:15" x14ac:dyDescent="0.3">
      <c r="A5245" t="s">
        <v>7418</v>
      </c>
      <c r="B5245" t="s">
        <v>7666</v>
      </c>
      <c r="C5245">
        <v>2024</v>
      </c>
      <c r="D5245" t="s">
        <v>300</v>
      </c>
      <c r="E5245" t="s">
        <v>340</v>
      </c>
      <c r="F5245">
        <v>0.10199999999999999</v>
      </c>
      <c r="G5245" t="s">
        <v>334</v>
      </c>
      <c r="H5245">
        <v>8</v>
      </c>
      <c r="I5245" t="s">
        <v>7726</v>
      </c>
      <c r="J5245" t="s">
        <v>294</v>
      </c>
      <c r="M5245" t="s">
        <v>295</v>
      </c>
      <c r="N5245" t="s">
        <v>7</v>
      </c>
      <c r="O5245" t="s">
        <v>297</v>
      </c>
    </row>
    <row r="5246" spans="1:15" x14ac:dyDescent="0.3">
      <c r="A5246" t="s">
        <v>7418</v>
      </c>
      <c r="B5246" t="s">
        <v>7666</v>
      </c>
      <c r="C5246">
        <v>2024</v>
      </c>
      <c r="D5246" t="s">
        <v>300</v>
      </c>
      <c r="E5246" t="s">
        <v>901</v>
      </c>
      <c r="F5246">
        <v>5.2999999999999999E-2</v>
      </c>
      <c r="G5246" t="s">
        <v>334</v>
      </c>
      <c r="H5246">
        <v>8</v>
      </c>
      <c r="I5246" t="s">
        <v>7727</v>
      </c>
      <c r="J5246" t="s">
        <v>294</v>
      </c>
      <c r="M5246" t="s">
        <v>295</v>
      </c>
      <c r="N5246" t="s">
        <v>7</v>
      </c>
      <c r="O5246" t="s">
        <v>297</v>
      </c>
    </row>
    <row r="5247" spans="1:15" x14ac:dyDescent="0.3">
      <c r="A5247" t="s">
        <v>7418</v>
      </c>
      <c r="B5247" t="s">
        <v>7666</v>
      </c>
      <c r="C5247">
        <v>2024</v>
      </c>
      <c r="D5247" t="s">
        <v>300</v>
      </c>
      <c r="E5247" t="s">
        <v>338</v>
      </c>
      <c r="F5247">
        <v>1.6E-2</v>
      </c>
      <c r="G5247" t="s">
        <v>334</v>
      </c>
      <c r="H5247">
        <v>8</v>
      </c>
      <c r="I5247" t="s">
        <v>7728</v>
      </c>
      <c r="J5247" t="s">
        <v>294</v>
      </c>
      <c r="M5247" t="s">
        <v>295</v>
      </c>
      <c r="N5247" t="s">
        <v>7</v>
      </c>
      <c r="O5247" t="s">
        <v>297</v>
      </c>
    </row>
    <row r="5248" spans="1:15" x14ac:dyDescent="0.3">
      <c r="A5248" t="s">
        <v>7418</v>
      </c>
      <c r="B5248" t="s">
        <v>7666</v>
      </c>
      <c r="C5248">
        <v>2024</v>
      </c>
      <c r="D5248" t="s">
        <v>300</v>
      </c>
      <c r="E5248" t="s">
        <v>336</v>
      </c>
      <c r="F5248">
        <v>6.4000000000000001E-2</v>
      </c>
      <c r="G5248" t="s">
        <v>334</v>
      </c>
      <c r="H5248">
        <v>8</v>
      </c>
      <c r="I5248" t="s">
        <v>7729</v>
      </c>
      <c r="J5248" t="s">
        <v>294</v>
      </c>
      <c r="M5248" t="s">
        <v>295</v>
      </c>
      <c r="N5248" t="s">
        <v>7</v>
      </c>
      <c r="O5248" t="s">
        <v>297</v>
      </c>
    </row>
    <row r="5249" spans="1:15" x14ac:dyDescent="0.3">
      <c r="A5249" t="s">
        <v>7418</v>
      </c>
      <c r="B5249" t="s">
        <v>7666</v>
      </c>
      <c r="C5249">
        <v>2024</v>
      </c>
      <c r="D5249" t="s">
        <v>300</v>
      </c>
      <c r="E5249" t="s">
        <v>333</v>
      </c>
      <c r="F5249">
        <v>2.8000000000000001E-2</v>
      </c>
      <c r="G5249" t="s">
        <v>334</v>
      </c>
      <c r="H5249">
        <v>8</v>
      </c>
      <c r="I5249" t="s">
        <v>7730</v>
      </c>
      <c r="J5249" t="s">
        <v>294</v>
      </c>
      <c r="M5249" t="s">
        <v>295</v>
      </c>
      <c r="N5249" t="s">
        <v>7</v>
      </c>
      <c r="O5249" t="s">
        <v>297</v>
      </c>
    </row>
    <row r="5250" spans="1:15" x14ac:dyDescent="0.3">
      <c r="A5250" t="s">
        <v>7418</v>
      </c>
      <c r="B5250" t="s">
        <v>7666</v>
      </c>
      <c r="C5250">
        <v>2024</v>
      </c>
      <c r="D5250" t="s">
        <v>300</v>
      </c>
      <c r="E5250" t="s">
        <v>7490</v>
      </c>
      <c r="F5250">
        <v>16162</v>
      </c>
      <c r="G5250" t="s">
        <v>2769</v>
      </c>
      <c r="H5250">
        <v>8</v>
      </c>
      <c r="I5250" t="s">
        <v>7731</v>
      </c>
      <c r="J5250" t="s">
        <v>294</v>
      </c>
      <c r="M5250" t="s">
        <v>295</v>
      </c>
      <c r="N5250" t="s">
        <v>7</v>
      </c>
      <c r="O5250" t="s">
        <v>297</v>
      </c>
    </row>
    <row r="5251" spans="1:15" x14ac:dyDescent="0.3">
      <c r="A5251" t="s">
        <v>7418</v>
      </c>
      <c r="B5251" t="s">
        <v>7666</v>
      </c>
      <c r="C5251">
        <v>2024</v>
      </c>
      <c r="D5251" t="s">
        <v>300</v>
      </c>
      <c r="E5251" t="s">
        <v>7492</v>
      </c>
      <c r="F5251">
        <v>15827</v>
      </c>
      <c r="G5251" t="s">
        <v>2769</v>
      </c>
      <c r="H5251">
        <v>8</v>
      </c>
      <c r="I5251" t="s">
        <v>7732</v>
      </c>
      <c r="J5251" t="s">
        <v>294</v>
      </c>
      <c r="M5251" t="s">
        <v>295</v>
      </c>
      <c r="N5251" t="s">
        <v>7</v>
      </c>
      <c r="O5251" t="s">
        <v>297</v>
      </c>
    </row>
    <row r="5252" spans="1:15" x14ac:dyDescent="0.3">
      <c r="A5252" t="s">
        <v>7418</v>
      </c>
      <c r="B5252" t="s">
        <v>7666</v>
      </c>
      <c r="C5252">
        <v>2024</v>
      </c>
      <c r="D5252" t="s">
        <v>358</v>
      </c>
      <c r="E5252" t="s">
        <v>504</v>
      </c>
      <c r="F5252">
        <v>136587</v>
      </c>
      <c r="G5252" t="s">
        <v>360</v>
      </c>
      <c r="H5252">
        <v>51</v>
      </c>
      <c r="I5252" t="s">
        <v>7733</v>
      </c>
      <c r="J5252" t="s">
        <v>294</v>
      </c>
      <c r="M5252" t="s">
        <v>295</v>
      </c>
      <c r="N5252" t="s">
        <v>7</v>
      </c>
      <c r="O5252" t="s">
        <v>297</v>
      </c>
    </row>
    <row r="5253" spans="1:15" x14ac:dyDescent="0.3">
      <c r="A5253" t="s">
        <v>7418</v>
      </c>
      <c r="B5253" t="s">
        <v>7666</v>
      </c>
      <c r="C5253">
        <v>2024</v>
      </c>
      <c r="D5253" t="s">
        <v>358</v>
      </c>
      <c r="E5253" t="s">
        <v>7495</v>
      </c>
      <c r="F5253">
        <v>0.77</v>
      </c>
      <c r="G5253" t="s">
        <v>334</v>
      </c>
      <c r="H5253">
        <v>51</v>
      </c>
      <c r="I5253" t="s">
        <v>7623</v>
      </c>
      <c r="J5253" t="s">
        <v>294</v>
      </c>
      <c r="M5253" t="s">
        <v>295</v>
      </c>
      <c r="N5253" t="s">
        <v>7</v>
      </c>
      <c r="O5253" t="s">
        <v>297</v>
      </c>
    </row>
    <row r="5254" spans="1:15" x14ac:dyDescent="0.3">
      <c r="A5254" t="s">
        <v>7418</v>
      </c>
      <c r="B5254" t="s">
        <v>7666</v>
      </c>
      <c r="C5254">
        <v>2024</v>
      </c>
      <c r="D5254" t="s">
        <v>358</v>
      </c>
      <c r="E5254" t="s">
        <v>7497</v>
      </c>
      <c r="F5254">
        <v>0.23</v>
      </c>
      <c r="G5254" t="s">
        <v>334</v>
      </c>
      <c r="H5254">
        <v>51</v>
      </c>
      <c r="I5254" t="s">
        <v>7624</v>
      </c>
      <c r="J5254" t="s">
        <v>294</v>
      </c>
      <c r="M5254" t="s">
        <v>295</v>
      </c>
      <c r="N5254" t="s">
        <v>7</v>
      </c>
      <c r="O5254" t="s">
        <v>297</v>
      </c>
    </row>
    <row r="5255" spans="1:15" x14ac:dyDescent="0.3">
      <c r="A5255" t="s">
        <v>7418</v>
      </c>
      <c r="B5255" t="s">
        <v>7666</v>
      </c>
      <c r="C5255">
        <v>2024</v>
      </c>
      <c r="D5255" t="s">
        <v>358</v>
      </c>
      <c r="E5255" t="s">
        <v>7499</v>
      </c>
      <c r="F5255">
        <v>0.46</v>
      </c>
      <c r="G5255" t="s">
        <v>334</v>
      </c>
      <c r="H5255">
        <v>50</v>
      </c>
      <c r="I5255" t="s">
        <v>7734</v>
      </c>
      <c r="J5255" t="s">
        <v>294</v>
      </c>
      <c r="M5255" t="s">
        <v>295</v>
      </c>
      <c r="N5255" t="s">
        <v>7</v>
      </c>
      <c r="O5255" t="s">
        <v>297</v>
      </c>
    </row>
    <row r="5256" spans="1:15" x14ac:dyDescent="0.3">
      <c r="A5256" t="s">
        <v>7418</v>
      </c>
      <c r="B5256" t="s">
        <v>7666</v>
      </c>
      <c r="C5256">
        <v>2024</v>
      </c>
      <c r="D5256" t="s">
        <v>358</v>
      </c>
      <c r="E5256" t="s">
        <v>7501</v>
      </c>
      <c r="F5256">
        <v>0.54</v>
      </c>
      <c r="G5256" t="s">
        <v>334</v>
      </c>
      <c r="H5256">
        <v>50</v>
      </c>
      <c r="I5256" t="s">
        <v>7735</v>
      </c>
      <c r="J5256" t="s">
        <v>294</v>
      </c>
      <c r="M5256" t="s">
        <v>295</v>
      </c>
      <c r="N5256" t="s">
        <v>7</v>
      </c>
      <c r="O5256" t="s">
        <v>297</v>
      </c>
    </row>
    <row r="5257" spans="1:15" x14ac:dyDescent="0.3">
      <c r="A5257" t="s">
        <v>7418</v>
      </c>
      <c r="B5257" t="s">
        <v>7666</v>
      </c>
      <c r="C5257">
        <v>2024</v>
      </c>
      <c r="D5257" t="s">
        <v>358</v>
      </c>
      <c r="E5257" t="s">
        <v>7503</v>
      </c>
      <c r="F5257">
        <v>0.9</v>
      </c>
      <c r="G5257" t="s">
        <v>334</v>
      </c>
      <c r="H5257">
        <v>50</v>
      </c>
      <c r="I5257" t="s">
        <v>7736</v>
      </c>
      <c r="J5257" t="s">
        <v>294</v>
      </c>
      <c r="M5257" t="s">
        <v>295</v>
      </c>
      <c r="N5257" t="s">
        <v>7</v>
      </c>
      <c r="O5257" t="s">
        <v>297</v>
      </c>
    </row>
    <row r="5258" spans="1:15" x14ac:dyDescent="0.3">
      <c r="A5258" t="s">
        <v>7418</v>
      </c>
      <c r="B5258" t="s">
        <v>7666</v>
      </c>
      <c r="C5258">
        <v>2024</v>
      </c>
      <c r="D5258" t="s">
        <v>358</v>
      </c>
      <c r="E5258" t="s">
        <v>7505</v>
      </c>
      <c r="F5258">
        <v>13227</v>
      </c>
      <c r="G5258" t="s">
        <v>360</v>
      </c>
      <c r="H5258">
        <v>52</v>
      </c>
      <c r="I5258" t="s">
        <v>7737</v>
      </c>
      <c r="J5258" t="s">
        <v>294</v>
      </c>
      <c r="M5258" t="s">
        <v>295</v>
      </c>
      <c r="N5258" t="s">
        <v>7</v>
      </c>
      <c r="O5258" t="s">
        <v>297</v>
      </c>
    </row>
    <row r="5259" spans="1:15" x14ac:dyDescent="0.3">
      <c r="A5259" t="s">
        <v>7418</v>
      </c>
      <c r="B5259" t="s">
        <v>7666</v>
      </c>
      <c r="C5259">
        <v>2024</v>
      </c>
      <c r="D5259" t="s">
        <v>358</v>
      </c>
      <c r="E5259" t="s">
        <v>7507</v>
      </c>
      <c r="F5259">
        <v>10114</v>
      </c>
      <c r="G5259" t="s">
        <v>360</v>
      </c>
      <c r="H5259">
        <v>52</v>
      </c>
      <c r="I5259" t="s">
        <v>7738</v>
      </c>
      <c r="J5259" t="s">
        <v>294</v>
      </c>
      <c r="M5259" t="s">
        <v>295</v>
      </c>
      <c r="N5259" t="s">
        <v>7</v>
      </c>
      <c r="O5259" t="s">
        <v>297</v>
      </c>
    </row>
    <row r="5260" spans="1:15" x14ac:dyDescent="0.3">
      <c r="A5260" t="s">
        <v>7418</v>
      </c>
      <c r="B5260" t="s">
        <v>7666</v>
      </c>
      <c r="C5260">
        <v>2024</v>
      </c>
      <c r="D5260" t="s">
        <v>358</v>
      </c>
      <c r="E5260" t="s">
        <v>7509</v>
      </c>
      <c r="F5260">
        <v>36346</v>
      </c>
      <c r="G5260" t="s">
        <v>360</v>
      </c>
      <c r="H5260">
        <v>52</v>
      </c>
      <c r="I5260" t="s">
        <v>7739</v>
      </c>
      <c r="J5260" t="s">
        <v>294</v>
      </c>
      <c r="M5260" t="s">
        <v>295</v>
      </c>
      <c r="N5260" t="s">
        <v>7</v>
      </c>
      <c r="O5260" t="s">
        <v>297</v>
      </c>
    </row>
    <row r="5261" spans="1:15" x14ac:dyDescent="0.3">
      <c r="A5261" t="s">
        <v>7418</v>
      </c>
      <c r="B5261" t="s">
        <v>7666</v>
      </c>
      <c r="C5261">
        <v>2024</v>
      </c>
      <c r="D5261" t="s">
        <v>358</v>
      </c>
      <c r="E5261" t="s">
        <v>7511</v>
      </c>
      <c r="F5261">
        <v>35235</v>
      </c>
      <c r="G5261" t="s">
        <v>360</v>
      </c>
      <c r="H5261">
        <v>52</v>
      </c>
      <c r="I5261" t="s">
        <v>7740</v>
      </c>
      <c r="J5261" t="s">
        <v>294</v>
      </c>
      <c r="M5261" t="s">
        <v>295</v>
      </c>
      <c r="N5261" t="s">
        <v>7</v>
      </c>
      <c r="O5261" t="s">
        <v>297</v>
      </c>
    </row>
    <row r="5262" spans="1:15" x14ac:dyDescent="0.3">
      <c r="A5262" t="s">
        <v>7418</v>
      </c>
      <c r="B5262" t="s">
        <v>7666</v>
      </c>
      <c r="C5262">
        <v>2024</v>
      </c>
      <c r="D5262" t="s">
        <v>358</v>
      </c>
      <c r="E5262" t="s">
        <v>7513</v>
      </c>
      <c r="F5262">
        <v>41665</v>
      </c>
      <c r="G5262" t="s">
        <v>360</v>
      </c>
      <c r="H5262">
        <v>52</v>
      </c>
      <c r="I5262" t="s">
        <v>7741</v>
      </c>
      <c r="J5262" t="s">
        <v>294</v>
      </c>
      <c r="M5262" t="s">
        <v>295</v>
      </c>
      <c r="N5262" t="s">
        <v>7</v>
      </c>
      <c r="O5262" t="s">
        <v>297</v>
      </c>
    </row>
    <row r="5263" spans="1:15" x14ac:dyDescent="0.3">
      <c r="A5263" t="s">
        <v>7418</v>
      </c>
      <c r="B5263" t="s">
        <v>7666</v>
      </c>
      <c r="C5263">
        <v>2024</v>
      </c>
      <c r="D5263" t="s">
        <v>358</v>
      </c>
      <c r="E5263" t="s">
        <v>7742</v>
      </c>
      <c r="F5263">
        <v>7900</v>
      </c>
      <c r="G5263" t="s">
        <v>360</v>
      </c>
      <c r="H5263">
        <v>51</v>
      </c>
      <c r="I5263" t="s">
        <v>7743</v>
      </c>
      <c r="J5263" t="s">
        <v>294</v>
      </c>
      <c r="M5263" t="s">
        <v>295</v>
      </c>
      <c r="N5263" t="s">
        <v>7</v>
      </c>
      <c r="O5263" t="s">
        <v>297</v>
      </c>
    </row>
    <row r="5264" spans="1:15" x14ac:dyDescent="0.3">
      <c r="A5264" t="s">
        <v>7418</v>
      </c>
      <c r="B5264" t="s">
        <v>7666</v>
      </c>
      <c r="C5264">
        <v>2024</v>
      </c>
      <c r="D5264" t="s">
        <v>358</v>
      </c>
      <c r="E5264" t="s">
        <v>523</v>
      </c>
      <c r="F5264">
        <v>16</v>
      </c>
      <c r="G5264" t="s">
        <v>384</v>
      </c>
      <c r="H5264">
        <v>53</v>
      </c>
      <c r="I5264" t="s">
        <v>7744</v>
      </c>
      <c r="J5264" t="s">
        <v>456</v>
      </c>
      <c r="M5264" t="s">
        <v>295</v>
      </c>
      <c r="N5264" t="s">
        <v>7</v>
      </c>
      <c r="O5264" t="s">
        <v>297</v>
      </c>
    </row>
    <row r="5265" spans="1:15" x14ac:dyDescent="0.3">
      <c r="A5265" t="s">
        <v>7418</v>
      </c>
      <c r="B5265" t="s">
        <v>7666</v>
      </c>
      <c r="C5265">
        <v>2024</v>
      </c>
      <c r="D5265" t="s">
        <v>358</v>
      </c>
      <c r="E5265" t="s">
        <v>7520</v>
      </c>
      <c r="F5265">
        <v>4350000</v>
      </c>
      <c r="G5265" t="s">
        <v>7521</v>
      </c>
      <c r="H5265">
        <v>53</v>
      </c>
      <c r="I5265" t="s">
        <v>7522</v>
      </c>
      <c r="J5265" t="s">
        <v>294</v>
      </c>
      <c r="M5265" t="s">
        <v>295</v>
      </c>
      <c r="N5265" t="s">
        <v>7</v>
      </c>
      <c r="O5265" t="s">
        <v>297</v>
      </c>
    </row>
    <row r="5266" spans="1:15" x14ac:dyDescent="0.3">
      <c r="A5266" t="s">
        <v>7418</v>
      </c>
      <c r="B5266" t="s">
        <v>7666</v>
      </c>
      <c r="C5266">
        <v>2024</v>
      </c>
      <c r="D5266" t="s">
        <v>358</v>
      </c>
      <c r="E5266" t="s">
        <v>7523</v>
      </c>
      <c r="F5266">
        <v>2880000</v>
      </c>
      <c r="G5266" t="s">
        <v>7521</v>
      </c>
      <c r="H5266">
        <v>54</v>
      </c>
      <c r="I5266" t="s">
        <v>7745</v>
      </c>
      <c r="J5266" t="s">
        <v>294</v>
      </c>
      <c r="M5266" t="s">
        <v>295</v>
      </c>
      <c r="N5266" t="s">
        <v>7</v>
      </c>
      <c r="O5266" t="s">
        <v>297</v>
      </c>
    </row>
    <row r="5267" spans="1:15" x14ac:dyDescent="0.3">
      <c r="A5267" t="s">
        <v>7418</v>
      </c>
      <c r="B5267" t="s">
        <v>7666</v>
      </c>
      <c r="C5267">
        <v>2024</v>
      </c>
      <c r="D5267" t="s">
        <v>358</v>
      </c>
      <c r="E5267" t="s">
        <v>7525</v>
      </c>
      <c r="F5267">
        <v>879000</v>
      </c>
      <c r="G5267" t="s">
        <v>7521</v>
      </c>
      <c r="H5267">
        <v>54</v>
      </c>
      <c r="I5267" t="s">
        <v>7746</v>
      </c>
      <c r="J5267" t="s">
        <v>294</v>
      </c>
      <c r="M5267" t="s">
        <v>295</v>
      </c>
      <c r="N5267" t="s">
        <v>7</v>
      </c>
      <c r="O5267" t="s">
        <v>297</v>
      </c>
    </row>
    <row r="5268" spans="1:15" x14ac:dyDescent="0.3">
      <c r="A5268" t="s">
        <v>7418</v>
      </c>
      <c r="B5268" t="s">
        <v>7666</v>
      </c>
      <c r="C5268">
        <v>2024</v>
      </c>
      <c r="D5268" t="s">
        <v>358</v>
      </c>
      <c r="E5268" t="s">
        <v>3686</v>
      </c>
      <c r="F5268">
        <v>1050000</v>
      </c>
      <c r="G5268" t="s">
        <v>7521</v>
      </c>
      <c r="H5268">
        <v>54</v>
      </c>
      <c r="I5268" t="s">
        <v>7635</v>
      </c>
      <c r="J5268" t="s">
        <v>294</v>
      </c>
      <c r="M5268" t="s">
        <v>295</v>
      </c>
      <c r="N5268" t="s">
        <v>7</v>
      </c>
      <c r="O5268" t="s">
        <v>297</v>
      </c>
    </row>
    <row r="5269" spans="1:15" x14ac:dyDescent="0.3">
      <c r="A5269" t="s">
        <v>7418</v>
      </c>
      <c r="B5269" t="s">
        <v>7666</v>
      </c>
      <c r="C5269">
        <v>2024</v>
      </c>
      <c r="D5269" t="s">
        <v>358</v>
      </c>
      <c r="E5269" t="s">
        <v>7636</v>
      </c>
      <c r="F5269">
        <v>240000</v>
      </c>
      <c r="G5269" t="s">
        <v>7521</v>
      </c>
      <c r="H5269">
        <v>54</v>
      </c>
      <c r="I5269" t="s">
        <v>7747</v>
      </c>
      <c r="J5269" t="s">
        <v>294</v>
      </c>
      <c r="M5269" t="s">
        <v>295</v>
      </c>
      <c r="N5269" t="s">
        <v>7</v>
      </c>
      <c r="O5269" t="s">
        <v>297</v>
      </c>
    </row>
    <row r="5270" spans="1:15" x14ac:dyDescent="0.3">
      <c r="A5270" t="s">
        <v>7418</v>
      </c>
      <c r="B5270" t="s">
        <v>7666</v>
      </c>
      <c r="C5270">
        <v>2024</v>
      </c>
      <c r="D5270" t="s">
        <v>358</v>
      </c>
      <c r="E5270" t="s">
        <v>7748</v>
      </c>
      <c r="F5270">
        <v>1115</v>
      </c>
      <c r="G5270" t="s">
        <v>302</v>
      </c>
      <c r="H5270">
        <v>176</v>
      </c>
      <c r="I5270" t="s">
        <v>7749</v>
      </c>
      <c r="J5270" t="s">
        <v>294</v>
      </c>
      <c r="M5270" t="s">
        <v>295</v>
      </c>
      <c r="N5270" t="s">
        <v>7</v>
      </c>
      <c r="O5270" t="s">
        <v>297</v>
      </c>
    </row>
    <row r="5271" spans="1:15" x14ac:dyDescent="0.3">
      <c r="A5271" t="s">
        <v>7418</v>
      </c>
      <c r="B5271" t="s">
        <v>7666</v>
      </c>
      <c r="C5271">
        <v>2024</v>
      </c>
      <c r="D5271" t="s">
        <v>358</v>
      </c>
      <c r="E5271" t="s">
        <v>7750</v>
      </c>
      <c r="F5271">
        <v>578</v>
      </c>
      <c r="G5271" t="s">
        <v>302</v>
      </c>
      <c r="H5271">
        <v>176</v>
      </c>
      <c r="I5271" t="s">
        <v>7751</v>
      </c>
      <c r="J5271" t="s">
        <v>294</v>
      </c>
      <c r="M5271" t="s">
        <v>295</v>
      </c>
      <c r="N5271" t="s">
        <v>7</v>
      </c>
      <c r="O5271" t="s">
        <v>297</v>
      </c>
    </row>
    <row r="5272" spans="1:15" x14ac:dyDescent="0.3">
      <c r="A5272" t="s">
        <v>7418</v>
      </c>
      <c r="B5272" t="s">
        <v>7666</v>
      </c>
      <c r="C5272">
        <v>2024</v>
      </c>
      <c r="D5272" t="s">
        <v>358</v>
      </c>
      <c r="E5272" t="s">
        <v>3984</v>
      </c>
      <c r="F5272">
        <v>13706</v>
      </c>
      <c r="G5272" t="s">
        <v>302</v>
      </c>
      <c r="H5272">
        <v>176</v>
      </c>
      <c r="I5272" t="s">
        <v>7752</v>
      </c>
      <c r="J5272" t="s">
        <v>294</v>
      </c>
      <c r="M5272" t="s">
        <v>295</v>
      </c>
      <c r="N5272" t="s">
        <v>7</v>
      </c>
      <c r="O5272" t="s">
        <v>297</v>
      </c>
    </row>
    <row r="5273" spans="1:15" x14ac:dyDescent="0.3">
      <c r="A5273" t="s">
        <v>7418</v>
      </c>
      <c r="B5273" t="s">
        <v>7666</v>
      </c>
      <c r="C5273">
        <v>2024</v>
      </c>
      <c r="D5273" t="s">
        <v>394</v>
      </c>
      <c r="E5273" t="s">
        <v>7531</v>
      </c>
      <c r="F5273">
        <v>2242000</v>
      </c>
      <c r="G5273" t="s">
        <v>396</v>
      </c>
      <c r="H5273">
        <v>52</v>
      </c>
      <c r="I5273" t="s">
        <v>7753</v>
      </c>
      <c r="J5273" t="s">
        <v>294</v>
      </c>
      <c r="M5273" t="s">
        <v>295</v>
      </c>
      <c r="N5273" t="s">
        <v>7</v>
      </c>
      <c r="O5273" t="s">
        <v>297</v>
      </c>
    </row>
    <row r="5274" spans="1:15" x14ac:dyDescent="0.3">
      <c r="A5274" t="s">
        <v>7418</v>
      </c>
      <c r="B5274" t="s">
        <v>7666</v>
      </c>
      <c r="C5274">
        <v>2024</v>
      </c>
      <c r="D5274" t="s">
        <v>394</v>
      </c>
      <c r="E5274" t="s">
        <v>422</v>
      </c>
      <c r="F5274">
        <v>18.2</v>
      </c>
      <c r="G5274" t="s">
        <v>423</v>
      </c>
      <c r="H5274">
        <v>52</v>
      </c>
      <c r="I5274" t="s">
        <v>7754</v>
      </c>
      <c r="J5274" t="s">
        <v>294</v>
      </c>
      <c r="M5274" t="s">
        <v>295</v>
      </c>
      <c r="N5274" t="s">
        <v>7</v>
      </c>
      <c r="O5274" t="s">
        <v>297</v>
      </c>
    </row>
    <row r="5275" spans="1:15" x14ac:dyDescent="0.3">
      <c r="A5275" t="s">
        <v>7418</v>
      </c>
      <c r="B5275" t="s">
        <v>7666</v>
      </c>
      <c r="C5275">
        <v>2024</v>
      </c>
      <c r="D5275" t="s">
        <v>394</v>
      </c>
      <c r="E5275" t="s">
        <v>406</v>
      </c>
      <c r="F5275">
        <v>532000</v>
      </c>
      <c r="G5275" t="s">
        <v>396</v>
      </c>
      <c r="H5275">
        <v>53</v>
      </c>
      <c r="I5275" t="s">
        <v>7755</v>
      </c>
      <c r="J5275" t="s">
        <v>294</v>
      </c>
      <c r="M5275" t="s">
        <v>295</v>
      </c>
      <c r="N5275" t="s">
        <v>7</v>
      </c>
      <c r="O5275" t="s">
        <v>297</v>
      </c>
    </row>
    <row r="5276" spans="1:15" x14ac:dyDescent="0.3">
      <c r="A5276" t="s">
        <v>7418</v>
      </c>
      <c r="B5276" t="s">
        <v>7666</v>
      </c>
      <c r="C5276">
        <v>2024</v>
      </c>
      <c r="D5276" t="s">
        <v>394</v>
      </c>
      <c r="E5276" t="s">
        <v>4456</v>
      </c>
      <c r="F5276">
        <v>145000</v>
      </c>
      <c r="G5276" t="s">
        <v>396</v>
      </c>
      <c r="H5276">
        <v>53</v>
      </c>
      <c r="I5276" t="s">
        <v>7755</v>
      </c>
      <c r="J5276" t="s">
        <v>294</v>
      </c>
      <c r="M5276" t="s">
        <v>295</v>
      </c>
      <c r="N5276" t="s">
        <v>7</v>
      </c>
      <c r="O5276" t="s">
        <v>297</v>
      </c>
    </row>
    <row r="5277" spans="1:15" x14ac:dyDescent="0.3">
      <c r="A5277" t="s">
        <v>7418</v>
      </c>
      <c r="B5277" t="s">
        <v>7666</v>
      </c>
      <c r="C5277">
        <v>2024</v>
      </c>
      <c r="D5277" t="s">
        <v>394</v>
      </c>
      <c r="E5277" t="s">
        <v>7536</v>
      </c>
      <c r="F5277">
        <v>677000</v>
      </c>
      <c r="G5277" t="s">
        <v>396</v>
      </c>
      <c r="H5277">
        <v>10</v>
      </c>
      <c r="I5277" t="s">
        <v>7756</v>
      </c>
      <c r="J5277" t="s">
        <v>294</v>
      </c>
      <c r="M5277" t="s">
        <v>295</v>
      </c>
      <c r="N5277" t="s">
        <v>7</v>
      </c>
      <c r="O5277" t="s">
        <v>297</v>
      </c>
    </row>
    <row r="5278" spans="1:15" x14ac:dyDescent="0.3">
      <c r="A5278" t="s">
        <v>7418</v>
      </c>
      <c r="B5278" t="s">
        <v>7666</v>
      </c>
      <c r="C5278">
        <v>2024</v>
      </c>
      <c r="D5278" t="s">
        <v>394</v>
      </c>
      <c r="E5278" t="s">
        <v>7538</v>
      </c>
      <c r="F5278">
        <v>4.7</v>
      </c>
      <c r="G5278" t="s">
        <v>423</v>
      </c>
      <c r="H5278">
        <v>53</v>
      </c>
      <c r="I5278" t="s">
        <v>7757</v>
      </c>
      <c r="J5278" t="s">
        <v>294</v>
      </c>
      <c r="M5278" t="s">
        <v>295</v>
      </c>
      <c r="N5278" t="s">
        <v>7</v>
      </c>
      <c r="O5278" t="s">
        <v>297</v>
      </c>
    </row>
    <row r="5279" spans="1:15" x14ac:dyDescent="0.3">
      <c r="A5279" t="s">
        <v>7418</v>
      </c>
      <c r="B5279" t="s">
        <v>7666</v>
      </c>
      <c r="C5279">
        <v>2024</v>
      </c>
      <c r="D5279" t="s">
        <v>394</v>
      </c>
      <c r="E5279" t="s">
        <v>7540</v>
      </c>
      <c r="F5279">
        <v>0.20300000000000001</v>
      </c>
      <c r="G5279" t="s">
        <v>334</v>
      </c>
      <c r="H5279">
        <v>53</v>
      </c>
      <c r="I5279" t="s">
        <v>7758</v>
      </c>
      <c r="J5279" t="s">
        <v>294</v>
      </c>
      <c r="M5279" t="s">
        <v>295</v>
      </c>
      <c r="N5279" t="s">
        <v>7</v>
      </c>
      <c r="O5279" t="s">
        <v>297</v>
      </c>
    </row>
    <row r="5280" spans="1:15" x14ac:dyDescent="0.3">
      <c r="A5280" t="s">
        <v>7418</v>
      </c>
      <c r="B5280" t="s">
        <v>7666</v>
      </c>
      <c r="C5280">
        <v>2024</v>
      </c>
      <c r="D5280" t="s">
        <v>394</v>
      </c>
      <c r="E5280" t="s">
        <v>552</v>
      </c>
      <c r="F5280">
        <v>5.5E-2</v>
      </c>
      <c r="G5280" t="s">
        <v>334</v>
      </c>
      <c r="H5280">
        <v>53</v>
      </c>
      <c r="I5280" t="s">
        <v>7758</v>
      </c>
      <c r="J5280" t="s">
        <v>294</v>
      </c>
      <c r="M5280" t="s">
        <v>295</v>
      </c>
      <c r="N5280" t="s">
        <v>7</v>
      </c>
      <c r="O5280" t="s">
        <v>297</v>
      </c>
    </row>
    <row r="5281" spans="1:15" x14ac:dyDescent="0.3">
      <c r="A5281" t="s">
        <v>7418</v>
      </c>
      <c r="B5281" t="s">
        <v>7666</v>
      </c>
      <c r="C5281">
        <v>2024</v>
      </c>
      <c r="D5281" t="s">
        <v>394</v>
      </c>
      <c r="E5281" t="s">
        <v>7644</v>
      </c>
      <c r="F5281">
        <v>5830000</v>
      </c>
      <c r="G5281" t="s">
        <v>396</v>
      </c>
      <c r="H5281">
        <v>54</v>
      </c>
      <c r="I5281" t="s">
        <v>7759</v>
      </c>
      <c r="J5281" t="s">
        <v>294</v>
      </c>
      <c r="M5281" t="s">
        <v>295</v>
      </c>
      <c r="N5281" t="s">
        <v>7</v>
      </c>
      <c r="O5281" t="s">
        <v>297</v>
      </c>
    </row>
    <row r="5282" spans="1:15" x14ac:dyDescent="0.3">
      <c r="A5282" t="s">
        <v>7418</v>
      </c>
      <c r="B5282" t="s">
        <v>7666</v>
      </c>
      <c r="C5282">
        <v>2024</v>
      </c>
      <c r="D5282" t="s">
        <v>394</v>
      </c>
      <c r="E5282" t="s">
        <v>7545</v>
      </c>
      <c r="F5282">
        <v>938000</v>
      </c>
      <c r="G5282" t="s">
        <v>396</v>
      </c>
      <c r="H5282">
        <v>10</v>
      </c>
      <c r="I5282" t="s">
        <v>7760</v>
      </c>
      <c r="J5282" t="s">
        <v>294</v>
      </c>
      <c r="M5282" t="s">
        <v>295</v>
      </c>
      <c r="N5282" t="s">
        <v>7</v>
      </c>
      <c r="O5282" t="s">
        <v>297</v>
      </c>
    </row>
    <row r="5283" spans="1:15" x14ac:dyDescent="0.3">
      <c r="A5283" t="s">
        <v>7418</v>
      </c>
      <c r="B5283" t="s">
        <v>7666</v>
      </c>
      <c r="C5283">
        <v>2024</v>
      </c>
      <c r="D5283" t="s">
        <v>394</v>
      </c>
      <c r="E5283" t="s">
        <v>7761</v>
      </c>
      <c r="F5283">
        <v>1070000</v>
      </c>
      <c r="G5283" t="s">
        <v>7648</v>
      </c>
      <c r="H5283">
        <v>54</v>
      </c>
      <c r="I5283" t="s">
        <v>7762</v>
      </c>
      <c r="J5283" t="s">
        <v>294</v>
      </c>
      <c r="M5283" t="s">
        <v>295</v>
      </c>
      <c r="N5283" t="s">
        <v>7</v>
      </c>
      <c r="O5283" t="s">
        <v>297</v>
      </c>
    </row>
    <row r="5284" spans="1:15" x14ac:dyDescent="0.3">
      <c r="A5284" t="s">
        <v>7418</v>
      </c>
      <c r="B5284" t="s">
        <v>7666</v>
      </c>
      <c r="C5284">
        <v>2024</v>
      </c>
      <c r="D5284" t="s">
        <v>394</v>
      </c>
      <c r="E5284" t="s">
        <v>7763</v>
      </c>
      <c r="F5284">
        <v>1330000</v>
      </c>
      <c r="G5284" t="s">
        <v>7648</v>
      </c>
      <c r="H5284">
        <v>54</v>
      </c>
      <c r="I5284" t="s">
        <v>7764</v>
      </c>
      <c r="J5284" t="s">
        <v>294</v>
      </c>
      <c r="M5284" t="s">
        <v>295</v>
      </c>
      <c r="N5284" t="s">
        <v>7</v>
      </c>
      <c r="O5284" t="s">
        <v>297</v>
      </c>
    </row>
    <row r="5285" spans="1:15" x14ac:dyDescent="0.3">
      <c r="A5285" t="s">
        <v>7418</v>
      </c>
      <c r="B5285" t="s">
        <v>7666</v>
      </c>
      <c r="C5285">
        <v>2024</v>
      </c>
      <c r="D5285" t="s">
        <v>394</v>
      </c>
      <c r="E5285" t="s">
        <v>7550</v>
      </c>
      <c r="F5285">
        <v>1005</v>
      </c>
      <c r="G5285" t="s">
        <v>947</v>
      </c>
      <c r="H5285">
        <v>8</v>
      </c>
      <c r="I5285" t="s">
        <v>7765</v>
      </c>
      <c r="J5285" t="s">
        <v>294</v>
      </c>
      <c r="M5285" t="s">
        <v>295</v>
      </c>
      <c r="N5285" t="s">
        <v>7</v>
      </c>
      <c r="O5285" t="s">
        <v>297</v>
      </c>
    </row>
    <row r="5286" spans="1:15" x14ac:dyDescent="0.3">
      <c r="A5286" t="s">
        <v>7418</v>
      </c>
      <c r="B5286" t="s">
        <v>7666</v>
      </c>
      <c r="C5286">
        <v>2024</v>
      </c>
      <c r="D5286" t="s">
        <v>394</v>
      </c>
      <c r="E5286" t="s">
        <v>7552</v>
      </c>
      <c r="F5286">
        <v>1650000</v>
      </c>
      <c r="G5286" t="s">
        <v>396</v>
      </c>
      <c r="H5286">
        <v>10</v>
      </c>
      <c r="I5286" t="s">
        <v>7766</v>
      </c>
      <c r="J5286" t="s">
        <v>294</v>
      </c>
      <c r="M5286" t="s">
        <v>295</v>
      </c>
      <c r="N5286" t="s">
        <v>7</v>
      </c>
      <c r="O5286" t="s">
        <v>297</v>
      </c>
    </row>
    <row r="5287" spans="1:15" x14ac:dyDescent="0.3">
      <c r="A5287" t="s">
        <v>7418</v>
      </c>
      <c r="B5287" t="s">
        <v>7666</v>
      </c>
      <c r="C5287">
        <v>2024</v>
      </c>
      <c r="D5287" t="s">
        <v>394</v>
      </c>
      <c r="E5287" t="s">
        <v>7554</v>
      </c>
      <c r="F5287">
        <v>1636000</v>
      </c>
      <c r="G5287" t="s">
        <v>396</v>
      </c>
      <c r="H5287">
        <v>10</v>
      </c>
      <c r="I5287" t="s">
        <v>7767</v>
      </c>
      <c r="J5287" t="s">
        <v>294</v>
      </c>
      <c r="M5287" t="s">
        <v>295</v>
      </c>
      <c r="N5287" t="s">
        <v>7</v>
      </c>
      <c r="O5287" t="s">
        <v>297</v>
      </c>
    </row>
    <row r="5288" spans="1:15" x14ac:dyDescent="0.3">
      <c r="A5288" t="s">
        <v>7418</v>
      </c>
      <c r="B5288" t="s">
        <v>7666</v>
      </c>
      <c r="C5288">
        <v>2024</v>
      </c>
      <c r="D5288" t="s">
        <v>394</v>
      </c>
      <c r="E5288" t="s">
        <v>7547</v>
      </c>
      <c r="F5288">
        <v>1</v>
      </c>
      <c r="G5288" t="s">
        <v>334</v>
      </c>
      <c r="H5288">
        <v>54</v>
      </c>
      <c r="I5288" t="s">
        <v>7768</v>
      </c>
      <c r="J5288" t="s">
        <v>294</v>
      </c>
      <c r="M5288" t="s">
        <v>295</v>
      </c>
      <c r="N5288" t="s">
        <v>7</v>
      </c>
      <c r="O5288" t="s">
        <v>297</v>
      </c>
    </row>
    <row r="5289" spans="1:15" x14ac:dyDescent="0.3">
      <c r="A5289" t="s">
        <v>7418</v>
      </c>
      <c r="B5289" t="s">
        <v>7666</v>
      </c>
      <c r="C5289">
        <v>2024</v>
      </c>
      <c r="D5289" t="s">
        <v>394</v>
      </c>
      <c r="E5289" t="s">
        <v>7769</v>
      </c>
      <c r="F5289">
        <v>0.8</v>
      </c>
      <c r="G5289" t="s">
        <v>334</v>
      </c>
      <c r="H5289">
        <v>54</v>
      </c>
      <c r="I5289" t="s">
        <v>7770</v>
      </c>
      <c r="J5289" t="s">
        <v>294</v>
      </c>
      <c r="M5289" t="s">
        <v>295</v>
      </c>
      <c r="N5289" t="s">
        <v>7</v>
      </c>
      <c r="O5289" t="s">
        <v>297</v>
      </c>
    </row>
    <row r="5290" spans="1:15" x14ac:dyDescent="0.3">
      <c r="A5290" t="s">
        <v>7418</v>
      </c>
      <c r="B5290" t="s">
        <v>7666</v>
      </c>
      <c r="C5290">
        <v>2024</v>
      </c>
      <c r="D5290" t="s">
        <v>394</v>
      </c>
      <c r="E5290" t="s">
        <v>7549</v>
      </c>
      <c r="F5290">
        <v>0.92</v>
      </c>
      <c r="G5290" t="s">
        <v>334</v>
      </c>
      <c r="H5290">
        <v>54</v>
      </c>
      <c r="I5290" t="s">
        <v>7771</v>
      </c>
      <c r="J5290" t="s">
        <v>294</v>
      </c>
      <c r="M5290" t="s">
        <v>295</v>
      </c>
      <c r="N5290" t="s">
        <v>7</v>
      </c>
      <c r="O5290" t="s">
        <v>297</v>
      </c>
    </row>
    <row r="5291" spans="1:15" x14ac:dyDescent="0.3">
      <c r="A5291" t="s">
        <v>7418</v>
      </c>
      <c r="B5291" t="s">
        <v>7666</v>
      </c>
      <c r="C5291">
        <v>2024</v>
      </c>
      <c r="D5291" t="s">
        <v>394</v>
      </c>
      <c r="E5291" t="s">
        <v>7772</v>
      </c>
      <c r="F5291">
        <v>24010</v>
      </c>
      <c r="G5291" t="s">
        <v>302</v>
      </c>
      <c r="H5291">
        <v>65</v>
      </c>
      <c r="I5291" t="s">
        <v>7773</v>
      </c>
      <c r="J5291" t="s">
        <v>294</v>
      </c>
      <c r="M5291" t="s">
        <v>295</v>
      </c>
      <c r="N5291" t="s">
        <v>7</v>
      </c>
      <c r="O5291" t="s">
        <v>297</v>
      </c>
    </row>
    <row r="5292" spans="1:15" x14ac:dyDescent="0.3">
      <c r="A5292" t="s">
        <v>7418</v>
      </c>
      <c r="B5292" t="s">
        <v>7666</v>
      </c>
      <c r="C5292">
        <v>2024</v>
      </c>
      <c r="D5292" t="s">
        <v>394</v>
      </c>
      <c r="E5292" t="s">
        <v>7774</v>
      </c>
      <c r="F5292">
        <v>7190</v>
      </c>
      <c r="G5292" t="s">
        <v>302</v>
      </c>
      <c r="H5292">
        <v>65</v>
      </c>
      <c r="I5292" t="s">
        <v>7775</v>
      </c>
      <c r="J5292" t="s">
        <v>294</v>
      </c>
      <c r="M5292" t="s">
        <v>295</v>
      </c>
      <c r="N5292" t="s">
        <v>7</v>
      </c>
      <c r="O5292" t="s">
        <v>297</v>
      </c>
    </row>
    <row r="5293" spans="1:15" x14ac:dyDescent="0.3">
      <c r="A5293" t="s">
        <v>7418</v>
      </c>
      <c r="B5293" t="s">
        <v>7666</v>
      </c>
      <c r="C5293">
        <v>2024</v>
      </c>
      <c r="D5293" t="s">
        <v>394</v>
      </c>
      <c r="E5293" t="s">
        <v>7776</v>
      </c>
      <c r="F5293">
        <v>7090</v>
      </c>
      <c r="G5293" t="s">
        <v>302</v>
      </c>
      <c r="H5293">
        <v>65</v>
      </c>
      <c r="I5293" t="s">
        <v>7777</v>
      </c>
      <c r="J5293" t="s">
        <v>294</v>
      </c>
      <c r="M5293" t="s">
        <v>295</v>
      </c>
      <c r="N5293" t="s">
        <v>7</v>
      </c>
      <c r="O5293" t="s">
        <v>297</v>
      </c>
    </row>
    <row r="5294" spans="1:15" x14ac:dyDescent="0.3">
      <c r="A5294" t="s">
        <v>7418</v>
      </c>
      <c r="B5294" t="s">
        <v>7666</v>
      </c>
      <c r="C5294">
        <v>2024</v>
      </c>
      <c r="D5294" t="s">
        <v>563</v>
      </c>
      <c r="E5294" t="s">
        <v>7778</v>
      </c>
      <c r="F5294">
        <v>0.995</v>
      </c>
      <c r="G5294" t="s">
        <v>334</v>
      </c>
      <c r="H5294">
        <v>10</v>
      </c>
      <c r="I5294" t="s">
        <v>7779</v>
      </c>
      <c r="J5294" t="s">
        <v>294</v>
      </c>
      <c r="M5294" t="s">
        <v>295</v>
      </c>
      <c r="N5294" t="s">
        <v>7</v>
      </c>
      <c r="O5294" t="s">
        <v>297</v>
      </c>
    </row>
    <row r="5295" spans="1:15" x14ac:dyDescent="0.3">
      <c r="A5295" t="s">
        <v>7418</v>
      </c>
      <c r="B5295" t="s">
        <v>7666</v>
      </c>
      <c r="C5295">
        <v>2024</v>
      </c>
      <c r="D5295" t="s">
        <v>563</v>
      </c>
      <c r="E5295" t="s">
        <v>7780</v>
      </c>
      <c r="F5295">
        <v>9300</v>
      </c>
      <c r="G5295" t="s">
        <v>360</v>
      </c>
      <c r="H5295">
        <v>10</v>
      </c>
      <c r="I5295" t="s">
        <v>7559</v>
      </c>
      <c r="J5295" t="s">
        <v>294</v>
      </c>
      <c r="M5295" t="s">
        <v>295</v>
      </c>
      <c r="N5295" t="s">
        <v>7</v>
      </c>
      <c r="O5295" t="s">
        <v>297</v>
      </c>
    </row>
    <row r="5296" spans="1:15" x14ac:dyDescent="0.3">
      <c r="A5296" t="s">
        <v>7418</v>
      </c>
      <c r="B5296" t="s">
        <v>7666</v>
      </c>
      <c r="C5296">
        <v>2024</v>
      </c>
      <c r="D5296" t="s">
        <v>563</v>
      </c>
      <c r="E5296" t="s">
        <v>7560</v>
      </c>
      <c r="F5296">
        <v>43000</v>
      </c>
      <c r="G5296" t="s">
        <v>360</v>
      </c>
      <c r="H5296">
        <v>10</v>
      </c>
      <c r="I5296" t="s">
        <v>7561</v>
      </c>
      <c r="J5296" t="s">
        <v>294</v>
      </c>
      <c r="M5296" t="s">
        <v>295</v>
      </c>
      <c r="N5296" t="s">
        <v>7</v>
      </c>
      <c r="O5296" t="s">
        <v>297</v>
      </c>
    </row>
    <row r="5297" spans="1:15" x14ac:dyDescent="0.3">
      <c r="A5297" t="s">
        <v>7418</v>
      </c>
      <c r="B5297" t="s">
        <v>7666</v>
      </c>
      <c r="C5297">
        <v>2024</v>
      </c>
      <c r="D5297" t="s">
        <v>563</v>
      </c>
      <c r="E5297" t="s">
        <v>5639</v>
      </c>
      <c r="F5297">
        <v>9700890</v>
      </c>
      <c r="G5297" t="s">
        <v>1409</v>
      </c>
      <c r="H5297">
        <v>10</v>
      </c>
      <c r="I5297" t="s">
        <v>7781</v>
      </c>
      <c r="J5297" t="s">
        <v>294</v>
      </c>
      <c r="M5297" t="s">
        <v>295</v>
      </c>
      <c r="N5297" t="s">
        <v>7</v>
      </c>
      <c r="O5297" t="s">
        <v>297</v>
      </c>
    </row>
    <row r="5298" spans="1:15" x14ac:dyDescent="0.3">
      <c r="A5298" t="s">
        <v>7418</v>
      </c>
      <c r="B5298" t="s">
        <v>7666</v>
      </c>
      <c r="C5298">
        <v>2024</v>
      </c>
      <c r="D5298" t="s">
        <v>563</v>
      </c>
      <c r="E5298" t="s">
        <v>7782</v>
      </c>
      <c r="F5298">
        <v>785953</v>
      </c>
      <c r="G5298" t="s">
        <v>7663</v>
      </c>
      <c r="H5298">
        <v>10</v>
      </c>
      <c r="I5298" t="s">
        <v>7783</v>
      </c>
      <c r="J5298" t="s">
        <v>294</v>
      </c>
      <c r="M5298" t="s">
        <v>295</v>
      </c>
      <c r="N5298" t="s">
        <v>7</v>
      </c>
      <c r="O5298" t="s">
        <v>297</v>
      </c>
    </row>
    <row r="5299" spans="1:15" x14ac:dyDescent="0.3">
      <c r="A5299" t="s">
        <v>7418</v>
      </c>
      <c r="B5299" t="s">
        <v>7666</v>
      </c>
      <c r="C5299">
        <v>2024</v>
      </c>
      <c r="D5299" t="s">
        <v>563</v>
      </c>
      <c r="E5299" t="s">
        <v>7784</v>
      </c>
      <c r="F5299">
        <v>9945</v>
      </c>
      <c r="G5299" t="s">
        <v>2969</v>
      </c>
      <c r="H5299">
        <v>10</v>
      </c>
      <c r="I5299" t="s">
        <v>7785</v>
      </c>
      <c r="J5299" t="s">
        <v>294</v>
      </c>
      <c r="M5299" t="s">
        <v>295</v>
      </c>
      <c r="N5299" t="s">
        <v>7</v>
      </c>
      <c r="O5299" t="s">
        <v>297</v>
      </c>
    </row>
    <row r="5300" spans="1:15" x14ac:dyDescent="0.3">
      <c r="A5300" t="s">
        <v>7418</v>
      </c>
      <c r="B5300" t="s">
        <v>7666</v>
      </c>
      <c r="C5300">
        <v>2024</v>
      </c>
      <c r="D5300" t="s">
        <v>252</v>
      </c>
      <c r="E5300" t="s">
        <v>7786</v>
      </c>
      <c r="F5300" t="s">
        <v>7787</v>
      </c>
      <c r="G5300" t="s">
        <v>292</v>
      </c>
      <c r="H5300">
        <v>155</v>
      </c>
      <c r="I5300" t="s">
        <v>7788</v>
      </c>
      <c r="J5300" t="s">
        <v>294</v>
      </c>
      <c r="M5300" t="s">
        <v>295</v>
      </c>
      <c r="N5300" t="s">
        <v>7</v>
      </c>
      <c r="O5300" t="s">
        <v>297</v>
      </c>
    </row>
    <row r="5301" spans="1:15" x14ac:dyDescent="0.3">
      <c r="A5301" t="s">
        <v>1631</v>
      </c>
      <c r="B5301" t="s">
        <v>7789</v>
      </c>
      <c r="C5301">
        <v>2023</v>
      </c>
      <c r="D5301" t="s">
        <v>272</v>
      </c>
      <c r="E5301" t="s">
        <v>291</v>
      </c>
      <c r="F5301" t="s">
        <v>1631</v>
      </c>
      <c r="G5301" t="s">
        <v>292</v>
      </c>
      <c r="H5301">
        <v>1</v>
      </c>
      <c r="I5301" t="s">
        <v>7790</v>
      </c>
      <c r="J5301" t="s">
        <v>294</v>
      </c>
      <c r="M5301" t="s">
        <v>295</v>
      </c>
      <c r="N5301" t="s">
        <v>7</v>
      </c>
      <c r="O5301" t="s">
        <v>297</v>
      </c>
    </row>
    <row r="5302" spans="1:15" x14ac:dyDescent="0.3">
      <c r="A5302" t="s">
        <v>1631</v>
      </c>
      <c r="B5302" t="s">
        <v>7789</v>
      </c>
      <c r="C5302">
        <v>2023</v>
      </c>
      <c r="D5302" t="s">
        <v>272</v>
      </c>
      <c r="E5302" t="s">
        <v>4724</v>
      </c>
      <c r="F5302" t="s">
        <v>7791</v>
      </c>
      <c r="G5302" t="s">
        <v>292</v>
      </c>
      <c r="H5302">
        <v>67</v>
      </c>
      <c r="I5302" t="s">
        <v>7792</v>
      </c>
      <c r="J5302" t="s">
        <v>294</v>
      </c>
      <c r="M5302" t="s">
        <v>295</v>
      </c>
      <c r="N5302" t="s">
        <v>7</v>
      </c>
      <c r="O5302" t="s">
        <v>297</v>
      </c>
    </row>
    <row r="5303" spans="1:15" x14ac:dyDescent="0.3">
      <c r="A5303" t="s">
        <v>1631</v>
      </c>
      <c r="B5303" t="s">
        <v>7789</v>
      </c>
      <c r="C5303">
        <v>2023</v>
      </c>
      <c r="D5303" t="s">
        <v>272</v>
      </c>
      <c r="E5303" t="s">
        <v>442</v>
      </c>
      <c r="F5303" t="s">
        <v>7793</v>
      </c>
      <c r="G5303" t="s">
        <v>334</v>
      </c>
      <c r="H5303">
        <v>100</v>
      </c>
      <c r="I5303" t="s">
        <v>7794</v>
      </c>
      <c r="J5303" t="s">
        <v>294</v>
      </c>
      <c r="M5303" t="s">
        <v>295</v>
      </c>
      <c r="N5303" t="s">
        <v>7</v>
      </c>
      <c r="O5303" t="s">
        <v>297</v>
      </c>
    </row>
    <row r="5304" spans="1:15" x14ac:dyDescent="0.3">
      <c r="A5304" t="s">
        <v>1631</v>
      </c>
      <c r="B5304" t="s">
        <v>7789</v>
      </c>
      <c r="C5304">
        <v>2023</v>
      </c>
      <c r="D5304" t="s">
        <v>272</v>
      </c>
      <c r="E5304" t="s">
        <v>3134</v>
      </c>
      <c r="F5304" t="s">
        <v>7795</v>
      </c>
      <c r="G5304" t="s">
        <v>334</v>
      </c>
      <c r="H5304">
        <v>100</v>
      </c>
      <c r="I5304" t="s">
        <v>7796</v>
      </c>
      <c r="J5304" t="s">
        <v>294</v>
      </c>
      <c r="M5304" t="s">
        <v>295</v>
      </c>
      <c r="N5304" t="s">
        <v>7</v>
      </c>
      <c r="O5304" t="s">
        <v>297</v>
      </c>
    </row>
    <row r="5305" spans="1:15" x14ac:dyDescent="0.3">
      <c r="A5305" t="s">
        <v>1631</v>
      </c>
      <c r="B5305" t="s">
        <v>7789</v>
      </c>
      <c r="C5305">
        <v>2023</v>
      </c>
      <c r="D5305" t="s">
        <v>272</v>
      </c>
      <c r="E5305" t="s">
        <v>445</v>
      </c>
      <c r="F5305">
        <v>0.29149999999999998</v>
      </c>
      <c r="G5305" t="s">
        <v>334</v>
      </c>
      <c r="H5305">
        <v>100</v>
      </c>
      <c r="I5305" t="s">
        <v>7797</v>
      </c>
      <c r="J5305" t="s">
        <v>294</v>
      </c>
      <c r="M5305" t="s">
        <v>295</v>
      </c>
      <c r="N5305" t="s">
        <v>7</v>
      </c>
      <c r="O5305" t="s">
        <v>297</v>
      </c>
    </row>
    <row r="5306" spans="1:15" x14ac:dyDescent="0.3">
      <c r="A5306" t="s">
        <v>1631</v>
      </c>
      <c r="B5306" t="s">
        <v>7789</v>
      </c>
      <c r="C5306">
        <v>2023</v>
      </c>
      <c r="D5306" t="s">
        <v>272</v>
      </c>
      <c r="E5306" t="s">
        <v>342</v>
      </c>
      <c r="F5306">
        <v>9525</v>
      </c>
      <c r="G5306" t="s">
        <v>497</v>
      </c>
      <c r="H5306">
        <v>100</v>
      </c>
      <c r="I5306" t="s">
        <v>7798</v>
      </c>
      <c r="J5306" t="s">
        <v>294</v>
      </c>
      <c r="M5306" t="s">
        <v>295</v>
      </c>
      <c r="N5306" t="s">
        <v>7</v>
      </c>
      <c r="O5306" t="s">
        <v>297</v>
      </c>
    </row>
    <row r="5307" spans="1:15" x14ac:dyDescent="0.3">
      <c r="A5307" t="s">
        <v>1631</v>
      </c>
      <c r="B5307" t="s">
        <v>7789</v>
      </c>
      <c r="C5307">
        <v>2023</v>
      </c>
      <c r="D5307" t="s">
        <v>300</v>
      </c>
      <c r="E5307" t="s">
        <v>301</v>
      </c>
      <c r="F5307">
        <v>10703</v>
      </c>
      <c r="G5307" t="s">
        <v>302</v>
      </c>
      <c r="H5307">
        <v>16</v>
      </c>
      <c r="I5307" t="s">
        <v>7799</v>
      </c>
      <c r="J5307" t="s">
        <v>294</v>
      </c>
      <c r="M5307" t="s">
        <v>295</v>
      </c>
      <c r="N5307" t="s">
        <v>7</v>
      </c>
      <c r="O5307" t="s">
        <v>297</v>
      </c>
    </row>
    <row r="5308" spans="1:15" x14ac:dyDescent="0.3">
      <c r="A5308" t="s">
        <v>1631</v>
      </c>
      <c r="B5308" t="s">
        <v>7789</v>
      </c>
      <c r="C5308">
        <v>2023</v>
      </c>
      <c r="D5308" t="s">
        <v>300</v>
      </c>
      <c r="E5308" t="s">
        <v>2868</v>
      </c>
      <c r="F5308">
        <v>7904</v>
      </c>
      <c r="G5308" t="s">
        <v>302</v>
      </c>
      <c r="H5308">
        <v>16</v>
      </c>
      <c r="I5308" t="s">
        <v>7800</v>
      </c>
      <c r="J5308" t="s">
        <v>294</v>
      </c>
      <c r="M5308" t="s">
        <v>295</v>
      </c>
      <c r="N5308" t="s">
        <v>7</v>
      </c>
      <c r="O5308" t="s">
        <v>297</v>
      </c>
    </row>
    <row r="5309" spans="1:15" x14ac:dyDescent="0.3">
      <c r="A5309" t="s">
        <v>1631</v>
      </c>
      <c r="B5309" t="s">
        <v>7789</v>
      </c>
      <c r="C5309">
        <v>2023</v>
      </c>
      <c r="D5309" t="s">
        <v>300</v>
      </c>
      <c r="E5309" t="s">
        <v>304</v>
      </c>
      <c r="F5309">
        <v>2799</v>
      </c>
      <c r="G5309" t="s">
        <v>302</v>
      </c>
      <c r="H5309">
        <v>16</v>
      </c>
      <c r="I5309" t="s">
        <v>7801</v>
      </c>
      <c r="J5309" t="s">
        <v>294</v>
      </c>
      <c r="M5309" t="s">
        <v>295</v>
      </c>
      <c r="N5309" t="s">
        <v>7</v>
      </c>
      <c r="O5309" t="s">
        <v>297</v>
      </c>
    </row>
    <row r="5310" spans="1:15" x14ac:dyDescent="0.3">
      <c r="A5310" t="s">
        <v>1631</v>
      </c>
      <c r="B5310" t="s">
        <v>7789</v>
      </c>
      <c r="C5310">
        <v>2023</v>
      </c>
      <c r="D5310" t="s">
        <v>300</v>
      </c>
      <c r="E5310" t="s">
        <v>5214</v>
      </c>
      <c r="F5310">
        <v>1196</v>
      </c>
      <c r="G5310" t="s">
        <v>302</v>
      </c>
      <c r="H5310">
        <v>16</v>
      </c>
      <c r="I5310" t="s">
        <v>7802</v>
      </c>
      <c r="J5310" t="s">
        <v>294</v>
      </c>
      <c r="M5310" t="s">
        <v>295</v>
      </c>
      <c r="N5310" t="s">
        <v>7</v>
      </c>
      <c r="O5310" t="s">
        <v>297</v>
      </c>
    </row>
    <row r="5311" spans="1:15" x14ac:dyDescent="0.3">
      <c r="A5311" t="s">
        <v>1631</v>
      </c>
      <c r="B5311" t="s">
        <v>7789</v>
      </c>
      <c r="C5311">
        <v>2023</v>
      </c>
      <c r="D5311" t="s">
        <v>300</v>
      </c>
      <c r="E5311" t="s">
        <v>457</v>
      </c>
      <c r="F5311">
        <v>679</v>
      </c>
      <c r="G5311" t="s">
        <v>302</v>
      </c>
      <c r="H5311">
        <v>292</v>
      </c>
      <c r="I5311" t="s">
        <v>7803</v>
      </c>
      <c r="J5311" t="s">
        <v>294</v>
      </c>
      <c r="M5311" t="s">
        <v>295</v>
      </c>
      <c r="N5311" t="s">
        <v>7</v>
      </c>
      <c r="O5311" t="s">
        <v>297</v>
      </c>
    </row>
    <row r="5312" spans="1:15" x14ac:dyDescent="0.3">
      <c r="A5312" t="s">
        <v>1631</v>
      </c>
      <c r="B5312" t="s">
        <v>7789</v>
      </c>
      <c r="C5312">
        <v>2023</v>
      </c>
      <c r="D5312" t="s">
        <v>300</v>
      </c>
      <c r="E5312" t="s">
        <v>579</v>
      </c>
      <c r="F5312">
        <v>552</v>
      </c>
      <c r="G5312" t="s">
        <v>302</v>
      </c>
      <c r="H5312">
        <v>16</v>
      </c>
      <c r="I5312" t="s">
        <v>7804</v>
      </c>
      <c r="J5312" t="s">
        <v>294</v>
      </c>
      <c r="M5312" t="s">
        <v>295</v>
      </c>
      <c r="N5312" t="s">
        <v>7</v>
      </c>
      <c r="O5312" t="s">
        <v>297</v>
      </c>
    </row>
    <row r="5313" spans="1:15" x14ac:dyDescent="0.3">
      <c r="A5313" t="s">
        <v>1631</v>
      </c>
      <c r="B5313" t="s">
        <v>7789</v>
      </c>
      <c r="C5313">
        <v>2023</v>
      </c>
      <c r="D5313" t="s">
        <v>300</v>
      </c>
      <c r="E5313" t="s">
        <v>7805</v>
      </c>
      <c r="F5313">
        <v>208</v>
      </c>
      <c r="G5313" t="s">
        <v>302</v>
      </c>
      <c r="H5313">
        <v>16</v>
      </c>
      <c r="I5313" t="s">
        <v>7806</v>
      </c>
      <c r="J5313" t="s">
        <v>294</v>
      </c>
      <c r="M5313" t="s">
        <v>295</v>
      </c>
      <c r="N5313" t="s">
        <v>7</v>
      </c>
      <c r="O5313" t="s">
        <v>297</v>
      </c>
    </row>
    <row r="5314" spans="1:15" x14ac:dyDescent="0.3">
      <c r="A5314" t="s">
        <v>1631</v>
      </c>
      <c r="B5314" t="s">
        <v>7789</v>
      </c>
      <c r="C5314">
        <v>2023</v>
      </c>
      <c r="D5314" t="s">
        <v>300</v>
      </c>
      <c r="E5314" t="s">
        <v>306</v>
      </c>
      <c r="F5314">
        <v>344</v>
      </c>
      <c r="G5314" t="s">
        <v>302</v>
      </c>
      <c r="H5314">
        <v>16</v>
      </c>
      <c r="I5314" t="s">
        <v>7807</v>
      </c>
      <c r="J5314" t="s">
        <v>294</v>
      </c>
      <c r="M5314" t="s">
        <v>295</v>
      </c>
      <c r="N5314" t="s">
        <v>7</v>
      </c>
      <c r="O5314" t="s">
        <v>297</v>
      </c>
    </row>
    <row r="5315" spans="1:15" x14ac:dyDescent="0.3">
      <c r="A5315" t="s">
        <v>1631</v>
      </c>
      <c r="B5315" t="s">
        <v>7789</v>
      </c>
      <c r="C5315">
        <v>2023</v>
      </c>
      <c r="D5315" t="s">
        <v>300</v>
      </c>
      <c r="E5315" t="s">
        <v>308</v>
      </c>
      <c r="F5315">
        <v>512</v>
      </c>
      <c r="G5315" t="s">
        <v>302</v>
      </c>
      <c r="H5315">
        <v>16</v>
      </c>
      <c r="I5315" t="s">
        <v>7808</v>
      </c>
      <c r="J5315" t="s">
        <v>294</v>
      </c>
      <c r="M5315" t="s">
        <v>295</v>
      </c>
      <c r="N5315" t="s">
        <v>7</v>
      </c>
      <c r="O5315" t="s">
        <v>297</v>
      </c>
    </row>
    <row r="5316" spans="1:15" x14ac:dyDescent="0.3">
      <c r="A5316" t="s">
        <v>1631</v>
      </c>
      <c r="B5316" t="s">
        <v>7789</v>
      </c>
      <c r="C5316">
        <v>2023</v>
      </c>
      <c r="D5316" t="s">
        <v>300</v>
      </c>
      <c r="E5316" t="s">
        <v>6698</v>
      </c>
      <c r="F5316">
        <v>6</v>
      </c>
      <c r="G5316" t="s">
        <v>302</v>
      </c>
      <c r="H5316">
        <v>17</v>
      </c>
      <c r="I5316" t="s">
        <v>7809</v>
      </c>
      <c r="J5316" t="s">
        <v>294</v>
      </c>
      <c r="M5316" t="s">
        <v>295</v>
      </c>
      <c r="N5316" t="s">
        <v>7</v>
      </c>
      <c r="O5316" t="s">
        <v>297</v>
      </c>
    </row>
    <row r="5317" spans="1:15" x14ac:dyDescent="0.3">
      <c r="A5317" t="s">
        <v>1631</v>
      </c>
      <c r="B5317" t="s">
        <v>7789</v>
      </c>
      <c r="C5317">
        <v>2023</v>
      </c>
      <c r="D5317" t="s">
        <v>300</v>
      </c>
      <c r="E5317" t="s">
        <v>316</v>
      </c>
      <c r="F5317">
        <v>11810</v>
      </c>
      <c r="G5317" t="s">
        <v>302</v>
      </c>
      <c r="H5317">
        <v>16</v>
      </c>
      <c r="I5317" t="s">
        <v>7810</v>
      </c>
      <c r="J5317" t="s">
        <v>294</v>
      </c>
      <c r="M5317" t="s">
        <v>295</v>
      </c>
      <c r="N5317" t="s">
        <v>7</v>
      </c>
      <c r="O5317" t="s">
        <v>297</v>
      </c>
    </row>
    <row r="5318" spans="1:15" x14ac:dyDescent="0.3">
      <c r="A5318" t="s">
        <v>1631</v>
      </c>
      <c r="B5318" t="s">
        <v>7789</v>
      </c>
      <c r="C5318">
        <v>2023</v>
      </c>
      <c r="D5318" t="s">
        <v>300</v>
      </c>
      <c r="E5318" t="s">
        <v>312</v>
      </c>
      <c r="F5318">
        <v>5028</v>
      </c>
      <c r="G5318" t="s">
        <v>302</v>
      </c>
      <c r="H5318">
        <v>16</v>
      </c>
      <c r="I5318" t="s">
        <v>7811</v>
      </c>
      <c r="J5318" t="s">
        <v>294</v>
      </c>
      <c r="M5318" t="s">
        <v>295</v>
      </c>
      <c r="N5318" t="s">
        <v>7</v>
      </c>
      <c r="O5318" t="s">
        <v>297</v>
      </c>
    </row>
    <row r="5319" spans="1:15" x14ac:dyDescent="0.3">
      <c r="A5319" t="s">
        <v>1631</v>
      </c>
      <c r="B5319" t="s">
        <v>7789</v>
      </c>
      <c r="C5319">
        <v>2023</v>
      </c>
      <c r="D5319" t="s">
        <v>300</v>
      </c>
      <c r="E5319" t="s">
        <v>314</v>
      </c>
      <c r="F5319">
        <v>6782</v>
      </c>
      <c r="G5319" t="s">
        <v>302</v>
      </c>
      <c r="H5319">
        <v>16</v>
      </c>
      <c r="I5319" t="s">
        <v>7812</v>
      </c>
      <c r="J5319" t="s">
        <v>294</v>
      </c>
      <c r="M5319" t="s">
        <v>295</v>
      </c>
      <c r="N5319" t="s">
        <v>7</v>
      </c>
      <c r="O5319" t="s">
        <v>297</v>
      </c>
    </row>
    <row r="5320" spans="1:15" x14ac:dyDescent="0.3">
      <c r="A5320" t="s">
        <v>1631</v>
      </c>
      <c r="B5320" t="s">
        <v>7789</v>
      </c>
      <c r="C5320">
        <v>2023</v>
      </c>
      <c r="D5320" t="s">
        <v>300</v>
      </c>
      <c r="E5320" t="s">
        <v>322</v>
      </c>
      <c r="F5320">
        <v>9820</v>
      </c>
      <c r="G5320" t="s">
        <v>302</v>
      </c>
      <c r="H5320">
        <v>16</v>
      </c>
      <c r="I5320" t="s">
        <v>7813</v>
      </c>
      <c r="J5320" t="s">
        <v>294</v>
      </c>
      <c r="M5320" t="s">
        <v>295</v>
      </c>
      <c r="N5320" t="s">
        <v>7</v>
      </c>
      <c r="O5320" t="s">
        <v>297</v>
      </c>
    </row>
    <row r="5321" spans="1:15" x14ac:dyDescent="0.3">
      <c r="A5321" t="s">
        <v>1631</v>
      </c>
      <c r="B5321" t="s">
        <v>7789</v>
      </c>
      <c r="C5321">
        <v>2023</v>
      </c>
      <c r="D5321" t="s">
        <v>300</v>
      </c>
      <c r="E5321" t="s">
        <v>318</v>
      </c>
      <c r="F5321">
        <v>4755</v>
      </c>
      <c r="G5321" t="s">
        <v>302</v>
      </c>
      <c r="H5321">
        <v>16</v>
      </c>
      <c r="I5321" t="s">
        <v>7814</v>
      </c>
      <c r="J5321" t="s">
        <v>294</v>
      </c>
      <c r="M5321" t="s">
        <v>295</v>
      </c>
      <c r="N5321" t="s">
        <v>7</v>
      </c>
      <c r="O5321" t="s">
        <v>297</v>
      </c>
    </row>
    <row r="5322" spans="1:15" x14ac:dyDescent="0.3">
      <c r="A5322" t="s">
        <v>1631</v>
      </c>
      <c r="B5322" t="s">
        <v>7789</v>
      </c>
      <c r="C5322">
        <v>2023</v>
      </c>
      <c r="D5322" t="s">
        <v>300</v>
      </c>
      <c r="E5322" t="s">
        <v>468</v>
      </c>
      <c r="F5322">
        <v>5066</v>
      </c>
      <c r="G5322" t="s">
        <v>302</v>
      </c>
      <c r="H5322">
        <v>16</v>
      </c>
      <c r="I5322" t="s">
        <v>7815</v>
      </c>
      <c r="J5322" t="s">
        <v>294</v>
      </c>
      <c r="M5322" t="s">
        <v>295</v>
      </c>
      <c r="N5322" t="s">
        <v>7</v>
      </c>
      <c r="O5322" t="s">
        <v>297</v>
      </c>
    </row>
    <row r="5323" spans="1:15" x14ac:dyDescent="0.3">
      <c r="A5323" t="s">
        <v>1631</v>
      </c>
      <c r="B5323" t="s">
        <v>7789</v>
      </c>
      <c r="C5323">
        <v>2023</v>
      </c>
      <c r="D5323" t="s">
        <v>300</v>
      </c>
      <c r="E5323" t="s">
        <v>324</v>
      </c>
      <c r="F5323">
        <v>1990</v>
      </c>
      <c r="G5323" t="s">
        <v>302</v>
      </c>
      <c r="H5323">
        <v>16</v>
      </c>
      <c r="I5323" t="s">
        <v>7816</v>
      </c>
      <c r="J5323" t="s">
        <v>294</v>
      </c>
      <c r="M5323" t="s">
        <v>295</v>
      </c>
      <c r="N5323" t="s">
        <v>7</v>
      </c>
      <c r="O5323" t="s">
        <v>297</v>
      </c>
    </row>
    <row r="5324" spans="1:15" x14ac:dyDescent="0.3">
      <c r="A5324" t="s">
        <v>1631</v>
      </c>
      <c r="B5324" t="s">
        <v>7789</v>
      </c>
      <c r="C5324">
        <v>2023</v>
      </c>
      <c r="D5324" t="s">
        <v>300</v>
      </c>
      <c r="E5324" t="s">
        <v>2918</v>
      </c>
      <c r="F5324">
        <v>1751</v>
      </c>
      <c r="G5324" t="s">
        <v>302</v>
      </c>
      <c r="H5324">
        <v>16</v>
      </c>
      <c r="I5324" t="s">
        <v>7817</v>
      </c>
      <c r="J5324" t="s">
        <v>294</v>
      </c>
      <c r="M5324" t="s">
        <v>295</v>
      </c>
      <c r="N5324" t="s">
        <v>7</v>
      </c>
      <c r="O5324" t="s">
        <v>297</v>
      </c>
    </row>
    <row r="5325" spans="1:15" x14ac:dyDescent="0.3">
      <c r="A5325" t="s">
        <v>1631</v>
      </c>
      <c r="B5325" t="s">
        <v>7789</v>
      </c>
      <c r="C5325">
        <v>2023</v>
      </c>
      <c r="D5325" t="s">
        <v>300</v>
      </c>
      <c r="E5325" t="s">
        <v>2667</v>
      </c>
      <c r="F5325">
        <v>1237</v>
      </c>
      <c r="G5325" t="s">
        <v>302</v>
      </c>
      <c r="H5325">
        <v>17</v>
      </c>
      <c r="I5325" t="s">
        <v>7818</v>
      </c>
      <c r="J5325" t="s">
        <v>294</v>
      </c>
      <c r="M5325" t="s">
        <v>295</v>
      </c>
      <c r="N5325" t="s">
        <v>7</v>
      </c>
      <c r="O5325" t="s">
        <v>297</v>
      </c>
    </row>
    <row r="5326" spans="1:15" x14ac:dyDescent="0.3">
      <c r="A5326" t="s">
        <v>1631</v>
      </c>
      <c r="B5326" t="s">
        <v>7789</v>
      </c>
      <c r="C5326">
        <v>2023</v>
      </c>
      <c r="D5326" t="s">
        <v>300</v>
      </c>
      <c r="E5326" t="s">
        <v>595</v>
      </c>
      <c r="F5326">
        <v>2437</v>
      </c>
      <c r="G5326" t="s">
        <v>302</v>
      </c>
      <c r="H5326">
        <v>289</v>
      </c>
      <c r="I5326" t="s">
        <v>7819</v>
      </c>
      <c r="J5326" t="s">
        <v>294</v>
      </c>
      <c r="M5326" t="s">
        <v>295</v>
      </c>
      <c r="N5326" t="s">
        <v>7</v>
      </c>
      <c r="O5326" t="s">
        <v>297</v>
      </c>
    </row>
    <row r="5327" spans="1:15" x14ac:dyDescent="0.3">
      <c r="A5327" t="s">
        <v>1631</v>
      </c>
      <c r="B5327" t="s">
        <v>7789</v>
      </c>
      <c r="C5327">
        <v>2023</v>
      </c>
      <c r="D5327" t="s">
        <v>300</v>
      </c>
      <c r="E5327" t="s">
        <v>2670</v>
      </c>
      <c r="F5327">
        <v>898</v>
      </c>
      <c r="G5327" t="s">
        <v>302</v>
      </c>
      <c r="H5327">
        <v>289</v>
      </c>
      <c r="I5327" t="s">
        <v>7820</v>
      </c>
      <c r="J5327" t="s">
        <v>294</v>
      </c>
      <c r="M5327" t="s">
        <v>295</v>
      </c>
      <c r="N5327" t="s">
        <v>7</v>
      </c>
      <c r="O5327" t="s">
        <v>297</v>
      </c>
    </row>
    <row r="5328" spans="1:15" x14ac:dyDescent="0.3">
      <c r="A5328" t="s">
        <v>1631</v>
      </c>
      <c r="B5328" t="s">
        <v>7789</v>
      </c>
      <c r="C5328">
        <v>2023</v>
      </c>
      <c r="D5328" t="s">
        <v>300</v>
      </c>
      <c r="E5328" t="s">
        <v>475</v>
      </c>
      <c r="F5328">
        <v>4767</v>
      </c>
      <c r="G5328" t="s">
        <v>302</v>
      </c>
      <c r="H5328">
        <v>290</v>
      </c>
      <c r="I5328" t="s">
        <v>7821</v>
      </c>
      <c r="J5328" t="s">
        <v>294</v>
      </c>
      <c r="M5328" t="s">
        <v>295</v>
      </c>
      <c r="N5328" t="s">
        <v>7</v>
      </c>
      <c r="O5328" t="s">
        <v>297</v>
      </c>
    </row>
    <row r="5329" spans="1:15" x14ac:dyDescent="0.3">
      <c r="A5329" t="s">
        <v>1631</v>
      </c>
      <c r="B5329" t="s">
        <v>7789</v>
      </c>
      <c r="C5329">
        <v>2023</v>
      </c>
      <c r="D5329" t="s">
        <v>300</v>
      </c>
      <c r="E5329" t="s">
        <v>7822</v>
      </c>
      <c r="F5329">
        <v>8102</v>
      </c>
      <c r="G5329" t="s">
        <v>302</v>
      </c>
      <c r="H5329">
        <v>290</v>
      </c>
      <c r="I5329" t="s">
        <v>7823</v>
      </c>
      <c r="J5329" t="s">
        <v>294</v>
      </c>
      <c r="M5329" t="s">
        <v>295</v>
      </c>
      <c r="N5329" t="s">
        <v>7</v>
      </c>
      <c r="O5329" t="s">
        <v>297</v>
      </c>
    </row>
    <row r="5330" spans="1:15" x14ac:dyDescent="0.3">
      <c r="A5330" t="s">
        <v>1631</v>
      </c>
      <c r="B5330" t="s">
        <v>7789</v>
      </c>
      <c r="C5330">
        <v>2023</v>
      </c>
      <c r="D5330" t="s">
        <v>300</v>
      </c>
      <c r="E5330" t="s">
        <v>7824</v>
      </c>
      <c r="F5330">
        <v>0</v>
      </c>
      <c r="G5330" t="s">
        <v>302</v>
      </c>
      <c r="H5330">
        <v>289</v>
      </c>
      <c r="I5330" t="s">
        <v>7825</v>
      </c>
      <c r="J5330" t="s">
        <v>294</v>
      </c>
      <c r="M5330" t="s">
        <v>295</v>
      </c>
      <c r="N5330" t="s">
        <v>7</v>
      </c>
      <c r="O5330" t="s">
        <v>297</v>
      </c>
    </row>
    <row r="5331" spans="1:15" x14ac:dyDescent="0.3">
      <c r="A5331" t="s">
        <v>1631</v>
      </c>
      <c r="B5331" t="s">
        <v>7789</v>
      </c>
      <c r="C5331">
        <v>2023</v>
      </c>
      <c r="D5331" t="s">
        <v>300</v>
      </c>
      <c r="E5331" t="s">
        <v>601</v>
      </c>
      <c r="F5331">
        <v>594</v>
      </c>
      <c r="G5331" t="s">
        <v>302</v>
      </c>
      <c r="H5331">
        <v>17</v>
      </c>
      <c r="I5331" t="s">
        <v>7826</v>
      </c>
      <c r="J5331" t="s">
        <v>294</v>
      </c>
      <c r="M5331" t="s">
        <v>295</v>
      </c>
      <c r="N5331" t="s">
        <v>7</v>
      </c>
      <c r="O5331" t="s">
        <v>297</v>
      </c>
    </row>
    <row r="5332" spans="1:15" x14ac:dyDescent="0.3">
      <c r="A5332" t="s">
        <v>1631</v>
      </c>
      <c r="B5332" t="s">
        <v>7789</v>
      </c>
      <c r="C5332">
        <v>2023</v>
      </c>
      <c r="D5332" t="s">
        <v>300</v>
      </c>
      <c r="E5332" t="s">
        <v>603</v>
      </c>
      <c r="F5332">
        <v>-1451</v>
      </c>
      <c r="G5332" t="s">
        <v>302</v>
      </c>
      <c r="H5332">
        <v>17</v>
      </c>
      <c r="I5332" t="s">
        <v>7827</v>
      </c>
      <c r="J5332" t="s">
        <v>294</v>
      </c>
      <c r="M5332" t="s">
        <v>295</v>
      </c>
      <c r="N5332" t="s">
        <v>7</v>
      </c>
      <c r="O5332" t="s">
        <v>297</v>
      </c>
    </row>
    <row r="5333" spans="1:15" x14ac:dyDescent="0.3">
      <c r="A5333" t="s">
        <v>1631</v>
      </c>
      <c r="B5333" t="s">
        <v>7789</v>
      </c>
      <c r="C5333">
        <v>2023</v>
      </c>
      <c r="D5333" t="s">
        <v>300</v>
      </c>
      <c r="E5333" t="s">
        <v>716</v>
      </c>
      <c r="F5333">
        <v>288</v>
      </c>
      <c r="G5333" t="s">
        <v>302</v>
      </c>
      <c r="H5333">
        <v>17</v>
      </c>
      <c r="I5333" t="s">
        <v>7828</v>
      </c>
      <c r="J5333" t="s">
        <v>294</v>
      </c>
      <c r="M5333" t="s">
        <v>295</v>
      </c>
      <c r="N5333" t="s">
        <v>7</v>
      </c>
      <c r="O5333" t="s">
        <v>297</v>
      </c>
    </row>
    <row r="5334" spans="1:15" x14ac:dyDescent="0.3">
      <c r="A5334" t="s">
        <v>1631</v>
      </c>
      <c r="B5334" t="s">
        <v>7789</v>
      </c>
      <c r="C5334">
        <v>2023</v>
      </c>
      <c r="D5334" t="s">
        <v>300</v>
      </c>
      <c r="E5334" t="s">
        <v>487</v>
      </c>
      <c r="F5334">
        <v>103</v>
      </c>
      <c r="G5334" t="s">
        <v>302</v>
      </c>
      <c r="H5334">
        <v>121</v>
      </c>
      <c r="I5334" t="s">
        <v>7829</v>
      </c>
      <c r="J5334" t="s">
        <v>456</v>
      </c>
      <c r="M5334" t="s">
        <v>295</v>
      </c>
      <c r="N5334" t="s">
        <v>7</v>
      </c>
      <c r="O5334" t="s">
        <v>297</v>
      </c>
    </row>
    <row r="5335" spans="1:15" x14ac:dyDescent="0.3">
      <c r="A5335" t="s">
        <v>1631</v>
      </c>
      <c r="B5335" t="s">
        <v>7789</v>
      </c>
      <c r="C5335">
        <v>2023</v>
      </c>
      <c r="D5335" t="s">
        <v>300</v>
      </c>
      <c r="E5335" t="s">
        <v>345</v>
      </c>
      <c r="F5335">
        <v>53.78</v>
      </c>
      <c r="G5335" t="s">
        <v>346</v>
      </c>
      <c r="H5335">
        <v>17</v>
      </c>
      <c r="I5335" t="s">
        <v>7830</v>
      </c>
      <c r="J5335" t="s">
        <v>294</v>
      </c>
      <c r="M5335" t="s">
        <v>295</v>
      </c>
      <c r="N5335" t="s">
        <v>7</v>
      </c>
      <c r="O5335" t="s">
        <v>297</v>
      </c>
    </row>
    <row r="5336" spans="1:15" x14ac:dyDescent="0.3">
      <c r="A5336" t="s">
        <v>1631</v>
      </c>
      <c r="B5336" t="s">
        <v>7789</v>
      </c>
      <c r="C5336">
        <v>2023</v>
      </c>
      <c r="D5336" t="s">
        <v>300</v>
      </c>
      <c r="E5336" t="s">
        <v>326</v>
      </c>
      <c r="F5336">
        <v>1.06</v>
      </c>
      <c r="G5336" t="s">
        <v>327</v>
      </c>
      <c r="H5336">
        <v>17</v>
      </c>
      <c r="I5336" t="s">
        <v>7831</v>
      </c>
      <c r="J5336" t="s">
        <v>294</v>
      </c>
      <c r="M5336" t="s">
        <v>295</v>
      </c>
      <c r="N5336" t="s">
        <v>7</v>
      </c>
      <c r="O5336" t="s">
        <v>297</v>
      </c>
    </row>
    <row r="5337" spans="1:15" x14ac:dyDescent="0.3">
      <c r="A5337" t="s">
        <v>1631</v>
      </c>
      <c r="B5337" t="s">
        <v>7789</v>
      </c>
      <c r="C5337">
        <v>2023</v>
      </c>
      <c r="D5337" t="s">
        <v>300</v>
      </c>
      <c r="E5337" t="s">
        <v>7832</v>
      </c>
      <c r="F5337">
        <v>0.83</v>
      </c>
      <c r="G5337" t="s">
        <v>334</v>
      </c>
      <c r="H5337">
        <v>17</v>
      </c>
      <c r="I5337" t="s">
        <v>7833</v>
      </c>
      <c r="J5337" t="s">
        <v>294</v>
      </c>
      <c r="M5337" t="s">
        <v>295</v>
      </c>
      <c r="N5337" t="s">
        <v>7</v>
      </c>
      <c r="O5337" t="s">
        <v>297</v>
      </c>
    </row>
    <row r="5338" spans="1:15" x14ac:dyDescent="0.3">
      <c r="A5338" t="s">
        <v>1631</v>
      </c>
      <c r="B5338" t="s">
        <v>7789</v>
      </c>
      <c r="C5338">
        <v>2023</v>
      </c>
      <c r="D5338" t="s">
        <v>300</v>
      </c>
      <c r="E5338" t="s">
        <v>728</v>
      </c>
      <c r="F5338">
        <v>4.9400000000000004</v>
      </c>
      <c r="G5338" t="s">
        <v>327</v>
      </c>
      <c r="H5338">
        <v>17</v>
      </c>
      <c r="I5338" t="s">
        <v>7834</v>
      </c>
      <c r="J5338" t="s">
        <v>294</v>
      </c>
      <c r="M5338" t="s">
        <v>295</v>
      </c>
      <c r="N5338" t="s">
        <v>7</v>
      </c>
      <c r="O5338" t="s">
        <v>297</v>
      </c>
    </row>
    <row r="5339" spans="1:15" x14ac:dyDescent="0.3">
      <c r="A5339" t="s">
        <v>1631</v>
      </c>
      <c r="B5339" t="s">
        <v>7789</v>
      </c>
      <c r="C5339">
        <v>2023</v>
      </c>
      <c r="D5339" t="s">
        <v>300</v>
      </c>
      <c r="E5339" t="s">
        <v>903</v>
      </c>
      <c r="F5339">
        <v>4.8000000000000001E-2</v>
      </c>
      <c r="G5339" t="s">
        <v>334</v>
      </c>
      <c r="H5339">
        <v>17</v>
      </c>
      <c r="I5339" t="s">
        <v>7835</v>
      </c>
      <c r="J5339" t="s">
        <v>294</v>
      </c>
      <c r="M5339" t="s">
        <v>295</v>
      </c>
      <c r="N5339" t="s">
        <v>7</v>
      </c>
      <c r="O5339" t="s">
        <v>297</v>
      </c>
    </row>
    <row r="5340" spans="1:15" x14ac:dyDescent="0.3">
      <c r="A5340" t="s">
        <v>1631</v>
      </c>
      <c r="B5340" t="s">
        <v>7789</v>
      </c>
      <c r="C5340">
        <v>2023</v>
      </c>
      <c r="D5340" t="s">
        <v>300</v>
      </c>
      <c r="E5340" t="s">
        <v>333</v>
      </c>
      <c r="F5340">
        <v>0.04</v>
      </c>
      <c r="G5340" t="s">
        <v>334</v>
      </c>
      <c r="H5340">
        <v>17</v>
      </c>
      <c r="I5340" t="s">
        <v>7836</v>
      </c>
      <c r="J5340" t="s">
        <v>294</v>
      </c>
      <c r="M5340" t="s">
        <v>295</v>
      </c>
      <c r="N5340" t="s">
        <v>7</v>
      </c>
      <c r="O5340" t="s">
        <v>297</v>
      </c>
    </row>
    <row r="5341" spans="1:15" x14ac:dyDescent="0.3">
      <c r="A5341" t="s">
        <v>1631</v>
      </c>
      <c r="B5341" t="s">
        <v>7789</v>
      </c>
      <c r="C5341">
        <v>2023</v>
      </c>
      <c r="D5341" t="s">
        <v>300</v>
      </c>
      <c r="E5341" t="s">
        <v>336</v>
      </c>
      <c r="F5341">
        <v>0.26</v>
      </c>
      <c r="G5341" t="s">
        <v>334</v>
      </c>
      <c r="H5341">
        <v>17</v>
      </c>
      <c r="I5341" t="s">
        <v>7837</v>
      </c>
      <c r="J5341" t="s">
        <v>294</v>
      </c>
      <c r="M5341" t="s">
        <v>295</v>
      </c>
      <c r="N5341" t="s">
        <v>7</v>
      </c>
      <c r="O5341" t="s">
        <v>297</v>
      </c>
    </row>
    <row r="5342" spans="1:15" x14ac:dyDescent="0.3">
      <c r="A5342" t="s">
        <v>1631</v>
      </c>
      <c r="B5342" t="s">
        <v>7789</v>
      </c>
      <c r="C5342">
        <v>2023</v>
      </c>
      <c r="D5342" t="s">
        <v>300</v>
      </c>
      <c r="E5342" t="s">
        <v>1135</v>
      </c>
      <c r="F5342">
        <v>1045</v>
      </c>
      <c r="G5342" t="s">
        <v>346</v>
      </c>
      <c r="H5342">
        <v>19</v>
      </c>
      <c r="I5342" t="s">
        <v>7838</v>
      </c>
      <c r="J5342" t="s">
        <v>294</v>
      </c>
      <c r="M5342" t="s">
        <v>295</v>
      </c>
      <c r="N5342" t="s">
        <v>7</v>
      </c>
      <c r="O5342" t="s">
        <v>297</v>
      </c>
    </row>
    <row r="5343" spans="1:15" x14ac:dyDescent="0.3">
      <c r="A5343" t="s">
        <v>1631</v>
      </c>
      <c r="B5343" t="s">
        <v>7789</v>
      </c>
      <c r="C5343">
        <v>2023</v>
      </c>
      <c r="D5343" t="s">
        <v>300</v>
      </c>
      <c r="E5343" t="s">
        <v>7839</v>
      </c>
      <c r="F5343">
        <v>1750</v>
      </c>
      <c r="G5343" t="s">
        <v>346</v>
      </c>
      <c r="H5343">
        <v>19</v>
      </c>
      <c r="I5343" t="s">
        <v>7840</v>
      </c>
      <c r="J5343" t="s">
        <v>294</v>
      </c>
      <c r="M5343" t="s">
        <v>295</v>
      </c>
      <c r="N5343" t="s">
        <v>7</v>
      </c>
      <c r="O5343" t="s">
        <v>297</v>
      </c>
    </row>
    <row r="5344" spans="1:15" x14ac:dyDescent="0.3">
      <c r="A5344" t="s">
        <v>1631</v>
      </c>
      <c r="B5344" t="s">
        <v>7789</v>
      </c>
      <c r="C5344">
        <v>2023</v>
      </c>
      <c r="D5344" t="s">
        <v>300</v>
      </c>
      <c r="E5344" t="s">
        <v>7841</v>
      </c>
      <c r="F5344">
        <v>935</v>
      </c>
      <c r="G5344" t="s">
        <v>346</v>
      </c>
      <c r="H5344">
        <v>19</v>
      </c>
      <c r="I5344" t="s">
        <v>7842</v>
      </c>
      <c r="J5344" t="s">
        <v>294</v>
      </c>
      <c r="M5344" t="s">
        <v>295</v>
      </c>
      <c r="N5344" t="s">
        <v>7</v>
      </c>
      <c r="O5344" t="s">
        <v>297</v>
      </c>
    </row>
    <row r="5345" spans="1:15" x14ac:dyDescent="0.3">
      <c r="A5345" t="s">
        <v>1631</v>
      </c>
      <c r="B5345" t="s">
        <v>7789</v>
      </c>
      <c r="C5345">
        <v>2023</v>
      </c>
      <c r="D5345" t="s">
        <v>300</v>
      </c>
      <c r="E5345" t="s">
        <v>7843</v>
      </c>
      <c r="F5345">
        <v>149.28</v>
      </c>
      <c r="G5345" t="s">
        <v>346</v>
      </c>
      <c r="H5345">
        <v>125</v>
      </c>
      <c r="I5345" t="s">
        <v>7844</v>
      </c>
      <c r="J5345" t="s">
        <v>294</v>
      </c>
      <c r="M5345" t="s">
        <v>295</v>
      </c>
      <c r="N5345" t="s">
        <v>7</v>
      </c>
      <c r="O5345" t="s">
        <v>297</v>
      </c>
    </row>
    <row r="5346" spans="1:15" x14ac:dyDescent="0.3">
      <c r="A5346" t="s">
        <v>1631</v>
      </c>
      <c r="B5346" t="s">
        <v>7789</v>
      </c>
      <c r="C5346">
        <v>2023</v>
      </c>
      <c r="D5346" t="s">
        <v>300</v>
      </c>
      <c r="E5346" t="s">
        <v>7845</v>
      </c>
      <c r="F5346">
        <v>1422</v>
      </c>
      <c r="G5346" t="s">
        <v>302</v>
      </c>
      <c r="H5346">
        <v>125</v>
      </c>
      <c r="I5346" t="s">
        <v>7846</v>
      </c>
      <c r="J5346" t="s">
        <v>294</v>
      </c>
      <c r="M5346" t="s">
        <v>295</v>
      </c>
      <c r="N5346" t="s">
        <v>7</v>
      </c>
      <c r="O5346" t="s">
        <v>297</v>
      </c>
    </row>
    <row r="5347" spans="1:15" x14ac:dyDescent="0.3">
      <c r="A5347" t="s">
        <v>1631</v>
      </c>
      <c r="B5347" t="s">
        <v>7789</v>
      </c>
      <c r="C5347">
        <v>2023</v>
      </c>
      <c r="D5347" t="s">
        <v>300</v>
      </c>
      <c r="E5347" t="s">
        <v>7847</v>
      </c>
      <c r="F5347">
        <v>300</v>
      </c>
      <c r="G5347" t="s">
        <v>875</v>
      </c>
      <c r="H5347">
        <v>127</v>
      </c>
      <c r="I5347" t="s">
        <v>7848</v>
      </c>
      <c r="J5347" t="s">
        <v>294</v>
      </c>
      <c r="M5347" t="s">
        <v>295</v>
      </c>
      <c r="N5347" t="s">
        <v>7</v>
      </c>
      <c r="O5347" t="s">
        <v>297</v>
      </c>
    </row>
    <row r="5348" spans="1:15" x14ac:dyDescent="0.3">
      <c r="A5348" t="s">
        <v>1631</v>
      </c>
      <c r="B5348" t="s">
        <v>7789</v>
      </c>
      <c r="C5348">
        <v>2023</v>
      </c>
      <c r="D5348" t="s">
        <v>358</v>
      </c>
      <c r="E5348" t="s">
        <v>7849</v>
      </c>
      <c r="F5348">
        <v>115880</v>
      </c>
      <c r="G5348" t="s">
        <v>360</v>
      </c>
      <c r="H5348">
        <v>72</v>
      </c>
      <c r="I5348" t="s">
        <v>7850</v>
      </c>
      <c r="J5348" t="s">
        <v>294</v>
      </c>
      <c r="M5348" t="s">
        <v>295</v>
      </c>
      <c r="N5348" t="s">
        <v>7</v>
      </c>
      <c r="O5348" t="s">
        <v>297</v>
      </c>
    </row>
    <row r="5349" spans="1:15" x14ac:dyDescent="0.3">
      <c r="A5349" t="s">
        <v>1631</v>
      </c>
      <c r="B5349" t="s">
        <v>7789</v>
      </c>
      <c r="C5349">
        <v>2023</v>
      </c>
      <c r="D5349" t="s">
        <v>358</v>
      </c>
      <c r="E5349" t="s">
        <v>3680</v>
      </c>
      <c r="F5349">
        <v>81405</v>
      </c>
      <c r="G5349" t="s">
        <v>360</v>
      </c>
      <c r="H5349">
        <v>72</v>
      </c>
      <c r="I5349" t="s">
        <v>7851</v>
      </c>
      <c r="J5349" t="s">
        <v>294</v>
      </c>
      <c r="M5349" t="s">
        <v>295</v>
      </c>
      <c r="N5349" t="s">
        <v>7</v>
      </c>
      <c r="O5349" t="s">
        <v>297</v>
      </c>
    </row>
    <row r="5350" spans="1:15" x14ac:dyDescent="0.3">
      <c r="A5350" t="s">
        <v>1631</v>
      </c>
      <c r="B5350" t="s">
        <v>7789</v>
      </c>
      <c r="C5350">
        <v>2023</v>
      </c>
      <c r="D5350" t="s">
        <v>358</v>
      </c>
      <c r="E5350" t="s">
        <v>3682</v>
      </c>
      <c r="F5350">
        <v>1060</v>
      </c>
      <c r="G5350" t="s">
        <v>360</v>
      </c>
      <c r="H5350">
        <v>72</v>
      </c>
      <c r="I5350" t="s">
        <v>7852</v>
      </c>
      <c r="J5350" t="s">
        <v>294</v>
      </c>
      <c r="M5350" t="s">
        <v>295</v>
      </c>
      <c r="N5350" t="s">
        <v>7</v>
      </c>
      <c r="O5350" t="s">
        <v>297</v>
      </c>
    </row>
    <row r="5351" spans="1:15" x14ac:dyDescent="0.3">
      <c r="A5351" t="s">
        <v>1631</v>
      </c>
      <c r="B5351" t="s">
        <v>7789</v>
      </c>
      <c r="C5351">
        <v>2023</v>
      </c>
      <c r="D5351" t="s">
        <v>358</v>
      </c>
      <c r="E5351" t="s">
        <v>7853</v>
      </c>
      <c r="F5351">
        <v>33309</v>
      </c>
      <c r="G5351" t="s">
        <v>360</v>
      </c>
      <c r="H5351">
        <v>72</v>
      </c>
      <c r="I5351" t="s">
        <v>7854</v>
      </c>
      <c r="J5351" t="s">
        <v>294</v>
      </c>
      <c r="M5351" t="s">
        <v>295</v>
      </c>
      <c r="N5351" t="s">
        <v>7</v>
      </c>
      <c r="O5351" t="s">
        <v>297</v>
      </c>
    </row>
    <row r="5352" spans="1:15" x14ac:dyDescent="0.3">
      <c r="A5352" t="s">
        <v>1631</v>
      </c>
      <c r="B5352" t="s">
        <v>7789</v>
      </c>
      <c r="C5352">
        <v>2023</v>
      </c>
      <c r="D5352" t="s">
        <v>358</v>
      </c>
      <c r="E5352" t="s">
        <v>364</v>
      </c>
      <c r="F5352">
        <v>22347</v>
      </c>
      <c r="G5352" t="s">
        <v>360</v>
      </c>
      <c r="H5352">
        <v>72</v>
      </c>
      <c r="I5352" t="s">
        <v>7855</v>
      </c>
      <c r="J5352" t="s">
        <v>294</v>
      </c>
      <c r="M5352" t="s">
        <v>295</v>
      </c>
      <c r="N5352" t="s">
        <v>7</v>
      </c>
      <c r="O5352" t="s">
        <v>297</v>
      </c>
    </row>
    <row r="5353" spans="1:15" x14ac:dyDescent="0.3">
      <c r="A5353" t="s">
        <v>1631</v>
      </c>
      <c r="B5353" t="s">
        <v>7789</v>
      </c>
      <c r="C5353">
        <v>2023</v>
      </c>
      <c r="D5353" t="s">
        <v>358</v>
      </c>
      <c r="E5353" t="s">
        <v>7856</v>
      </c>
      <c r="F5353">
        <v>54482</v>
      </c>
      <c r="G5353" t="s">
        <v>360</v>
      </c>
      <c r="H5353">
        <v>72</v>
      </c>
      <c r="I5353" t="s">
        <v>7857</v>
      </c>
      <c r="J5353" t="s">
        <v>294</v>
      </c>
      <c r="M5353" t="s">
        <v>295</v>
      </c>
      <c r="N5353" t="s">
        <v>7</v>
      </c>
      <c r="O5353" t="s">
        <v>297</v>
      </c>
    </row>
    <row r="5354" spans="1:15" x14ac:dyDescent="0.3">
      <c r="A5354" t="s">
        <v>1631</v>
      </c>
      <c r="B5354" t="s">
        <v>7789</v>
      </c>
      <c r="C5354">
        <v>2023</v>
      </c>
      <c r="D5354" t="s">
        <v>358</v>
      </c>
      <c r="E5354" t="s">
        <v>7858</v>
      </c>
      <c r="F5354">
        <v>23</v>
      </c>
      <c r="G5354" t="s">
        <v>384</v>
      </c>
      <c r="H5354">
        <v>72</v>
      </c>
      <c r="I5354" t="s">
        <v>7859</v>
      </c>
      <c r="J5354" t="s">
        <v>294</v>
      </c>
      <c r="M5354" t="s">
        <v>295</v>
      </c>
      <c r="N5354" t="s">
        <v>7</v>
      </c>
      <c r="O5354" t="s">
        <v>297</v>
      </c>
    </row>
    <row r="5355" spans="1:15" x14ac:dyDescent="0.3">
      <c r="A5355" t="s">
        <v>1631</v>
      </c>
      <c r="B5355" t="s">
        <v>7789</v>
      </c>
      <c r="C5355">
        <v>2023</v>
      </c>
      <c r="D5355" t="s">
        <v>358</v>
      </c>
      <c r="E5355" t="s">
        <v>7860</v>
      </c>
      <c r="F5355">
        <v>8</v>
      </c>
      <c r="G5355" t="s">
        <v>384</v>
      </c>
      <c r="H5355">
        <v>72</v>
      </c>
      <c r="I5355" t="s">
        <v>7861</v>
      </c>
      <c r="J5355" t="s">
        <v>294</v>
      </c>
      <c r="M5355" t="s">
        <v>295</v>
      </c>
      <c r="N5355" t="s">
        <v>7</v>
      </c>
      <c r="O5355" t="s">
        <v>297</v>
      </c>
    </row>
    <row r="5356" spans="1:15" x14ac:dyDescent="0.3">
      <c r="A5356" t="s">
        <v>1631</v>
      </c>
      <c r="B5356" t="s">
        <v>7789</v>
      </c>
      <c r="C5356">
        <v>2023</v>
      </c>
      <c r="D5356" t="s">
        <v>358</v>
      </c>
      <c r="E5356" t="s">
        <v>934</v>
      </c>
      <c r="F5356">
        <v>540</v>
      </c>
      <c r="G5356" t="s">
        <v>738</v>
      </c>
      <c r="H5356">
        <v>72</v>
      </c>
      <c r="I5356" t="s">
        <v>7862</v>
      </c>
      <c r="J5356" t="s">
        <v>294</v>
      </c>
      <c r="M5356" t="s">
        <v>295</v>
      </c>
      <c r="N5356" t="s">
        <v>7</v>
      </c>
      <c r="O5356" t="s">
        <v>297</v>
      </c>
    </row>
    <row r="5357" spans="1:15" x14ac:dyDescent="0.3">
      <c r="A5357" t="s">
        <v>1631</v>
      </c>
      <c r="B5357" t="s">
        <v>7789</v>
      </c>
      <c r="C5357">
        <v>2023</v>
      </c>
      <c r="D5357" t="s">
        <v>358</v>
      </c>
      <c r="E5357" t="s">
        <v>7863</v>
      </c>
      <c r="F5357">
        <v>8</v>
      </c>
      <c r="G5357" t="s">
        <v>384</v>
      </c>
      <c r="H5357">
        <v>72</v>
      </c>
      <c r="I5357" t="s">
        <v>7864</v>
      </c>
      <c r="J5357" t="s">
        <v>294</v>
      </c>
      <c r="M5357" t="s">
        <v>295</v>
      </c>
      <c r="N5357" t="s">
        <v>7</v>
      </c>
      <c r="O5357" t="s">
        <v>297</v>
      </c>
    </row>
    <row r="5358" spans="1:15" x14ac:dyDescent="0.3">
      <c r="A5358" t="s">
        <v>1631</v>
      </c>
      <c r="B5358" t="s">
        <v>7789</v>
      </c>
      <c r="C5358">
        <v>2023</v>
      </c>
      <c r="D5358" t="s">
        <v>358</v>
      </c>
      <c r="E5358" t="s">
        <v>7523</v>
      </c>
      <c r="F5358">
        <v>850000</v>
      </c>
      <c r="G5358" t="s">
        <v>7865</v>
      </c>
      <c r="H5358">
        <v>74</v>
      </c>
      <c r="I5358" t="s">
        <v>7866</v>
      </c>
      <c r="J5358" t="s">
        <v>294</v>
      </c>
      <c r="M5358" t="s">
        <v>295</v>
      </c>
      <c r="N5358" t="s">
        <v>7</v>
      </c>
      <c r="O5358" t="s">
        <v>297</v>
      </c>
    </row>
    <row r="5359" spans="1:15" x14ac:dyDescent="0.3">
      <c r="A5359" t="s">
        <v>1631</v>
      </c>
      <c r="B5359" t="s">
        <v>7789</v>
      </c>
      <c r="C5359">
        <v>2023</v>
      </c>
      <c r="D5359" t="s">
        <v>358</v>
      </c>
      <c r="E5359" t="s">
        <v>7867</v>
      </c>
      <c r="F5359">
        <v>850000</v>
      </c>
      <c r="G5359" t="s">
        <v>7865</v>
      </c>
      <c r="H5359">
        <v>74</v>
      </c>
      <c r="I5359" t="s">
        <v>7868</v>
      </c>
      <c r="J5359" t="s">
        <v>294</v>
      </c>
      <c r="M5359" t="s">
        <v>295</v>
      </c>
      <c r="N5359" t="s">
        <v>7</v>
      </c>
      <c r="O5359" t="s">
        <v>297</v>
      </c>
    </row>
    <row r="5360" spans="1:15" x14ac:dyDescent="0.3">
      <c r="A5360" t="s">
        <v>1631</v>
      </c>
      <c r="B5360" t="s">
        <v>7789</v>
      </c>
      <c r="C5360">
        <v>2023</v>
      </c>
      <c r="D5360" t="s">
        <v>358</v>
      </c>
      <c r="E5360" t="s">
        <v>7525</v>
      </c>
      <c r="F5360">
        <v>192000</v>
      </c>
      <c r="G5360" t="s">
        <v>7865</v>
      </c>
      <c r="H5360">
        <v>74</v>
      </c>
      <c r="I5360" t="s">
        <v>7869</v>
      </c>
      <c r="J5360" t="s">
        <v>294</v>
      </c>
      <c r="M5360" t="s">
        <v>295</v>
      </c>
      <c r="N5360" t="s">
        <v>7</v>
      </c>
      <c r="O5360" t="s">
        <v>297</v>
      </c>
    </row>
    <row r="5361" spans="1:15" x14ac:dyDescent="0.3">
      <c r="A5361" t="s">
        <v>1631</v>
      </c>
      <c r="B5361" t="s">
        <v>7789</v>
      </c>
      <c r="C5361">
        <v>2023</v>
      </c>
      <c r="D5361" t="s">
        <v>358</v>
      </c>
      <c r="E5361" t="s">
        <v>7870</v>
      </c>
      <c r="F5361">
        <v>2</v>
      </c>
      <c r="G5361" t="s">
        <v>384</v>
      </c>
      <c r="H5361">
        <v>72</v>
      </c>
      <c r="I5361" t="s">
        <v>7871</v>
      </c>
      <c r="J5361" t="s">
        <v>294</v>
      </c>
      <c r="M5361" t="s">
        <v>295</v>
      </c>
      <c r="N5361" t="s">
        <v>7</v>
      </c>
      <c r="O5361" t="s">
        <v>297</v>
      </c>
    </row>
    <row r="5362" spans="1:15" x14ac:dyDescent="0.3">
      <c r="A5362" t="s">
        <v>1631</v>
      </c>
      <c r="B5362" t="s">
        <v>7789</v>
      </c>
      <c r="C5362">
        <v>2023</v>
      </c>
      <c r="D5362" t="s">
        <v>358</v>
      </c>
      <c r="E5362" t="s">
        <v>7872</v>
      </c>
      <c r="F5362">
        <v>1</v>
      </c>
      <c r="G5362" t="s">
        <v>384</v>
      </c>
      <c r="H5362">
        <v>74</v>
      </c>
      <c r="I5362" t="s">
        <v>7873</v>
      </c>
      <c r="J5362" t="s">
        <v>294</v>
      </c>
      <c r="M5362" t="s">
        <v>295</v>
      </c>
      <c r="N5362" t="s">
        <v>7</v>
      </c>
      <c r="O5362" t="s">
        <v>297</v>
      </c>
    </row>
    <row r="5363" spans="1:15" x14ac:dyDescent="0.3">
      <c r="A5363" t="s">
        <v>1631</v>
      </c>
      <c r="B5363" t="s">
        <v>7789</v>
      </c>
      <c r="C5363">
        <v>2023</v>
      </c>
      <c r="D5363" t="s">
        <v>394</v>
      </c>
      <c r="E5363" t="s">
        <v>4451</v>
      </c>
      <c r="F5363">
        <v>1723170</v>
      </c>
      <c r="G5363" t="s">
        <v>396</v>
      </c>
      <c r="H5363">
        <v>20</v>
      </c>
      <c r="I5363" t="s">
        <v>7874</v>
      </c>
      <c r="J5363" t="s">
        <v>294</v>
      </c>
      <c r="M5363" t="s">
        <v>295</v>
      </c>
      <c r="N5363" t="s">
        <v>7</v>
      </c>
      <c r="O5363" t="s">
        <v>297</v>
      </c>
    </row>
    <row r="5364" spans="1:15" x14ac:dyDescent="0.3">
      <c r="A5364" t="s">
        <v>1631</v>
      </c>
      <c r="B5364" t="s">
        <v>7789</v>
      </c>
      <c r="C5364">
        <v>2023</v>
      </c>
      <c r="D5364" t="s">
        <v>394</v>
      </c>
      <c r="E5364" t="s">
        <v>7875</v>
      </c>
      <c r="F5364">
        <v>94226</v>
      </c>
      <c r="G5364" t="s">
        <v>396</v>
      </c>
      <c r="H5364">
        <v>20</v>
      </c>
      <c r="I5364" t="s">
        <v>7876</v>
      </c>
      <c r="J5364" t="s">
        <v>294</v>
      </c>
      <c r="M5364" t="s">
        <v>295</v>
      </c>
      <c r="N5364" t="s">
        <v>7</v>
      </c>
      <c r="O5364" t="s">
        <v>297</v>
      </c>
    </row>
    <row r="5365" spans="1:15" x14ac:dyDescent="0.3">
      <c r="A5365" t="s">
        <v>1631</v>
      </c>
      <c r="B5365" t="s">
        <v>7789</v>
      </c>
      <c r="C5365">
        <v>2023</v>
      </c>
      <c r="D5365" t="s">
        <v>394</v>
      </c>
      <c r="E5365" t="s">
        <v>7877</v>
      </c>
      <c r="F5365">
        <v>571063</v>
      </c>
      <c r="G5365" t="s">
        <v>396</v>
      </c>
      <c r="H5365">
        <v>20</v>
      </c>
      <c r="I5365" t="s">
        <v>7878</v>
      </c>
      <c r="J5365" t="s">
        <v>294</v>
      </c>
      <c r="M5365" t="s">
        <v>295</v>
      </c>
      <c r="N5365" t="s">
        <v>7</v>
      </c>
      <c r="O5365" t="s">
        <v>297</v>
      </c>
    </row>
    <row r="5366" spans="1:15" x14ac:dyDescent="0.3">
      <c r="A5366" t="s">
        <v>1631</v>
      </c>
      <c r="B5366" t="s">
        <v>7789</v>
      </c>
      <c r="C5366">
        <v>2023</v>
      </c>
      <c r="D5366" t="s">
        <v>394</v>
      </c>
      <c r="E5366" t="s">
        <v>531</v>
      </c>
      <c r="F5366">
        <v>2388459</v>
      </c>
      <c r="G5366" t="s">
        <v>396</v>
      </c>
      <c r="H5366">
        <v>20</v>
      </c>
      <c r="I5366" t="s">
        <v>7879</v>
      </c>
      <c r="J5366" t="s">
        <v>294</v>
      </c>
      <c r="M5366" t="s">
        <v>295</v>
      </c>
      <c r="N5366" t="s">
        <v>7</v>
      </c>
      <c r="O5366" t="s">
        <v>297</v>
      </c>
    </row>
    <row r="5367" spans="1:15" x14ac:dyDescent="0.3">
      <c r="A5367" t="s">
        <v>1631</v>
      </c>
      <c r="B5367" t="s">
        <v>7789</v>
      </c>
      <c r="C5367">
        <v>2023</v>
      </c>
      <c r="D5367" t="s">
        <v>394</v>
      </c>
      <c r="E5367" t="s">
        <v>6782</v>
      </c>
      <c r="F5367">
        <v>2345131</v>
      </c>
      <c r="G5367" t="s">
        <v>396</v>
      </c>
      <c r="H5367">
        <v>20</v>
      </c>
      <c r="I5367" t="s">
        <v>7880</v>
      </c>
      <c r="J5367" t="s">
        <v>294</v>
      </c>
      <c r="M5367" t="s">
        <v>295</v>
      </c>
      <c r="N5367" t="s">
        <v>7</v>
      </c>
      <c r="O5367" t="s">
        <v>297</v>
      </c>
    </row>
    <row r="5368" spans="1:15" x14ac:dyDescent="0.3">
      <c r="A5368" t="s">
        <v>1631</v>
      </c>
      <c r="B5368" t="s">
        <v>7789</v>
      </c>
      <c r="C5368">
        <v>2023</v>
      </c>
      <c r="D5368" t="s">
        <v>394</v>
      </c>
      <c r="E5368" t="s">
        <v>406</v>
      </c>
      <c r="F5368">
        <v>518819</v>
      </c>
      <c r="G5368" t="s">
        <v>396</v>
      </c>
      <c r="H5368">
        <v>20</v>
      </c>
      <c r="I5368" t="s">
        <v>7881</v>
      </c>
      <c r="J5368" t="s">
        <v>294</v>
      </c>
      <c r="M5368" t="s">
        <v>295</v>
      </c>
      <c r="N5368" t="s">
        <v>7</v>
      </c>
      <c r="O5368" t="s">
        <v>297</v>
      </c>
    </row>
    <row r="5369" spans="1:15" x14ac:dyDescent="0.3">
      <c r="A5369" t="s">
        <v>1631</v>
      </c>
      <c r="B5369" t="s">
        <v>7789</v>
      </c>
      <c r="C5369">
        <v>2023</v>
      </c>
      <c r="D5369" t="s">
        <v>394</v>
      </c>
      <c r="E5369" t="s">
        <v>4456</v>
      </c>
      <c r="F5369">
        <v>99082</v>
      </c>
      <c r="G5369" t="s">
        <v>396</v>
      </c>
      <c r="H5369">
        <v>20</v>
      </c>
      <c r="I5369" t="s">
        <v>7882</v>
      </c>
      <c r="J5369" t="s">
        <v>294</v>
      </c>
      <c r="M5369" t="s">
        <v>295</v>
      </c>
      <c r="N5369" t="s">
        <v>7</v>
      </c>
      <c r="O5369" t="s">
        <v>297</v>
      </c>
    </row>
    <row r="5370" spans="1:15" x14ac:dyDescent="0.3">
      <c r="A5370" t="s">
        <v>1631</v>
      </c>
      <c r="B5370" t="s">
        <v>7789</v>
      </c>
      <c r="C5370">
        <v>2023</v>
      </c>
      <c r="D5370" t="s">
        <v>394</v>
      </c>
      <c r="E5370" t="s">
        <v>418</v>
      </c>
      <c r="F5370">
        <v>22327</v>
      </c>
      <c r="G5370" t="s">
        <v>396</v>
      </c>
      <c r="H5370">
        <v>20</v>
      </c>
      <c r="I5370" t="s">
        <v>7883</v>
      </c>
      <c r="J5370" t="s">
        <v>294</v>
      </c>
      <c r="M5370" t="s">
        <v>295</v>
      </c>
      <c r="N5370" t="s">
        <v>7</v>
      </c>
      <c r="O5370" t="s">
        <v>297</v>
      </c>
    </row>
    <row r="5371" spans="1:15" x14ac:dyDescent="0.3">
      <c r="A5371" t="s">
        <v>1631</v>
      </c>
      <c r="B5371" t="s">
        <v>7789</v>
      </c>
      <c r="C5371">
        <v>2023</v>
      </c>
      <c r="D5371" t="s">
        <v>394</v>
      </c>
      <c r="E5371" t="s">
        <v>408</v>
      </c>
      <c r="F5371">
        <v>746544</v>
      </c>
      <c r="G5371" t="s">
        <v>396</v>
      </c>
      <c r="H5371">
        <v>20</v>
      </c>
      <c r="I5371" t="s">
        <v>7884</v>
      </c>
      <c r="J5371" t="s">
        <v>294</v>
      </c>
      <c r="M5371" t="s">
        <v>295</v>
      </c>
      <c r="N5371" t="s">
        <v>7</v>
      </c>
      <c r="O5371" t="s">
        <v>297</v>
      </c>
    </row>
    <row r="5372" spans="1:15" x14ac:dyDescent="0.3">
      <c r="A5372" t="s">
        <v>1631</v>
      </c>
      <c r="B5372" t="s">
        <v>7789</v>
      </c>
      <c r="C5372">
        <v>2023</v>
      </c>
      <c r="D5372" t="s">
        <v>394</v>
      </c>
      <c r="E5372" t="s">
        <v>7885</v>
      </c>
      <c r="F5372">
        <v>584864</v>
      </c>
      <c r="G5372" t="s">
        <v>396</v>
      </c>
      <c r="H5372">
        <v>20</v>
      </c>
      <c r="I5372" t="s">
        <v>7886</v>
      </c>
      <c r="J5372" t="s">
        <v>294</v>
      </c>
      <c r="M5372" t="s">
        <v>295</v>
      </c>
      <c r="N5372" t="s">
        <v>7</v>
      </c>
      <c r="O5372" t="s">
        <v>297</v>
      </c>
    </row>
    <row r="5373" spans="1:15" x14ac:dyDescent="0.3">
      <c r="A5373" t="s">
        <v>1631</v>
      </c>
      <c r="B5373" t="s">
        <v>7789</v>
      </c>
      <c r="C5373">
        <v>2023</v>
      </c>
      <c r="D5373" t="s">
        <v>394</v>
      </c>
      <c r="E5373" t="s">
        <v>7887</v>
      </c>
      <c r="F5373">
        <v>137360</v>
      </c>
      <c r="G5373" t="s">
        <v>396</v>
      </c>
      <c r="H5373">
        <v>20</v>
      </c>
      <c r="I5373" t="s">
        <v>7888</v>
      </c>
      <c r="J5373" t="s">
        <v>294</v>
      </c>
      <c r="M5373" t="s">
        <v>295</v>
      </c>
      <c r="N5373" t="s">
        <v>7</v>
      </c>
      <c r="O5373" t="s">
        <v>297</v>
      </c>
    </row>
    <row r="5374" spans="1:15" x14ac:dyDescent="0.3">
      <c r="A5374" t="s">
        <v>1631</v>
      </c>
      <c r="B5374" t="s">
        <v>7789</v>
      </c>
      <c r="C5374">
        <v>2023</v>
      </c>
      <c r="D5374" t="s">
        <v>394</v>
      </c>
      <c r="E5374" t="s">
        <v>414</v>
      </c>
      <c r="F5374">
        <v>29323</v>
      </c>
      <c r="G5374" t="s">
        <v>396</v>
      </c>
      <c r="H5374">
        <v>20</v>
      </c>
      <c r="I5374" t="s">
        <v>7889</v>
      </c>
      <c r="J5374" t="s">
        <v>294</v>
      </c>
      <c r="M5374" t="s">
        <v>295</v>
      </c>
      <c r="N5374" t="s">
        <v>7</v>
      </c>
      <c r="O5374" t="s">
        <v>297</v>
      </c>
    </row>
    <row r="5375" spans="1:15" x14ac:dyDescent="0.3">
      <c r="A5375" t="s">
        <v>1631</v>
      </c>
      <c r="B5375" t="s">
        <v>7789</v>
      </c>
      <c r="C5375">
        <v>2023</v>
      </c>
      <c r="D5375" t="s">
        <v>394</v>
      </c>
      <c r="E5375" t="s">
        <v>7890</v>
      </c>
      <c r="F5375">
        <v>24998</v>
      </c>
      <c r="G5375" t="s">
        <v>396</v>
      </c>
      <c r="H5375">
        <v>20</v>
      </c>
      <c r="I5375" t="s">
        <v>7891</v>
      </c>
      <c r="J5375" t="s">
        <v>294</v>
      </c>
      <c r="M5375" t="s">
        <v>295</v>
      </c>
      <c r="N5375" t="s">
        <v>7</v>
      </c>
      <c r="O5375" t="s">
        <v>297</v>
      </c>
    </row>
    <row r="5376" spans="1:15" x14ac:dyDescent="0.3">
      <c r="A5376" t="s">
        <v>1631</v>
      </c>
      <c r="B5376" t="s">
        <v>7789</v>
      </c>
      <c r="C5376">
        <v>2023</v>
      </c>
      <c r="D5376" t="s">
        <v>394</v>
      </c>
      <c r="E5376" t="s">
        <v>420</v>
      </c>
      <c r="F5376">
        <v>34448</v>
      </c>
      <c r="G5376" t="s">
        <v>396</v>
      </c>
      <c r="H5376">
        <v>20</v>
      </c>
      <c r="I5376" t="s">
        <v>7892</v>
      </c>
      <c r="J5376" t="s">
        <v>294</v>
      </c>
      <c r="M5376" t="s">
        <v>295</v>
      </c>
      <c r="N5376" t="s">
        <v>7</v>
      </c>
      <c r="O5376" t="s">
        <v>297</v>
      </c>
    </row>
    <row r="5377" spans="1:15" x14ac:dyDescent="0.3">
      <c r="A5377" t="s">
        <v>1631</v>
      </c>
      <c r="B5377" t="s">
        <v>7789</v>
      </c>
      <c r="C5377">
        <v>2023</v>
      </c>
      <c r="D5377" t="s">
        <v>394</v>
      </c>
      <c r="E5377" t="s">
        <v>7893</v>
      </c>
      <c r="F5377">
        <v>1557588</v>
      </c>
      <c r="G5377" t="s">
        <v>396</v>
      </c>
      <c r="H5377">
        <v>20</v>
      </c>
      <c r="I5377" t="s">
        <v>7894</v>
      </c>
      <c r="J5377" t="s">
        <v>294</v>
      </c>
      <c r="M5377" t="s">
        <v>295</v>
      </c>
      <c r="N5377" t="s">
        <v>7</v>
      </c>
      <c r="O5377" t="s">
        <v>297</v>
      </c>
    </row>
    <row r="5378" spans="1:15" x14ac:dyDescent="0.3">
      <c r="A5378" t="s">
        <v>1631</v>
      </c>
      <c r="B5378" t="s">
        <v>7789</v>
      </c>
      <c r="C5378">
        <v>2023</v>
      </c>
      <c r="D5378" t="s">
        <v>394</v>
      </c>
      <c r="E5378" t="s">
        <v>7644</v>
      </c>
      <c r="F5378">
        <v>923408</v>
      </c>
      <c r="G5378" t="s">
        <v>396</v>
      </c>
      <c r="H5378">
        <v>21</v>
      </c>
      <c r="I5378" t="s">
        <v>7895</v>
      </c>
      <c r="J5378" t="s">
        <v>294</v>
      </c>
      <c r="M5378" t="s">
        <v>295</v>
      </c>
      <c r="N5378" t="s">
        <v>7</v>
      </c>
      <c r="O5378" t="s">
        <v>297</v>
      </c>
    </row>
    <row r="5379" spans="1:15" x14ac:dyDescent="0.3">
      <c r="A5379" t="s">
        <v>1631</v>
      </c>
      <c r="B5379" t="s">
        <v>7789</v>
      </c>
      <c r="C5379">
        <v>2023</v>
      </c>
      <c r="D5379" t="s">
        <v>394</v>
      </c>
      <c r="E5379" t="s">
        <v>7896</v>
      </c>
      <c r="F5379">
        <v>0.221</v>
      </c>
      <c r="G5379" t="s">
        <v>334</v>
      </c>
      <c r="H5379">
        <v>108</v>
      </c>
      <c r="I5379" t="s">
        <v>7897</v>
      </c>
      <c r="J5379" t="s">
        <v>294</v>
      </c>
      <c r="M5379" t="s">
        <v>295</v>
      </c>
      <c r="N5379" t="s">
        <v>7</v>
      </c>
      <c r="O5379" t="s">
        <v>297</v>
      </c>
    </row>
    <row r="5380" spans="1:15" x14ac:dyDescent="0.3">
      <c r="A5380" t="s">
        <v>1631</v>
      </c>
      <c r="B5380" t="s">
        <v>7789</v>
      </c>
      <c r="C5380">
        <v>2023</v>
      </c>
      <c r="D5380" t="s">
        <v>394</v>
      </c>
      <c r="E5380" t="s">
        <v>7898</v>
      </c>
      <c r="F5380">
        <v>0.91769999999999996</v>
      </c>
      <c r="G5380" t="s">
        <v>334</v>
      </c>
      <c r="H5380">
        <v>110</v>
      </c>
      <c r="I5380" t="s">
        <v>7899</v>
      </c>
      <c r="J5380" t="s">
        <v>294</v>
      </c>
      <c r="M5380" t="s">
        <v>295</v>
      </c>
      <c r="N5380" t="s">
        <v>7</v>
      </c>
      <c r="O5380" t="s">
        <v>297</v>
      </c>
    </row>
    <row r="5381" spans="1:15" x14ac:dyDescent="0.3">
      <c r="A5381" t="s">
        <v>1631</v>
      </c>
      <c r="B5381" t="s">
        <v>7789</v>
      </c>
      <c r="C5381">
        <v>2023</v>
      </c>
      <c r="D5381" t="s">
        <v>394</v>
      </c>
      <c r="E5381" t="s">
        <v>7900</v>
      </c>
      <c r="F5381">
        <v>5859</v>
      </c>
      <c r="G5381" t="s">
        <v>384</v>
      </c>
      <c r="H5381">
        <v>72</v>
      </c>
      <c r="I5381" t="s">
        <v>7901</v>
      </c>
      <c r="J5381" t="s">
        <v>294</v>
      </c>
      <c r="M5381" t="s">
        <v>295</v>
      </c>
      <c r="N5381" t="s">
        <v>7</v>
      </c>
      <c r="O5381" t="s">
        <v>297</v>
      </c>
    </row>
    <row r="5382" spans="1:15" x14ac:dyDescent="0.3">
      <c r="A5382" t="s">
        <v>1631</v>
      </c>
      <c r="B5382" t="s">
        <v>7789</v>
      </c>
      <c r="C5382">
        <v>2023</v>
      </c>
      <c r="D5382" t="s">
        <v>394</v>
      </c>
      <c r="E5382" t="s">
        <v>7902</v>
      </c>
      <c r="F5382">
        <v>5.91</v>
      </c>
      <c r="G5382" t="s">
        <v>7903</v>
      </c>
      <c r="H5382">
        <v>72</v>
      </c>
      <c r="I5382" t="s">
        <v>7904</v>
      </c>
      <c r="J5382" t="s">
        <v>294</v>
      </c>
      <c r="M5382" t="s">
        <v>295</v>
      </c>
      <c r="N5382" t="s">
        <v>7</v>
      </c>
      <c r="O5382" t="s">
        <v>297</v>
      </c>
    </row>
    <row r="5383" spans="1:15" x14ac:dyDescent="0.3">
      <c r="A5383" t="s">
        <v>1631</v>
      </c>
      <c r="B5383" t="s">
        <v>7789</v>
      </c>
      <c r="C5383">
        <v>2023</v>
      </c>
      <c r="D5383" t="s">
        <v>252</v>
      </c>
      <c r="E5383" t="s">
        <v>7905</v>
      </c>
      <c r="F5383" t="s">
        <v>7906</v>
      </c>
      <c r="G5383" t="s">
        <v>666</v>
      </c>
      <c r="I5383" t="s">
        <v>7907</v>
      </c>
      <c r="J5383" t="s">
        <v>294</v>
      </c>
      <c r="M5383" t="s">
        <v>295</v>
      </c>
      <c r="N5383" t="s">
        <v>7</v>
      </c>
      <c r="O5383" t="s">
        <v>297</v>
      </c>
    </row>
    <row r="5384" spans="1:15" x14ac:dyDescent="0.3">
      <c r="A5384" t="s">
        <v>1631</v>
      </c>
      <c r="B5384" t="s">
        <v>7789</v>
      </c>
      <c r="C5384">
        <v>2023</v>
      </c>
      <c r="D5384" t="s">
        <v>252</v>
      </c>
      <c r="E5384" t="s">
        <v>7908</v>
      </c>
      <c r="F5384">
        <v>300</v>
      </c>
      <c r="G5384" t="s">
        <v>875</v>
      </c>
      <c r="H5384">
        <v>127</v>
      </c>
      <c r="I5384" t="s">
        <v>7909</v>
      </c>
      <c r="J5384" t="s">
        <v>294</v>
      </c>
      <c r="M5384" t="s">
        <v>295</v>
      </c>
      <c r="N5384" t="s">
        <v>7</v>
      </c>
      <c r="O5384" t="s">
        <v>297</v>
      </c>
    </row>
    <row r="5385" spans="1:15" x14ac:dyDescent="0.3">
      <c r="A5385" t="s">
        <v>1631</v>
      </c>
      <c r="B5385" t="s">
        <v>7910</v>
      </c>
      <c r="C5385">
        <v>2024</v>
      </c>
      <c r="D5385" t="s">
        <v>272</v>
      </c>
      <c r="E5385" t="s">
        <v>291</v>
      </c>
      <c r="F5385" t="s">
        <v>1631</v>
      </c>
      <c r="G5385" t="s">
        <v>292</v>
      </c>
      <c r="H5385">
        <v>55</v>
      </c>
      <c r="I5385" t="s">
        <v>7911</v>
      </c>
      <c r="J5385" t="s">
        <v>294</v>
      </c>
      <c r="M5385" t="s">
        <v>295</v>
      </c>
      <c r="N5385" t="s">
        <v>7</v>
      </c>
      <c r="O5385" t="s">
        <v>297</v>
      </c>
    </row>
    <row r="5386" spans="1:15" x14ac:dyDescent="0.3">
      <c r="A5386" t="s">
        <v>1631</v>
      </c>
      <c r="B5386" t="s">
        <v>7910</v>
      </c>
      <c r="C5386">
        <v>2024</v>
      </c>
      <c r="D5386" t="s">
        <v>272</v>
      </c>
      <c r="E5386" t="s">
        <v>4724</v>
      </c>
      <c r="F5386" t="s">
        <v>7791</v>
      </c>
      <c r="G5386" t="s">
        <v>292</v>
      </c>
      <c r="H5386">
        <v>55</v>
      </c>
      <c r="I5386" t="s">
        <v>7912</v>
      </c>
      <c r="J5386" t="s">
        <v>294</v>
      </c>
      <c r="M5386" t="s">
        <v>295</v>
      </c>
      <c r="N5386" t="s">
        <v>7</v>
      </c>
      <c r="O5386" t="s">
        <v>297</v>
      </c>
    </row>
    <row r="5387" spans="1:15" x14ac:dyDescent="0.3">
      <c r="A5387" t="s">
        <v>1631</v>
      </c>
      <c r="B5387" t="s">
        <v>7910</v>
      </c>
      <c r="C5387">
        <v>2024</v>
      </c>
      <c r="D5387" t="s">
        <v>272</v>
      </c>
      <c r="E5387" t="s">
        <v>5647</v>
      </c>
      <c r="F5387" t="s">
        <v>7913</v>
      </c>
      <c r="G5387" t="s">
        <v>666</v>
      </c>
      <c r="H5387">
        <v>55</v>
      </c>
      <c r="I5387" t="s">
        <v>7914</v>
      </c>
      <c r="J5387" t="s">
        <v>294</v>
      </c>
      <c r="M5387" t="s">
        <v>295</v>
      </c>
      <c r="N5387" t="s">
        <v>7</v>
      </c>
      <c r="O5387" t="s">
        <v>297</v>
      </c>
    </row>
    <row r="5388" spans="1:15" x14ac:dyDescent="0.3">
      <c r="A5388" t="s">
        <v>1631</v>
      </c>
      <c r="B5388" t="s">
        <v>7910</v>
      </c>
      <c r="C5388">
        <v>2024</v>
      </c>
      <c r="D5388" t="s">
        <v>272</v>
      </c>
      <c r="E5388" t="s">
        <v>442</v>
      </c>
      <c r="F5388" t="s">
        <v>7915</v>
      </c>
      <c r="G5388" t="s">
        <v>334</v>
      </c>
      <c r="H5388">
        <v>54</v>
      </c>
      <c r="I5388" t="s">
        <v>7916</v>
      </c>
      <c r="J5388" t="s">
        <v>294</v>
      </c>
      <c r="M5388" t="s">
        <v>295</v>
      </c>
      <c r="N5388" t="s">
        <v>7</v>
      </c>
      <c r="O5388" t="s">
        <v>297</v>
      </c>
    </row>
    <row r="5389" spans="1:15" x14ac:dyDescent="0.3">
      <c r="A5389" t="s">
        <v>1631</v>
      </c>
      <c r="B5389" t="s">
        <v>7910</v>
      </c>
      <c r="C5389">
        <v>2024</v>
      </c>
      <c r="D5389" t="s">
        <v>272</v>
      </c>
      <c r="E5389" t="s">
        <v>3134</v>
      </c>
      <c r="F5389" t="s">
        <v>7917</v>
      </c>
      <c r="G5389" t="s">
        <v>334</v>
      </c>
      <c r="H5389">
        <v>54</v>
      </c>
      <c r="I5389" t="s">
        <v>7918</v>
      </c>
      <c r="J5389" t="s">
        <v>294</v>
      </c>
      <c r="M5389" t="s">
        <v>295</v>
      </c>
      <c r="N5389" t="s">
        <v>7</v>
      </c>
      <c r="O5389" t="s">
        <v>297</v>
      </c>
    </row>
    <row r="5390" spans="1:15" x14ac:dyDescent="0.3">
      <c r="A5390" t="s">
        <v>1631</v>
      </c>
      <c r="B5390" t="s">
        <v>7910</v>
      </c>
      <c r="C5390">
        <v>2024</v>
      </c>
      <c r="D5390" t="s">
        <v>272</v>
      </c>
      <c r="E5390" t="s">
        <v>445</v>
      </c>
      <c r="F5390">
        <v>0.29647000000000001</v>
      </c>
      <c r="G5390" t="s">
        <v>334</v>
      </c>
      <c r="H5390">
        <v>54</v>
      </c>
      <c r="I5390" t="s">
        <v>7919</v>
      </c>
      <c r="J5390" t="s">
        <v>294</v>
      </c>
      <c r="M5390" t="s">
        <v>295</v>
      </c>
      <c r="N5390" t="s">
        <v>7</v>
      </c>
      <c r="O5390" t="s">
        <v>297</v>
      </c>
    </row>
    <row r="5391" spans="1:15" x14ac:dyDescent="0.3">
      <c r="A5391" t="s">
        <v>1631</v>
      </c>
      <c r="B5391" t="s">
        <v>7910</v>
      </c>
      <c r="C5391">
        <v>2024</v>
      </c>
      <c r="D5391" t="s">
        <v>272</v>
      </c>
      <c r="E5391" t="s">
        <v>342</v>
      </c>
      <c r="F5391">
        <v>9525</v>
      </c>
      <c r="G5391" t="s">
        <v>497</v>
      </c>
      <c r="H5391">
        <v>54</v>
      </c>
      <c r="I5391" t="s">
        <v>7920</v>
      </c>
      <c r="J5391" t="s">
        <v>294</v>
      </c>
      <c r="M5391" t="s">
        <v>295</v>
      </c>
      <c r="N5391" t="s">
        <v>7</v>
      </c>
      <c r="O5391" t="s">
        <v>297</v>
      </c>
    </row>
    <row r="5392" spans="1:15" x14ac:dyDescent="0.3">
      <c r="A5392" t="s">
        <v>1631</v>
      </c>
      <c r="B5392" t="s">
        <v>7910</v>
      </c>
      <c r="C5392">
        <v>2024</v>
      </c>
      <c r="D5392" t="s">
        <v>272</v>
      </c>
      <c r="E5392" t="s">
        <v>1560</v>
      </c>
      <c r="F5392">
        <v>15766</v>
      </c>
      <c r="G5392" t="s">
        <v>384</v>
      </c>
      <c r="H5392">
        <v>54</v>
      </c>
      <c r="I5392" t="s">
        <v>7921</v>
      </c>
      <c r="J5392" t="s">
        <v>294</v>
      </c>
      <c r="M5392" t="s">
        <v>295</v>
      </c>
      <c r="N5392" t="s">
        <v>7</v>
      </c>
      <c r="O5392" t="s">
        <v>297</v>
      </c>
    </row>
    <row r="5393" spans="1:15" x14ac:dyDescent="0.3">
      <c r="A5393" t="s">
        <v>1631</v>
      </c>
      <c r="B5393" t="s">
        <v>7910</v>
      </c>
      <c r="C5393">
        <v>2024</v>
      </c>
      <c r="D5393" t="s">
        <v>300</v>
      </c>
      <c r="E5393" t="s">
        <v>301</v>
      </c>
      <c r="F5393">
        <v>10522</v>
      </c>
      <c r="G5393" t="s">
        <v>302</v>
      </c>
      <c r="H5393">
        <v>12</v>
      </c>
      <c r="I5393" t="s">
        <v>7922</v>
      </c>
      <c r="J5393" t="s">
        <v>294</v>
      </c>
      <c r="M5393" t="s">
        <v>295</v>
      </c>
      <c r="N5393" t="s">
        <v>7</v>
      </c>
      <c r="O5393" t="s">
        <v>297</v>
      </c>
    </row>
    <row r="5394" spans="1:15" x14ac:dyDescent="0.3">
      <c r="A5394" t="s">
        <v>1631</v>
      </c>
      <c r="B5394" t="s">
        <v>7910</v>
      </c>
      <c r="C5394">
        <v>2024</v>
      </c>
      <c r="D5394" t="s">
        <v>300</v>
      </c>
      <c r="E5394" t="s">
        <v>2868</v>
      </c>
      <c r="F5394">
        <v>7242</v>
      </c>
      <c r="G5394" t="s">
        <v>302</v>
      </c>
      <c r="H5394">
        <v>12</v>
      </c>
      <c r="I5394" t="s">
        <v>7923</v>
      </c>
      <c r="J5394" t="s">
        <v>294</v>
      </c>
      <c r="M5394" t="s">
        <v>295</v>
      </c>
      <c r="N5394" t="s">
        <v>7</v>
      </c>
      <c r="O5394" t="s">
        <v>297</v>
      </c>
    </row>
    <row r="5395" spans="1:15" x14ac:dyDescent="0.3">
      <c r="A5395" t="s">
        <v>1631</v>
      </c>
      <c r="B5395" t="s">
        <v>7910</v>
      </c>
      <c r="C5395">
        <v>2024</v>
      </c>
      <c r="D5395" t="s">
        <v>300</v>
      </c>
      <c r="E5395" t="s">
        <v>304</v>
      </c>
      <c r="F5395">
        <v>3280</v>
      </c>
      <c r="G5395" t="s">
        <v>302</v>
      </c>
      <c r="H5395">
        <v>12</v>
      </c>
      <c r="I5395" t="s">
        <v>7924</v>
      </c>
      <c r="J5395" t="s">
        <v>294</v>
      </c>
      <c r="M5395" t="s">
        <v>295</v>
      </c>
      <c r="N5395" t="s">
        <v>7</v>
      </c>
      <c r="O5395" t="s">
        <v>297</v>
      </c>
    </row>
    <row r="5396" spans="1:15" x14ac:dyDescent="0.3">
      <c r="A5396" t="s">
        <v>1631</v>
      </c>
      <c r="B5396" t="s">
        <v>7910</v>
      </c>
      <c r="C5396">
        <v>2024</v>
      </c>
      <c r="D5396" t="s">
        <v>300</v>
      </c>
      <c r="E5396" t="s">
        <v>5214</v>
      </c>
      <c r="F5396">
        <v>1770</v>
      </c>
      <c r="G5396" t="s">
        <v>302</v>
      </c>
      <c r="H5396">
        <v>12</v>
      </c>
      <c r="I5396" t="s">
        <v>7925</v>
      </c>
      <c r="J5396" t="s">
        <v>294</v>
      </c>
      <c r="M5396" t="s">
        <v>295</v>
      </c>
      <c r="N5396" t="s">
        <v>7</v>
      </c>
      <c r="O5396" t="s">
        <v>297</v>
      </c>
    </row>
    <row r="5397" spans="1:15" x14ac:dyDescent="0.3">
      <c r="A5397" t="s">
        <v>1631</v>
      </c>
      <c r="B5397" t="s">
        <v>7910</v>
      </c>
      <c r="C5397">
        <v>2024</v>
      </c>
      <c r="D5397" t="s">
        <v>300</v>
      </c>
      <c r="E5397" t="s">
        <v>1155</v>
      </c>
      <c r="F5397">
        <v>899</v>
      </c>
      <c r="G5397" t="s">
        <v>302</v>
      </c>
      <c r="H5397">
        <v>117</v>
      </c>
      <c r="I5397" t="s">
        <v>7926</v>
      </c>
      <c r="J5397" t="s">
        <v>294</v>
      </c>
      <c r="M5397" t="s">
        <v>295</v>
      </c>
      <c r="N5397" t="s">
        <v>7</v>
      </c>
      <c r="O5397" t="s">
        <v>297</v>
      </c>
    </row>
    <row r="5398" spans="1:15" x14ac:dyDescent="0.3">
      <c r="A5398" t="s">
        <v>1631</v>
      </c>
      <c r="B5398" t="s">
        <v>7910</v>
      </c>
      <c r="C5398">
        <v>2024</v>
      </c>
      <c r="D5398" t="s">
        <v>300</v>
      </c>
      <c r="E5398" t="s">
        <v>1157</v>
      </c>
      <c r="F5398">
        <v>946</v>
      </c>
      <c r="G5398" t="s">
        <v>302</v>
      </c>
      <c r="H5398">
        <v>117</v>
      </c>
      <c r="I5398" t="s">
        <v>7927</v>
      </c>
      <c r="J5398" t="s">
        <v>294</v>
      </c>
      <c r="M5398" t="s">
        <v>295</v>
      </c>
      <c r="N5398" t="s">
        <v>7</v>
      </c>
      <c r="O5398" t="s">
        <v>297</v>
      </c>
    </row>
    <row r="5399" spans="1:15" x14ac:dyDescent="0.3">
      <c r="A5399" t="s">
        <v>1631</v>
      </c>
      <c r="B5399" t="s">
        <v>7910</v>
      </c>
      <c r="C5399">
        <v>2024</v>
      </c>
      <c r="D5399" t="s">
        <v>300</v>
      </c>
      <c r="E5399" t="s">
        <v>457</v>
      </c>
      <c r="F5399">
        <v>611</v>
      </c>
      <c r="G5399" t="s">
        <v>302</v>
      </c>
      <c r="H5399">
        <v>319</v>
      </c>
      <c r="I5399" t="s">
        <v>7928</v>
      </c>
      <c r="J5399" t="s">
        <v>294</v>
      </c>
      <c r="M5399" t="s">
        <v>295</v>
      </c>
      <c r="N5399" t="s">
        <v>7</v>
      </c>
      <c r="O5399" t="s">
        <v>297</v>
      </c>
    </row>
    <row r="5400" spans="1:15" x14ac:dyDescent="0.3">
      <c r="A5400" t="s">
        <v>1631</v>
      </c>
      <c r="B5400" t="s">
        <v>7910</v>
      </c>
      <c r="C5400">
        <v>2024</v>
      </c>
      <c r="D5400" t="s">
        <v>300</v>
      </c>
      <c r="E5400" t="s">
        <v>579</v>
      </c>
      <c r="F5400">
        <v>1226</v>
      </c>
      <c r="G5400" t="s">
        <v>302</v>
      </c>
      <c r="H5400">
        <v>12</v>
      </c>
      <c r="I5400" t="s">
        <v>7929</v>
      </c>
      <c r="J5400" t="s">
        <v>294</v>
      </c>
      <c r="M5400" t="s">
        <v>295</v>
      </c>
      <c r="N5400" t="s">
        <v>7</v>
      </c>
      <c r="O5400" t="s">
        <v>297</v>
      </c>
    </row>
    <row r="5401" spans="1:15" x14ac:dyDescent="0.3">
      <c r="A5401" t="s">
        <v>1631</v>
      </c>
      <c r="B5401" t="s">
        <v>7910</v>
      </c>
      <c r="C5401">
        <v>2024</v>
      </c>
      <c r="D5401" t="s">
        <v>300</v>
      </c>
      <c r="E5401" t="s">
        <v>7805</v>
      </c>
      <c r="F5401">
        <v>381</v>
      </c>
      <c r="G5401" t="s">
        <v>302</v>
      </c>
      <c r="H5401">
        <v>12</v>
      </c>
      <c r="I5401" t="s">
        <v>7930</v>
      </c>
      <c r="J5401" t="s">
        <v>294</v>
      </c>
      <c r="M5401" t="s">
        <v>295</v>
      </c>
      <c r="N5401" t="s">
        <v>7</v>
      </c>
      <c r="O5401" t="s">
        <v>297</v>
      </c>
    </row>
    <row r="5402" spans="1:15" x14ac:dyDescent="0.3">
      <c r="A5402" t="s">
        <v>1631</v>
      </c>
      <c r="B5402" t="s">
        <v>7910</v>
      </c>
      <c r="C5402">
        <v>2024</v>
      </c>
      <c r="D5402" t="s">
        <v>300</v>
      </c>
      <c r="E5402" t="s">
        <v>306</v>
      </c>
      <c r="F5402">
        <v>845</v>
      </c>
      <c r="G5402" t="s">
        <v>302</v>
      </c>
      <c r="H5402">
        <v>12</v>
      </c>
      <c r="I5402" t="s">
        <v>7931</v>
      </c>
      <c r="J5402" t="s">
        <v>294</v>
      </c>
      <c r="M5402" t="s">
        <v>295</v>
      </c>
      <c r="N5402" t="s">
        <v>7</v>
      </c>
      <c r="O5402" t="s">
        <v>297</v>
      </c>
    </row>
    <row r="5403" spans="1:15" x14ac:dyDescent="0.3">
      <c r="A5403" t="s">
        <v>1631</v>
      </c>
      <c r="B5403" t="s">
        <v>7910</v>
      </c>
      <c r="C5403">
        <v>2024</v>
      </c>
      <c r="D5403" t="s">
        <v>300</v>
      </c>
      <c r="E5403" t="s">
        <v>308</v>
      </c>
      <c r="F5403">
        <v>820</v>
      </c>
      <c r="G5403" t="s">
        <v>302</v>
      </c>
      <c r="H5403">
        <v>13</v>
      </c>
      <c r="I5403" t="s">
        <v>7932</v>
      </c>
      <c r="J5403" t="s">
        <v>294</v>
      </c>
      <c r="M5403" t="s">
        <v>295</v>
      </c>
      <c r="N5403" t="s">
        <v>7</v>
      </c>
      <c r="O5403" t="s">
        <v>297</v>
      </c>
    </row>
    <row r="5404" spans="1:15" x14ac:dyDescent="0.3">
      <c r="A5404" t="s">
        <v>1631</v>
      </c>
      <c r="B5404" t="s">
        <v>7910</v>
      </c>
      <c r="C5404">
        <v>2024</v>
      </c>
      <c r="D5404" t="s">
        <v>300</v>
      </c>
      <c r="E5404" t="s">
        <v>6698</v>
      </c>
      <c r="F5404">
        <v>25</v>
      </c>
      <c r="G5404" t="s">
        <v>302</v>
      </c>
      <c r="H5404">
        <v>13</v>
      </c>
      <c r="I5404" t="s">
        <v>7933</v>
      </c>
      <c r="J5404" t="s">
        <v>294</v>
      </c>
      <c r="M5404" t="s">
        <v>295</v>
      </c>
      <c r="N5404" t="s">
        <v>7</v>
      </c>
      <c r="O5404" t="s">
        <v>297</v>
      </c>
    </row>
    <row r="5405" spans="1:15" x14ac:dyDescent="0.3">
      <c r="A5405" t="s">
        <v>1631</v>
      </c>
      <c r="B5405" t="s">
        <v>7910</v>
      </c>
      <c r="C5405">
        <v>2024</v>
      </c>
      <c r="D5405" t="s">
        <v>300</v>
      </c>
      <c r="E5405" t="s">
        <v>316</v>
      </c>
      <c r="F5405">
        <v>11765</v>
      </c>
      <c r="G5405" t="s">
        <v>302</v>
      </c>
      <c r="H5405">
        <v>12</v>
      </c>
      <c r="I5405" t="s">
        <v>7934</v>
      </c>
      <c r="J5405" t="s">
        <v>294</v>
      </c>
      <c r="M5405" t="s">
        <v>295</v>
      </c>
      <c r="N5405" t="s">
        <v>7</v>
      </c>
      <c r="O5405" t="s">
        <v>297</v>
      </c>
    </row>
    <row r="5406" spans="1:15" x14ac:dyDescent="0.3">
      <c r="A5406" t="s">
        <v>1631</v>
      </c>
      <c r="B5406" t="s">
        <v>7910</v>
      </c>
      <c r="C5406">
        <v>2024</v>
      </c>
      <c r="D5406" t="s">
        <v>300</v>
      </c>
      <c r="E5406" t="s">
        <v>312</v>
      </c>
      <c r="F5406">
        <v>5232</v>
      </c>
      <c r="G5406" t="s">
        <v>302</v>
      </c>
      <c r="H5406">
        <v>12</v>
      </c>
      <c r="I5406" t="s">
        <v>7935</v>
      </c>
      <c r="J5406" t="s">
        <v>294</v>
      </c>
      <c r="M5406" t="s">
        <v>295</v>
      </c>
      <c r="N5406" t="s">
        <v>7</v>
      </c>
      <c r="O5406" t="s">
        <v>297</v>
      </c>
    </row>
    <row r="5407" spans="1:15" x14ac:dyDescent="0.3">
      <c r="A5407" t="s">
        <v>1631</v>
      </c>
      <c r="B5407" t="s">
        <v>7910</v>
      </c>
      <c r="C5407">
        <v>2024</v>
      </c>
      <c r="D5407" t="s">
        <v>300</v>
      </c>
      <c r="E5407" t="s">
        <v>314</v>
      </c>
      <c r="F5407">
        <v>6533</v>
      </c>
      <c r="G5407" t="s">
        <v>302</v>
      </c>
      <c r="H5407">
        <v>12</v>
      </c>
      <c r="I5407" t="s">
        <v>7936</v>
      </c>
      <c r="J5407" t="s">
        <v>294</v>
      </c>
      <c r="M5407" t="s">
        <v>295</v>
      </c>
      <c r="N5407" t="s">
        <v>7</v>
      </c>
      <c r="O5407" t="s">
        <v>297</v>
      </c>
    </row>
    <row r="5408" spans="1:15" x14ac:dyDescent="0.3">
      <c r="A5408" t="s">
        <v>1631</v>
      </c>
      <c r="B5408" t="s">
        <v>7910</v>
      </c>
      <c r="C5408">
        <v>2024</v>
      </c>
      <c r="D5408" t="s">
        <v>300</v>
      </c>
      <c r="E5408" t="s">
        <v>322</v>
      </c>
      <c r="F5408">
        <v>8873</v>
      </c>
      <c r="G5408" t="s">
        <v>302</v>
      </c>
      <c r="H5408">
        <v>12</v>
      </c>
      <c r="I5408" t="s">
        <v>7937</v>
      </c>
      <c r="J5408" t="s">
        <v>294</v>
      </c>
      <c r="M5408" t="s">
        <v>295</v>
      </c>
      <c r="N5408" t="s">
        <v>7</v>
      </c>
      <c r="O5408" t="s">
        <v>297</v>
      </c>
    </row>
    <row r="5409" spans="1:15" x14ac:dyDescent="0.3">
      <c r="A5409" t="s">
        <v>1631</v>
      </c>
      <c r="B5409" t="s">
        <v>7910</v>
      </c>
      <c r="C5409">
        <v>2024</v>
      </c>
      <c r="D5409" t="s">
        <v>300</v>
      </c>
      <c r="E5409" t="s">
        <v>318</v>
      </c>
      <c r="F5409">
        <v>4716</v>
      </c>
      <c r="G5409" t="s">
        <v>302</v>
      </c>
      <c r="H5409">
        <v>12</v>
      </c>
      <c r="I5409" t="s">
        <v>7938</v>
      </c>
      <c r="J5409" t="s">
        <v>294</v>
      </c>
      <c r="M5409" t="s">
        <v>295</v>
      </c>
      <c r="N5409" t="s">
        <v>7</v>
      </c>
      <c r="O5409" t="s">
        <v>297</v>
      </c>
    </row>
    <row r="5410" spans="1:15" x14ac:dyDescent="0.3">
      <c r="A5410" t="s">
        <v>1631</v>
      </c>
      <c r="B5410" t="s">
        <v>7910</v>
      </c>
      <c r="C5410">
        <v>2024</v>
      </c>
      <c r="D5410" t="s">
        <v>300</v>
      </c>
      <c r="E5410" t="s">
        <v>468</v>
      </c>
      <c r="F5410">
        <v>4157</v>
      </c>
      <c r="G5410" t="s">
        <v>302</v>
      </c>
      <c r="H5410">
        <v>12</v>
      </c>
      <c r="I5410" t="s">
        <v>7939</v>
      </c>
      <c r="J5410" t="s">
        <v>294</v>
      </c>
      <c r="M5410" t="s">
        <v>295</v>
      </c>
      <c r="N5410" t="s">
        <v>7</v>
      </c>
      <c r="O5410" t="s">
        <v>297</v>
      </c>
    </row>
    <row r="5411" spans="1:15" x14ac:dyDescent="0.3">
      <c r="A5411" t="s">
        <v>1631</v>
      </c>
      <c r="B5411" t="s">
        <v>7910</v>
      </c>
      <c r="C5411">
        <v>2024</v>
      </c>
      <c r="D5411" t="s">
        <v>300</v>
      </c>
      <c r="E5411" t="s">
        <v>324</v>
      </c>
      <c r="F5411">
        <v>2891</v>
      </c>
      <c r="G5411" t="s">
        <v>302</v>
      </c>
      <c r="H5411">
        <v>12</v>
      </c>
      <c r="I5411" t="s">
        <v>7940</v>
      </c>
      <c r="J5411" t="s">
        <v>294</v>
      </c>
      <c r="M5411" t="s">
        <v>295</v>
      </c>
      <c r="N5411" t="s">
        <v>7</v>
      </c>
      <c r="O5411" t="s">
        <v>297</v>
      </c>
    </row>
    <row r="5412" spans="1:15" x14ac:dyDescent="0.3">
      <c r="A5412" t="s">
        <v>1631</v>
      </c>
      <c r="B5412" t="s">
        <v>7910</v>
      </c>
      <c r="C5412">
        <v>2024</v>
      </c>
      <c r="D5412" t="s">
        <v>300</v>
      </c>
      <c r="E5412" t="s">
        <v>2918</v>
      </c>
      <c r="F5412">
        <v>2628</v>
      </c>
      <c r="G5412" t="s">
        <v>302</v>
      </c>
      <c r="H5412">
        <v>12</v>
      </c>
      <c r="I5412" t="s">
        <v>7941</v>
      </c>
      <c r="J5412" t="s">
        <v>294</v>
      </c>
      <c r="M5412" t="s">
        <v>295</v>
      </c>
      <c r="N5412" t="s">
        <v>7</v>
      </c>
      <c r="O5412" t="s">
        <v>297</v>
      </c>
    </row>
    <row r="5413" spans="1:15" x14ac:dyDescent="0.3">
      <c r="A5413" t="s">
        <v>1631</v>
      </c>
      <c r="B5413" t="s">
        <v>7910</v>
      </c>
      <c r="C5413">
        <v>2024</v>
      </c>
      <c r="D5413" t="s">
        <v>300</v>
      </c>
      <c r="E5413" t="s">
        <v>2667</v>
      </c>
      <c r="F5413">
        <v>1180</v>
      </c>
      <c r="G5413" t="s">
        <v>302</v>
      </c>
      <c r="H5413">
        <v>13</v>
      </c>
      <c r="I5413" t="s">
        <v>7942</v>
      </c>
      <c r="J5413" t="s">
        <v>294</v>
      </c>
      <c r="M5413" t="s">
        <v>295</v>
      </c>
      <c r="N5413" t="s">
        <v>7</v>
      </c>
      <c r="O5413" t="s">
        <v>297</v>
      </c>
    </row>
    <row r="5414" spans="1:15" x14ac:dyDescent="0.3">
      <c r="A5414" t="s">
        <v>1631</v>
      </c>
      <c r="B5414" t="s">
        <v>7910</v>
      </c>
      <c r="C5414">
        <v>2024</v>
      </c>
      <c r="D5414" t="s">
        <v>300</v>
      </c>
      <c r="E5414" t="s">
        <v>595</v>
      </c>
      <c r="F5414">
        <v>2195</v>
      </c>
      <c r="G5414" t="s">
        <v>302</v>
      </c>
      <c r="H5414">
        <v>317</v>
      </c>
      <c r="I5414" t="s">
        <v>7943</v>
      </c>
      <c r="J5414" t="s">
        <v>294</v>
      </c>
      <c r="M5414" t="s">
        <v>295</v>
      </c>
      <c r="N5414" t="s">
        <v>7</v>
      </c>
      <c r="O5414" t="s">
        <v>297</v>
      </c>
    </row>
    <row r="5415" spans="1:15" x14ac:dyDescent="0.3">
      <c r="A5415" t="s">
        <v>1631</v>
      </c>
      <c r="B5415" t="s">
        <v>7910</v>
      </c>
      <c r="C5415">
        <v>2024</v>
      </c>
      <c r="D5415" t="s">
        <v>300</v>
      </c>
      <c r="E5415" t="s">
        <v>2670</v>
      </c>
      <c r="F5415">
        <v>989</v>
      </c>
      <c r="G5415" t="s">
        <v>302</v>
      </c>
      <c r="H5415">
        <v>317</v>
      </c>
      <c r="I5415" t="s">
        <v>7944</v>
      </c>
      <c r="J5415" t="s">
        <v>294</v>
      </c>
      <c r="M5415" t="s">
        <v>295</v>
      </c>
      <c r="N5415" t="s">
        <v>7</v>
      </c>
      <c r="O5415" t="s">
        <v>297</v>
      </c>
    </row>
    <row r="5416" spans="1:15" x14ac:dyDescent="0.3">
      <c r="A5416" t="s">
        <v>1631</v>
      </c>
      <c r="B5416" t="s">
        <v>7910</v>
      </c>
      <c r="C5416">
        <v>2024</v>
      </c>
      <c r="D5416" t="s">
        <v>300</v>
      </c>
      <c r="E5416" t="s">
        <v>475</v>
      </c>
      <c r="F5416">
        <v>3801</v>
      </c>
      <c r="G5416" t="s">
        <v>302</v>
      </c>
      <c r="H5416">
        <v>317</v>
      </c>
      <c r="I5416" t="s">
        <v>7945</v>
      </c>
      <c r="J5416" t="s">
        <v>294</v>
      </c>
      <c r="M5416" t="s">
        <v>295</v>
      </c>
      <c r="N5416" t="s">
        <v>7</v>
      </c>
      <c r="O5416" t="s">
        <v>297</v>
      </c>
    </row>
    <row r="5417" spans="1:15" x14ac:dyDescent="0.3">
      <c r="A5417" t="s">
        <v>1631</v>
      </c>
      <c r="B5417" t="s">
        <v>7910</v>
      </c>
      <c r="C5417">
        <v>2024</v>
      </c>
      <c r="D5417" t="s">
        <v>300</v>
      </c>
      <c r="E5417" t="s">
        <v>7822</v>
      </c>
      <c r="F5417">
        <v>6985</v>
      </c>
      <c r="G5417" t="s">
        <v>302</v>
      </c>
      <c r="H5417">
        <v>317</v>
      </c>
      <c r="I5417" t="s">
        <v>7946</v>
      </c>
      <c r="J5417" t="s">
        <v>294</v>
      </c>
      <c r="M5417" t="s">
        <v>295</v>
      </c>
      <c r="N5417" t="s">
        <v>7</v>
      </c>
      <c r="O5417" t="s">
        <v>297</v>
      </c>
    </row>
    <row r="5418" spans="1:15" x14ac:dyDescent="0.3">
      <c r="A5418" t="s">
        <v>1631</v>
      </c>
      <c r="B5418" t="s">
        <v>7910</v>
      </c>
      <c r="C5418">
        <v>2024</v>
      </c>
      <c r="D5418" t="s">
        <v>300</v>
      </c>
      <c r="E5418" t="s">
        <v>601</v>
      </c>
      <c r="F5418">
        <v>607</v>
      </c>
      <c r="G5418" t="s">
        <v>302</v>
      </c>
      <c r="H5418">
        <v>13</v>
      </c>
      <c r="I5418" t="s">
        <v>7947</v>
      </c>
      <c r="J5418" t="s">
        <v>294</v>
      </c>
      <c r="M5418" t="s">
        <v>295</v>
      </c>
      <c r="N5418" t="s">
        <v>7</v>
      </c>
      <c r="O5418" t="s">
        <v>297</v>
      </c>
    </row>
    <row r="5419" spans="1:15" x14ac:dyDescent="0.3">
      <c r="A5419" t="s">
        <v>1631</v>
      </c>
      <c r="B5419" t="s">
        <v>7910</v>
      </c>
      <c r="C5419">
        <v>2024</v>
      </c>
      <c r="D5419" t="s">
        <v>300</v>
      </c>
      <c r="E5419" t="s">
        <v>603</v>
      </c>
      <c r="F5419">
        <v>465</v>
      </c>
      <c r="G5419" t="s">
        <v>302</v>
      </c>
      <c r="H5419">
        <v>13</v>
      </c>
      <c r="I5419" t="s">
        <v>7948</v>
      </c>
      <c r="J5419" t="s">
        <v>294</v>
      </c>
      <c r="M5419" t="s">
        <v>295</v>
      </c>
      <c r="N5419" t="s">
        <v>7</v>
      </c>
      <c r="O5419" t="s">
        <v>297</v>
      </c>
    </row>
    <row r="5420" spans="1:15" x14ac:dyDescent="0.3">
      <c r="A5420" t="s">
        <v>1631</v>
      </c>
      <c r="B5420" t="s">
        <v>7910</v>
      </c>
      <c r="C5420">
        <v>2024</v>
      </c>
      <c r="D5420" t="s">
        <v>300</v>
      </c>
      <c r="E5420" t="s">
        <v>716</v>
      </c>
      <c r="F5420">
        <v>-1238</v>
      </c>
      <c r="G5420" t="s">
        <v>302</v>
      </c>
      <c r="H5420">
        <v>13</v>
      </c>
      <c r="I5420" t="s">
        <v>7949</v>
      </c>
      <c r="J5420" t="s">
        <v>294</v>
      </c>
      <c r="M5420" t="s">
        <v>295</v>
      </c>
      <c r="N5420" t="s">
        <v>7</v>
      </c>
      <c r="O5420" t="s">
        <v>297</v>
      </c>
    </row>
    <row r="5421" spans="1:15" x14ac:dyDescent="0.3">
      <c r="A5421" t="s">
        <v>1631</v>
      </c>
      <c r="B5421" t="s">
        <v>7910</v>
      </c>
      <c r="C5421">
        <v>2024</v>
      </c>
      <c r="D5421" t="s">
        <v>300</v>
      </c>
      <c r="E5421" t="s">
        <v>487</v>
      </c>
      <c r="F5421">
        <v>19</v>
      </c>
      <c r="G5421" t="s">
        <v>302</v>
      </c>
      <c r="H5421">
        <v>121</v>
      </c>
      <c r="I5421" t="s">
        <v>7950</v>
      </c>
      <c r="J5421" t="s">
        <v>294</v>
      </c>
      <c r="M5421" t="s">
        <v>295</v>
      </c>
      <c r="N5421" t="s">
        <v>7</v>
      </c>
      <c r="O5421" t="s">
        <v>297</v>
      </c>
    </row>
    <row r="5422" spans="1:15" x14ac:dyDescent="0.3">
      <c r="A5422" t="s">
        <v>1631</v>
      </c>
      <c r="B5422" t="s">
        <v>7910</v>
      </c>
      <c r="C5422">
        <v>2024</v>
      </c>
      <c r="D5422" t="s">
        <v>300</v>
      </c>
      <c r="E5422" t="s">
        <v>7951</v>
      </c>
      <c r="F5422">
        <v>230</v>
      </c>
      <c r="G5422" t="s">
        <v>302</v>
      </c>
      <c r="H5422">
        <v>322</v>
      </c>
      <c r="I5422" t="s">
        <v>7952</v>
      </c>
      <c r="J5422" t="s">
        <v>294</v>
      </c>
      <c r="M5422" t="s">
        <v>295</v>
      </c>
      <c r="N5422" t="s">
        <v>7</v>
      </c>
      <c r="O5422" t="s">
        <v>297</v>
      </c>
    </row>
    <row r="5423" spans="1:15" x14ac:dyDescent="0.3">
      <c r="A5423" t="s">
        <v>1631</v>
      </c>
      <c r="B5423" t="s">
        <v>7910</v>
      </c>
      <c r="C5423">
        <v>2024</v>
      </c>
      <c r="D5423" t="s">
        <v>300</v>
      </c>
      <c r="E5423" t="s">
        <v>345</v>
      </c>
      <c r="F5423">
        <v>86.04</v>
      </c>
      <c r="G5423" t="s">
        <v>346</v>
      </c>
      <c r="H5423">
        <v>13</v>
      </c>
      <c r="I5423" t="s">
        <v>7953</v>
      </c>
      <c r="J5423" t="s">
        <v>294</v>
      </c>
      <c r="M5423" t="s">
        <v>295</v>
      </c>
      <c r="N5423" t="s">
        <v>7</v>
      </c>
      <c r="O5423" t="s">
        <v>297</v>
      </c>
    </row>
    <row r="5424" spans="1:15" x14ac:dyDescent="0.3">
      <c r="A5424" t="s">
        <v>1631</v>
      </c>
      <c r="B5424" t="s">
        <v>7910</v>
      </c>
      <c r="C5424">
        <v>2024</v>
      </c>
      <c r="D5424" t="s">
        <v>300</v>
      </c>
      <c r="E5424" t="s">
        <v>326</v>
      </c>
      <c r="F5424">
        <v>1.1094999999999999</v>
      </c>
      <c r="G5424" t="s">
        <v>327</v>
      </c>
      <c r="H5424">
        <v>14</v>
      </c>
      <c r="I5424" t="s">
        <v>7954</v>
      </c>
      <c r="J5424" t="s">
        <v>294</v>
      </c>
      <c r="M5424" t="s">
        <v>295</v>
      </c>
      <c r="N5424" t="s">
        <v>7</v>
      </c>
      <c r="O5424" t="s">
        <v>297</v>
      </c>
    </row>
    <row r="5425" spans="1:15" x14ac:dyDescent="0.3">
      <c r="A5425" t="s">
        <v>1631</v>
      </c>
      <c r="B5425" t="s">
        <v>7910</v>
      </c>
      <c r="C5425">
        <v>2024</v>
      </c>
      <c r="D5425" t="s">
        <v>300</v>
      </c>
      <c r="E5425" t="s">
        <v>7832</v>
      </c>
      <c r="F5425">
        <v>0.75419999999999998</v>
      </c>
      <c r="G5425" t="s">
        <v>334</v>
      </c>
      <c r="H5425">
        <v>14</v>
      </c>
      <c r="I5425" t="s">
        <v>7955</v>
      </c>
      <c r="J5425" t="s">
        <v>294</v>
      </c>
      <c r="M5425" t="s">
        <v>295</v>
      </c>
      <c r="N5425" t="s">
        <v>7</v>
      </c>
      <c r="O5425" t="s">
        <v>297</v>
      </c>
    </row>
    <row r="5426" spans="1:15" x14ac:dyDescent="0.3">
      <c r="A5426" t="s">
        <v>1631</v>
      </c>
      <c r="B5426" t="s">
        <v>7910</v>
      </c>
      <c r="C5426">
        <v>2024</v>
      </c>
      <c r="D5426" t="s">
        <v>300</v>
      </c>
      <c r="E5426" t="s">
        <v>728</v>
      </c>
      <c r="F5426">
        <v>3.069</v>
      </c>
      <c r="G5426" t="s">
        <v>327</v>
      </c>
      <c r="H5426">
        <v>14</v>
      </c>
      <c r="I5426" t="s">
        <v>7956</v>
      </c>
      <c r="J5426" t="s">
        <v>294</v>
      </c>
      <c r="M5426" t="s">
        <v>295</v>
      </c>
      <c r="N5426" t="s">
        <v>7</v>
      </c>
      <c r="O5426" t="s">
        <v>297</v>
      </c>
    </row>
    <row r="5427" spans="1:15" x14ac:dyDescent="0.3">
      <c r="A5427" t="s">
        <v>1631</v>
      </c>
      <c r="B5427" t="s">
        <v>7910</v>
      </c>
      <c r="C5427">
        <v>2024</v>
      </c>
      <c r="D5427" t="s">
        <v>300</v>
      </c>
      <c r="E5427" t="s">
        <v>7957</v>
      </c>
      <c r="F5427">
        <v>2.4500000000000002</v>
      </c>
      <c r="G5427" t="s">
        <v>327</v>
      </c>
      <c r="H5427">
        <v>120</v>
      </c>
      <c r="I5427" t="s">
        <v>7958</v>
      </c>
      <c r="J5427" t="s">
        <v>294</v>
      </c>
      <c r="M5427" t="s">
        <v>295</v>
      </c>
      <c r="N5427" t="s">
        <v>7</v>
      </c>
      <c r="O5427" t="s">
        <v>297</v>
      </c>
    </row>
    <row r="5428" spans="1:15" x14ac:dyDescent="0.3">
      <c r="A5428" t="s">
        <v>1631</v>
      </c>
      <c r="B5428" t="s">
        <v>7910</v>
      </c>
      <c r="C5428">
        <v>2024</v>
      </c>
      <c r="D5428" t="s">
        <v>300</v>
      </c>
      <c r="E5428" t="s">
        <v>1187</v>
      </c>
      <c r="F5428">
        <v>0.31169999999999998</v>
      </c>
      <c r="G5428" t="s">
        <v>334</v>
      </c>
      <c r="H5428">
        <v>14</v>
      </c>
      <c r="I5428" t="s">
        <v>7959</v>
      </c>
      <c r="J5428" t="s">
        <v>294</v>
      </c>
      <c r="M5428" t="s">
        <v>295</v>
      </c>
      <c r="N5428" t="s">
        <v>7</v>
      </c>
      <c r="O5428" t="s">
        <v>297</v>
      </c>
    </row>
    <row r="5429" spans="1:15" x14ac:dyDescent="0.3">
      <c r="A5429" t="s">
        <v>1631</v>
      </c>
      <c r="B5429" t="s">
        <v>7910</v>
      </c>
      <c r="C5429">
        <v>2024</v>
      </c>
      <c r="D5429" t="s">
        <v>300</v>
      </c>
      <c r="E5429" t="s">
        <v>6753</v>
      </c>
      <c r="F5429">
        <v>0.16819999999999999</v>
      </c>
      <c r="G5429" t="s">
        <v>334</v>
      </c>
      <c r="H5429">
        <v>14</v>
      </c>
      <c r="I5429" t="s">
        <v>7960</v>
      </c>
      <c r="J5429" t="s">
        <v>294</v>
      </c>
      <c r="M5429" t="s">
        <v>295</v>
      </c>
      <c r="N5429" t="s">
        <v>7</v>
      </c>
      <c r="O5429" t="s">
        <v>297</v>
      </c>
    </row>
    <row r="5430" spans="1:15" x14ac:dyDescent="0.3">
      <c r="A5430" t="s">
        <v>1631</v>
      </c>
      <c r="B5430" t="s">
        <v>7910</v>
      </c>
      <c r="C5430">
        <v>2024</v>
      </c>
      <c r="D5430" t="s">
        <v>300</v>
      </c>
      <c r="E5430" t="s">
        <v>903</v>
      </c>
      <c r="F5430">
        <v>8.0299999999999996E-2</v>
      </c>
      <c r="G5430" t="s">
        <v>334</v>
      </c>
      <c r="H5430">
        <v>14</v>
      </c>
      <c r="I5430" t="s">
        <v>7961</v>
      </c>
      <c r="J5430" t="s">
        <v>294</v>
      </c>
      <c r="M5430" t="s">
        <v>295</v>
      </c>
      <c r="N5430" t="s">
        <v>7</v>
      </c>
      <c r="O5430" t="s">
        <v>297</v>
      </c>
    </row>
    <row r="5431" spans="1:15" x14ac:dyDescent="0.3">
      <c r="A5431" t="s">
        <v>1631</v>
      </c>
      <c r="B5431" t="s">
        <v>7910</v>
      </c>
      <c r="C5431">
        <v>2024</v>
      </c>
      <c r="D5431" t="s">
        <v>300</v>
      </c>
      <c r="E5431" t="s">
        <v>333</v>
      </c>
      <c r="F5431">
        <v>7.1800000000000003E-2</v>
      </c>
      <c r="G5431" t="s">
        <v>334</v>
      </c>
      <c r="H5431">
        <v>14</v>
      </c>
      <c r="I5431" t="s">
        <v>7962</v>
      </c>
      <c r="J5431" t="s">
        <v>294</v>
      </c>
      <c r="M5431" t="s">
        <v>295</v>
      </c>
      <c r="N5431" t="s">
        <v>7</v>
      </c>
      <c r="O5431" t="s">
        <v>297</v>
      </c>
    </row>
    <row r="5432" spans="1:15" x14ac:dyDescent="0.3">
      <c r="A5432" t="s">
        <v>1631</v>
      </c>
      <c r="B5432" t="s">
        <v>7910</v>
      </c>
      <c r="C5432">
        <v>2024</v>
      </c>
      <c r="D5432" t="s">
        <v>300</v>
      </c>
      <c r="E5432" t="s">
        <v>336</v>
      </c>
      <c r="F5432">
        <v>0.29210000000000003</v>
      </c>
      <c r="G5432" t="s">
        <v>334</v>
      </c>
      <c r="H5432">
        <v>14</v>
      </c>
      <c r="I5432" t="s">
        <v>7963</v>
      </c>
      <c r="J5432" t="s">
        <v>294</v>
      </c>
      <c r="M5432" t="s">
        <v>295</v>
      </c>
      <c r="N5432" t="s">
        <v>7</v>
      </c>
      <c r="O5432" t="s">
        <v>297</v>
      </c>
    </row>
    <row r="5433" spans="1:15" x14ac:dyDescent="0.3">
      <c r="A5433" t="s">
        <v>1631</v>
      </c>
      <c r="B5433" t="s">
        <v>7910</v>
      </c>
      <c r="C5433">
        <v>2024</v>
      </c>
      <c r="D5433" t="s">
        <v>300</v>
      </c>
      <c r="E5433" t="s">
        <v>1048</v>
      </c>
      <c r="F5433">
        <v>1300</v>
      </c>
      <c r="G5433" t="s">
        <v>346</v>
      </c>
      <c r="H5433">
        <v>18</v>
      </c>
      <c r="I5433" t="s">
        <v>7964</v>
      </c>
      <c r="J5433" t="s">
        <v>294</v>
      </c>
      <c r="M5433" t="s">
        <v>295</v>
      </c>
      <c r="N5433" t="s">
        <v>7</v>
      </c>
      <c r="O5433" t="s">
        <v>297</v>
      </c>
    </row>
    <row r="5434" spans="1:15" x14ac:dyDescent="0.3">
      <c r="A5434" t="s">
        <v>1631</v>
      </c>
      <c r="B5434" t="s">
        <v>7910</v>
      </c>
      <c r="C5434">
        <v>2024</v>
      </c>
      <c r="D5434" t="s">
        <v>300</v>
      </c>
      <c r="E5434" t="s">
        <v>1050</v>
      </c>
      <c r="F5434">
        <v>11466</v>
      </c>
      <c r="G5434" t="s">
        <v>302</v>
      </c>
      <c r="H5434">
        <v>18</v>
      </c>
      <c r="I5434" t="s">
        <v>7965</v>
      </c>
      <c r="J5434" t="s">
        <v>294</v>
      </c>
      <c r="M5434" t="s">
        <v>295</v>
      </c>
      <c r="N5434" t="s">
        <v>7</v>
      </c>
      <c r="O5434" t="s">
        <v>297</v>
      </c>
    </row>
    <row r="5435" spans="1:15" x14ac:dyDescent="0.3">
      <c r="A5435" t="s">
        <v>1631</v>
      </c>
      <c r="B5435" t="s">
        <v>7910</v>
      </c>
      <c r="C5435">
        <v>2024</v>
      </c>
      <c r="D5435" t="s">
        <v>300</v>
      </c>
      <c r="E5435" t="s">
        <v>7966</v>
      </c>
      <c r="F5435">
        <v>1305</v>
      </c>
      <c r="G5435" t="s">
        <v>346</v>
      </c>
      <c r="H5435">
        <v>18</v>
      </c>
      <c r="I5435" t="s">
        <v>7967</v>
      </c>
      <c r="J5435" t="s">
        <v>294</v>
      </c>
      <c r="M5435" t="s">
        <v>295</v>
      </c>
      <c r="N5435" t="s">
        <v>7</v>
      </c>
      <c r="O5435" t="s">
        <v>297</v>
      </c>
    </row>
    <row r="5436" spans="1:15" x14ac:dyDescent="0.3">
      <c r="A5436" t="s">
        <v>1631</v>
      </c>
      <c r="B5436" t="s">
        <v>7910</v>
      </c>
      <c r="C5436">
        <v>2024</v>
      </c>
      <c r="D5436" t="s">
        <v>300</v>
      </c>
      <c r="E5436" t="s">
        <v>7968</v>
      </c>
      <c r="F5436">
        <v>965</v>
      </c>
      <c r="G5436" t="s">
        <v>346</v>
      </c>
      <c r="H5436">
        <v>18</v>
      </c>
      <c r="I5436" t="s">
        <v>7969</v>
      </c>
      <c r="J5436" t="s">
        <v>294</v>
      </c>
      <c r="M5436" t="s">
        <v>295</v>
      </c>
      <c r="N5436" t="s">
        <v>7</v>
      </c>
      <c r="O5436" t="s">
        <v>297</v>
      </c>
    </row>
    <row r="5437" spans="1:15" x14ac:dyDescent="0.3">
      <c r="A5437" t="s">
        <v>1631</v>
      </c>
      <c r="B5437" t="s">
        <v>7910</v>
      </c>
      <c r="C5437">
        <v>2024</v>
      </c>
      <c r="D5437" t="s">
        <v>300</v>
      </c>
      <c r="E5437" t="s">
        <v>7970</v>
      </c>
      <c r="F5437">
        <v>0</v>
      </c>
      <c r="G5437" t="s">
        <v>346</v>
      </c>
      <c r="H5437">
        <v>125</v>
      </c>
      <c r="I5437" t="s">
        <v>7971</v>
      </c>
      <c r="J5437" t="s">
        <v>294</v>
      </c>
      <c r="M5437" t="s">
        <v>295</v>
      </c>
      <c r="N5437" t="s">
        <v>7</v>
      </c>
      <c r="O5437" t="s">
        <v>297</v>
      </c>
    </row>
    <row r="5438" spans="1:15" x14ac:dyDescent="0.3">
      <c r="A5438" t="s">
        <v>1631</v>
      </c>
      <c r="B5438" t="s">
        <v>7910</v>
      </c>
      <c r="C5438">
        <v>2024</v>
      </c>
      <c r="D5438" t="s">
        <v>358</v>
      </c>
      <c r="E5438" t="s">
        <v>7849</v>
      </c>
      <c r="F5438">
        <v>115571</v>
      </c>
      <c r="G5438" t="s">
        <v>360</v>
      </c>
      <c r="H5438">
        <v>60</v>
      </c>
      <c r="I5438" t="s">
        <v>7972</v>
      </c>
      <c r="J5438" t="s">
        <v>294</v>
      </c>
      <c r="M5438" t="s">
        <v>295</v>
      </c>
      <c r="N5438" t="s">
        <v>7</v>
      </c>
      <c r="O5438" t="s">
        <v>297</v>
      </c>
    </row>
    <row r="5439" spans="1:15" x14ac:dyDescent="0.3">
      <c r="A5439" t="s">
        <v>1631</v>
      </c>
      <c r="B5439" t="s">
        <v>7910</v>
      </c>
      <c r="C5439">
        <v>2024</v>
      </c>
      <c r="D5439" t="s">
        <v>358</v>
      </c>
      <c r="E5439" t="s">
        <v>362</v>
      </c>
      <c r="F5439">
        <v>93224</v>
      </c>
      <c r="G5439" t="s">
        <v>360</v>
      </c>
      <c r="H5439">
        <v>107</v>
      </c>
      <c r="I5439" t="s">
        <v>7973</v>
      </c>
      <c r="J5439" t="s">
        <v>294</v>
      </c>
      <c r="M5439" t="s">
        <v>295</v>
      </c>
      <c r="N5439" t="s">
        <v>7</v>
      </c>
      <c r="O5439" t="s">
        <v>297</v>
      </c>
    </row>
    <row r="5440" spans="1:15" x14ac:dyDescent="0.3">
      <c r="A5440" t="s">
        <v>1631</v>
      </c>
      <c r="B5440" t="s">
        <v>7910</v>
      </c>
      <c r="C5440">
        <v>2024</v>
      </c>
      <c r="D5440" t="s">
        <v>358</v>
      </c>
      <c r="E5440" t="s">
        <v>364</v>
      </c>
      <c r="F5440">
        <v>22347</v>
      </c>
      <c r="G5440" t="s">
        <v>360</v>
      </c>
      <c r="H5440">
        <v>107</v>
      </c>
      <c r="I5440" t="s">
        <v>7974</v>
      </c>
      <c r="J5440" t="s">
        <v>294</v>
      </c>
      <c r="M5440" t="s">
        <v>295</v>
      </c>
      <c r="N5440" t="s">
        <v>7</v>
      </c>
      <c r="O5440" t="s">
        <v>297</v>
      </c>
    </row>
    <row r="5441" spans="1:15" x14ac:dyDescent="0.3">
      <c r="A5441" t="s">
        <v>1631</v>
      </c>
      <c r="B5441" t="s">
        <v>7910</v>
      </c>
      <c r="C5441">
        <v>2024</v>
      </c>
      <c r="D5441" t="s">
        <v>358</v>
      </c>
      <c r="E5441" t="s">
        <v>3680</v>
      </c>
      <c r="F5441">
        <v>81604</v>
      </c>
      <c r="G5441" t="s">
        <v>360</v>
      </c>
      <c r="H5441">
        <v>60</v>
      </c>
      <c r="I5441" t="s">
        <v>7975</v>
      </c>
      <c r="J5441" t="s">
        <v>294</v>
      </c>
      <c r="M5441" t="s">
        <v>295</v>
      </c>
      <c r="N5441" t="s">
        <v>7</v>
      </c>
      <c r="O5441" t="s">
        <v>297</v>
      </c>
    </row>
    <row r="5442" spans="1:15" x14ac:dyDescent="0.3">
      <c r="A5442" t="s">
        <v>1631</v>
      </c>
      <c r="B5442" t="s">
        <v>7910</v>
      </c>
      <c r="C5442">
        <v>2024</v>
      </c>
      <c r="D5442" t="s">
        <v>358</v>
      </c>
      <c r="E5442" t="s">
        <v>7976</v>
      </c>
      <c r="F5442">
        <v>68941</v>
      </c>
      <c r="G5442" t="s">
        <v>360</v>
      </c>
      <c r="H5442">
        <v>107</v>
      </c>
      <c r="I5442" t="s">
        <v>7977</v>
      </c>
      <c r="J5442" t="s">
        <v>294</v>
      </c>
      <c r="M5442" t="s">
        <v>295</v>
      </c>
      <c r="N5442" t="s">
        <v>7</v>
      </c>
      <c r="O5442" t="s">
        <v>297</v>
      </c>
    </row>
    <row r="5443" spans="1:15" x14ac:dyDescent="0.3">
      <c r="A5443" t="s">
        <v>1631</v>
      </c>
      <c r="B5443" t="s">
        <v>7910</v>
      </c>
      <c r="C5443">
        <v>2024</v>
      </c>
      <c r="D5443" t="s">
        <v>358</v>
      </c>
      <c r="E5443" t="s">
        <v>7978</v>
      </c>
      <c r="F5443">
        <v>12663</v>
      </c>
      <c r="G5443" t="s">
        <v>360</v>
      </c>
      <c r="H5443">
        <v>107</v>
      </c>
      <c r="I5443" t="s">
        <v>7979</v>
      </c>
      <c r="J5443" t="s">
        <v>294</v>
      </c>
      <c r="M5443" t="s">
        <v>295</v>
      </c>
      <c r="N5443" t="s">
        <v>7</v>
      </c>
      <c r="O5443" t="s">
        <v>297</v>
      </c>
    </row>
    <row r="5444" spans="1:15" x14ac:dyDescent="0.3">
      <c r="A5444" t="s">
        <v>1631</v>
      </c>
      <c r="B5444" t="s">
        <v>7910</v>
      </c>
      <c r="C5444">
        <v>2024</v>
      </c>
      <c r="D5444" t="s">
        <v>358</v>
      </c>
      <c r="E5444" t="s">
        <v>3682</v>
      </c>
      <c r="F5444">
        <v>925</v>
      </c>
      <c r="G5444" t="s">
        <v>360</v>
      </c>
      <c r="H5444">
        <v>60</v>
      </c>
      <c r="I5444" t="s">
        <v>7980</v>
      </c>
      <c r="J5444" t="s">
        <v>294</v>
      </c>
      <c r="M5444" t="s">
        <v>295</v>
      </c>
      <c r="N5444" t="s">
        <v>7</v>
      </c>
      <c r="O5444" t="s">
        <v>297</v>
      </c>
    </row>
    <row r="5445" spans="1:15" x14ac:dyDescent="0.3">
      <c r="A5445" t="s">
        <v>1631</v>
      </c>
      <c r="B5445" t="s">
        <v>7910</v>
      </c>
      <c r="C5445">
        <v>2024</v>
      </c>
      <c r="D5445" t="s">
        <v>358</v>
      </c>
      <c r="E5445" t="s">
        <v>7853</v>
      </c>
      <c r="F5445">
        <v>33040</v>
      </c>
      <c r="G5445" t="s">
        <v>360</v>
      </c>
      <c r="H5445">
        <v>60</v>
      </c>
      <c r="I5445" t="s">
        <v>7981</v>
      </c>
      <c r="J5445" t="s">
        <v>294</v>
      </c>
      <c r="M5445" t="s">
        <v>295</v>
      </c>
      <c r="N5445" t="s">
        <v>7</v>
      </c>
      <c r="O5445" t="s">
        <v>297</v>
      </c>
    </row>
    <row r="5446" spans="1:15" x14ac:dyDescent="0.3">
      <c r="A5446" t="s">
        <v>1631</v>
      </c>
      <c r="B5446" t="s">
        <v>7910</v>
      </c>
      <c r="C5446">
        <v>2024</v>
      </c>
      <c r="D5446" t="s">
        <v>358</v>
      </c>
      <c r="E5446" t="s">
        <v>7856</v>
      </c>
      <c r="F5446">
        <v>54714</v>
      </c>
      <c r="G5446" t="s">
        <v>360</v>
      </c>
      <c r="H5446">
        <v>60</v>
      </c>
      <c r="I5446" t="s">
        <v>7982</v>
      </c>
      <c r="J5446" t="s">
        <v>294</v>
      </c>
      <c r="M5446" t="s">
        <v>295</v>
      </c>
      <c r="N5446" t="s">
        <v>7</v>
      </c>
      <c r="O5446" t="s">
        <v>297</v>
      </c>
    </row>
    <row r="5447" spans="1:15" x14ac:dyDescent="0.3">
      <c r="A5447" t="s">
        <v>1631</v>
      </c>
      <c r="B5447" t="s">
        <v>7910</v>
      </c>
      <c r="C5447">
        <v>2024</v>
      </c>
      <c r="D5447" t="s">
        <v>358</v>
      </c>
      <c r="E5447" t="s">
        <v>7983</v>
      </c>
      <c r="F5447">
        <v>22347</v>
      </c>
      <c r="G5447" t="s">
        <v>360</v>
      </c>
      <c r="H5447">
        <v>60</v>
      </c>
      <c r="I5447" t="s">
        <v>7984</v>
      </c>
      <c r="J5447" t="s">
        <v>294</v>
      </c>
      <c r="M5447" t="s">
        <v>295</v>
      </c>
      <c r="N5447" t="s">
        <v>7</v>
      </c>
      <c r="O5447" t="s">
        <v>297</v>
      </c>
    </row>
    <row r="5448" spans="1:15" x14ac:dyDescent="0.3">
      <c r="A5448" t="s">
        <v>1631</v>
      </c>
      <c r="B5448" t="s">
        <v>7910</v>
      </c>
      <c r="C5448">
        <v>2024</v>
      </c>
      <c r="D5448" t="s">
        <v>358</v>
      </c>
      <c r="E5448" t="s">
        <v>7858</v>
      </c>
      <c r="F5448">
        <v>23</v>
      </c>
      <c r="G5448" t="s">
        <v>384</v>
      </c>
      <c r="H5448">
        <v>60</v>
      </c>
      <c r="I5448" t="s">
        <v>7859</v>
      </c>
      <c r="J5448" t="s">
        <v>294</v>
      </c>
      <c r="M5448" t="s">
        <v>295</v>
      </c>
      <c r="N5448" t="s">
        <v>7</v>
      </c>
      <c r="O5448" t="s">
        <v>297</v>
      </c>
    </row>
    <row r="5449" spans="1:15" x14ac:dyDescent="0.3">
      <c r="A5449" t="s">
        <v>1631</v>
      </c>
      <c r="B5449" t="s">
        <v>7910</v>
      </c>
      <c r="C5449">
        <v>2024</v>
      </c>
      <c r="D5449" t="s">
        <v>358</v>
      </c>
      <c r="E5449" t="s">
        <v>7860</v>
      </c>
      <c r="F5449">
        <v>8</v>
      </c>
      <c r="G5449" t="s">
        <v>384</v>
      </c>
      <c r="H5449">
        <v>60</v>
      </c>
      <c r="I5449" t="s">
        <v>7861</v>
      </c>
      <c r="J5449" t="s">
        <v>294</v>
      </c>
      <c r="M5449" t="s">
        <v>295</v>
      </c>
      <c r="N5449" t="s">
        <v>7</v>
      </c>
      <c r="O5449" t="s">
        <v>297</v>
      </c>
    </row>
    <row r="5450" spans="1:15" x14ac:dyDescent="0.3">
      <c r="A5450" t="s">
        <v>1631</v>
      </c>
      <c r="B5450" t="s">
        <v>7910</v>
      </c>
      <c r="C5450">
        <v>2024</v>
      </c>
      <c r="D5450" t="s">
        <v>358</v>
      </c>
      <c r="E5450" t="s">
        <v>934</v>
      </c>
      <c r="F5450">
        <v>540</v>
      </c>
      <c r="G5450" t="s">
        <v>738</v>
      </c>
      <c r="H5450">
        <v>60</v>
      </c>
      <c r="I5450" t="s">
        <v>7862</v>
      </c>
      <c r="J5450" t="s">
        <v>294</v>
      </c>
      <c r="M5450" t="s">
        <v>295</v>
      </c>
      <c r="N5450" t="s">
        <v>7</v>
      </c>
      <c r="O5450" t="s">
        <v>297</v>
      </c>
    </row>
    <row r="5451" spans="1:15" x14ac:dyDescent="0.3">
      <c r="A5451" t="s">
        <v>1631</v>
      </c>
      <c r="B5451" t="s">
        <v>7910</v>
      </c>
      <c r="C5451">
        <v>2024</v>
      </c>
      <c r="D5451" t="s">
        <v>358</v>
      </c>
      <c r="E5451" t="s">
        <v>7863</v>
      </c>
      <c r="F5451">
        <v>8</v>
      </c>
      <c r="G5451" t="s">
        <v>384</v>
      </c>
      <c r="H5451">
        <v>60</v>
      </c>
      <c r="I5451" t="s">
        <v>7864</v>
      </c>
      <c r="J5451" t="s">
        <v>294</v>
      </c>
      <c r="M5451" t="s">
        <v>295</v>
      </c>
      <c r="N5451" t="s">
        <v>7</v>
      </c>
      <c r="O5451" t="s">
        <v>297</v>
      </c>
    </row>
    <row r="5452" spans="1:15" x14ac:dyDescent="0.3">
      <c r="A5452" t="s">
        <v>1631</v>
      </c>
      <c r="B5452" t="s">
        <v>7910</v>
      </c>
      <c r="C5452">
        <v>2024</v>
      </c>
      <c r="D5452" t="s">
        <v>358</v>
      </c>
      <c r="E5452" t="s">
        <v>7870</v>
      </c>
      <c r="F5452">
        <v>2</v>
      </c>
      <c r="G5452" t="s">
        <v>384</v>
      </c>
      <c r="H5452">
        <v>60</v>
      </c>
      <c r="I5452" t="s">
        <v>7985</v>
      </c>
      <c r="J5452" t="s">
        <v>294</v>
      </c>
      <c r="M5452" t="s">
        <v>295</v>
      </c>
      <c r="N5452" t="s">
        <v>7</v>
      </c>
      <c r="O5452" t="s">
        <v>297</v>
      </c>
    </row>
    <row r="5453" spans="1:15" x14ac:dyDescent="0.3">
      <c r="A5453" t="s">
        <v>1631</v>
      </c>
      <c r="B5453" t="s">
        <v>7910</v>
      </c>
      <c r="C5453">
        <v>2024</v>
      </c>
      <c r="D5453" t="s">
        <v>358</v>
      </c>
      <c r="E5453" t="s">
        <v>7986</v>
      </c>
      <c r="F5453">
        <v>1</v>
      </c>
      <c r="G5453" t="s">
        <v>384</v>
      </c>
      <c r="H5453">
        <v>60</v>
      </c>
      <c r="I5453" t="s">
        <v>7987</v>
      </c>
      <c r="J5453" t="s">
        <v>294</v>
      </c>
      <c r="M5453" t="s">
        <v>295</v>
      </c>
      <c r="N5453" t="s">
        <v>7</v>
      </c>
      <c r="O5453" t="s">
        <v>297</v>
      </c>
    </row>
    <row r="5454" spans="1:15" x14ac:dyDescent="0.3">
      <c r="A5454" t="s">
        <v>1631</v>
      </c>
      <c r="B5454" t="s">
        <v>7910</v>
      </c>
      <c r="C5454">
        <v>2024</v>
      </c>
      <c r="D5454" t="s">
        <v>358</v>
      </c>
      <c r="E5454" t="s">
        <v>7988</v>
      </c>
      <c r="F5454">
        <v>1</v>
      </c>
      <c r="G5454" t="s">
        <v>384</v>
      </c>
      <c r="H5454">
        <v>60</v>
      </c>
      <c r="I5454" t="s">
        <v>7989</v>
      </c>
      <c r="J5454" t="s">
        <v>294</v>
      </c>
      <c r="M5454" t="s">
        <v>295</v>
      </c>
      <c r="N5454" t="s">
        <v>7</v>
      </c>
      <c r="O5454" t="s">
        <v>297</v>
      </c>
    </row>
    <row r="5455" spans="1:15" x14ac:dyDescent="0.3">
      <c r="A5455" t="s">
        <v>1631</v>
      </c>
      <c r="B5455" t="s">
        <v>7910</v>
      </c>
      <c r="C5455">
        <v>2024</v>
      </c>
      <c r="D5455" t="s">
        <v>358</v>
      </c>
      <c r="E5455" t="s">
        <v>7523</v>
      </c>
      <c r="F5455">
        <v>850000</v>
      </c>
      <c r="G5455" t="s">
        <v>7865</v>
      </c>
      <c r="H5455">
        <v>62</v>
      </c>
      <c r="I5455" t="s">
        <v>7866</v>
      </c>
      <c r="J5455" t="s">
        <v>294</v>
      </c>
      <c r="M5455" t="s">
        <v>295</v>
      </c>
      <c r="N5455" t="s">
        <v>7</v>
      </c>
      <c r="O5455" t="s">
        <v>297</v>
      </c>
    </row>
    <row r="5456" spans="1:15" x14ac:dyDescent="0.3">
      <c r="A5456" t="s">
        <v>1631</v>
      </c>
      <c r="B5456" t="s">
        <v>7910</v>
      </c>
      <c r="C5456">
        <v>2024</v>
      </c>
      <c r="D5456" t="s">
        <v>358</v>
      </c>
      <c r="E5456" t="s">
        <v>7867</v>
      </c>
      <c r="F5456">
        <v>850000</v>
      </c>
      <c r="G5456" t="s">
        <v>7865</v>
      </c>
      <c r="H5456">
        <v>62</v>
      </c>
      <c r="I5456" t="s">
        <v>7868</v>
      </c>
      <c r="J5456" t="s">
        <v>294</v>
      </c>
      <c r="M5456" t="s">
        <v>295</v>
      </c>
      <c r="N5456" t="s">
        <v>7</v>
      </c>
      <c r="O5456" t="s">
        <v>297</v>
      </c>
    </row>
    <row r="5457" spans="1:15" x14ac:dyDescent="0.3">
      <c r="A5457" t="s">
        <v>1631</v>
      </c>
      <c r="B5457" t="s">
        <v>7910</v>
      </c>
      <c r="C5457">
        <v>2024</v>
      </c>
      <c r="D5457" t="s">
        <v>358</v>
      </c>
      <c r="E5457" t="s">
        <v>7990</v>
      </c>
      <c r="F5457">
        <v>2</v>
      </c>
      <c r="G5457" t="s">
        <v>384</v>
      </c>
      <c r="H5457">
        <v>60</v>
      </c>
      <c r="I5457" t="s">
        <v>7991</v>
      </c>
      <c r="J5457" t="s">
        <v>294</v>
      </c>
      <c r="M5457" t="s">
        <v>295</v>
      </c>
      <c r="N5457" t="s">
        <v>7</v>
      </c>
      <c r="O5457" t="s">
        <v>297</v>
      </c>
    </row>
    <row r="5458" spans="1:15" x14ac:dyDescent="0.3">
      <c r="A5458" t="s">
        <v>1631</v>
      </c>
      <c r="B5458" t="s">
        <v>7910</v>
      </c>
      <c r="C5458">
        <v>2024</v>
      </c>
      <c r="D5458" t="s">
        <v>358</v>
      </c>
      <c r="E5458" t="s">
        <v>7525</v>
      </c>
      <c r="F5458">
        <v>192000</v>
      </c>
      <c r="G5458" t="s">
        <v>7865</v>
      </c>
      <c r="H5458">
        <v>62</v>
      </c>
      <c r="I5458" t="s">
        <v>7869</v>
      </c>
      <c r="J5458" t="s">
        <v>294</v>
      </c>
      <c r="M5458" t="s">
        <v>295</v>
      </c>
      <c r="N5458" t="s">
        <v>7</v>
      </c>
      <c r="O5458" t="s">
        <v>297</v>
      </c>
    </row>
    <row r="5459" spans="1:15" x14ac:dyDescent="0.3">
      <c r="A5459" t="s">
        <v>1631</v>
      </c>
      <c r="B5459" t="s">
        <v>7910</v>
      </c>
      <c r="C5459">
        <v>2024</v>
      </c>
      <c r="D5459" t="s">
        <v>394</v>
      </c>
      <c r="E5459" t="s">
        <v>4451</v>
      </c>
      <c r="F5459">
        <v>1562446</v>
      </c>
      <c r="G5459" t="s">
        <v>396</v>
      </c>
      <c r="H5459">
        <v>16</v>
      </c>
      <c r="I5459" t="s">
        <v>7992</v>
      </c>
      <c r="J5459" t="s">
        <v>294</v>
      </c>
      <c r="M5459" t="s">
        <v>295</v>
      </c>
      <c r="N5459" t="s">
        <v>7</v>
      </c>
      <c r="O5459" t="s">
        <v>297</v>
      </c>
    </row>
    <row r="5460" spans="1:15" x14ac:dyDescent="0.3">
      <c r="A5460" t="s">
        <v>1631</v>
      </c>
      <c r="B5460" t="s">
        <v>7910</v>
      </c>
      <c r="C5460">
        <v>2024</v>
      </c>
      <c r="D5460" t="s">
        <v>394</v>
      </c>
      <c r="E5460" t="s">
        <v>7875</v>
      </c>
      <c r="F5460">
        <v>134421</v>
      </c>
      <c r="G5460" t="s">
        <v>396</v>
      </c>
      <c r="H5460">
        <v>16</v>
      </c>
      <c r="I5460" t="s">
        <v>7993</v>
      </c>
      <c r="J5460" t="s">
        <v>294</v>
      </c>
      <c r="M5460" t="s">
        <v>295</v>
      </c>
      <c r="N5460" t="s">
        <v>7</v>
      </c>
      <c r="O5460" t="s">
        <v>297</v>
      </c>
    </row>
    <row r="5461" spans="1:15" x14ac:dyDescent="0.3">
      <c r="A5461" t="s">
        <v>1631</v>
      </c>
      <c r="B5461" t="s">
        <v>7910</v>
      </c>
      <c r="C5461">
        <v>2024</v>
      </c>
      <c r="D5461" t="s">
        <v>394</v>
      </c>
      <c r="E5461" t="s">
        <v>7877</v>
      </c>
      <c r="F5461">
        <v>488647</v>
      </c>
      <c r="G5461" t="s">
        <v>396</v>
      </c>
      <c r="H5461">
        <v>16</v>
      </c>
      <c r="I5461" t="s">
        <v>7994</v>
      </c>
      <c r="J5461" t="s">
        <v>294</v>
      </c>
      <c r="M5461" t="s">
        <v>295</v>
      </c>
      <c r="N5461" t="s">
        <v>7</v>
      </c>
      <c r="O5461" t="s">
        <v>297</v>
      </c>
    </row>
    <row r="5462" spans="1:15" x14ac:dyDescent="0.3">
      <c r="A5462" t="s">
        <v>1631</v>
      </c>
      <c r="B5462" t="s">
        <v>7910</v>
      </c>
      <c r="C5462">
        <v>2024</v>
      </c>
      <c r="D5462" t="s">
        <v>394</v>
      </c>
      <c r="E5462" t="s">
        <v>531</v>
      </c>
      <c r="F5462">
        <v>2185514</v>
      </c>
      <c r="G5462" t="s">
        <v>396</v>
      </c>
      <c r="H5462">
        <v>16</v>
      </c>
      <c r="I5462" t="s">
        <v>7995</v>
      </c>
      <c r="J5462" t="s">
        <v>294</v>
      </c>
      <c r="M5462" t="s">
        <v>295</v>
      </c>
      <c r="N5462" t="s">
        <v>7</v>
      </c>
      <c r="O5462" t="s">
        <v>297</v>
      </c>
    </row>
    <row r="5463" spans="1:15" x14ac:dyDescent="0.3">
      <c r="A5463" t="s">
        <v>1631</v>
      </c>
      <c r="B5463" t="s">
        <v>7910</v>
      </c>
      <c r="C5463">
        <v>2024</v>
      </c>
      <c r="D5463" t="s">
        <v>394</v>
      </c>
      <c r="E5463" t="s">
        <v>6782</v>
      </c>
      <c r="F5463">
        <v>2118160</v>
      </c>
      <c r="G5463" t="s">
        <v>396</v>
      </c>
      <c r="H5463">
        <v>16</v>
      </c>
      <c r="I5463" t="s">
        <v>7996</v>
      </c>
      <c r="J5463" t="s">
        <v>294</v>
      </c>
      <c r="M5463" t="s">
        <v>295</v>
      </c>
      <c r="N5463" t="s">
        <v>7</v>
      </c>
      <c r="O5463" t="s">
        <v>297</v>
      </c>
    </row>
    <row r="5464" spans="1:15" x14ac:dyDescent="0.3">
      <c r="A5464" t="s">
        <v>1631</v>
      </c>
      <c r="B5464" t="s">
        <v>7910</v>
      </c>
      <c r="C5464">
        <v>2024</v>
      </c>
      <c r="D5464" t="s">
        <v>394</v>
      </c>
      <c r="E5464" t="s">
        <v>406</v>
      </c>
      <c r="F5464">
        <v>461414</v>
      </c>
      <c r="G5464" t="s">
        <v>396</v>
      </c>
      <c r="H5464">
        <v>17</v>
      </c>
      <c r="I5464" t="s">
        <v>7997</v>
      </c>
      <c r="J5464" t="s">
        <v>294</v>
      </c>
      <c r="M5464" t="s">
        <v>295</v>
      </c>
      <c r="N5464" t="s">
        <v>7</v>
      </c>
      <c r="O5464" t="s">
        <v>297</v>
      </c>
    </row>
    <row r="5465" spans="1:15" x14ac:dyDescent="0.3">
      <c r="A5465" t="s">
        <v>1631</v>
      </c>
      <c r="B5465" t="s">
        <v>7910</v>
      </c>
      <c r="C5465">
        <v>2024</v>
      </c>
      <c r="D5465" t="s">
        <v>394</v>
      </c>
      <c r="E5465" t="s">
        <v>4456</v>
      </c>
      <c r="F5465">
        <v>89833</v>
      </c>
      <c r="G5465" t="s">
        <v>396</v>
      </c>
      <c r="H5465">
        <v>17</v>
      </c>
      <c r="I5465" t="s">
        <v>7998</v>
      </c>
      <c r="J5465" t="s">
        <v>294</v>
      </c>
      <c r="M5465" t="s">
        <v>295</v>
      </c>
      <c r="N5465" t="s">
        <v>7</v>
      </c>
      <c r="O5465" t="s">
        <v>297</v>
      </c>
    </row>
    <row r="5466" spans="1:15" x14ac:dyDescent="0.3">
      <c r="A5466" t="s">
        <v>1631</v>
      </c>
      <c r="B5466" t="s">
        <v>7910</v>
      </c>
      <c r="C5466">
        <v>2024</v>
      </c>
      <c r="D5466" t="s">
        <v>394</v>
      </c>
      <c r="E5466" t="s">
        <v>418</v>
      </c>
      <c r="F5466">
        <v>20388</v>
      </c>
      <c r="G5466" t="s">
        <v>396</v>
      </c>
      <c r="H5466">
        <v>17</v>
      </c>
      <c r="I5466" t="s">
        <v>7999</v>
      </c>
      <c r="J5466" t="s">
        <v>294</v>
      </c>
      <c r="M5466" t="s">
        <v>295</v>
      </c>
      <c r="N5466" t="s">
        <v>7</v>
      </c>
      <c r="O5466" t="s">
        <v>297</v>
      </c>
    </row>
    <row r="5467" spans="1:15" x14ac:dyDescent="0.3">
      <c r="A5467" t="s">
        <v>1631</v>
      </c>
      <c r="B5467" t="s">
        <v>7910</v>
      </c>
      <c r="C5467">
        <v>2024</v>
      </c>
      <c r="D5467" t="s">
        <v>394</v>
      </c>
      <c r="E5467" t="s">
        <v>408</v>
      </c>
      <c r="F5467">
        <v>387457</v>
      </c>
      <c r="G5467" t="s">
        <v>396</v>
      </c>
      <c r="H5467">
        <v>17</v>
      </c>
      <c r="I5467" t="s">
        <v>8000</v>
      </c>
      <c r="J5467" t="s">
        <v>294</v>
      </c>
      <c r="M5467" t="s">
        <v>295</v>
      </c>
      <c r="N5467" t="s">
        <v>7</v>
      </c>
      <c r="O5467" t="s">
        <v>297</v>
      </c>
    </row>
    <row r="5468" spans="1:15" x14ac:dyDescent="0.3">
      <c r="A5468" t="s">
        <v>1631</v>
      </c>
      <c r="B5468" t="s">
        <v>7910</v>
      </c>
      <c r="C5468">
        <v>2024</v>
      </c>
      <c r="D5468" t="s">
        <v>394</v>
      </c>
      <c r="E5468" t="s">
        <v>7885</v>
      </c>
      <c r="F5468">
        <v>296405</v>
      </c>
      <c r="G5468" t="s">
        <v>396</v>
      </c>
      <c r="H5468">
        <v>17</v>
      </c>
      <c r="I5468" t="s">
        <v>8001</v>
      </c>
      <c r="J5468" t="s">
        <v>294</v>
      </c>
      <c r="M5468" t="s">
        <v>295</v>
      </c>
      <c r="N5468" t="s">
        <v>7</v>
      </c>
      <c r="O5468" t="s">
        <v>297</v>
      </c>
    </row>
    <row r="5469" spans="1:15" x14ac:dyDescent="0.3">
      <c r="A5469" t="s">
        <v>1631</v>
      </c>
      <c r="B5469" t="s">
        <v>7910</v>
      </c>
      <c r="C5469">
        <v>2024</v>
      </c>
      <c r="D5469" t="s">
        <v>394</v>
      </c>
      <c r="E5469" t="s">
        <v>7887</v>
      </c>
      <c r="F5469">
        <v>67660</v>
      </c>
      <c r="G5469" t="s">
        <v>396</v>
      </c>
      <c r="H5469">
        <v>17</v>
      </c>
      <c r="I5469" t="s">
        <v>8002</v>
      </c>
      <c r="J5469" t="s">
        <v>294</v>
      </c>
      <c r="M5469" t="s">
        <v>295</v>
      </c>
      <c r="N5469" t="s">
        <v>7</v>
      </c>
      <c r="O5469" t="s">
        <v>297</v>
      </c>
    </row>
    <row r="5470" spans="1:15" x14ac:dyDescent="0.3">
      <c r="A5470" t="s">
        <v>1631</v>
      </c>
      <c r="B5470" t="s">
        <v>7910</v>
      </c>
      <c r="C5470">
        <v>2024</v>
      </c>
      <c r="D5470" t="s">
        <v>394</v>
      </c>
      <c r="E5470" t="s">
        <v>414</v>
      </c>
      <c r="F5470">
        <v>15064</v>
      </c>
      <c r="G5470" t="s">
        <v>396</v>
      </c>
      <c r="H5470">
        <v>17</v>
      </c>
      <c r="I5470" t="s">
        <v>8003</v>
      </c>
      <c r="J5470" t="s">
        <v>294</v>
      </c>
      <c r="M5470" t="s">
        <v>295</v>
      </c>
      <c r="N5470" t="s">
        <v>7</v>
      </c>
      <c r="O5470" t="s">
        <v>297</v>
      </c>
    </row>
    <row r="5471" spans="1:15" x14ac:dyDescent="0.3">
      <c r="A5471" t="s">
        <v>1631</v>
      </c>
      <c r="B5471" t="s">
        <v>7910</v>
      </c>
      <c r="C5471">
        <v>2024</v>
      </c>
      <c r="D5471" t="s">
        <v>394</v>
      </c>
      <c r="E5471" t="s">
        <v>7890</v>
      </c>
      <c r="F5471">
        <v>21099</v>
      </c>
      <c r="G5471" t="s">
        <v>396</v>
      </c>
      <c r="H5471">
        <v>17</v>
      </c>
      <c r="I5471" t="s">
        <v>8004</v>
      </c>
      <c r="J5471" t="s">
        <v>294</v>
      </c>
      <c r="M5471" t="s">
        <v>295</v>
      </c>
      <c r="N5471" t="s">
        <v>7</v>
      </c>
      <c r="O5471" t="s">
        <v>297</v>
      </c>
    </row>
    <row r="5472" spans="1:15" x14ac:dyDescent="0.3">
      <c r="A5472" t="s">
        <v>1631</v>
      </c>
      <c r="B5472" t="s">
        <v>7910</v>
      </c>
      <c r="C5472">
        <v>2024</v>
      </c>
      <c r="D5472" t="s">
        <v>394</v>
      </c>
      <c r="E5472" t="s">
        <v>420</v>
      </c>
      <c r="F5472">
        <v>28086</v>
      </c>
      <c r="G5472" t="s">
        <v>396</v>
      </c>
      <c r="H5472">
        <v>17</v>
      </c>
      <c r="I5472" t="s">
        <v>8005</v>
      </c>
      <c r="J5472" t="s">
        <v>294</v>
      </c>
      <c r="M5472" t="s">
        <v>295</v>
      </c>
      <c r="N5472" t="s">
        <v>7</v>
      </c>
      <c r="O5472" t="s">
        <v>297</v>
      </c>
    </row>
    <row r="5473" spans="1:15" x14ac:dyDescent="0.3">
      <c r="A5473" t="s">
        <v>1631</v>
      </c>
      <c r="B5473" t="s">
        <v>7910</v>
      </c>
      <c r="C5473">
        <v>2024</v>
      </c>
      <c r="D5473" t="s">
        <v>394</v>
      </c>
      <c r="E5473" t="s">
        <v>7893</v>
      </c>
      <c r="F5473">
        <v>815771</v>
      </c>
      <c r="G5473" t="s">
        <v>396</v>
      </c>
      <c r="H5473">
        <v>17</v>
      </c>
      <c r="I5473" t="s">
        <v>8006</v>
      </c>
      <c r="J5473" t="s">
        <v>294</v>
      </c>
      <c r="M5473" t="s">
        <v>295</v>
      </c>
      <c r="N5473" t="s">
        <v>7</v>
      </c>
      <c r="O5473" t="s">
        <v>297</v>
      </c>
    </row>
    <row r="5474" spans="1:15" x14ac:dyDescent="0.3">
      <c r="A5474" t="s">
        <v>1631</v>
      </c>
      <c r="B5474" t="s">
        <v>7910</v>
      </c>
      <c r="C5474">
        <v>2024</v>
      </c>
      <c r="D5474" t="s">
        <v>394</v>
      </c>
      <c r="E5474" t="s">
        <v>7644</v>
      </c>
      <c r="F5474">
        <v>806332</v>
      </c>
      <c r="G5474" t="s">
        <v>396</v>
      </c>
      <c r="H5474">
        <v>17</v>
      </c>
      <c r="I5474" t="s">
        <v>8007</v>
      </c>
      <c r="J5474" t="s">
        <v>294</v>
      </c>
      <c r="M5474" t="s">
        <v>295</v>
      </c>
      <c r="N5474" t="s">
        <v>7</v>
      </c>
      <c r="O5474" t="s">
        <v>297</v>
      </c>
    </row>
    <row r="5475" spans="1:15" x14ac:dyDescent="0.3">
      <c r="A5475" t="s">
        <v>1631</v>
      </c>
      <c r="B5475" t="s">
        <v>7910</v>
      </c>
      <c r="C5475">
        <v>2024</v>
      </c>
      <c r="D5475" t="s">
        <v>394</v>
      </c>
      <c r="E5475" t="s">
        <v>7540</v>
      </c>
      <c r="F5475">
        <v>0.218</v>
      </c>
      <c r="G5475" t="s">
        <v>334</v>
      </c>
      <c r="H5475">
        <v>108</v>
      </c>
      <c r="I5475" t="s">
        <v>8008</v>
      </c>
      <c r="J5475" t="s">
        <v>294</v>
      </c>
      <c r="M5475" t="s">
        <v>295</v>
      </c>
      <c r="N5475" t="s">
        <v>7</v>
      </c>
      <c r="O5475" t="s">
        <v>297</v>
      </c>
    </row>
    <row r="5476" spans="1:15" x14ac:dyDescent="0.3">
      <c r="A5476" t="s">
        <v>1631</v>
      </c>
      <c r="B5476" t="s">
        <v>7910</v>
      </c>
      <c r="C5476">
        <v>2024</v>
      </c>
      <c r="D5476" t="s">
        <v>394</v>
      </c>
      <c r="E5476" t="s">
        <v>8009</v>
      </c>
      <c r="F5476">
        <v>0.4748</v>
      </c>
      <c r="G5476" t="s">
        <v>334</v>
      </c>
      <c r="H5476">
        <v>110</v>
      </c>
      <c r="I5476" t="s">
        <v>8010</v>
      </c>
      <c r="J5476" t="s">
        <v>294</v>
      </c>
      <c r="M5476" t="s">
        <v>295</v>
      </c>
      <c r="N5476" t="s">
        <v>7</v>
      </c>
      <c r="O5476" t="s">
        <v>297</v>
      </c>
    </row>
    <row r="5477" spans="1:15" x14ac:dyDescent="0.3">
      <c r="A5477" t="s">
        <v>1631</v>
      </c>
      <c r="B5477" t="s">
        <v>7910</v>
      </c>
      <c r="C5477">
        <v>2024</v>
      </c>
      <c r="D5477" t="s">
        <v>394</v>
      </c>
      <c r="E5477" t="s">
        <v>8011</v>
      </c>
      <c r="F5477">
        <v>0.42709999999999998</v>
      </c>
      <c r="G5477" t="s">
        <v>334</v>
      </c>
      <c r="H5477">
        <v>110</v>
      </c>
      <c r="I5477" t="s">
        <v>8012</v>
      </c>
      <c r="J5477" t="s">
        <v>294</v>
      </c>
      <c r="M5477" t="s">
        <v>295</v>
      </c>
      <c r="N5477" t="s">
        <v>7</v>
      </c>
      <c r="O5477" t="s">
        <v>297</v>
      </c>
    </row>
    <row r="5478" spans="1:15" x14ac:dyDescent="0.3">
      <c r="A5478" t="s">
        <v>1631</v>
      </c>
      <c r="B5478" t="s">
        <v>7910</v>
      </c>
      <c r="C5478">
        <v>2024</v>
      </c>
      <c r="D5478" t="s">
        <v>394</v>
      </c>
      <c r="E5478" t="s">
        <v>8013</v>
      </c>
      <c r="F5478">
        <v>0.25509999999999999</v>
      </c>
      <c r="G5478" t="s">
        <v>334</v>
      </c>
      <c r="H5478">
        <v>110</v>
      </c>
      <c r="I5478" t="s">
        <v>8014</v>
      </c>
      <c r="J5478" t="s">
        <v>294</v>
      </c>
      <c r="M5478" t="s">
        <v>295</v>
      </c>
      <c r="N5478" t="s">
        <v>7</v>
      </c>
      <c r="O5478" t="s">
        <v>297</v>
      </c>
    </row>
    <row r="5479" spans="1:15" x14ac:dyDescent="0.3">
      <c r="A5479" t="s">
        <v>1631</v>
      </c>
      <c r="B5479" t="s">
        <v>7910</v>
      </c>
      <c r="C5479">
        <v>2024</v>
      </c>
      <c r="D5479" t="s">
        <v>394</v>
      </c>
      <c r="E5479" t="s">
        <v>7902</v>
      </c>
      <c r="F5479">
        <v>5.3</v>
      </c>
      <c r="G5479" t="s">
        <v>7903</v>
      </c>
      <c r="H5479">
        <v>60</v>
      </c>
      <c r="I5479" t="s">
        <v>8015</v>
      </c>
      <c r="J5479" t="s">
        <v>294</v>
      </c>
      <c r="M5479" t="s">
        <v>295</v>
      </c>
      <c r="N5479" t="s">
        <v>7</v>
      </c>
      <c r="O5479" t="s">
        <v>297</v>
      </c>
    </row>
    <row r="5480" spans="1:15" x14ac:dyDescent="0.3">
      <c r="A5480" t="s">
        <v>1631</v>
      </c>
      <c r="B5480" t="s">
        <v>7910</v>
      </c>
      <c r="C5480">
        <v>2024</v>
      </c>
      <c r="D5480" t="s">
        <v>394</v>
      </c>
      <c r="E5480" t="s">
        <v>438</v>
      </c>
      <c r="F5480">
        <v>273898</v>
      </c>
      <c r="G5480" t="s">
        <v>396</v>
      </c>
      <c r="H5480">
        <v>17</v>
      </c>
      <c r="I5480" t="s">
        <v>8016</v>
      </c>
      <c r="J5480" t="s">
        <v>294</v>
      </c>
      <c r="M5480" t="s">
        <v>295</v>
      </c>
      <c r="N5480" t="s">
        <v>7</v>
      </c>
      <c r="O5480" t="s">
        <v>297</v>
      </c>
    </row>
    <row r="5481" spans="1:15" x14ac:dyDescent="0.3">
      <c r="A5481" t="s">
        <v>1631</v>
      </c>
      <c r="B5481" t="s">
        <v>7910</v>
      </c>
      <c r="C5481">
        <v>2024</v>
      </c>
      <c r="D5481" t="s">
        <v>394</v>
      </c>
      <c r="E5481" t="s">
        <v>8017</v>
      </c>
      <c r="F5481">
        <v>4234</v>
      </c>
      <c r="G5481" t="s">
        <v>302</v>
      </c>
      <c r="H5481">
        <v>17</v>
      </c>
      <c r="I5481" t="s">
        <v>8018</v>
      </c>
      <c r="J5481" t="s">
        <v>294</v>
      </c>
      <c r="M5481" t="s">
        <v>295</v>
      </c>
      <c r="N5481" t="s">
        <v>7</v>
      </c>
      <c r="O5481" t="s">
        <v>297</v>
      </c>
    </row>
    <row r="5482" spans="1:15" x14ac:dyDescent="0.3">
      <c r="A5482" t="s">
        <v>1631</v>
      </c>
      <c r="B5482" t="s">
        <v>7910</v>
      </c>
      <c r="C5482">
        <v>2024</v>
      </c>
      <c r="D5482" t="s">
        <v>394</v>
      </c>
      <c r="E5482" t="s">
        <v>8019</v>
      </c>
      <c r="F5482">
        <v>4843</v>
      </c>
      <c r="G5482" t="s">
        <v>302</v>
      </c>
      <c r="H5482">
        <v>108</v>
      </c>
      <c r="I5482" t="s">
        <v>8020</v>
      </c>
      <c r="J5482" t="s">
        <v>294</v>
      </c>
      <c r="M5482" t="s">
        <v>295</v>
      </c>
      <c r="N5482" t="s">
        <v>7</v>
      </c>
      <c r="O5482" t="s">
        <v>297</v>
      </c>
    </row>
    <row r="5483" spans="1:15" x14ac:dyDescent="0.3">
      <c r="A5483" t="s">
        <v>1631</v>
      </c>
      <c r="B5483" t="s">
        <v>7910</v>
      </c>
      <c r="C5483">
        <v>2024</v>
      </c>
      <c r="D5483" t="s">
        <v>394</v>
      </c>
      <c r="E5483" t="s">
        <v>8021</v>
      </c>
      <c r="F5483">
        <v>0.46029999999999999</v>
      </c>
      <c r="G5483" t="s">
        <v>334</v>
      </c>
      <c r="H5483">
        <v>108</v>
      </c>
      <c r="I5483" t="s">
        <v>8022</v>
      </c>
      <c r="J5483" t="s">
        <v>294</v>
      </c>
      <c r="M5483" t="s">
        <v>295</v>
      </c>
      <c r="N5483" t="s">
        <v>7</v>
      </c>
      <c r="O5483" t="s">
        <v>297</v>
      </c>
    </row>
    <row r="5484" spans="1:15" x14ac:dyDescent="0.3">
      <c r="A5484" t="s">
        <v>1631</v>
      </c>
      <c r="B5484" t="s">
        <v>7910</v>
      </c>
      <c r="C5484">
        <v>2024</v>
      </c>
      <c r="D5484" t="s">
        <v>394</v>
      </c>
      <c r="E5484" t="s">
        <v>8023</v>
      </c>
      <c r="F5484">
        <v>5883</v>
      </c>
      <c r="G5484" t="s">
        <v>384</v>
      </c>
      <c r="H5484">
        <v>60</v>
      </c>
      <c r="I5484" t="s">
        <v>8024</v>
      </c>
      <c r="J5484" t="s">
        <v>294</v>
      </c>
      <c r="M5484" t="s">
        <v>295</v>
      </c>
      <c r="N5484" t="s">
        <v>7</v>
      </c>
      <c r="O5484" t="s">
        <v>297</v>
      </c>
    </row>
    <row r="5485" spans="1:15" x14ac:dyDescent="0.3">
      <c r="A5485" t="s">
        <v>1631</v>
      </c>
      <c r="B5485" t="s">
        <v>7910</v>
      </c>
      <c r="C5485">
        <v>2024</v>
      </c>
      <c r="D5485" t="s">
        <v>563</v>
      </c>
      <c r="E5485" t="s">
        <v>7863</v>
      </c>
      <c r="F5485">
        <v>8</v>
      </c>
      <c r="G5485" t="s">
        <v>384</v>
      </c>
      <c r="H5485">
        <v>60</v>
      </c>
      <c r="I5485" t="s">
        <v>8025</v>
      </c>
      <c r="J5485" t="s">
        <v>294</v>
      </c>
      <c r="M5485" t="s">
        <v>295</v>
      </c>
      <c r="N5485" t="s">
        <v>7</v>
      </c>
      <c r="O5485" t="s">
        <v>297</v>
      </c>
    </row>
    <row r="5486" spans="1:15" x14ac:dyDescent="0.3">
      <c r="A5486" t="s">
        <v>1631</v>
      </c>
      <c r="B5486" t="s">
        <v>7910</v>
      </c>
      <c r="C5486">
        <v>2024</v>
      </c>
      <c r="D5486" t="s">
        <v>252</v>
      </c>
      <c r="E5486" t="s">
        <v>7905</v>
      </c>
      <c r="F5486" t="s">
        <v>7906</v>
      </c>
      <c r="G5486" t="s">
        <v>666</v>
      </c>
      <c r="H5486">
        <v>56</v>
      </c>
      <c r="I5486" t="s">
        <v>8026</v>
      </c>
      <c r="J5486" t="s">
        <v>294</v>
      </c>
      <c r="M5486" t="s">
        <v>295</v>
      </c>
      <c r="N5486" t="s">
        <v>7</v>
      </c>
      <c r="O5486" t="s">
        <v>297</v>
      </c>
    </row>
    <row r="5487" spans="1:15" x14ac:dyDescent="0.3">
      <c r="A5487" t="s">
        <v>1631</v>
      </c>
      <c r="B5487" t="s">
        <v>7910</v>
      </c>
      <c r="C5487">
        <v>2024</v>
      </c>
      <c r="D5487" t="s">
        <v>252</v>
      </c>
      <c r="E5487" t="s">
        <v>8027</v>
      </c>
      <c r="F5487">
        <v>10</v>
      </c>
      <c r="G5487" t="s">
        <v>384</v>
      </c>
      <c r="H5487">
        <v>55</v>
      </c>
      <c r="I5487" t="s">
        <v>8028</v>
      </c>
      <c r="J5487" t="s">
        <v>294</v>
      </c>
      <c r="M5487" t="s">
        <v>295</v>
      </c>
      <c r="N5487" t="s">
        <v>7</v>
      </c>
      <c r="O5487" t="s">
        <v>297</v>
      </c>
    </row>
    <row r="5488" spans="1:15" x14ac:dyDescent="0.3">
      <c r="A5488" t="s">
        <v>1631</v>
      </c>
      <c r="B5488" t="s">
        <v>8029</v>
      </c>
      <c r="C5488">
        <v>2025</v>
      </c>
      <c r="D5488" t="s">
        <v>272</v>
      </c>
      <c r="E5488" t="s">
        <v>291</v>
      </c>
      <c r="F5488" t="s">
        <v>1631</v>
      </c>
      <c r="G5488" t="s">
        <v>292</v>
      </c>
      <c r="H5488">
        <v>1</v>
      </c>
      <c r="I5488" t="s">
        <v>1631</v>
      </c>
      <c r="J5488" t="s">
        <v>294</v>
      </c>
      <c r="M5488" t="s">
        <v>295</v>
      </c>
      <c r="N5488" t="s">
        <v>7</v>
      </c>
      <c r="O5488" t="s">
        <v>297</v>
      </c>
    </row>
    <row r="5489" spans="1:15" x14ac:dyDescent="0.3">
      <c r="A5489" t="s">
        <v>1631</v>
      </c>
      <c r="B5489" t="s">
        <v>8029</v>
      </c>
      <c r="C5489">
        <v>2025</v>
      </c>
      <c r="D5489" t="s">
        <v>272</v>
      </c>
      <c r="E5489" t="s">
        <v>8030</v>
      </c>
      <c r="F5489" t="s">
        <v>8031</v>
      </c>
      <c r="G5489" t="s">
        <v>334</v>
      </c>
      <c r="H5489">
        <v>24</v>
      </c>
      <c r="I5489" t="s">
        <v>8032</v>
      </c>
      <c r="J5489" t="s">
        <v>294</v>
      </c>
      <c r="M5489" t="s">
        <v>295</v>
      </c>
      <c r="N5489" t="s">
        <v>7</v>
      </c>
      <c r="O5489" t="s">
        <v>297</v>
      </c>
    </row>
    <row r="5490" spans="1:15" x14ac:dyDescent="0.3">
      <c r="A5490" t="s">
        <v>1631</v>
      </c>
      <c r="B5490" t="s">
        <v>8029</v>
      </c>
      <c r="C5490">
        <v>2025</v>
      </c>
      <c r="D5490" t="s">
        <v>272</v>
      </c>
      <c r="E5490" t="s">
        <v>3134</v>
      </c>
      <c r="F5490" t="s">
        <v>8033</v>
      </c>
      <c r="G5490" t="s">
        <v>334</v>
      </c>
      <c r="H5490">
        <v>24</v>
      </c>
      <c r="I5490" t="s">
        <v>8034</v>
      </c>
      <c r="J5490" t="s">
        <v>294</v>
      </c>
      <c r="M5490" t="s">
        <v>295</v>
      </c>
      <c r="N5490" t="s">
        <v>7</v>
      </c>
      <c r="O5490" t="s">
        <v>297</v>
      </c>
    </row>
    <row r="5491" spans="1:15" x14ac:dyDescent="0.3">
      <c r="A5491" t="s">
        <v>1631</v>
      </c>
      <c r="B5491" t="s">
        <v>8029</v>
      </c>
      <c r="C5491">
        <v>2025</v>
      </c>
      <c r="D5491" t="s">
        <v>272</v>
      </c>
      <c r="E5491" t="s">
        <v>445</v>
      </c>
      <c r="F5491">
        <v>0.2404</v>
      </c>
      <c r="G5491" t="s">
        <v>334</v>
      </c>
      <c r="H5491">
        <v>24</v>
      </c>
      <c r="I5491" t="s">
        <v>8035</v>
      </c>
      <c r="J5491" t="s">
        <v>294</v>
      </c>
      <c r="M5491" t="s">
        <v>295</v>
      </c>
      <c r="N5491" t="s">
        <v>7</v>
      </c>
      <c r="O5491" t="s">
        <v>297</v>
      </c>
    </row>
    <row r="5492" spans="1:15" x14ac:dyDescent="0.3">
      <c r="A5492" t="s">
        <v>1631</v>
      </c>
      <c r="B5492" t="s">
        <v>8029</v>
      </c>
      <c r="C5492">
        <v>2025</v>
      </c>
      <c r="D5492" t="s">
        <v>272</v>
      </c>
      <c r="E5492" t="s">
        <v>342</v>
      </c>
      <c r="F5492">
        <v>9525</v>
      </c>
      <c r="G5492" t="s">
        <v>497</v>
      </c>
      <c r="H5492">
        <v>24</v>
      </c>
      <c r="I5492" t="s">
        <v>8036</v>
      </c>
      <c r="J5492" t="s">
        <v>294</v>
      </c>
      <c r="M5492" t="s">
        <v>295</v>
      </c>
      <c r="N5492" t="s">
        <v>7</v>
      </c>
      <c r="O5492" t="s">
        <v>297</v>
      </c>
    </row>
    <row r="5493" spans="1:15" x14ac:dyDescent="0.3">
      <c r="A5493" t="s">
        <v>1631</v>
      </c>
      <c r="B5493" t="s">
        <v>8029</v>
      </c>
      <c r="C5493">
        <v>2025</v>
      </c>
      <c r="D5493" t="s">
        <v>272</v>
      </c>
      <c r="E5493" t="s">
        <v>8037</v>
      </c>
      <c r="F5493" t="s">
        <v>8038</v>
      </c>
      <c r="G5493" t="s">
        <v>292</v>
      </c>
      <c r="H5493">
        <v>25</v>
      </c>
      <c r="I5493" t="s">
        <v>8039</v>
      </c>
      <c r="J5493" t="s">
        <v>294</v>
      </c>
      <c r="M5493" t="s">
        <v>295</v>
      </c>
      <c r="N5493" t="s">
        <v>7</v>
      </c>
      <c r="O5493" t="s">
        <v>297</v>
      </c>
    </row>
    <row r="5494" spans="1:15" x14ac:dyDescent="0.3">
      <c r="A5494" t="s">
        <v>1631</v>
      </c>
      <c r="B5494" t="s">
        <v>8029</v>
      </c>
      <c r="C5494">
        <v>2025</v>
      </c>
      <c r="D5494" t="s">
        <v>272</v>
      </c>
      <c r="E5494" t="s">
        <v>8040</v>
      </c>
      <c r="F5494">
        <v>1491</v>
      </c>
      <c r="G5494" t="s">
        <v>302</v>
      </c>
      <c r="H5494">
        <v>330</v>
      </c>
      <c r="I5494" t="s">
        <v>8041</v>
      </c>
      <c r="J5494" t="s">
        <v>294</v>
      </c>
      <c r="M5494" t="s">
        <v>295</v>
      </c>
      <c r="N5494" t="s">
        <v>7</v>
      </c>
      <c r="O5494" t="s">
        <v>297</v>
      </c>
    </row>
    <row r="5495" spans="1:15" x14ac:dyDescent="0.3">
      <c r="A5495" t="s">
        <v>1631</v>
      </c>
      <c r="B5495" t="s">
        <v>8029</v>
      </c>
      <c r="C5495">
        <v>2025</v>
      </c>
      <c r="D5495" t="s">
        <v>300</v>
      </c>
      <c r="E5495" t="s">
        <v>301</v>
      </c>
      <c r="F5495">
        <v>14813</v>
      </c>
      <c r="G5495" t="s">
        <v>302</v>
      </c>
      <c r="H5495">
        <v>16</v>
      </c>
      <c r="I5495" t="s">
        <v>8042</v>
      </c>
      <c r="J5495" t="s">
        <v>294</v>
      </c>
      <c r="M5495" t="s">
        <v>295</v>
      </c>
      <c r="N5495" t="s">
        <v>7</v>
      </c>
      <c r="O5495" t="s">
        <v>297</v>
      </c>
    </row>
    <row r="5496" spans="1:15" x14ac:dyDescent="0.3">
      <c r="A5496" t="s">
        <v>1631</v>
      </c>
      <c r="B5496" t="s">
        <v>8029</v>
      </c>
      <c r="C5496">
        <v>2025</v>
      </c>
      <c r="D5496" t="s">
        <v>300</v>
      </c>
      <c r="E5496" t="s">
        <v>2868</v>
      </c>
      <c r="F5496">
        <v>9638</v>
      </c>
      <c r="G5496" t="s">
        <v>302</v>
      </c>
      <c r="H5496">
        <v>16</v>
      </c>
      <c r="I5496" t="s">
        <v>8043</v>
      </c>
      <c r="J5496" t="s">
        <v>294</v>
      </c>
      <c r="M5496" t="s">
        <v>295</v>
      </c>
      <c r="N5496" t="s">
        <v>7</v>
      </c>
      <c r="O5496" t="s">
        <v>297</v>
      </c>
    </row>
    <row r="5497" spans="1:15" x14ac:dyDescent="0.3">
      <c r="A5497" t="s">
        <v>1631</v>
      </c>
      <c r="B5497" t="s">
        <v>8029</v>
      </c>
      <c r="C5497">
        <v>2025</v>
      </c>
      <c r="D5497" t="s">
        <v>300</v>
      </c>
      <c r="E5497" t="s">
        <v>304</v>
      </c>
      <c r="F5497">
        <v>5175</v>
      </c>
      <c r="G5497" t="s">
        <v>302</v>
      </c>
      <c r="H5497">
        <v>16</v>
      </c>
      <c r="I5497" t="s">
        <v>8044</v>
      </c>
      <c r="J5497" t="s">
        <v>294</v>
      </c>
      <c r="M5497" t="s">
        <v>295</v>
      </c>
      <c r="N5497" t="s">
        <v>7</v>
      </c>
      <c r="O5497" t="s">
        <v>297</v>
      </c>
    </row>
    <row r="5498" spans="1:15" x14ac:dyDescent="0.3">
      <c r="A5498" t="s">
        <v>1631</v>
      </c>
      <c r="B5498" t="s">
        <v>8029</v>
      </c>
      <c r="C5498">
        <v>2025</v>
      </c>
      <c r="D5498" t="s">
        <v>300</v>
      </c>
      <c r="E5498" t="s">
        <v>5214</v>
      </c>
      <c r="F5498">
        <v>2548</v>
      </c>
      <c r="G5498" t="s">
        <v>302</v>
      </c>
      <c r="H5498">
        <v>16</v>
      </c>
      <c r="I5498" t="s">
        <v>8045</v>
      </c>
      <c r="J5498" t="s">
        <v>294</v>
      </c>
      <c r="M5498" t="s">
        <v>295</v>
      </c>
      <c r="N5498" t="s">
        <v>7</v>
      </c>
      <c r="O5498" t="s">
        <v>297</v>
      </c>
    </row>
    <row r="5499" spans="1:15" x14ac:dyDescent="0.3">
      <c r="A5499" t="s">
        <v>1631</v>
      </c>
      <c r="B5499" t="s">
        <v>8029</v>
      </c>
      <c r="C5499">
        <v>2025</v>
      </c>
      <c r="D5499" t="s">
        <v>300</v>
      </c>
      <c r="E5499" t="s">
        <v>1155</v>
      </c>
      <c r="F5499">
        <v>1464</v>
      </c>
      <c r="G5499" t="s">
        <v>302</v>
      </c>
      <c r="H5499">
        <v>326</v>
      </c>
      <c r="I5499" t="s">
        <v>8046</v>
      </c>
      <c r="J5499" t="s">
        <v>294</v>
      </c>
      <c r="M5499" t="s">
        <v>295</v>
      </c>
      <c r="N5499" t="s">
        <v>7</v>
      </c>
      <c r="O5499" t="s">
        <v>297</v>
      </c>
    </row>
    <row r="5500" spans="1:15" x14ac:dyDescent="0.3">
      <c r="A5500" t="s">
        <v>1631</v>
      </c>
      <c r="B5500" t="s">
        <v>8029</v>
      </c>
      <c r="C5500">
        <v>2025</v>
      </c>
      <c r="D5500" t="s">
        <v>300</v>
      </c>
      <c r="E5500" t="s">
        <v>1157</v>
      </c>
      <c r="F5500">
        <v>1111</v>
      </c>
      <c r="G5500" t="s">
        <v>302</v>
      </c>
      <c r="H5500">
        <v>326</v>
      </c>
      <c r="I5500" t="s">
        <v>8047</v>
      </c>
      <c r="J5500" t="s">
        <v>294</v>
      </c>
      <c r="M5500" t="s">
        <v>295</v>
      </c>
      <c r="N5500" t="s">
        <v>7</v>
      </c>
      <c r="O5500" t="s">
        <v>297</v>
      </c>
    </row>
    <row r="5501" spans="1:15" x14ac:dyDescent="0.3">
      <c r="A5501" t="s">
        <v>1631</v>
      </c>
      <c r="B5501" t="s">
        <v>8029</v>
      </c>
      <c r="C5501">
        <v>2025</v>
      </c>
      <c r="D5501" t="s">
        <v>300</v>
      </c>
      <c r="E5501" t="s">
        <v>457</v>
      </c>
      <c r="F5501">
        <v>692</v>
      </c>
      <c r="G5501" t="s">
        <v>302</v>
      </c>
      <c r="H5501">
        <v>326</v>
      </c>
      <c r="I5501" t="s">
        <v>8048</v>
      </c>
      <c r="J5501" t="s">
        <v>294</v>
      </c>
      <c r="M5501" t="s">
        <v>295</v>
      </c>
      <c r="N5501" t="s">
        <v>7</v>
      </c>
      <c r="O5501" t="s">
        <v>297</v>
      </c>
    </row>
    <row r="5502" spans="1:15" x14ac:dyDescent="0.3">
      <c r="A5502" t="s">
        <v>1631</v>
      </c>
      <c r="B5502" t="s">
        <v>8029</v>
      </c>
      <c r="C5502">
        <v>2025</v>
      </c>
      <c r="D5502" t="s">
        <v>300</v>
      </c>
      <c r="E5502" t="s">
        <v>579</v>
      </c>
      <c r="F5502">
        <v>1927</v>
      </c>
      <c r="G5502" t="s">
        <v>302</v>
      </c>
      <c r="H5502">
        <v>17</v>
      </c>
      <c r="I5502" t="s">
        <v>8049</v>
      </c>
      <c r="J5502" t="s">
        <v>294</v>
      </c>
      <c r="M5502" t="s">
        <v>295</v>
      </c>
      <c r="N5502" t="s">
        <v>7</v>
      </c>
      <c r="O5502" t="s">
        <v>297</v>
      </c>
    </row>
    <row r="5503" spans="1:15" x14ac:dyDescent="0.3">
      <c r="A5503" t="s">
        <v>1631</v>
      </c>
      <c r="B5503" t="s">
        <v>8029</v>
      </c>
      <c r="C5503">
        <v>2025</v>
      </c>
      <c r="D5503" t="s">
        <v>300</v>
      </c>
      <c r="E5503" t="s">
        <v>7805</v>
      </c>
      <c r="F5503">
        <v>535</v>
      </c>
      <c r="G5503" t="s">
        <v>302</v>
      </c>
      <c r="H5503">
        <v>17</v>
      </c>
      <c r="I5503" t="s">
        <v>8050</v>
      </c>
      <c r="J5503" t="s">
        <v>294</v>
      </c>
      <c r="M5503" t="s">
        <v>295</v>
      </c>
      <c r="N5503" t="s">
        <v>7</v>
      </c>
      <c r="O5503" t="s">
        <v>297</v>
      </c>
    </row>
    <row r="5504" spans="1:15" x14ac:dyDescent="0.3">
      <c r="A5504" t="s">
        <v>1631</v>
      </c>
      <c r="B5504" t="s">
        <v>8029</v>
      </c>
      <c r="C5504">
        <v>2025</v>
      </c>
      <c r="D5504" t="s">
        <v>300</v>
      </c>
      <c r="E5504" t="s">
        <v>306</v>
      </c>
      <c r="F5504">
        <v>1393</v>
      </c>
      <c r="G5504" t="s">
        <v>302</v>
      </c>
      <c r="H5504">
        <v>17</v>
      </c>
      <c r="I5504" t="s">
        <v>8051</v>
      </c>
      <c r="J5504" t="s">
        <v>294</v>
      </c>
      <c r="M5504" t="s">
        <v>295</v>
      </c>
      <c r="N5504" t="s">
        <v>7</v>
      </c>
      <c r="O5504" t="s">
        <v>297</v>
      </c>
    </row>
    <row r="5505" spans="1:15" x14ac:dyDescent="0.3">
      <c r="A5505" t="s">
        <v>1631</v>
      </c>
      <c r="B5505" t="s">
        <v>8029</v>
      </c>
      <c r="C5505">
        <v>2025</v>
      </c>
      <c r="D5505" t="s">
        <v>300</v>
      </c>
      <c r="E5505" t="s">
        <v>308</v>
      </c>
      <c r="F5505">
        <v>1161</v>
      </c>
      <c r="G5505" t="s">
        <v>302</v>
      </c>
      <c r="H5505">
        <v>17</v>
      </c>
      <c r="I5505" t="s">
        <v>8052</v>
      </c>
      <c r="J5505" t="s">
        <v>294</v>
      </c>
      <c r="M5505" t="s">
        <v>295</v>
      </c>
      <c r="N5505" t="s">
        <v>7</v>
      </c>
      <c r="O5505" t="s">
        <v>297</v>
      </c>
    </row>
    <row r="5506" spans="1:15" x14ac:dyDescent="0.3">
      <c r="A5506" t="s">
        <v>1631</v>
      </c>
      <c r="B5506" t="s">
        <v>8029</v>
      </c>
      <c r="C5506">
        <v>2025</v>
      </c>
      <c r="D5506" t="s">
        <v>300</v>
      </c>
      <c r="E5506" t="s">
        <v>6698</v>
      </c>
      <c r="F5506">
        <v>42</v>
      </c>
      <c r="G5506" t="s">
        <v>302</v>
      </c>
      <c r="H5506">
        <v>17</v>
      </c>
      <c r="I5506" t="s">
        <v>8053</v>
      </c>
      <c r="J5506" t="s">
        <v>294</v>
      </c>
      <c r="M5506" t="s">
        <v>295</v>
      </c>
      <c r="N5506" t="s">
        <v>7</v>
      </c>
      <c r="O5506" t="s">
        <v>297</v>
      </c>
    </row>
    <row r="5507" spans="1:15" x14ac:dyDescent="0.3">
      <c r="A5507" t="s">
        <v>1631</v>
      </c>
      <c r="B5507" t="s">
        <v>8029</v>
      </c>
      <c r="C5507">
        <v>2025</v>
      </c>
      <c r="D5507" t="s">
        <v>300</v>
      </c>
      <c r="E5507" t="s">
        <v>316</v>
      </c>
      <c r="F5507">
        <v>13584</v>
      </c>
      <c r="G5507" t="s">
        <v>302</v>
      </c>
      <c r="H5507">
        <v>16</v>
      </c>
      <c r="I5507" t="s">
        <v>8054</v>
      </c>
      <c r="J5507" t="s">
        <v>294</v>
      </c>
      <c r="M5507" t="s">
        <v>295</v>
      </c>
      <c r="N5507" t="s">
        <v>7</v>
      </c>
      <c r="O5507" t="s">
        <v>297</v>
      </c>
    </row>
    <row r="5508" spans="1:15" x14ac:dyDescent="0.3">
      <c r="A5508" t="s">
        <v>1631</v>
      </c>
      <c r="B5508" t="s">
        <v>8029</v>
      </c>
      <c r="C5508">
        <v>2025</v>
      </c>
      <c r="D5508" t="s">
        <v>300</v>
      </c>
      <c r="E5508" t="s">
        <v>312</v>
      </c>
      <c r="F5508">
        <v>5901</v>
      </c>
      <c r="G5508" t="s">
        <v>302</v>
      </c>
      <c r="H5508">
        <v>16</v>
      </c>
      <c r="I5508" t="s">
        <v>8055</v>
      </c>
      <c r="J5508" t="s">
        <v>294</v>
      </c>
      <c r="M5508" t="s">
        <v>295</v>
      </c>
      <c r="N5508" t="s">
        <v>7</v>
      </c>
      <c r="O5508" t="s">
        <v>297</v>
      </c>
    </row>
    <row r="5509" spans="1:15" x14ac:dyDescent="0.3">
      <c r="A5509" t="s">
        <v>1631</v>
      </c>
      <c r="B5509" t="s">
        <v>8029</v>
      </c>
      <c r="C5509">
        <v>2025</v>
      </c>
      <c r="D5509" t="s">
        <v>300</v>
      </c>
      <c r="E5509" t="s">
        <v>314</v>
      </c>
      <c r="F5509">
        <v>7683</v>
      </c>
      <c r="G5509" t="s">
        <v>302</v>
      </c>
      <c r="H5509">
        <v>16</v>
      </c>
      <c r="I5509" t="s">
        <v>8056</v>
      </c>
      <c r="J5509" t="s">
        <v>294</v>
      </c>
      <c r="M5509" t="s">
        <v>295</v>
      </c>
      <c r="N5509" t="s">
        <v>7</v>
      </c>
      <c r="O5509" t="s">
        <v>297</v>
      </c>
    </row>
    <row r="5510" spans="1:15" x14ac:dyDescent="0.3">
      <c r="A5510" t="s">
        <v>1631</v>
      </c>
      <c r="B5510" t="s">
        <v>8029</v>
      </c>
      <c r="C5510">
        <v>2025</v>
      </c>
      <c r="D5510" t="s">
        <v>300</v>
      </c>
      <c r="E5510" t="s">
        <v>322</v>
      </c>
      <c r="F5510">
        <v>10643</v>
      </c>
      <c r="G5510" t="s">
        <v>302</v>
      </c>
      <c r="H5510">
        <v>16</v>
      </c>
      <c r="I5510" t="s">
        <v>8057</v>
      </c>
      <c r="J5510" t="s">
        <v>294</v>
      </c>
      <c r="M5510" t="s">
        <v>295</v>
      </c>
      <c r="N5510" t="s">
        <v>7</v>
      </c>
      <c r="O5510" t="s">
        <v>297</v>
      </c>
    </row>
    <row r="5511" spans="1:15" x14ac:dyDescent="0.3">
      <c r="A5511" t="s">
        <v>1631</v>
      </c>
      <c r="B5511" t="s">
        <v>8029</v>
      </c>
      <c r="C5511">
        <v>2025</v>
      </c>
      <c r="D5511" t="s">
        <v>300</v>
      </c>
      <c r="E5511" t="s">
        <v>318</v>
      </c>
      <c r="F5511">
        <v>4613</v>
      </c>
      <c r="G5511" t="s">
        <v>302</v>
      </c>
      <c r="H5511">
        <v>16</v>
      </c>
      <c r="I5511" t="s">
        <v>8058</v>
      </c>
      <c r="J5511" t="s">
        <v>294</v>
      </c>
      <c r="M5511" t="s">
        <v>295</v>
      </c>
      <c r="N5511" t="s">
        <v>7</v>
      </c>
      <c r="O5511" t="s">
        <v>297</v>
      </c>
    </row>
    <row r="5512" spans="1:15" x14ac:dyDescent="0.3">
      <c r="A5512" t="s">
        <v>1631</v>
      </c>
      <c r="B5512" t="s">
        <v>8029</v>
      </c>
      <c r="C5512">
        <v>2025</v>
      </c>
      <c r="D5512" t="s">
        <v>300</v>
      </c>
      <c r="E5512" t="s">
        <v>468</v>
      </c>
      <c r="F5512">
        <v>6029</v>
      </c>
      <c r="G5512" t="s">
        <v>302</v>
      </c>
      <c r="H5512">
        <v>16</v>
      </c>
      <c r="I5512" t="s">
        <v>8059</v>
      </c>
      <c r="J5512" t="s">
        <v>294</v>
      </c>
      <c r="M5512" t="s">
        <v>295</v>
      </c>
      <c r="N5512" t="s">
        <v>7</v>
      </c>
      <c r="O5512" t="s">
        <v>297</v>
      </c>
    </row>
    <row r="5513" spans="1:15" x14ac:dyDescent="0.3">
      <c r="A5513" t="s">
        <v>1631</v>
      </c>
      <c r="B5513" t="s">
        <v>8029</v>
      </c>
      <c r="C5513">
        <v>2025</v>
      </c>
      <c r="D5513" t="s">
        <v>300</v>
      </c>
      <c r="E5513" t="s">
        <v>324</v>
      </c>
      <c r="F5513">
        <v>2941</v>
      </c>
      <c r="G5513" t="s">
        <v>302</v>
      </c>
      <c r="H5513">
        <v>16</v>
      </c>
      <c r="I5513" t="s">
        <v>8060</v>
      </c>
      <c r="J5513" t="s">
        <v>294</v>
      </c>
      <c r="M5513" t="s">
        <v>295</v>
      </c>
      <c r="N5513" t="s">
        <v>7</v>
      </c>
      <c r="O5513" t="s">
        <v>297</v>
      </c>
    </row>
    <row r="5514" spans="1:15" x14ac:dyDescent="0.3">
      <c r="A5514" t="s">
        <v>1631</v>
      </c>
      <c r="B5514" t="s">
        <v>8029</v>
      </c>
      <c r="C5514">
        <v>2025</v>
      </c>
      <c r="D5514" t="s">
        <v>300</v>
      </c>
      <c r="E5514" t="s">
        <v>2918</v>
      </c>
      <c r="F5514">
        <v>2278</v>
      </c>
      <c r="G5514" t="s">
        <v>302</v>
      </c>
      <c r="H5514">
        <v>16</v>
      </c>
      <c r="I5514" t="s">
        <v>8061</v>
      </c>
      <c r="J5514" t="s">
        <v>294</v>
      </c>
      <c r="M5514" t="s">
        <v>295</v>
      </c>
      <c r="N5514" t="s">
        <v>7</v>
      </c>
      <c r="O5514" t="s">
        <v>297</v>
      </c>
    </row>
    <row r="5515" spans="1:15" x14ac:dyDescent="0.3">
      <c r="A5515" t="s">
        <v>1631</v>
      </c>
      <c r="B5515" t="s">
        <v>8029</v>
      </c>
      <c r="C5515">
        <v>2025</v>
      </c>
      <c r="D5515" t="s">
        <v>300</v>
      </c>
      <c r="E5515" t="s">
        <v>2667</v>
      </c>
      <c r="F5515">
        <v>874</v>
      </c>
      <c r="G5515" t="s">
        <v>302</v>
      </c>
      <c r="H5515">
        <v>18</v>
      </c>
      <c r="I5515" t="s">
        <v>8062</v>
      </c>
      <c r="J5515" t="s">
        <v>294</v>
      </c>
      <c r="M5515" t="s">
        <v>295</v>
      </c>
      <c r="N5515" t="s">
        <v>7</v>
      </c>
      <c r="O5515" t="s">
        <v>297</v>
      </c>
    </row>
    <row r="5516" spans="1:15" x14ac:dyDescent="0.3">
      <c r="A5516" t="s">
        <v>1631</v>
      </c>
      <c r="B5516" t="s">
        <v>8029</v>
      </c>
      <c r="C5516">
        <v>2025</v>
      </c>
      <c r="D5516" t="s">
        <v>300</v>
      </c>
      <c r="E5516" t="s">
        <v>595</v>
      </c>
      <c r="F5516">
        <v>1698</v>
      </c>
      <c r="G5516" t="s">
        <v>302</v>
      </c>
      <c r="H5516">
        <v>323</v>
      </c>
      <c r="I5516" t="s">
        <v>8063</v>
      </c>
      <c r="J5516" t="s">
        <v>294</v>
      </c>
      <c r="M5516" t="s">
        <v>295</v>
      </c>
      <c r="N5516" t="s">
        <v>7</v>
      </c>
      <c r="O5516" t="s">
        <v>297</v>
      </c>
    </row>
    <row r="5517" spans="1:15" x14ac:dyDescent="0.3">
      <c r="A5517" t="s">
        <v>1631</v>
      </c>
      <c r="B5517" t="s">
        <v>8029</v>
      </c>
      <c r="C5517">
        <v>2025</v>
      </c>
      <c r="D5517" t="s">
        <v>300</v>
      </c>
      <c r="E5517" t="s">
        <v>2670</v>
      </c>
      <c r="F5517">
        <v>991</v>
      </c>
      <c r="G5517" t="s">
        <v>302</v>
      </c>
      <c r="H5517">
        <v>323</v>
      </c>
      <c r="I5517" t="s">
        <v>8064</v>
      </c>
      <c r="J5517" t="s">
        <v>294</v>
      </c>
      <c r="M5517" t="s">
        <v>295</v>
      </c>
      <c r="N5517" t="s">
        <v>7</v>
      </c>
      <c r="O5517" t="s">
        <v>297</v>
      </c>
    </row>
    <row r="5518" spans="1:15" x14ac:dyDescent="0.3">
      <c r="A5518" t="s">
        <v>1631</v>
      </c>
      <c r="B5518" t="s">
        <v>8029</v>
      </c>
      <c r="C5518">
        <v>2025</v>
      </c>
      <c r="D5518" t="s">
        <v>300</v>
      </c>
      <c r="E5518" t="s">
        <v>475</v>
      </c>
      <c r="F5518">
        <v>5450</v>
      </c>
      <c r="G5518" t="s">
        <v>302</v>
      </c>
      <c r="H5518">
        <v>324</v>
      </c>
      <c r="I5518" t="s">
        <v>8065</v>
      </c>
      <c r="J5518" t="s">
        <v>294</v>
      </c>
      <c r="M5518" t="s">
        <v>295</v>
      </c>
      <c r="N5518" t="s">
        <v>7</v>
      </c>
      <c r="O5518" t="s">
        <v>297</v>
      </c>
    </row>
    <row r="5519" spans="1:15" x14ac:dyDescent="0.3">
      <c r="A5519" t="s">
        <v>1631</v>
      </c>
      <c r="B5519" t="s">
        <v>8029</v>
      </c>
      <c r="C5519">
        <v>2025</v>
      </c>
      <c r="D5519" t="s">
        <v>300</v>
      </c>
      <c r="E5519" t="s">
        <v>7822</v>
      </c>
      <c r="F5519">
        <v>8139</v>
      </c>
      <c r="G5519" t="s">
        <v>302</v>
      </c>
      <c r="H5519">
        <v>324</v>
      </c>
      <c r="I5519" t="s">
        <v>8066</v>
      </c>
      <c r="J5519" t="s">
        <v>294</v>
      </c>
      <c r="M5519" t="s">
        <v>295</v>
      </c>
      <c r="N5519" t="s">
        <v>7</v>
      </c>
      <c r="O5519" t="s">
        <v>297</v>
      </c>
    </row>
    <row r="5520" spans="1:15" x14ac:dyDescent="0.3">
      <c r="A5520" t="s">
        <v>1631</v>
      </c>
      <c r="B5520" t="s">
        <v>8029</v>
      </c>
      <c r="C5520">
        <v>2025</v>
      </c>
      <c r="D5520" t="s">
        <v>300</v>
      </c>
      <c r="E5520" t="s">
        <v>601</v>
      </c>
      <c r="F5520">
        <v>1097</v>
      </c>
      <c r="G5520" t="s">
        <v>302</v>
      </c>
      <c r="H5520">
        <v>18</v>
      </c>
      <c r="I5520" t="s">
        <v>8067</v>
      </c>
      <c r="J5520" t="s">
        <v>294</v>
      </c>
      <c r="M5520" t="s">
        <v>295</v>
      </c>
      <c r="N5520" t="s">
        <v>7</v>
      </c>
      <c r="O5520" t="s">
        <v>297</v>
      </c>
    </row>
    <row r="5521" spans="1:15" x14ac:dyDescent="0.3">
      <c r="A5521" t="s">
        <v>1631</v>
      </c>
      <c r="B5521" t="s">
        <v>8029</v>
      </c>
      <c r="C5521">
        <v>2025</v>
      </c>
      <c r="D5521" t="s">
        <v>300</v>
      </c>
      <c r="E5521" t="s">
        <v>603</v>
      </c>
      <c r="F5521">
        <v>-1902</v>
      </c>
      <c r="G5521" t="s">
        <v>302</v>
      </c>
      <c r="H5521">
        <v>18</v>
      </c>
      <c r="I5521" t="s">
        <v>8068</v>
      </c>
      <c r="J5521" t="s">
        <v>294</v>
      </c>
      <c r="M5521" t="s">
        <v>295</v>
      </c>
      <c r="N5521" t="s">
        <v>7</v>
      </c>
      <c r="O5521" t="s">
        <v>297</v>
      </c>
    </row>
    <row r="5522" spans="1:15" x14ac:dyDescent="0.3">
      <c r="A5522" t="s">
        <v>1631</v>
      </c>
      <c r="B5522" t="s">
        <v>8029</v>
      </c>
      <c r="C5522">
        <v>2025</v>
      </c>
      <c r="D5522" t="s">
        <v>300</v>
      </c>
      <c r="E5522" t="s">
        <v>716</v>
      </c>
      <c r="F5522">
        <v>494</v>
      </c>
      <c r="G5522" t="s">
        <v>302</v>
      </c>
      <c r="H5522">
        <v>18</v>
      </c>
      <c r="I5522" t="s">
        <v>8069</v>
      </c>
      <c r="J5522" t="s">
        <v>294</v>
      </c>
      <c r="M5522" t="s">
        <v>295</v>
      </c>
      <c r="N5522" t="s">
        <v>7</v>
      </c>
      <c r="O5522" t="s">
        <v>297</v>
      </c>
    </row>
    <row r="5523" spans="1:15" x14ac:dyDescent="0.3">
      <c r="A5523" t="s">
        <v>1631</v>
      </c>
      <c r="B5523" t="s">
        <v>8029</v>
      </c>
      <c r="C5523">
        <v>2025</v>
      </c>
      <c r="D5523" t="s">
        <v>300</v>
      </c>
      <c r="E5523" t="s">
        <v>8070</v>
      </c>
      <c r="F5523">
        <v>402</v>
      </c>
      <c r="G5523" t="s">
        <v>302</v>
      </c>
      <c r="H5523">
        <v>330</v>
      </c>
      <c r="I5523" t="s">
        <v>8071</v>
      </c>
      <c r="J5523" t="s">
        <v>294</v>
      </c>
      <c r="M5523" t="s">
        <v>295</v>
      </c>
      <c r="N5523" t="s">
        <v>7</v>
      </c>
      <c r="O5523" t="s">
        <v>297</v>
      </c>
    </row>
    <row r="5524" spans="1:15" x14ac:dyDescent="0.3">
      <c r="A5524" t="s">
        <v>1631</v>
      </c>
      <c r="B5524" t="s">
        <v>8029</v>
      </c>
      <c r="C5524">
        <v>2025</v>
      </c>
      <c r="D5524" t="s">
        <v>300</v>
      </c>
      <c r="E5524" t="s">
        <v>345</v>
      </c>
      <c r="F5524">
        <v>121.86</v>
      </c>
      <c r="G5524" t="s">
        <v>346</v>
      </c>
      <c r="H5524">
        <v>17</v>
      </c>
      <c r="I5524" t="s">
        <v>8072</v>
      </c>
      <c r="J5524" t="s">
        <v>294</v>
      </c>
      <c r="M5524" t="s">
        <v>295</v>
      </c>
      <c r="N5524" t="s">
        <v>7</v>
      </c>
      <c r="O5524" t="s">
        <v>297</v>
      </c>
    </row>
    <row r="5525" spans="1:15" x14ac:dyDescent="0.3">
      <c r="A5525" t="s">
        <v>1631</v>
      </c>
      <c r="B5525" t="s">
        <v>8029</v>
      </c>
      <c r="C5525">
        <v>2025</v>
      </c>
      <c r="D5525" t="s">
        <v>300</v>
      </c>
      <c r="E5525" t="s">
        <v>326</v>
      </c>
      <c r="F5525">
        <v>1.2791999999999999</v>
      </c>
      <c r="G5525" t="s">
        <v>327</v>
      </c>
      <c r="H5525">
        <v>18</v>
      </c>
      <c r="I5525" t="s">
        <v>8073</v>
      </c>
      <c r="J5525" t="s">
        <v>294</v>
      </c>
      <c r="M5525" t="s">
        <v>295</v>
      </c>
      <c r="N5525" t="s">
        <v>7</v>
      </c>
      <c r="O5525" t="s">
        <v>297</v>
      </c>
    </row>
    <row r="5526" spans="1:15" x14ac:dyDescent="0.3">
      <c r="A5526" t="s">
        <v>1631</v>
      </c>
      <c r="B5526" t="s">
        <v>8029</v>
      </c>
      <c r="C5526">
        <v>2025</v>
      </c>
      <c r="D5526" t="s">
        <v>300</v>
      </c>
      <c r="E5526" t="s">
        <v>7832</v>
      </c>
      <c r="F5526">
        <v>0.78349999999999997</v>
      </c>
      <c r="G5526" t="s">
        <v>334</v>
      </c>
      <c r="H5526">
        <v>18</v>
      </c>
      <c r="I5526" t="s">
        <v>8074</v>
      </c>
      <c r="J5526" t="s">
        <v>294</v>
      </c>
      <c r="M5526" t="s">
        <v>295</v>
      </c>
      <c r="N5526" t="s">
        <v>7</v>
      </c>
      <c r="O5526" t="s">
        <v>297</v>
      </c>
    </row>
    <row r="5527" spans="1:15" x14ac:dyDescent="0.3">
      <c r="A5527" t="s">
        <v>1631</v>
      </c>
      <c r="B5527" t="s">
        <v>8029</v>
      </c>
      <c r="C5527">
        <v>2025</v>
      </c>
      <c r="D5527" t="s">
        <v>300</v>
      </c>
      <c r="E5527" t="s">
        <v>728</v>
      </c>
      <c r="F5527">
        <v>3.6187999999999998</v>
      </c>
      <c r="G5527" t="s">
        <v>327</v>
      </c>
      <c r="H5527">
        <v>18</v>
      </c>
      <c r="I5527" t="s">
        <v>8075</v>
      </c>
      <c r="J5527" t="s">
        <v>294</v>
      </c>
      <c r="M5527" t="s">
        <v>295</v>
      </c>
      <c r="N5527" t="s">
        <v>7</v>
      </c>
      <c r="O5527" t="s">
        <v>297</v>
      </c>
    </row>
    <row r="5528" spans="1:15" x14ac:dyDescent="0.3">
      <c r="A5528" t="s">
        <v>1631</v>
      </c>
      <c r="B5528" t="s">
        <v>8029</v>
      </c>
      <c r="C5528">
        <v>2025</v>
      </c>
      <c r="D5528" t="s">
        <v>300</v>
      </c>
      <c r="E5528" t="s">
        <v>1187</v>
      </c>
      <c r="F5528">
        <v>0.34939999999999999</v>
      </c>
      <c r="G5528" t="s">
        <v>334</v>
      </c>
      <c r="H5528">
        <v>18</v>
      </c>
      <c r="I5528" t="s">
        <v>8076</v>
      </c>
      <c r="J5528" t="s">
        <v>294</v>
      </c>
      <c r="M5528" t="s">
        <v>295</v>
      </c>
      <c r="N5528" t="s">
        <v>7</v>
      </c>
      <c r="O5528" t="s">
        <v>297</v>
      </c>
    </row>
    <row r="5529" spans="1:15" x14ac:dyDescent="0.3">
      <c r="A5529" t="s">
        <v>1631</v>
      </c>
      <c r="B5529" t="s">
        <v>8029</v>
      </c>
      <c r="C5529">
        <v>2025</v>
      </c>
      <c r="D5529" t="s">
        <v>300</v>
      </c>
      <c r="E5529" t="s">
        <v>6753</v>
      </c>
      <c r="F5529">
        <v>0.17199999999999999</v>
      </c>
      <c r="G5529" t="s">
        <v>334</v>
      </c>
      <c r="H5529">
        <v>18</v>
      </c>
      <c r="I5529" t="s">
        <v>8077</v>
      </c>
      <c r="J5529" t="s">
        <v>294</v>
      </c>
      <c r="M5529" t="s">
        <v>295</v>
      </c>
      <c r="N5529" t="s">
        <v>7</v>
      </c>
      <c r="O5529" t="s">
        <v>297</v>
      </c>
    </row>
    <row r="5530" spans="1:15" x14ac:dyDescent="0.3">
      <c r="A5530" t="s">
        <v>1631</v>
      </c>
      <c r="B5530" t="s">
        <v>8029</v>
      </c>
      <c r="C5530">
        <v>2025</v>
      </c>
      <c r="D5530" t="s">
        <v>300</v>
      </c>
      <c r="E5530" t="s">
        <v>903</v>
      </c>
      <c r="F5530">
        <v>9.4E-2</v>
      </c>
      <c r="G5530" t="s">
        <v>334</v>
      </c>
      <c r="H5530">
        <v>18</v>
      </c>
      <c r="I5530" t="s">
        <v>8078</v>
      </c>
      <c r="J5530" t="s">
        <v>294</v>
      </c>
      <c r="M5530" t="s">
        <v>295</v>
      </c>
      <c r="N5530" t="s">
        <v>7</v>
      </c>
      <c r="O5530" t="s">
        <v>297</v>
      </c>
    </row>
    <row r="5531" spans="1:15" x14ac:dyDescent="0.3">
      <c r="A5531" t="s">
        <v>1631</v>
      </c>
      <c r="B5531" t="s">
        <v>8029</v>
      </c>
      <c r="C5531">
        <v>2025</v>
      </c>
      <c r="D5531" t="s">
        <v>300</v>
      </c>
      <c r="E5531" t="s">
        <v>333</v>
      </c>
      <c r="F5531">
        <v>0.10249999999999999</v>
      </c>
      <c r="G5531" t="s">
        <v>334</v>
      </c>
      <c r="H5531">
        <v>18</v>
      </c>
      <c r="I5531" t="s">
        <v>8079</v>
      </c>
      <c r="J5531" t="s">
        <v>294</v>
      </c>
      <c r="M5531" t="s">
        <v>295</v>
      </c>
      <c r="N5531" t="s">
        <v>7</v>
      </c>
      <c r="O5531" t="s">
        <v>297</v>
      </c>
    </row>
    <row r="5532" spans="1:15" x14ac:dyDescent="0.3">
      <c r="A5532" t="s">
        <v>1631</v>
      </c>
      <c r="B5532" t="s">
        <v>8029</v>
      </c>
      <c r="C5532">
        <v>2025</v>
      </c>
      <c r="D5532" t="s">
        <v>300</v>
      </c>
      <c r="E5532" t="s">
        <v>336</v>
      </c>
      <c r="F5532">
        <v>0.47360000000000002</v>
      </c>
      <c r="G5532" t="s">
        <v>334</v>
      </c>
      <c r="H5532">
        <v>18</v>
      </c>
      <c r="I5532" t="s">
        <v>8080</v>
      </c>
      <c r="J5532" t="s">
        <v>294</v>
      </c>
      <c r="M5532" t="s">
        <v>295</v>
      </c>
      <c r="N5532" t="s">
        <v>7</v>
      </c>
      <c r="O5532" t="s">
        <v>297</v>
      </c>
    </row>
    <row r="5533" spans="1:15" x14ac:dyDescent="0.3">
      <c r="A5533" t="s">
        <v>1631</v>
      </c>
      <c r="B5533" t="s">
        <v>8029</v>
      </c>
      <c r="C5533">
        <v>2025</v>
      </c>
      <c r="D5533" t="s">
        <v>300</v>
      </c>
      <c r="E5533" t="s">
        <v>8081</v>
      </c>
      <c r="F5533">
        <v>1580</v>
      </c>
      <c r="G5533" t="s">
        <v>346</v>
      </c>
      <c r="H5533">
        <v>24</v>
      </c>
      <c r="I5533" t="s">
        <v>8082</v>
      </c>
      <c r="J5533" t="s">
        <v>294</v>
      </c>
      <c r="M5533" t="s">
        <v>295</v>
      </c>
      <c r="N5533" t="s">
        <v>7</v>
      </c>
      <c r="O5533" t="s">
        <v>297</v>
      </c>
    </row>
    <row r="5534" spans="1:15" x14ac:dyDescent="0.3">
      <c r="A5534" t="s">
        <v>1631</v>
      </c>
      <c r="B5534" t="s">
        <v>8029</v>
      </c>
      <c r="C5534">
        <v>2025</v>
      </c>
      <c r="D5534" t="s">
        <v>300</v>
      </c>
      <c r="E5534" t="s">
        <v>8083</v>
      </c>
      <c r="F5534">
        <v>15585</v>
      </c>
      <c r="G5534" t="s">
        <v>302</v>
      </c>
      <c r="H5534">
        <v>24</v>
      </c>
      <c r="I5534" t="s">
        <v>8084</v>
      </c>
      <c r="J5534" t="s">
        <v>294</v>
      </c>
      <c r="M5534" t="s">
        <v>295</v>
      </c>
      <c r="N5534" t="s">
        <v>7</v>
      </c>
      <c r="O5534" t="s">
        <v>297</v>
      </c>
    </row>
    <row r="5535" spans="1:15" x14ac:dyDescent="0.3">
      <c r="A5535" t="s">
        <v>1631</v>
      </c>
      <c r="B5535" t="s">
        <v>8029</v>
      </c>
      <c r="C5535">
        <v>2025</v>
      </c>
      <c r="D5535" t="s">
        <v>300</v>
      </c>
      <c r="E5535" t="s">
        <v>8085</v>
      </c>
      <c r="F5535">
        <v>2093</v>
      </c>
      <c r="G5535" t="s">
        <v>346</v>
      </c>
      <c r="H5535">
        <v>24</v>
      </c>
      <c r="I5535" t="s">
        <v>8086</v>
      </c>
      <c r="J5535" t="s">
        <v>294</v>
      </c>
      <c r="M5535" t="s">
        <v>295</v>
      </c>
      <c r="N5535" t="s">
        <v>7</v>
      </c>
      <c r="O5535" t="s">
        <v>297</v>
      </c>
    </row>
    <row r="5536" spans="1:15" x14ac:dyDescent="0.3">
      <c r="A5536" t="s">
        <v>1631</v>
      </c>
      <c r="B5536" t="s">
        <v>8029</v>
      </c>
      <c r="C5536">
        <v>2025</v>
      </c>
      <c r="D5536" t="s">
        <v>300</v>
      </c>
      <c r="E5536" t="s">
        <v>8087</v>
      </c>
      <c r="F5536">
        <v>1277</v>
      </c>
      <c r="G5536" t="s">
        <v>346</v>
      </c>
      <c r="H5536">
        <v>24</v>
      </c>
      <c r="I5536" t="s">
        <v>8088</v>
      </c>
      <c r="J5536" t="s">
        <v>294</v>
      </c>
      <c r="M5536" t="s">
        <v>295</v>
      </c>
      <c r="N5536" t="s">
        <v>7</v>
      </c>
      <c r="O5536" t="s">
        <v>297</v>
      </c>
    </row>
    <row r="5537" spans="1:15" x14ac:dyDescent="0.3">
      <c r="A5537" t="s">
        <v>1631</v>
      </c>
      <c r="B5537" t="s">
        <v>8029</v>
      </c>
      <c r="C5537">
        <v>2025</v>
      </c>
      <c r="D5537" t="s">
        <v>300</v>
      </c>
      <c r="E5537" t="s">
        <v>1242</v>
      </c>
      <c r="F5537">
        <v>450</v>
      </c>
      <c r="G5537" t="s">
        <v>302</v>
      </c>
      <c r="H5537">
        <v>25</v>
      </c>
      <c r="I5537" t="s">
        <v>8089</v>
      </c>
      <c r="J5537" t="s">
        <v>294</v>
      </c>
      <c r="M5537" t="s">
        <v>295</v>
      </c>
      <c r="N5537" t="s">
        <v>7</v>
      </c>
      <c r="O5537" t="s">
        <v>297</v>
      </c>
    </row>
    <row r="5538" spans="1:15" x14ac:dyDescent="0.3">
      <c r="A5538" t="s">
        <v>1631</v>
      </c>
      <c r="B5538" t="s">
        <v>8029</v>
      </c>
      <c r="C5538">
        <v>2025</v>
      </c>
      <c r="D5538" t="s">
        <v>300</v>
      </c>
      <c r="E5538" t="s">
        <v>8090</v>
      </c>
      <c r="F5538">
        <v>47.24</v>
      </c>
      <c r="G5538" t="s">
        <v>346</v>
      </c>
      <c r="H5538">
        <v>25</v>
      </c>
      <c r="I5538" t="s">
        <v>8091</v>
      </c>
      <c r="J5538" t="s">
        <v>294</v>
      </c>
      <c r="M5538" t="s">
        <v>295</v>
      </c>
      <c r="N5538" t="s">
        <v>7</v>
      </c>
      <c r="O5538" t="s">
        <v>297</v>
      </c>
    </row>
    <row r="5539" spans="1:15" x14ac:dyDescent="0.3">
      <c r="A5539" t="s">
        <v>1631</v>
      </c>
      <c r="B5539" t="s">
        <v>8029</v>
      </c>
      <c r="C5539">
        <v>2025</v>
      </c>
      <c r="D5539" t="s">
        <v>300</v>
      </c>
      <c r="E5539" t="s">
        <v>8092</v>
      </c>
      <c r="F5539">
        <v>1</v>
      </c>
      <c r="G5539" t="s">
        <v>8093</v>
      </c>
      <c r="H5539">
        <v>25</v>
      </c>
      <c r="I5539" t="s">
        <v>8094</v>
      </c>
      <c r="J5539" t="s">
        <v>294</v>
      </c>
      <c r="M5539" t="s">
        <v>295</v>
      </c>
      <c r="N5539" t="s">
        <v>7</v>
      </c>
      <c r="O5539" t="s">
        <v>297</v>
      </c>
    </row>
    <row r="5540" spans="1:15" x14ac:dyDescent="0.3">
      <c r="A5540" t="s">
        <v>1631</v>
      </c>
      <c r="B5540" t="s">
        <v>8029</v>
      </c>
      <c r="C5540">
        <v>2025</v>
      </c>
      <c r="D5540" t="s">
        <v>358</v>
      </c>
      <c r="E5540" t="s">
        <v>7849</v>
      </c>
      <c r="F5540">
        <v>136447</v>
      </c>
      <c r="G5540" t="s">
        <v>360</v>
      </c>
      <c r="H5540">
        <v>74</v>
      </c>
      <c r="I5540" t="s">
        <v>8095</v>
      </c>
      <c r="J5540" t="s">
        <v>294</v>
      </c>
      <c r="M5540" t="s">
        <v>295</v>
      </c>
      <c r="N5540" t="s">
        <v>7</v>
      </c>
      <c r="O5540" t="s">
        <v>297</v>
      </c>
    </row>
    <row r="5541" spans="1:15" x14ac:dyDescent="0.3">
      <c r="A5541" t="s">
        <v>1631</v>
      </c>
      <c r="B5541" t="s">
        <v>8029</v>
      </c>
      <c r="C5541">
        <v>2025</v>
      </c>
      <c r="D5541" t="s">
        <v>358</v>
      </c>
      <c r="E5541" t="s">
        <v>362</v>
      </c>
      <c r="F5541">
        <v>77314</v>
      </c>
      <c r="G5541" t="s">
        <v>360</v>
      </c>
      <c r="H5541">
        <v>74</v>
      </c>
      <c r="I5541" t="s">
        <v>8096</v>
      </c>
      <c r="J5541" t="s">
        <v>294</v>
      </c>
      <c r="M5541" t="s">
        <v>295</v>
      </c>
      <c r="N5541" t="s">
        <v>7</v>
      </c>
      <c r="O5541" t="s">
        <v>297</v>
      </c>
    </row>
    <row r="5542" spans="1:15" x14ac:dyDescent="0.3">
      <c r="A5542" t="s">
        <v>1631</v>
      </c>
      <c r="B5542" t="s">
        <v>8029</v>
      </c>
      <c r="C5542">
        <v>2025</v>
      </c>
      <c r="D5542" t="s">
        <v>358</v>
      </c>
      <c r="E5542" t="s">
        <v>364</v>
      </c>
      <c r="F5542">
        <v>17500</v>
      </c>
      <c r="G5542" t="s">
        <v>360</v>
      </c>
      <c r="H5542">
        <v>74</v>
      </c>
      <c r="I5542" t="s">
        <v>8097</v>
      </c>
      <c r="J5542" t="s">
        <v>294</v>
      </c>
      <c r="M5542" t="s">
        <v>295</v>
      </c>
      <c r="N5542" t="s">
        <v>7</v>
      </c>
      <c r="O5542" t="s">
        <v>297</v>
      </c>
    </row>
    <row r="5543" spans="1:15" x14ac:dyDescent="0.3">
      <c r="A5543" t="s">
        <v>1631</v>
      </c>
      <c r="B5543" t="s">
        <v>8029</v>
      </c>
      <c r="C5543">
        <v>2025</v>
      </c>
      <c r="D5543" t="s">
        <v>358</v>
      </c>
      <c r="E5543" t="s">
        <v>3680</v>
      </c>
      <c r="F5543">
        <v>93726</v>
      </c>
      <c r="G5543" t="s">
        <v>360</v>
      </c>
      <c r="H5543">
        <v>74</v>
      </c>
      <c r="I5543" t="s">
        <v>8098</v>
      </c>
      <c r="J5543" t="s">
        <v>456</v>
      </c>
      <c r="M5543" t="s">
        <v>295</v>
      </c>
      <c r="N5543" t="s">
        <v>7</v>
      </c>
      <c r="O5543" t="s">
        <v>297</v>
      </c>
    </row>
    <row r="5544" spans="1:15" x14ac:dyDescent="0.3">
      <c r="A5544" t="s">
        <v>1631</v>
      </c>
      <c r="B5544" t="s">
        <v>8029</v>
      </c>
      <c r="C5544">
        <v>2025</v>
      </c>
      <c r="D5544" t="s">
        <v>358</v>
      </c>
      <c r="E5544" t="s">
        <v>3682</v>
      </c>
      <c r="F5544">
        <v>1221</v>
      </c>
      <c r="G5544" t="s">
        <v>360</v>
      </c>
      <c r="H5544">
        <v>74</v>
      </c>
      <c r="I5544" t="s">
        <v>8099</v>
      </c>
      <c r="J5544" t="s">
        <v>294</v>
      </c>
      <c r="M5544" t="s">
        <v>295</v>
      </c>
      <c r="N5544" t="s">
        <v>7</v>
      </c>
      <c r="O5544" t="s">
        <v>297</v>
      </c>
    </row>
    <row r="5545" spans="1:15" x14ac:dyDescent="0.3">
      <c r="A5545" t="s">
        <v>1631</v>
      </c>
      <c r="B5545" t="s">
        <v>8029</v>
      </c>
      <c r="C5545">
        <v>2025</v>
      </c>
      <c r="D5545" t="s">
        <v>358</v>
      </c>
      <c r="E5545" t="s">
        <v>7853</v>
      </c>
      <c r="F5545">
        <v>41500</v>
      </c>
      <c r="G5545" t="s">
        <v>360</v>
      </c>
      <c r="H5545">
        <v>74</v>
      </c>
      <c r="I5545" t="s">
        <v>8100</v>
      </c>
      <c r="J5545" t="s">
        <v>294</v>
      </c>
      <c r="M5545" t="s">
        <v>295</v>
      </c>
      <c r="N5545" t="s">
        <v>7</v>
      </c>
      <c r="O5545" t="s">
        <v>297</v>
      </c>
    </row>
    <row r="5546" spans="1:15" x14ac:dyDescent="0.3">
      <c r="A5546" t="s">
        <v>1631</v>
      </c>
      <c r="B5546" t="s">
        <v>8029</v>
      </c>
      <c r="C5546">
        <v>2025</v>
      </c>
      <c r="D5546" t="s">
        <v>358</v>
      </c>
      <c r="E5546" t="s">
        <v>7983</v>
      </c>
      <c r="F5546">
        <v>3746</v>
      </c>
      <c r="G5546" t="s">
        <v>360</v>
      </c>
      <c r="H5546">
        <v>74</v>
      </c>
      <c r="I5546" t="s">
        <v>8101</v>
      </c>
      <c r="J5546" t="s">
        <v>294</v>
      </c>
      <c r="M5546" t="s">
        <v>295</v>
      </c>
      <c r="N5546" t="s">
        <v>7</v>
      </c>
      <c r="O5546" t="s">
        <v>297</v>
      </c>
    </row>
    <row r="5547" spans="1:15" x14ac:dyDescent="0.3">
      <c r="A5547" t="s">
        <v>1631</v>
      </c>
      <c r="B5547" t="s">
        <v>8029</v>
      </c>
      <c r="C5547">
        <v>2025</v>
      </c>
      <c r="D5547" t="s">
        <v>358</v>
      </c>
      <c r="E5547" t="s">
        <v>7860</v>
      </c>
      <c r="F5547">
        <v>10</v>
      </c>
      <c r="G5547" t="s">
        <v>384</v>
      </c>
      <c r="H5547">
        <v>74</v>
      </c>
      <c r="I5547" t="s">
        <v>8102</v>
      </c>
      <c r="J5547" t="s">
        <v>294</v>
      </c>
      <c r="M5547" t="s">
        <v>295</v>
      </c>
      <c r="N5547" t="s">
        <v>7</v>
      </c>
      <c r="O5547" t="s">
        <v>297</v>
      </c>
    </row>
    <row r="5548" spans="1:15" x14ac:dyDescent="0.3">
      <c r="A5548" t="s">
        <v>1631</v>
      </c>
      <c r="B5548" t="s">
        <v>8029</v>
      </c>
      <c r="C5548">
        <v>2025</v>
      </c>
      <c r="D5548" t="s">
        <v>358</v>
      </c>
      <c r="E5548" t="s">
        <v>7863</v>
      </c>
      <c r="F5548">
        <v>8</v>
      </c>
      <c r="G5548" t="s">
        <v>384</v>
      </c>
      <c r="H5548">
        <v>74</v>
      </c>
      <c r="I5548" t="s">
        <v>7864</v>
      </c>
      <c r="J5548" t="s">
        <v>294</v>
      </c>
      <c r="M5548" t="s">
        <v>295</v>
      </c>
      <c r="N5548" t="s">
        <v>7</v>
      </c>
      <c r="O5548" t="s">
        <v>297</v>
      </c>
    </row>
    <row r="5549" spans="1:15" x14ac:dyDescent="0.3">
      <c r="A5549" t="s">
        <v>1631</v>
      </c>
      <c r="B5549" t="s">
        <v>8029</v>
      </c>
      <c r="C5549">
        <v>2025</v>
      </c>
      <c r="D5549" t="s">
        <v>358</v>
      </c>
      <c r="E5549" t="s">
        <v>8103</v>
      </c>
      <c r="F5549">
        <v>8</v>
      </c>
      <c r="G5549" t="s">
        <v>384</v>
      </c>
      <c r="H5549">
        <v>74</v>
      </c>
      <c r="I5549" t="s">
        <v>8104</v>
      </c>
      <c r="J5549" t="s">
        <v>294</v>
      </c>
      <c r="M5549" t="s">
        <v>295</v>
      </c>
      <c r="N5549" t="s">
        <v>7</v>
      </c>
      <c r="O5549" t="s">
        <v>297</v>
      </c>
    </row>
    <row r="5550" spans="1:15" x14ac:dyDescent="0.3">
      <c r="A5550" t="s">
        <v>1631</v>
      </c>
      <c r="B5550" t="s">
        <v>8029</v>
      </c>
      <c r="C5550">
        <v>2025</v>
      </c>
      <c r="D5550" t="s">
        <v>358</v>
      </c>
      <c r="E5550" t="s">
        <v>7856</v>
      </c>
      <c r="F5550">
        <v>68658</v>
      </c>
      <c r="G5550" t="s">
        <v>360</v>
      </c>
      <c r="H5550">
        <v>74</v>
      </c>
      <c r="I5550" t="s">
        <v>8105</v>
      </c>
      <c r="J5550" t="s">
        <v>294</v>
      </c>
      <c r="M5550" t="s">
        <v>295</v>
      </c>
      <c r="N5550" t="s">
        <v>7</v>
      </c>
      <c r="O5550" t="s">
        <v>297</v>
      </c>
    </row>
    <row r="5551" spans="1:15" x14ac:dyDescent="0.3">
      <c r="A5551" t="s">
        <v>1631</v>
      </c>
      <c r="B5551" t="s">
        <v>8029</v>
      </c>
      <c r="C5551">
        <v>2025</v>
      </c>
      <c r="D5551" t="s">
        <v>358</v>
      </c>
      <c r="E5551" t="s">
        <v>8106</v>
      </c>
      <c r="F5551">
        <v>675</v>
      </c>
      <c r="G5551" t="s">
        <v>8107</v>
      </c>
      <c r="H5551">
        <v>74</v>
      </c>
      <c r="I5551" t="s">
        <v>8108</v>
      </c>
      <c r="J5551" t="s">
        <v>294</v>
      </c>
      <c r="M5551" t="s">
        <v>295</v>
      </c>
      <c r="N5551" t="s">
        <v>7</v>
      </c>
      <c r="O5551" t="s">
        <v>297</v>
      </c>
    </row>
    <row r="5552" spans="1:15" x14ac:dyDescent="0.3">
      <c r="A5552" t="s">
        <v>1631</v>
      </c>
      <c r="B5552" t="s">
        <v>8029</v>
      </c>
      <c r="C5552">
        <v>2025</v>
      </c>
      <c r="D5552" t="s">
        <v>358</v>
      </c>
      <c r="E5552" t="s">
        <v>7870</v>
      </c>
      <c r="F5552">
        <v>2</v>
      </c>
      <c r="G5552" t="s">
        <v>384</v>
      </c>
      <c r="H5552">
        <v>74</v>
      </c>
      <c r="I5552" t="s">
        <v>8109</v>
      </c>
      <c r="J5552" t="s">
        <v>294</v>
      </c>
      <c r="M5552" t="s">
        <v>295</v>
      </c>
      <c r="N5552" t="s">
        <v>7</v>
      </c>
      <c r="O5552" t="s">
        <v>297</v>
      </c>
    </row>
    <row r="5553" spans="1:15" x14ac:dyDescent="0.3">
      <c r="A5553" t="s">
        <v>1631</v>
      </c>
      <c r="B5553" t="s">
        <v>8029</v>
      </c>
      <c r="C5553">
        <v>2025</v>
      </c>
      <c r="D5553" t="s">
        <v>358</v>
      </c>
      <c r="E5553" t="s">
        <v>7986</v>
      </c>
      <c r="F5553">
        <v>1</v>
      </c>
      <c r="G5553" t="s">
        <v>384</v>
      </c>
      <c r="H5553">
        <v>74</v>
      </c>
      <c r="I5553" t="s">
        <v>8110</v>
      </c>
      <c r="J5553" t="s">
        <v>294</v>
      </c>
      <c r="M5553" t="s">
        <v>295</v>
      </c>
      <c r="N5553" t="s">
        <v>7</v>
      </c>
      <c r="O5553" t="s">
        <v>297</v>
      </c>
    </row>
    <row r="5554" spans="1:15" x14ac:dyDescent="0.3">
      <c r="A5554" t="s">
        <v>1631</v>
      </c>
      <c r="B5554" t="s">
        <v>8029</v>
      </c>
      <c r="C5554">
        <v>2025</v>
      </c>
      <c r="D5554" t="s">
        <v>358</v>
      </c>
      <c r="E5554" t="s">
        <v>8111</v>
      </c>
      <c r="F5554">
        <v>1</v>
      </c>
      <c r="G5554" t="s">
        <v>384</v>
      </c>
      <c r="H5554">
        <v>74</v>
      </c>
      <c r="I5554" t="s">
        <v>8112</v>
      </c>
      <c r="J5554" t="s">
        <v>294</v>
      </c>
      <c r="M5554" t="s">
        <v>295</v>
      </c>
      <c r="N5554" t="s">
        <v>7</v>
      </c>
      <c r="O5554" t="s">
        <v>297</v>
      </c>
    </row>
    <row r="5555" spans="1:15" x14ac:dyDescent="0.3">
      <c r="A5555" t="s">
        <v>1631</v>
      </c>
      <c r="B5555" t="s">
        <v>8029</v>
      </c>
      <c r="C5555">
        <v>2025</v>
      </c>
      <c r="D5555" t="s">
        <v>358</v>
      </c>
      <c r="E5555" t="s">
        <v>8113</v>
      </c>
      <c r="F5555">
        <v>1</v>
      </c>
      <c r="G5555" t="s">
        <v>384</v>
      </c>
      <c r="H5555">
        <v>74</v>
      </c>
      <c r="I5555" t="s">
        <v>8114</v>
      </c>
      <c r="J5555" t="s">
        <v>294</v>
      </c>
      <c r="M5555" t="s">
        <v>295</v>
      </c>
      <c r="N5555" t="s">
        <v>7</v>
      </c>
      <c r="O5555" t="s">
        <v>297</v>
      </c>
    </row>
    <row r="5556" spans="1:15" x14ac:dyDescent="0.3">
      <c r="A5556" t="s">
        <v>1631</v>
      </c>
      <c r="B5556" t="s">
        <v>8029</v>
      </c>
      <c r="C5556">
        <v>2025</v>
      </c>
      <c r="D5556" t="s">
        <v>358</v>
      </c>
      <c r="E5556" t="s">
        <v>8115</v>
      </c>
      <c r="F5556">
        <v>1</v>
      </c>
      <c r="G5556" t="s">
        <v>384</v>
      </c>
      <c r="H5556">
        <v>74</v>
      </c>
      <c r="I5556" t="s">
        <v>8116</v>
      </c>
      <c r="J5556" t="s">
        <v>294</v>
      </c>
      <c r="M5556" t="s">
        <v>295</v>
      </c>
      <c r="N5556" t="s">
        <v>7</v>
      </c>
      <c r="O5556" t="s">
        <v>297</v>
      </c>
    </row>
    <row r="5557" spans="1:15" x14ac:dyDescent="0.3">
      <c r="A5557" t="s">
        <v>1631</v>
      </c>
      <c r="B5557" t="s">
        <v>8029</v>
      </c>
      <c r="C5557">
        <v>2025</v>
      </c>
      <c r="D5557" t="s">
        <v>358</v>
      </c>
      <c r="E5557" t="s">
        <v>8117</v>
      </c>
      <c r="F5557">
        <v>2</v>
      </c>
      <c r="G5557" t="s">
        <v>384</v>
      </c>
      <c r="H5557">
        <v>74</v>
      </c>
      <c r="I5557" t="s">
        <v>8118</v>
      </c>
      <c r="J5557" t="s">
        <v>294</v>
      </c>
      <c r="M5557" t="s">
        <v>295</v>
      </c>
      <c r="N5557" t="s">
        <v>7</v>
      </c>
      <c r="O5557" t="s">
        <v>297</v>
      </c>
    </row>
    <row r="5558" spans="1:15" x14ac:dyDescent="0.3">
      <c r="A5558" t="s">
        <v>1631</v>
      </c>
      <c r="B5558" t="s">
        <v>8029</v>
      </c>
      <c r="C5558">
        <v>2025</v>
      </c>
      <c r="D5558" t="s">
        <v>394</v>
      </c>
      <c r="E5558" t="s">
        <v>4451</v>
      </c>
      <c r="F5558">
        <v>1628452</v>
      </c>
      <c r="G5558" t="s">
        <v>396</v>
      </c>
      <c r="H5558">
        <v>21</v>
      </c>
      <c r="I5558" t="s">
        <v>8119</v>
      </c>
      <c r="J5558" t="s">
        <v>294</v>
      </c>
      <c r="M5558" t="s">
        <v>295</v>
      </c>
      <c r="N5558" t="s">
        <v>7</v>
      </c>
      <c r="O5558" t="s">
        <v>297</v>
      </c>
    </row>
    <row r="5559" spans="1:15" x14ac:dyDescent="0.3">
      <c r="A5559" t="s">
        <v>1631</v>
      </c>
      <c r="B5559" t="s">
        <v>8029</v>
      </c>
      <c r="C5559">
        <v>2025</v>
      </c>
      <c r="D5559" t="s">
        <v>394</v>
      </c>
      <c r="E5559" t="s">
        <v>7875</v>
      </c>
      <c r="F5559">
        <v>178559</v>
      </c>
      <c r="G5559" t="s">
        <v>396</v>
      </c>
      <c r="H5559">
        <v>21</v>
      </c>
      <c r="I5559" t="s">
        <v>8120</v>
      </c>
      <c r="J5559" t="s">
        <v>294</v>
      </c>
      <c r="M5559" t="s">
        <v>295</v>
      </c>
      <c r="N5559" t="s">
        <v>7</v>
      </c>
      <c r="O5559" t="s">
        <v>297</v>
      </c>
    </row>
    <row r="5560" spans="1:15" x14ac:dyDescent="0.3">
      <c r="A5560" t="s">
        <v>1631</v>
      </c>
      <c r="B5560" t="s">
        <v>8029</v>
      </c>
      <c r="C5560">
        <v>2025</v>
      </c>
      <c r="D5560" t="s">
        <v>394</v>
      </c>
      <c r="E5560" t="s">
        <v>7877</v>
      </c>
      <c r="F5560">
        <v>596153</v>
      </c>
      <c r="G5560" t="s">
        <v>396</v>
      </c>
      <c r="H5560">
        <v>21</v>
      </c>
      <c r="I5560" t="s">
        <v>8121</v>
      </c>
      <c r="J5560" t="s">
        <v>294</v>
      </c>
      <c r="M5560" t="s">
        <v>295</v>
      </c>
      <c r="N5560" t="s">
        <v>7</v>
      </c>
      <c r="O5560" t="s">
        <v>297</v>
      </c>
    </row>
    <row r="5561" spans="1:15" x14ac:dyDescent="0.3">
      <c r="A5561" t="s">
        <v>1631</v>
      </c>
      <c r="B5561" t="s">
        <v>8029</v>
      </c>
      <c r="C5561">
        <v>2025</v>
      </c>
      <c r="D5561" t="s">
        <v>394</v>
      </c>
      <c r="E5561" t="s">
        <v>531</v>
      </c>
      <c r="F5561">
        <v>2403164</v>
      </c>
      <c r="G5561" t="s">
        <v>396</v>
      </c>
      <c r="H5561">
        <v>21</v>
      </c>
      <c r="I5561" t="s">
        <v>8122</v>
      </c>
      <c r="J5561" t="s">
        <v>294</v>
      </c>
      <c r="M5561" t="s">
        <v>295</v>
      </c>
      <c r="N5561" t="s">
        <v>7</v>
      </c>
      <c r="O5561" t="s">
        <v>297</v>
      </c>
    </row>
    <row r="5562" spans="1:15" x14ac:dyDescent="0.3">
      <c r="A5562" t="s">
        <v>1631</v>
      </c>
      <c r="B5562" t="s">
        <v>8029</v>
      </c>
      <c r="C5562">
        <v>2025</v>
      </c>
      <c r="D5562" t="s">
        <v>394</v>
      </c>
      <c r="E5562" t="s">
        <v>6782</v>
      </c>
      <c r="F5562">
        <v>2382942</v>
      </c>
      <c r="G5562" t="s">
        <v>396</v>
      </c>
      <c r="H5562">
        <v>21</v>
      </c>
      <c r="I5562" t="s">
        <v>8123</v>
      </c>
      <c r="J5562" t="s">
        <v>294</v>
      </c>
      <c r="M5562" t="s">
        <v>295</v>
      </c>
      <c r="N5562" t="s">
        <v>7</v>
      </c>
      <c r="O5562" t="s">
        <v>297</v>
      </c>
    </row>
    <row r="5563" spans="1:15" x14ac:dyDescent="0.3">
      <c r="A5563" t="s">
        <v>1631</v>
      </c>
      <c r="B5563" t="s">
        <v>8029</v>
      </c>
      <c r="C5563">
        <v>2025</v>
      </c>
      <c r="D5563" t="s">
        <v>394</v>
      </c>
      <c r="E5563" t="s">
        <v>406</v>
      </c>
      <c r="F5563">
        <v>527052</v>
      </c>
      <c r="G5563" t="s">
        <v>396</v>
      </c>
      <c r="H5563">
        <v>21</v>
      </c>
      <c r="I5563" t="s">
        <v>8124</v>
      </c>
      <c r="J5563" t="s">
        <v>294</v>
      </c>
      <c r="M5563" t="s">
        <v>295</v>
      </c>
      <c r="N5563" t="s">
        <v>7</v>
      </c>
      <c r="O5563" t="s">
        <v>297</v>
      </c>
    </row>
    <row r="5564" spans="1:15" x14ac:dyDescent="0.3">
      <c r="A5564" t="s">
        <v>1631</v>
      </c>
      <c r="B5564" t="s">
        <v>8029</v>
      </c>
      <c r="C5564">
        <v>2025</v>
      </c>
      <c r="D5564" t="s">
        <v>394</v>
      </c>
      <c r="E5564" t="s">
        <v>4456</v>
      </c>
      <c r="F5564">
        <v>104130</v>
      </c>
      <c r="G5564" t="s">
        <v>396</v>
      </c>
      <c r="H5564">
        <v>21</v>
      </c>
      <c r="I5564" t="s">
        <v>8125</v>
      </c>
      <c r="J5564" t="s">
        <v>294</v>
      </c>
      <c r="M5564" t="s">
        <v>295</v>
      </c>
      <c r="N5564" t="s">
        <v>7</v>
      </c>
      <c r="O5564" t="s">
        <v>297</v>
      </c>
    </row>
    <row r="5565" spans="1:15" x14ac:dyDescent="0.3">
      <c r="A5565" t="s">
        <v>1631</v>
      </c>
      <c r="B5565" t="s">
        <v>8029</v>
      </c>
      <c r="C5565">
        <v>2025</v>
      </c>
      <c r="D5565" t="s">
        <v>394</v>
      </c>
      <c r="E5565" t="s">
        <v>418</v>
      </c>
      <c r="F5565">
        <v>15379</v>
      </c>
      <c r="G5565" t="s">
        <v>396</v>
      </c>
      <c r="H5565">
        <v>21</v>
      </c>
      <c r="I5565" t="s">
        <v>8126</v>
      </c>
      <c r="J5565" t="s">
        <v>294</v>
      </c>
      <c r="M5565" t="s">
        <v>295</v>
      </c>
      <c r="N5565" t="s">
        <v>7</v>
      </c>
      <c r="O5565" t="s">
        <v>297</v>
      </c>
    </row>
    <row r="5566" spans="1:15" x14ac:dyDescent="0.3">
      <c r="A5566" t="s">
        <v>1631</v>
      </c>
      <c r="B5566" t="s">
        <v>8029</v>
      </c>
      <c r="C5566">
        <v>2025</v>
      </c>
      <c r="D5566" t="s">
        <v>394</v>
      </c>
      <c r="E5566" t="s">
        <v>408</v>
      </c>
      <c r="F5566">
        <v>569213</v>
      </c>
      <c r="G5566" t="s">
        <v>396</v>
      </c>
      <c r="H5566">
        <v>21</v>
      </c>
      <c r="I5566" t="s">
        <v>8127</v>
      </c>
      <c r="J5566" t="s">
        <v>294</v>
      </c>
      <c r="M5566" t="s">
        <v>295</v>
      </c>
      <c r="N5566" t="s">
        <v>7</v>
      </c>
      <c r="O5566" t="s">
        <v>297</v>
      </c>
    </row>
    <row r="5567" spans="1:15" x14ac:dyDescent="0.3">
      <c r="A5567" t="s">
        <v>1631</v>
      </c>
      <c r="B5567" t="s">
        <v>8029</v>
      </c>
      <c r="C5567">
        <v>2025</v>
      </c>
      <c r="D5567" t="s">
        <v>394</v>
      </c>
      <c r="E5567" t="s">
        <v>7885</v>
      </c>
      <c r="F5567">
        <v>467934</v>
      </c>
      <c r="G5567" t="s">
        <v>396</v>
      </c>
      <c r="H5567">
        <v>21</v>
      </c>
      <c r="I5567" t="s">
        <v>8128</v>
      </c>
      <c r="J5567" t="s">
        <v>294</v>
      </c>
      <c r="M5567" t="s">
        <v>295</v>
      </c>
      <c r="N5567" t="s">
        <v>7</v>
      </c>
      <c r="O5567" t="s">
        <v>297</v>
      </c>
    </row>
    <row r="5568" spans="1:15" x14ac:dyDescent="0.3">
      <c r="A5568" t="s">
        <v>1631</v>
      </c>
      <c r="B5568" t="s">
        <v>8029</v>
      </c>
      <c r="C5568">
        <v>2025</v>
      </c>
      <c r="D5568" t="s">
        <v>394</v>
      </c>
      <c r="E5568" t="s">
        <v>7887</v>
      </c>
      <c r="F5568">
        <v>101221</v>
      </c>
      <c r="G5568" t="s">
        <v>396</v>
      </c>
      <c r="H5568">
        <v>21</v>
      </c>
      <c r="I5568" t="s">
        <v>8129</v>
      </c>
      <c r="J5568" t="s">
        <v>294</v>
      </c>
      <c r="M5568" t="s">
        <v>295</v>
      </c>
      <c r="N5568" t="s">
        <v>7</v>
      </c>
      <c r="O5568" t="s">
        <v>297</v>
      </c>
    </row>
    <row r="5569" spans="1:15" x14ac:dyDescent="0.3">
      <c r="A5569" t="s">
        <v>1631</v>
      </c>
      <c r="B5569" t="s">
        <v>8029</v>
      </c>
      <c r="C5569">
        <v>2025</v>
      </c>
      <c r="D5569" t="s">
        <v>394</v>
      </c>
      <c r="E5569" t="s">
        <v>414</v>
      </c>
      <c r="F5569">
        <v>21913</v>
      </c>
      <c r="G5569" t="s">
        <v>396</v>
      </c>
      <c r="H5569">
        <v>21</v>
      </c>
      <c r="I5569" t="s">
        <v>8130</v>
      </c>
      <c r="J5569" t="s">
        <v>294</v>
      </c>
      <c r="M5569" t="s">
        <v>295</v>
      </c>
      <c r="N5569" t="s">
        <v>7</v>
      </c>
      <c r="O5569" t="s">
        <v>297</v>
      </c>
    </row>
    <row r="5570" spans="1:15" x14ac:dyDescent="0.3">
      <c r="A5570" t="s">
        <v>1631</v>
      </c>
      <c r="B5570" t="s">
        <v>8029</v>
      </c>
      <c r="C5570">
        <v>2025</v>
      </c>
      <c r="D5570" t="s">
        <v>394</v>
      </c>
      <c r="E5570" t="s">
        <v>420</v>
      </c>
      <c r="F5570">
        <v>37506</v>
      </c>
      <c r="G5570" t="s">
        <v>396</v>
      </c>
      <c r="H5570">
        <v>21</v>
      </c>
      <c r="I5570" t="s">
        <v>8131</v>
      </c>
      <c r="J5570" t="s">
        <v>294</v>
      </c>
      <c r="M5570" t="s">
        <v>295</v>
      </c>
      <c r="N5570" t="s">
        <v>7</v>
      </c>
      <c r="O5570" t="s">
        <v>297</v>
      </c>
    </row>
    <row r="5571" spans="1:15" x14ac:dyDescent="0.3">
      <c r="A5571" t="s">
        <v>1631</v>
      </c>
      <c r="B5571" t="s">
        <v>8029</v>
      </c>
      <c r="C5571">
        <v>2025</v>
      </c>
      <c r="D5571" t="s">
        <v>394</v>
      </c>
      <c r="E5571" t="s">
        <v>8132</v>
      </c>
      <c r="F5571">
        <v>1231329</v>
      </c>
      <c r="G5571" t="s">
        <v>396</v>
      </c>
      <c r="H5571">
        <v>21</v>
      </c>
      <c r="I5571" t="s">
        <v>8133</v>
      </c>
      <c r="J5571" t="s">
        <v>294</v>
      </c>
      <c r="M5571" t="s">
        <v>295</v>
      </c>
      <c r="N5571" t="s">
        <v>7</v>
      </c>
      <c r="O5571" t="s">
        <v>297</v>
      </c>
    </row>
    <row r="5572" spans="1:15" x14ac:dyDescent="0.3">
      <c r="A5572" t="s">
        <v>1631</v>
      </c>
      <c r="B5572" t="s">
        <v>8029</v>
      </c>
      <c r="C5572">
        <v>2025</v>
      </c>
      <c r="D5572" t="s">
        <v>394</v>
      </c>
      <c r="E5572" t="s">
        <v>7890</v>
      </c>
      <c r="F5572">
        <v>28997</v>
      </c>
      <c r="G5572" t="s">
        <v>396</v>
      </c>
      <c r="H5572">
        <v>21</v>
      </c>
      <c r="I5572" t="s">
        <v>8134</v>
      </c>
      <c r="J5572" t="s">
        <v>294</v>
      </c>
      <c r="M5572" t="s">
        <v>295</v>
      </c>
      <c r="N5572" t="s">
        <v>7</v>
      </c>
      <c r="O5572" t="s">
        <v>297</v>
      </c>
    </row>
    <row r="5573" spans="1:15" x14ac:dyDescent="0.3">
      <c r="A5573" t="s">
        <v>1631</v>
      </c>
      <c r="B5573" t="s">
        <v>8029</v>
      </c>
      <c r="C5573">
        <v>2025</v>
      </c>
      <c r="D5573" t="s">
        <v>394</v>
      </c>
      <c r="E5573" t="s">
        <v>7644</v>
      </c>
      <c r="F5573">
        <v>929187</v>
      </c>
      <c r="G5573" t="s">
        <v>396</v>
      </c>
      <c r="H5573">
        <v>22</v>
      </c>
      <c r="I5573" t="s">
        <v>8135</v>
      </c>
      <c r="J5573" t="s">
        <v>294</v>
      </c>
      <c r="M5573" t="s">
        <v>295</v>
      </c>
      <c r="N5573" t="s">
        <v>7</v>
      </c>
      <c r="O5573" t="s">
        <v>297</v>
      </c>
    </row>
    <row r="5574" spans="1:15" x14ac:dyDescent="0.3">
      <c r="A5574" t="s">
        <v>1631</v>
      </c>
      <c r="B5574" t="s">
        <v>8029</v>
      </c>
      <c r="C5574">
        <v>2025</v>
      </c>
      <c r="D5574" t="s">
        <v>394</v>
      </c>
      <c r="E5574" t="s">
        <v>7540</v>
      </c>
      <c r="F5574">
        <v>0.22120000000000001</v>
      </c>
      <c r="G5574" t="s">
        <v>334</v>
      </c>
      <c r="H5574">
        <v>131</v>
      </c>
      <c r="I5574" t="s">
        <v>8136</v>
      </c>
      <c r="J5574" t="s">
        <v>294</v>
      </c>
      <c r="M5574" t="s">
        <v>295</v>
      </c>
      <c r="N5574" t="s">
        <v>7</v>
      </c>
      <c r="O5574" t="s">
        <v>297</v>
      </c>
    </row>
    <row r="5575" spans="1:15" x14ac:dyDescent="0.3">
      <c r="A5575" t="s">
        <v>1631</v>
      </c>
      <c r="B5575" t="s">
        <v>8029</v>
      </c>
      <c r="C5575">
        <v>2025</v>
      </c>
      <c r="D5575" t="s">
        <v>394</v>
      </c>
      <c r="E5575" t="s">
        <v>8009</v>
      </c>
      <c r="F5575">
        <v>0.71020000000000005</v>
      </c>
      <c r="G5575" t="s">
        <v>334</v>
      </c>
      <c r="H5575">
        <v>133</v>
      </c>
      <c r="I5575" t="s">
        <v>8137</v>
      </c>
      <c r="J5575" t="s">
        <v>294</v>
      </c>
      <c r="M5575" t="s">
        <v>295</v>
      </c>
      <c r="N5575" t="s">
        <v>7</v>
      </c>
      <c r="O5575" t="s">
        <v>297</v>
      </c>
    </row>
    <row r="5576" spans="1:15" x14ac:dyDescent="0.3">
      <c r="A5576" t="s">
        <v>1631</v>
      </c>
      <c r="B5576" t="s">
        <v>8029</v>
      </c>
      <c r="C5576">
        <v>2025</v>
      </c>
      <c r="D5576" t="s">
        <v>394</v>
      </c>
      <c r="E5576" t="s">
        <v>8011</v>
      </c>
      <c r="F5576">
        <v>0.66969999999999996</v>
      </c>
      <c r="G5576" t="s">
        <v>334</v>
      </c>
      <c r="H5576">
        <v>133</v>
      </c>
      <c r="I5576" t="s">
        <v>8138</v>
      </c>
      <c r="J5576" t="s">
        <v>294</v>
      </c>
      <c r="M5576" t="s">
        <v>295</v>
      </c>
      <c r="N5576" t="s">
        <v>7</v>
      </c>
      <c r="O5576" t="s">
        <v>297</v>
      </c>
    </row>
    <row r="5577" spans="1:15" x14ac:dyDescent="0.3">
      <c r="A5577" t="s">
        <v>1631</v>
      </c>
      <c r="B5577" t="s">
        <v>8029</v>
      </c>
      <c r="C5577">
        <v>2025</v>
      </c>
      <c r="D5577" t="s">
        <v>394</v>
      </c>
      <c r="E5577" t="s">
        <v>8013</v>
      </c>
      <c r="F5577">
        <v>0.50660000000000005</v>
      </c>
      <c r="G5577" t="s">
        <v>334</v>
      </c>
      <c r="H5577">
        <v>133</v>
      </c>
      <c r="I5577" t="s">
        <v>8139</v>
      </c>
      <c r="J5577" t="s">
        <v>294</v>
      </c>
      <c r="M5577" t="s">
        <v>295</v>
      </c>
      <c r="N5577" t="s">
        <v>7</v>
      </c>
      <c r="O5577" t="s">
        <v>297</v>
      </c>
    </row>
    <row r="5578" spans="1:15" x14ac:dyDescent="0.3">
      <c r="A5578" t="s">
        <v>1631</v>
      </c>
      <c r="B5578" t="s">
        <v>8029</v>
      </c>
      <c r="C5578">
        <v>2025</v>
      </c>
      <c r="D5578" t="s">
        <v>394</v>
      </c>
      <c r="E5578" t="s">
        <v>7902</v>
      </c>
      <c r="F5578">
        <v>4.8600000000000003</v>
      </c>
      <c r="G5578" t="s">
        <v>7903</v>
      </c>
      <c r="H5578">
        <v>74</v>
      </c>
      <c r="I5578" t="s">
        <v>8140</v>
      </c>
      <c r="J5578" t="s">
        <v>294</v>
      </c>
      <c r="M5578" t="s">
        <v>295</v>
      </c>
      <c r="N5578" t="s">
        <v>7</v>
      </c>
      <c r="O5578" t="s">
        <v>297</v>
      </c>
    </row>
    <row r="5579" spans="1:15" x14ac:dyDescent="0.3">
      <c r="A5579" t="s">
        <v>1631</v>
      </c>
      <c r="B5579" t="s">
        <v>8029</v>
      </c>
      <c r="C5579">
        <v>2025</v>
      </c>
      <c r="D5579" t="s">
        <v>394</v>
      </c>
      <c r="E5579" t="s">
        <v>8019</v>
      </c>
      <c r="F5579">
        <v>842</v>
      </c>
      <c r="G5579" t="s">
        <v>302</v>
      </c>
      <c r="H5579">
        <v>131</v>
      </c>
      <c r="I5579" t="s">
        <v>8141</v>
      </c>
      <c r="J5579" t="s">
        <v>294</v>
      </c>
      <c r="M5579" t="s">
        <v>295</v>
      </c>
      <c r="N5579" t="s">
        <v>7</v>
      </c>
      <c r="O5579" t="s">
        <v>297</v>
      </c>
    </row>
    <row r="5580" spans="1:15" x14ac:dyDescent="0.3">
      <c r="A5580" t="s">
        <v>1631</v>
      </c>
      <c r="B5580" t="s">
        <v>8029</v>
      </c>
      <c r="C5580">
        <v>2025</v>
      </c>
      <c r="D5580" t="s">
        <v>394</v>
      </c>
      <c r="E5580" t="s">
        <v>8021</v>
      </c>
      <c r="F5580">
        <v>5.6800000000000003E-2</v>
      </c>
      <c r="G5580" t="s">
        <v>334</v>
      </c>
      <c r="H5580">
        <v>132</v>
      </c>
      <c r="I5580" t="s">
        <v>8142</v>
      </c>
      <c r="J5580" t="s">
        <v>294</v>
      </c>
      <c r="M5580" t="s">
        <v>295</v>
      </c>
      <c r="N5580" t="s">
        <v>7</v>
      </c>
      <c r="O5580" t="s">
        <v>297</v>
      </c>
    </row>
    <row r="5581" spans="1:15" x14ac:dyDescent="0.3">
      <c r="A5581" t="s">
        <v>1631</v>
      </c>
      <c r="B5581" t="s">
        <v>8029</v>
      </c>
      <c r="C5581">
        <v>2025</v>
      </c>
      <c r="D5581" t="s">
        <v>394</v>
      </c>
      <c r="E5581" t="s">
        <v>8143</v>
      </c>
      <c r="F5581">
        <v>13971</v>
      </c>
      <c r="G5581" t="s">
        <v>302</v>
      </c>
      <c r="H5581">
        <v>23</v>
      </c>
      <c r="I5581" t="s">
        <v>8144</v>
      </c>
      <c r="J5581" t="s">
        <v>294</v>
      </c>
      <c r="M5581" t="s">
        <v>295</v>
      </c>
      <c r="N5581" t="s">
        <v>7</v>
      </c>
      <c r="O5581" t="s">
        <v>297</v>
      </c>
    </row>
    <row r="5582" spans="1:15" x14ac:dyDescent="0.3">
      <c r="A5582" t="s">
        <v>1631</v>
      </c>
      <c r="B5582" t="s">
        <v>8029</v>
      </c>
      <c r="C5582">
        <v>2025</v>
      </c>
      <c r="D5582" t="s">
        <v>563</v>
      </c>
      <c r="E5582" t="s">
        <v>8145</v>
      </c>
      <c r="F5582">
        <v>45734</v>
      </c>
      <c r="G5582" t="s">
        <v>360</v>
      </c>
      <c r="H5582">
        <v>74</v>
      </c>
      <c r="I5582" t="s">
        <v>8146</v>
      </c>
      <c r="J5582" t="s">
        <v>294</v>
      </c>
      <c r="M5582" t="s">
        <v>295</v>
      </c>
      <c r="N5582" t="s">
        <v>7</v>
      </c>
      <c r="O5582" t="s">
        <v>297</v>
      </c>
    </row>
    <row r="5583" spans="1:15" x14ac:dyDescent="0.3">
      <c r="A5583" t="s">
        <v>1631</v>
      </c>
      <c r="B5583" t="s">
        <v>8029</v>
      </c>
      <c r="C5583">
        <v>2025</v>
      </c>
      <c r="D5583" t="s">
        <v>563</v>
      </c>
      <c r="E5583" t="s">
        <v>8147</v>
      </c>
      <c r="F5583">
        <v>51814</v>
      </c>
      <c r="G5583" t="s">
        <v>360</v>
      </c>
      <c r="H5583">
        <v>74</v>
      </c>
      <c r="I5583" t="s">
        <v>8148</v>
      </c>
      <c r="J5583" t="s">
        <v>294</v>
      </c>
      <c r="M5583" t="s">
        <v>295</v>
      </c>
      <c r="N5583" t="s">
        <v>7</v>
      </c>
      <c r="O5583" t="s">
        <v>297</v>
      </c>
    </row>
    <row r="5584" spans="1:15" x14ac:dyDescent="0.3">
      <c r="A5584" t="s">
        <v>1631</v>
      </c>
      <c r="B5584" t="s">
        <v>8029</v>
      </c>
      <c r="C5584">
        <v>2025</v>
      </c>
      <c r="D5584" t="s">
        <v>252</v>
      </c>
      <c r="E5584" t="s">
        <v>8037</v>
      </c>
      <c r="F5584" t="s">
        <v>8149</v>
      </c>
      <c r="G5584" t="s">
        <v>292</v>
      </c>
      <c r="I5584" t="s">
        <v>8150</v>
      </c>
      <c r="J5584" t="s">
        <v>294</v>
      </c>
      <c r="M5584" t="s">
        <v>295</v>
      </c>
      <c r="N5584" t="s">
        <v>7</v>
      </c>
      <c r="O5584" t="s">
        <v>297</v>
      </c>
    </row>
    <row r="5585" spans="1:15" x14ac:dyDescent="0.3">
      <c r="A5585" t="s">
        <v>1631</v>
      </c>
      <c r="B5585" t="s">
        <v>8029</v>
      </c>
      <c r="C5585">
        <v>2025</v>
      </c>
      <c r="D5585" t="s">
        <v>252</v>
      </c>
      <c r="E5585" t="s">
        <v>8151</v>
      </c>
      <c r="F5585" t="s">
        <v>8152</v>
      </c>
      <c r="G5585" t="s">
        <v>666</v>
      </c>
      <c r="H5585">
        <v>25</v>
      </c>
      <c r="I5585" t="s">
        <v>8153</v>
      </c>
      <c r="J5585" t="s">
        <v>294</v>
      </c>
      <c r="M5585" t="s">
        <v>295</v>
      </c>
      <c r="N5585" t="s">
        <v>7</v>
      </c>
      <c r="O5585" t="s">
        <v>297</v>
      </c>
    </row>
    <row r="5586" spans="1:15" x14ac:dyDescent="0.3">
      <c r="A5586" t="s">
        <v>8154</v>
      </c>
      <c r="B5586" t="s">
        <v>8155</v>
      </c>
      <c r="C5586">
        <v>2023</v>
      </c>
      <c r="D5586" t="s">
        <v>272</v>
      </c>
      <c r="E5586" t="s">
        <v>291</v>
      </c>
      <c r="F5586" t="s">
        <v>8154</v>
      </c>
      <c r="G5586" t="s">
        <v>292</v>
      </c>
      <c r="H5586">
        <v>1</v>
      </c>
      <c r="I5586" t="s">
        <v>8156</v>
      </c>
      <c r="J5586" t="s">
        <v>294</v>
      </c>
      <c r="M5586" t="s">
        <v>295</v>
      </c>
      <c r="N5586" t="s">
        <v>7</v>
      </c>
      <c r="O5586" t="s">
        <v>297</v>
      </c>
    </row>
    <row r="5587" spans="1:15" x14ac:dyDescent="0.3">
      <c r="A5587" t="s">
        <v>8154</v>
      </c>
      <c r="B5587" t="s">
        <v>8155</v>
      </c>
      <c r="C5587">
        <v>2023</v>
      </c>
      <c r="D5587" t="s">
        <v>272</v>
      </c>
      <c r="E5587" t="s">
        <v>1</v>
      </c>
      <c r="F5587" t="s">
        <v>106</v>
      </c>
      <c r="G5587" t="s">
        <v>292</v>
      </c>
      <c r="H5587">
        <v>12</v>
      </c>
      <c r="I5587" t="s">
        <v>8157</v>
      </c>
      <c r="J5587" t="s">
        <v>294</v>
      </c>
      <c r="M5587" t="s">
        <v>295</v>
      </c>
      <c r="N5587" t="s">
        <v>7</v>
      </c>
      <c r="O5587" t="s">
        <v>297</v>
      </c>
    </row>
    <row r="5588" spans="1:15" x14ac:dyDescent="0.3">
      <c r="A5588" t="s">
        <v>8154</v>
      </c>
      <c r="B5588" t="s">
        <v>8155</v>
      </c>
      <c r="C5588">
        <v>2023</v>
      </c>
      <c r="D5588" t="s">
        <v>272</v>
      </c>
      <c r="E5588" t="s">
        <v>869</v>
      </c>
      <c r="F5588" t="s">
        <v>8158</v>
      </c>
      <c r="G5588" t="s">
        <v>666</v>
      </c>
      <c r="H5588">
        <v>82</v>
      </c>
      <c r="I5588" t="s">
        <v>8159</v>
      </c>
      <c r="J5588" t="s">
        <v>294</v>
      </c>
      <c r="M5588" t="s">
        <v>295</v>
      </c>
      <c r="N5588" t="s">
        <v>7</v>
      </c>
      <c r="O5588" t="s">
        <v>297</v>
      </c>
    </row>
    <row r="5589" spans="1:15" x14ac:dyDescent="0.3">
      <c r="A5589" t="s">
        <v>8154</v>
      </c>
      <c r="B5589" t="s">
        <v>8155</v>
      </c>
      <c r="C5589">
        <v>2023</v>
      </c>
      <c r="D5589" t="s">
        <v>272</v>
      </c>
      <c r="E5589" t="s">
        <v>8160</v>
      </c>
      <c r="F5589" t="s">
        <v>8161</v>
      </c>
      <c r="G5589" t="s">
        <v>334</v>
      </c>
      <c r="H5589">
        <v>76</v>
      </c>
      <c r="I5589" t="s">
        <v>8162</v>
      </c>
      <c r="J5589" t="s">
        <v>294</v>
      </c>
      <c r="M5589" t="s">
        <v>295</v>
      </c>
      <c r="N5589" t="s">
        <v>7</v>
      </c>
      <c r="O5589" t="s">
        <v>297</v>
      </c>
    </row>
    <row r="5590" spans="1:15" x14ac:dyDescent="0.3">
      <c r="A5590" t="s">
        <v>8154</v>
      </c>
      <c r="B5590" t="s">
        <v>8155</v>
      </c>
      <c r="C5590">
        <v>2023</v>
      </c>
      <c r="D5590" t="s">
        <v>272</v>
      </c>
      <c r="E5590" t="s">
        <v>8163</v>
      </c>
      <c r="F5590" t="s">
        <v>8164</v>
      </c>
      <c r="G5590" t="s">
        <v>334</v>
      </c>
      <c r="H5590">
        <v>76</v>
      </c>
      <c r="I5590" t="s">
        <v>8165</v>
      </c>
      <c r="J5590" t="s">
        <v>294</v>
      </c>
      <c r="M5590" t="s">
        <v>295</v>
      </c>
      <c r="N5590" t="s">
        <v>7</v>
      </c>
      <c r="O5590" t="s">
        <v>297</v>
      </c>
    </row>
    <row r="5591" spans="1:15" x14ac:dyDescent="0.3">
      <c r="A5591" t="s">
        <v>8154</v>
      </c>
      <c r="B5591" t="s">
        <v>8155</v>
      </c>
      <c r="C5591">
        <v>2023</v>
      </c>
      <c r="D5591" t="s">
        <v>272</v>
      </c>
      <c r="E5591" t="s">
        <v>8166</v>
      </c>
      <c r="F5591" t="s">
        <v>8167</v>
      </c>
      <c r="G5591" t="s">
        <v>334</v>
      </c>
      <c r="H5591">
        <v>76</v>
      </c>
      <c r="I5591" t="s">
        <v>8168</v>
      </c>
      <c r="J5591" t="s">
        <v>294</v>
      </c>
      <c r="M5591" t="s">
        <v>295</v>
      </c>
      <c r="N5591" t="s">
        <v>7</v>
      </c>
      <c r="O5591" t="s">
        <v>297</v>
      </c>
    </row>
    <row r="5592" spans="1:15" x14ac:dyDescent="0.3">
      <c r="A5592" t="s">
        <v>8154</v>
      </c>
      <c r="B5592" t="s">
        <v>8155</v>
      </c>
      <c r="C5592">
        <v>2023</v>
      </c>
      <c r="D5592" t="s">
        <v>272</v>
      </c>
      <c r="E5592" t="s">
        <v>8169</v>
      </c>
      <c r="F5592" t="s">
        <v>8170</v>
      </c>
      <c r="G5592" t="s">
        <v>334</v>
      </c>
      <c r="H5592">
        <v>76</v>
      </c>
      <c r="I5592" t="s">
        <v>8171</v>
      </c>
      <c r="J5592" t="s">
        <v>294</v>
      </c>
      <c r="M5592" t="s">
        <v>295</v>
      </c>
      <c r="N5592" t="s">
        <v>7</v>
      </c>
      <c r="O5592" t="s">
        <v>297</v>
      </c>
    </row>
    <row r="5593" spans="1:15" x14ac:dyDescent="0.3">
      <c r="A5593" t="s">
        <v>8154</v>
      </c>
      <c r="B5593" t="s">
        <v>8155</v>
      </c>
      <c r="C5593">
        <v>2023</v>
      </c>
      <c r="D5593" t="s">
        <v>272</v>
      </c>
      <c r="E5593" t="s">
        <v>8172</v>
      </c>
      <c r="F5593" t="s">
        <v>8173</v>
      </c>
      <c r="G5593" t="s">
        <v>334</v>
      </c>
      <c r="H5593">
        <v>76</v>
      </c>
      <c r="I5593" t="s">
        <v>8174</v>
      </c>
      <c r="J5593" t="s">
        <v>294</v>
      </c>
      <c r="M5593" t="s">
        <v>295</v>
      </c>
      <c r="N5593" t="s">
        <v>7</v>
      </c>
      <c r="O5593" t="s">
        <v>297</v>
      </c>
    </row>
    <row r="5594" spans="1:15" x14ac:dyDescent="0.3">
      <c r="A5594" t="s">
        <v>8154</v>
      </c>
      <c r="B5594" t="s">
        <v>8155</v>
      </c>
      <c r="C5594">
        <v>2023</v>
      </c>
      <c r="D5594" t="s">
        <v>272</v>
      </c>
      <c r="E5594" t="s">
        <v>445</v>
      </c>
      <c r="F5594">
        <v>0.14019999999999999</v>
      </c>
      <c r="G5594" t="s">
        <v>334</v>
      </c>
      <c r="H5594">
        <v>76</v>
      </c>
      <c r="I5594" t="s">
        <v>8175</v>
      </c>
      <c r="J5594" t="s">
        <v>294</v>
      </c>
      <c r="M5594" t="s">
        <v>295</v>
      </c>
      <c r="N5594" t="s">
        <v>7</v>
      </c>
      <c r="O5594" t="s">
        <v>297</v>
      </c>
    </row>
    <row r="5595" spans="1:15" x14ac:dyDescent="0.3">
      <c r="A5595" t="s">
        <v>8154</v>
      </c>
      <c r="B5595" t="s">
        <v>8155</v>
      </c>
      <c r="C5595">
        <v>2023</v>
      </c>
      <c r="D5595" t="s">
        <v>272</v>
      </c>
      <c r="E5595" t="s">
        <v>8176</v>
      </c>
      <c r="F5595">
        <v>24</v>
      </c>
      <c r="G5595" t="s">
        <v>384</v>
      </c>
      <c r="H5595">
        <v>82</v>
      </c>
      <c r="I5595" t="s">
        <v>8177</v>
      </c>
      <c r="J5595" t="s">
        <v>294</v>
      </c>
      <c r="M5595" t="s">
        <v>295</v>
      </c>
      <c r="N5595" t="s">
        <v>7</v>
      </c>
      <c r="O5595" t="s">
        <v>297</v>
      </c>
    </row>
    <row r="5596" spans="1:15" x14ac:dyDescent="0.3">
      <c r="A5596" t="s">
        <v>8154</v>
      </c>
      <c r="B5596" t="s">
        <v>8155</v>
      </c>
      <c r="C5596">
        <v>2023</v>
      </c>
      <c r="D5596" t="s">
        <v>300</v>
      </c>
      <c r="E5596" t="s">
        <v>3142</v>
      </c>
      <c r="F5596">
        <v>8326</v>
      </c>
      <c r="G5596" t="s">
        <v>302</v>
      </c>
      <c r="H5596">
        <v>10</v>
      </c>
      <c r="I5596" t="s">
        <v>8178</v>
      </c>
      <c r="J5596" t="s">
        <v>294</v>
      </c>
      <c r="M5596" t="s">
        <v>295</v>
      </c>
      <c r="N5596" t="s">
        <v>7</v>
      </c>
      <c r="O5596" t="s">
        <v>297</v>
      </c>
    </row>
    <row r="5597" spans="1:15" x14ac:dyDescent="0.3">
      <c r="A5597" t="s">
        <v>8154</v>
      </c>
      <c r="B5597" t="s">
        <v>8155</v>
      </c>
      <c r="C5597">
        <v>2023</v>
      </c>
      <c r="D5597" t="s">
        <v>300</v>
      </c>
      <c r="E5597" t="s">
        <v>2868</v>
      </c>
      <c r="F5597">
        <v>6109</v>
      </c>
      <c r="G5597" t="s">
        <v>302</v>
      </c>
      <c r="H5597">
        <v>100</v>
      </c>
      <c r="I5597" t="s">
        <v>8179</v>
      </c>
      <c r="J5597" t="s">
        <v>294</v>
      </c>
      <c r="M5597" t="s">
        <v>295</v>
      </c>
      <c r="N5597" t="s">
        <v>7</v>
      </c>
      <c r="O5597" t="s">
        <v>297</v>
      </c>
    </row>
    <row r="5598" spans="1:15" x14ac:dyDescent="0.3">
      <c r="A5598" t="s">
        <v>8154</v>
      </c>
      <c r="B5598" t="s">
        <v>8155</v>
      </c>
      <c r="C5598">
        <v>2023</v>
      </c>
      <c r="D5598" t="s">
        <v>300</v>
      </c>
      <c r="E5598" t="s">
        <v>304</v>
      </c>
      <c r="F5598">
        <v>2217</v>
      </c>
      <c r="G5598" t="s">
        <v>302</v>
      </c>
      <c r="H5598">
        <v>10</v>
      </c>
      <c r="I5598" t="s">
        <v>8180</v>
      </c>
      <c r="J5598" t="s">
        <v>294</v>
      </c>
      <c r="M5598" t="s">
        <v>295</v>
      </c>
      <c r="N5598" t="s">
        <v>7</v>
      </c>
      <c r="O5598" t="s">
        <v>297</v>
      </c>
    </row>
    <row r="5599" spans="1:15" x14ac:dyDescent="0.3">
      <c r="A5599" t="s">
        <v>8154</v>
      </c>
      <c r="B5599" t="s">
        <v>8155</v>
      </c>
      <c r="C5599">
        <v>2023</v>
      </c>
      <c r="D5599" t="s">
        <v>300</v>
      </c>
      <c r="E5599" t="s">
        <v>5214</v>
      </c>
      <c r="F5599">
        <v>1373</v>
      </c>
      <c r="G5599" t="s">
        <v>302</v>
      </c>
      <c r="H5599">
        <v>100</v>
      </c>
      <c r="I5599" t="s">
        <v>8181</v>
      </c>
      <c r="J5599" t="s">
        <v>294</v>
      </c>
      <c r="M5599" t="s">
        <v>295</v>
      </c>
      <c r="N5599" t="s">
        <v>7</v>
      </c>
      <c r="O5599" t="s">
        <v>297</v>
      </c>
    </row>
    <row r="5600" spans="1:15" x14ac:dyDescent="0.3">
      <c r="A5600" t="s">
        <v>8154</v>
      </c>
      <c r="B5600" t="s">
        <v>8155</v>
      </c>
      <c r="C5600">
        <v>2023</v>
      </c>
      <c r="D5600" t="s">
        <v>300</v>
      </c>
      <c r="E5600" t="s">
        <v>1216</v>
      </c>
      <c r="F5600">
        <v>153</v>
      </c>
      <c r="G5600" t="s">
        <v>302</v>
      </c>
      <c r="H5600">
        <v>229</v>
      </c>
      <c r="I5600" t="s">
        <v>8182</v>
      </c>
      <c r="J5600" t="s">
        <v>294</v>
      </c>
      <c r="M5600" t="s">
        <v>295</v>
      </c>
      <c r="N5600" t="s">
        <v>7</v>
      </c>
      <c r="O5600" t="s">
        <v>297</v>
      </c>
    </row>
    <row r="5601" spans="1:15" x14ac:dyDescent="0.3">
      <c r="A5601" t="s">
        <v>8154</v>
      </c>
      <c r="B5601" t="s">
        <v>8155</v>
      </c>
      <c r="C5601">
        <v>2023</v>
      </c>
      <c r="D5601" t="s">
        <v>300</v>
      </c>
      <c r="E5601" t="s">
        <v>579</v>
      </c>
      <c r="F5601">
        <v>1941</v>
      </c>
      <c r="G5601" t="s">
        <v>302</v>
      </c>
      <c r="H5601">
        <v>229</v>
      </c>
      <c r="I5601" t="s">
        <v>8183</v>
      </c>
      <c r="J5601" t="s">
        <v>294</v>
      </c>
      <c r="M5601" t="s">
        <v>295</v>
      </c>
      <c r="N5601" t="s">
        <v>7</v>
      </c>
      <c r="O5601" t="s">
        <v>297</v>
      </c>
    </row>
    <row r="5602" spans="1:15" x14ac:dyDescent="0.3">
      <c r="A5602" t="s">
        <v>8154</v>
      </c>
      <c r="B5602" t="s">
        <v>8155</v>
      </c>
      <c r="C5602">
        <v>2023</v>
      </c>
      <c r="D5602" t="s">
        <v>300</v>
      </c>
      <c r="E5602" t="s">
        <v>306</v>
      </c>
      <c r="F5602">
        <v>1661</v>
      </c>
      <c r="G5602" t="s">
        <v>302</v>
      </c>
      <c r="H5602">
        <v>10</v>
      </c>
      <c r="I5602" t="s">
        <v>8184</v>
      </c>
      <c r="J5602" t="s">
        <v>294</v>
      </c>
      <c r="M5602" t="s">
        <v>295</v>
      </c>
      <c r="N5602" t="s">
        <v>7</v>
      </c>
      <c r="O5602" t="s">
        <v>297</v>
      </c>
    </row>
    <row r="5603" spans="1:15" x14ac:dyDescent="0.3">
      <c r="A5603" t="s">
        <v>8154</v>
      </c>
      <c r="B5603" t="s">
        <v>8155</v>
      </c>
      <c r="C5603">
        <v>2023</v>
      </c>
      <c r="D5603" t="s">
        <v>300</v>
      </c>
      <c r="E5603" t="s">
        <v>308</v>
      </c>
      <c r="F5603">
        <v>1608</v>
      </c>
      <c r="G5603" t="s">
        <v>302</v>
      </c>
      <c r="H5603">
        <v>10</v>
      </c>
      <c r="I5603" t="s">
        <v>8185</v>
      </c>
      <c r="J5603" t="s">
        <v>294</v>
      </c>
      <c r="M5603" t="s">
        <v>295</v>
      </c>
      <c r="N5603" t="s">
        <v>7</v>
      </c>
      <c r="O5603" t="s">
        <v>297</v>
      </c>
    </row>
    <row r="5604" spans="1:15" x14ac:dyDescent="0.3">
      <c r="A5604" t="s">
        <v>8154</v>
      </c>
      <c r="B5604" t="s">
        <v>8155</v>
      </c>
      <c r="C5604">
        <v>2023</v>
      </c>
      <c r="D5604" t="s">
        <v>300</v>
      </c>
      <c r="E5604" t="s">
        <v>3157</v>
      </c>
      <c r="F5604">
        <v>1681</v>
      </c>
      <c r="G5604" t="s">
        <v>302</v>
      </c>
      <c r="H5604">
        <v>10</v>
      </c>
      <c r="I5604" t="s">
        <v>8186</v>
      </c>
      <c r="J5604" t="s">
        <v>294</v>
      </c>
      <c r="M5604" t="s">
        <v>295</v>
      </c>
      <c r="N5604" t="s">
        <v>7</v>
      </c>
      <c r="O5604" t="s">
        <v>297</v>
      </c>
    </row>
    <row r="5605" spans="1:15" x14ac:dyDescent="0.3">
      <c r="A5605" t="s">
        <v>8154</v>
      </c>
      <c r="B5605" t="s">
        <v>8155</v>
      </c>
      <c r="C5605">
        <v>2023</v>
      </c>
      <c r="D5605" t="s">
        <v>300</v>
      </c>
      <c r="E5605" t="s">
        <v>316</v>
      </c>
      <c r="F5605">
        <v>13867</v>
      </c>
      <c r="G5605" t="s">
        <v>302</v>
      </c>
      <c r="H5605">
        <v>10</v>
      </c>
      <c r="I5605" t="s">
        <v>8187</v>
      </c>
      <c r="J5605" t="s">
        <v>294</v>
      </c>
      <c r="M5605" t="s">
        <v>295</v>
      </c>
      <c r="N5605" t="s">
        <v>7</v>
      </c>
      <c r="O5605" t="s">
        <v>297</v>
      </c>
    </row>
    <row r="5606" spans="1:15" x14ac:dyDescent="0.3">
      <c r="A5606" t="s">
        <v>8154</v>
      </c>
      <c r="B5606" t="s">
        <v>8155</v>
      </c>
      <c r="C5606">
        <v>2023</v>
      </c>
      <c r="D5606" t="s">
        <v>300</v>
      </c>
      <c r="E5606" t="s">
        <v>312</v>
      </c>
      <c r="F5606">
        <v>2446</v>
      </c>
      <c r="G5606" t="s">
        <v>302</v>
      </c>
      <c r="H5606">
        <v>98</v>
      </c>
      <c r="I5606" t="s">
        <v>8188</v>
      </c>
      <c r="J5606" t="s">
        <v>294</v>
      </c>
      <c r="M5606" t="s">
        <v>295</v>
      </c>
      <c r="N5606" t="s">
        <v>7</v>
      </c>
      <c r="O5606" t="s">
        <v>297</v>
      </c>
    </row>
    <row r="5607" spans="1:15" x14ac:dyDescent="0.3">
      <c r="A5607" t="s">
        <v>8154</v>
      </c>
      <c r="B5607" t="s">
        <v>8155</v>
      </c>
      <c r="C5607">
        <v>2023</v>
      </c>
      <c r="D5607" t="s">
        <v>300</v>
      </c>
      <c r="E5607" t="s">
        <v>314</v>
      </c>
      <c r="F5607">
        <v>11422</v>
      </c>
      <c r="G5607" t="s">
        <v>302</v>
      </c>
      <c r="H5607">
        <v>98</v>
      </c>
      <c r="I5607" t="s">
        <v>8189</v>
      </c>
      <c r="J5607" t="s">
        <v>294</v>
      </c>
      <c r="M5607" t="s">
        <v>295</v>
      </c>
      <c r="N5607" t="s">
        <v>7</v>
      </c>
      <c r="O5607" t="s">
        <v>297</v>
      </c>
    </row>
    <row r="5608" spans="1:15" x14ac:dyDescent="0.3">
      <c r="A5608" t="s">
        <v>8154</v>
      </c>
      <c r="B5608" t="s">
        <v>8155</v>
      </c>
      <c r="C5608">
        <v>2023</v>
      </c>
      <c r="D5608" t="s">
        <v>300</v>
      </c>
      <c r="E5608" t="s">
        <v>471</v>
      </c>
      <c r="F5608">
        <v>1007</v>
      </c>
      <c r="G5608" t="s">
        <v>302</v>
      </c>
      <c r="H5608">
        <v>226</v>
      </c>
      <c r="I5608" t="s">
        <v>8190</v>
      </c>
      <c r="J5608" t="s">
        <v>294</v>
      </c>
      <c r="M5608" t="s">
        <v>295</v>
      </c>
      <c r="N5608" t="s">
        <v>7</v>
      </c>
      <c r="O5608" t="s">
        <v>297</v>
      </c>
    </row>
    <row r="5609" spans="1:15" x14ac:dyDescent="0.3">
      <c r="A5609" t="s">
        <v>8154</v>
      </c>
      <c r="B5609" t="s">
        <v>8155</v>
      </c>
      <c r="C5609">
        <v>2023</v>
      </c>
      <c r="D5609" t="s">
        <v>300</v>
      </c>
      <c r="E5609" t="s">
        <v>479</v>
      </c>
      <c r="F5609">
        <v>85</v>
      </c>
      <c r="G5609" t="s">
        <v>302</v>
      </c>
      <c r="H5609">
        <v>226</v>
      </c>
      <c r="I5609" t="s">
        <v>8191</v>
      </c>
      <c r="J5609" t="s">
        <v>294</v>
      </c>
      <c r="M5609" t="s">
        <v>295</v>
      </c>
      <c r="N5609" t="s">
        <v>7</v>
      </c>
      <c r="O5609" t="s">
        <v>297</v>
      </c>
    </row>
    <row r="5610" spans="1:15" x14ac:dyDescent="0.3">
      <c r="A5610" t="s">
        <v>8154</v>
      </c>
      <c r="B5610" t="s">
        <v>8155</v>
      </c>
      <c r="C5610">
        <v>2023</v>
      </c>
      <c r="D5610" t="s">
        <v>300</v>
      </c>
      <c r="E5610" t="s">
        <v>481</v>
      </c>
      <c r="F5610">
        <v>1020</v>
      </c>
      <c r="G5610" t="s">
        <v>302</v>
      </c>
      <c r="H5610">
        <v>226</v>
      </c>
      <c r="I5610" t="s">
        <v>8192</v>
      </c>
      <c r="J5610" t="s">
        <v>294</v>
      </c>
      <c r="M5610" t="s">
        <v>295</v>
      </c>
      <c r="N5610" t="s">
        <v>7</v>
      </c>
      <c r="O5610" t="s">
        <v>297</v>
      </c>
    </row>
    <row r="5611" spans="1:15" x14ac:dyDescent="0.3">
      <c r="A5611" t="s">
        <v>8154</v>
      </c>
      <c r="B5611" t="s">
        <v>8155</v>
      </c>
      <c r="C5611">
        <v>2023</v>
      </c>
      <c r="D5611" t="s">
        <v>300</v>
      </c>
      <c r="E5611" t="s">
        <v>8193</v>
      </c>
      <c r="F5611">
        <v>185</v>
      </c>
      <c r="G5611" t="s">
        <v>302</v>
      </c>
      <c r="H5611">
        <v>226</v>
      </c>
      <c r="I5611" t="s">
        <v>8194</v>
      </c>
      <c r="J5611" t="s">
        <v>294</v>
      </c>
      <c r="M5611" t="s">
        <v>295</v>
      </c>
      <c r="N5611" t="s">
        <v>7</v>
      </c>
      <c r="O5611" t="s">
        <v>297</v>
      </c>
    </row>
    <row r="5612" spans="1:15" x14ac:dyDescent="0.3">
      <c r="A5612" t="s">
        <v>8154</v>
      </c>
      <c r="B5612" t="s">
        <v>8155</v>
      </c>
      <c r="C5612">
        <v>2023</v>
      </c>
      <c r="D5612" t="s">
        <v>300</v>
      </c>
      <c r="E5612" t="s">
        <v>8195</v>
      </c>
      <c r="F5612">
        <v>3215</v>
      </c>
      <c r="G5612" t="s">
        <v>302</v>
      </c>
      <c r="H5612">
        <v>226</v>
      </c>
      <c r="I5612" t="s">
        <v>8196</v>
      </c>
      <c r="J5612" t="s">
        <v>294</v>
      </c>
      <c r="M5612" t="s">
        <v>295</v>
      </c>
      <c r="N5612" t="s">
        <v>7</v>
      </c>
      <c r="O5612" t="s">
        <v>297</v>
      </c>
    </row>
    <row r="5613" spans="1:15" x14ac:dyDescent="0.3">
      <c r="A5613" t="s">
        <v>8154</v>
      </c>
      <c r="B5613" t="s">
        <v>8155</v>
      </c>
      <c r="C5613">
        <v>2023</v>
      </c>
      <c r="D5613" t="s">
        <v>300</v>
      </c>
      <c r="E5613" t="s">
        <v>1122</v>
      </c>
      <c r="F5613">
        <v>7483</v>
      </c>
      <c r="G5613" t="s">
        <v>302</v>
      </c>
      <c r="H5613">
        <v>226</v>
      </c>
      <c r="I5613" t="s">
        <v>8197</v>
      </c>
      <c r="J5613" t="s">
        <v>294</v>
      </c>
      <c r="M5613" t="s">
        <v>295</v>
      </c>
      <c r="N5613" t="s">
        <v>7</v>
      </c>
      <c r="O5613" t="s">
        <v>297</v>
      </c>
    </row>
    <row r="5614" spans="1:15" x14ac:dyDescent="0.3">
      <c r="A5614" t="s">
        <v>8154</v>
      </c>
      <c r="B5614" t="s">
        <v>8155</v>
      </c>
      <c r="C5614">
        <v>2023</v>
      </c>
      <c r="D5614" t="s">
        <v>300</v>
      </c>
      <c r="E5614" t="s">
        <v>322</v>
      </c>
      <c r="F5614">
        <v>2528</v>
      </c>
      <c r="G5614" t="s">
        <v>302</v>
      </c>
      <c r="H5614">
        <v>10</v>
      </c>
      <c r="I5614" t="s">
        <v>8198</v>
      </c>
      <c r="J5614" t="s">
        <v>294</v>
      </c>
      <c r="M5614" t="s">
        <v>295</v>
      </c>
      <c r="N5614" t="s">
        <v>7</v>
      </c>
      <c r="O5614" t="s">
        <v>297</v>
      </c>
    </row>
    <row r="5615" spans="1:15" x14ac:dyDescent="0.3">
      <c r="A5615" t="s">
        <v>8154</v>
      </c>
      <c r="B5615" t="s">
        <v>8155</v>
      </c>
      <c r="C5615">
        <v>2023</v>
      </c>
      <c r="D5615" t="s">
        <v>300</v>
      </c>
      <c r="E5615" t="s">
        <v>318</v>
      </c>
      <c r="F5615">
        <v>1959</v>
      </c>
      <c r="G5615" t="s">
        <v>302</v>
      </c>
      <c r="H5615">
        <v>98</v>
      </c>
      <c r="I5615" t="s">
        <v>8199</v>
      </c>
      <c r="J5615" t="s">
        <v>294</v>
      </c>
      <c r="M5615" t="s">
        <v>295</v>
      </c>
      <c r="N5615" t="s">
        <v>7</v>
      </c>
      <c r="O5615" t="s">
        <v>297</v>
      </c>
    </row>
    <row r="5616" spans="1:15" x14ac:dyDescent="0.3">
      <c r="A5616" t="s">
        <v>8154</v>
      </c>
      <c r="B5616" t="s">
        <v>8155</v>
      </c>
      <c r="C5616">
        <v>2023</v>
      </c>
      <c r="D5616" t="s">
        <v>300</v>
      </c>
      <c r="E5616" t="s">
        <v>468</v>
      </c>
      <c r="F5616">
        <v>569</v>
      </c>
      <c r="G5616" t="s">
        <v>302</v>
      </c>
      <c r="H5616">
        <v>98</v>
      </c>
      <c r="I5616" t="s">
        <v>8200</v>
      </c>
      <c r="J5616" t="s">
        <v>294</v>
      </c>
      <c r="M5616" t="s">
        <v>295</v>
      </c>
      <c r="N5616" t="s">
        <v>7</v>
      </c>
      <c r="O5616" t="s">
        <v>297</v>
      </c>
    </row>
    <row r="5617" spans="1:15" x14ac:dyDescent="0.3">
      <c r="A5617" t="s">
        <v>8154</v>
      </c>
      <c r="B5617" t="s">
        <v>8155</v>
      </c>
      <c r="C5617">
        <v>2023</v>
      </c>
      <c r="D5617" t="s">
        <v>300</v>
      </c>
      <c r="E5617" t="s">
        <v>595</v>
      </c>
      <c r="F5617">
        <v>75</v>
      </c>
      <c r="G5617" t="s">
        <v>302</v>
      </c>
      <c r="H5617">
        <v>227</v>
      </c>
      <c r="I5617" t="s">
        <v>8201</v>
      </c>
      <c r="J5617" t="s">
        <v>294</v>
      </c>
      <c r="M5617" t="s">
        <v>295</v>
      </c>
      <c r="N5617" t="s">
        <v>7</v>
      </c>
      <c r="O5617" t="s">
        <v>297</v>
      </c>
    </row>
    <row r="5618" spans="1:15" x14ac:dyDescent="0.3">
      <c r="A5618" t="s">
        <v>8154</v>
      </c>
      <c r="B5618" t="s">
        <v>8155</v>
      </c>
      <c r="C5618">
        <v>2023</v>
      </c>
      <c r="D5618" t="s">
        <v>300</v>
      </c>
      <c r="E5618" t="s">
        <v>4876</v>
      </c>
      <c r="F5618">
        <v>845</v>
      </c>
      <c r="G5618" t="s">
        <v>302</v>
      </c>
      <c r="H5618">
        <v>227</v>
      </c>
      <c r="I5618" t="s">
        <v>8202</v>
      </c>
      <c r="J5618" t="s">
        <v>294</v>
      </c>
      <c r="M5618" t="s">
        <v>295</v>
      </c>
      <c r="N5618" t="s">
        <v>7</v>
      </c>
      <c r="O5618" t="s">
        <v>297</v>
      </c>
    </row>
    <row r="5619" spans="1:15" x14ac:dyDescent="0.3">
      <c r="A5619" t="s">
        <v>8154</v>
      </c>
      <c r="B5619" t="s">
        <v>8155</v>
      </c>
      <c r="C5619">
        <v>2023</v>
      </c>
      <c r="D5619" t="s">
        <v>300</v>
      </c>
      <c r="E5619" t="s">
        <v>475</v>
      </c>
      <c r="F5619">
        <v>201</v>
      </c>
      <c r="G5619" t="s">
        <v>302</v>
      </c>
      <c r="H5619">
        <v>227</v>
      </c>
      <c r="I5619" t="s">
        <v>8203</v>
      </c>
      <c r="J5619" t="s">
        <v>294</v>
      </c>
      <c r="M5619" t="s">
        <v>295</v>
      </c>
      <c r="N5619" t="s">
        <v>7</v>
      </c>
      <c r="O5619" t="s">
        <v>297</v>
      </c>
    </row>
    <row r="5620" spans="1:15" x14ac:dyDescent="0.3">
      <c r="A5620" t="s">
        <v>8154</v>
      </c>
      <c r="B5620" t="s">
        <v>8155</v>
      </c>
      <c r="C5620">
        <v>2023</v>
      </c>
      <c r="D5620" t="s">
        <v>300</v>
      </c>
      <c r="E5620" t="s">
        <v>8204</v>
      </c>
      <c r="F5620">
        <v>1121</v>
      </c>
      <c r="G5620" t="s">
        <v>302</v>
      </c>
      <c r="H5620">
        <v>227</v>
      </c>
      <c r="I5620" t="s">
        <v>8205</v>
      </c>
      <c r="J5620" t="s">
        <v>294</v>
      </c>
      <c r="M5620" t="s">
        <v>295</v>
      </c>
      <c r="N5620" t="s">
        <v>7</v>
      </c>
      <c r="O5620" t="s">
        <v>297</v>
      </c>
    </row>
    <row r="5621" spans="1:15" x14ac:dyDescent="0.3">
      <c r="A5621" t="s">
        <v>8154</v>
      </c>
      <c r="B5621" t="s">
        <v>8155</v>
      </c>
      <c r="C5621">
        <v>2023</v>
      </c>
      <c r="D5621" t="s">
        <v>300</v>
      </c>
      <c r="E5621" t="s">
        <v>324</v>
      </c>
      <c r="F5621">
        <v>11340</v>
      </c>
      <c r="G5621" t="s">
        <v>302</v>
      </c>
      <c r="H5621">
        <v>10</v>
      </c>
      <c r="I5621" t="s">
        <v>8206</v>
      </c>
      <c r="J5621" t="s">
        <v>294</v>
      </c>
      <c r="M5621" t="s">
        <v>295</v>
      </c>
      <c r="N5621" t="s">
        <v>7</v>
      </c>
      <c r="O5621" t="s">
        <v>297</v>
      </c>
    </row>
    <row r="5622" spans="1:15" x14ac:dyDescent="0.3">
      <c r="A5622" t="s">
        <v>8154</v>
      </c>
      <c r="B5622" t="s">
        <v>8155</v>
      </c>
      <c r="C5622">
        <v>2023</v>
      </c>
      <c r="D5622" t="s">
        <v>300</v>
      </c>
      <c r="E5622" t="s">
        <v>1235</v>
      </c>
      <c r="F5622">
        <v>5752</v>
      </c>
      <c r="G5622" t="s">
        <v>302</v>
      </c>
      <c r="H5622">
        <v>228</v>
      </c>
      <c r="I5622" t="s">
        <v>8207</v>
      </c>
      <c r="J5622" t="s">
        <v>294</v>
      </c>
      <c r="M5622" t="s">
        <v>295</v>
      </c>
      <c r="N5622" t="s">
        <v>7</v>
      </c>
      <c r="O5622" t="s">
        <v>297</v>
      </c>
    </row>
    <row r="5623" spans="1:15" x14ac:dyDescent="0.3">
      <c r="A5623" t="s">
        <v>8154</v>
      </c>
      <c r="B5623" t="s">
        <v>8155</v>
      </c>
      <c r="C5623">
        <v>2023</v>
      </c>
      <c r="D5623" t="s">
        <v>300</v>
      </c>
      <c r="E5623" t="s">
        <v>8208</v>
      </c>
      <c r="F5623">
        <v>446</v>
      </c>
      <c r="G5623" t="s">
        <v>302</v>
      </c>
      <c r="H5623">
        <v>228</v>
      </c>
      <c r="I5623" t="s">
        <v>8209</v>
      </c>
      <c r="J5623" t="s">
        <v>294</v>
      </c>
      <c r="M5623" t="s">
        <v>295</v>
      </c>
      <c r="N5623" t="s">
        <v>7</v>
      </c>
      <c r="O5623" t="s">
        <v>297</v>
      </c>
    </row>
    <row r="5624" spans="1:15" x14ac:dyDescent="0.3">
      <c r="A5624" t="s">
        <v>8154</v>
      </c>
      <c r="B5624" t="s">
        <v>8155</v>
      </c>
      <c r="C5624">
        <v>2023</v>
      </c>
      <c r="D5624" t="s">
        <v>300</v>
      </c>
      <c r="E5624" t="s">
        <v>8210</v>
      </c>
      <c r="F5624">
        <v>1569</v>
      </c>
      <c r="G5624" t="s">
        <v>302</v>
      </c>
      <c r="H5624">
        <v>102</v>
      </c>
      <c r="I5624" t="s">
        <v>8211</v>
      </c>
      <c r="J5624" t="s">
        <v>294</v>
      </c>
      <c r="M5624" t="s">
        <v>295</v>
      </c>
      <c r="N5624" t="s">
        <v>7</v>
      </c>
      <c r="O5624" t="s">
        <v>297</v>
      </c>
    </row>
    <row r="5625" spans="1:15" x14ac:dyDescent="0.3">
      <c r="A5625" t="s">
        <v>8154</v>
      </c>
      <c r="B5625" t="s">
        <v>8155</v>
      </c>
      <c r="C5625">
        <v>2023</v>
      </c>
      <c r="D5625" t="s">
        <v>300</v>
      </c>
      <c r="E5625" t="s">
        <v>8212</v>
      </c>
      <c r="F5625">
        <v>-442</v>
      </c>
      <c r="G5625" t="s">
        <v>302</v>
      </c>
      <c r="H5625">
        <v>102</v>
      </c>
      <c r="I5625" t="s">
        <v>8213</v>
      </c>
      <c r="J5625" t="s">
        <v>294</v>
      </c>
      <c r="M5625" t="s">
        <v>295</v>
      </c>
      <c r="N5625" t="s">
        <v>7</v>
      </c>
      <c r="O5625" t="s">
        <v>297</v>
      </c>
    </row>
    <row r="5626" spans="1:15" x14ac:dyDescent="0.3">
      <c r="A5626" t="s">
        <v>8154</v>
      </c>
      <c r="B5626" t="s">
        <v>8155</v>
      </c>
      <c r="C5626">
        <v>2023</v>
      </c>
      <c r="D5626" t="s">
        <v>300</v>
      </c>
      <c r="E5626" t="s">
        <v>8214</v>
      </c>
      <c r="F5626">
        <v>-2050</v>
      </c>
      <c r="G5626" t="s">
        <v>302</v>
      </c>
      <c r="H5626">
        <v>102</v>
      </c>
      <c r="I5626" t="s">
        <v>8215</v>
      </c>
      <c r="J5626" t="s">
        <v>294</v>
      </c>
      <c r="M5626" t="s">
        <v>295</v>
      </c>
      <c r="N5626" t="s">
        <v>7</v>
      </c>
      <c r="O5626" t="s">
        <v>297</v>
      </c>
    </row>
    <row r="5627" spans="1:15" x14ac:dyDescent="0.3">
      <c r="A5627" t="s">
        <v>8154</v>
      </c>
      <c r="B5627" t="s">
        <v>8155</v>
      </c>
      <c r="C5627">
        <v>2023</v>
      </c>
      <c r="D5627" t="s">
        <v>300</v>
      </c>
      <c r="E5627" t="s">
        <v>8216</v>
      </c>
      <c r="F5627">
        <v>802</v>
      </c>
      <c r="G5627" t="s">
        <v>302</v>
      </c>
      <c r="H5627">
        <v>106</v>
      </c>
      <c r="I5627" t="s">
        <v>8217</v>
      </c>
      <c r="J5627" t="s">
        <v>294</v>
      </c>
      <c r="M5627" t="s">
        <v>295</v>
      </c>
      <c r="N5627" t="s">
        <v>7</v>
      </c>
      <c r="O5627" t="s">
        <v>297</v>
      </c>
    </row>
    <row r="5628" spans="1:15" x14ac:dyDescent="0.3">
      <c r="A5628" t="s">
        <v>8154</v>
      </c>
      <c r="B5628" t="s">
        <v>8155</v>
      </c>
      <c r="C5628">
        <v>2023</v>
      </c>
      <c r="D5628" t="s">
        <v>300</v>
      </c>
      <c r="E5628" t="s">
        <v>8218</v>
      </c>
      <c r="F5628">
        <v>81</v>
      </c>
      <c r="G5628" t="s">
        <v>346</v>
      </c>
      <c r="H5628">
        <v>10</v>
      </c>
      <c r="I5628" t="s">
        <v>8219</v>
      </c>
      <c r="J5628" t="s">
        <v>294</v>
      </c>
      <c r="M5628" t="s">
        <v>295</v>
      </c>
      <c r="N5628" t="s">
        <v>7</v>
      </c>
      <c r="O5628" t="s">
        <v>297</v>
      </c>
    </row>
    <row r="5629" spans="1:15" x14ac:dyDescent="0.3">
      <c r="A5629" t="s">
        <v>8154</v>
      </c>
      <c r="B5629" t="s">
        <v>8155</v>
      </c>
      <c r="C5629">
        <v>2023</v>
      </c>
      <c r="D5629" t="s">
        <v>300</v>
      </c>
      <c r="E5629" t="s">
        <v>342</v>
      </c>
      <c r="F5629">
        <v>19853</v>
      </c>
      <c r="G5629" t="s">
        <v>497</v>
      </c>
      <c r="H5629">
        <v>12</v>
      </c>
      <c r="I5629" t="s">
        <v>8220</v>
      </c>
      <c r="J5629" t="s">
        <v>294</v>
      </c>
      <c r="M5629" t="s">
        <v>295</v>
      </c>
      <c r="N5629" t="s">
        <v>7</v>
      </c>
      <c r="O5629" t="s">
        <v>297</v>
      </c>
    </row>
    <row r="5630" spans="1:15" x14ac:dyDescent="0.3">
      <c r="A5630" t="s">
        <v>8154</v>
      </c>
      <c r="B5630" t="s">
        <v>8155</v>
      </c>
      <c r="C5630">
        <v>2023</v>
      </c>
      <c r="D5630" t="s">
        <v>300</v>
      </c>
      <c r="E5630" t="s">
        <v>8221</v>
      </c>
      <c r="F5630">
        <v>545</v>
      </c>
      <c r="G5630" t="s">
        <v>346</v>
      </c>
      <c r="H5630">
        <v>12</v>
      </c>
      <c r="I5630" t="s">
        <v>8222</v>
      </c>
      <c r="J5630" t="s">
        <v>294</v>
      </c>
      <c r="M5630" t="s">
        <v>295</v>
      </c>
      <c r="N5630" t="s">
        <v>7</v>
      </c>
      <c r="O5630" t="s">
        <v>297</v>
      </c>
    </row>
    <row r="5631" spans="1:15" x14ac:dyDescent="0.3">
      <c r="A5631" t="s">
        <v>8154</v>
      </c>
      <c r="B5631" t="s">
        <v>8155</v>
      </c>
      <c r="C5631">
        <v>2023</v>
      </c>
      <c r="D5631" t="s">
        <v>300</v>
      </c>
      <c r="E5631" t="s">
        <v>1137</v>
      </c>
      <c r="F5631">
        <v>10820</v>
      </c>
      <c r="G5631" t="s">
        <v>302</v>
      </c>
      <c r="H5631">
        <v>12</v>
      </c>
      <c r="I5631" t="s">
        <v>8223</v>
      </c>
      <c r="J5631" t="s">
        <v>294</v>
      </c>
      <c r="M5631" t="s">
        <v>295</v>
      </c>
      <c r="N5631" t="s">
        <v>7</v>
      </c>
      <c r="O5631" t="s">
        <v>297</v>
      </c>
    </row>
    <row r="5632" spans="1:15" x14ac:dyDescent="0.3">
      <c r="A5632" t="s">
        <v>8154</v>
      </c>
      <c r="B5632" t="s">
        <v>8155</v>
      </c>
      <c r="C5632">
        <v>2023</v>
      </c>
      <c r="D5632" t="s">
        <v>300</v>
      </c>
      <c r="E5632" t="s">
        <v>8224</v>
      </c>
      <c r="F5632">
        <v>38</v>
      </c>
      <c r="G5632" t="s">
        <v>346</v>
      </c>
      <c r="H5632">
        <v>110</v>
      </c>
      <c r="I5632" t="s">
        <v>8225</v>
      </c>
      <c r="J5632" t="s">
        <v>294</v>
      </c>
      <c r="M5632" t="s">
        <v>295</v>
      </c>
      <c r="N5632" t="s">
        <v>7</v>
      </c>
      <c r="O5632" t="s">
        <v>297</v>
      </c>
    </row>
    <row r="5633" spans="1:15" x14ac:dyDescent="0.3">
      <c r="A5633" t="s">
        <v>8154</v>
      </c>
      <c r="B5633" t="s">
        <v>8155</v>
      </c>
      <c r="C5633">
        <v>2023</v>
      </c>
      <c r="D5633" t="s">
        <v>300</v>
      </c>
      <c r="E5633" t="s">
        <v>8226</v>
      </c>
      <c r="F5633">
        <v>22.3</v>
      </c>
      <c r="G5633" t="s">
        <v>334</v>
      </c>
      <c r="H5633">
        <v>10</v>
      </c>
      <c r="I5633" t="s">
        <v>8227</v>
      </c>
      <c r="J5633" t="s">
        <v>294</v>
      </c>
      <c r="M5633" t="s">
        <v>295</v>
      </c>
      <c r="N5633" t="s">
        <v>7</v>
      </c>
      <c r="O5633" t="s">
        <v>297</v>
      </c>
    </row>
    <row r="5634" spans="1:15" x14ac:dyDescent="0.3">
      <c r="A5634" t="s">
        <v>8154</v>
      </c>
      <c r="B5634" t="s">
        <v>8155</v>
      </c>
      <c r="C5634">
        <v>2023</v>
      </c>
      <c r="D5634" t="s">
        <v>300</v>
      </c>
      <c r="E5634" t="s">
        <v>906</v>
      </c>
      <c r="F5634">
        <v>0.01</v>
      </c>
      <c r="G5634" t="s">
        <v>327</v>
      </c>
      <c r="H5634">
        <v>103</v>
      </c>
      <c r="I5634" t="s">
        <v>8228</v>
      </c>
      <c r="J5634" t="s">
        <v>294</v>
      </c>
      <c r="M5634" t="s">
        <v>295</v>
      </c>
      <c r="N5634" t="s">
        <v>7</v>
      </c>
      <c r="O5634" t="s">
        <v>297</v>
      </c>
    </row>
    <row r="5635" spans="1:15" x14ac:dyDescent="0.3">
      <c r="A5635" t="s">
        <v>8154</v>
      </c>
      <c r="B5635" t="s">
        <v>8155</v>
      </c>
      <c r="C5635">
        <v>2023</v>
      </c>
      <c r="D5635" t="s">
        <v>300</v>
      </c>
      <c r="E5635" t="s">
        <v>8229</v>
      </c>
      <c r="F5635">
        <v>4.2999999999999997E-2</v>
      </c>
      <c r="G5635" t="s">
        <v>327</v>
      </c>
      <c r="H5635">
        <v>103</v>
      </c>
      <c r="I5635" t="s">
        <v>8230</v>
      </c>
      <c r="J5635" t="s">
        <v>294</v>
      </c>
      <c r="M5635" t="s">
        <v>295</v>
      </c>
      <c r="N5635" t="s">
        <v>7</v>
      </c>
      <c r="O5635" t="s">
        <v>297</v>
      </c>
    </row>
    <row r="5636" spans="1:15" x14ac:dyDescent="0.3">
      <c r="A5636" t="s">
        <v>8154</v>
      </c>
      <c r="B5636" t="s">
        <v>8155</v>
      </c>
      <c r="C5636">
        <v>2023</v>
      </c>
      <c r="D5636" t="s">
        <v>300</v>
      </c>
      <c r="E5636" t="s">
        <v>1187</v>
      </c>
      <c r="F5636">
        <v>26.6</v>
      </c>
      <c r="G5636" t="s">
        <v>334</v>
      </c>
      <c r="H5636">
        <v>10</v>
      </c>
      <c r="I5636" t="s">
        <v>8231</v>
      </c>
      <c r="J5636" t="s">
        <v>294</v>
      </c>
      <c r="M5636" t="s">
        <v>295</v>
      </c>
      <c r="N5636" t="s">
        <v>7</v>
      </c>
      <c r="O5636" t="s">
        <v>297</v>
      </c>
    </row>
    <row r="5637" spans="1:15" x14ac:dyDescent="0.3">
      <c r="A5637" t="s">
        <v>8154</v>
      </c>
      <c r="B5637" t="s">
        <v>8155</v>
      </c>
      <c r="C5637">
        <v>2023</v>
      </c>
      <c r="D5637" t="s">
        <v>300</v>
      </c>
      <c r="E5637" t="s">
        <v>326</v>
      </c>
      <c r="F5637">
        <v>124.9</v>
      </c>
      <c r="G5637" t="s">
        <v>334</v>
      </c>
      <c r="H5637">
        <v>10</v>
      </c>
      <c r="I5637" t="s">
        <v>8232</v>
      </c>
      <c r="J5637" t="s">
        <v>294</v>
      </c>
      <c r="M5637" t="s">
        <v>295</v>
      </c>
      <c r="N5637" t="s">
        <v>7</v>
      </c>
      <c r="O5637" t="s">
        <v>297</v>
      </c>
    </row>
    <row r="5638" spans="1:15" x14ac:dyDescent="0.3">
      <c r="A5638" t="s">
        <v>8154</v>
      </c>
      <c r="B5638" t="s">
        <v>8155</v>
      </c>
      <c r="C5638">
        <v>2023</v>
      </c>
      <c r="D5638" t="s">
        <v>358</v>
      </c>
      <c r="E5638" t="s">
        <v>504</v>
      </c>
      <c r="F5638">
        <v>160500</v>
      </c>
      <c r="G5638" t="s">
        <v>360</v>
      </c>
      <c r="H5638">
        <v>11</v>
      </c>
      <c r="I5638" t="s">
        <v>8233</v>
      </c>
      <c r="J5638" t="s">
        <v>294</v>
      </c>
      <c r="M5638" t="s">
        <v>295</v>
      </c>
      <c r="N5638" t="s">
        <v>7</v>
      </c>
      <c r="O5638" t="s">
        <v>297</v>
      </c>
    </row>
    <row r="5639" spans="1:15" x14ac:dyDescent="0.3">
      <c r="A5639" t="s">
        <v>8154</v>
      </c>
      <c r="B5639" t="s">
        <v>8155</v>
      </c>
      <c r="C5639">
        <v>2023</v>
      </c>
      <c r="D5639" t="s">
        <v>358</v>
      </c>
      <c r="E5639" t="s">
        <v>1058</v>
      </c>
      <c r="F5639">
        <v>136400</v>
      </c>
      <c r="G5639" t="s">
        <v>360</v>
      </c>
      <c r="H5639">
        <v>11</v>
      </c>
      <c r="I5639" t="s">
        <v>8234</v>
      </c>
      <c r="J5639" t="s">
        <v>294</v>
      </c>
      <c r="M5639" t="s">
        <v>295</v>
      </c>
      <c r="N5639" t="s">
        <v>7</v>
      </c>
      <c r="O5639" t="s">
        <v>297</v>
      </c>
    </row>
    <row r="5640" spans="1:15" x14ac:dyDescent="0.3">
      <c r="A5640" t="s">
        <v>8154</v>
      </c>
      <c r="B5640" t="s">
        <v>8155</v>
      </c>
      <c r="C5640">
        <v>2023</v>
      </c>
      <c r="D5640" t="s">
        <v>358</v>
      </c>
      <c r="E5640" t="s">
        <v>930</v>
      </c>
      <c r="F5640">
        <v>24100</v>
      </c>
      <c r="G5640" t="s">
        <v>360</v>
      </c>
      <c r="H5640">
        <v>11</v>
      </c>
      <c r="I5640" t="s">
        <v>8235</v>
      </c>
      <c r="J5640" t="s">
        <v>294</v>
      </c>
      <c r="M5640" t="s">
        <v>295</v>
      </c>
      <c r="N5640" t="s">
        <v>7</v>
      </c>
      <c r="O5640" t="s">
        <v>297</v>
      </c>
    </row>
    <row r="5641" spans="1:15" x14ac:dyDescent="0.3">
      <c r="A5641" t="s">
        <v>8154</v>
      </c>
      <c r="B5641" t="s">
        <v>8155</v>
      </c>
      <c r="C5641">
        <v>2023</v>
      </c>
      <c r="D5641" t="s">
        <v>358</v>
      </c>
      <c r="E5641" t="s">
        <v>4263</v>
      </c>
      <c r="F5641">
        <v>1300</v>
      </c>
      <c r="G5641" t="s">
        <v>360</v>
      </c>
      <c r="H5641">
        <v>11</v>
      </c>
      <c r="I5641" t="s">
        <v>8236</v>
      </c>
      <c r="J5641" t="s">
        <v>294</v>
      </c>
      <c r="M5641" t="s">
        <v>295</v>
      </c>
      <c r="N5641" t="s">
        <v>7</v>
      </c>
      <c r="O5641" t="s">
        <v>297</v>
      </c>
    </row>
    <row r="5642" spans="1:15" x14ac:dyDescent="0.3">
      <c r="A5642" t="s">
        <v>8154</v>
      </c>
      <c r="B5642" t="s">
        <v>8155</v>
      </c>
      <c r="C5642">
        <v>2023</v>
      </c>
      <c r="D5642" t="s">
        <v>358</v>
      </c>
      <c r="E5642" t="s">
        <v>8237</v>
      </c>
      <c r="F5642">
        <v>7164</v>
      </c>
      <c r="G5642" t="s">
        <v>360</v>
      </c>
      <c r="H5642">
        <v>96</v>
      </c>
      <c r="I5642" t="s">
        <v>8238</v>
      </c>
      <c r="J5642" t="s">
        <v>294</v>
      </c>
      <c r="M5642" t="s">
        <v>295</v>
      </c>
      <c r="N5642" t="s">
        <v>7</v>
      </c>
      <c r="O5642" t="s">
        <v>297</v>
      </c>
    </row>
    <row r="5643" spans="1:15" x14ac:dyDescent="0.3">
      <c r="A5643" t="s">
        <v>8154</v>
      </c>
      <c r="B5643" t="s">
        <v>8155</v>
      </c>
      <c r="C5643">
        <v>2023</v>
      </c>
      <c r="D5643" t="s">
        <v>358</v>
      </c>
      <c r="E5643" t="s">
        <v>8239</v>
      </c>
      <c r="F5643">
        <v>3880</v>
      </c>
      <c r="G5643" t="s">
        <v>360</v>
      </c>
      <c r="H5643">
        <v>96</v>
      </c>
      <c r="I5643" t="s">
        <v>8240</v>
      </c>
      <c r="J5643" t="s">
        <v>294</v>
      </c>
      <c r="M5643" t="s">
        <v>295</v>
      </c>
      <c r="N5643" t="s">
        <v>7</v>
      </c>
      <c r="O5643" t="s">
        <v>297</v>
      </c>
    </row>
    <row r="5644" spans="1:15" x14ac:dyDescent="0.3">
      <c r="A5644" t="s">
        <v>8154</v>
      </c>
      <c r="B5644" t="s">
        <v>8155</v>
      </c>
      <c r="C5644">
        <v>2023</v>
      </c>
      <c r="D5644" t="s">
        <v>358</v>
      </c>
      <c r="E5644" t="s">
        <v>8241</v>
      </c>
      <c r="F5644">
        <v>118186</v>
      </c>
      <c r="G5644" t="s">
        <v>360</v>
      </c>
      <c r="H5644">
        <v>96</v>
      </c>
      <c r="I5644" t="s">
        <v>8242</v>
      </c>
      <c r="J5644" t="s">
        <v>294</v>
      </c>
      <c r="M5644" t="s">
        <v>295</v>
      </c>
      <c r="N5644" t="s">
        <v>7</v>
      </c>
      <c r="O5644" t="s">
        <v>297</v>
      </c>
    </row>
    <row r="5645" spans="1:15" x14ac:dyDescent="0.3">
      <c r="A5645" t="s">
        <v>8154</v>
      </c>
      <c r="B5645" t="s">
        <v>8155</v>
      </c>
      <c r="C5645">
        <v>2023</v>
      </c>
      <c r="D5645" t="s">
        <v>358</v>
      </c>
      <c r="E5645" t="s">
        <v>8243</v>
      </c>
      <c r="F5645">
        <v>7155</v>
      </c>
      <c r="G5645" t="s">
        <v>360</v>
      </c>
      <c r="H5645">
        <v>96</v>
      </c>
      <c r="I5645" t="s">
        <v>8244</v>
      </c>
      <c r="J5645" t="s">
        <v>294</v>
      </c>
      <c r="M5645" t="s">
        <v>295</v>
      </c>
      <c r="N5645" t="s">
        <v>7</v>
      </c>
      <c r="O5645" t="s">
        <v>297</v>
      </c>
    </row>
    <row r="5646" spans="1:15" x14ac:dyDescent="0.3">
      <c r="A5646" t="s">
        <v>8154</v>
      </c>
      <c r="B5646" t="s">
        <v>8155</v>
      </c>
      <c r="C5646">
        <v>2023</v>
      </c>
      <c r="D5646" t="s">
        <v>358</v>
      </c>
      <c r="E5646" t="s">
        <v>3389</v>
      </c>
      <c r="F5646">
        <v>129221</v>
      </c>
      <c r="G5646" t="s">
        <v>360</v>
      </c>
      <c r="H5646">
        <v>96</v>
      </c>
      <c r="I5646" t="s">
        <v>8245</v>
      </c>
      <c r="J5646" t="s">
        <v>294</v>
      </c>
      <c r="M5646" t="s">
        <v>295</v>
      </c>
      <c r="N5646" t="s">
        <v>7</v>
      </c>
      <c r="O5646" t="s">
        <v>297</v>
      </c>
    </row>
    <row r="5647" spans="1:15" x14ac:dyDescent="0.3">
      <c r="A5647" t="s">
        <v>8154</v>
      </c>
      <c r="B5647" t="s">
        <v>8155</v>
      </c>
      <c r="C5647">
        <v>2023</v>
      </c>
      <c r="D5647" t="s">
        <v>358</v>
      </c>
      <c r="E5647" t="s">
        <v>3391</v>
      </c>
      <c r="F5647">
        <v>7164</v>
      </c>
      <c r="G5647" t="s">
        <v>360</v>
      </c>
      <c r="H5647">
        <v>96</v>
      </c>
      <c r="I5647" t="s">
        <v>8246</v>
      </c>
      <c r="J5647" t="s">
        <v>294</v>
      </c>
      <c r="M5647" t="s">
        <v>295</v>
      </c>
      <c r="N5647" t="s">
        <v>7</v>
      </c>
      <c r="O5647" t="s">
        <v>297</v>
      </c>
    </row>
    <row r="5648" spans="1:15" x14ac:dyDescent="0.3">
      <c r="A5648" t="s">
        <v>8154</v>
      </c>
      <c r="B5648" t="s">
        <v>8155</v>
      </c>
      <c r="C5648">
        <v>2023</v>
      </c>
      <c r="D5648" t="s">
        <v>358</v>
      </c>
      <c r="E5648" t="s">
        <v>8247</v>
      </c>
      <c r="F5648">
        <v>2123</v>
      </c>
      <c r="G5648" t="s">
        <v>360</v>
      </c>
      <c r="H5648">
        <v>96</v>
      </c>
      <c r="I5648" t="s">
        <v>8248</v>
      </c>
      <c r="J5648" t="s">
        <v>294</v>
      </c>
      <c r="M5648" t="s">
        <v>295</v>
      </c>
      <c r="N5648" t="s">
        <v>7</v>
      </c>
      <c r="O5648" t="s">
        <v>297</v>
      </c>
    </row>
    <row r="5649" spans="1:15" x14ac:dyDescent="0.3">
      <c r="A5649" t="s">
        <v>8154</v>
      </c>
      <c r="B5649" t="s">
        <v>8155</v>
      </c>
      <c r="C5649">
        <v>2023</v>
      </c>
      <c r="D5649" t="s">
        <v>358</v>
      </c>
      <c r="E5649" t="s">
        <v>8249</v>
      </c>
      <c r="F5649">
        <v>77619</v>
      </c>
      <c r="G5649" t="s">
        <v>360</v>
      </c>
      <c r="H5649">
        <v>96</v>
      </c>
      <c r="I5649" t="s">
        <v>8250</v>
      </c>
      <c r="J5649" t="s">
        <v>294</v>
      </c>
      <c r="M5649" t="s">
        <v>295</v>
      </c>
      <c r="N5649" t="s">
        <v>7</v>
      </c>
      <c r="O5649" t="s">
        <v>297</v>
      </c>
    </row>
    <row r="5650" spans="1:15" x14ac:dyDescent="0.3">
      <c r="A5650" t="s">
        <v>8154</v>
      </c>
      <c r="B5650" t="s">
        <v>8155</v>
      </c>
      <c r="C5650">
        <v>2023</v>
      </c>
      <c r="D5650" t="s">
        <v>358</v>
      </c>
      <c r="E5650" t="s">
        <v>8251</v>
      </c>
      <c r="F5650">
        <v>49479</v>
      </c>
      <c r="G5650" t="s">
        <v>360</v>
      </c>
      <c r="H5650">
        <v>96</v>
      </c>
      <c r="I5650" t="s">
        <v>8252</v>
      </c>
      <c r="J5650" t="s">
        <v>294</v>
      </c>
      <c r="M5650" t="s">
        <v>295</v>
      </c>
      <c r="N5650" t="s">
        <v>7</v>
      </c>
      <c r="O5650" t="s">
        <v>297</v>
      </c>
    </row>
    <row r="5651" spans="1:15" x14ac:dyDescent="0.3">
      <c r="A5651" t="s">
        <v>8154</v>
      </c>
      <c r="B5651" t="s">
        <v>8155</v>
      </c>
      <c r="C5651">
        <v>2023</v>
      </c>
      <c r="D5651" t="s">
        <v>358</v>
      </c>
      <c r="E5651" t="s">
        <v>523</v>
      </c>
      <c r="F5651">
        <v>18</v>
      </c>
      <c r="G5651" t="s">
        <v>384</v>
      </c>
      <c r="H5651">
        <v>95</v>
      </c>
      <c r="I5651" t="s">
        <v>8253</v>
      </c>
      <c r="J5651" t="s">
        <v>294</v>
      </c>
      <c r="M5651" t="s">
        <v>295</v>
      </c>
      <c r="N5651" t="s">
        <v>7</v>
      </c>
      <c r="O5651" t="s">
        <v>297</v>
      </c>
    </row>
    <row r="5652" spans="1:15" x14ac:dyDescent="0.3">
      <c r="A5652" t="s">
        <v>8154</v>
      </c>
      <c r="B5652" t="s">
        <v>8155</v>
      </c>
      <c r="C5652">
        <v>2023</v>
      </c>
      <c r="D5652" t="s">
        <v>358</v>
      </c>
      <c r="E5652" t="s">
        <v>934</v>
      </c>
      <c r="F5652">
        <v>995</v>
      </c>
      <c r="G5652" t="s">
        <v>738</v>
      </c>
      <c r="H5652">
        <v>95</v>
      </c>
      <c r="I5652" t="s">
        <v>8254</v>
      </c>
      <c r="J5652" t="s">
        <v>294</v>
      </c>
      <c r="M5652" t="s">
        <v>295</v>
      </c>
      <c r="N5652" t="s">
        <v>7</v>
      </c>
      <c r="O5652" t="s">
        <v>297</v>
      </c>
    </row>
    <row r="5653" spans="1:15" x14ac:dyDescent="0.3">
      <c r="A5653" t="s">
        <v>8154</v>
      </c>
      <c r="B5653" t="s">
        <v>8155</v>
      </c>
      <c r="C5653">
        <v>2023</v>
      </c>
      <c r="D5653" t="s">
        <v>358</v>
      </c>
      <c r="E5653" t="s">
        <v>525</v>
      </c>
      <c r="F5653">
        <v>1</v>
      </c>
      <c r="G5653" t="s">
        <v>384</v>
      </c>
      <c r="H5653">
        <v>95</v>
      </c>
      <c r="I5653" t="s">
        <v>8255</v>
      </c>
      <c r="J5653" t="s">
        <v>294</v>
      </c>
      <c r="M5653" t="s">
        <v>295</v>
      </c>
      <c r="N5653" t="s">
        <v>7</v>
      </c>
      <c r="O5653" t="s">
        <v>297</v>
      </c>
    </row>
    <row r="5654" spans="1:15" x14ac:dyDescent="0.3">
      <c r="A5654" t="s">
        <v>8154</v>
      </c>
      <c r="B5654" t="s">
        <v>8155</v>
      </c>
      <c r="C5654">
        <v>2023</v>
      </c>
      <c r="D5654" t="s">
        <v>394</v>
      </c>
      <c r="E5654" t="s">
        <v>7192</v>
      </c>
      <c r="F5654">
        <v>3399000</v>
      </c>
      <c r="G5654" t="s">
        <v>396</v>
      </c>
      <c r="H5654">
        <v>11</v>
      </c>
      <c r="I5654" t="s">
        <v>8256</v>
      </c>
      <c r="J5654" t="s">
        <v>294</v>
      </c>
      <c r="M5654" t="s">
        <v>295</v>
      </c>
      <c r="N5654" t="s">
        <v>7</v>
      </c>
      <c r="O5654" t="s">
        <v>297</v>
      </c>
    </row>
    <row r="5655" spans="1:15" x14ac:dyDescent="0.3">
      <c r="A5655" t="s">
        <v>8154</v>
      </c>
      <c r="B5655" t="s">
        <v>8155</v>
      </c>
      <c r="C5655">
        <v>2023</v>
      </c>
      <c r="D5655" t="s">
        <v>394</v>
      </c>
      <c r="E5655" t="s">
        <v>533</v>
      </c>
      <c r="F5655">
        <v>3050000</v>
      </c>
      <c r="G5655" t="s">
        <v>396</v>
      </c>
      <c r="H5655">
        <v>11</v>
      </c>
      <c r="I5655" t="s">
        <v>8257</v>
      </c>
      <c r="J5655" t="s">
        <v>294</v>
      </c>
      <c r="M5655" t="s">
        <v>295</v>
      </c>
      <c r="N5655" t="s">
        <v>7</v>
      </c>
      <c r="O5655" t="s">
        <v>297</v>
      </c>
    </row>
    <row r="5656" spans="1:15" x14ac:dyDescent="0.3">
      <c r="A5656" t="s">
        <v>8154</v>
      </c>
      <c r="B5656" t="s">
        <v>8155</v>
      </c>
      <c r="C5656">
        <v>2023</v>
      </c>
      <c r="D5656" t="s">
        <v>394</v>
      </c>
      <c r="E5656" t="s">
        <v>535</v>
      </c>
      <c r="F5656">
        <v>348000</v>
      </c>
      <c r="G5656" t="s">
        <v>396</v>
      </c>
      <c r="H5656">
        <v>11</v>
      </c>
      <c r="I5656" t="s">
        <v>8258</v>
      </c>
      <c r="J5656" t="s">
        <v>294</v>
      </c>
      <c r="M5656" t="s">
        <v>295</v>
      </c>
      <c r="N5656" t="s">
        <v>7</v>
      </c>
      <c r="O5656" t="s">
        <v>297</v>
      </c>
    </row>
    <row r="5657" spans="1:15" x14ac:dyDescent="0.3">
      <c r="A5657" t="s">
        <v>8154</v>
      </c>
      <c r="B5657" t="s">
        <v>8155</v>
      </c>
      <c r="C5657">
        <v>2023</v>
      </c>
      <c r="D5657" t="s">
        <v>394</v>
      </c>
      <c r="E5657" t="s">
        <v>537</v>
      </c>
      <c r="F5657">
        <v>4203000</v>
      </c>
      <c r="G5657" t="s">
        <v>396</v>
      </c>
      <c r="H5657">
        <v>11</v>
      </c>
      <c r="I5657" t="s">
        <v>8259</v>
      </c>
      <c r="J5657" t="s">
        <v>294</v>
      </c>
      <c r="M5657" t="s">
        <v>295</v>
      </c>
      <c r="N5657" t="s">
        <v>7</v>
      </c>
      <c r="O5657" t="s">
        <v>297</v>
      </c>
    </row>
    <row r="5658" spans="1:15" x14ac:dyDescent="0.3">
      <c r="A5658" t="s">
        <v>8154</v>
      </c>
      <c r="B5658" t="s">
        <v>8155</v>
      </c>
      <c r="C5658">
        <v>2023</v>
      </c>
      <c r="D5658" t="s">
        <v>394</v>
      </c>
      <c r="E5658" t="s">
        <v>404</v>
      </c>
      <c r="F5658">
        <v>820000</v>
      </c>
      <c r="G5658" t="s">
        <v>396</v>
      </c>
      <c r="H5658">
        <v>96</v>
      </c>
      <c r="I5658" t="s">
        <v>8260</v>
      </c>
      <c r="J5658" t="s">
        <v>294</v>
      </c>
      <c r="M5658" t="s">
        <v>295</v>
      </c>
      <c r="N5658" t="s">
        <v>7</v>
      </c>
      <c r="O5658" t="s">
        <v>297</v>
      </c>
    </row>
    <row r="5659" spans="1:15" x14ac:dyDescent="0.3">
      <c r="A5659" t="s">
        <v>8154</v>
      </c>
      <c r="B5659" t="s">
        <v>8155</v>
      </c>
      <c r="C5659">
        <v>2023</v>
      </c>
      <c r="D5659" t="s">
        <v>394</v>
      </c>
      <c r="E5659" t="s">
        <v>406</v>
      </c>
      <c r="F5659">
        <v>978000</v>
      </c>
      <c r="G5659" t="s">
        <v>396</v>
      </c>
      <c r="H5659">
        <v>11</v>
      </c>
      <c r="I5659" t="s">
        <v>8261</v>
      </c>
      <c r="J5659" t="s">
        <v>294</v>
      </c>
      <c r="M5659" t="s">
        <v>295</v>
      </c>
      <c r="N5659" t="s">
        <v>7</v>
      </c>
      <c r="O5659" t="s">
        <v>297</v>
      </c>
    </row>
    <row r="5660" spans="1:15" x14ac:dyDescent="0.3">
      <c r="A5660" t="s">
        <v>8154</v>
      </c>
      <c r="B5660" t="s">
        <v>8155</v>
      </c>
      <c r="C5660">
        <v>2023</v>
      </c>
      <c r="D5660" t="s">
        <v>394</v>
      </c>
      <c r="E5660" t="s">
        <v>855</v>
      </c>
      <c r="F5660">
        <v>208000</v>
      </c>
      <c r="G5660" t="s">
        <v>396</v>
      </c>
      <c r="H5660">
        <v>11</v>
      </c>
      <c r="I5660" t="s">
        <v>8262</v>
      </c>
      <c r="J5660" t="s">
        <v>294</v>
      </c>
      <c r="M5660" t="s">
        <v>295</v>
      </c>
      <c r="N5660" t="s">
        <v>7</v>
      </c>
      <c r="O5660" t="s">
        <v>297</v>
      </c>
    </row>
    <row r="5661" spans="1:15" x14ac:dyDescent="0.3">
      <c r="A5661" t="s">
        <v>8154</v>
      </c>
      <c r="B5661" t="s">
        <v>8155</v>
      </c>
      <c r="C5661">
        <v>2023</v>
      </c>
      <c r="D5661" t="s">
        <v>394</v>
      </c>
      <c r="E5661" t="s">
        <v>418</v>
      </c>
      <c r="F5661">
        <v>6500</v>
      </c>
      <c r="G5661" t="s">
        <v>396</v>
      </c>
      <c r="H5661">
        <v>11</v>
      </c>
      <c r="I5661" t="s">
        <v>8263</v>
      </c>
      <c r="J5661" t="s">
        <v>294</v>
      </c>
      <c r="M5661" t="s">
        <v>295</v>
      </c>
      <c r="N5661" t="s">
        <v>7</v>
      </c>
      <c r="O5661" t="s">
        <v>297</v>
      </c>
    </row>
    <row r="5662" spans="1:15" x14ac:dyDescent="0.3">
      <c r="A5662" t="s">
        <v>8154</v>
      </c>
      <c r="B5662" t="s">
        <v>8155</v>
      </c>
      <c r="C5662">
        <v>2023</v>
      </c>
      <c r="D5662" t="s">
        <v>394</v>
      </c>
      <c r="E5662" t="s">
        <v>4461</v>
      </c>
      <c r="F5662">
        <v>1300</v>
      </c>
      <c r="G5662" t="s">
        <v>396</v>
      </c>
      <c r="H5662">
        <v>11</v>
      </c>
      <c r="I5662" t="s">
        <v>8264</v>
      </c>
      <c r="J5662" t="s">
        <v>294</v>
      </c>
      <c r="M5662" t="s">
        <v>295</v>
      </c>
      <c r="N5662" t="s">
        <v>7</v>
      </c>
      <c r="O5662" t="s">
        <v>297</v>
      </c>
    </row>
    <row r="5663" spans="1:15" x14ac:dyDescent="0.3">
      <c r="A5663" t="s">
        <v>8154</v>
      </c>
      <c r="B5663" t="s">
        <v>8155</v>
      </c>
      <c r="C5663">
        <v>2023</v>
      </c>
      <c r="D5663" t="s">
        <v>394</v>
      </c>
      <c r="E5663" t="s">
        <v>8265</v>
      </c>
      <c r="F5663">
        <v>23.6</v>
      </c>
      <c r="G5663" t="s">
        <v>423</v>
      </c>
      <c r="H5663">
        <v>11</v>
      </c>
      <c r="I5663" t="s">
        <v>8266</v>
      </c>
      <c r="J5663" t="s">
        <v>294</v>
      </c>
      <c r="M5663" t="s">
        <v>295</v>
      </c>
      <c r="N5663" t="s">
        <v>7</v>
      </c>
      <c r="O5663" t="s">
        <v>297</v>
      </c>
    </row>
    <row r="5664" spans="1:15" x14ac:dyDescent="0.3">
      <c r="A5664" t="s">
        <v>8154</v>
      </c>
      <c r="B5664" t="s">
        <v>8155</v>
      </c>
      <c r="C5664">
        <v>2023</v>
      </c>
      <c r="D5664" t="s">
        <v>394</v>
      </c>
      <c r="E5664" t="s">
        <v>550</v>
      </c>
      <c r="F5664">
        <v>0.23300000000000001</v>
      </c>
      <c r="G5664" t="s">
        <v>334</v>
      </c>
      <c r="H5664">
        <v>11</v>
      </c>
      <c r="I5664" t="s">
        <v>8267</v>
      </c>
      <c r="J5664" t="s">
        <v>294</v>
      </c>
      <c r="M5664" t="s">
        <v>295</v>
      </c>
      <c r="N5664" t="s">
        <v>7</v>
      </c>
      <c r="O5664" t="s">
        <v>297</v>
      </c>
    </row>
    <row r="5665" spans="1:15" x14ac:dyDescent="0.3">
      <c r="A5665" t="s">
        <v>8154</v>
      </c>
      <c r="B5665" t="s">
        <v>8155</v>
      </c>
      <c r="C5665">
        <v>2023</v>
      </c>
      <c r="D5665" t="s">
        <v>394</v>
      </c>
      <c r="E5665" t="s">
        <v>552</v>
      </c>
      <c r="F5665">
        <v>4.9000000000000002E-2</v>
      </c>
      <c r="G5665" t="s">
        <v>334</v>
      </c>
      <c r="H5665">
        <v>11</v>
      </c>
      <c r="I5665" t="s">
        <v>8268</v>
      </c>
      <c r="J5665" t="s">
        <v>294</v>
      </c>
      <c r="M5665" t="s">
        <v>295</v>
      </c>
      <c r="N5665" t="s">
        <v>7</v>
      </c>
      <c r="O5665" t="s">
        <v>297</v>
      </c>
    </row>
    <row r="5666" spans="1:15" x14ac:dyDescent="0.3">
      <c r="A5666" t="s">
        <v>8154</v>
      </c>
      <c r="B5666" t="s">
        <v>8155</v>
      </c>
      <c r="C5666">
        <v>2023</v>
      </c>
      <c r="D5666" t="s">
        <v>394</v>
      </c>
      <c r="E5666" t="s">
        <v>554</v>
      </c>
      <c r="F5666">
        <v>11115</v>
      </c>
      <c r="G5666" t="s">
        <v>436</v>
      </c>
      <c r="H5666">
        <v>100</v>
      </c>
      <c r="I5666" t="s">
        <v>8269</v>
      </c>
      <c r="J5666" t="s">
        <v>294</v>
      </c>
      <c r="M5666" t="s">
        <v>295</v>
      </c>
      <c r="N5666" t="s">
        <v>7</v>
      </c>
      <c r="O5666" t="s">
        <v>297</v>
      </c>
    </row>
    <row r="5667" spans="1:15" x14ac:dyDescent="0.3">
      <c r="A5667" t="s">
        <v>8154</v>
      </c>
      <c r="B5667" t="s">
        <v>8155</v>
      </c>
      <c r="C5667">
        <v>2023</v>
      </c>
      <c r="D5667" t="s">
        <v>394</v>
      </c>
      <c r="E5667" t="s">
        <v>5195</v>
      </c>
      <c r="F5667">
        <v>5392</v>
      </c>
      <c r="G5667" t="s">
        <v>436</v>
      </c>
      <c r="H5667">
        <v>100</v>
      </c>
      <c r="I5667" t="s">
        <v>8270</v>
      </c>
      <c r="J5667" t="s">
        <v>294</v>
      </c>
      <c r="M5667" t="s">
        <v>295</v>
      </c>
      <c r="N5667" t="s">
        <v>7</v>
      </c>
      <c r="O5667" t="s">
        <v>297</v>
      </c>
    </row>
    <row r="5668" spans="1:15" x14ac:dyDescent="0.3">
      <c r="A5668" t="s">
        <v>8154</v>
      </c>
      <c r="B5668" t="s">
        <v>8155</v>
      </c>
      <c r="C5668">
        <v>2023</v>
      </c>
      <c r="D5668" t="s">
        <v>394</v>
      </c>
      <c r="E5668" t="s">
        <v>8271</v>
      </c>
      <c r="F5668">
        <v>10985</v>
      </c>
      <c r="G5668" t="s">
        <v>436</v>
      </c>
      <c r="H5668">
        <v>101</v>
      </c>
      <c r="I5668" t="s">
        <v>8272</v>
      </c>
      <c r="J5668" t="s">
        <v>294</v>
      </c>
      <c r="M5668" t="s">
        <v>295</v>
      </c>
      <c r="N5668" t="s">
        <v>7</v>
      </c>
      <c r="O5668" t="s">
        <v>297</v>
      </c>
    </row>
    <row r="5669" spans="1:15" x14ac:dyDescent="0.3">
      <c r="A5669" t="s">
        <v>8154</v>
      </c>
      <c r="B5669" t="s">
        <v>8155</v>
      </c>
      <c r="C5669">
        <v>2023</v>
      </c>
      <c r="D5669" t="s">
        <v>394</v>
      </c>
      <c r="E5669" t="s">
        <v>438</v>
      </c>
      <c r="F5669">
        <v>677</v>
      </c>
      <c r="G5669" t="s">
        <v>557</v>
      </c>
      <c r="H5669">
        <v>100</v>
      </c>
      <c r="I5669" t="s">
        <v>8273</v>
      </c>
      <c r="J5669" t="s">
        <v>294</v>
      </c>
      <c r="M5669" t="s">
        <v>295</v>
      </c>
      <c r="N5669" t="s">
        <v>7</v>
      </c>
      <c r="O5669" t="s">
        <v>297</v>
      </c>
    </row>
    <row r="5670" spans="1:15" x14ac:dyDescent="0.3">
      <c r="A5670" t="s">
        <v>8154</v>
      </c>
      <c r="B5670" t="s">
        <v>8155</v>
      </c>
      <c r="C5670">
        <v>2023</v>
      </c>
      <c r="D5670" t="s">
        <v>394</v>
      </c>
      <c r="E5670" t="s">
        <v>4994</v>
      </c>
      <c r="F5670">
        <v>130</v>
      </c>
      <c r="G5670" t="s">
        <v>557</v>
      </c>
      <c r="H5670">
        <v>100</v>
      </c>
      <c r="I5670" t="s">
        <v>8274</v>
      </c>
      <c r="J5670" t="s">
        <v>294</v>
      </c>
      <c r="M5670" t="s">
        <v>295</v>
      </c>
      <c r="N5670" t="s">
        <v>7</v>
      </c>
      <c r="O5670" t="s">
        <v>297</v>
      </c>
    </row>
    <row r="5671" spans="1:15" x14ac:dyDescent="0.3">
      <c r="A5671" t="s">
        <v>8154</v>
      </c>
      <c r="B5671" t="s">
        <v>8155</v>
      </c>
      <c r="C5671">
        <v>2023</v>
      </c>
      <c r="D5671" t="s">
        <v>394</v>
      </c>
      <c r="E5671" t="s">
        <v>8275</v>
      </c>
      <c r="F5671">
        <v>2.1</v>
      </c>
      <c r="G5671" t="s">
        <v>334</v>
      </c>
      <c r="H5671">
        <v>109</v>
      </c>
      <c r="I5671" t="s">
        <v>8276</v>
      </c>
      <c r="J5671" t="s">
        <v>294</v>
      </c>
      <c r="M5671" t="s">
        <v>295</v>
      </c>
      <c r="N5671" t="s">
        <v>7</v>
      </c>
      <c r="O5671" t="s">
        <v>297</v>
      </c>
    </row>
    <row r="5672" spans="1:15" x14ac:dyDescent="0.3">
      <c r="A5672" t="s">
        <v>8154</v>
      </c>
      <c r="B5672" t="s">
        <v>8155</v>
      </c>
      <c r="C5672">
        <v>2023</v>
      </c>
      <c r="D5672" t="s">
        <v>394</v>
      </c>
      <c r="E5672" t="s">
        <v>8277</v>
      </c>
      <c r="F5672">
        <v>8303</v>
      </c>
      <c r="G5672" t="s">
        <v>302</v>
      </c>
      <c r="H5672">
        <v>97</v>
      </c>
      <c r="I5672" t="s">
        <v>8278</v>
      </c>
      <c r="J5672" t="s">
        <v>294</v>
      </c>
      <c r="M5672" t="s">
        <v>295</v>
      </c>
      <c r="N5672" t="s">
        <v>7</v>
      </c>
      <c r="O5672" t="s">
        <v>297</v>
      </c>
    </row>
    <row r="5673" spans="1:15" x14ac:dyDescent="0.3">
      <c r="A5673" t="s">
        <v>8154</v>
      </c>
      <c r="B5673" t="s">
        <v>8155</v>
      </c>
      <c r="C5673">
        <v>2023</v>
      </c>
      <c r="D5673" t="s">
        <v>394</v>
      </c>
      <c r="E5673" t="s">
        <v>8279</v>
      </c>
      <c r="F5673">
        <v>7525</v>
      </c>
      <c r="G5673" t="s">
        <v>302</v>
      </c>
      <c r="H5673">
        <v>97</v>
      </c>
      <c r="I5673" t="s">
        <v>8280</v>
      </c>
      <c r="J5673" t="s">
        <v>294</v>
      </c>
      <c r="M5673" t="s">
        <v>295</v>
      </c>
      <c r="N5673" t="s">
        <v>7</v>
      </c>
      <c r="O5673" t="s">
        <v>297</v>
      </c>
    </row>
    <row r="5674" spans="1:15" x14ac:dyDescent="0.3">
      <c r="A5674" t="s">
        <v>8154</v>
      </c>
      <c r="B5674" t="s">
        <v>8155</v>
      </c>
      <c r="C5674">
        <v>2023</v>
      </c>
      <c r="D5674" t="s">
        <v>394</v>
      </c>
      <c r="E5674" t="s">
        <v>8281</v>
      </c>
      <c r="F5674">
        <v>699</v>
      </c>
      <c r="G5674" t="s">
        <v>302</v>
      </c>
      <c r="H5674">
        <v>97</v>
      </c>
      <c r="I5674" t="s">
        <v>8282</v>
      </c>
      <c r="J5674" t="s">
        <v>294</v>
      </c>
      <c r="M5674" t="s">
        <v>295</v>
      </c>
      <c r="N5674" t="s">
        <v>7</v>
      </c>
      <c r="O5674" t="s">
        <v>297</v>
      </c>
    </row>
    <row r="5675" spans="1:15" x14ac:dyDescent="0.3">
      <c r="A5675" t="s">
        <v>8154</v>
      </c>
      <c r="B5675" t="s">
        <v>8155</v>
      </c>
      <c r="C5675">
        <v>2023</v>
      </c>
      <c r="D5675" t="s">
        <v>394</v>
      </c>
      <c r="E5675" t="s">
        <v>8283</v>
      </c>
      <c r="F5675">
        <v>69</v>
      </c>
      <c r="G5675" t="s">
        <v>302</v>
      </c>
      <c r="H5675">
        <v>97</v>
      </c>
      <c r="I5675" t="s">
        <v>8284</v>
      </c>
      <c r="J5675" t="s">
        <v>294</v>
      </c>
      <c r="M5675" t="s">
        <v>295</v>
      </c>
      <c r="N5675" t="s">
        <v>7</v>
      </c>
      <c r="O5675" t="s">
        <v>297</v>
      </c>
    </row>
    <row r="5676" spans="1:15" x14ac:dyDescent="0.3">
      <c r="A5676" t="s">
        <v>8154</v>
      </c>
      <c r="B5676" t="s">
        <v>8155</v>
      </c>
      <c r="C5676">
        <v>2023</v>
      </c>
      <c r="D5676" t="s">
        <v>394</v>
      </c>
      <c r="E5676" t="s">
        <v>4313</v>
      </c>
      <c r="F5676">
        <v>23</v>
      </c>
      <c r="G5676" t="s">
        <v>302</v>
      </c>
      <c r="H5676">
        <v>97</v>
      </c>
      <c r="I5676" t="s">
        <v>8285</v>
      </c>
      <c r="J5676" t="s">
        <v>294</v>
      </c>
      <c r="M5676" t="s">
        <v>295</v>
      </c>
      <c r="N5676" t="s">
        <v>7</v>
      </c>
      <c r="O5676" t="s">
        <v>297</v>
      </c>
    </row>
    <row r="5677" spans="1:15" x14ac:dyDescent="0.3">
      <c r="A5677" t="s">
        <v>8154</v>
      </c>
      <c r="B5677" t="s">
        <v>8155</v>
      </c>
      <c r="C5677">
        <v>2023</v>
      </c>
      <c r="D5677" t="s">
        <v>563</v>
      </c>
      <c r="E5677" t="s">
        <v>8286</v>
      </c>
      <c r="F5677" t="s">
        <v>8287</v>
      </c>
      <c r="G5677" t="s">
        <v>384</v>
      </c>
      <c r="H5677">
        <v>95</v>
      </c>
      <c r="I5677" t="s">
        <v>8288</v>
      </c>
      <c r="J5677" t="s">
        <v>294</v>
      </c>
      <c r="M5677" t="s">
        <v>295</v>
      </c>
      <c r="N5677" t="s">
        <v>7</v>
      </c>
      <c r="O5677" t="s">
        <v>297</v>
      </c>
    </row>
    <row r="5678" spans="1:15" x14ac:dyDescent="0.3">
      <c r="A5678" t="s">
        <v>8154</v>
      </c>
      <c r="B5678" t="s">
        <v>8289</v>
      </c>
      <c r="C5678">
        <v>2024</v>
      </c>
      <c r="D5678" t="s">
        <v>272</v>
      </c>
      <c r="E5678" t="s">
        <v>291</v>
      </c>
      <c r="F5678" t="s">
        <v>8154</v>
      </c>
      <c r="G5678" t="s">
        <v>292</v>
      </c>
      <c r="H5678">
        <v>1</v>
      </c>
      <c r="I5678" t="s">
        <v>8290</v>
      </c>
      <c r="J5678" t="s">
        <v>294</v>
      </c>
      <c r="M5678" t="s">
        <v>295</v>
      </c>
      <c r="N5678" t="s">
        <v>7</v>
      </c>
      <c r="O5678" t="s">
        <v>297</v>
      </c>
    </row>
    <row r="5679" spans="1:15" x14ac:dyDescent="0.3">
      <c r="A5679" t="s">
        <v>8154</v>
      </c>
      <c r="B5679" t="s">
        <v>8289</v>
      </c>
      <c r="C5679">
        <v>2024</v>
      </c>
      <c r="D5679" t="s">
        <v>272</v>
      </c>
      <c r="E5679" t="s">
        <v>1</v>
      </c>
      <c r="F5679" t="s">
        <v>106</v>
      </c>
      <c r="G5679" t="s">
        <v>292</v>
      </c>
      <c r="H5679">
        <v>12</v>
      </c>
      <c r="I5679" t="s">
        <v>8157</v>
      </c>
      <c r="J5679" t="s">
        <v>294</v>
      </c>
      <c r="M5679" t="s">
        <v>295</v>
      </c>
      <c r="N5679" t="s">
        <v>7</v>
      </c>
      <c r="O5679" t="s">
        <v>297</v>
      </c>
    </row>
    <row r="5680" spans="1:15" x14ac:dyDescent="0.3">
      <c r="A5680" t="s">
        <v>8154</v>
      </c>
      <c r="B5680" t="s">
        <v>8289</v>
      </c>
      <c r="C5680">
        <v>2024</v>
      </c>
      <c r="D5680" t="s">
        <v>272</v>
      </c>
      <c r="E5680" t="s">
        <v>869</v>
      </c>
      <c r="F5680" t="s">
        <v>8158</v>
      </c>
      <c r="G5680" t="s">
        <v>666</v>
      </c>
      <c r="H5680">
        <v>82</v>
      </c>
      <c r="I5680" t="s">
        <v>8159</v>
      </c>
      <c r="J5680" t="s">
        <v>294</v>
      </c>
      <c r="M5680" t="s">
        <v>295</v>
      </c>
      <c r="N5680" t="s">
        <v>7</v>
      </c>
      <c r="O5680" t="s">
        <v>297</v>
      </c>
    </row>
    <row r="5681" spans="1:15" x14ac:dyDescent="0.3">
      <c r="A5681" t="s">
        <v>8154</v>
      </c>
      <c r="B5681" t="s">
        <v>8289</v>
      </c>
      <c r="C5681">
        <v>2024</v>
      </c>
      <c r="D5681" t="s">
        <v>272</v>
      </c>
      <c r="E5681" t="s">
        <v>8160</v>
      </c>
      <c r="F5681" t="s">
        <v>8291</v>
      </c>
      <c r="G5681" t="s">
        <v>334</v>
      </c>
      <c r="H5681">
        <v>76</v>
      </c>
      <c r="I5681" t="s">
        <v>8292</v>
      </c>
      <c r="J5681" t="s">
        <v>294</v>
      </c>
      <c r="M5681" t="s">
        <v>295</v>
      </c>
      <c r="N5681" t="s">
        <v>7</v>
      </c>
      <c r="O5681" t="s">
        <v>297</v>
      </c>
    </row>
    <row r="5682" spans="1:15" x14ac:dyDescent="0.3">
      <c r="A5682" t="s">
        <v>8154</v>
      </c>
      <c r="B5682" t="s">
        <v>8289</v>
      </c>
      <c r="C5682">
        <v>2024</v>
      </c>
      <c r="D5682" t="s">
        <v>272</v>
      </c>
      <c r="E5682" t="s">
        <v>8163</v>
      </c>
      <c r="F5682" t="s">
        <v>8293</v>
      </c>
      <c r="G5682" t="s">
        <v>334</v>
      </c>
      <c r="H5682">
        <v>76</v>
      </c>
      <c r="I5682" t="s">
        <v>8294</v>
      </c>
      <c r="J5682" t="s">
        <v>294</v>
      </c>
      <c r="M5682" t="s">
        <v>295</v>
      </c>
      <c r="N5682" t="s">
        <v>7</v>
      </c>
      <c r="O5682" t="s">
        <v>297</v>
      </c>
    </row>
    <row r="5683" spans="1:15" x14ac:dyDescent="0.3">
      <c r="A5683" t="s">
        <v>8154</v>
      </c>
      <c r="B5683" t="s">
        <v>8289</v>
      </c>
      <c r="C5683">
        <v>2024</v>
      </c>
      <c r="D5683" t="s">
        <v>272</v>
      </c>
      <c r="E5683" t="s">
        <v>8166</v>
      </c>
      <c r="F5683" t="s">
        <v>8295</v>
      </c>
      <c r="G5683" t="s">
        <v>334</v>
      </c>
      <c r="H5683">
        <v>76</v>
      </c>
      <c r="I5683" t="s">
        <v>8296</v>
      </c>
      <c r="J5683" t="s">
        <v>294</v>
      </c>
      <c r="M5683" t="s">
        <v>295</v>
      </c>
      <c r="N5683" t="s">
        <v>7</v>
      </c>
      <c r="O5683" t="s">
        <v>297</v>
      </c>
    </row>
    <row r="5684" spans="1:15" x14ac:dyDescent="0.3">
      <c r="A5684" t="s">
        <v>8154</v>
      </c>
      <c r="B5684" t="s">
        <v>8289</v>
      </c>
      <c r="C5684">
        <v>2024</v>
      </c>
      <c r="D5684" t="s">
        <v>272</v>
      </c>
      <c r="E5684" t="s">
        <v>8169</v>
      </c>
      <c r="F5684" t="s">
        <v>8297</v>
      </c>
      <c r="G5684" t="s">
        <v>334</v>
      </c>
      <c r="H5684">
        <v>76</v>
      </c>
      <c r="I5684" t="s">
        <v>8298</v>
      </c>
      <c r="J5684" t="s">
        <v>294</v>
      </c>
      <c r="M5684" t="s">
        <v>295</v>
      </c>
      <c r="N5684" t="s">
        <v>7</v>
      </c>
      <c r="O5684" t="s">
        <v>297</v>
      </c>
    </row>
    <row r="5685" spans="1:15" x14ac:dyDescent="0.3">
      <c r="A5685" t="s">
        <v>8154</v>
      </c>
      <c r="B5685" t="s">
        <v>8289</v>
      </c>
      <c r="C5685">
        <v>2024</v>
      </c>
      <c r="D5685" t="s">
        <v>272</v>
      </c>
      <c r="E5685" t="s">
        <v>445</v>
      </c>
      <c r="F5685">
        <v>0.17749999999999999</v>
      </c>
      <c r="G5685" t="s">
        <v>334</v>
      </c>
      <c r="H5685">
        <v>76</v>
      </c>
      <c r="I5685" t="s">
        <v>8299</v>
      </c>
      <c r="J5685" t="s">
        <v>294</v>
      </c>
      <c r="M5685" t="s">
        <v>295</v>
      </c>
      <c r="N5685" t="s">
        <v>7</v>
      </c>
      <c r="O5685" t="s">
        <v>297</v>
      </c>
    </row>
    <row r="5686" spans="1:15" x14ac:dyDescent="0.3">
      <c r="A5686" t="s">
        <v>8154</v>
      </c>
      <c r="B5686" t="s">
        <v>8289</v>
      </c>
      <c r="C5686">
        <v>2024</v>
      </c>
      <c r="D5686" t="s">
        <v>272</v>
      </c>
      <c r="E5686" t="s">
        <v>8300</v>
      </c>
      <c r="F5686" t="s">
        <v>8301</v>
      </c>
      <c r="G5686" t="s">
        <v>334</v>
      </c>
      <c r="H5686">
        <v>76</v>
      </c>
      <c r="I5686" t="s">
        <v>8302</v>
      </c>
      <c r="J5686" t="s">
        <v>294</v>
      </c>
      <c r="M5686" t="s">
        <v>295</v>
      </c>
      <c r="N5686" t="s">
        <v>7</v>
      </c>
      <c r="O5686" t="s">
        <v>297</v>
      </c>
    </row>
    <row r="5687" spans="1:15" x14ac:dyDescent="0.3">
      <c r="A5687" t="s">
        <v>8154</v>
      </c>
      <c r="B5687" t="s">
        <v>8289</v>
      </c>
      <c r="C5687">
        <v>2024</v>
      </c>
      <c r="D5687" t="s">
        <v>272</v>
      </c>
      <c r="E5687" t="s">
        <v>8303</v>
      </c>
      <c r="F5687" t="s">
        <v>8304</v>
      </c>
      <c r="G5687" t="s">
        <v>334</v>
      </c>
      <c r="H5687">
        <v>76</v>
      </c>
      <c r="I5687" t="s">
        <v>8305</v>
      </c>
      <c r="J5687" t="s">
        <v>294</v>
      </c>
      <c r="M5687" t="s">
        <v>295</v>
      </c>
      <c r="N5687" t="s">
        <v>7</v>
      </c>
      <c r="O5687" t="s">
        <v>297</v>
      </c>
    </row>
    <row r="5688" spans="1:15" x14ac:dyDescent="0.3">
      <c r="A5688" t="s">
        <v>8154</v>
      </c>
      <c r="B5688" t="s">
        <v>8289</v>
      </c>
      <c r="C5688">
        <v>2024</v>
      </c>
      <c r="D5688" t="s">
        <v>272</v>
      </c>
      <c r="E5688" t="s">
        <v>8306</v>
      </c>
      <c r="F5688" t="s">
        <v>8307</v>
      </c>
      <c r="G5688" t="s">
        <v>666</v>
      </c>
      <c r="H5688">
        <v>14</v>
      </c>
      <c r="I5688" t="s">
        <v>8308</v>
      </c>
      <c r="J5688" t="s">
        <v>294</v>
      </c>
      <c r="M5688" t="s">
        <v>295</v>
      </c>
      <c r="N5688" t="s">
        <v>7</v>
      </c>
      <c r="O5688" t="s">
        <v>297</v>
      </c>
    </row>
    <row r="5689" spans="1:15" x14ac:dyDescent="0.3">
      <c r="A5689" t="s">
        <v>8154</v>
      </c>
      <c r="B5689" t="s">
        <v>8289</v>
      </c>
      <c r="C5689">
        <v>2024</v>
      </c>
      <c r="D5689" t="s">
        <v>272</v>
      </c>
      <c r="E5689" t="s">
        <v>8309</v>
      </c>
      <c r="F5689" t="s">
        <v>8310</v>
      </c>
      <c r="G5689" t="s">
        <v>292</v>
      </c>
      <c r="H5689">
        <v>15</v>
      </c>
      <c r="I5689" t="s">
        <v>8311</v>
      </c>
      <c r="J5689" t="s">
        <v>294</v>
      </c>
      <c r="M5689" t="s">
        <v>295</v>
      </c>
      <c r="N5689" t="s">
        <v>7</v>
      </c>
      <c r="O5689" t="s">
        <v>297</v>
      </c>
    </row>
    <row r="5690" spans="1:15" x14ac:dyDescent="0.3">
      <c r="A5690" t="s">
        <v>8154</v>
      </c>
      <c r="B5690" t="s">
        <v>8289</v>
      </c>
      <c r="C5690">
        <v>2024</v>
      </c>
      <c r="D5690" t="s">
        <v>300</v>
      </c>
      <c r="E5690" t="s">
        <v>3142</v>
      </c>
      <c r="F5690">
        <v>9671</v>
      </c>
      <c r="G5690" t="s">
        <v>302</v>
      </c>
      <c r="H5690">
        <v>10</v>
      </c>
      <c r="I5690" t="s">
        <v>8312</v>
      </c>
      <c r="J5690" t="s">
        <v>294</v>
      </c>
      <c r="M5690" t="s">
        <v>295</v>
      </c>
      <c r="N5690" t="s">
        <v>7</v>
      </c>
      <c r="O5690" t="s">
        <v>297</v>
      </c>
    </row>
    <row r="5691" spans="1:15" x14ac:dyDescent="0.3">
      <c r="A5691" t="s">
        <v>8154</v>
      </c>
      <c r="B5691" t="s">
        <v>8289</v>
      </c>
      <c r="C5691">
        <v>2024</v>
      </c>
      <c r="D5691" t="s">
        <v>300</v>
      </c>
      <c r="E5691" t="s">
        <v>2868</v>
      </c>
      <c r="F5691">
        <v>5949</v>
      </c>
      <c r="G5691" t="s">
        <v>302</v>
      </c>
      <c r="H5691">
        <v>100</v>
      </c>
      <c r="I5691" t="s">
        <v>8313</v>
      </c>
      <c r="J5691" t="s">
        <v>294</v>
      </c>
      <c r="M5691" t="s">
        <v>295</v>
      </c>
      <c r="N5691" t="s">
        <v>7</v>
      </c>
      <c r="O5691" t="s">
        <v>297</v>
      </c>
    </row>
    <row r="5692" spans="1:15" x14ac:dyDescent="0.3">
      <c r="A5692" t="s">
        <v>8154</v>
      </c>
      <c r="B5692" t="s">
        <v>8289</v>
      </c>
      <c r="C5692">
        <v>2024</v>
      </c>
      <c r="D5692" t="s">
        <v>300</v>
      </c>
      <c r="E5692" t="s">
        <v>304</v>
      </c>
      <c r="F5692">
        <v>3723</v>
      </c>
      <c r="G5692" t="s">
        <v>302</v>
      </c>
      <c r="H5692">
        <v>10</v>
      </c>
      <c r="I5692" t="s">
        <v>8314</v>
      </c>
      <c r="J5692" t="s">
        <v>294</v>
      </c>
      <c r="M5692" t="s">
        <v>295</v>
      </c>
      <c r="N5692" t="s">
        <v>7</v>
      </c>
      <c r="O5692" t="s">
        <v>297</v>
      </c>
    </row>
    <row r="5693" spans="1:15" x14ac:dyDescent="0.3">
      <c r="A5693" t="s">
        <v>8154</v>
      </c>
      <c r="B5693" t="s">
        <v>8289</v>
      </c>
      <c r="C5693">
        <v>2024</v>
      </c>
      <c r="D5693" t="s">
        <v>300</v>
      </c>
      <c r="E5693" t="s">
        <v>5214</v>
      </c>
      <c r="F5693">
        <v>3045</v>
      </c>
      <c r="G5693" t="s">
        <v>302</v>
      </c>
      <c r="H5693">
        <v>100</v>
      </c>
      <c r="I5693" t="s">
        <v>8315</v>
      </c>
      <c r="J5693" t="s">
        <v>294</v>
      </c>
      <c r="M5693" t="s">
        <v>295</v>
      </c>
      <c r="N5693" t="s">
        <v>7</v>
      </c>
      <c r="O5693" t="s">
        <v>297</v>
      </c>
    </row>
    <row r="5694" spans="1:15" x14ac:dyDescent="0.3">
      <c r="A5694" t="s">
        <v>8154</v>
      </c>
      <c r="B5694" t="s">
        <v>8289</v>
      </c>
      <c r="C5694">
        <v>2024</v>
      </c>
      <c r="D5694" t="s">
        <v>300</v>
      </c>
      <c r="E5694" t="s">
        <v>1216</v>
      </c>
      <c r="F5694">
        <v>75</v>
      </c>
      <c r="G5694" t="s">
        <v>302</v>
      </c>
      <c r="H5694">
        <v>229</v>
      </c>
      <c r="I5694" t="s">
        <v>8316</v>
      </c>
      <c r="J5694" t="s">
        <v>294</v>
      </c>
      <c r="M5694" t="s">
        <v>295</v>
      </c>
      <c r="N5694" t="s">
        <v>7</v>
      </c>
      <c r="O5694" t="s">
        <v>297</v>
      </c>
    </row>
    <row r="5695" spans="1:15" x14ac:dyDescent="0.3">
      <c r="A5695" t="s">
        <v>8154</v>
      </c>
      <c r="B5695" t="s">
        <v>8289</v>
      </c>
      <c r="C5695">
        <v>2024</v>
      </c>
      <c r="D5695" t="s">
        <v>300</v>
      </c>
      <c r="E5695" t="s">
        <v>8317</v>
      </c>
      <c r="F5695">
        <v>894</v>
      </c>
      <c r="G5695" t="s">
        <v>302</v>
      </c>
      <c r="H5695">
        <v>229</v>
      </c>
      <c r="I5695" t="s">
        <v>8318</v>
      </c>
      <c r="J5695" t="s">
        <v>294</v>
      </c>
      <c r="M5695" t="s">
        <v>295</v>
      </c>
      <c r="N5695" t="s">
        <v>7</v>
      </c>
      <c r="O5695" t="s">
        <v>297</v>
      </c>
    </row>
    <row r="5696" spans="1:15" x14ac:dyDescent="0.3">
      <c r="A5696" t="s">
        <v>8154</v>
      </c>
      <c r="B5696" t="s">
        <v>8289</v>
      </c>
      <c r="C5696">
        <v>2024</v>
      </c>
      <c r="D5696" t="s">
        <v>300</v>
      </c>
      <c r="E5696" t="s">
        <v>306</v>
      </c>
      <c r="F5696">
        <v>3241</v>
      </c>
      <c r="G5696" t="s">
        <v>302</v>
      </c>
      <c r="H5696">
        <v>10</v>
      </c>
      <c r="I5696" t="s">
        <v>8319</v>
      </c>
      <c r="J5696" t="s">
        <v>294</v>
      </c>
      <c r="M5696" t="s">
        <v>295</v>
      </c>
      <c r="N5696" t="s">
        <v>7</v>
      </c>
      <c r="O5696" t="s">
        <v>297</v>
      </c>
    </row>
    <row r="5697" spans="1:15" x14ac:dyDescent="0.3">
      <c r="A5697" t="s">
        <v>8154</v>
      </c>
      <c r="B5697" t="s">
        <v>8289</v>
      </c>
      <c r="C5697">
        <v>2024</v>
      </c>
      <c r="D5697" t="s">
        <v>300</v>
      </c>
      <c r="E5697" t="s">
        <v>308</v>
      </c>
      <c r="F5697">
        <v>3120</v>
      </c>
      <c r="G5697" t="s">
        <v>302</v>
      </c>
      <c r="H5697">
        <v>10</v>
      </c>
      <c r="I5697" t="s">
        <v>8320</v>
      </c>
      <c r="J5697" t="s">
        <v>294</v>
      </c>
      <c r="M5697" t="s">
        <v>295</v>
      </c>
      <c r="N5697" t="s">
        <v>7</v>
      </c>
      <c r="O5697" t="s">
        <v>297</v>
      </c>
    </row>
    <row r="5698" spans="1:15" x14ac:dyDescent="0.3">
      <c r="A5698" t="s">
        <v>8154</v>
      </c>
      <c r="B5698" t="s">
        <v>8289</v>
      </c>
      <c r="C5698">
        <v>2024</v>
      </c>
      <c r="D5698" t="s">
        <v>300</v>
      </c>
      <c r="E5698" t="s">
        <v>3157</v>
      </c>
      <c r="F5698">
        <v>3355</v>
      </c>
      <c r="G5698" t="s">
        <v>302</v>
      </c>
      <c r="H5698">
        <v>10</v>
      </c>
      <c r="I5698" t="s">
        <v>8321</v>
      </c>
      <c r="J5698" t="s">
        <v>294</v>
      </c>
      <c r="M5698" t="s">
        <v>295</v>
      </c>
      <c r="N5698" t="s">
        <v>7</v>
      </c>
      <c r="O5698" t="s">
        <v>297</v>
      </c>
    </row>
    <row r="5699" spans="1:15" x14ac:dyDescent="0.3">
      <c r="A5699" t="s">
        <v>8154</v>
      </c>
      <c r="B5699" t="s">
        <v>8289</v>
      </c>
      <c r="C5699">
        <v>2024</v>
      </c>
      <c r="D5699" t="s">
        <v>300</v>
      </c>
      <c r="E5699" t="s">
        <v>316</v>
      </c>
      <c r="F5699">
        <v>14307</v>
      </c>
      <c r="G5699" t="s">
        <v>302</v>
      </c>
      <c r="H5699">
        <v>10</v>
      </c>
      <c r="I5699" t="s">
        <v>8322</v>
      </c>
      <c r="J5699" t="s">
        <v>294</v>
      </c>
      <c r="M5699" t="s">
        <v>295</v>
      </c>
      <c r="N5699" t="s">
        <v>7</v>
      </c>
      <c r="O5699" t="s">
        <v>297</v>
      </c>
    </row>
    <row r="5700" spans="1:15" x14ac:dyDescent="0.3">
      <c r="A5700" t="s">
        <v>8154</v>
      </c>
      <c r="B5700" t="s">
        <v>8289</v>
      </c>
      <c r="C5700">
        <v>2024</v>
      </c>
      <c r="D5700" t="s">
        <v>300</v>
      </c>
      <c r="E5700" t="s">
        <v>312</v>
      </c>
      <c r="F5700">
        <v>3247</v>
      </c>
      <c r="G5700" t="s">
        <v>302</v>
      </c>
      <c r="H5700">
        <v>99</v>
      </c>
      <c r="I5700" t="s">
        <v>8323</v>
      </c>
      <c r="J5700" t="s">
        <v>294</v>
      </c>
      <c r="M5700" t="s">
        <v>295</v>
      </c>
      <c r="N5700" t="s">
        <v>7</v>
      </c>
      <c r="O5700" t="s">
        <v>297</v>
      </c>
    </row>
    <row r="5701" spans="1:15" x14ac:dyDescent="0.3">
      <c r="A5701" t="s">
        <v>8154</v>
      </c>
      <c r="B5701" t="s">
        <v>8289</v>
      </c>
      <c r="C5701">
        <v>2024</v>
      </c>
      <c r="D5701" t="s">
        <v>300</v>
      </c>
      <c r="E5701" t="s">
        <v>314</v>
      </c>
      <c r="F5701">
        <v>11061</v>
      </c>
      <c r="G5701" t="s">
        <v>302</v>
      </c>
      <c r="H5701">
        <v>99</v>
      </c>
      <c r="I5701" t="s">
        <v>8324</v>
      </c>
      <c r="J5701" t="s">
        <v>294</v>
      </c>
      <c r="M5701" t="s">
        <v>295</v>
      </c>
      <c r="N5701" t="s">
        <v>7</v>
      </c>
      <c r="O5701" t="s">
        <v>297</v>
      </c>
    </row>
    <row r="5702" spans="1:15" x14ac:dyDescent="0.3">
      <c r="A5702" t="s">
        <v>8154</v>
      </c>
      <c r="B5702" t="s">
        <v>8289</v>
      </c>
      <c r="C5702">
        <v>2024</v>
      </c>
      <c r="D5702" t="s">
        <v>300</v>
      </c>
      <c r="E5702" t="s">
        <v>471</v>
      </c>
      <c r="F5702">
        <v>1309</v>
      </c>
      <c r="G5702" t="s">
        <v>302</v>
      </c>
      <c r="H5702">
        <v>226</v>
      </c>
      <c r="I5702" t="s">
        <v>8325</v>
      </c>
      <c r="J5702" t="s">
        <v>294</v>
      </c>
      <c r="M5702" t="s">
        <v>295</v>
      </c>
      <c r="N5702" t="s">
        <v>7</v>
      </c>
      <c r="O5702" t="s">
        <v>297</v>
      </c>
    </row>
    <row r="5703" spans="1:15" x14ac:dyDescent="0.3">
      <c r="A5703" t="s">
        <v>8154</v>
      </c>
      <c r="B5703" t="s">
        <v>8289</v>
      </c>
      <c r="C5703">
        <v>2024</v>
      </c>
      <c r="D5703" t="s">
        <v>300</v>
      </c>
      <c r="E5703" t="s">
        <v>479</v>
      </c>
      <c r="F5703">
        <v>227</v>
      </c>
      <c r="G5703" t="s">
        <v>302</v>
      </c>
      <c r="H5703">
        <v>226</v>
      </c>
      <c r="I5703" t="s">
        <v>8326</v>
      </c>
      <c r="J5703" t="s">
        <v>294</v>
      </c>
      <c r="M5703" t="s">
        <v>295</v>
      </c>
      <c r="N5703" t="s">
        <v>7</v>
      </c>
      <c r="O5703" t="s">
        <v>297</v>
      </c>
    </row>
    <row r="5704" spans="1:15" x14ac:dyDescent="0.3">
      <c r="A5704" t="s">
        <v>8154</v>
      </c>
      <c r="B5704" t="s">
        <v>8289</v>
      </c>
      <c r="C5704">
        <v>2024</v>
      </c>
      <c r="D5704" t="s">
        <v>300</v>
      </c>
      <c r="E5704" t="s">
        <v>481</v>
      </c>
      <c r="F5704">
        <v>1035</v>
      </c>
      <c r="G5704" t="s">
        <v>302</v>
      </c>
      <c r="H5704">
        <v>226</v>
      </c>
      <c r="I5704" t="s">
        <v>8327</v>
      </c>
      <c r="J5704" t="s">
        <v>294</v>
      </c>
      <c r="M5704" t="s">
        <v>295</v>
      </c>
      <c r="N5704" t="s">
        <v>7</v>
      </c>
      <c r="O5704" t="s">
        <v>297</v>
      </c>
    </row>
    <row r="5705" spans="1:15" x14ac:dyDescent="0.3">
      <c r="A5705" t="s">
        <v>8154</v>
      </c>
      <c r="B5705" t="s">
        <v>8289</v>
      </c>
      <c r="C5705">
        <v>2024</v>
      </c>
      <c r="D5705" t="s">
        <v>300</v>
      </c>
      <c r="E5705" t="s">
        <v>8193</v>
      </c>
      <c r="F5705">
        <v>394</v>
      </c>
      <c r="G5705" t="s">
        <v>302</v>
      </c>
      <c r="H5705">
        <v>226</v>
      </c>
      <c r="I5705" t="s">
        <v>8328</v>
      </c>
      <c r="J5705" t="s">
        <v>294</v>
      </c>
      <c r="M5705" t="s">
        <v>295</v>
      </c>
      <c r="N5705" t="s">
        <v>7</v>
      </c>
      <c r="O5705" t="s">
        <v>297</v>
      </c>
    </row>
    <row r="5706" spans="1:15" x14ac:dyDescent="0.3">
      <c r="A5706" t="s">
        <v>8154</v>
      </c>
      <c r="B5706" t="s">
        <v>8289</v>
      </c>
      <c r="C5706">
        <v>2024</v>
      </c>
      <c r="D5706" t="s">
        <v>300</v>
      </c>
      <c r="E5706" t="s">
        <v>8195</v>
      </c>
      <c r="F5706">
        <v>2945</v>
      </c>
      <c r="G5706" t="s">
        <v>302</v>
      </c>
      <c r="H5706">
        <v>226</v>
      </c>
      <c r="I5706" t="s">
        <v>8329</v>
      </c>
      <c r="J5706" t="s">
        <v>294</v>
      </c>
      <c r="M5706" t="s">
        <v>295</v>
      </c>
      <c r="N5706" t="s">
        <v>7</v>
      </c>
      <c r="O5706" t="s">
        <v>297</v>
      </c>
    </row>
    <row r="5707" spans="1:15" x14ac:dyDescent="0.3">
      <c r="A5707" t="s">
        <v>8154</v>
      </c>
      <c r="B5707" t="s">
        <v>8289</v>
      </c>
      <c r="C5707">
        <v>2024</v>
      </c>
      <c r="D5707" t="s">
        <v>300</v>
      </c>
      <c r="E5707" t="s">
        <v>1122</v>
      </c>
      <c r="F5707">
        <v>7388</v>
      </c>
      <c r="G5707" t="s">
        <v>302</v>
      </c>
      <c r="H5707">
        <v>226</v>
      </c>
      <c r="I5707" t="s">
        <v>8330</v>
      </c>
      <c r="J5707" t="s">
        <v>294</v>
      </c>
      <c r="M5707" t="s">
        <v>295</v>
      </c>
      <c r="N5707" t="s">
        <v>7</v>
      </c>
      <c r="O5707" t="s">
        <v>297</v>
      </c>
    </row>
    <row r="5708" spans="1:15" x14ac:dyDescent="0.3">
      <c r="A5708" t="s">
        <v>8154</v>
      </c>
      <c r="B5708" t="s">
        <v>8289</v>
      </c>
      <c r="C5708">
        <v>2024</v>
      </c>
      <c r="D5708" t="s">
        <v>300</v>
      </c>
      <c r="E5708" t="s">
        <v>322</v>
      </c>
      <c r="F5708">
        <v>3031</v>
      </c>
      <c r="G5708" t="s">
        <v>302</v>
      </c>
      <c r="H5708">
        <v>10</v>
      </c>
      <c r="I5708" t="s">
        <v>8331</v>
      </c>
      <c r="J5708" t="s">
        <v>294</v>
      </c>
      <c r="M5708" t="s">
        <v>295</v>
      </c>
      <c r="N5708" t="s">
        <v>7</v>
      </c>
      <c r="O5708" t="s">
        <v>297</v>
      </c>
    </row>
    <row r="5709" spans="1:15" x14ac:dyDescent="0.3">
      <c r="A5709" t="s">
        <v>8154</v>
      </c>
      <c r="B5709" t="s">
        <v>8289</v>
      </c>
      <c r="C5709">
        <v>2024</v>
      </c>
      <c r="D5709" t="s">
        <v>300</v>
      </c>
      <c r="E5709" t="s">
        <v>318</v>
      </c>
      <c r="F5709">
        <v>2362</v>
      </c>
      <c r="G5709" t="s">
        <v>302</v>
      </c>
      <c r="H5709">
        <v>99</v>
      </c>
      <c r="I5709" t="s">
        <v>8332</v>
      </c>
      <c r="J5709" t="s">
        <v>294</v>
      </c>
      <c r="M5709" t="s">
        <v>295</v>
      </c>
      <c r="N5709" t="s">
        <v>7</v>
      </c>
      <c r="O5709" t="s">
        <v>297</v>
      </c>
    </row>
    <row r="5710" spans="1:15" x14ac:dyDescent="0.3">
      <c r="A5710" t="s">
        <v>8154</v>
      </c>
      <c r="B5710" t="s">
        <v>8289</v>
      </c>
      <c r="C5710">
        <v>2024</v>
      </c>
      <c r="D5710" t="s">
        <v>300</v>
      </c>
      <c r="E5710" t="s">
        <v>468</v>
      </c>
      <c r="F5710">
        <v>669</v>
      </c>
      <c r="G5710" t="s">
        <v>302</v>
      </c>
      <c r="H5710">
        <v>99</v>
      </c>
      <c r="I5710" t="s">
        <v>8333</v>
      </c>
      <c r="J5710" t="s">
        <v>294</v>
      </c>
      <c r="M5710" t="s">
        <v>295</v>
      </c>
      <c r="N5710" t="s">
        <v>7</v>
      </c>
      <c r="O5710" t="s">
        <v>297</v>
      </c>
    </row>
    <row r="5711" spans="1:15" x14ac:dyDescent="0.3">
      <c r="A5711" t="s">
        <v>8154</v>
      </c>
      <c r="B5711" t="s">
        <v>8289</v>
      </c>
      <c r="C5711">
        <v>2024</v>
      </c>
      <c r="D5711" t="s">
        <v>300</v>
      </c>
      <c r="E5711" t="s">
        <v>595</v>
      </c>
      <c r="F5711">
        <v>620</v>
      </c>
      <c r="G5711" t="s">
        <v>302</v>
      </c>
      <c r="H5711">
        <v>227</v>
      </c>
      <c r="I5711" t="s">
        <v>8334</v>
      </c>
      <c r="J5711" t="s">
        <v>294</v>
      </c>
      <c r="M5711" t="s">
        <v>295</v>
      </c>
      <c r="N5711" t="s">
        <v>7</v>
      </c>
      <c r="O5711" t="s">
        <v>297</v>
      </c>
    </row>
    <row r="5712" spans="1:15" x14ac:dyDescent="0.3">
      <c r="A5712" t="s">
        <v>8154</v>
      </c>
      <c r="B5712" t="s">
        <v>8289</v>
      </c>
      <c r="C5712">
        <v>2024</v>
      </c>
      <c r="D5712" t="s">
        <v>300</v>
      </c>
      <c r="E5712" t="s">
        <v>4876</v>
      </c>
      <c r="F5712">
        <v>150</v>
      </c>
      <c r="G5712" t="s">
        <v>302</v>
      </c>
      <c r="H5712">
        <v>227</v>
      </c>
      <c r="I5712" t="s">
        <v>8335</v>
      </c>
      <c r="J5712" t="s">
        <v>294</v>
      </c>
      <c r="M5712" t="s">
        <v>295</v>
      </c>
      <c r="N5712" t="s">
        <v>7</v>
      </c>
      <c r="O5712" t="s">
        <v>297</v>
      </c>
    </row>
    <row r="5713" spans="1:15" x14ac:dyDescent="0.3">
      <c r="A5713" t="s">
        <v>8154</v>
      </c>
      <c r="B5713" t="s">
        <v>8289</v>
      </c>
      <c r="C5713">
        <v>2024</v>
      </c>
      <c r="D5713" t="s">
        <v>300</v>
      </c>
      <c r="E5713" t="s">
        <v>475</v>
      </c>
      <c r="F5713">
        <v>330</v>
      </c>
      <c r="G5713" t="s">
        <v>302</v>
      </c>
      <c r="H5713">
        <v>227</v>
      </c>
      <c r="I5713" t="s">
        <v>8336</v>
      </c>
      <c r="J5713" t="s">
        <v>294</v>
      </c>
      <c r="M5713" t="s">
        <v>295</v>
      </c>
      <c r="N5713" t="s">
        <v>7</v>
      </c>
      <c r="O5713" t="s">
        <v>297</v>
      </c>
    </row>
    <row r="5714" spans="1:15" x14ac:dyDescent="0.3">
      <c r="A5714" t="s">
        <v>8154</v>
      </c>
      <c r="B5714" t="s">
        <v>8289</v>
      </c>
      <c r="C5714">
        <v>2024</v>
      </c>
      <c r="D5714" t="s">
        <v>300</v>
      </c>
      <c r="E5714" t="s">
        <v>8204</v>
      </c>
      <c r="F5714">
        <v>1100</v>
      </c>
      <c r="G5714" t="s">
        <v>302</v>
      </c>
      <c r="H5714">
        <v>227</v>
      </c>
      <c r="I5714" t="s">
        <v>8337</v>
      </c>
      <c r="J5714" t="s">
        <v>294</v>
      </c>
      <c r="M5714" t="s">
        <v>295</v>
      </c>
      <c r="N5714" t="s">
        <v>7</v>
      </c>
      <c r="O5714" t="s">
        <v>297</v>
      </c>
    </row>
    <row r="5715" spans="1:15" x14ac:dyDescent="0.3">
      <c r="A5715" t="s">
        <v>8154</v>
      </c>
      <c r="B5715" t="s">
        <v>8289</v>
      </c>
      <c r="C5715">
        <v>2024</v>
      </c>
      <c r="D5715" t="s">
        <v>300</v>
      </c>
      <c r="E5715" t="s">
        <v>324</v>
      </c>
      <c r="F5715">
        <v>11276</v>
      </c>
      <c r="G5715" t="s">
        <v>302</v>
      </c>
      <c r="H5715">
        <v>10</v>
      </c>
      <c r="I5715" t="s">
        <v>8338</v>
      </c>
      <c r="J5715" t="s">
        <v>294</v>
      </c>
      <c r="M5715" t="s">
        <v>295</v>
      </c>
      <c r="N5715" t="s">
        <v>7</v>
      </c>
      <c r="O5715" t="s">
        <v>297</v>
      </c>
    </row>
    <row r="5716" spans="1:15" x14ac:dyDescent="0.3">
      <c r="A5716" t="s">
        <v>8154</v>
      </c>
      <c r="B5716" t="s">
        <v>8289</v>
      </c>
      <c r="C5716">
        <v>2024</v>
      </c>
      <c r="D5716" t="s">
        <v>300</v>
      </c>
      <c r="E5716" t="s">
        <v>1235</v>
      </c>
      <c r="F5716">
        <v>5557</v>
      </c>
      <c r="G5716" t="s">
        <v>302</v>
      </c>
      <c r="H5716">
        <v>228</v>
      </c>
      <c r="I5716" t="s">
        <v>8339</v>
      </c>
      <c r="J5716" t="s">
        <v>294</v>
      </c>
      <c r="M5716" t="s">
        <v>295</v>
      </c>
      <c r="N5716" t="s">
        <v>7</v>
      </c>
      <c r="O5716" t="s">
        <v>297</v>
      </c>
    </row>
    <row r="5717" spans="1:15" x14ac:dyDescent="0.3">
      <c r="A5717" t="s">
        <v>8154</v>
      </c>
      <c r="B5717" t="s">
        <v>8289</v>
      </c>
      <c r="C5717">
        <v>2024</v>
      </c>
      <c r="D5717" t="s">
        <v>300</v>
      </c>
      <c r="E5717" t="s">
        <v>8208</v>
      </c>
      <c r="F5717">
        <v>469</v>
      </c>
      <c r="G5717" t="s">
        <v>302</v>
      </c>
      <c r="H5717">
        <v>228</v>
      </c>
      <c r="I5717" t="s">
        <v>8340</v>
      </c>
      <c r="J5717" t="s">
        <v>294</v>
      </c>
      <c r="M5717" t="s">
        <v>295</v>
      </c>
      <c r="N5717" t="s">
        <v>7</v>
      </c>
      <c r="O5717" t="s">
        <v>297</v>
      </c>
    </row>
    <row r="5718" spans="1:15" x14ac:dyDescent="0.3">
      <c r="A5718" t="s">
        <v>8154</v>
      </c>
      <c r="B5718" t="s">
        <v>8289</v>
      </c>
      <c r="C5718">
        <v>2024</v>
      </c>
      <c r="D5718" t="s">
        <v>300</v>
      </c>
      <c r="E5718" t="s">
        <v>8210</v>
      </c>
      <c r="F5718">
        <v>3239</v>
      </c>
      <c r="G5718" t="s">
        <v>302</v>
      </c>
      <c r="H5718">
        <v>102</v>
      </c>
      <c r="I5718" t="s">
        <v>8341</v>
      </c>
      <c r="J5718" t="s">
        <v>294</v>
      </c>
      <c r="M5718" t="s">
        <v>295</v>
      </c>
      <c r="N5718" t="s">
        <v>7</v>
      </c>
      <c r="O5718" t="s">
        <v>297</v>
      </c>
    </row>
    <row r="5719" spans="1:15" x14ac:dyDescent="0.3">
      <c r="A5719" t="s">
        <v>8154</v>
      </c>
      <c r="B5719" t="s">
        <v>8289</v>
      </c>
      <c r="C5719">
        <v>2024</v>
      </c>
      <c r="D5719" t="s">
        <v>300</v>
      </c>
      <c r="E5719" t="s">
        <v>8212</v>
      </c>
      <c r="F5719">
        <v>576</v>
      </c>
      <c r="G5719" t="s">
        <v>302</v>
      </c>
      <c r="H5719">
        <v>102</v>
      </c>
      <c r="I5719" t="s">
        <v>8342</v>
      </c>
      <c r="J5719" t="s">
        <v>294</v>
      </c>
      <c r="M5719" t="s">
        <v>295</v>
      </c>
      <c r="N5719" t="s">
        <v>7</v>
      </c>
      <c r="O5719" t="s">
        <v>297</v>
      </c>
    </row>
    <row r="5720" spans="1:15" x14ac:dyDescent="0.3">
      <c r="A5720" t="s">
        <v>8154</v>
      </c>
      <c r="B5720" t="s">
        <v>8289</v>
      </c>
      <c r="C5720">
        <v>2024</v>
      </c>
      <c r="D5720" t="s">
        <v>300</v>
      </c>
      <c r="E5720" t="s">
        <v>8214</v>
      </c>
      <c r="F5720">
        <v>-3516</v>
      </c>
      <c r="G5720" t="s">
        <v>302</v>
      </c>
      <c r="H5720">
        <v>102</v>
      </c>
      <c r="I5720" t="s">
        <v>8343</v>
      </c>
      <c r="J5720" t="s">
        <v>294</v>
      </c>
      <c r="M5720" t="s">
        <v>295</v>
      </c>
      <c r="N5720" t="s">
        <v>7</v>
      </c>
      <c r="O5720" t="s">
        <v>297</v>
      </c>
    </row>
    <row r="5721" spans="1:15" x14ac:dyDescent="0.3">
      <c r="A5721" t="s">
        <v>8154</v>
      </c>
      <c r="B5721" t="s">
        <v>8289</v>
      </c>
      <c r="C5721">
        <v>2024</v>
      </c>
      <c r="D5721" t="s">
        <v>300</v>
      </c>
      <c r="E5721" t="s">
        <v>8344</v>
      </c>
      <c r="F5721">
        <v>588</v>
      </c>
      <c r="G5721" t="s">
        <v>302</v>
      </c>
      <c r="H5721">
        <v>105</v>
      </c>
      <c r="I5721" t="s">
        <v>8345</v>
      </c>
      <c r="J5721" t="s">
        <v>294</v>
      </c>
      <c r="M5721" t="s">
        <v>295</v>
      </c>
      <c r="N5721" t="s">
        <v>7</v>
      </c>
      <c r="O5721" t="s">
        <v>297</v>
      </c>
    </row>
    <row r="5722" spans="1:15" x14ac:dyDescent="0.3">
      <c r="A5722" t="s">
        <v>8154</v>
      </c>
      <c r="B5722" t="s">
        <v>8289</v>
      </c>
      <c r="C5722">
        <v>2024</v>
      </c>
      <c r="D5722" t="s">
        <v>300</v>
      </c>
      <c r="E5722" t="s">
        <v>8218</v>
      </c>
      <c r="F5722">
        <v>157</v>
      </c>
      <c r="G5722" t="s">
        <v>346</v>
      </c>
      <c r="H5722">
        <v>10</v>
      </c>
      <c r="I5722" t="s">
        <v>8346</v>
      </c>
      <c r="J5722" t="s">
        <v>294</v>
      </c>
      <c r="M5722" t="s">
        <v>295</v>
      </c>
      <c r="N5722" t="s">
        <v>7</v>
      </c>
      <c r="O5722" t="s">
        <v>297</v>
      </c>
    </row>
    <row r="5723" spans="1:15" x14ac:dyDescent="0.3">
      <c r="A5723" t="s">
        <v>8154</v>
      </c>
      <c r="B5723" t="s">
        <v>8289</v>
      </c>
      <c r="C5723">
        <v>2024</v>
      </c>
      <c r="D5723" t="s">
        <v>300</v>
      </c>
      <c r="E5723" t="s">
        <v>342</v>
      </c>
      <c r="F5723">
        <v>19853</v>
      </c>
      <c r="G5723" t="s">
        <v>497</v>
      </c>
      <c r="H5723">
        <v>12</v>
      </c>
      <c r="I5723" t="s">
        <v>8220</v>
      </c>
      <c r="J5723" t="s">
        <v>294</v>
      </c>
      <c r="M5723" t="s">
        <v>295</v>
      </c>
      <c r="N5723" t="s">
        <v>7</v>
      </c>
      <c r="O5723" t="s">
        <v>297</v>
      </c>
    </row>
    <row r="5724" spans="1:15" x14ac:dyDescent="0.3">
      <c r="A5724" t="s">
        <v>8154</v>
      </c>
      <c r="B5724" t="s">
        <v>8289</v>
      </c>
      <c r="C5724">
        <v>2024</v>
      </c>
      <c r="D5724" t="s">
        <v>300</v>
      </c>
      <c r="E5724" t="s">
        <v>8347</v>
      </c>
      <c r="F5724">
        <v>765</v>
      </c>
      <c r="G5724" t="s">
        <v>346</v>
      </c>
      <c r="H5724">
        <v>12</v>
      </c>
      <c r="I5724" t="s">
        <v>8348</v>
      </c>
      <c r="J5724" t="s">
        <v>294</v>
      </c>
      <c r="M5724" t="s">
        <v>295</v>
      </c>
      <c r="N5724" t="s">
        <v>7</v>
      </c>
      <c r="O5724" t="s">
        <v>297</v>
      </c>
    </row>
    <row r="5725" spans="1:15" x14ac:dyDescent="0.3">
      <c r="A5725" t="s">
        <v>8154</v>
      </c>
      <c r="B5725" t="s">
        <v>8289</v>
      </c>
      <c r="C5725">
        <v>2024</v>
      </c>
      <c r="D5725" t="s">
        <v>300</v>
      </c>
      <c r="E5725" t="s">
        <v>1050</v>
      </c>
      <c r="F5725">
        <v>15187</v>
      </c>
      <c r="G5725" t="s">
        <v>302</v>
      </c>
      <c r="H5725">
        <v>12</v>
      </c>
      <c r="I5725" t="s">
        <v>8349</v>
      </c>
      <c r="J5725" t="s">
        <v>294</v>
      </c>
      <c r="M5725" t="s">
        <v>295</v>
      </c>
      <c r="N5725" t="s">
        <v>7</v>
      </c>
      <c r="O5725" t="s">
        <v>297</v>
      </c>
    </row>
    <row r="5726" spans="1:15" x14ac:dyDescent="0.3">
      <c r="A5726" t="s">
        <v>8154</v>
      </c>
      <c r="B5726" t="s">
        <v>8289</v>
      </c>
      <c r="C5726">
        <v>2024</v>
      </c>
      <c r="D5726" t="s">
        <v>300</v>
      </c>
      <c r="E5726" t="s">
        <v>7717</v>
      </c>
      <c r="F5726">
        <v>76</v>
      </c>
      <c r="G5726" t="s">
        <v>346</v>
      </c>
      <c r="H5726">
        <v>110</v>
      </c>
      <c r="I5726" t="s">
        <v>8350</v>
      </c>
      <c r="J5726" t="s">
        <v>294</v>
      </c>
      <c r="M5726" t="s">
        <v>295</v>
      </c>
      <c r="N5726" t="s">
        <v>7</v>
      </c>
      <c r="O5726" t="s">
        <v>297</v>
      </c>
    </row>
    <row r="5727" spans="1:15" x14ac:dyDescent="0.3">
      <c r="A5727" t="s">
        <v>8154</v>
      </c>
      <c r="B5727" t="s">
        <v>8289</v>
      </c>
      <c r="C5727">
        <v>2024</v>
      </c>
      <c r="D5727" t="s">
        <v>300</v>
      </c>
      <c r="E5727" t="s">
        <v>8351</v>
      </c>
      <c r="F5727">
        <v>91</v>
      </c>
      <c r="G5727" t="s">
        <v>346</v>
      </c>
      <c r="H5727">
        <v>110</v>
      </c>
      <c r="I5727" t="s">
        <v>8352</v>
      </c>
      <c r="J5727" t="s">
        <v>294</v>
      </c>
      <c r="M5727" t="s">
        <v>295</v>
      </c>
      <c r="N5727" t="s">
        <v>7</v>
      </c>
      <c r="O5727" t="s">
        <v>297</v>
      </c>
    </row>
    <row r="5728" spans="1:15" x14ac:dyDescent="0.3">
      <c r="A5728" t="s">
        <v>8154</v>
      </c>
      <c r="B5728" t="s">
        <v>8289</v>
      </c>
      <c r="C5728">
        <v>2024</v>
      </c>
      <c r="D5728" t="s">
        <v>300</v>
      </c>
      <c r="E5728" t="s">
        <v>5692</v>
      </c>
      <c r="F5728">
        <v>26.9</v>
      </c>
      <c r="G5728" t="s">
        <v>334</v>
      </c>
      <c r="H5728">
        <v>10</v>
      </c>
      <c r="I5728" t="s">
        <v>8353</v>
      </c>
      <c r="J5728" t="s">
        <v>294</v>
      </c>
      <c r="M5728" t="s">
        <v>295</v>
      </c>
      <c r="N5728" t="s">
        <v>7</v>
      </c>
      <c r="O5728" t="s">
        <v>297</v>
      </c>
    </row>
    <row r="5729" spans="1:15" x14ac:dyDescent="0.3">
      <c r="A5729" t="s">
        <v>8154</v>
      </c>
      <c r="B5729" t="s">
        <v>8289</v>
      </c>
      <c r="C5729">
        <v>2024</v>
      </c>
      <c r="D5729" t="s">
        <v>300</v>
      </c>
      <c r="E5729" t="s">
        <v>906</v>
      </c>
      <c r="F5729">
        <v>-1.9E-2</v>
      </c>
      <c r="G5729" t="s">
        <v>327</v>
      </c>
      <c r="H5729">
        <v>103</v>
      </c>
      <c r="I5729" t="s">
        <v>8354</v>
      </c>
      <c r="J5729" t="s">
        <v>294</v>
      </c>
      <c r="M5729" t="s">
        <v>295</v>
      </c>
      <c r="N5729" t="s">
        <v>7</v>
      </c>
      <c r="O5729" t="s">
        <v>297</v>
      </c>
    </row>
    <row r="5730" spans="1:15" x14ac:dyDescent="0.3">
      <c r="A5730" t="s">
        <v>8154</v>
      </c>
      <c r="B5730" t="s">
        <v>8289</v>
      </c>
      <c r="C5730">
        <v>2024</v>
      </c>
      <c r="D5730" t="s">
        <v>300</v>
      </c>
      <c r="E5730" t="s">
        <v>8229</v>
      </c>
      <c r="F5730">
        <v>-4.4999999999999998E-2</v>
      </c>
      <c r="G5730" t="s">
        <v>327</v>
      </c>
      <c r="H5730">
        <v>103</v>
      </c>
      <c r="I5730" t="s">
        <v>8355</v>
      </c>
      <c r="J5730" t="s">
        <v>294</v>
      </c>
      <c r="M5730" t="s">
        <v>295</v>
      </c>
      <c r="N5730" t="s">
        <v>7</v>
      </c>
      <c r="O5730" t="s">
        <v>297</v>
      </c>
    </row>
    <row r="5731" spans="1:15" x14ac:dyDescent="0.3">
      <c r="A5731" t="s">
        <v>8154</v>
      </c>
      <c r="B5731" t="s">
        <v>8289</v>
      </c>
      <c r="C5731">
        <v>2024</v>
      </c>
      <c r="D5731" t="s">
        <v>300</v>
      </c>
      <c r="E5731" t="s">
        <v>326</v>
      </c>
      <c r="F5731">
        <v>137.4</v>
      </c>
      <c r="G5731" t="s">
        <v>334</v>
      </c>
      <c r="H5731">
        <v>10</v>
      </c>
      <c r="I5731" t="s">
        <v>8356</v>
      </c>
      <c r="J5731" t="s">
        <v>294</v>
      </c>
      <c r="M5731" t="s">
        <v>295</v>
      </c>
      <c r="N5731" t="s">
        <v>7</v>
      </c>
      <c r="O5731" t="s">
        <v>297</v>
      </c>
    </row>
    <row r="5732" spans="1:15" x14ac:dyDescent="0.3">
      <c r="A5732" t="s">
        <v>8154</v>
      </c>
      <c r="B5732" t="s">
        <v>8289</v>
      </c>
      <c r="C5732">
        <v>2024</v>
      </c>
      <c r="D5732" t="s">
        <v>300</v>
      </c>
      <c r="E5732" t="s">
        <v>1187</v>
      </c>
      <c r="F5732">
        <v>38.5</v>
      </c>
      <c r="G5732" t="s">
        <v>334</v>
      </c>
      <c r="H5732">
        <v>10</v>
      </c>
      <c r="I5732" t="s">
        <v>8357</v>
      </c>
      <c r="J5732" t="s">
        <v>294</v>
      </c>
      <c r="M5732" t="s">
        <v>295</v>
      </c>
      <c r="N5732" t="s">
        <v>7</v>
      </c>
      <c r="O5732" t="s">
        <v>297</v>
      </c>
    </row>
    <row r="5733" spans="1:15" x14ac:dyDescent="0.3">
      <c r="A5733" t="s">
        <v>8154</v>
      </c>
      <c r="B5733" t="s">
        <v>8289</v>
      </c>
      <c r="C5733">
        <v>2024</v>
      </c>
      <c r="D5733" t="s">
        <v>358</v>
      </c>
      <c r="E5733" t="s">
        <v>504</v>
      </c>
      <c r="F5733">
        <v>160800</v>
      </c>
      <c r="G5733" t="s">
        <v>360</v>
      </c>
      <c r="H5733">
        <v>11</v>
      </c>
      <c r="I5733" t="s">
        <v>8358</v>
      </c>
      <c r="J5733" t="s">
        <v>294</v>
      </c>
      <c r="M5733" t="s">
        <v>295</v>
      </c>
      <c r="N5733" t="s">
        <v>7</v>
      </c>
      <c r="O5733" t="s">
        <v>297</v>
      </c>
    </row>
    <row r="5734" spans="1:15" x14ac:dyDescent="0.3">
      <c r="A5734" t="s">
        <v>8154</v>
      </c>
      <c r="B5734" t="s">
        <v>8289</v>
      </c>
      <c r="C5734">
        <v>2024</v>
      </c>
      <c r="D5734" t="s">
        <v>358</v>
      </c>
      <c r="E5734" t="s">
        <v>1058</v>
      </c>
      <c r="F5734">
        <v>135600</v>
      </c>
      <c r="G5734" t="s">
        <v>360</v>
      </c>
      <c r="H5734">
        <v>11</v>
      </c>
      <c r="I5734" t="s">
        <v>8359</v>
      </c>
      <c r="J5734" t="s">
        <v>294</v>
      </c>
      <c r="M5734" t="s">
        <v>295</v>
      </c>
      <c r="N5734" t="s">
        <v>7</v>
      </c>
      <c r="O5734" t="s">
        <v>297</v>
      </c>
    </row>
    <row r="5735" spans="1:15" x14ac:dyDescent="0.3">
      <c r="A5735" t="s">
        <v>8154</v>
      </c>
      <c r="B5735" t="s">
        <v>8289</v>
      </c>
      <c r="C5735">
        <v>2024</v>
      </c>
      <c r="D5735" t="s">
        <v>358</v>
      </c>
      <c r="E5735" t="s">
        <v>930</v>
      </c>
      <c r="F5735">
        <v>25200</v>
      </c>
      <c r="G5735" t="s">
        <v>360</v>
      </c>
      <c r="H5735">
        <v>11</v>
      </c>
      <c r="I5735" t="s">
        <v>8360</v>
      </c>
      <c r="J5735" t="s">
        <v>294</v>
      </c>
      <c r="M5735" t="s">
        <v>295</v>
      </c>
      <c r="N5735" t="s">
        <v>7</v>
      </c>
      <c r="O5735" t="s">
        <v>297</v>
      </c>
    </row>
    <row r="5736" spans="1:15" x14ac:dyDescent="0.3">
      <c r="A5736" t="s">
        <v>8154</v>
      </c>
      <c r="B5736" t="s">
        <v>8289</v>
      </c>
      <c r="C5736">
        <v>2024</v>
      </c>
      <c r="D5736" t="s">
        <v>358</v>
      </c>
      <c r="E5736" t="s">
        <v>4263</v>
      </c>
      <c r="F5736">
        <v>1300</v>
      </c>
      <c r="G5736" t="s">
        <v>360</v>
      </c>
      <c r="H5736">
        <v>11</v>
      </c>
      <c r="I5736" t="s">
        <v>8236</v>
      </c>
      <c r="J5736" t="s">
        <v>294</v>
      </c>
      <c r="M5736" t="s">
        <v>295</v>
      </c>
      <c r="N5736" t="s">
        <v>7</v>
      </c>
      <c r="O5736" t="s">
        <v>297</v>
      </c>
    </row>
    <row r="5737" spans="1:15" x14ac:dyDescent="0.3">
      <c r="A5737" t="s">
        <v>8154</v>
      </c>
      <c r="B5737" t="s">
        <v>8289</v>
      </c>
      <c r="C5737">
        <v>2024</v>
      </c>
      <c r="D5737" t="s">
        <v>358</v>
      </c>
      <c r="E5737" t="s">
        <v>8237</v>
      </c>
      <c r="F5737">
        <v>7416</v>
      </c>
      <c r="G5737" t="s">
        <v>360</v>
      </c>
      <c r="H5737">
        <v>96</v>
      </c>
      <c r="I5737" t="s">
        <v>8361</v>
      </c>
      <c r="J5737" t="s">
        <v>294</v>
      </c>
      <c r="M5737" t="s">
        <v>295</v>
      </c>
      <c r="N5737" t="s">
        <v>7</v>
      </c>
      <c r="O5737" t="s">
        <v>297</v>
      </c>
    </row>
    <row r="5738" spans="1:15" x14ac:dyDescent="0.3">
      <c r="A5738" t="s">
        <v>8154</v>
      </c>
      <c r="B5738" t="s">
        <v>8289</v>
      </c>
      <c r="C5738">
        <v>2024</v>
      </c>
      <c r="D5738" t="s">
        <v>358</v>
      </c>
      <c r="E5738" t="s">
        <v>8239</v>
      </c>
      <c r="F5738">
        <v>4375</v>
      </c>
      <c r="G5738" t="s">
        <v>360</v>
      </c>
      <c r="H5738">
        <v>96</v>
      </c>
      <c r="I5738" t="s">
        <v>8362</v>
      </c>
      <c r="J5738" t="s">
        <v>294</v>
      </c>
      <c r="M5738" t="s">
        <v>295</v>
      </c>
      <c r="N5738" t="s">
        <v>7</v>
      </c>
      <c r="O5738" t="s">
        <v>297</v>
      </c>
    </row>
    <row r="5739" spans="1:15" x14ac:dyDescent="0.3">
      <c r="A5739" t="s">
        <v>8154</v>
      </c>
      <c r="B5739" t="s">
        <v>8289</v>
      </c>
      <c r="C5739">
        <v>2024</v>
      </c>
      <c r="D5739" t="s">
        <v>358</v>
      </c>
      <c r="E5739" t="s">
        <v>8241</v>
      </c>
      <c r="F5739">
        <v>117008</v>
      </c>
      <c r="G5739" t="s">
        <v>360</v>
      </c>
      <c r="H5739">
        <v>96</v>
      </c>
      <c r="I5739" t="s">
        <v>8363</v>
      </c>
      <c r="J5739" t="s">
        <v>294</v>
      </c>
      <c r="M5739" t="s">
        <v>295</v>
      </c>
      <c r="N5739" t="s">
        <v>7</v>
      </c>
      <c r="O5739" t="s">
        <v>297</v>
      </c>
    </row>
    <row r="5740" spans="1:15" x14ac:dyDescent="0.3">
      <c r="A5740" t="s">
        <v>8154</v>
      </c>
      <c r="B5740" t="s">
        <v>8289</v>
      </c>
      <c r="C5740">
        <v>2024</v>
      </c>
      <c r="D5740" t="s">
        <v>358</v>
      </c>
      <c r="E5740" t="s">
        <v>8243</v>
      </c>
      <c r="F5740">
        <v>6796</v>
      </c>
      <c r="G5740" t="s">
        <v>360</v>
      </c>
      <c r="H5740">
        <v>96</v>
      </c>
      <c r="I5740" t="s">
        <v>8364</v>
      </c>
      <c r="J5740" t="s">
        <v>294</v>
      </c>
      <c r="M5740" t="s">
        <v>295</v>
      </c>
      <c r="N5740" t="s">
        <v>7</v>
      </c>
      <c r="O5740" t="s">
        <v>297</v>
      </c>
    </row>
    <row r="5741" spans="1:15" x14ac:dyDescent="0.3">
      <c r="A5741" t="s">
        <v>8154</v>
      </c>
      <c r="B5741" t="s">
        <v>8289</v>
      </c>
      <c r="C5741">
        <v>2024</v>
      </c>
      <c r="D5741" t="s">
        <v>358</v>
      </c>
      <c r="E5741" t="s">
        <v>3389</v>
      </c>
      <c r="F5741">
        <v>128178</v>
      </c>
      <c r="G5741" t="s">
        <v>360</v>
      </c>
      <c r="H5741">
        <v>97</v>
      </c>
      <c r="I5741" t="s">
        <v>8365</v>
      </c>
      <c r="J5741" t="s">
        <v>294</v>
      </c>
      <c r="M5741" t="s">
        <v>295</v>
      </c>
      <c r="N5741" t="s">
        <v>7</v>
      </c>
      <c r="O5741" t="s">
        <v>297</v>
      </c>
    </row>
    <row r="5742" spans="1:15" x14ac:dyDescent="0.3">
      <c r="A5742" t="s">
        <v>8154</v>
      </c>
      <c r="B5742" t="s">
        <v>8289</v>
      </c>
      <c r="C5742">
        <v>2024</v>
      </c>
      <c r="D5742" t="s">
        <v>358</v>
      </c>
      <c r="E5742" t="s">
        <v>3391</v>
      </c>
      <c r="F5742">
        <v>7416</v>
      </c>
      <c r="G5742" t="s">
        <v>360</v>
      </c>
      <c r="H5742">
        <v>97</v>
      </c>
      <c r="I5742" t="s">
        <v>8366</v>
      </c>
      <c r="J5742" t="s">
        <v>294</v>
      </c>
      <c r="M5742" t="s">
        <v>295</v>
      </c>
      <c r="N5742" t="s">
        <v>7</v>
      </c>
      <c r="O5742" t="s">
        <v>297</v>
      </c>
    </row>
    <row r="5743" spans="1:15" x14ac:dyDescent="0.3">
      <c r="A5743" t="s">
        <v>8154</v>
      </c>
      <c r="B5743" t="s">
        <v>8289</v>
      </c>
      <c r="C5743">
        <v>2024</v>
      </c>
      <c r="D5743" t="s">
        <v>358</v>
      </c>
      <c r="E5743" t="s">
        <v>8247</v>
      </c>
      <c r="F5743">
        <v>2506</v>
      </c>
      <c r="G5743" t="s">
        <v>360</v>
      </c>
      <c r="H5743">
        <v>97</v>
      </c>
      <c r="I5743" t="s">
        <v>8367</v>
      </c>
      <c r="J5743" t="s">
        <v>294</v>
      </c>
      <c r="M5743" t="s">
        <v>295</v>
      </c>
      <c r="N5743" t="s">
        <v>7</v>
      </c>
      <c r="O5743" t="s">
        <v>297</v>
      </c>
    </row>
    <row r="5744" spans="1:15" x14ac:dyDescent="0.3">
      <c r="A5744" t="s">
        <v>8154</v>
      </c>
      <c r="B5744" t="s">
        <v>8289</v>
      </c>
      <c r="C5744">
        <v>2024</v>
      </c>
      <c r="D5744" t="s">
        <v>358</v>
      </c>
      <c r="E5744" t="s">
        <v>8249</v>
      </c>
      <c r="F5744">
        <v>76288</v>
      </c>
      <c r="G5744" t="s">
        <v>360</v>
      </c>
      <c r="H5744">
        <v>97</v>
      </c>
      <c r="I5744" t="s">
        <v>8368</v>
      </c>
      <c r="J5744" t="s">
        <v>294</v>
      </c>
      <c r="M5744" t="s">
        <v>295</v>
      </c>
      <c r="N5744" t="s">
        <v>7</v>
      </c>
      <c r="O5744" t="s">
        <v>297</v>
      </c>
    </row>
    <row r="5745" spans="1:15" x14ac:dyDescent="0.3">
      <c r="A5745" t="s">
        <v>8154</v>
      </c>
      <c r="B5745" t="s">
        <v>8289</v>
      </c>
      <c r="C5745">
        <v>2024</v>
      </c>
      <c r="D5745" t="s">
        <v>358</v>
      </c>
      <c r="E5745" t="s">
        <v>8251</v>
      </c>
      <c r="F5745">
        <v>49384</v>
      </c>
      <c r="G5745" t="s">
        <v>360</v>
      </c>
      <c r="H5745">
        <v>97</v>
      </c>
      <c r="I5745" t="s">
        <v>8369</v>
      </c>
      <c r="J5745" t="s">
        <v>294</v>
      </c>
      <c r="M5745" t="s">
        <v>295</v>
      </c>
      <c r="N5745" t="s">
        <v>7</v>
      </c>
      <c r="O5745" t="s">
        <v>297</v>
      </c>
    </row>
    <row r="5746" spans="1:15" x14ac:dyDescent="0.3">
      <c r="A5746" t="s">
        <v>8154</v>
      </c>
      <c r="B5746" t="s">
        <v>8289</v>
      </c>
      <c r="C5746">
        <v>2024</v>
      </c>
      <c r="D5746" t="s">
        <v>358</v>
      </c>
      <c r="E5746" t="s">
        <v>523</v>
      </c>
      <c r="F5746">
        <v>18</v>
      </c>
      <c r="G5746" t="s">
        <v>384</v>
      </c>
      <c r="H5746">
        <v>96</v>
      </c>
      <c r="I5746" t="s">
        <v>8370</v>
      </c>
      <c r="J5746" t="s">
        <v>294</v>
      </c>
      <c r="M5746" t="s">
        <v>295</v>
      </c>
      <c r="N5746" t="s">
        <v>7</v>
      </c>
      <c r="O5746" t="s">
        <v>297</v>
      </c>
    </row>
    <row r="5747" spans="1:15" x14ac:dyDescent="0.3">
      <c r="A5747" t="s">
        <v>8154</v>
      </c>
      <c r="B5747" t="s">
        <v>8289</v>
      </c>
      <c r="C5747">
        <v>2024</v>
      </c>
      <c r="D5747" t="s">
        <v>358</v>
      </c>
      <c r="E5747" t="s">
        <v>934</v>
      </c>
      <c r="F5747">
        <v>995</v>
      </c>
      <c r="G5747" t="s">
        <v>738</v>
      </c>
      <c r="H5747">
        <v>96</v>
      </c>
      <c r="I5747" t="s">
        <v>8371</v>
      </c>
      <c r="J5747" t="s">
        <v>294</v>
      </c>
      <c r="M5747" t="s">
        <v>295</v>
      </c>
      <c r="N5747" t="s">
        <v>7</v>
      </c>
      <c r="O5747" t="s">
        <v>297</v>
      </c>
    </row>
    <row r="5748" spans="1:15" x14ac:dyDescent="0.3">
      <c r="A5748" t="s">
        <v>8154</v>
      </c>
      <c r="B5748" t="s">
        <v>8289</v>
      </c>
      <c r="C5748">
        <v>2024</v>
      </c>
      <c r="D5748" t="s">
        <v>358</v>
      </c>
      <c r="E5748" t="s">
        <v>525</v>
      </c>
      <c r="F5748">
        <v>1</v>
      </c>
      <c r="G5748" t="s">
        <v>384</v>
      </c>
      <c r="H5748">
        <v>95</v>
      </c>
      <c r="I5748" t="s">
        <v>8372</v>
      </c>
      <c r="J5748" t="s">
        <v>456</v>
      </c>
      <c r="M5748" t="s">
        <v>295</v>
      </c>
      <c r="N5748" t="s">
        <v>7</v>
      </c>
      <c r="O5748" t="s">
        <v>297</v>
      </c>
    </row>
    <row r="5749" spans="1:15" x14ac:dyDescent="0.3">
      <c r="A5749" t="s">
        <v>8154</v>
      </c>
      <c r="B5749" t="s">
        <v>8289</v>
      </c>
      <c r="C5749">
        <v>2024</v>
      </c>
      <c r="D5749" t="s">
        <v>394</v>
      </c>
      <c r="E5749" t="s">
        <v>7192</v>
      </c>
      <c r="F5749">
        <v>3276000</v>
      </c>
      <c r="G5749" t="s">
        <v>396</v>
      </c>
      <c r="H5749">
        <v>11</v>
      </c>
      <c r="I5749" t="s">
        <v>8373</v>
      </c>
      <c r="J5749" t="s">
        <v>294</v>
      </c>
      <c r="M5749" t="s">
        <v>295</v>
      </c>
      <c r="N5749" t="s">
        <v>7</v>
      </c>
      <c r="O5749" t="s">
        <v>297</v>
      </c>
    </row>
    <row r="5750" spans="1:15" x14ac:dyDescent="0.3">
      <c r="A5750" t="s">
        <v>8154</v>
      </c>
      <c r="B5750" t="s">
        <v>8289</v>
      </c>
      <c r="C5750">
        <v>2024</v>
      </c>
      <c r="D5750" t="s">
        <v>394</v>
      </c>
      <c r="E5750" t="s">
        <v>533</v>
      </c>
      <c r="F5750">
        <v>2946000</v>
      </c>
      <c r="G5750" t="s">
        <v>396</v>
      </c>
      <c r="H5750">
        <v>11</v>
      </c>
      <c r="I5750" t="s">
        <v>8374</v>
      </c>
      <c r="J5750" t="s">
        <v>294</v>
      </c>
      <c r="M5750" t="s">
        <v>295</v>
      </c>
      <c r="N5750" t="s">
        <v>7</v>
      </c>
      <c r="O5750" t="s">
        <v>297</v>
      </c>
    </row>
    <row r="5751" spans="1:15" x14ac:dyDescent="0.3">
      <c r="A5751" t="s">
        <v>8154</v>
      </c>
      <c r="B5751" t="s">
        <v>8289</v>
      </c>
      <c r="C5751">
        <v>2024</v>
      </c>
      <c r="D5751" t="s">
        <v>394</v>
      </c>
      <c r="E5751" t="s">
        <v>535</v>
      </c>
      <c r="F5751">
        <v>330000</v>
      </c>
      <c r="G5751" t="s">
        <v>396</v>
      </c>
      <c r="H5751">
        <v>11</v>
      </c>
      <c r="I5751" t="s">
        <v>8375</v>
      </c>
      <c r="J5751" t="s">
        <v>294</v>
      </c>
      <c r="M5751" t="s">
        <v>295</v>
      </c>
      <c r="N5751" t="s">
        <v>7</v>
      </c>
      <c r="O5751" t="s">
        <v>297</v>
      </c>
    </row>
    <row r="5752" spans="1:15" x14ac:dyDescent="0.3">
      <c r="A5752" t="s">
        <v>8154</v>
      </c>
      <c r="B5752" t="s">
        <v>8289</v>
      </c>
      <c r="C5752">
        <v>2024</v>
      </c>
      <c r="D5752" t="s">
        <v>394</v>
      </c>
      <c r="E5752" t="s">
        <v>537</v>
      </c>
      <c r="F5752">
        <v>3962000</v>
      </c>
      <c r="G5752" t="s">
        <v>396</v>
      </c>
      <c r="H5752">
        <v>11</v>
      </c>
      <c r="I5752" t="s">
        <v>8376</v>
      </c>
      <c r="J5752" t="s">
        <v>294</v>
      </c>
      <c r="M5752" t="s">
        <v>295</v>
      </c>
      <c r="N5752" t="s">
        <v>7</v>
      </c>
      <c r="O5752" t="s">
        <v>297</v>
      </c>
    </row>
    <row r="5753" spans="1:15" x14ac:dyDescent="0.3">
      <c r="A5753" t="s">
        <v>8154</v>
      </c>
      <c r="B5753" t="s">
        <v>8289</v>
      </c>
      <c r="C5753">
        <v>2024</v>
      </c>
      <c r="D5753" t="s">
        <v>394</v>
      </c>
      <c r="E5753" t="s">
        <v>404</v>
      </c>
      <c r="F5753">
        <v>679000</v>
      </c>
      <c r="G5753" t="s">
        <v>396</v>
      </c>
      <c r="H5753">
        <v>97</v>
      </c>
      <c r="I5753" t="s">
        <v>8377</v>
      </c>
      <c r="J5753" t="s">
        <v>294</v>
      </c>
      <c r="M5753" t="s">
        <v>295</v>
      </c>
      <c r="N5753" t="s">
        <v>7</v>
      </c>
      <c r="O5753" t="s">
        <v>297</v>
      </c>
    </row>
    <row r="5754" spans="1:15" x14ac:dyDescent="0.3">
      <c r="A5754" t="s">
        <v>8154</v>
      </c>
      <c r="B5754" t="s">
        <v>8289</v>
      </c>
      <c r="C5754">
        <v>2024</v>
      </c>
      <c r="D5754" t="s">
        <v>394</v>
      </c>
      <c r="E5754" t="s">
        <v>406</v>
      </c>
      <c r="F5754">
        <v>916000</v>
      </c>
      <c r="G5754" t="s">
        <v>396</v>
      </c>
      <c r="H5754">
        <v>11</v>
      </c>
      <c r="I5754" t="s">
        <v>8378</v>
      </c>
      <c r="J5754" t="s">
        <v>294</v>
      </c>
      <c r="M5754" t="s">
        <v>295</v>
      </c>
      <c r="N5754" t="s">
        <v>7</v>
      </c>
      <c r="O5754" t="s">
        <v>297</v>
      </c>
    </row>
    <row r="5755" spans="1:15" x14ac:dyDescent="0.3">
      <c r="A5755" t="s">
        <v>8154</v>
      </c>
      <c r="B5755" t="s">
        <v>8289</v>
      </c>
      <c r="C5755">
        <v>2024</v>
      </c>
      <c r="D5755" t="s">
        <v>394</v>
      </c>
      <c r="E5755" t="s">
        <v>855</v>
      </c>
      <c r="F5755">
        <v>193000</v>
      </c>
      <c r="G5755" t="s">
        <v>396</v>
      </c>
      <c r="H5755">
        <v>11</v>
      </c>
      <c r="I5755" t="s">
        <v>8379</v>
      </c>
      <c r="J5755" t="s">
        <v>294</v>
      </c>
      <c r="M5755" t="s">
        <v>295</v>
      </c>
      <c r="N5755" t="s">
        <v>7</v>
      </c>
      <c r="O5755" t="s">
        <v>297</v>
      </c>
    </row>
    <row r="5756" spans="1:15" x14ac:dyDescent="0.3">
      <c r="A5756" t="s">
        <v>8154</v>
      </c>
      <c r="B5756" t="s">
        <v>8289</v>
      </c>
      <c r="C5756">
        <v>2024</v>
      </c>
      <c r="D5756" t="s">
        <v>394</v>
      </c>
      <c r="E5756" t="s">
        <v>418</v>
      </c>
      <c r="F5756">
        <v>20300</v>
      </c>
      <c r="G5756" t="s">
        <v>396</v>
      </c>
      <c r="H5756">
        <v>11</v>
      </c>
      <c r="I5756" t="s">
        <v>8380</v>
      </c>
      <c r="J5756" t="s">
        <v>294</v>
      </c>
      <c r="M5756" t="s">
        <v>295</v>
      </c>
      <c r="N5756" t="s">
        <v>7</v>
      </c>
      <c r="O5756" t="s">
        <v>297</v>
      </c>
    </row>
    <row r="5757" spans="1:15" x14ac:dyDescent="0.3">
      <c r="A5757" t="s">
        <v>8154</v>
      </c>
      <c r="B5757" t="s">
        <v>8289</v>
      </c>
      <c r="C5757">
        <v>2024</v>
      </c>
      <c r="D5757" t="s">
        <v>394</v>
      </c>
      <c r="E5757" t="s">
        <v>4461</v>
      </c>
      <c r="F5757">
        <v>1100</v>
      </c>
      <c r="G5757" t="s">
        <v>396</v>
      </c>
      <c r="H5757">
        <v>11</v>
      </c>
      <c r="I5757" t="s">
        <v>8381</v>
      </c>
      <c r="J5757" t="s">
        <v>294</v>
      </c>
      <c r="M5757" t="s">
        <v>295</v>
      </c>
      <c r="N5757" t="s">
        <v>7</v>
      </c>
      <c r="O5757" t="s">
        <v>297</v>
      </c>
    </row>
    <row r="5758" spans="1:15" x14ac:dyDescent="0.3">
      <c r="A5758" t="s">
        <v>8154</v>
      </c>
      <c r="B5758" t="s">
        <v>8289</v>
      </c>
      <c r="C5758">
        <v>2024</v>
      </c>
      <c r="D5758" t="s">
        <v>394</v>
      </c>
      <c r="E5758" t="s">
        <v>8265</v>
      </c>
      <c r="F5758">
        <v>23</v>
      </c>
      <c r="G5758" t="s">
        <v>423</v>
      </c>
      <c r="H5758">
        <v>11</v>
      </c>
      <c r="I5758" t="s">
        <v>8382</v>
      </c>
      <c r="J5758" t="s">
        <v>294</v>
      </c>
      <c r="M5758" t="s">
        <v>295</v>
      </c>
      <c r="N5758" t="s">
        <v>7</v>
      </c>
      <c r="O5758" t="s">
        <v>297</v>
      </c>
    </row>
    <row r="5759" spans="1:15" x14ac:dyDescent="0.3">
      <c r="A5759" t="s">
        <v>8154</v>
      </c>
      <c r="B5759" t="s">
        <v>8289</v>
      </c>
      <c r="C5759">
        <v>2024</v>
      </c>
      <c r="D5759" t="s">
        <v>394</v>
      </c>
      <c r="E5759" t="s">
        <v>550</v>
      </c>
      <c r="F5759">
        <v>0.23100000000000001</v>
      </c>
      <c r="G5759" t="s">
        <v>334</v>
      </c>
      <c r="H5759">
        <v>11</v>
      </c>
      <c r="I5759" t="s">
        <v>8383</v>
      </c>
      <c r="J5759" t="s">
        <v>294</v>
      </c>
      <c r="M5759" t="s">
        <v>295</v>
      </c>
      <c r="N5759" t="s">
        <v>7</v>
      </c>
      <c r="O5759" t="s">
        <v>297</v>
      </c>
    </row>
    <row r="5760" spans="1:15" x14ac:dyDescent="0.3">
      <c r="A5760" t="s">
        <v>8154</v>
      </c>
      <c r="B5760" t="s">
        <v>8289</v>
      </c>
      <c r="C5760">
        <v>2024</v>
      </c>
      <c r="D5760" t="s">
        <v>394</v>
      </c>
      <c r="E5760" t="s">
        <v>552</v>
      </c>
      <c r="F5760">
        <v>4.9000000000000002E-2</v>
      </c>
      <c r="G5760" t="s">
        <v>334</v>
      </c>
      <c r="H5760">
        <v>11</v>
      </c>
      <c r="I5760" t="s">
        <v>8268</v>
      </c>
      <c r="J5760" t="s">
        <v>294</v>
      </c>
      <c r="M5760" t="s">
        <v>295</v>
      </c>
      <c r="N5760" t="s">
        <v>7</v>
      </c>
      <c r="O5760" t="s">
        <v>297</v>
      </c>
    </row>
    <row r="5761" spans="1:15" x14ac:dyDescent="0.3">
      <c r="A5761" t="s">
        <v>8154</v>
      </c>
      <c r="B5761" t="s">
        <v>8289</v>
      </c>
      <c r="C5761">
        <v>2024</v>
      </c>
      <c r="D5761" t="s">
        <v>394</v>
      </c>
      <c r="E5761" t="s">
        <v>554</v>
      </c>
      <c r="F5761">
        <v>13156</v>
      </c>
      <c r="G5761" t="s">
        <v>436</v>
      </c>
      <c r="H5761">
        <v>101</v>
      </c>
      <c r="I5761" t="s">
        <v>8384</v>
      </c>
      <c r="J5761" t="s">
        <v>294</v>
      </c>
      <c r="M5761" t="s">
        <v>295</v>
      </c>
      <c r="N5761" t="s">
        <v>7</v>
      </c>
      <c r="O5761" t="s">
        <v>297</v>
      </c>
    </row>
    <row r="5762" spans="1:15" x14ac:dyDescent="0.3">
      <c r="A5762" t="s">
        <v>8154</v>
      </c>
      <c r="B5762" t="s">
        <v>8289</v>
      </c>
      <c r="C5762">
        <v>2024</v>
      </c>
      <c r="D5762" t="s">
        <v>394</v>
      </c>
      <c r="E5762" t="s">
        <v>5195</v>
      </c>
      <c r="F5762">
        <v>7891</v>
      </c>
      <c r="G5762" t="s">
        <v>436</v>
      </c>
      <c r="H5762">
        <v>101</v>
      </c>
      <c r="I5762" t="s">
        <v>8385</v>
      </c>
      <c r="J5762" t="s">
        <v>294</v>
      </c>
      <c r="M5762" t="s">
        <v>295</v>
      </c>
      <c r="N5762" t="s">
        <v>7</v>
      </c>
      <c r="O5762" t="s">
        <v>297</v>
      </c>
    </row>
    <row r="5763" spans="1:15" x14ac:dyDescent="0.3">
      <c r="A5763" t="s">
        <v>8154</v>
      </c>
      <c r="B5763" t="s">
        <v>8289</v>
      </c>
      <c r="C5763">
        <v>2024</v>
      </c>
      <c r="D5763" t="s">
        <v>394</v>
      </c>
      <c r="E5763" t="s">
        <v>8271</v>
      </c>
      <c r="F5763">
        <v>19101</v>
      </c>
      <c r="G5763" t="s">
        <v>436</v>
      </c>
      <c r="H5763">
        <v>101</v>
      </c>
      <c r="I5763" t="s">
        <v>8386</v>
      </c>
      <c r="J5763" t="s">
        <v>294</v>
      </c>
      <c r="M5763" t="s">
        <v>295</v>
      </c>
      <c r="N5763" t="s">
        <v>7</v>
      </c>
      <c r="O5763" t="s">
        <v>297</v>
      </c>
    </row>
    <row r="5764" spans="1:15" x14ac:dyDescent="0.3">
      <c r="A5764" t="s">
        <v>8154</v>
      </c>
      <c r="B5764" t="s">
        <v>8289</v>
      </c>
      <c r="C5764">
        <v>2024</v>
      </c>
      <c r="D5764" t="s">
        <v>394</v>
      </c>
      <c r="E5764" t="s">
        <v>438</v>
      </c>
      <c r="F5764">
        <v>636</v>
      </c>
      <c r="G5764" t="s">
        <v>557</v>
      </c>
      <c r="H5764">
        <v>101</v>
      </c>
      <c r="I5764" t="s">
        <v>8387</v>
      </c>
      <c r="J5764" t="s">
        <v>294</v>
      </c>
      <c r="M5764" t="s">
        <v>295</v>
      </c>
      <c r="N5764" t="s">
        <v>7</v>
      </c>
      <c r="O5764" t="s">
        <v>297</v>
      </c>
    </row>
    <row r="5765" spans="1:15" x14ac:dyDescent="0.3">
      <c r="A5765" t="s">
        <v>8154</v>
      </c>
      <c r="B5765" t="s">
        <v>8289</v>
      </c>
      <c r="C5765">
        <v>2024</v>
      </c>
      <c r="D5765" t="s">
        <v>394</v>
      </c>
      <c r="E5765" t="s">
        <v>4994</v>
      </c>
      <c r="F5765">
        <v>111</v>
      </c>
      <c r="G5765" t="s">
        <v>557</v>
      </c>
      <c r="H5765">
        <v>101</v>
      </c>
      <c r="I5765" t="s">
        <v>8388</v>
      </c>
      <c r="J5765" t="s">
        <v>294</v>
      </c>
      <c r="M5765" t="s">
        <v>295</v>
      </c>
      <c r="N5765" t="s">
        <v>7</v>
      </c>
      <c r="O5765" t="s">
        <v>297</v>
      </c>
    </row>
    <row r="5766" spans="1:15" x14ac:dyDescent="0.3">
      <c r="A5766" t="s">
        <v>8154</v>
      </c>
      <c r="B5766" t="s">
        <v>8289</v>
      </c>
      <c r="C5766">
        <v>2024</v>
      </c>
      <c r="D5766" t="s">
        <v>394</v>
      </c>
      <c r="E5766" t="s">
        <v>5359</v>
      </c>
      <c r="F5766">
        <v>19.5</v>
      </c>
      <c r="G5766" t="s">
        <v>557</v>
      </c>
      <c r="H5766">
        <v>101</v>
      </c>
      <c r="I5766" t="s">
        <v>8389</v>
      </c>
      <c r="J5766" t="s">
        <v>294</v>
      </c>
      <c r="M5766" t="s">
        <v>295</v>
      </c>
      <c r="N5766" t="s">
        <v>7</v>
      </c>
      <c r="O5766" t="s">
        <v>297</v>
      </c>
    </row>
    <row r="5767" spans="1:15" x14ac:dyDescent="0.3">
      <c r="A5767" t="s">
        <v>8154</v>
      </c>
      <c r="B5767" t="s">
        <v>8289</v>
      </c>
      <c r="C5767">
        <v>2024</v>
      </c>
      <c r="D5767" t="s">
        <v>394</v>
      </c>
      <c r="E5767" t="s">
        <v>8390</v>
      </c>
      <c r="F5767">
        <v>63000</v>
      </c>
      <c r="G5767" t="s">
        <v>396</v>
      </c>
      <c r="H5767">
        <v>96</v>
      </c>
      <c r="I5767" t="s">
        <v>8391</v>
      </c>
      <c r="J5767" t="s">
        <v>294</v>
      </c>
      <c r="M5767" t="s">
        <v>295</v>
      </c>
      <c r="N5767" t="s">
        <v>7</v>
      </c>
      <c r="O5767" t="s">
        <v>297</v>
      </c>
    </row>
    <row r="5768" spans="1:15" x14ac:dyDescent="0.3">
      <c r="A5768" t="s">
        <v>8154</v>
      </c>
      <c r="B5768" t="s">
        <v>8289</v>
      </c>
      <c r="C5768">
        <v>2024</v>
      </c>
      <c r="D5768" t="s">
        <v>394</v>
      </c>
      <c r="E5768" t="s">
        <v>8392</v>
      </c>
      <c r="F5768">
        <v>1801000</v>
      </c>
      <c r="G5768" t="s">
        <v>396</v>
      </c>
      <c r="H5768">
        <v>96</v>
      </c>
      <c r="I5768" t="s">
        <v>8393</v>
      </c>
      <c r="J5768" t="s">
        <v>294</v>
      </c>
      <c r="M5768" t="s">
        <v>295</v>
      </c>
      <c r="N5768" t="s">
        <v>7</v>
      </c>
      <c r="O5768" t="s">
        <v>297</v>
      </c>
    </row>
    <row r="5769" spans="1:15" x14ac:dyDescent="0.3">
      <c r="A5769" t="s">
        <v>8154</v>
      </c>
      <c r="B5769" t="s">
        <v>8289</v>
      </c>
      <c r="C5769">
        <v>2024</v>
      </c>
      <c r="D5769" t="s">
        <v>394</v>
      </c>
      <c r="E5769" t="s">
        <v>8394</v>
      </c>
      <c r="F5769">
        <v>1083000</v>
      </c>
      <c r="G5769" t="s">
        <v>396</v>
      </c>
      <c r="H5769">
        <v>96</v>
      </c>
      <c r="I5769" t="s">
        <v>8395</v>
      </c>
      <c r="J5769" t="s">
        <v>294</v>
      </c>
      <c r="M5769" t="s">
        <v>295</v>
      </c>
      <c r="N5769" t="s">
        <v>7</v>
      </c>
      <c r="O5769" t="s">
        <v>297</v>
      </c>
    </row>
    <row r="5770" spans="1:15" x14ac:dyDescent="0.3">
      <c r="A5770" t="s">
        <v>8154</v>
      </c>
      <c r="B5770" t="s">
        <v>8289</v>
      </c>
      <c r="C5770">
        <v>2024</v>
      </c>
      <c r="D5770" t="s">
        <v>394</v>
      </c>
      <c r="E5770" t="s">
        <v>8277</v>
      </c>
      <c r="F5770">
        <v>9641</v>
      </c>
      <c r="G5770" t="s">
        <v>302</v>
      </c>
      <c r="H5770">
        <v>98</v>
      </c>
      <c r="I5770" t="s">
        <v>8396</v>
      </c>
      <c r="J5770" t="s">
        <v>294</v>
      </c>
      <c r="M5770" t="s">
        <v>295</v>
      </c>
      <c r="N5770" t="s">
        <v>7</v>
      </c>
      <c r="O5770" t="s">
        <v>297</v>
      </c>
    </row>
    <row r="5771" spans="1:15" x14ac:dyDescent="0.3">
      <c r="A5771" t="s">
        <v>8154</v>
      </c>
      <c r="B5771" t="s">
        <v>8289</v>
      </c>
      <c r="C5771">
        <v>2024</v>
      </c>
      <c r="D5771" t="s">
        <v>394</v>
      </c>
      <c r="E5771" t="s">
        <v>8279</v>
      </c>
      <c r="F5771">
        <v>8368</v>
      </c>
      <c r="G5771" t="s">
        <v>302</v>
      </c>
      <c r="H5771">
        <v>98</v>
      </c>
      <c r="I5771" t="s">
        <v>8397</v>
      </c>
      <c r="J5771" t="s">
        <v>294</v>
      </c>
      <c r="M5771" t="s">
        <v>295</v>
      </c>
      <c r="N5771" t="s">
        <v>7</v>
      </c>
      <c r="O5771" t="s">
        <v>297</v>
      </c>
    </row>
    <row r="5772" spans="1:15" x14ac:dyDescent="0.3">
      <c r="A5772" t="s">
        <v>8154</v>
      </c>
      <c r="B5772" t="s">
        <v>8289</v>
      </c>
      <c r="C5772">
        <v>2024</v>
      </c>
      <c r="D5772" t="s">
        <v>394</v>
      </c>
      <c r="E5772" t="s">
        <v>8281</v>
      </c>
      <c r="F5772">
        <v>872</v>
      </c>
      <c r="G5772" t="s">
        <v>302</v>
      </c>
      <c r="H5772">
        <v>98</v>
      </c>
      <c r="I5772" t="s">
        <v>8398</v>
      </c>
      <c r="J5772" t="s">
        <v>294</v>
      </c>
      <c r="M5772" t="s">
        <v>295</v>
      </c>
      <c r="N5772" t="s">
        <v>7</v>
      </c>
      <c r="O5772" t="s">
        <v>297</v>
      </c>
    </row>
    <row r="5773" spans="1:15" x14ac:dyDescent="0.3">
      <c r="A5773" t="s">
        <v>8154</v>
      </c>
      <c r="B5773" t="s">
        <v>8289</v>
      </c>
      <c r="C5773">
        <v>2024</v>
      </c>
      <c r="D5773" t="s">
        <v>394</v>
      </c>
      <c r="E5773" t="s">
        <v>8283</v>
      </c>
      <c r="F5773">
        <v>372</v>
      </c>
      <c r="G5773" t="s">
        <v>302</v>
      </c>
      <c r="H5773">
        <v>98</v>
      </c>
      <c r="I5773" t="s">
        <v>8399</v>
      </c>
      <c r="J5773" t="s">
        <v>294</v>
      </c>
      <c r="M5773" t="s">
        <v>295</v>
      </c>
      <c r="N5773" t="s">
        <v>7</v>
      </c>
      <c r="O5773" t="s">
        <v>297</v>
      </c>
    </row>
    <row r="5774" spans="1:15" x14ac:dyDescent="0.3">
      <c r="A5774" t="s">
        <v>8154</v>
      </c>
      <c r="B5774" t="s">
        <v>8289</v>
      </c>
      <c r="C5774">
        <v>2024</v>
      </c>
      <c r="D5774" t="s">
        <v>394</v>
      </c>
      <c r="E5774" t="s">
        <v>4313</v>
      </c>
      <c r="F5774">
        <v>31</v>
      </c>
      <c r="G5774" t="s">
        <v>302</v>
      </c>
      <c r="H5774">
        <v>98</v>
      </c>
      <c r="I5774" t="s">
        <v>8400</v>
      </c>
      <c r="J5774" t="s">
        <v>294</v>
      </c>
      <c r="M5774" t="s">
        <v>295</v>
      </c>
      <c r="N5774" t="s">
        <v>7</v>
      </c>
      <c r="O5774" t="s">
        <v>297</v>
      </c>
    </row>
    <row r="5775" spans="1:15" x14ac:dyDescent="0.3">
      <c r="A5775" t="s">
        <v>8154</v>
      </c>
      <c r="B5775" t="s">
        <v>8289</v>
      </c>
      <c r="C5775">
        <v>2024</v>
      </c>
      <c r="D5775" t="s">
        <v>394</v>
      </c>
      <c r="E5775" t="s">
        <v>8401</v>
      </c>
      <c r="F5775">
        <v>3036</v>
      </c>
      <c r="G5775" t="s">
        <v>302</v>
      </c>
      <c r="H5775">
        <v>98</v>
      </c>
      <c r="I5775" t="s">
        <v>8402</v>
      </c>
      <c r="J5775" t="s">
        <v>294</v>
      </c>
      <c r="M5775" t="s">
        <v>295</v>
      </c>
      <c r="N5775" t="s">
        <v>7</v>
      </c>
      <c r="O5775" t="s">
        <v>297</v>
      </c>
    </row>
    <row r="5776" spans="1:15" x14ac:dyDescent="0.3">
      <c r="A5776" t="s">
        <v>8154</v>
      </c>
      <c r="B5776" t="s">
        <v>8289</v>
      </c>
      <c r="C5776">
        <v>2024</v>
      </c>
      <c r="D5776" t="s">
        <v>563</v>
      </c>
      <c r="E5776" t="s">
        <v>8286</v>
      </c>
      <c r="F5776" t="s">
        <v>8403</v>
      </c>
      <c r="G5776" t="s">
        <v>384</v>
      </c>
      <c r="H5776">
        <v>58</v>
      </c>
      <c r="I5776" t="s">
        <v>8404</v>
      </c>
      <c r="J5776" t="s">
        <v>294</v>
      </c>
      <c r="M5776" t="s">
        <v>295</v>
      </c>
      <c r="N5776" t="s">
        <v>7</v>
      </c>
      <c r="O5776" t="s">
        <v>297</v>
      </c>
    </row>
    <row r="5777" spans="1:15" x14ac:dyDescent="0.3">
      <c r="A5777" t="s">
        <v>8154</v>
      </c>
      <c r="B5777" t="s">
        <v>8289</v>
      </c>
      <c r="C5777">
        <v>2024</v>
      </c>
      <c r="D5777" t="s">
        <v>563</v>
      </c>
      <c r="E5777" t="s">
        <v>8405</v>
      </c>
      <c r="F5777" t="s">
        <v>8406</v>
      </c>
      <c r="G5777" t="s">
        <v>292</v>
      </c>
      <c r="H5777">
        <v>15</v>
      </c>
      <c r="I5777" t="s">
        <v>8407</v>
      </c>
      <c r="J5777" t="s">
        <v>294</v>
      </c>
      <c r="M5777" t="s">
        <v>295</v>
      </c>
      <c r="N5777" t="s">
        <v>7</v>
      </c>
      <c r="O5777" t="s">
        <v>297</v>
      </c>
    </row>
    <row r="5778" spans="1:15" x14ac:dyDescent="0.3">
      <c r="A5778" t="s">
        <v>8154</v>
      </c>
      <c r="B5778" t="s">
        <v>8289</v>
      </c>
      <c r="C5778">
        <v>2024</v>
      </c>
      <c r="D5778" t="s">
        <v>563</v>
      </c>
      <c r="E5778" t="s">
        <v>8408</v>
      </c>
      <c r="F5778" t="s">
        <v>8409</v>
      </c>
      <c r="G5778" t="s">
        <v>384</v>
      </c>
      <c r="H5778">
        <v>15</v>
      </c>
      <c r="I5778" t="s">
        <v>8410</v>
      </c>
      <c r="J5778" t="s">
        <v>294</v>
      </c>
      <c r="M5778" t="s">
        <v>295</v>
      </c>
      <c r="N5778" t="s">
        <v>7</v>
      </c>
      <c r="O5778" t="s">
        <v>297</v>
      </c>
    </row>
    <row r="5779" spans="1:15" x14ac:dyDescent="0.3">
      <c r="A5779" t="s">
        <v>8154</v>
      </c>
      <c r="B5779" t="s">
        <v>8411</v>
      </c>
      <c r="C5779">
        <v>2025</v>
      </c>
      <c r="D5779" t="s">
        <v>272</v>
      </c>
      <c r="E5779" t="s">
        <v>291</v>
      </c>
      <c r="F5779" t="s">
        <v>8154</v>
      </c>
      <c r="G5779" t="s">
        <v>292</v>
      </c>
      <c r="H5779">
        <v>1</v>
      </c>
      <c r="I5779" t="s">
        <v>8412</v>
      </c>
      <c r="J5779" t="s">
        <v>294</v>
      </c>
      <c r="M5779" t="s">
        <v>295</v>
      </c>
      <c r="N5779" t="s">
        <v>7</v>
      </c>
      <c r="O5779" t="s">
        <v>297</v>
      </c>
    </row>
    <row r="5780" spans="1:15" x14ac:dyDescent="0.3">
      <c r="A5780" t="s">
        <v>8154</v>
      </c>
      <c r="B5780" t="s">
        <v>8411</v>
      </c>
      <c r="C5780">
        <v>2025</v>
      </c>
      <c r="D5780" t="s">
        <v>272</v>
      </c>
      <c r="E5780" t="s">
        <v>1</v>
      </c>
      <c r="F5780" t="s">
        <v>106</v>
      </c>
      <c r="G5780" t="s">
        <v>292</v>
      </c>
      <c r="H5780">
        <v>13</v>
      </c>
      <c r="I5780" t="s">
        <v>8157</v>
      </c>
      <c r="J5780" t="s">
        <v>294</v>
      </c>
      <c r="M5780" t="s">
        <v>295</v>
      </c>
      <c r="N5780" t="s">
        <v>7</v>
      </c>
      <c r="O5780" t="s">
        <v>297</v>
      </c>
    </row>
    <row r="5781" spans="1:15" x14ac:dyDescent="0.3">
      <c r="A5781" t="s">
        <v>8154</v>
      </c>
      <c r="B5781" t="s">
        <v>8411</v>
      </c>
      <c r="C5781">
        <v>2025</v>
      </c>
      <c r="D5781" t="s">
        <v>272</v>
      </c>
      <c r="E5781" t="s">
        <v>8160</v>
      </c>
      <c r="F5781" t="s">
        <v>8291</v>
      </c>
      <c r="G5781" t="s">
        <v>334</v>
      </c>
      <c r="H5781">
        <v>77</v>
      </c>
      <c r="I5781" t="s">
        <v>8413</v>
      </c>
      <c r="J5781" t="s">
        <v>294</v>
      </c>
      <c r="M5781" t="s">
        <v>295</v>
      </c>
      <c r="N5781" t="s">
        <v>7</v>
      </c>
      <c r="O5781" t="s">
        <v>297</v>
      </c>
    </row>
    <row r="5782" spans="1:15" x14ac:dyDescent="0.3">
      <c r="A5782" t="s">
        <v>8154</v>
      </c>
      <c r="B5782" t="s">
        <v>8411</v>
      </c>
      <c r="C5782">
        <v>2025</v>
      </c>
      <c r="D5782" t="s">
        <v>272</v>
      </c>
      <c r="E5782" t="s">
        <v>8163</v>
      </c>
      <c r="F5782" t="s">
        <v>8414</v>
      </c>
      <c r="G5782" t="s">
        <v>334</v>
      </c>
      <c r="H5782">
        <v>77</v>
      </c>
      <c r="I5782" t="s">
        <v>8415</v>
      </c>
      <c r="J5782" t="s">
        <v>294</v>
      </c>
      <c r="M5782" t="s">
        <v>295</v>
      </c>
      <c r="N5782" t="s">
        <v>7</v>
      </c>
      <c r="O5782" t="s">
        <v>297</v>
      </c>
    </row>
    <row r="5783" spans="1:15" x14ac:dyDescent="0.3">
      <c r="A5783" t="s">
        <v>8154</v>
      </c>
      <c r="B5783" t="s">
        <v>8411</v>
      </c>
      <c r="C5783">
        <v>2025</v>
      </c>
      <c r="D5783" t="s">
        <v>272</v>
      </c>
      <c r="E5783" t="s">
        <v>8166</v>
      </c>
      <c r="F5783" t="s">
        <v>8295</v>
      </c>
      <c r="G5783" t="s">
        <v>334</v>
      </c>
      <c r="H5783">
        <v>77</v>
      </c>
      <c r="I5783" t="s">
        <v>8416</v>
      </c>
      <c r="J5783" t="s">
        <v>294</v>
      </c>
      <c r="M5783" t="s">
        <v>295</v>
      </c>
      <c r="N5783" t="s">
        <v>7</v>
      </c>
      <c r="O5783" t="s">
        <v>297</v>
      </c>
    </row>
    <row r="5784" spans="1:15" x14ac:dyDescent="0.3">
      <c r="A5784" t="s">
        <v>8154</v>
      </c>
      <c r="B5784" t="s">
        <v>8411</v>
      </c>
      <c r="C5784">
        <v>2025</v>
      </c>
      <c r="D5784" t="s">
        <v>272</v>
      </c>
      <c r="E5784" t="s">
        <v>8169</v>
      </c>
      <c r="F5784" t="s">
        <v>8417</v>
      </c>
      <c r="G5784" t="s">
        <v>334</v>
      </c>
      <c r="H5784">
        <v>77</v>
      </c>
      <c r="I5784" t="s">
        <v>8418</v>
      </c>
      <c r="J5784" t="s">
        <v>294</v>
      </c>
      <c r="M5784" t="s">
        <v>295</v>
      </c>
      <c r="N5784" t="s">
        <v>7</v>
      </c>
      <c r="O5784" t="s">
        <v>297</v>
      </c>
    </row>
    <row r="5785" spans="1:15" x14ac:dyDescent="0.3">
      <c r="A5785" t="s">
        <v>8154</v>
      </c>
      <c r="B5785" t="s">
        <v>8411</v>
      </c>
      <c r="C5785">
        <v>2025</v>
      </c>
      <c r="D5785" t="s">
        <v>272</v>
      </c>
      <c r="E5785" t="s">
        <v>445</v>
      </c>
      <c r="F5785">
        <v>0.1784</v>
      </c>
      <c r="G5785" t="s">
        <v>334</v>
      </c>
      <c r="H5785">
        <v>77</v>
      </c>
      <c r="I5785" t="s">
        <v>8419</v>
      </c>
      <c r="J5785" t="s">
        <v>294</v>
      </c>
      <c r="M5785" t="s">
        <v>295</v>
      </c>
      <c r="N5785" t="s">
        <v>7</v>
      </c>
      <c r="O5785" t="s">
        <v>297</v>
      </c>
    </row>
    <row r="5786" spans="1:15" x14ac:dyDescent="0.3">
      <c r="A5786" t="s">
        <v>8154</v>
      </c>
      <c r="B5786" t="s">
        <v>8411</v>
      </c>
      <c r="C5786">
        <v>2025</v>
      </c>
      <c r="D5786" t="s">
        <v>300</v>
      </c>
      <c r="E5786" t="s">
        <v>3142</v>
      </c>
      <c r="F5786">
        <v>11402</v>
      </c>
      <c r="G5786" t="s">
        <v>302</v>
      </c>
      <c r="H5786">
        <v>12</v>
      </c>
      <c r="I5786" t="s">
        <v>8420</v>
      </c>
      <c r="J5786" t="s">
        <v>294</v>
      </c>
      <c r="M5786" t="s">
        <v>295</v>
      </c>
      <c r="N5786" t="s">
        <v>7</v>
      </c>
      <c r="O5786" t="s">
        <v>297</v>
      </c>
    </row>
    <row r="5787" spans="1:15" x14ac:dyDescent="0.3">
      <c r="A5787" t="s">
        <v>8154</v>
      </c>
      <c r="B5787" t="s">
        <v>8411</v>
      </c>
      <c r="C5787">
        <v>2025</v>
      </c>
      <c r="D5787" t="s">
        <v>300</v>
      </c>
      <c r="E5787" t="s">
        <v>2868</v>
      </c>
      <c r="F5787">
        <v>6905</v>
      </c>
      <c r="G5787" t="s">
        <v>302</v>
      </c>
      <c r="H5787">
        <v>103</v>
      </c>
      <c r="I5787" t="s">
        <v>8421</v>
      </c>
      <c r="J5787" t="s">
        <v>294</v>
      </c>
      <c r="M5787" t="s">
        <v>295</v>
      </c>
      <c r="N5787" t="s">
        <v>7</v>
      </c>
      <c r="O5787" t="s">
        <v>297</v>
      </c>
    </row>
    <row r="5788" spans="1:15" x14ac:dyDescent="0.3">
      <c r="A5788" t="s">
        <v>8154</v>
      </c>
      <c r="B5788" t="s">
        <v>8411</v>
      </c>
      <c r="C5788">
        <v>2025</v>
      </c>
      <c r="D5788" t="s">
        <v>300</v>
      </c>
      <c r="E5788" t="s">
        <v>304</v>
      </c>
      <c r="F5788">
        <v>4498</v>
      </c>
      <c r="G5788" t="s">
        <v>302</v>
      </c>
      <c r="H5788">
        <v>12</v>
      </c>
      <c r="I5788" t="s">
        <v>8422</v>
      </c>
      <c r="J5788" t="s">
        <v>294</v>
      </c>
      <c r="M5788" t="s">
        <v>295</v>
      </c>
      <c r="N5788" t="s">
        <v>7</v>
      </c>
      <c r="O5788" t="s">
        <v>297</v>
      </c>
    </row>
    <row r="5789" spans="1:15" x14ac:dyDescent="0.3">
      <c r="A5789" t="s">
        <v>8154</v>
      </c>
      <c r="B5789" t="s">
        <v>8411</v>
      </c>
      <c r="C5789">
        <v>2025</v>
      </c>
      <c r="D5789" t="s">
        <v>300</v>
      </c>
      <c r="E5789" t="s">
        <v>5214</v>
      </c>
      <c r="F5789">
        <v>3543</v>
      </c>
      <c r="G5789" t="s">
        <v>302</v>
      </c>
      <c r="H5789">
        <v>103</v>
      </c>
      <c r="I5789" t="s">
        <v>8423</v>
      </c>
      <c r="J5789" t="s">
        <v>294</v>
      </c>
      <c r="M5789" t="s">
        <v>295</v>
      </c>
      <c r="N5789" t="s">
        <v>7</v>
      </c>
      <c r="O5789" t="s">
        <v>297</v>
      </c>
    </row>
    <row r="5790" spans="1:15" x14ac:dyDescent="0.3">
      <c r="A5790" t="s">
        <v>8154</v>
      </c>
      <c r="B5790" t="s">
        <v>8411</v>
      </c>
      <c r="C5790">
        <v>2025</v>
      </c>
      <c r="D5790" t="s">
        <v>300</v>
      </c>
      <c r="E5790" t="s">
        <v>1216</v>
      </c>
      <c r="F5790">
        <v>57</v>
      </c>
      <c r="G5790" t="s">
        <v>302</v>
      </c>
      <c r="H5790">
        <v>244</v>
      </c>
      <c r="I5790" t="s">
        <v>8424</v>
      </c>
      <c r="J5790" t="s">
        <v>294</v>
      </c>
      <c r="M5790" t="s">
        <v>295</v>
      </c>
      <c r="N5790" t="s">
        <v>7</v>
      </c>
      <c r="O5790" t="s">
        <v>297</v>
      </c>
    </row>
    <row r="5791" spans="1:15" x14ac:dyDescent="0.3">
      <c r="A5791" t="s">
        <v>8154</v>
      </c>
      <c r="B5791" t="s">
        <v>8411</v>
      </c>
      <c r="C5791">
        <v>2025</v>
      </c>
      <c r="D5791" t="s">
        <v>300</v>
      </c>
      <c r="E5791" t="s">
        <v>306</v>
      </c>
      <c r="F5791">
        <v>3845</v>
      </c>
      <c r="G5791" t="s">
        <v>302</v>
      </c>
      <c r="H5791">
        <v>12</v>
      </c>
      <c r="I5791" t="s">
        <v>8425</v>
      </c>
      <c r="J5791" t="s">
        <v>294</v>
      </c>
      <c r="M5791" t="s">
        <v>295</v>
      </c>
      <c r="N5791" t="s">
        <v>7</v>
      </c>
      <c r="O5791" t="s">
        <v>297</v>
      </c>
    </row>
    <row r="5792" spans="1:15" x14ac:dyDescent="0.3">
      <c r="A5792" t="s">
        <v>8154</v>
      </c>
      <c r="B5792" t="s">
        <v>8411</v>
      </c>
      <c r="C5792">
        <v>2025</v>
      </c>
      <c r="D5792" t="s">
        <v>300</v>
      </c>
      <c r="E5792" t="s">
        <v>308</v>
      </c>
      <c r="F5792">
        <v>3702</v>
      </c>
      <c r="G5792" t="s">
        <v>302</v>
      </c>
      <c r="H5792">
        <v>12</v>
      </c>
      <c r="I5792" t="s">
        <v>8426</v>
      </c>
      <c r="J5792" t="s">
        <v>294</v>
      </c>
      <c r="M5792" t="s">
        <v>295</v>
      </c>
      <c r="N5792" t="s">
        <v>7</v>
      </c>
      <c r="O5792" t="s">
        <v>297</v>
      </c>
    </row>
    <row r="5793" spans="1:15" x14ac:dyDescent="0.3">
      <c r="A5793" t="s">
        <v>8154</v>
      </c>
      <c r="B5793" t="s">
        <v>8411</v>
      </c>
      <c r="C5793">
        <v>2025</v>
      </c>
      <c r="D5793" t="s">
        <v>300</v>
      </c>
      <c r="E5793" t="s">
        <v>3157</v>
      </c>
      <c r="F5793">
        <v>3819</v>
      </c>
      <c r="G5793" t="s">
        <v>302</v>
      </c>
      <c r="H5793">
        <v>12</v>
      </c>
      <c r="I5793" t="s">
        <v>8427</v>
      </c>
      <c r="J5793" t="s">
        <v>294</v>
      </c>
      <c r="M5793" t="s">
        <v>295</v>
      </c>
      <c r="N5793" t="s">
        <v>7</v>
      </c>
      <c r="O5793" t="s">
        <v>297</v>
      </c>
    </row>
    <row r="5794" spans="1:15" x14ac:dyDescent="0.3">
      <c r="A5794" t="s">
        <v>8154</v>
      </c>
      <c r="B5794" t="s">
        <v>8411</v>
      </c>
      <c r="C5794">
        <v>2025</v>
      </c>
      <c r="D5794" t="s">
        <v>300</v>
      </c>
      <c r="E5794" t="s">
        <v>316</v>
      </c>
      <c r="F5794">
        <v>14697</v>
      </c>
      <c r="G5794" t="s">
        <v>302</v>
      </c>
      <c r="H5794">
        <v>12</v>
      </c>
      <c r="I5794" t="s">
        <v>8428</v>
      </c>
      <c r="J5794" t="s">
        <v>294</v>
      </c>
      <c r="M5794" t="s">
        <v>295</v>
      </c>
      <c r="N5794" t="s">
        <v>7</v>
      </c>
      <c r="O5794" t="s">
        <v>297</v>
      </c>
    </row>
    <row r="5795" spans="1:15" x14ac:dyDescent="0.3">
      <c r="A5795" t="s">
        <v>8154</v>
      </c>
      <c r="B5795" t="s">
        <v>8411</v>
      </c>
      <c r="C5795">
        <v>2025</v>
      </c>
      <c r="D5795" t="s">
        <v>300</v>
      </c>
      <c r="E5795" t="s">
        <v>312</v>
      </c>
      <c r="F5795">
        <v>3981</v>
      </c>
      <c r="G5795" t="s">
        <v>302</v>
      </c>
      <c r="H5795">
        <v>102</v>
      </c>
      <c r="I5795" t="s">
        <v>8429</v>
      </c>
      <c r="J5795" t="s">
        <v>294</v>
      </c>
      <c r="M5795" t="s">
        <v>295</v>
      </c>
      <c r="N5795" t="s">
        <v>7</v>
      </c>
      <c r="O5795" t="s">
        <v>297</v>
      </c>
    </row>
    <row r="5796" spans="1:15" x14ac:dyDescent="0.3">
      <c r="A5796" t="s">
        <v>8154</v>
      </c>
      <c r="B5796" t="s">
        <v>8411</v>
      </c>
      <c r="C5796">
        <v>2025</v>
      </c>
      <c r="D5796" t="s">
        <v>300</v>
      </c>
      <c r="E5796" t="s">
        <v>314</v>
      </c>
      <c r="F5796">
        <v>10715</v>
      </c>
      <c r="G5796" t="s">
        <v>302</v>
      </c>
      <c r="H5796">
        <v>102</v>
      </c>
      <c r="I5796" t="s">
        <v>8430</v>
      </c>
      <c r="J5796" t="s">
        <v>294</v>
      </c>
      <c r="M5796" t="s">
        <v>295</v>
      </c>
      <c r="N5796" t="s">
        <v>7</v>
      </c>
      <c r="O5796" t="s">
        <v>297</v>
      </c>
    </row>
    <row r="5797" spans="1:15" x14ac:dyDescent="0.3">
      <c r="A5797" t="s">
        <v>8154</v>
      </c>
      <c r="B5797" t="s">
        <v>8411</v>
      </c>
      <c r="C5797">
        <v>2025</v>
      </c>
      <c r="D5797" t="s">
        <v>300</v>
      </c>
      <c r="E5797" t="s">
        <v>471</v>
      </c>
      <c r="F5797">
        <v>1651</v>
      </c>
      <c r="G5797" t="s">
        <v>302</v>
      </c>
      <c r="H5797">
        <v>241</v>
      </c>
      <c r="I5797" t="s">
        <v>8431</v>
      </c>
      <c r="J5797" t="s">
        <v>294</v>
      </c>
      <c r="M5797" t="s">
        <v>295</v>
      </c>
      <c r="N5797" t="s">
        <v>7</v>
      </c>
      <c r="O5797" t="s">
        <v>297</v>
      </c>
    </row>
    <row r="5798" spans="1:15" x14ac:dyDescent="0.3">
      <c r="A5798" t="s">
        <v>8154</v>
      </c>
      <c r="B5798" t="s">
        <v>8411</v>
      </c>
      <c r="C5798">
        <v>2025</v>
      </c>
      <c r="D5798" t="s">
        <v>300</v>
      </c>
      <c r="E5798" t="s">
        <v>479</v>
      </c>
      <c r="F5798">
        <v>133</v>
      </c>
      <c r="G5798" t="s">
        <v>302</v>
      </c>
      <c r="H5798">
        <v>241</v>
      </c>
      <c r="I5798" t="s">
        <v>8432</v>
      </c>
      <c r="J5798" t="s">
        <v>294</v>
      </c>
      <c r="M5798" t="s">
        <v>295</v>
      </c>
      <c r="N5798" t="s">
        <v>7</v>
      </c>
      <c r="O5798" t="s">
        <v>297</v>
      </c>
    </row>
    <row r="5799" spans="1:15" x14ac:dyDescent="0.3">
      <c r="A5799" t="s">
        <v>8154</v>
      </c>
      <c r="B5799" t="s">
        <v>8411</v>
      </c>
      <c r="C5799">
        <v>2025</v>
      </c>
      <c r="D5799" t="s">
        <v>300</v>
      </c>
      <c r="E5799" t="s">
        <v>481</v>
      </c>
      <c r="F5799">
        <v>1092</v>
      </c>
      <c r="G5799" t="s">
        <v>302</v>
      </c>
      <c r="H5799">
        <v>241</v>
      </c>
      <c r="I5799" t="s">
        <v>8433</v>
      </c>
      <c r="J5799" t="s">
        <v>294</v>
      </c>
      <c r="M5799" t="s">
        <v>295</v>
      </c>
      <c r="N5799" t="s">
        <v>7</v>
      </c>
      <c r="O5799" t="s">
        <v>297</v>
      </c>
    </row>
    <row r="5800" spans="1:15" x14ac:dyDescent="0.3">
      <c r="A5800" t="s">
        <v>8154</v>
      </c>
      <c r="B5800" t="s">
        <v>8411</v>
      </c>
      <c r="C5800">
        <v>2025</v>
      </c>
      <c r="D5800" t="s">
        <v>300</v>
      </c>
      <c r="E5800" t="s">
        <v>8193</v>
      </c>
      <c r="F5800">
        <v>351</v>
      </c>
      <c r="G5800" t="s">
        <v>302</v>
      </c>
      <c r="H5800">
        <v>241</v>
      </c>
      <c r="I5800" t="s">
        <v>8434</v>
      </c>
      <c r="J5800" t="s">
        <v>294</v>
      </c>
      <c r="M5800" t="s">
        <v>295</v>
      </c>
      <c r="N5800" t="s">
        <v>7</v>
      </c>
      <c r="O5800" t="s">
        <v>297</v>
      </c>
    </row>
    <row r="5801" spans="1:15" x14ac:dyDescent="0.3">
      <c r="A5801" t="s">
        <v>8154</v>
      </c>
      <c r="B5801" t="s">
        <v>8411</v>
      </c>
      <c r="C5801">
        <v>2025</v>
      </c>
      <c r="D5801" t="s">
        <v>300</v>
      </c>
      <c r="E5801" t="s">
        <v>8195</v>
      </c>
      <c r="F5801">
        <v>2640</v>
      </c>
      <c r="G5801" t="s">
        <v>302</v>
      </c>
      <c r="H5801">
        <v>241</v>
      </c>
      <c r="I5801" t="s">
        <v>8435</v>
      </c>
      <c r="J5801" t="s">
        <v>294</v>
      </c>
      <c r="M5801" t="s">
        <v>295</v>
      </c>
      <c r="N5801" t="s">
        <v>7</v>
      </c>
      <c r="O5801" t="s">
        <v>297</v>
      </c>
    </row>
    <row r="5802" spans="1:15" x14ac:dyDescent="0.3">
      <c r="A5802" t="s">
        <v>8154</v>
      </c>
      <c r="B5802" t="s">
        <v>8411</v>
      </c>
      <c r="C5802">
        <v>2025</v>
      </c>
      <c r="D5802" t="s">
        <v>300</v>
      </c>
      <c r="E5802" t="s">
        <v>1122</v>
      </c>
      <c r="F5802">
        <v>7244</v>
      </c>
      <c r="G5802" t="s">
        <v>302</v>
      </c>
      <c r="H5802">
        <v>241</v>
      </c>
      <c r="I5802" t="s">
        <v>8436</v>
      </c>
      <c r="J5802" t="s">
        <v>294</v>
      </c>
      <c r="M5802" t="s">
        <v>295</v>
      </c>
      <c r="N5802" t="s">
        <v>7</v>
      </c>
      <c r="O5802" t="s">
        <v>297</v>
      </c>
    </row>
    <row r="5803" spans="1:15" x14ac:dyDescent="0.3">
      <c r="A5803" t="s">
        <v>8154</v>
      </c>
      <c r="B5803" t="s">
        <v>8411</v>
      </c>
      <c r="C5803">
        <v>2025</v>
      </c>
      <c r="D5803" t="s">
        <v>300</v>
      </c>
      <c r="E5803" t="s">
        <v>322</v>
      </c>
      <c r="F5803">
        <v>3009</v>
      </c>
      <c r="G5803" t="s">
        <v>302</v>
      </c>
      <c r="H5803">
        <v>12</v>
      </c>
      <c r="I5803" t="s">
        <v>8437</v>
      </c>
      <c r="J5803" t="s">
        <v>294</v>
      </c>
      <c r="M5803" t="s">
        <v>295</v>
      </c>
      <c r="N5803" t="s">
        <v>7</v>
      </c>
      <c r="O5803" t="s">
        <v>297</v>
      </c>
    </row>
    <row r="5804" spans="1:15" x14ac:dyDescent="0.3">
      <c r="A5804" t="s">
        <v>8154</v>
      </c>
      <c r="B5804" t="s">
        <v>8411</v>
      </c>
      <c r="C5804">
        <v>2025</v>
      </c>
      <c r="D5804" t="s">
        <v>300</v>
      </c>
      <c r="E5804" t="s">
        <v>318</v>
      </c>
      <c r="F5804">
        <v>1870</v>
      </c>
      <c r="G5804" t="s">
        <v>302</v>
      </c>
      <c r="H5804">
        <v>102</v>
      </c>
      <c r="I5804" t="s">
        <v>8438</v>
      </c>
      <c r="J5804" t="s">
        <v>294</v>
      </c>
      <c r="M5804" t="s">
        <v>295</v>
      </c>
      <c r="N5804" t="s">
        <v>7</v>
      </c>
      <c r="O5804" t="s">
        <v>297</v>
      </c>
    </row>
    <row r="5805" spans="1:15" x14ac:dyDescent="0.3">
      <c r="A5805" t="s">
        <v>8154</v>
      </c>
      <c r="B5805" t="s">
        <v>8411</v>
      </c>
      <c r="C5805">
        <v>2025</v>
      </c>
      <c r="D5805" t="s">
        <v>300</v>
      </c>
      <c r="E5805" t="s">
        <v>468</v>
      </c>
      <c r="F5805">
        <v>1139</v>
      </c>
      <c r="G5805" t="s">
        <v>302</v>
      </c>
      <c r="H5805">
        <v>102</v>
      </c>
      <c r="I5805" t="s">
        <v>8439</v>
      </c>
      <c r="J5805" t="s">
        <v>294</v>
      </c>
      <c r="M5805" t="s">
        <v>295</v>
      </c>
      <c r="N5805" t="s">
        <v>7</v>
      </c>
      <c r="O5805" t="s">
        <v>297</v>
      </c>
    </row>
    <row r="5806" spans="1:15" x14ac:dyDescent="0.3">
      <c r="A5806" t="s">
        <v>8154</v>
      </c>
      <c r="B5806" t="s">
        <v>8411</v>
      </c>
      <c r="C5806">
        <v>2025</v>
      </c>
      <c r="D5806" t="s">
        <v>300</v>
      </c>
      <c r="E5806" t="s">
        <v>595</v>
      </c>
      <c r="F5806">
        <v>280</v>
      </c>
      <c r="G5806" t="s">
        <v>302</v>
      </c>
      <c r="H5806">
        <v>242</v>
      </c>
      <c r="I5806" t="s">
        <v>8440</v>
      </c>
      <c r="J5806" t="s">
        <v>294</v>
      </c>
      <c r="M5806" t="s">
        <v>295</v>
      </c>
      <c r="N5806" t="s">
        <v>7</v>
      </c>
      <c r="O5806" t="s">
        <v>297</v>
      </c>
    </row>
    <row r="5807" spans="1:15" x14ac:dyDescent="0.3">
      <c r="A5807" t="s">
        <v>8154</v>
      </c>
      <c r="B5807" t="s">
        <v>8411</v>
      </c>
      <c r="C5807">
        <v>2025</v>
      </c>
      <c r="D5807" t="s">
        <v>300</v>
      </c>
      <c r="E5807" t="s">
        <v>4876</v>
      </c>
      <c r="F5807">
        <v>53</v>
      </c>
      <c r="G5807" t="s">
        <v>302</v>
      </c>
      <c r="H5807">
        <v>242</v>
      </c>
      <c r="I5807" t="s">
        <v>8441</v>
      </c>
      <c r="J5807" t="s">
        <v>294</v>
      </c>
      <c r="M5807" t="s">
        <v>295</v>
      </c>
      <c r="N5807" t="s">
        <v>7</v>
      </c>
      <c r="O5807" t="s">
        <v>297</v>
      </c>
    </row>
    <row r="5808" spans="1:15" x14ac:dyDescent="0.3">
      <c r="A5808" t="s">
        <v>8154</v>
      </c>
      <c r="B5808" t="s">
        <v>8411</v>
      </c>
      <c r="C5808">
        <v>2025</v>
      </c>
      <c r="D5808" t="s">
        <v>300</v>
      </c>
      <c r="E5808" t="s">
        <v>475</v>
      </c>
      <c r="F5808">
        <v>766</v>
      </c>
      <c r="G5808" t="s">
        <v>302</v>
      </c>
      <c r="H5808">
        <v>242</v>
      </c>
      <c r="I5808" t="s">
        <v>8442</v>
      </c>
      <c r="J5808" t="s">
        <v>294</v>
      </c>
      <c r="M5808" t="s">
        <v>295</v>
      </c>
      <c r="N5808" t="s">
        <v>7</v>
      </c>
      <c r="O5808" t="s">
        <v>297</v>
      </c>
    </row>
    <row r="5809" spans="1:15" x14ac:dyDescent="0.3">
      <c r="A5809" t="s">
        <v>8154</v>
      </c>
      <c r="B5809" t="s">
        <v>8411</v>
      </c>
      <c r="C5809">
        <v>2025</v>
      </c>
      <c r="D5809" t="s">
        <v>300</v>
      </c>
      <c r="E5809" t="s">
        <v>8204</v>
      </c>
      <c r="F5809">
        <v>1099</v>
      </c>
      <c r="G5809" t="s">
        <v>302</v>
      </c>
      <c r="H5809">
        <v>242</v>
      </c>
      <c r="I5809" t="s">
        <v>8443</v>
      </c>
      <c r="J5809" t="s">
        <v>294</v>
      </c>
      <c r="M5809" t="s">
        <v>295</v>
      </c>
      <c r="N5809" t="s">
        <v>7</v>
      </c>
      <c r="O5809" t="s">
        <v>297</v>
      </c>
    </row>
    <row r="5810" spans="1:15" x14ac:dyDescent="0.3">
      <c r="A5810" t="s">
        <v>8154</v>
      </c>
      <c r="B5810" t="s">
        <v>8411</v>
      </c>
      <c r="C5810">
        <v>2025</v>
      </c>
      <c r="D5810" t="s">
        <v>300</v>
      </c>
      <c r="E5810" t="s">
        <v>324</v>
      </c>
      <c r="F5810">
        <v>11687</v>
      </c>
      <c r="G5810" t="s">
        <v>302</v>
      </c>
      <c r="H5810">
        <v>12</v>
      </c>
      <c r="I5810" t="s">
        <v>8444</v>
      </c>
      <c r="J5810" t="s">
        <v>294</v>
      </c>
      <c r="M5810" t="s">
        <v>295</v>
      </c>
      <c r="N5810" t="s">
        <v>7</v>
      </c>
      <c r="O5810" t="s">
        <v>297</v>
      </c>
    </row>
    <row r="5811" spans="1:15" x14ac:dyDescent="0.3">
      <c r="A5811" t="s">
        <v>8154</v>
      </c>
      <c r="B5811" t="s">
        <v>8411</v>
      </c>
      <c r="C5811">
        <v>2025</v>
      </c>
      <c r="D5811" t="s">
        <v>300</v>
      </c>
      <c r="E5811" t="s">
        <v>1235</v>
      </c>
      <c r="F5811">
        <v>5983</v>
      </c>
      <c r="G5811" t="s">
        <v>302</v>
      </c>
      <c r="H5811">
        <v>243</v>
      </c>
      <c r="I5811" t="s">
        <v>8445</v>
      </c>
      <c r="J5811" t="s">
        <v>294</v>
      </c>
      <c r="M5811" t="s">
        <v>295</v>
      </c>
      <c r="N5811" t="s">
        <v>7</v>
      </c>
      <c r="O5811" t="s">
        <v>297</v>
      </c>
    </row>
    <row r="5812" spans="1:15" x14ac:dyDescent="0.3">
      <c r="A5812" t="s">
        <v>8154</v>
      </c>
      <c r="B5812" t="s">
        <v>8411</v>
      </c>
      <c r="C5812">
        <v>2025</v>
      </c>
      <c r="D5812" t="s">
        <v>300</v>
      </c>
      <c r="E5812" t="s">
        <v>8208</v>
      </c>
      <c r="F5812">
        <v>478</v>
      </c>
      <c r="G5812" t="s">
        <v>302</v>
      </c>
      <c r="H5812">
        <v>243</v>
      </c>
      <c r="I5812" t="s">
        <v>8446</v>
      </c>
      <c r="J5812" t="s">
        <v>294</v>
      </c>
      <c r="M5812" t="s">
        <v>295</v>
      </c>
      <c r="N5812" t="s">
        <v>7</v>
      </c>
      <c r="O5812" t="s">
        <v>297</v>
      </c>
    </row>
    <row r="5813" spans="1:15" x14ac:dyDescent="0.3">
      <c r="A5813" t="s">
        <v>8154</v>
      </c>
      <c r="B5813" t="s">
        <v>8411</v>
      </c>
      <c r="C5813">
        <v>2025</v>
      </c>
      <c r="D5813" t="s">
        <v>300</v>
      </c>
      <c r="E5813" t="s">
        <v>8210</v>
      </c>
      <c r="F5813">
        <v>3431</v>
      </c>
      <c r="G5813" t="s">
        <v>302</v>
      </c>
      <c r="H5813">
        <v>103</v>
      </c>
      <c r="I5813" t="s">
        <v>8447</v>
      </c>
      <c r="J5813" t="s">
        <v>294</v>
      </c>
      <c r="M5813" t="s">
        <v>295</v>
      </c>
      <c r="N5813" t="s">
        <v>7</v>
      </c>
      <c r="O5813" t="s">
        <v>297</v>
      </c>
    </row>
    <row r="5814" spans="1:15" x14ac:dyDescent="0.3">
      <c r="A5814" t="s">
        <v>8154</v>
      </c>
      <c r="B5814" t="s">
        <v>8411</v>
      </c>
      <c r="C5814">
        <v>2025</v>
      </c>
      <c r="D5814" t="s">
        <v>300</v>
      </c>
      <c r="E5814" t="s">
        <v>8212</v>
      </c>
      <c r="F5814">
        <v>373</v>
      </c>
      <c r="G5814" t="s">
        <v>302</v>
      </c>
      <c r="H5814">
        <v>103</v>
      </c>
      <c r="I5814" t="s">
        <v>8448</v>
      </c>
      <c r="J5814" t="s">
        <v>294</v>
      </c>
      <c r="M5814" t="s">
        <v>295</v>
      </c>
      <c r="N5814" t="s">
        <v>7</v>
      </c>
      <c r="O5814" t="s">
        <v>297</v>
      </c>
    </row>
    <row r="5815" spans="1:15" x14ac:dyDescent="0.3">
      <c r="A5815" t="s">
        <v>8154</v>
      </c>
      <c r="B5815" t="s">
        <v>8411</v>
      </c>
      <c r="C5815">
        <v>2025</v>
      </c>
      <c r="D5815" t="s">
        <v>300</v>
      </c>
      <c r="E5815" t="s">
        <v>8214</v>
      </c>
      <c r="F5815">
        <v>-3465</v>
      </c>
      <c r="G5815" t="s">
        <v>302</v>
      </c>
      <c r="H5815">
        <v>103</v>
      </c>
      <c r="I5815" t="s">
        <v>8449</v>
      </c>
      <c r="J5815" t="s">
        <v>294</v>
      </c>
      <c r="M5815" t="s">
        <v>295</v>
      </c>
      <c r="N5815" t="s">
        <v>7</v>
      </c>
      <c r="O5815" t="s">
        <v>297</v>
      </c>
    </row>
    <row r="5816" spans="1:15" x14ac:dyDescent="0.3">
      <c r="A5816" t="s">
        <v>8154</v>
      </c>
      <c r="B5816" t="s">
        <v>8411</v>
      </c>
      <c r="C5816">
        <v>2025</v>
      </c>
      <c r="D5816" t="s">
        <v>300</v>
      </c>
      <c r="E5816" t="s">
        <v>8450</v>
      </c>
      <c r="F5816">
        <v>637</v>
      </c>
      <c r="G5816" t="s">
        <v>302</v>
      </c>
      <c r="H5816">
        <v>107</v>
      </c>
      <c r="I5816" t="s">
        <v>8451</v>
      </c>
      <c r="J5816" t="s">
        <v>294</v>
      </c>
      <c r="M5816" t="s">
        <v>295</v>
      </c>
      <c r="N5816" t="s">
        <v>7</v>
      </c>
      <c r="O5816" t="s">
        <v>297</v>
      </c>
    </row>
    <row r="5817" spans="1:15" x14ac:dyDescent="0.3">
      <c r="A5817" t="s">
        <v>8154</v>
      </c>
      <c r="B5817" t="s">
        <v>8411</v>
      </c>
      <c r="C5817">
        <v>2025</v>
      </c>
      <c r="D5817" t="s">
        <v>300</v>
      </c>
      <c r="E5817" t="s">
        <v>8218</v>
      </c>
      <c r="F5817">
        <v>186</v>
      </c>
      <c r="G5817" t="s">
        <v>346</v>
      </c>
      <c r="H5817">
        <v>13</v>
      </c>
      <c r="I5817" t="s">
        <v>8452</v>
      </c>
      <c r="J5817" t="s">
        <v>294</v>
      </c>
      <c r="M5817" t="s">
        <v>295</v>
      </c>
      <c r="N5817" t="s">
        <v>7</v>
      </c>
      <c r="O5817" t="s">
        <v>297</v>
      </c>
    </row>
    <row r="5818" spans="1:15" x14ac:dyDescent="0.3">
      <c r="A5818" t="s">
        <v>8154</v>
      </c>
      <c r="B5818" t="s">
        <v>8411</v>
      </c>
      <c r="C5818">
        <v>2025</v>
      </c>
      <c r="D5818" t="s">
        <v>300</v>
      </c>
      <c r="E5818" t="s">
        <v>342</v>
      </c>
      <c r="F5818">
        <v>19853</v>
      </c>
      <c r="G5818" t="s">
        <v>497</v>
      </c>
      <c r="H5818">
        <v>13</v>
      </c>
      <c r="I5818" t="s">
        <v>8220</v>
      </c>
      <c r="J5818" t="s">
        <v>294</v>
      </c>
      <c r="M5818" t="s">
        <v>295</v>
      </c>
      <c r="N5818" t="s">
        <v>7</v>
      </c>
      <c r="O5818" t="s">
        <v>297</v>
      </c>
    </row>
    <row r="5819" spans="1:15" x14ac:dyDescent="0.3">
      <c r="A5819" t="s">
        <v>8154</v>
      </c>
      <c r="B5819" t="s">
        <v>8411</v>
      </c>
      <c r="C5819">
        <v>2025</v>
      </c>
      <c r="D5819" t="s">
        <v>300</v>
      </c>
      <c r="E5819" t="s">
        <v>8453</v>
      </c>
      <c r="F5819">
        <v>1500</v>
      </c>
      <c r="G5819" t="s">
        <v>346</v>
      </c>
      <c r="H5819">
        <v>13</v>
      </c>
      <c r="I5819" t="s">
        <v>8454</v>
      </c>
      <c r="J5819" t="s">
        <v>294</v>
      </c>
      <c r="M5819" t="s">
        <v>295</v>
      </c>
      <c r="N5819" t="s">
        <v>7</v>
      </c>
      <c r="O5819" t="s">
        <v>297</v>
      </c>
    </row>
    <row r="5820" spans="1:15" x14ac:dyDescent="0.3">
      <c r="A5820" t="s">
        <v>8154</v>
      </c>
      <c r="B5820" t="s">
        <v>8411</v>
      </c>
      <c r="C5820">
        <v>2025</v>
      </c>
      <c r="D5820" t="s">
        <v>300</v>
      </c>
      <c r="E5820" t="s">
        <v>8083</v>
      </c>
      <c r="F5820">
        <v>29779</v>
      </c>
      <c r="G5820" t="s">
        <v>302</v>
      </c>
      <c r="H5820">
        <v>13</v>
      </c>
      <c r="I5820" t="s">
        <v>8455</v>
      </c>
      <c r="J5820" t="s">
        <v>294</v>
      </c>
      <c r="M5820" t="s">
        <v>295</v>
      </c>
      <c r="N5820" t="s">
        <v>7</v>
      </c>
      <c r="O5820" t="s">
        <v>297</v>
      </c>
    </row>
    <row r="5821" spans="1:15" x14ac:dyDescent="0.3">
      <c r="A5821" t="s">
        <v>8154</v>
      </c>
      <c r="B5821" t="s">
        <v>8411</v>
      </c>
      <c r="C5821">
        <v>2025</v>
      </c>
      <c r="D5821" t="s">
        <v>300</v>
      </c>
      <c r="E5821" t="s">
        <v>8456</v>
      </c>
      <c r="F5821">
        <v>39</v>
      </c>
      <c r="G5821" t="s">
        <v>346</v>
      </c>
      <c r="H5821">
        <v>114</v>
      </c>
      <c r="I5821" t="s">
        <v>8457</v>
      </c>
      <c r="J5821" t="s">
        <v>294</v>
      </c>
      <c r="M5821" t="s">
        <v>295</v>
      </c>
      <c r="N5821" t="s">
        <v>7</v>
      </c>
      <c r="O5821" t="s">
        <v>297</v>
      </c>
    </row>
    <row r="5822" spans="1:15" x14ac:dyDescent="0.3">
      <c r="A5822" t="s">
        <v>8154</v>
      </c>
      <c r="B5822" t="s">
        <v>8411</v>
      </c>
      <c r="C5822">
        <v>2025</v>
      </c>
      <c r="D5822" t="s">
        <v>300</v>
      </c>
      <c r="E5822" t="s">
        <v>8458</v>
      </c>
      <c r="F5822">
        <v>50</v>
      </c>
      <c r="G5822" t="s">
        <v>346</v>
      </c>
      <c r="H5822">
        <v>114</v>
      </c>
      <c r="I5822" t="s">
        <v>8459</v>
      </c>
      <c r="J5822" t="s">
        <v>294</v>
      </c>
      <c r="M5822" t="s">
        <v>295</v>
      </c>
      <c r="N5822" t="s">
        <v>7</v>
      </c>
      <c r="O5822" t="s">
        <v>297</v>
      </c>
    </row>
    <row r="5823" spans="1:15" x14ac:dyDescent="0.3">
      <c r="A5823" t="s">
        <v>8154</v>
      </c>
      <c r="B5823" t="s">
        <v>8411</v>
      </c>
      <c r="C5823">
        <v>2025</v>
      </c>
      <c r="D5823" t="s">
        <v>300</v>
      </c>
      <c r="E5823" t="s">
        <v>8460</v>
      </c>
      <c r="F5823">
        <v>76</v>
      </c>
      <c r="G5823" t="s">
        <v>346</v>
      </c>
      <c r="H5823">
        <v>114</v>
      </c>
      <c r="I5823" t="s">
        <v>8461</v>
      </c>
      <c r="J5823" t="s">
        <v>294</v>
      </c>
      <c r="M5823" t="s">
        <v>295</v>
      </c>
      <c r="N5823" t="s">
        <v>7</v>
      </c>
      <c r="O5823" t="s">
        <v>297</v>
      </c>
    </row>
    <row r="5824" spans="1:15" x14ac:dyDescent="0.3">
      <c r="A5824" t="s">
        <v>8154</v>
      </c>
      <c r="B5824" t="s">
        <v>8411</v>
      </c>
      <c r="C5824">
        <v>2025</v>
      </c>
      <c r="D5824" t="s">
        <v>300</v>
      </c>
      <c r="E5824" t="s">
        <v>5692</v>
      </c>
      <c r="F5824">
        <v>25.7</v>
      </c>
      <c r="G5824" t="s">
        <v>334</v>
      </c>
      <c r="H5824">
        <v>13</v>
      </c>
      <c r="I5824" t="s">
        <v>8462</v>
      </c>
      <c r="J5824" t="s">
        <v>294</v>
      </c>
      <c r="M5824" t="s">
        <v>295</v>
      </c>
      <c r="N5824" t="s">
        <v>7</v>
      </c>
      <c r="O5824" t="s">
        <v>297</v>
      </c>
    </row>
    <row r="5825" spans="1:15" x14ac:dyDescent="0.3">
      <c r="A5825" t="s">
        <v>8154</v>
      </c>
      <c r="B5825" t="s">
        <v>8411</v>
      </c>
      <c r="C5825">
        <v>2025</v>
      </c>
      <c r="D5825" t="s">
        <v>300</v>
      </c>
      <c r="E5825" t="s">
        <v>906</v>
      </c>
      <c r="F5825">
        <v>-4.7E-2</v>
      </c>
      <c r="G5825" t="s">
        <v>327</v>
      </c>
      <c r="H5825">
        <v>106</v>
      </c>
      <c r="I5825" t="s">
        <v>8463</v>
      </c>
      <c r="J5825" t="s">
        <v>294</v>
      </c>
      <c r="M5825" t="s">
        <v>295</v>
      </c>
      <c r="N5825" t="s">
        <v>7</v>
      </c>
      <c r="O5825" t="s">
        <v>297</v>
      </c>
    </row>
    <row r="5826" spans="1:15" x14ac:dyDescent="0.3">
      <c r="A5826" t="s">
        <v>8154</v>
      </c>
      <c r="B5826" t="s">
        <v>8411</v>
      </c>
      <c r="C5826">
        <v>2025</v>
      </c>
      <c r="D5826" t="s">
        <v>300</v>
      </c>
      <c r="E5826" t="s">
        <v>8229</v>
      </c>
      <c r="F5826">
        <v>-0.104</v>
      </c>
      <c r="G5826" t="s">
        <v>327</v>
      </c>
      <c r="H5826">
        <v>106</v>
      </c>
      <c r="I5826" t="s">
        <v>8464</v>
      </c>
      <c r="J5826" t="s">
        <v>294</v>
      </c>
      <c r="M5826" t="s">
        <v>295</v>
      </c>
      <c r="N5826" t="s">
        <v>7</v>
      </c>
      <c r="O5826" t="s">
        <v>297</v>
      </c>
    </row>
    <row r="5827" spans="1:15" x14ac:dyDescent="0.3">
      <c r="A5827" t="s">
        <v>8154</v>
      </c>
      <c r="B5827" t="s">
        <v>8411</v>
      </c>
      <c r="C5827">
        <v>2025</v>
      </c>
      <c r="D5827" t="s">
        <v>300</v>
      </c>
      <c r="E5827" t="s">
        <v>326</v>
      </c>
      <c r="F5827">
        <v>212.9</v>
      </c>
      <c r="G5827" t="s">
        <v>334</v>
      </c>
      <c r="H5827">
        <v>13</v>
      </c>
      <c r="I5827" t="s">
        <v>8465</v>
      </c>
      <c r="J5827" t="s">
        <v>294</v>
      </c>
      <c r="M5827" t="s">
        <v>295</v>
      </c>
      <c r="N5827" t="s">
        <v>7</v>
      </c>
      <c r="O5827" t="s">
        <v>297</v>
      </c>
    </row>
    <row r="5828" spans="1:15" x14ac:dyDescent="0.3">
      <c r="A5828" t="s">
        <v>8154</v>
      </c>
      <c r="B5828" t="s">
        <v>8411</v>
      </c>
      <c r="C5828">
        <v>2025</v>
      </c>
      <c r="D5828" t="s">
        <v>300</v>
      </c>
      <c r="E5828" t="s">
        <v>4895</v>
      </c>
      <c r="F5828">
        <v>88.3</v>
      </c>
      <c r="G5828" t="s">
        <v>334</v>
      </c>
      <c r="H5828">
        <v>106</v>
      </c>
      <c r="I5828" t="s">
        <v>8466</v>
      </c>
      <c r="J5828" t="s">
        <v>294</v>
      </c>
      <c r="M5828" t="s">
        <v>295</v>
      </c>
      <c r="N5828" t="s">
        <v>7</v>
      </c>
      <c r="O5828" t="s">
        <v>297</v>
      </c>
    </row>
    <row r="5829" spans="1:15" x14ac:dyDescent="0.3">
      <c r="A5829" t="s">
        <v>8154</v>
      </c>
      <c r="B5829" t="s">
        <v>8411</v>
      </c>
      <c r="C5829">
        <v>2025</v>
      </c>
      <c r="D5829" t="s">
        <v>300</v>
      </c>
      <c r="E5829" t="s">
        <v>1187</v>
      </c>
      <c r="F5829">
        <v>39.4</v>
      </c>
      <c r="G5829" t="s">
        <v>334</v>
      </c>
      <c r="H5829">
        <v>13</v>
      </c>
      <c r="I5829" t="s">
        <v>8467</v>
      </c>
      <c r="J5829" t="s">
        <v>294</v>
      </c>
      <c r="M5829" t="s">
        <v>295</v>
      </c>
      <c r="N5829" t="s">
        <v>7</v>
      </c>
      <c r="O5829" t="s">
        <v>297</v>
      </c>
    </row>
    <row r="5830" spans="1:15" x14ac:dyDescent="0.3">
      <c r="A5830" t="s">
        <v>8154</v>
      </c>
      <c r="B5830" t="s">
        <v>8411</v>
      </c>
      <c r="C5830">
        <v>2025</v>
      </c>
      <c r="D5830" t="s">
        <v>300</v>
      </c>
      <c r="E5830" t="s">
        <v>333</v>
      </c>
      <c r="F5830">
        <v>26.2</v>
      </c>
      <c r="G5830" t="s">
        <v>334</v>
      </c>
      <c r="H5830">
        <v>13</v>
      </c>
      <c r="I5830" t="s">
        <v>8468</v>
      </c>
      <c r="J5830" t="s">
        <v>294</v>
      </c>
      <c r="M5830" t="s">
        <v>295</v>
      </c>
      <c r="N5830" t="s">
        <v>7</v>
      </c>
      <c r="O5830" t="s">
        <v>297</v>
      </c>
    </row>
    <row r="5831" spans="1:15" x14ac:dyDescent="0.3">
      <c r="A5831" t="s">
        <v>8154</v>
      </c>
      <c r="B5831" t="s">
        <v>8411</v>
      </c>
      <c r="C5831">
        <v>2025</v>
      </c>
      <c r="D5831" t="s">
        <v>300</v>
      </c>
      <c r="E5831" t="s">
        <v>336</v>
      </c>
      <c r="F5831">
        <v>32.9</v>
      </c>
      <c r="G5831" t="s">
        <v>334</v>
      </c>
      <c r="H5831">
        <v>13</v>
      </c>
      <c r="I5831" t="s">
        <v>8469</v>
      </c>
      <c r="J5831" t="s">
        <v>294</v>
      </c>
      <c r="M5831" t="s">
        <v>295</v>
      </c>
      <c r="N5831" t="s">
        <v>7</v>
      </c>
      <c r="O5831" t="s">
        <v>297</v>
      </c>
    </row>
    <row r="5832" spans="1:15" x14ac:dyDescent="0.3">
      <c r="A5832" t="s">
        <v>8154</v>
      </c>
      <c r="B5832" t="s">
        <v>8411</v>
      </c>
      <c r="C5832">
        <v>2025</v>
      </c>
      <c r="D5832" t="s">
        <v>358</v>
      </c>
      <c r="E5832" t="s">
        <v>504</v>
      </c>
      <c r="F5832">
        <v>159700</v>
      </c>
      <c r="G5832" t="s">
        <v>360</v>
      </c>
      <c r="H5832">
        <v>14</v>
      </c>
      <c r="I5832" t="s">
        <v>8470</v>
      </c>
      <c r="J5832" t="s">
        <v>294</v>
      </c>
      <c r="M5832" t="s">
        <v>295</v>
      </c>
      <c r="N5832" t="s">
        <v>7</v>
      </c>
      <c r="O5832" t="s">
        <v>297</v>
      </c>
    </row>
    <row r="5833" spans="1:15" x14ac:dyDescent="0.3">
      <c r="A5833" t="s">
        <v>8154</v>
      </c>
      <c r="B5833" t="s">
        <v>8411</v>
      </c>
      <c r="C5833">
        <v>2025</v>
      </c>
      <c r="D5833" t="s">
        <v>358</v>
      </c>
      <c r="E5833" t="s">
        <v>1058</v>
      </c>
      <c r="F5833">
        <v>132800</v>
      </c>
      <c r="G5833" t="s">
        <v>360</v>
      </c>
      <c r="H5833">
        <v>14</v>
      </c>
      <c r="I5833" t="s">
        <v>8471</v>
      </c>
      <c r="J5833" t="s">
        <v>294</v>
      </c>
      <c r="M5833" t="s">
        <v>295</v>
      </c>
      <c r="N5833" t="s">
        <v>7</v>
      </c>
      <c r="O5833" t="s">
        <v>297</v>
      </c>
    </row>
    <row r="5834" spans="1:15" x14ac:dyDescent="0.3">
      <c r="A5834" t="s">
        <v>8154</v>
      </c>
      <c r="B5834" t="s">
        <v>8411</v>
      </c>
      <c r="C5834">
        <v>2025</v>
      </c>
      <c r="D5834" t="s">
        <v>358</v>
      </c>
      <c r="E5834" t="s">
        <v>930</v>
      </c>
      <c r="F5834">
        <v>26900</v>
      </c>
      <c r="G5834" t="s">
        <v>360</v>
      </c>
      <c r="H5834">
        <v>14</v>
      </c>
      <c r="I5834" t="s">
        <v>8472</v>
      </c>
      <c r="J5834" t="s">
        <v>294</v>
      </c>
      <c r="M5834" t="s">
        <v>295</v>
      </c>
      <c r="N5834" t="s">
        <v>7</v>
      </c>
      <c r="O5834" t="s">
        <v>297</v>
      </c>
    </row>
    <row r="5835" spans="1:15" x14ac:dyDescent="0.3">
      <c r="A5835" t="s">
        <v>8154</v>
      </c>
      <c r="B5835" t="s">
        <v>8411</v>
      </c>
      <c r="C5835">
        <v>2025</v>
      </c>
      <c r="D5835" t="s">
        <v>358</v>
      </c>
      <c r="E5835" t="s">
        <v>4263</v>
      </c>
      <c r="F5835">
        <v>1300</v>
      </c>
      <c r="G5835" t="s">
        <v>360</v>
      </c>
      <c r="H5835">
        <v>14</v>
      </c>
      <c r="I5835" t="s">
        <v>8236</v>
      </c>
      <c r="J5835" t="s">
        <v>294</v>
      </c>
      <c r="M5835" t="s">
        <v>295</v>
      </c>
      <c r="N5835" t="s">
        <v>7</v>
      </c>
      <c r="O5835" t="s">
        <v>297</v>
      </c>
    </row>
    <row r="5836" spans="1:15" x14ac:dyDescent="0.3">
      <c r="A5836" t="s">
        <v>8154</v>
      </c>
      <c r="B5836" t="s">
        <v>8411</v>
      </c>
      <c r="C5836">
        <v>2025</v>
      </c>
      <c r="D5836" t="s">
        <v>358</v>
      </c>
      <c r="E5836" t="s">
        <v>8237</v>
      </c>
      <c r="F5836">
        <v>7613</v>
      </c>
      <c r="G5836" t="s">
        <v>360</v>
      </c>
      <c r="H5836">
        <v>100</v>
      </c>
      <c r="I5836" t="s">
        <v>8473</v>
      </c>
      <c r="J5836" t="s">
        <v>294</v>
      </c>
      <c r="M5836" t="s">
        <v>295</v>
      </c>
      <c r="N5836" t="s">
        <v>7</v>
      </c>
      <c r="O5836" t="s">
        <v>297</v>
      </c>
    </row>
    <row r="5837" spans="1:15" x14ac:dyDescent="0.3">
      <c r="A5837" t="s">
        <v>8154</v>
      </c>
      <c r="B5837" t="s">
        <v>8411</v>
      </c>
      <c r="C5837">
        <v>2025</v>
      </c>
      <c r="D5837" t="s">
        <v>358</v>
      </c>
      <c r="E5837" t="s">
        <v>8239</v>
      </c>
      <c r="F5837">
        <v>4853</v>
      </c>
      <c r="G5837" t="s">
        <v>360</v>
      </c>
      <c r="H5837">
        <v>100</v>
      </c>
      <c r="I5837" t="s">
        <v>8474</v>
      </c>
      <c r="J5837" t="s">
        <v>294</v>
      </c>
      <c r="M5837" t="s">
        <v>295</v>
      </c>
      <c r="N5837" t="s">
        <v>7</v>
      </c>
      <c r="O5837" t="s">
        <v>297</v>
      </c>
    </row>
    <row r="5838" spans="1:15" x14ac:dyDescent="0.3">
      <c r="A5838" t="s">
        <v>8154</v>
      </c>
      <c r="B5838" t="s">
        <v>8411</v>
      </c>
      <c r="C5838">
        <v>2025</v>
      </c>
      <c r="D5838" t="s">
        <v>358</v>
      </c>
      <c r="E5838" t="s">
        <v>8241</v>
      </c>
      <c r="F5838">
        <v>115804</v>
      </c>
      <c r="G5838" t="s">
        <v>360</v>
      </c>
      <c r="H5838">
        <v>100</v>
      </c>
      <c r="I5838" t="s">
        <v>8475</v>
      </c>
      <c r="J5838" t="s">
        <v>294</v>
      </c>
      <c r="M5838" t="s">
        <v>295</v>
      </c>
      <c r="N5838" t="s">
        <v>7</v>
      </c>
      <c r="O5838" t="s">
        <v>297</v>
      </c>
    </row>
    <row r="5839" spans="1:15" x14ac:dyDescent="0.3">
      <c r="A5839" t="s">
        <v>8154</v>
      </c>
      <c r="B5839" t="s">
        <v>8411</v>
      </c>
      <c r="C5839">
        <v>2025</v>
      </c>
      <c r="D5839" t="s">
        <v>358</v>
      </c>
      <c r="E5839" t="s">
        <v>8243</v>
      </c>
      <c r="F5839">
        <v>4544</v>
      </c>
      <c r="G5839" t="s">
        <v>360</v>
      </c>
      <c r="H5839">
        <v>100</v>
      </c>
      <c r="I5839" t="s">
        <v>8476</v>
      </c>
      <c r="J5839" t="s">
        <v>294</v>
      </c>
      <c r="M5839" t="s">
        <v>295</v>
      </c>
      <c r="N5839" t="s">
        <v>7</v>
      </c>
      <c r="O5839" t="s">
        <v>297</v>
      </c>
    </row>
    <row r="5840" spans="1:15" x14ac:dyDescent="0.3">
      <c r="A5840" t="s">
        <v>8154</v>
      </c>
      <c r="B5840" t="s">
        <v>8411</v>
      </c>
      <c r="C5840">
        <v>2025</v>
      </c>
      <c r="D5840" t="s">
        <v>358</v>
      </c>
      <c r="E5840" t="s">
        <v>3389</v>
      </c>
      <c r="F5840">
        <v>125201</v>
      </c>
      <c r="G5840" t="s">
        <v>360</v>
      </c>
      <c r="H5840">
        <v>100</v>
      </c>
      <c r="I5840" t="s">
        <v>8477</v>
      </c>
      <c r="J5840" t="s">
        <v>294</v>
      </c>
      <c r="M5840" t="s">
        <v>295</v>
      </c>
      <c r="N5840" t="s">
        <v>7</v>
      </c>
      <c r="O5840" t="s">
        <v>297</v>
      </c>
    </row>
    <row r="5841" spans="1:15" x14ac:dyDescent="0.3">
      <c r="A5841" t="s">
        <v>8154</v>
      </c>
      <c r="B5841" t="s">
        <v>8411</v>
      </c>
      <c r="C5841">
        <v>2025</v>
      </c>
      <c r="D5841" t="s">
        <v>358</v>
      </c>
      <c r="E5841" t="s">
        <v>3391</v>
      </c>
      <c r="F5841">
        <v>7613</v>
      </c>
      <c r="G5841" t="s">
        <v>360</v>
      </c>
      <c r="H5841">
        <v>100</v>
      </c>
      <c r="I5841" t="s">
        <v>8478</v>
      </c>
      <c r="J5841" t="s">
        <v>294</v>
      </c>
      <c r="M5841" t="s">
        <v>295</v>
      </c>
      <c r="N5841" t="s">
        <v>7</v>
      </c>
      <c r="O5841" t="s">
        <v>297</v>
      </c>
    </row>
    <row r="5842" spans="1:15" x14ac:dyDescent="0.3">
      <c r="A5842" t="s">
        <v>8154</v>
      </c>
      <c r="B5842" t="s">
        <v>8411</v>
      </c>
      <c r="C5842">
        <v>2025</v>
      </c>
      <c r="D5842" t="s">
        <v>358</v>
      </c>
      <c r="E5842" t="s">
        <v>8247</v>
      </c>
      <c r="F5842">
        <v>3204</v>
      </c>
      <c r="G5842" t="s">
        <v>360</v>
      </c>
      <c r="H5842">
        <v>100</v>
      </c>
      <c r="I5842" t="s">
        <v>8479</v>
      </c>
      <c r="J5842" t="s">
        <v>294</v>
      </c>
      <c r="M5842" t="s">
        <v>295</v>
      </c>
      <c r="N5842" t="s">
        <v>7</v>
      </c>
      <c r="O5842" t="s">
        <v>297</v>
      </c>
    </row>
    <row r="5843" spans="1:15" x14ac:dyDescent="0.3">
      <c r="A5843" t="s">
        <v>8154</v>
      </c>
      <c r="B5843" t="s">
        <v>8411</v>
      </c>
      <c r="C5843">
        <v>2025</v>
      </c>
      <c r="D5843" t="s">
        <v>358</v>
      </c>
      <c r="E5843" t="s">
        <v>8249</v>
      </c>
      <c r="F5843">
        <v>73927</v>
      </c>
      <c r="G5843" t="s">
        <v>360</v>
      </c>
      <c r="H5843">
        <v>100</v>
      </c>
      <c r="I5843" t="s">
        <v>8480</v>
      </c>
      <c r="J5843" t="s">
        <v>294</v>
      </c>
      <c r="M5843" t="s">
        <v>295</v>
      </c>
      <c r="N5843" t="s">
        <v>7</v>
      </c>
      <c r="O5843" t="s">
        <v>297</v>
      </c>
    </row>
    <row r="5844" spans="1:15" x14ac:dyDescent="0.3">
      <c r="A5844" t="s">
        <v>8154</v>
      </c>
      <c r="B5844" t="s">
        <v>8411</v>
      </c>
      <c r="C5844">
        <v>2025</v>
      </c>
      <c r="D5844" t="s">
        <v>358</v>
      </c>
      <c r="E5844" t="s">
        <v>8251</v>
      </c>
      <c r="F5844">
        <v>48070</v>
      </c>
      <c r="G5844" t="s">
        <v>360</v>
      </c>
      <c r="H5844">
        <v>100</v>
      </c>
      <c r="I5844" t="s">
        <v>8481</v>
      </c>
      <c r="J5844" t="s">
        <v>294</v>
      </c>
      <c r="M5844" t="s">
        <v>295</v>
      </c>
      <c r="N5844" t="s">
        <v>7</v>
      </c>
      <c r="O5844" t="s">
        <v>297</v>
      </c>
    </row>
    <row r="5845" spans="1:15" x14ac:dyDescent="0.3">
      <c r="A5845" t="s">
        <v>8154</v>
      </c>
      <c r="B5845" t="s">
        <v>8411</v>
      </c>
      <c r="C5845">
        <v>2025</v>
      </c>
      <c r="D5845" t="s">
        <v>358</v>
      </c>
      <c r="E5845" t="s">
        <v>523</v>
      </c>
      <c r="F5845">
        <v>18</v>
      </c>
      <c r="G5845" t="s">
        <v>384</v>
      </c>
      <c r="H5845">
        <v>99</v>
      </c>
      <c r="I5845" t="s">
        <v>8370</v>
      </c>
      <c r="J5845" t="s">
        <v>294</v>
      </c>
      <c r="M5845" t="s">
        <v>295</v>
      </c>
      <c r="N5845" t="s">
        <v>7</v>
      </c>
      <c r="O5845" t="s">
        <v>297</v>
      </c>
    </row>
    <row r="5846" spans="1:15" x14ac:dyDescent="0.3">
      <c r="A5846" t="s">
        <v>8154</v>
      </c>
      <c r="B5846" t="s">
        <v>8411</v>
      </c>
      <c r="C5846">
        <v>2025</v>
      </c>
      <c r="D5846" t="s">
        <v>358</v>
      </c>
      <c r="E5846" t="s">
        <v>934</v>
      </c>
      <c r="F5846">
        <v>995</v>
      </c>
      <c r="G5846" t="s">
        <v>738</v>
      </c>
      <c r="H5846">
        <v>99</v>
      </c>
      <c r="I5846" t="s">
        <v>8254</v>
      </c>
      <c r="J5846" t="s">
        <v>294</v>
      </c>
      <c r="M5846" t="s">
        <v>295</v>
      </c>
      <c r="N5846" t="s">
        <v>7</v>
      </c>
      <c r="O5846" t="s">
        <v>297</v>
      </c>
    </row>
    <row r="5847" spans="1:15" x14ac:dyDescent="0.3">
      <c r="A5847" t="s">
        <v>8154</v>
      </c>
      <c r="B5847" t="s">
        <v>8411</v>
      </c>
      <c r="C5847">
        <v>2025</v>
      </c>
      <c r="D5847" t="s">
        <v>358</v>
      </c>
      <c r="E5847" t="s">
        <v>525</v>
      </c>
      <c r="F5847">
        <v>1</v>
      </c>
      <c r="G5847" t="s">
        <v>384</v>
      </c>
      <c r="H5847">
        <v>99</v>
      </c>
      <c r="I5847" t="s">
        <v>8482</v>
      </c>
      <c r="J5847" t="s">
        <v>456</v>
      </c>
      <c r="M5847" t="s">
        <v>295</v>
      </c>
      <c r="N5847" t="s">
        <v>7</v>
      </c>
      <c r="O5847" t="s">
        <v>297</v>
      </c>
    </row>
    <row r="5848" spans="1:15" x14ac:dyDescent="0.3">
      <c r="A5848" t="s">
        <v>8154</v>
      </c>
      <c r="B5848" t="s">
        <v>8411</v>
      </c>
      <c r="C5848">
        <v>2025</v>
      </c>
      <c r="D5848" t="s">
        <v>394</v>
      </c>
      <c r="E5848" t="s">
        <v>7192</v>
      </c>
      <c r="F5848">
        <v>3425000</v>
      </c>
      <c r="G5848" t="s">
        <v>396</v>
      </c>
      <c r="H5848">
        <v>14</v>
      </c>
      <c r="I5848" t="s">
        <v>8483</v>
      </c>
      <c r="J5848" t="s">
        <v>294</v>
      </c>
      <c r="M5848" t="s">
        <v>295</v>
      </c>
      <c r="N5848" t="s">
        <v>7</v>
      </c>
      <c r="O5848" t="s">
        <v>297</v>
      </c>
    </row>
    <row r="5849" spans="1:15" x14ac:dyDescent="0.3">
      <c r="A5849" t="s">
        <v>8154</v>
      </c>
      <c r="B5849" t="s">
        <v>8411</v>
      </c>
      <c r="C5849">
        <v>2025</v>
      </c>
      <c r="D5849" t="s">
        <v>394</v>
      </c>
      <c r="E5849" t="s">
        <v>533</v>
      </c>
      <c r="F5849">
        <v>3040000</v>
      </c>
      <c r="G5849" t="s">
        <v>396</v>
      </c>
      <c r="H5849">
        <v>14</v>
      </c>
      <c r="I5849" t="s">
        <v>8484</v>
      </c>
      <c r="J5849" t="s">
        <v>294</v>
      </c>
      <c r="M5849" t="s">
        <v>295</v>
      </c>
      <c r="N5849" t="s">
        <v>7</v>
      </c>
      <c r="O5849" t="s">
        <v>297</v>
      </c>
    </row>
    <row r="5850" spans="1:15" x14ac:dyDescent="0.3">
      <c r="A5850" t="s">
        <v>8154</v>
      </c>
      <c r="B5850" t="s">
        <v>8411</v>
      </c>
      <c r="C5850">
        <v>2025</v>
      </c>
      <c r="D5850" t="s">
        <v>394</v>
      </c>
      <c r="E5850" t="s">
        <v>535</v>
      </c>
      <c r="F5850">
        <v>384000</v>
      </c>
      <c r="G5850" t="s">
        <v>396</v>
      </c>
      <c r="H5850">
        <v>14</v>
      </c>
      <c r="I5850" t="s">
        <v>8485</v>
      </c>
      <c r="J5850" t="s">
        <v>294</v>
      </c>
      <c r="M5850" t="s">
        <v>295</v>
      </c>
      <c r="N5850" t="s">
        <v>7</v>
      </c>
      <c r="O5850" t="s">
        <v>297</v>
      </c>
    </row>
    <row r="5851" spans="1:15" x14ac:dyDescent="0.3">
      <c r="A5851" t="s">
        <v>8154</v>
      </c>
      <c r="B5851" t="s">
        <v>8411</v>
      </c>
      <c r="C5851">
        <v>2025</v>
      </c>
      <c r="D5851" t="s">
        <v>394</v>
      </c>
      <c r="E5851" t="s">
        <v>537</v>
      </c>
      <c r="F5851">
        <v>4089000</v>
      </c>
      <c r="G5851" t="s">
        <v>396</v>
      </c>
      <c r="H5851">
        <v>14</v>
      </c>
      <c r="I5851" t="s">
        <v>8486</v>
      </c>
      <c r="J5851" t="s">
        <v>294</v>
      </c>
      <c r="M5851" t="s">
        <v>295</v>
      </c>
      <c r="N5851" t="s">
        <v>7</v>
      </c>
      <c r="O5851" t="s">
        <v>297</v>
      </c>
    </row>
    <row r="5852" spans="1:15" x14ac:dyDescent="0.3">
      <c r="A5852" t="s">
        <v>8154</v>
      </c>
      <c r="B5852" t="s">
        <v>8411</v>
      </c>
      <c r="C5852">
        <v>2025</v>
      </c>
      <c r="D5852" t="s">
        <v>394</v>
      </c>
      <c r="E5852" t="s">
        <v>404</v>
      </c>
      <c r="F5852">
        <v>659000</v>
      </c>
      <c r="G5852" t="s">
        <v>396</v>
      </c>
      <c r="H5852">
        <v>100</v>
      </c>
      <c r="I5852" t="s">
        <v>8487</v>
      </c>
      <c r="J5852" t="s">
        <v>294</v>
      </c>
      <c r="M5852" t="s">
        <v>295</v>
      </c>
      <c r="N5852" t="s">
        <v>7</v>
      </c>
      <c r="O5852" t="s">
        <v>297</v>
      </c>
    </row>
    <row r="5853" spans="1:15" x14ac:dyDescent="0.3">
      <c r="A5853" t="s">
        <v>8154</v>
      </c>
      <c r="B5853" t="s">
        <v>8411</v>
      </c>
      <c r="C5853">
        <v>2025</v>
      </c>
      <c r="D5853" t="s">
        <v>394</v>
      </c>
      <c r="E5853" t="s">
        <v>406</v>
      </c>
      <c r="F5853">
        <v>953000</v>
      </c>
      <c r="G5853" t="s">
        <v>396</v>
      </c>
      <c r="H5853">
        <v>14</v>
      </c>
      <c r="I5853" t="s">
        <v>8488</v>
      </c>
      <c r="J5853" t="s">
        <v>294</v>
      </c>
      <c r="M5853" t="s">
        <v>295</v>
      </c>
      <c r="N5853" t="s">
        <v>7</v>
      </c>
      <c r="O5853" t="s">
        <v>297</v>
      </c>
    </row>
    <row r="5854" spans="1:15" x14ac:dyDescent="0.3">
      <c r="A5854" t="s">
        <v>8154</v>
      </c>
      <c r="B5854" t="s">
        <v>8411</v>
      </c>
      <c r="C5854">
        <v>2025</v>
      </c>
      <c r="D5854" t="s">
        <v>394</v>
      </c>
      <c r="E5854" t="s">
        <v>855</v>
      </c>
      <c r="F5854">
        <v>202000</v>
      </c>
      <c r="G5854" t="s">
        <v>396</v>
      </c>
      <c r="H5854">
        <v>14</v>
      </c>
      <c r="I5854" t="s">
        <v>8489</v>
      </c>
      <c r="J5854" t="s">
        <v>294</v>
      </c>
      <c r="M5854" t="s">
        <v>295</v>
      </c>
      <c r="N5854" t="s">
        <v>7</v>
      </c>
      <c r="O5854" t="s">
        <v>297</v>
      </c>
    </row>
    <row r="5855" spans="1:15" x14ac:dyDescent="0.3">
      <c r="A5855" t="s">
        <v>8154</v>
      </c>
      <c r="B5855" t="s">
        <v>8411</v>
      </c>
      <c r="C5855">
        <v>2025</v>
      </c>
      <c r="D5855" t="s">
        <v>394</v>
      </c>
      <c r="E5855" t="s">
        <v>418</v>
      </c>
      <c r="F5855">
        <v>22100</v>
      </c>
      <c r="G5855" t="s">
        <v>396</v>
      </c>
      <c r="H5855">
        <v>14</v>
      </c>
      <c r="I5855" t="s">
        <v>8490</v>
      </c>
      <c r="J5855" t="s">
        <v>294</v>
      </c>
      <c r="M5855" t="s">
        <v>295</v>
      </c>
      <c r="N5855" t="s">
        <v>7</v>
      </c>
      <c r="O5855" t="s">
        <v>297</v>
      </c>
    </row>
    <row r="5856" spans="1:15" x14ac:dyDescent="0.3">
      <c r="A5856" t="s">
        <v>8154</v>
      </c>
      <c r="B5856" t="s">
        <v>8411</v>
      </c>
      <c r="C5856">
        <v>2025</v>
      </c>
      <c r="D5856" t="s">
        <v>394</v>
      </c>
      <c r="E5856" t="s">
        <v>4461</v>
      </c>
      <c r="F5856">
        <v>800</v>
      </c>
      <c r="G5856" t="s">
        <v>396</v>
      </c>
      <c r="H5856">
        <v>14</v>
      </c>
      <c r="I5856" t="s">
        <v>8491</v>
      </c>
      <c r="J5856" t="s">
        <v>294</v>
      </c>
      <c r="M5856" t="s">
        <v>295</v>
      </c>
      <c r="N5856" t="s">
        <v>7</v>
      </c>
      <c r="O5856" t="s">
        <v>297</v>
      </c>
    </row>
    <row r="5857" spans="1:15" x14ac:dyDescent="0.3">
      <c r="A5857" t="s">
        <v>8154</v>
      </c>
      <c r="B5857" t="s">
        <v>8411</v>
      </c>
      <c r="C5857">
        <v>2025</v>
      </c>
      <c r="D5857" t="s">
        <v>394</v>
      </c>
      <c r="E5857" t="s">
        <v>8265</v>
      </c>
      <c r="F5857">
        <v>24.3</v>
      </c>
      <c r="G5857" t="s">
        <v>423</v>
      </c>
      <c r="H5857">
        <v>14</v>
      </c>
      <c r="I5857" t="s">
        <v>8492</v>
      </c>
      <c r="J5857" t="s">
        <v>294</v>
      </c>
      <c r="M5857" t="s">
        <v>295</v>
      </c>
      <c r="N5857" t="s">
        <v>7</v>
      </c>
      <c r="O5857" t="s">
        <v>297</v>
      </c>
    </row>
    <row r="5858" spans="1:15" x14ac:dyDescent="0.3">
      <c r="A5858" t="s">
        <v>8154</v>
      </c>
      <c r="B5858" t="s">
        <v>8411</v>
      </c>
      <c r="C5858">
        <v>2025</v>
      </c>
      <c r="D5858" t="s">
        <v>394</v>
      </c>
      <c r="E5858" t="s">
        <v>550</v>
      </c>
      <c r="F5858">
        <v>0.23300000000000001</v>
      </c>
      <c r="G5858" t="s">
        <v>334</v>
      </c>
      <c r="H5858">
        <v>14</v>
      </c>
      <c r="I5858" t="s">
        <v>8267</v>
      </c>
      <c r="J5858" t="s">
        <v>294</v>
      </c>
      <c r="M5858" t="s">
        <v>295</v>
      </c>
      <c r="N5858" t="s">
        <v>7</v>
      </c>
      <c r="O5858" t="s">
        <v>297</v>
      </c>
    </row>
    <row r="5859" spans="1:15" x14ac:dyDescent="0.3">
      <c r="A5859" t="s">
        <v>8154</v>
      </c>
      <c r="B5859" t="s">
        <v>8411</v>
      </c>
      <c r="C5859">
        <v>2025</v>
      </c>
      <c r="D5859" t="s">
        <v>394</v>
      </c>
      <c r="E5859" t="s">
        <v>552</v>
      </c>
      <c r="F5859">
        <v>4.9000000000000002E-2</v>
      </c>
      <c r="G5859" t="s">
        <v>334</v>
      </c>
      <c r="H5859">
        <v>14</v>
      </c>
      <c r="I5859" t="s">
        <v>8268</v>
      </c>
      <c r="J5859" t="s">
        <v>294</v>
      </c>
      <c r="M5859" t="s">
        <v>295</v>
      </c>
      <c r="N5859" t="s">
        <v>7</v>
      </c>
      <c r="O5859" t="s">
        <v>297</v>
      </c>
    </row>
    <row r="5860" spans="1:15" x14ac:dyDescent="0.3">
      <c r="A5860" t="s">
        <v>8154</v>
      </c>
      <c r="B5860" t="s">
        <v>8411</v>
      </c>
      <c r="C5860">
        <v>2025</v>
      </c>
      <c r="D5860" t="s">
        <v>394</v>
      </c>
      <c r="E5860" t="s">
        <v>554</v>
      </c>
      <c r="F5860">
        <v>14220</v>
      </c>
      <c r="G5860" t="s">
        <v>436</v>
      </c>
      <c r="H5860">
        <v>104</v>
      </c>
      <c r="I5860" t="s">
        <v>8493</v>
      </c>
      <c r="J5860" t="s">
        <v>294</v>
      </c>
      <c r="M5860" t="s">
        <v>295</v>
      </c>
      <c r="N5860" t="s">
        <v>7</v>
      </c>
      <c r="O5860" t="s">
        <v>297</v>
      </c>
    </row>
    <row r="5861" spans="1:15" x14ac:dyDescent="0.3">
      <c r="A5861" t="s">
        <v>8154</v>
      </c>
      <c r="B5861" t="s">
        <v>8411</v>
      </c>
      <c r="C5861">
        <v>2025</v>
      </c>
      <c r="D5861" t="s">
        <v>394</v>
      </c>
      <c r="E5861" t="s">
        <v>5195</v>
      </c>
      <c r="F5861">
        <v>11967</v>
      </c>
      <c r="G5861" t="s">
        <v>436</v>
      </c>
      <c r="H5861">
        <v>104</v>
      </c>
      <c r="I5861" t="s">
        <v>8494</v>
      </c>
      <c r="J5861" t="s">
        <v>294</v>
      </c>
      <c r="M5861" t="s">
        <v>295</v>
      </c>
      <c r="N5861" t="s">
        <v>7</v>
      </c>
      <c r="O5861" t="s">
        <v>297</v>
      </c>
    </row>
    <row r="5862" spans="1:15" x14ac:dyDescent="0.3">
      <c r="A5862" t="s">
        <v>8154</v>
      </c>
      <c r="B5862" t="s">
        <v>8411</v>
      </c>
      <c r="C5862">
        <v>2025</v>
      </c>
      <c r="D5862" t="s">
        <v>394</v>
      </c>
      <c r="E5862" t="s">
        <v>8271</v>
      </c>
      <c r="F5862">
        <v>26212</v>
      </c>
      <c r="G5862" t="s">
        <v>436</v>
      </c>
      <c r="H5862">
        <v>104</v>
      </c>
      <c r="I5862" t="s">
        <v>8495</v>
      </c>
      <c r="J5862" t="s">
        <v>294</v>
      </c>
      <c r="M5862" t="s">
        <v>295</v>
      </c>
      <c r="N5862" t="s">
        <v>7</v>
      </c>
      <c r="O5862" t="s">
        <v>297</v>
      </c>
    </row>
    <row r="5863" spans="1:15" x14ac:dyDescent="0.3">
      <c r="A5863" t="s">
        <v>8154</v>
      </c>
      <c r="B5863" t="s">
        <v>8411</v>
      </c>
      <c r="C5863">
        <v>2025</v>
      </c>
      <c r="D5863" t="s">
        <v>394</v>
      </c>
      <c r="E5863" t="s">
        <v>438</v>
      </c>
      <c r="F5863">
        <v>658917</v>
      </c>
      <c r="G5863" t="s">
        <v>396</v>
      </c>
      <c r="H5863">
        <v>104</v>
      </c>
      <c r="I5863" t="s">
        <v>8496</v>
      </c>
      <c r="J5863" t="s">
        <v>294</v>
      </c>
      <c r="M5863" t="s">
        <v>295</v>
      </c>
      <c r="N5863" t="s">
        <v>7</v>
      </c>
      <c r="O5863" t="s">
        <v>297</v>
      </c>
    </row>
    <row r="5864" spans="1:15" x14ac:dyDescent="0.3">
      <c r="A5864" t="s">
        <v>8154</v>
      </c>
      <c r="B5864" t="s">
        <v>8411</v>
      </c>
      <c r="C5864">
        <v>2025</v>
      </c>
      <c r="D5864" t="s">
        <v>394</v>
      </c>
      <c r="E5864" t="s">
        <v>4994</v>
      </c>
      <c r="F5864">
        <v>113364</v>
      </c>
      <c r="G5864" t="s">
        <v>396</v>
      </c>
      <c r="H5864">
        <v>104</v>
      </c>
      <c r="I5864" t="s">
        <v>8497</v>
      </c>
      <c r="J5864" t="s">
        <v>294</v>
      </c>
      <c r="M5864" t="s">
        <v>295</v>
      </c>
      <c r="N5864" t="s">
        <v>7</v>
      </c>
      <c r="O5864" t="s">
        <v>297</v>
      </c>
    </row>
    <row r="5865" spans="1:15" x14ac:dyDescent="0.3">
      <c r="A5865" t="s">
        <v>8154</v>
      </c>
      <c r="B5865" t="s">
        <v>8411</v>
      </c>
      <c r="C5865">
        <v>2025</v>
      </c>
      <c r="D5865" t="s">
        <v>394</v>
      </c>
      <c r="E5865" t="s">
        <v>5359</v>
      </c>
      <c r="F5865">
        <v>22399</v>
      </c>
      <c r="G5865" t="s">
        <v>396</v>
      </c>
      <c r="H5865">
        <v>104</v>
      </c>
      <c r="I5865" t="s">
        <v>8498</v>
      </c>
      <c r="J5865" t="s">
        <v>294</v>
      </c>
      <c r="M5865" t="s">
        <v>295</v>
      </c>
      <c r="N5865" t="s">
        <v>7</v>
      </c>
      <c r="O5865" t="s">
        <v>297</v>
      </c>
    </row>
    <row r="5866" spans="1:15" x14ac:dyDescent="0.3">
      <c r="A5866" t="s">
        <v>8154</v>
      </c>
      <c r="B5866" t="s">
        <v>8411</v>
      </c>
      <c r="C5866">
        <v>2025</v>
      </c>
      <c r="D5866" t="s">
        <v>394</v>
      </c>
      <c r="E5866" t="s">
        <v>8390</v>
      </c>
      <c r="F5866">
        <v>87000</v>
      </c>
      <c r="G5866" t="s">
        <v>396</v>
      </c>
      <c r="H5866">
        <v>99</v>
      </c>
      <c r="I5866" t="s">
        <v>8499</v>
      </c>
      <c r="J5866" t="s">
        <v>294</v>
      </c>
      <c r="M5866" t="s">
        <v>295</v>
      </c>
      <c r="N5866" t="s">
        <v>7</v>
      </c>
      <c r="O5866" t="s">
        <v>297</v>
      </c>
    </row>
    <row r="5867" spans="1:15" x14ac:dyDescent="0.3">
      <c r="A5867" t="s">
        <v>8154</v>
      </c>
      <c r="B5867" t="s">
        <v>8411</v>
      </c>
      <c r="C5867">
        <v>2025</v>
      </c>
      <c r="D5867" t="s">
        <v>394</v>
      </c>
      <c r="E5867" t="s">
        <v>8392</v>
      </c>
      <c r="F5867">
        <v>1810000</v>
      </c>
      <c r="G5867" t="s">
        <v>396</v>
      </c>
      <c r="H5867">
        <v>99</v>
      </c>
      <c r="I5867" t="s">
        <v>8500</v>
      </c>
      <c r="J5867" t="s">
        <v>294</v>
      </c>
      <c r="M5867" t="s">
        <v>295</v>
      </c>
      <c r="N5867" t="s">
        <v>7</v>
      </c>
      <c r="O5867" t="s">
        <v>297</v>
      </c>
    </row>
    <row r="5868" spans="1:15" x14ac:dyDescent="0.3">
      <c r="A5868" t="s">
        <v>8154</v>
      </c>
      <c r="B5868" t="s">
        <v>8411</v>
      </c>
      <c r="C5868">
        <v>2025</v>
      </c>
      <c r="D5868" t="s">
        <v>394</v>
      </c>
      <c r="E5868" t="s">
        <v>8394</v>
      </c>
      <c r="F5868">
        <v>1143000</v>
      </c>
      <c r="G5868" t="s">
        <v>396</v>
      </c>
      <c r="H5868">
        <v>99</v>
      </c>
      <c r="I5868" t="s">
        <v>8501</v>
      </c>
      <c r="J5868" t="s">
        <v>294</v>
      </c>
      <c r="M5868" t="s">
        <v>295</v>
      </c>
      <c r="N5868" t="s">
        <v>7</v>
      </c>
      <c r="O5868" t="s">
        <v>297</v>
      </c>
    </row>
    <row r="5869" spans="1:15" x14ac:dyDescent="0.3">
      <c r="A5869" t="s">
        <v>8154</v>
      </c>
      <c r="B5869" t="s">
        <v>8411</v>
      </c>
      <c r="C5869">
        <v>2025</v>
      </c>
      <c r="D5869" t="s">
        <v>394</v>
      </c>
      <c r="E5869" t="s">
        <v>8277</v>
      </c>
      <c r="F5869">
        <v>11379</v>
      </c>
      <c r="G5869" t="s">
        <v>302</v>
      </c>
      <c r="H5869">
        <v>101</v>
      </c>
      <c r="I5869" t="s">
        <v>8502</v>
      </c>
      <c r="J5869" t="s">
        <v>294</v>
      </c>
      <c r="M5869" t="s">
        <v>295</v>
      </c>
      <c r="N5869" t="s">
        <v>7</v>
      </c>
      <c r="O5869" t="s">
        <v>297</v>
      </c>
    </row>
    <row r="5870" spans="1:15" x14ac:dyDescent="0.3">
      <c r="A5870" t="s">
        <v>8154</v>
      </c>
      <c r="B5870" t="s">
        <v>8411</v>
      </c>
      <c r="C5870">
        <v>2025</v>
      </c>
      <c r="D5870" t="s">
        <v>394</v>
      </c>
      <c r="E5870" t="s">
        <v>8279</v>
      </c>
      <c r="F5870">
        <v>9370</v>
      </c>
      <c r="G5870" t="s">
        <v>302</v>
      </c>
      <c r="H5870">
        <v>101</v>
      </c>
      <c r="I5870" t="s">
        <v>8503</v>
      </c>
      <c r="J5870" t="s">
        <v>294</v>
      </c>
      <c r="M5870" t="s">
        <v>295</v>
      </c>
      <c r="N5870" t="s">
        <v>7</v>
      </c>
      <c r="O5870" t="s">
        <v>297</v>
      </c>
    </row>
    <row r="5871" spans="1:15" x14ac:dyDescent="0.3">
      <c r="A5871" t="s">
        <v>8154</v>
      </c>
      <c r="B5871" t="s">
        <v>8411</v>
      </c>
      <c r="C5871">
        <v>2025</v>
      </c>
      <c r="D5871" t="s">
        <v>394</v>
      </c>
      <c r="E5871" t="s">
        <v>8281</v>
      </c>
      <c r="F5871">
        <v>1357</v>
      </c>
      <c r="G5871" t="s">
        <v>302</v>
      </c>
      <c r="H5871">
        <v>101</v>
      </c>
      <c r="I5871" t="s">
        <v>8504</v>
      </c>
      <c r="J5871" t="s">
        <v>294</v>
      </c>
      <c r="M5871" t="s">
        <v>295</v>
      </c>
      <c r="N5871" t="s">
        <v>7</v>
      </c>
      <c r="O5871" t="s">
        <v>297</v>
      </c>
    </row>
    <row r="5872" spans="1:15" x14ac:dyDescent="0.3">
      <c r="A5872" t="s">
        <v>8154</v>
      </c>
      <c r="B5872" t="s">
        <v>8411</v>
      </c>
      <c r="C5872">
        <v>2025</v>
      </c>
      <c r="D5872" t="s">
        <v>394</v>
      </c>
      <c r="E5872" t="s">
        <v>8283</v>
      </c>
      <c r="F5872">
        <v>587</v>
      </c>
      <c r="G5872" t="s">
        <v>302</v>
      </c>
      <c r="H5872">
        <v>101</v>
      </c>
      <c r="I5872" t="s">
        <v>8505</v>
      </c>
      <c r="J5872" t="s">
        <v>294</v>
      </c>
      <c r="M5872" t="s">
        <v>295</v>
      </c>
      <c r="N5872" t="s">
        <v>7</v>
      </c>
      <c r="O5872" t="s">
        <v>297</v>
      </c>
    </row>
    <row r="5873" spans="1:15" x14ac:dyDescent="0.3">
      <c r="A5873" t="s">
        <v>8154</v>
      </c>
      <c r="B5873" t="s">
        <v>8411</v>
      </c>
      <c r="C5873">
        <v>2025</v>
      </c>
      <c r="D5873" t="s">
        <v>394</v>
      </c>
      <c r="E5873" t="s">
        <v>4313</v>
      </c>
      <c r="F5873">
        <v>24</v>
      </c>
      <c r="G5873" t="s">
        <v>302</v>
      </c>
      <c r="H5873">
        <v>101</v>
      </c>
      <c r="I5873" t="s">
        <v>8506</v>
      </c>
      <c r="J5873" t="s">
        <v>294</v>
      </c>
      <c r="M5873" t="s">
        <v>295</v>
      </c>
      <c r="N5873" t="s">
        <v>7</v>
      </c>
      <c r="O5873" t="s">
        <v>297</v>
      </c>
    </row>
    <row r="5874" spans="1:15" x14ac:dyDescent="0.3">
      <c r="A5874" t="s">
        <v>8154</v>
      </c>
      <c r="B5874" t="s">
        <v>8411</v>
      </c>
      <c r="C5874">
        <v>2025</v>
      </c>
      <c r="D5874" t="s">
        <v>394</v>
      </c>
      <c r="E5874" t="s">
        <v>8401</v>
      </c>
      <c r="F5874">
        <v>3637</v>
      </c>
      <c r="G5874" t="s">
        <v>302</v>
      </c>
      <c r="H5874">
        <v>101</v>
      </c>
      <c r="I5874" t="s">
        <v>8507</v>
      </c>
      <c r="J5874" t="s">
        <v>294</v>
      </c>
      <c r="M5874" t="s">
        <v>295</v>
      </c>
      <c r="N5874" t="s">
        <v>7</v>
      </c>
      <c r="O5874" t="s">
        <v>297</v>
      </c>
    </row>
    <row r="5875" spans="1:15" x14ac:dyDescent="0.3">
      <c r="A5875" t="s">
        <v>8154</v>
      </c>
      <c r="B5875" t="s">
        <v>8411</v>
      </c>
      <c r="C5875">
        <v>2025</v>
      </c>
      <c r="D5875" t="s">
        <v>394</v>
      </c>
      <c r="E5875" t="s">
        <v>8508</v>
      </c>
      <c r="F5875">
        <v>0.4</v>
      </c>
      <c r="G5875" t="s">
        <v>334</v>
      </c>
      <c r="H5875">
        <v>111</v>
      </c>
      <c r="I5875" t="s">
        <v>8509</v>
      </c>
      <c r="J5875" t="s">
        <v>294</v>
      </c>
      <c r="M5875" t="s">
        <v>295</v>
      </c>
      <c r="N5875" t="s">
        <v>7</v>
      </c>
      <c r="O5875" t="s">
        <v>297</v>
      </c>
    </row>
    <row r="5876" spans="1:15" x14ac:dyDescent="0.3">
      <c r="A5876" t="s">
        <v>8154</v>
      </c>
      <c r="B5876" t="s">
        <v>8411</v>
      </c>
      <c r="C5876">
        <v>2025</v>
      </c>
      <c r="D5876" t="s">
        <v>563</v>
      </c>
      <c r="E5876" t="s">
        <v>8510</v>
      </c>
      <c r="F5876" t="s">
        <v>8511</v>
      </c>
      <c r="G5876" t="s">
        <v>292</v>
      </c>
      <c r="H5876">
        <v>112</v>
      </c>
      <c r="I5876" t="s">
        <v>8512</v>
      </c>
      <c r="J5876" t="s">
        <v>294</v>
      </c>
      <c r="M5876" t="s">
        <v>295</v>
      </c>
      <c r="N5876" t="s">
        <v>7</v>
      </c>
      <c r="O5876" t="s">
        <v>297</v>
      </c>
    </row>
    <row r="5877" spans="1:15" x14ac:dyDescent="0.3">
      <c r="A5877" t="s">
        <v>8154</v>
      </c>
      <c r="B5877" t="s">
        <v>8411</v>
      </c>
      <c r="C5877">
        <v>2025</v>
      </c>
      <c r="D5877" t="s">
        <v>563</v>
      </c>
      <c r="E5877" t="s">
        <v>8286</v>
      </c>
      <c r="F5877" t="s">
        <v>8403</v>
      </c>
      <c r="G5877" t="s">
        <v>384</v>
      </c>
      <c r="H5877">
        <v>99</v>
      </c>
      <c r="I5877" t="s">
        <v>8513</v>
      </c>
      <c r="J5877" t="s">
        <v>294</v>
      </c>
      <c r="M5877" t="s">
        <v>295</v>
      </c>
      <c r="N5877" t="s">
        <v>7</v>
      </c>
      <c r="O5877" t="s">
        <v>297</v>
      </c>
    </row>
    <row r="5878" spans="1:15" x14ac:dyDescent="0.3">
      <c r="A5878" t="s">
        <v>8514</v>
      </c>
      <c r="B5878" t="s">
        <v>8515</v>
      </c>
      <c r="C5878">
        <v>2023</v>
      </c>
      <c r="D5878" t="s">
        <v>272</v>
      </c>
      <c r="E5878" t="s">
        <v>291</v>
      </c>
      <c r="F5878" t="s">
        <v>8514</v>
      </c>
      <c r="G5878" t="s">
        <v>292</v>
      </c>
      <c r="H5878">
        <v>6</v>
      </c>
      <c r="I5878" t="s">
        <v>8516</v>
      </c>
      <c r="J5878" t="s">
        <v>294</v>
      </c>
      <c r="M5878" t="s">
        <v>295</v>
      </c>
      <c r="N5878" t="s">
        <v>7</v>
      </c>
      <c r="O5878" t="s">
        <v>297</v>
      </c>
    </row>
    <row r="5879" spans="1:15" x14ac:dyDescent="0.3">
      <c r="A5879" t="s">
        <v>8514</v>
      </c>
      <c r="B5879" t="s">
        <v>8515</v>
      </c>
      <c r="C5879">
        <v>2023</v>
      </c>
      <c r="D5879" t="s">
        <v>272</v>
      </c>
      <c r="E5879" t="s">
        <v>1</v>
      </c>
      <c r="F5879" t="s">
        <v>22</v>
      </c>
      <c r="G5879" t="s">
        <v>292</v>
      </c>
      <c r="H5879">
        <v>6</v>
      </c>
      <c r="I5879" t="s">
        <v>8517</v>
      </c>
      <c r="J5879" t="s">
        <v>294</v>
      </c>
      <c r="M5879" t="s">
        <v>295</v>
      </c>
      <c r="N5879" t="s">
        <v>7</v>
      </c>
      <c r="O5879" t="s">
        <v>297</v>
      </c>
    </row>
    <row r="5880" spans="1:15" x14ac:dyDescent="0.3">
      <c r="A5880" t="s">
        <v>8514</v>
      </c>
      <c r="B5880" t="s">
        <v>8515</v>
      </c>
      <c r="C5880">
        <v>2023</v>
      </c>
      <c r="D5880" t="s">
        <v>272</v>
      </c>
      <c r="E5880" t="s">
        <v>5647</v>
      </c>
      <c r="F5880" t="s">
        <v>8518</v>
      </c>
      <c r="G5880" t="s">
        <v>292</v>
      </c>
      <c r="H5880">
        <v>6</v>
      </c>
      <c r="I5880" t="s">
        <v>8519</v>
      </c>
      <c r="J5880" t="s">
        <v>294</v>
      </c>
      <c r="M5880" t="s">
        <v>295</v>
      </c>
      <c r="N5880" t="s">
        <v>7</v>
      </c>
      <c r="O5880" t="s">
        <v>297</v>
      </c>
    </row>
    <row r="5881" spans="1:15" x14ac:dyDescent="0.3">
      <c r="A5881" t="s">
        <v>8514</v>
      </c>
      <c r="B5881" t="s">
        <v>8515</v>
      </c>
      <c r="C5881">
        <v>2023</v>
      </c>
      <c r="D5881" t="s">
        <v>272</v>
      </c>
      <c r="E5881" t="s">
        <v>442</v>
      </c>
      <c r="F5881" t="s">
        <v>8520</v>
      </c>
      <c r="G5881" t="s">
        <v>334</v>
      </c>
      <c r="H5881">
        <v>78</v>
      </c>
      <c r="I5881" t="s">
        <v>8521</v>
      </c>
      <c r="J5881" t="s">
        <v>294</v>
      </c>
      <c r="M5881" t="s">
        <v>295</v>
      </c>
      <c r="N5881" t="s">
        <v>7</v>
      </c>
      <c r="O5881" t="s">
        <v>297</v>
      </c>
    </row>
    <row r="5882" spans="1:15" x14ac:dyDescent="0.3">
      <c r="A5882" t="s">
        <v>8514</v>
      </c>
      <c r="B5882" t="s">
        <v>8515</v>
      </c>
      <c r="C5882">
        <v>2023</v>
      </c>
      <c r="D5882" t="s">
        <v>272</v>
      </c>
      <c r="E5882" t="s">
        <v>8522</v>
      </c>
      <c r="F5882">
        <v>0.16220000000000001</v>
      </c>
      <c r="G5882" t="s">
        <v>334</v>
      </c>
      <c r="H5882">
        <v>6</v>
      </c>
      <c r="I5882" t="s">
        <v>8523</v>
      </c>
      <c r="J5882" t="s">
        <v>294</v>
      </c>
      <c r="M5882" t="s">
        <v>295</v>
      </c>
      <c r="N5882" t="s">
        <v>7</v>
      </c>
      <c r="O5882" t="s">
        <v>297</v>
      </c>
    </row>
    <row r="5883" spans="1:15" x14ac:dyDescent="0.3">
      <c r="A5883" t="s">
        <v>8514</v>
      </c>
      <c r="B5883" t="s">
        <v>8515</v>
      </c>
      <c r="C5883">
        <v>2023</v>
      </c>
      <c r="D5883" t="s">
        <v>272</v>
      </c>
      <c r="E5883" t="s">
        <v>8524</v>
      </c>
      <c r="F5883">
        <v>0.16220000000000001</v>
      </c>
      <c r="G5883" t="s">
        <v>334</v>
      </c>
      <c r="H5883">
        <v>6</v>
      </c>
      <c r="I5883" t="s">
        <v>8525</v>
      </c>
      <c r="J5883" t="s">
        <v>294</v>
      </c>
      <c r="M5883" t="s">
        <v>295</v>
      </c>
      <c r="N5883" t="s">
        <v>7</v>
      </c>
      <c r="O5883" t="s">
        <v>297</v>
      </c>
    </row>
    <row r="5884" spans="1:15" x14ac:dyDescent="0.3">
      <c r="A5884" t="s">
        <v>8514</v>
      </c>
      <c r="B5884" t="s">
        <v>8515</v>
      </c>
      <c r="C5884">
        <v>2023</v>
      </c>
      <c r="D5884" t="s">
        <v>272</v>
      </c>
      <c r="E5884" t="s">
        <v>445</v>
      </c>
      <c r="F5884">
        <v>7.4999999999999997E-2</v>
      </c>
      <c r="G5884" t="s">
        <v>334</v>
      </c>
      <c r="H5884">
        <v>6</v>
      </c>
      <c r="I5884" t="s">
        <v>8526</v>
      </c>
      <c r="J5884" t="s">
        <v>294</v>
      </c>
      <c r="M5884" t="s">
        <v>295</v>
      </c>
      <c r="N5884" t="s">
        <v>7</v>
      </c>
      <c r="O5884" t="s">
        <v>297</v>
      </c>
    </row>
    <row r="5885" spans="1:15" x14ac:dyDescent="0.3">
      <c r="A5885" t="s">
        <v>8514</v>
      </c>
      <c r="B5885" t="s">
        <v>8515</v>
      </c>
      <c r="C5885">
        <v>2023</v>
      </c>
      <c r="D5885" t="s">
        <v>272</v>
      </c>
      <c r="E5885" t="s">
        <v>2962</v>
      </c>
      <c r="F5885" t="s">
        <v>8527</v>
      </c>
      <c r="G5885" t="s">
        <v>292</v>
      </c>
      <c r="H5885">
        <v>6</v>
      </c>
      <c r="I5885" t="s">
        <v>8528</v>
      </c>
      <c r="J5885" t="s">
        <v>294</v>
      </c>
      <c r="M5885" t="s">
        <v>295</v>
      </c>
      <c r="N5885" t="s">
        <v>7</v>
      </c>
      <c r="O5885" t="s">
        <v>297</v>
      </c>
    </row>
    <row r="5886" spans="1:15" x14ac:dyDescent="0.3">
      <c r="A5886" t="s">
        <v>8514</v>
      </c>
      <c r="B5886" t="s">
        <v>8515</v>
      </c>
      <c r="C5886">
        <v>2023</v>
      </c>
      <c r="D5886" t="s">
        <v>272</v>
      </c>
      <c r="E5886" t="s">
        <v>2702</v>
      </c>
      <c r="F5886">
        <v>11359</v>
      </c>
      <c r="G5886" t="s">
        <v>1561</v>
      </c>
      <c r="H5886">
        <v>6</v>
      </c>
      <c r="I5886" t="s">
        <v>8529</v>
      </c>
      <c r="J5886" t="s">
        <v>294</v>
      </c>
      <c r="M5886" t="s">
        <v>295</v>
      </c>
      <c r="N5886" t="s">
        <v>7</v>
      </c>
      <c r="O5886" t="s">
        <v>297</v>
      </c>
    </row>
    <row r="5887" spans="1:15" x14ac:dyDescent="0.3">
      <c r="A5887" t="s">
        <v>8514</v>
      </c>
      <c r="B5887" t="s">
        <v>8515</v>
      </c>
      <c r="C5887">
        <v>2023</v>
      </c>
      <c r="D5887" t="s">
        <v>272</v>
      </c>
      <c r="E5887" t="s">
        <v>8027</v>
      </c>
      <c r="F5887">
        <v>9</v>
      </c>
      <c r="G5887" t="s">
        <v>384</v>
      </c>
      <c r="H5887">
        <v>78</v>
      </c>
      <c r="I5887" t="s">
        <v>8530</v>
      </c>
      <c r="J5887" t="s">
        <v>294</v>
      </c>
      <c r="M5887" t="s">
        <v>295</v>
      </c>
      <c r="N5887" t="s">
        <v>7</v>
      </c>
      <c r="O5887" t="s">
        <v>297</v>
      </c>
    </row>
    <row r="5888" spans="1:15" x14ac:dyDescent="0.3">
      <c r="A5888" t="s">
        <v>8514</v>
      </c>
      <c r="B5888" t="s">
        <v>8515</v>
      </c>
      <c r="C5888">
        <v>2023</v>
      </c>
      <c r="D5888" t="s">
        <v>300</v>
      </c>
      <c r="E5888" t="s">
        <v>301</v>
      </c>
      <c r="F5888">
        <v>4007</v>
      </c>
      <c r="G5888" t="s">
        <v>302</v>
      </c>
      <c r="H5888">
        <v>13</v>
      </c>
      <c r="I5888" t="s">
        <v>8531</v>
      </c>
      <c r="J5888" t="s">
        <v>294</v>
      </c>
      <c r="M5888" t="s">
        <v>295</v>
      </c>
      <c r="N5888" t="s">
        <v>7</v>
      </c>
      <c r="O5888" t="s">
        <v>297</v>
      </c>
    </row>
    <row r="5889" spans="1:15" x14ac:dyDescent="0.3">
      <c r="A5889" t="s">
        <v>8514</v>
      </c>
      <c r="B5889" t="s">
        <v>8515</v>
      </c>
      <c r="C5889">
        <v>2023</v>
      </c>
      <c r="D5889" t="s">
        <v>300</v>
      </c>
      <c r="E5889" t="s">
        <v>688</v>
      </c>
      <c r="F5889">
        <v>2937</v>
      </c>
      <c r="G5889" t="s">
        <v>302</v>
      </c>
      <c r="H5889">
        <v>13</v>
      </c>
      <c r="I5889" t="s">
        <v>8532</v>
      </c>
      <c r="J5889" t="s">
        <v>294</v>
      </c>
      <c r="M5889" t="s">
        <v>295</v>
      </c>
      <c r="N5889" t="s">
        <v>7</v>
      </c>
      <c r="O5889" t="s">
        <v>297</v>
      </c>
    </row>
    <row r="5890" spans="1:15" x14ac:dyDescent="0.3">
      <c r="A5890" t="s">
        <v>8514</v>
      </c>
      <c r="B5890" t="s">
        <v>8515</v>
      </c>
      <c r="C5890">
        <v>2023</v>
      </c>
      <c r="D5890" t="s">
        <v>300</v>
      </c>
      <c r="E5890" t="s">
        <v>304</v>
      </c>
      <c r="F5890">
        <v>1070</v>
      </c>
      <c r="G5890" t="s">
        <v>302</v>
      </c>
      <c r="H5890">
        <v>13</v>
      </c>
      <c r="I5890" t="s">
        <v>8533</v>
      </c>
      <c r="J5890" t="s">
        <v>294</v>
      </c>
      <c r="M5890" t="s">
        <v>295</v>
      </c>
      <c r="N5890" t="s">
        <v>7</v>
      </c>
      <c r="O5890" t="s">
        <v>297</v>
      </c>
    </row>
    <row r="5891" spans="1:15" x14ac:dyDescent="0.3">
      <c r="A5891" t="s">
        <v>8514</v>
      </c>
      <c r="B5891" t="s">
        <v>8515</v>
      </c>
      <c r="C5891">
        <v>2023</v>
      </c>
      <c r="D5891" t="s">
        <v>300</v>
      </c>
      <c r="E5891" t="s">
        <v>3633</v>
      </c>
      <c r="F5891">
        <v>710</v>
      </c>
      <c r="G5891" t="s">
        <v>302</v>
      </c>
      <c r="H5891">
        <v>13</v>
      </c>
      <c r="I5891" t="s">
        <v>8534</v>
      </c>
      <c r="J5891" t="s">
        <v>294</v>
      </c>
      <c r="M5891" t="s">
        <v>295</v>
      </c>
      <c r="N5891" t="s">
        <v>7</v>
      </c>
      <c r="O5891" t="s">
        <v>297</v>
      </c>
    </row>
    <row r="5892" spans="1:15" x14ac:dyDescent="0.3">
      <c r="A5892" t="s">
        <v>8514</v>
      </c>
      <c r="B5892" t="s">
        <v>8515</v>
      </c>
      <c r="C5892">
        <v>2023</v>
      </c>
      <c r="D5892" t="s">
        <v>300</v>
      </c>
      <c r="E5892" t="s">
        <v>1216</v>
      </c>
      <c r="F5892">
        <v>108</v>
      </c>
      <c r="G5892" t="s">
        <v>302</v>
      </c>
      <c r="H5892">
        <v>13</v>
      </c>
      <c r="I5892" t="s">
        <v>8535</v>
      </c>
      <c r="J5892" t="s">
        <v>294</v>
      </c>
      <c r="M5892" t="s">
        <v>295</v>
      </c>
      <c r="N5892" t="s">
        <v>7</v>
      </c>
      <c r="O5892" t="s">
        <v>297</v>
      </c>
    </row>
    <row r="5893" spans="1:15" x14ac:dyDescent="0.3">
      <c r="A5893" t="s">
        <v>8514</v>
      </c>
      <c r="B5893" t="s">
        <v>8515</v>
      </c>
      <c r="C5893">
        <v>2023</v>
      </c>
      <c r="D5893" t="s">
        <v>300</v>
      </c>
      <c r="E5893" t="s">
        <v>459</v>
      </c>
      <c r="F5893">
        <v>621</v>
      </c>
      <c r="G5893" t="s">
        <v>302</v>
      </c>
      <c r="H5893">
        <v>13</v>
      </c>
      <c r="I5893" t="s">
        <v>8536</v>
      </c>
      <c r="J5893" t="s">
        <v>294</v>
      </c>
      <c r="M5893" t="s">
        <v>295</v>
      </c>
      <c r="N5893" t="s">
        <v>7</v>
      </c>
      <c r="O5893" t="s">
        <v>297</v>
      </c>
    </row>
    <row r="5894" spans="1:15" x14ac:dyDescent="0.3">
      <c r="A5894" t="s">
        <v>8514</v>
      </c>
      <c r="B5894" t="s">
        <v>8515</v>
      </c>
      <c r="C5894">
        <v>2023</v>
      </c>
      <c r="D5894" t="s">
        <v>300</v>
      </c>
      <c r="E5894" t="s">
        <v>581</v>
      </c>
      <c r="F5894">
        <v>169</v>
      </c>
      <c r="G5894" t="s">
        <v>302</v>
      </c>
      <c r="H5894">
        <v>13</v>
      </c>
      <c r="I5894" t="s">
        <v>8537</v>
      </c>
      <c r="J5894" t="s">
        <v>294</v>
      </c>
      <c r="M5894" t="s">
        <v>295</v>
      </c>
      <c r="N5894" t="s">
        <v>7</v>
      </c>
      <c r="O5894" t="s">
        <v>297</v>
      </c>
    </row>
    <row r="5895" spans="1:15" x14ac:dyDescent="0.3">
      <c r="A5895" t="s">
        <v>8514</v>
      </c>
      <c r="B5895" t="s">
        <v>8515</v>
      </c>
      <c r="C5895">
        <v>2023</v>
      </c>
      <c r="D5895" t="s">
        <v>300</v>
      </c>
      <c r="E5895" t="s">
        <v>306</v>
      </c>
      <c r="F5895">
        <v>452</v>
      </c>
      <c r="G5895" t="s">
        <v>302</v>
      </c>
      <c r="H5895">
        <v>13</v>
      </c>
      <c r="I5895" t="s">
        <v>8538</v>
      </c>
      <c r="J5895" t="s">
        <v>294</v>
      </c>
      <c r="M5895" t="s">
        <v>295</v>
      </c>
      <c r="N5895" t="s">
        <v>7</v>
      </c>
      <c r="O5895" t="s">
        <v>297</v>
      </c>
    </row>
    <row r="5896" spans="1:15" x14ac:dyDescent="0.3">
      <c r="A5896" t="s">
        <v>8514</v>
      </c>
      <c r="B5896" t="s">
        <v>8515</v>
      </c>
      <c r="C5896">
        <v>2023</v>
      </c>
      <c r="D5896" t="s">
        <v>300</v>
      </c>
      <c r="E5896" t="s">
        <v>308</v>
      </c>
      <c r="F5896">
        <v>452</v>
      </c>
      <c r="G5896" t="s">
        <v>302</v>
      </c>
      <c r="H5896">
        <v>14</v>
      </c>
      <c r="I5896" t="s">
        <v>8539</v>
      </c>
      <c r="J5896" t="s">
        <v>294</v>
      </c>
      <c r="M5896" t="s">
        <v>295</v>
      </c>
      <c r="N5896" t="s">
        <v>7</v>
      </c>
      <c r="O5896" t="s">
        <v>297</v>
      </c>
    </row>
    <row r="5897" spans="1:15" x14ac:dyDescent="0.3">
      <c r="A5897" t="s">
        <v>8514</v>
      </c>
      <c r="B5897" t="s">
        <v>8515</v>
      </c>
      <c r="C5897">
        <v>2023</v>
      </c>
      <c r="D5897" t="s">
        <v>300</v>
      </c>
      <c r="E5897" t="s">
        <v>316</v>
      </c>
      <c r="F5897">
        <v>5424</v>
      </c>
      <c r="G5897" t="s">
        <v>302</v>
      </c>
      <c r="H5897">
        <v>13</v>
      </c>
      <c r="I5897" t="s">
        <v>8540</v>
      </c>
      <c r="J5897" t="s">
        <v>294</v>
      </c>
      <c r="M5897" t="s">
        <v>295</v>
      </c>
      <c r="N5897" t="s">
        <v>7</v>
      </c>
      <c r="O5897" t="s">
        <v>297</v>
      </c>
    </row>
    <row r="5898" spans="1:15" x14ac:dyDescent="0.3">
      <c r="A5898" t="s">
        <v>8514</v>
      </c>
      <c r="B5898" t="s">
        <v>8515</v>
      </c>
      <c r="C5898">
        <v>2023</v>
      </c>
      <c r="D5898" t="s">
        <v>300</v>
      </c>
      <c r="E5898" t="s">
        <v>312</v>
      </c>
      <c r="F5898">
        <v>1614</v>
      </c>
      <c r="G5898" t="s">
        <v>302</v>
      </c>
      <c r="H5898">
        <v>13</v>
      </c>
      <c r="I5898" t="s">
        <v>8541</v>
      </c>
      <c r="J5898" t="s">
        <v>294</v>
      </c>
      <c r="M5898" t="s">
        <v>295</v>
      </c>
      <c r="N5898" t="s">
        <v>7</v>
      </c>
      <c r="O5898" t="s">
        <v>297</v>
      </c>
    </row>
    <row r="5899" spans="1:15" x14ac:dyDescent="0.3">
      <c r="A5899" t="s">
        <v>8514</v>
      </c>
      <c r="B5899" t="s">
        <v>8515</v>
      </c>
      <c r="C5899">
        <v>2023</v>
      </c>
      <c r="D5899" t="s">
        <v>300</v>
      </c>
      <c r="E5899" t="s">
        <v>314</v>
      </c>
      <c r="F5899">
        <v>3810</v>
      </c>
      <c r="G5899" t="s">
        <v>302</v>
      </c>
      <c r="H5899">
        <v>13</v>
      </c>
      <c r="I5899" t="s">
        <v>8542</v>
      </c>
      <c r="J5899" t="s">
        <v>294</v>
      </c>
      <c r="M5899" t="s">
        <v>295</v>
      </c>
      <c r="N5899" t="s">
        <v>7</v>
      </c>
      <c r="O5899" t="s">
        <v>297</v>
      </c>
    </row>
    <row r="5900" spans="1:15" x14ac:dyDescent="0.3">
      <c r="A5900" t="s">
        <v>8514</v>
      </c>
      <c r="B5900" t="s">
        <v>8515</v>
      </c>
      <c r="C5900">
        <v>2023</v>
      </c>
      <c r="D5900" t="s">
        <v>300</v>
      </c>
      <c r="E5900" t="s">
        <v>322</v>
      </c>
      <c r="F5900">
        <v>2966</v>
      </c>
      <c r="G5900" t="s">
        <v>302</v>
      </c>
      <c r="H5900">
        <v>13</v>
      </c>
      <c r="I5900" t="s">
        <v>8543</v>
      </c>
      <c r="J5900" t="s">
        <v>294</v>
      </c>
      <c r="M5900" t="s">
        <v>295</v>
      </c>
      <c r="N5900" t="s">
        <v>7</v>
      </c>
      <c r="O5900" t="s">
        <v>297</v>
      </c>
    </row>
    <row r="5901" spans="1:15" x14ac:dyDescent="0.3">
      <c r="A5901" t="s">
        <v>8514</v>
      </c>
      <c r="B5901" t="s">
        <v>8515</v>
      </c>
      <c r="C5901">
        <v>2023</v>
      </c>
      <c r="D5901" t="s">
        <v>300</v>
      </c>
      <c r="E5901" t="s">
        <v>318</v>
      </c>
      <c r="F5901">
        <v>1690</v>
      </c>
      <c r="G5901" t="s">
        <v>302</v>
      </c>
      <c r="H5901">
        <v>13</v>
      </c>
      <c r="I5901" t="s">
        <v>8544</v>
      </c>
      <c r="J5901" t="s">
        <v>294</v>
      </c>
      <c r="M5901" t="s">
        <v>295</v>
      </c>
      <c r="N5901" t="s">
        <v>7</v>
      </c>
      <c r="O5901" t="s">
        <v>297</v>
      </c>
    </row>
    <row r="5902" spans="1:15" x14ac:dyDescent="0.3">
      <c r="A5902" t="s">
        <v>8514</v>
      </c>
      <c r="B5902" t="s">
        <v>8515</v>
      </c>
      <c r="C5902">
        <v>2023</v>
      </c>
      <c r="D5902" t="s">
        <v>300</v>
      </c>
      <c r="E5902" t="s">
        <v>468</v>
      </c>
      <c r="F5902">
        <v>1276</v>
      </c>
      <c r="G5902" t="s">
        <v>302</v>
      </c>
      <c r="H5902">
        <v>13</v>
      </c>
      <c r="I5902" t="s">
        <v>8545</v>
      </c>
      <c r="J5902" t="s">
        <v>294</v>
      </c>
      <c r="M5902" t="s">
        <v>295</v>
      </c>
      <c r="N5902" t="s">
        <v>7</v>
      </c>
      <c r="O5902" t="s">
        <v>297</v>
      </c>
    </row>
    <row r="5903" spans="1:15" x14ac:dyDescent="0.3">
      <c r="A5903" t="s">
        <v>8514</v>
      </c>
      <c r="B5903" t="s">
        <v>8515</v>
      </c>
      <c r="C5903">
        <v>2023</v>
      </c>
      <c r="D5903" t="s">
        <v>300</v>
      </c>
      <c r="E5903" t="s">
        <v>324</v>
      </c>
      <c r="F5903">
        <v>2458</v>
      </c>
      <c r="G5903" t="s">
        <v>302</v>
      </c>
      <c r="H5903">
        <v>13</v>
      </c>
      <c r="I5903" t="s">
        <v>8546</v>
      </c>
      <c r="J5903" t="s">
        <v>294</v>
      </c>
      <c r="M5903" t="s">
        <v>295</v>
      </c>
      <c r="N5903" t="s">
        <v>7</v>
      </c>
      <c r="O5903" t="s">
        <v>297</v>
      </c>
    </row>
    <row r="5904" spans="1:15" x14ac:dyDescent="0.3">
      <c r="A5904" t="s">
        <v>8514</v>
      </c>
      <c r="B5904" t="s">
        <v>8515</v>
      </c>
      <c r="C5904">
        <v>2023</v>
      </c>
      <c r="D5904" t="s">
        <v>300</v>
      </c>
      <c r="E5904" t="s">
        <v>471</v>
      </c>
      <c r="F5904">
        <v>583</v>
      </c>
      <c r="G5904" t="s">
        <v>302</v>
      </c>
      <c r="H5904">
        <v>14</v>
      </c>
      <c r="I5904" t="s">
        <v>8547</v>
      </c>
      <c r="J5904" t="s">
        <v>294</v>
      </c>
      <c r="M5904" t="s">
        <v>295</v>
      </c>
      <c r="N5904" t="s">
        <v>7</v>
      </c>
      <c r="O5904" t="s">
        <v>297</v>
      </c>
    </row>
    <row r="5905" spans="1:15" x14ac:dyDescent="0.3">
      <c r="A5905" t="s">
        <v>8514</v>
      </c>
      <c r="B5905" t="s">
        <v>8515</v>
      </c>
      <c r="C5905">
        <v>2023</v>
      </c>
      <c r="D5905" t="s">
        <v>300</v>
      </c>
      <c r="E5905" t="s">
        <v>8548</v>
      </c>
      <c r="F5905">
        <v>964</v>
      </c>
      <c r="G5905" t="s">
        <v>302</v>
      </c>
      <c r="H5905" t="s">
        <v>8549</v>
      </c>
      <c r="I5905" t="s">
        <v>8550</v>
      </c>
      <c r="J5905" t="s">
        <v>294</v>
      </c>
      <c r="M5905" t="s">
        <v>295</v>
      </c>
      <c r="N5905" t="s">
        <v>7</v>
      </c>
      <c r="O5905" t="s">
        <v>297</v>
      </c>
    </row>
    <row r="5906" spans="1:15" x14ac:dyDescent="0.3">
      <c r="A5906" t="s">
        <v>8514</v>
      </c>
      <c r="B5906" t="s">
        <v>8515</v>
      </c>
      <c r="C5906">
        <v>2023</v>
      </c>
      <c r="D5906" t="s">
        <v>300</v>
      </c>
      <c r="E5906" t="s">
        <v>601</v>
      </c>
      <c r="F5906">
        <v>1314</v>
      </c>
      <c r="G5906" t="s">
        <v>302</v>
      </c>
      <c r="H5906">
        <v>14</v>
      </c>
      <c r="I5906" t="s">
        <v>8551</v>
      </c>
      <c r="J5906" t="s">
        <v>294</v>
      </c>
      <c r="M5906" t="s">
        <v>295</v>
      </c>
      <c r="N5906" t="s">
        <v>7</v>
      </c>
      <c r="O5906" t="s">
        <v>297</v>
      </c>
    </row>
    <row r="5907" spans="1:15" x14ac:dyDescent="0.3">
      <c r="A5907" t="s">
        <v>8514</v>
      </c>
      <c r="B5907" t="s">
        <v>8515</v>
      </c>
      <c r="C5907">
        <v>2023</v>
      </c>
      <c r="D5907" t="s">
        <v>300</v>
      </c>
      <c r="E5907" t="s">
        <v>603</v>
      </c>
      <c r="F5907">
        <v>-410</v>
      </c>
      <c r="G5907" t="s">
        <v>302</v>
      </c>
      <c r="H5907">
        <v>14</v>
      </c>
      <c r="I5907" t="s">
        <v>8552</v>
      </c>
      <c r="J5907" t="s">
        <v>294</v>
      </c>
      <c r="M5907" t="s">
        <v>295</v>
      </c>
      <c r="N5907" t="s">
        <v>7</v>
      </c>
      <c r="O5907" t="s">
        <v>297</v>
      </c>
    </row>
    <row r="5908" spans="1:15" x14ac:dyDescent="0.3">
      <c r="A5908" t="s">
        <v>8514</v>
      </c>
      <c r="B5908" t="s">
        <v>8515</v>
      </c>
      <c r="C5908">
        <v>2023</v>
      </c>
      <c r="D5908" t="s">
        <v>300</v>
      </c>
      <c r="E5908" t="s">
        <v>716</v>
      </c>
      <c r="F5908">
        <v>-908</v>
      </c>
      <c r="G5908" t="s">
        <v>302</v>
      </c>
      <c r="H5908">
        <v>14</v>
      </c>
      <c r="I5908" t="s">
        <v>8553</v>
      </c>
      <c r="J5908" t="s">
        <v>294</v>
      </c>
      <c r="M5908" t="s">
        <v>295</v>
      </c>
      <c r="N5908" t="s">
        <v>7</v>
      </c>
      <c r="O5908" t="s">
        <v>297</v>
      </c>
    </row>
    <row r="5909" spans="1:15" x14ac:dyDescent="0.3">
      <c r="A5909" t="s">
        <v>8514</v>
      </c>
      <c r="B5909" t="s">
        <v>8515</v>
      </c>
      <c r="C5909">
        <v>2023</v>
      </c>
      <c r="D5909" t="s">
        <v>300</v>
      </c>
      <c r="E5909" t="s">
        <v>8554</v>
      </c>
      <c r="F5909">
        <v>386</v>
      </c>
      <c r="G5909" t="s">
        <v>302</v>
      </c>
      <c r="H5909">
        <v>105</v>
      </c>
      <c r="I5909" t="s">
        <v>8555</v>
      </c>
      <c r="J5909" t="s">
        <v>294</v>
      </c>
      <c r="M5909" t="s">
        <v>295</v>
      </c>
      <c r="N5909" t="s">
        <v>7</v>
      </c>
      <c r="O5909" t="s">
        <v>297</v>
      </c>
    </row>
    <row r="5910" spans="1:15" x14ac:dyDescent="0.3">
      <c r="A5910" t="s">
        <v>8514</v>
      </c>
      <c r="B5910" t="s">
        <v>8515</v>
      </c>
      <c r="C5910">
        <v>2023</v>
      </c>
      <c r="D5910" t="s">
        <v>300</v>
      </c>
      <c r="E5910" t="s">
        <v>345</v>
      </c>
      <c r="F5910">
        <v>34.9</v>
      </c>
      <c r="G5910" t="s">
        <v>346</v>
      </c>
      <c r="H5910">
        <v>14</v>
      </c>
      <c r="I5910" t="s">
        <v>8556</v>
      </c>
      <c r="J5910" t="s">
        <v>294</v>
      </c>
      <c r="M5910" t="s">
        <v>295</v>
      </c>
      <c r="N5910" t="s">
        <v>7</v>
      </c>
      <c r="O5910" t="s">
        <v>297</v>
      </c>
    </row>
    <row r="5911" spans="1:15" x14ac:dyDescent="0.3">
      <c r="A5911" t="s">
        <v>8514</v>
      </c>
      <c r="B5911" t="s">
        <v>8515</v>
      </c>
      <c r="C5911">
        <v>2023</v>
      </c>
      <c r="D5911" t="s">
        <v>300</v>
      </c>
      <c r="E5911" t="s">
        <v>342</v>
      </c>
      <c r="F5911">
        <v>12947</v>
      </c>
      <c r="G5911" t="s">
        <v>497</v>
      </c>
      <c r="H5911">
        <v>16</v>
      </c>
      <c r="I5911" t="s">
        <v>8557</v>
      </c>
      <c r="J5911" t="s">
        <v>294</v>
      </c>
      <c r="M5911" t="s">
        <v>295</v>
      </c>
      <c r="N5911" t="s">
        <v>7</v>
      </c>
      <c r="O5911" t="s">
        <v>297</v>
      </c>
    </row>
    <row r="5912" spans="1:15" x14ac:dyDescent="0.3">
      <c r="A5912" t="s">
        <v>8514</v>
      </c>
      <c r="B5912" t="s">
        <v>8515</v>
      </c>
      <c r="C5912">
        <v>2023</v>
      </c>
      <c r="D5912" t="s">
        <v>300</v>
      </c>
      <c r="E5912" t="s">
        <v>1135</v>
      </c>
      <c r="F5912">
        <v>450</v>
      </c>
      <c r="G5912" t="s">
        <v>346</v>
      </c>
      <c r="H5912">
        <v>16</v>
      </c>
      <c r="I5912" t="s">
        <v>8558</v>
      </c>
      <c r="J5912" t="s">
        <v>294</v>
      </c>
      <c r="M5912" t="s">
        <v>295</v>
      </c>
      <c r="N5912" t="s">
        <v>7</v>
      </c>
      <c r="O5912" t="s">
        <v>297</v>
      </c>
    </row>
    <row r="5913" spans="1:15" x14ac:dyDescent="0.3">
      <c r="A5913" t="s">
        <v>8514</v>
      </c>
      <c r="B5913" t="s">
        <v>8515</v>
      </c>
      <c r="C5913">
        <v>2023</v>
      </c>
      <c r="D5913" t="s">
        <v>300</v>
      </c>
      <c r="E5913" t="s">
        <v>3292</v>
      </c>
      <c r="F5913">
        <v>5826</v>
      </c>
      <c r="G5913" t="s">
        <v>302</v>
      </c>
      <c r="H5913">
        <v>16</v>
      </c>
      <c r="I5913" t="s">
        <v>8559</v>
      </c>
      <c r="J5913" t="s">
        <v>294</v>
      </c>
      <c r="M5913" t="s">
        <v>295</v>
      </c>
      <c r="N5913" t="s">
        <v>7</v>
      </c>
      <c r="O5913" t="s">
        <v>297</v>
      </c>
    </row>
    <row r="5914" spans="1:15" x14ac:dyDescent="0.3">
      <c r="A5914" t="s">
        <v>8514</v>
      </c>
      <c r="B5914" t="s">
        <v>8515</v>
      </c>
      <c r="C5914">
        <v>2023</v>
      </c>
      <c r="D5914" t="s">
        <v>300</v>
      </c>
      <c r="E5914" t="s">
        <v>326</v>
      </c>
      <c r="F5914">
        <v>1</v>
      </c>
      <c r="G5914" t="s">
        <v>327</v>
      </c>
      <c r="H5914">
        <v>14</v>
      </c>
      <c r="I5914" t="s">
        <v>8560</v>
      </c>
      <c r="J5914" t="s">
        <v>294</v>
      </c>
      <c r="M5914" t="s">
        <v>295</v>
      </c>
      <c r="N5914" t="s">
        <v>7</v>
      </c>
      <c r="O5914" t="s">
        <v>297</v>
      </c>
    </row>
    <row r="5915" spans="1:15" x14ac:dyDescent="0.3">
      <c r="A5915" t="s">
        <v>8514</v>
      </c>
      <c r="B5915" t="s">
        <v>8515</v>
      </c>
      <c r="C5915">
        <v>2023</v>
      </c>
      <c r="D5915" t="s">
        <v>300</v>
      </c>
      <c r="E5915" t="s">
        <v>4895</v>
      </c>
      <c r="F5915">
        <v>0.3</v>
      </c>
      <c r="G5915" t="s">
        <v>327</v>
      </c>
      <c r="H5915">
        <v>14</v>
      </c>
      <c r="I5915" t="s">
        <v>8561</v>
      </c>
      <c r="J5915" t="s">
        <v>294</v>
      </c>
      <c r="M5915" t="s">
        <v>295</v>
      </c>
      <c r="N5915" t="s">
        <v>7</v>
      </c>
      <c r="O5915" t="s">
        <v>297</v>
      </c>
    </row>
    <row r="5916" spans="1:15" x14ac:dyDescent="0.3">
      <c r="A5916" t="s">
        <v>8514</v>
      </c>
      <c r="B5916" t="s">
        <v>8515</v>
      </c>
      <c r="C5916">
        <v>2023</v>
      </c>
      <c r="D5916" t="s">
        <v>300</v>
      </c>
      <c r="E5916" t="s">
        <v>8562</v>
      </c>
      <c r="F5916">
        <v>1.2</v>
      </c>
      <c r="G5916" t="s">
        <v>327</v>
      </c>
      <c r="H5916">
        <v>14</v>
      </c>
      <c r="I5916" t="s">
        <v>8563</v>
      </c>
      <c r="J5916" t="s">
        <v>294</v>
      </c>
      <c r="M5916" t="s">
        <v>295</v>
      </c>
      <c r="N5916" t="s">
        <v>7</v>
      </c>
      <c r="O5916" t="s">
        <v>297</v>
      </c>
    </row>
    <row r="5917" spans="1:15" x14ac:dyDescent="0.3">
      <c r="A5917" t="s">
        <v>8514</v>
      </c>
      <c r="B5917" t="s">
        <v>8515</v>
      </c>
      <c r="C5917">
        <v>2023</v>
      </c>
      <c r="D5917" t="s">
        <v>300</v>
      </c>
      <c r="E5917" t="s">
        <v>8564</v>
      </c>
      <c r="F5917">
        <v>0.4</v>
      </c>
      <c r="G5917" t="s">
        <v>327</v>
      </c>
      <c r="H5917">
        <v>104</v>
      </c>
      <c r="I5917" t="s">
        <v>8565</v>
      </c>
      <c r="J5917" t="s">
        <v>294</v>
      </c>
      <c r="M5917" t="s">
        <v>295</v>
      </c>
      <c r="N5917" t="s">
        <v>7</v>
      </c>
      <c r="O5917" t="s">
        <v>297</v>
      </c>
    </row>
    <row r="5918" spans="1:15" x14ac:dyDescent="0.3">
      <c r="A5918" t="s">
        <v>8514</v>
      </c>
      <c r="B5918" t="s">
        <v>8515</v>
      </c>
      <c r="C5918">
        <v>2023</v>
      </c>
      <c r="D5918" t="s">
        <v>300</v>
      </c>
      <c r="E5918" t="s">
        <v>1187</v>
      </c>
      <c r="F5918">
        <v>0.26700000000000002</v>
      </c>
      <c r="G5918" t="s">
        <v>334</v>
      </c>
      <c r="H5918">
        <v>14</v>
      </c>
      <c r="I5918" t="s">
        <v>8566</v>
      </c>
      <c r="J5918" t="s">
        <v>294</v>
      </c>
      <c r="M5918" t="s">
        <v>295</v>
      </c>
      <c r="N5918" t="s">
        <v>7</v>
      </c>
      <c r="O5918" t="s">
        <v>297</v>
      </c>
    </row>
    <row r="5919" spans="1:15" x14ac:dyDescent="0.3">
      <c r="A5919" t="s">
        <v>8514</v>
      </c>
      <c r="B5919" t="s">
        <v>8515</v>
      </c>
      <c r="C5919">
        <v>2023</v>
      </c>
      <c r="D5919" t="s">
        <v>300</v>
      </c>
      <c r="E5919" t="s">
        <v>4352</v>
      </c>
      <c r="F5919">
        <v>0.17699999999999999</v>
      </c>
      <c r="G5919" t="s">
        <v>334</v>
      </c>
      <c r="H5919">
        <v>14</v>
      </c>
      <c r="I5919" t="s">
        <v>8567</v>
      </c>
      <c r="J5919" t="s">
        <v>294</v>
      </c>
      <c r="M5919" t="s">
        <v>295</v>
      </c>
      <c r="N5919" t="s">
        <v>7</v>
      </c>
      <c r="O5919" t="s">
        <v>297</v>
      </c>
    </row>
    <row r="5920" spans="1:15" x14ac:dyDescent="0.3">
      <c r="A5920" t="s">
        <v>8514</v>
      </c>
      <c r="B5920" t="s">
        <v>8515</v>
      </c>
      <c r="C5920">
        <v>2023</v>
      </c>
      <c r="D5920" t="s">
        <v>300</v>
      </c>
      <c r="E5920" t="s">
        <v>903</v>
      </c>
      <c r="F5920">
        <v>0.113</v>
      </c>
      <c r="G5920" t="s">
        <v>334</v>
      </c>
      <c r="H5920">
        <v>14</v>
      </c>
      <c r="I5920" t="s">
        <v>8568</v>
      </c>
      <c r="J5920" t="s">
        <v>294</v>
      </c>
      <c r="M5920" t="s">
        <v>295</v>
      </c>
      <c r="N5920" t="s">
        <v>7</v>
      </c>
      <c r="O5920" t="s">
        <v>297</v>
      </c>
    </row>
    <row r="5921" spans="1:15" x14ac:dyDescent="0.3">
      <c r="A5921" t="s">
        <v>8514</v>
      </c>
      <c r="B5921" t="s">
        <v>8515</v>
      </c>
      <c r="C5921">
        <v>2023</v>
      </c>
      <c r="D5921" t="s">
        <v>300</v>
      </c>
      <c r="E5921" t="s">
        <v>3054</v>
      </c>
      <c r="F5921">
        <v>0.184</v>
      </c>
      <c r="G5921" t="s">
        <v>334</v>
      </c>
      <c r="H5921">
        <v>14</v>
      </c>
      <c r="I5921" t="s">
        <v>8569</v>
      </c>
      <c r="J5921" t="s">
        <v>294</v>
      </c>
      <c r="M5921" t="s">
        <v>295</v>
      </c>
      <c r="N5921" t="s">
        <v>7</v>
      </c>
      <c r="O5921" t="s">
        <v>297</v>
      </c>
    </row>
    <row r="5922" spans="1:15" x14ac:dyDescent="0.3">
      <c r="A5922" t="s">
        <v>8514</v>
      </c>
      <c r="B5922" t="s">
        <v>8515</v>
      </c>
      <c r="C5922">
        <v>2023</v>
      </c>
      <c r="D5922" t="s">
        <v>300</v>
      </c>
      <c r="E5922" t="s">
        <v>3052</v>
      </c>
      <c r="F5922">
        <v>8.3000000000000004E-2</v>
      </c>
      <c r="G5922" t="s">
        <v>334</v>
      </c>
      <c r="H5922">
        <v>14</v>
      </c>
      <c r="I5922" t="s">
        <v>8570</v>
      </c>
      <c r="J5922" t="s">
        <v>294</v>
      </c>
      <c r="M5922" t="s">
        <v>295</v>
      </c>
      <c r="N5922" t="s">
        <v>7</v>
      </c>
      <c r="O5922" t="s">
        <v>297</v>
      </c>
    </row>
    <row r="5923" spans="1:15" x14ac:dyDescent="0.3">
      <c r="A5923" t="s">
        <v>8514</v>
      </c>
      <c r="B5923" t="s">
        <v>8515</v>
      </c>
      <c r="C5923">
        <v>2023</v>
      </c>
      <c r="D5923" t="s">
        <v>300</v>
      </c>
      <c r="E5923" t="s">
        <v>8571</v>
      </c>
      <c r="F5923">
        <v>13.52</v>
      </c>
      <c r="G5923" t="s">
        <v>346</v>
      </c>
      <c r="H5923">
        <v>107</v>
      </c>
      <c r="I5923" t="s">
        <v>8572</v>
      </c>
      <c r="J5923" t="s">
        <v>294</v>
      </c>
      <c r="M5923" t="s">
        <v>295</v>
      </c>
      <c r="N5923" t="s">
        <v>7</v>
      </c>
      <c r="O5923" t="s">
        <v>297</v>
      </c>
    </row>
    <row r="5924" spans="1:15" x14ac:dyDescent="0.3">
      <c r="A5924" t="s">
        <v>8514</v>
      </c>
      <c r="B5924" t="s">
        <v>8515</v>
      </c>
      <c r="C5924">
        <v>2023</v>
      </c>
      <c r="D5924" t="s">
        <v>300</v>
      </c>
      <c r="E5924" t="s">
        <v>8573</v>
      </c>
      <c r="F5924">
        <v>386</v>
      </c>
      <c r="G5924" t="s">
        <v>302</v>
      </c>
      <c r="H5924">
        <v>105</v>
      </c>
      <c r="I5924" t="s">
        <v>8574</v>
      </c>
      <c r="J5924" t="s">
        <v>294</v>
      </c>
      <c r="M5924" t="s">
        <v>295</v>
      </c>
      <c r="N5924" t="s">
        <v>7</v>
      </c>
      <c r="O5924" t="s">
        <v>297</v>
      </c>
    </row>
    <row r="5925" spans="1:15" x14ac:dyDescent="0.3">
      <c r="A5925" t="s">
        <v>8514</v>
      </c>
      <c r="B5925" t="s">
        <v>8515</v>
      </c>
      <c r="C5925">
        <v>2023</v>
      </c>
      <c r="D5925" t="s">
        <v>358</v>
      </c>
      <c r="E5925" t="s">
        <v>504</v>
      </c>
      <c r="F5925">
        <v>60497</v>
      </c>
      <c r="G5925" t="s">
        <v>360</v>
      </c>
      <c r="H5925">
        <v>53</v>
      </c>
      <c r="I5925" t="s">
        <v>8575</v>
      </c>
      <c r="J5925" t="s">
        <v>294</v>
      </c>
      <c r="M5925" t="s">
        <v>295</v>
      </c>
      <c r="N5925" t="s">
        <v>7</v>
      </c>
      <c r="O5925" t="s">
        <v>297</v>
      </c>
    </row>
    <row r="5926" spans="1:15" x14ac:dyDescent="0.3">
      <c r="A5926" t="s">
        <v>8514</v>
      </c>
      <c r="B5926" t="s">
        <v>8515</v>
      </c>
      <c r="C5926">
        <v>2023</v>
      </c>
      <c r="D5926" t="s">
        <v>358</v>
      </c>
      <c r="E5926" t="s">
        <v>362</v>
      </c>
      <c r="F5926">
        <v>48524</v>
      </c>
      <c r="G5926" t="s">
        <v>360</v>
      </c>
      <c r="H5926">
        <v>53</v>
      </c>
      <c r="I5926" t="s">
        <v>8576</v>
      </c>
      <c r="J5926" t="s">
        <v>294</v>
      </c>
      <c r="M5926" t="s">
        <v>295</v>
      </c>
      <c r="N5926" t="s">
        <v>7</v>
      </c>
      <c r="O5926" t="s">
        <v>297</v>
      </c>
    </row>
    <row r="5927" spans="1:15" x14ac:dyDescent="0.3">
      <c r="A5927" t="s">
        <v>8514</v>
      </c>
      <c r="B5927" t="s">
        <v>8515</v>
      </c>
      <c r="C5927">
        <v>2023</v>
      </c>
      <c r="D5927" t="s">
        <v>358</v>
      </c>
      <c r="E5927" t="s">
        <v>364</v>
      </c>
      <c r="F5927">
        <v>11973</v>
      </c>
      <c r="G5927" t="s">
        <v>360</v>
      </c>
      <c r="H5927">
        <v>53</v>
      </c>
      <c r="I5927" t="s">
        <v>8577</v>
      </c>
      <c r="J5927" t="s">
        <v>294</v>
      </c>
      <c r="M5927" t="s">
        <v>295</v>
      </c>
      <c r="N5927" t="s">
        <v>7</v>
      </c>
      <c r="O5927" t="s">
        <v>297</v>
      </c>
    </row>
    <row r="5928" spans="1:15" x14ac:dyDescent="0.3">
      <c r="A5928" t="s">
        <v>8514</v>
      </c>
      <c r="B5928" t="s">
        <v>8515</v>
      </c>
      <c r="C5928">
        <v>2023</v>
      </c>
      <c r="D5928" t="s">
        <v>358</v>
      </c>
      <c r="E5928" t="s">
        <v>8578</v>
      </c>
      <c r="F5928">
        <v>14.5</v>
      </c>
      <c r="G5928" t="s">
        <v>375</v>
      </c>
      <c r="H5928">
        <v>12</v>
      </c>
      <c r="I5928" t="s">
        <v>8579</v>
      </c>
      <c r="J5928" t="s">
        <v>294</v>
      </c>
      <c r="M5928" t="s">
        <v>295</v>
      </c>
      <c r="N5928" t="s">
        <v>7</v>
      </c>
      <c r="O5928" t="s">
        <v>297</v>
      </c>
    </row>
    <row r="5929" spans="1:15" x14ac:dyDescent="0.3">
      <c r="A5929" t="s">
        <v>8514</v>
      </c>
      <c r="B5929" t="s">
        <v>8515</v>
      </c>
      <c r="C5929">
        <v>2023</v>
      </c>
      <c r="D5929" t="s">
        <v>358</v>
      </c>
      <c r="E5929" t="s">
        <v>8580</v>
      </c>
      <c r="F5929">
        <v>12.5</v>
      </c>
      <c r="G5929" t="s">
        <v>375</v>
      </c>
      <c r="H5929">
        <v>12</v>
      </c>
      <c r="I5929" t="s">
        <v>8581</v>
      </c>
      <c r="J5929" t="s">
        <v>294</v>
      </c>
      <c r="M5929" t="s">
        <v>295</v>
      </c>
      <c r="N5929" t="s">
        <v>7</v>
      </c>
      <c r="O5929" t="s">
        <v>297</v>
      </c>
    </row>
    <row r="5930" spans="1:15" x14ac:dyDescent="0.3">
      <c r="A5930" t="s">
        <v>8514</v>
      </c>
      <c r="B5930" t="s">
        <v>8515</v>
      </c>
      <c r="C5930">
        <v>2023</v>
      </c>
      <c r="D5930" t="s">
        <v>358</v>
      </c>
      <c r="E5930" t="s">
        <v>8582</v>
      </c>
      <c r="F5930">
        <v>510</v>
      </c>
      <c r="G5930" t="s">
        <v>360</v>
      </c>
      <c r="H5930">
        <v>12</v>
      </c>
      <c r="I5930" t="s">
        <v>8583</v>
      </c>
      <c r="J5930" t="s">
        <v>294</v>
      </c>
      <c r="M5930" t="s">
        <v>295</v>
      </c>
      <c r="N5930" t="s">
        <v>7</v>
      </c>
      <c r="O5930" t="s">
        <v>297</v>
      </c>
    </row>
    <row r="5931" spans="1:15" x14ac:dyDescent="0.3">
      <c r="A5931" t="s">
        <v>8514</v>
      </c>
      <c r="B5931" t="s">
        <v>8515</v>
      </c>
      <c r="C5931">
        <v>2023</v>
      </c>
      <c r="D5931" t="s">
        <v>358</v>
      </c>
      <c r="E5931" t="s">
        <v>8584</v>
      </c>
      <c r="F5931">
        <v>631</v>
      </c>
      <c r="G5931" t="s">
        <v>360</v>
      </c>
      <c r="H5931">
        <v>12</v>
      </c>
      <c r="I5931" t="s">
        <v>8585</v>
      </c>
      <c r="J5931" t="s">
        <v>294</v>
      </c>
      <c r="M5931" t="s">
        <v>295</v>
      </c>
      <c r="N5931" t="s">
        <v>7</v>
      </c>
      <c r="O5931" t="s">
        <v>297</v>
      </c>
    </row>
    <row r="5932" spans="1:15" x14ac:dyDescent="0.3">
      <c r="A5932" t="s">
        <v>8514</v>
      </c>
      <c r="B5932" t="s">
        <v>8515</v>
      </c>
      <c r="C5932">
        <v>2023</v>
      </c>
      <c r="D5932" t="s">
        <v>358</v>
      </c>
      <c r="E5932" t="s">
        <v>8586</v>
      </c>
      <c r="F5932">
        <v>47383</v>
      </c>
      <c r="G5932" t="s">
        <v>360</v>
      </c>
      <c r="H5932">
        <v>12</v>
      </c>
      <c r="I5932" t="s">
        <v>8587</v>
      </c>
      <c r="J5932" t="s">
        <v>294</v>
      </c>
      <c r="M5932" t="s">
        <v>295</v>
      </c>
      <c r="N5932" t="s">
        <v>7</v>
      </c>
      <c r="O5932" t="s">
        <v>297</v>
      </c>
    </row>
    <row r="5933" spans="1:15" x14ac:dyDescent="0.3">
      <c r="A5933" t="s">
        <v>8514</v>
      </c>
      <c r="B5933" t="s">
        <v>8515</v>
      </c>
      <c r="C5933">
        <v>2023</v>
      </c>
      <c r="D5933" t="s">
        <v>358</v>
      </c>
      <c r="E5933" t="s">
        <v>523</v>
      </c>
      <c r="F5933">
        <v>6</v>
      </c>
      <c r="G5933" t="s">
        <v>384</v>
      </c>
      <c r="H5933">
        <v>53</v>
      </c>
      <c r="I5933" t="s">
        <v>8588</v>
      </c>
      <c r="J5933" t="s">
        <v>294</v>
      </c>
      <c r="M5933" t="s">
        <v>295</v>
      </c>
      <c r="N5933" t="s">
        <v>7</v>
      </c>
      <c r="O5933" t="s">
        <v>297</v>
      </c>
    </row>
    <row r="5934" spans="1:15" x14ac:dyDescent="0.3">
      <c r="A5934" t="s">
        <v>8514</v>
      </c>
      <c r="B5934" t="s">
        <v>8515</v>
      </c>
      <c r="C5934">
        <v>2023</v>
      </c>
      <c r="D5934" t="s">
        <v>358</v>
      </c>
      <c r="E5934" t="s">
        <v>934</v>
      </c>
      <c r="F5934">
        <v>335</v>
      </c>
      <c r="G5934" t="s">
        <v>8589</v>
      </c>
      <c r="H5934">
        <v>53</v>
      </c>
      <c r="I5934" t="s">
        <v>8590</v>
      </c>
      <c r="J5934" t="s">
        <v>294</v>
      </c>
      <c r="M5934" t="s">
        <v>295</v>
      </c>
      <c r="N5934" t="s">
        <v>7</v>
      </c>
      <c r="O5934" t="s">
        <v>297</v>
      </c>
    </row>
    <row r="5935" spans="1:15" x14ac:dyDescent="0.3">
      <c r="A5935" t="s">
        <v>8514</v>
      </c>
      <c r="B5935" t="s">
        <v>8515</v>
      </c>
      <c r="C5935">
        <v>2023</v>
      </c>
      <c r="D5935" t="s">
        <v>358</v>
      </c>
      <c r="E5935" t="s">
        <v>8591</v>
      </c>
      <c r="F5935">
        <v>43500</v>
      </c>
      <c r="G5935" t="s">
        <v>1453</v>
      </c>
      <c r="H5935">
        <v>2</v>
      </c>
      <c r="I5935" t="s">
        <v>8592</v>
      </c>
      <c r="J5935" t="s">
        <v>294</v>
      </c>
      <c r="M5935" t="s">
        <v>295</v>
      </c>
      <c r="N5935" t="s">
        <v>7</v>
      </c>
      <c r="O5935" t="s">
        <v>297</v>
      </c>
    </row>
    <row r="5936" spans="1:15" x14ac:dyDescent="0.3">
      <c r="A5936" t="s">
        <v>8514</v>
      </c>
      <c r="B5936" t="s">
        <v>8515</v>
      </c>
      <c r="C5936">
        <v>2023</v>
      </c>
      <c r="D5936" t="s">
        <v>358</v>
      </c>
      <c r="E5936" t="s">
        <v>8593</v>
      </c>
      <c r="F5936">
        <v>0.81599999999999995</v>
      </c>
      <c r="G5936" t="s">
        <v>334</v>
      </c>
      <c r="H5936">
        <v>2</v>
      </c>
      <c r="I5936" t="s">
        <v>8594</v>
      </c>
      <c r="J5936" t="s">
        <v>294</v>
      </c>
      <c r="M5936" t="s">
        <v>295</v>
      </c>
      <c r="N5936" t="s">
        <v>7</v>
      </c>
      <c r="O5936" t="s">
        <v>297</v>
      </c>
    </row>
    <row r="5937" spans="1:15" x14ac:dyDescent="0.3">
      <c r="A5937" t="s">
        <v>8514</v>
      </c>
      <c r="B5937" t="s">
        <v>8515</v>
      </c>
      <c r="C5937">
        <v>2023</v>
      </c>
      <c r="D5937" t="s">
        <v>358</v>
      </c>
      <c r="E5937" t="s">
        <v>8595</v>
      </c>
      <c r="F5937">
        <v>35382</v>
      </c>
      <c r="G5937" t="s">
        <v>360</v>
      </c>
      <c r="H5937">
        <v>55</v>
      </c>
      <c r="I5937" t="s">
        <v>8596</v>
      </c>
      <c r="J5937" t="s">
        <v>294</v>
      </c>
      <c r="M5937" t="s">
        <v>295</v>
      </c>
      <c r="N5937" t="s">
        <v>7</v>
      </c>
      <c r="O5937" t="s">
        <v>297</v>
      </c>
    </row>
    <row r="5938" spans="1:15" x14ac:dyDescent="0.3">
      <c r="A5938" t="s">
        <v>8514</v>
      </c>
      <c r="B5938" t="s">
        <v>8515</v>
      </c>
      <c r="C5938">
        <v>2023</v>
      </c>
      <c r="D5938" t="s">
        <v>358</v>
      </c>
      <c r="E5938" t="s">
        <v>8597</v>
      </c>
      <c r="F5938">
        <v>12498</v>
      </c>
      <c r="G5938" t="s">
        <v>360</v>
      </c>
      <c r="H5938">
        <v>55</v>
      </c>
      <c r="I5938" t="s">
        <v>8598</v>
      </c>
      <c r="J5938" t="s">
        <v>294</v>
      </c>
      <c r="M5938" t="s">
        <v>295</v>
      </c>
      <c r="N5938" t="s">
        <v>7</v>
      </c>
      <c r="O5938" t="s">
        <v>297</v>
      </c>
    </row>
    <row r="5939" spans="1:15" x14ac:dyDescent="0.3">
      <c r="A5939" t="s">
        <v>8514</v>
      </c>
      <c r="B5939" t="s">
        <v>8515</v>
      </c>
      <c r="C5939">
        <v>2023</v>
      </c>
      <c r="D5939" t="s">
        <v>358</v>
      </c>
      <c r="E5939" t="s">
        <v>8599</v>
      </c>
      <c r="F5939">
        <v>6267</v>
      </c>
      <c r="G5939" t="s">
        <v>360</v>
      </c>
      <c r="H5939">
        <v>55</v>
      </c>
      <c r="I5939" t="s">
        <v>8600</v>
      </c>
      <c r="J5939" t="s">
        <v>294</v>
      </c>
      <c r="M5939" t="s">
        <v>295</v>
      </c>
      <c r="N5939" t="s">
        <v>7</v>
      </c>
      <c r="O5939" t="s">
        <v>297</v>
      </c>
    </row>
    <row r="5940" spans="1:15" x14ac:dyDescent="0.3">
      <c r="A5940" t="s">
        <v>8514</v>
      </c>
      <c r="B5940" t="s">
        <v>8515</v>
      </c>
      <c r="C5940">
        <v>2023</v>
      </c>
      <c r="D5940" t="s">
        <v>358</v>
      </c>
      <c r="E5940" t="s">
        <v>8601</v>
      </c>
      <c r="F5940">
        <v>6350</v>
      </c>
      <c r="G5940" t="s">
        <v>360</v>
      </c>
      <c r="H5940">
        <v>55</v>
      </c>
      <c r="I5940" t="s">
        <v>8602</v>
      </c>
      <c r="J5940" t="s">
        <v>294</v>
      </c>
      <c r="M5940" t="s">
        <v>295</v>
      </c>
      <c r="N5940" t="s">
        <v>7</v>
      </c>
      <c r="O5940" t="s">
        <v>297</v>
      </c>
    </row>
    <row r="5941" spans="1:15" x14ac:dyDescent="0.3">
      <c r="A5941" t="s">
        <v>8514</v>
      </c>
      <c r="B5941" t="s">
        <v>8515</v>
      </c>
      <c r="C5941">
        <v>2023</v>
      </c>
      <c r="D5941" t="s">
        <v>394</v>
      </c>
      <c r="E5941" t="s">
        <v>531</v>
      </c>
      <c r="F5941">
        <v>1213068</v>
      </c>
      <c r="G5941" t="s">
        <v>396</v>
      </c>
      <c r="H5941">
        <v>12</v>
      </c>
      <c r="I5941" t="s">
        <v>8603</v>
      </c>
      <c r="J5941" t="s">
        <v>294</v>
      </c>
      <c r="M5941" t="s">
        <v>295</v>
      </c>
      <c r="N5941" t="s">
        <v>7</v>
      </c>
      <c r="O5941" t="s">
        <v>297</v>
      </c>
    </row>
    <row r="5942" spans="1:15" x14ac:dyDescent="0.3">
      <c r="A5942" t="s">
        <v>8514</v>
      </c>
      <c r="B5942" t="s">
        <v>8515</v>
      </c>
      <c r="C5942">
        <v>2023</v>
      </c>
      <c r="D5942" t="s">
        <v>394</v>
      </c>
      <c r="E5942" t="s">
        <v>533</v>
      </c>
      <c r="F5942">
        <v>1068338</v>
      </c>
      <c r="G5942" t="s">
        <v>396</v>
      </c>
      <c r="H5942">
        <v>12</v>
      </c>
      <c r="I5942" t="s">
        <v>8604</v>
      </c>
      <c r="J5942" t="s">
        <v>294</v>
      </c>
      <c r="M5942" t="s">
        <v>295</v>
      </c>
      <c r="N5942" t="s">
        <v>7</v>
      </c>
      <c r="O5942" t="s">
        <v>297</v>
      </c>
    </row>
    <row r="5943" spans="1:15" x14ac:dyDescent="0.3">
      <c r="A5943" t="s">
        <v>8514</v>
      </c>
      <c r="B5943" t="s">
        <v>8515</v>
      </c>
      <c r="C5943">
        <v>2023</v>
      </c>
      <c r="D5943" t="s">
        <v>394</v>
      </c>
      <c r="E5943" t="s">
        <v>535</v>
      </c>
      <c r="F5943">
        <v>144730</v>
      </c>
      <c r="G5943" t="s">
        <v>396</v>
      </c>
      <c r="H5943">
        <v>12</v>
      </c>
      <c r="I5943" t="s">
        <v>8605</v>
      </c>
      <c r="J5943" t="s">
        <v>294</v>
      </c>
      <c r="M5943" t="s">
        <v>295</v>
      </c>
      <c r="N5943" t="s">
        <v>7</v>
      </c>
      <c r="O5943" t="s">
        <v>297</v>
      </c>
    </row>
    <row r="5944" spans="1:15" x14ac:dyDescent="0.3">
      <c r="A5944" t="s">
        <v>8514</v>
      </c>
      <c r="B5944" t="s">
        <v>8515</v>
      </c>
      <c r="C5944">
        <v>2023</v>
      </c>
      <c r="D5944" t="s">
        <v>394</v>
      </c>
      <c r="E5944" t="s">
        <v>402</v>
      </c>
      <c r="F5944">
        <v>1409552</v>
      </c>
      <c r="G5944" t="s">
        <v>396</v>
      </c>
      <c r="H5944">
        <v>12</v>
      </c>
      <c r="I5944" t="s">
        <v>8606</v>
      </c>
      <c r="J5944" t="s">
        <v>294</v>
      </c>
      <c r="M5944" t="s">
        <v>295</v>
      </c>
      <c r="N5944" t="s">
        <v>7</v>
      </c>
      <c r="O5944" t="s">
        <v>297</v>
      </c>
    </row>
    <row r="5945" spans="1:15" x14ac:dyDescent="0.3">
      <c r="A5945" t="s">
        <v>8514</v>
      </c>
      <c r="B5945" t="s">
        <v>8515</v>
      </c>
      <c r="C5945">
        <v>2023</v>
      </c>
      <c r="D5945" t="s">
        <v>394</v>
      </c>
      <c r="E5945" t="s">
        <v>406</v>
      </c>
      <c r="F5945">
        <v>327688</v>
      </c>
      <c r="G5945" t="s">
        <v>396</v>
      </c>
      <c r="H5945">
        <v>12</v>
      </c>
      <c r="I5945" t="s">
        <v>8607</v>
      </c>
      <c r="J5945" t="s">
        <v>294</v>
      </c>
      <c r="M5945" t="s">
        <v>295</v>
      </c>
      <c r="N5945" t="s">
        <v>7</v>
      </c>
      <c r="O5945" t="s">
        <v>297</v>
      </c>
    </row>
    <row r="5946" spans="1:15" x14ac:dyDescent="0.3">
      <c r="A5946" t="s">
        <v>8514</v>
      </c>
      <c r="B5946" t="s">
        <v>8515</v>
      </c>
      <c r="C5946">
        <v>2023</v>
      </c>
      <c r="D5946" t="s">
        <v>394</v>
      </c>
      <c r="E5946" t="s">
        <v>855</v>
      </c>
      <c r="F5946">
        <v>52207</v>
      </c>
      <c r="G5946" t="s">
        <v>396</v>
      </c>
      <c r="H5946">
        <v>12</v>
      </c>
      <c r="I5946" t="s">
        <v>8608</v>
      </c>
      <c r="J5946" t="s">
        <v>294</v>
      </c>
      <c r="M5946" t="s">
        <v>295</v>
      </c>
      <c r="N5946" t="s">
        <v>7</v>
      </c>
      <c r="O5946" t="s">
        <v>297</v>
      </c>
    </row>
    <row r="5947" spans="1:15" x14ac:dyDescent="0.3">
      <c r="A5947" t="s">
        <v>8514</v>
      </c>
      <c r="B5947" t="s">
        <v>8515</v>
      </c>
      <c r="C5947">
        <v>2023</v>
      </c>
      <c r="D5947" t="s">
        <v>394</v>
      </c>
      <c r="E5947" t="s">
        <v>8609</v>
      </c>
      <c r="F5947">
        <v>0.23200000000000001</v>
      </c>
      <c r="G5947" t="s">
        <v>334</v>
      </c>
      <c r="H5947">
        <v>12</v>
      </c>
      <c r="I5947" t="s">
        <v>8610</v>
      </c>
      <c r="J5947" t="s">
        <v>294</v>
      </c>
      <c r="M5947" t="s">
        <v>295</v>
      </c>
      <c r="N5947" t="s">
        <v>7</v>
      </c>
      <c r="O5947" t="s">
        <v>297</v>
      </c>
    </row>
    <row r="5948" spans="1:15" x14ac:dyDescent="0.3">
      <c r="A5948" t="s">
        <v>8514</v>
      </c>
      <c r="B5948" t="s">
        <v>8515</v>
      </c>
      <c r="C5948">
        <v>2023</v>
      </c>
      <c r="D5948" t="s">
        <v>394</v>
      </c>
      <c r="E5948" t="s">
        <v>8611</v>
      </c>
      <c r="F5948">
        <v>3.6999999999999998E-2</v>
      </c>
      <c r="G5948" t="s">
        <v>334</v>
      </c>
      <c r="H5948">
        <v>12</v>
      </c>
      <c r="I5948" t="s">
        <v>8612</v>
      </c>
      <c r="J5948" t="s">
        <v>294</v>
      </c>
      <c r="M5948" t="s">
        <v>295</v>
      </c>
      <c r="N5948" t="s">
        <v>7</v>
      </c>
      <c r="O5948" t="s">
        <v>297</v>
      </c>
    </row>
    <row r="5949" spans="1:15" x14ac:dyDescent="0.3">
      <c r="A5949" t="s">
        <v>8514</v>
      </c>
      <c r="B5949" t="s">
        <v>8515</v>
      </c>
      <c r="C5949">
        <v>2023</v>
      </c>
      <c r="D5949" t="s">
        <v>394</v>
      </c>
      <c r="E5949" t="s">
        <v>438</v>
      </c>
      <c r="F5949">
        <v>343748</v>
      </c>
      <c r="G5949" t="s">
        <v>396</v>
      </c>
      <c r="H5949">
        <v>12</v>
      </c>
      <c r="I5949" t="s">
        <v>8613</v>
      </c>
      <c r="J5949" t="s">
        <v>294</v>
      </c>
      <c r="M5949" t="s">
        <v>295</v>
      </c>
      <c r="N5949" t="s">
        <v>7</v>
      </c>
      <c r="O5949" t="s">
        <v>297</v>
      </c>
    </row>
    <row r="5950" spans="1:15" x14ac:dyDescent="0.3">
      <c r="A5950" t="s">
        <v>8514</v>
      </c>
      <c r="B5950" t="s">
        <v>8515</v>
      </c>
      <c r="C5950">
        <v>2023</v>
      </c>
      <c r="D5950" t="s">
        <v>394</v>
      </c>
      <c r="E5950" t="s">
        <v>4994</v>
      </c>
      <c r="F5950">
        <v>55172</v>
      </c>
      <c r="G5950" t="s">
        <v>396</v>
      </c>
      <c r="H5950">
        <v>12</v>
      </c>
      <c r="I5950" t="s">
        <v>8614</v>
      </c>
      <c r="J5950" t="s">
        <v>294</v>
      </c>
      <c r="M5950" t="s">
        <v>295</v>
      </c>
      <c r="N5950" t="s">
        <v>7</v>
      </c>
      <c r="O5950" t="s">
        <v>297</v>
      </c>
    </row>
    <row r="5951" spans="1:15" x14ac:dyDescent="0.3">
      <c r="A5951" t="s">
        <v>8514</v>
      </c>
      <c r="B5951" t="s">
        <v>8515</v>
      </c>
      <c r="C5951">
        <v>2023</v>
      </c>
      <c r="D5951" t="s">
        <v>394</v>
      </c>
      <c r="E5951" t="s">
        <v>435</v>
      </c>
      <c r="F5951">
        <v>10959</v>
      </c>
      <c r="G5951" t="s">
        <v>436</v>
      </c>
      <c r="H5951">
        <v>88</v>
      </c>
      <c r="I5951" t="s">
        <v>8615</v>
      </c>
      <c r="J5951" t="s">
        <v>294</v>
      </c>
      <c r="M5951" t="s">
        <v>295</v>
      </c>
      <c r="N5951" t="s">
        <v>7</v>
      </c>
      <c r="O5951" t="s">
        <v>297</v>
      </c>
    </row>
    <row r="5952" spans="1:15" x14ac:dyDescent="0.3">
      <c r="A5952" t="s">
        <v>8514</v>
      </c>
      <c r="B5952" t="s">
        <v>8515</v>
      </c>
      <c r="C5952">
        <v>2023</v>
      </c>
      <c r="D5952" t="s">
        <v>394</v>
      </c>
      <c r="E5952" t="s">
        <v>8616</v>
      </c>
      <c r="F5952">
        <v>4339</v>
      </c>
      <c r="G5952" t="s">
        <v>436</v>
      </c>
      <c r="H5952">
        <v>88</v>
      </c>
      <c r="I5952" t="s">
        <v>8617</v>
      </c>
      <c r="J5952" t="s">
        <v>294</v>
      </c>
      <c r="M5952" t="s">
        <v>295</v>
      </c>
      <c r="N5952" t="s">
        <v>7</v>
      </c>
      <c r="O5952" t="s">
        <v>297</v>
      </c>
    </row>
    <row r="5953" spans="1:15" x14ac:dyDescent="0.3">
      <c r="A5953" t="s">
        <v>8514</v>
      </c>
      <c r="B5953" t="s">
        <v>8515</v>
      </c>
      <c r="C5953">
        <v>2023</v>
      </c>
      <c r="D5953" t="s">
        <v>394</v>
      </c>
      <c r="E5953" t="s">
        <v>8618</v>
      </c>
      <c r="F5953">
        <v>177594</v>
      </c>
      <c r="G5953" t="s">
        <v>1403</v>
      </c>
      <c r="H5953">
        <v>12</v>
      </c>
      <c r="I5953" t="s">
        <v>8619</v>
      </c>
      <c r="J5953" t="s">
        <v>294</v>
      </c>
      <c r="M5953" t="s">
        <v>295</v>
      </c>
      <c r="N5953" t="s">
        <v>7</v>
      </c>
      <c r="O5953" t="s">
        <v>297</v>
      </c>
    </row>
    <row r="5954" spans="1:15" x14ac:dyDescent="0.3">
      <c r="A5954" t="s">
        <v>8514</v>
      </c>
      <c r="B5954" t="s">
        <v>8515</v>
      </c>
      <c r="C5954">
        <v>2023</v>
      </c>
      <c r="D5954" t="s">
        <v>394</v>
      </c>
      <c r="E5954" t="s">
        <v>8620</v>
      </c>
      <c r="F5954" t="s">
        <v>8621</v>
      </c>
      <c r="G5954" t="s">
        <v>292</v>
      </c>
      <c r="H5954">
        <v>106</v>
      </c>
      <c r="I5954" t="s">
        <v>8622</v>
      </c>
      <c r="J5954" t="s">
        <v>294</v>
      </c>
      <c r="M5954" t="s">
        <v>295</v>
      </c>
      <c r="N5954" t="s">
        <v>7</v>
      </c>
      <c r="O5954" t="s">
        <v>297</v>
      </c>
    </row>
    <row r="5955" spans="1:15" x14ac:dyDescent="0.3">
      <c r="A5955" t="s">
        <v>8514</v>
      </c>
      <c r="B5955" t="s">
        <v>8515</v>
      </c>
      <c r="C5955">
        <v>2023</v>
      </c>
      <c r="D5955" t="s">
        <v>563</v>
      </c>
      <c r="E5955" t="s">
        <v>8623</v>
      </c>
      <c r="F5955" t="s">
        <v>8624</v>
      </c>
      <c r="G5955" t="s">
        <v>292</v>
      </c>
      <c r="H5955">
        <v>88</v>
      </c>
      <c r="I5955" t="s">
        <v>8625</v>
      </c>
      <c r="J5955" t="s">
        <v>294</v>
      </c>
      <c r="M5955" t="s">
        <v>295</v>
      </c>
      <c r="N5955" t="s">
        <v>7</v>
      </c>
      <c r="O5955" t="s">
        <v>297</v>
      </c>
    </row>
    <row r="5956" spans="1:15" x14ac:dyDescent="0.3">
      <c r="A5956" t="s">
        <v>8514</v>
      </c>
      <c r="B5956" t="s">
        <v>8626</v>
      </c>
      <c r="C5956">
        <v>2024</v>
      </c>
      <c r="D5956" t="s">
        <v>272</v>
      </c>
      <c r="E5956" t="s">
        <v>291</v>
      </c>
      <c r="F5956" t="s">
        <v>8514</v>
      </c>
      <c r="G5956" t="s">
        <v>292</v>
      </c>
      <c r="H5956">
        <v>7</v>
      </c>
      <c r="I5956" t="s">
        <v>8627</v>
      </c>
      <c r="J5956" t="s">
        <v>294</v>
      </c>
      <c r="M5956" t="s">
        <v>295</v>
      </c>
      <c r="N5956" t="s">
        <v>7</v>
      </c>
      <c r="O5956" t="s">
        <v>297</v>
      </c>
    </row>
    <row r="5957" spans="1:15" x14ac:dyDescent="0.3">
      <c r="A5957" t="s">
        <v>8514</v>
      </c>
      <c r="B5957" t="s">
        <v>8626</v>
      </c>
      <c r="C5957">
        <v>2024</v>
      </c>
      <c r="D5957" t="s">
        <v>272</v>
      </c>
      <c r="E5957" t="s">
        <v>1</v>
      </c>
      <c r="F5957" t="s">
        <v>22</v>
      </c>
      <c r="G5957" t="s">
        <v>292</v>
      </c>
      <c r="H5957">
        <v>7</v>
      </c>
      <c r="I5957" t="s">
        <v>8628</v>
      </c>
      <c r="J5957" t="s">
        <v>294</v>
      </c>
      <c r="M5957" t="s">
        <v>295</v>
      </c>
      <c r="N5957" t="s">
        <v>7</v>
      </c>
      <c r="O5957" t="s">
        <v>297</v>
      </c>
    </row>
    <row r="5958" spans="1:15" x14ac:dyDescent="0.3">
      <c r="A5958" t="s">
        <v>8514</v>
      </c>
      <c r="B5958" t="s">
        <v>8626</v>
      </c>
      <c r="C5958">
        <v>2024</v>
      </c>
      <c r="D5958" t="s">
        <v>272</v>
      </c>
      <c r="E5958" t="s">
        <v>442</v>
      </c>
      <c r="F5958" t="s">
        <v>8520</v>
      </c>
      <c r="G5958" t="s">
        <v>334</v>
      </c>
      <c r="H5958">
        <v>7</v>
      </c>
      <c r="I5958" t="s">
        <v>8629</v>
      </c>
      <c r="J5958" t="s">
        <v>294</v>
      </c>
      <c r="M5958" t="s">
        <v>295</v>
      </c>
      <c r="N5958" t="s">
        <v>7</v>
      </c>
      <c r="O5958" t="s">
        <v>297</v>
      </c>
    </row>
    <row r="5959" spans="1:15" x14ac:dyDescent="0.3">
      <c r="A5959" t="s">
        <v>8514</v>
      </c>
      <c r="B5959" t="s">
        <v>8626</v>
      </c>
      <c r="C5959">
        <v>2024</v>
      </c>
      <c r="D5959" t="s">
        <v>272</v>
      </c>
      <c r="E5959" t="s">
        <v>445</v>
      </c>
      <c r="F5959">
        <v>7.4999999999999997E-2</v>
      </c>
      <c r="G5959" t="s">
        <v>334</v>
      </c>
      <c r="H5959">
        <v>7</v>
      </c>
      <c r="I5959" t="s">
        <v>8630</v>
      </c>
      <c r="J5959" t="s">
        <v>294</v>
      </c>
      <c r="M5959" t="s">
        <v>295</v>
      </c>
      <c r="N5959" t="s">
        <v>7</v>
      </c>
      <c r="O5959" t="s">
        <v>297</v>
      </c>
    </row>
    <row r="5960" spans="1:15" x14ac:dyDescent="0.3">
      <c r="A5960" t="s">
        <v>8514</v>
      </c>
      <c r="B5960" t="s">
        <v>8626</v>
      </c>
      <c r="C5960">
        <v>2024</v>
      </c>
      <c r="D5960" t="s">
        <v>272</v>
      </c>
      <c r="E5960" t="s">
        <v>8522</v>
      </c>
      <c r="F5960">
        <v>0.16220000000000001</v>
      </c>
      <c r="G5960" t="s">
        <v>334</v>
      </c>
      <c r="H5960">
        <v>7</v>
      </c>
      <c r="I5960" t="s">
        <v>8631</v>
      </c>
      <c r="J5960" t="s">
        <v>294</v>
      </c>
      <c r="M5960" t="s">
        <v>295</v>
      </c>
      <c r="N5960" t="s">
        <v>7</v>
      </c>
      <c r="O5960" t="s">
        <v>297</v>
      </c>
    </row>
    <row r="5961" spans="1:15" x14ac:dyDescent="0.3">
      <c r="A5961" t="s">
        <v>8514</v>
      </c>
      <c r="B5961" t="s">
        <v>8626</v>
      </c>
      <c r="C5961">
        <v>2024</v>
      </c>
      <c r="D5961" t="s">
        <v>272</v>
      </c>
      <c r="E5961" t="s">
        <v>8524</v>
      </c>
      <c r="F5961">
        <v>0.16220000000000001</v>
      </c>
      <c r="G5961" t="s">
        <v>334</v>
      </c>
      <c r="H5961">
        <v>7</v>
      </c>
      <c r="I5961" t="s">
        <v>8632</v>
      </c>
      <c r="J5961" t="s">
        <v>294</v>
      </c>
      <c r="M5961" t="s">
        <v>295</v>
      </c>
      <c r="N5961" t="s">
        <v>7</v>
      </c>
      <c r="O5961" t="s">
        <v>297</v>
      </c>
    </row>
    <row r="5962" spans="1:15" x14ac:dyDescent="0.3">
      <c r="A5962" t="s">
        <v>8514</v>
      </c>
      <c r="B5962" t="s">
        <v>8626</v>
      </c>
      <c r="C5962">
        <v>2024</v>
      </c>
      <c r="D5962" t="s">
        <v>272</v>
      </c>
      <c r="E5962" t="s">
        <v>5647</v>
      </c>
      <c r="F5962" t="s">
        <v>8518</v>
      </c>
      <c r="G5962" t="s">
        <v>292</v>
      </c>
      <c r="H5962">
        <v>18</v>
      </c>
      <c r="I5962" t="s">
        <v>8633</v>
      </c>
      <c r="J5962" t="s">
        <v>294</v>
      </c>
      <c r="M5962" t="s">
        <v>295</v>
      </c>
      <c r="N5962" t="s">
        <v>7</v>
      </c>
      <c r="O5962" t="s">
        <v>297</v>
      </c>
    </row>
    <row r="5963" spans="1:15" x14ac:dyDescent="0.3">
      <c r="A5963" t="s">
        <v>8514</v>
      </c>
      <c r="B5963" t="s">
        <v>8626</v>
      </c>
      <c r="C5963">
        <v>2024</v>
      </c>
      <c r="D5963" t="s">
        <v>300</v>
      </c>
      <c r="E5963" t="s">
        <v>301</v>
      </c>
      <c r="F5963">
        <v>4211</v>
      </c>
      <c r="G5963" t="s">
        <v>302</v>
      </c>
      <c r="H5963">
        <v>13</v>
      </c>
      <c r="I5963" t="s">
        <v>8634</v>
      </c>
      <c r="J5963" t="s">
        <v>294</v>
      </c>
      <c r="M5963" t="s">
        <v>295</v>
      </c>
      <c r="N5963" t="s">
        <v>7</v>
      </c>
      <c r="O5963" t="s">
        <v>297</v>
      </c>
    </row>
    <row r="5964" spans="1:15" x14ac:dyDescent="0.3">
      <c r="A5964" t="s">
        <v>8514</v>
      </c>
      <c r="B5964" t="s">
        <v>8626</v>
      </c>
      <c r="C5964">
        <v>2024</v>
      </c>
      <c r="D5964" t="s">
        <v>300</v>
      </c>
      <c r="E5964" t="s">
        <v>688</v>
      </c>
      <c r="F5964">
        <v>2755</v>
      </c>
      <c r="G5964" t="s">
        <v>302</v>
      </c>
      <c r="H5964">
        <v>13</v>
      </c>
      <c r="I5964" t="s">
        <v>8635</v>
      </c>
      <c r="J5964" t="s">
        <v>294</v>
      </c>
      <c r="M5964" t="s">
        <v>295</v>
      </c>
      <c r="N5964" t="s">
        <v>7</v>
      </c>
      <c r="O5964" t="s">
        <v>297</v>
      </c>
    </row>
    <row r="5965" spans="1:15" x14ac:dyDescent="0.3">
      <c r="A5965" t="s">
        <v>8514</v>
      </c>
      <c r="B5965" t="s">
        <v>8626</v>
      </c>
      <c r="C5965">
        <v>2024</v>
      </c>
      <c r="D5965" t="s">
        <v>300</v>
      </c>
      <c r="E5965" t="s">
        <v>304</v>
      </c>
      <c r="F5965">
        <v>1456</v>
      </c>
      <c r="G5965" t="s">
        <v>302</v>
      </c>
      <c r="H5965">
        <v>13</v>
      </c>
      <c r="I5965" t="s">
        <v>8636</v>
      </c>
      <c r="J5965" t="s">
        <v>294</v>
      </c>
      <c r="M5965" t="s">
        <v>295</v>
      </c>
      <c r="N5965" t="s">
        <v>7</v>
      </c>
      <c r="O5965" t="s">
        <v>297</v>
      </c>
    </row>
    <row r="5966" spans="1:15" x14ac:dyDescent="0.3">
      <c r="A5966" t="s">
        <v>8514</v>
      </c>
      <c r="B5966" t="s">
        <v>8626</v>
      </c>
      <c r="C5966">
        <v>2024</v>
      </c>
      <c r="D5966" t="s">
        <v>300</v>
      </c>
      <c r="E5966" t="s">
        <v>1112</v>
      </c>
      <c r="F5966">
        <v>1110</v>
      </c>
      <c r="G5966" t="s">
        <v>302</v>
      </c>
      <c r="H5966">
        <v>13</v>
      </c>
      <c r="I5966" t="s">
        <v>8637</v>
      </c>
      <c r="J5966" t="s">
        <v>294</v>
      </c>
      <c r="M5966" t="s">
        <v>295</v>
      </c>
      <c r="N5966" t="s">
        <v>7</v>
      </c>
      <c r="O5966" t="s">
        <v>297</v>
      </c>
    </row>
    <row r="5967" spans="1:15" x14ac:dyDescent="0.3">
      <c r="A5967" t="s">
        <v>8514</v>
      </c>
      <c r="B5967" t="s">
        <v>8626</v>
      </c>
      <c r="C5967">
        <v>2024</v>
      </c>
      <c r="D5967" t="s">
        <v>300</v>
      </c>
      <c r="E5967" t="s">
        <v>1216</v>
      </c>
      <c r="F5967">
        <v>68</v>
      </c>
      <c r="G5967" t="s">
        <v>302</v>
      </c>
      <c r="H5967">
        <v>13</v>
      </c>
      <c r="I5967" t="s">
        <v>8638</v>
      </c>
      <c r="J5967" t="s">
        <v>294</v>
      </c>
      <c r="M5967" t="s">
        <v>295</v>
      </c>
      <c r="N5967" t="s">
        <v>7</v>
      </c>
      <c r="O5967" t="s">
        <v>297</v>
      </c>
    </row>
    <row r="5968" spans="1:15" x14ac:dyDescent="0.3">
      <c r="A5968" t="s">
        <v>8514</v>
      </c>
      <c r="B5968" t="s">
        <v>8626</v>
      </c>
      <c r="C5968">
        <v>2024</v>
      </c>
      <c r="D5968" t="s">
        <v>300</v>
      </c>
      <c r="E5968" t="s">
        <v>579</v>
      </c>
      <c r="F5968">
        <v>1058</v>
      </c>
      <c r="G5968" t="s">
        <v>302</v>
      </c>
      <c r="H5968">
        <v>13</v>
      </c>
      <c r="I5968" t="s">
        <v>8639</v>
      </c>
      <c r="J5968" t="s">
        <v>294</v>
      </c>
      <c r="M5968" t="s">
        <v>295</v>
      </c>
      <c r="N5968" t="s">
        <v>7</v>
      </c>
      <c r="O5968" t="s">
        <v>297</v>
      </c>
    </row>
    <row r="5969" spans="1:15" x14ac:dyDescent="0.3">
      <c r="A5969" t="s">
        <v>8514</v>
      </c>
      <c r="B5969" t="s">
        <v>8626</v>
      </c>
      <c r="C5969">
        <v>2024</v>
      </c>
      <c r="D5969" t="s">
        <v>300</v>
      </c>
      <c r="E5969" t="s">
        <v>581</v>
      </c>
      <c r="F5969">
        <v>233</v>
      </c>
      <c r="G5969" t="s">
        <v>302</v>
      </c>
      <c r="H5969">
        <v>13</v>
      </c>
      <c r="I5969" t="s">
        <v>8640</v>
      </c>
      <c r="J5969" t="s">
        <v>294</v>
      </c>
      <c r="M5969" t="s">
        <v>295</v>
      </c>
      <c r="N5969" t="s">
        <v>7</v>
      </c>
      <c r="O5969" t="s">
        <v>297</v>
      </c>
    </row>
    <row r="5970" spans="1:15" x14ac:dyDescent="0.3">
      <c r="A5970" t="s">
        <v>8514</v>
      </c>
      <c r="B5970" t="s">
        <v>8626</v>
      </c>
      <c r="C5970">
        <v>2024</v>
      </c>
      <c r="D5970" t="s">
        <v>300</v>
      </c>
      <c r="E5970" t="s">
        <v>306</v>
      </c>
      <c r="F5970">
        <v>826</v>
      </c>
      <c r="G5970" t="s">
        <v>302</v>
      </c>
      <c r="H5970">
        <v>13</v>
      </c>
      <c r="I5970" t="s">
        <v>8641</v>
      </c>
      <c r="J5970" t="s">
        <v>294</v>
      </c>
      <c r="M5970" t="s">
        <v>295</v>
      </c>
      <c r="N5970" t="s">
        <v>7</v>
      </c>
      <c r="O5970" t="s">
        <v>297</v>
      </c>
    </row>
    <row r="5971" spans="1:15" x14ac:dyDescent="0.3">
      <c r="A5971" t="s">
        <v>8514</v>
      </c>
      <c r="B5971" t="s">
        <v>8626</v>
      </c>
      <c r="C5971">
        <v>2024</v>
      </c>
      <c r="D5971" t="s">
        <v>300</v>
      </c>
      <c r="E5971" t="s">
        <v>308</v>
      </c>
      <c r="F5971">
        <v>826</v>
      </c>
      <c r="G5971" t="s">
        <v>302</v>
      </c>
      <c r="H5971">
        <v>13</v>
      </c>
      <c r="I5971" t="s">
        <v>8642</v>
      </c>
      <c r="J5971" t="s">
        <v>294</v>
      </c>
      <c r="M5971" t="s">
        <v>295</v>
      </c>
      <c r="N5971" t="s">
        <v>7</v>
      </c>
      <c r="O5971" t="s">
        <v>297</v>
      </c>
    </row>
    <row r="5972" spans="1:15" x14ac:dyDescent="0.3">
      <c r="A5972" t="s">
        <v>8514</v>
      </c>
      <c r="B5972" t="s">
        <v>8626</v>
      </c>
      <c r="C5972">
        <v>2024</v>
      </c>
      <c r="D5972" t="s">
        <v>300</v>
      </c>
      <c r="E5972" t="s">
        <v>880</v>
      </c>
      <c r="F5972">
        <v>1390</v>
      </c>
      <c r="G5972" t="s">
        <v>302</v>
      </c>
      <c r="H5972">
        <v>106</v>
      </c>
      <c r="I5972" t="s">
        <v>8643</v>
      </c>
      <c r="J5972" t="s">
        <v>294</v>
      </c>
      <c r="M5972" t="s">
        <v>295</v>
      </c>
      <c r="N5972" t="s">
        <v>7</v>
      </c>
      <c r="O5972" t="s">
        <v>297</v>
      </c>
    </row>
    <row r="5973" spans="1:15" x14ac:dyDescent="0.3">
      <c r="A5973" t="s">
        <v>8514</v>
      </c>
      <c r="B5973" t="s">
        <v>8626</v>
      </c>
      <c r="C5973">
        <v>2024</v>
      </c>
      <c r="D5973" t="s">
        <v>300</v>
      </c>
      <c r="E5973" t="s">
        <v>316</v>
      </c>
      <c r="F5973">
        <v>5664</v>
      </c>
      <c r="G5973" t="s">
        <v>302</v>
      </c>
      <c r="H5973">
        <v>13</v>
      </c>
      <c r="I5973" t="s">
        <v>8644</v>
      </c>
      <c r="J5973" t="s">
        <v>294</v>
      </c>
      <c r="M5973" t="s">
        <v>295</v>
      </c>
      <c r="N5973" t="s">
        <v>7</v>
      </c>
      <c r="O5973" t="s">
        <v>297</v>
      </c>
    </row>
    <row r="5974" spans="1:15" x14ac:dyDescent="0.3">
      <c r="A5974" t="s">
        <v>8514</v>
      </c>
      <c r="B5974" t="s">
        <v>8626</v>
      </c>
      <c r="C5974">
        <v>2024</v>
      </c>
      <c r="D5974" t="s">
        <v>300</v>
      </c>
      <c r="E5974" t="s">
        <v>312</v>
      </c>
      <c r="F5974">
        <v>1767</v>
      </c>
      <c r="G5974" t="s">
        <v>302</v>
      </c>
      <c r="H5974">
        <v>13</v>
      </c>
      <c r="I5974" t="s">
        <v>8645</v>
      </c>
      <c r="J5974" t="s">
        <v>294</v>
      </c>
      <c r="M5974" t="s">
        <v>295</v>
      </c>
      <c r="N5974" t="s">
        <v>7</v>
      </c>
      <c r="O5974" t="s">
        <v>297</v>
      </c>
    </row>
    <row r="5975" spans="1:15" x14ac:dyDescent="0.3">
      <c r="A5975" t="s">
        <v>8514</v>
      </c>
      <c r="B5975" t="s">
        <v>8626</v>
      </c>
      <c r="C5975">
        <v>2024</v>
      </c>
      <c r="D5975" t="s">
        <v>300</v>
      </c>
      <c r="E5975" t="s">
        <v>314</v>
      </c>
      <c r="F5975">
        <v>3898</v>
      </c>
      <c r="G5975" t="s">
        <v>302</v>
      </c>
      <c r="H5975">
        <v>13</v>
      </c>
      <c r="I5975" t="s">
        <v>8646</v>
      </c>
      <c r="J5975" t="s">
        <v>294</v>
      </c>
      <c r="M5975" t="s">
        <v>295</v>
      </c>
      <c r="N5975" t="s">
        <v>7</v>
      </c>
      <c r="O5975" t="s">
        <v>297</v>
      </c>
    </row>
    <row r="5976" spans="1:15" x14ac:dyDescent="0.3">
      <c r="A5976" t="s">
        <v>8514</v>
      </c>
      <c r="B5976" t="s">
        <v>8626</v>
      </c>
      <c r="C5976">
        <v>2024</v>
      </c>
      <c r="D5976" t="s">
        <v>300</v>
      </c>
      <c r="E5976" t="s">
        <v>322</v>
      </c>
      <c r="F5976">
        <v>2520</v>
      </c>
      <c r="G5976" t="s">
        <v>302</v>
      </c>
      <c r="H5976">
        <v>13</v>
      </c>
      <c r="I5976" t="s">
        <v>8647</v>
      </c>
      <c r="J5976" t="s">
        <v>294</v>
      </c>
      <c r="M5976" t="s">
        <v>295</v>
      </c>
      <c r="N5976" t="s">
        <v>7</v>
      </c>
      <c r="O5976" t="s">
        <v>297</v>
      </c>
    </row>
    <row r="5977" spans="1:15" x14ac:dyDescent="0.3">
      <c r="A5977" t="s">
        <v>8514</v>
      </c>
      <c r="B5977" t="s">
        <v>8626</v>
      </c>
      <c r="C5977">
        <v>2024</v>
      </c>
      <c r="D5977" t="s">
        <v>300</v>
      </c>
      <c r="E5977" t="s">
        <v>318</v>
      </c>
      <c r="F5977">
        <v>1573</v>
      </c>
      <c r="G5977" t="s">
        <v>302</v>
      </c>
      <c r="H5977">
        <v>13</v>
      </c>
      <c r="I5977" t="s">
        <v>8648</v>
      </c>
      <c r="J5977" t="s">
        <v>294</v>
      </c>
      <c r="M5977" t="s">
        <v>295</v>
      </c>
      <c r="N5977" t="s">
        <v>7</v>
      </c>
      <c r="O5977" t="s">
        <v>297</v>
      </c>
    </row>
    <row r="5978" spans="1:15" x14ac:dyDescent="0.3">
      <c r="A5978" t="s">
        <v>8514</v>
      </c>
      <c r="B5978" t="s">
        <v>8626</v>
      </c>
      <c r="C5978">
        <v>2024</v>
      </c>
      <c r="D5978" t="s">
        <v>300</v>
      </c>
      <c r="E5978" t="s">
        <v>468</v>
      </c>
      <c r="F5978">
        <v>947</v>
      </c>
      <c r="G5978" t="s">
        <v>302</v>
      </c>
      <c r="H5978">
        <v>13</v>
      </c>
      <c r="I5978" t="s">
        <v>8649</v>
      </c>
      <c r="J5978" t="s">
        <v>294</v>
      </c>
      <c r="M5978" t="s">
        <v>295</v>
      </c>
      <c r="N5978" t="s">
        <v>7</v>
      </c>
      <c r="O5978" t="s">
        <v>297</v>
      </c>
    </row>
    <row r="5979" spans="1:15" x14ac:dyDescent="0.3">
      <c r="A5979" t="s">
        <v>8514</v>
      </c>
      <c r="B5979" t="s">
        <v>8626</v>
      </c>
      <c r="C5979">
        <v>2024</v>
      </c>
      <c r="D5979" t="s">
        <v>300</v>
      </c>
      <c r="E5979" t="s">
        <v>324</v>
      </c>
      <c r="F5979">
        <v>3145</v>
      </c>
      <c r="G5979" t="s">
        <v>302</v>
      </c>
      <c r="H5979">
        <v>13</v>
      </c>
      <c r="I5979" t="s">
        <v>8650</v>
      </c>
      <c r="J5979" t="s">
        <v>294</v>
      </c>
      <c r="M5979" t="s">
        <v>295</v>
      </c>
      <c r="N5979" t="s">
        <v>7</v>
      </c>
      <c r="O5979" t="s">
        <v>297</v>
      </c>
    </row>
    <row r="5980" spans="1:15" x14ac:dyDescent="0.3">
      <c r="A5980" t="s">
        <v>8514</v>
      </c>
      <c r="B5980" t="s">
        <v>8626</v>
      </c>
      <c r="C5980">
        <v>2024</v>
      </c>
      <c r="D5980" t="s">
        <v>300</v>
      </c>
      <c r="E5980" t="s">
        <v>471</v>
      </c>
      <c r="F5980">
        <v>487</v>
      </c>
      <c r="G5980" t="s">
        <v>302</v>
      </c>
      <c r="H5980">
        <v>16</v>
      </c>
      <c r="I5980" t="s">
        <v>8651</v>
      </c>
      <c r="J5980" t="s">
        <v>294</v>
      </c>
      <c r="M5980" t="s">
        <v>295</v>
      </c>
      <c r="N5980" t="s">
        <v>7</v>
      </c>
      <c r="O5980" t="s">
        <v>297</v>
      </c>
    </row>
    <row r="5981" spans="1:15" x14ac:dyDescent="0.3">
      <c r="A5981" t="s">
        <v>8514</v>
      </c>
      <c r="B5981" t="s">
        <v>8626</v>
      </c>
      <c r="C5981">
        <v>2024</v>
      </c>
      <c r="D5981" t="s">
        <v>300</v>
      </c>
      <c r="E5981" t="s">
        <v>8548</v>
      </c>
      <c r="F5981">
        <v>520</v>
      </c>
      <c r="G5981" t="s">
        <v>302</v>
      </c>
      <c r="H5981" t="s">
        <v>8549</v>
      </c>
      <c r="I5981" t="s">
        <v>8652</v>
      </c>
      <c r="J5981" t="s">
        <v>294</v>
      </c>
      <c r="M5981" t="s">
        <v>295</v>
      </c>
      <c r="N5981" t="s">
        <v>7</v>
      </c>
      <c r="O5981" t="s">
        <v>297</v>
      </c>
    </row>
    <row r="5982" spans="1:15" x14ac:dyDescent="0.3">
      <c r="A5982" t="s">
        <v>8514</v>
      </c>
      <c r="B5982" t="s">
        <v>8626</v>
      </c>
      <c r="C5982">
        <v>2024</v>
      </c>
      <c r="D5982" t="s">
        <v>300</v>
      </c>
      <c r="E5982" t="s">
        <v>8653</v>
      </c>
      <c r="F5982">
        <v>20</v>
      </c>
      <c r="G5982" t="s">
        <v>302</v>
      </c>
      <c r="H5982" t="s">
        <v>8549</v>
      </c>
      <c r="I5982" t="s">
        <v>8654</v>
      </c>
      <c r="J5982" t="s">
        <v>294</v>
      </c>
      <c r="M5982" t="s">
        <v>295</v>
      </c>
      <c r="N5982" t="s">
        <v>7</v>
      </c>
      <c r="O5982" t="s">
        <v>297</v>
      </c>
    </row>
    <row r="5983" spans="1:15" x14ac:dyDescent="0.3">
      <c r="A5983" t="s">
        <v>8514</v>
      </c>
      <c r="B5983" t="s">
        <v>8626</v>
      </c>
      <c r="C5983">
        <v>2024</v>
      </c>
      <c r="D5983" t="s">
        <v>300</v>
      </c>
      <c r="E5983" t="s">
        <v>601</v>
      </c>
      <c r="F5983">
        <v>1140</v>
      </c>
      <c r="G5983" t="s">
        <v>302</v>
      </c>
      <c r="H5983">
        <v>16</v>
      </c>
      <c r="I5983" t="s">
        <v>8655</v>
      </c>
      <c r="J5983" t="s">
        <v>294</v>
      </c>
      <c r="M5983" t="s">
        <v>295</v>
      </c>
      <c r="N5983" t="s">
        <v>7</v>
      </c>
      <c r="O5983" t="s">
        <v>297</v>
      </c>
    </row>
    <row r="5984" spans="1:15" x14ac:dyDescent="0.3">
      <c r="A5984" t="s">
        <v>8514</v>
      </c>
      <c r="B5984" t="s">
        <v>8626</v>
      </c>
      <c r="C5984">
        <v>2024</v>
      </c>
      <c r="D5984" t="s">
        <v>300</v>
      </c>
      <c r="E5984" t="s">
        <v>603</v>
      </c>
      <c r="F5984">
        <v>-415</v>
      </c>
      <c r="G5984" t="s">
        <v>302</v>
      </c>
      <c r="H5984">
        <v>16</v>
      </c>
      <c r="I5984" t="s">
        <v>8656</v>
      </c>
      <c r="J5984" t="s">
        <v>294</v>
      </c>
      <c r="M5984" t="s">
        <v>295</v>
      </c>
      <c r="N5984" t="s">
        <v>7</v>
      </c>
      <c r="O5984" t="s">
        <v>297</v>
      </c>
    </row>
    <row r="5985" spans="1:15" x14ac:dyDescent="0.3">
      <c r="A5985" t="s">
        <v>8514</v>
      </c>
      <c r="B5985" t="s">
        <v>8626</v>
      </c>
      <c r="C5985">
        <v>2024</v>
      </c>
      <c r="D5985" t="s">
        <v>300</v>
      </c>
      <c r="E5985" t="s">
        <v>716</v>
      </c>
      <c r="F5985">
        <v>-822</v>
      </c>
      <c r="G5985" t="s">
        <v>302</v>
      </c>
      <c r="H5985">
        <v>16</v>
      </c>
      <c r="I5985" t="s">
        <v>8657</v>
      </c>
      <c r="J5985" t="s">
        <v>294</v>
      </c>
      <c r="M5985" t="s">
        <v>295</v>
      </c>
      <c r="N5985" t="s">
        <v>7</v>
      </c>
      <c r="O5985" t="s">
        <v>297</v>
      </c>
    </row>
    <row r="5986" spans="1:15" x14ac:dyDescent="0.3">
      <c r="A5986" t="s">
        <v>8514</v>
      </c>
      <c r="B5986" t="s">
        <v>8626</v>
      </c>
      <c r="C5986">
        <v>2024</v>
      </c>
      <c r="D5986" t="s">
        <v>300</v>
      </c>
      <c r="E5986" t="s">
        <v>8554</v>
      </c>
      <c r="F5986">
        <v>402</v>
      </c>
      <c r="G5986" t="s">
        <v>302</v>
      </c>
      <c r="H5986">
        <v>104</v>
      </c>
      <c r="I5986" t="s">
        <v>8658</v>
      </c>
      <c r="J5986" t="s">
        <v>294</v>
      </c>
      <c r="M5986" t="s">
        <v>295</v>
      </c>
      <c r="N5986" t="s">
        <v>7</v>
      </c>
      <c r="O5986" t="s">
        <v>297</v>
      </c>
    </row>
    <row r="5987" spans="1:15" x14ac:dyDescent="0.3">
      <c r="A5987" t="s">
        <v>8514</v>
      </c>
      <c r="B5987" t="s">
        <v>8626</v>
      </c>
      <c r="C5987">
        <v>2024</v>
      </c>
      <c r="D5987" t="s">
        <v>300</v>
      </c>
      <c r="E5987" t="s">
        <v>345</v>
      </c>
      <c r="F5987">
        <v>63.77</v>
      </c>
      <c r="G5987" t="s">
        <v>346</v>
      </c>
      <c r="H5987">
        <v>13</v>
      </c>
      <c r="I5987" t="s">
        <v>8659</v>
      </c>
      <c r="J5987" t="s">
        <v>294</v>
      </c>
      <c r="M5987" t="s">
        <v>295</v>
      </c>
      <c r="N5987" t="s">
        <v>7</v>
      </c>
      <c r="O5987" t="s">
        <v>297</v>
      </c>
    </row>
    <row r="5988" spans="1:15" x14ac:dyDescent="0.3">
      <c r="A5988" t="s">
        <v>8514</v>
      </c>
      <c r="B5988" t="s">
        <v>8626</v>
      </c>
      <c r="C5988">
        <v>2024</v>
      </c>
      <c r="D5988" t="s">
        <v>300</v>
      </c>
      <c r="E5988" t="s">
        <v>342</v>
      </c>
      <c r="F5988">
        <v>12947</v>
      </c>
      <c r="G5988" t="s">
        <v>497</v>
      </c>
      <c r="H5988">
        <v>18</v>
      </c>
      <c r="I5988" t="s">
        <v>8660</v>
      </c>
      <c r="J5988" t="s">
        <v>294</v>
      </c>
      <c r="M5988" t="s">
        <v>295</v>
      </c>
      <c r="N5988" t="s">
        <v>7</v>
      </c>
      <c r="O5988" t="s">
        <v>297</v>
      </c>
    </row>
    <row r="5989" spans="1:15" x14ac:dyDescent="0.3">
      <c r="A5989" t="s">
        <v>8514</v>
      </c>
      <c r="B5989" t="s">
        <v>8626</v>
      </c>
      <c r="C5989">
        <v>2024</v>
      </c>
      <c r="D5989" t="s">
        <v>300</v>
      </c>
      <c r="E5989" t="s">
        <v>1048</v>
      </c>
      <c r="F5989">
        <v>545</v>
      </c>
      <c r="G5989" t="s">
        <v>346</v>
      </c>
      <c r="H5989">
        <v>18</v>
      </c>
      <c r="I5989" t="s">
        <v>8661</v>
      </c>
      <c r="J5989" t="s">
        <v>294</v>
      </c>
      <c r="M5989" t="s">
        <v>295</v>
      </c>
      <c r="N5989" t="s">
        <v>7</v>
      </c>
      <c r="O5989" t="s">
        <v>297</v>
      </c>
    </row>
    <row r="5990" spans="1:15" x14ac:dyDescent="0.3">
      <c r="A5990" t="s">
        <v>8514</v>
      </c>
      <c r="B5990" t="s">
        <v>8626</v>
      </c>
      <c r="C5990">
        <v>2024</v>
      </c>
      <c r="D5990" t="s">
        <v>300</v>
      </c>
      <c r="E5990" t="s">
        <v>3374</v>
      </c>
      <c r="F5990">
        <v>7056</v>
      </c>
      <c r="G5990" t="s">
        <v>302</v>
      </c>
      <c r="H5990">
        <v>18</v>
      </c>
      <c r="I5990" t="s">
        <v>8662</v>
      </c>
      <c r="J5990" t="s">
        <v>294</v>
      </c>
      <c r="M5990" t="s">
        <v>295</v>
      </c>
      <c r="N5990" t="s">
        <v>7</v>
      </c>
      <c r="O5990" t="s">
        <v>297</v>
      </c>
    </row>
    <row r="5991" spans="1:15" x14ac:dyDescent="0.3">
      <c r="A5991" t="s">
        <v>8514</v>
      </c>
      <c r="B5991" t="s">
        <v>8626</v>
      </c>
      <c r="C5991">
        <v>2024</v>
      </c>
      <c r="D5991" t="s">
        <v>300</v>
      </c>
      <c r="E5991" t="s">
        <v>326</v>
      </c>
      <c r="F5991">
        <v>1.1000000000000001</v>
      </c>
      <c r="G5991" t="s">
        <v>327</v>
      </c>
      <c r="H5991">
        <v>14</v>
      </c>
      <c r="I5991" t="s">
        <v>8663</v>
      </c>
      <c r="J5991" t="s">
        <v>294</v>
      </c>
      <c r="M5991" t="s">
        <v>295</v>
      </c>
      <c r="N5991" t="s">
        <v>7</v>
      </c>
      <c r="O5991" t="s">
        <v>297</v>
      </c>
    </row>
    <row r="5992" spans="1:15" x14ac:dyDescent="0.3">
      <c r="A5992" t="s">
        <v>8514</v>
      </c>
      <c r="B5992" t="s">
        <v>8626</v>
      </c>
      <c r="C5992">
        <v>2024</v>
      </c>
      <c r="D5992" t="s">
        <v>300</v>
      </c>
      <c r="E5992" t="s">
        <v>4895</v>
      </c>
      <c r="F5992">
        <v>0.3</v>
      </c>
      <c r="G5992" t="s">
        <v>327</v>
      </c>
      <c r="H5992">
        <v>14</v>
      </c>
      <c r="I5992" t="s">
        <v>8664</v>
      </c>
      <c r="J5992" t="s">
        <v>294</v>
      </c>
      <c r="M5992" t="s">
        <v>295</v>
      </c>
      <c r="N5992" t="s">
        <v>7</v>
      </c>
      <c r="O5992" t="s">
        <v>297</v>
      </c>
    </row>
    <row r="5993" spans="1:15" x14ac:dyDescent="0.3">
      <c r="A5993" t="s">
        <v>8514</v>
      </c>
      <c r="B5993" t="s">
        <v>8626</v>
      </c>
      <c r="C5993">
        <v>2024</v>
      </c>
      <c r="D5993" t="s">
        <v>300</v>
      </c>
      <c r="E5993" t="s">
        <v>8562</v>
      </c>
      <c r="F5993">
        <v>0.8</v>
      </c>
      <c r="G5993" t="s">
        <v>327</v>
      </c>
      <c r="H5993">
        <v>14</v>
      </c>
      <c r="I5993" t="s">
        <v>8665</v>
      </c>
      <c r="J5993" t="s">
        <v>294</v>
      </c>
      <c r="M5993" t="s">
        <v>295</v>
      </c>
      <c r="N5993" t="s">
        <v>7</v>
      </c>
      <c r="O5993" t="s">
        <v>297</v>
      </c>
    </row>
    <row r="5994" spans="1:15" x14ac:dyDescent="0.3">
      <c r="A5994" t="s">
        <v>8514</v>
      </c>
      <c r="B5994" t="s">
        <v>8626</v>
      </c>
      <c r="C5994">
        <v>2024</v>
      </c>
      <c r="D5994" t="s">
        <v>300</v>
      </c>
      <c r="E5994" t="s">
        <v>8666</v>
      </c>
      <c r="F5994">
        <v>0.2</v>
      </c>
      <c r="G5994" t="s">
        <v>327</v>
      </c>
      <c r="H5994">
        <v>100</v>
      </c>
      <c r="I5994" t="s">
        <v>8667</v>
      </c>
      <c r="J5994" t="s">
        <v>294</v>
      </c>
      <c r="M5994" t="s">
        <v>295</v>
      </c>
      <c r="N5994" t="s">
        <v>7</v>
      </c>
      <c r="O5994" t="s">
        <v>297</v>
      </c>
    </row>
    <row r="5995" spans="1:15" x14ac:dyDescent="0.3">
      <c r="A5995" t="s">
        <v>8514</v>
      </c>
      <c r="B5995" t="s">
        <v>8626</v>
      </c>
      <c r="C5995">
        <v>2024</v>
      </c>
      <c r="D5995" t="s">
        <v>300</v>
      </c>
      <c r="E5995" t="s">
        <v>1187</v>
      </c>
      <c r="F5995">
        <v>0.34599999999999997</v>
      </c>
      <c r="G5995" t="s">
        <v>334</v>
      </c>
      <c r="H5995">
        <v>14</v>
      </c>
      <c r="I5995" t="s">
        <v>8668</v>
      </c>
      <c r="J5995" t="s">
        <v>294</v>
      </c>
      <c r="M5995" t="s">
        <v>295</v>
      </c>
      <c r="N5995" t="s">
        <v>7</v>
      </c>
      <c r="O5995" t="s">
        <v>297</v>
      </c>
    </row>
    <row r="5996" spans="1:15" x14ac:dyDescent="0.3">
      <c r="A5996" t="s">
        <v>8514</v>
      </c>
      <c r="B5996" t="s">
        <v>8626</v>
      </c>
      <c r="C5996">
        <v>2024</v>
      </c>
      <c r="D5996" t="s">
        <v>300</v>
      </c>
      <c r="E5996" t="s">
        <v>4352</v>
      </c>
      <c r="F5996">
        <v>0.26400000000000001</v>
      </c>
      <c r="G5996" t="s">
        <v>334</v>
      </c>
      <c r="H5996">
        <v>14</v>
      </c>
      <c r="I5996" t="s">
        <v>8669</v>
      </c>
      <c r="J5996" t="s">
        <v>294</v>
      </c>
      <c r="M5996" t="s">
        <v>295</v>
      </c>
      <c r="N5996" t="s">
        <v>7</v>
      </c>
      <c r="O5996" t="s">
        <v>297</v>
      </c>
    </row>
    <row r="5997" spans="1:15" x14ac:dyDescent="0.3">
      <c r="A5997" t="s">
        <v>8514</v>
      </c>
      <c r="B5997" t="s">
        <v>8626</v>
      </c>
      <c r="C5997">
        <v>2024</v>
      </c>
      <c r="D5997" t="s">
        <v>300</v>
      </c>
      <c r="E5997" t="s">
        <v>903</v>
      </c>
      <c r="F5997">
        <v>0.19600000000000001</v>
      </c>
      <c r="G5997" t="s">
        <v>334</v>
      </c>
      <c r="H5997">
        <v>14</v>
      </c>
      <c r="I5997" t="s">
        <v>8670</v>
      </c>
      <c r="J5997" t="s">
        <v>294</v>
      </c>
      <c r="M5997" t="s">
        <v>295</v>
      </c>
      <c r="N5997" t="s">
        <v>7</v>
      </c>
      <c r="O5997" t="s">
        <v>297</v>
      </c>
    </row>
    <row r="5998" spans="1:15" x14ac:dyDescent="0.3">
      <c r="A5998" t="s">
        <v>8514</v>
      </c>
      <c r="B5998" t="s">
        <v>8626</v>
      </c>
      <c r="C5998">
        <v>2024</v>
      </c>
      <c r="D5998" t="s">
        <v>300</v>
      </c>
      <c r="E5998" t="s">
        <v>3054</v>
      </c>
      <c r="F5998">
        <v>0.26300000000000001</v>
      </c>
      <c r="G5998" t="s">
        <v>334</v>
      </c>
      <c r="H5998">
        <v>14</v>
      </c>
      <c r="I5998" t="s">
        <v>8671</v>
      </c>
      <c r="J5998" t="s">
        <v>294</v>
      </c>
      <c r="M5998" t="s">
        <v>295</v>
      </c>
      <c r="N5998" t="s">
        <v>7</v>
      </c>
      <c r="O5998" t="s">
        <v>297</v>
      </c>
    </row>
    <row r="5999" spans="1:15" x14ac:dyDescent="0.3">
      <c r="A5999" t="s">
        <v>8514</v>
      </c>
      <c r="B5999" t="s">
        <v>8626</v>
      </c>
      <c r="C5999">
        <v>2024</v>
      </c>
      <c r="D5999" t="s">
        <v>300</v>
      </c>
      <c r="E5999" t="s">
        <v>3052</v>
      </c>
      <c r="F5999">
        <v>0.14599999999999999</v>
      </c>
      <c r="G5999" t="s">
        <v>334</v>
      </c>
      <c r="H5999">
        <v>14</v>
      </c>
      <c r="I5999" t="s">
        <v>8672</v>
      </c>
      <c r="J5999" t="s">
        <v>294</v>
      </c>
      <c r="M5999" t="s">
        <v>295</v>
      </c>
      <c r="N5999" t="s">
        <v>7</v>
      </c>
      <c r="O5999" t="s">
        <v>297</v>
      </c>
    </row>
    <row r="6000" spans="1:15" x14ac:dyDescent="0.3">
      <c r="A6000" t="s">
        <v>8514</v>
      </c>
      <c r="B6000" t="s">
        <v>8626</v>
      </c>
      <c r="C6000">
        <v>2024</v>
      </c>
      <c r="D6000" t="s">
        <v>300</v>
      </c>
      <c r="E6000" t="s">
        <v>8673</v>
      </c>
      <c r="F6000">
        <v>12.21</v>
      </c>
      <c r="G6000" t="s">
        <v>346</v>
      </c>
      <c r="H6000">
        <v>107</v>
      </c>
      <c r="I6000" t="s">
        <v>8674</v>
      </c>
      <c r="J6000" t="s">
        <v>294</v>
      </c>
      <c r="M6000" t="s">
        <v>295</v>
      </c>
      <c r="N6000" t="s">
        <v>7</v>
      </c>
      <c r="O6000" t="s">
        <v>297</v>
      </c>
    </row>
    <row r="6001" spans="1:15" x14ac:dyDescent="0.3">
      <c r="A6001" t="s">
        <v>8514</v>
      </c>
      <c r="B6001" t="s">
        <v>8626</v>
      </c>
      <c r="C6001">
        <v>2024</v>
      </c>
      <c r="D6001" t="s">
        <v>300</v>
      </c>
      <c r="E6001" t="s">
        <v>8675</v>
      </c>
      <c r="F6001">
        <v>402</v>
      </c>
      <c r="G6001" t="s">
        <v>302</v>
      </c>
      <c r="H6001">
        <v>103</v>
      </c>
      <c r="I6001" t="s">
        <v>8676</v>
      </c>
      <c r="J6001" t="s">
        <v>294</v>
      </c>
      <c r="M6001" t="s">
        <v>295</v>
      </c>
      <c r="N6001" t="s">
        <v>7</v>
      </c>
      <c r="O6001" t="s">
        <v>297</v>
      </c>
    </row>
    <row r="6002" spans="1:15" x14ac:dyDescent="0.3">
      <c r="A6002" t="s">
        <v>8514</v>
      </c>
      <c r="B6002" t="s">
        <v>8626</v>
      </c>
      <c r="C6002">
        <v>2024</v>
      </c>
      <c r="D6002" t="s">
        <v>300</v>
      </c>
      <c r="E6002" t="s">
        <v>8677</v>
      </c>
      <c r="F6002">
        <v>9.7000000000000003E-2</v>
      </c>
      <c r="G6002" t="s">
        <v>334</v>
      </c>
      <c r="H6002">
        <v>106</v>
      </c>
      <c r="I6002" t="s">
        <v>8678</v>
      </c>
      <c r="J6002" t="s">
        <v>294</v>
      </c>
      <c r="M6002" t="s">
        <v>295</v>
      </c>
      <c r="N6002" t="s">
        <v>7</v>
      </c>
      <c r="O6002" t="s">
        <v>297</v>
      </c>
    </row>
    <row r="6003" spans="1:15" x14ac:dyDescent="0.3">
      <c r="A6003" t="s">
        <v>8514</v>
      </c>
      <c r="B6003" t="s">
        <v>8626</v>
      </c>
      <c r="C6003">
        <v>2024</v>
      </c>
      <c r="D6003" t="s">
        <v>358</v>
      </c>
      <c r="E6003" t="s">
        <v>504</v>
      </c>
      <c r="F6003">
        <v>60515</v>
      </c>
      <c r="G6003" t="s">
        <v>360</v>
      </c>
      <c r="H6003">
        <v>55</v>
      </c>
      <c r="I6003" t="s">
        <v>8679</v>
      </c>
      <c r="J6003" t="s">
        <v>294</v>
      </c>
      <c r="M6003" t="s">
        <v>295</v>
      </c>
      <c r="N6003" t="s">
        <v>7</v>
      </c>
      <c r="O6003" t="s">
        <v>297</v>
      </c>
    </row>
    <row r="6004" spans="1:15" x14ac:dyDescent="0.3">
      <c r="A6004" t="s">
        <v>8514</v>
      </c>
      <c r="B6004" t="s">
        <v>8626</v>
      </c>
      <c r="C6004">
        <v>2024</v>
      </c>
      <c r="D6004" t="s">
        <v>358</v>
      </c>
      <c r="E6004" t="s">
        <v>362</v>
      </c>
      <c r="F6004">
        <v>48542</v>
      </c>
      <c r="G6004" t="s">
        <v>360</v>
      </c>
      <c r="H6004">
        <v>12</v>
      </c>
      <c r="I6004" t="s">
        <v>8680</v>
      </c>
      <c r="J6004" t="s">
        <v>294</v>
      </c>
      <c r="M6004" t="s">
        <v>295</v>
      </c>
      <c r="N6004" t="s">
        <v>7</v>
      </c>
      <c r="O6004" t="s">
        <v>297</v>
      </c>
    </row>
    <row r="6005" spans="1:15" x14ac:dyDescent="0.3">
      <c r="A6005" t="s">
        <v>8514</v>
      </c>
      <c r="B6005" t="s">
        <v>8626</v>
      </c>
      <c r="C6005">
        <v>2024</v>
      </c>
      <c r="D6005" t="s">
        <v>358</v>
      </c>
      <c r="E6005" t="s">
        <v>364</v>
      </c>
      <c r="F6005">
        <v>11973</v>
      </c>
      <c r="G6005" t="s">
        <v>360</v>
      </c>
      <c r="H6005">
        <v>12</v>
      </c>
      <c r="I6005" t="s">
        <v>8681</v>
      </c>
      <c r="J6005" t="s">
        <v>294</v>
      </c>
      <c r="M6005" t="s">
        <v>295</v>
      </c>
      <c r="N6005" t="s">
        <v>7</v>
      </c>
      <c r="O6005" t="s">
        <v>297</v>
      </c>
    </row>
    <row r="6006" spans="1:15" x14ac:dyDescent="0.3">
      <c r="A6006" t="s">
        <v>8514</v>
      </c>
      <c r="B6006" t="s">
        <v>8626</v>
      </c>
      <c r="C6006">
        <v>2024</v>
      </c>
      <c r="D6006" t="s">
        <v>358</v>
      </c>
      <c r="E6006" t="s">
        <v>8578</v>
      </c>
      <c r="F6006">
        <v>15.5</v>
      </c>
      <c r="G6006" t="s">
        <v>375</v>
      </c>
      <c r="H6006">
        <v>12</v>
      </c>
      <c r="I6006" t="s">
        <v>8682</v>
      </c>
      <c r="J6006" t="s">
        <v>294</v>
      </c>
      <c r="M6006" t="s">
        <v>295</v>
      </c>
      <c r="N6006" t="s">
        <v>7</v>
      </c>
      <c r="O6006" t="s">
        <v>297</v>
      </c>
    </row>
    <row r="6007" spans="1:15" x14ac:dyDescent="0.3">
      <c r="A6007" t="s">
        <v>8514</v>
      </c>
      <c r="B6007" t="s">
        <v>8626</v>
      </c>
      <c r="C6007">
        <v>2024</v>
      </c>
      <c r="D6007" t="s">
        <v>358</v>
      </c>
      <c r="E6007" t="s">
        <v>8580</v>
      </c>
      <c r="F6007">
        <v>13.5</v>
      </c>
      <c r="G6007" t="s">
        <v>375</v>
      </c>
      <c r="H6007">
        <v>12</v>
      </c>
      <c r="I6007" t="s">
        <v>8683</v>
      </c>
      <c r="J6007" t="s">
        <v>294</v>
      </c>
      <c r="M6007" t="s">
        <v>295</v>
      </c>
      <c r="N6007" t="s">
        <v>7</v>
      </c>
      <c r="O6007" t="s">
        <v>297</v>
      </c>
    </row>
    <row r="6008" spans="1:15" x14ac:dyDescent="0.3">
      <c r="A6008" t="s">
        <v>8514</v>
      </c>
      <c r="B6008" t="s">
        <v>8626</v>
      </c>
      <c r="C6008">
        <v>2024</v>
      </c>
      <c r="D6008" t="s">
        <v>358</v>
      </c>
      <c r="E6008" t="s">
        <v>8684</v>
      </c>
      <c r="F6008">
        <v>47416</v>
      </c>
      <c r="G6008" t="s">
        <v>360</v>
      </c>
      <c r="H6008">
        <v>12</v>
      </c>
      <c r="I6008" t="s">
        <v>8685</v>
      </c>
      <c r="J6008" t="s">
        <v>294</v>
      </c>
      <c r="M6008" t="s">
        <v>295</v>
      </c>
      <c r="N6008" t="s">
        <v>7</v>
      </c>
      <c r="O6008" t="s">
        <v>297</v>
      </c>
    </row>
    <row r="6009" spans="1:15" x14ac:dyDescent="0.3">
      <c r="A6009" t="s">
        <v>8514</v>
      </c>
      <c r="B6009" t="s">
        <v>8626</v>
      </c>
      <c r="C6009">
        <v>2024</v>
      </c>
      <c r="D6009" t="s">
        <v>358</v>
      </c>
      <c r="E6009" t="s">
        <v>523</v>
      </c>
      <c r="F6009">
        <v>6</v>
      </c>
      <c r="G6009" t="s">
        <v>384</v>
      </c>
      <c r="H6009">
        <v>87</v>
      </c>
      <c r="I6009" t="s">
        <v>8686</v>
      </c>
      <c r="J6009" t="s">
        <v>294</v>
      </c>
      <c r="M6009" t="s">
        <v>295</v>
      </c>
      <c r="N6009" t="s">
        <v>7</v>
      </c>
      <c r="O6009" t="s">
        <v>297</v>
      </c>
    </row>
    <row r="6010" spans="1:15" x14ac:dyDescent="0.3">
      <c r="A6010" t="s">
        <v>8514</v>
      </c>
      <c r="B6010" t="s">
        <v>8626</v>
      </c>
      <c r="C6010">
        <v>2024</v>
      </c>
      <c r="D6010" t="s">
        <v>358</v>
      </c>
      <c r="E6010" t="s">
        <v>934</v>
      </c>
      <c r="F6010">
        <v>335</v>
      </c>
      <c r="G6010" t="s">
        <v>8589</v>
      </c>
      <c r="H6010">
        <v>87</v>
      </c>
      <c r="I6010" t="s">
        <v>8687</v>
      </c>
      <c r="J6010" t="s">
        <v>294</v>
      </c>
      <c r="M6010" t="s">
        <v>295</v>
      </c>
      <c r="N6010" t="s">
        <v>7</v>
      </c>
      <c r="O6010" t="s">
        <v>297</v>
      </c>
    </row>
    <row r="6011" spans="1:15" x14ac:dyDescent="0.3">
      <c r="A6011" t="s">
        <v>8514</v>
      </c>
      <c r="B6011" t="s">
        <v>8626</v>
      </c>
      <c r="C6011">
        <v>2024</v>
      </c>
      <c r="D6011" t="s">
        <v>358</v>
      </c>
      <c r="E6011" t="s">
        <v>525</v>
      </c>
      <c r="F6011">
        <v>1</v>
      </c>
      <c r="G6011" t="s">
        <v>384</v>
      </c>
      <c r="H6011">
        <v>55</v>
      </c>
      <c r="I6011" t="s">
        <v>8688</v>
      </c>
      <c r="J6011" t="s">
        <v>294</v>
      </c>
      <c r="M6011" t="s">
        <v>295</v>
      </c>
      <c r="N6011" t="s">
        <v>7</v>
      </c>
      <c r="O6011" t="s">
        <v>297</v>
      </c>
    </row>
    <row r="6012" spans="1:15" x14ac:dyDescent="0.3">
      <c r="A6012" t="s">
        <v>8514</v>
      </c>
      <c r="B6012" t="s">
        <v>8626</v>
      </c>
      <c r="C6012">
        <v>2024</v>
      </c>
      <c r="D6012" t="s">
        <v>358</v>
      </c>
      <c r="E6012" t="s">
        <v>8689</v>
      </c>
      <c r="F6012">
        <v>100</v>
      </c>
      <c r="G6012" t="s">
        <v>8690</v>
      </c>
      <c r="H6012">
        <v>54</v>
      </c>
      <c r="I6012" t="s">
        <v>8691</v>
      </c>
      <c r="J6012" t="s">
        <v>294</v>
      </c>
      <c r="M6012" t="s">
        <v>295</v>
      </c>
      <c r="N6012" t="s">
        <v>7</v>
      </c>
      <c r="O6012" t="s">
        <v>297</v>
      </c>
    </row>
    <row r="6013" spans="1:15" x14ac:dyDescent="0.3">
      <c r="A6013" t="s">
        <v>8514</v>
      </c>
      <c r="B6013" t="s">
        <v>8626</v>
      </c>
      <c r="C6013">
        <v>2024</v>
      </c>
      <c r="D6013" t="s">
        <v>358</v>
      </c>
      <c r="E6013" t="s">
        <v>8692</v>
      </c>
      <c r="F6013">
        <v>1.7</v>
      </c>
      <c r="G6013" t="s">
        <v>8693</v>
      </c>
      <c r="I6013" t="s">
        <v>8694</v>
      </c>
      <c r="J6013" t="s">
        <v>294</v>
      </c>
      <c r="M6013" t="s">
        <v>295</v>
      </c>
      <c r="N6013" t="s">
        <v>7</v>
      </c>
      <c r="O6013" t="s">
        <v>297</v>
      </c>
    </row>
    <row r="6014" spans="1:15" x14ac:dyDescent="0.3">
      <c r="A6014" t="s">
        <v>8514</v>
      </c>
      <c r="B6014" t="s">
        <v>8626</v>
      </c>
      <c r="C6014">
        <v>2024</v>
      </c>
      <c r="D6014" t="s">
        <v>358</v>
      </c>
      <c r="E6014" t="s">
        <v>8591</v>
      </c>
      <c r="F6014">
        <v>43500</v>
      </c>
      <c r="G6014" t="s">
        <v>1453</v>
      </c>
      <c r="H6014">
        <v>55</v>
      </c>
      <c r="I6014" t="s">
        <v>8695</v>
      </c>
      <c r="J6014" t="s">
        <v>294</v>
      </c>
      <c r="M6014" t="s">
        <v>295</v>
      </c>
      <c r="N6014" t="s">
        <v>7</v>
      </c>
      <c r="O6014" t="s">
        <v>297</v>
      </c>
    </row>
    <row r="6015" spans="1:15" x14ac:dyDescent="0.3">
      <c r="A6015" t="s">
        <v>8514</v>
      </c>
      <c r="B6015" t="s">
        <v>8626</v>
      </c>
      <c r="C6015">
        <v>2024</v>
      </c>
      <c r="D6015" t="s">
        <v>358</v>
      </c>
      <c r="E6015" t="s">
        <v>8696</v>
      </c>
      <c r="F6015">
        <v>400</v>
      </c>
      <c r="G6015" t="s">
        <v>8697</v>
      </c>
      <c r="H6015">
        <v>89</v>
      </c>
      <c r="I6015" t="s">
        <v>8698</v>
      </c>
      <c r="J6015" t="s">
        <v>294</v>
      </c>
      <c r="M6015" t="s">
        <v>295</v>
      </c>
      <c r="N6015" t="s">
        <v>7</v>
      </c>
      <c r="O6015" t="s">
        <v>297</v>
      </c>
    </row>
    <row r="6016" spans="1:15" x14ac:dyDescent="0.3">
      <c r="A6016" t="s">
        <v>8514</v>
      </c>
      <c r="B6016" t="s">
        <v>8626</v>
      </c>
      <c r="C6016">
        <v>2024</v>
      </c>
      <c r="D6016" t="s">
        <v>394</v>
      </c>
      <c r="E6016" t="s">
        <v>531</v>
      </c>
      <c r="F6016">
        <v>1219294</v>
      </c>
      <c r="G6016" t="s">
        <v>396</v>
      </c>
      <c r="H6016">
        <v>12</v>
      </c>
      <c r="I6016" t="s">
        <v>8699</v>
      </c>
      <c r="J6016" t="s">
        <v>294</v>
      </c>
      <c r="M6016" t="s">
        <v>295</v>
      </c>
      <c r="N6016" t="s">
        <v>7</v>
      </c>
      <c r="O6016" t="s">
        <v>297</v>
      </c>
    </row>
    <row r="6017" spans="1:15" x14ac:dyDescent="0.3">
      <c r="A6017" t="s">
        <v>8514</v>
      </c>
      <c r="B6017" t="s">
        <v>8626</v>
      </c>
      <c r="C6017">
        <v>2024</v>
      </c>
      <c r="D6017" t="s">
        <v>394</v>
      </c>
      <c r="E6017" t="s">
        <v>533</v>
      </c>
      <c r="F6017">
        <v>1071173</v>
      </c>
      <c r="G6017" t="s">
        <v>396</v>
      </c>
      <c r="H6017">
        <v>12</v>
      </c>
      <c r="I6017" t="s">
        <v>8700</v>
      </c>
      <c r="J6017" t="s">
        <v>294</v>
      </c>
      <c r="M6017" t="s">
        <v>295</v>
      </c>
      <c r="N6017" t="s">
        <v>7</v>
      </c>
      <c r="O6017" t="s">
        <v>297</v>
      </c>
    </row>
    <row r="6018" spans="1:15" x14ac:dyDescent="0.3">
      <c r="A6018" t="s">
        <v>8514</v>
      </c>
      <c r="B6018" t="s">
        <v>8626</v>
      </c>
      <c r="C6018">
        <v>2024</v>
      </c>
      <c r="D6018" t="s">
        <v>394</v>
      </c>
      <c r="E6018" t="s">
        <v>535</v>
      </c>
      <c r="F6018">
        <v>148121</v>
      </c>
      <c r="G6018" t="s">
        <v>396</v>
      </c>
      <c r="H6018">
        <v>12</v>
      </c>
      <c r="I6018" t="s">
        <v>8701</v>
      </c>
      <c r="J6018" t="s">
        <v>294</v>
      </c>
      <c r="M6018" t="s">
        <v>295</v>
      </c>
      <c r="N6018" t="s">
        <v>7</v>
      </c>
      <c r="O6018" t="s">
        <v>297</v>
      </c>
    </row>
    <row r="6019" spans="1:15" x14ac:dyDescent="0.3">
      <c r="A6019" t="s">
        <v>8514</v>
      </c>
      <c r="B6019" t="s">
        <v>8626</v>
      </c>
      <c r="C6019">
        <v>2024</v>
      </c>
      <c r="D6019" t="s">
        <v>394</v>
      </c>
      <c r="E6019" t="s">
        <v>402</v>
      </c>
      <c r="F6019">
        <v>1381677</v>
      </c>
      <c r="G6019" t="s">
        <v>396</v>
      </c>
      <c r="H6019">
        <v>12</v>
      </c>
      <c r="I6019" t="s">
        <v>8702</v>
      </c>
      <c r="J6019" t="s">
        <v>294</v>
      </c>
      <c r="M6019" t="s">
        <v>295</v>
      </c>
      <c r="N6019" t="s">
        <v>7</v>
      </c>
      <c r="O6019" t="s">
        <v>297</v>
      </c>
    </row>
    <row r="6020" spans="1:15" x14ac:dyDescent="0.3">
      <c r="A6020" t="s">
        <v>8514</v>
      </c>
      <c r="B6020" t="s">
        <v>8626</v>
      </c>
      <c r="C6020">
        <v>2024</v>
      </c>
      <c r="D6020" t="s">
        <v>394</v>
      </c>
      <c r="E6020" t="s">
        <v>406</v>
      </c>
      <c r="F6020">
        <v>324857</v>
      </c>
      <c r="G6020" t="s">
        <v>396</v>
      </c>
      <c r="H6020">
        <v>12</v>
      </c>
      <c r="I6020" t="s">
        <v>8703</v>
      </c>
      <c r="J6020" t="s">
        <v>294</v>
      </c>
      <c r="M6020" t="s">
        <v>295</v>
      </c>
      <c r="N6020" t="s">
        <v>7</v>
      </c>
      <c r="O6020" t="s">
        <v>297</v>
      </c>
    </row>
    <row r="6021" spans="1:15" x14ac:dyDescent="0.3">
      <c r="A6021" t="s">
        <v>8514</v>
      </c>
      <c r="B6021" t="s">
        <v>8626</v>
      </c>
      <c r="C6021">
        <v>2024</v>
      </c>
      <c r="D6021" t="s">
        <v>394</v>
      </c>
      <c r="E6021" t="s">
        <v>855</v>
      </c>
      <c r="F6021">
        <v>50787</v>
      </c>
      <c r="G6021" t="s">
        <v>396</v>
      </c>
      <c r="H6021">
        <v>12</v>
      </c>
      <c r="I6021" t="s">
        <v>8704</v>
      </c>
      <c r="J6021" t="s">
        <v>294</v>
      </c>
      <c r="M6021" t="s">
        <v>295</v>
      </c>
      <c r="N6021" t="s">
        <v>7</v>
      </c>
      <c r="O6021" t="s">
        <v>297</v>
      </c>
    </row>
    <row r="6022" spans="1:15" x14ac:dyDescent="0.3">
      <c r="A6022" t="s">
        <v>8514</v>
      </c>
      <c r="B6022" t="s">
        <v>8626</v>
      </c>
      <c r="C6022">
        <v>2024</v>
      </c>
      <c r="D6022" t="s">
        <v>394</v>
      </c>
      <c r="E6022" t="s">
        <v>7890</v>
      </c>
      <c r="F6022">
        <v>5262</v>
      </c>
      <c r="G6022" t="s">
        <v>396</v>
      </c>
      <c r="H6022">
        <v>12</v>
      </c>
      <c r="I6022" t="s">
        <v>8705</v>
      </c>
      <c r="J6022" t="s">
        <v>294</v>
      </c>
      <c r="M6022" t="s">
        <v>295</v>
      </c>
      <c r="N6022" t="s">
        <v>7</v>
      </c>
      <c r="O6022" t="s">
        <v>297</v>
      </c>
    </row>
    <row r="6023" spans="1:15" x14ac:dyDescent="0.3">
      <c r="A6023" t="s">
        <v>8514</v>
      </c>
      <c r="B6023" t="s">
        <v>8626</v>
      </c>
      <c r="C6023">
        <v>2024</v>
      </c>
      <c r="D6023" t="s">
        <v>394</v>
      </c>
      <c r="E6023" t="s">
        <v>420</v>
      </c>
      <c r="F6023">
        <v>6862</v>
      </c>
      <c r="G6023" t="s">
        <v>396</v>
      </c>
      <c r="H6023">
        <v>12</v>
      </c>
      <c r="I6023" t="s">
        <v>8706</v>
      </c>
      <c r="J6023" t="s">
        <v>294</v>
      </c>
      <c r="M6023" t="s">
        <v>295</v>
      </c>
      <c r="N6023" t="s">
        <v>7</v>
      </c>
      <c r="O6023" t="s">
        <v>297</v>
      </c>
    </row>
    <row r="6024" spans="1:15" x14ac:dyDescent="0.3">
      <c r="A6024" t="s">
        <v>8514</v>
      </c>
      <c r="B6024" t="s">
        <v>8626</v>
      </c>
      <c r="C6024">
        <v>2024</v>
      </c>
      <c r="D6024" t="s">
        <v>394</v>
      </c>
      <c r="E6024" t="s">
        <v>8609</v>
      </c>
      <c r="F6024">
        <v>0.23499999999999999</v>
      </c>
      <c r="G6024" t="s">
        <v>334</v>
      </c>
      <c r="H6024">
        <v>12</v>
      </c>
      <c r="I6024" t="s">
        <v>8707</v>
      </c>
      <c r="J6024" t="s">
        <v>294</v>
      </c>
      <c r="M6024" t="s">
        <v>295</v>
      </c>
      <c r="N6024" t="s">
        <v>7</v>
      </c>
      <c r="O6024" t="s">
        <v>297</v>
      </c>
    </row>
    <row r="6025" spans="1:15" x14ac:dyDescent="0.3">
      <c r="A6025" t="s">
        <v>8514</v>
      </c>
      <c r="B6025" t="s">
        <v>8626</v>
      </c>
      <c r="C6025">
        <v>2024</v>
      </c>
      <c r="D6025" t="s">
        <v>394</v>
      </c>
      <c r="E6025" t="s">
        <v>8611</v>
      </c>
      <c r="F6025">
        <v>3.6999999999999998E-2</v>
      </c>
      <c r="G6025" t="s">
        <v>334</v>
      </c>
      <c r="H6025">
        <v>12</v>
      </c>
      <c r="I6025" t="s">
        <v>8708</v>
      </c>
      <c r="J6025" t="s">
        <v>294</v>
      </c>
      <c r="M6025" t="s">
        <v>295</v>
      </c>
      <c r="N6025" t="s">
        <v>7</v>
      </c>
      <c r="O6025" t="s">
        <v>297</v>
      </c>
    </row>
    <row r="6026" spans="1:15" x14ac:dyDescent="0.3">
      <c r="A6026" t="s">
        <v>8514</v>
      </c>
      <c r="B6026" t="s">
        <v>8626</v>
      </c>
      <c r="C6026">
        <v>2024</v>
      </c>
      <c r="D6026" t="s">
        <v>394</v>
      </c>
      <c r="E6026" t="s">
        <v>8709</v>
      </c>
      <c r="F6026">
        <v>0.4</v>
      </c>
      <c r="G6026" t="s">
        <v>334</v>
      </c>
      <c r="H6026">
        <v>88</v>
      </c>
      <c r="I6026" t="s">
        <v>8710</v>
      </c>
      <c r="J6026" t="s">
        <v>294</v>
      </c>
      <c r="M6026" t="s">
        <v>295</v>
      </c>
      <c r="N6026" t="s">
        <v>7</v>
      </c>
      <c r="O6026" t="s">
        <v>297</v>
      </c>
    </row>
    <row r="6027" spans="1:15" x14ac:dyDescent="0.3">
      <c r="A6027" t="s">
        <v>8514</v>
      </c>
      <c r="B6027" t="s">
        <v>8626</v>
      </c>
      <c r="C6027">
        <v>2024</v>
      </c>
      <c r="D6027" t="s">
        <v>394</v>
      </c>
      <c r="E6027" t="s">
        <v>438</v>
      </c>
      <c r="F6027">
        <v>314457</v>
      </c>
      <c r="G6027" t="s">
        <v>396</v>
      </c>
      <c r="H6027">
        <v>12</v>
      </c>
      <c r="I6027" t="s">
        <v>8711</v>
      </c>
      <c r="J6027" t="s">
        <v>294</v>
      </c>
      <c r="M6027" t="s">
        <v>295</v>
      </c>
      <c r="N6027" t="s">
        <v>7</v>
      </c>
      <c r="O6027" t="s">
        <v>297</v>
      </c>
    </row>
    <row r="6028" spans="1:15" x14ac:dyDescent="0.3">
      <c r="A6028" t="s">
        <v>8514</v>
      </c>
      <c r="B6028" t="s">
        <v>8626</v>
      </c>
      <c r="C6028">
        <v>2024</v>
      </c>
      <c r="D6028" t="s">
        <v>394</v>
      </c>
      <c r="E6028" t="s">
        <v>4994</v>
      </c>
      <c r="F6028">
        <v>40102</v>
      </c>
      <c r="G6028" t="s">
        <v>396</v>
      </c>
      <c r="H6028">
        <v>12</v>
      </c>
      <c r="I6028" t="s">
        <v>8712</v>
      </c>
      <c r="J6028" t="s">
        <v>294</v>
      </c>
      <c r="M6028" t="s">
        <v>295</v>
      </c>
      <c r="N6028" t="s">
        <v>7</v>
      </c>
      <c r="O6028" t="s">
        <v>297</v>
      </c>
    </row>
    <row r="6029" spans="1:15" x14ac:dyDescent="0.3">
      <c r="A6029" t="s">
        <v>8514</v>
      </c>
      <c r="B6029" t="s">
        <v>8626</v>
      </c>
      <c r="C6029">
        <v>2024</v>
      </c>
      <c r="D6029" t="s">
        <v>394</v>
      </c>
      <c r="E6029" t="s">
        <v>4999</v>
      </c>
      <c r="F6029">
        <v>4619</v>
      </c>
      <c r="G6029" t="s">
        <v>396</v>
      </c>
      <c r="H6029">
        <v>88</v>
      </c>
      <c r="I6029" t="s">
        <v>8713</v>
      </c>
      <c r="J6029" t="s">
        <v>294</v>
      </c>
      <c r="M6029" t="s">
        <v>295</v>
      </c>
      <c r="N6029" t="s">
        <v>7</v>
      </c>
      <c r="O6029" t="s">
        <v>297</v>
      </c>
    </row>
    <row r="6030" spans="1:15" x14ac:dyDescent="0.3">
      <c r="A6030" t="s">
        <v>8514</v>
      </c>
      <c r="B6030" t="s">
        <v>8626</v>
      </c>
      <c r="C6030">
        <v>2024</v>
      </c>
      <c r="D6030" t="s">
        <v>394</v>
      </c>
      <c r="E6030" t="s">
        <v>435</v>
      </c>
      <c r="F6030">
        <v>12230</v>
      </c>
      <c r="G6030" t="s">
        <v>436</v>
      </c>
      <c r="H6030">
        <v>88</v>
      </c>
      <c r="I6030" t="s">
        <v>8714</v>
      </c>
      <c r="J6030" t="s">
        <v>294</v>
      </c>
      <c r="M6030" t="s">
        <v>295</v>
      </c>
      <c r="N6030" t="s">
        <v>7</v>
      </c>
      <c r="O6030" t="s">
        <v>297</v>
      </c>
    </row>
    <row r="6031" spans="1:15" x14ac:dyDescent="0.3">
      <c r="A6031" t="s">
        <v>8514</v>
      </c>
      <c r="B6031" t="s">
        <v>8626</v>
      </c>
      <c r="C6031">
        <v>2024</v>
      </c>
      <c r="D6031" t="s">
        <v>394</v>
      </c>
      <c r="E6031" t="s">
        <v>8616</v>
      </c>
      <c r="F6031">
        <v>6782</v>
      </c>
      <c r="G6031" t="s">
        <v>436</v>
      </c>
      <c r="H6031">
        <v>88</v>
      </c>
      <c r="I6031" t="s">
        <v>8715</v>
      </c>
      <c r="J6031" t="s">
        <v>294</v>
      </c>
      <c r="M6031" t="s">
        <v>295</v>
      </c>
      <c r="N6031" t="s">
        <v>7</v>
      </c>
      <c r="O6031" t="s">
        <v>297</v>
      </c>
    </row>
    <row r="6032" spans="1:15" x14ac:dyDescent="0.3">
      <c r="A6032" t="s">
        <v>8514</v>
      </c>
      <c r="B6032" t="s">
        <v>8626</v>
      </c>
      <c r="C6032">
        <v>2024</v>
      </c>
      <c r="D6032" t="s">
        <v>394</v>
      </c>
      <c r="E6032" t="s">
        <v>8716</v>
      </c>
      <c r="F6032">
        <v>19461</v>
      </c>
      <c r="G6032" t="s">
        <v>436</v>
      </c>
      <c r="H6032">
        <v>88</v>
      </c>
      <c r="I6032" t="s">
        <v>8717</v>
      </c>
      <c r="J6032" t="s">
        <v>294</v>
      </c>
      <c r="M6032" t="s">
        <v>295</v>
      </c>
      <c r="N6032" t="s">
        <v>7</v>
      </c>
      <c r="O6032" t="s">
        <v>297</v>
      </c>
    </row>
    <row r="6033" spans="1:15" x14ac:dyDescent="0.3">
      <c r="A6033" t="s">
        <v>8514</v>
      </c>
      <c r="B6033" t="s">
        <v>8626</v>
      </c>
      <c r="C6033">
        <v>2024</v>
      </c>
      <c r="D6033" t="s">
        <v>394</v>
      </c>
      <c r="E6033" t="s">
        <v>3336</v>
      </c>
      <c r="F6033">
        <v>3850</v>
      </c>
      <c r="G6033" t="s">
        <v>302</v>
      </c>
      <c r="H6033">
        <v>88</v>
      </c>
      <c r="I6033" t="s">
        <v>8718</v>
      </c>
      <c r="J6033" t="s">
        <v>294</v>
      </c>
      <c r="M6033" t="s">
        <v>295</v>
      </c>
      <c r="N6033" t="s">
        <v>7</v>
      </c>
      <c r="O6033" t="s">
        <v>297</v>
      </c>
    </row>
    <row r="6034" spans="1:15" x14ac:dyDescent="0.3">
      <c r="A6034" t="s">
        <v>8514</v>
      </c>
      <c r="B6034" t="s">
        <v>8626</v>
      </c>
      <c r="C6034">
        <v>2024</v>
      </c>
      <c r="D6034" t="s">
        <v>394</v>
      </c>
      <c r="E6034" t="s">
        <v>8719</v>
      </c>
      <c r="F6034">
        <v>0.3</v>
      </c>
      <c r="G6034" t="s">
        <v>334</v>
      </c>
      <c r="H6034">
        <v>103</v>
      </c>
      <c r="I6034" t="s">
        <v>8720</v>
      </c>
      <c r="J6034" t="s">
        <v>294</v>
      </c>
      <c r="M6034" t="s">
        <v>295</v>
      </c>
      <c r="N6034" t="s">
        <v>7</v>
      </c>
      <c r="O6034" t="s">
        <v>297</v>
      </c>
    </row>
    <row r="6035" spans="1:15" x14ac:dyDescent="0.3">
      <c r="A6035" t="s">
        <v>8514</v>
      </c>
      <c r="B6035" t="s">
        <v>8626</v>
      </c>
      <c r="C6035">
        <v>2024</v>
      </c>
      <c r="D6035" t="s">
        <v>394</v>
      </c>
      <c r="E6035" t="s">
        <v>8721</v>
      </c>
      <c r="F6035">
        <v>0.15</v>
      </c>
      <c r="G6035" t="s">
        <v>334</v>
      </c>
      <c r="H6035">
        <v>103</v>
      </c>
      <c r="I6035" t="s">
        <v>8722</v>
      </c>
      <c r="J6035" t="s">
        <v>294</v>
      </c>
      <c r="M6035" t="s">
        <v>295</v>
      </c>
      <c r="N6035" t="s">
        <v>7</v>
      </c>
      <c r="O6035" t="s">
        <v>297</v>
      </c>
    </row>
    <row r="6036" spans="1:15" x14ac:dyDescent="0.3">
      <c r="A6036" t="s">
        <v>8514</v>
      </c>
      <c r="B6036" t="s">
        <v>8626</v>
      </c>
      <c r="C6036">
        <v>2024</v>
      </c>
      <c r="D6036" t="s">
        <v>394</v>
      </c>
      <c r="E6036" t="s">
        <v>8723</v>
      </c>
      <c r="F6036">
        <v>0.15</v>
      </c>
      <c r="G6036" t="s">
        <v>334</v>
      </c>
      <c r="H6036">
        <v>103</v>
      </c>
      <c r="I6036" t="s">
        <v>8724</v>
      </c>
      <c r="J6036" t="s">
        <v>294</v>
      </c>
      <c r="M6036" t="s">
        <v>295</v>
      </c>
      <c r="N6036" t="s">
        <v>7</v>
      </c>
      <c r="O6036" t="s">
        <v>297</v>
      </c>
    </row>
    <row r="6037" spans="1:15" x14ac:dyDescent="0.3">
      <c r="A6037" t="s">
        <v>8514</v>
      </c>
      <c r="B6037" t="s">
        <v>8626</v>
      </c>
      <c r="C6037">
        <v>2024</v>
      </c>
      <c r="D6037" t="s">
        <v>394</v>
      </c>
      <c r="E6037" t="s">
        <v>8618</v>
      </c>
      <c r="F6037">
        <v>149413</v>
      </c>
      <c r="G6037" t="s">
        <v>1403</v>
      </c>
      <c r="H6037">
        <v>12</v>
      </c>
      <c r="I6037" t="s">
        <v>8725</v>
      </c>
      <c r="J6037" t="s">
        <v>294</v>
      </c>
      <c r="M6037" t="s">
        <v>295</v>
      </c>
      <c r="N6037" t="s">
        <v>7</v>
      </c>
      <c r="O6037" t="s">
        <v>297</v>
      </c>
    </row>
    <row r="6038" spans="1:15" x14ac:dyDescent="0.3">
      <c r="A6038" t="s">
        <v>8514</v>
      </c>
      <c r="B6038" t="s">
        <v>8626</v>
      </c>
      <c r="C6038">
        <v>2024</v>
      </c>
      <c r="D6038" t="s">
        <v>563</v>
      </c>
      <c r="E6038" t="s">
        <v>8726</v>
      </c>
      <c r="F6038" t="s">
        <v>8624</v>
      </c>
      <c r="G6038" t="s">
        <v>292</v>
      </c>
      <c r="H6038">
        <v>87</v>
      </c>
      <c r="I6038" t="s">
        <v>8727</v>
      </c>
      <c r="J6038" t="s">
        <v>294</v>
      </c>
      <c r="M6038" t="s">
        <v>295</v>
      </c>
      <c r="N6038" t="s">
        <v>7</v>
      </c>
      <c r="O6038" t="s">
        <v>297</v>
      </c>
    </row>
    <row r="6039" spans="1:15" x14ac:dyDescent="0.3">
      <c r="A6039" t="s">
        <v>8514</v>
      </c>
      <c r="B6039" t="s">
        <v>8626</v>
      </c>
      <c r="C6039">
        <v>2024</v>
      </c>
      <c r="D6039" t="s">
        <v>563</v>
      </c>
      <c r="E6039" t="s">
        <v>8728</v>
      </c>
      <c r="F6039" t="s">
        <v>8729</v>
      </c>
      <c r="G6039" t="s">
        <v>292</v>
      </c>
      <c r="H6039">
        <v>20</v>
      </c>
      <c r="I6039" t="s">
        <v>8730</v>
      </c>
      <c r="J6039" t="s">
        <v>294</v>
      </c>
      <c r="M6039" t="s">
        <v>295</v>
      </c>
      <c r="N6039" t="s">
        <v>7</v>
      </c>
      <c r="O6039" t="s">
        <v>297</v>
      </c>
    </row>
    <row r="6040" spans="1:15" x14ac:dyDescent="0.3">
      <c r="A6040" t="s">
        <v>8514</v>
      </c>
      <c r="B6040" t="s">
        <v>8731</v>
      </c>
      <c r="C6040">
        <v>2025</v>
      </c>
      <c r="D6040" t="s">
        <v>272</v>
      </c>
      <c r="E6040" t="s">
        <v>291</v>
      </c>
      <c r="F6040" t="s">
        <v>8514</v>
      </c>
      <c r="G6040" t="s">
        <v>292</v>
      </c>
      <c r="H6040">
        <v>7</v>
      </c>
      <c r="I6040" t="s">
        <v>8627</v>
      </c>
      <c r="J6040" t="s">
        <v>294</v>
      </c>
      <c r="M6040" t="s">
        <v>295</v>
      </c>
      <c r="N6040" t="s">
        <v>7</v>
      </c>
      <c r="O6040" t="s">
        <v>297</v>
      </c>
    </row>
    <row r="6041" spans="1:15" x14ac:dyDescent="0.3">
      <c r="A6041" t="s">
        <v>8514</v>
      </c>
      <c r="B6041" t="s">
        <v>8731</v>
      </c>
      <c r="C6041">
        <v>2025</v>
      </c>
      <c r="D6041" t="s">
        <v>272</v>
      </c>
      <c r="E6041" t="s">
        <v>1</v>
      </c>
      <c r="F6041" t="s">
        <v>22</v>
      </c>
      <c r="G6041" t="s">
        <v>292</v>
      </c>
      <c r="H6041">
        <v>7</v>
      </c>
      <c r="I6041" t="s">
        <v>8628</v>
      </c>
      <c r="J6041" t="s">
        <v>294</v>
      </c>
      <c r="M6041" t="s">
        <v>295</v>
      </c>
      <c r="N6041" t="s">
        <v>7</v>
      </c>
      <c r="O6041" t="s">
        <v>297</v>
      </c>
    </row>
    <row r="6042" spans="1:15" x14ac:dyDescent="0.3">
      <c r="A6042" t="s">
        <v>8514</v>
      </c>
      <c r="B6042" t="s">
        <v>8731</v>
      </c>
      <c r="C6042">
        <v>2025</v>
      </c>
      <c r="D6042" t="s">
        <v>272</v>
      </c>
      <c r="E6042" t="s">
        <v>442</v>
      </c>
      <c r="F6042" t="s">
        <v>8732</v>
      </c>
      <c r="G6042" t="s">
        <v>334</v>
      </c>
      <c r="H6042">
        <v>7</v>
      </c>
      <c r="I6042" t="s">
        <v>8733</v>
      </c>
      <c r="J6042" t="s">
        <v>294</v>
      </c>
      <c r="M6042" t="s">
        <v>295</v>
      </c>
      <c r="N6042" t="s">
        <v>7</v>
      </c>
      <c r="O6042" t="s">
        <v>297</v>
      </c>
    </row>
    <row r="6043" spans="1:15" x14ac:dyDescent="0.3">
      <c r="A6043" t="s">
        <v>8514</v>
      </c>
      <c r="B6043" t="s">
        <v>8731</v>
      </c>
      <c r="C6043">
        <v>2025</v>
      </c>
      <c r="D6043" t="s">
        <v>272</v>
      </c>
      <c r="E6043" t="s">
        <v>445</v>
      </c>
      <c r="F6043">
        <v>7.5039999999999996E-2</v>
      </c>
      <c r="G6043" t="s">
        <v>334</v>
      </c>
      <c r="H6043">
        <v>7</v>
      </c>
      <c r="I6043" t="s">
        <v>8734</v>
      </c>
      <c r="J6043" t="s">
        <v>294</v>
      </c>
      <c r="M6043" t="s">
        <v>295</v>
      </c>
      <c r="N6043" t="s">
        <v>7</v>
      </c>
      <c r="O6043" t="s">
        <v>297</v>
      </c>
    </row>
    <row r="6044" spans="1:15" x14ac:dyDescent="0.3">
      <c r="A6044" t="s">
        <v>8514</v>
      </c>
      <c r="B6044" t="s">
        <v>8731</v>
      </c>
      <c r="C6044">
        <v>2025</v>
      </c>
      <c r="D6044" t="s">
        <v>272</v>
      </c>
      <c r="E6044" t="s">
        <v>8522</v>
      </c>
      <c r="F6044">
        <v>0.16225000000000001</v>
      </c>
      <c r="G6044" t="s">
        <v>334</v>
      </c>
      <c r="H6044">
        <v>7</v>
      </c>
      <c r="I6044" t="s">
        <v>8735</v>
      </c>
      <c r="J6044" t="s">
        <v>294</v>
      </c>
      <c r="M6044" t="s">
        <v>295</v>
      </c>
      <c r="N6044" t="s">
        <v>7</v>
      </c>
      <c r="O6044" t="s">
        <v>297</v>
      </c>
    </row>
    <row r="6045" spans="1:15" x14ac:dyDescent="0.3">
      <c r="A6045" t="s">
        <v>8514</v>
      </c>
      <c r="B6045" t="s">
        <v>8731</v>
      </c>
      <c r="C6045">
        <v>2025</v>
      </c>
      <c r="D6045" t="s">
        <v>272</v>
      </c>
      <c r="E6045" t="s">
        <v>8524</v>
      </c>
      <c r="F6045">
        <v>0.16225000000000001</v>
      </c>
      <c r="G6045" t="s">
        <v>334</v>
      </c>
      <c r="H6045">
        <v>7</v>
      </c>
      <c r="I6045" t="s">
        <v>8736</v>
      </c>
      <c r="J6045" t="s">
        <v>294</v>
      </c>
      <c r="M6045" t="s">
        <v>295</v>
      </c>
      <c r="N6045" t="s">
        <v>7</v>
      </c>
      <c r="O6045" t="s">
        <v>297</v>
      </c>
    </row>
    <row r="6046" spans="1:15" x14ac:dyDescent="0.3">
      <c r="A6046" t="s">
        <v>8514</v>
      </c>
      <c r="B6046" t="s">
        <v>8731</v>
      </c>
      <c r="C6046">
        <v>2025</v>
      </c>
      <c r="D6046" t="s">
        <v>272</v>
      </c>
      <c r="E6046" t="s">
        <v>8027</v>
      </c>
      <c r="F6046">
        <v>10</v>
      </c>
      <c r="G6046" t="s">
        <v>384</v>
      </c>
      <c r="I6046" t="s">
        <v>8737</v>
      </c>
      <c r="J6046" t="s">
        <v>294</v>
      </c>
      <c r="M6046" t="s">
        <v>295</v>
      </c>
      <c r="N6046" t="s">
        <v>7</v>
      </c>
      <c r="O6046" t="s">
        <v>297</v>
      </c>
    </row>
    <row r="6047" spans="1:15" x14ac:dyDescent="0.3">
      <c r="A6047" t="s">
        <v>8514</v>
      </c>
      <c r="B6047" t="s">
        <v>8731</v>
      </c>
      <c r="C6047">
        <v>2025</v>
      </c>
      <c r="D6047" t="s">
        <v>272</v>
      </c>
      <c r="E6047" t="s">
        <v>8738</v>
      </c>
      <c r="F6047" t="s">
        <v>8739</v>
      </c>
      <c r="G6047" t="s">
        <v>292</v>
      </c>
      <c r="I6047" t="s">
        <v>8740</v>
      </c>
      <c r="J6047" t="s">
        <v>294</v>
      </c>
      <c r="M6047" t="s">
        <v>295</v>
      </c>
      <c r="N6047" t="s">
        <v>7</v>
      </c>
      <c r="O6047" t="s">
        <v>297</v>
      </c>
    </row>
    <row r="6048" spans="1:15" x14ac:dyDescent="0.3">
      <c r="A6048" t="s">
        <v>8514</v>
      </c>
      <c r="B6048" t="s">
        <v>8731</v>
      </c>
      <c r="C6048">
        <v>2025</v>
      </c>
      <c r="D6048" t="s">
        <v>300</v>
      </c>
      <c r="E6048" t="s">
        <v>301</v>
      </c>
      <c r="F6048">
        <v>5421</v>
      </c>
      <c r="G6048" t="s">
        <v>302</v>
      </c>
      <c r="H6048">
        <v>13</v>
      </c>
      <c r="I6048" t="s">
        <v>8741</v>
      </c>
      <c r="J6048" t="s">
        <v>294</v>
      </c>
      <c r="M6048" t="s">
        <v>295</v>
      </c>
      <c r="N6048" t="s">
        <v>7</v>
      </c>
      <c r="O6048" t="s">
        <v>297</v>
      </c>
    </row>
    <row r="6049" spans="1:15" x14ac:dyDescent="0.3">
      <c r="A6049" t="s">
        <v>8514</v>
      </c>
      <c r="B6049" t="s">
        <v>8731</v>
      </c>
      <c r="C6049">
        <v>2025</v>
      </c>
      <c r="D6049" t="s">
        <v>300</v>
      </c>
      <c r="E6049" t="s">
        <v>688</v>
      </c>
      <c r="F6049">
        <v>3558</v>
      </c>
      <c r="G6049" t="s">
        <v>302</v>
      </c>
      <c r="H6049">
        <v>13</v>
      </c>
      <c r="I6049" t="s">
        <v>8742</v>
      </c>
      <c r="J6049" t="s">
        <v>294</v>
      </c>
      <c r="M6049" t="s">
        <v>295</v>
      </c>
      <c r="N6049" t="s">
        <v>7</v>
      </c>
      <c r="O6049" t="s">
        <v>297</v>
      </c>
    </row>
    <row r="6050" spans="1:15" x14ac:dyDescent="0.3">
      <c r="A6050" t="s">
        <v>8514</v>
      </c>
      <c r="B6050" t="s">
        <v>8731</v>
      </c>
      <c r="C6050">
        <v>2025</v>
      </c>
      <c r="D6050" t="s">
        <v>300</v>
      </c>
      <c r="E6050" t="s">
        <v>304</v>
      </c>
      <c r="F6050">
        <v>1864</v>
      </c>
      <c r="G6050" t="s">
        <v>302</v>
      </c>
      <c r="H6050">
        <v>13</v>
      </c>
      <c r="I6050" t="s">
        <v>8743</v>
      </c>
      <c r="J6050" t="s">
        <v>294</v>
      </c>
      <c r="M6050" t="s">
        <v>295</v>
      </c>
      <c r="N6050" t="s">
        <v>7</v>
      </c>
      <c r="O6050" t="s">
        <v>297</v>
      </c>
    </row>
    <row r="6051" spans="1:15" x14ac:dyDescent="0.3">
      <c r="A6051" t="s">
        <v>8514</v>
      </c>
      <c r="B6051" t="s">
        <v>8731</v>
      </c>
      <c r="C6051">
        <v>2025</v>
      </c>
      <c r="D6051" t="s">
        <v>300</v>
      </c>
      <c r="E6051" t="s">
        <v>8744</v>
      </c>
      <c r="F6051">
        <v>236</v>
      </c>
      <c r="G6051" t="s">
        <v>302</v>
      </c>
      <c r="H6051">
        <v>13</v>
      </c>
      <c r="I6051" t="s">
        <v>8745</v>
      </c>
      <c r="J6051" t="s">
        <v>294</v>
      </c>
      <c r="M6051" t="s">
        <v>295</v>
      </c>
      <c r="N6051" t="s">
        <v>7</v>
      </c>
      <c r="O6051" t="s">
        <v>297</v>
      </c>
    </row>
    <row r="6052" spans="1:15" x14ac:dyDescent="0.3">
      <c r="A6052" t="s">
        <v>8514</v>
      </c>
      <c r="B6052" t="s">
        <v>8731</v>
      </c>
      <c r="C6052">
        <v>2025</v>
      </c>
      <c r="D6052" t="s">
        <v>300</v>
      </c>
      <c r="E6052" t="s">
        <v>8746</v>
      </c>
      <c r="F6052">
        <v>382</v>
      </c>
      <c r="G6052" t="s">
        <v>302</v>
      </c>
      <c r="H6052">
        <v>13</v>
      </c>
      <c r="I6052" t="s">
        <v>8747</v>
      </c>
      <c r="J6052" t="s">
        <v>294</v>
      </c>
      <c r="M6052" t="s">
        <v>295</v>
      </c>
      <c r="N6052" t="s">
        <v>7</v>
      </c>
      <c r="O6052" t="s">
        <v>297</v>
      </c>
    </row>
    <row r="6053" spans="1:15" x14ac:dyDescent="0.3">
      <c r="A6053" t="s">
        <v>8514</v>
      </c>
      <c r="B6053" t="s">
        <v>8731</v>
      </c>
      <c r="C6053">
        <v>2025</v>
      </c>
      <c r="D6053" t="s">
        <v>300</v>
      </c>
      <c r="E6053" t="s">
        <v>1112</v>
      </c>
      <c r="F6053">
        <v>1251</v>
      </c>
      <c r="G6053" t="s">
        <v>302</v>
      </c>
      <c r="H6053">
        <v>13</v>
      </c>
      <c r="I6053" t="s">
        <v>8748</v>
      </c>
      <c r="J6053" t="s">
        <v>294</v>
      </c>
      <c r="M6053" t="s">
        <v>295</v>
      </c>
      <c r="N6053" t="s">
        <v>7</v>
      </c>
      <c r="O6053" t="s">
        <v>297</v>
      </c>
    </row>
    <row r="6054" spans="1:15" x14ac:dyDescent="0.3">
      <c r="A6054" t="s">
        <v>8514</v>
      </c>
      <c r="B6054" t="s">
        <v>8731</v>
      </c>
      <c r="C6054">
        <v>2025</v>
      </c>
      <c r="D6054" t="s">
        <v>300</v>
      </c>
      <c r="E6054" t="s">
        <v>1216</v>
      </c>
      <c r="F6054">
        <v>46</v>
      </c>
      <c r="G6054" t="s">
        <v>302</v>
      </c>
      <c r="H6054">
        <v>13</v>
      </c>
      <c r="I6054" t="s">
        <v>8749</v>
      </c>
      <c r="J6054" t="s">
        <v>294</v>
      </c>
      <c r="M6054" t="s">
        <v>295</v>
      </c>
      <c r="N6054" t="s">
        <v>7</v>
      </c>
      <c r="O6054" t="s">
        <v>297</v>
      </c>
    </row>
    <row r="6055" spans="1:15" x14ac:dyDescent="0.3">
      <c r="A6055" t="s">
        <v>8514</v>
      </c>
      <c r="B6055" t="s">
        <v>8731</v>
      </c>
      <c r="C6055">
        <v>2025</v>
      </c>
      <c r="D6055" t="s">
        <v>300</v>
      </c>
      <c r="E6055" t="s">
        <v>8750</v>
      </c>
      <c r="F6055">
        <v>172</v>
      </c>
      <c r="G6055" t="s">
        <v>302</v>
      </c>
      <c r="H6055">
        <v>13</v>
      </c>
      <c r="I6055" t="s">
        <v>8751</v>
      </c>
      <c r="J6055" t="s">
        <v>294</v>
      </c>
      <c r="M6055" t="s">
        <v>295</v>
      </c>
      <c r="N6055" t="s">
        <v>7</v>
      </c>
      <c r="O6055" t="s">
        <v>297</v>
      </c>
    </row>
    <row r="6056" spans="1:15" x14ac:dyDescent="0.3">
      <c r="A6056" t="s">
        <v>8514</v>
      </c>
      <c r="B6056" t="s">
        <v>8731</v>
      </c>
      <c r="C6056">
        <v>2025</v>
      </c>
      <c r="D6056" t="s">
        <v>300</v>
      </c>
      <c r="E6056" t="s">
        <v>579</v>
      </c>
      <c r="F6056">
        <v>1392</v>
      </c>
      <c r="G6056" t="s">
        <v>302</v>
      </c>
      <c r="H6056">
        <v>13</v>
      </c>
      <c r="I6056" t="s">
        <v>8752</v>
      </c>
      <c r="J6056" t="s">
        <v>294</v>
      </c>
      <c r="M6056" t="s">
        <v>295</v>
      </c>
      <c r="N6056" t="s">
        <v>7</v>
      </c>
      <c r="O6056" t="s">
        <v>297</v>
      </c>
    </row>
    <row r="6057" spans="1:15" x14ac:dyDescent="0.3">
      <c r="A6057" t="s">
        <v>8514</v>
      </c>
      <c r="B6057" t="s">
        <v>8731</v>
      </c>
      <c r="C6057">
        <v>2025</v>
      </c>
      <c r="D6057" t="s">
        <v>300</v>
      </c>
      <c r="E6057" t="s">
        <v>581</v>
      </c>
      <c r="F6057">
        <v>285</v>
      </c>
      <c r="G6057" t="s">
        <v>302</v>
      </c>
      <c r="H6057">
        <v>13</v>
      </c>
      <c r="I6057" t="s">
        <v>8753</v>
      </c>
      <c r="J6057" t="s">
        <v>294</v>
      </c>
      <c r="M6057" t="s">
        <v>295</v>
      </c>
      <c r="N6057" t="s">
        <v>7</v>
      </c>
      <c r="O6057" t="s">
        <v>297</v>
      </c>
    </row>
    <row r="6058" spans="1:15" x14ac:dyDescent="0.3">
      <c r="A6058" t="s">
        <v>8514</v>
      </c>
      <c r="B6058" t="s">
        <v>8731</v>
      </c>
      <c r="C6058">
        <v>2025</v>
      </c>
      <c r="D6058" t="s">
        <v>300</v>
      </c>
      <c r="E6058" t="s">
        <v>306</v>
      </c>
      <c r="F6058">
        <v>1107</v>
      </c>
      <c r="G6058" t="s">
        <v>302</v>
      </c>
      <c r="H6058">
        <v>13</v>
      </c>
      <c r="I6058" t="s">
        <v>8754</v>
      </c>
      <c r="J6058" t="s">
        <v>294</v>
      </c>
      <c r="M6058" t="s">
        <v>295</v>
      </c>
      <c r="N6058" t="s">
        <v>7</v>
      </c>
      <c r="O6058" t="s">
        <v>297</v>
      </c>
    </row>
    <row r="6059" spans="1:15" x14ac:dyDescent="0.3">
      <c r="A6059" t="s">
        <v>8514</v>
      </c>
      <c r="B6059" t="s">
        <v>8731</v>
      </c>
      <c r="C6059">
        <v>2025</v>
      </c>
      <c r="D6059" t="s">
        <v>300</v>
      </c>
      <c r="E6059" t="s">
        <v>308</v>
      </c>
      <c r="F6059">
        <v>1107</v>
      </c>
      <c r="G6059" t="s">
        <v>302</v>
      </c>
      <c r="H6059">
        <v>13</v>
      </c>
      <c r="I6059" t="s">
        <v>8755</v>
      </c>
      <c r="J6059" t="s">
        <v>294</v>
      </c>
      <c r="M6059" t="s">
        <v>295</v>
      </c>
      <c r="N6059" t="s">
        <v>7</v>
      </c>
      <c r="O6059" t="s">
        <v>297</v>
      </c>
    </row>
    <row r="6060" spans="1:15" x14ac:dyDescent="0.3">
      <c r="A6060" t="s">
        <v>8514</v>
      </c>
      <c r="B6060" t="s">
        <v>8731</v>
      </c>
      <c r="C6060">
        <v>2025</v>
      </c>
      <c r="D6060" t="s">
        <v>300</v>
      </c>
      <c r="E6060" t="s">
        <v>316</v>
      </c>
      <c r="F6060">
        <v>6018</v>
      </c>
      <c r="G6060" t="s">
        <v>302</v>
      </c>
      <c r="H6060">
        <v>13</v>
      </c>
      <c r="I6060" t="s">
        <v>8756</v>
      </c>
      <c r="J6060" t="s">
        <v>294</v>
      </c>
      <c r="M6060" t="s">
        <v>295</v>
      </c>
      <c r="N6060" t="s">
        <v>7</v>
      </c>
      <c r="O6060" t="s">
        <v>297</v>
      </c>
    </row>
    <row r="6061" spans="1:15" x14ac:dyDescent="0.3">
      <c r="A6061" t="s">
        <v>8514</v>
      </c>
      <c r="B6061" t="s">
        <v>8731</v>
      </c>
      <c r="C6061">
        <v>2025</v>
      </c>
      <c r="D6061" t="s">
        <v>300</v>
      </c>
      <c r="E6061" t="s">
        <v>312</v>
      </c>
      <c r="F6061">
        <v>1589</v>
      </c>
      <c r="G6061" t="s">
        <v>302</v>
      </c>
      <c r="H6061">
        <v>13</v>
      </c>
      <c r="I6061" t="s">
        <v>8757</v>
      </c>
      <c r="J6061" t="s">
        <v>294</v>
      </c>
      <c r="M6061" t="s">
        <v>295</v>
      </c>
      <c r="N6061" t="s">
        <v>7</v>
      </c>
      <c r="O6061" t="s">
        <v>297</v>
      </c>
    </row>
    <row r="6062" spans="1:15" x14ac:dyDescent="0.3">
      <c r="A6062" t="s">
        <v>8514</v>
      </c>
      <c r="B6062" t="s">
        <v>8731</v>
      </c>
      <c r="C6062">
        <v>2025</v>
      </c>
      <c r="D6062" t="s">
        <v>300</v>
      </c>
      <c r="E6062" t="s">
        <v>314</v>
      </c>
      <c r="F6062">
        <v>4429</v>
      </c>
      <c r="G6062" t="s">
        <v>302</v>
      </c>
      <c r="H6062">
        <v>13</v>
      </c>
      <c r="I6062" t="s">
        <v>8758</v>
      </c>
      <c r="J6062" t="s">
        <v>294</v>
      </c>
      <c r="M6062" t="s">
        <v>295</v>
      </c>
      <c r="N6062" t="s">
        <v>7</v>
      </c>
      <c r="O6062" t="s">
        <v>297</v>
      </c>
    </row>
    <row r="6063" spans="1:15" x14ac:dyDescent="0.3">
      <c r="A6063" t="s">
        <v>8514</v>
      </c>
      <c r="B6063" t="s">
        <v>8731</v>
      </c>
      <c r="C6063">
        <v>2025</v>
      </c>
      <c r="D6063" t="s">
        <v>300</v>
      </c>
      <c r="E6063" t="s">
        <v>322</v>
      </c>
      <c r="F6063">
        <v>2373</v>
      </c>
      <c r="G6063" t="s">
        <v>302</v>
      </c>
      <c r="H6063">
        <v>13</v>
      </c>
      <c r="I6063" t="s">
        <v>8759</v>
      </c>
      <c r="J6063" t="s">
        <v>294</v>
      </c>
      <c r="M6063" t="s">
        <v>295</v>
      </c>
      <c r="N6063" t="s">
        <v>7</v>
      </c>
      <c r="O6063" t="s">
        <v>297</v>
      </c>
    </row>
    <row r="6064" spans="1:15" x14ac:dyDescent="0.3">
      <c r="A6064" t="s">
        <v>8514</v>
      </c>
      <c r="B6064" t="s">
        <v>8731</v>
      </c>
      <c r="C6064">
        <v>2025</v>
      </c>
      <c r="D6064" t="s">
        <v>300</v>
      </c>
      <c r="E6064" t="s">
        <v>318</v>
      </c>
      <c r="F6064">
        <v>1425</v>
      </c>
      <c r="G6064" t="s">
        <v>302</v>
      </c>
      <c r="H6064">
        <v>13</v>
      </c>
      <c r="I6064" t="s">
        <v>8760</v>
      </c>
      <c r="J6064" t="s">
        <v>294</v>
      </c>
      <c r="M6064" t="s">
        <v>295</v>
      </c>
      <c r="N6064" t="s">
        <v>7</v>
      </c>
      <c r="O6064" t="s">
        <v>297</v>
      </c>
    </row>
    <row r="6065" spans="1:15" x14ac:dyDescent="0.3">
      <c r="A6065" t="s">
        <v>8514</v>
      </c>
      <c r="B6065" t="s">
        <v>8731</v>
      </c>
      <c r="C6065">
        <v>2025</v>
      </c>
      <c r="D6065" t="s">
        <v>300</v>
      </c>
      <c r="E6065" t="s">
        <v>468</v>
      </c>
      <c r="F6065">
        <v>948</v>
      </c>
      <c r="G6065" t="s">
        <v>302</v>
      </c>
      <c r="H6065">
        <v>13</v>
      </c>
      <c r="I6065" t="s">
        <v>8761</v>
      </c>
      <c r="J6065" t="s">
        <v>294</v>
      </c>
      <c r="M6065" t="s">
        <v>295</v>
      </c>
      <c r="N6065" t="s">
        <v>7</v>
      </c>
      <c r="O6065" t="s">
        <v>297</v>
      </c>
    </row>
    <row r="6066" spans="1:15" x14ac:dyDescent="0.3">
      <c r="A6066" t="s">
        <v>8514</v>
      </c>
      <c r="B6066" t="s">
        <v>8731</v>
      </c>
      <c r="C6066">
        <v>2025</v>
      </c>
      <c r="D6066" t="s">
        <v>300</v>
      </c>
      <c r="E6066" t="s">
        <v>324</v>
      </c>
      <c r="F6066">
        <v>3645</v>
      </c>
      <c r="G6066" t="s">
        <v>302</v>
      </c>
      <c r="H6066">
        <v>13</v>
      </c>
      <c r="I6066" t="s">
        <v>8762</v>
      </c>
      <c r="J6066" t="s">
        <v>294</v>
      </c>
      <c r="M6066" t="s">
        <v>295</v>
      </c>
      <c r="N6066" t="s">
        <v>7</v>
      </c>
      <c r="O6066" t="s">
        <v>297</v>
      </c>
    </row>
    <row r="6067" spans="1:15" x14ac:dyDescent="0.3">
      <c r="A6067" t="s">
        <v>8514</v>
      </c>
      <c r="B6067" t="s">
        <v>8731</v>
      </c>
      <c r="C6067">
        <v>2025</v>
      </c>
      <c r="D6067" t="s">
        <v>300</v>
      </c>
      <c r="E6067" t="s">
        <v>471</v>
      </c>
      <c r="F6067">
        <v>334</v>
      </c>
      <c r="G6067" t="s">
        <v>302</v>
      </c>
      <c r="H6067">
        <v>14</v>
      </c>
      <c r="I6067" t="s">
        <v>8763</v>
      </c>
      <c r="J6067" t="s">
        <v>294</v>
      </c>
      <c r="M6067" t="s">
        <v>295</v>
      </c>
      <c r="N6067" t="s">
        <v>7</v>
      </c>
      <c r="O6067" t="s">
        <v>297</v>
      </c>
    </row>
    <row r="6068" spans="1:15" x14ac:dyDescent="0.3">
      <c r="A6068" t="s">
        <v>8514</v>
      </c>
      <c r="B6068" t="s">
        <v>8731</v>
      </c>
      <c r="C6068">
        <v>2025</v>
      </c>
      <c r="D6068" t="s">
        <v>300</v>
      </c>
      <c r="E6068" t="s">
        <v>601</v>
      </c>
      <c r="F6068">
        <v>1544</v>
      </c>
      <c r="G6068" t="s">
        <v>302</v>
      </c>
      <c r="H6068">
        <v>14</v>
      </c>
      <c r="I6068" t="s">
        <v>8764</v>
      </c>
      <c r="J6068" t="s">
        <v>294</v>
      </c>
      <c r="M6068" t="s">
        <v>295</v>
      </c>
      <c r="N6068" t="s">
        <v>7</v>
      </c>
      <c r="O6068" t="s">
        <v>297</v>
      </c>
    </row>
    <row r="6069" spans="1:15" x14ac:dyDescent="0.3">
      <c r="A6069" t="s">
        <v>8514</v>
      </c>
      <c r="B6069" t="s">
        <v>8731</v>
      </c>
      <c r="C6069">
        <v>2025</v>
      </c>
      <c r="D6069" t="s">
        <v>300</v>
      </c>
      <c r="E6069" t="s">
        <v>603</v>
      </c>
      <c r="F6069">
        <v>-515</v>
      </c>
      <c r="G6069" t="s">
        <v>302</v>
      </c>
      <c r="H6069">
        <v>14</v>
      </c>
      <c r="I6069" t="s">
        <v>8765</v>
      </c>
      <c r="J6069" t="s">
        <v>294</v>
      </c>
      <c r="M6069" t="s">
        <v>295</v>
      </c>
      <c r="N6069" t="s">
        <v>7</v>
      </c>
      <c r="O6069" t="s">
        <v>297</v>
      </c>
    </row>
    <row r="6070" spans="1:15" x14ac:dyDescent="0.3">
      <c r="A6070" t="s">
        <v>8514</v>
      </c>
      <c r="B6070" t="s">
        <v>8731</v>
      </c>
      <c r="C6070">
        <v>2025</v>
      </c>
      <c r="D6070" t="s">
        <v>300</v>
      </c>
      <c r="E6070" t="s">
        <v>716</v>
      </c>
      <c r="F6070">
        <v>-1181</v>
      </c>
      <c r="G6070" t="s">
        <v>302</v>
      </c>
      <c r="H6070">
        <v>14</v>
      </c>
      <c r="I6070" t="s">
        <v>8766</v>
      </c>
      <c r="J6070" t="s">
        <v>294</v>
      </c>
      <c r="M6070" t="s">
        <v>295</v>
      </c>
      <c r="N6070" t="s">
        <v>7</v>
      </c>
      <c r="O6070" t="s">
        <v>297</v>
      </c>
    </row>
    <row r="6071" spans="1:15" x14ac:dyDescent="0.3">
      <c r="A6071" t="s">
        <v>8514</v>
      </c>
      <c r="B6071" t="s">
        <v>8731</v>
      </c>
      <c r="C6071">
        <v>2025</v>
      </c>
      <c r="D6071" t="s">
        <v>300</v>
      </c>
      <c r="E6071" t="s">
        <v>8554</v>
      </c>
      <c r="F6071">
        <v>596</v>
      </c>
      <c r="G6071" t="s">
        <v>302</v>
      </c>
      <c r="H6071">
        <v>102</v>
      </c>
      <c r="I6071" t="s">
        <v>8767</v>
      </c>
      <c r="J6071" t="s">
        <v>294</v>
      </c>
      <c r="M6071" t="s">
        <v>295</v>
      </c>
      <c r="N6071" t="s">
        <v>7</v>
      </c>
      <c r="O6071" t="s">
        <v>297</v>
      </c>
    </row>
    <row r="6072" spans="1:15" x14ac:dyDescent="0.3">
      <c r="A6072" t="s">
        <v>8514</v>
      </c>
      <c r="B6072" t="s">
        <v>8731</v>
      </c>
      <c r="C6072">
        <v>2025</v>
      </c>
      <c r="D6072" t="s">
        <v>300</v>
      </c>
      <c r="E6072" t="s">
        <v>345</v>
      </c>
      <c r="F6072">
        <v>85.48</v>
      </c>
      <c r="G6072" t="s">
        <v>346</v>
      </c>
      <c r="H6072">
        <v>13</v>
      </c>
      <c r="I6072" t="s">
        <v>8768</v>
      </c>
      <c r="J6072" t="s">
        <v>294</v>
      </c>
      <c r="M6072" t="s">
        <v>295</v>
      </c>
      <c r="N6072" t="s">
        <v>7</v>
      </c>
      <c r="O6072" t="s">
        <v>297</v>
      </c>
    </row>
    <row r="6073" spans="1:15" x14ac:dyDescent="0.3">
      <c r="A6073" t="s">
        <v>8514</v>
      </c>
      <c r="B6073" t="s">
        <v>8731</v>
      </c>
      <c r="C6073">
        <v>2025</v>
      </c>
      <c r="D6073" t="s">
        <v>300</v>
      </c>
      <c r="E6073" t="s">
        <v>342</v>
      </c>
      <c r="F6073">
        <v>12947</v>
      </c>
      <c r="G6073" t="s">
        <v>497</v>
      </c>
      <c r="H6073">
        <v>16</v>
      </c>
      <c r="I6073" t="s">
        <v>8660</v>
      </c>
      <c r="J6073" t="s">
        <v>294</v>
      </c>
      <c r="M6073" t="s">
        <v>295</v>
      </c>
      <c r="N6073" t="s">
        <v>7</v>
      </c>
      <c r="O6073" t="s">
        <v>297</v>
      </c>
    </row>
    <row r="6074" spans="1:15" x14ac:dyDescent="0.3">
      <c r="A6074" t="s">
        <v>8514</v>
      </c>
      <c r="B6074" t="s">
        <v>8731</v>
      </c>
      <c r="C6074">
        <v>2025</v>
      </c>
      <c r="D6074" t="s">
        <v>300</v>
      </c>
      <c r="E6074" t="s">
        <v>8081</v>
      </c>
      <c r="F6074">
        <v>700</v>
      </c>
      <c r="G6074" t="s">
        <v>346</v>
      </c>
      <c r="H6074">
        <v>16</v>
      </c>
      <c r="I6074" t="s">
        <v>8769</v>
      </c>
      <c r="J6074" t="s">
        <v>294</v>
      </c>
      <c r="M6074" t="s">
        <v>295</v>
      </c>
      <c r="N6074" t="s">
        <v>7</v>
      </c>
      <c r="O6074" t="s">
        <v>297</v>
      </c>
    </row>
    <row r="6075" spans="1:15" x14ac:dyDescent="0.3">
      <c r="A6075" t="s">
        <v>8514</v>
      </c>
      <c r="B6075" t="s">
        <v>8731</v>
      </c>
      <c r="C6075">
        <v>2025</v>
      </c>
      <c r="D6075" t="s">
        <v>300</v>
      </c>
      <c r="E6075" t="s">
        <v>8770</v>
      </c>
      <c r="F6075">
        <v>9063</v>
      </c>
      <c r="G6075" t="s">
        <v>302</v>
      </c>
      <c r="H6075">
        <v>16</v>
      </c>
      <c r="I6075" t="s">
        <v>8771</v>
      </c>
      <c r="J6075" t="s">
        <v>294</v>
      </c>
      <c r="M6075" t="s">
        <v>295</v>
      </c>
      <c r="N6075" t="s">
        <v>7</v>
      </c>
      <c r="O6075" t="s">
        <v>297</v>
      </c>
    </row>
    <row r="6076" spans="1:15" x14ac:dyDescent="0.3">
      <c r="A6076" t="s">
        <v>8514</v>
      </c>
      <c r="B6076" t="s">
        <v>8731</v>
      </c>
      <c r="C6076">
        <v>2025</v>
      </c>
      <c r="D6076" t="s">
        <v>300</v>
      </c>
      <c r="E6076" t="s">
        <v>326</v>
      </c>
      <c r="F6076">
        <v>1.1000000000000001</v>
      </c>
      <c r="G6076" t="s">
        <v>327</v>
      </c>
      <c r="H6076">
        <v>14</v>
      </c>
      <c r="I6076" t="s">
        <v>8772</v>
      </c>
      <c r="J6076" t="s">
        <v>294</v>
      </c>
      <c r="M6076" t="s">
        <v>295</v>
      </c>
      <c r="N6076" t="s">
        <v>7</v>
      </c>
      <c r="O6076" t="s">
        <v>297</v>
      </c>
    </row>
    <row r="6077" spans="1:15" x14ac:dyDescent="0.3">
      <c r="A6077" t="s">
        <v>8514</v>
      </c>
      <c r="B6077" t="s">
        <v>8731</v>
      </c>
      <c r="C6077">
        <v>2025</v>
      </c>
      <c r="D6077" t="s">
        <v>300</v>
      </c>
      <c r="E6077" t="s">
        <v>4895</v>
      </c>
      <c r="F6077">
        <v>0.2</v>
      </c>
      <c r="G6077" t="s">
        <v>327</v>
      </c>
      <c r="H6077">
        <v>14</v>
      </c>
      <c r="I6077" t="s">
        <v>8773</v>
      </c>
      <c r="J6077" t="s">
        <v>294</v>
      </c>
      <c r="M6077" t="s">
        <v>295</v>
      </c>
      <c r="N6077" t="s">
        <v>7</v>
      </c>
      <c r="O6077" t="s">
        <v>297</v>
      </c>
    </row>
    <row r="6078" spans="1:15" x14ac:dyDescent="0.3">
      <c r="A6078" t="s">
        <v>8514</v>
      </c>
      <c r="B6078" t="s">
        <v>8731</v>
      </c>
      <c r="C6078">
        <v>2025</v>
      </c>
      <c r="D6078" t="s">
        <v>300</v>
      </c>
      <c r="E6078" t="s">
        <v>8562</v>
      </c>
      <c r="F6078">
        <v>0.7</v>
      </c>
      <c r="G6078" t="s">
        <v>327</v>
      </c>
      <c r="H6078">
        <v>14</v>
      </c>
      <c r="I6078" t="s">
        <v>8774</v>
      </c>
      <c r="J6078" t="s">
        <v>294</v>
      </c>
      <c r="M6078" t="s">
        <v>295</v>
      </c>
      <c r="N6078" t="s">
        <v>7</v>
      </c>
      <c r="O6078" t="s">
        <v>297</v>
      </c>
    </row>
    <row r="6079" spans="1:15" x14ac:dyDescent="0.3">
      <c r="A6079" t="s">
        <v>8514</v>
      </c>
      <c r="B6079" t="s">
        <v>8731</v>
      </c>
      <c r="C6079">
        <v>2025</v>
      </c>
      <c r="D6079" t="s">
        <v>300</v>
      </c>
      <c r="E6079" t="s">
        <v>8666</v>
      </c>
      <c r="F6079">
        <v>0.23</v>
      </c>
      <c r="G6079" t="s">
        <v>327</v>
      </c>
      <c r="H6079">
        <v>101</v>
      </c>
      <c r="I6079" t="s">
        <v>8775</v>
      </c>
      <c r="J6079" t="s">
        <v>294</v>
      </c>
      <c r="M6079" t="s">
        <v>295</v>
      </c>
      <c r="N6079" t="s">
        <v>7</v>
      </c>
      <c r="O6079" t="s">
        <v>297</v>
      </c>
    </row>
    <row r="6080" spans="1:15" x14ac:dyDescent="0.3">
      <c r="A6080" t="s">
        <v>8514</v>
      </c>
      <c r="B6080" t="s">
        <v>8731</v>
      </c>
      <c r="C6080">
        <v>2025</v>
      </c>
      <c r="D6080" t="s">
        <v>300</v>
      </c>
      <c r="E6080" t="s">
        <v>1187</v>
      </c>
      <c r="F6080">
        <v>0.34399999999999997</v>
      </c>
      <c r="G6080" t="s">
        <v>334</v>
      </c>
      <c r="H6080">
        <v>14</v>
      </c>
      <c r="I6080" t="s">
        <v>8776</v>
      </c>
      <c r="J6080" t="s">
        <v>294</v>
      </c>
      <c r="M6080" t="s">
        <v>295</v>
      </c>
      <c r="N6080" t="s">
        <v>7</v>
      </c>
      <c r="O6080" t="s">
        <v>297</v>
      </c>
    </row>
    <row r="6081" spans="1:15" x14ac:dyDescent="0.3">
      <c r="A6081" t="s">
        <v>8514</v>
      </c>
      <c r="B6081" t="s">
        <v>8731</v>
      </c>
      <c r="C6081">
        <v>2025</v>
      </c>
      <c r="D6081" t="s">
        <v>300</v>
      </c>
      <c r="E6081" t="s">
        <v>4352</v>
      </c>
      <c r="F6081">
        <v>0.23100000000000001</v>
      </c>
      <c r="G6081" t="s">
        <v>334</v>
      </c>
      <c r="H6081">
        <v>14</v>
      </c>
      <c r="I6081" t="s">
        <v>8777</v>
      </c>
      <c r="J6081" t="s">
        <v>294</v>
      </c>
      <c r="M6081" t="s">
        <v>295</v>
      </c>
      <c r="N6081" t="s">
        <v>7</v>
      </c>
      <c r="O6081" t="s">
        <v>297</v>
      </c>
    </row>
    <row r="6082" spans="1:15" x14ac:dyDescent="0.3">
      <c r="A6082" t="s">
        <v>8514</v>
      </c>
      <c r="B6082" t="s">
        <v>8731</v>
      </c>
      <c r="C6082">
        <v>2025</v>
      </c>
      <c r="D6082" t="s">
        <v>300</v>
      </c>
      <c r="E6082" t="s">
        <v>903</v>
      </c>
      <c r="F6082">
        <v>0.20399999999999999</v>
      </c>
      <c r="G6082" t="s">
        <v>334</v>
      </c>
      <c r="H6082">
        <v>14</v>
      </c>
      <c r="I6082" t="s">
        <v>8778</v>
      </c>
      <c r="J6082" t="s">
        <v>294</v>
      </c>
      <c r="M6082" t="s">
        <v>295</v>
      </c>
      <c r="N6082" t="s">
        <v>7</v>
      </c>
      <c r="O6082" t="s">
        <v>297</v>
      </c>
    </row>
    <row r="6083" spans="1:15" x14ac:dyDescent="0.3">
      <c r="A6083" t="s">
        <v>8514</v>
      </c>
      <c r="B6083" t="s">
        <v>8731</v>
      </c>
      <c r="C6083">
        <v>2025</v>
      </c>
      <c r="D6083" t="s">
        <v>300</v>
      </c>
      <c r="E6083" t="s">
        <v>3054</v>
      </c>
      <c r="F6083">
        <v>0.30399999999999999</v>
      </c>
      <c r="G6083" t="s">
        <v>334</v>
      </c>
      <c r="H6083">
        <v>14</v>
      </c>
      <c r="I6083" t="s">
        <v>8779</v>
      </c>
      <c r="J6083" t="s">
        <v>294</v>
      </c>
      <c r="M6083" t="s">
        <v>295</v>
      </c>
      <c r="N6083" t="s">
        <v>7</v>
      </c>
      <c r="O6083" t="s">
        <v>297</v>
      </c>
    </row>
    <row r="6084" spans="1:15" x14ac:dyDescent="0.3">
      <c r="A6084" t="s">
        <v>8514</v>
      </c>
      <c r="B6084" t="s">
        <v>8731</v>
      </c>
      <c r="C6084">
        <v>2025</v>
      </c>
      <c r="D6084" t="s">
        <v>300</v>
      </c>
      <c r="E6084" t="s">
        <v>3052</v>
      </c>
      <c r="F6084">
        <v>0.184</v>
      </c>
      <c r="G6084" t="s">
        <v>334</v>
      </c>
      <c r="H6084">
        <v>14</v>
      </c>
      <c r="I6084" t="s">
        <v>8780</v>
      </c>
      <c r="J6084" t="s">
        <v>294</v>
      </c>
      <c r="M6084" t="s">
        <v>295</v>
      </c>
      <c r="N6084" t="s">
        <v>7</v>
      </c>
      <c r="O6084" t="s">
        <v>297</v>
      </c>
    </row>
    <row r="6085" spans="1:15" x14ac:dyDescent="0.3">
      <c r="A6085" t="s">
        <v>8514</v>
      </c>
      <c r="B6085" t="s">
        <v>8731</v>
      </c>
      <c r="C6085">
        <v>2025</v>
      </c>
      <c r="D6085" t="s">
        <v>300</v>
      </c>
      <c r="E6085" t="s">
        <v>8781</v>
      </c>
      <c r="F6085">
        <v>31</v>
      </c>
      <c r="G6085" t="s">
        <v>346</v>
      </c>
      <c r="H6085">
        <v>107</v>
      </c>
      <c r="I6085" t="s">
        <v>8782</v>
      </c>
      <c r="J6085" t="s">
        <v>294</v>
      </c>
      <c r="M6085" t="s">
        <v>295</v>
      </c>
      <c r="N6085" t="s">
        <v>7</v>
      </c>
      <c r="O6085" t="s">
        <v>297</v>
      </c>
    </row>
    <row r="6086" spans="1:15" x14ac:dyDescent="0.3">
      <c r="A6086" t="s">
        <v>8514</v>
      </c>
      <c r="B6086" t="s">
        <v>8731</v>
      </c>
      <c r="C6086">
        <v>2025</v>
      </c>
      <c r="D6086" t="s">
        <v>300</v>
      </c>
      <c r="E6086" t="s">
        <v>8783</v>
      </c>
      <c r="F6086">
        <v>15.5</v>
      </c>
      <c r="G6086" t="s">
        <v>346</v>
      </c>
      <c r="H6086">
        <v>107</v>
      </c>
      <c r="I6086" t="s">
        <v>8784</v>
      </c>
      <c r="J6086" t="s">
        <v>294</v>
      </c>
      <c r="M6086" t="s">
        <v>295</v>
      </c>
      <c r="N6086" t="s">
        <v>7</v>
      </c>
      <c r="O6086" t="s">
        <v>297</v>
      </c>
    </row>
    <row r="6087" spans="1:15" x14ac:dyDescent="0.3">
      <c r="A6087" t="s">
        <v>8514</v>
      </c>
      <c r="B6087" t="s">
        <v>8731</v>
      </c>
      <c r="C6087">
        <v>2025</v>
      </c>
      <c r="D6087" t="s">
        <v>358</v>
      </c>
      <c r="E6087" t="s">
        <v>504</v>
      </c>
      <c r="F6087">
        <v>64430</v>
      </c>
      <c r="G6087" t="s">
        <v>360</v>
      </c>
      <c r="H6087">
        <v>55</v>
      </c>
      <c r="I6087" t="s">
        <v>8785</v>
      </c>
      <c r="J6087" t="s">
        <v>294</v>
      </c>
      <c r="M6087" t="s">
        <v>295</v>
      </c>
      <c r="N6087" t="s">
        <v>7</v>
      </c>
      <c r="O6087" t="s">
        <v>297</v>
      </c>
    </row>
    <row r="6088" spans="1:15" x14ac:dyDescent="0.3">
      <c r="A6088" t="s">
        <v>8514</v>
      </c>
      <c r="B6088" t="s">
        <v>8731</v>
      </c>
      <c r="C6088">
        <v>2025</v>
      </c>
      <c r="D6088" t="s">
        <v>358</v>
      </c>
      <c r="E6088" t="s">
        <v>362</v>
      </c>
      <c r="F6088">
        <v>51960</v>
      </c>
      <c r="G6088" t="s">
        <v>360</v>
      </c>
      <c r="H6088">
        <v>12</v>
      </c>
      <c r="I6088" t="s">
        <v>8786</v>
      </c>
      <c r="J6088" t="s">
        <v>294</v>
      </c>
      <c r="M6088" t="s">
        <v>295</v>
      </c>
      <c r="N6088" t="s">
        <v>7</v>
      </c>
      <c r="O6088" t="s">
        <v>297</v>
      </c>
    </row>
    <row r="6089" spans="1:15" x14ac:dyDescent="0.3">
      <c r="A6089" t="s">
        <v>8514</v>
      </c>
      <c r="B6089" t="s">
        <v>8731</v>
      </c>
      <c r="C6089">
        <v>2025</v>
      </c>
      <c r="D6089" t="s">
        <v>358</v>
      </c>
      <c r="E6089" t="s">
        <v>364</v>
      </c>
      <c r="F6089">
        <v>12470</v>
      </c>
      <c r="G6089" t="s">
        <v>360</v>
      </c>
      <c r="H6089">
        <v>12</v>
      </c>
      <c r="I6089" t="s">
        <v>8787</v>
      </c>
      <c r="J6089" t="s">
        <v>294</v>
      </c>
      <c r="M6089" t="s">
        <v>295</v>
      </c>
      <c r="N6089" t="s">
        <v>7</v>
      </c>
      <c r="O6089" t="s">
        <v>297</v>
      </c>
    </row>
    <row r="6090" spans="1:15" x14ac:dyDescent="0.3">
      <c r="A6090" t="s">
        <v>8514</v>
      </c>
      <c r="B6090" t="s">
        <v>8731</v>
      </c>
      <c r="C6090">
        <v>2025</v>
      </c>
      <c r="D6090" t="s">
        <v>358</v>
      </c>
      <c r="E6090" t="s">
        <v>8578</v>
      </c>
      <c r="F6090">
        <v>16.100000000000001</v>
      </c>
      <c r="G6090" t="s">
        <v>375</v>
      </c>
      <c r="H6090">
        <v>12</v>
      </c>
      <c r="I6090" t="s">
        <v>8788</v>
      </c>
      <c r="J6090" t="s">
        <v>294</v>
      </c>
      <c r="M6090" t="s">
        <v>295</v>
      </c>
      <c r="N6090" t="s">
        <v>7</v>
      </c>
      <c r="O6090" t="s">
        <v>297</v>
      </c>
    </row>
    <row r="6091" spans="1:15" x14ac:dyDescent="0.3">
      <c r="A6091" t="s">
        <v>8514</v>
      </c>
      <c r="B6091" t="s">
        <v>8731</v>
      </c>
      <c r="C6091">
        <v>2025</v>
      </c>
      <c r="D6091" t="s">
        <v>358</v>
      </c>
      <c r="E6091" t="s">
        <v>8580</v>
      </c>
      <c r="F6091">
        <v>14.3</v>
      </c>
      <c r="G6091" t="s">
        <v>375</v>
      </c>
      <c r="H6091">
        <v>12</v>
      </c>
      <c r="I6091" t="s">
        <v>8789</v>
      </c>
      <c r="J6091" t="s">
        <v>294</v>
      </c>
      <c r="M6091" t="s">
        <v>295</v>
      </c>
      <c r="N6091" t="s">
        <v>7</v>
      </c>
      <c r="O6091" t="s">
        <v>297</v>
      </c>
    </row>
    <row r="6092" spans="1:15" x14ac:dyDescent="0.3">
      <c r="A6092" t="s">
        <v>8514</v>
      </c>
      <c r="B6092" t="s">
        <v>8731</v>
      </c>
      <c r="C6092">
        <v>2025</v>
      </c>
      <c r="D6092" t="s">
        <v>358</v>
      </c>
      <c r="E6092" t="s">
        <v>8684</v>
      </c>
      <c r="F6092">
        <v>51127</v>
      </c>
      <c r="G6092" t="s">
        <v>360</v>
      </c>
      <c r="H6092">
        <v>12</v>
      </c>
      <c r="I6092" t="s">
        <v>8790</v>
      </c>
      <c r="J6092" t="s">
        <v>294</v>
      </c>
      <c r="M6092" t="s">
        <v>295</v>
      </c>
      <c r="N6092" t="s">
        <v>7</v>
      </c>
      <c r="O6092" t="s">
        <v>297</v>
      </c>
    </row>
    <row r="6093" spans="1:15" x14ac:dyDescent="0.3">
      <c r="A6093" t="s">
        <v>8514</v>
      </c>
      <c r="B6093" t="s">
        <v>8731</v>
      </c>
      <c r="C6093">
        <v>2025</v>
      </c>
      <c r="D6093" t="s">
        <v>358</v>
      </c>
      <c r="E6093" t="s">
        <v>523</v>
      </c>
      <c r="F6093">
        <v>6</v>
      </c>
      <c r="G6093" t="s">
        <v>384</v>
      </c>
      <c r="H6093">
        <v>89</v>
      </c>
      <c r="I6093" t="s">
        <v>8791</v>
      </c>
      <c r="J6093" t="s">
        <v>294</v>
      </c>
      <c r="M6093" t="s">
        <v>295</v>
      </c>
      <c r="N6093" t="s">
        <v>7</v>
      </c>
      <c r="O6093" t="s">
        <v>297</v>
      </c>
    </row>
    <row r="6094" spans="1:15" x14ac:dyDescent="0.3">
      <c r="A6094" t="s">
        <v>8514</v>
      </c>
      <c r="B6094" t="s">
        <v>8731</v>
      </c>
      <c r="C6094">
        <v>2025</v>
      </c>
      <c r="D6094" t="s">
        <v>358</v>
      </c>
      <c r="E6094" t="s">
        <v>934</v>
      </c>
      <c r="F6094">
        <v>335</v>
      </c>
      <c r="G6094" t="s">
        <v>8589</v>
      </c>
      <c r="H6094">
        <v>89</v>
      </c>
      <c r="I6094" t="s">
        <v>8792</v>
      </c>
      <c r="J6094" t="s">
        <v>294</v>
      </c>
      <c r="M6094" t="s">
        <v>295</v>
      </c>
      <c r="N6094" t="s">
        <v>7</v>
      </c>
      <c r="O6094" t="s">
        <v>297</v>
      </c>
    </row>
    <row r="6095" spans="1:15" x14ac:dyDescent="0.3">
      <c r="A6095" t="s">
        <v>8514</v>
      </c>
      <c r="B6095" t="s">
        <v>8731</v>
      </c>
      <c r="C6095">
        <v>2025</v>
      </c>
      <c r="D6095" t="s">
        <v>358</v>
      </c>
      <c r="E6095" t="s">
        <v>525</v>
      </c>
      <c r="F6095">
        <v>1</v>
      </c>
      <c r="G6095" t="s">
        <v>384</v>
      </c>
      <c r="H6095">
        <v>89</v>
      </c>
      <c r="I6095" t="s">
        <v>8793</v>
      </c>
      <c r="J6095" t="s">
        <v>294</v>
      </c>
      <c r="M6095" t="s">
        <v>295</v>
      </c>
      <c r="N6095" t="s">
        <v>7</v>
      </c>
      <c r="O6095" t="s">
        <v>297</v>
      </c>
    </row>
    <row r="6096" spans="1:15" x14ac:dyDescent="0.3">
      <c r="A6096" t="s">
        <v>8514</v>
      </c>
      <c r="B6096" t="s">
        <v>8731</v>
      </c>
      <c r="C6096">
        <v>2025</v>
      </c>
      <c r="D6096" t="s">
        <v>358</v>
      </c>
      <c r="E6096" t="s">
        <v>8689</v>
      </c>
      <c r="F6096">
        <v>100</v>
      </c>
      <c r="G6096" t="s">
        <v>8690</v>
      </c>
      <c r="H6096">
        <v>89</v>
      </c>
      <c r="I6096" t="s">
        <v>8794</v>
      </c>
      <c r="J6096" t="s">
        <v>294</v>
      </c>
      <c r="M6096" t="s">
        <v>295</v>
      </c>
      <c r="N6096" t="s">
        <v>7</v>
      </c>
      <c r="O6096" t="s">
        <v>297</v>
      </c>
    </row>
    <row r="6097" spans="1:15" x14ac:dyDescent="0.3">
      <c r="A6097" t="s">
        <v>8514</v>
      </c>
      <c r="B6097" t="s">
        <v>8731</v>
      </c>
      <c r="C6097">
        <v>2025</v>
      </c>
      <c r="D6097" t="s">
        <v>358</v>
      </c>
      <c r="E6097" t="s">
        <v>8591</v>
      </c>
      <c r="F6097">
        <v>43500</v>
      </c>
      <c r="G6097" t="s">
        <v>1453</v>
      </c>
      <c r="H6097">
        <v>55</v>
      </c>
      <c r="I6097" t="s">
        <v>8795</v>
      </c>
      <c r="J6097" t="s">
        <v>294</v>
      </c>
      <c r="M6097" t="s">
        <v>295</v>
      </c>
      <c r="N6097" t="s">
        <v>7</v>
      </c>
      <c r="O6097" t="s">
        <v>297</v>
      </c>
    </row>
    <row r="6098" spans="1:15" x14ac:dyDescent="0.3">
      <c r="A6098" t="s">
        <v>8514</v>
      </c>
      <c r="B6098" t="s">
        <v>8731</v>
      </c>
      <c r="C6098">
        <v>2025</v>
      </c>
      <c r="D6098" t="s">
        <v>358</v>
      </c>
      <c r="E6098" t="s">
        <v>8597</v>
      </c>
      <c r="F6098">
        <v>12400</v>
      </c>
      <c r="G6098" t="s">
        <v>360</v>
      </c>
      <c r="H6098">
        <v>55</v>
      </c>
      <c r="I6098" t="s">
        <v>8796</v>
      </c>
      <c r="J6098" t="s">
        <v>294</v>
      </c>
      <c r="M6098" t="s">
        <v>295</v>
      </c>
      <c r="N6098" t="s">
        <v>7</v>
      </c>
      <c r="O6098" t="s">
        <v>297</v>
      </c>
    </row>
    <row r="6099" spans="1:15" x14ac:dyDescent="0.3">
      <c r="A6099" t="s">
        <v>8514</v>
      </c>
      <c r="B6099" t="s">
        <v>8731</v>
      </c>
      <c r="C6099">
        <v>2025</v>
      </c>
      <c r="D6099" t="s">
        <v>358</v>
      </c>
      <c r="E6099" t="s">
        <v>8595</v>
      </c>
      <c r="F6099">
        <v>39300</v>
      </c>
      <c r="G6099" t="s">
        <v>360</v>
      </c>
      <c r="H6099">
        <v>55</v>
      </c>
      <c r="I6099" t="s">
        <v>8797</v>
      </c>
      <c r="J6099" t="s">
        <v>294</v>
      </c>
      <c r="M6099" t="s">
        <v>295</v>
      </c>
      <c r="N6099" t="s">
        <v>7</v>
      </c>
      <c r="O6099" t="s">
        <v>297</v>
      </c>
    </row>
    <row r="6100" spans="1:15" x14ac:dyDescent="0.3">
      <c r="A6100" t="s">
        <v>8514</v>
      </c>
      <c r="B6100" t="s">
        <v>8731</v>
      </c>
      <c r="C6100">
        <v>2025</v>
      </c>
      <c r="D6100" t="s">
        <v>358</v>
      </c>
      <c r="E6100" t="s">
        <v>8601</v>
      </c>
      <c r="F6100">
        <v>6365</v>
      </c>
      <c r="G6100" t="s">
        <v>360</v>
      </c>
      <c r="H6100">
        <v>53</v>
      </c>
      <c r="I6100" t="s">
        <v>8798</v>
      </c>
      <c r="J6100" t="s">
        <v>294</v>
      </c>
      <c r="M6100" t="s">
        <v>295</v>
      </c>
      <c r="N6100" t="s">
        <v>7</v>
      </c>
      <c r="O6100" t="s">
        <v>297</v>
      </c>
    </row>
    <row r="6101" spans="1:15" x14ac:dyDescent="0.3">
      <c r="A6101" t="s">
        <v>8514</v>
      </c>
      <c r="B6101" t="s">
        <v>8731</v>
      </c>
      <c r="C6101">
        <v>2025</v>
      </c>
      <c r="D6101" t="s">
        <v>358</v>
      </c>
      <c r="E6101" t="s">
        <v>8599</v>
      </c>
      <c r="F6101">
        <v>6267</v>
      </c>
      <c r="G6101" t="s">
        <v>360</v>
      </c>
      <c r="H6101">
        <v>53</v>
      </c>
      <c r="I6101" t="s">
        <v>8799</v>
      </c>
      <c r="J6101" t="s">
        <v>294</v>
      </c>
      <c r="M6101" t="s">
        <v>295</v>
      </c>
      <c r="N6101" t="s">
        <v>7</v>
      </c>
      <c r="O6101" t="s">
        <v>297</v>
      </c>
    </row>
    <row r="6102" spans="1:15" x14ac:dyDescent="0.3">
      <c r="A6102" t="s">
        <v>8514</v>
      </c>
      <c r="B6102" t="s">
        <v>8731</v>
      </c>
      <c r="C6102">
        <v>2025</v>
      </c>
      <c r="D6102" t="s">
        <v>358</v>
      </c>
      <c r="E6102" t="s">
        <v>8800</v>
      </c>
      <c r="F6102">
        <v>3733</v>
      </c>
      <c r="G6102" t="s">
        <v>360</v>
      </c>
      <c r="I6102" t="s">
        <v>8801</v>
      </c>
      <c r="J6102" t="s">
        <v>294</v>
      </c>
      <c r="M6102" t="s">
        <v>295</v>
      </c>
      <c r="N6102" t="s">
        <v>7</v>
      </c>
      <c r="O6102" t="s">
        <v>297</v>
      </c>
    </row>
    <row r="6103" spans="1:15" x14ac:dyDescent="0.3">
      <c r="A6103" t="s">
        <v>8514</v>
      </c>
      <c r="B6103" t="s">
        <v>8731</v>
      </c>
      <c r="C6103">
        <v>2025</v>
      </c>
      <c r="D6103" t="s">
        <v>394</v>
      </c>
      <c r="E6103" t="s">
        <v>531</v>
      </c>
      <c r="F6103">
        <v>1271034</v>
      </c>
      <c r="G6103" t="s">
        <v>396</v>
      </c>
      <c r="H6103">
        <v>12</v>
      </c>
      <c r="I6103" t="s">
        <v>8802</v>
      </c>
      <c r="J6103" t="s">
        <v>294</v>
      </c>
      <c r="M6103" t="s">
        <v>295</v>
      </c>
      <c r="N6103" t="s">
        <v>7</v>
      </c>
      <c r="O6103" t="s">
        <v>297</v>
      </c>
    </row>
    <row r="6104" spans="1:15" x14ac:dyDescent="0.3">
      <c r="A6104" t="s">
        <v>8514</v>
      </c>
      <c r="B6104" t="s">
        <v>8731</v>
      </c>
      <c r="C6104">
        <v>2025</v>
      </c>
      <c r="D6104" t="s">
        <v>394</v>
      </c>
      <c r="E6104" t="s">
        <v>533</v>
      </c>
      <c r="F6104">
        <v>1109558</v>
      </c>
      <c r="G6104" t="s">
        <v>396</v>
      </c>
      <c r="H6104">
        <v>12</v>
      </c>
      <c r="I6104" t="s">
        <v>8803</v>
      </c>
      <c r="J6104" t="s">
        <v>294</v>
      </c>
      <c r="M6104" t="s">
        <v>295</v>
      </c>
      <c r="N6104" t="s">
        <v>7</v>
      </c>
      <c r="O6104" t="s">
        <v>297</v>
      </c>
    </row>
    <row r="6105" spans="1:15" x14ac:dyDescent="0.3">
      <c r="A6105" t="s">
        <v>8514</v>
      </c>
      <c r="B6105" t="s">
        <v>8731</v>
      </c>
      <c r="C6105">
        <v>2025</v>
      </c>
      <c r="D6105" t="s">
        <v>394</v>
      </c>
      <c r="E6105" t="s">
        <v>535</v>
      </c>
      <c r="F6105">
        <v>161476</v>
      </c>
      <c r="G6105" t="s">
        <v>396</v>
      </c>
      <c r="H6105">
        <v>12</v>
      </c>
      <c r="I6105" t="s">
        <v>8804</v>
      </c>
      <c r="J6105" t="s">
        <v>294</v>
      </c>
      <c r="M6105" t="s">
        <v>295</v>
      </c>
      <c r="N6105" t="s">
        <v>7</v>
      </c>
      <c r="O6105" t="s">
        <v>297</v>
      </c>
    </row>
    <row r="6106" spans="1:15" x14ac:dyDescent="0.3">
      <c r="A6106" t="s">
        <v>8514</v>
      </c>
      <c r="B6106" t="s">
        <v>8731</v>
      </c>
      <c r="C6106">
        <v>2025</v>
      </c>
      <c r="D6106" t="s">
        <v>394</v>
      </c>
      <c r="E6106" t="s">
        <v>402</v>
      </c>
      <c r="F6106">
        <v>1463439</v>
      </c>
      <c r="G6106" t="s">
        <v>396</v>
      </c>
      <c r="H6106">
        <v>12</v>
      </c>
      <c r="I6106" t="s">
        <v>8805</v>
      </c>
      <c r="J6106" t="s">
        <v>294</v>
      </c>
      <c r="M6106" t="s">
        <v>295</v>
      </c>
      <c r="N6106" t="s">
        <v>7</v>
      </c>
      <c r="O6106" t="s">
        <v>297</v>
      </c>
    </row>
    <row r="6107" spans="1:15" x14ac:dyDescent="0.3">
      <c r="A6107" t="s">
        <v>8514</v>
      </c>
      <c r="B6107" t="s">
        <v>8731</v>
      </c>
      <c r="C6107">
        <v>2025</v>
      </c>
      <c r="D6107" t="s">
        <v>394</v>
      </c>
      <c r="E6107" t="s">
        <v>406</v>
      </c>
      <c r="F6107">
        <v>333092</v>
      </c>
      <c r="G6107" t="s">
        <v>396</v>
      </c>
      <c r="H6107">
        <v>12</v>
      </c>
      <c r="I6107" t="s">
        <v>8806</v>
      </c>
      <c r="J6107" t="s">
        <v>294</v>
      </c>
      <c r="M6107" t="s">
        <v>295</v>
      </c>
      <c r="N6107" t="s">
        <v>7</v>
      </c>
      <c r="O6107" t="s">
        <v>297</v>
      </c>
    </row>
    <row r="6108" spans="1:15" x14ac:dyDescent="0.3">
      <c r="A6108" t="s">
        <v>8514</v>
      </c>
      <c r="B6108" t="s">
        <v>8731</v>
      </c>
      <c r="C6108">
        <v>2025</v>
      </c>
      <c r="D6108" t="s">
        <v>394</v>
      </c>
      <c r="E6108" t="s">
        <v>855</v>
      </c>
      <c r="F6108">
        <v>52197</v>
      </c>
      <c r="G6108" t="s">
        <v>396</v>
      </c>
      <c r="H6108">
        <v>12</v>
      </c>
      <c r="I6108" t="s">
        <v>8807</v>
      </c>
      <c r="J6108" t="s">
        <v>294</v>
      </c>
      <c r="M6108" t="s">
        <v>295</v>
      </c>
      <c r="N6108" t="s">
        <v>7</v>
      </c>
      <c r="O6108" t="s">
        <v>297</v>
      </c>
    </row>
    <row r="6109" spans="1:15" x14ac:dyDescent="0.3">
      <c r="A6109" t="s">
        <v>8514</v>
      </c>
      <c r="B6109" t="s">
        <v>8731</v>
      </c>
      <c r="C6109">
        <v>2025</v>
      </c>
      <c r="D6109" t="s">
        <v>394</v>
      </c>
      <c r="E6109" t="s">
        <v>7890</v>
      </c>
      <c r="F6109">
        <v>11991</v>
      </c>
      <c r="G6109" t="s">
        <v>396</v>
      </c>
      <c r="H6109">
        <v>12</v>
      </c>
      <c r="I6109" t="s">
        <v>8808</v>
      </c>
      <c r="J6109" t="s">
        <v>294</v>
      </c>
      <c r="M6109" t="s">
        <v>295</v>
      </c>
      <c r="N6109" t="s">
        <v>7</v>
      </c>
      <c r="O6109" t="s">
        <v>297</v>
      </c>
    </row>
    <row r="6110" spans="1:15" x14ac:dyDescent="0.3">
      <c r="A6110" t="s">
        <v>8514</v>
      </c>
      <c r="B6110" t="s">
        <v>8731</v>
      </c>
      <c r="C6110">
        <v>2025</v>
      </c>
      <c r="D6110" t="s">
        <v>394</v>
      </c>
      <c r="E6110" t="s">
        <v>420</v>
      </c>
      <c r="F6110">
        <v>15803</v>
      </c>
      <c r="G6110" t="s">
        <v>396</v>
      </c>
      <c r="H6110">
        <v>12</v>
      </c>
      <c r="I6110" t="s">
        <v>8809</v>
      </c>
      <c r="J6110" t="s">
        <v>294</v>
      </c>
      <c r="M6110" t="s">
        <v>295</v>
      </c>
      <c r="N6110" t="s">
        <v>7</v>
      </c>
      <c r="O6110" t="s">
        <v>297</v>
      </c>
    </row>
    <row r="6111" spans="1:15" x14ac:dyDescent="0.3">
      <c r="A6111" t="s">
        <v>8514</v>
      </c>
      <c r="B6111" t="s">
        <v>8731</v>
      </c>
      <c r="C6111">
        <v>2025</v>
      </c>
      <c r="D6111" t="s">
        <v>394</v>
      </c>
      <c r="E6111" t="s">
        <v>8609</v>
      </c>
      <c r="F6111">
        <v>0.2276</v>
      </c>
      <c r="G6111" t="s">
        <v>334</v>
      </c>
      <c r="H6111">
        <v>12</v>
      </c>
      <c r="I6111" t="s">
        <v>8810</v>
      </c>
      <c r="J6111" t="s">
        <v>294</v>
      </c>
      <c r="M6111" t="s">
        <v>295</v>
      </c>
      <c r="N6111" t="s">
        <v>7</v>
      </c>
      <c r="O6111" t="s">
        <v>297</v>
      </c>
    </row>
    <row r="6112" spans="1:15" x14ac:dyDescent="0.3">
      <c r="A6112" t="s">
        <v>8514</v>
      </c>
      <c r="B6112" t="s">
        <v>8731</v>
      </c>
      <c r="C6112">
        <v>2025</v>
      </c>
      <c r="D6112" t="s">
        <v>394</v>
      </c>
      <c r="E6112" t="s">
        <v>8611</v>
      </c>
      <c r="F6112">
        <v>3.5700000000000003E-2</v>
      </c>
      <c r="G6112" t="s">
        <v>334</v>
      </c>
      <c r="H6112">
        <v>12</v>
      </c>
      <c r="I6112" t="s">
        <v>8811</v>
      </c>
      <c r="J6112" t="s">
        <v>294</v>
      </c>
      <c r="M6112" t="s">
        <v>295</v>
      </c>
      <c r="N6112" t="s">
        <v>7</v>
      </c>
      <c r="O6112" t="s">
        <v>297</v>
      </c>
    </row>
    <row r="6113" spans="1:15" x14ac:dyDescent="0.3">
      <c r="A6113" t="s">
        <v>8514</v>
      </c>
      <c r="B6113" t="s">
        <v>8731</v>
      </c>
      <c r="C6113">
        <v>2025</v>
      </c>
      <c r="D6113" t="s">
        <v>394</v>
      </c>
      <c r="E6113" t="s">
        <v>8812</v>
      </c>
      <c r="F6113">
        <v>0.41</v>
      </c>
      <c r="G6113" t="s">
        <v>334</v>
      </c>
      <c r="H6113">
        <v>90</v>
      </c>
      <c r="I6113" t="s">
        <v>8813</v>
      </c>
      <c r="J6113" t="s">
        <v>294</v>
      </c>
      <c r="M6113" t="s">
        <v>295</v>
      </c>
      <c r="N6113" t="s">
        <v>7</v>
      </c>
      <c r="O6113" t="s">
        <v>297</v>
      </c>
    </row>
    <row r="6114" spans="1:15" x14ac:dyDescent="0.3">
      <c r="A6114" t="s">
        <v>8514</v>
      </c>
      <c r="B6114" t="s">
        <v>8731</v>
      </c>
      <c r="C6114">
        <v>2025</v>
      </c>
      <c r="D6114" t="s">
        <v>394</v>
      </c>
      <c r="E6114" t="s">
        <v>438</v>
      </c>
      <c r="F6114">
        <v>339465</v>
      </c>
      <c r="G6114" t="s">
        <v>396</v>
      </c>
      <c r="H6114">
        <v>12</v>
      </c>
      <c r="I6114" t="s">
        <v>8814</v>
      </c>
      <c r="J6114" t="s">
        <v>294</v>
      </c>
      <c r="M6114" t="s">
        <v>295</v>
      </c>
      <c r="N6114" t="s">
        <v>7</v>
      </c>
      <c r="O6114" t="s">
        <v>297</v>
      </c>
    </row>
    <row r="6115" spans="1:15" x14ac:dyDescent="0.3">
      <c r="A6115" t="s">
        <v>8514</v>
      </c>
      <c r="B6115" t="s">
        <v>8731</v>
      </c>
      <c r="C6115">
        <v>2025</v>
      </c>
      <c r="D6115" t="s">
        <v>394</v>
      </c>
      <c r="E6115" t="s">
        <v>4994</v>
      </c>
      <c r="F6115">
        <v>31969</v>
      </c>
      <c r="G6115" t="s">
        <v>396</v>
      </c>
      <c r="H6115">
        <v>12</v>
      </c>
      <c r="I6115" t="s">
        <v>8815</v>
      </c>
      <c r="J6115" t="s">
        <v>294</v>
      </c>
      <c r="M6115" t="s">
        <v>295</v>
      </c>
      <c r="N6115" t="s">
        <v>7</v>
      </c>
      <c r="O6115" t="s">
        <v>297</v>
      </c>
    </row>
    <row r="6116" spans="1:15" x14ac:dyDescent="0.3">
      <c r="A6116" t="s">
        <v>8514</v>
      </c>
      <c r="B6116" t="s">
        <v>8731</v>
      </c>
      <c r="C6116">
        <v>2025</v>
      </c>
      <c r="D6116" t="s">
        <v>394</v>
      </c>
      <c r="E6116" t="s">
        <v>4999</v>
      </c>
      <c r="F6116">
        <v>12012</v>
      </c>
      <c r="G6116" t="s">
        <v>396</v>
      </c>
      <c r="H6116">
        <v>90</v>
      </c>
      <c r="I6116" t="s">
        <v>8816</v>
      </c>
      <c r="J6116" t="s">
        <v>294</v>
      </c>
      <c r="M6116" t="s">
        <v>295</v>
      </c>
      <c r="N6116" t="s">
        <v>7</v>
      </c>
      <c r="O6116" t="s">
        <v>297</v>
      </c>
    </row>
    <row r="6117" spans="1:15" x14ac:dyDescent="0.3">
      <c r="A6117" t="s">
        <v>8514</v>
      </c>
      <c r="B6117" t="s">
        <v>8731</v>
      </c>
      <c r="C6117">
        <v>2025</v>
      </c>
      <c r="D6117" t="s">
        <v>394</v>
      </c>
      <c r="E6117" t="s">
        <v>435</v>
      </c>
      <c r="F6117">
        <v>14004</v>
      </c>
      <c r="G6117" t="s">
        <v>436</v>
      </c>
      <c r="H6117">
        <v>90</v>
      </c>
      <c r="I6117" t="s">
        <v>8817</v>
      </c>
      <c r="J6117" t="s">
        <v>294</v>
      </c>
      <c r="M6117" t="s">
        <v>295</v>
      </c>
      <c r="N6117" t="s">
        <v>7</v>
      </c>
      <c r="O6117" t="s">
        <v>297</v>
      </c>
    </row>
    <row r="6118" spans="1:15" x14ac:dyDescent="0.3">
      <c r="A6118" t="s">
        <v>8514</v>
      </c>
      <c r="B6118" t="s">
        <v>8731</v>
      </c>
      <c r="C6118">
        <v>2025</v>
      </c>
      <c r="D6118" t="s">
        <v>394</v>
      </c>
      <c r="E6118" t="s">
        <v>8616</v>
      </c>
      <c r="F6118">
        <v>11243</v>
      </c>
      <c r="G6118" t="s">
        <v>436</v>
      </c>
      <c r="H6118">
        <v>90</v>
      </c>
      <c r="I6118" t="s">
        <v>8818</v>
      </c>
      <c r="J6118" t="s">
        <v>294</v>
      </c>
      <c r="M6118" t="s">
        <v>295</v>
      </c>
      <c r="N6118" t="s">
        <v>7</v>
      </c>
      <c r="O6118" t="s">
        <v>297</v>
      </c>
    </row>
    <row r="6119" spans="1:15" x14ac:dyDescent="0.3">
      <c r="A6119" t="s">
        <v>8514</v>
      </c>
      <c r="B6119" t="s">
        <v>8731</v>
      </c>
      <c r="C6119">
        <v>2025</v>
      </c>
      <c r="D6119" t="s">
        <v>394</v>
      </c>
      <c r="E6119" t="s">
        <v>8716</v>
      </c>
      <c r="F6119">
        <v>24696</v>
      </c>
      <c r="G6119" t="s">
        <v>436</v>
      </c>
      <c r="H6119">
        <v>90</v>
      </c>
      <c r="I6119" t="s">
        <v>8819</v>
      </c>
      <c r="J6119" t="s">
        <v>294</v>
      </c>
      <c r="M6119" t="s">
        <v>295</v>
      </c>
      <c r="N6119" t="s">
        <v>7</v>
      </c>
      <c r="O6119" t="s">
        <v>297</v>
      </c>
    </row>
    <row r="6120" spans="1:15" x14ac:dyDescent="0.3">
      <c r="A6120" t="s">
        <v>8514</v>
      </c>
      <c r="B6120" t="s">
        <v>8731</v>
      </c>
      <c r="C6120">
        <v>2025</v>
      </c>
      <c r="D6120" t="s">
        <v>394</v>
      </c>
      <c r="E6120" t="s">
        <v>8719</v>
      </c>
      <c r="F6120">
        <v>0.3</v>
      </c>
      <c r="G6120" t="s">
        <v>334</v>
      </c>
      <c r="H6120">
        <v>103</v>
      </c>
      <c r="I6120" t="s">
        <v>8820</v>
      </c>
      <c r="J6120" t="s">
        <v>294</v>
      </c>
      <c r="M6120" t="s">
        <v>295</v>
      </c>
      <c r="N6120" t="s">
        <v>7</v>
      </c>
      <c r="O6120" t="s">
        <v>297</v>
      </c>
    </row>
    <row r="6121" spans="1:15" x14ac:dyDescent="0.3">
      <c r="A6121" t="s">
        <v>8514</v>
      </c>
      <c r="B6121" t="s">
        <v>8731</v>
      </c>
      <c r="C6121">
        <v>2025</v>
      </c>
      <c r="D6121" t="s">
        <v>394</v>
      </c>
      <c r="E6121" t="s">
        <v>8721</v>
      </c>
      <c r="F6121">
        <v>0.15</v>
      </c>
      <c r="G6121" t="s">
        <v>334</v>
      </c>
      <c r="H6121">
        <v>103</v>
      </c>
      <c r="I6121" t="s">
        <v>8821</v>
      </c>
      <c r="J6121" t="s">
        <v>294</v>
      </c>
      <c r="M6121" t="s">
        <v>295</v>
      </c>
      <c r="N6121" t="s">
        <v>7</v>
      </c>
      <c r="O6121" t="s">
        <v>297</v>
      </c>
    </row>
    <row r="6122" spans="1:15" x14ac:dyDescent="0.3">
      <c r="A6122" t="s">
        <v>8514</v>
      </c>
      <c r="B6122" t="s">
        <v>8731</v>
      </c>
      <c r="C6122">
        <v>2025</v>
      </c>
      <c r="D6122" t="s">
        <v>394</v>
      </c>
      <c r="E6122" t="s">
        <v>8723</v>
      </c>
      <c r="F6122">
        <v>0.15</v>
      </c>
      <c r="G6122" t="s">
        <v>334</v>
      </c>
      <c r="H6122">
        <v>103</v>
      </c>
      <c r="I6122" t="s">
        <v>8822</v>
      </c>
      <c r="J6122" t="s">
        <v>294</v>
      </c>
      <c r="M6122" t="s">
        <v>295</v>
      </c>
      <c r="N6122" t="s">
        <v>7</v>
      </c>
      <c r="O6122" t="s">
        <v>297</v>
      </c>
    </row>
    <row r="6123" spans="1:15" x14ac:dyDescent="0.3">
      <c r="A6123" t="s">
        <v>8514</v>
      </c>
      <c r="B6123" t="s">
        <v>8731</v>
      </c>
      <c r="C6123">
        <v>2025</v>
      </c>
      <c r="D6123" t="s">
        <v>394</v>
      </c>
      <c r="E6123" t="s">
        <v>8618</v>
      </c>
      <c r="F6123">
        <v>0</v>
      </c>
      <c r="G6123" t="s">
        <v>1403</v>
      </c>
      <c r="H6123">
        <v>12</v>
      </c>
      <c r="I6123" t="s">
        <v>8823</v>
      </c>
      <c r="J6123" t="s">
        <v>294</v>
      </c>
      <c r="M6123" t="s">
        <v>295</v>
      </c>
      <c r="N6123" t="s">
        <v>7</v>
      </c>
      <c r="O6123" t="s">
        <v>297</v>
      </c>
    </row>
    <row r="6124" spans="1:15" x14ac:dyDescent="0.3">
      <c r="A6124" t="s">
        <v>8514</v>
      </c>
      <c r="B6124" t="s">
        <v>8731</v>
      </c>
      <c r="C6124">
        <v>2025</v>
      </c>
      <c r="D6124" t="s">
        <v>394</v>
      </c>
      <c r="E6124" t="s">
        <v>8824</v>
      </c>
      <c r="F6124">
        <v>1.7</v>
      </c>
      <c r="G6124" t="s">
        <v>8693</v>
      </c>
      <c r="I6124" t="s">
        <v>8825</v>
      </c>
      <c r="J6124" t="s">
        <v>294</v>
      </c>
      <c r="M6124" t="s">
        <v>295</v>
      </c>
      <c r="N6124" t="s">
        <v>7</v>
      </c>
      <c r="O6124" t="s">
        <v>297</v>
      </c>
    </row>
    <row r="6125" spans="1:15" x14ac:dyDescent="0.3">
      <c r="A6125" t="s">
        <v>8514</v>
      </c>
      <c r="B6125" t="s">
        <v>8731</v>
      </c>
      <c r="C6125">
        <v>2025</v>
      </c>
      <c r="D6125" t="s">
        <v>563</v>
      </c>
      <c r="E6125" t="s">
        <v>8726</v>
      </c>
      <c r="F6125" t="s">
        <v>8826</v>
      </c>
      <c r="G6125" t="s">
        <v>292</v>
      </c>
      <c r="H6125">
        <v>89</v>
      </c>
      <c r="I6125" t="s">
        <v>8827</v>
      </c>
      <c r="J6125" t="s">
        <v>294</v>
      </c>
      <c r="M6125" t="s">
        <v>295</v>
      </c>
      <c r="N6125" t="s">
        <v>7</v>
      </c>
      <c r="O6125" t="s">
        <v>297</v>
      </c>
    </row>
    <row r="6126" spans="1:15" x14ac:dyDescent="0.3">
      <c r="A6126" t="s">
        <v>8828</v>
      </c>
      <c r="B6126" t="s">
        <v>8829</v>
      </c>
      <c r="C6126">
        <v>2022</v>
      </c>
      <c r="D6126" t="s">
        <v>272</v>
      </c>
      <c r="E6126" t="s">
        <v>291</v>
      </c>
      <c r="F6126" t="s">
        <v>8828</v>
      </c>
      <c r="G6126" t="s">
        <v>292</v>
      </c>
      <c r="H6126">
        <v>1</v>
      </c>
      <c r="I6126" t="s">
        <v>8830</v>
      </c>
      <c r="J6126" t="s">
        <v>294</v>
      </c>
      <c r="M6126" t="s">
        <v>295</v>
      </c>
      <c r="N6126" t="s">
        <v>7</v>
      </c>
      <c r="O6126" t="s">
        <v>297</v>
      </c>
    </row>
    <row r="6127" spans="1:15" x14ac:dyDescent="0.3">
      <c r="A6127" t="s">
        <v>8828</v>
      </c>
      <c r="B6127" t="s">
        <v>8829</v>
      </c>
      <c r="C6127">
        <v>2022</v>
      </c>
      <c r="D6127" t="s">
        <v>272</v>
      </c>
      <c r="E6127" t="s">
        <v>8831</v>
      </c>
      <c r="F6127" t="s">
        <v>8832</v>
      </c>
      <c r="G6127" t="s">
        <v>292</v>
      </c>
      <c r="H6127">
        <v>8</v>
      </c>
      <c r="I6127" t="s">
        <v>8833</v>
      </c>
      <c r="J6127" t="s">
        <v>294</v>
      </c>
      <c r="M6127" t="s">
        <v>295</v>
      </c>
      <c r="N6127" t="s">
        <v>7</v>
      </c>
      <c r="O6127" t="s">
        <v>297</v>
      </c>
    </row>
    <row r="6128" spans="1:15" x14ac:dyDescent="0.3">
      <c r="A6128" t="s">
        <v>8828</v>
      </c>
      <c r="B6128" t="s">
        <v>8829</v>
      </c>
      <c r="C6128">
        <v>2022</v>
      </c>
      <c r="D6128" t="s">
        <v>272</v>
      </c>
      <c r="E6128" t="s">
        <v>8834</v>
      </c>
      <c r="F6128" t="s">
        <v>8835</v>
      </c>
      <c r="G6128" t="s">
        <v>334</v>
      </c>
      <c r="H6128">
        <v>10</v>
      </c>
      <c r="I6128" t="s">
        <v>8836</v>
      </c>
      <c r="J6128" t="s">
        <v>294</v>
      </c>
      <c r="M6128" t="s">
        <v>295</v>
      </c>
      <c r="N6128" t="s">
        <v>7</v>
      </c>
      <c r="O6128" t="s">
        <v>297</v>
      </c>
    </row>
    <row r="6129" spans="1:15" x14ac:dyDescent="0.3">
      <c r="A6129" t="s">
        <v>8828</v>
      </c>
      <c r="B6129" t="s">
        <v>8829</v>
      </c>
      <c r="C6129">
        <v>2022</v>
      </c>
      <c r="D6129" t="s">
        <v>272</v>
      </c>
      <c r="E6129" t="s">
        <v>8837</v>
      </c>
      <c r="F6129">
        <v>0.1096</v>
      </c>
      <c r="G6129" t="s">
        <v>334</v>
      </c>
      <c r="H6129">
        <v>10</v>
      </c>
      <c r="I6129" t="s">
        <v>8838</v>
      </c>
      <c r="J6129" t="s">
        <v>294</v>
      </c>
      <c r="M6129" t="s">
        <v>295</v>
      </c>
      <c r="N6129" t="s">
        <v>7</v>
      </c>
      <c r="O6129" t="s">
        <v>297</v>
      </c>
    </row>
    <row r="6130" spans="1:15" x14ac:dyDescent="0.3">
      <c r="A6130" t="s">
        <v>8828</v>
      </c>
      <c r="B6130" t="s">
        <v>8829</v>
      </c>
      <c r="C6130">
        <v>2022</v>
      </c>
      <c r="D6130" t="s">
        <v>272</v>
      </c>
      <c r="E6130" t="s">
        <v>8839</v>
      </c>
      <c r="F6130">
        <v>9.2100000000000001E-2</v>
      </c>
      <c r="G6130" t="s">
        <v>334</v>
      </c>
      <c r="H6130">
        <v>10</v>
      </c>
      <c r="I6130" t="s">
        <v>8840</v>
      </c>
      <c r="J6130" t="s">
        <v>294</v>
      </c>
      <c r="M6130" t="s">
        <v>295</v>
      </c>
      <c r="N6130" t="s">
        <v>7</v>
      </c>
      <c r="O6130" t="s">
        <v>297</v>
      </c>
    </row>
    <row r="6131" spans="1:15" x14ac:dyDescent="0.3">
      <c r="A6131" t="s">
        <v>8828</v>
      </c>
      <c r="B6131" t="s">
        <v>8829</v>
      </c>
      <c r="C6131">
        <v>2022</v>
      </c>
      <c r="D6131" t="s">
        <v>272</v>
      </c>
      <c r="E6131" t="s">
        <v>8841</v>
      </c>
      <c r="F6131">
        <v>5.8700000000000002E-2</v>
      </c>
      <c r="G6131" t="s">
        <v>334</v>
      </c>
      <c r="H6131">
        <v>10</v>
      </c>
      <c r="I6131" t="s">
        <v>8842</v>
      </c>
      <c r="J6131" t="s">
        <v>294</v>
      </c>
      <c r="M6131" t="s">
        <v>295</v>
      </c>
      <c r="N6131" t="s">
        <v>7</v>
      </c>
      <c r="O6131" t="s">
        <v>297</v>
      </c>
    </row>
    <row r="6132" spans="1:15" x14ac:dyDescent="0.3">
      <c r="A6132" t="s">
        <v>8828</v>
      </c>
      <c r="B6132" t="s">
        <v>8829</v>
      </c>
      <c r="C6132">
        <v>2022</v>
      </c>
      <c r="D6132" t="s">
        <v>272</v>
      </c>
      <c r="E6132" t="s">
        <v>8843</v>
      </c>
      <c r="F6132">
        <v>5.3699999999999998E-2</v>
      </c>
      <c r="G6132" t="s">
        <v>334</v>
      </c>
      <c r="H6132">
        <v>10</v>
      </c>
      <c r="I6132" t="s">
        <v>8844</v>
      </c>
      <c r="J6132" t="s">
        <v>294</v>
      </c>
      <c r="M6132" t="s">
        <v>295</v>
      </c>
      <c r="N6132" t="s">
        <v>7</v>
      </c>
      <c r="O6132" t="s">
        <v>297</v>
      </c>
    </row>
    <row r="6133" spans="1:15" x14ac:dyDescent="0.3">
      <c r="A6133" t="s">
        <v>8828</v>
      </c>
      <c r="B6133" t="s">
        <v>8829</v>
      </c>
      <c r="C6133">
        <v>2022</v>
      </c>
      <c r="D6133" t="s">
        <v>272</v>
      </c>
      <c r="E6133" t="s">
        <v>445</v>
      </c>
      <c r="F6133">
        <v>0.53939999999999999</v>
      </c>
      <c r="G6133" t="s">
        <v>334</v>
      </c>
      <c r="H6133">
        <v>10</v>
      </c>
      <c r="I6133" t="s">
        <v>8845</v>
      </c>
      <c r="J6133" t="s">
        <v>294</v>
      </c>
      <c r="M6133" t="s">
        <v>295</v>
      </c>
      <c r="N6133" t="s">
        <v>7</v>
      </c>
      <c r="O6133" t="s">
        <v>297</v>
      </c>
    </row>
    <row r="6134" spans="1:15" x14ac:dyDescent="0.3">
      <c r="A6134" t="s">
        <v>8828</v>
      </c>
      <c r="B6134" t="s">
        <v>8829</v>
      </c>
      <c r="C6134">
        <v>2022</v>
      </c>
      <c r="D6134" t="s">
        <v>272</v>
      </c>
      <c r="E6134" t="s">
        <v>8846</v>
      </c>
      <c r="F6134">
        <v>2500162338</v>
      </c>
      <c r="G6134" t="s">
        <v>1633</v>
      </c>
      <c r="H6134">
        <v>10</v>
      </c>
      <c r="I6134" t="s">
        <v>8847</v>
      </c>
      <c r="J6134" t="s">
        <v>294</v>
      </c>
      <c r="M6134" t="s">
        <v>295</v>
      </c>
      <c r="N6134" t="s">
        <v>7</v>
      </c>
      <c r="O6134" t="s">
        <v>297</v>
      </c>
    </row>
    <row r="6135" spans="1:15" x14ac:dyDescent="0.3">
      <c r="A6135" t="s">
        <v>8828</v>
      </c>
      <c r="B6135" t="s">
        <v>8829</v>
      </c>
      <c r="C6135">
        <v>2022</v>
      </c>
      <c r="D6135" t="s">
        <v>272</v>
      </c>
      <c r="E6135" t="s">
        <v>8848</v>
      </c>
      <c r="F6135">
        <v>14006</v>
      </c>
      <c r="G6135" t="s">
        <v>384</v>
      </c>
      <c r="H6135">
        <v>11</v>
      </c>
      <c r="I6135" t="s">
        <v>8849</v>
      </c>
      <c r="J6135" t="s">
        <v>294</v>
      </c>
      <c r="M6135" t="s">
        <v>295</v>
      </c>
      <c r="N6135" t="s">
        <v>7</v>
      </c>
      <c r="O6135" t="s">
        <v>297</v>
      </c>
    </row>
    <row r="6136" spans="1:15" x14ac:dyDescent="0.3">
      <c r="A6136" t="s">
        <v>8828</v>
      </c>
      <c r="B6136" t="s">
        <v>8829</v>
      </c>
      <c r="C6136">
        <v>2022</v>
      </c>
      <c r="D6136" t="s">
        <v>300</v>
      </c>
      <c r="E6136" t="s">
        <v>682</v>
      </c>
      <c r="F6136">
        <v>4189.33</v>
      </c>
      <c r="G6136" t="s">
        <v>302</v>
      </c>
      <c r="H6136">
        <v>6</v>
      </c>
      <c r="I6136" t="s">
        <v>8850</v>
      </c>
      <c r="J6136" t="s">
        <v>294</v>
      </c>
      <c r="M6136" t="s">
        <v>295</v>
      </c>
      <c r="N6136" t="s">
        <v>7</v>
      </c>
      <c r="O6136" t="s">
        <v>297</v>
      </c>
    </row>
    <row r="6137" spans="1:15" x14ac:dyDescent="0.3">
      <c r="A6137" t="s">
        <v>8828</v>
      </c>
      <c r="B6137" t="s">
        <v>8829</v>
      </c>
      <c r="C6137">
        <v>2022</v>
      </c>
      <c r="D6137" t="s">
        <v>300</v>
      </c>
      <c r="E6137" t="s">
        <v>2868</v>
      </c>
      <c r="F6137">
        <v>3403.45</v>
      </c>
      <c r="G6137" t="s">
        <v>302</v>
      </c>
      <c r="H6137">
        <v>6</v>
      </c>
      <c r="I6137" t="s">
        <v>8851</v>
      </c>
      <c r="J6137" t="s">
        <v>294</v>
      </c>
      <c r="M6137" t="s">
        <v>295</v>
      </c>
      <c r="N6137" t="s">
        <v>7</v>
      </c>
      <c r="O6137" t="s">
        <v>297</v>
      </c>
    </row>
    <row r="6138" spans="1:15" x14ac:dyDescent="0.3">
      <c r="A6138" t="s">
        <v>8828</v>
      </c>
      <c r="B6138" t="s">
        <v>8829</v>
      </c>
      <c r="C6138">
        <v>2022</v>
      </c>
      <c r="D6138" t="s">
        <v>300</v>
      </c>
      <c r="E6138" t="s">
        <v>304</v>
      </c>
      <c r="F6138">
        <v>785.88</v>
      </c>
      <c r="G6138" t="s">
        <v>302</v>
      </c>
      <c r="H6138">
        <v>6</v>
      </c>
      <c r="I6138" t="s">
        <v>8852</v>
      </c>
      <c r="J6138" t="s">
        <v>294</v>
      </c>
      <c r="M6138" t="s">
        <v>295</v>
      </c>
      <c r="N6138" t="s">
        <v>7</v>
      </c>
      <c r="O6138" t="s">
        <v>297</v>
      </c>
    </row>
    <row r="6139" spans="1:15" x14ac:dyDescent="0.3">
      <c r="A6139" t="s">
        <v>8828</v>
      </c>
      <c r="B6139" t="s">
        <v>8829</v>
      </c>
      <c r="C6139">
        <v>2022</v>
      </c>
      <c r="D6139" t="s">
        <v>300</v>
      </c>
      <c r="E6139" t="s">
        <v>1155</v>
      </c>
      <c r="F6139">
        <v>86.28</v>
      </c>
      <c r="G6139" t="s">
        <v>302</v>
      </c>
      <c r="H6139">
        <v>79</v>
      </c>
      <c r="I6139" t="s">
        <v>8853</v>
      </c>
      <c r="J6139" t="s">
        <v>294</v>
      </c>
      <c r="M6139" t="s">
        <v>295</v>
      </c>
      <c r="N6139" t="s">
        <v>7</v>
      </c>
      <c r="O6139" t="s">
        <v>297</v>
      </c>
    </row>
    <row r="6140" spans="1:15" x14ac:dyDescent="0.3">
      <c r="A6140" t="s">
        <v>8828</v>
      </c>
      <c r="B6140" t="s">
        <v>8829</v>
      </c>
      <c r="C6140">
        <v>2022</v>
      </c>
      <c r="D6140" t="s">
        <v>300</v>
      </c>
      <c r="E6140" t="s">
        <v>1157</v>
      </c>
      <c r="F6140">
        <v>384.47</v>
      </c>
      <c r="G6140" t="s">
        <v>302</v>
      </c>
      <c r="H6140">
        <v>79</v>
      </c>
      <c r="I6140" t="s">
        <v>8854</v>
      </c>
      <c r="J6140" t="s">
        <v>294</v>
      </c>
      <c r="M6140" t="s">
        <v>295</v>
      </c>
      <c r="N6140" t="s">
        <v>7</v>
      </c>
      <c r="O6140" t="s">
        <v>297</v>
      </c>
    </row>
    <row r="6141" spans="1:15" x14ac:dyDescent="0.3">
      <c r="A6141" t="s">
        <v>8828</v>
      </c>
      <c r="B6141" t="s">
        <v>8829</v>
      </c>
      <c r="C6141">
        <v>2022</v>
      </c>
      <c r="D6141" t="s">
        <v>300</v>
      </c>
      <c r="E6141" t="s">
        <v>8855</v>
      </c>
      <c r="F6141">
        <v>-783.3</v>
      </c>
      <c r="G6141" t="s">
        <v>302</v>
      </c>
      <c r="H6141">
        <v>79</v>
      </c>
      <c r="I6141" t="s">
        <v>8856</v>
      </c>
      <c r="J6141" t="s">
        <v>294</v>
      </c>
      <c r="M6141" t="s">
        <v>295</v>
      </c>
      <c r="N6141" t="s">
        <v>7</v>
      </c>
      <c r="O6141" t="s">
        <v>297</v>
      </c>
    </row>
    <row r="6142" spans="1:15" x14ac:dyDescent="0.3">
      <c r="A6142" t="s">
        <v>8828</v>
      </c>
      <c r="B6142" t="s">
        <v>8829</v>
      </c>
      <c r="C6142">
        <v>2022</v>
      </c>
      <c r="D6142" t="s">
        <v>300</v>
      </c>
      <c r="E6142" t="s">
        <v>8857</v>
      </c>
      <c r="F6142">
        <v>-536.4</v>
      </c>
      <c r="G6142" t="s">
        <v>302</v>
      </c>
      <c r="H6142">
        <v>80</v>
      </c>
      <c r="I6142" t="s">
        <v>8858</v>
      </c>
      <c r="J6142" t="s">
        <v>294</v>
      </c>
      <c r="M6142" t="s">
        <v>295</v>
      </c>
      <c r="N6142" t="s">
        <v>7</v>
      </c>
      <c r="O6142" t="s">
        <v>297</v>
      </c>
    </row>
    <row r="6143" spans="1:15" x14ac:dyDescent="0.3">
      <c r="A6143" t="s">
        <v>8828</v>
      </c>
      <c r="B6143" t="s">
        <v>8829</v>
      </c>
      <c r="C6143">
        <v>2022</v>
      </c>
      <c r="D6143" t="s">
        <v>300</v>
      </c>
      <c r="E6143" t="s">
        <v>8859</v>
      </c>
      <c r="F6143">
        <v>-127.86</v>
      </c>
      <c r="G6143" t="s">
        <v>302</v>
      </c>
      <c r="H6143">
        <v>80</v>
      </c>
      <c r="I6143" t="s">
        <v>8860</v>
      </c>
      <c r="J6143" t="s">
        <v>294</v>
      </c>
      <c r="M6143" t="s">
        <v>295</v>
      </c>
      <c r="N6143" t="s">
        <v>7</v>
      </c>
      <c r="O6143" t="s">
        <v>297</v>
      </c>
    </row>
    <row r="6144" spans="1:15" x14ac:dyDescent="0.3">
      <c r="A6144" t="s">
        <v>8828</v>
      </c>
      <c r="B6144" t="s">
        <v>8829</v>
      </c>
      <c r="C6144">
        <v>2022</v>
      </c>
      <c r="D6144" t="s">
        <v>300</v>
      </c>
      <c r="E6144" t="s">
        <v>8861</v>
      </c>
      <c r="F6144">
        <v>2268.1799999999998</v>
      </c>
      <c r="G6144" t="s">
        <v>302</v>
      </c>
      <c r="H6144">
        <v>80</v>
      </c>
      <c r="I6144" t="s">
        <v>8862</v>
      </c>
      <c r="J6144" t="s">
        <v>294</v>
      </c>
      <c r="M6144" t="s">
        <v>295</v>
      </c>
      <c r="N6144" t="s">
        <v>7</v>
      </c>
      <c r="O6144" t="s">
        <v>297</v>
      </c>
    </row>
    <row r="6145" spans="1:15" x14ac:dyDescent="0.3">
      <c r="A6145" t="s">
        <v>8828</v>
      </c>
      <c r="B6145" t="s">
        <v>8829</v>
      </c>
      <c r="C6145">
        <v>2022</v>
      </c>
      <c r="D6145" t="s">
        <v>300</v>
      </c>
      <c r="E6145" t="s">
        <v>8863</v>
      </c>
      <c r="F6145">
        <v>-193.15</v>
      </c>
      <c r="G6145" t="s">
        <v>302</v>
      </c>
      <c r="H6145">
        <v>80</v>
      </c>
      <c r="I6145" t="s">
        <v>8864</v>
      </c>
      <c r="J6145" t="s">
        <v>294</v>
      </c>
      <c r="M6145" t="s">
        <v>295</v>
      </c>
      <c r="N6145" t="s">
        <v>7</v>
      </c>
      <c r="O6145" t="s">
        <v>297</v>
      </c>
    </row>
    <row r="6146" spans="1:15" x14ac:dyDescent="0.3">
      <c r="A6146" t="s">
        <v>8828</v>
      </c>
      <c r="B6146" t="s">
        <v>8829</v>
      </c>
      <c r="C6146">
        <v>2022</v>
      </c>
      <c r="D6146" t="s">
        <v>300</v>
      </c>
      <c r="E6146" t="s">
        <v>579</v>
      </c>
      <c r="F6146">
        <v>946.72</v>
      </c>
      <c r="G6146" t="s">
        <v>302</v>
      </c>
      <c r="H6146">
        <v>6</v>
      </c>
      <c r="I6146" t="s">
        <v>8865</v>
      </c>
      <c r="J6146" t="s">
        <v>294</v>
      </c>
      <c r="M6146" t="s">
        <v>295</v>
      </c>
      <c r="N6146" t="s">
        <v>7</v>
      </c>
      <c r="O6146" t="s">
        <v>297</v>
      </c>
    </row>
    <row r="6147" spans="1:15" x14ac:dyDescent="0.3">
      <c r="A6147" t="s">
        <v>8828</v>
      </c>
      <c r="B6147" t="s">
        <v>8829</v>
      </c>
      <c r="C6147">
        <v>2022</v>
      </c>
      <c r="D6147" t="s">
        <v>300</v>
      </c>
      <c r="E6147" t="s">
        <v>581</v>
      </c>
      <c r="F6147">
        <v>-16.510000000000002</v>
      </c>
      <c r="G6147" t="s">
        <v>302</v>
      </c>
      <c r="H6147">
        <v>6</v>
      </c>
      <c r="I6147" t="s">
        <v>8866</v>
      </c>
      <c r="J6147" t="s">
        <v>294</v>
      </c>
      <c r="M6147" t="s">
        <v>295</v>
      </c>
      <c r="N6147" t="s">
        <v>7</v>
      </c>
      <c r="O6147" t="s">
        <v>297</v>
      </c>
    </row>
    <row r="6148" spans="1:15" x14ac:dyDescent="0.3">
      <c r="A6148" t="s">
        <v>8828</v>
      </c>
      <c r="B6148" t="s">
        <v>8829</v>
      </c>
      <c r="C6148">
        <v>2022</v>
      </c>
      <c r="D6148" t="s">
        <v>300</v>
      </c>
      <c r="E6148" t="s">
        <v>306</v>
      </c>
      <c r="F6148">
        <v>930.21</v>
      </c>
      <c r="G6148" t="s">
        <v>302</v>
      </c>
      <c r="H6148">
        <v>6</v>
      </c>
      <c r="I6148" t="s">
        <v>8867</v>
      </c>
      <c r="J6148" t="s">
        <v>294</v>
      </c>
      <c r="M6148" t="s">
        <v>295</v>
      </c>
      <c r="N6148" t="s">
        <v>7</v>
      </c>
      <c r="O6148" t="s">
        <v>297</v>
      </c>
    </row>
    <row r="6149" spans="1:15" x14ac:dyDescent="0.3">
      <c r="A6149" t="s">
        <v>8828</v>
      </c>
      <c r="B6149" t="s">
        <v>8829</v>
      </c>
      <c r="C6149">
        <v>2022</v>
      </c>
      <c r="D6149" t="s">
        <v>300</v>
      </c>
      <c r="E6149" t="s">
        <v>308</v>
      </c>
      <c r="F6149">
        <v>216.77</v>
      </c>
      <c r="G6149" t="s">
        <v>302</v>
      </c>
      <c r="H6149">
        <v>6</v>
      </c>
      <c r="I6149" t="s">
        <v>8868</v>
      </c>
      <c r="J6149" t="s">
        <v>294</v>
      </c>
      <c r="M6149" t="s">
        <v>295</v>
      </c>
      <c r="N6149" t="s">
        <v>7</v>
      </c>
      <c r="O6149" t="s">
        <v>297</v>
      </c>
    </row>
    <row r="6150" spans="1:15" x14ac:dyDescent="0.3">
      <c r="A6150" t="s">
        <v>8828</v>
      </c>
      <c r="B6150" t="s">
        <v>8829</v>
      </c>
      <c r="C6150">
        <v>2022</v>
      </c>
      <c r="D6150" t="s">
        <v>300</v>
      </c>
      <c r="E6150" t="s">
        <v>6698</v>
      </c>
      <c r="F6150">
        <v>713.44</v>
      </c>
      <c r="G6150" t="s">
        <v>302</v>
      </c>
      <c r="H6150">
        <v>6</v>
      </c>
      <c r="I6150" t="s">
        <v>8869</v>
      </c>
      <c r="J6150" t="s">
        <v>294</v>
      </c>
      <c r="M6150" t="s">
        <v>295</v>
      </c>
      <c r="N6150" t="s">
        <v>7</v>
      </c>
      <c r="O6150" t="s">
        <v>297</v>
      </c>
    </row>
    <row r="6151" spans="1:15" x14ac:dyDescent="0.3">
      <c r="A6151" t="s">
        <v>8828</v>
      </c>
      <c r="B6151" t="s">
        <v>8829</v>
      </c>
      <c r="C6151">
        <v>2022</v>
      </c>
      <c r="D6151" t="s">
        <v>300</v>
      </c>
      <c r="E6151" t="s">
        <v>310</v>
      </c>
      <c r="F6151">
        <v>938.59</v>
      </c>
      <c r="G6151" t="s">
        <v>302</v>
      </c>
      <c r="H6151">
        <v>6</v>
      </c>
      <c r="I6151" t="s">
        <v>8870</v>
      </c>
      <c r="J6151" t="s">
        <v>294</v>
      </c>
      <c r="M6151" t="s">
        <v>295</v>
      </c>
      <c r="N6151" t="s">
        <v>7</v>
      </c>
      <c r="O6151" t="s">
        <v>297</v>
      </c>
    </row>
    <row r="6152" spans="1:15" x14ac:dyDescent="0.3">
      <c r="A6152" t="s">
        <v>8828</v>
      </c>
      <c r="B6152" t="s">
        <v>8829</v>
      </c>
      <c r="C6152">
        <v>2022</v>
      </c>
      <c r="D6152" t="s">
        <v>300</v>
      </c>
      <c r="E6152" t="s">
        <v>312</v>
      </c>
      <c r="F6152">
        <v>707.43</v>
      </c>
      <c r="G6152" t="s">
        <v>302</v>
      </c>
      <c r="H6152">
        <v>81</v>
      </c>
      <c r="I6152" t="s">
        <v>8871</v>
      </c>
      <c r="J6152" t="s">
        <v>294</v>
      </c>
      <c r="M6152" t="s">
        <v>295</v>
      </c>
      <c r="N6152" t="s">
        <v>7</v>
      </c>
      <c r="O6152" t="s">
        <v>297</v>
      </c>
    </row>
    <row r="6153" spans="1:15" x14ac:dyDescent="0.3">
      <c r="A6153" t="s">
        <v>8828</v>
      </c>
      <c r="B6153" t="s">
        <v>8829</v>
      </c>
      <c r="C6153">
        <v>2022</v>
      </c>
      <c r="D6153" t="s">
        <v>300</v>
      </c>
      <c r="E6153" t="s">
        <v>314</v>
      </c>
      <c r="F6153">
        <v>3832.88</v>
      </c>
      <c r="G6153" t="s">
        <v>302</v>
      </c>
      <c r="H6153">
        <v>81</v>
      </c>
      <c r="I6153" t="s">
        <v>8872</v>
      </c>
      <c r="J6153" t="s">
        <v>294</v>
      </c>
      <c r="M6153" t="s">
        <v>295</v>
      </c>
      <c r="N6153" t="s">
        <v>7</v>
      </c>
      <c r="O6153" t="s">
        <v>297</v>
      </c>
    </row>
    <row r="6154" spans="1:15" x14ac:dyDescent="0.3">
      <c r="A6154" t="s">
        <v>8828</v>
      </c>
      <c r="B6154" t="s">
        <v>8829</v>
      </c>
      <c r="C6154">
        <v>2022</v>
      </c>
      <c r="D6154" t="s">
        <v>300</v>
      </c>
      <c r="E6154" t="s">
        <v>316</v>
      </c>
      <c r="F6154">
        <v>4540.3</v>
      </c>
      <c r="G6154" t="s">
        <v>302</v>
      </c>
      <c r="H6154">
        <v>7</v>
      </c>
      <c r="I6154" t="s">
        <v>8873</v>
      </c>
      <c r="J6154" t="s">
        <v>294</v>
      </c>
      <c r="M6154" t="s">
        <v>295</v>
      </c>
      <c r="N6154" t="s">
        <v>7</v>
      </c>
      <c r="O6154" t="s">
        <v>297</v>
      </c>
    </row>
    <row r="6155" spans="1:15" x14ac:dyDescent="0.3">
      <c r="A6155" t="s">
        <v>8828</v>
      </c>
      <c r="B6155" t="s">
        <v>8829</v>
      </c>
      <c r="C6155">
        <v>2022</v>
      </c>
      <c r="D6155" t="s">
        <v>300</v>
      </c>
      <c r="E6155" t="s">
        <v>318</v>
      </c>
      <c r="F6155">
        <v>8305.61</v>
      </c>
      <c r="G6155" t="s">
        <v>302</v>
      </c>
      <c r="H6155">
        <v>81</v>
      </c>
      <c r="I6155" t="s">
        <v>8874</v>
      </c>
      <c r="J6155" t="s">
        <v>294</v>
      </c>
      <c r="M6155" t="s">
        <v>295</v>
      </c>
      <c r="N6155" t="s">
        <v>7</v>
      </c>
      <c r="O6155" t="s">
        <v>297</v>
      </c>
    </row>
    <row r="6156" spans="1:15" x14ac:dyDescent="0.3">
      <c r="A6156" t="s">
        <v>8828</v>
      </c>
      <c r="B6156" t="s">
        <v>8829</v>
      </c>
      <c r="C6156">
        <v>2022</v>
      </c>
      <c r="D6156" t="s">
        <v>300</v>
      </c>
      <c r="E6156" t="s">
        <v>468</v>
      </c>
      <c r="F6156">
        <v>2191.31</v>
      </c>
      <c r="G6156" t="s">
        <v>302</v>
      </c>
      <c r="H6156">
        <v>81</v>
      </c>
      <c r="I6156" t="s">
        <v>8875</v>
      </c>
      <c r="J6156" t="s">
        <v>294</v>
      </c>
      <c r="M6156" t="s">
        <v>295</v>
      </c>
      <c r="N6156" t="s">
        <v>7</v>
      </c>
      <c r="O6156" t="s">
        <v>297</v>
      </c>
    </row>
    <row r="6157" spans="1:15" x14ac:dyDescent="0.3">
      <c r="A6157" t="s">
        <v>8828</v>
      </c>
      <c r="B6157" t="s">
        <v>8829</v>
      </c>
      <c r="C6157">
        <v>2022</v>
      </c>
      <c r="D6157" t="s">
        <v>300</v>
      </c>
      <c r="E6157" t="s">
        <v>322</v>
      </c>
      <c r="F6157">
        <v>10496.92</v>
      </c>
      <c r="G6157" t="s">
        <v>302</v>
      </c>
      <c r="H6157">
        <v>7</v>
      </c>
      <c r="I6157" t="s">
        <v>8876</v>
      </c>
      <c r="J6157" t="s">
        <v>294</v>
      </c>
      <c r="M6157" t="s">
        <v>295</v>
      </c>
      <c r="N6157" t="s">
        <v>7</v>
      </c>
      <c r="O6157" t="s">
        <v>297</v>
      </c>
    </row>
    <row r="6158" spans="1:15" x14ac:dyDescent="0.3">
      <c r="A6158" t="s">
        <v>8828</v>
      </c>
      <c r="B6158" t="s">
        <v>8829</v>
      </c>
      <c r="C6158">
        <v>2022</v>
      </c>
      <c r="D6158" t="s">
        <v>300</v>
      </c>
      <c r="E6158" t="s">
        <v>8877</v>
      </c>
      <c r="F6158">
        <v>-5956.62</v>
      </c>
      <c r="G6158" t="s">
        <v>302</v>
      </c>
      <c r="H6158">
        <v>7</v>
      </c>
      <c r="I6158" t="s">
        <v>8878</v>
      </c>
      <c r="J6158" t="s">
        <v>294</v>
      </c>
      <c r="M6158" t="s">
        <v>295</v>
      </c>
      <c r="N6158" t="s">
        <v>7</v>
      </c>
      <c r="O6158" t="s">
        <v>297</v>
      </c>
    </row>
    <row r="6159" spans="1:15" x14ac:dyDescent="0.3">
      <c r="A6159" t="s">
        <v>8828</v>
      </c>
      <c r="B6159" t="s">
        <v>8829</v>
      </c>
      <c r="C6159">
        <v>2022</v>
      </c>
      <c r="D6159" t="s">
        <v>300</v>
      </c>
      <c r="E6159" t="s">
        <v>2733</v>
      </c>
      <c r="F6159">
        <v>-7598.18</v>
      </c>
      <c r="G6159" t="s">
        <v>302</v>
      </c>
      <c r="H6159">
        <v>7</v>
      </c>
      <c r="I6159" t="s">
        <v>8879</v>
      </c>
      <c r="J6159" t="s">
        <v>294</v>
      </c>
      <c r="M6159" t="s">
        <v>295</v>
      </c>
      <c r="N6159" t="s">
        <v>7</v>
      </c>
      <c r="O6159" t="s">
        <v>297</v>
      </c>
    </row>
    <row r="6160" spans="1:15" x14ac:dyDescent="0.3">
      <c r="A6160" t="s">
        <v>8828</v>
      </c>
      <c r="B6160" t="s">
        <v>8829</v>
      </c>
      <c r="C6160">
        <v>2022</v>
      </c>
      <c r="D6160" t="s">
        <v>300</v>
      </c>
      <c r="E6160" t="s">
        <v>8880</v>
      </c>
      <c r="F6160">
        <v>144.36000000000001</v>
      </c>
      <c r="G6160" t="s">
        <v>302</v>
      </c>
      <c r="H6160">
        <v>81</v>
      </c>
      <c r="I6160" t="s">
        <v>8881</v>
      </c>
      <c r="J6160" t="s">
        <v>294</v>
      </c>
      <c r="M6160" t="s">
        <v>295</v>
      </c>
      <c r="N6160" t="s">
        <v>7</v>
      </c>
      <c r="O6160" t="s">
        <v>297</v>
      </c>
    </row>
    <row r="6161" spans="1:15" x14ac:dyDescent="0.3">
      <c r="A6161" t="s">
        <v>8828</v>
      </c>
      <c r="B6161" t="s">
        <v>8829</v>
      </c>
      <c r="C6161">
        <v>2022</v>
      </c>
      <c r="D6161" t="s">
        <v>300</v>
      </c>
      <c r="E6161" t="s">
        <v>8193</v>
      </c>
      <c r="F6161">
        <v>181.34</v>
      </c>
      <c r="G6161" t="s">
        <v>302</v>
      </c>
      <c r="H6161">
        <v>81</v>
      </c>
      <c r="I6161" t="s">
        <v>8882</v>
      </c>
      <c r="J6161" t="s">
        <v>294</v>
      </c>
      <c r="M6161" t="s">
        <v>295</v>
      </c>
      <c r="N6161" t="s">
        <v>7</v>
      </c>
      <c r="O6161" t="s">
        <v>297</v>
      </c>
    </row>
    <row r="6162" spans="1:15" x14ac:dyDescent="0.3">
      <c r="A6162" t="s">
        <v>8828</v>
      </c>
      <c r="B6162" t="s">
        <v>8829</v>
      </c>
      <c r="C6162">
        <v>2022</v>
      </c>
      <c r="D6162" t="s">
        <v>300</v>
      </c>
      <c r="E6162" t="s">
        <v>8883</v>
      </c>
      <c r="F6162">
        <v>215.28</v>
      </c>
      <c r="G6162" t="s">
        <v>302</v>
      </c>
      <c r="H6162">
        <v>81</v>
      </c>
      <c r="I6162" t="s">
        <v>8884</v>
      </c>
      <c r="J6162" t="s">
        <v>294</v>
      </c>
      <c r="M6162" t="s">
        <v>295</v>
      </c>
      <c r="N6162" t="s">
        <v>7</v>
      </c>
      <c r="O6162" t="s">
        <v>297</v>
      </c>
    </row>
    <row r="6163" spans="1:15" x14ac:dyDescent="0.3">
      <c r="A6163" t="s">
        <v>8828</v>
      </c>
      <c r="B6163" t="s">
        <v>8829</v>
      </c>
      <c r="C6163">
        <v>2022</v>
      </c>
      <c r="D6163" t="s">
        <v>300</v>
      </c>
      <c r="E6163" t="s">
        <v>601</v>
      </c>
      <c r="F6163">
        <v>-84.57</v>
      </c>
      <c r="G6163" t="s">
        <v>302</v>
      </c>
      <c r="I6163" t="s">
        <v>8885</v>
      </c>
      <c r="J6163" t="s">
        <v>294</v>
      </c>
      <c r="M6163" t="s">
        <v>295</v>
      </c>
      <c r="N6163" t="s">
        <v>7</v>
      </c>
      <c r="O6163" t="s">
        <v>297</v>
      </c>
    </row>
    <row r="6164" spans="1:15" x14ac:dyDescent="0.3">
      <c r="A6164" t="s">
        <v>8828</v>
      </c>
      <c r="B6164" t="s">
        <v>8829</v>
      </c>
      <c r="C6164">
        <v>2022</v>
      </c>
      <c r="D6164" t="s">
        <v>300</v>
      </c>
      <c r="E6164" t="s">
        <v>603</v>
      </c>
      <c r="F6164">
        <v>-61.31</v>
      </c>
      <c r="G6164" t="s">
        <v>302</v>
      </c>
      <c r="I6164" t="s">
        <v>8886</v>
      </c>
      <c r="J6164" t="s">
        <v>294</v>
      </c>
      <c r="M6164" t="s">
        <v>295</v>
      </c>
      <c r="N6164" t="s">
        <v>7</v>
      </c>
      <c r="O6164" t="s">
        <v>297</v>
      </c>
    </row>
    <row r="6165" spans="1:15" x14ac:dyDescent="0.3">
      <c r="A6165" t="s">
        <v>8828</v>
      </c>
      <c r="B6165" t="s">
        <v>8829</v>
      </c>
      <c r="C6165">
        <v>2022</v>
      </c>
      <c r="D6165" t="s">
        <v>300</v>
      </c>
      <c r="E6165" t="s">
        <v>716</v>
      </c>
      <c r="F6165">
        <v>74.22</v>
      </c>
      <c r="G6165" t="s">
        <v>302</v>
      </c>
      <c r="I6165" t="s">
        <v>8887</v>
      </c>
      <c r="J6165" t="s">
        <v>294</v>
      </c>
      <c r="M6165" t="s">
        <v>295</v>
      </c>
      <c r="N6165" t="s">
        <v>7</v>
      </c>
      <c r="O6165" t="s">
        <v>297</v>
      </c>
    </row>
    <row r="6166" spans="1:15" x14ac:dyDescent="0.3">
      <c r="A6166" t="s">
        <v>8828</v>
      </c>
      <c r="B6166" t="s">
        <v>8829</v>
      </c>
      <c r="C6166">
        <v>2022</v>
      </c>
      <c r="D6166" t="s">
        <v>300</v>
      </c>
      <c r="E6166" t="s">
        <v>8888</v>
      </c>
      <c r="F6166">
        <v>326.01</v>
      </c>
      <c r="G6166" t="s">
        <v>302</v>
      </c>
      <c r="I6166" t="s">
        <v>8889</v>
      </c>
      <c r="J6166" t="s">
        <v>294</v>
      </c>
      <c r="M6166" t="s">
        <v>295</v>
      </c>
      <c r="N6166" t="s">
        <v>7</v>
      </c>
      <c r="O6166" t="s">
        <v>297</v>
      </c>
    </row>
    <row r="6167" spans="1:15" x14ac:dyDescent="0.3">
      <c r="A6167" t="s">
        <v>8828</v>
      </c>
      <c r="B6167" t="s">
        <v>8829</v>
      </c>
      <c r="C6167">
        <v>2022</v>
      </c>
      <c r="D6167" t="s">
        <v>300</v>
      </c>
      <c r="E6167" t="s">
        <v>8890</v>
      </c>
      <c r="F6167">
        <v>95.6</v>
      </c>
      <c r="G6167" t="s">
        <v>302</v>
      </c>
      <c r="I6167" t="s">
        <v>8891</v>
      </c>
      <c r="J6167" t="s">
        <v>294</v>
      </c>
      <c r="M6167" t="s">
        <v>295</v>
      </c>
      <c r="N6167" t="s">
        <v>7</v>
      </c>
      <c r="O6167" t="s">
        <v>297</v>
      </c>
    </row>
    <row r="6168" spans="1:15" x14ac:dyDescent="0.3">
      <c r="A6168" t="s">
        <v>8828</v>
      </c>
      <c r="B6168" t="s">
        <v>8829</v>
      </c>
      <c r="C6168">
        <v>2022</v>
      </c>
      <c r="D6168" t="s">
        <v>300</v>
      </c>
      <c r="E6168" t="s">
        <v>2658</v>
      </c>
      <c r="F6168">
        <v>86.71</v>
      </c>
      <c r="G6168" t="s">
        <v>346</v>
      </c>
      <c r="H6168">
        <v>7</v>
      </c>
      <c r="I6168" t="s">
        <v>8892</v>
      </c>
      <c r="J6168" t="s">
        <v>294</v>
      </c>
      <c r="M6168" t="s">
        <v>295</v>
      </c>
      <c r="N6168" t="s">
        <v>7</v>
      </c>
      <c r="O6168" t="s">
        <v>297</v>
      </c>
    </row>
    <row r="6169" spans="1:15" x14ac:dyDescent="0.3">
      <c r="A6169" t="s">
        <v>8828</v>
      </c>
      <c r="B6169" t="s">
        <v>8829</v>
      </c>
      <c r="C6169">
        <v>2022</v>
      </c>
      <c r="D6169" t="s">
        <v>300</v>
      </c>
      <c r="E6169" t="s">
        <v>8893</v>
      </c>
      <c r="F6169">
        <v>320020780032</v>
      </c>
      <c r="G6169" t="s">
        <v>8894</v>
      </c>
      <c r="H6169">
        <v>7</v>
      </c>
      <c r="I6169" t="s">
        <v>8895</v>
      </c>
      <c r="J6169" t="s">
        <v>294</v>
      </c>
      <c r="M6169" t="s">
        <v>295</v>
      </c>
      <c r="N6169" t="s">
        <v>7</v>
      </c>
      <c r="O6169" t="s">
        <v>297</v>
      </c>
    </row>
    <row r="6170" spans="1:15" x14ac:dyDescent="0.3">
      <c r="A6170" t="s">
        <v>8828</v>
      </c>
      <c r="B6170" t="s">
        <v>8829</v>
      </c>
      <c r="C6170">
        <v>2022</v>
      </c>
      <c r="D6170" t="s">
        <v>300</v>
      </c>
      <c r="E6170" t="s">
        <v>8896</v>
      </c>
      <c r="F6170">
        <v>128</v>
      </c>
      <c r="G6170" t="s">
        <v>346</v>
      </c>
      <c r="H6170">
        <v>8</v>
      </c>
      <c r="I6170" t="s">
        <v>8897</v>
      </c>
      <c r="J6170" t="s">
        <v>294</v>
      </c>
      <c r="M6170" t="s">
        <v>295</v>
      </c>
      <c r="N6170" t="s">
        <v>7</v>
      </c>
      <c r="O6170" t="s">
        <v>297</v>
      </c>
    </row>
    <row r="6171" spans="1:15" x14ac:dyDescent="0.3">
      <c r="A6171" t="s">
        <v>8828</v>
      </c>
      <c r="B6171" t="s">
        <v>8829</v>
      </c>
      <c r="C6171">
        <v>2022</v>
      </c>
      <c r="D6171" t="s">
        <v>300</v>
      </c>
      <c r="E6171" t="s">
        <v>326</v>
      </c>
      <c r="F6171">
        <v>8.5199999999999998E-2</v>
      </c>
      <c r="G6171" t="s">
        <v>327</v>
      </c>
      <c r="H6171">
        <v>7</v>
      </c>
      <c r="I6171" t="s">
        <v>8898</v>
      </c>
      <c r="J6171" t="s">
        <v>294</v>
      </c>
      <c r="M6171" t="s">
        <v>295</v>
      </c>
      <c r="N6171" t="s">
        <v>7</v>
      </c>
      <c r="O6171" t="s">
        <v>297</v>
      </c>
    </row>
    <row r="6172" spans="1:15" x14ac:dyDescent="0.3">
      <c r="A6172" t="s">
        <v>8828</v>
      </c>
      <c r="B6172" t="s">
        <v>8829</v>
      </c>
      <c r="C6172">
        <v>2022</v>
      </c>
      <c r="D6172" t="s">
        <v>300</v>
      </c>
      <c r="E6172" t="s">
        <v>8899</v>
      </c>
      <c r="F6172">
        <v>2.3119000000000001</v>
      </c>
      <c r="G6172" t="s">
        <v>327</v>
      </c>
      <c r="H6172">
        <v>7</v>
      </c>
      <c r="I6172" t="s">
        <v>8900</v>
      </c>
      <c r="J6172" t="s">
        <v>294</v>
      </c>
      <c r="M6172" t="s">
        <v>295</v>
      </c>
      <c r="N6172" t="s">
        <v>7</v>
      </c>
      <c r="O6172" t="s">
        <v>297</v>
      </c>
    </row>
    <row r="6173" spans="1:15" x14ac:dyDescent="0.3">
      <c r="A6173" t="s">
        <v>8828</v>
      </c>
      <c r="B6173" t="s">
        <v>8829</v>
      </c>
      <c r="C6173">
        <v>2022</v>
      </c>
      <c r="D6173" t="s">
        <v>300</v>
      </c>
      <c r="E6173" t="s">
        <v>8901</v>
      </c>
      <c r="F6173">
        <v>2.63</v>
      </c>
      <c r="G6173" t="s">
        <v>327</v>
      </c>
      <c r="H6173">
        <v>7</v>
      </c>
      <c r="I6173" t="s">
        <v>8902</v>
      </c>
      <c r="J6173" t="s">
        <v>294</v>
      </c>
      <c r="M6173" t="s">
        <v>295</v>
      </c>
      <c r="N6173" t="s">
        <v>7</v>
      </c>
      <c r="O6173" t="s">
        <v>297</v>
      </c>
    </row>
    <row r="6174" spans="1:15" x14ac:dyDescent="0.3">
      <c r="A6174" t="s">
        <v>8828</v>
      </c>
      <c r="B6174" t="s">
        <v>8829</v>
      </c>
      <c r="C6174">
        <v>2022</v>
      </c>
      <c r="D6174" t="s">
        <v>300</v>
      </c>
      <c r="E6174" t="s">
        <v>3052</v>
      </c>
      <c r="F6174">
        <v>0.2049</v>
      </c>
      <c r="G6174" t="s">
        <v>334</v>
      </c>
      <c r="H6174">
        <v>7</v>
      </c>
      <c r="I6174" t="s">
        <v>8903</v>
      </c>
      <c r="J6174" t="s">
        <v>294</v>
      </c>
      <c r="M6174" t="s">
        <v>295</v>
      </c>
      <c r="N6174" t="s">
        <v>7</v>
      </c>
      <c r="O6174" t="s">
        <v>297</v>
      </c>
    </row>
    <row r="6175" spans="1:15" x14ac:dyDescent="0.3">
      <c r="A6175" t="s">
        <v>8828</v>
      </c>
      <c r="B6175" t="s">
        <v>8829</v>
      </c>
      <c r="C6175">
        <v>2022</v>
      </c>
      <c r="D6175" t="s">
        <v>300</v>
      </c>
      <c r="E6175" t="s">
        <v>1187</v>
      </c>
      <c r="F6175">
        <v>0.18759999999999999</v>
      </c>
      <c r="G6175" t="s">
        <v>334</v>
      </c>
      <c r="H6175">
        <v>7</v>
      </c>
      <c r="I6175" t="s">
        <v>8904</v>
      </c>
      <c r="J6175" t="s">
        <v>294</v>
      </c>
      <c r="M6175" t="s">
        <v>295</v>
      </c>
      <c r="N6175" t="s">
        <v>7</v>
      </c>
      <c r="O6175" t="s">
        <v>297</v>
      </c>
    </row>
    <row r="6176" spans="1:15" x14ac:dyDescent="0.3">
      <c r="A6176" t="s">
        <v>8828</v>
      </c>
      <c r="B6176" t="s">
        <v>8829</v>
      </c>
      <c r="C6176">
        <v>2022</v>
      </c>
      <c r="D6176" t="s">
        <v>300</v>
      </c>
      <c r="E6176" t="s">
        <v>8905</v>
      </c>
      <c r="F6176">
        <v>-14083.96</v>
      </c>
      <c r="G6176" t="s">
        <v>302</v>
      </c>
      <c r="H6176">
        <v>9</v>
      </c>
      <c r="I6176" t="s">
        <v>8906</v>
      </c>
      <c r="J6176" t="s">
        <v>294</v>
      </c>
      <c r="M6176" t="s">
        <v>295</v>
      </c>
      <c r="N6176" t="s">
        <v>7</v>
      </c>
      <c r="O6176" t="s">
        <v>297</v>
      </c>
    </row>
    <row r="6177" spans="1:15" x14ac:dyDescent="0.3">
      <c r="A6177" t="s">
        <v>8828</v>
      </c>
      <c r="B6177" t="s">
        <v>8829</v>
      </c>
      <c r="C6177">
        <v>2022</v>
      </c>
      <c r="D6177" t="s">
        <v>300</v>
      </c>
      <c r="E6177" t="s">
        <v>8907</v>
      </c>
      <c r="F6177">
        <v>252.28</v>
      </c>
      <c r="G6177" t="s">
        <v>302</v>
      </c>
      <c r="H6177">
        <v>84</v>
      </c>
      <c r="I6177" t="s">
        <v>8908</v>
      </c>
      <c r="J6177" t="s">
        <v>294</v>
      </c>
      <c r="M6177" t="s">
        <v>295</v>
      </c>
      <c r="N6177" t="s">
        <v>7</v>
      </c>
      <c r="O6177" t="s">
        <v>297</v>
      </c>
    </row>
    <row r="6178" spans="1:15" x14ac:dyDescent="0.3">
      <c r="A6178" t="s">
        <v>8828</v>
      </c>
      <c r="B6178" t="s">
        <v>8829</v>
      </c>
      <c r="C6178">
        <v>2022</v>
      </c>
      <c r="D6178" t="s">
        <v>358</v>
      </c>
      <c r="E6178" t="s">
        <v>8909</v>
      </c>
      <c r="F6178">
        <v>67591</v>
      </c>
      <c r="G6178" t="s">
        <v>360</v>
      </c>
      <c r="H6178">
        <v>56</v>
      </c>
      <c r="I6178" t="s">
        <v>8910</v>
      </c>
      <c r="J6178" t="s">
        <v>294</v>
      </c>
      <c r="M6178" t="s">
        <v>295</v>
      </c>
      <c r="N6178" t="s">
        <v>7</v>
      </c>
      <c r="O6178" t="s">
        <v>297</v>
      </c>
    </row>
    <row r="6179" spans="1:15" x14ac:dyDescent="0.3">
      <c r="A6179" t="s">
        <v>8828</v>
      </c>
      <c r="B6179" t="s">
        <v>8829</v>
      </c>
      <c r="C6179">
        <v>2022</v>
      </c>
      <c r="D6179" t="s">
        <v>358</v>
      </c>
      <c r="E6179" t="s">
        <v>8911</v>
      </c>
      <c r="F6179">
        <v>52192</v>
      </c>
      <c r="G6179" t="s">
        <v>360</v>
      </c>
      <c r="H6179">
        <v>58</v>
      </c>
      <c r="I6179" t="s">
        <v>8912</v>
      </c>
      <c r="J6179" t="s">
        <v>294</v>
      </c>
      <c r="M6179" t="s">
        <v>295</v>
      </c>
      <c r="N6179" t="s">
        <v>7</v>
      </c>
      <c r="O6179" t="s">
        <v>297</v>
      </c>
    </row>
    <row r="6180" spans="1:15" x14ac:dyDescent="0.3">
      <c r="A6180" t="s">
        <v>8828</v>
      </c>
      <c r="B6180" t="s">
        <v>8829</v>
      </c>
      <c r="C6180">
        <v>2022</v>
      </c>
      <c r="D6180" t="s">
        <v>358</v>
      </c>
      <c r="E6180" t="s">
        <v>8913</v>
      </c>
      <c r="F6180">
        <v>37217</v>
      </c>
      <c r="G6180" t="s">
        <v>360</v>
      </c>
      <c r="H6180">
        <v>58</v>
      </c>
      <c r="I6180" t="s">
        <v>8914</v>
      </c>
      <c r="J6180" t="s">
        <v>294</v>
      </c>
      <c r="M6180" t="s">
        <v>295</v>
      </c>
      <c r="N6180" t="s">
        <v>7</v>
      </c>
      <c r="O6180" t="s">
        <v>297</v>
      </c>
    </row>
    <row r="6181" spans="1:15" x14ac:dyDescent="0.3">
      <c r="A6181" t="s">
        <v>8828</v>
      </c>
      <c r="B6181" t="s">
        <v>8829</v>
      </c>
      <c r="C6181">
        <v>2022</v>
      </c>
      <c r="D6181" t="s">
        <v>358</v>
      </c>
      <c r="E6181" t="s">
        <v>8915</v>
      </c>
      <c r="F6181">
        <v>14975</v>
      </c>
      <c r="G6181" t="s">
        <v>360</v>
      </c>
      <c r="H6181">
        <v>58</v>
      </c>
      <c r="I6181" t="s">
        <v>8916</v>
      </c>
      <c r="J6181" t="s">
        <v>294</v>
      </c>
      <c r="M6181" t="s">
        <v>295</v>
      </c>
      <c r="N6181" t="s">
        <v>7</v>
      </c>
      <c r="O6181" t="s">
        <v>297</v>
      </c>
    </row>
    <row r="6182" spans="1:15" x14ac:dyDescent="0.3">
      <c r="A6182" t="s">
        <v>8828</v>
      </c>
      <c r="B6182" t="s">
        <v>8829</v>
      </c>
      <c r="C6182">
        <v>2022</v>
      </c>
      <c r="D6182" t="s">
        <v>358</v>
      </c>
      <c r="E6182" t="s">
        <v>6195</v>
      </c>
      <c r="F6182">
        <v>45968</v>
      </c>
      <c r="G6182" t="s">
        <v>360</v>
      </c>
      <c r="H6182">
        <v>58</v>
      </c>
      <c r="I6182" t="s">
        <v>8917</v>
      </c>
      <c r="J6182" t="s">
        <v>294</v>
      </c>
      <c r="M6182" t="s">
        <v>295</v>
      </c>
      <c r="N6182" t="s">
        <v>7</v>
      </c>
      <c r="O6182" t="s">
        <v>297</v>
      </c>
    </row>
    <row r="6183" spans="1:15" x14ac:dyDescent="0.3">
      <c r="A6183" t="s">
        <v>8828</v>
      </c>
      <c r="B6183" t="s">
        <v>8829</v>
      </c>
      <c r="C6183">
        <v>2022</v>
      </c>
      <c r="D6183" t="s">
        <v>358</v>
      </c>
      <c r="E6183" t="s">
        <v>6197</v>
      </c>
      <c r="F6183">
        <v>6223</v>
      </c>
      <c r="G6183" t="s">
        <v>360</v>
      </c>
      <c r="H6183">
        <v>58</v>
      </c>
      <c r="I6183" t="s">
        <v>8918</v>
      </c>
      <c r="J6183" t="s">
        <v>294</v>
      </c>
      <c r="M6183" t="s">
        <v>295</v>
      </c>
      <c r="N6183" t="s">
        <v>7</v>
      </c>
      <c r="O6183" t="s">
        <v>297</v>
      </c>
    </row>
    <row r="6184" spans="1:15" x14ac:dyDescent="0.3">
      <c r="A6184" t="s">
        <v>8828</v>
      </c>
      <c r="B6184" t="s">
        <v>8829</v>
      </c>
      <c r="C6184">
        <v>2022</v>
      </c>
      <c r="D6184" t="s">
        <v>358</v>
      </c>
      <c r="E6184" t="s">
        <v>8919</v>
      </c>
      <c r="F6184">
        <v>18104</v>
      </c>
      <c r="G6184" t="s">
        <v>360</v>
      </c>
      <c r="H6184">
        <v>58</v>
      </c>
      <c r="I6184" t="s">
        <v>8920</v>
      </c>
      <c r="J6184" t="s">
        <v>294</v>
      </c>
      <c r="M6184" t="s">
        <v>295</v>
      </c>
      <c r="N6184" t="s">
        <v>7</v>
      </c>
      <c r="O6184" t="s">
        <v>297</v>
      </c>
    </row>
    <row r="6185" spans="1:15" x14ac:dyDescent="0.3">
      <c r="A6185" t="s">
        <v>8828</v>
      </c>
      <c r="B6185" t="s">
        <v>8829</v>
      </c>
      <c r="C6185">
        <v>2022</v>
      </c>
      <c r="D6185" t="s">
        <v>358</v>
      </c>
      <c r="E6185" t="s">
        <v>8921</v>
      </c>
      <c r="F6185">
        <v>10906</v>
      </c>
      <c r="G6185" t="s">
        <v>360</v>
      </c>
      <c r="H6185">
        <v>58</v>
      </c>
      <c r="I6185" t="s">
        <v>8922</v>
      </c>
      <c r="J6185" t="s">
        <v>294</v>
      </c>
      <c r="M6185" t="s">
        <v>295</v>
      </c>
      <c r="N6185" t="s">
        <v>7</v>
      </c>
      <c r="O6185" t="s">
        <v>297</v>
      </c>
    </row>
    <row r="6186" spans="1:15" x14ac:dyDescent="0.3">
      <c r="A6186" t="s">
        <v>8828</v>
      </c>
      <c r="B6186" t="s">
        <v>8829</v>
      </c>
      <c r="C6186">
        <v>2022</v>
      </c>
      <c r="D6186" t="s">
        <v>358</v>
      </c>
      <c r="E6186" t="s">
        <v>8923</v>
      </c>
      <c r="F6186">
        <v>7170</v>
      </c>
      <c r="G6186" t="s">
        <v>360</v>
      </c>
      <c r="H6186">
        <v>58</v>
      </c>
      <c r="I6186" t="s">
        <v>8924</v>
      </c>
      <c r="J6186" t="s">
        <v>294</v>
      </c>
      <c r="M6186" t="s">
        <v>295</v>
      </c>
      <c r="N6186" t="s">
        <v>7</v>
      </c>
      <c r="O6186" t="s">
        <v>297</v>
      </c>
    </row>
    <row r="6187" spans="1:15" x14ac:dyDescent="0.3">
      <c r="A6187" t="s">
        <v>8828</v>
      </c>
      <c r="B6187" t="s">
        <v>8829</v>
      </c>
      <c r="C6187">
        <v>2022</v>
      </c>
      <c r="D6187" t="s">
        <v>358</v>
      </c>
      <c r="E6187" t="s">
        <v>8925</v>
      </c>
      <c r="F6187">
        <v>411</v>
      </c>
      <c r="G6187" t="s">
        <v>360</v>
      </c>
      <c r="H6187">
        <v>58</v>
      </c>
      <c r="I6187" t="s">
        <v>8926</v>
      </c>
      <c r="J6187" t="s">
        <v>294</v>
      </c>
      <c r="M6187" t="s">
        <v>295</v>
      </c>
      <c r="N6187" t="s">
        <v>7</v>
      </c>
      <c r="O6187" t="s">
        <v>297</v>
      </c>
    </row>
    <row r="6188" spans="1:15" x14ac:dyDescent="0.3">
      <c r="A6188" t="s">
        <v>8828</v>
      </c>
      <c r="B6188" t="s">
        <v>8829</v>
      </c>
      <c r="C6188">
        <v>2022</v>
      </c>
      <c r="D6188" t="s">
        <v>358</v>
      </c>
      <c r="E6188" t="s">
        <v>8927</v>
      </c>
      <c r="F6188">
        <v>626</v>
      </c>
      <c r="G6188" t="s">
        <v>360</v>
      </c>
      <c r="H6188">
        <v>58</v>
      </c>
      <c r="I6188" t="s">
        <v>8928</v>
      </c>
      <c r="J6188" t="s">
        <v>294</v>
      </c>
      <c r="M6188" t="s">
        <v>295</v>
      </c>
      <c r="N6188" t="s">
        <v>7</v>
      </c>
      <c r="O6188" t="s">
        <v>297</v>
      </c>
    </row>
    <row r="6189" spans="1:15" x14ac:dyDescent="0.3">
      <c r="A6189" t="s">
        <v>8828</v>
      </c>
      <c r="B6189" t="s">
        <v>8829</v>
      </c>
      <c r="C6189">
        <v>2022</v>
      </c>
      <c r="D6189" t="s">
        <v>358</v>
      </c>
      <c r="E6189" t="s">
        <v>8929</v>
      </c>
      <c r="F6189">
        <v>5</v>
      </c>
      <c r="G6189" t="s">
        <v>384</v>
      </c>
      <c r="H6189">
        <v>59</v>
      </c>
      <c r="I6189" t="s">
        <v>8930</v>
      </c>
      <c r="J6189" t="s">
        <v>294</v>
      </c>
      <c r="M6189" t="s">
        <v>295</v>
      </c>
      <c r="N6189" t="s">
        <v>7</v>
      </c>
      <c r="O6189" t="s">
        <v>297</v>
      </c>
    </row>
    <row r="6190" spans="1:15" x14ac:dyDescent="0.3">
      <c r="A6190" t="s">
        <v>8828</v>
      </c>
      <c r="B6190" t="s">
        <v>8829</v>
      </c>
      <c r="C6190">
        <v>2022</v>
      </c>
      <c r="D6190" t="s">
        <v>358</v>
      </c>
      <c r="E6190" t="s">
        <v>8931</v>
      </c>
      <c r="F6190">
        <v>240</v>
      </c>
      <c r="G6190" t="s">
        <v>738</v>
      </c>
      <c r="H6190">
        <v>59</v>
      </c>
      <c r="I6190" t="s">
        <v>8932</v>
      </c>
      <c r="J6190" t="s">
        <v>294</v>
      </c>
      <c r="M6190" t="s">
        <v>295</v>
      </c>
      <c r="N6190" t="s">
        <v>7</v>
      </c>
      <c r="O6190" t="s">
        <v>297</v>
      </c>
    </row>
    <row r="6191" spans="1:15" x14ac:dyDescent="0.3">
      <c r="A6191" t="s">
        <v>8828</v>
      </c>
      <c r="B6191" t="s">
        <v>8829</v>
      </c>
      <c r="C6191">
        <v>2022</v>
      </c>
      <c r="D6191" t="s">
        <v>358</v>
      </c>
      <c r="E6191" t="s">
        <v>8933</v>
      </c>
      <c r="F6191" t="s">
        <v>8934</v>
      </c>
      <c r="G6191" t="s">
        <v>292</v>
      </c>
      <c r="H6191">
        <v>59</v>
      </c>
      <c r="I6191" t="s">
        <v>8935</v>
      </c>
      <c r="J6191" t="s">
        <v>294</v>
      </c>
      <c r="M6191" t="s">
        <v>295</v>
      </c>
      <c r="N6191" t="s">
        <v>7</v>
      </c>
      <c r="O6191" t="s">
        <v>297</v>
      </c>
    </row>
    <row r="6192" spans="1:15" x14ac:dyDescent="0.3">
      <c r="A6192" t="s">
        <v>8828</v>
      </c>
      <c r="B6192" t="s">
        <v>8829</v>
      </c>
      <c r="C6192">
        <v>2022</v>
      </c>
      <c r="D6192" t="s">
        <v>358</v>
      </c>
      <c r="E6192" t="s">
        <v>8936</v>
      </c>
      <c r="F6192">
        <v>694.59</v>
      </c>
      <c r="G6192" t="s">
        <v>302</v>
      </c>
      <c r="H6192">
        <v>59</v>
      </c>
      <c r="I6192" t="s">
        <v>8937</v>
      </c>
      <c r="J6192" t="s">
        <v>294</v>
      </c>
      <c r="M6192" t="s">
        <v>295</v>
      </c>
      <c r="N6192" t="s">
        <v>7</v>
      </c>
      <c r="O6192" t="s">
        <v>297</v>
      </c>
    </row>
    <row r="6193" spans="1:15" x14ac:dyDescent="0.3">
      <c r="A6193" t="s">
        <v>8828</v>
      </c>
      <c r="B6193" t="s">
        <v>8829</v>
      </c>
      <c r="C6193">
        <v>2022</v>
      </c>
      <c r="D6193" t="s">
        <v>358</v>
      </c>
      <c r="E6193" t="s">
        <v>8938</v>
      </c>
      <c r="F6193">
        <v>191.24</v>
      </c>
      <c r="G6193" t="s">
        <v>302</v>
      </c>
      <c r="H6193">
        <v>59</v>
      </c>
      <c r="I6193" t="s">
        <v>8939</v>
      </c>
      <c r="J6193" t="s">
        <v>294</v>
      </c>
      <c r="M6193" t="s">
        <v>295</v>
      </c>
      <c r="N6193" t="s">
        <v>7</v>
      </c>
      <c r="O6193" t="s">
        <v>297</v>
      </c>
    </row>
    <row r="6194" spans="1:15" x14ac:dyDescent="0.3">
      <c r="A6194" t="s">
        <v>8828</v>
      </c>
      <c r="B6194" t="s">
        <v>8829</v>
      </c>
      <c r="C6194">
        <v>2022</v>
      </c>
      <c r="D6194" t="s">
        <v>358</v>
      </c>
      <c r="E6194" t="s">
        <v>8940</v>
      </c>
      <c r="F6194">
        <v>1838.8</v>
      </c>
      <c r="G6194" t="s">
        <v>302</v>
      </c>
      <c r="H6194">
        <v>61</v>
      </c>
      <c r="I6194" t="s">
        <v>8941</v>
      </c>
      <c r="J6194" t="s">
        <v>294</v>
      </c>
      <c r="M6194" t="s">
        <v>295</v>
      </c>
      <c r="N6194" t="s">
        <v>7</v>
      </c>
      <c r="O6194" t="s">
        <v>297</v>
      </c>
    </row>
    <row r="6195" spans="1:15" x14ac:dyDescent="0.3">
      <c r="A6195" t="s">
        <v>8828</v>
      </c>
      <c r="B6195" t="s">
        <v>8829</v>
      </c>
      <c r="C6195">
        <v>2022</v>
      </c>
      <c r="D6195" t="s">
        <v>358</v>
      </c>
      <c r="E6195" t="s">
        <v>8942</v>
      </c>
      <c r="F6195">
        <v>15399</v>
      </c>
      <c r="G6195" t="s">
        <v>360</v>
      </c>
      <c r="H6195">
        <v>68</v>
      </c>
      <c r="I6195" t="s">
        <v>8943</v>
      </c>
      <c r="J6195" t="s">
        <v>294</v>
      </c>
      <c r="M6195" t="s">
        <v>295</v>
      </c>
      <c r="N6195" t="s">
        <v>7</v>
      </c>
      <c r="O6195" t="s">
        <v>297</v>
      </c>
    </row>
    <row r="6196" spans="1:15" x14ac:dyDescent="0.3">
      <c r="A6196" t="s">
        <v>8828</v>
      </c>
      <c r="B6196" t="s">
        <v>8829</v>
      </c>
      <c r="C6196">
        <v>2022</v>
      </c>
      <c r="D6196" t="s">
        <v>358</v>
      </c>
      <c r="E6196" t="s">
        <v>6205</v>
      </c>
      <c r="F6196">
        <v>15277</v>
      </c>
      <c r="G6196" t="s">
        <v>360</v>
      </c>
      <c r="H6196">
        <v>68</v>
      </c>
      <c r="I6196" t="s">
        <v>8944</v>
      </c>
      <c r="J6196" t="s">
        <v>294</v>
      </c>
      <c r="M6196" t="s">
        <v>295</v>
      </c>
      <c r="N6196" t="s">
        <v>7</v>
      </c>
      <c r="O6196" t="s">
        <v>297</v>
      </c>
    </row>
    <row r="6197" spans="1:15" x14ac:dyDescent="0.3">
      <c r="A6197" t="s">
        <v>8828</v>
      </c>
      <c r="B6197" t="s">
        <v>8829</v>
      </c>
      <c r="C6197">
        <v>2022</v>
      </c>
      <c r="D6197" t="s">
        <v>358</v>
      </c>
      <c r="E6197" t="s">
        <v>6207</v>
      </c>
      <c r="F6197">
        <v>122</v>
      </c>
      <c r="G6197" t="s">
        <v>360</v>
      </c>
      <c r="H6197">
        <v>68</v>
      </c>
      <c r="I6197" t="s">
        <v>8945</v>
      </c>
      <c r="J6197" t="s">
        <v>294</v>
      </c>
      <c r="M6197" t="s">
        <v>295</v>
      </c>
      <c r="N6197" t="s">
        <v>7</v>
      </c>
      <c r="O6197" t="s">
        <v>297</v>
      </c>
    </row>
    <row r="6198" spans="1:15" x14ac:dyDescent="0.3">
      <c r="A6198" t="s">
        <v>8828</v>
      </c>
      <c r="B6198" t="s">
        <v>8829</v>
      </c>
      <c r="C6198">
        <v>2022</v>
      </c>
      <c r="D6198" t="s">
        <v>358</v>
      </c>
      <c r="E6198" t="s">
        <v>8946</v>
      </c>
      <c r="F6198">
        <v>10209</v>
      </c>
      <c r="G6198" t="s">
        <v>360</v>
      </c>
      <c r="H6198">
        <v>68</v>
      </c>
      <c r="I6198" t="s">
        <v>8947</v>
      </c>
      <c r="J6198" t="s">
        <v>294</v>
      </c>
      <c r="M6198" t="s">
        <v>295</v>
      </c>
      <c r="N6198" t="s">
        <v>7</v>
      </c>
      <c r="O6198" t="s">
        <v>297</v>
      </c>
    </row>
    <row r="6199" spans="1:15" x14ac:dyDescent="0.3">
      <c r="A6199" t="s">
        <v>8828</v>
      </c>
      <c r="B6199" t="s">
        <v>8829</v>
      </c>
      <c r="C6199">
        <v>2022</v>
      </c>
      <c r="D6199" t="s">
        <v>358</v>
      </c>
      <c r="E6199" t="s">
        <v>8948</v>
      </c>
      <c r="F6199">
        <v>1968</v>
      </c>
      <c r="G6199" t="s">
        <v>360</v>
      </c>
      <c r="H6199">
        <v>68</v>
      </c>
      <c r="I6199" t="s">
        <v>8949</v>
      </c>
      <c r="J6199" t="s">
        <v>294</v>
      </c>
      <c r="M6199" t="s">
        <v>295</v>
      </c>
      <c r="N6199" t="s">
        <v>7</v>
      </c>
      <c r="O6199" t="s">
        <v>297</v>
      </c>
    </row>
    <row r="6200" spans="1:15" x14ac:dyDescent="0.3">
      <c r="A6200" t="s">
        <v>8828</v>
      </c>
      <c r="B6200" t="s">
        <v>8829</v>
      </c>
      <c r="C6200">
        <v>2022</v>
      </c>
      <c r="D6200" t="s">
        <v>358</v>
      </c>
      <c r="E6200" t="s">
        <v>8950</v>
      </c>
      <c r="F6200">
        <v>3222</v>
      </c>
      <c r="G6200" t="s">
        <v>360</v>
      </c>
      <c r="H6200">
        <v>68</v>
      </c>
      <c r="I6200" t="s">
        <v>8951</v>
      </c>
      <c r="J6200" t="s">
        <v>294</v>
      </c>
      <c r="M6200" t="s">
        <v>295</v>
      </c>
      <c r="N6200" t="s">
        <v>7</v>
      </c>
      <c r="O6200" t="s">
        <v>297</v>
      </c>
    </row>
    <row r="6201" spans="1:15" x14ac:dyDescent="0.3">
      <c r="A6201" t="s">
        <v>8828</v>
      </c>
      <c r="B6201" t="s">
        <v>8829</v>
      </c>
      <c r="C6201">
        <v>2022</v>
      </c>
      <c r="D6201" t="s">
        <v>358</v>
      </c>
      <c r="E6201" t="s">
        <v>8952</v>
      </c>
      <c r="F6201">
        <v>3</v>
      </c>
      <c r="G6201" t="s">
        <v>384</v>
      </c>
      <c r="H6201">
        <v>68</v>
      </c>
      <c r="I6201" t="s">
        <v>8953</v>
      </c>
      <c r="J6201" t="s">
        <v>294</v>
      </c>
      <c r="M6201" t="s">
        <v>295</v>
      </c>
      <c r="N6201" t="s">
        <v>7</v>
      </c>
      <c r="O6201" t="s">
        <v>297</v>
      </c>
    </row>
    <row r="6202" spans="1:15" x14ac:dyDescent="0.3">
      <c r="A6202" t="s">
        <v>8828</v>
      </c>
      <c r="B6202" t="s">
        <v>8829</v>
      </c>
      <c r="C6202">
        <v>2022</v>
      </c>
      <c r="D6202" t="s">
        <v>358</v>
      </c>
      <c r="E6202" t="s">
        <v>8954</v>
      </c>
      <c r="F6202">
        <v>46383</v>
      </c>
      <c r="G6202" t="s">
        <v>7865</v>
      </c>
      <c r="H6202">
        <v>68</v>
      </c>
      <c r="I6202" t="s">
        <v>8955</v>
      </c>
      <c r="J6202" t="s">
        <v>294</v>
      </c>
      <c r="M6202" t="s">
        <v>295</v>
      </c>
      <c r="N6202" t="s">
        <v>7</v>
      </c>
      <c r="O6202" t="s">
        <v>297</v>
      </c>
    </row>
    <row r="6203" spans="1:15" x14ac:dyDescent="0.3">
      <c r="A6203" t="s">
        <v>8828</v>
      </c>
      <c r="B6203" t="s">
        <v>8829</v>
      </c>
      <c r="C6203">
        <v>2022</v>
      </c>
      <c r="D6203" t="s">
        <v>358</v>
      </c>
      <c r="E6203" t="s">
        <v>8956</v>
      </c>
      <c r="F6203">
        <v>495000</v>
      </c>
      <c r="G6203" t="s">
        <v>7865</v>
      </c>
      <c r="H6203">
        <v>64</v>
      </c>
      <c r="I6203" t="s">
        <v>8957</v>
      </c>
      <c r="J6203" t="s">
        <v>294</v>
      </c>
      <c r="M6203" t="s">
        <v>295</v>
      </c>
      <c r="N6203" t="s">
        <v>7</v>
      </c>
      <c r="O6203" t="s">
        <v>297</v>
      </c>
    </row>
    <row r="6204" spans="1:15" x14ac:dyDescent="0.3">
      <c r="A6204" t="s">
        <v>8828</v>
      </c>
      <c r="B6204" t="s">
        <v>8829</v>
      </c>
      <c r="C6204">
        <v>2022</v>
      </c>
      <c r="D6204" t="s">
        <v>358</v>
      </c>
      <c r="E6204" t="s">
        <v>8958</v>
      </c>
      <c r="F6204">
        <v>165000</v>
      </c>
      <c r="G6204" t="s">
        <v>7865</v>
      </c>
      <c r="H6204">
        <v>64</v>
      </c>
      <c r="I6204" t="s">
        <v>8959</v>
      </c>
      <c r="J6204" t="s">
        <v>294</v>
      </c>
      <c r="M6204" t="s">
        <v>295</v>
      </c>
      <c r="N6204" t="s">
        <v>7</v>
      </c>
      <c r="O6204" t="s">
        <v>297</v>
      </c>
    </row>
    <row r="6205" spans="1:15" x14ac:dyDescent="0.3">
      <c r="A6205" t="s">
        <v>8828</v>
      </c>
      <c r="B6205" t="s">
        <v>8829</v>
      </c>
      <c r="C6205">
        <v>2022</v>
      </c>
      <c r="D6205" t="s">
        <v>358</v>
      </c>
      <c r="E6205" t="s">
        <v>8960</v>
      </c>
      <c r="F6205" t="s">
        <v>8961</v>
      </c>
      <c r="G6205" t="s">
        <v>292</v>
      </c>
      <c r="H6205">
        <v>64</v>
      </c>
      <c r="I6205" t="s">
        <v>8962</v>
      </c>
      <c r="J6205" t="s">
        <v>294</v>
      </c>
      <c r="M6205" t="s">
        <v>295</v>
      </c>
      <c r="N6205" t="s">
        <v>7</v>
      </c>
      <c r="O6205" t="s">
        <v>297</v>
      </c>
    </row>
    <row r="6206" spans="1:15" x14ac:dyDescent="0.3">
      <c r="A6206" t="s">
        <v>8828</v>
      </c>
      <c r="B6206" t="s">
        <v>8829</v>
      </c>
      <c r="C6206">
        <v>2022</v>
      </c>
      <c r="D6206" t="s">
        <v>358</v>
      </c>
      <c r="E6206" t="s">
        <v>8963</v>
      </c>
      <c r="F6206" t="s">
        <v>8964</v>
      </c>
      <c r="G6206" t="s">
        <v>292</v>
      </c>
      <c r="H6206">
        <v>64</v>
      </c>
      <c r="I6206" t="s">
        <v>8965</v>
      </c>
      <c r="J6206" t="s">
        <v>294</v>
      </c>
      <c r="M6206" t="s">
        <v>295</v>
      </c>
      <c r="N6206" t="s">
        <v>7</v>
      </c>
      <c r="O6206" t="s">
        <v>297</v>
      </c>
    </row>
    <row r="6207" spans="1:15" x14ac:dyDescent="0.3">
      <c r="A6207" t="s">
        <v>8828</v>
      </c>
      <c r="B6207" t="s">
        <v>8829</v>
      </c>
      <c r="C6207">
        <v>2022</v>
      </c>
      <c r="D6207" t="s">
        <v>394</v>
      </c>
      <c r="E6207" t="s">
        <v>8966</v>
      </c>
      <c r="F6207">
        <v>376655</v>
      </c>
      <c r="G6207" t="s">
        <v>396</v>
      </c>
      <c r="H6207">
        <v>57</v>
      </c>
      <c r="I6207" t="s">
        <v>8967</v>
      </c>
      <c r="J6207" t="s">
        <v>294</v>
      </c>
      <c r="M6207" t="s">
        <v>295</v>
      </c>
      <c r="N6207" t="s">
        <v>7</v>
      </c>
      <c r="O6207" t="s">
        <v>297</v>
      </c>
    </row>
    <row r="6208" spans="1:15" x14ac:dyDescent="0.3">
      <c r="A6208" t="s">
        <v>8828</v>
      </c>
      <c r="B6208" t="s">
        <v>8829</v>
      </c>
      <c r="C6208">
        <v>2022</v>
      </c>
      <c r="D6208" t="s">
        <v>394</v>
      </c>
      <c r="E6208" t="s">
        <v>8968</v>
      </c>
      <c r="F6208">
        <v>116773</v>
      </c>
      <c r="G6208" t="s">
        <v>396</v>
      </c>
      <c r="H6208">
        <v>57</v>
      </c>
      <c r="I6208" t="s">
        <v>8969</v>
      </c>
      <c r="J6208" t="s">
        <v>294</v>
      </c>
      <c r="M6208" t="s">
        <v>295</v>
      </c>
      <c r="N6208" t="s">
        <v>7</v>
      </c>
      <c r="O6208" t="s">
        <v>297</v>
      </c>
    </row>
    <row r="6209" spans="1:15" x14ac:dyDescent="0.3">
      <c r="A6209" t="s">
        <v>8828</v>
      </c>
      <c r="B6209" t="s">
        <v>8829</v>
      </c>
      <c r="C6209">
        <v>2022</v>
      </c>
      <c r="D6209" t="s">
        <v>394</v>
      </c>
      <c r="E6209" t="s">
        <v>406</v>
      </c>
      <c r="F6209">
        <v>154701</v>
      </c>
      <c r="G6209" t="s">
        <v>396</v>
      </c>
      <c r="H6209">
        <v>58</v>
      </c>
      <c r="I6209" t="s">
        <v>8970</v>
      </c>
      <c r="J6209" t="s">
        <v>294</v>
      </c>
      <c r="M6209" t="s">
        <v>295</v>
      </c>
      <c r="N6209" t="s">
        <v>7</v>
      </c>
      <c r="O6209" t="s">
        <v>297</v>
      </c>
    </row>
    <row r="6210" spans="1:15" x14ac:dyDescent="0.3">
      <c r="A6210" t="s">
        <v>8828</v>
      </c>
      <c r="B6210" t="s">
        <v>8829</v>
      </c>
      <c r="C6210">
        <v>2022</v>
      </c>
      <c r="D6210" t="s">
        <v>394</v>
      </c>
      <c r="E6210" t="s">
        <v>855</v>
      </c>
      <c r="F6210">
        <v>36488</v>
      </c>
      <c r="G6210" t="s">
        <v>396</v>
      </c>
      <c r="H6210">
        <v>58</v>
      </c>
      <c r="I6210" t="s">
        <v>8971</v>
      </c>
      <c r="J6210" t="s">
        <v>294</v>
      </c>
      <c r="M6210" t="s">
        <v>295</v>
      </c>
      <c r="N6210" t="s">
        <v>7</v>
      </c>
      <c r="O6210" t="s">
        <v>297</v>
      </c>
    </row>
    <row r="6211" spans="1:15" x14ac:dyDescent="0.3">
      <c r="A6211" t="s">
        <v>8828</v>
      </c>
      <c r="B6211" t="s">
        <v>8829</v>
      </c>
      <c r="C6211">
        <v>2022</v>
      </c>
      <c r="D6211" t="s">
        <v>394</v>
      </c>
      <c r="E6211" t="s">
        <v>8972</v>
      </c>
      <c r="F6211">
        <v>12904</v>
      </c>
      <c r="G6211" t="s">
        <v>396</v>
      </c>
      <c r="H6211">
        <v>67</v>
      </c>
      <c r="I6211" t="s">
        <v>8973</v>
      </c>
      <c r="J6211" t="s">
        <v>294</v>
      </c>
      <c r="M6211" t="s">
        <v>295</v>
      </c>
      <c r="N6211" t="s">
        <v>7</v>
      </c>
      <c r="O6211" t="s">
        <v>297</v>
      </c>
    </row>
    <row r="6212" spans="1:15" x14ac:dyDescent="0.3">
      <c r="A6212" t="s">
        <v>8828</v>
      </c>
      <c r="B6212" t="s">
        <v>8829</v>
      </c>
      <c r="C6212">
        <v>2022</v>
      </c>
      <c r="D6212" t="s">
        <v>394</v>
      </c>
      <c r="E6212" t="s">
        <v>8974</v>
      </c>
      <c r="F6212">
        <v>11835</v>
      </c>
      <c r="G6212" t="s">
        <v>396</v>
      </c>
      <c r="H6212">
        <v>67</v>
      </c>
      <c r="I6212" t="s">
        <v>8975</v>
      </c>
      <c r="J6212" t="s">
        <v>294</v>
      </c>
      <c r="M6212" t="s">
        <v>295</v>
      </c>
      <c r="N6212" t="s">
        <v>7</v>
      </c>
      <c r="O6212" t="s">
        <v>297</v>
      </c>
    </row>
    <row r="6213" spans="1:15" x14ac:dyDescent="0.3">
      <c r="A6213" t="s">
        <v>8828</v>
      </c>
      <c r="B6213" t="s">
        <v>8829</v>
      </c>
      <c r="C6213">
        <v>2022</v>
      </c>
      <c r="D6213" t="s">
        <v>394</v>
      </c>
      <c r="E6213" t="s">
        <v>8976</v>
      </c>
      <c r="F6213">
        <v>2198.86</v>
      </c>
      <c r="G6213" t="s">
        <v>302</v>
      </c>
      <c r="H6213">
        <v>60</v>
      </c>
      <c r="I6213" t="s">
        <v>8977</v>
      </c>
      <c r="J6213" t="s">
        <v>294</v>
      </c>
      <c r="M6213" t="s">
        <v>295</v>
      </c>
      <c r="N6213" t="s">
        <v>7</v>
      </c>
      <c r="O6213" t="s">
        <v>297</v>
      </c>
    </row>
    <row r="6214" spans="1:15" x14ac:dyDescent="0.3">
      <c r="A6214" t="s">
        <v>8828</v>
      </c>
      <c r="B6214" t="s">
        <v>8829</v>
      </c>
      <c r="C6214">
        <v>2022</v>
      </c>
      <c r="D6214" t="s">
        <v>394</v>
      </c>
      <c r="E6214" t="s">
        <v>8978</v>
      </c>
      <c r="F6214">
        <v>568.30999999999995</v>
      </c>
      <c r="G6214" t="s">
        <v>302</v>
      </c>
      <c r="H6214">
        <v>61</v>
      </c>
      <c r="I6214" t="s">
        <v>8979</v>
      </c>
      <c r="J6214" t="s">
        <v>294</v>
      </c>
      <c r="M6214" t="s">
        <v>295</v>
      </c>
      <c r="N6214" t="s">
        <v>7</v>
      </c>
      <c r="O6214" t="s">
        <v>297</v>
      </c>
    </row>
    <row r="6215" spans="1:15" x14ac:dyDescent="0.3">
      <c r="A6215" t="s">
        <v>8828</v>
      </c>
      <c r="B6215" t="s">
        <v>8829</v>
      </c>
      <c r="C6215">
        <v>2022</v>
      </c>
      <c r="D6215" t="s">
        <v>394</v>
      </c>
      <c r="E6215" t="s">
        <v>8980</v>
      </c>
      <c r="F6215">
        <v>1795.04</v>
      </c>
      <c r="G6215" t="s">
        <v>302</v>
      </c>
      <c r="H6215">
        <v>65</v>
      </c>
      <c r="I6215" t="s">
        <v>8981</v>
      </c>
      <c r="J6215" t="s">
        <v>294</v>
      </c>
      <c r="M6215" t="s">
        <v>295</v>
      </c>
      <c r="N6215" t="s">
        <v>7</v>
      </c>
      <c r="O6215" t="s">
        <v>297</v>
      </c>
    </row>
    <row r="6216" spans="1:15" x14ac:dyDescent="0.3">
      <c r="A6216" t="s">
        <v>8828</v>
      </c>
      <c r="B6216" t="s">
        <v>8829</v>
      </c>
      <c r="C6216">
        <v>2022</v>
      </c>
      <c r="D6216" t="s">
        <v>394</v>
      </c>
      <c r="E6216" t="s">
        <v>8982</v>
      </c>
      <c r="F6216">
        <v>163.99</v>
      </c>
      <c r="G6216" t="s">
        <v>302</v>
      </c>
      <c r="H6216">
        <v>66</v>
      </c>
      <c r="I6216" t="s">
        <v>8983</v>
      </c>
      <c r="J6216" t="s">
        <v>294</v>
      </c>
      <c r="M6216" t="s">
        <v>295</v>
      </c>
      <c r="N6216" t="s">
        <v>7</v>
      </c>
      <c r="O6216" t="s">
        <v>297</v>
      </c>
    </row>
    <row r="6217" spans="1:15" x14ac:dyDescent="0.3">
      <c r="A6217" t="s">
        <v>8828</v>
      </c>
      <c r="B6217" t="s">
        <v>8829</v>
      </c>
      <c r="C6217">
        <v>2022</v>
      </c>
      <c r="D6217" t="s">
        <v>394</v>
      </c>
      <c r="E6217" t="s">
        <v>8984</v>
      </c>
      <c r="F6217">
        <v>304.51</v>
      </c>
      <c r="G6217" t="s">
        <v>302</v>
      </c>
      <c r="H6217">
        <v>70</v>
      </c>
      <c r="I6217" t="s">
        <v>8985</v>
      </c>
      <c r="J6217" t="s">
        <v>294</v>
      </c>
      <c r="M6217" t="s">
        <v>295</v>
      </c>
      <c r="N6217" t="s">
        <v>7</v>
      </c>
      <c r="O6217" t="s">
        <v>297</v>
      </c>
    </row>
    <row r="6218" spans="1:15" x14ac:dyDescent="0.3">
      <c r="A6218" t="s">
        <v>8828</v>
      </c>
      <c r="B6218" t="s">
        <v>8829</v>
      </c>
      <c r="C6218">
        <v>2022</v>
      </c>
      <c r="D6218" t="s">
        <v>394</v>
      </c>
      <c r="E6218" t="s">
        <v>8986</v>
      </c>
      <c r="F6218">
        <v>53.59</v>
      </c>
      <c r="G6218" t="s">
        <v>302</v>
      </c>
      <c r="H6218">
        <v>70</v>
      </c>
      <c r="I6218" t="s">
        <v>8987</v>
      </c>
      <c r="J6218" t="s">
        <v>294</v>
      </c>
      <c r="M6218" t="s">
        <v>295</v>
      </c>
      <c r="N6218" t="s">
        <v>7</v>
      </c>
      <c r="O6218" t="s">
        <v>297</v>
      </c>
    </row>
    <row r="6219" spans="1:15" x14ac:dyDescent="0.3">
      <c r="A6219" t="s">
        <v>8828</v>
      </c>
      <c r="B6219" t="s">
        <v>8829</v>
      </c>
      <c r="C6219">
        <v>2022</v>
      </c>
      <c r="D6219" t="s">
        <v>394</v>
      </c>
      <c r="E6219" t="s">
        <v>8988</v>
      </c>
      <c r="F6219">
        <v>0.87180000000000002</v>
      </c>
      <c r="G6219" t="s">
        <v>334</v>
      </c>
      <c r="H6219">
        <v>60</v>
      </c>
      <c r="I6219" t="s">
        <v>8989</v>
      </c>
      <c r="J6219" t="s">
        <v>294</v>
      </c>
      <c r="M6219" t="s">
        <v>295</v>
      </c>
      <c r="N6219" t="s">
        <v>7</v>
      </c>
      <c r="O6219" t="s">
        <v>297</v>
      </c>
    </row>
    <row r="6220" spans="1:15" x14ac:dyDescent="0.3">
      <c r="A6220" t="s">
        <v>8828</v>
      </c>
      <c r="B6220" t="s">
        <v>8829</v>
      </c>
      <c r="C6220">
        <v>2022</v>
      </c>
      <c r="D6220" t="s">
        <v>394</v>
      </c>
      <c r="E6220" t="s">
        <v>8990</v>
      </c>
      <c r="F6220">
        <v>0.41760000000000003</v>
      </c>
      <c r="G6220" t="s">
        <v>334</v>
      </c>
      <c r="H6220">
        <v>65</v>
      </c>
      <c r="I6220" t="s">
        <v>8991</v>
      </c>
      <c r="J6220" t="s">
        <v>294</v>
      </c>
      <c r="M6220" t="s">
        <v>295</v>
      </c>
      <c r="N6220" t="s">
        <v>7</v>
      </c>
      <c r="O6220" t="s">
        <v>297</v>
      </c>
    </row>
    <row r="6221" spans="1:15" x14ac:dyDescent="0.3">
      <c r="A6221" t="s">
        <v>8828</v>
      </c>
      <c r="B6221" t="s">
        <v>8829</v>
      </c>
      <c r="C6221">
        <v>2022</v>
      </c>
      <c r="D6221" t="s">
        <v>394</v>
      </c>
      <c r="E6221" t="s">
        <v>8992</v>
      </c>
      <c r="F6221">
        <v>0.51160000000000005</v>
      </c>
      <c r="G6221" t="s">
        <v>334</v>
      </c>
      <c r="H6221">
        <v>60</v>
      </c>
      <c r="I6221" t="s">
        <v>8993</v>
      </c>
      <c r="J6221" t="s">
        <v>294</v>
      </c>
      <c r="M6221" t="s">
        <v>295</v>
      </c>
      <c r="N6221" t="s">
        <v>7</v>
      </c>
      <c r="O6221" t="s">
        <v>297</v>
      </c>
    </row>
    <row r="6222" spans="1:15" x14ac:dyDescent="0.3">
      <c r="A6222" t="s">
        <v>8828</v>
      </c>
      <c r="B6222" t="s">
        <v>8829</v>
      </c>
      <c r="C6222">
        <v>2022</v>
      </c>
      <c r="D6222" t="s">
        <v>394</v>
      </c>
      <c r="E6222" t="s">
        <v>8994</v>
      </c>
      <c r="F6222">
        <v>7.0800000000000002E-2</v>
      </c>
      <c r="G6222" t="s">
        <v>334</v>
      </c>
      <c r="H6222">
        <v>70</v>
      </c>
      <c r="I6222" t="s">
        <v>8995</v>
      </c>
      <c r="J6222" t="s">
        <v>294</v>
      </c>
      <c r="M6222" t="s">
        <v>295</v>
      </c>
      <c r="N6222" t="s">
        <v>7</v>
      </c>
      <c r="O6222" t="s">
        <v>297</v>
      </c>
    </row>
    <row r="6223" spans="1:15" x14ac:dyDescent="0.3">
      <c r="A6223" t="s">
        <v>8828</v>
      </c>
      <c r="B6223" t="s">
        <v>8829</v>
      </c>
      <c r="C6223">
        <v>2022</v>
      </c>
      <c r="D6223" t="s">
        <v>563</v>
      </c>
      <c r="E6223" t="s">
        <v>8996</v>
      </c>
      <c r="F6223" t="s">
        <v>8997</v>
      </c>
      <c r="G6223" t="s">
        <v>292</v>
      </c>
      <c r="H6223">
        <v>63</v>
      </c>
      <c r="I6223" t="s">
        <v>8998</v>
      </c>
      <c r="J6223" t="s">
        <v>294</v>
      </c>
      <c r="M6223" t="s">
        <v>295</v>
      </c>
      <c r="N6223" t="s">
        <v>7</v>
      </c>
      <c r="O6223" t="s">
        <v>297</v>
      </c>
    </row>
    <row r="6224" spans="1:15" x14ac:dyDescent="0.3">
      <c r="A6224" t="s">
        <v>8828</v>
      </c>
      <c r="B6224" t="s">
        <v>8829</v>
      </c>
      <c r="C6224">
        <v>2022</v>
      </c>
      <c r="D6224" t="s">
        <v>252</v>
      </c>
      <c r="E6224" t="s">
        <v>8999</v>
      </c>
      <c r="F6224" t="s">
        <v>9000</v>
      </c>
      <c r="G6224" t="s">
        <v>292</v>
      </c>
      <c r="H6224">
        <v>63</v>
      </c>
      <c r="I6224" t="s">
        <v>9001</v>
      </c>
      <c r="J6224" t="s">
        <v>294</v>
      </c>
      <c r="M6224" t="s">
        <v>295</v>
      </c>
      <c r="N6224" t="s">
        <v>7</v>
      </c>
      <c r="O6224" t="s">
        <v>297</v>
      </c>
    </row>
    <row r="6225" spans="1:15" x14ac:dyDescent="0.3">
      <c r="A6225" t="s">
        <v>8828</v>
      </c>
      <c r="B6225" t="s">
        <v>8829</v>
      </c>
      <c r="C6225">
        <v>2022</v>
      </c>
      <c r="D6225" t="s">
        <v>252</v>
      </c>
      <c r="E6225" t="s">
        <v>9002</v>
      </c>
      <c r="F6225" t="s">
        <v>9003</v>
      </c>
      <c r="G6225" t="s">
        <v>292</v>
      </c>
      <c r="H6225">
        <v>84</v>
      </c>
      <c r="I6225" t="s">
        <v>9004</v>
      </c>
      <c r="J6225" t="s">
        <v>294</v>
      </c>
      <c r="M6225" t="s">
        <v>295</v>
      </c>
      <c r="N6225" t="s">
        <v>7</v>
      </c>
      <c r="O6225" t="s">
        <v>297</v>
      </c>
    </row>
    <row r="6226" spans="1:15" x14ac:dyDescent="0.3">
      <c r="A6226" t="s">
        <v>8828</v>
      </c>
      <c r="B6226" t="s">
        <v>8829</v>
      </c>
      <c r="C6226">
        <v>2022</v>
      </c>
      <c r="D6226" t="s">
        <v>252</v>
      </c>
      <c r="E6226" t="s">
        <v>9005</v>
      </c>
      <c r="F6226" t="s">
        <v>9006</v>
      </c>
      <c r="G6226" t="s">
        <v>292</v>
      </c>
      <c r="H6226">
        <v>11</v>
      </c>
      <c r="I6226" t="s">
        <v>9007</v>
      </c>
      <c r="J6226" t="s">
        <v>294</v>
      </c>
      <c r="M6226" t="s">
        <v>295</v>
      </c>
      <c r="N6226" t="s">
        <v>7</v>
      </c>
      <c r="O6226" t="s">
        <v>297</v>
      </c>
    </row>
    <row r="6227" spans="1:15" x14ac:dyDescent="0.3">
      <c r="A6227" t="s">
        <v>8828</v>
      </c>
      <c r="B6227" t="s">
        <v>8829</v>
      </c>
      <c r="C6227">
        <v>2022</v>
      </c>
      <c r="D6227" t="s">
        <v>252</v>
      </c>
      <c r="E6227" t="s">
        <v>9008</v>
      </c>
      <c r="F6227" t="s">
        <v>9009</v>
      </c>
      <c r="G6227" t="s">
        <v>292</v>
      </c>
      <c r="H6227">
        <v>9</v>
      </c>
      <c r="I6227" t="s">
        <v>9010</v>
      </c>
      <c r="J6227" t="s">
        <v>294</v>
      </c>
      <c r="M6227" t="s">
        <v>295</v>
      </c>
      <c r="N6227" t="s">
        <v>7</v>
      </c>
      <c r="O6227" t="s">
        <v>297</v>
      </c>
    </row>
    <row r="6228" spans="1:15" x14ac:dyDescent="0.3">
      <c r="A6228" t="s">
        <v>8828</v>
      </c>
      <c r="B6228" t="s">
        <v>8829</v>
      </c>
      <c r="C6228">
        <v>2022</v>
      </c>
      <c r="D6228" t="s">
        <v>252</v>
      </c>
      <c r="E6228" t="s">
        <v>9011</v>
      </c>
      <c r="F6228" t="s">
        <v>9012</v>
      </c>
      <c r="G6228" t="s">
        <v>292</v>
      </c>
      <c r="H6228">
        <v>62</v>
      </c>
      <c r="I6228" t="s">
        <v>9013</v>
      </c>
      <c r="J6228" t="s">
        <v>294</v>
      </c>
      <c r="M6228" t="s">
        <v>295</v>
      </c>
      <c r="N6228" t="s">
        <v>7</v>
      </c>
      <c r="O6228" t="s">
        <v>297</v>
      </c>
    </row>
    <row r="6229" spans="1:15" x14ac:dyDescent="0.3">
      <c r="A6229" t="s">
        <v>8828</v>
      </c>
      <c r="B6229" t="s">
        <v>9014</v>
      </c>
      <c r="C6229">
        <v>2023</v>
      </c>
      <c r="D6229" t="s">
        <v>272</v>
      </c>
      <c r="E6229" t="s">
        <v>291</v>
      </c>
      <c r="F6229" t="s">
        <v>8828</v>
      </c>
      <c r="G6229" t="s">
        <v>292</v>
      </c>
      <c r="H6229">
        <v>1</v>
      </c>
      <c r="I6229" t="s">
        <v>9015</v>
      </c>
      <c r="J6229" t="s">
        <v>294</v>
      </c>
      <c r="M6229" t="s">
        <v>295</v>
      </c>
      <c r="N6229" t="s">
        <v>7</v>
      </c>
      <c r="O6229" t="s">
        <v>297</v>
      </c>
    </row>
    <row r="6230" spans="1:15" x14ac:dyDescent="0.3">
      <c r="A6230" t="s">
        <v>8828</v>
      </c>
      <c r="B6230" t="s">
        <v>9014</v>
      </c>
      <c r="C6230">
        <v>2023</v>
      </c>
      <c r="D6230" t="s">
        <v>272</v>
      </c>
      <c r="E6230" t="s">
        <v>8831</v>
      </c>
      <c r="F6230" t="s">
        <v>8832</v>
      </c>
      <c r="G6230" t="s">
        <v>292</v>
      </c>
      <c r="H6230">
        <v>8</v>
      </c>
      <c r="I6230" t="s">
        <v>8833</v>
      </c>
      <c r="J6230" t="s">
        <v>294</v>
      </c>
      <c r="M6230" t="s">
        <v>295</v>
      </c>
      <c r="N6230" t="s">
        <v>7</v>
      </c>
      <c r="O6230" t="s">
        <v>297</v>
      </c>
    </row>
    <row r="6231" spans="1:15" x14ac:dyDescent="0.3">
      <c r="A6231" t="s">
        <v>8828</v>
      </c>
      <c r="B6231" t="s">
        <v>9014</v>
      </c>
      <c r="C6231">
        <v>2023</v>
      </c>
      <c r="D6231" t="s">
        <v>272</v>
      </c>
      <c r="E6231" t="s">
        <v>8834</v>
      </c>
      <c r="F6231" t="s">
        <v>9016</v>
      </c>
      <c r="G6231" t="s">
        <v>334</v>
      </c>
      <c r="H6231">
        <v>10</v>
      </c>
      <c r="I6231" t="s">
        <v>9017</v>
      </c>
      <c r="J6231" t="s">
        <v>294</v>
      </c>
      <c r="M6231" t="s">
        <v>295</v>
      </c>
      <c r="N6231" t="s">
        <v>7</v>
      </c>
      <c r="O6231" t="s">
        <v>297</v>
      </c>
    </row>
    <row r="6232" spans="1:15" x14ac:dyDescent="0.3">
      <c r="A6232" t="s">
        <v>8828</v>
      </c>
      <c r="B6232" t="s">
        <v>9014</v>
      </c>
      <c r="C6232">
        <v>2023</v>
      </c>
      <c r="D6232" t="s">
        <v>272</v>
      </c>
      <c r="E6232" t="s">
        <v>8837</v>
      </c>
      <c r="F6232">
        <v>0.1096</v>
      </c>
      <c r="G6232" t="s">
        <v>334</v>
      </c>
      <c r="H6232">
        <v>10</v>
      </c>
      <c r="I6232" t="s">
        <v>8838</v>
      </c>
      <c r="J6232" t="s">
        <v>294</v>
      </c>
      <c r="M6232" t="s">
        <v>295</v>
      </c>
      <c r="N6232" t="s">
        <v>7</v>
      </c>
      <c r="O6232" t="s">
        <v>297</v>
      </c>
    </row>
    <row r="6233" spans="1:15" x14ac:dyDescent="0.3">
      <c r="A6233" t="s">
        <v>8828</v>
      </c>
      <c r="B6233" t="s">
        <v>9014</v>
      </c>
      <c r="C6233">
        <v>2023</v>
      </c>
      <c r="D6233" t="s">
        <v>272</v>
      </c>
      <c r="E6233" t="s">
        <v>8839</v>
      </c>
      <c r="F6233">
        <v>9.2100000000000001E-2</v>
      </c>
      <c r="G6233" t="s">
        <v>334</v>
      </c>
      <c r="H6233">
        <v>10</v>
      </c>
      <c r="I6233" t="s">
        <v>8840</v>
      </c>
      <c r="J6233" t="s">
        <v>294</v>
      </c>
      <c r="M6233" t="s">
        <v>295</v>
      </c>
      <c r="N6233" t="s">
        <v>7</v>
      </c>
      <c r="O6233" t="s">
        <v>297</v>
      </c>
    </row>
    <row r="6234" spans="1:15" x14ac:dyDescent="0.3">
      <c r="A6234" t="s">
        <v>8828</v>
      </c>
      <c r="B6234" t="s">
        <v>9014</v>
      </c>
      <c r="C6234">
        <v>2023</v>
      </c>
      <c r="D6234" t="s">
        <v>272</v>
      </c>
      <c r="E6234" t="s">
        <v>8841</v>
      </c>
      <c r="F6234">
        <v>5.8700000000000002E-2</v>
      </c>
      <c r="G6234" t="s">
        <v>334</v>
      </c>
      <c r="H6234">
        <v>10</v>
      </c>
      <c r="I6234" t="s">
        <v>8842</v>
      </c>
      <c r="J6234" t="s">
        <v>294</v>
      </c>
      <c r="M6234" t="s">
        <v>295</v>
      </c>
      <c r="N6234" t="s">
        <v>7</v>
      </c>
      <c r="O6234" t="s">
        <v>297</v>
      </c>
    </row>
    <row r="6235" spans="1:15" x14ac:dyDescent="0.3">
      <c r="A6235" t="s">
        <v>8828</v>
      </c>
      <c r="B6235" t="s">
        <v>9014</v>
      </c>
      <c r="C6235">
        <v>2023</v>
      </c>
      <c r="D6235" t="s">
        <v>272</v>
      </c>
      <c r="E6235" t="s">
        <v>445</v>
      </c>
      <c r="F6235">
        <v>0.59260000000000002</v>
      </c>
      <c r="G6235" t="s">
        <v>334</v>
      </c>
      <c r="H6235">
        <v>10</v>
      </c>
      <c r="I6235" t="s">
        <v>9018</v>
      </c>
      <c r="J6235" t="s">
        <v>294</v>
      </c>
      <c r="M6235" t="s">
        <v>295</v>
      </c>
      <c r="N6235" t="s">
        <v>7</v>
      </c>
      <c r="O6235" t="s">
        <v>297</v>
      </c>
    </row>
    <row r="6236" spans="1:15" x14ac:dyDescent="0.3">
      <c r="A6236" t="s">
        <v>8828</v>
      </c>
      <c r="B6236" t="s">
        <v>9014</v>
      </c>
      <c r="C6236">
        <v>2023</v>
      </c>
      <c r="D6236" t="s">
        <v>272</v>
      </c>
      <c r="E6236" t="s">
        <v>8846</v>
      </c>
      <c r="F6236">
        <v>2500162338</v>
      </c>
      <c r="G6236" t="s">
        <v>1633</v>
      </c>
      <c r="H6236">
        <v>10</v>
      </c>
      <c r="I6236" t="s">
        <v>8847</v>
      </c>
      <c r="J6236" t="s">
        <v>294</v>
      </c>
      <c r="M6236" t="s">
        <v>295</v>
      </c>
      <c r="N6236" t="s">
        <v>7</v>
      </c>
      <c r="O6236" t="s">
        <v>297</v>
      </c>
    </row>
    <row r="6237" spans="1:15" x14ac:dyDescent="0.3">
      <c r="A6237" t="s">
        <v>8828</v>
      </c>
      <c r="B6237" t="s">
        <v>9014</v>
      </c>
      <c r="C6237">
        <v>2023</v>
      </c>
      <c r="D6237" t="s">
        <v>272</v>
      </c>
      <c r="E6237" t="s">
        <v>8848</v>
      </c>
      <c r="F6237">
        <v>13679</v>
      </c>
      <c r="G6237" t="s">
        <v>384</v>
      </c>
      <c r="H6237">
        <v>11</v>
      </c>
      <c r="I6237" t="s">
        <v>9019</v>
      </c>
      <c r="J6237" t="s">
        <v>294</v>
      </c>
      <c r="M6237" t="s">
        <v>295</v>
      </c>
      <c r="N6237" t="s">
        <v>7</v>
      </c>
      <c r="O6237" t="s">
        <v>297</v>
      </c>
    </row>
    <row r="6238" spans="1:15" x14ac:dyDescent="0.3">
      <c r="A6238" t="s">
        <v>8828</v>
      </c>
      <c r="B6238" t="s">
        <v>9014</v>
      </c>
      <c r="C6238">
        <v>2023</v>
      </c>
      <c r="D6238" t="s">
        <v>300</v>
      </c>
      <c r="E6238" t="s">
        <v>682</v>
      </c>
      <c r="F6238">
        <v>2405.15</v>
      </c>
      <c r="G6238" t="s">
        <v>302</v>
      </c>
      <c r="H6238">
        <v>6</v>
      </c>
      <c r="I6238" t="s">
        <v>9020</v>
      </c>
      <c r="J6238" t="s">
        <v>294</v>
      </c>
      <c r="M6238" t="s">
        <v>295</v>
      </c>
      <c r="N6238" t="s">
        <v>7</v>
      </c>
      <c r="O6238" t="s">
        <v>297</v>
      </c>
    </row>
    <row r="6239" spans="1:15" x14ac:dyDescent="0.3">
      <c r="A6239" t="s">
        <v>8828</v>
      </c>
      <c r="B6239" t="s">
        <v>9014</v>
      </c>
      <c r="C6239">
        <v>2023</v>
      </c>
      <c r="D6239" t="s">
        <v>300</v>
      </c>
      <c r="E6239" t="s">
        <v>2868</v>
      </c>
      <c r="F6239">
        <v>1928.15</v>
      </c>
      <c r="G6239" t="s">
        <v>302</v>
      </c>
      <c r="H6239">
        <v>6</v>
      </c>
      <c r="I6239" t="s">
        <v>9021</v>
      </c>
      <c r="J6239" t="s">
        <v>294</v>
      </c>
      <c r="M6239" t="s">
        <v>295</v>
      </c>
      <c r="N6239" t="s">
        <v>7</v>
      </c>
      <c r="O6239" t="s">
        <v>297</v>
      </c>
    </row>
    <row r="6240" spans="1:15" x14ac:dyDescent="0.3">
      <c r="A6240" t="s">
        <v>8828</v>
      </c>
      <c r="B6240" t="s">
        <v>9014</v>
      </c>
      <c r="C6240">
        <v>2023</v>
      </c>
      <c r="D6240" t="s">
        <v>300</v>
      </c>
      <c r="E6240" t="s">
        <v>304</v>
      </c>
      <c r="F6240">
        <v>477</v>
      </c>
      <c r="G6240" t="s">
        <v>302</v>
      </c>
      <c r="H6240">
        <v>6</v>
      </c>
      <c r="I6240" t="s">
        <v>9022</v>
      </c>
      <c r="J6240" t="s">
        <v>294</v>
      </c>
      <c r="M6240" t="s">
        <v>295</v>
      </c>
      <c r="N6240" t="s">
        <v>7</v>
      </c>
      <c r="O6240" t="s">
        <v>297</v>
      </c>
    </row>
    <row r="6241" spans="1:15" x14ac:dyDescent="0.3">
      <c r="A6241" t="s">
        <v>8828</v>
      </c>
      <c r="B6241" t="s">
        <v>9014</v>
      </c>
      <c r="C6241">
        <v>2023</v>
      </c>
      <c r="D6241" t="s">
        <v>300</v>
      </c>
      <c r="E6241" t="s">
        <v>1155</v>
      </c>
      <c r="F6241">
        <v>63.84</v>
      </c>
      <c r="G6241" t="s">
        <v>302</v>
      </c>
      <c r="I6241" t="s">
        <v>9023</v>
      </c>
      <c r="J6241" t="s">
        <v>294</v>
      </c>
      <c r="M6241" t="s">
        <v>295</v>
      </c>
      <c r="N6241" t="s">
        <v>7</v>
      </c>
      <c r="O6241" t="s">
        <v>297</v>
      </c>
    </row>
    <row r="6242" spans="1:15" x14ac:dyDescent="0.3">
      <c r="A6242" t="s">
        <v>8828</v>
      </c>
      <c r="B6242" t="s">
        <v>9014</v>
      </c>
      <c r="C6242">
        <v>2023</v>
      </c>
      <c r="D6242" t="s">
        <v>300</v>
      </c>
      <c r="E6242" t="s">
        <v>1157</v>
      </c>
      <c r="F6242">
        <v>370.33</v>
      </c>
      <c r="G6242" t="s">
        <v>302</v>
      </c>
      <c r="I6242" t="s">
        <v>9024</v>
      </c>
      <c r="J6242" t="s">
        <v>294</v>
      </c>
      <c r="M6242" t="s">
        <v>295</v>
      </c>
      <c r="N6242" t="s">
        <v>7</v>
      </c>
      <c r="O6242" t="s">
        <v>297</v>
      </c>
    </row>
    <row r="6243" spans="1:15" x14ac:dyDescent="0.3">
      <c r="A6243" t="s">
        <v>8828</v>
      </c>
      <c r="B6243" t="s">
        <v>9014</v>
      </c>
      <c r="C6243">
        <v>2023</v>
      </c>
      <c r="D6243" t="s">
        <v>300</v>
      </c>
      <c r="E6243" t="s">
        <v>9025</v>
      </c>
      <c r="F6243">
        <v>146.01</v>
      </c>
      <c r="G6243" t="s">
        <v>302</v>
      </c>
      <c r="I6243" t="s">
        <v>9026</v>
      </c>
      <c r="J6243" t="s">
        <v>456</v>
      </c>
      <c r="M6243" t="s">
        <v>295</v>
      </c>
      <c r="N6243" t="s">
        <v>7</v>
      </c>
      <c r="O6243" t="s">
        <v>297</v>
      </c>
    </row>
    <row r="6244" spans="1:15" x14ac:dyDescent="0.3">
      <c r="A6244" t="s">
        <v>8828</v>
      </c>
      <c r="B6244" t="s">
        <v>9014</v>
      </c>
      <c r="C6244">
        <v>2023</v>
      </c>
      <c r="D6244" t="s">
        <v>300</v>
      </c>
      <c r="E6244" t="s">
        <v>3041</v>
      </c>
      <c r="F6244">
        <v>168.19</v>
      </c>
      <c r="G6244" t="s">
        <v>302</v>
      </c>
      <c r="I6244" t="s">
        <v>9027</v>
      </c>
      <c r="J6244" t="s">
        <v>294</v>
      </c>
      <c r="M6244" t="s">
        <v>295</v>
      </c>
      <c r="N6244" t="s">
        <v>7</v>
      </c>
      <c r="O6244" t="s">
        <v>297</v>
      </c>
    </row>
    <row r="6245" spans="1:15" x14ac:dyDescent="0.3">
      <c r="A6245" t="s">
        <v>8828</v>
      </c>
      <c r="B6245" t="s">
        <v>9014</v>
      </c>
      <c r="C6245">
        <v>2023</v>
      </c>
      <c r="D6245" t="s">
        <v>300</v>
      </c>
      <c r="E6245" t="s">
        <v>579</v>
      </c>
      <c r="F6245">
        <v>95</v>
      </c>
      <c r="G6245" t="s">
        <v>302</v>
      </c>
      <c r="H6245">
        <v>6</v>
      </c>
      <c r="I6245" t="s">
        <v>9028</v>
      </c>
      <c r="J6245" t="s">
        <v>294</v>
      </c>
      <c r="M6245" t="s">
        <v>295</v>
      </c>
      <c r="N6245" t="s">
        <v>7</v>
      </c>
      <c r="O6245" t="s">
        <v>297</v>
      </c>
    </row>
    <row r="6246" spans="1:15" x14ac:dyDescent="0.3">
      <c r="A6246" t="s">
        <v>8828</v>
      </c>
      <c r="B6246" t="s">
        <v>9014</v>
      </c>
      <c r="C6246">
        <v>2023</v>
      </c>
      <c r="D6246" t="s">
        <v>300</v>
      </c>
      <c r="E6246" t="s">
        <v>581</v>
      </c>
      <c r="F6246">
        <v>-68.86</v>
      </c>
      <c r="G6246" t="s">
        <v>302</v>
      </c>
      <c r="H6246">
        <v>6</v>
      </c>
      <c r="I6246" t="s">
        <v>9029</v>
      </c>
      <c r="J6246" t="s">
        <v>294</v>
      </c>
      <c r="M6246" t="s">
        <v>295</v>
      </c>
      <c r="N6246" t="s">
        <v>7</v>
      </c>
      <c r="O6246" t="s">
        <v>297</v>
      </c>
    </row>
    <row r="6247" spans="1:15" x14ac:dyDescent="0.3">
      <c r="A6247" t="s">
        <v>8828</v>
      </c>
      <c r="B6247" t="s">
        <v>9014</v>
      </c>
      <c r="C6247">
        <v>2023</v>
      </c>
      <c r="D6247" t="s">
        <v>300</v>
      </c>
      <c r="E6247" t="s">
        <v>306</v>
      </c>
      <c r="F6247">
        <v>26.14</v>
      </c>
      <c r="G6247" t="s">
        <v>302</v>
      </c>
      <c r="H6247">
        <v>6</v>
      </c>
      <c r="I6247" t="s">
        <v>9030</v>
      </c>
      <c r="J6247" t="s">
        <v>294</v>
      </c>
      <c r="M6247" t="s">
        <v>295</v>
      </c>
      <c r="N6247" t="s">
        <v>7</v>
      </c>
      <c r="O6247" t="s">
        <v>297</v>
      </c>
    </row>
    <row r="6248" spans="1:15" x14ac:dyDescent="0.3">
      <c r="A6248" t="s">
        <v>8828</v>
      </c>
      <c r="B6248" t="s">
        <v>9014</v>
      </c>
      <c r="C6248">
        <v>2023</v>
      </c>
      <c r="D6248" t="s">
        <v>300</v>
      </c>
      <c r="E6248" t="s">
        <v>308</v>
      </c>
      <c r="F6248">
        <v>62.69</v>
      </c>
      <c r="G6248" t="s">
        <v>302</v>
      </c>
      <c r="H6248">
        <v>6</v>
      </c>
      <c r="I6248" t="s">
        <v>9031</v>
      </c>
      <c r="J6248" t="s">
        <v>294</v>
      </c>
      <c r="M6248" t="s">
        <v>295</v>
      </c>
      <c r="N6248" t="s">
        <v>7</v>
      </c>
      <c r="O6248" t="s">
        <v>297</v>
      </c>
    </row>
    <row r="6249" spans="1:15" x14ac:dyDescent="0.3">
      <c r="A6249" t="s">
        <v>8828</v>
      </c>
      <c r="B6249" t="s">
        <v>9014</v>
      </c>
      <c r="C6249">
        <v>2023</v>
      </c>
      <c r="D6249" t="s">
        <v>300</v>
      </c>
      <c r="E6249" t="s">
        <v>9032</v>
      </c>
      <c r="F6249">
        <v>-36.549999999999997</v>
      </c>
      <c r="G6249" t="s">
        <v>302</v>
      </c>
      <c r="H6249">
        <v>6</v>
      </c>
      <c r="I6249" t="s">
        <v>9033</v>
      </c>
      <c r="J6249" t="s">
        <v>294</v>
      </c>
      <c r="M6249" t="s">
        <v>295</v>
      </c>
      <c r="N6249" t="s">
        <v>7</v>
      </c>
      <c r="O6249" t="s">
        <v>297</v>
      </c>
    </row>
    <row r="6250" spans="1:15" x14ac:dyDescent="0.3">
      <c r="A6250" t="s">
        <v>8828</v>
      </c>
      <c r="B6250" t="s">
        <v>9014</v>
      </c>
      <c r="C6250">
        <v>2023</v>
      </c>
      <c r="D6250" t="s">
        <v>300</v>
      </c>
      <c r="E6250" t="s">
        <v>310</v>
      </c>
      <c r="F6250">
        <v>22.13</v>
      </c>
      <c r="G6250" t="s">
        <v>302</v>
      </c>
      <c r="H6250">
        <v>6</v>
      </c>
      <c r="I6250" t="s">
        <v>9034</v>
      </c>
      <c r="J6250" t="s">
        <v>294</v>
      </c>
      <c r="M6250" t="s">
        <v>295</v>
      </c>
      <c r="N6250" t="s">
        <v>7</v>
      </c>
      <c r="O6250" t="s">
        <v>297</v>
      </c>
    </row>
    <row r="6251" spans="1:15" x14ac:dyDescent="0.3">
      <c r="A6251" t="s">
        <v>8828</v>
      </c>
      <c r="B6251" t="s">
        <v>9014</v>
      </c>
      <c r="C6251">
        <v>2023</v>
      </c>
      <c r="D6251" t="s">
        <v>300</v>
      </c>
      <c r="E6251" t="s">
        <v>312</v>
      </c>
      <c r="F6251">
        <v>781.55</v>
      </c>
      <c r="G6251" t="s">
        <v>302</v>
      </c>
      <c r="H6251">
        <v>75</v>
      </c>
      <c r="I6251" t="s">
        <v>9035</v>
      </c>
      <c r="J6251" t="s">
        <v>294</v>
      </c>
      <c r="M6251" t="s">
        <v>295</v>
      </c>
      <c r="N6251" t="s">
        <v>7</v>
      </c>
      <c r="O6251" t="s">
        <v>297</v>
      </c>
    </row>
    <row r="6252" spans="1:15" x14ac:dyDescent="0.3">
      <c r="A6252" t="s">
        <v>8828</v>
      </c>
      <c r="B6252" t="s">
        <v>9014</v>
      </c>
      <c r="C6252">
        <v>2023</v>
      </c>
      <c r="D6252" t="s">
        <v>300</v>
      </c>
      <c r="E6252" t="s">
        <v>314</v>
      </c>
      <c r="F6252">
        <v>3778.17</v>
      </c>
      <c r="G6252" t="s">
        <v>302</v>
      </c>
      <c r="H6252">
        <v>75</v>
      </c>
      <c r="I6252" t="s">
        <v>9036</v>
      </c>
      <c r="J6252" t="s">
        <v>294</v>
      </c>
      <c r="M6252" t="s">
        <v>295</v>
      </c>
      <c r="N6252" t="s">
        <v>7</v>
      </c>
      <c r="O6252" t="s">
        <v>297</v>
      </c>
    </row>
    <row r="6253" spans="1:15" x14ac:dyDescent="0.3">
      <c r="A6253" t="s">
        <v>8828</v>
      </c>
      <c r="B6253" t="s">
        <v>9014</v>
      </c>
      <c r="C6253">
        <v>2023</v>
      </c>
      <c r="D6253" t="s">
        <v>300</v>
      </c>
      <c r="E6253" t="s">
        <v>316</v>
      </c>
      <c r="F6253">
        <v>4559.7299999999996</v>
      </c>
      <c r="G6253" t="s">
        <v>302</v>
      </c>
      <c r="H6253">
        <v>7</v>
      </c>
      <c r="I6253" t="s">
        <v>9037</v>
      </c>
      <c r="J6253" t="s">
        <v>294</v>
      </c>
      <c r="M6253" t="s">
        <v>295</v>
      </c>
      <c r="N6253" t="s">
        <v>7</v>
      </c>
      <c r="O6253" t="s">
        <v>297</v>
      </c>
    </row>
    <row r="6254" spans="1:15" x14ac:dyDescent="0.3">
      <c r="A6254" t="s">
        <v>8828</v>
      </c>
      <c r="B6254" t="s">
        <v>9014</v>
      </c>
      <c r="C6254">
        <v>2023</v>
      </c>
      <c r="D6254" t="s">
        <v>300</v>
      </c>
      <c r="E6254" t="s">
        <v>318</v>
      </c>
      <c r="F6254">
        <v>7694.15</v>
      </c>
      <c r="G6254" t="s">
        <v>302</v>
      </c>
      <c r="H6254">
        <v>75</v>
      </c>
      <c r="I6254" t="s">
        <v>9038</v>
      </c>
      <c r="J6254" t="s">
        <v>294</v>
      </c>
      <c r="M6254" t="s">
        <v>295</v>
      </c>
      <c r="N6254" t="s">
        <v>7</v>
      </c>
      <c r="O6254" t="s">
        <v>297</v>
      </c>
    </row>
    <row r="6255" spans="1:15" x14ac:dyDescent="0.3">
      <c r="A6255" t="s">
        <v>8828</v>
      </c>
      <c r="B6255" t="s">
        <v>9014</v>
      </c>
      <c r="C6255">
        <v>2023</v>
      </c>
      <c r="D6255" t="s">
        <v>300</v>
      </c>
      <c r="E6255" t="s">
        <v>468</v>
      </c>
      <c r="F6255">
        <v>2798.44</v>
      </c>
      <c r="G6255" t="s">
        <v>302</v>
      </c>
      <c r="H6255">
        <v>75</v>
      </c>
      <c r="I6255" t="s">
        <v>9039</v>
      </c>
      <c r="J6255" t="s">
        <v>294</v>
      </c>
      <c r="M6255" t="s">
        <v>295</v>
      </c>
      <c r="N6255" t="s">
        <v>7</v>
      </c>
      <c r="O6255" t="s">
        <v>297</v>
      </c>
    </row>
    <row r="6256" spans="1:15" x14ac:dyDescent="0.3">
      <c r="A6256" t="s">
        <v>8828</v>
      </c>
      <c r="B6256" t="s">
        <v>9014</v>
      </c>
      <c r="C6256">
        <v>2023</v>
      </c>
      <c r="D6256" t="s">
        <v>300</v>
      </c>
      <c r="E6256" t="s">
        <v>322</v>
      </c>
      <c r="F6256">
        <v>10492.6</v>
      </c>
      <c r="G6256" t="s">
        <v>302</v>
      </c>
      <c r="H6256">
        <v>7</v>
      </c>
      <c r="I6256" t="s">
        <v>9040</v>
      </c>
      <c r="J6256" t="s">
        <v>294</v>
      </c>
      <c r="M6256" t="s">
        <v>295</v>
      </c>
      <c r="N6256" t="s">
        <v>7</v>
      </c>
      <c r="O6256" t="s">
        <v>297</v>
      </c>
    </row>
    <row r="6257" spans="1:15" x14ac:dyDescent="0.3">
      <c r="A6257" t="s">
        <v>8828</v>
      </c>
      <c r="B6257" t="s">
        <v>9014</v>
      </c>
      <c r="C6257">
        <v>2023</v>
      </c>
      <c r="D6257" t="s">
        <v>300</v>
      </c>
      <c r="E6257" t="s">
        <v>8877</v>
      </c>
      <c r="F6257">
        <v>-5932.87</v>
      </c>
      <c r="G6257" t="s">
        <v>302</v>
      </c>
      <c r="H6257">
        <v>7</v>
      </c>
      <c r="I6257" t="s">
        <v>9041</v>
      </c>
      <c r="J6257" t="s">
        <v>294</v>
      </c>
      <c r="M6257" t="s">
        <v>295</v>
      </c>
      <c r="N6257" t="s">
        <v>7</v>
      </c>
      <c r="O6257" t="s">
        <v>297</v>
      </c>
    </row>
    <row r="6258" spans="1:15" x14ac:dyDescent="0.3">
      <c r="A6258" t="s">
        <v>8828</v>
      </c>
      <c r="B6258" t="s">
        <v>9014</v>
      </c>
      <c r="C6258">
        <v>2023</v>
      </c>
      <c r="D6258" t="s">
        <v>300</v>
      </c>
      <c r="E6258" t="s">
        <v>2733</v>
      </c>
      <c r="F6258">
        <v>-6912.6</v>
      </c>
      <c r="G6258" t="s">
        <v>302</v>
      </c>
      <c r="H6258">
        <v>7</v>
      </c>
      <c r="I6258" t="s">
        <v>9042</v>
      </c>
      <c r="J6258" t="s">
        <v>294</v>
      </c>
      <c r="M6258" t="s">
        <v>295</v>
      </c>
      <c r="N6258" t="s">
        <v>7</v>
      </c>
      <c r="O6258" t="s">
        <v>297</v>
      </c>
    </row>
    <row r="6259" spans="1:15" x14ac:dyDescent="0.3">
      <c r="A6259" t="s">
        <v>8828</v>
      </c>
      <c r="B6259" t="s">
        <v>9014</v>
      </c>
      <c r="C6259">
        <v>2023</v>
      </c>
      <c r="D6259" t="s">
        <v>300</v>
      </c>
      <c r="E6259" t="s">
        <v>8880</v>
      </c>
      <c r="F6259">
        <v>123.11</v>
      </c>
      <c r="G6259" t="s">
        <v>302</v>
      </c>
      <c r="H6259">
        <v>76</v>
      </c>
      <c r="I6259" t="s">
        <v>9043</v>
      </c>
      <c r="J6259" t="s">
        <v>294</v>
      </c>
      <c r="M6259" t="s">
        <v>295</v>
      </c>
      <c r="N6259" t="s">
        <v>7</v>
      </c>
      <c r="O6259" t="s">
        <v>297</v>
      </c>
    </row>
    <row r="6260" spans="1:15" x14ac:dyDescent="0.3">
      <c r="A6260" t="s">
        <v>8828</v>
      </c>
      <c r="B6260" t="s">
        <v>9014</v>
      </c>
      <c r="C6260">
        <v>2023</v>
      </c>
      <c r="D6260" t="s">
        <v>300</v>
      </c>
      <c r="E6260" t="s">
        <v>601</v>
      </c>
      <c r="F6260">
        <v>-50.29</v>
      </c>
      <c r="G6260" t="s">
        <v>302</v>
      </c>
      <c r="H6260">
        <v>99</v>
      </c>
      <c r="I6260" t="s">
        <v>9044</v>
      </c>
      <c r="J6260" t="s">
        <v>294</v>
      </c>
      <c r="M6260" t="s">
        <v>295</v>
      </c>
      <c r="N6260" t="s">
        <v>7</v>
      </c>
      <c r="O6260" t="s">
        <v>297</v>
      </c>
    </row>
    <row r="6261" spans="1:15" x14ac:dyDescent="0.3">
      <c r="A6261" t="s">
        <v>8828</v>
      </c>
      <c r="B6261" t="s">
        <v>9014</v>
      </c>
      <c r="C6261">
        <v>2023</v>
      </c>
      <c r="D6261" t="s">
        <v>300</v>
      </c>
      <c r="E6261" t="s">
        <v>603</v>
      </c>
      <c r="F6261">
        <v>-58.68</v>
      </c>
      <c r="G6261" t="s">
        <v>302</v>
      </c>
      <c r="H6261">
        <v>99</v>
      </c>
      <c r="I6261" t="s">
        <v>9045</v>
      </c>
      <c r="J6261" t="s">
        <v>294</v>
      </c>
      <c r="M6261" t="s">
        <v>295</v>
      </c>
      <c r="N6261" t="s">
        <v>7</v>
      </c>
      <c r="O6261" t="s">
        <v>297</v>
      </c>
    </row>
    <row r="6262" spans="1:15" x14ac:dyDescent="0.3">
      <c r="A6262" t="s">
        <v>8828</v>
      </c>
      <c r="B6262" t="s">
        <v>9014</v>
      </c>
      <c r="C6262">
        <v>2023</v>
      </c>
      <c r="D6262" t="s">
        <v>300</v>
      </c>
      <c r="E6262" t="s">
        <v>716</v>
      </c>
      <c r="F6262">
        <v>88.14</v>
      </c>
      <c r="G6262" t="s">
        <v>302</v>
      </c>
      <c r="H6262">
        <v>99</v>
      </c>
      <c r="I6262" t="s">
        <v>9046</v>
      </c>
      <c r="J6262" t="s">
        <v>294</v>
      </c>
      <c r="M6262" t="s">
        <v>295</v>
      </c>
      <c r="N6262" t="s">
        <v>7</v>
      </c>
      <c r="O6262" t="s">
        <v>297</v>
      </c>
    </row>
    <row r="6263" spans="1:15" x14ac:dyDescent="0.3">
      <c r="A6263" t="s">
        <v>8828</v>
      </c>
      <c r="B6263" t="s">
        <v>9014</v>
      </c>
      <c r="C6263">
        <v>2023</v>
      </c>
      <c r="D6263" t="s">
        <v>300</v>
      </c>
      <c r="E6263" t="s">
        <v>9047</v>
      </c>
      <c r="F6263">
        <v>212.02</v>
      </c>
      <c r="G6263" t="s">
        <v>302</v>
      </c>
      <c r="I6263" t="s">
        <v>9048</v>
      </c>
      <c r="J6263" t="s">
        <v>294</v>
      </c>
      <c r="M6263" t="s">
        <v>295</v>
      </c>
      <c r="N6263" t="s">
        <v>7</v>
      </c>
      <c r="O6263" t="s">
        <v>297</v>
      </c>
    </row>
    <row r="6264" spans="1:15" x14ac:dyDescent="0.3">
      <c r="A6264" t="s">
        <v>8828</v>
      </c>
      <c r="B6264" t="s">
        <v>9014</v>
      </c>
      <c r="C6264">
        <v>2023</v>
      </c>
      <c r="D6264" t="s">
        <v>300</v>
      </c>
      <c r="E6264" t="s">
        <v>9049</v>
      </c>
      <c r="F6264">
        <v>4492.5600000000004</v>
      </c>
      <c r="G6264" t="s">
        <v>302</v>
      </c>
      <c r="I6264" t="s">
        <v>9050</v>
      </c>
      <c r="J6264" t="s">
        <v>294</v>
      </c>
      <c r="M6264" t="s">
        <v>295</v>
      </c>
      <c r="N6264" t="s">
        <v>7</v>
      </c>
      <c r="O6264" t="s">
        <v>297</v>
      </c>
    </row>
    <row r="6265" spans="1:15" x14ac:dyDescent="0.3">
      <c r="A6265" t="s">
        <v>8828</v>
      </c>
      <c r="B6265" t="s">
        <v>9014</v>
      </c>
      <c r="C6265">
        <v>2023</v>
      </c>
      <c r="D6265" t="s">
        <v>300</v>
      </c>
      <c r="E6265" t="s">
        <v>2658</v>
      </c>
      <c r="F6265">
        <v>25.08</v>
      </c>
      <c r="G6265" t="s">
        <v>346</v>
      </c>
      <c r="H6265">
        <v>7</v>
      </c>
      <c r="I6265" t="s">
        <v>9051</v>
      </c>
      <c r="J6265" t="s">
        <v>294</v>
      </c>
      <c r="M6265" t="s">
        <v>295</v>
      </c>
      <c r="N6265" t="s">
        <v>7</v>
      </c>
      <c r="O6265" t="s">
        <v>297</v>
      </c>
    </row>
    <row r="6266" spans="1:15" x14ac:dyDescent="0.3">
      <c r="A6266" t="s">
        <v>8828</v>
      </c>
      <c r="B6266" t="s">
        <v>9014</v>
      </c>
      <c r="C6266">
        <v>2023</v>
      </c>
      <c r="D6266" t="s">
        <v>300</v>
      </c>
      <c r="E6266" t="s">
        <v>9052</v>
      </c>
      <c r="F6266">
        <v>282518344872</v>
      </c>
      <c r="G6266" t="s">
        <v>8894</v>
      </c>
      <c r="H6266">
        <v>7</v>
      </c>
      <c r="I6266" t="s">
        <v>9053</v>
      </c>
      <c r="J6266" t="s">
        <v>294</v>
      </c>
      <c r="M6266" t="s">
        <v>295</v>
      </c>
      <c r="N6266" t="s">
        <v>7</v>
      </c>
      <c r="O6266" t="s">
        <v>297</v>
      </c>
    </row>
    <row r="6267" spans="1:15" x14ac:dyDescent="0.3">
      <c r="A6267" t="s">
        <v>8828</v>
      </c>
      <c r="B6267" t="s">
        <v>9014</v>
      </c>
      <c r="C6267">
        <v>2023</v>
      </c>
      <c r="D6267" t="s">
        <v>300</v>
      </c>
      <c r="E6267" t="s">
        <v>9054</v>
      </c>
      <c r="F6267">
        <v>113</v>
      </c>
      <c r="G6267" t="s">
        <v>346</v>
      </c>
      <c r="H6267">
        <v>8</v>
      </c>
      <c r="I6267" t="s">
        <v>9055</v>
      </c>
      <c r="J6267" t="s">
        <v>294</v>
      </c>
      <c r="M6267" t="s">
        <v>295</v>
      </c>
      <c r="N6267" t="s">
        <v>7</v>
      </c>
      <c r="O6267" t="s">
        <v>297</v>
      </c>
    </row>
    <row r="6268" spans="1:15" x14ac:dyDescent="0.3">
      <c r="A6268" t="s">
        <v>8828</v>
      </c>
      <c r="B6268" t="s">
        <v>9014</v>
      </c>
      <c r="C6268">
        <v>2023</v>
      </c>
      <c r="D6268" t="s">
        <v>300</v>
      </c>
      <c r="E6268" t="s">
        <v>326</v>
      </c>
      <c r="F6268">
        <v>0.1016</v>
      </c>
      <c r="G6268" t="s">
        <v>327</v>
      </c>
      <c r="H6268">
        <v>7</v>
      </c>
      <c r="I6268" t="s">
        <v>9056</v>
      </c>
      <c r="J6268" t="s">
        <v>294</v>
      </c>
      <c r="M6268" t="s">
        <v>295</v>
      </c>
      <c r="N6268" t="s">
        <v>7</v>
      </c>
      <c r="O6268" t="s">
        <v>297</v>
      </c>
    </row>
    <row r="6269" spans="1:15" x14ac:dyDescent="0.3">
      <c r="A6269" t="s">
        <v>8828</v>
      </c>
      <c r="B6269" t="s">
        <v>9014</v>
      </c>
      <c r="C6269">
        <v>2023</v>
      </c>
      <c r="D6269" t="s">
        <v>300</v>
      </c>
      <c r="E6269" t="s">
        <v>8899</v>
      </c>
      <c r="F6269">
        <v>2.3010999999999999</v>
      </c>
      <c r="G6269" t="s">
        <v>327</v>
      </c>
      <c r="H6269">
        <v>7</v>
      </c>
      <c r="I6269" t="s">
        <v>9057</v>
      </c>
      <c r="J6269" t="s">
        <v>294</v>
      </c>
      <c r="M6269" t="s">
        <v>295</v>
      </c>
      <c r="N6269" t="s">
        <v>7</v>
      </c>
      <c r="O6269" t="s">
        <v>297</v>
      </c>
    </row>
    <row r="6270" spans="1:15" x14ac:dyDescent="0.3">
      <c r="A6270" t="s">
        <v>8828</v>
      </c>
      <c r="B6270" t="s">
        <v>9014</v>
      </c>
      <c r="C6270">
        <v>2023</v>
      </c>
      <c r="D6270" t="s">
        <v>300</v>
      </c>
      <c r="E6270" t="s">
        <v>8901</v>
      </c>
      <c r="F6270">
        <v>1.23</v>
      </c>
      <c r="G6270" t="s">
        <v>327</v>
      </c>
      <c r="H6270">
        <v>7</v>
      </c>
      <c r="I6270" t="s">
        <v>9058</v>
      </c>
      <c r="J6270" t="s">
        <v>294</v>
      </c>
      <c r="M6270" t="s">
        <v>295</v>
      </c>
      <c r="N6270" t="s">
        <v>7</v>
      </c>
      <c r="O6270" t="s">
        <v>297</v>
      </c>
    </row>
    <row r="6271" spans="1:15" x14ac:dyDescent="0.3">
      <c r="A6271" t="s">
        <v>8828</v>
      </c>
      <c r="B6271" t="s">
        <v>9014</v>
      </c>
      <c r="C6271">
        <v>2023</v>
      </c>
      <c r="D6271" t="s">
        <v>300</v>
      </c>
      <c r="E6271" t="s">
        <v>3052</v>
      </c>
      <c r="F6271">
        <v>5.7000000000000002E-3</v>
      </c>
      <c r="G6271" t="s">
        <v>334</v>
      </c>
      <c r="H6271">
        <v>7</v>
      </c>
      <c r="I6271" t="s">
        <v>9059</v>
      </c>
      <c r="J6271" t="s">
        <v>294</v>
      </c>
      <c r="M6271" t="s">
        <v>295</v>
      </c>
      <c r="N6271" t="s">
        <v>7</v>
      </c>
      <c r="O6271" t="s">
        <v>297</v>
      </c>
    </row>
    <row r="6272" spans="1:15" x14ac:dyDescent="0.3">
      <c r="A6272" t="s">
        <v>8828</v>
      </c>
      <c r="B6272" t="s">
        <v>9014</v>
      </c>
      <c r="C6272">
        <v>2023</v>
      </c>
      <c r="D6272" t="s">
        <v>300</v>
      </c>
      <c r="E6272" t="s">
        <v>1187</v>
      </c>
      <c r="F6272">
        <v>0.1983</v>
      </c>
      <c r="G6272" t="s">
        <v>334</v>
      </c>
      <c r="H6272">
        <v>7</v>
      </c>
      <c r="I6272" t="s">
        <v>9060</v>
      </c>
      <c r="J6272" t="s">
        <v>294</v>
      </c>
      <c r="M6272" t="s">
        <v>295</v>
      </c>
      <c r="N6272" t="s">
        <v>7</v>
      </c>
      <c r="O6272" t="s">
        <v>297</v>
      </c>
    </row>
    <row r="6273" spans="1:15" x14ac:dyDescent="0.3">
      <c r="A6273" t="s">
        <v>8828</v>
      </c>
      <c r="B6273" t="s">
        <v>9014</v>
      </c>
      <c r="C6273">
        <v>2023</v>
      </c>
      <c r="D6273" t="s">
        <v>300</v>
      </c>
      <c r="E6273" t="s">
        <v>9061</v>
      </c>
      <c r="F6273">
        <v>-14021.27</v>
      </c>
      <c r="G6273" t="s">
        <v>302</v>
      </c>
      <c r="H6273">
        <v>9</v>
      </c>
      <c r="I6273" t="s">
        <v>9062</v>
      </c>
      <c r="J6273" t="s">
        <v>294</v>
      </c>
      <c r="M6273" t="s">
        <v>295</v>
      </c>
      <c r="N6273" t="s">
        <v>7</v>
      </c>
      <c r="O6273" t="s">
        <v>297</v>
      </c>
    </row>
    <row r="6274" spans="1:15" x14ac:dyDescent="0.3">
      <c r="A6274" t="s">
        <v>8828</v>
      </c>
      <c r="B6274" t="s">
        <v>9014</v>
      </c>
      <c r="C6274">
        <v>2023</v>
      </c>
      <c r="D6274" t="s">
        <v>300</v>
      </c>
      <c r="E6274" t="s">
        <v>9063</v>
      </c>
      <c r="F6274">
        <v>0</v>
      </c>
      <c r="G6274" t="s">
        <v>346</v>
      </c>
      <c r="H6274">
        <v>7</v>
      </c>
      <c r="I6274" t="s">
        <v>9064</v>
      </c>
      <c r="J6274" t="s">
        <v>294</v>
      </c>
      <c r="M6274" t="s">
        <v>295</v>
      </c>
      <c r="N6274" t="s">
        <v>7</v>
      </c>
      <c r="O6274" t="s">
        <v>297</v>
      </c>
    </row>
    <row r="6275" spans="1:15" x14ac:dyDescent="0.3">
      <c r="A6275" t="s">
        <v>8828</v>
      </c>
      <c r="B6275" t="s">
        <v>9014</v>
      </c>
      <c r="C6275">
        <v>2023</v>
      </c>
      <c r="D6275" t="s">
        <v>358</v>
      </c>
      <c r="E6275" t="s">
        <v>8909</v>
      </c>
      <c r="F6275">
        <v>69713</v>
      </c>
      <c r="G6275" t="s">
        <v>360</v>
      </c>
      <c r="H6275">
        <v>56</v>
      </c>
      <c r="I6275" t="s">
        <v>9065</v>
      </c>
      <c r="J6275" t="s">
        <v>294</v>
      </c>
      <c r="M6275" t="s">
        <v>295</v>
      </c>
      <c r="N6275" t="s">
        <v>7</v>
      </c>
      <c r="O6275" t="s">
        <v>297</v>
      </c>
    </row>
    <row r="6276" spans="1:15" x14ac:dyDescent="0.3">
      <c r="A6276" t="s">
        <v>8828</v>
      </c>
      <c r="B6276" t="s">
        <v>9014</v>
      </c>
      <c r="C6276">
        <v>2023</v>
      </c>
      <c r="D6276" t="s">
        <v>358</v>
      </c>
      <c r="E6276" t="s">
        <v>8911</v>
      </c>
      <c r="F6276">
        <v>54828</v>
      </c>
      <c r="G6276" t="s">
        <v>360</v>
      </c>
      <c r="H6276">
        <v>58</v>
      </c>
      <c r="I6276" t="s">
        <v>9066</v>
      </c>
      <c r="J6276" t="s">
        <v>294</v>
      </c>
      <c r="M6276" t="s">
        <v>295</v>
      </c>
      <c r="N6276" t="s">
        <v>7</v>
      </c>
      <c r="O6276" t="s">
        <v>297</v>
      </c>
    </row>
    <row r="6277" spans="1:15" x14ac:dyDescent="0.3">
      <c r="A6277" t="s">
        <v>8828</v>
      </c>
      <c r="B6277" t="s">
        <v>9014</v>
      </c>
      <c r="C6277">
        <v>2023</v>
      </c>
      <c r="D6277" t="s">
        <v>358</v>
      </c>
      <c r="E6277" t="s">
        <v>8913</v>
      </c>
      <c r="F6277">
        <v>39853</v>
      </c>
      <c r="G6277" t="s">
        <v>360</v>
      </c>
      <c r="H6277">
        <v>58</v>
      </c>
      <c r="I6277" t="s">
        <v>9067</v>
      </c>
      <c r="J6277" t="s">
        <v>294</v>
      </c>
      <c r="M6277" t="s">
        <v>295</v>
      </c>
      <c r="N6277" t="s">
        <v>7</v>
      </c>
      <c r="O6277" t="s">
        <v>297</v>
      </c>
    </row>
    <row r="6278" spans="1:15" x14ac:dyDescent="0.3">
      <c r="A6278" t="s">
        <v>8828</v>
      </c>
      <c r="B6278" t="s">
        <v>9014</v>
      </c>
      <c r="C6278">
        <v>2023</v>
      </c>
      <c r="D6278" t="s">
        <v>358</v>
      </c>
      <c r="E6278" t="s">
        <v>8915</v>
      </c>
      <c r="F6278">
        <v>14975</v>
      </c>
      <c r="G6278" t="s">
        <v>360</v>
      </c>
      <c r="H6278">
        <v>58</v>
      </c>
      <c r="I6278" t="s">
        <v>8916</v>
      </c>
      <c r="J6278" t="s">
        <v>294</v>
      </c>
      <c r="M6278" t="s">
        <v>295</v>
      </c>
      <c r="N6278" t="s">
        <v>7</v>
      </c>
      <c r="O6278" t="s">
        <v>297</v>
      </c>
    </row>
    <row r="6279" spans="1:15" x14ac:dyDescent="0.3">
      <c r="A6279" t="s">
        <v>8828</v>
      </c>
      <c r="B6279" t="s">
        <v>9014</v>
      </c>
      <c r="C6279">
        <v>2023</v>
      </c>
      <c r="D6279" t="s">
        <v>358</v>
      </c>
      <c r="E6279" t="s">
        <v>6195</v>
      </c>
      <c r="F6279">
        <v>47912</v>
      </c>
      <c r="G6279" t="s">
        <v>360</v>
      </c>
      <c r="H6279">
        <v>58</v>
      </c>
      <c r="I6279" t="s">
        <v>9068</v>
      </c>
      <c r="J6279" t="s">
        <v>294</v>
      </c>
      <c r="M6279" t="s">
        <v>295</v>
      </c>
      <c r="N6279" t="s">
        <v>7</v>
      </c>
      <c r="O6279" t="s">
        <v>297</v>
      </c>
    </row>
    <row r="6280" spans="1:15" x14ac:dyDescent="0.3">
      <c r="A6280" t="s">
        <v>8828</v>
      </c>
      <c r="B6280" t="s">
        <v>9014</v>
      </c>
      <c r="C6280">
        <v>2023</v>
      </c>
      <c r="D6280" t="s">
        <v>358</v>
      </c>
      <c r="E6280" t="s">
        <v>6197</v>
      </c>
      <c r="F6280">
        <v>6915</v>
      </c>
      <c r="G6280" t="s">
        <v>360</v>
      </c>
      <c r="H6280">
        <v>58</v>
      </c>
      <c r="I6280" t="s">
        <v>9069</v>
      </c>
      <c r="J6280" t="s">
        <v>294</v>
      </c>
      <c r="M6280" t="s">
        <v>295</v>
      </c>
      <c r="N6280" t="s">
        <v>7</v>
      </c>
      <c r="O6280" t="s">
        <v>297</v>
      </c>
    </row>
    <row r="6281" spans="1:15" x14ac:dyDescent="0.3">
      <c r="A6281" t="s">
        <v>8828</v>
      </c>
      <c r="B6281" t="s">
        <v>9014</v>
      </c>
      <c r="C6281">
        <v>2023</v>
      </c>
      <c r="D6281" t="s">
        <v>358</v>
      </c>
      <c r="E6281" t="s">
        <v>8919</v>
      </c>
      <c r="F6281">
        <v>18094</v>
      </c>
      <c r="G6281" t="s">
        <v>360</v>
      </c>
      <c r="H6281">
        <v>58</v>
      </c>
      <c r="I6281" t="s">
        <v>9070</v>
      </c>
      <c r="J6281" t="s">
        <v>294</v>
      </c>
      <c r="M6281" t="s">
        <v>295</v>
      </c>
      <c r="N6281" t="s">
        <v>7</v>
      </c>
      <c r="O6281" t="s">
        <v>297</v>
      </c>
    </row>
    <row r="6282" spans="1:15" x14ac:dyDescent="0.3">
      <c r="A6282" t="s">
        <v>8828</v>
      </c>
      <c r="B6282" t="s">
        <v>9014</v>
      </c>
      <c r="C6282">
        <v>2023</v>
      </c>
      <c r="D6282" t="s">
        <v>358</v>
      </c>
      <c r="E6282" t="s">
        <v>8921</v>
      </c>
      <c r="F6282">
        <v>10947</v>
      </c>
      <c r="G6282" t="s">
        <v>360</v>
      </c>
      <c r="H6282">
        <v>58</v>
      </c>
      <c r="I6282" t="s">
        <v>9071</v>
      </c>
      <c r="J6282" t="s">
        <v>294</v>
      </c>
      <c r="M6282" t="s">
        <v>295</v>
      </c>
      <c r="N6282" t="s">
        <v>7</v>
      </c>
      <c r="O6282" t="s">
        <v>297</v>
      </c>
    </row>
    <row r="6283" spans="1:15" x14ac:dyDescent="0.3">
      <c r="A6283" t="s">
        <v>8828</v>
      </c>
      <c r="B6283" t="s">
        <v>9014</v>
      </c>
      <c r="C6283">
        <v>2023</v>
      </c>
      <c r="D6283" t="s">
        <v>358</v>
      </c>
      <c r="E6283" t="s">
        <v>8923</v>
      </c>
      <c r="F6283">
        <v>9190</v>
      </c>
      <c r="G6283" t="s">
        <v>360</v>
      </c>
      <c r="H6283">
        <v>58</v>
      </c>
      <c r="I6283" t="s">
        <v>9072</v>
      </c>
      <c r="J6283" t="s">
        <v>294</v>
      </c>
      <c r="M6283" t="s">
        <v>295</v>
      </c>
      <c r="N6283" t="s">
        <v>7</v>
      </c>
      <c r="O6283" t="s">
        <v>297</v>
      </c>
    </row>
    <row r="6284" spans="1:15" x14ac:dyDescent="0.3">
      <c r="A6284" t="s">
        <v>8828</v>
      </c>
      <c r="B6284" t="s">
        <v>9014</v>
      </c>
      <c r="C6284">
        <v>2023</v>
      </c>
      <c r="D6284" t="s">
        <v>358</v>
      </c>
      <c r="E6284" t="s">
        <v>8925</v>
      </c>
      <c r="F6284">
        <v>411</v>
      </c>
      <c r="G6284" t="s">
        <v>360</v>
      </c>
      <c r="H6284">
        <v>58</v>
      </c>
      <c r="I6284" t="s">
        <v>8926</v>
      </c>
      <c r="J6284" t="s">
        <v>294</v>
      </c>
      <c r="M6284" t="s">
        <v>295</v>
      </c>
      <c r="N6284" t="s">
        <v>7</v>
      </c>
      <c r="O6284" t="s">
        <v>297</v>
      </c>
    </row>
    <row r="6285" spans="1:15" x14ac:dyDescent="0.3">
      <c r="A6285" t="s">
        <v>8828</v>
      </c>
      <c r="B6285" t="s">
        <v>9014</v>
      </c>
      <c r="C6285">
        <v>2023</v>
      </c>
      <c r="D6285" t="s">
        <v>358</v>
      </c>
      <c r="E6285" t="s">
        <v>8927</v>
      </c>
      <c r="F6285">
        <v>1211</v>
      </c>
      <c r="G6285" t="s">
        <v>360</v>
      </c>
      <c r="H6285">
        <v>58</v>
      </c>
      <c r="I6285" t="s">
        <v>9073</v>
      </c>
      <c r="J6285" t="s">
        <v>294</v>
      </c>
      <c r="M6285" t="s">
        <v>295</v>
      </c>
      <c r="N6285" t="s">
        <v>7</v>
      </c>
      <c r="O6285" t="s">
        <v>297</v>
      </c>
    </row>
    <row r="6286" spans="1:15" x14ac:dyDescent="0.3">
      <c r="A6286" t="s">
        <v>8828</v>
      </c>
      <c r="B6286" t="s">
        <v>9014</v>
      </c>
      <c r="C6286">
        <v>2023</v>
      </c>
      <c r="D6286" t="s">
        <v>358</v>
      </c>
      <c r="E6286" t="s">
        <v>8929</v>
      </c>
      <c r="F6286">
        <v>5</v>
      </c>
      <c r="G6286" t="s">
        <v>384</v>
      </c>
      <c r="H6286">
        <v>59</v>
      </c>
      <c r="I6286" t="s">
        <v>9074</v>
      </c>
      <c r="J6286" t="s">
        <v>294</v>
      </c>
      <c r="M6286" t="s">
        <v>295</v>
      </c>
      <c r="N6286" t="s">
        <v>7</v>
      </c>
      <c r="O6286" t="s">
        <v>297</v>
      </c>
    </row>
    <row r="6287" spans="1:15" x14ac:dyDescent="0.3">
      <c r="A6287" t="s">
        <v>8828</v>
      </c>
      <c r="B6287" t="s">
        <v>9014</v>
      </c>
      <c r="C6287">
        <v>2023</v>
      </c>
      <c r="D6287" t="s">
        <v>358</v>
      </c>
      <c r="E6287" t="s">
        <v>8931</v>
      </c>
      <c r="F6287">
        <v>240</v>
      </c>
      <c r="G6287" t="s">
        <v>738</v>
      </c>
      <c r="H6287">
        <v>59</v>
      </c>
      <c r="I6287" t="s">
        <v>9075</v>
      </c>
      <c r="J6287" t="s">
        <v>294</v>
      </c>
      <c r="M6287" t="s">
        <v>295</v>
      </c>
      <c r="N6287" t="s">
        <v>7</v>
      </c>
      <c r="O6287" t="s">
        <v>297</v>
      </c>
    </row>
    <row r="6288" spans="1:15" x14ac:dyDescent="0.3">
      <c r="A6288" t="s">
        <v>8828</v>
      </c>
      <c r="B6288" t="s">
        <v>9014</v>
      </c>
      <c r="C6288">
        <v>2023</v>
      </c>
      <c r="D6288" t="s">
        <v>358</v>
      </c>
      <c r="E6288" t="s">
        <v>8936</v>
      </c>
      <c r="F6288">
        <v>765.83</v>
      </c>
      <c r="G6288" t="s">
        <v>302</v>
      </c>
      <c r="H6288">
        <v>59</v>
      </c>
      <c r="I6288" t="s">
        <v>9076</v>
      </c>
      <c r="J6288" t="s">
        <v>294</v>
      </c>
      <c r="M6288" t="s">
        <v>295</v>
      </c>
      <c r="N6288" t="s">
        <v>7</v>
      </c>
      <c r="O6288" t="s">
        <v>297</v>
      </c>
    </row>
    <row r="6289" spans="1:15" x14ac:dyDescent="0.3">
      <c r="A6289" t="s">
        <v>8828</v>
      </c>
      <c r="B6289" t="s">
        <v>9014</v>
      </c>
      <c r="C6289">
        <v>2023</v>
      </c>
      <c r="D6289" t="s">
        <v>358</v>
      </c>
      <c r="E6289" t="s">
        <v>8938</v>
      </c>
      <c r="F6289">
        <v>167.91</v>
      </c>
      <c r="G6289" t="s">
        <v>302</v>
      </c>
      <c r="H6289">
        <v>59</v>
      </c>
      <c r="I6289" t="s">
        <v>9077</v>
      </c>
      <c r="J6289" t="s">
        <v>294</v>
      </c>
      <c r="M6289" t="s">
        <v>295</v>
      </c>
      <c r="N6289" t="s">
        <v>7</v>
      </c>
      <c r="O6289" t="s">
        <v>297</v>
      </c>
    </row>
    <row r="6290" spans="1:15" x14ac:dyDescent="0.3">
      <c r="A6290" t="s">
        <v>8828</v>
      </c>
      <c r="B6290" t="s">
        <v>9014</v>
      </c>
      <c r="C6290">
        <v>2023</v>
      </c>
      <c r="D6290" t="s">
        <v>358</v>
      </c>
      <c r="E6290" t="s">
        <v>8940</v>
      </c>
      <c r="F6290">
        <v>1802.75</v>
      </c>
      <c r="G6290" t="s">
        <v>302</v>
      </c>
      <c r="H6290">
        <v>61</v>
      </c>
      <c r="I6290" t="s">
        <v>9078</v>
      </c>
      <c r="J6290" t="s">
        <v>294</v>
      </c>
      <c r="M6290" t="s">
        <v>295</v>
      </c>
      <c r="N6290" t="s">
        <v>7</v>
      </c>
      <c r="O6290" t="s">
        <v>297</v>
      </c>
    </row>
    <row r="6291" spans="1:15" x14ac:dyDescent="0.3">
      <c r="A6291" t="s">
        <v>8828</v>
      </c>
      <c r="B6291" t="s">
        <v>9014</v>
      </c>
      <c r="C6291">
        <v>2023</v>
      </c>
      <c r="D6291" t="s">
        <v>358</v>
      </c>
      <c r="E6291" t="s">
        <v>8942</v>
      </c>
      <c r="F6291">
        <v>14886</v>
      </c>
      <c r="G6291" t="s">
        <v>360</v>
      </c>
      <c r="H6291">
        <v>67</v>
      </c>
      <c r="I6291" t="s">
        <v>9079</v>
      </c>
      <c r="J6291" t="s">
        <v>294</v>
      </c>
      <c r="M6291" t="s">
        <v>295</v>
      </c>
      <c r="N6291" t="s">
        <v>7</v>
      </c>
      <c r="O6291" t="s">
        <v>297</v>
      </c>
    </row>
    <row r="6292" spans="1:15" x14ac:dyDescent="0.3">
      <c r="A6292" t="s">
        <v>8828</v>
      </c>
      <c r="B6292" t="s">
        <v>9014</v>
      </c>
      <c r="C6292">
        <v>2023</v>
      </c>
      <c r="D6292" t="s">
        <v>358</v>
      </c>
      <c r="E6292" t="s">
        <v>6205</v>
      </c>
      <c r="F6292">
        <v>14765</v>
      </c>
      <c r="G6292" t="s">
        <v>360</v>
      </c>
      <c r="H6292">
        <v>67</v>
      </c>
      <c r="I6292" t="s">
        <v>9080</v>
      </c>
      <c r="J6292" t="s">
        <v>294</v>
      </c>
      <c r="M6292" t="s">
        <v>295</v>
      </c>
      <c r="N6292" t="s">
        <v>7</v>
      </c>
      <c r="O6292" t="s">
        <v>297</v>
      </c>
    </row>
    <row r="6293" spans="1:15" x14ac:dyDescent="0.3">
      <c r="A6293" t="s">
        <v>8828</v>
      </c>
      <c r="B6293" t="s">
        <v>9014</v>
      </c>
      <c r="C6293">
        <v>2023</v>
      </c>
      <c r="D6293" t="s">
        <v>358</v>
      </c>
      <c r="E6293" t="s">
        <v>6207</v>
      </c>
      <c r="F6293">
        <v>122</v>
      </c>
      <c r="G6293" t="s">
        <v>360</v>
      </c>
      <c r="H6293">
        <v>67</v>
      </c>
      <c r="I6293" t="s">
        <v>8945</v>
      </c>
      <c r="J6293" t="s">
        <v>294</v>
      </c>
      <c r="M6293" t="s">
        <v>295</v>
      </c>
      <c r="N6293" t="s">
        <v>7</v>
      </c>
      <c r="O6293" t="s">
        <v>297</v>
      </c>
    </row>
    <row r="6294" spans="1:15" x14ac:dyDescent="0.3">
      <c r="A6294" t="s">
        <v>8828</v>
      </c>
      <c r="B6294" t="s">
        <v>9014</v>
      </c>
      <c r="C6294">
        <v>2023</v>
      </c>
      <c r="D6294" t="s">
        <v>358</v>
      </c>
      <c r="E6294" t="s">
        <v>8946</v>
      </c>
      <c r="F6294">
        <v>10209</v>
      </c>
      <c r="G6294" t="s">
        <v>360</v>
      </c>
      <c r="H6294">
        <v>67</v>
      </c>
      <c r="I6294" t="s">
        <v>9081</v>
      </c>
      <c r="J6294" t="s">
        <v>294</v>
      </c>
      <c r="M6294" t="s">
        <v>295</v>
      </c>
      <c r="N6294" t="s">
        <v>7</v>
      </c>
      <c r="O6294" t="s">
        <v>297</v>
      </c>
    </row>
    <row r="6295" spans="1:15" x14ac:dyDescent="0.3">
      <c r="A6295" t="s">
        <v>8828</v>
      </c>
      <c r="B6295" t="s">
        <v>9014</v>
      </c>
      <c r="C6295">
        <v>2023</v>
      </c>
      <c r="D6295" t="s">
        <v>358</v>
      </c>
      <c r="E6295" t="s">
        <v>8948</v>
      </c>
      <c r="F6295">
        <v>1456</v>
      </c>
      <c r="G6295" t="s">
        <v>360</v>
      </c>
      <c r="H6295">
        <v>67</v>
      </c>
      <c r="I6295" t="s">
        <v>9082</v>
      </c>
      <c r="J6295" t="s">
        <v>294</v>
      </c>
      <c r="M6295" t="s">
        <v>295</v>
      </c>
      <c r="N6295" t="s">
        <v>7</v>
      </c>
      <c r="O6295" t="s">
        <v>297</v>
      </c>
    </row>
    <row r="6296" spans="1:15" x14ac:dyDescent="0.3">
      <c r="A6296" t="s">
        <v>8828</v>
      </c>
      <c r="B6296" t="s">
        <v>9014</v>
      </c>
      <c r="C6296">
        <v>2023</v>
      </c>
      <c r="D6296" t="s">
        <v>358</v>
      </c>
      <c r="E6296" t="s">
        <v>8950</v>
      </c>
      <c r="F6296">
        <v>3222</v>
      </c>
      <c r="G6296" t="s">
        <v>360</v>
      </c>
      <c r="H6296">
        <v>67</v>
      </c>
      <c r="I6296" t="s">
        <v>9083</v>
      </c>
      <c r="J6296" t="s">
        <v>294</v>
      </c>
      <c r="M6296" t="s">
        <v>295</v>
      </c>
      <c r="N6296" t="s">
        <v>7</v>
      </c>
      <c r="O6296" t="s">
        <v>297</v>
      </c>
    </row>
    <row r="6297" spans="1:15" x14ac:dyDescent="0.3">
      <c r="A6297" t="s">
        <v>8828</v>
      </c>
      <c r="B6297" t="s">
        <v>9014</v>
      </c>
      <c r="C6297">
        <v>2023</v>
      </c>
      <c r="D6297" t="s">
        <v>358</v>
      </c>
      <c r="E6297" t="s">
        <v>8952</v>
      </c>
      <c r="F6297">
        <v>2</v>
      </c>
      <c r="G6297" t="s">
        <v>384</v>
      </c>
      <c r="H6297">
        <v>68</v>
      </c>
      <c r="I6297" t="s">
        <v>9084</v>
      </c>
      <c r="J6297" t="s">
        <v>294</v>
      </c>
      <c r="M6297" t="s">
        <v>295</v>
      </c>
      <c r="N6297" t="s">
        <v>7</v>
      </c>
      <c r="O6297" t="s">
        <v>297</v>
      </c>
    </row>
    <row r="6298" spans="1:15" x14ac:dyDescent="0.3">
      <c r="A6298" t="s">
        <v>8828</v>
      </c>
      <c r="B6298" t="s">
        <v>9014</v>
      </c>
      <c r="C6298">
        <v>2023</v>
      </c>
      <c r="D6298" t="s">
        <v>358</v>
      </c>
      <c r="E6298" t="s">
        <v>9085</v>
      </c>
      <c r="F6298">
        <v>36180</v>
      </c>
      <c r="G6298" t="s">
        <v>7865</v>
      </c>
      <c r="H6298">
        <v>68</v>
      </c>
      <c r="I6298" t="s">
        <v>9086</v>
      </c>
      <c r="J6298" t="s">
        <v>294</v>
      </c>
      <c r="M6298" t="s">
        <v>295</v>
      </c>
      <c r="N6298" t="s">
        <v>7</v>
      </c>
      <c r="O6298" t="s">
        <v>297</v>
      </c>
    </row>
    <row r="6299" spans="1:15" x14ac:dyDescent="0.3">
      <c r="A6299" t="s">
        <v>8828</v>
      </c>
      <c r="B6299" t="s">
        <v>9014</v>
      </c>
      <c r="C6299">
        <v>2023</v>
      </c>
      <c r="D6299" t="s">
        <v>358</v>
      </c>
      <c r="E6299" t="s">
        <v>9087</v>
      </c>
      <c r="F6299">
        <v>495000</v>
      </c>
      <c r="G6299" t="s">
        <v>7865</v>
      </c>
      <c r="H6299">
        <v>63</v>
      </c>
      <c r="I6299" t="s">
        <v>8957</v>
      </c>
      <c r="J6299" t="s">
        <v>294</v>
      </c>
      <c r="M6299" t="s">
        <v>295</v>
      </c>
      <c r="N6299" t="s">
        <v>7</v>
      </c>
      <c r="O6299" t="s">
        <v>297</v>
      </c>
    </row>
    <row r="6300" spans="1:15" x14ac:dyDescent="0.3">
      <c r="A6300" t="s">
        <v>8828</v>
      </c>
      <c r="B6300" t="s">
        <v>9014</v>
      </c>
      <c r="C6300">
        <v>2023</v>
      </c>
      <c r="D6300" t="s">
        <v>358</v>
      </c>
      <c r="E6300" t="s">
        <v>9088</v>
      </c>
      <c r="F6300">
        <v>165000</v>
      </c>
      <c r="G6300" t="s">
        <v>7865</v>
      </c>
      <c r="H6300">
        <v>63</v>
      </c>
      <c r="I6300" t="s">
        <v>8959</v>
      </c>
      <c r="J6300" t="s">
        <v>294</v>
      </c>
      <c r="M6300" t="s">
        <v>295</v>
      </c>
      <c r="N6300" t="s">
        <v>7</v>
      </c>
      <c r="O6300" t="s">
        <v>297</v>
      </c>
    </row>
    <row r="6301" spans="1:15" x14ac:dyDescent="0.3">
      <c r="A6301" t="s">
        <v>8828</v>
      </c>
      <c r="B6301" t="s">
        <v>9014</v>
      </c>
      <c r="C6301">
        <v>2023</v>
      </c>
      <c r="D6301" t="s">
        <v>394</v>
      </c>
      <c r="E6301" t="s">
        <v>8966</v>
      </c>
      <c r="F6301">
        <v>366113</v>
      </c>
      <c r="G6301" t="s">
        <v>396</v>
      </c>
      <c r="H6301">
        <v>57</v>
      </c>
      <c r="I6301" t="s">
        <v>9089</v>
      </c>
      <c r="J6301" t="s">
        <v>294</v>
      </c>
      <c r="M6301" t="s">
        <v>295</v>
      </c>
      <c r="N6301" t="s">
        <v>7</v>
      </c>
      <c r="O6301" t="s">
        <v>297</v>
      </c>
    </row>
    <row r="6302" spans="1:15" x14ac:dyDescent="0.3">
      <c r="A6302" t="s">
        <v>8828</v>
      </c>
      <c r="B6302" t="s">
        <v>9014</v>
      </c>
      <c r="C6302">
        <v>2023</v>
      </c>
      <c r="D6302" t="s">
        <v>394</v>
      </c>
      <c r="E6302" t="s">
        <v>8968</v>
      </c>
      <c r="F6302">
        <v>102533</v>
      </c>
      <c r="G6302" t="s">
        <v>396</v>
      </c>
      <c r="H6302">
        <v>57</v>
      </c>
      <c r="I6302" t="s">
        <v>9090</v>
      </c>
      <c r="J6302" t="s">
        <v>294</v>
      </c>
      <c r="M6302" t="s">
        <v>295</v>
      </c>
      <c r="N6302" t="s">
        <v>7</v>
      </c>
      <c r="O6302" t="s">
        <v>297</v>
      </c>
    </row>
    <row r="6303" spans="1:15" x14ac:dyDescent="0.3">
      <c r="A6303" t="s">
        <v>8828</v>
      </c>
      <c r="B6303" t="s">
        <v>9014</v>
      </c>
      <c r="C6303">
        <v>2023</v>
      </c>
      <c r="D6303" t="s">
        <v>394</v>
      </c>
      <c r="E6303" t="s">
        <v>406</v>
      </c>
      <c r="F6303">
        <v>123628</v>
      </c>
      <c r="G6303" t="s">
        <v>396</v>
      </c>
      <c r="H6303">
        <v>58</v>
      </c>
      <c r="I6303" t="s">
        <v>9091</v>
      </c>
      <c r="J6303" t="s">
        <v>294</v>
      </c>
      <c r="M6303" t="s">
        <v>295</v>
      </c>
      <c r="N6303" t="s">
        <v>7</v>
      </c>
      <c r="O6303" t="s">
        <v>297</v>
      </c>
    </row>
    <row r="6304" spans="1:15" x14ac:dyDescent="0.3">
      <c r="A6304" t="s">
        <v>8828</v>
      </c>
      <c r="B6304" t="s">
        <v>9014</v>
      </c>
      <c r="C6304">
        <v>2023</v>
      </c>
      <c r="D6304" t="s">
        <v>394</v>
      </c>
      <c r="E6304" t="s">
        <v>855</v>
      </c>
      <c r="F6304">
        <v>28591</v>
      </c>
      <c r="G6304" t="s">
        <v>396</v>
      </c>
      <c r="H6304">
        <v>58</v>
      </c>
      <c r="I6304" t="s">
        <v>9092</v>
      </c>
      <c r="J6304" t="s">
        <v>294</v>
      </c>
      <c r="M6304" t="s">
        <v>295</v>
      </c>
      <c r="N6304" t="s">
        <v>7</v>
      </c>
      <c r="O6304" t="s">
        <v>297</v>
      </c>
    </row>
    <row r="6305" spans="1:15" x14ac:dyDescent="0.3">
      <c r="A6305" t="s">
        <v>8828</v>
      </c>
      <c r="B6305" t="s">
        <v>9014</v>
      </c>
      <c r="C6305">
        <v>2023</v>
      </c>
      <c r="D6305" t="s">
        <v>394</v>
      </c>
      <c r="E6305" t="s">
        <v>8972</v>
      </c>
      <c r="F6305">
        <v>10292</v>
      </c>
      <c r="G6305" t="s">
        <v>396</v>
      </c>
      <c r="H6305">
        <v>66</v>
      </c>
      <c r="I6305" t="s">
        <v>9093</v>
      </c>
      <c r="J6305" t="s">
        <v>294</v>
      </c>
      <c r="M6305" t="s">
        <v>295</v>
      </c>
      <c r="N6305" t="s">
        <v>7</v>
      </c>
      <c r="O6305" t="s">
        <v>297</v>
      </c>
    </row>
    <row r="6306" spans="1:15" x14ac:dyDescent="0.3">
      <c r="A6306" t="s">
        <v>8828</v>
      </c>
      <c r="B6306" t="s">
        <v>9014</v>
      </c>
      <c r="C6306">
        <v>2023</v>
      </c>
      <c r="D6306" t="s">
        <v>394</v>
      </c>
      <c r="E6306" t="s">
        <v>8974</v>
      </c>
      <c r="F6306">
        <v>9127</v>
      </c>
      <c r="G6306" t="s">
        <v>396</v>
      </c>
      <c r="H6306">
        <v>66</v>
      </c>
      <c r="I6306" t="s">
        <v>9094</v>
      </c>
      <c r="J6306" t="s">
        <v>294</v>
      </c>
      <c r="M6306" t="s">
        <v>295</v>
      </c>
      <c r="N6306" t="s">
        <v>7</v>
      </c>
      <c r="O6306" t="s">
        <v>297</v>
      </c>
    </row>
    <row r="6307" spans="1:15" x14ac:dyDescent="0.3">
      <c r="A6307" t="s">
        <v>8828</v>
      </c>
      <c r="B6307" t="s">
        <v>9014</v>
      </c>
      <c r="C6307">
        <v>2023</v>
      </c>
      <c r="D6307" t="s">
        <v>394</v>
      </c>
      <c r="E6307" t="s">
        <v>8976</v>
      </c>
      <c r="F6307">
        <v>1638.4</v>
      </c>
      <c r="G6307" t="s">
        <v>302</v>
      </c>
      <c r="H6307">
        <v>60</v>
      </c>
      <c r="I6307" t="s">
        <v>9095</v>
      </c>
      <c r="J6307" t="s">
        <v>294</v>
      </c>
      <c r="M6307" t="s">
        <v>295</v>
      </c>
      <c r="N6307" t="s">
        <v>7</v>
      </c>
      <c r="O6307" t="s">
        <v>297</v>
      </c>
    </row>
    <row r="6308" spans="1:15" x14ac:dyDescent="0.3">
      <c r="A6308" t="s">
        <v>8828</v>
      </c>
      <c r="B6308" t="s">
        <v>9014</v>
      </c>
      <c r="C6308">
        <v>2023</v>
      </c>
      <c r="D6308" t="s">
        <v>394</v>
      </c>
      <c r="E6308" t="s">
        <v>8978</v>
      </c>
      <c r="F6308">
        <v>437.02</v>
      </c>
      <c r="G6308" t="s">
        <v>302</v>
      </c>
      <c r="H6308">
        <v>60</v>
      </c>
      <c r="I6308" t="s">
        <v>9096</v>
      </c>
      <c r="J6308" t="s">
        <v>294</v>
      </c>
      <c r="M6308" t="s">
        <v>295</v>
      </c>
      <c r="N6308" t="s">
        <v>7</v>
      </c>
      <c r="O6308" t="s">
        <v>297</v>
      </c>
    </row>
    <row r="6309" spans="1:15" x14ac:dyDescent="0.3">
      <c r="A6309" t="s">
        <v>8828</v>
      </c>
      <c r="B6309" t="s">
        <v>9014</v>
      </c>
      <c r="C6309">
        <v>2023</v>
      </c>
      <c r="D6309" t="s">
        <v>394</v>
      </c>
      <c r="E6309" t="s">
        <v>8992</v>
      </c>
      <c r="F6309">
        <v>0.65349999999999997</v>
      </c>
      <c r="G6309" t="s">
        <v>334</v>
      </c>
      <c r="H6309">
        <v>60</v>
      </c>
      <c r="I6309" t="s">
        <v>9097</v>
      </c>
      <c r="J6309" t="s">
        <v>294</v>
      </c>
      <c r="M6309" t="s">
        <v>295</v>
      </c>
      <c r="N6309" t="s">
        <v>7</v>
      </c>
      <c r="O6309" t="s">
        <v>297</v>
      </c>
    </row>
    <row r="6310" spans="1:15" x14ac:dyDescent="0.3">
      <c r="A6310" t="s">
        <v>8828</v>
      </c>
      <c r="B6310" t="s">
        <v>9014</v>
      </c>
      <c r="C6310">
        <v>2023</v>
      </c>
      <c r="D6310" t="s">
        <v>394</v>
      </c>
      <c r="E6310" t="s">
        <v>8980</v>
      </c>
      <c r="F6310">
        <v>637.64</v>
      </c>
      <c r="G6310" t="s">
        <v>302</v>
      </c>
      <c r="H6310">
        <v>65</v>
      </c>
      <c r="I6310" t="s">
        <v>9098</v>
      </c>
      <c r="J6310" t="s">
        <v>294</v>
      </c>
      <c r="M6310" t="s">
        <v>295</v>
      </c>
      <c r="N6310" t="s">
        <v>7</v>
      </c>
      <c r="O6310" t="s">
        <v>297</v>
      </c>
    </row>
    <row r="6311" spans="1:15" x14ac:dyDescent="0.3">
      <c r="A6311" t="s">
        <v>8828</v>
      </c>
      <c r="B6311" t="s">
        <v>9014</v>
      </c>
      <c r="C6311">
        <v>2023</v>
      </c>
      <c r="D6311" t="s">
        <v>394</v>
      </c>
      <c r="E6311" t="s">
        <v>8982</v>
      </c>
      <c r="F6311">
        <v>57.2</v>
      </c>
      <c r="G6311" t="s">
        <v>302</v>
      </c>
      <c r="H6311">
        <v>65</v>
      </c>
      <c r="I6311" t="s">
        <v>9099</v>
      </c>
      <c r="J6311" t="s">
        <v>294</v>
      </c>
      <c r="M6311" t="s">
        <v>295</v>
      </c>
      <c r="N6311" t="s">
        <v>7</v>
      </c>
      <c r="O6311" t="s">
        <v>297</v>
      </c>
    </row>
    <row r="6312" spans="1:15" x14ac:dyDescent="0.3">
      <c r="A6312" t="s">
        <v>8828</v>
      </c>
      <c r="B6312" t="s">
        <v>9014</v>
      </c>
      <c r="C6312">
        <v>2023</v>
      </c>
      <c r="D6312" t="s">
        <v>394</v>
      </c>
      <c r="E6312" t="s">
        <v>8984</v>
      </c>
      <c r="F6312">
        <v>231.25</v>
      </c>
      <c r="G6312" t="s">
        <v>302</v>
      </c>
      <c r="H6312">
        <v>68</v>
      </c>
      <c r="I6312" t="s">
        <v>9100</v>
      </c>
      <c r="J6312" t="s">
        <v>294</v>
      </c>
      <c r="M6312" t="s">
        <v>295</v>
      </c>
      <c r="N6312" t="s">
        <v>7</v>
      </c>
      <c r="O6312" t="s">
        <v>297</v>
      </c>
    </row>
    <row r="6313" spans="1:15" x14ac:dyDescent="0.3">
      <c r="A6313" t="s">
        <v>8828</v>
      </c>
      <c r="B6313" t="s">
        <v>9014</v>
      </c>
      <c r="C6313">
        <v>2023</v>
      </c>
      <c r="D6313" t="s">
        <v>394</v>
      </c>
      <c r="E6313" t="s">
        <v>8988</v>
      </c>
      <c r="F6313">
        <v>0.91700000000000004</v>
      </c>
      <c r="G6313" t="s">
        <v>334</v>
      </c>
      <c r="H6313">
        <v>60</v>
      </c>
      <c r="I6313" t="s">
        <v>9101</v>
      </c>
      <c r="J6313" t="s">
        <v>294</v>
      </c>
      <c r="M6313" t="s">
        <v>295</v>
      </c>
      <c r="N6313" t="s">
        <v>7</v>
      </c>
      <c r="O6313" t="s">
        <v>297</v>
      </c>
    </row>
    <row r="6314" spans="1:15" x14ac:dyDescent="0.3">
      <c r="A6314" t="s">
        <v>8828</v>
      </c>
      <c r="B6314" t="s">
        <v>9014</v>
      </c>
      <c r="C6314">
        <v>2023</v>
      </c>
      <c r="D6314" t="s">
        <v>563</v>
      </c>
      <c r="E6314" t="s">
        <v>9102</v>
      </c>
      <c r="F6314" t="s">
        <v>9103</v>
      </c>
      <c r="G6314" t="s">
        <v>292</v>
      </c>
      <c r="H6314">
        <v>63</v>
      </c>
      <c r="I6314" t="s">
        <v>9104</v>
      </c>
      <c r="J6314" t="s">
        <v>294</v>
      </c>
      <c r="M6314" t="s">
        <v>295</v>
      </c>
      <c r="N6314" t="s">
        <v>7</v>
      </c>
      <c r="O6314" t="s">
        <v>297</v>
      </c>
    </row>
    <row r="6315" spans="1:15" x14ac:dyDescent="0.3">
      <c r="A6315" t="s">
        <v>8828</v>
      </c>
      <c r="B6315" t="s">
        <v>9014</v>
      </c>
      <c r="C6315">
        <v>2023</v>
      </c>
      <c r="D6315" t="s">
        <v>252</v>
      </c>
      <c r="E6315" t="s">
        <v>9105</v>
      </c>
      <c r="F6315" t="s">
        <v>9106</v>
      </c>
      <c r="G6315" t="s">
        <v>292</v>
      </c>
      <c r="I6315" t="s">
        <v>9107</v>
      </c>
      <c r="J6315" t="s">
        <v>294</v>
      </c>
      <c r="M6315" t="s">
        <v>295</v>
      </c>
      <c r="N6315" t="s">
        <v>7</v>
      </c>
      <c r="O6315" t="s">
        <v>297</v>
      </c>
    </row>
    <row r="6316" spans="1:15" x14ac:dyDescent="0.3">
      <c r="A6316" t="s">
        <v>8828</v>
      </c>
      <c r="B6316" t="s">
        <v>9014</v>
      </c>
      <c r="C6316">
        <v>2023</v>
      </c>
      <c r="D6316" t="s">
        <v>252</v>
      </c>
      <c r="E6316" t="s">
        <v>9108</v>
      </c>
      <c r="F6316" t="s">
        <v>9109</v>
      </c>
      <c r="G6316" t="s">
        <v>292</v>
      </c>
      <c r="I6316" t="s">
        <v>9110</v>
      </c>
      <c r="J6316" t="s">
        <v>294</v>
      </c>
      <c r="M6316" t="s">
        <v>295</v>
      </c>
      <c r="N6316" t="s">
        <v>7</v>
      </c>
      <c r="O6316" t="s">
        <v>297</v>
      </c>
    </row>
    <row r="6317" spans="1:15" x14ac:dyDescent="0.3">
      <c r="A6317" t="s">
        <v>8828</v>
      </c>
      <c r="B6317" t="s">
        <v>9014</v>
      </c>
      <c r="C6317">
        <v>2023</v>
      </c>
      <c r="D6317" t="s">
        <v>252</v>
      </c>
      <c r="E6317" t="s">
        <v>9111</v>
      </c>
      <c r="F6317" t="s">
        <v>9112</v>
      </c>
      <c r="G6317" t="s">
        <v>292</v>
      </c>
      <c r="H6317">
        <v>11</v>
      </c>
      <c r="I6317" t="s">
        <v>9113</v>
      </c>
      <c r="J6317" t="s">
        <v>294</v>
      </c>
      <c r="M6317" t="s">
        <v>295</v>
      </c>
      <c r="N6317" t="s">
        <v>7</v>
      </c>
      <c r="O6317" t="s">
        <v>297</v>
      </c>
    </row>
    <row r="6318" spans="1:15" x14ac:dyDescent="0.3">
      <c r="A6318" t="s">
        <v>8828</v>
      </c>
      <c r="B6318" t="s">
        <v>9014</v>
      </c>
      <c r="C6318">
        <v>2023</v>
      </c>
      <c r="D6318" t="s">
        <v>252</v>
      </c>
      <c r="E6318" t="s">
        <v>9114</v>
      </c>
      <c r="F6318" t="s">
        <v>9115</v>
      </c>
      <c r="G6318" t="s">
        <v>292</v>
      </c>
      <c r="H6318">
        <v>11</v>
      </c>
      <c r="I6318" t="s">
        <v>9116</v>
      </c>
      <c r="J6318" t="s">
        <v>294</v>
      </c>
      <c r="M6318" t="s">
        <v>295</v>
      </c>
      <c r="N6318" t="s">
        <v>7</v>
      </c>
      <c r="O6318" t="s">
        <v>297</v>
      </c>
    </row>
    <row r="6319" spans="1:15" x14ac:dyDescent="0.3">
      <c r="A6319" t="s">
        <v>8828</v>
      </c>
      <c r="B6319" t="s">
        <v>9014</v>
      </c>
      <c r="C6319">
        <v>2023</v>
      </c>
      <c r="D6319" t="s">
        <v>252</v>
      </c>
      <c r="E6319" t="s">
        <v>9008</v>
      </c>
      <c r="F6319" t="s">
        <v>9009</v>
      </c>
      <c r="G6319" t="s">
        <v>292</v>
      </c>
      <c r="H6319">
        <v>9</v>
      </c>
      <c r="I6319" t="s">
        <v>9117</v>
      </c>
      <c r="J6319" t="s">
        <v>294</v>
      </c>
      <c r="M6319" t="s">
        <v>295</v>
      </c>
      <c r="N6319" t="s">
        <v>7</v>
      </c>
      <c r="O6319" t="s">
        <v>297</v>
      </c>
    </row>
    <row r="6320" spans="1:15" x14ac:dyDescent="0.3">
      <c r="A6320" t="s">
        <v>8828</v>
      </c>
      <c r="B6320" t="s">
        <v>9014</v>
      </c>
      <c r="C6320">
        <v>2023</v>
      </c>
      <c r="D6320" t="s">
        <v>252</v>
      </c>
      <c r="E6320" t="s">
        <v>9011</v>
      </c>
      <c r="F6320" t="s">
        <v>9118</v>
      </c>
      <c r="G6320" t="s">
        <v>292</v>
      </c>
      <c r="H6320">
        <v>62</v>
      </c>
      <c r="I6320" t="s">
        <v>9119</v>
      </c>
      <c r="J6320" t="s">
        <v>294</v>
      </c>
      <c r="M6320" t="s">
        <v>295</v>
      </c>
      <c r="N6320" t="s">
        <v>7</v>
      </c>
      <c r="O6320" t="s">
        <v>297</v>
      </c>
    </row>
    <row r="6321" spans="1:15" x14ac:dyDescent="0.3">
      <c r="A6321" t="s">
        <v>8828</v>
      </c>
      <c r="B6321" t="s">
        <v>9120</v>
      </c>
      <c r="C6321">
        <v>2024</v>
      </c>
      <c r="D6321" t="s">
        <v>272</v>
      </c>
      <c r="E6321" t="s">
        <v>291</v>
      </c>
      <c r="F6321" t="s">
        <v>8828</v>
      </c>
      <c r="G6321" t="s">
        <v>292</v>
      </c>
      <c r="H6321">
        <v>1</v>
      </c>
      <c r="I6321" t="s">
        <v>9121</v>
      </c>
      <c r="J6321" t="s">
        <v>294</v>
      </c>
      <c r="M6321" t="s">
        <v>295</v>
      </c>
      <c r="N6321" t="s">
        <v>7</v>
      </c>
      <c r="O6321" t="s">
        <v>297</v>
      </c>
    </row>
    <row r="6322" spans="1:15" x14ac:dyDescent="0.3">
      <c r="A6322" t="s">
        <v>8828</v>
      </c>
      <c r="B6322" t="s">
        <v>9120</v>
      </c>
      <c r="C6322">
        <v>2024</v>
      </c>
      <c r="D6322" t="s">
        <v>272</v>
      </c>
      <c r="E6322" t="s">
        <v>8831</v>
      </c>
      <c r="F6322" t="s">
        <v>8832</v>
      </c>
      <c r="G6322" t="s">
        <v>292</v>
      </c>
      <c r="H6322">
        <v>8</v>
      </c>
      <c r="I6322" t="s">
        <v>8833</v>
      </c>
      <c r="J6322" t="s">
        <v>294</v>
      </c>
      <c r="M6322" t="s">
        <v>295</v>
      </c>
      <c r="N6322" t="s">
        <v>7</v>
      </c>
      <c r="O6322" t="s">
        <v>297</v>
      </c>
    </row>
    <row r="6323" spans="1:15" x14ac:dyDescent="0.3">
      <c r="A6323" t="s">
        <v>8828</v>
      </c>
      <c r="B6323" t="s">
        <v>9120</v>
      </c>
      <c r="C6323">
        <v>2024</v>
      </c>
      <c r="D6323" t="s">
        <v>272</v>
      </c>
      <c r="E6323" t="s">
        <v>8834</v>
      </c>
      <c r="F6323" t="s">
        <v>9122</v>
      </c>
      <c r="G6323" t="s">
        <v>334</v>
      </c>
      <c r="H6323">
        <v>10</v>
      </c>
      <c r="I6323" t="s">
        <v>9123</v>
      </c>
      <c r="J6323" t="s">
        <v>294</v>
      </c>
      <c r="M6323" t="s">
        <v>295</v>
      </c>
      <c r="N6323" t="s">
        <v>7</v>
      </c>
      <c r="O6323" t="s">
        <v>297</v>
      </c>
    </row>
    <row r="6324" spans="1:15" x14ac:dyDescent="0.3">
      <c r="A6324" t="s">
        <v>8828</v>
      </c>
      <c r="B6324" t="s">
        <v>9120</v>
      </c>
      <c r="C6324">
        <v>2024</v>
      </c>
      <c r="D6324" t="s">
        <v>272</v>
      </c>
      <c r="E6324" t="s">
        <v>8837</v>
      </c>
      <c r="F6324">
        <v>0.1096</v>
      </c>
      <c r="G6324" t="s">
        <v>334</v>
      </c>
      <c r="H6324">
        <v>10</v>
      </c>
      <c r="I6324" t="s">
        <v>8838</v>
      </c>
      <c r="J6324" t="s">
        <v>294</v>
      </c>
      <c r="M6324" t="s">
        <v>295</v>
      </c>
      <c r="N6324" t="s">
        <v>7</v>
      </c>
      <c r="O6324" t="s">
        <v>297</v>
      </c>
    </row>
    <row r="6325" spans="1:15" x14ac:dyDescent="0.3">
      <c r="A6325" t="s">
        <v>8828</v>
      </c>
      <c r="B6325" t="s">
        <v>9120</v>
      </c>
      <c r="C6325">
        <v>2024</v>
      </c>
      <c r="D6325" t="s">
        <v>272</v>
      </c>
      <c r="E6325" t="s">
        <v>9124</v>
      </c>
      <c r="F6325">
        <v>9.2100000000000001E-2</v>
      </c>
      <c r="G6325" t="s">
        <v>334</v>
      </c>
      <c r="H6325">
        <v>10</v>
      </c>
      <c r="I6325" t="s">
        <v>9125</v>
      </c>
      <c r="J6325" t="s">
        <v>294</v>
      </c>
      <c r="M6325" t="s">
        <v>295</v>
      </c>
      <c r="N6325" t="s">
        <v>7</v>
      </c>
      <c r="O6325" t="s">
        <v>297</v>
      </c>
    </row>
    <row r="6326" spans="1:15" x14ac:dyDescent="0.3">
      <c r="A6326" t="s">
        <v>8828</v>
      </c>
      <c r="B6326" t="s">
        <v>9120</v>
      </c>
      <c r="C6326">
        <v>2024</v>
      </c>
      <c r="D6326" t="s">
        <v>272</v>
      </c>
      <c r="E6326" t="s">
        <v>8841</v>
      </c>
      <c r="F6326">
        <v>6.1199999999999997E-2</v>
      </c>
      <c r="G6326" t="s">
        <v>334</v>
      </c>
      <c r="H6326">
        <v>10</v>
      </c>
      <c r="I6326" t="s">
        <v>9126</v>
      </c>
      <c r="J6326" t="s">
        <v>294</v>
      </c>
      <c r="M6326" t="s">
        <v>295</v>
      </c>
      <c r="N6326" t="s">
        <v>7</v>
      </c>
      <c r="O6326" t="s">
        <v>297</v>
      </c>
    </row>
    <row r="6327" spans="1:15" x14ac:dyDescent="0.3">
      <c r="A6327" t="s">
        <v>8828</v>
      </c>
      <c r="B6327" t="s">
        <v>9120</v>
      </c>
      <c r="C6327">
        <v>2024</v>
      </c>
      <c r="D6327" t="s">
        <v>272</v>
      </c>
      <c r="E6327" t="s">
        <v>445</v>
      </c>
      <c r="F6327">
        <v>0.55889999999999995</v>
      </c>
      <c r="G6327" t="s">
        <v>334</v>
      </c>
      <c r="H6327">
        <v>10</v>
      </c>
      <c r="I6327" t="s">
        <v>9127</v>
      </c>
      <c r="J6327" t="s">
        <v>294</v>
      </c>
      <c r="M6327" t="s">
        <v>295</v>
      </c>
      <c r="N6327" t="s">
        <v>7</v>
      </c>
      <c r="O6327" t="s">
        <v>297</v>
      </c>
    </row>
    <row r="6328" spans="1:15" x14ac:dyDescent="0.3">
      <c r="A6328" t="s">
        <v>8828</v>
      </c>
      <c r="B6328" t="s">
        <v>9120</v>
      </c>
      <c r="C6328">
        <v>2024</v>
      </c>
      <c r="D6328" t="s">
        <v>272</v>
      </c>
      <c r="E6328" t="s">
        <v>4335</v>
      </c>
      <c r="F6328">
        <v>2500162344</v>
      </c>
      <c r="G6328" t="s">
        <v>1633</v>
      </c>
      <c r="H6328">
        <v>10</v>
      </c>
      <c r="I6328" t="s">
        <v>9128</v>
      </c>
      <c r="J6328" t="s">
        <v>294</v>
      </c>
      <c r="M6328" t="s">
        <v>295</v>
      </c>
      <c r="N6328" t="s">
        <v>7</v>
      </c>
      <c r="O6328" t="s">
        <v>297</v>
      </c>
    </row>
    <row r="6329" spans="1:15" x14ac:dyDescent="0.3">
      <c r="A6329" t="s">
        <v>8828</v>
      </c>
      <c r="B6329" t="s">
        <v>9120</v>
      </c>
      <c r="C6329">
        <v>2024</v>
      </c>
      <c r="D6329" t="s">
        <v>272</v>
      </c>
      <c r="E6329" t="s">
        <v>8848</v>
      </c>
      <c r="F6329">
        <v>13435</v>
      </c>
      <c r="G6329" t="s">
        <v>384</v>
      </c>
      <c r="H6329">
        <v>11</v>
      </c>
      <c r="I6329" t="s">
        <v>9129</v>
      </c>
      <c r="J6329" t="s">
        <v>294</v>
      </c>
      <c r="M6329" t="s">
        <v>295</v>
      </c>
      <c r="N6329" t="s">
        <v>7</v>
      </c>
      <c r="O6329" t="s">
        <v>297</v>
      </c>
    </row>
    <row r="6330" spans="1:15" x14ac:dyDescent="0.3">
      <c r="A6330" t="s">
        <v>8828</v>
      </c>
      <c r="B6330" t="s">
        <v>9120</v>
      </c>
      <c r="C6330">
        <v>2024</v>
      </c>
      <c r="D6330" t="s">
        <v>272</v>
      </c>
      <c r="E6330" t="s">
        <v>9130</v>
      </c>
      <c r="F6330" t="s">
        <v>9131</v>
      </c>
      <c r="G6330" t="s">
        <v>292</v>
      </c>
      <c r="H6330">
        <v>13</v>
      </c>
      <c r="I6330" t="s">
        <v>9132</v>
      </c>
      <c r="J6330" t="s">
        <v>294</v>
      </c>
      <c r="M6330" t="s">
        <v>295</v>
      </c>
      <c r="N6330" t="s">
        <v>7</v>
      </c>
      <c r="O6330" t="s">
        <v>297</v>
      </c>
    </row>
    <row r="6331" spans="1:15" x14ac:dyDescent="0.3">
      <c r="A6331" t="s">
        <v>8828</v>
      </c>
      <c r="B6331" t="s">
        <v>9120</v>
      </c>
      <c r="C6331">
        <v>2024</v>
      </c>
      <c r="D6331" t="s">
        <v>300</v>
      </c>
      <c r="E6331" t="s">
        <v>9133</v>
      </c>
      <c r="F6331">
        <v>2327.87</v>
      </c>
      <c r="G6331" t="s">
        <v>302</v>
      </c>
      <c r="H6331">
        <v>6</v>
      </c>
      <c r="I6331" t="s">
        <v>9134</v>
      </c>
      <c r="J6331" t="s">
        <v>294</v>
      </c>
      <c r="M6331" t="s">
        <v>295</v>
      </c>
      <c r="N6331" t="s">
        <v>7</v>
      </c>
      <c r="O6331" t="s">
        <v>297</v>
      </c>
    </row>
    <row r="6332" spans="1:15" x14ac:dyDescent="0.3">
      <c r="A6332" t="s">
        <v>8828</v>
      </c>
      <c r="B6332" t="s">
        <v>9120</v>
      </c>
      <c r="C6332">
        <v>2024</v>
      </c>
      <c r="D6332" t="s">
        <v>300</v>
      </c>
      <c r="E6332" t="s">
        <v>2868</v>
      </c>
      <c r="F6332">
        <v>1723.35</v>
      </c>
      <c r="G6332" t="s">
        <v>302</v>
      </c>
      <c r="H6332">
        <v>6</v>
      </c>
      <c r="I6332" t="s">
        <v>9135</v>
      </c>
      <c r="J6332" t="s">
        <v>294</v>
      </c>
      <c r="M6332" t="s">
        <v>295</v>
      </c>
      <c r="N6332" t="s">
        <v>7</v>
      </c>
      <c r="O6332" t="s">
        <v>297</v>
      </c>
    </row>
    <row r="6333" spans="1:15" x14ac:dyDescent="0.3">
      <c r="A6333" t="s">
        <v>8828</v>
      </c>
      <c r="B6333" t="s">
        <v>9120</v>
      </c>
      <c r="C6333">
        <v>2024</v>
      </c>
      <c r="D6333" t="s">
        <v>300</v>
      </c>
      <c r="E6333" t="s">
        <v>304</v>
      </c>
      <c r="F6333">
        <v>604.52</v>
      </c>
      <c r="G6333" t="s">
        <v>302</v>
      </c>
      <c r="H6333">
        <v>6</v>
      </c>
      <c r="I6333" t="s">
        <v>9136</v>
      </c>
      <c r="J6333" t="s">
        <v>294</v>
      </c>
      <c r="M6333" t="s">
        <v>295</v>
      </c>
      <c r="N6333" t="s">
        <v>7</v>
      </c>
      <c r="O6333" t="s">
        <v>297</v>
      </c>
    </row>
    <row r="6334" spans="1:15" x14ac:dyDescent="0.3">
      <c r="A6334" t="s">
        <v>8828</v>
      </c>
      <c r="B6334" t="s">
        <v>9120</v>
      </c>
      <c r="C6334">
        <v>2024</v>
      </c>
      <c r="D6334" t="s">
        <v>300</v>
      </c>
      <c r="E6334" t="s">
        <v>1155</v>
      </c>
      <c r="F6334">
        <v>42.04</v>
      </c>
      <c r="G6334" t="s">
        <v>302</v>
      </c>
      <c r="H6334">
        <v>78</v>
      </c>
      <c r="I6334" t="s">
        <v>9137</v>
      </c>
      <c r="J6334" t="s">
        <v>294</v>
      </c>
      <c r="M6334" t="s">
        <v>295</v>
      </c>
      <c r="N6334" t="s">
        <v>7</v>
      </c>
      <c r="O6334" t="s">
        <v>297</v>
      </c>
    </row>
    <row r="6335" spans="1:15" x14ac:dyDescent="0.3">
      <c r="A6335" t="s">
        <v>8828</v>
      </c>
      <c r="B6335" t="s">
        <v>9120</v>
      </c>
      <c r="C6335">
        <v>2024</v>
      </c>
      <c r="D6335" t="s">
        <v>300</v>
      </c>
      <c r="E6335" t="s">
        <v>8746</v>
      </c>
      <c r="F6335">
        <v>353.46</v>
      </c>
      <c r="G6335" t="s">
        <v>302</v>
      </c>
      <c r="H6335">
        <v>78</v>
      </c>
      <c r="I6335" t="s">
        <v>9138</v>
      </c>
      <c r="J6335" t="s">
        <v>294</v>
      </c>
      <c r="M6335" t="s">
        <v>295</v>
      </c>
      <c r="N6335" t="s">
        <v>7</v>
      </c>
      <c r="O6335" t="s">
        <v>297</v>
      </c>
    </row>
    <row r="6336" spans="1:15" x14ac:dyDescent="0.3">
      <c r="A6336" t="s">
        <v>8828</v>
      </c>
      <c r="B6336" t="s">
        <v>9120</v>
      </c>
      <c r="C6336">
        <v>2024</v>
      </c>
      <c r="D6336" t="s">
        <v>300</v>
      </c>
      <c r="E6336" t="s">
        <v>9139</v>
      </c>
      <c r="F6336">
        <v>-342.26</v>
      </c>
      <c r="G6336" t="s">
        <v>302</v>
      </c>
      <c r="H6336">
        <v>78</v>
      </c>
      <c r="I6336" t="s">
        <v>9140</v>
      </c>
      <c r="J6336" t="s">
        <v>294</v>
      </c>
      <c r="M6336" t="s">
        <v>295</v>
      </c>
      <c r="N6336" t="s">
        <v>7</v>
      </c>
      <c r="O6336" t="s">
        <v>297</v>
      </c>
    </row>
    <row r="6337" spans="1:15" x14ac:dyDescent="0.3">
      <c r="A6337" t="s">
        <v>8828</v>
      </c>
      <c r="B6337" t="s">
        <v>9120</v>
      </c>
      <c r="C6337">
        <v>2024</v>
      </c>
      <c r="D6337" t="s">
        <v>300</v>
      </c>
      <c r="E6337" t="s">
        <v>9141</v>
      </c>
      <c r="F6337">
        <v>25.58</v>
      </c>
      <c r="G6337" t="s">
        <v>302</v>
      </c>
      <c r="H6337">
        <v>78</v>
      </c>
      <c r="I6337" t="s">
        <v>9142</v>
      </c>
      <c r="J6337" t="s">
        <v>294</v>
      </c>
      <c r="M6337" t="s">
        <v>295</v>
      </c>
      <c r="N6337" t="s">
        <v>7</v>
      </c>
      <c r="O6337" t="s">
        <v>297</v>
      </c>
    </row>
    <row r="6338" spans="1:15" x14ac:dyDescent="0.3">
      <c r="A6338" t="s">
        <v>8828</v>
      </c>
      <c r="B6338" t="s">
        <v>9120</v>
      </c>
      <c r="C6338">
        <v>2024</v>
      </c>
      <c r="D6338" t="s">
        <v>300</v>
      </c>
      <c r="E6338" t="s">
        <v>1162</v>
      </c>
      <c r="F6338">
        <v>10.99</v>
      </c>
      <c r="G6338" t="s">
        <v>302</v>
      </c>
      <c r="H6338">
        <v>78</v>
      </c>
      <c r="I6338" t="s">
        <v>9143</v>
      </c>
      <c r="J6338" t="s">
        <v>294</v>
      </c>
      <c r="M6338" t="s">
        <v>295</v>
      </c>
      <c r="N6338" t="s">
        <v>7</v>
      </c>
      <c r="O6338" t="s">
        <v>297</v>
      </c>
    </row>
    <row r="6339" spans="1:15" x14ac:dyDescent="0.3">
      <c r="A6339" t="s">
        <v>8828</v>
      </c>
      <c r="B6339" t="s">
        <v>9120</v>
      </c>
      <c r="C6339">
        <v>2024</v>
      </c>
      <c r="D6339" t="s">
        <v>300</v>
      </c>
      <c r="E6339" t="s">
        <v>3041</v>
      </c>
      <c r="F6339">
        <v>216.51</v>
      </c>
      <c r="G6339" t="s">
        <v>302</v>
      </c>
      <c r="H6339">
        <v>79</v>
      </c>
      <c r="I6339" t="s">
        <v>9144</v>
      </c>
      <c r="J6339" t="s">
        <v>294</v>
      </c>
      <c r="M6339" t="s">
        <v>295</v>
      </c>
      <c r="N6339" t="s">
        <v>7</v>
      </c>
      <c r="O6339" t="s">
        <v>297</v>
      </c>
    </row>
    <row r="6340" spans="1:15" x14ac:dyDescent="0.3">
      <c r="A6340" t="s">
        <v>8828</v>
      </c>
      <c r="B6340" t="s">
        <v>9120</v>
      </c>
      <c r="C6340">
        <v>2024</v>
      </c>
      <c r="D6340" t="s">
        <v>300</v>
      </c>
      <c r="E6340" t="s">
        <v>9145</v>
      </c>
      <c r="F6340">
        <v>591.74</v>
      </c>
      <c r="G6340" t="s">
        <v>302</v>
      </c>
      <c r="H6340">
        <v>79</v>
      </c>
      <c r="I6340" t="s">
        <v>9146</v>
      </c>
      <c r="J6340" t="s">
        <v>294</v>
      </c>
      <c r="M6340" t="s">
        <v>295</v>
      </c>
      <c r="N6340" t="s">
        <v>7</v>
      </c>
      <c r="O6340" t="s">
        <v>297</v>
      </c>
    </row>
    <row r="6341" spans="1:15" x14ac:dyDescent="0.3">
      <c r="A6341" t="s">
        <v>8828</v>
      </c>
      <c r="B6341" t="s">
        <v>9120</v>
      </c>
      <c r="C6341">
        <v>2024</v>
      </c>
      <c r="D6341" t="s">
        <v>300</v>
      </c>
      <c r="E6341" t="s">
        <v>579</v>
      </c>
      <c r="F6341">
        <v>280.26</v>
      </c>
      <c r="G6341" t="s">
        <v>302</v>
      </c>
      <c r="H6341">
        <v>79</v>
      </c>
      <c r="I6341" t="s">
        <v>9147</v>
      </c>
      <c r="J6341" t="s">
        <v>294</v>
      </c>
      <c r="M6341" t="s">
        <v>295</v>
      </c>
      <c r="N6341" t="s">
        <v>7</v>
      </c>
      <c r="O6341" t="s">
        <v>297</v>
      </c>
    </row>
    <row r="6342" spans="1:15" x14ac:dyDescent="0.3">
      <c r="A6342" t="s">
        <v>8828</v>
      </c>
      <c r="B6342" t="s">
        <v>9120</v>
      </c>
      <c r="C6342">
        <v>2024</v>
      </c>
      <c r="D6342" t="s">
        <v>300</v>
      </c>
      <c r="E6342" t="s">
        <v>9148</v>
      </c>
      <c r="F6342">
        <v>-141.37</v>
      </c>
      <c r="G6342" t="s">
        <v>302</v>
      </c>
      <c r="H6342">
        <v>79</v>
      </c>
      <c r="I6342" t="s">
        <v>9149</v>
      </c>
      <c r="J6342" t="s">
        <v>294</v>
      </c>
      <c r="M6342" t="s">
        <v>295</v>
      </c>
      <c r="N6342" t="s">
        <v>7</v>
      </c>
      <c r="O6342" t="s">
        <v>297</v>
      </c>
    </row>
    <row r="6343" spans="1:15" x14ac:dyDescent="0.3">
      <c r="A6343" t="s">
        <v>8828</v>
      </c>
      <c r="B6343" t="s">
        <v>9120</v>
      </c>
      <c r="C6343">
        <v>2024</v>
      </c>
      <c r="D6343" t="s">
        <v>300</v>
      </c>
      <c r="E6343" t="s">
        <v>306</v>
      </c>
      <c r="F6343">
        <v>138.88999999999999</v>
      </c>
      <c r="G6343" t="s">
        <v>302</v>
      </c>
      <c r="H6343">
        <v>79</v>
      </c>
      <c r="I6343" t="s">
        <v>9150</v>
      </c>
      <c r="J6343" t="s">
        <v>294</v>
      </c>
      <c r="M6343" t="s">
        <v>295</v>
      </c>
      <c r="N6343" t="s">
        <v>7</v>
      </c>
      <c r="O6343" t="s">
        <v>297</v>
      </c>
    </row>
    <row r="6344" spans="1:15" x14ac:dyDescent="0.3">
      <c r="A6344" t="s">
        <v>8828</v>
      </c>
      <c r="B6344" t="s">
        <v>9120</v>
      </c>
      <c r="C6344">
        <v>2024</v>
      </c>
      <c r="D6344" t="s">
        <v>300</v>
      </c>
      <c r="E6344" t="s">
        <v>308</v>
      </c>
      <c r="F6344">
        <v>138.88999999999999</v>
      </c>
      <c r="G6344" t="s">
        <v>302</v>
      </c>
      <c r="H6344">
        <v>6</v>
      </c>
      <c r="I6344" t="s">
        <v>9151</v>
      </c>
      <c r="J6344" t="s">
        <v>294</v>
      </c>
      <c r="M6344" t="s">
        <v>295</v>
      </c>
      <c r="N6344" t="s">
        <v>7</v>
      </c>
      <c r="O6344" t="s">
        <v>297</v>
      </c>
    </row>
    <row r="6345" spans="1:15" x14ac:dyDescent="0.3">
      <c r="A6345" t="s">
        <v>8828</v>
      </c>
      <c r="B6345" t="s">
        <v>9120</v>
      </c>
      <c r="C6345">
        <v>2024</v>
      </c>
      <c r="D6345" t="s">
        <v>300</v>
      </c>
      <c r="E6345" t="s">
        <v>310</v>
      </c>
      <c r="F6345">
        <v>147.35</v>
      </c>
      <c r="G6345" t="s">
        <v>302</v>
      </c>
      <c r="H6345">
        <v>79</v>
      </c>
      <c r="I6345" t="s">
        <v>9152</v>
      </c>
      <c r="J6345" t="s">
        <v>294</v>
      </c>
      <c r="M6345" t="s">
        <v>295</v>
      </c>
      <c r="N6345" t="s">
        <v>7</v>
      </c>
      <c r="O6345" t="s">
        <v>297</v>
      </c>
    </row>
    <row r="6346" spans="1:15" x14ac:dyDescent="0.3">
      <c r="A6346" t="s">
        <v>8828</v>
      </c>
      <c r="B6346" t="s">
        <v>9120</v>
      </c>
      <c r="C6346">
        <v>2024</v>
      </c>
      <c r="D6346" t="s">
        <v>300</v>
      </c>
      <c r="E6346" t="s">
        <v>312</v>
      </c>
      <c r="F6346">
        <v>850.34</v>
      </c>
      <c r="G6346" t="s">
        <v>302</v>
      </c>
      <c r="H6346">
        <v>78</v>
      </c>
      <c r="I6346" t="s">
        <v>9153</v>
      </c>
      <c r="J6346" t="s">
        <v>294</v>
      </c>
      <c r="M6346" t="s">
        <v>295</v>
      </c>
      <c r="N6346" t="s">
        <v>7</v>
      </c>
      <c r="O6346" t="s">
        <v>297</v>
      </c>
    </row>
    <row r="6347" spans="1:15" x14ac:dyDescent="0.3">
      <c r="A6347" t="s">
        <v>8828</v>
      </c>
      <c r="B6347" t="s">
        <v>9120</v>
      </c>
      <c r="C6347">
        <v>2024</v>
      </c>
      <c r="D6347" t="s">
        <v>300</v>
      </c>
      <c r="E6347" t="s">
        <v>314</v>
      </c>
      <c r="F6347">
        <v>2363.7399999999998</v>
      </c>
      <c r="G6347" t="s">
        <v>302</v>
      </c>
      <c r="H6347">
        <v>78</v>
      </c>
      <c r="I6347" t="s">
        <v>9154</v>
      </c>
      <c r="J6347" t="s">
        <v>294</v>
      </c>
      <c r="M6347" t="s">
        <v>295</v>
      </c>
      <c r="N6347" t="s">
        <v>7</v>
      </c>
      <c r="O6347" t="s">
        <v>297</v>
      </c>
    </row>
    <row r="6348" spans="1:15" x14ac:dyDescent="0.3">
      <c r="A6348" t="s">
        <v>8828</v>
      </c>
      <c r="B6348" t="s">
        <v>9120</v>
      </c>
      <c r="C6348">
        <v>2024</v>
      </c>
      <c r="D6348" t="s">
        <v>300</v>
      </c>
      <c r="E6348" t="s">
        <v>316</v>
      </c>
      <c r="F6348">
        <v>3214.08</v>
      </c>
      <c r="G6348" t="s">
        <v>302</v>
      </c>
      <c r="H6348">
        <v>78</v>
      </c>
      <c r="I6348" t="s">
        <v>9155</v>
      </c>
      <c r="J6348" t="s">
        <v>294</v>
      </c>
      <c r="M6348" t="s">
        <v>295</v>
      </c>
      <c r="N6348" t="s">
        <v>7</v>
      </c>
      <c r="O6348" t="s">
        <v>297</v>
      </c>
    </row>
    <row r="6349" spans="1:15" x14ac:dyDescent="0.3">
      <c r="A6349" t="s">
        <v>8828</v>
      </c>
      <c r="B6349" t="s">
        <v>9120</v>
      </c>
      <c r="C6349">
        <v>2024</v>
      </c>
      <c r="D6349" t="s">
        <v>300</v>
      </c>
      <c r="E6349" t="s">
        <v>318</v>
      </c>
      <c r="F6349">
        <v>8145.22</v>
      </c>
      <c r="G6349" t="s">
        <v>302</v>
      </c>
      <c r="H6349">
        <v>78</v>
      </c>
      <c r="I6349" t="s">
        <v>9156</v>
      </c>
      <c r="J6349" t="s">
        <v>294</v>
      </c>
      <c r="M6349" t="s">
        <v>295</v>
      </c>
      <c r="N6349" t="s">
        <v>7</v>
      </c>
      <c r="O6349" t="s">
        <v>297</v>
      </c>
    </row>
    <row r="6350" spans="1:15" x14ac:dyDescent="0.3">
      <c r="A6350" t="s">
        <v>8828</v>
      </c>
      <c r="B6350" t="s">
        <v>9120</v>
      </c>
      <c r="C6350">
        <v>2024</v>
      </c>
      <c r="D6350" t="s">
        <v>300</v>
      </c>
      <c r="E6350" t="s">
        <v>468</v>
      </c>
      <c r="F6350">
        <v>345.35</v>
      </c>
      <c r="G6350" t="s">
        <v>302</v>
      </c>
      <c r="H6350">
        <v>78</v>
      </c>
      <c r="I6350" t="s">
        <v>9157</v>
      </c>
      <c r="J6350" t="s">
        <v>294</v>
      </c>
      <c r="M6350" t="s">
        <v>295</v>
      </c>
      <c r="N6350" t="s">
        <v>7</v>
      </c>
      <c r="O6350" t="s">
        <v>297</v>
      </c>
    </row>
    <row r="6351" spans="1:15" x14ac:dyDescent="0.3">
      <c r="A6351" t="s">
        <v>8828</v>
      </c>
      <c r="B6351" t="s">
        <v>9120</v>
      </c>
      <c r="C6351">
        <v>2024</v>
      </c>
      <c r="D6351" t="s">
        <v>300</v>
      </c>
      <c r="E6351" t="s">
        <v>322</v>
      </c>
      <c r="F6351">
        <v>8490.57</v>
      </c>
      <c r="G6351" t="s">
        <v>302</v>
      </c>
      <c r="H6351">
        <v>78</v>
      </c>
      <c r="I6351" t="s">
        <v>9158</v>
      </c>
      <c r="J6351" t="s">
        <v>294</v>
      </c>
      <c r="M6351" t="s">
        <v>295</v>
      </c>
      <c r="N6351" t="s">
        <v>7</v>
      </c>
      <c r="O6351" t="s">
        <v>297</v>
      </c>
    </row>
    <row r="6352" spans="1:15" x14ac:dyDescent="0.3">
      <c r="A6352" t="s">
        <v>8828</v>
      </c>
      <c r="B6352" t="s">
        <v>9120</v>
      </c>
      <c r="C6352">
        <v>2024</v>
      </c>
      <c r="D6352" t="s">
        <v>300</v>
      </c>
      <c r="E6352" t="s">
        <v>8877</v>
      </c>
      <c r="F6352">
        <v>-5276.49</v>
      </c>
      <c r="G6352" t="s">
        <v>302</v>
      </c>
      <c r="H6352">
        <v>78</v>
      </c>
      <c r="I6352" t="s">
        <v>9159</v>
      </c>
      <c r="J6352" t="s">
        <v>294</v>
      </c>
      <c r="M6352" t="s">
        <v>295</v>
      </c>
      <c r="N6352" t="s">
        <v>7</v>
      </c>
      <c r="O6352" t="s">
        <v>297</v>
      </c>
    </row>
    <row r="6353" spans="1:15" x14ac:dyDescent="0.3">
      <c r="A6353" t="s">
        <v>8828</v>
      </c>
      <c r="B6353" t="s">
        <v>9120</v>
      </c>
      <c r="C6353">
        <v>2024</v>
      </c>
      <c r="D6353" t="s">
        <v>300</v>
      </c>
      <c r="E6353" t="s">
        <v>2733</v>
      </c>
      <c r="F6353">
        <v>-7294.88</v>
      </c>
      <c r="G6353" t="s">
        <v>302</v>
      </c>
      <c r="H6353">
        <v>7</v>
      </c>
      <c r="I6353" t="s">
        <v>9160</v>
      </c>
      <c r="J6353" t="s">
        <v>294</v>
      </c>
      <c r="M6353" t="s">
        <v>295</v>
      </c>
      <c r="N6353" t="s">
        <v>7</v>
      </c>
      <c r="O6353" t="s">
        <v>297</v>
      </c>
    </row>
    <row r="6354" spans="1:15" x14ac:dyDescent="0.3">
      <c r="A6354" t="s">
        <v>8828</v>
      </c>
      <c r="B6354" t="s">
        <v>9120</v>
      </c>
      <c r="C6354">
        <v>2024</v>
      </c>
      <c r="D6354" t="s">
        <v>300</v>
      </c>
      <c r="E6354" t="s">
        <v>9161</v>
      </c>
      <c r="F6354">
        <v>133.87</v>
      </c>
      <c r="G6354" t="s">
        <v>302</v>
      </c>
      <c r="H6354">
        <v>102</v>
      </c>
      <c r="I6354" t="s">
        <v>9162</v>
      </c>
      <c r="J6354" t="s">
        <v>294</v>
      </c>
      <c r="M6354" t="s">
        <v>295</v>
      </c>
      <c r="N6354" t="s">
        <v>7</v>
      </c>
      <c r="O6354" t="s">
        <v>297</v>
      </c>
    </row>
    <row r="6355" spans="1:15" x14ac:dyDescent="0.3">
      <c r="A6355" t="s">
        <v>8828</v>
      </c>
      <c r="B6355" t="s">
        <v>9120</v>
      </c>
      <c r="C6355">
        <v>2024</v>
      </c>
      <c r="D6355" t="s">
        <v>300</v>
      </c>
      <c r="E6355" t="s">
        <v>9163</v>
      </c>
      <c r="F6355">
        <v>51.72</v>
      </c>
      <c r="G6355" t="s">
        <v>302</v>
      </c>
      <c r="H6355">
        <v>79</v>
      </c>
      <c r="I6355" t="s">
        <v>9164</v>
      </c>
      <c r="J6355" t="s">
        <v>294</v>
      </c>
      <c r="M6355" t="s">
        <v>295</v>
      </c>
      <c r="N6355" t="s">
        <v>7</v>
      </c>
      <c r="O6355" t="s">
        <v>297</v>
      </c>
    </row>
    <row r="6356" spans="1:15" x14ac:dyDescent="0.3">
      <c r="A6356" t="s">
        <v>8828</v>
      </c>
      <c r="B6356" t="s">
        <v>9120</v>
      </c>
      <c r="C6356">
        <v>2024</v>
      </c>
      <c r="D6356" t="s">
        <v>300</v>
      </c>
      <c r="E6356" t="s">
        <v>8883</v>
      </c>
      <c r="F6356">
        <v>132.22999999999999</v>
      </c>
      <c r="G6356" t="s">
        <v>302</v>
      </c>
      <c r="H6356">
        <v>79</v>
      </c>
      <c r="I6356" t="s">
        <v>9165</v>
      </c>
      <c r="J6356" t="s">
        <v>294</v>
      </c>
      <c r="M6356" t="s">
        <v>295</v>
      </c>
      <c r="N6356" t="s">
        <v>7</v>
      </c>
      <c r="O6356" t="s">
        <v>297</v>
      </c>
    </row>
    <row r="6357" spans="1:15" x14ac:dyDescent="0.3">
      <c r="A6357" t="s">
        <v>8828</v>
      </c>
      <c r="B6357" t="s">
        <v>9120</v>
      </c>
      <c r="C6357">
        <v>2024</v>
      </c>
      <c r="D6357" t="s">
        <v>300</v>
      </c>
      <c r="E6357" t="s">
        <v>8193</v>
      </c>
      <c r="F6357">
        <v>156.58000000000001</v>
      </c>
      <c r="G6357" t="s">
        <v>302</v>
      </c>
      <c r="H6357">
        <v>79</v>
      </c>
      <c r="I6357" t="s">
        <v>9166</v>
      </c>
      <c r="J6357" t="s">
        <v>294</v>
      </c>
      <c r="M6357" t="s">
        <v>295</v>
      </c>
      <c r="N6357" t="s">
        <v>7</v>
      </c>
      <c r="O6357" t="s">
        <v>297</v>
      </c>
    </row>
    <row r="6358" spans="1:15" x14ac:dyDescent="0.3">
      <c r="A6358" t="s">
        <v>8828</v>
      </c>
      <c r="B6358" t="s">
        <v>9120</v>
      </c>
      <c r="C6358">
        <v>2024</v>
      </c>
      <c r="D6358" t="s">
        <v>300</v>
      </c>
      <c r="E6358" t="s">
        <v>9049</v>
      </c>
      <c r="F6358">
        <v>4666.92</v>
      </c>
      <c r="G6358" t="s">
        <v>302</v>
      </c>
      <c r="H6358">
        <v>105</v>
      </c>
      <c r="I6358" t="s">
        <v>9167</v>
      </c>
      <c r="J6358" t="s">
        <v>294</v>
      </c>
      <c r="M6358" t="s">
        <v>295</v>
      </c>
      <c r="N6358" t="s">
        <v>7</v>
      </c>
      <c r="O6358" t="s">
        <v>297</v>
      </c>
    </row>
    <row r="6359" spans="1:15" x14ac:dyDescent="0.3">
      <c r="A6359" t="s">
        <v>8828</v>
      </c>
      <c r="B6359" t="s">
        <v>9120</v>
      </c>
      <c r="C6359">
        <v>2024</v>
      </c>
      <c r="D6359" t="s">
        <v>300</v>
      </c>
      <c r="E6359" t="s">
        <v>9168</v>
      </c>
      <c r="F6359">
        <v>3371.95</v>
      </c>
      <c r="G6359" t="s">
        <v>302</v>
      </c>
      <c r="H6359">
        <v>105</v>
      </c>
      <c r="I6359" t="s">
        <v>9169</v>
      </c>
      <c r="J6359" t="s">
        <v>294</v>
      </c>
      <c r="M6359" t="s">
        <v>295</v>
      </c>
      <c r="N6359" t="s">
        <v>7</v>
      </c>
      <c r="O6359" t="s">
        <v>297</v>
      </c>
    </row>
    <row r="6360" spans="1:15" x14ac:dyDescent="0.3">
      <c r="A6360" t="s">
        <v>8828</v>
      </c>
      <c r="B6360" t="s">
        <v>9120</v>
      </c>
      <c r="C6360">
        <v>2024</v>
      </c>
      <c r="D6360" t="s">
        <v>300</v>
      </c>
      <c r="E6360" t="s">
        <v>9170</v>
      </c>
      <c r="F6360">
        <v>1284.22</v>
      </c>
      <c r="G6360" t="s">
        <v>302</v>
      </c>
      <c r="H6360">
        <v>105</v>
      </c>
      <c r="I6360" t="s">
        <v>9171</v>
      </c>
      <c r="J6360" t="s">
        <v>294</v>
      </c>
      <c r="M6360" t="s">
        <v>295</v>
      </c>
      <c r="N6360" t="s">
        <v>7</v>
      </c>
      <c r="O6360" t="s">
        <v>297</v>
      </c>
    </row>
    <row r="6361" spans="1:15" x14ac:dyDescent="0.3">
      <c r="A6361" t="s">
        <v>8828</v>
      </c>
      <c r="B6361" t="s">
        <v>9120</v>
      </c>
      <c r="C6361">
        <v>2024</v>
      </c>
      <c r="D6361" t="s">
        <v>300</v>
      </c>
      <c r="E6361" t="s">
        <v>9172</v>
      </c>
      <c r="F6361">
        <v>393.65</v>
      </c>
      <c r="G6361" t="s">
        <v>302</v>
      </c>
      <c r="H6361">
        <v>102</v>
      </c>
      <c r="I6361" t="s">
        <v>9173</v>
      </c>
      <c r="J6361" t="s">
        <v>294</v>
      </c>
      <c r="M6361" t="s">
        <v>295</v>
      </c>
      <c r="N6361" t="s">
        <v>7</v>
      </c>
      <c r="O6361" t="s">
        <v>297</v>
      </c>
    </row>
    <row r="6362" spans="1:15" x14ac:dyDescent="0.3">
      <c r="A6362" t="s">
        <v>8828</v>
      </c>
      <c r="B6362" t="s">
        <v>9120</v>
      </c>
      <c r="C6362">
        <v>2024</v>
      </c>
      <c r="D6362" t="s">
        <v>300</v>
      </c>
      <c r="E6362" t="s">
        <v>9174</v>
      </c>
      <c r="F6362">
        <v>-348.38</v>
      </c>
      <c r="G6362" t="s">
        <v>302</v>
      </c>
      <c r="H6362">
        <v>102</v>
      </c>
      <c r="I6362" t="s">
        <v>9175</v>
      </c>
      <c r="J6362" t="s">
        <v>294</v>
      </c>
      <c r="M6362" t="s">
        <v>295</v>
      </c>
      <c r="N6362" t="s">
        <v>7</v>
      </c>
      <c r="O6362" t="s">
        <v>297</v>
      </c>
    </row>
    <row r="6363" spans="1:15" x14ac:dyDescent="0.3">
      <c r="A6363" t="s">
        <v>8828</v>
      </c>
      <c r="B6363" t="s">
        <v>9120</v>
      </c>
      <c r="C6363">
        <v>2024</v>
      </c>
      <c r="D6363" t="s">
        <v>300</v>
      </c>
      <c r="E6363" t="s">
        <v>9176</v>
      </c>
      <c r="F6363">
        <v>-25.22</v>
      </c>
      <c r="G6363" t="s">
        <v>302</v>
      </c>
      <c r="H6363">
        <v>102</v>
      </c>
      <c r="I6363" t="s">
        <v>9177</v>
      </c>
      <c r="J6363" t="s">
        <v>294</v>
      </c>
      <c r="M6363" t="s">
        <v>295</v>
      </c>
      <c r="N6363" t="s">
        <v>7</v>
      </c>
      <c r="O6363" t="s">
        <v>297</v>
      </c>
    </row>
    <row r="6364" spans="1:15" x14ac:dyDescent="0.3">
      <c r="A6364" t="s">
        <v>8828</v>
      </c>
      <c r="B6364" t="s">
        <v>9120</v>
      </c>
      <c r="C6364">
        <v>2024</v>
      </c>
      <c r="D6364" t="s">
        <v>300</v>
      </c>
      <c r="E6364" t="s">
        <v>9047</v>
      </c>
      <c r="F6364">
        <v>291.48</v>
      </c>
      <c r="G6364" t="s">
        <v>302</v>
      </c>
      <c r="H6364">
        <v>106</v>
      </c>
      <c r="I6364" t="s">
        <v>9178</v>
      </c>
      <c r="J6364" t="s">
        <v>294</v>
      </c>
      <c r="M6364" t="s">
        <v>295</v>
      </c>
      <c r="N6364" t="s">
        <v>7</v>
      </c>
      <c r="O6364" t="s">
        <v>297</v>
      </c>
    </row>
    <row r="6365" spans="1:15" x14ac:dyDescent="0.3">
      <c r="A6365" t="s">
        <v>8828</v>
      </c>
      <c r="B6365" t="s">
        <v>9120</v>
      </c>
      <c r="C6365">
        <v>2024</v>
      </c>
      <c r="D6365" t="s">
        <v>300</v>
      </c>
      <c r="E6365" t="s">
        <v>9179</v>
      </c>
      <c r="F6365">
        <v>197.43</v>
      </c>
      <c r="G6365" t="s">
        <v>302</v>
      </c>
      <c r="H6365">
        <v>106</v>
      </c>
      <c r="I6365" t="s">
        <v>9180</v>
      </c>
      <c r="J6365" t="s">
        <v>294</v>
      </c>
      <c r="M6365" t="s">
        <v>295</v>
      </c>
      <c r="N6365" t="s">
        <v>7</v>
      </c>
      <c r="O6365" t="s">
        <v>297</v>
      </c>
    </row>
    <row r="6366" spans="1:15" x14ac:dyDescent="0.3">
      <c r="A6366" t="s">
        <v>8828</v>
      </c>
      <c r="B6366" t="s">
        <v>9120</v>
      </c>
      <c r="C6366">
        <v>2024</v>
      </c>
      <c r="D6366" t="s">
        <v>300</v>
      </c>
      <c r="E6366" t="s">
        <v>9181</v>
      </c>
      <c r="F6366">
        <v>48.72</v>
      </c>
      <c r="G6366" t="s">
        <v>302</v>
      </c>
      <c r="H6366">
        <v>107</v>
      </c>
      <c r="I6366" t="s">
        <v>9182</v>
      </c>
      <c r="J6366" t="s">
        <v>294</v>
      </c>
      <c r="M6366" t="s">
        <v>295</v>
      </c>
      <c r="N6366" t="s">
        <v>7</v>
      </c>
      <c r="O6366" t="s">
        <v>297</v>
      </c>
    </row>
    <row r="6367" spans="1:15" x14ac:dyDescent="0.3">
      <c r="A6367" t="s">
        <v>8828</v>
      </c>
      <c r="B6367" t="s">
        <v>9120</v>
      </c>
      <c r="C6367">
        <v>2024</v>
      </c>
      <c r="D6367" t="s">
        <v>300</v>
      </c>
      <c r="E6367" t="s">
        <v>2658</v>
      </c>
      <c r="F6367">
        <v>55.56</v>
      </c>
      <c r="G6367" t="s">
        <v>346</v>
      </c>
      <c r="H6367">
        <v>7</v>
      </c>
      <c r="I6367" t="s">
        <v>9183</v>
      </c>
      <c r="J6367" t="s">
        <v>294</v>
      </c>
      <c r="M6367" t="s">
        <v>295</v>
      </c>
      <c r="N6367" t="s">
        <v>7</v>
      </c>
      <c r="O6367" t="s">
        <v>297</v>
      </c>
    </row>
    <row r="6368" spans="1:15" x14ac:dyDescent="0.3">
      <c r="A6368" t="s">
        <v>8828</v>
      </c>
      <c r="B6368" t="s">
        <v>9120</v>
      </c>
      <c r="C6368">
        <v>2024</v>
      </c>
      <c r="D6368" t="s">
        <v>300</v>
      </c>
      <c r="E6368" t="s">
        <v>9184</v>
      </c>
      <c r="F6368">
        <v>1372047138</v>
      </c>
      <c r="G6368" t="s">
        <v>1633</v>
      </c>
      <c r="H6368">
        <v>7</v>
      </c>
      <c r="I6368" t="s">
        <v>9185</v>
      </c>
      <c r="J6368" t="s">
        <v>294</v>
      </c>
      <c r="M6368" t="s">
        <v>295</v>
      </c>
      <c r="N6368" t="s">
        <v>7</v>
      </c>
      <c r="O6368" t="s">
        <v>297</v>
      </c>
    </row>
    <row r="6369" spans="1:15" x14ac:dyDescent="0.3">
      <c r="A6369" t="s">
        <v>8828</v>
      </c>
      <c r="B6369" t="s">
        <v>9120</v>
      </c>
      <c r="C6369">
        <v>2024</v>
      </c>
      <c r="D6369" t="s">
        <v>300</v>
      </c>
      <c r="E6369" t="s">
        <v>9186</v>
      </c>
      <c r="F6369">
        <v>1128115206</v>
      </c>
      <c r="G6369" t="s">
        <v>1633</v>
      </c>
      <c r="H6369">
        <v>7</v>
      </c>
      <c r="I6369" t="s">
        <v>9187</v>
      </c>
      <c r="J6369" t="s">
        <v>294</v>
      </c>
      <c r="M6369" t="s">
        <v>295</v>
      </c>
      <c r="N6369" t="s">
        <v>7</v>
      </c>
      <c r="O6369" t="s">
        <v>297</v>
      </c>
    </row>
    <row r="6370" spans="1:15" x14ac:dyDescent="0.3">
      <c r="A6370" t="s">
        <v>8828</v>
      </c>
      <c r="B6370" t="s">
        <v>9120</v>
      </c>
      <c r="C6370">
        <v>2024</v>
      </c>
      <c r="D6370" t="s">
        <v>300</v>
      </c>
      <c r="E6370" t="s">
        <v>9188</v>
      </c>
      <c r="F6370">
        <v>242515747368</v>
      </c>
      <c r="G6370" t="s">
        <v>8894</v>
      </c>
      <c r="H6370">
        <v>7</v>
      </c>
      <c r="I6370" t="s">
        <v>9189</v>
      </c>
      <c r="J6370" t="s">
        <v>294</v>
      </c>
      <c r="M6370" t="s">
        <v>295</v>
      </c>
      <c r="N6370" t="s">
        <v>7</v>
      </c>
      <c r="O6370" t="s">
        <v>297</v>
      </c>
    </row>
    <row r="6371" spans="1:15" x14ac:dyDescent="0.3">
      <c r="A6371" t="s">
        <v>8828</v>
      </c>
      <c r="B6371" t="s">
        <v>9120</v>
      </c>
      <c r="C6371">
        <v>2024</v>
      </c>
      <c r="D6371" t="s">
        <v>300</v>
      </c>
      <c r="E6371" t="s">
        <v>9190</v>
      </c>
      <c r="F6371">
        <v>97</v>
      </c>
      <c r="G6371" t="s">
        <v>346</v>
      </c>
      <c r="H6371">
        <v>8</v>
      </c>
      <c r="I6371" t="s">
        <v>9191</v>
      </c>
      <c r="J6371" t="s">
        <v>294</v>
      </c>
      <c r="M6371" t="s">
        <v>295</v>
      </c>
      <c r="N6371" t="s">
        <v>7</v>
      </c>
      <c r="O6371" t="s">
        <v>297</v>
      </c>
    </row>
    <row r="6372" spans="1:15" x14ac:dyDescent="0.3">
      <c r="A6372" t="s">
        <v>8828</v>
      </c>
      <c r="B6372" t="s">
        <v>9120</v>
      </c>
      <c r="C6372">
        <v>2024</v>
      </c>
      <c r="D6372" t="s">
        <v>300</v>
      </c>
      <c r="E6372" t="s">
        <v>9063</v>
      </c>
      <c r="F6372">
        <v>0</v>
      </c>
      <c r="G6372" t="s">
        <v>346</v>
      </c>
      <c r="H6372">
        <v>7</v>
      </c>
      <c r="I6372" t="s">
        <v>9192</v>
      </c>
      <c r="J6372" t="s">
        <v>294</v>
      </c>
      <c r="M6372" t="s">
        <v>295</v>
      </c>
      <c r="N6372" t="s">
        <v>7</v>
      </c>
      <c r="O6372" t="s">
        <v>297</v>
      </c>
    </row>
    <row r="6373" spans="1:15" x14ac:dyDescent="0.3">
      <c r="A6373" t="s">
        <v>8828</v>
      </c>
      <c r="B6373" t="s">
        <v>9120</v>
      </c>
      <c r="C6373">
        <v>2024</v>
      </c>
      <c r="D6373" t="s">
        <v>300</v>
      </c>
      <c r="E6373" t="s">
        <v>326</v>
      </c>
      <c r="F6373">
        <v>0.10440000000000001</v>
      </c>
      <c r="G6373" t="s">
        <v>327</v>
      </c>
      <c r="H6373">
        <v>7</v>
      </c>
      <c r="I6373" t="s">
        <v>9193</v>
      </c>
      <c r="J6373" t="s">
        <v>294</v>
      </c>
      <c r="M6373" t="s">
        <v>295</v>
      </c>
      <c r="N6373" t="s">
        <v>7</v>
      </c>
      <c r="O6373" t="s">
        <v>297</v>
      </c>
    </row>
    <row r="6374" spans="1:15" x14ac:dyDescent="0.3">
      <c r="A6374" t="s">
        <v>8828</v>
      </c>
      <c r="B6374" t="s">
        <v>9120</v>
      </c>
      <c r="C6374">
        <v>2024</v>
      </c>
      <c r="D6374" t="s">
        <v>300</v>
      </c>
      <c r="E6374" t="s">
        <v>8899</v>
      </c>
      <c r="F6374">
        <v>2.6417000000000002</v>
      </c>
      <c r="G6374" t="s">
        <v>327</v>
      </c>
      <c r="H6374">
        <v>7</v>
      </c>
      <c r="I6374" t="s">
        <v>9194</v>
      </c>
      <c r="J6374" t="s">
        <v>294</v>
      </c>
      <c r="M6374" t="s">
        <v>295</v>
      </c>
      <c r="N6374" t="s">
        <v>7</v>
      </c>
      <c r="O6374" t="s">
        <v>297</v>
      </c>
    </row>
    <row r="6375" spans="1:15" x14ac:dyDescent="0.3">
      <c r="A6375" t="s">
        <v>8828</v>
      </c>
      <c r="B6375" t="s">
        <v>9120</v>
      </c>
      <c r="C6375">
        <v>2024</v>
      </c>
      <c r="D6375" t="s">
        <v>300</v>
      </c>
      <c r="E6375" t="s">
        <v>8901</v>
      </c>
      <c r="F6375">
        <v>1.72</v>
      </c>
      <c r="G6375" t="s">
        <v>327</v>
      </c>
      <c r="H6375">
        <v>7</v>
      </c>
      <c r="I6375" t="s">
        <v>9195</v>
      </c>
      <c r="J6375" t="s">
        <v>294</v>
      </c>
      <c r="M6375" t="s">
        <v>295</v>
      </c>
      <c r="N6375" t="s">
        <v>7</v>
      </c>
      <c r="O6375" t="s">
        <v>297</v>
      </c>
    </row>
    <row r="6376" spans="1:15" x14ac:dyDescent="0.3">
      <c r="A6376" t="s">
        <v>8828</v>
      </c>
      <c r="B6376" t="s">
        <v>9120</v>
      </c>
      <c r="C6376">
        <v>2024</v>
      </c>
      <c r="D6376" t="s">
        <v>300</v>
      </c>
      <c r="E6376" t="s">
        <v>3052</v>
      </c>
      <c r="F6376">
        <v>4.3200000000000002E-2</v>
      </c>
      <c r="G6376" t="s">
        <v>334</v>
      </c>
      <c r="H6376">
        <v>7</v>
      </c>
      <c r="I6376" t="s">
        <v>9196</v>
      </c>
      <c r="J6376" t="s">
        <v>294</v>
      </c>
      <c r="M6376" t="s">
        <v>295</v>
      </c>
      <c r="N6376" t="s">
        <v>7</v>
      </c>
      <c r="O6376" t="s">
        <v>297</v>
      </c>
    </row>
    <row r="6377" spans="1:15" x14ac:dyDescent="0.3">
      <c r="A6377" t="s">
        <v>8828</v>
      </c>
      <c r="B6377" t="s">
        <v>9120</v>
      </c>
      <c r="C6377">
        <v>2024</v>
      </c>
      <c r="D6377" t="s">
        <v>300</v>
      </c>
      <c r="E6377" t="s">
        <v>1187</v>
      </c>
      <c r="F6377">
        <v>0.25969999999999999</v>
      </c>
      <c r="G6377" t="s">
        <v>334</v>
      </c>
      <c r="H6377">
        <v>7</v>
      </c>
      <c r="I6377" t="s">
        <v>9197</v>
      </c>
      <c r="J6377" t="s">
        <v>294</v>
      </c>
      <c r="M6377" t="s">
        <v>295</v>
      </c>
      <c r="N6377" t="s">
        <v>7</v>
      </c>
      <c r="O6377" t="s">
        <v>297</v>
      </c>
    </row>
    <row r="6378" spans="1:15" x14ac:dyDescent="0.3">
      <c r="A6378" t="s">
        <v>8828</v>
      </c>
      <c r="B6378" t="s">
        <v>9120</v>
      </c>
      <c r="C6378">
        <v>2024</v>
      </c>
      <c r="D6378" t="s">
        <v>300</v>
      </c>
      <c r="E6378" t="s">
        <v>9198</v>
      </c>
      <c r="F6378">
        <v>-12661.96</v>
      </c>
      <c r="G6378" t="s">
        <v>302</v>
      </c>
      <c r="H6378">
        <v>9</v>
      </c>
      <c r="I6378" t="s">
        <v>9199</v>
      </c>
      <c r="J6378" t="s">
        <v>294</v>
      </c>
      <c r="M6378" t="s">
        <v>295</v>
      </c>
      <c r="N6378" t="s">
        <v>7</v>
      </c>
      <c r="O6378" t="s">
        <v>297</v>
      </c>
    </row>
    <row r="6379" spans="1:15" x14ac:dyDescent="0.3">
      <c r="A6379" t="s">
        <v>8828</v>
      </c>
      <c r="B6379" t="s">
        <v>9120</v>
      </c>
      <c r="C6379">
        <v>2024</v>
      </c>
      <c r="D6379" t="s">
        <v>358</v>
      </c>
      <c r="E6379" t="s">
        <v>8909</v>
      </c>
      <c r="F6379">
        <v>56147</v>
      </c>
      <c r="G6379" t="s">
        <v>360</v>
      </c>
      <c r="H6379">
        <v>52</v>
      </c>
      <c r="I6379" t="s">
        <v>9200</v>
      </c>
      <c r="J6379" t="s">
        <v>294</v>
      </c>
      <c r="M6379" t="s">
        <v>295</v>
      </c>
      <c r="N6379" t="s">
        <v>7</v>
      </c>
      <c r="O6379" t="s">
        <v>297</v>
      </c>
    </row>
    <row r="6380" spans="1:15" x14ac:dyDescent="0.3">
      <c r="A6380" t="s">
        <v>8828</v>
      </c>
      <c r="B6380" t="s">
        <v>9120</v>
      </c>
      <c r="C6380">
        <v>2024</v>
      </c>
      <c r="D6380" t="s">
        <v>358</v>
      </c>
      <c r="E6380" t="s">
        <v>9201</v>
      </c>
      <c r="F6380">
        <v>58720</v>
      </c>
      <c r="G6380" t="s">
        <v>360</v>
      </c>
      <c r="H6380">
        <v>55</v>
      </c>
      <c r="I6380" t="s">
        <v>9202</v>
      </c>
      <c r="J6380" t="s">
        <v>294</v>
      </c>
      <c r="M6380" t="s">
        <v>295</v>
      </c>
      <c r="N6380" t="s">
        <v>7</v>
      </c>
      <c r="O6380" t="s">
        <v>297</v>
      </c>
    </row>
    <row r="6381" spans="1:15" x14ac:dyDescent="0.3">
      <c r="A6381" t="s">
        <v>8828</v>
      </c>
      <c r="B6381" t="s">
        <v>9120</v>
      </c>
      <c r="C6381">
        <v>2024</v>
      </c>
      <c r="D6381" t="s">
        <v>358</v>
      </c>
      <c r="E6381" t="s">
        <v>8913</v>
      </c>
      <c r="F6381">
        <v>43745</v>
      </c>
      <c r="G6381" t="s">
        <v>360</v>
      </c>
      <c r="H6381">
        <v>55</v>
      </c>
      <c r="I6381" t="s">
        <v>9203</v>
      </c>
      <c r="J6381" t="s">
        <v>294</v>
      </c>
      <c r="M6381" t="s">
        <v>295</v>
      </c>
      <c r="N6381" t="s">
        <v>7</v>
      </c>
      <c r="O6381" t="s">
        <v>297</v>
      </c>
    </row>
    <row r="6382" spans="1:15" x14ac:dyDescent="0.3">
      <c r="A6382" t="s">
        <v>8828</v>
      </c>
      <c r="B6382" t="s">
        <v>9120</v>
      </c>
      <c r="C6382">
        <v>2024</v>
      </c>
      <c r="D6382" t="s">
        <v>358</v>
      </c>
      <c r="E6382" t="s">
        <v>8915</v>
      </c>
      <c r="F6382">
        <v>14975</v>
      </c>
      <c r="G6382" t="s">
        <v>360</v>
      </c>
      <c r="H6382">
        <v>55</v>
      </c>
      <c r="I6382" t="s">
        <v>9204</v>
      </c>
      <c r="J6382" t="s">
        <v>294</v>
      </c>
      <c r="M6382" t="s">
        <v>295</v>
      </c>
      <c r="N6382" t="s">
        <v>7</v>
      </c>
      <c r="O6382" t="s">
        <v>297</v>
      </c>
    </row>
    <row r="6383" spans="1:15" x14ac:dyDescent="0.3">
      <c r="A6383" t="s">
        <v>8828</v>
      </c>
      <c r="B6383" t="s">
        <v>9120</v>
      </c>
      <c r="C6383">
        <v>2024</v>
      </c>
      <c r="D6383" t="s">
        <v>358</v>
      </c>
      <c r="E6383" t="s">
        <v>6195</v>
      </c>
      <c r="F6383">
        <v>46027</v>
      </c>
      <c r="G6383" t="s">
        <v>360</v>
      </c>
      <c r="H6383">
        <v>55</v>
      </c>
      <c r="I6383" t="s">
        <v>9205</v>
      </c>
      <c r="J6383" t="s">
        <v>294</v>
      </c>
      <c r="M6383" t="s">
        <v>295</v>
      </c>
      <c r="N6383" t="s">
        <v>7</v>
      </c>
      <c r="O6383" t="s">
        <v>297</v>
      </c>
    </row>
    <row r="6384" spans="1:15" x14ac:dyDescent="0.3">
      <c r="A6384" t="s">
        <v>8828</v>
      </c>
      <c r="B6384" t="s">
        <v>9120</v>
      </c>
      <c r="C6384">
        <v>2024</v>
      </c>
      <c r="D6384" t="s">
        <v>358</v>
      </c>
      <c r="E6384" t="s">
        <v>6197</v>
      </c>
      <c r="F6384">
        <v>12693</v>
      </c>
      <c r="G6384" t="s">
        <v>360</v>
      </c>
      <c r="H6384">
        <v>55</v>
      </c>
      <c r="I6384" t="s">
        <v>9206</v>
      </c>
      <c r="J6384" t="s">
        <v>294</v>
      </c>
      <c r="M6384" t="s">
        <v>295</v>
      </c>
      <c r="N6384" t="s">
        <v>7</v>
      </c>
      <c r="O6384" t="s">
        <v>297</v>
      </c>
    </row>
    <row r="6385" spans="1:15" x14ac:dyDescent="0.3">
      <c r="A6385" t="s">
        <v>8828</v>
      </c>
      <c r="B6385" t="s">
        <v>9120</v>
      </c>
      <c r="C6385">
        <v>2024</v>
      </c>
      <c r="D6385" t="s">
        <v>358</v>
      </c>
      <c r="E6385" t="s">
        <v>8919</v>
      </c>
      <c r="F6385">
        <v>19578</v>
      </c>
      <c r="G6385" t="s">
        <v>360</v>
      </c>
      <c r="H6385">
        <v>55</v>
      </c>
      <c r="I6385" t="s">
        <v>9207</v>
      </c>
      <c r="J6385" t="s">
        <v>294</v>
      </c>
      <c r="M6385" t="s">
        <v>295</v>
      </c>
      <c r="N6385" t="s">
        <v>7</v>
      </c>
      <c r="O6385" t="s">
        <v>297</v>
      </c>
    </row>
    <row r="6386" spans="1:15" x14ac:dyDescent="0.3">
      <c r="A6386" t="s">
        <v>8828</v>
      </c>
      <c r="B6386" t="s">
        <v>9120</v>
      </c>
      <c r="C6386">
        <v>2024</v>
      </c>
      <c r="D6386" t="s">
        <v>358</v>
      </c>
      <c r="E6386" t="s">
        <v>8921</v>
      </c>
      <c r="F6386">
        <v>10930</v>
      </c>
      <c r="G6386" t="s">
        <v>360</v>
      </c>
      <c r="H6386">
        <v>55</v>
      </c>
      <c r="I6386" t="s">
        <v>9208</v>
      </c>
      <c r="J6386" t="s">
        <v>294</v>
      </c>
      <c r="M6386" t="s">
        <v>295</v>
      </c>
      <c r="N6386" t="s">
        <v>7</v>
      </c>
      <c r="O6386" t="s">
        <v>297</v>
      </c>
    </row>
    <row r="6387" spans="1:15" x14ac:dyDescent="0.3">
      <c r="A6387" t="s">
        <v>8828</v>
      </c>
      <c r="B6387" t="s">
        <v>9120</v>
      </c>
      <c r="C6387">
        <v>2024</v>
      </c>
      <c r="D6387" t="s">
        <v>358</v>
      </c>
      <c r="E6387" t="s">
        <v>8923</v>
      </c>
      <c r="F6387">
        <v>10547</v>
      </c>
      <c r="G6387" t="s">
        <v>360</v>
      </c>
      <c r="H6387">
        <v>55</v>
      </c>
      <c r="I6387" t="s">
        <v>9209</v>
      </c>
      <c r="J6387" t="s">
        <v>294</v>
      </c>
      <c r="M6387" t="s">
        <v>295</v>
      </c>
      <c r="N6387" t="s">
        <v>7</v>
      </c>
      <c r="O6387" t="s">
        <v>297</v>
      </c>
    </row>
    <row r="6388" spans="1:15" x14ac:dyDescent="0.3">
      <c r="A6388" t="s">
        <v>8828</v>
      </c>
      <c r="B6388" t="s">
        <v>9120</v>
      </c>
      <c r="C6388">
        <v>2024</v>
      </c>
      <c r="D6388" t="s">
        <v>358</v>
      </c>
      <c r="E6388" t="s">
        <v>9210</v>
      </c>
      <c r="F6388">
        <v>411</v>
      </c>
      <c r="G6388" t="s">
        <v>360</v>
      </c>
      <c r="H6388">
        <v>55</v>
      </c>
      <c r="I6388" t="s">
        <v>9211</v>
      </c>
      <c r="J6388" t="s">
        <v>294</v>
      </c>
      <c r="M6388" t="s">
        <v>295</v>
      </c>
      <c r="N6388" t="s">
        <v>7</v>
      </c>
      <c r="O6388" t="s">
        <v>297</v>
      </c>
    </row>
    <row r="6389" spans="1:15" x14ac:dyDescent="0.3">
      <c r="A6389" t="s">
        <v>8828</v>
      </c>
      <c r="B6389" t="s">
        <v>9120</v>
      </c>
      <c r="C6389">
        <v>2024</v>
      </c>
      <c r="D6389" t="s">
        <v>358</v>
      </c>
      <c r="E6389" t="s">
        <v>8927</v>
      </c>
      <c r="F6389">
        <v>2278</v>
      </c>
      <c r="G6389" t="s">
        <v>360</v>
      </c>
      <c r="H6389">
        <v>55</v>
      </c>
      <c r="I6389" t="s">
        <v>9212</v>
      </c>
      <c r="J6389" t="s">
        <v>294</v>
      </c>
      <c r="M6389" t="s">
        <v>295</v>
      </c>
      <c r="N6389" t="s">
        <v>7</v>
      </c>
      <c r="O6389" t="s">
        <v>297</v>
      </c>
    </row>
    <row r="6390" spans="1:15" x14ac:dyDescent="0.3">
      <c r="A6390" t="s">
        <v>8828</v>
      </c>
      <c r="B6390" t="s">
        <v>9120</v>
      </c>
      <c r="C6390">
        <v>2024</v>
      </c>
      <c r="D6390" t="s">
        <v>358</v>
      </c>
      <c r="E6390" t="s">
        <v>8929</v>
      </c>
      <c r="F6390">
        <v>5</v>
      </c>
      <c r="G6390" t="s">
        <v>384</v>
      </c>
      <c r="H6390">
        <v>56</v>
      </c>
      <c r="I6390" t="s">
        <v>9213</v>
      </c>
      <c r="J6390" t="s">
        <v>294</v>
      </c>
      <c r="M6390" t="s">
        <v>295</v>
      </c>
      <c r="N6390" t="s">
        <v>7</v>
      </c>
      <c r="O6390" t="s">
        <v>297</v>
      </c>
    </row>
    <row r="6391" spans="1:15" x14ac:dyDescent="0.3">
      <c r="A6391" t="s">
        <v>8828</v>
      </c>
      <c r="B6391" t="s">
        <v>9120</v>
      </c>
      <c r="C6391">
        <v>2024</v>
      </c>
      <c r="D6391" t="s">
        <v>358</v>
      </c>
      <c r="E6391" t="s">
        <v>8931</v>
      </c>
      <c r="F6391">
        <v>240</v>
      </c>
      <c r="G6391" t="s">
        <v>738</v>
      </c>
      <c r="H6391">
        <v>56</v>
      </c>
      <c r="I6391" t="s">
        <v>9075</v>
      </c>
      <c r="J6391" t="s">
        <v>294</v>
      </c>
      <c r="M6391" t="s">
        <v>295</v>
      </c>
      <c r="N6391" t="s">
        <v>7</v>
      </c>
      <c r="O6391" t="s">
        <v>297</v>
      </c>
    </row>
    <row r="6392" spans="1:15" x14ac:dyDescent="0.3">
      <c r="A6392" t="s">
        <v>8828</v>
      </c>
      <c r="B6392" t="s">
        <v>9120</v>
      </c>
      <c r="C6392">
        <v>2024</v>
      </c>
      <c r="D6392" t="s">
        <v>358</v>
      </c>
      <c r="E6392" t="s">
        <v>8936</v>
      </c>
      <c r="F6392">
        <v>741.63</v>
      </c>
      <c r="G6392" t="s">
        <v>302</v>
      </c>
      <c r="H6392">
        <v>56</v>
      </c>
      <c r="I6392" t="s">
        <v>9214</v>
      </c>
      <c r="J6392" t="s">
        <v>294</v>
      </c>
      <c r="M6392" t="s">
        <v>295</v>
      </c>
      <c r="N6392" t="s">
        <v>7</v>
      </c>
      <c r="O6392" t="s">
        <v>297</v>
      </c>
    </row>
    <row r="6393" spans="1:15" x14ac:dyDescent="0.3">
      <c r="A6393" t="s">
        <v>8828</v>
      </c>
      <c r="B6393" t="s">
        <v>9120</v>
      </c>
      <c r="C6393">
        <v>2024</v>
      </c>
      <c r="D6393" t="s">
        <v>358</v>
      </c>
      <c r="E6393" t="s">
        <v>8938</v>
      </c>
      <c r="F6393">
        <v>324.25</v>
      </c>
      <c r="G6393" t="s">
        <v>302</v>
      </c>
      <c r="H6393">
        <v>56</v>
      </c>
      <c r="I6393" t="s">
        <v>9215</v>
      </c>
      <c r="J6393" t="s">
        <v>294</v>
      </c>
      <c r="M6393" t="s">
        <v>295</v>
      </c>
      <c r="N6393" t="s">
        <v>7</v>
      </c>
      <c r="O6393" t="s">
        <v>297</v>
      </c>
    </row>
    <row r="6394" spans="1:15" x14ac:dyDescent="0.3">
      <c r="A6394" t="s">
        <v>8828</v>
      </c>
      <c r="B6394" t="s">
        <v>9120</v>
      </c>
      <c r="C6394">
        <v>2024</v>
      </c>
      <c r="D6394" t="s">
        <v>358</v>
      </c>
      <c r="E6394" t="s">
        <v>8940</v>
      </c>
      <c r="F6394">
        <v>1906.05</v>
      </c>
      <c r="G6394" t="s">
        <v>302</v>
      </c>
      <c r="H6394">
        <v>57</v>
      </c>
      <c r="I6394" t="s">
        <v>9216</v>
      </c>
      <c r="J6394" t="s">
        <v>294</v>
      </c>
      <c r="M6394" t="s">
        <v>295</v>
      </c>
      <c r="N6394" t="s">
        <v>7</v>
      </c>
      <c r="O6394" t="s">
        <v>297</v>
      </c>
    </row>
    <row r="6395" spans="1:15" x14ac:dyDescent="0.3">
      <c r="A6395" t="s">
        <v>8828</v>
      </c>
      <c r="B6395" t="s">
        <v>9120</v>
      </c>
      <c r="C6395">
        <v>2024</v>
      </c>
      <c r="D6395" t="s">
        <v>358</v>
      </c>
      <c r="E6395" t="s">
        <v>8942</v>
      </c>
      <c r="F6395">
        <v>12403</v>
      </c>
      <c r="G6395" t="s">
        <v>360</v>
      </c>
      <c r="H6395">
        <v>63</v>
      </c>
      <c r="I6395" t="s">
        <v>9217</v>
      </c>
      <c r="J6395" t="s">
        <v>294</v>
      </c>
      <c r="M6395" t="s">
        <v>295</v>
      </c>
      <c r="N6395" t="s">
        <v>7</v>
      </c>
      <c r="O6395" t="s">
        <v>297</v>
      </c>
    </row>
    <row r="6396" spans="1:15" x14ac:dyDescent="0.3">
      <c r="A6396" t="s">
        <v>8828</v>
      </c>
      <c r="B6396" t="s">
        <v>9120</v>
      </c>
      <c r="C6396">
        <v>2024</v>
      </c>
      <c r="D6396" t="s">
        <v>358</v>
      </c>
      <c r="E6396" t="s">
        <v>6205</v>
      </c>
      <c r="F6396">
        <v>12281</v>
      </c>
      <c r="G6396" t="s">
        <v>360</v>
      </c>
      <c r="H6396">
        <v>63</v>
      </c>
      <c r="I6396" t="s">
        <v>9218</v>
      </c>
      <c r="J6396" t="s">
        <v>294</v>
      </c>
      <c r="M6396" t="s">
        <v>295</v>
      </c>
      <c r="N6396" t="s">
        <v>7</v>
      </c>
      <c r="O6396" t="s">
        <v>297</v>
      </c>
    </row>
    <row r="6397" spans="1:15" x14ac:dyDescent="0.3">
      <c r="A6397" t="s">
        <v>8828</v>
      </c>
      <c r="B6397" t="s">
        <v>9120</v>
      </c>
      <c r="C6397">
        <v>2024</v>
      </c>
      <c r="D6397" t="s">
        <v>358</v>
      </c>
      <c r="E6397" t="s">
        <v>6207</v>
      </c>
      <c r="F6397">
        <v>121</v>
      </c>
      <c r="G6397" t="s">
        <v>360</v>
      </c>
      <c r="H6397">
        <v>63</v>
      </c>
      <c r="I6397" t="s">
        <v>9219</v>
      </c>
      <c r="J6397" t="s">
        <v>294</v>
      </c>
      <c r="M6397" t="s">
        <v>295</v>
      </c>
      <c r="N6397" t="s">
        <v>7</v>
      </c>
      <c r="O6397" t="s">
        <v>297</v>
      </c>
    </row>
    <row r="6398" spans="1:15" x14ac:dyDescent="0.3">
      <c r="A6398" t="s">
        <v>8828</v>
      </c>
      <c r="B6398" t="s">
        <v>9120</v>
      </c>
      <c r="C6398">
        <v>2024</v>
      </c>
      <c r="D6398" t="s">
        <v>358</v>
      </c>
      <c r="E6398" t="s">
        <v>8946</v>
      </c>
      <c r="F6398">
        <v>8712</v>
      </c>
      <c r="G6398" t="s">
        <v>360</v>
      </c>
      <c r="H6398">
        <v>63</v>
      </c>
      <c r="I6398" t="s">
        <v>9220</v>
      </c>
      <c r="J6398" t="s">
        <v>294</v>
      </c>
      <c r="M6398" t="s">
        <v>295</v>
      </c>
      <c r="N6398" t="s">
        <v>7</v>
      </c>
      <c r="O6398" t="s">
        <v>297</v>
      </c>
    </row>
    <row r="6399" spans="1:15" x14ac:dyDescent="0.3">
      <c r="A6399" t="s">
        <v>8828</v>
      </c>
      <c r="B6399" t="s">
        <v>9120</v>
      </c>
      <c r="C6399">
        <v>2024</v>
      </c>
      <c r="D6399" t="s">
        <v>358</v>
      </c>
      <c r="E6399" t="s">
        <v>8948</v>
      </c>
      <c r="F6399">
        <v>469</v>
      </c>
      <c r="G6399" t="s">
        <v>360</v>
      </c>
      <c r="H6399">
        <v>63</v>
      </c>
      <c r="I6399" t="s">
        <v>9221</v>
      </c>
      <c r="J6399" t="s">
        <v>294</v>
      </c>
      <c r="M6399" t="s">
        <v>295</v>
      </c>
      <c r="N6399" t="s">
        <v>7</v>
      </c>
      <c r="O6399" t="s">
        <v>297</v>
      </c>
    </row>
    <row r="6400" spans="1:15" x14ac:dyDescent="0.3">
      <c r="A6400" t="s">
        <v>8828</v>
      </c>
      <c r="B6400" t="s">
        <v>9120</v>
      </c>
      <c r="C6400">
        <v>2024</v>
      </c>
      <c r="D6400" t="s">
        <v>358</v>
      </c>
      <c r="E6400" t="s">
        <v>8950</v>
      </c>
      <c r="F6400">
        <v>3222</v>
      </c>
      <c r="G6400" t="s">
        <v>360</v>
      </c>
      <c r="H6400">
        <v>63</v>
      </c>
      <c r="I6400" t="s">
        <v>9083</v>
      </c>
      <c r="J6400" t="s">
        <v>294</v>
      </c>
      <c r="M6400" t="s">
        <v>295</v>
      </c>
      <c r="N6400" t="s">
        <v>7</v>
      </c>
      <c r="O6400" t="s">
        <v>297</v>
      </c>
    </row>
    <row r="6401" spans="1:15" x14ac:dyDescent="0.3">
      <c r="A6401" t="s">
        <v>8828</v>
      </c>
      <c r="B6401" t="s">
        <v>9120</v>
      </c>
      <c r="C6401">
        <v>2024</v>
      </c>
      <c r="D6401" t="s">
        <v>358</v>
      </c>
      <c r="E6401" t="s">
        <v>8952</v>
      </c>
      <c r="F6401">
        <v>1</v>
      </c>
      <c r="G6401" t="s">
        <v>384</v>
      </c>
      <c r="H6401">
        <v>63</v>
      </c>
      <c r="I6401" t="s">
        <v>9222</v>
      </c>
      <c r="J6401" t="s">
        <v>294</v>
      </c>
      <c r="M6401" t="s">
        <v>295</v>
      </c>
      <c r="N6401" t="s">
        <v>7</v>
      </c>
      <c r="O6401" t="s">
        <v>297</v>
      </c>
    </row>
    <row r="6402" spans="1:15" x14ac:dyDescent="0.3">
      <c r="A6402" t="s">
        <v>8828</v>
      </c>
      <c r="B6402" t="s">
        <v>9120</v>
      </c>
      <c r="C6402">
        <v>2024</v>
      </c>
      <c r="D6402" t="s">
        <v>358</v>
      </c>
      <c r="E6402" t="s">
        <v>9223</v>
      </c>
      <c r="F6402">
        <v>30780</v>
      </c>
      <c r="G6402" t="s">
        <v>7865</v>
      </c>
      <c r="H6402">
        <v>64</v>
      </c>
      <c r="I6402" t="s">
        <v>9224</v>
      </c>
      <c r="J6402" t="s">
        <v>294</v>
      </c>
      <c r="M6402" t="s">
        <v>295</v>
      </c>
      <c r="N6402" t="s">
        <v>7</v>
      </c>
      <c r="O6402" t="s">
        <v>297</v>
      </c>
    </row>
    <row r="6403" spans="1:15" x14ac:dyDescent="0.3">
      <c r="A6403" t="s">
        <v>8828</v>
      </c>
      <c r="B6403" t="s">
        <v>9120</v>
      </c>
      <c r="C6403">
        <v>2024</v>
      </c>
      <c r="D6403" t="s">
        <v>358</v>
      </c>
      <c r="E6403" t="s">
        <v>9225</v>
      </c>
      <c r="F6403">
        <v>495000</v>
      </c>
      <c r="G6403" t="s">
        <v>7865</v>
      </c>
      <c r="H6403">
        <v>61</v>
      </c>
      <c r="I6403" t="s">
        <v>8957</v>
      </c>
      <c r="J6403" t="s">
        <v>294</v>
      </c>
      <c r="M6403" t="s">
        <v>295</v>
      </c>
      <c r="N6403" t="s">
        <v>7</v>
      </c>
      <c r="O6403" t="s">
        <v>297</v>
      </c>
    </row>
    <row r="6404" spans="1:15" x14ac:dyDescent="0.3">
      <c r="A6404" t="s">
        <v>8828</v>
      </c>
      <c r="B6404" t="s">
        <v>9120</v>
      </c>
      <c r="C6404">
        <v>2024</v>
      </c>
      <c r="D6404" t="s">
        <v>358</v>
      </c>
      <c r="E6404" t="s">
        <v>9226</v>
      </c>
      <c r="F6404">
        <v>165000</v>
      </c>
      <c r="G6404" t="s">
        <v>7865</v>
      </c>
      <c r="H6404">
        <v>61</v>
      </c>
      <c r="I6404" t="s">
        <v>8959</v>
      </c>
      <c r="J6404" t="s">
        <v>294</v>
      </c>
      <c r="M6404" t="s">
        <v>295</v>
      </c>
      <c r="N6404" t="s">
        <v>7</v>
      </c>
      <c r="O6404" t="s">
        <v>297</v>
      </c>
    </row>
    <row r="6405" spans="1:15" x14ac:dyDescent="0.3">
      <c r="A6405" t="s">
        <v>8828</v>
      </c>
      <c r="B6405" t="s">
        <v>9120</v>
      </c>
      <c r="C6405">
        <v>2024</v>
      </c>
      <c r="D6405" t="s">
        <v>394</v>
      </c>
      <c r="E6405" t="s">
        <v>9227</v>
      </c>
      <c r="F6405">
        <v>347865</v>
      </c>
      <c r="G6405" t="s">
        <v>396</v>
      </c>
      <c r="H6405">
        <v>54</v>
      </c>
      <c r="I6405" t="s">
        <v>9228</v>
      </c>
      <c r="J6405" t="s">
        <v>294</v>
      </c>
      <c r="M6405" t="s">
        <v>295</v>
      </c>
      <c r="N6405" t="s">
        <v>7</v>
      </c>
      <c r="O6405" t="s">
        <v>297</v>
      </c>
    </row>
    <row r="6406" spans="1:15" x14ac:dyDescent="0.3">
      <c r="A6406" t="s">
        <v>8828</v>
      </c>
      <c r="B6406" t="s">
        <v>9120</v>
      </c>
      <c r="C6406">
        <v>2024</v>
      </c>
      <c r="D6406" t="s">
        <v>394</v>
      </c>
      <c r="E6406" t="s">
        <v>8968</v>
      </c>
      <c r="F6406">
        <v>99593</v>
      </c>
      <c r="G6406" t="s">
        <v>396</v>
      </c>
      <c r="H6406">
        <v>54</v>
      </c>
      <c r="I6406" t="s">
        <v>9229</v>
      </c>
      <c r="J6406" t="s">
        <v>294</v>
      </c>
      <c r="M6406" t="s">
        <v>295</v>
      </c>
      <c r="N6406" t="s">
        <v>7</v>
      </c>
      <c r="O6406" t="s">
        <v>297</v>
      </c>
    </row>
    <row r="6407" spans="1:15" x14ac:dyDescent="0.3">
      <c r="A6407" t="s">
        <v>8828</v>
      </c>
      <c r="B6407" t="s">
        <v>9120</v>
      </c>
      <c r="C6407">
        <v>2024</v>
      </c>
      <c r="D6407" t="s">
        <v>394</v>
      </c>
      <c r="E6407" t="s">
        <v>406</v>
      </c>
      <c r="F6407">
        <v>113918</v>
      </c>
      <c r="G6407" t="s">
        <v>396</v>
      </c>
      <c r="H6407">
        <v>55</v>
      </c>
      <c r="I6407" t="s">
        <v>9230</v>
      </c>
      <c r="J6407" t="s">
        <v>294</v>
      </c>
      <c r="M6407" t="s">
        <v>295</v>
      </c>
      <c r="N6407" t="s">
        <v>7</v>
      </c>
      <c r="O6407" t="s">
        <v>297</v>
      </c>
    </row>
    <row r="6408" spans="1:15" x14ac:dyDescent="0.3">
      <c r="A6408" t="s">
        <v>8828</v>
      </c>
      <c r="B6408" t="s">
        <v>9120</v>
      </c>
      <c r="C6408">
        <v>2024</v>
      </c>
      <c r="D6408" t="s">
        <v>394</v>
      </c>
      <c r="E6408" t="s">
        <v>855</v>
      </c>
      <c r="F6408">
        <v>24263</v>
      </c>
      <c r="G6408" t="s">
        <v>396</v>
      </c>
      <c r="H6408">
        <v>55</v>
      </c>
      <c r="I6408" t="s">
        <v>9231</v>
      </c>
      <c r="J6408" t="s">
        <v>294</v>
      </c>
      <c r="M6408" t="s">
        <v>295</v>
      </c>
      <c r="N6408" t="s">
        <v>7</v>
      </c>
      <c r="O6408" t="s">
        <v>297</v>
      </c>
    </row>
    <row r="6409" spans="1:15" x14ac:dyDescent="0.3">
      <c r="A6409" t="s">
        <v>8828</v>
      </c>
      <c r="B6409" t="s">
        <v>9120</v>
      </c>
      <c r="C6409">
        <v>2024</v>
      </c>
      <c r="D6409" t="s">
        <v>394</v>
      </c>
      <c r="E6409" t="s">
        <v>8972</v>
      </c>
      <c r="F6409">
        <v>7499</v>
      </c>
      <c r="G6409" t="s">
        <v>396</v>
      </c>
      <c r="H6409">
        <v>62</v>
      </c>
      <c r="I6409" t="s">
        <v>9232</v>
      </c>
      <c r="J6409" t="s">
        <v>294</v>
      </c>
      <c r="M6409" t="s">
        <v>295</v>
      </c>
      <c r="N6409" t="s">
        <v>7</v>
      </c>
      <c r="O6409" t="s">
        <v>297</v>
      </c>
    </row>
    <row r="6410" spans="1:15" x14ac:dyDescent="0.3">
      <c r="A6410" t="s">
        <v>8828</v>
      </c>
      <c r="B6410" t="s">
        <v>9120</v>
      </c>
      <c r="C6410">
        <v>2024</v>
      </c>
      <c r="D6410" t="s">
        <v>394</v>
      </c>
      <c r="E6410" t="s">
        <v>8974</v>
      </c>
      <c r="F6410">
        <v>5838</v>
      </c>
      <c r="G6410" t="s">
        <v>396</v>
      </c>
      <c r="H6410">
        <v>62</v>
      </c>
      <c r="I6410" t="s">
        <v>9233</v>
      </c>
      <c r="J6410" t="s">
        <v>294</v>
      </c>
      <c r="M6410" t="s">
        <v>295</v>
      </c>
      <c r="N6410" t="s">
        <v>7</v>
      </c>
      <c r="O6410" t="s">
        <v>297</v>
      </c>
    </row>
    <row r="6411" spans="1:15" x14ac:dyDescent="0.3">
      <c r="A6411" t="s">
        <v>8828</v>
      </c>
      <c r="B6411" t="s">
        <v>9120</v>
      </c>
      <c r="C6411">
        <v>2024</v>
      </c>
      <c r="D6411" t="s">
        <v>394</v>
      </c>
      <c r="E6411" t="s">
        <v>9234</v>
      </c>
      <c r="F6411">
        <v>1735.49</v>
      </c>
      <c r="G6411" t="s">
        <v>302</v>
      </c>
      <c r="H6411">
        <v>58</v>
      </c>
      <c r="I6411" t="s">
        <v>9235</v>
      </c>
      <c r="J6411" t="s">
        <v>294</v>
      </c>
      <c r="M6411" t="s">
        <v>295</v>
      </c>
      <c r="N6411" t="s">
        <v>7</v>
      </c>
      <c r="O6411" t="s">
        <v>297</v>
      </c>
    </row>
    <row r="6412" spans="1:15" x14ac:dyDescent="0.3">
      <c r="A6412" t="s">
        <v>8828</v>
      </c>
      <c r="B6412" t="s">
        <v>9120</v>
      </c>
      <c r="C6412">
        <v>2024</v>
      </c>
      <c r="D6412" t="s">
        <v>394</v>
      </c>
      <c r="E6412" t="s">
        <v>8978</v>
      </c>
      <c r="F6412">
        <v>544.20000000000005</v>
      </c>
      <c r="G6412" t="s">
        <v>302</v>
      </c>
      <c r="H6412">
        <v>58</v>
      </c>
      <c r="I6412" t="s">
        <v>9236</v>
      </c>
      <c r="J6412" t="s">
        <v>294</v>
      </c>
      <c r="M6412" t="s">
        <v>295</v>
      </c>
      <c r="N6412" t="s">
        <v>7</v>
      </c>
      <c r="O6412" t="s">
        <v>297</v>
      </c>
    </row>
    <row r="6413" spans="1:15" x14ac:dyDescent="0.3">
      <c r="A6413" t="s">
        <v>8828</v>
      </c>
      <c r="B6413" t="s">
        <v>9120</v>
      </c>
      <c r="C6413">
        <v>2024</v>
      </c>
      <c r="D6413" t="s">
        <v>394</v>
      </c>
      <c r="E6413" t="s">
        <v>9237</v>
      </c>
      <c r="F6413">
        <v>425.68</v>
      </c>
      <c r="G6413" t="s">
        <v>302</v>
      </c>
      <c r="H6413">
        <v>62</v>
      </c>
      <c r="I6413" t="s">
        <v>9238</v>
      </c>
      <c r="J6413" t="s">
        <v>294</v>
      </c>
      <c r="M6413" t="s">
        <v>295</v>
      </c>
      <c r="N6413" t="s">
        <v>7</v>
      </c>
      <c r="O6413" t="s">
        <v>297</v>
      </c>
    </row>
    <row r="6414" spans="1:15" x14ac:dyDescent="0.3">
      <c r="A6414" t="s">
        <v>8828</v>
      </c>
      <c r="B6414" t="s">
        <v>9120</v>
      </c>
      <c r="C6414">
        <v>2024</v>
      </c>
      <c r="D6414" t="s">
        <v>394</v>
      </c>
      <c r="E6414" t="s">
        <v>9239</v>
      </c>
      <c r="F6414">
        <v>35.43</v>
      </c>
      <c r="G6414" t="s">
        <v>302</v>
      </c>
      <c r="H6414">
        <v>62</v>
      </c>
      <c r="I6414" t="s">
        <v>9240</v>
      </c>
      <c r="J6414" t="s">
        <v>294</v>
      </c>
      <c r="M6414" t="s">
        <v>295</v>
      </c>
      <c r="N6414" t="s">
        <v>7</v>
      </c>
      <c r="O6414" t="s">
        <v>297</v>
      </c>
    </row>
    <row r="6415" spans="1:15" x14ac:dyDescent="0.3">
      <c r="A6415" t="s">
        <v>8828</v>
      </c>
      <c r="B6415" t="s">
        <v>9120</v>
      </c>
      <c r="C6415">
        <v>2024</v>
      </c>
      <c r="D6415" t="s">
        <v>394</v>
      </c>
      <c r="E6415" t="s">
        <v>9241</v>
      </c>
      <c r="F6415" t="s">
        <v>9242</v>
      </c>
      <c r="G6415" t="s">
        <v>334</v>
      </c>
      <c r="H6415">
        <v>64</v>
      </c>
      <c r="I6415" t="s">
        <v>9243</v>
      </c>
      <c r="J6415" t="s">
        <v>456</v>
      </c>
      <c r="M6415" t="s">
        <v>295</v>
      </c>
      <c r="N6415" t="s">
        <v>7</v>
      </c>
      <c r="O6415" t="s">
        <v>297</v>
      </c>
    </row>
    <row r="6416" spans="1:15" x14ac:dyDescent="0.3">
      <c r="A6416" t="s">
        <v>8828</v>
      </c>
      <c r="B6416" t="s">
        <v>9120</v>
      </c>
      <c r="C6416">
        <v>2024</v>
      </c>
      <c r="D6416" t="s">
        <v>394</v>
      </c>
      <c r="E6416" t="s">
        <v>9244</v>
      </c>
      <c r="F6416">
        <v>0.87390000000000001</v>
      </c>
      <c r="G6416" t="s">
        <v>334</v>
      </c>
      <c r="H6416">
        <v>57</v>
      </c>
      <c r="I6416" t="s">
        <v>9245</v>
      </c>
      <c r="J6416" t="s">
        <v>294</v>
      </c>
      <c r="M6416" t="s">
        <v>295</v>
      </c>
      <c r="N6416" t="s">
        <v>7</v>
      </c>
      <c r="O6416" t="s">
        <v>297</v>
      </c>
    </row>
    <row r="6417" spans="1:15" x14ac:dyDescent="0.3">
      <c r="A6417" t="s">
        <v>8828</v>
      </c>
      <c r="B6417" t="s">
        <v>9120</v>
      </c>
      <c r="C6417">
        <v>2024</v>
      </c>
      <c r="D6417" t="s">
        <v>394</v>
      </c>
      <c r="E6417" t="s">
        <v>9246</v>
      </c>
      <c r="F6417">
        <v>0.1012</v>
      </c>
      <c r="G6417" t="s">
        <v>334</v>
      </c>
      <c r="H6417">
        <v>57</v>
      </c>
      <c r="I6417" t="s">
        <v>9247</v>
      </c>
      <c r="J6417" t="s">
        <v>294</v>
      </c>
      <c r="M6417" t="s">
        <v>295</v>
      </c>
      <c r="N6417" t="s">
        <v>7</v>
      </c>
      <c r="O6417" t="s">
        <v>297</v>
      </c>
    </row>
    <row r="6418" spans="1:15" x14ac:dyDescent="0.3">
      <c r="A6418" t="s">
        <v>8828</v>
      </c>
      <c r="B6418" t="s">
        <v>9120</v>
      </c>
      <c r="C6418">
        <v>2024</v>
      </c>
      <c r="D6418" t="s">
        <v>563</v>
      </c>
      <c r="E6418" t="s">
        <v>564</v>
      </c>
      <c r="F6418" t="s">
        <v>9248</v>
      </c>
      <c r="G6418" t="s">
        <v>292</v>
      </c>
      <c r="H6418">
        <v>46</v>
      </c>
      <c r="I6418" t="s">
        <v>9249</v>
      </c>
      <c r="J6418" t="s">
        <v>294</v>
      </c>
      <c r="M6418" t="s">
        <v>295</v>
      </c>
      <c r="N6418" t="s">
        <v>7</v>
      </c>
      <c r="O6418" t="s">
        <v>297</v>
      </c>
    </row>
    <row r="6419" spans="1:15" x14ac:dyDescent="0.3">
      <c r="A6419" t="s">
        <v>8828</v>
      </c>
      <c r="B6419" t="s">
        <v>9120</v>
      </c>
      <c r="C6419">
        <v>2024</v>
      </c>
      <c r="D6419" t="s">
        <v>563</v>
      </c>
      <c r="E6419" t="s">
        <v>9250</v>
      </c>
      <c r="F6419" t="s">
        <v>9251</v>
      </c>
      <c r="G6419" t="s">
        <v>292</v>
      </c>
      <c r="H6419">
        <v>60</v>
      </c>
      <c r="I6419" t="s">
        <v>9252</v>
      </c>
      <c r="J6419" t="s">
        <v>294</v>
      </c>
      <c r="M6419" t="s">
        <v>295</v>
      </c>
      <c r="N6419" t="s">
        <v>7</v>
      </c>
      <c r="O6419" t="s">
        <v>297</v>
      </c>
    </row>
    <row r="6420" spans="1:15" x14ac:dyDescent="0.3">
      <c r="A6420" t="s">
        <v>8828</v>
      </c>
      <c r="B6420" t="s">
        <v>9120</v>
      </c>
      <c r="C6420">
        <v>2024</v>
      </c>
      <c r="D6420" t="s">
        <v>563</v>
      </c>
      <c r="E6420" t="s">
        <v>9253</v>
      </c>
      <c r="F6420" t="s">
        <v>9254</v>
      </c>
      <c r="G6420" t="s">
        <v>292</v>
      </c>
      <c r="H6420">
        <v>47</v>
      </c>
      <c r="I6420" t="s">
        <v>9255</v>
      </c>
      <c r="J6420" t="s">
        <v>294</v>
      </c>
      <c r="M6420" t="s">
        <v>295</v>
      </c>
      <c r="N6420" t="s">
        <v>7</v>
      </c>
      <c r="O6420" t="s">
        <v>297</v>
      </c>
    </row>
    <row r="6421" spans="1:15" x14ac:dyDescent="0.3">
      <c r="A6421" t="s">
        <v>8828</v>
      </c>
      <c r="B6421" t="s">
        <v>9120</v>
      </c>
      <c r="C6421">
        <v>2024</v>
      </c>
      <c r="D6421" t="s">
        <v>252</v>
      </c>
      <c r="E6421" t="s">
        <v>9256</v>
      </c>
      <c r="F6421" t="s">
        <v>9257</v>
      </c>
      <c r="G6421" t="s">
        <v>292</v>
      </c>
      <c r="H6421">
        <v>105</v>
      </c>
      <c r="I6421" t="s">
        <v>9258</v>
      </c>
      <c r="J6421" t="s">
        <v>294</v>
      </c>
      <c r="M6421" t="s">
        <v>295</v>
      </c>
      <c r="N6421" t="s">
        <v>7</v>
      </c>
      <c r="O6421" t="s">
        <v>297</v>
      </c>
    </row>
    <row r="6422" spans="1:15" x14ac:dyDescent="0.3">
      <c r="A6422" t="s">
        <v>8828</v>
      </c>
      <c r="B6422" t="s">
        <v>9120</v>
      </c>
      <c r="C6422">
        <v>2024</v>
      </c>
      <c r="D6422" t="s">
        <v>252</v>
      </c>
      <c r="E6422" t="s">
        <v>9111</v>
      </c>
      <c r="F6422" t="s">
        <v>9259</v>
      </c>
      <c r="G6422" t="s">
        <v>292</v>
      </c>
      <c r="H6422">
        <v>9</v>
      </c>
      <c r="I6422" t="s">
        <v>9260</v>
      </c>
      <c r="J6422" t="s">
        <v>294</v>
      </c>
      <c r="M6422" t="s">
        <v>295</v>
      </c>
      <c r="N6422" t="s">
        <v>7</v>
      </c>
      <c r="O6422" t="s">
        <v>297</v>
      </c>
    </row>
    <row r="6423" spans="1:15" x14ac:dyDescent="0.3">
      <c r="A6423" t="s">
        <v>8828</v>
      </c>
      <c r="B6423" t="s">
        <v>9120</v>
      </c>
      <c r="C6423">
        <v>2024</v>
      </c>
      <c r="D6423" t="s">
        <v>252</v>
      </c>
      <c r="E6423" t="s">
        <v>9261</v>
      </c>
      <c r="F6423" t="s">
        <v>9262</v>
      </c>
      <c r="G6423" t="s">
        <v>292</v>
      </c>
      <c r="H6423">
        <v>108</v>
      </c>
      <c r="I6423" t="s">
        <v>9263</v>
      </c>
      <c r="J6423" t="s">
        <v>294</v>
      </c>
      <c r="M6423" t="s">
        <v>295</v>
      </c>
      <c r="N6423" t="s">
        <v>7</v>
      </c>
      <c r="O6423" t="s">
        <v>297</v>
      </c>
    </row>
    <row r="6424" spans="1:15" x14ac:dyDescent="0.3">
      <c r="A6424" t="s">
        <v>8828</v>
      </c>
      <c r="B6424" t="s">
        <v>9120</v>
      </c>
      <c r="C6424">
        <v>2024</v>
      </c>
      <c r="D6424" t="s">
        <v>252</v>
      </c>
      <c r="E6424" t="s">
        <v>9264</v>
      </c>
      <c r="F6424" t="s">
        <v>9265</v>
      </c>
      <c r="G6424" t="s">
        <v>292</v>
      </c>
      <c r="H6424">
        <v>58</v>
      </c>
      <c r="I6424" t="s">
        <v>9266</v>
      </c>
      <c r="J6424" t="s">
        <v>294</v>
      </c>
      <c r="M6424" t="s">
        <v>295</v>
      </c>
      <c r="N6424" t="s">
        <v>7</v>
      </c>
      <c r="O6424" t="s">
        <v>297</v>
      </c>
    </row>
    <row r="6425" spans="1:15" x14ac:dyDescent="0.3">
      <c r="A6425" t="s">
        <v>8828</v>
      </c>
      <c r="B6425" t="s">
        <v>9120</v>
      </c>
      <c r="C6425">
        <v>2024</v>
      </c>
      <c r="D6425" t="s">
        <v>252</v>
      </c>
      <c r="E6425" t="s">
        <v>9267</v>
      </c>
      <c r="F6425" t="s">
        <v>9268</v>
      </c>
      <c r="G6425" t="s">
        <v>292</v>
      </c>
      <c r="H6425">
        <v>11</v>
      </c>
      <c r="I6425" t="s">
        <v>9269</v>
      </c>
      <c r="J6425" t="s">
        <v>294</v>
      </c>
      <c r="M6425" t="s">
        <v>295</v>
      </c>
      <c r="N6425" t="s">
        <v>7</v>
      </c>
      <c r="O6425" t="s">
        <v>297</v>
      </c>
    </row>
    <row r="6426" spans="1:15" x14ac:dyDescent="0.3">
      <c r="A6426" t="s">
        <v>8828</v>
      </c>
      <c r="B6426" t="s">
        <v>9120</v>
      </c>
      <c r="C6426">
        <v>2024</v>
      </c>
      <c r="D6426" t="s">
        <v>252</v>
      </c>
      <c r="E6426" t="s">
        <v>9270</v>
      </c>
      <c r="F6426" t="s">
        <v>9271</v>
      </c>
      <c r="G6426" t="s">
        <v>292</v>
      </c>
      <c r="H6426">
        <v>9</v>
      </c>
      <c r="I6426" t="s">
        <v>9272</v>
      </c>
      <c r="J6426" t="s">
        <v>294</v>
      </c>
      <c r="M6426" t="s">
        <v>295</v>
      </c>
      <c r="N6426" t="s">
        <v>7</v>
      </c>
      <c r="O6426" t="s">
        <v>297</v>
      </c>
    </row>
    <row r="6427" spans="1:15" x14ac:dyDescent="0.3">
      <c r="A6427" t="s">
        <v>8828</v>
      </c>
      <c r="B6427" t="s">
        <v>9120</v>
      </c>
      <c r="C6427">
        <v>2024</v>
      </c>
      <c r="D6427" t="s">
        <v>252</v>
      </c>
      <c r="E6427" t="s">
        <v>9273</v>
      </c>
      <c r="F6427" t="s">
        <v>9274</v>
      </c>
      <c r="G6427" t="s">
        <v>2644</v>
      </c>
      <c r="H6427">
        <v>108</v>
      </c>
      <c r="I6427" t="s">
        <v>9275</v>
      </c>
      <c r="J6427" t="s">
        <v>294</v>
      </c>
      <c r="M6427" t="s">
        <v>295</v>
      </c>
      <c r="N6427" t="s">
        <v>7</v>
      </c>
      <c r="O6427" t="s">
        <v>297</v>
      </c>
    </row>
    <row r="6428" spans="1:15" x14ac:dyDescent="0.3">
      <c r="A6428" t="s">
        <v>9276</v>
      </c>
      <c r="B6428" t="s">
        <v>9277</v>
      </c>
      <c r="C6428">
        <v>2022</v>
      </c>
      <c r="D6428" t="s">
        <v>272</v>
      </c>
      <c r="E6428" t="s">
        <v>291</v>
      </c>
      <c r="F6428" t="s">
        <v>9276</v>
      </c>
      <c r="G6428" t="s">
        <v>292</v>
      </c>
      <c r="H6428">
        <v>3</v>
      </c>
      <c r="I6428" t="s">
        <v>9278</v>
      </c>
      <c r="J6428" t="s">
        <v>294</v>
      </c>
      <c r="M6428" t="s">
        <v>295</v>
      </c>
      <c r="N6428" t="s">
        <v>7</v>
      </c>
      <c r="O6428" t="s">
        <v>297</v>
      </c>
    </row>
    <row r="6429" spans="1:15" x14ac:dyDescent="0.3">
      <c r="A6429" t="s">
        <v>9276</v>
      </c>
      <c r="B6429" t="s">
        <v>9277</v>
      </c>
      <c r="C6429">
        <v>2022</v>
      </c>
      <c r="D6429" t="s">
        <v>272</v>
      </c>
      <c r="E6429" t="s">
        <v>1</v>
      </c>
      <c r="F6429" t="s">
        <v>128</v>
      </c>
      <c r="G6429" t="s">
        <v>292</v>
      </c>
      <c r="H6429">
        <v>1</v>
      </c>
      <c r="I6429" t="s">
        <v>9279</v>
      </c>
      <c r="J6429" t="s">
        <v>294</v>
      </c>
      <c r="M6429" t="s">
        <v>295</v>
      </c>
      <c r="N6429" t="s">
        <v>7</v>
      </c>
      <c r="O6429" t="s">
        <v>297</v>
      </c>
    </row>
    <row r="6430" spans="1:15" x14ac:dyDescent="0.3">
      <c r="A6430" t="s">
        <v>9276</v>
      </c>
      <c r="B6430" t="s">
        <v>9277</v>
      </c>
      <c r="C6430">
        <v>2022</v>
      </c>
      <c r="D6430" t="s">
        <v>272</v>
      </c>
      <c r="E6430" t="s">
        <v>9280</v>
      </c>
      <c r="F6430">
        <v>2022</v>
      </c>
      <c r="G6430" t="s">
        <v>299</v>
      </c>
      <c r="H6430">
        <v>1</v>
      </c>
      <c r="I6430" t="s">
        <v>9281</v>
      </c>
      <c r="J6430" t="s">
        <v>294</v>
      </c>
      <c r="M6430" t="s">
        <v>295</v>
      </c>
      <c r="N6430" t="s">
        <v>7</v>
      </c>
      <c r="O6430" t="s">
        <v>297</v>
      </c>
    </row>
    <row r="6431" spans="1:15" x14ac:dyDescent="0.3">
      <c r="A6431" t="s">
        <v>9276</v>
      </c>
      <c r="B6431" t="s">
        <v>9277</v>
      </c>
      <c r="C6431">
        <v>2022</v>
      </c>
      <c r="D6431" t="s">
        <v>272</v>
      </c>
      <c r="E6431" t="s">
        <v>668</v>
      </c>
      <c r="F6431" t="s">
        <v>9282</v>
      </c>
      <c r="G6431" t="s">
        <v>292</v>
      </c>
      <c r="H6431">
        <v>8</v>
      </c>
      <c r="I6431" t="s">
        <v>9283</v>
      </c>
      <c r="J6431" t="s">
        <v>294</v>
      </c>
      <c r="M6431" t="s">
        <v>295</v>
      </c>
      <c r="N6431" t="s">
        <v>7</v>
      </c>
      <c r="O6431" t="s">
        <v>297</v>
      </c>
    </row>
    <row r="6432" spans="1:15" x14ac:dyDescent="0.3">
      <c r="A6432" t="s">
        <v>9276</v>
      </c>
      <c r="B6432" t="s">
        <v>9277</v>
      </c>
      <c r="C6432">
        <v>2022</v>
      </c>
      <c r="D6432" t="s">
        <v>272</v>
      </c>
      <c r="E6432" t="s">
        <v>9284</v>
      </c>
      <c r="F6432" t="s">
        <v>9285</v>
      </c>
      <c r="G6432" t="s">
        <v>292</v>
      </c>
      <c r="H6432">
        <v>8</v>
      </c>
      <c r="I6432" t="s">
        <v>9286</v>
      </c>
      <c r="J6432" t="s">
        <v>294</v>
      </c>
      <c r="M6432" t="s">
        <v>295</v>
      </c>
      <c r="N6432" t="s">
        <v>7</v>
      </c>
      <c r="O6432" t="s">
        <v>297</v>
      </c>
    </row>
    <row r="6433" spans="1:15" x14ac:dyDescent="0.3">
      <c r="A6433" t="s">
        <v>9276</v>
      </c>
      <c r="B6433" t="s">
        <v>9277</v>
      </c>
      <c r="C6433">
        <v>2022</v>
      </c>
      <c r="D6433" t="s">
        <v>272</v>
      </c>
      <c r="E6433" t="s">
        <v>869</v>
      </c>
      <c r="F6433" t="s">
        <v>9287</v>
      </c>
      <c r="G6433" t="s">
        <v>666</v>
      </c>
      <c r="H6433">
        <v>8</v>
      </c>
      <c r="I6433" t="s">
        <v>9288</v>
      </c>
      <c r="J6433" t="s">
        <v>294</v>
      </c>
      <c r="M6433" t="s">
        <v>295</v>
      </c>
      <c r="N6433" t="s">
        <v>7</v>
      </c>
      <c r="O6433" t="s">
        <v>297</v>
      </c>
    </row>
    <row r="6434" spans="1:15" x14ac:dyDescent="0.3">
      <c r="A6434" t="s">
        <v>9276</v>
      </c>
      <c r="B6434" t="s">
        <v>9277</v>
      </c>
      <c r="C6434">
        <v>2022</v>
      </c>
      <c r="D6434" t="s">
        <v>272</v>
      </c>
      <c r="E6434" t="s">
        <v>9289</v>
      </c>
      <c r="F6434" t="s">
        <v>9290</v>
      </c>
      <c r="G6434" t="s">
        <v>292</v>
      </c>
      <c r="H6434">
        <v>142</v>
      </c>
      <c r="I6434" t="s">
        <v>9291</v>
      </c>
      <c r="J6434" t="s">
        <v>294</v>
      </c>
      <c r="M6434" t="s">
        <v>295</v>
      </c>
      <c r="N6434" t="s">
        <v>7</v>
      </c>
      <c r="O6434" t="s">
        <v>297</v>
      </c>
    </row>
    <row r="6435" spans="1:15" x14ac:dyDescent="0.3">
      <c r="A6435" t="s">
        <v>9276</v>
      </c>
      <c r="B6435" t="s">
        <v>9277</v>
      </c>
      <c r="C6435">
        <v>2022</v>
      </c>
      <c r="D6435" t="s">
        <v>272</v>
      </c>
      <c r="E6435" t="s">
        <v>9292</v>
      </c>
      <c r="F6435" t="s">
        <v>9293</v>
      </c>
      <c r="G6435" t="s">
        <v>292</v>
      </c>
      <c r="H6435">
        <v>8</v>
      </c>
      <c r="I6435" t="s">
        <v>9294</v>
      </c>
      <c r="J6435" t="s">
        <v>294</v>
      </c>
      <c r="M6435" t="s">
        <v>295</v>
      </c>
      <c r="N6435" t="s">
        <v>7</v>
      </c>
      <c r="O6435" t="s">
        <v>297</v>
      </c>
    </row>
    <row r="6436" spans="1:15" x14ac:dyDescent="0.3">
      <c r="A6436" t="s">
        <v>9276</v>
      </c>
      <c r="B6436" t="s">
        <v>9277</v>
      </c>
      <c r="C6436">
        <v>2022</v>
      </c>
      <c r="D6436" t="s">
        <v>272</v>
      </c>
      <c r="E6436" t="s">
        <v>5884</v>
      </c>
      <c r="F6436" t="s">
        <v>9295</v>
      </c>
      <c r="G6436" t="s">
        <v>334</v>
      </c>
      <c r="H6436">
        <v>11</v>
      </c>
      <c r="I6436" t="s">
        <v>9296</v>
      </c>
      <c r="J6436" t="s">
        <v>294</v>
      </c>
      <c r="M6436" t="s">
        <v>295</v>
      </c>
      <c r="N6436" t="s">
        <v>7</v>
      </c>
      <c r="O6436" t="s">
        <v>297</v>
      </c>
    </row>
    <row r="6437" spans="1:15" x14ac:dyDescent="0.3">
      <c r="A6437" t="s">
        <v>9276</v>
      </c>
      <c r="B6437" t="s">
        <v>9277</v>
      </c>
      <c r="C6437">
        <v>2022</v>
      </c>
      <c r="D6437" t="s">
        <v>272</v>
      </c>
      <c r="E6437" t="s">
        <v>5887</v>
      </c>
      <c r="F6437" t="s">
        <v>9297</v>
      </c>
      <c r="G6437" t="s">
        <v>334</v>
      </c>
      <c r="H6437">
        <v>11</v>
      </c>
      <c r="I6437" t="s">
        <v>9298</v>
      </c>
      <c r="J6437" t="s">
        <v>294</v>
      </c>
      <c r="M6437" t="s">
        <v>295</v>
      </c>
      <c r="N6437" t="s">
        <v>7</v>
      </c>
      <c r="O6437" t="s">
        <v>297</v>
      </c>
    </row>
    <row r="6438" spans="1:15" x14ac:dyDescent="0.3">
      <c r="A6438" t="s">
        <v>9276</v>
      </c>
      <c r="B6438" t="s">
        <v>9277</v>
      </c>
      <c r="C6438">
        <v>2022</v>
      </c>
      <c r="D6438" t="s">
        <v>272</v>
      </c>
      <c r="E6438" t="s">
        <v>445</v>
      </c>
      <c r="F6438">
        <v>0.19</v>
      </c>
      <c r="G6438" t="s">
        <v>334</v>
      </c>
      <c r="H6438">
        <v>11</v>
      </c>
      <c r="I6438" t="s">
        <v>9299</v>
      </c>
      <c r="J6438" t="s">
        <v>294</v>
      </c>
      <c r="M6438" t="s">
        <v>295</v>
      </c>
      <c r="N6438" t="s">
        <v>7</v>
      </c>
      <c r="O6438" t="s">
        <v>297</v>
      </c>
    </row>
    <row r="6439" spans="1:15" x14ac:dyDescent="0.3">
      <c r="A6439" t="s">
        <v>9276</v>
      </c>
      <c r="B6439" t="s">
        <v>9277</v>
      </c>
      <c r="C6439">
        <v>2022</v>
      </c>
      <c r="D6439" t="s">
        <v>272</v>
      </c>
      <c r="E6439" t="s">
        <v>9300</v>
      </c>
      <c r="F6439">
        <v>9</v>
      </c>
      <c r="G6439" t="s">
        <v>384</v>
      </c>
      <c r="H6439">
        <v>17</v>
      </c>
      <c r="I6439" t="s">
        <v>9301</v>
      </c>
      <c r="J6439" t="s">
        <v>456</v>
      </c>
      <c r="M6439" t="s">
        <v>295</v>
      </c>
      <c r="N6439" t="s">
        <v>7</v>
      </c>
      <c r="O6439" t="s">
        <v>297</v>
      </c>
    </row>
    <row r="6440" spans="1:15" x14ac:dyDescent="0.3">
      <c r="A6440" t="s">
        <v>9276</v>
      </c>
      <c r="B6440" t="s">
        <v>9277</v>
      </c>
      <c r="C6440">
        <v>2022</v>
      </c>
      <c r="D6440" t="s">
        <v>300</v>
      </c>
      <c r="E6440" t="s">
        <v>3629</v>
      </c>
      <c r="F6440">
        <v>330.02</v>
      </c>
      <c r="G6440" t="s">
        <v>302</v>
      </c>
      <c r="H6440">
        <v>140</v>
      </c>
      <c r="I6440" t="s">
        <v>9302</v>
      </c>
      <c r="J6440" t="s">
        <v>294</v>
      </c>
      <c r="M6440" t="s">
        <v>295</v>
      </c>
      <c r="N6440" t="s">
        <v>7</v>
      </c>
      <c r="O6440" t="s">
        <v>297</v>
      </c>
    </row>
    <row r="6441" spans="1:15" x14ac:dyDescent="0.3">
      <c r="A6441" t="s">
        <v>9276</v>
      </c>
      <c r="B6441" t="s">
        <v>9277</v>
      </c>
      <c r="C6441">
        <v>2022</v>
      </c>
      <c r="D6441" t="s">
        <v>300</v>
      </c>
      <c r="E6441" t="s">
        <v>688</v>
      </c>
      <c r="F6441">
        <v>327.26</v>
      </c>
      <c r="G6441" t="s">
        <v>302</v>
      </c>
      <c r="H6441">
        <v>140</v>
      </c>
      <c r="I6441" t="s">
        <v>9303</v>
      </c>
      <c r="J6441" t="s">
        <v>294</v>
      </c>
      <c r="M6441" t="s">
        <v>295</v>
      </c>
      <c r="N6441" t="s">
        <v>7</v>
      </c>
      <c r="O6441" t="s">
        <v>297</v>
      </c>
    </row>
    <row r="6442" spans="1:15" x14ac:dyDescent="0.3">
      <c r="A6442" t="s">
        <v>9276</v>
      </c>
      <c r="B6442" t="s">
        <v>9277</v>
      </c>
      <c r="C6442">
        <v>2022</v>
      </c>
      <c r="D6442" t="s">
        <v>300</v>
      </c>
      <c r="E6442" t="s">
        <v>304</v>
      </c>
      <c r="F6442">
        <v>2.76</v>
      </c>
      <c r="G6442" t="s">
        <v>302</v>
      </c>
      <c r="H6442">
        <v>140</v>
      </c>
      <c r="I6442" t="s">
        <v>9304</v>
      </c>
      <c r="J6442" t="s">
        <v>294</v>
      </c>
      <c r="M6442" t="s">
        <v>295</v>
      </c>
      <c r="N6442" t="s">
        <v>7</v>
      </c>
      <c r="O6442" t="s">
        <v>297</v>
      </c>
    </row>
    <row r="6443" spans="1:15" x14ac:dyDescent="0.3">
      <c r="A6443" t="s">
        <v>9276</v>
      </c>
      <c r="B6443" t="s">
        <v>9277</v>
      </c>
      <c r="C6443">
        <v>2022</v>
      </c>
      <c r="D6443" t="s">
        <v>300</v>
      </c>
      <c r="E6443" t="s">
        <v>5141</v>
      </c>
      <c r="F6443">
        <v>8.7200000000000006</v>
      </c>
      <c r="G6443" t="s">
        <v>302</v>
      </c>
      <c r="H6443">
        <v>140</v>
      </c>
      <c r="I6443" t="s">
        <v>9305</v>
      </c>
      <c r="J6443" t="s">
        <v>294</v>
      </c>
      <c r="M6443" t="s">
        <v>295</v>
      </c>
      <c r="N6443" t="s">
        <v>7</v>
      </c>
      <c r="O6443" t="s">
        <v>297</v>
      </c>
    </row>
    <row r="6444" spans="1:15" x14ac:dyDescent="0.3">
      <c r="A6444" t="s">
        <v>9276</v>
      </c>
      <c r="B6444" t="s">
        <v>9277</v>
      </c>
      <c r="C6444">
        <v>2022</v>
      </c>
      <c r="D6444" t="s">
        <v>300</v>
      </c>
      <c r="E6444" t="s">
        <v>9306</v>
      </c>
      <c r="F6444">
        <v>-5.96</v>
      </c>
      <c r="G6444" t="s">
        <v>302</v>
      </c>
      <c r="H6444">
        <v>140</v>
      </c>
      <c r="I6444" t="s">
        <v>9307</v>
      </c>
      <c r="J6444" t="s">
        <v>294</v>
      </c>
      <c r="M6444" t="s">
        <v>295</v>
      </c>
      <c r="N6444" t="s">
        <v>7</v>
      </c>
      <c r="O6444" t="s">
        <v>297</v>
      </c>
    </row>
    <row r="6445" spans="1:15" x14ac:dyDescent="0.3">
      <c r="A6445" t="s">
        <v>9276</v>
      </c>
      <c r="B6445" t="s">
        <v>9277</v>
      </c>
      <c r="C6445">
        <v>2022</v>
      </c>
      <c r="D6445" t="s">
        <v>300</v>
      </c>
      <c r="E6445" t="s">
        <v>9308</v>
      </c>
      <c r="F6445">
        <v>1.63</v>
      </c>
      <c r="G6445" t="s">
        <v>302</v>
      </c>
      <c r="H6445">
        <v>140</v>
      </c>
      <c r="I6445" t="s">
        <v>9309</v>
      </c>
      <c r="J6445" t="s">
        <v>294</v>
      </c>
      <c r="M6445" t="s">
        <v>295</v>
      </c>
      <c r="N6445" t="s">
        <v>7</v>
      </c>
      <c r="O6445" t="s">
        <v>297</v>
      </c>
    </row>
    <row r="6446" spans="1:15" x14ac:dyDescent="0.3">
      <c r="A6446" t="s">
        <v>9276</v>
      </c>
      <c r="B6446" t="s">
        <v>9277</v>
      </c>
      <c r="C6446">
        <v>2022</v>
      </c>
      <c r="D6446" t="s">
        <v>300</v>
      </c>
      <c r="E6446" t="s">
        <v>9310</v>
      </c>
      <c r="F6446">
        <v>-3.0000000000000001E-3</v>
      </c>
      <c r="G6446" t="s">
        <v>302</v>
      </c>
      <c r="H6446">
        <v>140</v>
      </c>
      <c r="I6446" t="s">
        <v>9311</v>
      </c>
      <c r="J6446" t="s">
        <v>294</v>
      </c>
      <c r="M6446" t="s">
        <v>295</v>
      </c>
      <c r="N6446" t="s">
        <v>7</v>
      </c>
      <c r="O6446" t="s">
        <v>297</v>
      </c>
    </row>
    <row r="6447" spans="1:15" x14ac:dyDescent="0.3">
      <c r="A6447" t="s">
        <v>9276</v>
      </c>
      <c r="B6447" t="s">
        <v>9277</v>
      </c>
      <c r="C6447">
        <v>2022</v>
      </c>
      <c r="D6447" t="s">
        <v>300</v>
      </c>
      <c r="E6447" t="s">
        <v>695</v>
      </c>
      <c r="F6447">
        <v>-4.33</v>
      </c>
      <c r="G6447" t="s">
        <v>302</v>
      </c>
      <c r="H6447">
        <v>140</v>
      </c>
      <c r="I6447" t="s">
        <v>9312</v>
      </c>
      <c r="J6447" t="s">
        <v>294</v>
      </c>
      <c r="M6447" t="s">
        <v>295</v>
      </c>
      <c r="N6447" t="s">
        <v>7</v>
      </c>
      <c r="O6447" t="s">
        <v>297</v>
      </c>
    </row>
    <row r="6448" spans="1:15" x14ac:dyDescent="0.3">
      <c r="A6448" t="s">
        <v>9276</v>
      </c>
      <c r="B6448" t="s">
        <v>9277</v>
      </c>
      <c r="C6448">
        <v>2022</v>
      </c>
      <c r="D6448" t="s">
        <v>300</v>
      </c>
      <c r="E6448" t="s">
        <v>9313</v>
      </c>
      <c r="F6448">
        <v>0.26</v>
      </c>
      <c r="G6448" t="s">
        <v>302</v>
      </c>
      <c r="H6448">
        <v>140</v>
      </c>
      <c r="I6448" t="s">
        <v>9314</v>
      </c>
      <c r="J6448" t="s">
        <v>294</v>
      </c>
      <c r="M6448" t="s">
        <v>295</v>
      </c>
      <c r="N6448" t="s">
        <v>7</v>
      </c>
      <c r="O6448" t="s">
        <v>297</v>
      </c>
    </row>
    <row r="6449" spans="1:15" x14ac:dyDescent="0.3">
      <c r="A6449" t="s">
        <v>9276</v>
      </c>
      <c r="B6449" t="s">
        <v>9277</v>
      </c>
      <c r="C6449">
        <v>2022</v>
      </c>
      <c r="D6449" t="s">
        <v>300</v>
      </c>
      <c r="E6449" t="s">
        <v>767</v>
      </c>
      <c r="F6449">
        <v>-4.07</v>
      </c>
      <c r="G6449" t="s">
        <v>302</v>
      </c>
      <c r="H6449">
        <v>140</v>
      </c>
      <c r="I6449" t="s">
        <v>9315</v>
      </c>
      <c r="J6449" t="s">
        <v>294</v>
      </c>
      <c r="M6449" t="s">
        <v>295</v>
      </c>
      <c r="N6449" t="s">
        <v>7</v>
      </c>
      <c r="O6449" t="s">
        <v>297</v>
      </c>
    </row>
    <row r="6450" spans="1:15" x14ac:dyDescent="0.3">
      <c r="A6450" t="s">
        <v>9276</v>
      </c>
      <c r="B6450" t="s">
        <v>9277</v>
      </c>
      <c r="C6450">
        <v>2022</v>
      </c>
      <c r="D6450" t="s">
        <v>300</v>
      </c>
      <c r="E6450" t="s">
        <v>769</v>
      </c>
      <c r="F6450">
        <v>-4.05</v>
      </c>
      <c r="G6450" t="s">
        <v>302</v>
      </c>
      <c r="H6450">
        <v>140</v>
      </c>
      <c r="I6450" t="s">
        <v>9316</v>
      </c>
      <c r="J6450" t="s">
        <v>294</v>
      </c>
      <c r="M6450" t="s">
        <v>295</v>
      </c>
      <c r="N6450" t="s">
        <v>7</v>
      </c>
      <c r="O6450" t="s">
        <v>297</v>
      </c>
    </row>
    <row r="6451" spans="1:15" x14ac:dyDescent="0.3">
      <c r="A6451" t="s">
        <v>9276</v>
      </c>
      <c r="B6451" t="s">
        <v>9277</v>
      </c>
      <c r="C6451">
        <v>2022</v>
      </c>
      <c r="D6451" t="s">
        <v>300</v>
      </c>
      <c r="E6451" t="s">
        <v>316</v>
      </c>
      <c r="F6451">
        <v>97.5</v>
      </c>
      <c r="G6451" t="s">
        <v>302</v>
      </c>
      <c r="H6451">
        <v>138</v>
      </c>
      <c r="I6451" t="s">
        <v>9317</v>
      </c>
      <c r="J6451" t="s">
        <v>294</v>
      </c>
      <c r="M6451" t="s">
        <v>295</v>
      </c>
      <c r="N6451" t="s">
        <v>7</v>
      </c>
      <c r="O6451" t="s">
        <v>297</v>
      </c>
    </row>
    <row r="6452" spans="1:15" x14ac:dyDescent="0.3">
      <c r="A6452" t="s">
        <v>9276</v>
      </c>
      <c r="B6452" t="s">
        <v>9277</v>
      </c>
      <c r="C6452">
        <v>2022</v>
      </c>
      <c r="D6452" t="s">
        <v>300</v>
      </c>
      <c r="E6452" t="s">
        <v>312</v>
      </c>
      <c r="F6452">
        <v>53.63</v>
      </c>
      <c r="G6452" t="s">
        <v>302</v>
      </c>
      <c r="H6452">
        <v>138</v>
      </c>
      <c r="I6452" t="s">
        <v>9318</v>
      </c>
      <c r="J6452" t="s">
        <v>294</v>
      </c>
      <c r="M6452" t="s">
        <v>295</v>
      </c>
      <c r="N6452" t="s">
        <v>7</v>
      </c>
      <c r="O6452" t="s">
        <v>297</v>
      </c>
    </row>
    <row r="6453" spans="1:15" x14ac:dyDescent="0.3">
      <c r="A6453" t="s">
        <v>9276</v>
      </c>
      <c r="B6453" t="s">
        <v>9277</v>
      </c>
      <c r="C6453">
        <v>2022</v>
      </c>
      <c r="D6453" t="s">
        <v>300</v>
      </c>
      <c r="E6453" t="s">
        <v>314</v>
      </c>
      <c r="F6453">
        <v>43.88</v>
      </c>
      <c r="G6453" t="s">
        <v>302</v>
      </c>
      <c r="H6453">
        <v>138</v>
      </c>
      <c r="I6453" t="s">
        <v>9319</v>
      </c>
      <c r="J6453" t="s">
        <v>294</v>
      </c>
      <c r="M6453" t="s">
        <v>295</v>
      </c>
      <c r="N6453" t="s">
        <v>7</v>
      </c>
      <c r="O6453" t="s">
        <v>297</v>
      </c>
    </row>
    <row r="6454" spans="1:15" x14ac:dyDescent="0.3">
      <c r="A6454" t="s">
        <v>9276</v>
      </c>
      <c r="B6454" t="s">
        <v>9277</v>
      </c>
      <c r="C6454">
        <v>2022</v>
      </c>
      <c r="D6454" t="s">
        <v>300</v>
      </c>
      <c r="E6454" t="s">
        <v>322</v>
      </c>
      <c r="F6454">
        <v>26.49</v>
      </c>
      <c r="G6454" t="s">
        <v>302</v>
      </c>
      <c r="H6454">
        <v>139</v>
      </c>
      <c r="I6454" t="s">
        <v>9320</v>
      </c>
      <c r="J6454" t="s">
        <v>294</v>
      </c>
      <c r="M6454" t="s">
        <v>295</v>
      </c>
      <c r="N6454" t="s">
        <v>7</v>
      </c>
      <c r="O6454" t="s">
        <v>297</v>
      </c>
    </row>
    <row r="6455" spans="1:15" x14ac:dyDescent="0.3">
      <c r="A6455" t="s">
        <v>9276</v>
      </c>
      <c r="B6455" t="s">
        <v>9277</v>
      </c>
      <c r="C6455">
        <v>2022</v>
      </c>
      <c r="D6455" t="s">
        <v>300</v>
      </c>
      <c r="E6455" t="s">
        <v>318</v>
      </c>
      <c r="F6455">
        <v>25.77</v>
      </c>
      <c r="G6455" t="s">
        <v>302</v>
      </c>
      <c r="H6455">
        <v>139</v>
      </c>
      <c r="I6455" t="s">
        <v>9321</v>
      </c>
      <c r="J6455" t="s">
        <v>294</v>
      </c>
      <c r="M6455" t="s">
        <v>295</v>
      </c>
      <c r="N6455" t="s">
        <v>7</v>
      </c>
      <c r="O6455" t="s">
        <v>297</v>
      </c>
    </row>
    <row r="6456" spans="1:15" x14ac:dyDescent="0.3">
      <c r="A6456" t="s">
        <v>9276</v>
      </c>
      <c r="B6456" t="s">
        <v>9277</v>
      </c>
      <c r="C6456">
        <v>2022</v>
      </c>
      <c r="D6456" t="s">
        <v>300</v>
      </c>
      <c r="E6456" t="s">
        <v>320</v>
      </c>
      <c r="F6456">
        <v>0.72</v>
      </c>
      <c r="G6456" t="s">
        <v>302</v>
      </c>
      <c r="H6456">
        <v>139</v>
      </c>
      <c r="I6456" t="s">
        <v>9322</v>
      </c>
      <c r="J6456" t="s">
        <v>294</v>
      </c>
      <c r="M6456" t="s">
        <v>295</v>
      </c>
      <c r="N6456" t="s">
        <v>7</v>
      </c>
      <c r="O6456" t="s">
        <v>297</v>
      </c>
    </row>
    <row r="6457" spans="1:15" x14ac:dyDescent="0.3">
      <c r="A6457" t="s">
        <v>9276</v>
      </c>
      <c r="B6457" t="s">
        <v>9277</v>
      </c>
      <c r="C6457">
        <v>2022</v>
      </c>
      <c r="D6457" t="s">
        <v>300</v>
      </c>
      <c r="E6457" t="s">
        <v>324</v>
      </c>
      <c r="F6457">
        <v>71.02</v>
      </c>
      <c r="G6457" t="s">
        <v>302</v>
      </c>
      <c r="H6457">
        <v>139</v>
      </c>
      <c r="I6457" t="s">
        <v>9323</v>
      </c>
      <c r="J6457" t="s">
        <v>294</v>
      </c>
      <c r="M6457" t="s">
        <v>295</v>
      </c>
      <c r="N6457" t="s">
        <v>7</v>
      </c>
      <c r="O6457" t="s">
        <v>297</v>
      </c>
    </row>
    <row r="6458" spans="1:15" x14ac:dyDescent="0.3">
      <c r="A6458" t="s">
        <v>9276</v>
      </c>
      <c r="B6458" t="s">
        <v>9277</v>
      </c>
      <c r="C6458">
        <v>2022</v>
      </c>
      <c r="D6458" t="s">
        <v>300</v>
      </c>
      <c r="E6458" t="s">
        <v>2667</v>
      </c>
      <c r="F6458">
        <v>2.99</v>
      </c>
      <c r="G6458" t="s">
        <v>302</v>
      </c>
      <c r="H6458">
        <v>138</v>
      </c>
      <c r="I6458" t="s">
        <v>9324</v>
      </c>
      <c r="J6458" t="s">
        <v>294</v>
      </c>
      <c r="M6458" t="s">
        <v>295</v>
      </c>
      <c r="N6458" t="s">
        <v>7</v>
      </c>
      <c r="O6458" t="s">
        <v>297</v>
      </c>
    </row>
    <row r="6459" spans="1:15" x14ac:dyDescent="0.3">
      <c r="A6459" t="s">
        <v>9276</v>
      </c>
      <c r="B6459" t="s">
        <v>9277</v>
      </c>
      <c r="C6459">
        <v>2022</v>
      </c>
      <c r="D6459" t="s">
        <v>300</v>
      </c>
      <c r="E6459" t="s">
        <v>2741</v>
      </c>
      <c r="F6459">
        <v>33.64</v>
      </c>
      <c r="G6459" t="s">
        <v>302</v>
      </c>
      <c r="H6459">
        <v>138</v>
      </c>
      <c r="I6459" t="s">
        <v>9325</v>
      </c>
      <c r="J6459" t="s">
        <v>294</v>
      </c>
      <c r="M6459" t="s">
        <v>295</v>
      </c>
      <c r="N6459" t="s">
        <v>7</v>
      </c>
      <c r="O6459" t="s">
        <v>297</v>
      </c>
    </row>
    <row r="6460" spans="1:15" x14ac:dyDescent="0.3">
      <c r="A6460" t="s">
        <v>9276</v>
      </c>
      <c r="B6460" t="s">
        <v>9277</v>
      </c>
      <c r="C6460">
        <v>2022</v>
      </c>
      <c r="D6460" t="s">
        <v>300</v>
      </c>
      <c r="E6460" t="s">
        <v>481</v>
      </c>
      <c r="F6460">
        <v>13.71</v>
      </c>
      <c r="G6460" t="s">
        <v>302</v>
      </c>
      <c r="H6460">
        <v>138</v>
      </c>
      <c r="I6460" t="s">
        <v>9326</v>
      </c>
      <c r="J6460" t="s">
        <v>294</v>
      </c>
      <c r="M6460" t="s">
        <v>295</v>
      </c>
      <c r="N6460" t="s">
        <v>7</v>
      </c>
      <c r="O6460" t="s">
        <v>297</v>
      </c>
    </row>
    <row r="6461" spans="1:15" x14ac:dyDescent="0.3">
      <c r="A6461" t="s">
        <v>9276</v>
      </c>
      <c r="B6461" t="s">
        <v>9277</v>
      </c>
      <c r="C6461">
        <v>2022</v>
      </c>
      <c r="D6461" t="s">
        <v>300</v>
      </c>
      <c r="E6461" t="s">
        <v>9327</v>
      </c>
      <c r="F6461">
        <v>39.82</v>
      </c>
      <c r="G6461" t="s">
        <v>302</v>
      </c>
      <c r="H6461">
        <v>138</v>
      </c>
      <c r="I6461" t="s">
        <v>9328</v>
      </c>
      <c r="J6461" t="s">
        <v>294</v>
      </c>
      <c r="M6461" t="s">
        <v>295</v>
      </c>
      <c r="N6461" t="s">
        <v>7</v>
      </c>
      <c r="O6461" t="s">
        <v>297</v>
      </c>
    </row>
    <row r="6462" spans="1:15" x14ac:dyDescent="0.3">
      <c r="A6462" t="s">
        <v>9276</v>
      </c>
      <c r="B6462" t="s">
        <v>9277</v>
      </c>
      <c r="C6462">
        <v>2022</v>
      </c>
      <c r="D6462" t="s">
        <v>300</v>
      </c>
      <c r="E6462" t="s">
        <v>5676</v>
      </c>
      <c r="F6462">
        <v>2.96</v>
      </c>
      <c r="G6462" t="s">
        <v>302</v>
      </c>
      <c r="H6462">
        <v>138</v>
      </c>
      <c r="I6462" t="s">
        <v>9329</v>
      </c>
      <c r="J6462" t="s">
        <v>294</v>
      </c>
      <c r="M6462" t="s">
        <v>295</v>
      </c>
      <c r="N6462" t="s">
        <v>7</v>
      </c>
      <c r="O6462" t="s">
        <v>297</v>
      </c>
    </row>
    <row r="6463" spans="1:15" x14ac:dyDescent="0.3">
      <c r="A6463" t="s">
        <v>9276</v>
      </c>
      <c r="B6463" t="s">
        <v>9277</v>
      </c>
      <c r="C6463">
        <v>2022</v>
      </c>
      <c r="D6463" t="s">
        <v>300</v>
      </c>
      <c r="E6463" t="s">
        <v>599</v>
      </c>
      <c r="F6463">
        <v>24.83</v>
      </c>
      <c r="G6463" t="s">
        <v>302</v>
      </c>
      <c r="H6463">
        <v>139</v>
      </c>
      <c r="I6463" t="s">
        <v>9330</v>
      </c>
      <c r="J6463" t="s">
        <v>294</v>
      </c>
      <c r="M6463" t="s">
        <v>295</v>
      </c>
      <c r="N6463" t="s">
        <v>7</v>
      </c>
      <c r="O6463" t="s">
        <v>297</v>
      </c>
    </row>
    <row r="6464" spans="1:15" x14ac:dyDescent="0.3">
      <c r="A6464" t="s">
        <v>9276</v>
      </c>
      <c r="B6464" t="s">
        <v>9277</v>
      </c>
      <c r="C6464">
        <v>2022</v>
      </c>
      <c r="D6464" t="s">
        <v>300</v>
      </c>
      <c r="E6464" t="s">
        <v>9331</v>
      </c>
      <c r="F6464">
        <v>0.05</v>
      </c>
      <c r="G6464" t="s">
        <v>302</v>
      </c>
      <c r="H6464">
        <v>139</v>
      </c>
      <c r="I6464" t="s">
        <v>9332</v>
      </c>
      <c r="J6464" t="s">
        <v>294</v>
      </c>
      <c r="M6464" t="s">
        <v>295</v>
      </c>
      <c r="N6464" t="s">
        <v>7</v>
      </c>
      <c r="O6464" t="s">
        <v>297</v>
      </c>
    </row>
    <row r="6465" spans="1:15" x14ac:dyDescent="0.3">
      <c r="A6465" t="s">
        <v>9276</v>
      </c>
      <c r="B6465" t="s">
        <v>9277</v>
      </c>
      <c r="C6465">
        <v>2022</v>
      </c>
      <c r="D6465" t="s">
        <v>300</v>
      </c>
      <c r="E6465" t="s">
        <v>9333</v>
      </c>
      <c r="F6465">
        <v>0.67</v>
      </c>
      <c r="G6465" t="s">
        <v>302</v>
      </c>
      <c r="H6465">
        <v>139</v>
      </c>
      <c r="I6465" t="s">
        <v>9334</v>
      </c>
      <c r="J6465" t="s">
        <v>294</v>
      </c>
      <c r="M6465" t="s">
        <v>295</v>
      </c>
      <c r="N6465" t="s">
        <v>7</v>
      </c>
      <c r="O6465" t="s">
        <v>297</v>
      </c>
    </row>
    <row r="6466" spans="1:15" x14ac:dyDescent="0.3">
      <c r="A6466" t="s">
        <v>9276</v>
      </c>
      <c r="B6466" t="s">
        <v>9277</v>
      </c>
      <c r="C6466">
        <v>2022</v>
      </c>
      <c r="D6466" t="s">
        <v>300</v>
      </c>
      <c r="E6466" t="s">
        <v>9172</v>
      </c>
      <c r="F6466">
        <v>-1.73</v>
      </c>
      <c r="G6466" t="s">
        <v>302</v>
      </c>
      <c r="H6466">
        <v>142</v>
      </c>
      <c r="I6466" t="s">
        <v>9335</v>
      </c>
      <c r="J6466" t="s">
        <v>294</v>
      </c>
      <c r="M6466" t="s">
        <v>295</v>
      </c>
      <c r="N6466" t="s">
        <v>7</v>
      </c>
      <c r="O6466" t="s">
        <v>297</v>
      </c>
    </row>
    <row r="6467" spans="1:15" x14ac:dyDescent="0.3">
      <c r="A6467" t="s">
        <v>9276</v>
      </c>
      <c r="B6467" t="s">
        <v>9277</v>
      </c>
      <c r="C6467">
        <v>2022</v>
      </c>
      <c r="D6467" t="s">
        <v>300</v>
      </c>
      <c r="E6467" t="s">
        <v>9336</v>
      </c>
      <c r="F6467">
        <v>0</v>
      </c>
      <c r="G6467" t="s">
        <v>302</v>
      </c>
      <c r="H6467">
        <v>142</v>
      </c>
      <c r="I6467" t="s">
        <v>9337</v>
      </c>
      <c r="J6467" t="s">
        <v>294</v>
      </c>
      <c r="M6467" t="s">
        <v>295</v>
      </c>
      <c r="N6467" t="s">
        <v>7</v>
      </c>
      <c r="O6467" t="s">
        <v>297</v>
      </c>
    </row>
    <row r="6468" spans="1:15" x14ac:dyDescent="0.3">
      <c r="A6468" t="s">
        <v>9276</v>
      </c>
      <c r="B6468" t="s">
        <v>9277</v>
      </c>
      <c r="C6468">
        <v>2022</v>
      </c>
      <c r="D6468" t="s">
        <v>300</v>
      </c>
      <c r="E6468" t="s">
        <v>345</v>
      </c>
      <c r="F6468">
        <v>-3.26</v>
      </c>
      <c r="G6468" t="s">
        <v>346</v>
      </c>
      <c r="H6468">
        <v>140</v>
      </c>
      <c r="I6468" t="s">
        <v>9338</v>
      </c>
      <c r="J6468" t="s">
        <v>294</v>
      </c>
      <c r="M6468" t="s">
        <v>295</v>
      </c>
      <c r="N6468" t="s">
        <v>7</v>
      </c>
      <c r="O6468" t="s">
        <v>297</v>
      </c>
    </row>
    <row r="6469" spans="1:15" x14ac:dyDescent="0.3">
      <c r="A6469" t="s">
        <v>9276</v>
      </c>
      <c r="B6469" t="s">
        <v>9277</v>
      </c>
      <c r="C6469">
        <v>2022</v>
      </c>
      <c r="D6469" t="s">
        <v>300</v>
      </c>
      <c r="E6469" t="s">
        <v>342</v>
      </c>
      <c r="F6469">
        <v>1240.92</v>
      </c>
      <c r="G6469" t="s">
        <v>497</v>
      </c>
      <c r="H6469">
        <v>11</v>
      </c>
      <c r="I6469" t="s">
        <v>9339</v>
      </c>
      <c r="J6469" t="s">
        <v>294</v>
      </c>
      <c r="M6469" t="s">
        <v>295</v>
      </c>
      <c r="N6469" t="s">
        <v>7</v>
      </c>
      <c r="O6469" t="s">
        <v>297</v>
      </c>
    </row>
    <row r="6470" spans="1:15" x14ac:dyDescent="0.3">
      <c r="A6470" t="s">
        <v>9276</v>
      </c>
      <c r="B6470" t="s">
        <v>9277</v>
      </c>
      <c r="C6470">
        <v>2022</v>
      </c>
      <c r="D6470" t="s">
        <v>300</v>
      </c>
      <c r="E6470" t="s">
        <v>3535</v>
      </c>
      <c r="F6470">
        <v>100</v>
      </c>
      <c r="G6470" t="s">
        <v>346</v>
      </c>
      <c r="H6470">
        <v>11</v>
      </c>
      <c r="I6470" t="s">
        <v>9340</v>
      </c>
      <c r="J6470" t="s">
        <v>294</v>
      </c>
      <c r="M6470" t="s">
        <v>295</v>
      </c>
      <c r="N6470" t="s">
        <v>7</v>
      </c>
      <c r="O6470" t="s">
        <v>297</v>
      </c>
    </row>
    <row r="6471" spans="1:15" x14ac:dyDescent="0.3">
      <c r="A6471" t="s">
        <v>9276</v>
      </c>
      <c r="B6471" t="s">
        <v>9277</v>
      </c>
      <c r="C6471">
        <v>2022</v>
      </c>
      <c r="D6471" t="s">
        <v>300</v>
      </c>
      <c r="E6471" t="s">
        <v>721</v>
      </c>
      <c r="F6471">
        <v>124.09</v>
      </c>
      <c r="G6471" t="s">
        <v>302</v>
      </c>
      <c r="H6471">
        <v>139</v>
      </c>
      <c r="I6471" t="s">
        <v>9341</v>
      </c>
      <c r="J6471" t="s">
        <v>294</v>
      </c>
      <c r="M6471" t="s">
        <v>295</v>
      </c>
      <c r="N6471" t="s">
        <v>7</v>
      </c>
      <c r="O6471" t="s">
        <v>297</v>
      </c>
    </row>
    <row r="6472" spans="1:15" x14ac:dyDescent="0.3">
      <c r="A6472" t="s">
        <v>9276</v>
      </c>
      <c r="B6472" t="s">
        <v>9277</v>
      </c>
      <c r="C6472">
        <v>2022</v>
      </c>
      <c r="D6472" t="s">
        <v>300</v>
      </c>
      <c r="E6472" t="s">
        <v>2925</v>
      </c>
      <c r="F6472">
        <v>-66.61</v>
      </c>
      <c r="G6472" t="s">
        <v>302</v>
      </c>
      <c r="H6472">
        <v>139</v>
      </c>
      <c r="I6472" t="s">
        <v>9342</v>
      </c>
      <c r="J6472" t="s">
        <v>294</v>
      </c>
      <c r="M6472" t="s">
        <v>295</v>
      </c>
      <c r="N6472" t="s">
        <v>7</v>
      </c>
      <c r="O6472" t="s">
        <v>297</v>
      </c>
    </row>
    <row r="6473" spans="1:15" x14ac:dyDescent="0.3">
      <c r="A6473" t="s">
        <v>9276</v>
      </c>
      <c r="B6473" t="s">
        <v>9277</v>
      </c>
      <c r="C6473">
        <v>2022</v>
      </c>
      <c r="D6473" t="s">
        <v>300</v>
      </c>
      <c r="E6473" t="s">
        <v>9343</v>
      </c>
      <c r="F6473">
        <v>250</v>
      </c>
      <c r="G6473" t="s">
        <v>346</v>
      </c>
      <c r="H6473">
        <v>11</v>
      </c>
      <c r="I6473" t="s">
        <v>9344</v>
      </c>
      <c r="J6473" t="s">
        <v>294</v>
      </c>
      <c r="M6473" t="s">
        <v>295</v>
      </c>
      <c r="N6473" t="s">
        <v>7</v>
      </c>
      <c r="O6473" t="s">
        <v>297</v>
      </c>
    </row>
    <row r="6474" spans="1:15" x14ac:dyDescent="0.3">
      <c r="A6474" t="s">
        <v>9276</v>
      </c>
      <c r="B6474" t="s">
        <v>9277</v>
      </c>
      <c r="C6474">
        <v>2022</v>
      </c>
      <c r="D6474" t="s">
        <v>300</v>
      </c>
      <c r="E6474" t="s">
        <v>9345</v>
      </c>
      <c r="F6474">
        <v>310</v>
      </c>
      <c r="G6474" t="s">
        <v>302</v>
      </c>
      <c r="H6474">
        <v>11</v>
      </c>
      <c r="I6474" t="s">
        <v>9346</v>
      </c>
      <c r="J6474" t="s">
        <v>456</v>
      </c>
      <c r="M6474" t="s">
        <v>295</v>
      </c>
      <c r="N6474" t="s">
        <v>7</v>
      </c>
      <c r="O6474" t="s">
        <v>297</v>
      </c>
    </row>
    <row r="6475" spans="1:15" x14ac:dyDescent="0.3">
      <c r="A6475" t="s">
        <v>9276</v>
      </c>
      <c r="B6475" t="s">
        <v>9277</v>
      </c>
      <c r="C6475">
        <v>2022</v>
      </c>
      <c r="D6475" t="s">
        <v>300</v>
      </c>
      <c r="E6475" t="s">
        <v>1187</v>
      </c>
      <c r="F6475">
        <v>8.3999999999999995E-3</v>
      </c>
      <c r="G6475" t="s">
        <v>334</v>
      </c>
      <c r="H6475">
        <v>10</v>
      </c>
      <c r="I6475" t="s">
        <v>9347</v>
      </c>
      <c r="J6475" t="s">
        <v>294</v>
      </c>
      <c r="M6475" t="s">
        <v>295</v>
      </c>
      <c r="N6475" t="s">
        <v>7</v>
      </c>
      <c r="O6475" t="s">
        <v>297</v>
      </c>
    </row>
    <row r="6476" spans="1:15" x14ac:dyDescent="0.3">
      <c r="A6476" t="s">
        <v>9276</v>
      </c>
      <c r="B6476" t="s">
        <v>9277</v>
      </c>
      <c r="C6476">
        <v>2022</v>
      </c>
      <c r="D6476" t="s">
        <v>300</v>
      </c>
      <c r="E6476" t="s">
        <v>903</v>
      </c>
      <c r="F6476">
        <v>-1.23E-2</v>
      </c>
      <c r="G6476" t="s">
        <v>334</v>
      </c>
      <c r="H6476">
        <v>10</v>
      </c>
      <c r="I6476" t="s">
        <v>9348</v>
      </c>
      <c r="J6476" t="s">
        <v>294</v>
      </c>
      <c r="M6476" t="s">
        <v>295</v>
      </c>
      <c r="N6476" t="s">
        <v>7</v>
      </c>
      <c r="O6476" t="s">
        <v>297</v>
      </c>
    </row>
    <row r="6477" spans="1:15" x14ac:dyDescent="0.3">
      <c r="A6477" t="s">
        <v>9276</v>
      </c>
      <c r="B6477" t="s">
        <v>9277</v>
      </c>
      <c r="C6477">
        <v>2022</v>
      </c>
      <c r="D6477" t="s">
        <v>300</v>
      </c>
      <c r="E6477" t="s">
        <v>333</v>
      </c>
      <c r="F6477">
        <v>-4.1500000000000002E-2</v>
      </c>
      <c r="G6477" t="s">
        <v>334</v>
      </c>
      <c r="H6477">
        <v>10</v>
      </c>
      <c r="I6477" t="s">
        <v>9349</v>
      </c>
      <c r="J6477" t="s">
        <v>294</v>
      </c>
      <c r="M6477" t="s">
        <v>295</v>
      </c>
      <c r="N6477" t="s">
        <v>7</v>
      </c>
      <c r="O6477" t="s">
        <v>297</v>
      </c>
    </row>
    <row r="6478" spans="1:15" x14ac:dyDescent="0.3">
      <c r="A6478" t="s">
        <v>9276</v>
      </c>
      <c r="B6478" t="s">
        <v>9277</v>
      </c>
      <c r="C6478">
        <v>2022</v>
      </c>
      <c r="D6478" t="s">
        <v>300</v>
      </c>
      <c r="E6478" t="s">
        <v>336</v>
      </c>
      <c r="F6478">
        <v>-5.7000000000000002E-2</v>
      </c>
      <c r="G6478" t="s">
        <v>334</v>
      </c>
      <c r="H6478">
        <v>10</v>
      </c>
      <c r="I6478" t="s">
        <v>9350</v>
      </c>
      <c r="J6478" t="s">
        <v>294</v>
      </c>
      <c r="M6478" t="s">
        <v>295</v>
      </c>
      <c r="N6478" t="s">
        <v>7</v>
      </c>
      <c r="O6478" t="s">
        <v>297</v>
      </c>
    </row>
    <row r="6479" spans="1:15" x14ac:dyDescent="0.3">
      <c r="A6479" t="s">
        <v>9276</v>
      </c>
      <c r="B6479" t="s">
        <v>9277</v>
      </c>
      <c r="C6479">
        <v>2022</v>
      </c>
      <c r="D6479" t="s">
        <v>300</v>
      </c>
      <c r="E6479" t="s">
        <v>326</v>
      </c>
      <c r="F6479">
        <v>2.08</v>
      </c>
      <c r="G6479" t="s">
        <v>327</v>
      </c>
      <c r="H6479">
        <v>10</v>
      </c>
      <c r="I6479" t="s">
        <v>9351</v>
      </c>
      <c r="J6479" t="s">
        <v>294</v>
      </c>
      <c r="M6479" t="s">
        <v>295</v>
      </c>
      <c r="N6479" t="s">
        <v>7</v>
      </c>
      <c r="O6479" t="s">
        <v>297</v>
      </c>
    </row>
    <row r="6480" spans="1:15" x14ac:dyDescent="0.3">
      <c r="A6480" t="s">
        <v>9276</v>
      </c>
      <c r="B6480" t="s">
        <v>9277</v>
      </c>
      <c r="C6480">
        <v>2022</v>
      </c>
      <c r="D6480" t="s">
        <v>300</v>
      </c>
      <c r="E6480" t="s">
        <v>842</v>
      </c>
      <c r="F6480">
        <v>0.373</v>
      </c>
      <c r="G6480" t="s">
        <v>327</v>
      </c>
      <c r="H6480">
        <v>10</v>
      </c>
      <c r="I6480" t="s">
        <v>9352</v>
      </c>
      <c r="J6480" t="s">
        <v>294</v>
      </c>
      <c r="M6480" t="s">
        <v>295</v>
      </c>
      <c r="N6480" t="s">
        <v>7</v>
      </c>
      <c r="O6480" t="s">
        <v>297</v>
      </c>
    </row>
    <row r="6481" spans="1:15" x14ac:dyDescent="0.3">
      <c r="A6481" t="s">
        <v>9276</v>
      </c>
      <c r="B6481" t="s">
        <v>9277</v>
      </c>
      <c r="C6481">
        <v>2022</v>
      </c>
      <c r="D6481" t="s">
        <v>300</v>
      </c>
      <c r="E6481" t="s">
        <v>844</v>
      </c>
      <c r="F6481">
        <v>0.27200000000000002</v>
      </c>
      <c r="G6481" t="s">
        <v>327</v>
      </c>
      <c r="H6481">
        <v>10</v>
      </c>
      <c r="I6481" t="s">
        <v>9353</v>
      </c>
      <c r="J6481" t="s">
        <v>294</v>
      </c>
      <c r="M6481" t="s">
        <v>295</v>
      </c>
      <c r="N6481" t="s">
        <v>7</v>
      </c>
      <c r="O6481" t="s">
        <v>297</v>
      </c>
    </row>
    <row r="6482" spans="1:15" x14ac:dyDescent="0.3">
      <c r="A6482" t="s">
        <v>9276</v>
      </c>
      <c r="B6482" t="s">
        <v>9277</v>
      </c>
      <c r="C6482">
        <v>2022</v>
      </c>
      <c r="D6482" t="s">
        <v>394</v>
      </c>
      <c r="E6482" t="s">
        <v>9354</v>
      </c>
      <c r="G6482" t="s">
        <v>396</v>
      </c>
      <c r="H6482">
        <v>6</v>
      </c>
      <c r="I6482" t="s">
        <v>9355</v>
      </c>
      <c r="J6482" t="s">
        <v>863</v>
      </c>
      <c r="M6482" t="s">
        <v>295</v>
      </c>
      <c r="N6482" t="s">
        <v>7</v>
      </c>
      <c r="O6482" t="s">
        <v>297</v>
      </c>
    </row>
    <row r="6483" spans="1:15" x14ac:dyDescent="0.3">
      <c r="A6483" t="s">
        <v>9276</v>
      </c>
      <c r="B6483" t="s">
        <v>9277</v>
      </c>
      <c r="C6483">
        <v>2022</v>
      </c>
      <c r="D6483" t="s">
        <v>394</v>
      </c>
      <c r="E6483" t="s">
        <v>9356</v>
      </c>
      <c r="F6483" t="s">
        <v>9357</v>
      </c>
      <c r="G6483" t="s">
        <v>292</v>
      </c>
      <c r="H6483">
        <v>20</v>
      </c>
      <c r="I6483" t="s">
        <v>9358</v>
      </c>
      <c r="J6483" t="s">
        <v>294</v>
      </c>
      <c r="M6483" t="s">
        <v>295</v>
      </c>
      <c r="N6483" t="s">
        <v>7</v>
      </c>
      <c r="O6483" t="s">
        <v>297</v>
      </c>
    </row>
    <row r="6484" spans="1:15" x14ac:dyDescent="0.3">
      <c r="A6484" t="s">
        <v>9276</v>
      </c>
      <c r="B6484" t="s">
        <v>9277</v>
      </c>
      <c r="C6484">
        <v>2022</v>
      </c>
      <c r="D6484" t="s">
        <v>394</v>
      </c>
      <c r="E6484" t="s">
        <v>9359</v>
      </c>
      <c r="F6484" t="s">
        <v>9360</v>
      </c>
      <c r="G6484" t="s">
        <v>292</v>
      </c>
      <c r="H6484">
        <v>8</v>
      </c>
      <c r="I6484" t="s">
        <v>9361</v>
      </c>
      <c r="J6484" t="s">
        <v>294</v>
      </c>
      <c r="M6484" t="s">
        <v>295</v>
      </c>
      <c r="N6484" t="s">
        <v>7</v>
      </c>
      <c r="O6484" t="s">
        <v>297</v>
      </c>
    </row>
    <row r="6485" spans="1:15" x14ac:dyDescent="0.3">
      <c r="A6485" t="s">
        <v>9276</v>
      </c>
      <c r="B6485" t="s">
        <v>9277</v>
      </c>
      <c r="C6485">
        <v>2022</v>
      </c>
      <c r="D6485" t="s">
        <v>394</v>
      </c>
      <c r="E6485" t="s">
        <v>9362</v>
      </c>
      <c r="F6485" t="s">
        <v>9363</v>
      </c>
      <c r="G6485" t="s">
        <v>292</v>
      </c>
      <c r="H6485">
        <v>19</v>
      </c>
      <c r="I6485" t="s">
        <v>9364</v>
      </c>
      <c r="J6485" t="s">
        <v>294</v>
      </c>
      <c r="M6485" t="s">
        <v>295</v>
      </c>
      <c r="N6485" t="s">
        <v>7</v>
      </c>
      <c r="O6485" t="s">
        <v>297</v>
      </c>
    </row>
    <row r="6486" spans="1:15" x14ac:dyDescent="0.3">
      <c r="A6486" t="s">
        <v>9276</v>
      </c>
      <c r="B6486" t="s">
        <v>9277</v>
      </c>
      <c r="C6486">
        <v>2022</v>
      </c>
      <c r="D6486" t="s">
        <v>394</v>
      </c>
      <c r="E6486" t="s">
        <v>9365</v>
      </c>
      <c r="F6486">
        <v>0</v>
      </c>
      <c r="G6486" t="s">
        <v>360</v>
      </c>
      <c r="H6486">
        <v>0</v>
      </c>
      <c r="I6486" t="s">
        <v>9366</v>
      </c>
      <c r="J6486" t="s">
        <v>294</v>
      </c>
      <c r="M6486" t="s">
        <v>295</v>
      </c>
      <c r="N6486" t="s">
        <v>7</v>
      </c>
      <c r="O6486" t="s">
        <v>297</v>
      </c>
    </row>
    <row r="6487" spans="1:15" x14ac:dyDescent="0.3">
      <c r="A6487" t="s">
        <v>9276</v>
      </c>
      <c r="B6487" t="s">
        <v>9277</v>
      </c>
      <c r="C6487">
        <v>2022</v>
      </c>
      <c r="D6487" t="s">
        <v>394</v>
      </c>
      <c r="E6487" t="s">
        <v>9367</v>
      </c>
      <c r="F6487">
        <v>0</v>
      </c>
      <c r="G6487" t="s">
        <v>384</v>
      </c>
      <c r="H6487">
        <v>0</v>
      </c>
      <c r="I6487" t="s">
        <v>9368</v>
      </c>
      <c r="J6487" t="s">
        <v>294</v>
      </c>
      <c r="M6487" t="s">
        <v>295</v>
      </c>
      <c r="N6487" t="s">
        <v>7</v>
      </c>
      <c r="O6487" t="s">
        <v>297</v>
      </c>
    </row>
    <row r="6488" spans="1:15" x14ac:dyDescent="0.3">
      <c r="A6488" t="s">
        <v>9276</v>
      </c>
      <c r="B6488" t="s">
        <v>9277</v>
      </c>
      <c r="C6488">
        <v>2022</v>
      </c>
      <c r="D6488" t="s">
        <v>394</v>
      </c>
      <c r="E6488" t="s">
        <v>9369</v>
      </c>
      <c r="F6488">
        <v>0</v>
      </c>
      <c r="G6488" t="s">
        <v>396</v>
      </c>
      <c r="H6488">
        <v>0</v>
      </c>
      <c r="I6488" t="s">
        <v>9370</v>
      </c>
      <c r="J6488" t="s">
        <v>294</v>
      </c>
      <c r="M6488" t="s">
        <v>295</v>
      </c>
      <c r="N6488" t="s">
        <v>7</v>
      </c>
      <c r="O6488" t="s">
        <v>297</v>
      </c>
    </row>
    <row r="6489" spans="1:15" x14ac:dyDescent="0.3">
      <c r="A6489" t="s">
        <v>9276</v>
      </c>
      <c r="B6489" t="s">
        <v>9277</v>
      </c>
      <c r="C6489">
        <v>2022</v>
      </c>
      <c r="D6489" t="s">
        <v>563</v>
      </c>
      <c r="E6489" t="s">
        <v>9371</v>
      </c>
      <c r="F6489" t="s">
        <v>9372</v>
      </c>
      <c r="G6489" t="s">
        <v>292</v>
      </c>
      <c r="H6489">
        <v>0</v>
      </c>
      <c r="I6489" t="s">
        <v>9373</v>
      </c>
      <c r="J6489" t="s">
        <v>294</v>
      </c>
      <c r="M6489" t="s">
        <v>295</v>
      </c>
      <c r="N6489" t="s">
        <v>7</v>
      </c>
      <c r="O6489" t="s">
        <v>297</v>
      </c>
    </row>
    <row r="6490" spans="1:15" x14ac:dyDescent="0.3">
      <c r="A6490" t="s">
        <v>9276</v>
      </c>
      <c r="B6490" t="s">
        <v>9277</v>
      </c>
      <c r="C6490">
        <v>2022</v>
      </c>
      <c r="D6490" t="s">
        <v>252</v>
      </c>
      <c r="E6490" t="s">
        <v>9374</v>
      </c>
      <c r="F6490" t="s">
        <v>9375</v>
      </c>
      <c r="G6490" t="s">
        <v>9376</v>
      </c>
      <c r="H6490">
        <v>6</v>
      </c>
      <c r="I6490" t="s">
        <v>9377</v>
      </c>
      <c r="J6490" t="s">
        <v>294</v>
      </c>
      <c r="M6490" t="s">
        <v>295</v>
      </c>
      <c r="N6490" t="s">
        <v>7</v>
      </c>
      <c r="O6490" t="s">
        <v>297</v>
      </c>
    </row>
    <row r="6491" spans="1:15" x14ac:dyDescent="0.3">
      <c r="A6491" t="s">
        <v>9276</v>
      </c>
      <c r="B6491" t="s">
        <v>9378</v>
      </c>
      <c r="C6491">
        <v>2023</v>
      </c>
      <c r="D6491" t="s">
        <v>272</v>
      </c>
      <c r="E6491" t="s">
        <v>291</v>
      </c>
      <c r="F6491" t="s">
        <v>9276</v>
      </c>
      <c r="G6491" t="s">
        <v>292</v>
      </c>
      <c r="H6491">
        <v>3</v>
      </c>
      <c r="I6491" t="s">
        <v>9379</v>
      </c>
      <c r="J6491" t="s">
        <v>294</v>
      </c>
      <c r="M6491" t="s">
        <v>295</v>
      </c>
      <c r="N6491" t="s">
        <v>7</v>
      </c>
      <c r="O6491" t="s">
        <v>297</v>
      </c>
    </row>
    <row r="6492" spans="1:15" x14ac:dyDescent="0.3">
      <c r="A6492" t="s">
        <v>9276</v>
      </c>
      <c r="B6492" t="s">
        <v>9378</v>
      </c>
      <c r="C6492">
        <v>2023</v>
      </c>
      <c r="D6492" t="s">
        <v>272</v>
      </c>
      <c r="E6492" t="s">
        <v>1</v>
      </c>
      <c r="F6492" t="s">
        <v>128</v>
      </c>
      <c r="G6492" t="s">
        <v>292</v>
      </c>
      <c r="H6492">
        <v>1</v>
      </c>
      <c r="I6492" t="s">
        <v>9380</v>
      </c>
      <c r="J6492" t="s">
        <v>294</v>
      </c>
      <c r="M6492" t="s">
        <v>295</v>
      </c>
      <c r="N6492" t="s">
        <v>7</v>
      </c>
      <c r="O6492" t="s">
        <v>297</v>
      </c>
    </row>
    <row r="6493" spans="1:15" x14ac:dyDescent="0.3">
      <c r="A6493" t="s">
        <v>9276</v>
      </c>
      <c r="B6493" t="s">
        <v>9378</v>
      </c>
      <c r="C6493">
        <v>2023</v>
      </c>
      <c r="D6493" t="s">
        <v>272</v>
      </c>
      <c r="E6493" t="s">
        <v>9280</v>
      </c>
      <c r="F6493">
        <v>2023</v>
      </c>
      <c r="G6493" t="s">
        <v>299</v>
      </c>
      <c r="H6493">
        <v>1</v>
      </c>
      <c r="I6493" t="s">
        <v>9381</v>
      </c>
      <c r="J6493" t="s">
        <v>294</v>
      </c>
      <c r="M6493" t="s">
        <v>295</v>
      </c>
      <c r="N6493" t="s">
        <v>7</v>
      </c>
      <c r="O6493" t="s">
        <v>297</v>
      </c>
    </row>
    <row r="6494" spans="1:15" x14ac:dyDescent="0.3">
      <c r="A6494" t="s">
        <v>9276</v>
      </c>
      <c r="B6494" t="s">
        <v>9378</v>
      </c>
      <c r="C6494">
        <v>2023</v>
      </c>
      <c r="D6494" t="s">
        <v>272</v>
      </c>
      <c r="E6494" t="s">
        <v>668</v>
      </c>
      <c r="F6494" t="s">
        <v>9282</v>
      </c>
      <c r="G6494" t="s">
        <v>292</v>
      </c>
      <c r="H6494">
        <v>8</v>
      </c>
      <c r="I6494" t="s">
        <v>9382</v>
      </c>
      <c r="J6494" t="s">
        <v>294</v>
      </c>
      <c r="M6494" t="s">
        <v>295</v>
      </c>
      <c r="N6494" t="s">
        <v>7</v>
      </c>
      <c r="O6494" t="s">
        <v>297</v>
      </c>
    </row>
    <row r="6495" spans="1:15" x14ac:dyDescent="0.3">
      <c r="A6495" t="s">
        <v>9276</v>
      </c>
      <c r="B6495" t="s">
        <v>9378</v>
      </c>
      <c r="C6495">
        <v>2023</v>
      </c>
      <c r="D6495" t="s">
        <v>272</v>
      </c>
      <c r="E6495" t="s">
        <v>9383</v>
      </c>
      <c r="F6495" t="s">
        <v>9384</v>
      </c>
      <c r="G6495" t="s">
        <v>292</v>
      </c>
      <c r="H6495">
        <v>149</v>
      </c>
      <c r="I6495" t="s">
        <v>9385</v>
      </c>
      <c r="J6495" t="s">
        <v>294</v>
      </c>
      <c r="M6495" t="s">
        <v>295</v>
      </c>
      <c r="N6495" t="s">
        <v>7</v>
      </c>
      <c r="O6495" t="s">
        <v>297</v>
      </c>
    </row>
    <row r="6496" spans="1:15" x14ac:dyDescent="0.3">
      <c r="A6496" t="s">
        <v>9276</v>
      </c>
      <c r="B6496" t="s">
        <v>9378</v>
      </c>
      <c r="C6496">
        <v>2023</v>
      </c>
      <c r="D6496" t="s">
        <v>272</v>
      </c>
      <c r="E6496" t="s">
        <v>9386</v>
      </c>
      <c r="F6496" t="s">
        <v>9387</v>
      </c>
      <c r="G6496" t="s">
        <v>292</v>
      </c>
      <c r="H6496">
        <v>8</v>
      </c>
      <c r="I6496" t="s">
        <v>9294</v>
      </c>
      <c r="J6496" t="s">
        <v>294</v>
      </c>
      <c r="M6496" t="s">
        <v>295</v>
      </c>
      <c r="N6496" t="s">
        <v>7</v>
      </c>
      <c r="O6496" t="s">
        <v>297</v>
      </c>
    </row>
    <row r="6497" spans="1:15" x14ac:dyDescent="0.3">
      <c r="A6497" t="s">
        <v>9276</v>
      </c>
      <c r="B6497" t="s">
        <v>9378</v>
      </c>
      <c r="C6497">
        <v>2023</v>
      </c>
      <c r="D6497" t="s">
        <v>272</v>
      </c>
      <c r="E6497" t="s">
        <v>5884</v>
      </c>
      <c r="F6497" t="s">
        <v>9295</v>
      </c>
      <c r="G6497" t="s">
        <v>334</v>
      </c>
      <c r="H6497">
        <v>11</v>
      </c>
      <c r="I6497" t="s">
        <v>9296</v>
      </c>
      <c r="J6497" t="s">
        <v>294</v>
      </c>
      <c r="M6497" t="s">
        <v>295</v>
      </c>
      <c r="N6497" t="s">
        <v>7</v>
      </c>
      <c r="O6497" t="s">
        <v>297</v>
      </c>
    </row>
    <row r="6498" spans="1:15" x14ac:dyDescent="0.3">
      <c r="A6498" t="s">
        <v>9276</v>
      </c>
      <c r="B6498" t="s">
        <v>9378</v>
      </c>
      <c r="C6498">
        <v>2023</v>
      </c>
      <c r="D6498" t="s">
        <v>272</v>
      </c>
      <c r="E6498" t="s">
        <v>5887</v>
      </c>
      <c r="F6498" t="s">
        <v>9297</v>
      </c>
      <c r="G6498" t="s">
        <v>334</v>
      </c>
      <c r="H6498">
        <v>11</v>
      </c>
      <c r="I6498" t="s">
        <v>9298</v>
      </c>
      <c r="J6498" t="s">
        <v>294</v>
      </c>
      <c r="M6498" t="s">
        <v>295</v>
      </c>
      <c r="N6498" t="s">
        <v>7</v>
      </c>
      <c r="O6498" t="s">
        <v>297</v>
      </c>
    </row>
    <row r="6499" spans="1:15" x14ac:dyDescent="0.3">
      <c r="A6499" t="s">
        <v>9276</v>
      </c>
      <c r="B6499" t="s">
        <v>9378</v>
      </c>
      <c r="C6499">
        <v>2023</v>
      </c>
      <c r="D6499" t="s">
        <v>272</v>
      </c>
      <c r="E6499" t="s">
        <v>445</v>
      </c>
      <c r="F6499">
        <v>0.19</v>
      </c>
      <c r="G6499" t="s">
        <v>334</v>
      </c>
      <c r="H6499">
        <v>11</v>
      </c>
      <c r="I6499" t="s">
        <v>9299</v>
      </c>
      <c r="J6499" t="s">
        <v>294</v>
      </c>
      <c r="M6499" t="s">
        <v>295</v>
      </c>
      <c r="N6499" t="s">
        <v>7</v>
      </c>
      <c r="O6499" t="s">
        <v>297</v>
      </c>
    </row>
    <row r="6500" spans="1:15" x14ac:dyDescent="0.3">
      <c r="A6500" t="s">
        <v>9276</v>
      </c>
      <c r="B6500" t="s">
        <v>9378</v>
      </c>
      <c r="C6500">
        <v>2023</v>
      </c>
      <c r="D6500" t="s">
        <v>272</v>
      </c>
      <c r="E6500" t="s">
        <v>9388</v>
      </c>
      <c r="F6500" t="s">
        <v>9389</v>
      </c>
      <c r="G6500" t="s">
        <v>292</v>
      </c>
      <c r="H6500">
        <v>14</v>
      </c>
      <c r="I6500" t="s">
        <v>9390</v>
      </c>
      <c r="J6500" t="s">
        <v>294</v>
      </c>
      <c r="M6500" t="s">
        <v>295</v>
      </c>
      <c r="N6500" t="s">
        <v>7</v>
      </c>
      <c r="O6500" t="s">
        <v>297</v>
      </c>
    </row>
    <row r="6501" spans="1:15" x14ac:dyDescent="0.3">
      <c r="A6501" t="s">
        <v>9276</v>
      </c>
      <c r="B6501" t="s">
        <v>9378</v>
      </c>
      <c r="C6501">
        <v>2023</v>
      </c>
      <c r="D6501" t="s">
        <v>272</v>
      </c>
      <c r="E6501" t="s">
        <v>9391</v>
      </c>
      <c r="F6501" t="s">
        <v>9392</v>
      </c>
      <c r="G6501" t="s">
        <v>292</v>
      </c>
      <c r="H6501">
        <v>14</v>
      </c>
      <c r="I6501" t="s">
        <v>9393</v>
      </c>
      <c r="J6501" t="s">
        <v>294</v>
      </c>
      <c r="M6501" t="s">
        <v>295</v>
      </c>
      <c r="N6501" t="s">
        <v>7</v>
      </c>
      <c r="O6501" t="s">
        <v>297</v>
      </c>
    </row>
    <row r="6502" spans="1:15" x14ac:dyDescent="0.3">
      <c r="A6502" t="s">
        <v>9276</v>
      </c>
      <c r="B6502" t="s">
        <v>9378</v>
      </c>
      <c r="C6502">
        <v>2023</v>
      </c>
      <c r="D6502" t="s">
        <v>300</v>
      </c>
      <c r="E6502" t="s">
        <v>3629</v>
      </c>
      <c r="F6502">
        <v>420.95</v>
      </c>
      <c r="G6502" t="s">
        <v>302</v>
      </c>
      <c r="H6502">
        <v>146</v>
      </c>
      <c r="I6502" t="s">
        <v>9394</v>
      </c>
      <c r="J6502" t="s">
        <v>294</v>
      </c>
      <c r="M6502" t="s">
        <v>295</v>
      </c>
      <c r="N6502" t="s">
        <v>7</v>
      </c>
      <c r="O6502" t="s">
        <v>297</v>
      </c>
    </row>
    <row r="6503" spans="1:15" x14ac:dyDescent="0.3">
      <c r="A6503" t="s">
        <v>9276</v>
      </c>
      <c r="B6503" t="s">
        <v>9378</v>
      </c>
      <c r="C6503">
        <v>2023</v>
      </c>
      <c r="D6503" t="s">
        <v>300</v>
      </c>
      <c r="E6503" t="s">
        <v>688</v>
      </c>
      <c r="F6503">
        <v>409.06</v>
      </c>
      <c r="G6503" t="s">
        <v>302</v>
      </c>
      <c r="H6503">
        <v>146</v>
      </c>
      <c r="I6503" t="s">
        <v>9395</v>
      </c>
      <c r="J6503" t="s">
        <v>294</v>
      </c>
      <c r="M6503" t="s">
        <v>295</v>
      </c>
      <c r="N6503" t="s">
        <v>7</v>
      </c>
      <c r="O6503" t="s">
        <v>297</v>
      </c>
    </row>
    <row r="6504" spans="1:15" x14ac:dyDescent="0.3">
      <c r="A6504" t="s">
        <v>9276</v>
      </c>
      <c r="B6504" t="s">
        <v>9378</v>
      </c>
      <c r="C6504">
        <v>2023</v>
      </c>
      <c r="D6504" t="s">
        <v>300</v>
      </c>
      <c r="E6504" t="s">
        <v>304</v>
      </c>
      <c r="F6504">
        <v>11.9</v>
      </c>
      <c r="G6504" t="s">
        <v>302</v>
      </c>
      <c r="H6504">
        <v>146</v>
      </c>
      <c r="I6504" t="s">
        <v>9396</v>
      </c>
      <c r="J6504" t="s">
        <v>294</v>
      </c>
      <c r="M6504" t="s">
        <v>295</v>
      </c>
      <c r="N6504" t="s">
        <v>7</v>
      </c>
      <c r="O6504" t="s">
        <v>297</v>
      </c>
    </row>
    <row r="6505" spans="1:15" x14ac:dyDescent="0.3">
      <c r="A6505" t="s">
        <v>9276</v>
      </c>
      <c r="B6505" t="s">
        <v>9378</v>
      </c>
      <c r="C6505">
        <v>2023</v>
      </c>
      <c r="D6505" t="s">
        <v>300</v>
      </c>
      <c r="E6505" t="s">
        <v>5141</v>
      </c>
      <c r="F6505">
        <v>12.26</v>
      </c>
      <c r="G6505" t="s">
        <v>302</v>
      </c>
      <c r="H6505">
        <v>146</v>
      </c>
      <c r="I6505" t="s">
        <v>9397</v>
      </c>
      <c r="J6505" t="s">
        <v>294</v>
      </c>
      <c r="M6505" t="s">
        <v>295</v>
      </c>
      <c r="N6505" t="s">
        <v>7</v>
      </c>
      <c r="O6505" t="s">
        <v>297</v>
      </c>
    </row>
    <row r="6506" spans="1:15" x14ac:dyDescent="0.3">
      <c r="A6506" t="s">
        <v>9276</v>
      </c>
      <c r="B6506" t="s">
        <v>9378</v>
      </c>
      <c r="C6506">
        <v>2023</v>
      </c>
      <c r="D6506" t="s">
        <v>300</v>
      </c>
      <c r="E6506" t="s">
        <v>9306</v>
      </c>
      <c r="F6506">
        <v>-0.36</v>
      </c>
      <c r="G6506" t="s">
        <v>302</v>
      </c>
      <c r="H6506">
        <v>146</v>
      </c>
      <c r="I6506" t="s">
        <v>9398</v>
      </c>
      <c r="J6506" t="s">
        <v>294</v>
      </c>
      <c r="M6506" t="s">
        <v>295</v>
      </c>
      <c r="N6506" t="s">
        <v>7</v>
      </c>
      <c r="O6506" t="s">
        <v>297</v>
      </c>
    </row>
    <row r="6507" spans="1:15" x14ac:dyDescent="0.3">
      <c r="A6507" t="s">
        <v>9276</v>
      </c>
      <c r="B6507" t="s">
        <v>9378</v>
      </c>
      <c r="C6507">
        <v>2023</v>
      </c>
      <c r="D6507" t="s">
        <v>300</v>
      </c>
      <c r="E6507" t="s">
        <v>9308</v>
      </c>
      <c r="F6507">
        <v>1.0900000000000001</v>
      </c>
      <c r="G6507" t="s">
        <v>302</v>
      </c>
      <c r="H6507">
        <v>146</v>
      </c>
      <c r="I6507" t="s">
        <v>9399</v>
      </c>
      <c r="J6507" t="s">
        <v>294</v>
      </c>
      <c r="M6507" t="s">
        <v>295</v>
      </c>
      <c r="N6507" t="s">
        <v>7</v>
      </c>
      <c r="O6507" t="s">
        <v>297</v>
      </c>
    </row>
    <row r="6508" spans="1:15" x14ac:dyDescent="0.3">
      <c r="A6508" t="s">
        <v>9276</v>
      </c>
      <c r="B6508" t="s">
        <v>9378</v>
      </c>
      <c r="C6508">
        <v>2023</v>
      </c>
      <c r="D6508" t="s">
        <v>300</v>
      </c>
      <c r="E6508" t="s">
        <v>9400</v>
      </c>
      <c r="F6508">
        <v>-7.0000000000000007E-2</v>
      </c>
      <c r="G6508" t="s">
        <v>302</v>
      </c>
      <c r="H6508">
        <v>146</v>
      </c>
      <c r="I6508" t="s">
        <v>9401</v>
      </c>
      <c r="J6508" t="s">
        <v>294</v>
      </c>
      <c r="M6508" t="s">
        <v>295</v>
      </c>
      <c r="N6508" t="s">
        <v>7</v>
      </c>
      <c r="O6508" t="s">
        <v>297</v>
      </c>
    </row>
    <row r="6509" spans="1:15" x14ac:dyDescent="0.3">
      <c r="A6509" t="s">
        <v>9276</v>
      </c>
      <c r="B6509" t="s">
        <v>9378</v>
      </c>
      <c r="C6509">
        <v>2023</v>
      </c>
      <c r="D6509" t="s">
        <v>300</v>
      </c>
      <c r="E6509" t="s">
        <v>579</v>
      </c>
      <c r="F6509">
        <v>0.66</v>
      </c>
      <c r="G6509" t="s">
        <v>302</v>
      </c>
      <c r="H6509">
        <v>146</v>
      </c>
      <c r="I6509" t="s">
        <v>9402</v>
      </c>
      <c r="J6509" t="s">
        <v>294</v>
      </c>
      <c r="M6509" t="s">
        <v>295</v>
      </c>
      <c r="N6509" t="s">
        <v>7</v>
      </c>
      <c r="O6509" t="s">
        <v>297</v>
      </c>
    </row>
    <row r="6510" spans="1:15" x14ac:dyDescent="0.3">
      <c r="A6510" t="s">
        <v>9276</v>
      </c>
      <c r="B6510" t="s">
        <v>9378</v>
      </c>
      <c r="C6510">
        <v>2023</v>
      </c>
      <c r="D6510" t="s">
        <v>300</v>
      </c>
      <c r="E6510" t="s">
        <v>1165</v>
      </c>
      <c r="F6510">
        <v>-0.44</v>
      </c>
      <c r="G6510" t="s">
        <v>302</v>
      </c>
      <c r="H6510">
        <v>146</v>
      </c>
      <c r="I6510" t="s">
        <v>9403</v>
      </c>
      <c r="J6510" t="s">
        <v>294</v>
      </c>
      <c r="M6510" t="s">
        <v>295</v>
      </c>
      <c r="N6510" t="s">
        <v>7</v>
      </c>
      <c r="O6510" t="s">
        <v>297</v>
      </c>
    </row>
    <row r="6511" spans="1:15" x14ac:dyDescent="0.3">
      <c r="A6511" t="s">
        <v>9276</v>
      </c>
      <c r="B6511" t="s">
        <v>9378</v>
      </c>
      <c r="C6511">
        <v>2023</v>
      </c>
      <c r="D6511" t="s">
        <v>300</v>
      </c>
      <c r="E6511" t="s">
        <v>306</v>
      </c>
      <c r="F6511">
        <v>0.22</v>
      </c>
      <c r="G6511" t="s">
        <v>302</v>
      </c>
      <c r="H6511">
        <v>146</v>
      </c>
      <c r="I6511" t="s">
        <v>9404</v>
      </c>
      <c r="J6511" t="s">
        <v>294</v>
      </c>
      <c r="M6511" t="s">
        <v>295</v>
      </c>
      <c r="N6511" t="s">
        <v>7</v>
      </c>
      <c r="O6511" t="s">
        <v>297</v>
      </c>
    </row>
    <row r="6512" spans="1:15" x14ac:dyDescent="0.3">
      <c r="A6512" t="s">
        <v>9276</v>
      </c>
      <c r="B6512" t="s">
        <v>9378</v>
      </c>
      <c r="C6512">
        <v>2023</v>
      </c>
      <c r="D6512" t="s">
        <v>300</v>
      </c>
      <c r="E6512" t="s">
        <v>9405</v>
      </c>
      <c r="F6512">
        <v>0.24</v>
      </c>
      <c r="G6512" t="s">
        <v>302</v>
      </c>
      <c r="H6512">
        <v>146</v>
      </c>
      <c r="I6512" t="s">
        <v>9406</v>
      </c>
      <c r="J6512" t="s">
        <v>294</v>
      </c>
      <c r="M6512" t="s">
        <v>295</v>
      </c>
      <c r="N6512" t="s">
        <v>7</v>
      </c>
      <c r="O6512" t="s">
        <v>297</v>
      </c>
    </row>
    <row r="6513" spans="1:15" x14ac:dyDescent="0.3">
      <c r="A6513" t="s">
        <v>9276</v>
      </c>
      <c r="B6513" t="s">
        <v>9378</v>
      </c>
      <c r="C6513">
        <v>2023</v>
      </c>
      <c r="D6513" t="s">
        <v>300</v>
      </c>
      <c r="E6513" t="s">
        <v>316</v>
      </c>
      <c r="F6513">
        <v>131.94</v>
      </c>
      <c r="G6513" t="s">
        <v>302</v>
      </c>
      <c r="H6513">
        <v>144</v>
      </c>
      <c r="I6513" t="s">
        <v>9407</v>
      </c>
      <c r="J6513" t="s">
        <v>294</v>
      </c>
      <c r="M6513" t="s">
        <v>295</v>
      </c>
      <c r="N6513" t="s">
        <v>7</v>
      </c>
      <c r="O6513" t="s">
        <v>297</v>
      </c>
    </row>
    <row r="6514" spans="1:15" x14ac:dyDescent="0.3">
      <c r="A6514" t="s">
        <v>9276</v>
      </c>
      <c r="B6514" t="s">
        <v>9378</v>
      </c>
      <c r="C6514">
        <v>2023</v>
      </c>
      <c r="D6514" t="s">
        <v>300</v>
      </c>
      <c r="E6514" t="s">
        <v>312</v>
      </c>
      <c r="F6514">
        <v>85.79</v>
      </c>
      <c r="G6514" t="s">
        <v>302</v>
      </c>
      <c r="H6514">
        <v>144</v>
      </c>
      <c r="I6514" t="s">
        <v>9408</v>
      </c>
      <c r="J6514" t="s">
        <v>294</v>
      </c>
      <c r="M6514" t="s">
        <v>295</v>
      </c>
      <c r="N6514" t="s">
        <v>7</v>
      </c>
      <c r="O6514" t="s">
        <v>297</v>
      </c>
    </row>
    <row r="6515" spans="1:15" x14ac:dyDescent="0.3">
      <c r="A6515" t="s">
        <v>9276</v>
      </c>
      <c r="B6515" t="s">
        <v>9378</v>
      </c>
      <c r="C6515">
        <v>2023</v>
      </c>
      <c r="D6515" t="s">
        <v>300</v>
      </c>
      <c r="E6515" t="s">
        <v>314</v>
      </c>
      <c r="F6515">
        <v>46.15</v>
      </c>
      <c r="G6515" t="s">
        <v>302</v>
      </c>
      <c r="H6515">
        <v>144</v>
      </c>
      <c r="I6515" t="s">
        <v>9409</v>
      </c>
      <c r="J6515" t="s">
        <v>294</v>
      </c>
      <c r="M6515" t="s">
        <v>295</v>
      </c>
      <c r="N6515" t="s">
        <v>7</v>
      </c>
      <c r="O6515" t="s">
        <v>297</v>
      </c>
    </row>
    <row r="6516" spans="1:15" x14ac:dyDescent="0.3">
      <c r="A6516" t="s">
        <v>9276</v>
      </c>
      <c r="B6516" t="s">
        <v>9378</v>
      </c>
      <c r="C6516">
        <v>2023</v>
      </c>
      <c r="D6516" t="s">
        <v>300</v>
      </c>
      <c r="E6516" t="s">
        <v>322</v>
      </c>
      <c r="F6516">
        <v>60.68</v>
      </c>
      <c r="G6516" t="s">
        <v>302</v>
      </c>
      <c r="H6516">
        <v>145</v>
      </c>
      <c r="I6516" t="s">
        <v>9410</v>
      </c>
      <c r="J6516" t="s">
        <v>294</v>
      </c>
      <c r="M6516" t="s">
        <v>295</v>
      </c>
      <c r="N6516" t="s">
        <v>7</v>
      </c>
      <c r="O6516" t="s">
        <v>297</v>
      </c>
    </row>
    <row r="6517" spans="1:15" x14ac:dyDescent="0.3">
      <c r="A6517" t="s">
        <v>9276</v>
      </c>
      <c r="B6517" t="s">
        <v>9378</v>
      </c>
      <c r="C6517">
        <v>2023</v>
      </c>
      <c r="D6517" t="s">
        <v>300</v>
      </c>
      <c r="E6517" t="s">
        <v>318</v>
      </c>
      <c r="F6517">
        <v>59.92</v>
      </c>
      <c r="G6517" t="s">
        <v>302</v>
      </c>
      <c r="H6517">
        <v>145</v>
      </c>
      <c r="I6517" t="s">
        <v>9411</v>
      </c>
      <c r="J6517" t="s">
        <v>294</v>
      </c>
      <c r="M6517" t="s">
        <v>295</v>
      </c>
      <c r="N6517" t="s">
        <v>7</v>
      </c>
      <c r="O6517" t="s">
        <v>297</v>
      </c>
    </row>
    <row r="6518" spans="1:15" x14ac:dyDescent="0.3">
      <c r="A6518" t="s">
        <v>9276</v>
      </c>
      <c r="B6518" t="s">
        <v>9378</v>
      </c>
      <c r="C6518">
        <v>2023</v>
      </c>
      <c r="D6518" t="s">
        <v>300</v>
      </c>
      <c r="E6518" t="s">
        <v>320</v>
      </c>
      <c r="F6518">
        <v>0.77</v>
      </c>
      <c r="G6518" t="s">
        <v>302</v>
      </c>
      <c r="H6518">
        <v>145</v>
      </c>
      <c r="I6518" t="s">
        <v>9412</v>
      </c>
      <c r="J6518" t="s">
        <v>294</v>
      </c>
      <c r="M6518" t="s">
        <v>295</v>
      </c>
      <c r="N6518" t="s">
        <v>7</v>
      </c>
      <c r="O6518" t="s">
        <v>297</v>
      </c>
    </row>
    <row r="6519" spans="1:15" x14ac:dyDescent="0.3">
      <c r="A6519" t="s">
        <v>9276</v>
      </c>
      <c r="B6519" t="s">
        <v>9378</v>
      </c>
      <c r="C6519">
        <v>2023</v>
      </c>
      <c r="D6519" t="s">
        <v>300</v>
      </c>
      <c r="E6519" t="s">
        <v>324</v>
      </c>
      <c r="F6519">
        <v>71.25</v>
      </c>
      <c r="G6519" t="s">
        <v>302</v>
      </c>
      <c r="H6519">
        <v>145</v>
      </c>
      <c r="I6519" t="s">
        <v>9413</v>
      </c>
      <c r="J6519" t="s">
        <v>294</v>
      </c>
      <c r="M6519" t="s">
        <v>295</v>
      </c>
      <c r="N6519" t="s">
        <v>7</v>
      </c>
      <c r="O6519" t="s">
        <v>297</v>
      </c>
    </row>
    <row r="6520" spans="1:15" x14ac:dyDescent="0.3">
      <c r="A6520" t="s">
        <v>9276</v>
      </c>
      <c r="B6520" t="s">
        <v>9378</v>
      </c>
      <c r="C6520">
        <v>2023</v>
      </c>
      <c r="D6520" t="s">
        <v>300</v>
      </c>
      <c r="E6520" t="s">
        <v>2667</v>
      </c>
      <c r="F6520">
        <v>9.07</v>
      </c>
      <c r="G6520" t="s">
        <v>302</v>
      </c>
      <c r="H6520">
        <v>144</v>
      </c>
      <c r="I6520" t="s">
        <v>9414</v>
      </c>
      <c r="J6520" t="s">
        <v>294</v>
      </c>
      <c r="M6520" t="s">
        <v>295</v>
      </c>
      <c r="N6520" t="s">
        <v>7</v>
      </c>
      <c r="O6520" t="s">
        <v>297</v>
      </c>
    </row>
    <row r="6521" spans="1:15" x14ac:dyDescent="0.3">
      <c r="A6521" t="s">
        <v>9276</v>
      </c>
      <c r="B6521" t="s">
        <v>9378</v>
      </c>
      <c r="C6521">
        <v>2023</v>
      </c>
      <c r="D6521" t="s">
        <v>300</v>
      </c>
      <c r="E6521" t="s">
        <v>4953</v>
      </c>
      <c r="F6521">
        <v>0.61</v>
      </c>
      <c r="G6521" t="s">
        <v>302</v>
      </c>
      <c r="H6521">
        <v>144</v>
      </c>
      <c r="I6521" t="s">
        <v>9415</v>
      </c>
      <c r="J6521" t="s">
        <v>294</v>
      </c>
      <c r="M6521" t="s">
        <v>295</v>
      </c>
      <c r="N6521" t="s">
        <v>7</v>
      </c>
      <c r="O6521" t="s">
        <v>297</v>
      </c>
    </row>
    <row r="6522" spans="1:15" x14ac:dyDescent="0.3">
      <c r="A6522" t="s">
        <v>9276</v>
      </c>
      <c r="B6522" t="s">
        <v>9378</v>
      </c>
      <c r="C6522">
        <v>2023</v>
      </c>
      <c r="D6522" t="s">
        <v>300</v>
      </c>
      <c r="E6522" t="s">
        <v>9416</v>
      </c>
      <c r="F6522">
        <v>61.11</v>
      </c>
      <c r="G6522" t="s">
        <v>302</v>
      </c>
      <c r="H6522">
        <v>144</v>
      </c>
      <c r="I6522" t="s">
        <v>9417</v>
      </c>
      <c r="J6522" t="s">
        <v>294</v>
      </c>
      <c r="M6522" t="s">
        <v>295</v>
      </c>
      <c r="N6522" t="s">
        <v>7</v>
      </c>
      <c r="O6522" t="s">
        <v>297</v>
      </c>
    </row>
    <row r="6523" spans="1:15" x14ac:dyDescent="0.3">
      <c r="A6523" t="s">
        <v>9276</v>
      </c>
      <c r="B6523" t="s">
        <v>9378</v>
      </c>
      <c r="C6523">
        <v>2023</v>
      </c>
      <c r="D6523" t="s">
        <v>300</v>
      </c>
      <c r="E6523" t="s">
        <v>7699</v>
      </c>
      <c r="F6523">
        <v>0.57999999999999996</v>
      </c>
      <c r="G6523" t="s">
        <v>302</v>
      </c>
      <c r="H6523">
        <v>144</v>
      </c>
      <c r="I6523" t="s">
        <v>9418</v>
      </c>
      <c r="J6523" t="s">
        <v>294</v>
      </c>
      <c r="M6523" t="s">
        <v>295</v>
      </c>
      <c r="N6523" t="s">
        <v>7</v>
      </c>
      <c r="O6523" t="s">
        <v>297</v>
      </c>
    </row>
    <row r="6524" spans="1:15" x14ac:dyDescent="0.3">
      <c r="A6524" t="s">
        <v>9276</v>
      </c>
      <c r="B6524" t="s">
        <v>9378</v>
      </c>
      <c r="C6524">
        <v>2023</v>
      </c>
      <c r="D6524" t="s">
        <v>300</v>
      </c>
      <c r="E6524" t="s">
        <v>481</v>
      </c>
      <c r="F6524">
        <v>9.2200000000000006</v>
      </c>
      <c r="G6524" t="s">
        <v>302</v>
      </c>
      <c r="H6524">
        <v>144</v>
      </c>
      <c r="I6524" t="s">
        <v>9419</v>
      </c>
      <c r="J6524" t="s">
        <v>294</v>
      </c>
      <c r="M6524" t="s">
        <v>295</v>
      </c>
      <c r="N6524" t="s">
        <v>7</v>
      </c>
      <c r="O6524" t="s">
        <v>297</v>
      </c>
    </row>
    <row r="6525" spans="1:15" x14ac:dyDescent="0.3">
      <c r="A6525" t="s">
        <v>9276</v>
      </c>
      <c r="B6525" t="s">
        <v>9378</v>
      </c>
      <c r="C6525">
        <v>2023</v>
      </c>
      <c r="D6525" t="s">
        <v>300</v>
      </c>
      <c r="E6525" t="s">
        <v>9327</v>
      </c>
      <c r="F6525">
        <v>38.75</v>
      </c>
      <c r="G6525" t="s">
        <v>302</v>
      </c>
      <c r="H6525">
        <v>144</v>
      </c>
      <c r="I6525" t="s">
        <v>9420</v>
      </c>
      <c r="J6525" t="s">
        <v>294</v>
      </c>
      <c r="M6525" t="s">
        <v>295</v>
      </c>
      <c r="N6525" t="s">
        <v>7</v>
      </c>
      <c r="O6525" t="s">
        <v>297</v>
      </c>
    </row>
    <row r="6526" spans="1:15" x14ac:dyDescent="0.3">
      <c r="A6526" t="s">
        <v>9276</v>
      </c>
      <c r="B6526" t="s">
        <v>9378</v>
      </c>
      <c r="C6526">
        <v>2023</v>
      </c>
      <c r="D6526" t="s">
        <v>300</v>
      </c>
      <c r="E6526" t="s">
        <v>5676</v>
      </c>
      <c r="F6526">
        <v>5.61</v>
      </c>
      <c r="G6526" t="s">
        <v>302</v>
      </c>
      <c r="H6526">
        <v>144</v>
      </c>
      <c r="I6526" t="s">
        <v>9421</v>
      </c>
      <c r="J6526" t="s">
        <v>294</v>
      </c>
      <c r="M6526" t="s">
        <v>295</v>
      </c>
      <c r="N6526" t="s">
        <v>7</v>
      </c>
      <c r="O6526" t="s">
        <v>297</v>
      </c>
    </row>
    <row r="6527" spans="1:15" x14ac:dyDescent="0.3">
      <c r="A6527" t="s">
        <v>9276</v>
      </c>
      <c r="B6527" t="s">
        <v>9378</v>
      </c>
      <c r="C6527">
        <v>2023</v>
      </c>
      <c r="D6527" t="s">
        <v>300</v>
      </c>
      <c r="E6527" t="s">
        <v>9422</v>
      </c>
      <c r="F6527">
        <v>59.33</v>
      </c>
      <c r="G6527" t="s">
        <v>302</v>
      </c>
      <c r="H6527">
        <v>145</v>
      </c>
      <c r="I6527" t="s">
        <v>9423</v>
      </c>
      <c r="J6527" t="s">
        <v>294</v>
      </c>
      <c r="M6527" t="s">
        <v>295</v>
      </c>
      <c r="N6527" t="s">
        <v>7</v>
      </c>
      <c r="O6527" t="s">
        <v>297</v>
      </c>
    </row>
    <row r="6528" spans="1:15" x14ac:dyDescent="0.3">
      <c r="A6528" t="s">
        <v>9276</v>
      </c>
      <c r="B6528" t="s">
        <v>9378</v>
      </c>
      <c r="C6528">
        <v>2023</v>
      </c>
      <c r="D6528" t="s">
        <v>300</v>
      </c>
      <c r="E6528" t="s">
        <v>9172</v>
      </c>
      <c r="F6528">
        <v>9.6300000000000008</v>
      </c>
      <c r="G6528" t="s">
        <v>302</v>
      </c>
      <c r="H6528">
        <v>148</v>
      </c>
      <c r="I6528" t="s">
        <v>9424</v>
      </c>
      <c r="J6528" t="s">
        <v>294</v>
      </c>
      <c r="M6528" t="s">
        <v>295</v>
      </c>
      <c r="N6528" t="s">
        <v>7</v>
      </c>
      <c r="O6528" t="s">
        <v>297</v>
      </c>
    </row>
    <row r="6529" spans="1:15" x14ac:dyDescent="0.3">
      <c r="A6529" t="s">
        <v>9276</v>
      </c>
      <c r="B6529" t="s">
        <v>9378</v>
      </c>
      <c r="C6529">
        <v>2023</v>
      </c>
      <c r="D6529" t="s">
        <v>300</v>
      </c>
      <c r="E6529" t="s">
        <v>9336</v>
      </c>
      <c r="F6529">
        <v>-2.94</v>
      </c>
      <c r="G6529" t="s">
        <v>302</v>
      </c>
      <c r="H6529">
        <v>148</v>
      </c>
      <c r="I6529" t="s">
        <v>9425</v>
      </c>
      <c r="J6529" t="s">
        <v>294</v>
      </c>
      <c r="M6529" t="s">
        <v>295</v>
      </c>
      <c r="N6529" t="s">
        <v>7</v>
      </c>
      <c r="O6529" t="s">
        <v>297</v>
      </c>
    </row>
    <row r="6530" spans="1:15" x14ac:dyDescent="0.3">
      <c r="A6530" t="s">
        <v>9276</v>
      </c>
      <c r="B6530" t="s">
        <v>9378</v>
      </c>
      <c r="C6530">
        <v>2023</v>
      </c>
      <c r="D6530" t="s">
        <v>300</v>
      </c>
      <c r="E6530" t="s">
        <v>9426</v>
      </c>
      <c r="F6530">
        <v>2.94</v>
      </c>
      <c r="G6530" t="s">
        <v>302</v>
      </c>
      <c r="H6530">
        <v>148</v>
      </c>
      <c r="I6530" t="s">
        <v>9427</v>
      </c>
      <c r="J6530" t="s">
        <v>294</v>
      </c>
      <c r="M6530" t="s">
        <v>295</v>
      </c>
      <c r="N6530" t="s">
        <v>7</v>
      </c>
      <c r="O6530" t="s">
        <v>297</v>
      </c>
    </row>
    <row r="6531" spans="1:15" x14ac:dyDescent="0.3">
      <c r="A6531" t="s">
        <v>9276</v>
      </c>
      <c r="B6531" t="s">
        <v>9378</v>
      </c>
      <c r="C6531">
        <v>2023</v>
      </c>
      <c r="D6531" t="s">
        <v>300</v>
      </c>
      <c r="E6531" t="s">
        <v>345</v>
      </c>
      <c r="F6531">
        <v>0.19</v>
      </c>
      <c r="G6531" t="s">
        <v>346</v>
      </c>
      <c r="H6531">
        <v>146</v>
      </c>
      <c r="I6531" t="s">
        <v>9428</v>
      </c>
      <c r="J6531" t="s">
        <v>294</v>
      </c>
      <c r="M6531" t="s">
        <v>295</v>
      </c>
      <c r="N6531" t="s">
        <v>7</v>
      </c>
      <c r="O6531" t="s">
        <v>297</v>
      </c>
    </row>
    <row r="6532" spans="1:15" x14ac:dyDescent="0.3">
      <c r="A6532" t="s">
        <v>9276</v>
      </c>
      <c r="B6532" t="s">
        <v>9378</v>
      </c>
      <c r="C6532">
        <v>2023</v>
      </c>
      <c r="D6532" t="s">
        <v>300</v>
      </c>
      <c r="E6532" t="s">
        <v>342</v>
      </c>
      <c r="F6532">
        <v>1240.92</v>
      </c>
      <c r="G6532" t="s">
        <v>497</v>
      </c>
      <c r="H6532">
        <v>11</v>
      </c>
      <c r="I6532" t="s">
        <v>9429</v>
      </c>
      <c r="J6532" t="s">
        <v>294</v>
      </c>
      <c r="M6532" t="s">
        <v>295</v>
      </c>
      <c r="N6532" t="s">
        <v>7</v>
      </c>
      <c r="O6532" t="s">
        <v>297</v>
      </c>
    </row>
    <row r="6533" spans="1:15" x14ac:dyDescent="0.3">
      <c r="A6533" t="s">
        <v>9276</v>
      </c>
      <c r="B6533" t="s">
        <v>9378</v>
      </c>
      <c r="C6533">
        <v>2023</v>
      </c>
      <c r="D6533" t="s">
        <v>300</v>
      </c>
      <c r="E6533" t="s">
        <v>9430</v>
      </c>
      <c r="F6533">
        <v>136</v>
      </c>
      <c r="G6533" t="s">
        <v>346</v>
      </c>
      <c r="H6533">
        <v>11</v>
      </c>
      <c r="I6533" t="s">
        <v>9431</v>
      </c>
      <c r="J6533" t="s">
        <v>456</v>
      </c>
      <c r="M6533" t="s">
        <v>295</v>
      </c>
      <c r="N6533" t="s">
        <v>7</v>
      </c>
      <c r="O6533" t="s">
        <v>297</v>
      </c>
    </row>
    <row r="6534" spans="1:15" x14ac:dyDescent="0.3">
      <c r="A6534" t="s">
        <v>9276</v>
      </c>
      <c r="B6534" t="s">
        <v>9378</v>
      </c>
      <c r="C6534">
        <v>2023</v>
      </c>
      <c r="D6534" t="s">
        <v>300</v>
      </c>
      <c r="E6534" t="s">
        <v>326</v>
      </c>
      <c r="F6534">
        <v>1.43</v>
      </c>
      <c r="G6534" t="s">
        <v>327</v>
      </c>
      <c r="H6534">
        <v>10</v>
      </c>
      <c r="I6534" t="s">
        <v>9432</v>
      </c>
      <c r="J6534" t="s">
        <v>294</v>
      </c>
      <c r="M6534" t="s">
        <v>295</v>
      </c>
      <c r="N6534" t="s">
        <v>7</v>
      </c>
      <c r="O6534" t="s">
        <v>297</v>
      </c>
    </row>
    <row r="6535" spans="1:15" x14ac:dyDescent="0.3">
      <c r="A6535" t="s">
        <v>9276</v>
      </c>
      <c r="B6535" t="s">
        <v>9378</v>
      </c>
      <c r="C6535">
        <v>2023</v>
      </c>
      <c r="D6535" t="s">
        <v>300</v>
      </c>
      <c r="E6535" t="s">
        <v>842</v>
      </c>
      <c r="F6535">
        <v>0.85199999999999998</v>
      </c>
      <c r="G6535" t="s">
        <v>327</v>
      </c>
      <c r="H6535">
        <v>10</v>
      </c>
      <c r="I6535" t="s">
        <v>9433</v>
      </c>
      <c r="J6535" t="s">
        <v>294</v>
      </c>
      <c r="M6535" t="s">
        <v>295</v>
      </c>
      <c r="N6535" t="s">
        <v>7</v>
      </c>
      <c r="O6535" t="s">
        <v>297</v>
      </c>
    </row>
    <row r="6536" spans="1:15" x14ac:dyDescent="0.3">
      <c r="A6536" t="s">
        <v>9276</v>
      </c>
      <c r="B6536" t="s">
        <v>9378</v>
      </c>
      <c r="C6536">
        <v>2023</v>
      </c>
      <c r="D6536" t="s">
        <v>300</v>
      </c>
      <c r="E6536" t="s">
        <v>844</v>
      </c>
      <c r="F6536">
        <v>0.46</v>
      </c>
      <c r="G6536" t="s">
        <v>327</v>
      </c>
      <c r="H6536">
        <v>10</v>
      </c>
      <c r="I6536" t="s">
        <v>9434</v>
      </c>
      <c r="J6536" t="s">
        <v>294</v>
      </c>
      <c r="M6536" t="s">
        <v>295</v>
      </c>
      <c r="N6536" t="s">
        <v>7</v>
      </c>
      <c r="O6536" t="s">
        <v>297</v>
      </c>
    </row>
    <row r="6537" spans="1:15" x14ac:dyDescent="0.3">
      <c r="A6537" t="s">
        <v>9276</v>
      </c>
      <c r="B6537" t="s">
        <v>9378</v>
      </c>
      <c r="C6537">
        <v>2023</v>
      </c>
      <c r="D6537" t="s">
        <v>300</v>
      </c>
      <c r="E6537" t="s">
        <v>333</v>
      </c>
      <c r="F6537">
        <v>1.8E-3</v>
      </c>
      <c r="G6537" t="s">
        <v>334</v>
      </c>
      <c r="H6537">
        <v>10</v>
      </c>
      <c r="I6537" t="s">
        <v>9435</v>
      </c>
      <c r="J6537" t="s">
        <v>294</v>
      </c>
      <c r="M6537" t="s">
        <v>295</v>
      </c>
      <c r="N6537" t="s">
        <v>7</v>
      </c>
      <c r="O6537" t="s">
        <v>297</v>
      </c>
    </row>
    <row r="6538" spans="1:15" x14ac:dyDescent="0.3">
      <c r="A6538" t="s">
        <v>9276</v>
      </c>
      <c r="B6538" t="s">
        <v>9378</v>
      </c>
      <c r="C6538">
        <v>2023</v>
      </c>
      <c r="D6538" t="s">
        <v>300</v>
      </c>
      <c r="E6538" t="s">
        <v>336</v>
      </c>
      <c r="F6538">
        <v>3.3E-3</v>
      </c>
      <c r="G6538" t="s">
        <v>334</v>
      </c>
      <c r="H6538">
        <v>10</v>
      </c>
      <c r="I6538" t="s">
        <v>9436</v>
      </c>
      <c r="J6538" t="s">
        <v>294</v>
      </c>
      <c r="M6538" t="s">
        <v>295</v>
      </c>
      <c r="N6538" t="s">
        <v>7</v>
      </c>
      <c r="O6538" t="s">
        <v>297</v>
      </c>
    </row>
    <row r="6539" spans="1:15" x14ac:dyDescent="0.3">
      <c r="A6539" t="s">
        <v>9276</v>
      </c>
      <c r="B6539" t="s">
        <v>9378</v>
      </c>
      <c r="C6539">
        <v>2023</v>
      </c>
      <c r="D6539" t="s">
        <v>394</v>
      </c>
      <c r="E6539" t="s">
        <v>9437</v>
      </c>
      <c r="F6539" t="s">
        <v>9438</v>
      </c>
      <c r="G6539" t="s">
        <v>292</v>
      </c>
      <c r="H6539">
        <v>8</v>
      </c>
      <c r="I6539" t="s">
        <v>9439</v>
      </c>
      <c r="J6539" t="s">
        <v>294</v>
      </c>
      <c r="M6539" t="s">
        <v>295</v>
      </c>
      <c r="N6539" t="s">
        <v>7</v>
      </c>
      <c r="O6539" t="s">
        <v>297</v>
      </c>
    </row>
    <row r="6540" spans="1:15" x14ac:dyDescent="0.3">
      <c r="A6540" t="s">
        <v>9276</v>
      </c>
      <c r="B6540" t="s">
        <v>9378</v>
      </c>
      <c r="C6540">
        <v>2023</v>
      </c>
      <c r="D6540" t="s">
        <v>394</v>
      </c>
      <c r="E6540" t="s">
        <v>9359</v>
      </c>
      <c r="F6540" t="s">
        <v>9360</v>
      </c>
      <c r="G6540" t="s">
        <v>292</v>
      </c>
      <c r="H6540">
        <v>8</v>
      </c>
      <c r="I6540" t="s">
        <v>9440</v>
      </c>
      <c r="J6540" t="s">
        <v>294</v>
      </c>
      <c r="M6540" t="s">
        <v>295</v>
      </c>
      <c r="N6540" t="s">
        <v>7</v>
      </c>
      <c r="O6540" t="s">
        <v>297</v>
      </c>
    </row>
    <row r="6541" spans="1:15" x14ac:dyDescent="0.3">
      <c r="A6541" t="s">
        <v>9276</v>
      </c>
      <c r="B6541" t="s">
        <v>9378</v>
      </c>
      <c r="C6541">
        <v>2023</v>
      </c>
      <c r="D6541" t="s">
        <v>394</v>
      </c>
      <c r="E6541" t="s">
        <v>9362</v>
      </c>
      <c r="F6541" t="s">
        <v>9441</v>
      </c>
      <c r="G6541" t="s">
        <v>292</v>
      </c>
      <c r="H6541">
        <v>19</v>
      </c>
      <c r="I6541" t="s">
        <v>9364</v>
      </c>
      <c r="J6541" t="s">
        <v>294</v>
      </c>
      <c r="M6541" t="s">
        <v>295</v>
      </c>
      <c r="N6541" t="s">
        <v>7</v>
      </c>
      <c r="O6541" t="s">
        <v>297</v>
      </c>
    </row>
    <row r="6542" spans="1:15" x14ac:dyDescent="0.3">
      <c r="A6542" t="s">
        <v>9276</v>
      </c>
      <c r="B6542" t="s">
        <v>9378</v>
      </c>
      <c r="C6542">
        <v>2023</v>
      </c>
      <c r="D6542" t="s">
        <v>394</v>
      </c>
      <c r="E6542" t="s">
        <v>9365</v>
      </c>
      <c r="F6542">
        <v>0</v>
      </c>
      <c r="G6542" t="s">
        <v>360</v>
      </c>
      <c r="H6542">
        <v>0</v>
      </c>
      <c r="I6542" t="s">
        <v>9442</v>
      </c>
      <c r="J6542" t="s">
        <v>294</v>
      </c>
      <c r="M6542" t="s">
        <v>295</v>
      </c>
      <c r="N6542" t="s">
        <v>7</v>
      </c>
      <c r="O6542" t="s">
        <v>297</v>
      </c>
    </row>
    <row r="6543" spans="1:15" x14ac:dyDescent="0.3">
      <c r="A6543" t="s">
        <v>9276</v>
      </c>
      <c r="B6543" t="s">
        <v>9378</v>
      </c>
      <c r="C6543">
        <v>2023</v>
      </c>
      <c r="D6543" t="s">
        <v>394</v>
      </c>
      <c r="E6543" t="s">
        <v>9367</v>
      </c>
      <c r="F6543">
        <v>0</v>
      </c>
      <c r="G6543" t="s">
        <v>384</v>
      </c>
      <c r="H6543">
        <v>0</v>
      </c>
      <c r="I6543" t="s">
        <v>9443</v>
      </c>
      <c r="J6543" t="s">
        <v>294</v>
      </c>
      <c r="M6543" t="s">
        <v>295</v>
      </c>
      <c r="N6543" t="s">
        <v>7</v>
      </c>
      <c r="O6543" t="s">
        <v>297</v>
      </c>
    </row>
    <row r="6544" spans="1:15" x14ac:dyDescent="0.3">
      <c r="A6544" t="s">
        <v>9276</v>
      </c>
      <c r="B6544" t="s">
        <v>9378</v>
      </c>
      <c r="C6544">
        <v>2023</v>
      </c>
      <c r="D6544" t="s">
        <v>394</v>
      </c>
      <c r="E6544" t="s">
        <v>9444</v>
      </c>
      <c r="F6544">
        <v>0</v>
      </c>
      <c r="G6544" t="s">
        <v>396</v>
      </c>
      <c r="H6544">
        <v>0</v>
      </c>
      <c r="I6544" t="s">
        <v>9445</v>
      </c>
      <c r="J6544" t="s">
        <v>294</v>
      </c>
      <c r="M6544" t="s">
        <v>295</v>
      </c>
      <c r="N6544" t="s">
        <v>7</v>
      </c>
      <c r="O6544" t="s">
        <v>297</v>
      </c>
    </row>
    <row r="6545" spans="1:15" x14ac:dyDescent="0.3">
      <c r="A6545" t="s">
        <v>9276</v>
      </c>
      <c r="B6545" t="s">
        <v>9378</v>
      </c>
      <c r="C6545">
        <v>2023</v>
      </c>
      <c r="D6545" t="s">
        <v>563</v>
      </c>
      <c r="E6545" t="s">
        <v>9371</v>
      </c>
      <c r="F6545" t="s">
        <v>9446</v>
      </c>
      <c r="G6545" t="s">
        <v>292</v>
      </c>
      <c r="H6545">
        <v>0</v>
      </c>
      <c r="I6545" t="s">
        <v>9447</v>
      </c>
      <c r="J6545" t="s">
        <v>294</v>
      </c>
      <c r="M6545" t="s">
        <v>295</v>
      </c>
      <c r="N6545" t="s">
        <v>7</v>
      </c>
      <c r="O6545" t="s">
        <v>297</v>
      </c>
    </row>
    <row r="6546" spans="1:15" x14ac:dyDescent="0.3">
      <c r="A6546" t="s">
        <v>9276</v>
      </c>
      <c r="B6546" t="s">
        <v>9378</v>
      </c>
      <c r="C6546">
        <v>2023</v>
      </c>
      <c r="D6546" t="s">
        <v>252</v>
      </c>
      <c r="E6546" t="s">
        <v>9374</v>
      </c>
      <c r="F6546" t="s">
        <v>9448</v>
      </c>
      <c r="G6546" t="s">
        <v>9376</v>
      </c>
      <c r="H6546">
        <v>8</v>
      </c>
      <c r="I6546" t="s">
        <v>9449</v>
      </c>
      <c r="J6546" t="s">
        <v>294</v>
      </c>
      <c r="M6546" t="s">
        <v>295</v>
      </c>
      <c r="N6546" t="s">
        <v>7</v>
      </c>
      <c r="O6546" t="s">
        <v>297</v>
      </c>
    </row>
    <row r="6547" spans="1:15" x14ac:dyDescent="0.3">
      <c r="A6547" t="s">
        <v>9276</v>
      </c>
      <c r="B6547" t="s">
        <v>9450</v>
      </c>
      <c r="C6547">
        <v>2024</v>
      </c>
      <c r="D6547" t="s">
        <v>272</v>
      </c>
      <c r="E6547" t="s">
        <v>291</v>
      </c>
      <c r="F6547" t="s">
        <v>9276</v>
      </c>
      <c r="G6547" t="s">
        <v>292</v>
      </c>
      <c r="H6547">
        <v>3</v>
      </c>
      <c r="I6547" t="s">
        <v>9451</v>
      </c>
      <c r="J6547" t="s">
        <v>294</v>
      </c>
      <c r="M6547" t="s">
        <v>295</v>
      </c>
      <c r="N6547" t="s">
        <v>7</v>
      </c>
      <c r="O6547" t="s">
        <v>297</v>
      </c>
    </row>
    <row r="6548" spans="1:15" x14ac:dyDescent="0.3">
      <c r="A6548" t="s">
        <v>9276</v>
      </c>
      <c r="B6548" t="s">
        <v>9450</v>
      </c>
      <c r="C6548">
        <v>2024</v>
      </c>
      <c r="D6548" t="s">
        <v>272</v>
      </c>
      <c r="E6548" t="s">
        <v>1</v>
      </c>
      <c r="F6548" t="s">
        <v>128</v>
      </c>
      <c r="G6548" t="s">
        <v>292</v>
      </c>
      <c r="H6548">
        <v>1</v>
      </c>
      <c r="I6548" t="s">
        <v>9452</v>
      </c>
      <c r="J6548" t="s">
        <v>294</v>
      </c>
      <c r="M6548" t="s">
        <v>295</v>
      </c>
      <c r="N6548" t="s">
        <v>7</v>
      </c>
      <c r="O6548" t="s">
        <v>297</v>
      </c>
    </row>
    <row r="6549" spans="1:15" x14ac:dyDescent="0.3">
      <c r="A6549" t="s">
        <v>9276</v>
      </c>
      <c r="B6549" t="s">
        <v>9450</v>
      </c>
      <c r="C6549">
        <v>2024</v>
      </c>
      <c r="D6549" t="s">
        <v>272</v>
      </c>
      <c r="E6549" t="s">
        <v>9280</v>
      </c>
      <c r="F6549">
        <v>2024</v>
      </c>
      <c r="G6549" t="s">
        <v>299</v>
      </c>
      <c r="H6549">
        <v>1</v>
      </c>
      <c r="I6549" t="s">
        <v>9453</v>
      </c>
      <c r="J6549" t="s">
        <v>294</v>
      </c>
      <c r="M6549" t="s">
        <v>295</v>
      </c>
      <c r="N6549" t="s">
        <v>7</v>
      </c>
      <c r="O6549" t="s">
        <v>297</v>
      </c>
    </row>
    <row r="6550" spans="1:15" x14ac:dyDescent="0.3">
      <c r="A6550" t="s">
        <v>9276</v>
      </c>
      <c r="B6550" t="s">
        <v>9450</v>
      </c>
      <c r="C6550">
        <v>2024</v>
      </c>
      <c r="D6550" t="s">
        <v>272</v>
      </c>
      <c r="E6550" t="s">
        <v>668</v>
      </c>
      <c r="F6550" t="s">
        <v>9282</v>
      </c>
      <c r="G6550" t="s">
        <v>292</v>
      </c>
      <c r="H6550">
        <v>8</v>
      </c>
      <c r="I6550" t="s">
        <v>9454</v>
      </c>
      <c r="J6550" t="s">
        <v>294</v>
      </c>
      <c r="M6550" t="s">
        <v>295</v>
      </c>
      <c r="N6550" t="s">
        <v>7</v>
      </c>
      <c r="O6550" t="s">
        <v>297</v>
      </c>
    </row>
    <row r="6551" spans="1:15" x14ac:dyDescent="0.3">
      <c r="A6551" t="s">
        <v>9276</v>
      </c>
      <c r="B6551" t="s">
        <v>9450</v>
      </c>
      <c r="C6551">
        <v>2024</v>
      </c>
      <c r="D6551" t="s">
        <v>272</v>
      </c>
      <c r="E6551" t="s">
        <v>9455</v>
      </c>
      <c r="F6551" t="s">
        <v>9456</v>
      </c>
      <c r="G6551" t="s">
        <v>299</v>
      </c>
      <c r="H6551">
        <v>8</v>
      </c>
      <c r="I6551" t="s">
        <v>9457</v>
      </c>
      <c r="J6551" t="s">
        <v>294</v>
      </c>
      <c r="M6551" t="s">
        <v>295</v>
      </c>
      <c r="N6551" t="s">
        <v>7</v>
      </c>
      <c r="O6551" t="s">
        <v>297</v>
      </c>
    </row>
    <row r="6552" spans="1:15" x14ac:dyDescent="0.3">
      <c r="A6552" t="s">
        <v>9276</v>
      </c>
      <c r="B6552" t="s">
        <v>9450</v>
      </c>
      <c r="C6552">
        <v>2024</v>
      </c>
      <c r="D6552" t="s">
        <v>272</v>
      </c>
      <c r="E6552" t="s">
        <v>9383</v>
      </c>
      <c r="F6552" t="s">
        <v>9384</v>
      </c>
      <c r="G6552" t="s">
        <v>292</v>
      </c>
      <c r="H6552">
        <v>150</v>
      </c>
      <c r="I6552" t="s">
        <v>9291</v>
      </c>
      <c r="J6552" t="s">
        <v>294</v>
      </c>
      <c r="M6552" t="s">
        <v>295</v>
      </c>
      <c r="N6552" t="s">
        <v>7</v>
      </c>
      <c r="O6552" t="s">
        <v>297</v>
      </c>
    </row>
    <row r="6553" spans="1:15" x14ac:dyDescent="0.3">
      <c r="A6553" t="s">
        <v>9276</v>
      </c>
      <c r="B6553" t="s">
        <v>9450</v>
      </c>
      <c r="C6553">
        <v>2024</v>
      </c>
      <c r="D6553" t="s">
        <v>272</v>
      </c>
      <c r="E6553" t="s">
        <v>9458</v>
      </c>
      <c r="F6553" t="s">
        <v>9459</v>
      </c>
      <c r="G6553" t="s">
        <v>292</v>
      </c>
      <c r="H6553">
        <v>6</v>
      </c>
      <c r="I6553" t="s">
        <v>9460</v>
      </c>
      <c r="J6553" t="s">
        <v>294</v>
      </c>
      <c r="M6553" t="s">
        <v>295</v>
      </c>
      <c r="N6553" t="s">
        <v>7</v>
      </c>
      <c r="O6553" t="s">
        <v>297</v>
      </c>
    </row>
    <row r="6554" spans="1:15" x14ac:dyDescent="0.3">
      <c r="A6554" t="s">
        <v>9276</v>
      </c>
      <c r="B6554" t="s">
        <v>9450</v>
      </c>
      <c r="C6554">
        <v>2024</v>
      </c>
      <c r="D6554" t="s">
        <v>272</v>
      </c>
      <c r="E6554" t="s">
        <v>9461</v>
      </c>
      <c r="F6554">
        <v>30000</v>
      </c>
      <c r="G6554" t="s">
        <v>396</v>
      </c>
      <c r="H6554">
        <v>6</v>
      </c>
      <c r="I6554" t="s">
        <v>9462</v>
      </c>
      <c r="J6554" t="s">
        <v>294</v>
      </c>
      <c r="M6554" t="s">
        <v>295</v>
      </c>
      <c r="N6554" t="s">
        <v>7</v>
      </c>
      <c r="O6554" t="s">
        <v>297</v>
      </c>
    </row>
    <row r="6555" spans="1:15" x14ac:dyDescent="0.3">
      <c r="A6555" t="s">
        <v>9276</v>
      </c>
      <c r="B6555" t="s">
        <v>9450</v>
      </c>
      <c r="C6555">
        <v>2024</v>
      </c>
      <c r="D6555" t="s">
        <v>272</v>
      </c>
      <c r="E6555" t="s">
        <v>9463</v>
      </c>
      <c r="F6555">
        <v>1200</v>
      </c>
      <c r="G6555" t="s">
        <v>396</v>
      </c>
      <c r="H6555">
        <v>6</v>
      </c>
      <c r="I6555" t="s">
        <v>9464</v>
      </c>
      <c r="J6555" t="s">
        <v>294</v>
      </c>
      <c r="M6555" t="s">
        <v>295</v>
      </c>
      <c r="N6555" t="s">
        <v>7</v>
      </c>
      <c r="O6555" t="s">
        <v>297</v>
      </c>
    </row>
    <row r="6556" spans="1:15" x14ac:dyDescent="0.3">
      <c r="A6556" t="s">
        <v>9276</v>
      </c>
      <c r="B6556" t="s">
        <v>9450</v>
      </c>
      <c r="C6556">
        <v>2024</v>
      </c>
      <c r="D6556" t="s">
        <v>272</v>
      </c>
      <c r="E6556" t="s">
        <v>5884</v>
      </c>
      <c r="F6556" t="s">
        <v>9295</v>
      </c>
      <c r="G6556" t="s">
        <v>334</v>
      </c>
      <c r="H6556">
        <v>11</v>
      </c>
      <c r="I6556" t="s">
        <v>9296</v>
      </c>
      <c r="J6556" t="s">
        <v>294</v>
      </c>
      <c r="M6556" t="s">
        <v>295</v>
      </c>
      <c r="N6556" t="s">
        <v>7</v>
      </c>
      <c r="O6556" t="s">
        <v>297</v>
      </c>
    </row>
    <row r="6557" spans="1:15" x14ac:dyDescent="0.3">
      <c r="A6557" t="s">
        <v>9276</v>
      </c>
      <c r="B6557" t="s">
        <v>9450</v>
      </c>
      <c r="C6557">
        <v>2024</v>
      </c>
      <c r="D6557" t="s">
        <v>272</v>
      </c>
      <c r="E6557" t="s">
        <v>5887</v>
      </c>
      <c r="F6557" t="s">
        <v>9297</v>
      </c>
      <c r="G6557" t="s">
        <v>334</v>
      </c>
      <c r="H6557">
        <v>11</v>
      </c>
      <c r="I6557" t="s">
        <v>9298</v>
      </c>
      <c r="J6557" t="s">
        <v>294</v>
      </c>
      <c r="M6557" t="s">
        <v>295</v>
      </c>
      <c r="N6557" t="s">
        <v>7</v>
      </c>
      <c r="O6557" t="s">
        <v>297</v>
      </c>
    </row>
    <row r="6558" spans="1:15" x14ac:dyDescent="0.3">
      <c r="A6558" t="s">
        <v>9276</v>
      </c>
      <c r="B6558" t="s">
        <v>9450</v>
      </c>
      <c r="C6558">
        <v>2024</v>
      </c>
      <c r="D6558" t="s">
        <v>272</v>
      </c>
      <c r="E6558" t="s">
        <v>445</v>
      </c>
      <c r="F6558">
        <v>0.19</v>
      </c>
      <c r="G6558" t="s">
        <v>334</v>
      </c>
      <c r="H6558">
        <v>11</v>
      </c>
      <c r="I6558" t="s">
        <v>9299</v>
      </c>
      <c r="J6558" t="s">
        <v>294</v>
      </c>
      <c r="M6558" t="s">
        <v>295</v>
      </c>
      <c r="N6558" t="s">
        <v>7</v>
      </c>
      <c r="O6558" t="s">
        <v>297</v>
      </c>
    </row>
    <row r="6559" spans="1:15" x14ac:dyDescent="0.3">
      <c r="A6559" t="s">
        <v>9276</v>
      </c>
      <c r="B6559" t="s">
        <v>9450</v>
      </c>
      <c r="C6559">
        <v>2024</v>
      </c>
      <c r="D6559" t="s">
        <v>272</v>
      </c>
      <c r="E6559" t="s">
        <v>9388</v>
      </c>
      <c r="F6559" t="s">
        <v>9389</v>
      </c>
      <c r="G6559" t="s">
        <v>292</v>
      </c>
      <c r="H6559">
        <v>14</v>
      </c>
      <c r="I6559" t="s">
        <v>9465</v>
      </c>
      <c r="J6559" t="s">
        <v>294</v>
      </c>
      <c r="M6559" t="s">
        <v>295</v>
      </c>
      <c r="N6559" t="s">
        <v>7</v>
      </c>
      <c r="O6559" t="s">
        <v>297</v>
      </c>
    </row>
    <row r="6560" spans="1:15" x14ac:dyDescent="0.3">
      <c r="A6560" t="s">
        <v>9276</v>
      </c>
      <c r="B6560" t="s">
        <v>9450</v>
      </c>
      <c r="C6560">
        <v>2024</v>
      </c>
      <c r="D6560" t="s">
        <v>272</v>
      </c>
      <c r="E6560" t="s">
        <v>9391</v>
      </c>
      <c r="F6560" t="s">
        <v>9466</v>
      </c>
      <c r="G6560" t="s">
        <v>292</v>
      </c>
      <c r="H6560">
        <v>14</v>
      </c>
      <c r="I6560" t="s">
        <v>9467</v>
      </c>
      <c r="J6560" t="s">
        <v>294</v>
      </c>
      <c r="M6560" t="s">
        <v>295</v>
      </c>
      <c r="N6560" t="s">
        <v>7</v>
      </c>
      <c r="O6560" t="s">
        <v>297</v>
      </c>
    </row>
    <row r="6561" spans="1:15" x14ac:dyDescent="0.3">
      <c r="A6561" t="s">
        <v>9276</v>
      </c>
      <c r="B6561" t="s">
        <v>9450</v>
      </c>
      <c r="C6561">
        <v>2024</v>
      </c>
      <c r="D6561" t="s">
        <v>272</v>
      </c>
      <c r="E6561" t="s">
        <v>9300</v>
      </c>
      <c r="F6561">
        <v>9</v>
      </c>
      <c r="G6561" t="s">
        <v>384</v>
      </c>
      <c r="H6561">
        <v>17</v>
      </c>
      <c r="I6561" t="s">
        <v>9468</v>
      </c>
      <c r="J6561" t="s">
        <v>294</v>
      </c>
      <c r="M6561" t="s">
        <v>295</v>
      </c>
      <c r="N6561" t="s">
        <v>7</v>
      </c>
      <c r="O6561" t="s">
        <v>297</v>
      </c>
    </row>
    <row r="6562" spans="1:15" x14ac:dyDescent="0.3">
      <c r="A6562" t="s">
        <v>9276</v>
      </c>
      <c r="B6562" t="s">
        <v>9450</v>
      </c>
      <c r="C6562">
        <v>2024</v>
      </c>
      <c r="D6562" t="s">
        <v>300</v>
      </c>
      <c r="E6562" t="s">
        <v>3629</v>
      </c>
      <c r="F6562">
        <v>2122.33</v>
      </c>
      <c r="G6562" t="s">
        <v>302</v>
      </c>
      <c r="H6562">
        <v>147</v>
      </c>
      <c r="I6562" t="s">
        <v>9469</v>
      </c>
      <c r="J6562" t="s">
        <v>294</v>
      </c>
      <c r="M6562" t="s">
        <v>295</v>
      </c>
      <c r="N6562" t="s">
        <v>7</v>
      </c>
      <c r="O6562" t="s">
        <v>297</v>
      </c>
    </row>
    <row r="6563" spans="1:15" x14ac:dyDescent="0.3">
      <c r="A6563" t="s">
        <v>9276</v>
      </c>
      <c r="B6563" t="s">
        <v>9450</v>
      </c>
      <c r="C6563">
        <v>2024</v>
      </c>
      <c r="D6563" t="s">
        <v>300</v>
      </c>
      <c r="E6563" t="s">
        <v>688</v>
      </c>
      <c r="F6563">
        <v>2097.6799999999998</v>
      </c>
      <c r="G6563" t="s">
        <v>302</v>
      </c>
      <c r="H6563">
        <v>147</v>
      </c>
      <c r="I6563" t="s">
        <v>9470</v>
      </c>
      <c r="J6563" t="s">
        <v>294</v>
      </c>
      <c r="M6563" t="s">
        <v>295</v>
      </c>
      <c r="N6563" t="s">
        <v>7</v>
      </c>
      <c r="O6563" t="s">
        <v>297</v>
      </c>
    </row>
    <row r="6564" spans="1:15" x14ac:dyDescent="0.3">
      <c r="A6564" t="s">
        <v>9276</v>
      </c>
      <c r="B6564" t="s">
        <v>9450</v>
      </c>
      <c r="C6564">
        <v>2024</v>
      </c>
      <c r="D6564" t="s">
        <v>300</v>
      </c>
      <c r="E6564" t="s">
        <v>304</v>
      </c>
      <c r="F6564">
        <v>24.65</v>
      </c>
      <c r="G6564" t="s">
        <v>302</v>
      </c>
      <c r="H6564">
        <v>147</v>
      </c>
      <c r="I6564" t="s">
        <v>9471</v>
      </c>
      <c r="J6564" t="s">
        <v>294</v>
      </c>
      <c r="M6564" t="s">
        <v>295</v>
      </c>
      <c r="N6564" t="s">
        <v>7</v>
      </c>
      <c r="O6564" t="s">
        <v>297</v>
      </c>
    </row>
    <row r="6565" spans="1:15" x14ac:dyDescent="0.3">
      <c r="A6565" t="s">
        <v>9276</v>
      </c>
      <c r="B6565" t="s">
        <v>9450</v>
      </c>
      <c r="C6565">
        <v>2024</v>
      </c>
      <c r="D6565" t="s">
        <v>300</v>
      </c>
      <c r="E6565" t="s">
        <v>5141</v>
      </c>
      <c r="F6565">
        <v>24.13</v>
      </c>
      <c r="G6565" t="s">
        <v>302</v>
      </c>
      <c r="H6565">
        <v>147</v>
      </c>
      <c r="I6565" t="s">
        <v>9472</v>
      </c>
      <c r="J6565" t="s">
        <v>294</v>
      </c>
      <c r="M6565" t="s">
        <v>295</v>
      </c>
      <c r="N6565" t="s">
        <v>7</v>
      </c>
      <c r="O6565" t="s">
        <v>297</v>
      </c>
    </row>
    <row r="6566" spans="1:15" x14ac:dyDescent="0.3">
      <c r="A6566" t="s">
        <v>9276</v>
      </c>
      <c r="B6566" t="s">
        <v>9450</v>
      </c>
      <c r="C6566">
        <v>2024</v>
      </c>
      <c r="D6566" t="s">
        <v>300</v>
      </c>
      <c r="E6566" t="s">
        <v>5214</v>
      </c>
      <c r="F6566">
        <v>0.52</v>
      </c>
      <c r="G6566" t="s">
        <v>302</v>
      </c>
      <c r="H6566">
        <v>147</v>
      </c>
      <c r="I6566" t="s">
        <v>9473</v>
      </c>
      <c r="J6566" t="s">
        <v>294</v>
      </c>
      <c r="M6566" t="s">
        <v>295</v>
      </c>
      <c r="N6566" t="s">
        <v>7</v>
      </c>
      <c r="O6566" t="s">
        <v>297</v>
      </c>
    </row>
    <row r="6567" spans="1:15" x14ac:dyDescent="0.3">
      <c r="A6567" t="s">
        <v>9276</v>
      </c>
      <c r="B6567" t="s">
        <v>9450</v>
      </c>
      <c r="C6567">
        <v>2024</v>
      </c>
      <c r="D6567" t="s">
        <v>300</v>
      </c>
      <c r="E6567" t="s">
        <v>9308</v>
      </c>
      <c r="F6567">
        <v>4.93</v>
      </c>
      <c r="G6567" t="s">
        <v>302</v>
      </c>
      <c r="H6567">
        <v>147</v>
      </c>
      <c r="I6567" t="s">
        <v>9474</v>
      </c>
      <c r="J6567" t="s">
        <v>294</v>
      </c>
      <c r="M6567" t="s">
        <v>295</v>
      </c>
      <c r="N6567" t="s">
        <v>7</v>
      </c>
      <c r="O6567" t="s">
        <v>297</v>
      </c>
    </row>
    <row r="6568" spans="1:15" x14ac:dyDescent="0.3">
      <c r="A6568" t="s">
        <v>9276</v>
      </c>
      <c r="B6568" t="s">
        <v>9450</v>
      </c>
      <c r="C6568">
        <v>2024</v>
      </c>
      <c r="D6568" t="s">
        <v>300</v>
      </c>
      <c r="E6568" t="s">
        <v>9310</v>
      </c>
      <c r="F6568">
        <v>-0.62</v>
      </c>
      <c r="G6568" t="s">
        <v>302</v>
      </c>
      <c r="H6568">
        <v>147</v>
      </c>
      <c r="I6568" t="s">
        <v>9475</v>
      </c>
      <c r="J6568" t="s">
        <v>294</v>
      </c>
      <c r="M6568" t="s">
        <v>295</v>
      </c>
      <c r="N6568" t="s">
        <v>7</v>
      </c>
      <c r="O6568" t="s">
        <v>297</v>
      </c>
    </row>
    <row r="6569" spans="1:15" x14ac:dyDescent="0.3">
      <c r="A6569" t="s">
        <v>9276</v>
      </c>
      <c r="B6569" t="s">
        <v>9450</v>
      </c>
      <c r="C6569">
        <v>2024</v>
      </c>
      <c r="D6569" t="s">
        <v>300</v>
      </c>
      <c r="E6569" t="s">
        <v>579</v>
      </c>
      <c r="F6569">
        <v>4.83</v>
      </c>
      <c r="G6569" t="s">
        <v>302</v>
      </c>
      <c r="H6569">
        <v>147</v>
      </c>
      <c r="I6569" t="s">
        <v>9476</v>
      </c>
      <c r="J6569" t="s">
        <v>294</v>
      </c>
      <c r="M6569" t="s">
        <v>295</v>
      </c>
      <c r="N6569" t="s">
        <v>7</v>
      </c>
      <c r="O6569" t="s">
        <v>297</v>
      </c>
    </row>
    <row r="6570" spans="1:15" x14ac:dyDescent="0.3">
      <c r="A6570" t="s">
        <v>9276</v>
      </c>
      <c r="B6570" t="s">
        <v>9450</v>
      </c>
      <c r="C6570">
        <v>2024</v>
      </c>
      <c r="D6570" t="s">
        <v>300</v>
      </c>
      <c r="E6570" t="s">
        <v>1165</v>
      </c>
      <c r="F6570">
        <v>-4.1100000000000003</v>
      </c>
      <c r="G6570" t="s">
        <v>302</v>
      </c>
      <c r="H6570">
        <v>147</v>
      </c>
      <c r="I6570" t="s">
        <v>9477</v>
      </c>
      <c r="J6570" t="s">
        <v>294</v>
      </c>
      <c r="M6570" t="s">
        <v>295</v>
      </c>
      <c r="N6570" t="s">
        <v>7</v>
      </c>
      <c r="O6570" t="s">
        <v>297</v>
      </c>
    </row>
    <row r="6571" spans="1:15" x14ac:dyDescent="0.3">
      <c r="A6571" t="s">
        <v>9276</v>
      </c>
      <c r="B6571" t="s">
        <v>9450</v>
      </c>
      <c r="C6571">
        <v>2024</v>
      </c>
      <c r="D6571" t="s">
        <v>300</v>
      </c>
      <c r="E6571" t="s">
        <v>306</v>
      </c>
      <c r="F6571">
        <v>0.72</v>
      </c>
      <c r="G6571" t="s">
        <v>302</v>
      </c>
      <c r="H6571">
        <v>147</v>
      </c>
      <c r="I6571" t="s">
        <v>9478</v>
      </c>
      <c r="J6571" t="s">
        <v>294</v>
      </c>
      <c r="M6571" t="s">
        <v>295</v>
      </c>
      <c r="N6571" t="s">
        <v>7</v>
      </c>
      <c r="O6571" t="s">
        <v>297</v>
      </c>
    </row>
    <row r="6572" spans="1:15" x14ac:dyDescent="0.3">
      <c r="A6572" t="s">
        <v>9276</v>
      </c>
      <c r="B6572" t="s">
        <v>9450</v>
      </c>
      <c r="C6572">
        <v>2024</v>
      </c>
      <c r="D6572" t="s">
        <v>300</v>
      </c>
      <c r="E6572" t="s">
        <v>9405</v>
      </c>
      <c r="F6572">
        <v>0.78</v>
      </c>
      <c r="G6572" t="s">
        <v>302</v>
      </c>
      <c r="H6572">
        <v>147</v>
      </c>
      <c r="I6572" t="s">
        <v>9479</v>
      </c>
      <c r="J6572" t="s">
        <v>294</v>
      </c>
      <c r="M6572" t="s">
        <v>295</v>
      </c>
      <c r="N6572" t="s">
        <v>7</v>
      </c>
      <c r="O6572" t="s">
        <v>297</v>
      </c>
    </row>
    <row r="6573" spans="1:15" x14ac:dyDescent="0.3">
      <c r="A6573" t="s">
        <v>9276</v>
      </c>
      <c r="B6573" t="s">
        <v>9450</v>
      </c>
      <c r="C6573">
        <v>2024</v>
      </c>
      <c r="D6573" t="s">
        <v>300</v>
      </c>
      <c r="E6573" t="s">
        <v>316</v>
      </c>
      <c r="F6573">
        <v>86.59</v>
      </c>
      <c r="G6573" t="s">
        <v>302</v>
      </c>
      <c r="H6573">
        <v>145</v>
      </c>
      <c r="I6573" t="s">
        <v>9480</v>
      </c>
      <c r="J6573" t="s">
        <v>294</v>
      </c>
      <c r="M6573" t="s">
        <v>295</v>
      </c>
      <c r="N6573" t="s">
        <v>7</v>
      </c>
      <c r="O6573" t="s">
        <v>297</v>
      </c>
    </row>
    <row r="6574" spans="1:15" x14ac:dyDescent="0.3">
      <c r="A6574" t="s">
        <v>9276</v>
      </c>
      <c r="B6574" t="s">
        <v>9450</v>
      </c>
      <c r="C6574">
        <v>2024</v>
      </c>
      <c r="D6574" t="s">
        <v>300</v>
      </c>
      <c r="E6574" t="s">
        <v>312</v>
      </c>
      <c r="F6574">
        <v>39.58</v>
      </c>
      <c r="G6574" t="s">
        <v>302</v>
      </c>
      <c r="H6574">
        <v>145</v>
      </c>
      <c r="I6574" t="s">
        <v>9481</v>
      </c>
      <c r="J6574" t="s">
        <v>294</v>
      </c>
      <c r="M6574" t="s">
        <v>295</v>
      </c>
      <c r="N6574" t="s">
        <v>7</v>
      </c>
      <c r="O6574" t="s">
        <v>297</v>
      </c>
    </row>
    <row r="6575" spans="1:15" x14ac:dyDescent="0.3">
      <c r="A6575" t="s">
        <v>9276</v>
      </c>
      <c r="B6575" t="s">
        <v>9450</v>
      </c>
      <c r="C6575">
        <v>2024</v>
      </c>
      <c r="D6575" t="s">
        <v>300</v>
      </c>
      <c r="E6575" t="s">
        <v>314</v>
      </c>
      <c r="F6575">
        <v>47</v>
      </c>
      <c r="G6575" t="s">
        <v>302</v>
      </c>
      <c r="H6575">
        <v>145</v>
      </c>
      <c r="I6575" t="s">
        <v>9482</v>
      </c>
      <c r="J6575" t="s">
        <v>294</v>
      </c>
      <c r="M6575" t="s">
        <v>295</v>
      </c>
      <c r="N6575" t="s">
        <v>7</v>
      </c>
      <c r="O6575" t="s">
        <v>297</v>
      </c>
    </row>
    <row r="6576" spans="1:15" x14ac:dyDescent="0.3">
      <c r="A6576" t="s">
        <v>9276</v>
      </c>
      <c r="B6576" t="s">
        <v>9450</v>
      </c>
      <c r="C6576">
        <v>2024</v>
      </c>
      <c r="D6576" t="s">
        <v>300</v>
      </c>
      <c r="E6576" t="s">
        <v>322</v>
      </c>
      <c r="F6576">
        <v>14.55</v>
      </c>
      <c r="G6576" t="s">
        <v>302</v>
      </c>
      <c r="H6576">
        <v>146</v>
      </c>
      <c r="I6576" t="s">
        <v>9483</v>
      </c>
      <c r="J6576" t="s">
        <v>294</v>
      </c>
      <c r="M6576" t="s">
        <v>295</v>
      </c>
      <c r="N6576" t="s">
        <v>7</v>
      </c>
      <c r="O6576" t="s">
        <v>297</v>
      </c>
    </row>
    <row r="6577" spans="1:15" x14ac:dyDescent="0.3">
      <c r="A6577" t="s">
        <v>9276</v>
      </c>
      <c r="B6577" t="s">
        <v>9450</v>
      </c>
      <c r="C6577">
        <v>2024</v>
      </c>
      <c r="D6577" t="s">
        <v>300</v>
      </c>
      <c r="E6577" t="s">
        <v>318</v>
      </c>
      <c r="F6577">
        <v>13.71</v>
      </c>
      <c r="G6577" t="s">
        <v>302</v>
      </c>
      <c r="H6577">
        <v>146</v>
      </c>
      <c r="I6577" t="s">
        <v>9484</v>
      </c>
      <c r="J6577" t="s">
        <v>294</v>
      </c>
      <c r="M6577" t="s">
        <v>295</v>
      </c>
      <c r="N6577" t="s">
        <v>7</v>
      </c>
      <c r="O6577" t="s">
        <v>297</v>
      </c>
    </row>
    <row r="6578" spans="1:15" x14ac:dyDescent="0.3">
      <c r="A6578" t="s">
        <v>9276</v>
      </c>
      <c r="B6578" t="s">
        <v>9450</v>
      </c>
      <c r="C6578">
        <v>2024</v>
      </c>
      <c r="D6578" t="s">
        <v>300</v>
      </c>
      <c r="E6578" t="s">
        <v>320</v>
      </c>
      <c r="F6578">
        <v>0.84</v>
      </c>
      <c r="G6578" t="s">
        <v>302</v>
      </c>
      <c r="H6578">
        <v>146</v>
      </c>
      <c r="I6578" t="s">
        <v>9485</v>
      </c>
      <c r="J6578" t="s">
        <v>294</v>
      </c>
      <c r="M6578" t="s">
        <v>295</v>
      </c>
      <c r="N6578" t="s">
        <v>7</v>
      </c>
      <c r="O6578" t="s">
        <v>297</v>
      </c>
    </row>
    <row r="6579" spans="1:15" x14ac:dyDescent="0.3">
      <c r="A6579" t="s">
        <v>9276</v>
      </c>
      <c r="B6579" t="s">
        <v>9450</v>
      </c>
      <c r="C6579">
        <v>2024</v>
      </c>
      <c r="D6579" t="s">
        <v>300</v>
      </c>
      <c r="E6579" t="s">
        <v>324</v>
      </c>
      <c r="F6579">
        <v>72.040000000000006</v>
      </c>
      <c r="G6579" t="s">
        <v>302</v>
      </c>
      <c r="H6579">
        <v>146</v>
      </c>
      <c r="I6579" t="s">
        <v>9486</v>
      </c>
      <c r="J6579" t="s">
        <v>294</v>
      </c>
      <c r="M6579" t="s">
        <v>295</v>
      </c>
      <c r="N6579" t="s">
        <v>7</v>
      </c>
      <c r="O6579" t="s">
        <v>297</v>
      </c>
    </row>
    <row r="6580" spans="1:15" x14ac:dyDescent="0.3">
      <c r="A6580" t="s">
        <v>9276</v>
      </c>
      <c r="B6580" t="s">
        <v>9450</v>
      </c>
      <c r="C6580">
        <v>2024</v>
      </c>
      <c r="D6580" t="s">
        <v>300</v>
      </c>
      <c r="E6580" t="s">
        <v>2667</v>
      </c>
      <c r="F6580">
        <v>8.57</v>
      </c>
      <c r="G6580" t="s">
        <v>302</v>
      </c>
      <c r="H6580">
        <v>145</v>
      </c>
      <c r="I6580" t="s">
        <v>9487</v>
      </c>
      <c r="J6580" t="s">
        <v>294</v>
      </c>
      <c r="M6580" t="s">
        <v>295</v>
      </c>
      <c r="N6580" t="s">
        <v>7</v>
      </c>
      <c r="O6580" t="s">
        <v>297</v>
      </c>
    </row>
    <row r="6581" spans="1:15" x14ac:dyDescent="0.3">
      <c r="A6581" t="s">
        <v>9276</v>
      </c>
      <c r="B6581" t="s">
        <v>9450</v>
      </c>
      <c r="C6581">
        <v>2024</v>
      </c>
      <c r="D6581" t="s">
        <v>300</v>
      </c>
      <c r="E6581" t="s">
        <v>4953</v>
      </c>
      <c r="F6581">
        <v>2.2000000000000002</v>
      </c>
      <c r="G6581" t="s">
        <v>302</v>
      </c>
      <c r="H6581">
        <v>145</v>
      </c>
      <c r="I6581" t="s">
        <v>9488</v>
      </c>
      <c r="J6581" t="s">
        <v>294</v>
      </c>
      <c r="M6581" t="s">
        <v>295</v>
      </c>
      <c r="N6581" t="s">
        <v>7</v>
      </c>
      <c r="O6581" t="s">
        <v>297</v>
      </c>
    </row>
    <row r="6582" spans="1:15" x14ac:dyDescent="0.3">
      <c r="A6582" t="s">
        <v>9276</v>
      </c>
      <c r="B6582" t="s">
        <v>9450</v>
      </c>
      <c r="C6582">
        <v>2024</v>
      </c>
      <c r="D6582" t="s">
        <v>300</v>
      </c>
      <c r="E6582" t="s">
        <v>9416</v>
      </c>
      <c r="F6582">
        <v>4.72</v>
      </c>
      <c r="G6582" t="s">
        <v>302</v>
      </c>
      <c r="H6582">
        <v>145</v>
      </c>
      <c r="I6582" t="s">
        <v>9489</v>
      </c>
      <c r="J6582" t="s">
        <v>294</v>
      </c>
      <c r="M6582" t="s">
        <v>295</v>
      </c>
      <c r="N6582" t="s">
        <v>7</v>
      </c>
      <c r="O6582" t="s">
        <v>297</v>
      </c>
    </row>
    <row r="6583" spans="1:15" x14ac:dyDescent="0.3">
      <c r="A6583" t="s">
        <v>9276</v>
      </c>
      <c r="B6583" t="s">
        <v>9450</v>
      </c>
      <c r="C6583">
        <v>2024</v>
      </c>
      <c r="D6583" t="s">
        <v>300</v>
      </c>
      <c r="E6583" t="s">
        <v>9490</v>
      </c>
      <c r="F6583">
        <v>10.56</v>
      </c>
      <c r="G6583" t="s">
        <v>302</v>
      </c>
      <c r="H6583">
        <v>145</v>
      </c>
      <c r="I6583" t="s">
        <v>9491</v>
      </c>
      <c r="J6583" t="s">
        <v>294</v>
      </c>
      <c r="M6583" t="s">
        <v>295</v>
      </c>
      <c r="N6583" t="s">
        <v>7</v>
      </c>
      <c r="O6583" t="s">
        <v>297</v>
      </c>
    </row>
    <row r="6584" spans="1:15" x14ac:dyDescent="0.3">
      <c r="A6584" t="s">
        <v>9276</v>
      </c>
      <c r="B6584" t="s">
        <v>9450</v>
      </c>
      <c r="C6584">
        <v>2024</v>
      </c>
      <c r="D6584" t="s">
        <v>300</v>
      </c>
      <c r="E6584" t="s">
        <v>481</v>
      </c>
      <c r="F6584">
        <v>11.25</v>
      </c>
      <c r="G6584" t="s">
        <v>302</v>
      </c>
      <c r="H6584">
        <v>145</v>
      </c>
      <c r="I6584" t="s">
        <v>9492</v>
      </c>
      <c r="J6584" t="s">
        <v>294</v>
      </c>
      <c r="M6584" t="s">
        <v>295</v>
      </c>
      <c r="N6584" t="s">
        <v>7</v>
      </c>
      <c r="O6584" t="s">
        <v>297</v>
      </c>
    </row>
    <row r="6585" spans="1:15" x14ac:dyDescent="0.3">
      <c r="A6585" t="s">
        <v>9276</v>
      </c>
      <c r="B6585" t="s">
        <v>9450</v>
      </c>
      <c r="C6585">
        <v>2024</v>
      </c>
      <c r="D6585" t="s">
        <v>300</v>
      </c>
      <c r="E6585" t="s">
        <v>9327</v>
      </c>
      <c r="F6585">
        <v>37.69</v>
      </c>
      <c r="G6585" t="s">
        <v>302</v>
      </c>
      <c r="H6585">
        <v>145</v>
      </c>
      <c r="I6585" t="s">
        <v>9493</v>
      </c>
      <c r="J6585" t="s">
        <v>294</v>
      </c>
      <c r="M6585" t="s">
        <v>295</v>
      </c>
      <c r="N6585" t="s">
        <v>7</v>
      </c>
      <c r="O6585" t="s">
        <v>297</v>
      </c>
    </row>
    <row r="6586" spans="1:15" x14ac:dyDescent="0.3">
      <c r="A6586" t="s">
        <v>9276</v>
      </c>
      <c r="B6586" t="s">
        <v>9450</v>
      </c>
      <c r="C6586">
        <v>2024</v>
      </c>
      <c r="D6586" t="s">
        <v>300</v>
      </c>
      <c r="E6586" t="s">
        <v>5676</v>
      </c>
      <c r="F6586">
        <v>7.36</v>
      </c>
      <c r="G6586" t="s">
        <v>302</v>
      </c>
      <c r="H6586">
        <v>145</v>
      </c>
      <c r="I6586" t="s">
        <v>9494</v>
      </c>
      <c r="J6586" t="s">
        <v>294</v>
      </c>
      <c r="M6586" t="s">
        <v>295</v>
      </c>
      <c r="N6586" t="s">
        <v>7</v>
      </c>
      <c r="O6586" t="s">
        <v>297</v>
      </c>
    </row>
    <row r="6587" spans="1:15" x14ac:dyDescent="0.3">
      <c r="A6587" t="s">
        <v>9276</v>
      </c>
      <c r="B6587" t="s">
        <v>9450</v>
      </c>
      <c r="C6587">
        <v>2024</v>
      </c>
      <c r="D6587" t="s">
        <v>300</v>
      </c>
      <c r="E6587" t="s">
        <v>9422</v>
      </c>
      <c r="F6587">
        <v>13.49</v>
      </c>
      <c r="G6587" t="s">
        <v>302</v>
      </c>
      <c r="H6587">
        <v>146</v>
      </c>
      <c r="I6587" t="s">
        <v>9495</v>
      </c>
      <c r="J6587" t="s">
        <v>294</v>
      </c>
      <c r="M6587" t="s">
        <v>295</v>
      </c>
      <c r="N6587" t="s">
        <v>7</v>
      </c>
      <c r="O6587" t="s">
        <v>297</v>
      </c>
    </row>
    <row r="6588" spans="1:15" x14ac:dyDescent="0.3">
      <c r="A6588" t="s">
        <v>9276</v>
      </c>
      <c r="B6588" t="s">
        <v>9450</v>
      </c>
      <c r="C6588">
        <v>2024</v>
      </c>
      <c r="D6588" t="s">
        <v>300</v>
      </c>
      <c r="E6588" t="s">
        <v>9496</v>
      </c>
      <c r="F6588">
        <v>0.1</v>
      </c>
      <c r="G6588" t="s">
        <v>302</v>
      </c>
      <c r="H6588">
        <v>146</v>
      </c>
      <c r="I6588" t="s">
        <v>9497</v>
      </c>
      <c r="J6588" t="s">
        <v>294</v>
      </c>
      <c r="M6588" t="s">
        <v>295</v>
      </c>
      <c r="N6588" t="s">
        <v>7</v>
      </c>
      <c r="O6588" t="s">
        <v>297</v>
      </c>
    </row>
    <row r="6589" spans="1:15" x14ac:dyDescent="0.3">
      <c r="A6589" t="s">
        <v>9276</v>
      </c>
      <c r="B6589" t="s">
        <v>9450</v>
      </c>
      <c r="C6589">
        <v>2024</v>
      </c>
      <c r="D6589" t="s">
        <v>300</v>
      </c>
      <c r="E6589" t="s">
        <v>9333</v>
      </c>
      <c r="F6589">
        <v>0.77</v>
      </c>
      <c r="G6589" t="s">
        <v>302</v>
      </c>
      <c r="H6589">
        <v>146</v>
      </c>
      <c r="I6589" t="s">
        <v>9498</v>
      </c>
      <c r="J6589" t="s">
        <v>294</v>
      </c>
      <c r="M6589" t="s">
        <v>295</v>
      </c>
      <c r="N6589" t="s">
        <v>7</v>
      </c>
      <c r="O6589" t="s">
        <v>297</v>
      </c>
    </row>
    <row r="6590" spans="1:15" x14ac:dyDescent="0.3">
      <c r="A6590" t="s">
        <v>9276</v>
      </c>
      <c r="B6590" t="s">
        <v>9450</v>
      </c>
      <c r="C6590">
        <v>2024</v>
      </c>
      <c r="D6590" t="s">
        <v>300</v>
      </c>
      <c r="E6590" t="s">
        <v>9172</v>
      </c>
      <c r="F6590">
        <v>3.43</v>
      </c>
      <c r="G6590" t="s">
        <v>302</v>
      </c>
      <c r="H6590">
        <v>149</v>
      </c>
      <c r="I6590" t="s">
        <v>9499</v>
      </c>
      <c r="J6590" t="s">
        <v>294</v>
      </c>
      <c r="M6590" t="s">
        <v>295</v>
      </c>
      <c r="N6590" t="s">
        <v>7</v>
      </c>
      <c r="O6590" t="s">
        <v>297</v>
      </c>
    </row>
    <row r="6591" spans="1:15" x14ac:dyDescent="0.3">
      <c r="A6591" t="s">
        <v>9276</v>
      </c>
      <c r="B6591" t="s">
        <v>9450</v>
      </c>
      <c r="C6591">
        <v>2024</v>
      </c>
      <c r="D6591" t="s">
        <v>300</v>
      </c>
      <c r="E6591" t="s">
        <v>9336</v>
      </c>
      <c r="F6591">
        <v>-2.33</v>
      </c>
      <c r="G6591" t="s">
        <v>302</v>
      </c>
      <c r="H6591">
        <v>149</v>
      </c>
      <c r="I6591" t="s">
        <v>9500</v>
      </c>
      <c r="J6591" t="s">
        <v>294</v>
      </c>
      <c r="M6591" t="s">
        <v>295</v>
      </c>
      <c r="N6591" t="s">
        <v>7</v>
      </c>
      <c r="O6591" t="s">
        <v>297</v>
      </c>
    </row>
    <row r="6592" spans="1:15" x14ac:dyDescent="0.3">
      <c r="A6592" t="s">
        <v>9276</v>
      </c>
      <c r="B6592" t="s">
        <v>9450</v>
      </c>
      <c r="C6592">
        <v>2024</v>
      </c>
      <c r="D6592" t="s">
        <v>300</v>
      </c>
      <c r="E6592" t="s">
        <v>9426</v>
      </c>
      <c r="F6592">
        <v>2.33</v>
      </c>
      <c r="G6592" t="s">
        <v>302</v>
      </c>
      <c r="H6592">
        <v>149</v>
      </c>
      <c r="I6592" t="s">
        <v>9501</v>
      </c>
      <c r="J6592" t="s">
        <v>294</v>
      </c>
      <c r="M6592" t="s">
        <v>295</v>
      </c>
      <c r="N6592" t="s">
        <v>7</v>
      </c>
      <c r="O6592" t="s">
        <v>297</v>
      </c>
    </row>
    <row r="6593" spans="1:15" x14ac:dyDescent="0.3">
      <c r="A6593" t="s">
        <v>9276</v>
      </c>
      <c r="B6593" t="s">
        <v>9450</v>
      </c>
      <c r="C6593">
        <v>2024</v>
      </c>
      <c r="D6593" t="s">
        <v>300</v>
      </c>
      <c r="E6593" t="s">
        <v>345</v>
      </c>
      <c r="F6593">
        <v>0.63</v>
      </c>
      <c r="G6593" t="s">
        <v>346</v>
      </c>
      <c r="H6593">
        <v>147</v>
      </c>
      <c r="I6593" t="s">
        <v>9502</v>
      </c>
      <c r="J6593" t="s">
        <v>294</v>
      </c>
      <c r="M6593" t="s">
        <v>295</v>
      </c>
      <c r="N6593" t="s">
        <v>7</v>
      </c>
      <c r="O6593" t="s">
        <v>297</v>
      </c>
    </row>
    <row r="6594" spans="1:15" x14ac:dyDescent="0.3">
      <c r="A6594" t="s">
        <v>9276</v>
      </c>
      <c r="B6594" t="s">
        <v>9450</v>
      </c>
      <c r="C6594">
        <v>2024</v>
      </c>
      <c r="D6594" t="s">
        <v>300</v>
      </c>
      <c r="E6594" t="s">
        <v>342</v>
      </c>
      <c r="F6594">
        <v>1240.92</v>
      </c>
      <c r="G6594" t="s">
        <v>497</v>
      </c>
      <c r="H6594">
        <v>11</v>
      </c>
      <c r="I6594" t="s">
        <v>9503</v>
      </c>
      <c r="J6594" t="s">
        <v>294</v>
      </c>
      <c r="M6594" t="s">
        <v>295</v>
      </c>
      <c r="N6594" t="s">
        <v>7</v>
      </c>
      <c r="O6594" t="s">
        <v>297</v>
      </c>
    </row>
    <row r="6595" spans="1:15" x14ac:dyDescent="0.3">
      <c r="A6595" t="s">
        <v>9276</v>
      </c>
      <c r="B6595" t="s">
        <v>9450</v>
      </c>
      <c r="C6595">
        <v>2024</v>
      </c>
      <c r="D6595" t="s">
        <v>300</v>
      </c>
      <c r="E6595" t="s">
        <v>721</v>
      </c>
      <c r="F6595">
        <v>124.09</v>
      </c>
      <c r="G6595" t="s">
        <v>302</v>
      </c>
      <c r="H6595">
        <v>146</v>
      </c>
      <c r="I6595" t="s">
        <v>9504</v>
      </c>
      <c r="J6595" t="s">
        <v>294</v>
      </c>
      <c r="M6595" t="s">
        <v>295</v>
      </c>
      <c r="N6595" t="s">
        <v>7</v>
      </c>
      <c r="O6595" t="s">
        <v>297</v>
      </c>
    </row>
    <row r="6596" spans="1:15" x14ac:dyDescent="0.3">
      <c r="A6596" t="s">
        <v>9276</v>
      </c>
      <c r="B6596" t="s">
        <v>9450</v>
      </c>
      <c r="C6596">
        <v>2024</v>
      </c>
      <c r="D6596" t="s">
        <v>300</v>
      </c>
      <c r="E6596" t="s">
        <v>2925</v>
      </c>
      <c r="F6596">
        <v>-65.67</v>
      </c>
      <c r="G6596" t="s">
        <v>302</v>
      </c>
      <c r="H6596">
        <v>146</v>
      </c>
      <c r="I6596" t="s">
        <v>9505</v>
      </c>
      <c r="J6596" t="s">
        <v>294</v>
      </c>
      <c r="M6596" t="s">
        <v>295</v>
      </c>
      <c r="N6596" t="s">
        <v>7</v>
      </c>
      <c r="O6596" t="s">
        <v>297</v>
      </c>
    </row>
    <row r="6597" spans="1:15" x14ac:dyDescent="0.3">
      <c r="A6597" t="s">
        <v>9276</v>
      </c>
      <c r="B6597" t="s">
        <v>9450</v>
      </c>
      <c r="C6597">
        <v>2024</v>
      </c>
      <c r="D6597" t="s">
        <v>300</v>
      </c>
      <c r="E6597" t="s">
        <v>9506</v>
      </c>
      <c r="F6597">
        <v>91</v>
      </c>
      <c r="G6597" t="s">
        <v>346</v>
      </c>
      <c r="H6597">
        <v>11</v>
      </c>
      <c r="I6597" t="s">
        <v>9507</v>
      </c>
      <c r="J6597" t="s">
        <v>456</v>
      </c>
      <c r="M6597" t="s">
        <v>295</v>
      </c>
      <c r="N6597" t="s">
        <v>7</v>
      </c>
      <c r="O6597" t="s">
        <v>297</v>
      </c>
    </row>
    <row r="6598" spans="1:15" x14ac:dyDescent="0.3">
      <c r="A6598" t="s">
        <v>9276</v>
      </c>
      <c r="B6598" t="s">
        <v>9450</v>
      </c>
      <c r="C6598">
        <v>2024</v>
      </c>
      <c r="D6598" t="s">
        <v>300</v>
      </c>
      <c r="E6598" t="s">
        <v>326</v>
      </c>
      <c r="F6598">
        <v>2.88</v>
      </c>
      <c r="G6598" t="s">
        <v>327</v>
      </c>
      <c r="H6598">
        <v>10</v>
      </c>
      <c r="I6598" t="s">
        <v>9508</v>
      </c>
      <c r="J6598" t="s">
        <v>294</v>
      </c>
      <c r="M6598" t="s">
        <v>295</v>
      </c>
      <c r="N6598" t="s">
        <v>7</v>
      </c>
      <c r="O6598" t="s">
        <v>297</v>
      </c>
    </row>
    <row r="6599" spans="1:15" x14ac:dyDescent="0.3">
      <c r="A6599" t="s">
        <v>9276</v>
      </c>
      <c r="B6599" t="s">
        <v>9450</v>
      </c>
      <c r="C6599">
        <v>2024</v>
      </c>
      <c r="D6599" t="s">
        <v>300</v>
      </c>
      <c r="E6599" t="s">
        <v>842</v>
      </c>
      <c r="F6599">
        <v>0.20200000000000001</v>
      </c>
      <c r="G6599" t="s">
        <v>327</v>
      </c>
      <c r="H6599">
        <v>10</v>
      </c>
      <c r="I6599" t="s">
        <v>9509</v>
      </c>
      <c r="J6599" t="s">
        <v>294</v>
      </c>
      <c r="M6599" t="s">
        <v>295</v>
      </c>
      <c r="N6599" t="s">
        <v>7</v>
      </c>
      <c r="O6599" t="s">
        <v>297</v>
      </c>
    </row>
    <row r="6600" spans="1:15" x14ac:dyDescent="0.3">
      <c r="A6600" t="s">
        <v>9276</v>
      </c>
      <c r="B6600" t="s">
        <v>9450</v>
      </c>
      <c r="C6600">
        <v>2024</v>
      </c>
      <c r="D6600" t="s">
        <v>300</v>
      </c>
      <c r="E6600" t="s">
        <v>844</v>
      </c>
      <c r="F6600">
        <v>0.16800000000000001</v>
      </c>
      <c r="G6600" t="s">
        <v>327</v>
      </c>
      <c r="H6600">
        <v>10</v>
      </c>
      <c r="I6600" t="s">
        <v>9510</v>
      </c>
      <c r="J6600" t="s">
        <v>294</v>
      </c>
      <c r="M6600" t="s">
        <v>295</v>
      </c>
      <c r="N6600" t="s">
        <v>7</v>
      </c>
      <c r="O6600" t="s">
        <v>297</v>
      </c>
    </row>
    <row r="6601" spans="1:15" x14ac:dyDescent="0.3">
      <c r="A6601" t="s">
        <v>9276</v>
      </c>
      <c r="B6601" t="s">
        <v>9450</v>
      </c>
      <c r="C6601">
        <v>2024</v>
      </c>
      <c r="D6601" t="s">
        <v>300</v>
      </c>
      <c r="E6601" t="s">
        <v>333</v>
      </c>
      <c r="F6601">
        <v>9.1000000000000004E-3</v>
      </c>
      <c r="G6601" t="s">
        <v>334</v>
      </c>
      <c r="H6601">
        <v>10</v>
      </c>
      <c r="I6601" t="s">
        <v>9511</v>
      </c>
      <c r="J6601" t="s">
        <v>294</v>
      </c>
      <c r="M6601" t="s">
        <v>295</v>
      </c>
      <c r="N6601" t="s">
        <v>7</v>
      </c>
      <c r="O6601" t="s">
        <v>297</v>
      </c>
    </row>
    <row r="6602" spans="1:15" x14ac:dyDescent="0.3">
      <c r="A6602" t="s">
        <v>9276</v>
      </c>
      <c r="B6602" t="s">
        <v>9450</v>
      </c>
      <c r="C6602">
        <v>2024</v>
      </c>
      <c r="D6602" t="s">
        <v>300</v>
      </c>
      <c r="E6602" t="s">
        <v>336</v>
      </c>
      <c r="F6602">
        <v>1.09E-2</v>
      </c>
      <c r="G6602" t="s">
        <v>334</v>
      </c>
      <c r="H6602">
        <v>10</v>
      </c>
      <c r="I6602" t="s">
        <v>9512</v>
      </c>
      <c r="J6602" t="s">
        <v>294</v>
      </c>
      <c r="M6602" t="s">
        <v>295</v>
      </c>
      <c r="N6602" t="s">
        <v>7</v>
      </c>
      <c r="O6602" t="s">
        <v>297</v>
      </c>
    </row>
    <row r="6603" spans="1:15" x14ac:dyDescent="0.3">
      <c r="A6603" t="s">
        <v>9276</v>
      </c>
      <c r="B6603" t="s">
        <v>9450</v>
      </c>
      <c r="C6603">
        <v>2024</v>
      </c>
      <c r="D6603" t="s">
        <v>300</v>
      </c>
      <c r="E6603" t="s">
        <v>9513</v>
      </c>
      <c r="F6603">
        <v>4.04</v>
      </c>
      <c r="G6603" t="s">
        <v>327</v>
      </c>
      <c r="H6603">
        <v>6</v>
      </c>
      <c r="I6603" t="s">
        <v>9514</v>
      </c>
      <c r="J6603" t="s">
        <v>294</v>
      </c>
      <c r="M6603" t="s">
        <v>295</v>
      </c>
      <c r="N6603" t="s">
        <v>7</v>
      </c>
      <c r="O6603" t="s">
        <v>297</v>
      </c>
    </row>
    <row r="6604" spans="1:15" x14ac:dyDescent="0.3">
      <c r="A6604" t="s">
        <v>9276</v>
      </c>
      <c r="B6604" t="s">
        <v>9450</v>
      </c>
      <c r="C6604">
        <v>2024</v>
      </c>
      <c r="D6604" t="s">
        <v>394</v>
      </c>
      <c r="E6604" t="s">
        <v>9515</v>
      </c>
      <c r="F6604" t="s">
        <v>9516</v>
      </c>
      <c r="G6604" t="s">
        <v>292</v>
      </c>
      <c r="H6604">
        <v>20</v>
      </c>
      <c r="I6604" t="s">
        <v>9517</v>
      </c>
      <c r="J6604" t="s">
        <v>294</v>
      </c>
      <c r="M6604" t="s">
        <v>295</v>
      </c>
      <c r="N6604" t="s">
        <v>7</v>
      </c>
      <c r="O6604" t="s">
        <v>297</v>
      </c>
    </row>
    <row r="6605" spans="1:15" x14ac:dyDescent="0.3">
      <c r="A6605" t="s">
        <v>9276</v>
      </c>
      <c r="B6605" t="s">
        <v>9450</v>
      </c>
      <c r="C6605">
        <v>2024</v>
      </c>
      <c r="D6605" t="s">
        <v>394</v>
      </c>
      <c r="E6605" t="s">
        <v>9359</v>
      </c>
      <c r="F6605" t="s">
        <v>9360</v>
      </c>
      <c r="G6605" t="s">
        <v>292</v>
      </c>
      <c r="H6605">
        <v>8</v>
      </c>
      <c r="I6605" t="s">
        <v>9440</v>
      </c>
      <c r="J6605" t="s">
        <v>294</v>
      </c>
      <c r="M6605" t="s">
        <v>295</v>
      </c>
      <c r="N6605" t="s">
        <v>7</v>
      </c>
      <c r="O6605" t="s">
        <v>297</v>
      </c>
    </row>
    <row r="6606" spans="1:15" x14ac:dyDescent="0.3">
      <c r="A6606" t="s">
        <v>9276</v>
      </c>
      <c r="B6606" t="s">
        <v>9450</v>
      </c>
      <c r="C6606">
        <v>2024</v>
      </c>
      <c r="D6606" t="s">
        <v>394</v>
      </c>
      <c r="E6606" t="s">
        <v>9362</v>
      </c>
      <c r="F6606" t="s">
        <v>9518</v>
      </c>
      <c r="G6606" t="s">
        <v>292</v>
      </c>
      <c r="H6606">
        <v>19</v>
      </c>
      <c r="I6606" t="s">
        <v>9519</v>
      </c>
      <c r="J6606" t="s">
        <v>294</v>
      </c>
      <c r="M6606" t="s">
        <v>295</v>
      </c>
      <c r="N6606" t="s">
        <v>7</v>
      </c>
      <c r="O6606" t="s">
        <v>297</v>
      </c>
    </row>
    <row r="6607" spans="1:15" x14ac:dyDescent="0.3">
      <c r="A6607" t="s">
        <v>9276</v>
      </c>
      <c r="B6607" t="s">
        <v>9450</v>
      </c>
      <c r="C6607">
        <v>2024</v>
      </c>
      <c r="D6607" t="s">
        <v>394</v>
      </c>
      <c r="E6607" t="s">
        <v>9365</v>
      </c>
      <c r="F6607">
        <v>0</v>
      </c>
      <c r="G6607" t="s">
        <v>360</v>
      </c>
      <c r="H6607">
        <v>0</v>
      </c>
      <c r="I6607" t="s">
        <v>9442</v>
      </c>
      <c r="J6607" t="s">
        <v>294</v>
      </c>
      <c r="M6607" t="s">
        <v>295</v>
      </c>
      <c r="N6607" t="s">
        <v>7</v>
      </c>
      <c r="O6607" t="s">
        <v>297</v>
      </c>
    </row>
    <row r="6608" spans="1:15" x14ac:dyDescent="0.3">
      <c r="A6608" t="s">
        <v>9276</v>
      </c>
      <c r="B6608" t="s">
        <v>9450</v>
      </c>
      <c r="C6608">
        <v>2024</v>
      </c>
      <c r="D6608" t="s">
        <v>394</v>
      </c>
      <c r="E6608" t="s">
        <v>9367</v>
      </c>
      <c r="F6608">
        <v>0</v>
      </c>
      <c r="G6608" t="s">
        <v>384</v>
      </c>
      <c r="H6608">
        <v>0</v>
      </c>
      <c r="I6608" t="s">
        <v>9520</v>
      </c>
      <c r="J6608" t="s">
        <v>294</v>
      </c>
      <c r="M6608" t="s">
        <v>295</v>
      </c>
      <c r="N6608" t="s">
        <v>7</v>
      </c>
      <c r="O6608" t="s">
        <v>297</v>
      </c>
    </row>
    <row r="6609" spans="1:15" x14ac:dyDescent="0.3">
      <c r="A6609" t="s">
        <v>9276</v>
      </c>
      <c r="B6609" t="s">
        <v>9450</v>
      </c>
      <c r="C6609">
        <v>2024</v>
      </c>
      <c r="D6609" t="s">
        <v>394</v>
      </c>
      <c r="E6609" t="s">
        <v>3706</v>
      </c>
      <c r="F6609">
        <v>0</v>
      </c>
      <c r="G6609" t="s">
        <v>396</v>
      </c>
      <c r="H6609">
        <v>0</v>
      </c>
      <c r="I6609" t="s">
        <v>9445</v>
      </c>
      <c r="J6609" t="s">
        <v>294</v>
      </c>
      <c r="M6609" t="s">
        <v>295</v>
      </c>
      <c r="N6609" t="s">
        <v>7</v>
      </c>
      <c r="O6609" t="s">
        <v>297</v>
      </c>
    </row>
    <row r="6610" spans="1:15" x14ac:dyDescent="0.3">
      <c r="A6610" t="s">
        <v>9276</v>
      </c>
      <c r="B6610" t="s">
        <v>9450</v>
      </c>
      <c r="C6610">
        <v>2024</v>
      </c>
      <c r="D6610" t="s">
        <v>394</v>
      </c>
      <c r="E6610" t="s">
        <v>406</v>
      </c>
      <c r="F6610">
        <v>0</v>
      </c>
      <c r="G6610" t="s">
        <v>396</v>
      </c>
      <c r="H6610">
        <v>0</v>
      </c>
      <c r="I6610" t="s">
        <v>9445</v>
      </c>
      <c r="J6610" t="s">
        <v>294</v>
      </c>
      <c r="M6610" t="s">
        <v>295</v>
      </c>
      <c r="N6610" t="s">
        <v>7</v>
      </c>
      <c r="O6610" t="s">
        <v>297</v>
      </c>
    </row>
    <row r="6611" spans="1:15" x14ac:dyDescent="0.3">
      <c r="A6611" t="s">
        <v>9276</v>
      </c>
      <c r="B6611" t="s">
        <v>9450</v>
      </c>
      <c r="C6611">
        <v>2024</v>
      </c>
      <c r="D6611" t="s">
        <v>394</v>
      </c>
      <c r="E6611" t="s">
        <v>9521</v>
      </c>
      <c r="F6611">
        <v>0.1</v>
      </c>
      <c r="G6611" t="s">
        <v>334</v>
      </c>
      <c r="H6611">
        <v>21</v>
      </c>
      <c r="I6611" t="s">
        <v>9522</v>
      </c>
      <c r="J6611" t="s">
        <v>294</v>
      </c>
      <c r="M6611" t="s">
        <v>295</v>
      </c>
      <c r="N6611" t="s">
        <v>7</v>
      </c>
      <c r="O6611" t="s">
        <v>297</v>
      </c>
    </row>
    <row r="6612" spans="1:15" x14ac:dyDescent="0.3">
      <c r="A6612" t="s">
        <v>9276</v>
      </c>
      <c r="B6612" t="s">
        <v>9450</v>
      </c>
      <c r="C6612">
        <v>2024</v>
      </c>
      <c r="D6612" t="s">
        <v>563</v>
      </c>
      <c r="E6612" t="s">
        <v>9523</v>
      </c>
      <c r="F6612" t="s">
        <v>9524</v>
      </c>
      <c r="G6612" t="s">
        <v>292</v>
      </c>
      <c r="H6612">
        <v>0</v>
      </c>
      <c r="I6612" t="s">
        <v>9525</v>
      </c>
      <c r="J6612" t="s">
        <v>294</v>
      </c>
      <c r="M6612" t="s">
        <v>295</v>
      </c>
      <c r="N6612" t="s">
        <v>7</v>
      </c>
      <c r="O6612" t="s">
        <v>297</v>
      </c>
    </row>
    <row r="6613" spans="1:15" x14ac:dyDescent="0.3">
      <c r="A6613" t="s">
        <v>9276</v>
      </c>
      <c r="B6613" t="s">
        <v>9450</v>
      </c>
      <c r="C6613">
        <v>2024</v>
      </c>
      <c r="D6613" t="s">
        <v>252</v>
      </c>
      <c r="E6613" t="s">
        <v>9374</v>
      </c>
      <c r="F6613" t="s">
        <v>9526</v>
      </c>
      <c r="G6613" t="s">
        <v>9376</v>
      </c>
      <c r="H6613">
        <v>6</v>
      </c>
      <c r="I6613" t="s">
        <v>9527</v>
      </c>
      <c r="J6613" t="s">
        <v>294</v>
      </c>
      <c r="M6613" t="s">
        <v>295</v>
      </c>
      <c r="N6613" t="s">
        <v>7</v>
      </c>
      <c r="O6613" t="s">
        <v>297</v>
      </c>
    </row>
  </sheetData>
  <phoneticPr fontId="24" type="noConversion"/>
  <conditionalFormatting sqref="J2:J1001">
    <cfRule type="cellIs" dxfId="1" priority="2" operator="equal">
      <formula>"low"</formula>
    </cfRule>
    <cfRule type="cellIs" dxfId="0" priority="3" operator="equal">
      <formula>"medium"</formula>
    </cfRule>
  </conditionalFormatting>
  <dataValidations count="4">
    <dataValidation type="list" allowBlank="1" sqref="J2:J1001" xr:uid="{00000000-0002-0000-0100-000000000000}">
      <formula1>"High,Medium,Low"</formula1>
      <formula2>0</formula2>
    </dataValidation>
    <dataValidation type="list" allowBlank="1" sqref="L2:L1001" xr:uid="{00000000-0002-0000-0100-000001000000}">
      <formula1>"OK,Check,Mismatch,Missing"</formula1>
      <formula2>0</formula2>
    </dataValidation>
    <dataValidation type="list" allowBlank="1" sqref="O2:O1001" xr:uid="{00000000-0002-0000-0100-000002000000}">
      <formula1>"Manual,AI,OCR,Calculated"</formula1>
      <formula2>0</formula2>
    </dataValidation>
    <dataValidation type="list" allowBlank="1" sqref="D2:D1001" xr:uid="{00000000-0002-0000-0100-000003000000}">
      <formula1>"Company,Asset,Operation,Financial,ESG,Other"</formula1>
      <formula2>0</formula2>
    </dataValidation>
  </dataValidations>
  <pageMargins left="0.75" right="0.75" top="1" bottom="1" header="0.511811023622047" footer="0.511811023622047"/>
  <pageSetup paperSize="9" orientation="portrait" horizontalDpi="300" verticalDpi="30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B9BD5"/>
  </sheetPr>
  <dimension ref="A1:S201"/>
  <sheetViews>
    <sheetView showGridLines="0" zoomScaleNormal="100" workbookViewId="0">
      <pane xSplit="1" ySplit="1" topLeftCell="Q71" activePane="bottomRight" state="frozen"/>
      <selection pane="topRight" activeCell="B1" sqref="B1"/>
      <selection pane="bottomLeft" activeCell="A2" sqref="A2"/>
      <selection pane="bottomRight" activeCell="S1" sqref="S1"/>
    </sheetView>
  </sheetViews>
  <sheetFormatPr defaultColWidth="8.6640625" defaultRowHeight="14.4" x14ac:dyDescent="0.3"/>
  <cols>
    <col min="1" max="1" width="22" customWidth="1"/>
    <col min="2" max="8" width="18" customWidth="1"/>
    <col min="9" max="11" width="30" customWidth="1"/>
    <col min="12" max="16" width="18" customWidth="1"/>
    <col min="17" max="18" width="30" customWidth="1"/>
    <col min="19" max="19" width="20" customWidth="1"/>
  </cols>
  <sheetData>
    <row r="1" spans="1:19" ht="31.5" customHeight="1" x14ac:dyDescent="0.3">
      <c r="A1" s="84" t="s">
        <v>11095</v>
      </c>
      <c r="B1" s="84" t="s">
        <v>11096</v>
      </c>
      <c r="C1" s="5" t="s">
        <v>9528</v>
      </c>
      <c r="D1" s="5" t="s">
        <v>274</v>
      </c>
      <c r="E1" s="5" t="s">
        <v>9529</v>
      </c>
      <c r="F1" s="84" t="s">
        <v>11097</v>
      </c>
      <c r="G1" s="5" t="s">
        <v>9530</v>
      </c>
      <c r="H1" s="84" t="s">
        <v>11098</v>
      </c>
      <c r="I1" s="84" t="s">
        <v>11099</v>
      </c>
      <c r="J1" s="5" t="s">
        <v>9531</v>
      </c>
      <c r="K1" s="5" t="s">
        <v>9532</v>
      </c>
      <c r="L1" s="5" t="s">
        <v>9533</v>
      </c>
      <c r="M1" s="84" t="s">
        <v>11100</v>
      </c>
      <c r="N1" s="5" t="s">
        <v>9534</v>
      </c>
      <c r="O1" s="5" t="s">
        <v>9535</v>
      </c>
      <c r="P1" s="5" t="s">
        <v>9536</v>
      </c>
      <c r="Q1" s="5" t="s">
        <v>9537</v>
      </c>
      <c r="R1" s="5" t="s">
        <v>9538</v>
      </c>
      <c r="S1" s="85" t="s">
        <v>11101</v>
      </c>
    </row>
    <row r="2" spans="1:19" ht="15" customHeight="1" x14ac:dyDescent="0.3">
      <c r="A2" s="6" t="s">
        <v>289</v>
      </c>
      <c r="B2" s="6" t="s">
        <v>8</v>
      </c>
      <c r="C2" s="6" t="s">
        <v>9539</v>
      </c>
      <c r="D2" s="6">
        <v>2023</v>
      </c>
      <c r="E2" s="6" t="s">
        <v>290</v>
      </c>
      <c r="F2" s="6" t="s">
        <v>9540</v>
      </c>
      <c r="G2" s="6" t="s">
        <v>9541</v>
      </c>
      <c r="H2" s="6" t="s">
        <v>9542</v>
      </c>
      <c r="I2" s="6" t="s">
        <v>9543</v>
      </c>
      <c r="J2" s="6"/>
      <c r="K2" s="6"/>
      <c r="L2" s="6" t="s">
        <v>9544</v>
      </c>
      <c r="M2" s="6" t="s">
        <v>9545</v>
      </c>
      <c r="N2" s="6"/>
      <c r="O2" s="6"/>
      <c r="P2" s="6"/>
      <c r="Q2" s="6"/>
      <c r="R2" s="6"/>
      <c r="S2" s="44" t="s">
        <v>248</v>
      </c>
    </row>
    <row r="3" spans="1:19" ht="15" customHeight="1" x14ac:dyDescent="0.3">
      <c r="A3" s="6" t="s">
        <v>289</v>
      </c>
      <c r="B3" s="6" t="s">
        <v>8</v>
      </c>
      <c r="C3" s="6" t="s">
        <v>9539</v>
      </c>
      <c r="D3" s="6">
        <v>2024</v>
      </c>
      <c r="E3" s="6" t="s">
        <v>440</v>
      </c>
      <c r="F3" s="6" t="s">
        <v>9540</v>
      </c>
      <c r="G3" s="6" t="s">
        <v>9541</v>
      </c>
      <c r="H3" s="6" t="s">
        <v>9542</v>
      </c>
      <c r="I3" s="6" t="s">
        <v>9546</v>
      </c>
      <c r="J3" s="6" t="s">
        <v>9547</v>
      </c>
      <c r="K3" s="6" t="s">
        <v>9548</v>
      </c>
      <c r="L3" s="6" t="s">
        <v>9544</v>
      </c>
      <c r="M3" s="6" t="s">
        <v>9545</v>
      </c>
      <c r="N3" s="6"/>
      <c r="O3" s="6"/>
      <c r="P3" s="6"/>
      <c r="Q3" s="6" t="s">
        <v>9549</v>
      </c>
      <c r="R3" s="6" t="s">
        <v>9550</v>
      </c>
      <c r="S3" s="44" t="s">
        <v>248</v>
      </c>
    </row>
    <row r="4" spans="1:19" ht="15" customHeight="1" x14ac:dyDescent="0.3">
      <c r="A4" s="6" t="s">
        <v>289</v>
      </c>
      <c r="B4" s="6" t="s">
        <v>8</v>
      </c>
      <c r="C4" s="6" t="s">
        <v>9539</v>
      </c>
      <c r="D4" s="6">
        <v>2025</v>
      </c>
      <c r="E4" s="6" t="s">
        <v>568</v>
      </c>
      <c r="F4" s="6" t="s">
        <v>9540</v>
      </c>
      <c r="G4" s="6" t="s">
        <v>9541</v>
      </c>
      <c r="H4" s="6" t="s">
        <v>9542</v>
      </c>
      <c r="I4" s="6" t="s">
        <v>9551</v>
      </c>
      <c r="J4" s="6" t="s">
        <v>9552</v>
      </c>
      <c r="K4" s="6" t="s">
        <v>9553</v>
      </c>
      <c r="L4" s="6" t="s">
        <v>9544</v>
      </c>
      <c r="M4" s="6" t="s">
        <v>9545</v>
      </c>
      <c r="N4" s="6"/>
      <c r="O4" s="6"/>
      <c r="P4" s="6"/>
      <c r="Q4" s="6" t="s">
        <v>9554</v>
      </c>
      <c r="R4" s="6" t="s">
        <v>9555</v>
      </c>
      <c r="S4" s="44" t="s">
        <v>248</v>
      </c>
    </row>
    <row r="5" spans="1:19" ht="15" customHeight="1" x14ac:dyDescent="0.3">
      <c r="A5" s="6" t="s">
        <v>660</v>
      </c>
      <c r="B5" s="6" t="s">
        <v>25</v>
      </c>
      <c r="C5" s="6" t="s">
        <v>9539</v>
      </c>
      <c r="D5" s="6">
        <v>2022</v>
      </c>
      <c r="E5" s="6" t="s">
        <v>661</v>
      </c>
      <c r="F5" s="6" t="s">
        <v>9556</v>
      </c>
      <c r="G5" s="6" t="s">
        <v>9541</v>
      </c>
      <c r="H5" s="6" t="s">
        <v>9557</v>
      </c>
      <c r="I5" s="6" t="s">
        <v>9558</v>
      </c>
      <c r="J5" s="6" t="s">
        <v>9559</v>
      </c>
      <c r="K5" s="6" t="s">
        <v>9560</v>
      </c>
      <c r="L5" s="6" t="s">
        <v>9561</v>
      </c>
      <c r="M5" s="6" t="s">
        <v>9562</v>
      </c>
      <c r="N5" s="6"/>
      <c r="O5" s="6"/>
      <c r="P5" s="6"/>
      <c r="Q5" s="6" t="s">
        <v>9563</v>
      </c>
      <c r="R5" s="6" t="s">
        <v>9564</v>
      </c>
      <c r="S5" s="44" t="s">
        <v>246</v>
      </c>
    </row>
    <row r="6" spans="1:19" ht="15" customHeight="1" x14ac:dyDescent="0.3">
      <c r="A6" s="6" t="s">
        <v>660</v>
      </c>
      <c r="B6" s="6" t="s">
        <v>25</v>
      </c>
      <c r="C6" s="6" t="s">
        <v>9539</v>
      </c>
      <c r="D6" s="6">
        <v>2023</v>
      </c>
      <c r="E6" s="6" t="s">
        <v>758</v>
      </c>
      <c r="F6" s="6" t="s">
        <v>9556</v>
      </c>
      <c r="G6" s="6" t="s">
        <v>9541</v>
      </c>
      <c r="H6" s="6" t="s">
        <v>9557</v>
      </c>
      <c r="I6" s="6" t="s">
        <v>9565</v>
      </c>
      <c r="J6" s="6" t="s">
        <v>9566</v>
      </c>
      <c r="K6" s="6" t="s">
        <v>9567</v>
      </c>
      <c r="L6" s="6" t="s">
        <v>9561</v>
      </c>
      <c r="M6" s="6" t="s">
        <v>9568</v>
      </c>
      <c r="N6" s="6"/>
      <c r="O6" s="6"/>
      <c r="P6" s="6"/>
      <c r="Q6" s="6" t="s">
        <v>9569</v>
      </c>
      <c r="R6" s="6" t="s">
        <v>9570</v>
      </c>
      <c r="S6" s="44" t="s">
        <v>246</v>
      </c>
    </row>
    <row r="7" spans="1:19" ht="15" customHeight="1" x14ac:dyDescent="0.3">
      <c r="A7" s="6" t="s">
        <v>660</v>
      </c>
      <c r="B7" s="6" t="s">
        <v>25</v>
      </c>
      <c r="C7" s="6" t="s">
        <v>9539</v>
      </c>
      <c r="D7" s="6">
        <v>2024</v>
      </c>
      <c r="E7" s="6" t="s">
        <v>811</v>
      </c>
      <c r="F7" s="6" t="s">
        <v>9556</v>
      </c>
      <c r="G7" s="6" t="s">
        <v>9541</v>
      </c>
      <c r="H7" s="6" t="s">
        <v>9557</v>
      </c>
      <c r="I7" s="6" t="s">
        <v>9565</v>
      </c>
      <c r="J7" s="6" t="s">
        <v>9566</v>
      </c>
      <c r="K7" s="6" t="s">
        <v>9571</v>
      </c>
      <c r="L7" s="6" t="s">
        <v>9561</v>
      </c>
      <c r="M7" s="6" t="s">
        <v>9572</v>
      </c>
      <c r="N7" s="6"/>
      <c r="O7" s="6"/>
      <c r="P7" s="6"/>
      <c r="Q7" s="6" t="s">
        <v>9573</v>
      </c>
      <c r="R7" s="6" t="s">
        <v>9574</v>
      </c>
      <c r="S7" s="44" t="s">
        <v>246</v>
      </c>
    </row>
    <row r="8" spans="1:19" ht="15" customHeight="1" x14ac:dyDescent="0.3">
      <c r="A8" s="6" t="s">
        <v>864</v>
      </c>
      <c r="B8" s="6" t="s">
        <v>35</v>
      </c>
      <c r="C8" s="6" t="s">
        <v>9539</v>
      </c>
      <c r="D8" s="6">
        <v>2023</v>
      </c>
      <c r="E8" s="6" t="s">
        <v>865</v>
      </c>
      <c r="F8" s="6" t="s">
        <v>9540</v>
      </c>
      <c r="G8" s="6" t="s">
        <v>9541</v>
      </c>
      <c r="H8" s="6" t="s">
        <v>9575</v>
      </c>
      <c r="I8" s="6" t="s">
        <v>9576</v>
      </c>
      <c r="J8" s="6" t="s">
        <v>9577</v>
      </c>
      <c r="K8" s="6" t="s">
        <v>9578</v>
      </c>
      <c r="L8" s="6" t="s">
        <v>9579</v>
      </c>
      <c r="M8" s="6" t="s">
        <v>9580</v>
      </c>
      <c r="N8" s="6"/>
      <c r="O8" s="6"/>
      <c r="P8" s="6"/>
      <c r="Q8" s="6" t="s">
        <v>9581</v>
      </c>
      <c r="R8" s="6" t="s">
        <v>9582</v>
      </c>
      <c r="S8" s="44" t="s">
        <v>248</v>
      </c>
    </row>
    <row r="9" spans="1:19" ht="15" customHeight="1" x14ac:dyDescent="0.3">
      <c r="A9" s="6" t="s">
        <v>864</v>
      </c>
      <c r="B9" s="6" t="s">
        <v>35</v>
      </c>
      <c r="C9" s="6" t="s">
        <v>9539</v>
      </c>
      <c r="D9" s="6">
        <v>2022</v>
      </c>
      <c r="E9" s="6" t="s">
        <v>958</v>
      </c>
      <c r="F9" s="6" t="s">
        <v>9540</v>
      </c>
      <c r="G9" s="6" t="s">
        <v>9541</v>
      </c>
      <c r="H9" s="6" t="s">
        <v>9575</v>
      </c>
      <c r="I9" s="6" t="s">
        <v>9583</v>
      </c>
      <c r="J9" s="6" t="s">
        <v>9577</v>
      </c>
      <c r="K9" s="6" t="s">
        <v>9584</v>
      </c>
      <c r="L9" s="6" t="s">
        <v>9579</v>
      </c>
      <c r="M9" s="6" t="s">
        <v>9585</v>
      </c>
      <c r="N9" s="6"/>
      <c r="O9" s="6"/>
      <c r="P9" s="6"/>
      <c r="Q9" s="6" t="s">
        <v>9586</v>
      </c>
      <c r="R9" s="6" t="s">
        <v>9587</v>
      </c>
      <c r="S9" s="44" t="s">
        <v>248</v>
      </c>
    </row>
    <row r="10" spans="1:19" ht="15" customHeight="1" x14ac:dyDescent="0.3">
      <c r="A10" s="6" t="s">
        <v>864</v>
      </c>
      <c r="B10" s="6" t="s">
        <v>35</v>
      </c>
      <c r="C10" s="6" t="s">
        <v>9539</v>
      </c>
      <c r="D10" s="6">
        <v>2024</v>
      </c>
      <c r="E10" s="6" t="s">
        <v>1022</v>
      </c>
      <c r="F10" s="6" t="s">
        <v>9540</v>
      </c>
      <c r="G10" s="6" t="s">
        <v>9541</v>
      </c>
      <c r="H10" s="6" t="s">
        <v>9575</v>
      </c>
      <c r="I10" s="6" t="s">
        <v>9583</v>
      </c>
      <c r="J10" s="6" t="s">
        <v>9577</v>
      </c>
      <c r="K10" s="6" t="s">
        <v>9584</v>
      </c>
      <c r="L10" s="6" t="s">
        <v>9579</v>
      </c>
      <c r="M10" s="6" t="s">
        <v>9588</v>
      </c>
      <c r="N10" s="6"/>
      <c r="O10" s="6"/>
      <c r="P10" s="6"/>
      <c r="Q10" s="6" t="s">
        <v>9589</v>
      </c>
      <c r="R10" s="6" t="s">
        <v>9590</v>
      </c>
      <c r="S10" s="44" t="s">
        <v>248</v>
      </c>
    </row>
    <row r="11" spans="1:19" ht="15" customHeight="1" x14ac:dyDescent="0.3">
      <c r="A11" s="6" t="s">
        <v>1086</v>
      </c>
      <c r="B11" s="6" t="s">
        <v>15</v>
      </c>
      <c r="C11" s="6" t="s">
        <v>9539</v>
      </c>
      <c r="D11" s="6">
        <v>2023</v>
      </c>
      <c r="E11" s="6" t="s">
        <v>1087</v>
      </c>
      <c r="F11" s="6" t="s">
        <v>9591</v>
      </c>
      <c r="G11" s="6" t="s">
        <v>9541</v>
      </c>
      <c r="H11" s="6" t="s">
        <v>9592</v>
      </c>
      <c r="I11" s="6" t="s">
        <v>9593</v>
      </c>
      <c r="J11" s="6" t="s">
        <v>9594</v>
      </c>
      <c r="K11" s="6" t="s">
        <v>9595</v>
      </c>
      <c r="L11" s="6" t="s">
        <v>9596</v>
      </c>
      <c r="M11" s="6" t="s">
        <v>9597</v>
      </c>
      <c r="N11" s="6"/>
      <c r="O11" s="6"/>
      <c r="P11" s="6"/>
      <c r="Q11" s="6" t="s">
        <v>9598</v>
      </c>
      <c r="R11" s="6" t="s">
        <v>9599</v>
      </c>
      <c r="S11" s="44" t="s">
        <v>252</v>
      </c>
    </row>
    <row r="12" spans="1:19" ht="15" customHeight="1" x14ac:dyDescent="0.3">
      <c r="A12" s="6" t="s">
        <v>1086</v>
      </c>
      <c r="B12" s="6" t="s">
        <v>15</v>
      </c>
      <c r="C12" s="6" t="s">
        <v>9539</v>
      </c>
      <c r="D12" s="6">
        <v>2024</v>
      </c>
      <c r="E12" s="6" t="s">
        <v>1146</v>
      </c>
      <c r="F12" s="6" t="s">
        <v>9591</v>
      </c>
      <c r="G12" s="6" t="s">
        <v>9541</v>
      </c>
      <c r="H12" s="6" t="s">
        <v>9592</v>
      </c>
      <c r="I12" s="6" t="s">
        <v>9600</v>
      </c>
      <c r="J12" s="6" t="s">
        <v>9594</v>
      </c>
      <c r="K12" s="6" t="s">
        <v>9601</v>
      </c>
      <c r="L12" s="6" t="s">
        <v>9596</v>
      </c>
      <c r="M12" s="6" t="s">
        <v>9602</v>
      </c>
      <c r="N12" s="6"/>
      <c r="O12" s="6"/>
      <c r="P12" s="6"/>
      <c r="Q12" s="6" t="s">
        <v>9603</v>
      </c>
      <c r="R12" s="6" t="s">
        <v>9604</v>
      </c>
      <c r="S12" s="44" t="s">
        <v>252</v>
      </c>
    </row>
    <row r="13" spans="1:19" ht="15" customHeight="1" x14ac:dyDescent="0.3">
      <c r="A13" s="6" t="s">
        <v>1086</v>
      </c>
      <c r="B13" s="6" t="s">
        <v>15</v>
      </c>
      <c r="C13" s="6" t="s">
        <v>9539</v>
      </c>
      <c r="D13" s="6">
        <v>2025</v>
      </c>
      <c r="E13" s="6" t="s">
        <v>1200</v>
      </c>
      <c r="F13" s="6" t="s">
        <v>9591</v>
      </c>
      <c r="G13" s="6" t="s">
        <v>9541</v>
      </c>
      <c r="H13" s="6" t="s">
        <v>9592</v>
      </c>
      <c r="I13" s="6" t="s">
        <v>9605</v>
      </c>
      <c r="J13" s="6" t="s">
        <v>9606</v>
      </c>
      <c r="K13" s="6" t="s">
        <v>9607</v>
      </c>
      <c r="L13" s="6" t="s">
        <v>9596</v>
      </c>
      <c r="M13" s="6" t="s">
        <v>9602</v>
      </c>
      <c r="N13" s="6"/>
      <c r="O13" s="6"/>
      <c r="P13" s="6"/>
      <c r="Q13" s="6" t="s">
        <v>9608</v>
      </c>
      <c r="R13" s="6" t="s">
        <v>9609</v>
      </c>
      <c r="S13" s="44" t="s">
        <v>252</v>
      </c>
    </row>
    <row r="14" spans="1:19" ht="15" customHeight="1" x14ac:dyDescent="0.3">
      <c r="A14" s="6" t="s">
        <v>1253</v>
      </c>
      <c r="B14" s="6" t="s">
        <v>16</v>
      </c>
      <c r="C14" s="6" t="s">
        <v>9539</v>
      </c>
      <c r="D14" s="6">
        <v>2022</v>
      </c>
      <c r="E14" s="6" t="s">
        <v>1254</v>
      </c>
      <c r="F14" s="6" t="s">
        <v>9610</v>
      </c>
      <c r="G14" s="6" t="s">
        <v>9541</v>
      </c>
      <c r="H14" s="6" t="s">
        <v>9611</v>
      </c>
      <c r="I14" s="6" t="s">
        <v>9612</v>
      </c>
      <c r="J14" s="6" t="s">
        <v>9613</v>
      </c>
      <c r="K14" s="6" t="s">
        <v>9614</v>
      </c>
      <c r="L14" s="6" t="s">
        <v>9615</v>
      </c>
      <c r="M14" s="6" t="s">
        <v>9616</v>
      </c>
      <c r="N14" s="6"/>
      <c r="O14" s="6"/>
      <c r="P14" s="6"/>
      <c r="Q14" s="6" t="s">
        <v>9617</v>
      </c>
      <c r="R14" s="6" t="s">
        <v>9618</v>
      </c>
      <c r="S14" s="44" t="s">
        <v>252</v>
      </c>
    </row>
    <row r="15" spans="1:19" ht="15" customHeight="1" x14ac:dyDescent="0.3">
      <c r="A15" s="6" t="s">
        <v>1253</v>
      </c>
      <c r="B15" s="6" t="s">
        <v>16</v>
      </c>
      <c r="C15" s="6" t="s">
        <v>9539</v>
      </c>
      <c r="D15" s="6">
        <v>2023</v>
      </c>
      <c r="E15" s="6" t="s">
        <v>1318</v>
      </c>
      <c r="F15" s="6" t="s">
        <v>9610</v>
      </c>
      <c r="G15" s="6" t="s">
        <v>9541</v>
      </c>
      <c r="H15" s="6" t="s">
        <v>9619</v>
      </c>
      <c r="I15" s="6" t="s">
        <v>9620</v>
      </c>
      <c r="J15" s="6" t="s">
        <v>9613</v>
      </c>
      <c r="K15" s="6" t="s">
        <v>9614</v>
      </c>
      <c r="L15" s="6" t="s">
        <v>9615</v>
      </c>
      <c r="M15" s="6" t="s">
        <v>9621</v>
      </c>
      <c r="N15" s="6"/>
      <c r="O15" s="6"/>
      <c r="P15" s="6"/>
      <c r="Q15" s="6" t="s">
        <v>9622</v>
      </c>
      <c r="R15" s="6" t="s">
        <v>9623</v>
      </c>
      <c r="S15" s="44" t="s">
        <v>252</v>
      </c>
    </row>
    <row r="16" spans="1:19" ht="15" customHeight="1" x14ac:dyDescent="0.3">
      <c r="A16" s="6" t="s">
        <v>1253</v>
      </c>
      <c r="B16" s="6" t="s">
        <v>16</v>
      </c>
      <c r="C16" s="6" t="s">
        <v>9539</v>
      </c>
      <c r="D16" s="6">
        <v>2024</v>
      </c>
      <c r="E16" s="6" t="s">
        <v>1365</v>
      </c>
      <c r="F16" s="6" t="s">
        <v>9610</v>
      </c>
      <c r="G16" s="6" t="s">
        <v>9541</v>
      </c>
      <c r="H16" s="6" t="s">
        <v>9619</v>
      </c>
      <c r="I16" s="6" t="s">
        <v>9624</v>
      </c>
      <c r="J16" s="6" t="s">
        <v>9613</v>
      </c>
      <c r="K16" s="6" t="s">
        <v>9625</v>
      </c>
      <c r="L16" s="6" t="s">
        <v>9615</v>
      </c>
      <c r="M16" s="6" t="s">
        <v>9626</v>
      </c>
      <c r="N16" s="6"/>
      <c r="O16" s="6"/>
      <c r="P16" s="6"/>
      <c r="Q16" s="6" t="s">
        <v>9627</v>
      </c>
      <c r="R16" s="6" t="s">
        <v>9628</v>
      </c>
      <c r="S16" s="44" t="s">
        <v>252</v>
      </c>
    </row>
    <row r="17" spans="1:19" ht="15" customHeight="1" x14ac:dyDescent="0.3">
      <c r="A17" s="6" t="s">
        <v>1412</v>
      </c>
      <c r="B17" s="6" t="s">
        <v>18</v>
      </c>
      <c r="C17" s="6" t="s">
        <v>9539</v>
      </c>
      <c r="D17" s="6">
        <v>2023</v>
      </c>
      <c r="E17" s="6" t="s">
        <v>1413</v>
      </c>
      <c r="F17" s="6" t="s">
        <v>9540</v>
      </c>
      <c r="G17" s="6" t="s">
        <v>9541</v>
      </c>
      <c r="H17" s="6" t="s">
        <v>9629</v>
      </c>
      <c r="I17" s="6" t="s">
        <v>9630</v>
      </c>
      <c r="J17" s="6" t="s">
        <v>9631</v>
      </c>
      <c r="K17" s="6" t="s">
        <v>9632</v>
      </c>
      <c r="L17" s="6" t="s">
        <v>9633</v>
      </c>
      <c r="M17" s="6" t="s">
        <v>9634</v>
      </c>
      <c r="N17" s="6"/>
      <c r="O17" s="6"/>
      <c r="P17" s="6"/>
      <c r="Q17" s="6" t="s">
        <v>9635</v>
      </c>
      <c r="R17" s="6" t="s">
        <v>9636</v>
      </c>
      <c r="S17" s="44" t="s">
        <v>246</v>
      </c>
    </row>
    <row r="18" spans="1:19" ht="15" customHeight="1" x14ac:dyDescent="0.3">
      <c r="A18" s="6" t="s">
        <v>1412</v>
      </c>
      <c r="B18" s="6" t="s">
        <v>18</v>
      </c>
      <c r="C18" s="6" t="s">
        <v>9539</v>
      </c>
      <c r="D18" s="6">
        <v>2024</v>
      </c>
      <c r="E18" s="6" t="s">
        <v>1500</v>
      </c>
      <c r="F18" s="6" t="s">
        <v>9540</v>
      </c>
      <c r="G18" s="6" t="s">
        <v>9541</v>
      </c>
      <c r="H18" s="6" t="s">
        <v>9629</v>
      </c>
      <c r="I18" s="6" t="s">
        <v>9637</v>
      </c>
      <c r="J18" s="6" t="s">
        <v>9638</v>
      </c>
      <c r="K18" s="6" t="s">
        <v>9639</v>
      </c>
      <c r="L18" s="6" t="s">
        <v>9633</v>
      </c>
      <c r="M18" s="6" t="s">
        <v>9634</v>
      </c>
      <c r="N18" s="6"/>
      <c r="O18" s="6"/>
      <c r="P18" s="6"/>
      <c r="Q18" s="6" t="s">
        <v>9640</v>
      </c>
      <c r="R18" s="6" t="s">
        <v>9641</v>
      </c>
      <c r="S18" s="44" t="s">
        <v>246</v>
      </c>
    </row>
    <row r="19" spans="1:19" ht="15" customHeight="1" x14ac:dyDescent="0.3">
      <c r="A19" s="6" t="s">
        <v>1412</v>
      </c>
      <c r="B19" s="6" t="s">
        <v>18</v>
      </c>
      <c r="C19" s="6" t="s">
        <v>9539</v>
      </c>
      <c r="D19" s="6">
        <v>2025</v>
      </c>
      <c r="E19" s="6" t="s">
        <v>1566</v>
      </c>
      <c r="F19" s="6" t="s">
        <v>9642</v>
      </c>
      <c r="G19" s="6" t="s">
        <v>9541</v>
      </c>
      <c r="H19" s="6" t="s">
        <v>9643</v>
      </c>
      <c r="I19" s="6" t="s">
        <v>9644</v>
      </c>
      <c r="J19" s="6" t="s">
        <v>9645</v>
      </c>
      <c r="K19" s="6" t="s">
        <v>9646</v>
      </c>
      <c r="L19" s="6" t="s">
        <v>9633</v>
      </c>
      <c r="M19" s="6" t="s">
        <v>9647</v>
      </c>
      <c r="N19" s="6"/>
      <c r="O19" s="6"/>
      <c r="P19" s="6"/>
      <c r="Q19" s="6" t="s">
        <v>9648</v>
      </c>
      <c r="R19" s="6" t="s">
        <v>9649</v>
      </c>
      <c r="S19" s="44" t="s">
        <v>246</v>
      </c>
    </row>
    <row r="20" spans="1:19" ht="15" customHeight="1" x14ac:dyDescent="0.3">
      <c r="A20" s="6" t="s">
        <v>1625</v>
      </c>
      <c r="B20" s="6" t="s">
        <v>9650</v>
      </c>
      <c r="C20" s="6" t="s">
        <v>9539</v>
      </c>
      <c r="D20" s="6">
        <v>2023</v>
      </c>
      <c r="E20" s="6" t="s">
        <v>1626</v>
      </c>
      <c r="F20" s="6" t="s">
        <v>9651</v>
      </c>
      <c r="G20" s="6" t="s">
        <v>9541</v>
      </c>
      <c r="H20" s="6" t="s">
        <v>9652</v>
      </c>
      <c r="I20" s="6" t="s">
        <v>9653</v>
      </c>
      <c r="J20" s="6" t="s">
        <v>9654</v>
      </c>
      <c r="K20" s="6" t="s">
        <v>9655</v>
      </c>
      <c r="L20" s="6" t="s">
        <v>9656</v>
      </c>
      <c r="M20" s="6" t="s">
        <v>9657</v>
      </c>
      <c r="N20" s="6"/>
      <c r="O20" s="6"/>
      <c r="P20" s="6"/>
      <c r="Q20" s="6" t="s">
        <v>9658</v>
      </c>
      <c r="R20" s="6" t="s">
        <v>9659</v>
      </c>
      <c r="S20" s="44" t="s">
        <v>250</v>
      </c>
    </row>
    <row r="21" spans="1:19" ht="15" customHeight="1" x14ac:dyDescent="0.3">
      <c r="A21" s="6" t="s">
        <v>1625</v>
      </c>
      <c r="B21" s="6" t="s">
        <v>9650</v>
      </c>
      <c r="C21" s="6" t="s">
        <v>9539</v>
      </c>
      <c r="D21" s="6">
        <v>2024</v>
      </c>
      <c r="E21" s="6" t="s">
        <v>1740</v>
      </c>
      <c r="F21" s="6" t="s">
        <v>9651</v>
      </c>
      <c r="G21" s="6" t="s">
        <v>9541</v>
      </c>
      <c r="H21" s="6" t="s">
        <v>9652</v>
      </c>
      <c r="I21" s="6" t="s">
        <v>9660</v>
      </c>
      <c r="J21" s="6" t="s">
        <v>9661</v>
      </c>
      <c r="K21" s="6" t="s">
        <v>9655</v>
      </c>
      <c r="L21" s="6" t="s">
        <v>9656</v>
      </c>
      <c r="M21" s="6" t="s">
        <v>9662</v>
      </c>
      <c r="N21" s="6"/>
      <c r="O21" s="6"/>
      <c r="P21" s="6"/>
      <c r="Q21" s="6" t="s">
        <v>9663</v>
      </c>
      <c r="R21" s="6" t="s">
        <v>9664</v>
      </c>
      <c r="S21" s="44" t="s">
        <v>250</v>
      </c>
    </row>
    <row r="22" spans="1:19" ht="15" customHeight="1" x14ac:dyDescent="0.3">
      <c r="A22" s="6" t="s">
        <v>1625</v>
      </c>
      <c r="B22" s="6" t="s">
        <v>9650</v>
      </c>
      <c r="C22" s="6" t="s">
        <v>9539</v>
      </c>
      <c r="D22" s="6">
        <v>2025</v>
      </c>
      <c r="E22" s="6" t="s">
        <v>1846</v>
      </c>
      <c r="F22" s="6" t="s">
        <v>9651</v>
      </c>
      <c r="G22" s="6" t="s">
        <v>9541</v>
      </c>
      <c r="H22" s="6" t="s">
        <v>9652</v>
      </c>
      <c r="I22" s="6" t="s">
        <v>9665</v>
      </c>
      <c r="J22" s="6" t="s">
        <v>9661</v>
      </c>
      <c r="K22" s="6" t="s">
        <v>9666</v>
      </c>
      <c r="L22" s="6" t="s">
        <v>9656</v>
      </c>
      <c r="M22" s="6" t="s">
        <v>9667</v>
      </c>
      <c r="N22" s="6"/>
      <c r="O22" s="6"/>
      <c r="P22" s="6"/>
      <c r="Q22" s="6" t="s">
        <v>9668</v>
      </c>
      <c r="R22" s="6" t="s">
        <v>9669</v>
      </c>
      <c r="S22" s="44" t="s">
        <v>250</v>
      </c>
    </row>
    <row r="23" spans="1:19" ht="15" customHeight="1" x14ac:dyDescent="0.3">
      <c r="A23" s="6" t="s">
        <v>1938</v>
      </c>
      <c r="B23" s="6" t="s">
        <v>38</v>
      </c>
      <c r="C23" s="6" t="s">
        <v>9539</v>
      </c>
      <c r="D23" s="6">
        <v>2022</v>
      </c>
      <c r="E23" s="6" t="s">
        <v>1939</v>
      </c>
      <c r="F23" s="6" t="s">
        <v>9670</v>
      </c>
      <c r="G23" s="6" t="s">
        <v>9541</v>
      </c>
      <c r="H23" s="6" t="s">
        <v>9671</v>
      </c>
      <c r="I23" s="6" t="s">
        <v>9672</v>
      </c>
      <c r="J23" s="6" t="s">
        <v>9673</v>
      </c>
      <c r="K23" s="6" t="s">
        <v>9674</v>
      </c>
      <c r="L23" s="6" t="s">
        <v>9675</v>
      </c>
      <c r="M23" s="6" t="s">
        <v>9676</v>
      </c>
      <c r="N23" s="6"/>
      <c r="O23" s="6"/>
      <c r="P23" s="6"/>
      <c r="Q23" s="6" t="s">
        <v>9677</v>
      </c>
      <c r="R23" s="6" t="s">
        <v>9678</v>
      </c>
      <c r="S23" s="44" t="s">
        <v>246</v>
      </c>
    </row>
    <row r="24" spans="1:19" ht="15" customHeight="1" x14ac:dyDescent="0.3">
      <c r="A24" s="6" t="s">
        <v>1938</v>
      </c>
      <c r="B24" s="6" t="s">
        <v>38</v>
      </c>
      <c r="C24" s="6" t="s">
        <v>9539</v>
      </c>
      <c r="D24" s="6">
        <v>2023</v>
      </c>
      <c r="E24" s="6" t="s">
        <v>2044</v>
      </c>
      <c r="F24" s="6" t="s">
        <v>9670</v>
      </c>
      <c r="G24" s="6" t="s">
        <v>9541</v>
      </c>
      <c r="H24" s="6" t="s">
        <v>9671</v>
      </c>
      <c r="I24" s="6" t="s">
        <v>9679</v>
      </c>
      <c r="J24" s="6" t="s">
        <v>9680</v>
      </c>
      <c r="K24" s="6" t="s">
        <v>9681</v>
      </c>
      <c r="L24" s="6" t="s">
        <v>9675</v>
      </c>
      <c r="M24" s="6" t="s">
        <v>9682</v>
      </c>
      <c r="N24" s="6"/>
      <c r="O24" s="6"/>
      <c r="P24" s="6"/>
      <c r="Q24" s="6" t="s">
        <v>9683</v>
      </c>
      <c r="R24" s="6" t="s">
        <v>9684</v>
      </c>
      <c r="S24" s="44" t="s">
        <v>246</v>
      </c>
    </row>
    <row r="25" spans="1:19" ht="15" customHeight="1" x14ac:dyDescent="0.3">
      <c r="A25" s="6" t="s">
        <v>1938</v>
      </c>
      <c r="B25" s="6" t="s">
        <v>38</v>
      </c>
      <c r="C25" s="6" t="s">
        <v>9539</v>
      </c>
      <c r="D25" s="6">
        <v>2024</v>
      </c>
      <c r="E25" s="6" t="s">
        <v>2120</v>
      </c>
      <c r="F25" s="6" t="s">
        <v>9670</v>
      </c>
      <c r="G25" s="6" t="s">
        <v>9541</v>
      </c>
      <c r="H25" s="6" t="s">
        <v>9671</v>
      </c>
      <c r="I25" s="6" t="s">
        <v>9685</v>
      </c>
      <c r="J25" s="6" t="s">
        <v>9686</v>
      </c>
      <c r="K25" s="6" t="s">
        <v>9687</v>
      </c>
      <c r="L25" s="6" t="s">
        <v>9675</v>
      </c>
      <c r="M25" s="6" t="s">
        <v>9688</v>
      </c>
      <c r="N25" s="6"/>
      <c r="O25" s="6"/>
      <c r="P25" s="6"/>
      <c r="Q25" s="6" t="s">
        <v>9689</v>
      </c>
      <c r="R25" s="6" t="s">
        <v>9690</v>
      </c>
      <c r="S25" s="44" t="s">
        <v>246</v>
      </c>
    </row>
    <row r="26" spans="1:19" ht="15" customHeight="1" x14ac:dyDescent="0.3">
      <c r="A26" s="6" t="s">
        <v>2189</v>
      </c>
      <c r="B26" s="6" t="s">
        <v>39</v>
      </c>
      <c r="C26" s="6" t="s">
        <v>9539</v>
      </c>
      <c r="D26" s="6">
        <v>2022</v>
      </c>
      <c r="E26" s="6" t="s">
        <v>2190</v>
      </c>
      <c r="F26" s="6" t="s">
        <v>9540</v>
      </c>
      <c r="G26" s="6" t="s">
        <v>9541</v>
      </c>
      <c r="H26" s="6" t="s">
        <v>9691</v>
      </c>
      <c r="I26" s="6" t="s">
        <v>9692</v>
      </c>
      <c r="J26" s="6" t="s">
        <v>9693</v>
      </c>
      <c r="K26" s="6" t="s">
        <v>9694</v>
      </c>
      <c r="L26" s="6" t="s">
        <v>9695</v>
      </c>
      <c r="M26" s="6" t="s">
        <v>9696</v>
      </c>
      <c r="N26" s="6"/>
      <c r="O26" s="6"/>
      <c r="P26" s="6"/>
      <c r="Q26" s="6" t="s">
        <v>9697</v>
      </c>
      <c r="R26" s="6" t="s">
        <v>9698</v>
      </c>
      <c r="S26" s="44" t="s">
        <v>248</v>
      </c>
    </row>
    <row r="27" spans="1:19" ht="15" customHeight="1" x14ac:dyDescent="0.3">
      <c r="A27" s="6" t="s">
        <v>2189</v>
      </c>
      <c r="B27" s="6" t="s">
        <v>39</v>
      </c>
      <c r="C27" s="6" t="s">
        <v>9539</v>
      </c>
      <c r="D27" s="6">
        <v>2023</v>
      </c>
      <c r="E27" s="6" t="s">
        <v>2296</v>
      </c>
      <c r="F27" s="6" t="s">
        <v>9540</v>
      </c>
      <c r="G27" s="6" t="s">
        <v>9541</v>
      </c>
      <c r="H27" s="6" t="s">
        <v>9691</v>
      </c>
      <c r="I27" s="6" t="s">
        <v>9699</v>
      </c>
      <c r="J27" s="6" t="s">
        <v>9700</v>
      </c>
      <c r="K27" s="6" t="s">
        <v>9701</v>
      </c>
      <c r="L27" s="6" t="s">
        <v>9695</v>
      </c>
      <c r="M27" s="6" t="s">
        <v>9702</v>
      </c>
      <c r="N27" s="6"/>
      <c r="O27" s="6"/>
      <c r="P27" s="6"/>
      <c r="Q27" s="6" t="s">
        <v>9703</v>
      </c>
      <c r="R27" s="6" t="s">
        <v>9704</v>
      </c>
      <c r="S27" s="44" t="s">
        <v>248</v>
      </c>
    </row>
    <row r="28" spans="1:19" ht="15" customHeight="1" x14ac:dyDescent="0.3">
      <c r="A28" s="6" t="s">
        <v>2189</v>
      </c>
      <c r="B28" s="6" t="s">
        <v>39</v>
      </c>
      <c r="C28" s="6" t="s">
        <v>9539</v>
      </c>
      <c r="D28" s="6">
        <v>2024</v>
      </c>
      <c r="E28" s="6" t="s">
        <v>2369</v>
      </c>
      <c r="F28" s="6" t="s">
        <v>9540</v>
      </c>
      <c r="G28" s="6" t="s">
        <v>9541</v>
      </c>
      <c r="H28" s="6" t="s">
        <v>9691</v>
      </c>
      <c r="I28" s="6" t="s">
        <v>9705</v>
      </c>
      <c r="J28" s="6" t="s">
        <v>9706</v>
      </c>
      <c r="K28" s="6" t="s">
        <v>9707</v>
      </c>
      <c r="L28" s="6" t="s">
        <v>9695</v>
      </c>
      <c r="M28" s="6" t="s">
        <v>9708</v>
      </c>
      <c r="N28" s="6"/>
      <c r="O28" s="6"/>
      <c r="P28" s="6"/>
      <c r="Q28" s="6" t="s">
        <v>9709</v>
      </c>
      <c r="R28" s="6" t="s">
        <v>9710</v>
      </c>
      <c r="S28" s="44" t="s">
        <v>248</v>
      </c>
    </row>
    <row r="29" spans="1:19" ht="15" customHeight="1" x14ac:dyDescent="0.3">
      <c r="A29" s="6" t="s">
        <v>2433</v>
      </c>
      <c r="B29" s="6" t="s">
        <v>41</v>
      </c>
      <c r="C29" s="6" t="s">
        <v>9539</v>
      </c>
      <c r="D29" s="6">
        <v>2022</v>
      </c>
      <c r="E29" s="6" t="s">
        <v>2434</v>
      </c>
      <c r="F29" s="6" t="s">
        <v>9711</v>
      </c>
      <c r="G29" s="6" t="s">
        <v>9541</v>
      </c>
      <c r="H29" s="6" t="s">
        <v>9712</v>
      </c>
      <c r="I29" s="6" t="s">
        <v>9713</v>
      </c>
      <c r="J29" s="6" t="s">
        <v>9714</v>
      </c>
      <c r="K29" s="6" t="s">
        <v>9715</v>
      </c>
      <c r="L29" s="6" t="s">
        <v>9716</v>
      </c>
      <c r="M29" s="6" t="s">
        <v>9717</v>
      </c>
      <c r="N29" s="6"/>
      <c r="O29" s="6"/>
      <c r="P29" s="6"/>
      <c r="Q29" s="6" t="s">
        <v>9718</v>
      </c>
      <c r="R29" s="6" t="s">
        <v>9719</v>
      </c>
      <c r="S29" s="44" t="s">
        <v>246</v>
      </c>
    </row>
    <row r="30" spans="1:19" ht="15" customHeight="1" x14ac:dyDescent="0.3">
      <c r="A30" s="6" t="s">
        <v>2433</v>
      </c>
      <c r="B30" s="6" t="s">
        <v>41</v>
      </c>
      <c r="C30" s="6" t="s">
        <v>9539</v>
      </c>
      <c r="D30" s="6">
        <v>2023</v>
      </c>
      <c r="E30" s="6" t="s">
        <v>2533</v>
      </c>
      <c r="F30" s="6" t="s">
        <v>9711</v>
      </c>
      <c r="G30" s="6" t="s">
        <v>9541</v>
      </c>
      <c r="H30" s="6" t="s">
        <v>9720</v>
      </c>
      <c r="I30" s="6" t="s">
        <v>9721</v>
      </c>
      <c r="J30" s="6" t="s">
        <v>9722</v>
      </c>
      <c r="K30" s="6" t="s">
        <v>9723</v>
      </c>
      <c r="L30" s="6" t="s">
        <v>9716</v>
      </c>
      <c r="M30" s="6" t="s">
        <v>9724</v>
      </c>
      <c r="N30" s="6"/>
      <c r="O30" s="6"/>
      <c r="P30" s="6"/>
      <c r="Q30" s="6" t="s">
        <v>9725</v>
      </c>
      <c r="R30" s="6" t="s">
        <v>9726</v>
      </c>
      <c r="S30" s="44" t="s">
        <v>246</v>
      </c>
    </row>
    <row r="31" spans="1:19" ht="15" customHeight="1" x14ac:dyDescent="0.3">
      <c r="A31" s="6" t="s">
        <v>2433</v>
      </c>
      <c r="B31" s="6" t="s">
        <v>41</v>
      </c>
      <c r="C31" s="6" t="s">
        <v>9539</v>
      </c>
      <c r="D31" s="6">
        <v>2024</v>
      </c>
      <c r="E31" s="6" t="s">
        <v>2583</v>
      </c>
      <c r="F31" s="6" t="s">
        <v>9711</v>
      </c>
      <c r="G31" s="6" t="s">
        <v>9541</v>
      </c>
      <c r="H31" s="6" t="s">
        <v>9720</v>
      </c>
      <c r="I31" s="6" t="s">
        <v>9727</v>
      </c>
      <c r="J31" s="6" t="s">
        <v>9722</v>
      </c>
      <c r="K31" s="6" t="s">
        <v>9728</v>
      </c>
      <c r="L31" s="6" t="s">
        <v>9716</v>
      </c>
      <c r="M31" s="6" t="s">
        <v>9729</v>
      </c>
      <c r="N31" s="6"/>
      <c r="O31" s="6"/>
      <c r="P31" s="6"/>
      <c r="Q31" s="6" t="s">
        <v>9730</v>
      </c>
      <c r="R31" s="6" t="s">
        <v>9731</v>
      </c>
      <c r="S31" s="44" t="s">
        <v>246</v>
      </c>
    </row>
    <row r="32" spans="1:19" ht="15" customHeight="1" x14ac:dyDescent="0.3">
      <c r="A32" s="6" t="s">
        <v>2636</v>
      </c>
      <c r="B32" s="6" t="s">
        <v>2638</v>
      </c>
      <c r="C32" s="6" t="s">
        <v>9539</v>
      </c>
      <c r="D32" s="6">
        <v>2022</v>
      </c>
      <c r="E32" s="6" t="s">
        <v>2637</v>
      </c>
      <c r="F32" s="6" t="s">
        <v>9732</v>
      </c>
      <c r="G32" s="6" t="s">
        <v>9541</v>
      </c>
      <c r="H32" s="6" t="s">
        <v>9733</v>
      </c>
      <c r="I32" s="6" t="s">
        <v>9734</v>
      </c>
      <c r="J32" s="6" t="s">
        <v>9735</v>
      </c>
      <c r="K32" s="6" t="s">
        <v>9736</v>
      </c>
      <c r="L32" s="6" t="s">
        <v>9737</v>
      </c>
      <c r="M32" s="6" t="s">
        <v>9738</v>
      </c>
      <c r="N32" s="6"/>
      <c r="O32" s="6"/>
      <c r="P32" s="6"/>
      <c r="Q32" s="6" t="s">
        <v>9739</v>
      </c>
      <c r="R32" s="6" t="s">
        <v>9740</v>
      </c>
      <c r="S32" s="44" t="s">
        <v>252</v>
      </c>
    </row>
    <row r="33" spans="1:19" ht="15" customHeight="1" x14ac:dyDescent="0.3">
      <c r="A33" s="6" t="s">
        <v>2636</v>
      </c>
      <c r="B33" s="6" t="s">
        <v>2638</v>
      </c>
      <c r="C33" s="6" t="s">
        <v>9539</v>
      </c>
      <c r="D33" s="6">
        <v>2023</v>
      </c>
      <c r="E33" s="6" t="s">
        <v>2692</v>
      </c>
      <c r="F33" s="6" t="s">
        <v>9732</v>
      </c>
      <c r="G33" s="6" t="s">
        <v>9541</v>
      </c>
      <c r="H33" s="6" t="s">
        <v>9733</v>
      </c>
      <c r="I33" s="6" t="s">
        <v>9741</v>
      </c>
      <c r="J33" s="6" t="s">
        <v>9742</v>
      </c>
      <c r="K33" s="6" t="s">
        <v>9743</v>
      </c>
      <c r="L33" s="6" t="s">
        <v>9737</v>
      </c>
      <c r="M33" s="6" t="s">
        <v>9744</v>
      </c>
      <c r="N33" s="6"/>
      <c r="O33" s="6"/>
      <c r="P33" s="6"/>
      <c r="Q33" s="6" t="s">
        <v>9745</v>
      </c>
      <c r="R33" s="6" t="s">
        <v>9746</v>
      </c>
      <c r="S33" s="44" t="s">
        <v>252</v>
      </c>
    </row>
    <row r="34" spans="1:19" ht="15" customHeight="1" x14ac:dyDescent="0.3">
      <c r="A34" s="6" t="s">
        <v>2636</v>
      </c>
      <c r="B34" s="6" t="s">
        <v>2638</v>
      </c>
      <c r="C34" s="6" t="s">
        <v>9539</v>
      </c>
      <c r="D34" s="6">
        <v>2024</v>
      </c>
      <c r="E34" s="6" t="s">
        <v>2772</v>
      </c>
      <c r="F34" s="6" t="s">
        <v>9732</v>
      </c>
      <c r="G34" s="6" t="s">
        <v>9541</v>
      </c>
      <c r="H34" s="6" t="s">
        <v>9733</v>
      </c>
      <c r="I34" s="6" t="s">
        <v>9741</v>
      </c>
      <c r="J34" s="6" t="s">
        <v>9747</v>
      </c>
      <c r="K34" s="6" t="s">
        <v>9743</v>
      </c>
      <c r="L34" s="6" t="s">
        <v>9737</v>
      </c>
      <c r="M34" s="6" t="s">
        <v>9744</v>
      </c>
      <c r="N34" s="6"/>
      <c r="O34" s="6"/>
      <c r="P34" s="6"/>
      <c r="Q34" s="6" t="s">
        <v>9748</v>
      </c>
      <c r="R34" s="6" t="s">
        <v>9749</v>
      </c>
      <c r="S34" s="44" t="s">
        <v>252</v>
      </c>
    </row>
    <row r="35" spans="1:19" ht="15" customHeight="1" x14ac:dyDescent="0.3">
      <c r="A35" s="6" t="s">
        <v>2830</v>
      </c>
      <c r="B35" s="6" t="s">
        <v>2833</v>
      </c>
      <c r="C35" s="6" t="s">
        <v>9539</v>
      </c>
      <c r="D35" s="6">
        <v>2020</v>
      </c>
      <c r="E35" s="6" t="s">
        <v>2831</v>
      </c>
      <c r="F35" s="6" t="s">
        <v>9541</v>
      </c>
      <c r="G35" s="6" t="s">
        <v>9541</v>
      </c>
      <c r="H35" s="6" t="s">
        <v>9750</v>
      </c>
      <c r="I35" s="6" t="s">
        <v>9751</v>
      </c>
      <c r="J35" s="6" t="s">
        <v>9752</v>
      </c>
      <c r="K35" s="6" t="s">
        <v>9753</v>
      </c>
      <c r="L35" s="6" t="s">
        <v>9754</v>
      </c>
      <c r="M35" s="6" t="s">
        <v>9755</v>
      </c>
      <c r="N35" s="6"/>
      <c r="O35" s="6"/>
      <c r="P35" s="6"/>
      <c r="Q35" s="6" t="s">
        <v>9756</v>
      </c>
      <c r="R35" s="6" t="s">
        <v>9757</v>
      </c>
      <c r="S35" s="44" t="s">
        <v>246</v>
      </c>
    </row>
    <row r="36" spans="1:19" ht="15" customHeight="1" x14ac:dyDescent="0.3">
      <c r="A36" s="6" t="s">
        <v>2957</v>
      </c>
      <c r="B36" s="6" t="s">
        <v>2960</v>
      </c>
      <c r="C36" s="6" t="s">
        <v>9539</v>
      </c>
      <c r="D36" s="6">
        <v>2024</v>
      </c>
      <c r="E36" s="6" t="s">
        <v>2958</v>
      </c>
      <c r="F36" s="6" t="s">
        <v>9758</v>
      </c>
      <c r="G36" s="6" t="s">
        <v>9541</v>
      </c>
      <c r="H36" s="6" t="s">
        <v>9759</v>
      </c>
      <c r="I36" s="6" t="s">
        <v>9760</v>
      </c>
      <c r="J36" s="6" t="s">
        <v>9761</v>
      </c>
      <c r="K36" s="6" t="s">
        <v>9762</v>
      </c>
      <c r="L36" s="6" t="s">
        <v>9763</v>
      </c>
      <c r="M36" s="6" t="s">
        <v>9764</v>
      </c>
      <c r="N36" s="6"/>
      <c r="O36" s="6"/>
      <c r="P36" s="6"/>
      <c r="Q36" s="6" t="s">
        <v>9765</v>
      </c>
      <c r="R36" s="6" t="s">
        <v>9766</v>
      </c>
      <c r="S36" s="44" t="s">
        <v>9767</v>
      </c>
    </row>
    <row r="37" spans="1:19" ht="15" customHeight="1" x14ac:dyDescent="0.3">
      <c r="A37" s="6" t="s">
        <v>3129</v>
      </c>
      <c r="B37" s="6" t="s">
        <v>42</v>
      </c>
      <c r="C37" s="6" t="s">
        <v>9539</v>
      </c>
      <c r="D37" s="6">
        <v>2022</v>
      </c>
      <c r="E37" s="6" t="s">
        <v>3130</v>
      </c>
      <c r="F37" s="6" t="s">
        <v>9540</v>
      </c>
      <c r="G37" s="6" t="s">
        <v>9541</v>
      </c>
      <c r="H37" s="6" t="s">
        <v>9768</v>
      </c>
      <c r="I37" s="6" t="s">
        <v>9769</v>
      </c>
      <c r="J37" s="6" t="s">
        <v>9770</v>
      </c>
      <c r="K37" s="6" t="s">
        <v>9771</v>
      </c>
      <c r="L37" s="6" t="s">
        <v>9772</v>
      </c>
      <c r="M37" s="6" t="s">
        <v>9773</v>
      </c>
      <c r="N37" s="6"/>
      <c r="O37" s="6"/>
      <c r="P37" s="6"/>
      <c r="Q37" s="6" t="s">
        <v>9774</v>
      </c>
      <c r="R37" s="6" t="s">
        <v>9775</v>
      </c>
      <c r="S37" s="44" t="s">
        <v>246</v>
      </c>
    </row>
    <row r="38" spans="1:19" ht="15" customHeight="1" x14ac:dyDescent="0.3">
      <c r="A38" s="6" t="s">
        <v>3129</v>
      </c>
      <c r="B38" s="6" t="s">
        <v>42</v>
      </c>
      <c r="C38" s="6" t="s">
        <v>9539</v>
      </c>
      <c r="D38" s="6">
        <v>2023</v>
      </c>
      <c r="E38" s="6" t="s">
        <v>3259</v>
      </c>
      <c r="F38" s="6" t="s">
        <v>9540</v>
      </c>
      <c r="G38" s="6" t="s">
        <v>9541</v>
      </c>
      <c r="H38" s="6" t="s">
        <v>9768</v>
      </c>
      <c r="I38" s="6" t="s">
        <v>9776</v>
      </c>
      <c r="J38" s="6" t="s">
        <v>9777</v>
      </c>
      <c r="K38" s="6" t="s">
        <v>9778</v>
      </c>
      <c r="L38" s="6" t="s">
        <v>9772</v>
      </c>
      <c r="M38" s="6" t="s">
        <v>9779</v>
      </c>
      <c r="N38" s="6"/>
      <c r="O38" s="6"/>
      <c r="P38" s="6"/>
      <c r="Q38" s="6" t="s">
        <v>9780</v>
      </c>
      <c r="R38" s="6" t="s">
        <v>9781</v>
      </c>
      <c r="S38" s="44" t="s">
        <v>246</v>
      </c>
    </row>
    <row r="39" spans="1:19" ht="15" customHeight="1" x14ac:dyDescent="0.3">
      <c r="A39" s="6" t="s">
        <v>3129</v>
      </c>
      <c r="B39" s="6" t="s">
        <v>42</v>
      </c>
      <c r="C39" s="6" t="s">
        <v>9539</v>
      </c>
      <c r="D39" s="6">
        <v>2024</v>
      </c>
      <c r="E39" s="6" t="s">
        <v>3337</v>
      </c>
      <c r="F39" s="6" t="s">
        <v>9540</v>
      </c>
      <c r="G39" s="6" t="s">
        <v>9541</v>
      </c>
      <c r="H39" s="6" t="s">
        <v>9782</v>
      </c>
      <c r="I39" s="6" t="s">
        <v>9783</v>
      </c>
      <c r="J39" s="6" t="s">
        <v>9784</v>
      </c>
      <c r="K39" s="6" t="s">
        <v>9785</v>
      </c>
      <c r="L39" s="6" t="s">
        <v>9772</v>
      </c>
      <c r="M39" s="6" t="s">
        <v>9786</v>
      </c>
      <c r="N39" s="6"/>
      <c r="O39" s="6"/>
      <c r="P39" s="6"/>
      <c r="Q39" s="6" t="s">
        <v>9787</v>
      </c>
      <c r="R39" s="6" t="s">
        <v>9788</v>
      </c>
      <c r="S39" s="44" t="s">
        <v>246</v>
      </c>
    </row>
    <row r="40" spans="1:19" ht="15" customHeight="1" x14ac:dyDescent="0.3">
      <c r="A40" s="6" t="s">
        <v>3439</v>
      </c>
      <c r="B40" s="6" t="s">
        <v>9789</v>
      </c>
      <c r="C40" s="6" t="s">
        <v>9539</v>
      </c>
      <c r="D40" s="6">
        <v>2023</v>
      </c>
      <c r="E40" s="6" t="s">
        <v>3440</v>
      </c>
      <c r="F40" s="6" t="s">
        <v>9790</v>
      </c>
      <c r="G40" s="6" t="s">
        <v>9541</v>
      </c>
      <c r="H40" s="6" t="s">
        <v>9791</v>
      </c>
      <c r="I40" s="6" t="s">
        <v>9792</v>
      </c>
      <c r="J40" s="6" t="s">
        <v>9793</v>
      </c>
      <c r="K40" s="6" t="s">
        <v>9794</v>
      </c>
      <c r="L40" s="6" t="s">
        <v>9795</v>
      </c>
      <c r="M40" s="6" t="s">
        <v>9796</v>
      </c>
      <c r="N40" s="6"/>
      <c r="O40" s="6"/>
      <c r="P40" s="6"/>
      <c r="Q40" s="6" t="s">
        <v>9797</v>
      </c>
      <c r="R40" s="6" t="s">
        <v>9798</v>
      </c>
      <c r="S40" s="44" t="s">
        <v>9799</v>
      </c>
    </row>
    <row r="41" spans="1:19" ht="15" customHeight="1" x14ac:dyDescent="0.3">
      <c r="A41" s="6" t="s">
        <v>3615</v>
      </c>
      <c r="B41" s="6" t="s">
        <v>43</v>
      </c>
      <c r="C41" s="6" t="s">
        <v>9539</v>
      </c>
      <c r="D41" s="6">
        <v>2022</v>
      </c>
      <c r="E41" s="6" t="s">
        <v>3616</v>
      </c>
      <c r="F41" s="6" t="s">
        <v>9800</v>
      </c>
      <c r="G41" s="6" t="s">
        <v>9541</v>
      </c>
      <c r="H41" s="6" t="s">
        <v>9801</v>
      </c>
      <c r="I41" s="6" t="s">
        <v>9802</v>
      </c>
      <c r="J41" s="6" t="s">
        <v>9803</v>
      </c>
      <c r="K41" s="6" t="s">
        <v>9804</v>
      </c>
      <c r="L41" s="6" t="s">
        <v>9805</v>
      </c>
      <c r="M41" s="6" t="s">
        <v>9806</v>
      </c>
      <c r="N41" s="6"/>
      <c r="O41" s="6"/>
      <c r="P41" s="6"/>
      <c r="Q41" s="6" t="s">
        <v>9807</v>
      </c>
      <c r="R41" s="6" t="s">
        <v>9808</v>
      </c>
      <c r="S41" s="44" t="s">
        <v>248</v>
      </c>
    </row>
    <row r="42" spans="1:19" ht="15" customHeight="1" x14ac:dyDescent="0.3">
      <c r="A42" s="6" t="s">
        <v>3615</v>
      </c>
      <c r="B42" s="6" t="s">
        <v>43</v>
      </c>
      <c r="C42" s="6" t="s">
        <v>9539</v>
      </c>
      <c r="D42" s="6">
        <v>2023</v>
      </c>
      <c r="E42" s="6" t="s">
        <v>3747</v>
      </c>
      <c r="F42" s="6" t="s">
        <v>9800</v>
      </c>
      <c r="G42" s="6" t="s">
        <v>9541</v>
      </c>
      <c r="H42" s="6" t="s">
        <v>9801</v>
      </c>
      <c r="I42" s="6" t="s">
        <v>9809</v>
      </c>
      <c r="J42" s="6" t="s">
        <v>9810</v>
      </c>
      <c r="K42" s="6" t="s">
        <v>9811</v>
      </c>
      <c r="L42" s="6" t="s">
        <v>9812</v>
      </c>
      <c r="M42" s="6" t="s">
        <v>9813</v>
      </c>
      <c r="N42" s="6"/>
      <c r="O42" s="6"/>
      <c r="P42" s="6"/>
      <c r="Q42" s="6" t="s">
        <v>9814</v>
      </c>
      <c r="R42" s="6" t="s">
        <v>9815</v>
      </c>
      <c r="S42" s="44" t="s">
        <v>248</v>
      </c>
    </row>
    <row r="43" spans="1:19" ht="15" customHeight="1" x14ac:dyDescent="0.3">
      <c r="A43" s="6" t="s">
        <v>3615</v>
      </c>
      <c r="B43" s="6" t="s">
        <v>43</v>
      </c>
      <c r="C43" s="6" t="s">
        <v>9539</v>
      </c>
      <c r="D43" s="6">
        <v>2024</v>
      </c>
      <c r="E43" s="6" t="s">
        <v>3844</v>
      </c>
      <c r="F43" s="6" t="s">
        <v>9800</v>
      </c>
      <c r="G43" s="6" t="s">
        <v>9541</v>
      </c>
      <c r="H43" s="6" t="s">
        <v>9801</v>
      </c>
      <c r="I43" s="6" t="s">
        <v>9816</v>
      </c>
      <c r="J43" s="6" t="s">
        <v>9817</v>
      </c>
      <c r="K43" s="6" t="s">
        <v>9818</v>
      </c>
      <c r="L43" s="6" t="s">
        <v>9819</v>
      </c>
      <c r="M43" s="6" t="s">
        <v>9820</v>
      </c>
      <c r="N43" s="6"/>
      <c r="O43" s="6"/>
      <c r="P43" s="6"/>
      <c r="Q43" s="6" t="s">
        <v>9821</v>
      </c>
      <c r="R43" s="6" t="s">
        <v>9822</v>
      </c>
      <c r="S43" s="44" t="s">
        <v>248</v>
      </c>
    </row>
    <row r="44" spans="1:19" ht="15" customHeight="1" x14ac:dyDescent="0.3">
      <c r="A44" s="6" t="s">
        <v>3937</v>
      </c>
      <c r="B44" s="6" t="s">
        <v>47</v>
      </c>
      <c r="C44" s="6" t="s">
        <v>9539</v>
      </c>
      <c r="D44" s="6">
        <v>2022</v>
      </c>
      <c r="E44" s="6" t="s">
        <v>3938</v>
      </c>
      <c r="F44" s="6" t="s">
        <v>9540</v>
      </c>
      <c r="G44" s="6" t="s">
        <v>9541</v>
      </c>
      <c r="H44" s="6" t="s">
        <v>9823</v>
      </c>
      <c r="I44" s="6" t="s">
        <v>9824</v>
      </c>
      <c r="J44" s="6" t="s">
        <v>9825</v>
      </c>
      <c r="K44" s="6" t="s">
        <v>9826</v>
      </c>
      <c r="L44" s="6" t="s">
        <v>9827</v>
      </c>
      <c r="M44" s="6" t="s">
        <v>9828</v>
      </c>
      <c r="N44" s="6"/>
      <c r="O44" s="6"/>
      <c r="P44" s="6"/>
      <c r="Q44" s="6" t="s">
        <v>9829</v>
      </c>
      <c r="R44" s="6" t="s">
        <v>9830</v>
      </c>
      <c r="S44" s="44" t="s">
        <v>248</v>
      </c>
    </row>
    <row r="45" spans="1:19" ht="15" customHeight="1" x14ac:dyDescent="0.3">
      <c r="A45" s="6" t="s">
        <v>3937</v>
      </c>
      <c r="B45" s="6" t="s">
        <v>47</v>
      </c>
      <c r="C45" s="6" t="s">
        <v>9539</v>
      </c>
      <c r="D45" s="6">
        <v>2023</v>
      </c>
      <c r="E45" s="6" t="s">
        <v>4077</v>
      </c>
      <c r="F45" s="6" t="s">
        <v>9540</v>
      </c>
      <c r="G45" s="6" t="s">
        <v>9541</v>
      </c>
      <c r="H45" s="6" t="s">
        <v>9823</v>
      </c>
      <c r="I45" s="6" t="s">
        <v>9831</v>
      </c>
      <c r="J45" s="6" t="s">
        <v>9832</v>
      </c>
      <c r="K45" s="6" t="s">
        <v>9833</v>
      </c>
      <c r="L45" s="6" t="s">
        <v>9834</v>
      </c>
      <c r="M45" s="6" t="s">
        <v>9835</v>
      </c>
      <c r="N45" s="6"/>
      <c r="O45" s="6"/>
      <c r="P45" s="6"/>
      <c r="Q45" s="6" t="s">
        <v>9836</v>
      </c>
      <c r="R45" s="6" t="s">
        <v>9837</v>
      </c>
      <c r="S45" s="44" t="s">
        <v>248</v>
      </c>
    </row>
    <row r="46" spans="1:19" ht="15" customHeight="1" x14ac:dyDescent="0.3">
      <c r="A46" s="6" t="s">
        <v>3937</v>
      </c>
      <c r="B46" s="6" t="s">
        <v>47</v>
      </c>
      <c r="C46" s="6" t="s">
        <v>9539</v>
      </c>
      <c r="D46" s="6">
        <v>2024</v>
      </c>
      <c r="E46" s="6" t="s">
        <v>4184</v>
      </c>
      <c r="F46" s="6" t="s">
        <v>9540</v>
      </c>
      <c r="G46" s="6" t="s">
        <v>9541</v>
      </c>
      <c r="H46" s="6" t="s">
        <v>9823</v>
      </c>
      <c r="I46" s="6" t="s">
        <v>9838</v>
      </c>
      <c r="J46" s="6" t="s">
        <v>9839</v>
      </c>
      <c r="K46" s="6" t="s">
        <v>9840</v>
      </c>
      <c r="L46" s="6" t="s">
        <v>9841</v>
      </c>
      <c r="M46" s="6" t="s">
        <v>9842</v>
      </c>
      <c r="N46" s="6"/>
      <c r="O46" s="6"/>
      <c r="P46" s="6"/>
      <c r="Q46" s="6" t="s">
        <v>9843</v>
      </c>
      <c r="R46" s="6" t="s">
        <v>9844</v>
      </c>
      <c r="S46" s="44" t="s">
        <v>248</v>
      </c>
    </row>
    <row r="47" spans="1:19" ht="15" customHeight="1" x14ac:dyDescent="0.3">
      <c r="A47" s="6" t="s">
        <v>4324</v>
      </c>
      <c r="B47" s="6" t="s">
        <v>48</v>
      </c>
      <c r="C47" s="6" t="s">
        <v>9539</v>
      </c>
      <c r="D47" s="6">
        <v>2022</v>
      </c>
      <c r="E47" s="6" t="s">
        <v>4325</v>
      </c>
      <c r="F47" s="6" t="s">
        <v>9540</v>
      </c>
      <c r="G47" s="6" t="s">
        <v>9541</v>
      </c>
      <c r="H47" s="6" t="s">
        <v>9845</v>
      </c>
      <c r="I47" s="6" t="s">
        <v>9846</v>
      </c>
      <c r="J47" s="6" t="s">
        <v>9847</v>
      </c>
      <c r="K47" s="6" t="s">
        <v>9848</v>
      </c>
      <c r="L47" s="6" t="s">
        <v>9849</v>
      </c>
      <c r="M47" s="6" t="s">
        <v>9850</v>
      </c>
      <c r="N47" s="6"/>
      <c r="O47" s="6"/>
      <c r="P47" s="6"/>
      <c r="Q47" s="6" t="s">
        <v>9851</v>
      </c>
      <c r="R47" s="6" t="s">
        <v>9852</v>
      </c>
      <c r="S47" s="44" t="s">
        <v>9853</v>
      </c>
    </row>
    <row r="48" spans="1:19" ht="15" customHeight="1" x14ac:dyDescent="0.3">
      <c r="A48" s="6" t="s">
        <v>4324</v>
      </c>
      <c r="B48" s="6" t="s">
        <v>48</v>
      </c>
      <c r="C48" s="6" t="s">
        <v>9539</v>
      </c>
      <c r="D48" s="6">
        <v>2023</v>
      </c>
      <c r="E48" s="6" t="s">
        <v>4485</v>
      </c>
      <c r="F48" s="6" t="s">
        <v>9540</v>
      </c>
      <c r="G48" s="6" t="s">
        <v>9541</v>
      </c>
      <c r="H48" s="6" t="s">
        <v>9845</v>
      </c>
      <c r="I48" s="6" t="s">
        <v>9854</v>
      </c>
      <c r="J48" s="6" t="s">
        <v>9855</v>
      </c>
      <c r="K48" s="6" t="s">
        <v>9856</v>
      </c>
      <c r="L48" s="6" t="s">
        <v>9849</v>
      </c>
      <c r="M48" s="6" t="s">
        <v>9857</v>
      </c>
      <c r="N48" s="6"/>
      <c r="O48" s="6"/>
      <c r="P48" s="6"/>
      <c r="Q48" s="6" t="s">
        <v>9858</v>
      </c>
      <c r="R48" s="6" t="s">
        <v>9859</v>
      </c>
      <c r="S48" s="44" t="s">
        <v>9853</v>
      </c>
    </row>
    <row r="49" spans="1:19" ht="15" customHeight="1" x14ac:dyDescent="0.3">
      <c r="A49" s="6" t="s">
        <v>4324</v>
      </c>
      <c r="B49" s="6" t="s">
        <v>48</v>
      </c>
      <c r="C49" s="6" t="s">
        <v>9539</v>
      </c>
      <c r="D49" s="6">
        <v>2024</v>
      </c>
      <c r="E49" s="6" t="s">
        <v>4597</v>
      </c>
      <c r="F49" s="6" t="s">
        <v>9540</v>
      </c>
      <c r="G49" s="6" t="s">
        <v>9541</v>
      </c>
      <c r="H49" s="6" t="s">
        <v>9845</v>
      </c>
      <c r="I49" s="6" t="s">
        <v>9860</v>
      </c>
      <c r="J49" s="6" t="s">
        <v>9861</v>
      </c>
      <c r="K49" s="6" t="s">
        <v>9862</v>
      </c>
      <c r="L49" s="6" t="s">
        <v>9849</v>
      </c>
      <c r="M49" s="6" t="s">
        <v>9863</v>
      </c>
      <c r="N49" s="6"/>
      <c r="O49" s="6"/>
      <c r="P49" s="6"/>
      <c r="Q49" s="6" t="s">
        <v>9864</v>
      </c>
      <c r="R49" s="6" t="s">
        <v>9865</v>
      </c>
      <c r="S49" s="44" t="s">
        <v>9866</v>
      </c>
    </row>
    <row r="50" spans="1:19" ht="15" customHeight="1" x14ac:dyDescent="0.3">
      <c r="A50" s="6" t="s">
        <v>4718</v>
      </c>
      <c r="B50" s="6" t="s">
        <v>124</v>
      </c>
      <c r="C50" s="6" t="s">
        <v>9539</v>
      </c>
      <c r="D50" s="6">
        <v>2022</v>
      </c>
      <c r="E50" s="6" t="s">
        <v>4719</v>
      </c>
      <c r="F50" s="6" t="s">
        <v>9867</v>
      </c>
      <c r="G50" s="6" t="s">
        <v>9541</v>
      </c>
      <c r="H50" s="6" t="s">
        <v>9868</v>
      </c>
      <c r="I50" s="6" t="s">
        <v>9869</v>
      </c>
      <c r="J50" s="6" t="s">
        <v>9870</v>
      </c>
      <c r="K50" s="6" t="s">
        <v>9871</v>
      </c>
      <c r="L50" s="6" t="s">
        <v>9872</v>
      </c>
      <c r="M50" s="6" t="s">
        <v>9873</v>
      </c>
      <c r="N50" s="6"/>
      <c r="O50" s="6"/>
      <c r="P50" s="6"/>
      <c r="Q50" s="6" t="s">
        <v>9874</v>
      </c>
      <c r="R50" s="6" t="s">
        <v>9875</v>
      </c>
      <c r="S50" s="44" t="s">
        <v>246</v>
      </c>
    </row>
    <row r="51" spans="1:19" ht="15" customHeight="1" x14ac:dyDescent="0.3">
      <c r="A51" s="6" t="s">
        <v>4840</v>
      </c>
      <c r="B51" s="6" t="s">
        <v>19</v>
      </c>
      <c r="C51" s="6" t="s">
        <v>9539</v>
      </c>
      <c r="D51" s="6">
        <v>2022</v>
      </c>
      <c r="E51" s="6" t="s">
        <v>4841</v>
      </c>
      <c r="F51" s="6" t="s">
        <v>9876</v>
      </c>
      <c r="G51" s="6" t="s">
        <v>9541</v>
      </c>
      <c r="H51" s="6" t="s">
        <v>9877</v>
      </c>
      <c r="I51" s="6" t="s">
        <v>9878</v>
      </c>
      <c r="J51" s="6" t="s">
        <v>9879</v>
      </c>
      <c r="K51" s="6" t="s">
        <v>9880</v>
      </c>
      <c r="L51" s="6" t="s">
        <v>9881</v>
      </c>
      <c r="M51" s="6" t="s">
        <v>9882</v>
      </c>
      <c r="N51" s="6"/>
      <c r="O51" s="6"/>
      <c r="P51" s="6"/>
      <c r="Q51" s="6" t="s">
        <v>9883</v>
      </c>
      <c r="R51" s="6" t="s">
        <v>9884</v>
      </c>
      <c r="S51" s="44" t="s">
        <v>248</v>
      </c>
    </row>
    <row r="52" spans="1:19" ht="15" customHeight="1" x14ac:dyDescent="0.3">
      <c r="A52" s="6" t="s">
        <v>4840</v>
      </c>
      <c r="B52" s="6" t="s">
        <v>19</v>
      </c>
      <c r="C52" s="6" t="s">
        <v>9539</v>
      </c>
      <c r="D52" s="6">
        <v>2023</v>
      </c>
      <c r="E52" s="6" t="s">
        <v>4929</v>
      </c>
      <c r="F52" s="6" t="s">
        <v>9876</v>
      </c>
      <c r="G52" s="6" t="s">
        <v>9541</v>
      </c>
      <c r="H52" s="6" t="s">
        <v>9877</v>
      </c>
      <c r="I52" s="6" t="s">
        <v>9885</v>
      </c>
      <c r="J52" s="6" t="s">
        <v>9886</v>
      </c>
      <c r="K52" s="6" t="s">
        <v>9887</v>
      </c>
      <c r="L52" s="6" t="s">
        <v>9881</v>
      </c>
      <c r="M52" s="6" t="s">
        <v>9888</v>
      </c>
      <c r="N52" s="6"/>
      <c r="O52" s="6"/>
      <c r="P52" s="6"/>
      <c r="Q52" s="6" t="s">
        <v>9889</v>
      </c>
      <c r="R52" s="6" t="s">
        <v>9890</v>
      </c>
      <c r="S52" s="44" t="s">
        <v>248</v>
      </c>
    </row>
    <row r="53" spans="1:19" ht="15" customHeight="1" x14ac:dyDescent="0.3">
      <c r="A53" s="6" t="s">
        <v>4840</v>
      </c>
      <c r="B53" s="6" t="s">
        <v>19</v>
      </c>
      <c r="C53" s="6" t="s">
        <v>9539</v>
      </c>
      <c r="D53" s="6">
        <v>2024</v>
      </c>
      <c r="E53" s="6" t="s">
        <v>5014</v>
      </c>
      <c r="F53" s="6" t="s">
        <v>9876</v>
      </c>
      <c r="G53" s="6" t="s">
        <v>9541</v>
      </c>
      <c r="H53" s="6" t="s">
        <v>9877</v>
      </c>
      <c r="I53" s="6" t="s">
        <v>9891</v>
      </c>
      <c r="J53" s="6" t="s">
        <v>9892</v>
      </c>
      <c r="K53" s="6" t="s">
        <v>9893</v>
      </c>
      <c r="L53" s="6" t="s">
        <v>9881</v>
      </c>
      <c r="M53" s="6" t="s">
        <v>9894</v>
      </c>
      <c r="N53" s="6"/>
      <c r="O53" s="6"/>
      <c r="P53" s="6"/>
      <c r="Q53" s="6" t="s">
        <v>9895</v>
      </c>
      <c r="R53" s="6" t="s">
        <v>9896</v>
      </c>
      <c r="S53" s="44" t="s">
        <v>248</v>
      </c>
    </row>
    <row r="54" spans="1:19" ht="15" customHeight="1" x14ac:dyDescent="0.3">
      <c r="A54" s="6" t="s">
        <v>5124</v>
      </c>
      <c r="B54" s="6" t="s">
        <v>20</v>
      </c>
      <c r="C54" s="6" t="s">
        <v>9539</v>
      </c>
      <c r="D54" s="6">
        <v>2022</v>
      </c>
      <c r="E54" s="6" t="s">
        <v>5125</v>
      </c>
      <c r="F54" s="6" t="s">
        <v>9897</v>
      </c>
      <c r="G54" s="6" t="s">
        <v>9541</v>
      </c>
      <c r="H54" s="6" t="s">
        <v>9898</v>
      </c>
      <c r="I54" s="6" t="s">
        <v>9899</v>
      </c>
      <c r="J54" s="6" t="s">
        <v>9900</v>
      </c>
      <c r="K54" s="6" t="s">
        <v>9901</v>
      </c>
      <c r="L54" s="6" t="s">
        <v>9902</v>
      </c>
      <c r="M54" s="6" t="s">
        <v>9903</v>
      </c>
      <c r="N54" s="6"/>
      <c r="O54" s="6"/>
      <c r="P54" s="6"/>
      <c r="Q54" s="6" t="s">
        <v>9904</v>
      </c>
      <c r="R54" s="6" t="s">
        <v>9905</v>
      </c>
      <c r="S54" s="44" t="s">
        <v>9906</v>
      </c>
    </row>
    <row r="55" spans="1:19" ht="15" customHeight="1" x14ac:dyDescent="0.3">
      <c r="A55" s="6" t="s">
        <v>5124</v>
      </c>
      <c r="B55" s="6" t="s">
        <v>20</v>
      </c>
      <c r="C55" s="6" t="s">
        <v>9539</v>
      </c>
      <c r="D55" s="6">
        <v>2023</v>
      </c>
      <c r="E55" s="6" t="s">
        <v>5201</v>
      </c>
      <c r="F55" s="6" t="s">
        <v>9897</v>
      </c>
      <c r="G55" s="6" t="s">
        <v>9541</v>
      </c>
      <c r="H55" s="6" t="s">
        <v>9898</v>
      </c>
      <c r="I55" s="6" t="s">
        <v>9907</v>
      </c>
      <c r="J55" s="6" t="s">
        <v>9908</v>
      </c>
      <c r="K55" s="6" t="s">
        <v>9909</v>
      </c>
      <c r="L55" s="6" t="s">
        <v>9910</v>
      </c>
      <c r="M55" s="6" t="s">
        <v>9911</v>
      </c>
      <c r="N55" s="6"/>
      <c r="O55" s="6"/>
      <c r="P55" s="6"/>
      <c r="Q55" s="6" t="s">
        <v>9912</v>
      </c>
      <c r="R55" s="6" t="s">
        <v>9913</v>
      </c>
      <c r="S55" s="44" t="s">
        <v>9914</v>
      </c>
    </row>
    <row r="56" spans="1:19" ht="15" customHeight="1" x14ac:dyDescent="0.3">
      <c r="A56" s="6" t="s">
        <v>5124</v>
      </c>
      <c r="B56" s="6" t="s">
        <v>20</v>
      </c>
      <c r="C56" s="6" t="s">
        <v>9539</v>
      </c>
      <c r="D56" s="6">
        <v>2024</v>
      </c>
      <c r="E56" s="6" t="s">
        <v>5269</v>
      </c>
      <c r="F56" s="6" t="s">
        <v>9915</v>
      </c>
      <c r="G56" s="6" t="s">
        <v>9541</v>
      </c>
      <c r="H56" s="6" t="s">
        <v>9916</v>
      </c>
      <c r="I56" s="6" t="s">
        <v>9917</v>
      </c>
      <c r="J56" s="6" t="s">
        <v>9918</v>
      </c>
      <c r="K56" s="6" t="s">
        <v>9919</v>
      </c>
      <c r="L56" s="6" t="s">
        <v>9910</v>
      </c>
      <c r="M56" s="6" t="s">
        <v>9920</v>
      </c>
      <c r="N56" s="6"/>
      <c r="O56" s="6"/>
      <c r="P56" s="6"/>
      <c r="Q56" s="6" t="s">
        <v>9921</v>
      </c>
      <c r="R56" s="6" t="s">
        <v>9922</v>
      </c>
      <c r="S56" s="44" t="s">
        <v>9923</v>
      </c>
    </row>
    <row r="57" spans="1:19" ht="15" customHeight="1" x14ac:dyDescent="0.3">
      <c r="A57" s="6" t="s">
        <v>5374</v>
      </c>
      <c r="B57" s="6" t="s">
        <v>21</v>
      </c>
      <c r="C57" s="6" t="s">
        <v>9539</v>
      </c>
      <c r="D57" s="6">
        <v>2022</v>
      </c>
      <c r="E57" s="6" t="s">
        <v>5375</v>
      </c>
      <c r="F57" s="6" t="s">
        <v>9540</v>
      </c>
      <c r="G57" s="6" t="s">
        <v>9541</v>
      </c>
      <c r="H57" s="6" t="s">
        <v>9924</v>
      </c>
      <c r="I57" s="6" t="s">
        <v>9925</v>
      </c>
      <c r="J57" s="6" t="s">
        <v>9926</v>
      </c>
      <c r="K57" s="6" t="s">
        <v>9927</v>
      </c>
      <c r="L57" s="6" t="s">
        <v>9928</v>
      </c>
      <c r="M57" s="6" t="s">
        <v>9929</v>
      </c>
      <c r="N57" s="6"/>
      <c r="O57" s="6"/>
      <c r="P57" s="6"/>
      <c r="Q57" s="6" t="s">
        <v>9930</v>
      </c>
      <c r="R57" s="6" t="s">
        <v>9931</v>
      </c>
      <c r="S57" s="44" t="s">
        <v>246</v>
      </c>
    </row>
    <row r="58" spans="1:19" ht="15" customHeight="1" x14ac:dyDescent="0.3">
      <c r="A58" s="6" t="s">
        <v>5374</v>
      </c>
      <c r="B58" s="6" t="s">
        <v>21</v>
      </c>
      <c r="C58" s="6" t="s">
        <v>9539</v>
      </c>
      <c r="D58" s="6">
        <v>2023</v>
      </c>
      <c r="E58" s="6" t="s">
        <v>5475</v>
      </c>
      <c r="F58" s="6" t="s">
        <v>9540</v>
      </c>
      <c r="G58" s="6" t="s">
        <v>9541</v>
      </c>
      <c r="H58" s="6" t="s">
        <v>9924</v>
      </c>
      <c r="I58" s="6" t="s">
        <v>9932</v>
      </c>
      <c r="J58" s="6" t="s">
        <v>9933</v>
      </c>
      <c r="K58" s="6" t="s">
        <v>9934</v>
      </c>
      <c r="L58" s="6" t="s">
        <v>9935</v>
      </c>
      <c r="M58" s="6" t="s">
        <v>9929</v>
      </c>
      <c r="N58" s="6"/>
      <c r="O58" s="6"/>
      <c r="P58" s="6"/>
      <c r="Q58" s="6" t="s">
        <v>9936</v>
      </c>
      <c r="R58" s="6" t="s">
        <v>9937</v>
      </c>
      <c r="S58" s="44" t="s">
        <v>246</v>
      </c>
    </row>
    <row r="59" spans="1:19" ht="15" customHeight="1" x14ac:dyDescent="0.3">
      <c r="A59" s="6" t="s">
        <v>5374</v>
      </c>
      <c r="B59" s="6" t="s">
        <v>21</v>
      </c>
      <c r="C59" s="6" t="s">
        <v>9539</v>
      </c>
      <c r="D59" s="6">
        <v>2024</v>
      </c>
      <c r="E59" s="6" t="s">
        <v>5544</v>
      </c>
      <c r="F59" s="6" t="s">
        <v>5551</v>
      </c>
      <c r="G59" s="6" t="s">
        <v>9541</v>
      </c>
      <c r="H59" s="6" t="s">
        <v>9924</v>
      </c>
      <c r="I59" s="6" t="s">
        <v>9938</v>
      </c>
      <c r="J59" s="6" t="s">
        <v>9939</v>
      </c>
      <c r="K59" s="6" t="s">
        <v>9940</v>
      </c>
      <c r="L59" s="6" t="s">
        <v>9941</v>
      </c>
      <c r="M59" s="6" t="s">
        <v>9929</v>
      </c>
      <c r="N59" s="6"/>
      <c r="O59" s="6"/>
      <c r="P59" s="6"/>
      <c r="Q59" s="6" t="s">
        <v>9942</v>
      </c>
      <c r="R59" s="6" t="s">
        <v>9943</v>
      </c>
      <c r="S59" s="44" t="s">
        <v>246</v>
      </c>
    </row>
    <row r="60" spans="1:19" ht="15" customHeight="1" x14ac:dyDescent="0.3">
      <c r="A60" s="6" t="s">
        <v>5641</v>
      </c>
      <c r="B60" s="6" t="s">
        <v>5643</v>
      </c>
      <c r="C60" s="6" t="s">
        <v>9539</v>
      </c>
      <c r="D60" s="6">
        <v>2022</v>
      </c>
      <c r="E60" s="6" t="s">
        <v>5642</v>
      </c>
      <c r="F60" s="6" t="s">
        <v>9944</v>
      </c>
      <c r="G60" s="6" t="s">
        <v>9541</v>
      </c>
      <c r="H60" s="6" t="s">
        <v>9945</v>
      </c>
      <c r="I60" s="6" t="s">
        <v>9946</v>
      </c>
      <c r="J60" s="6" t="s">
        <v>9947</v>
      </c>
      <c r="K60" s="6" t="s">
        <v>9948</v>
      </c>
      <c r="L60" s="6" t="s">
        <v>9949</v>
      </c>
      <c r="M60" s="6" t="s">
        <v>9950</v>
      </c>
      <c r="N60" s="6"/>
      <c r="O60" s="6"/>
      <c r="P60" s="6"/>
      <c r="Q60" s="6" t="s">
        <v>9951</v>
      </c>
      <c r="R60" s="6" t="s">
        <v>9952</v>
      </c>
      <c r="S60" s="44" t="s">
        <v>9953</v>
      </c>
    </row>
    <row r="61" spans="1:19" ht="15" customHeight="1" x14ac:dyDescent="0.3">
      <c r="A61" s="6" t="s">
        <v>5641</v>
      </c>
      <c r="B61" s="6" t="s">
        <v>5643</v>
      </c>
      <c r="C61" s="6" t="s">
        <v>9539</v>
      </c>
      <c r="D61" s="6">
        <v>2023</v>
      </c>
      <c r="E61" s="6" t="s">
        <v>5716</v>
      </c>
      <c r="F61" s="6" t="s">
        <v>9944</v>
      </c>
      <c r="G61" s="6" t="s">
        <v>9541</v>
      </c>
      <c r="H61" s="6" t="s">
        <v>9945</v>
      </c>
      <c r="I61" s="6" t="s">
        <v>9946</v>
      </c>
      <c r="J61" s="6" t="s">
        <v>9954</v>
      </c>
      <c r="K61" s="6" t="s">
        <v>9948</v>
      </c>
      <c r="L61" s="6" t="s">
        <v>9949</v>
      </c>
      <c r="M61" s="6" t="s">
        <v>9950</v>
      </c>
      <c r="N61" s="6"/>
      <c r="O61" s="6"/>
      <c r="P61" s="6"/>
      <c r="Q61" s="6" t="s">
        <v>9955</v>
      </c>
      <c r="R61" s="6" t="s">
        <v>9956</v>
      </c>
      <c r="S61" s="44" t="s">
        <v>9953</v>
      </c>
    </row>
    <row r="62" spans="1:19" ht="15" customHeight="1" x14ac:dyDescent="0.3">
      <c r="A62" s="6" t="s">
        <v>5641</v>
      </c>
      <c r="B62" s="6" t="s">
        <v>5643</v>
      </c>
      <c r="C62" s="6" t="s">
        <v>9539</v>
      </c>
      <c r="D62" s="6">
        <v>2024</v>
      </c>
      <c r="E62" s="6" t="s">
        <v>5788</v>
      </c>
      <c r="F62" s="6" t="s">
        <v>9944</v>
      </c>
      <c r="G62" s="6" t="s">
        <v>9541</v>
      </c>
      <c r="H62" s="6" t="s">
        <v>9945</v>
      </c>
      <c r="I62" s="6" t="s">
        <v>9946</v>
      </c>
      <c r="J62" s="6" t="s">
        <v>9957</v>
      </c>
      <c r="K62" s="6" t="s">
        <v>9958</v>
      </c>
      <c r="L62" s="6" t="s">
        <v>9949</v>
      </c>
      <c r="M62" s="6" t="s">
        <v>9959</v>
      </c>
      <c r="N62" s="6"/>
      <c r="O62" s="6"/>
      <c r="P62" s="6"/>
      <c r="Q62" s="6" t="s">
        <v>9960</v>
      </c>
      <c r="R62" s="6" t="s">
        <v>9961</v>
      </c>
      <c r="S62" s="44" t="s">
        <v>9953</v>
      </c>
    </row>
    <row r="63" spans="1:19" ht="15" customHeight="1" x14ac:dyDescent="0.3">
      <c r="A63" s="6" t="s">
        <v>5876</v>
      </c>
      <c r="B63" s="6" t="s">
        <v>49</v>
      </c>
      <c r="C63" s="6" t="s">
        <v>9539</v>
      </c>
      <c r="D63" s="6">
        <v>2022</v>
      </c>
      <c r="E63" s="6" t="s">
        <v>5877</v>
      </c>
      <c r="F63" s="6" t="s">
        <v>5878</v>
      </c>
      <c r="G63" s="6" t="s">
        <v>9541</v>
      </c>
      <c r="H63" s="6" t="s">
        <v>9962</v>
      </c>
      <c r="I63" s="6" t="s">
        <v>9963</v>
      </c>
      <c r="J63" s="6" t="s">
        <v>9964</v>
      </c>
      <c r="K63" s="6" t="s">
        <v>9965</v>
      </c>
      <c r="L63" s="6" t="s">
        <v>9966</v>
      </c>
      <c r="M63" s="6" t="s">
        <v>9967</v>
      </c>
      <c r="N63" s="6"/>
      <c r="O63" s="6"/>
      <c r="P63" s="6"/>
      <c r="Q63" s="6" t="s">
        <v>9968</v>
      </c>
      <c r="R63" s="6" t="s">
        <v>9969</v>
      </c>
      <c r="S63" s="44" t="s">
        <v>246</v>
      </c>
    </row>
    <row r="64" spans="1:19" ht="15" customHeight="1" x14ac:dyDescent="0.3">
      <c r="A64" s="6" t="s">
        <v>5876</v>
      </c>
      <c r="B64" s="6" t="s">
        <v>49</v>
      </c>
      <c r="C64" s="6" t="s">
        <v>9539</v>
      </c>
      <c r="D64" s="6">
        <v>2023</v>
      </c>
      <c r="E64" s="6" t="s">
        <v>5971</v>
      </c>
      <c r="F64" s="6" t="s">
        <v>5878</v>
      </c>
      <c r="G64" s="6" t="s">
        <v>9541</v>
      </c>
      <c r="H64" s="6" t="s">
        <v>9962</v>
      </c>
      <c r="I64" s="6" t="s">
        <v>9970</v>
      </c>
      <c r="J64" s="6" t="s">
        <v>9971</v>
      </c>
      <c r="K64" s="6" t="s">
        <v>9972</v>
      </c>
      <c r="L64" s="6" t="s">
        <v>9973</v>
      </c>
      <c r="M64" s="6" t="s">
        <v>9967</v>
      </c>
      <c r="N64" s="6"/>
      <c r="O64" s="6"/>
      <c r="P64" s="6"/>
      <c r="Q64" s="6" t="s">
        <v>9974</v>
      </c>
      <c r="R64" s="6" t="s">
        <v>9975</v>
      </c>
      <c r="S64" s="44" t="s">
        <v>246</v>
      </c>
    </row>
    <row r="65" spans="1:19" ht="15" customHeight="1" x14ac:dyDescent="0.3">
      <c r="A65" s="6" t="s">
        <v>5876</v>
      </c>
      <c r="B65" s="6" t="s">
        <v>49</v>
      </c>
      <c r="C65" s="6" t="s">
        <v>9539</v>
      </c>
      <c r="D65" s="6">
        <v>2024</v>
      </c>
      <c r="E65" s="6" t="s">
        <v>6047</v>
      </c>
      <c r="F65" s="6" t="s">
        <v>5878</v>
      </c>
      <c r="G65" s="6" t="s">
        <v>9541</v>
      </c>
      <c r="H65" s="6" t="s">
        <v>9962</v>
      </c>
      <c r="I65" s="6" t="s">
        <v>9976</v>
      </c>
      <c r="J65" s="6" t="s">
        <v>9977</v>
      </c>
      <c r="K65" s="6" t="s">
        <v>9978</v>
      </c>
      <c r="L65" s="6" t="s">
        <v>9966</v>
      </c>
      <c r="M65" s="6" t="s">
        <v>9979</v>
      </c>
      <c r="N65" s="6"/>
      <c r="O65" s="6"/>
      <c r="P65" s="6"/>
      <c r="Q65" s="6" t="s">
        <v>9980</v>
      </c>
      <c r="R65" s="6" t="s">
        <v>9981</v>
      </c>
      <c r="S65" s="44" t="s">
        <v>246</v>
      </c>
    </row>
    <row r="66" spans="1:19" ht="15" customHeight="1" x14ac:dyDescent="0.3">
      <c r="A66" s="6" t="s">
        <v>6131</v>
      </c>
      <c r="B66" s="6" t="s">
        <v>51</v>
      </c>
      <c r="C66" s="6" t="s">
        <v>9539</v>
      </c>
      <c r="D66" s="6">
        <v>2022</v>
      </c>
      <c r="E66" s="6" t="s">
        <v>6132</v>
      </c>
      <c r="F66" s="6" t="s">
        <v>9982</v>
      </c>
      <c r="G66" s="6" t="s">
        <v>9541</v>
      </c>
      <c r="H66" s="6" t="s">
        <v>9983</v>
      </c>
      <c r="I66" s="6" t="s">
        <v>9984</v>
      </c>
      <c r="J66" s="6" t="s">
        <v>9985</v>
      </c>
      <c r="K66" s="6" t="s">
        <v>9986</v>
      </c>
      <c r="L66" s="6" t="s">
        <v>9987</v>
      </c>
      <c r="M66" s="6" t="s">
        <v>9988</v>
      </c>
      <c r="N66" s="6"/>
      <c r="O66" s="6"/>
      <c r="P66" s="6"/>
      <c r="Q66" s="6" t="s">
        <v>9989</v>
      </c>
      <c r="R66" s="6" t="s">
        <v>9990</v>
      </c>
      <c r="S66" s="44" t="s">
        <v>248</v>
      </c>
    </row>
    <row r="67" spans="1:19" ht="15" customHeight="1" x14ac:dyDescent="0.3">
      <c r="A67" s="6" t="s">
        <v>6131</v>
      </c>
      <c r="B67" s="6" t="s">
        <v>51</v>
      </c>
      <c r="C67" s="6" t="s">
        <v>9539</v>
      </c>
      <c r="D67" s="6">
        <v>2023</v>
      </c>
      <c r="E67" s="6" t="s">
        <v>6265</v>
      </c>
      <c r="F67" s="6" t="s">
        <v>9982</v>
      </c>
      <c r="G67" s="6" t="s">
        <v>9541</v>
      </c>
      <c r="H67" s="6" t="s">
        <v>9983</v>
      </c>
      <c r="I67" s="6" t="s">
        <v>9991</v>
      </c>
      <c r="J67" s="6" t="s">
        <v>9992</v>
      </c>
      <c r="K67" s="6" t="s">
        <v>9993</v>
      </c>
      <c r="L67" s="6" t="s">
        <v>9987</v>
      </c>
      <c r="M67" s="6" t="s">
        <v>9988</v>
      </c>
      <c r="N67" s="6"/>
      <c r="O67" s="6"/>
      <c r="P67" s="6"/>
      <c r="Q67" s="6" t="s">
        <v>9994</v>
      </c>
      <c r="R67" s="6" t="s">
        <v>9995</v>
      </c>
      <c r="S67" s="44" t="s">
        <v>248</v>
      </c>
    </row>
    <row r="68" spans="1:19" ht="15" customHeight="1" x14ac:dyDescent="0.3">
      <c r="A68" s="6" t="s">
        <v>6131</v>
      </c>
      <c r="B68" s="6" t="s">
        <v>51</v>
      </c>
      <c r="C68" s="6" t="s">
        <v>9539</v>
      </c>
      <c r="D68" s="6">
        <v>2024</v>
      </c>
      <c r="E68" s="6" t="s">
        <v>6347</v>
      </c>
      <c r="F68" s="6" t="s">
        <v>9982</v>
      </c>
      <c r="G68" s="6" t="s">
        <v>9541</v>
      </c>
      <c r="H68" s="6" t="s">
        <v>9983</v>
      </c>
      <c r="I68" s="6" t="s">
        <v>9991</v>
      </c>
      <c r="J68" s="6" t="s">
        <v>9996</v>
      </c>
      <c r="K68" s="6" t="s">
        <v>9993</v>
      </c>
      <c r="L68" s="6" t="s">
        <v>9987</v>
      </c>
      <c r="M68" s="6" t="s">
        <v>9988</v>
      </c>
      <c r="N68" s="6"/>
      <c r="O68" s="6"/>
      <c r="P68" s="6"/>
      <c r="Q68" s="6" t="s">
        <v>9997</v>
      </c>
      <c r="R68" s="6" t="s">
        <v>9998</v>
      </c>
      <c r="S68" s="44" t="s">
        <v>248</v>
      </c>
    </row>
    <row r="69" spans="1:19" ht="15" customHeight="1" x14ac:dyDescent="0.3">
      <c r="A69" s="6" t="s">
        <v>6444</v>
      </c>
      <c r="B69" s="6" t="s">
        <v>52</v>
      </c>
      <c r="C69" s="6" t="s">
        <v>9539</v>
      </c>
      <c r="D69" s="6">
        <v>2023</v>
      </c>
      <c r="E69" s="6" t="s">
        <v>6445</v>
      </c>
      <c r="F69" s="6" t="s">
        <v>9982</v>
      </c>
      <c r="G69" s="6" t="s">
        <v>9541</v>
      </c>
      <c r="H69" s="6" t="s">
        <v>9999</v>
      </c>
      <c r="I69" s="6" t="s">
        <v>10000</v>
      </c>
      <c r="J69" s="6" t="s">
        <v>10001</v>
      </c>
      <c r="K69" s="6" t="s">
        <v>10002</v>
      </c>
      <c r="L69" s="6" t="s">
        <v>10003</v>
      </c>
      <c r="M69" s="6" t="s">
        <v>10004</v>
      </c>
      <c r="N69" s="6"/>
      <c r="O69" s="6"/>
      <c r="P69" s="6"/>
      <c r="Q69" s="6" t="s">
        <v>10005</v>
      </c>
      <c r="R69" s="6" t="s">
        <v>10006</v>
      </c>
      <c r="S69" s="44" t="s">
        <v>246</v>
      </c>
    </row>
    <row r="70" spans="1:19" ht="15" customHeight="1" x14ac:dyDescent="0.3">
      <c r="A70" s="6" t="s">
        <v>6444</v>
      </c>
      <c r="B70" s="6" t="s">
        <v>52</v>
      </c>
      <c r="C70" s="6" t="s">
        <v>9539</v>
      </c>
      <c r="D70" s="6">
        <v>2024</v>
      </c>
      <c r="E70" s="6" t="s">
        <v>6570</v>
      </c>
      <c r="F70" s="6" t="s">
        <v>9982</v>
      </c>
      <c r="G70" s="6" t="s">
        <v>9541</v>
      </c>
      <c r="H70" s="6" t="s">
        <v>9999</v>
      </c>
      <c r="I70" s="6" t="s">
        <v>10007</v>
      </c>
      <c r="J70" s="6" t="s">
        <v>10008</v>
      </c>
      <c r="K70" s="6" t="s">
        <v>10009</v>
      </c>
      <c r="L70" s="6" t="s">
        <v>10003</v>
      </c>
      <c r="M70" s="6" t="s">
        <v>10010</v>
      </c>
      <c r="N70" s="6"/>
      <c r="O70" s="6"/>
      <c r="P70" s="6"/>
      <c r="Q70" s="6" t="s">
        <v>10011</v>
      </c>
      <c r="R70" s="6" t="s">
        <v>10012</v>
      </c>
      <c r="S70" s="44" t="s">
        <v>246</v>
      </c>
    </row>
    <row r="71" spans="1:19" ht="15" customHeight="1" x14ac:dyDescent="0.3">
      <c r="A71" s="6" t="s">
        <v>6670</v>
      </c>
      <c r="B71" s="6" t="s">
        <v>53</v>
      </c>
      <c r="C71" s="6" t="s">
        <v>9539</v>
      </c>
      <c r="D71" s="6">
        <v>2022</v>
      </c>
      <c r="E71" s="6" t="s">
        <v>6671</v>
      </c>
      <c r="F71" s="6" t="s">
        <v>10013</v>
      </c>
      <c r="G71" s="6" t="s">
        <v>9541</v>
      </c>
      <c r="H71" s="6" t="s">
        <v>10014</v>
      </c>
      <c r="I71" s="6" t="s">
        <v>10015</v>
      </c>
      <c r="J71" s="6" t="s">
        <v>10016</v>
      </c>
      <c r="K71" s="6" t="s">
        <v>10017</v>
      </c>
      <c r="L71" s="6" t="s">
        <v>10018</v>
      </c>
      <c r="M71" s="6" t="s">
        <v>10019</v>
      </c>
      <c r="N71" s="6"/>
      <c r="O71" s="6"/>
      <c r="P71" s="6"/>
      <c r="Q71" s="6" t="s">
        <v>10020</v>
      </c>
      <c r="R71" s="6" t="s">
        <v>10021</v>
      </c>
      <c r="S71" s="44" t="s">
        <v>10022</v>
      </c>
    </row>
    <row r="72" spans="1:19" ht="15" customHeight="1" x14ac:dyDescent="0.3">
      <c r="A72" s="6" t="s">
        <v>6670</v>
      </c>
      <c r="B72" s="6" t="s">
        <v>53</v>
      </c>
      <c r="C72" s="6" t="s">
        <v>9539</v>
      </c>
      <c r="D72" s="6">
        <v>2023</v>
      </c>
      <c r="E72" s="6" t="s">
        <v>6818</v>
      </c>
      <c r="F72" s="6" t="s">
        <v>10013</v>
      </c>
      <c r="G72" s="6" t="s">
        <v>9541</v>
      </c>
      <c r="H72" s="6" t="s">
        <v>10014</v>
      </c>
      <c r="I72" s="6" t="s">
        <v>10015</v>
      </c>
      <c r="J72" s="6" t="s">
        <v>10023</v>
      </c>
      <c r="K72" s="6" t="s">
        <v>10024</v>
      </c>
      <c r="L72" s="6" t="s">
        <v>10018</v>
      </c>
      <c r="M72" s="6" t="s">
        <v>10019</v>
      </c>
      <c r="N72" s="6"/>
      <c r="O72" s="6"/>
      <c r="P72" s="6"/>
      <c r="Q72" s="6" t="s">
        <v>10025</v>
      </c>
      <c r="R72" s="6" t="s">
        <v>10026</v>
      </c>
      <c r="S72" s="44" t="s">
        <v>10022</v>
      </c>
    </row>
    <row r="73" spans="1:19" ht="15" customHeight="1" x14ac:dyDescent="0.3">
      <c r="A73" s="6" t="s">
        <v>6670</v>
      </c>
      <c r="B73" s="6" t="s">
        <v>53</v>
      </c>
      <c r="C73" s="6" t="s">
        <v>9539</v>
      </c>
      <c r="D73" s="6">
        <v>2024</v>
      </c>
      <c r="E73" s="6" t="s">
        <v>6917</v>
      </c>
      <c r="F73" s="6" t="s">
        <v>10013</v>
      </c>
      <c r="G73" s="6" t="s">
        <v>9541</v>
      </c>
      <c r="H73" s="6" t="s">
        <v>10014</v>
      </c>
      <c r="I73" s="6" t="s">
        <v>10027</v>
      </c>
      <c r="J73" s="6" t="s">
        <v>10028</v>
      </c>
      <c r="K73" s="6" t="s">
        <v>10029</v>
      </c>
      <c r="L73" s="6" t="s">
        <v>10018</v>
      </c>
      <c r="M73" s="6" t="s">
        <v>10030</v>
      </c>
      <c r="N73" s="6"/>
      <c r="O73" s="6"/>
      <c r="P73" s="6"/>
      <c r="Q73" s="6" t="s">
        <v>10031</v>
      </c>
      <c r="R73" s="6" t="s">
        <v>10032</v>
      </c>
      <c r="S73" s="44" t="s">
        <v>10022</v>
      </c>
    </row>
    <row r="74" spans="1:19" ht="15" customHeight="1" x14ac:dyDescent="0.3">
      <c r="A74" s="6" t="s">
        <v>7065</v>
      </c>
      <c r="B74" s="6" t="s">
        <v>54</v>
      </c>
      <c r="C74" s="6" t="s">
        <v>9539</v>
      </c>
      <c r="D74" s="6">
        <v>2022</v>
      </c>
      <c r="E74" s="6" t="s">
        <v>7066</v>
      </c>
      <c r="F74" s="6" t="s">
        <v>10033</v>
      </c>
      <c r="G74" s="6" t="s">
        <v>9541</v>
      </c>
      <c r="H74" s="6" t="s">
        <v>10034</v>
      </c>
      <c r="I74" s="6" t="s">
        <v>10035</v>
      </c>
      <c r="J74" s="6" t="s">
        <v>10036</v>
      </c>
      <c r="K74" s="6" t="s">
        <v>10037</v>
      </c>
      <c r="L74" s="6" t="s">
        <v>10038</v>
      </c>
      <c r="M74" s="6" t="s">
        <v>10039</v>
      </c>
      <c r="N74" s="6"/>
      <c r="O74" s="6"/>
      <c r="P74" s="6"/>
      <c r="Q74" s="6" t="s">
        <v>10040</v>
      </c>
      <c r="R74" s="6" t="s">
        <v>10041</v>
      </c>
      <c r="S74" s="44" t="s">
        <v>248</v>
      </c>
    </row>
    <row r="75" spans="1:19" ht="15" customHeight="1" x14ac:dyDescent="0.3">
      <c r="A75" s="6" t="s">
        <v>7065</v>
      </c>
      <c r="B75" s="6" t="s">
        <v>54</v>
      </c>
      <c r="C75" s="6" t="s">
        <v>9539</v>
      </c>
      <c r="D75" s="6">
        <v>2023</v>
      </c>
      <c r="E75" s="6" t="s">
        <v>7208</v>
      </c>
      <c r="F75" s="6" t="s">
        <v>10033</v>
      </c>
      <c r="G75" s="6" t="s">
        <v>9541</v>
      </c>
      <c r="H75" s="6" t="s">
        <v>10034</v>
      </c>
      <c r="I75" s="6" t="s">
        <v>10042</v>
      </c>
      <c r="J75" s="6" t="s">
        <v>10043</v>
      </c>
      <c r="K75" s="6" t="s">
        <v>10044</v>
      </c>
      <c r="L75" s="6" t="s">
        <v>10038</v>
      </c>
      <c r="M75" s="6" t="s">
        <v>10045</v>
      </c>
      <c r="N75" s="6"/>
      <c r="O75" s="6"/>
      <c r="P75" s="6"/>
      <c r="Q75" s="6" t="s">
        <v>10046</v>
      </c>
      <c r="R75" s="6" t="s">
        <v>10047</v>
      </c>
      <c r="S75" s="44" t="s">
        <v>248</v>
      </c>
    </row>
    <row r="76" spans="1:19" ht="15" customHeight="1" x14ac:dyDescent="0.3">
      <c r="A76" s="6" t="s">
        <v>7065</v>
      </c>
      <c r="B76" s="6" t="s">
        <v>54</v>
      </c>
      <c r="C76" s="6" t="s">
        <v>9539</v>
      </c>
      <c r="D76" s="6">
        <v>2024</v>
      </c>
      <c r="E76" s="6" t="s">
        <v>7298</v>
      </c>
      <c r="F76" s="6" t="s">
        <v>10033</v>
      </c>
      <c r="G76" s="6" t="s">
        <v>9541</v>
      </c>
      <c r="H76" s="6" t="s">
        <v>10034</v>
      </c>
      <c r="I76" s="6" t="s">
        <v>10048</v>
      </c>
      <c r="J76" s="6" t="s">
        <v>10049</v>
      </c>
      <c r="K76" s="6" t="s">
        <v>10050</v>
      </c>
      <c r="L76" s="6" t="s">
        <v>10038</v>
      </c>
      <c r="M76" s="6" t="s">
        <v>10045</v>
      </c>
      <c r="N76" s="6"/>
      <c r="O76" s="6"/>
      <c r="P76" s="6"/>
      <c r="Q76" s="6" t="s">
        <v>10051</v>
      </c>
      <c r="R76" s="6" t="s">
        <v>10052</v>
      </c>
      <c r="S76" s="44" t="s">
        <v>248</v>
      </c>
    </row>
    <row r="77" spans="1:19" ht="15" customHeight="1" x14ac:dyDescent="0.3">
      <c r="A77" s="6" t="s">
        <v>7418</v>
      </c>
      <c r="B77" s="6" t="s">
        <v>55</v>
      </c>
      <c r="C77" s="6" t="s">
        <v>9539</v>
      </c>
      <c r="D77" s="6">
        <v>2022</v>
      </c>
      <c r="E77" s="6" t="s">
        <v>7419</v>
      </c>
      <c r="F77" s="6" t="s">
        <v>10053</v>
      </c>
      <c r="G77" s="6" t="s">
        <v>9541</v>
      </c>
      <c r="H77" s="6" t="s">
        <v>10054</v>
      </c>
      <c r="I77" s="6" t="s">
        <v>10055</v>
      </c>
      <c r="J77" s="6" t="s">
        <v>10056</v>
      </c>
      <c r="K77" s="6" t="s">
        <v>10057</v>
      </c>
      <c r="L77" s="6" t="s">
        <v>10058</v>
      </c>
      <c r="M77" s="6" t="s">
        <v>10059</v>
      </c>
      <c r="N77" s="6"/>
      <c r="O77" s="6"/>
      <c r="P77" s="6"/>
      <c r="Q77" s="6" t="s">
        <v>10060</v>
      </c>
      <c r="R77" s="6" t="s">
        <v>10061</v>
      </c>
      <c r="S77" s="44" t="s">
        <v>248</v>
      </c>
    </row>
    <row r="78" spans="1:19" ht="15" customHeight="1" x14ac:dyDescent="0.3">
      <c r="A78" s="6" t="s">
        <v>7418</v>
      </c>
      <c r="B78" s="6" t="s">
        <v>55</v>
      </c>
      <c r="C78" s="6" t="s">
        <v>9539</v>
      </c>
      <c r="D78" s="6">
        <v>2023</v>
      </c>
      <c r="E78" s="6" t="s">
        <v>7565</v>
      </c>
      <c r="F78" s="6" t="s">
        <v>10053</v>
      </c>
      <c r="G78" s="6" t="s">
        <v>9541</v>
      </c>
      <c r="H78" s="6" t="s">
        <v>10062</v>
      </c>
      <c r="I78" s="6" t="s">
        <v>10055</v>
      </c>
      <c r="J78" s="6" t="s">
        <v>10063</v>
      </c>
      <c r="K78" s="6" t="s">
        <v>10064</v>
      </c>
      <c r="L78" s="6" t="s">
        <v>10058</v>
      </c>
      <c r="M78" s="6" t="s">
        <v>10065</v>
      </c>
      <c r="N78" s="6"/>
      <c r="O78" s="6"/>
      <c r="P78" s="6"/>
      <c r="Q78" s="6" t="s">
        <v>10066</v>
      </c>
      <c r="R78" s="6" t="s">
        <v>10067</v>
      </c>
      <c r="S78" s="44" t="s">
        <v>248</v>
      </c>
    </row>
    <row r="79" spans="1:19" ht="15" customHeight="1" x14ac:dyDescent="0.3">
      <c r="A79" s="6" t="s">
        <v>7418</v>
      </c>
      <c r="B79" s="6" t="s">
        <v>55</v>
      </c>
      <c r="C79" s="6" t="s">
        <v>9539</v>
      </c>
      <c r="D79" s="6">
        <v>2024</v>
      </c>
      <c r="E79" s="6" t="s">
        <v>7666</v>
      </c>
      <c r="F79" s="6" t="s">
        <v>10053</v>
      </c>
      <c r="G79" s="6" t="s">
        <v>9541</v>
      </c>
      <c r="H79" s="6" t="s">
        <v>10068</v>
      </c>
      <c r="I79" s="6" t="s">
        <v>10055</v>
      </c>
      <c r="J79" s="6" t="s">
        <v>10069</v>
      </c>
      <c r="K79" s="6" t="s">
        <v>10070</v>
      </c>
      <c r="L79" s="6" t="s">
        <v>10071</v>
      </c>
      <c r="M79" s="6" t="s">
        <v>10072</v>
      </c>
      <c r="N79" s="6"/>
      <c r="O79" s="6"/>
      <c r="P79" s="6"/>
      <c r="Q79" s="6" t="s">
        <v>10073</v>
      </c>
      <c r="R79" s="6" t="s">
        <v>10074</v>
      </c>
      <c r="S79" s="44" t="s">
        <v>248</v>
      </c>
    </row>
    <row r="80" spans="1:19" ht="15" customHeight="1" x14ac:dyDescent="0.3">
      <c r="A80" s="6" t="s">
        <v>1631</v>
      </c>
      <c r="B80" s="6" t="s">
        <v>56</v>
      </c>
      <c r="C80" s="6" t="s">
        <v>9539</v>
      </c>
      <c r="D80" s="6">
        <v>2023</v>
      </c>
      <c r="E80" s="6" t="s">
        <v>7789</v>
      </c>
      <c r="F80" s="6" t="s">
        <v>10075</v>
      </c>
      <c r="G80" s="6" t="s">
        <v>9541</v>
      </c>
      <c r="H80" s="6" t="s">
        <v>10076</v>
      </c>
      <c r="I80" s="6" t="s">
        <v>10077</v>
      </c>
      <c r="J80" s="6" t="s">
        <v>10078</v>
      </c>
      <c r="K80" s="6" t="s">
        <v>10079</v>
      </c>
      <c r="L80" s="6" t="s">
        <v>10080</v>
      </c>
      <c r="M80" s="6" t="s">
        <v>10081</v>
      </c>
      <c r="N80" s="6"/>
      <c r="O80" s="6"/>
      <c r="P80" s="6"/>
      <c r="Q80" s="6" t="s">
        <v>10082</v>
      </c>
      <c r="R80" s="6" t="s">
        <v>10083</v>
      </c>
      <c r="S80" s="44" t="s">
        <v>248</v>
      </c>
    </row>
    <row r="81" spans="1:19" ht="15" customHeight="1" x14ac:dyDescent="0.3">
      <c r="A81" s="6" t="s">
        <v>1631</v>
      </c>
      <c r="B81" s="6" t="s">
        <v>56</v>
      </c>
      <c r="C81" s="6" t="s">
        <v>9539</v>
      </c>
      <c r="D81" s="6">
        <v>2024</v>
      </c>
      <c r="E81" s="6" t="s">
        <v>7910</v>
      </c>
      <c r="F81" s="6" t="s">
        <v>10075</v>
      </c>
      <c r="G81" s="6" t="s">
        <v>9541</v>
      </c>
      <c r="H81" s="6" t="s">
        <v>10076</v>
      </c>
      <c r="I81" s="6" t="s">
        <v>10084</v>
      </c>
      <c r="J81" s="6" t="s">
        <v>10085</v>
      </c>
      <c r="K81" s="6" t="s">
        <v>10086</v>
      </c>
      <c r="L81" s="6" t="s">
        <v>10080</v>
      </c>
      <c r="M81" s="6" t="s">
        <v>10087</v>
      </c>
      <c r="N81" s="6"/>
      <c r="O81" s="6"/>
      <c r="P81" s="6"/>
      <c r="Q81" s="6" t="s">
        <v>10088</v>
      </c>
      <c r="R81" s="6" t="s">
        <v>10089</v>
      </c>
      <c r="S81" s="44" t="s">
        <v>248</v>
      </c>
    </row>
    <row r="82" spans="1:19" ht="15" customHeight="1" x14ac:dyDescent="0.3">
      <c r="A82" s="6" t="s">
        <v>1631</v>
      </c>
      <c r="B82" s="6" t="s">
        <v>56</v>
      </c>
      <c r="C82" s="6" t="s">
        <v>9539</v>
      </c>
      <c r="D82" s="6">
        <v>2025</v>
      </c>
      <c r="E82" s="6" t="s">
        <v>8029</v>
      </c>
      <c r="F82" s="6" t="s">
        <v>10075</v>
      </c>
      <c r="G82" s="6" t="s">
        <v>9541</v>
      </c>
      <c r="H82" s="6" t="s">
        <v>10076</v>
      </c>
      <c r="I82" s="6" t="s">
        <v>10090</v>
      </c>
      <c r="J82" s="6" t="s">
        <v>10091</v>
      </c>
      <c r="K82" s="6" t="s">
        <v>10092</v>
      </c>
      <c r="L82" s="6" t="s">
        <v>10093</v>
      </c>
      <c r="M82" s="6" t="s">
        <v>10094</v>
      </c>
      <c r="N82" s="6"/>
      <c r="O82" s="6"/>
      <c r="P82" s="6"/>
      <c r="Q82" s="6" t="s">
        <v>10095</v>
      </c>
      <c r="R82" s="6" t="s">
        <v>10096</v>
      </c>
      <c r="S82" s="44" t="s">
        <v>248</v>
      </c>
    </row>
    <row r="83" spans="1:19" ht="15" customHeight="1" x14ac:dyDescent="0.3">
      <c r="A83" s="6" t="s">
        <v>8154</v>
      </c>
      <c r="B83" s="6" t="s">
        <v>106</v>
      </c>
      <c r="C83" s="6" t="s">
        <v>9539</v>
      </c>
      <c r="D83" s="6">
        <v>2023</v>
      </c>
      <c r="E83" s="6" t="s">
        <v>8155</v>
      </c>
      <c r="F83" s="6" t="s">
        <v>9540</v>
      </c>
      <c r="G83" s="6" t="s">
        <v>9541</v>
      </c>
      <c r="H83" s="6" t="s">
        <v>10097</v>
      </c>
      <c r="I83" s="6" t="s">
        <v>10098</v>
      </c>
      <c r="J83" s="6" t="s">
        <v>10099</v>
      </c>
      <c r="K83" s="6" t="s">
        <v>10100</v>
      </c>
      <c r="L83" s="6" t="s">
        <v>10101</v>
      </c>
      <c r="M83" s="6" t="s">
        <v>10102</v>
      </c>
      <c r="N83" s="6"/>
      <c r="O83" s="6"/>
      <c r="P83" s="6"/>
      <c r="Q83" s="6" t="s">
        <v>10103</v>
      </c>
      <c r="R83" s="6" t="s">
        <v>10104</v>
      </c>
      <c r="S83" s="44" t="s">
        <v>246</v>
      </c>
    </row>
    <row r="84" spans="1:19" ht="15" customHeight="1" x14ac:dyDescent="0.3">
      <c r="A84" s="6" t="s">
        <v>8154</v>
      </c>
      <c r="B84" s="6" t="s">
        <v>106</v>
      </c>
      <c r="C84" s="6" t="s">
        <v>9539</v>
      </c>
      <c r="D84" s="6">
        <v>2024</v>
      </c>
      <c r="E84" s="6" t="s">
        <v>8289</v>
      </c>
      <c r="F84" s="6" t="s">
        <v>9540</v>
      </c>
      <c r="G84" s="6" t="s">
        <v>9541</v>
      </c>
      <c r="H84" s="6" t="s">
        <v>10097</v>
      </c>
      <c r="I84" s="6" t="s">
        <v>10105</v>
      </c>
      <c r="J84" s="6" t="s">
        <v>10106</v>
      </c>
      <c r="K84" s="6" t="s">
        <v>10107</v>
      </c>
      <c r="L84" s="6" t="s">
        <v>10101</v>
      </c>
      <c r="M84" s="6" t="s">
        <v>10108</v>
      </c>
      <c r="N84" s="6"/>
      <c r="O84" s="6"/>
      <c r="P84" s="6"/>
      <c r="Q84" s="6" t="s">
        <v>10109</v>
      </c>
      <c r="R84" s="6" t="s">
        <v>10110</v>
      </c>
      <c r="S84" s="44" t="s">
        <v>246</v>
      </c>
    </row>
    <row r="85" spans="1:19" ht="15" customHeight="1" x14ac:dyDescent="0.3">
      <c r="A85" s="6" t="s">
        <v>8154</v>
      </c>
      <c r="B85" s="6" t="s">
        <v>106</v>
      </c>
      <c r="C85" s="6" t="s">
        <v>9539</v>
      </c>
      <c r="D85" s="6">
        <v>2025</v>
      </c>
      <c r="E85" s="6" t="s">
        <v>8411</v>
      </c>
      <c r="F85" s="6" t="s">
        <v>9540</v>
      </c>
      <c r="G85" s="6" t="s">
        <v>9541</v>
      </c>
      <c r="H85" s="6" t="s">
        <v>10097</v>
      </c>
      <c r="I85" s="6" t="s">
        <v>10111</v>
      </c>
      <c r="J85" s="6" t="s">
        <v>10112</v>
      </c>
      <c r="K85" s="6" t="s">
        <v>10113</v>
      </c>
      <c r="L85" s="6" t="s">
        <v>10101</v>
      </c>
      <c r="M85" s="6" t="s">
        <v>10114</v>
      </c>
      <c r="N85" s="6"/>
      <c r="O85" s="6"/>
      <c r="P85" s="6"/>
      <c r="Q85" s="6" t="s">
        <v>10115</v>
      </c>
      <c r="R85" s="6" t="s">
        <v>10116</v>
      </c>
      <c r="S85" s="44" t="s">
        <v>246</v>
      </c>
    </row>
    <row r="86" spans="1:19" ht="15" customHeight="1" x14ac:dyDescent="0.3">
      <c r="A86" s="6" t="s">
        <v>8514</v>
      </c>
      <c r="B86" s="6" t="s">
        <v>22</v>
      </c>
      <c r="C86" s="6" t="s">
        <v>9539</v>
      </c>
      <c r="D86" s="6">
        <v>2023</v>
      </c>
      <c r="E86" s="6" t="s">
        <v>8515</v>
      </c>
      <c r="F86" s="6" t="s">
        <v>10117</v>
      </c>
      <c r="G86" s="6" t="s">
        <v>9541</v>
      </c>
      <c r="H86" s="6" t="s">
        <v>10118</v>
      </c>
      <c r="I86" s="6" t="s">
        <v>10119</v>
      </c>
      <c r="J86" s="6" t="s">
        <v>10120</v>
      </c>
      <c r="K86" s="6" t="s">
        <v>10121</v>
      </c>
      <c r="L86" s="6" t="s">
        <v>10122</v>
      </c>
      <c r="M86" s="6" t="s">
        <v>10123</v>
      </c>
      <c r="N86" s="6"/>
      <c r="O86" s="6"/>
      <c r="P86" s="6"/>
      <c r="Q86" s="6" t="s">
        <v>10124</v>
      </c>
      <c r="R86" s="6" t="s">
        <v>10125</v>
      </c>
      <c r="S86" s="44" t="s">
        <v>246</v>
      </c>
    </row>
    <row r="87" spans="1:19" ht="15" customHeight="1" x14ac:dyDescent="0.3">
      <c r="A87" s="6" t="s">
        <v>8514</v>
      </c>
      <c r="B87" s="6" t="s">
        <v>22</v>
      </c>
      <c r="C87" s="6" t="s">
        <v>9539</v>
      </c>
      <c r="D87" s="6">
        <v>2024</v>
      </c>
      <c r="E87" s="6" t="s">
        <v>8626</v>
      </c>
      <c r="F87" s="6" t="s">
        <v>10117</v>
      </c>
      <c r="G87" s="6" t="s">
        <v>9541</v>
      </c>
      <c r="H87" s="6" t="s">
        <v>10118</v>
      </c>
      <c r="I87" s="6" t="s">
        <v>10119</v>
      </c>
      <c r="J87" s="6" t="s">
        <v>10126</v>
      </c>
      <c r="K87" s="6" t="s">
        <v>10121</v>
      </c>
      <c r="L87" s="6" t="s">
        <v>10122</v>
      </c>
      <c r="M87" s="6" t="s">
        <v>10127</v>
      </c>
      <c r="N87" s="6"/>
      <c r="O87" s="6"/>
      <c r="P87" s="6"/>
      <c r="Q87" s="6" t="s">
        <v>10128</v>
      </c>
      <c r="R87" s="6" t="s">
        <v>10129</v>
      </c>
      <c r="S87" s="44" t="s">
        <v>246</v>
      </c>
    </row>
    <row r="88" spans="1:19" ht="15" customHeight="1" x14ac:dyDescent="0.3">
      <c r="A88" s="6" t="s">
        <v>8514</v>
      </c>
      <c r="B88" s="6" t="s">
        <v>22</v>
      </c>
      <c r="C88" s="6" t="s">
        <v>9539</v>
      </c>
      <c r="D88" s="6">
        <v>2025</v>
      </c>
      <c r="E88" s="6" t="s">
        <v>8731</v>
      </c>
      <c r="F88" s="6" t="s">
        <v>10117</v>
      </c>
      <c r="G88" s="6" t="s">
        <v>9541</v>
      </c>
      <c r="H88" s="6" t="s">
        <v>10118</v>
      </c>
      <c r="I88" s="6" t="s">
        <v>10130</v>
      </c>
      <c r="J88" s="6" t="s">
        <v>10131</v>
      </c>
      <c r="K88" s="6" t="s">
        <v>10132</v>
      </c>
      <c r="L88" s="6" t="s">
        <v>10122</v>
      </c>
      <c r="M88" s="6" t="s">
        <v>10127</v>
      </c>
      <c r="N88" s="6"/>
      <c r="O88" s="6"/>
      <c r="P88" s="6"/>
      <c r="Q88" s="6" t="s">
        <v>10133</v>
      </c>
      <c r="R88" s="6" t="s">
        <v>10134</v>
      </c>
      <c r="S88" s="44" t="s">
        <v>246</v>
      </c>
    </row>
    <row r="89" spans="1:19" ht="15" customHeight="1" x14ac:dyDescent="0.3">
      <c r="A89" s="6" t="s">
        <v>8828</v>
      </c>
      <c r="B89" s="6" t="s">
        <v>23</v>
      </c>
      <c r="C89" s="6" t="s">
        <v>9539</v>
      </c>
      <c r="D89" s="6">
        <v>2022</v>
      </c>
      <c r="E89" s="6" t="s">
        <v>8829</v>
      </c>
      <c r="F89" s="6" t="s">
        <v>10135</v>
      </c>
      <c r="G89" s="6" t="s">
        <v>9541</v>
      </c>
      <c r="H89" s="6" t="s">
        <v>10136</v>
      </c>
      <c r="I89" s="6" t="s">
        <v>10137</v>
      </c>
      <c r="J89" s="6" t="s">
        <v>10138</v>
      </c>
      <c r="K89" s="6" t="s">
        <v>10139</v>
      </c>
      <c r="L89" s="6" t="s">
        <v>10140</v>
      </c>
      <c r="M89" s="6" t="s">
        <v>10141</v>
      </c>
      <c r="N89" s="6"/>
      <c r="O89" s="6"/>
      <c r="P89" s="6"/>
      <c r="Q89" s="6" t="s">
        <v>10142</v>
      </c>
      <c r="R89" s="6" t="s">
        <v>10143</v>
      </c>
      <c r="S89" s="44" t="s">
        <v>10144</v>
      </c>
    </row>
    <row r="90" spans="1:19" ht="15" customHeight="1" x14ac:dyDescent="0.3">
      <c r="A90" s="6" t="s">
        <v>8828</v>
      </c>
      <c r="B90" s="6" t="s">
        <v>23</v>
      </c>
      <c r="C90" s="6" t="s">
        <v>9539</v>
      </c>
      <c r="D90" s="6">
        <v>2023</v>
      </c>
      <c r="E90" s="6" t="s">
        <v>9014</v>
      </c>
      <c r="F90" s="6" t="s">
        <v>10135</v>
      </c>
      <c r="G90" s="6" t="s">
        <v>9541</v>
      </c>
      <c r="H90" s="6" t="s">
        <v>10136</v>
      </c>
      <c r="I90" s="6" t="s">
        <v>10145</v>
      </c>
      <c r="J90" s="6" t="s">
        <v>10146</v>
      </c>
      <c r="K90" s="6" t="s">
        <v>10147</v>
      </c>
      <c r="L90" s="6" t="s">
        <v>10140</v>
      </c>
      <c r="M90" s="6" t="s">
        <v>10148</v>
      </c>
      <c r="N90" s="6"/>
      <c r="O90" s="6"/>
      <c r="P90" s="6"/>
      <c r="Q90" s="6" t="s">
        <v>10149</v>
      </c>
      <c r="R90" s="6" t="s">
        <v>10150</v>
      </c>
      <c r="S90" s="44" t="s">
        <v>10151</v>
      </c>
    </row>
    <row r="91" spans="1:19" ht="15" customHeight="1" x14ac:dyDescent="0.3">
      <c r="A91" s="6" t="s">
        <v>8828</v>
      </c>
      <c r="B91" s="6" t="s">
        <v>23</v>
      </c>
      <c r="C91" s="6" t="s">
        <v>9539</v>
      </c>
      <c r="D91" s="6">
        <v>2024</v>
      </c>
      <c r="E91" s="6" t="s">
        <v>9120</v>
      </c>
      <c r="F91" s="6" t="s">
        <v>10135</v>
      </c>
      <c r="G91" s="6" t="s">
        <v>9541</v>
      </c>
      <c r="H91" s="6" t="s">
        <v>10136</v>
      </c>
      <c r="I91" s="6" t="s">
        <v>10152</v>
      </c>
      <c r="J91" s="6" t="s">
        <v>10153</v>
      </c>
      <c r="K91" s="6" t="s">
        <v>10154</v>
      </c>
      <c r="L91" s="6" t="s">
        <v>10140</v>
      </c>
      <c r="M91" s="6" t="s">
        <v>10155</v>
      </c>
      <c r="N91" s="6"/>
      <c r="O91" s="6"/>
      <c r="P91" s="6"/>
      <c r="Q91" s="6" t="s">
        <v>10156</v>
      </c>
      <c r="R91" s="6" t="s">
        <v>10157</v>
      </c>
      <c r="S91" s="44" t="s">
        <v>10158</v>
      </c>
    </row>
    <row r="92" spans="1:19" ht="15" customHeight="1" x14ac:dyDescent="0.3">
      <c r="A92" s="6" t="s">
        <v>9276</v>
      </c>
      <c r="B92" s="6" t="s">
        <v>128</v>
      </c>
      <c r="C92" s="6" t="s">
        <v>9539</v>
      </c>
      <c r="D92" s="6">
        <v>2022</v>
      </c>
      <c r="E92" s="6" t="s">
        <v>9277</v>
      </c>
      <c r="F92" s="6" t="s">
        <v>9282</v>
      </c>
      <c r="G92" s="6" t="s">
        <v>9541</v>
      </c>
      <c r="H92" s="6" t="s">
        <v>10159</v>
      </c>
      <c r="I92" s="6" t="s">
        <v>10160</v>
      </c>
      <c r="J92" s="6" t="s">
        <v>10161</v>
      </c>
      <c r="K92" s="6" t="s">
        <v>10162</v>
      </c>
      <c r="L92" s="6" t="s">
        <v>10163</v>
      </c>
      <c r="M92" s="6" t="s">
        <v>10164</v>
      </c>
      <c r="N92" s="6"/>
      <c r="O92" s="6"/>
      <c r="P92" s="6"/>
      <c r="Q92" s="6" t="s">
        <v>10165</v>
      </c>
      <c r="R92" s="6" t="s">
        <v>10166</v>
      </c>
      <c r="S92" s="44" t="s">
        <v>252</v>
      </c>
    </row>
    <row r="93" spans="1:19" ht="15" customHeight="1" x14ac:dyDescent="0.3">
      <c r="A93" s="6" t="s">
        <v>9276</v>
      </c>
      <c r="B93" s="6" t="s">
        <v>128</v>
      </c>
      <c r="C93" s="6" t="s">
        <v>9539</v>
      </c>
      <c r="D93" s="6">
        <v>2023</v>
      </c>
      <c r="E93" s="6" t="s">
        <v>9378</v>
      </c>
      <c r="F93" s="6" t="s">
        <v>9282</v>
      </c>
      <c r="G93" s="6" t="s">
        <v>9541</v>
      </c>
      <c r="H93" s="6" t="s">
        <v>10167</v>
      </c>
      <c r="I93" s="6" t="s">
        <v>10168</v>
      </c>
      <c r="J93" s="6" t="s">
        <v>10169</v>
      </c>
      <c r="K93" s="6" t="s">
        <v>10170</v>
      </c>
      <c r="L93" s="6" t="s">
        <v>10163</v>
      </c>
      <c r="M93" s="6" t="s">
        <v>10164</v>
      </c>
      <c r="N93" s="6"/>
      <c r="O93" s="6"/>
      <c r="P93" s="6"/>
      <c r="Q93" s="6" t="s">
        <v>10171</v>
      </c>
      <c r="R93" s="6" t="s">
        <v>10172</v>
      </c>
      <c r="S93" s="44" t="s">
        <v>252</v>
      </c>
    </row>
    <row r="94" spans="1:19" ht="15" customHeight="1" x14ac:dyDescent="0.3">
      <c r="A94" s="6" t="s">
        <v>9276</v>
      </c>
      <c r="B94" s="6" t="s">
        <v>128</v>
      </c>
      <c r="C94" s="6" t="s">
        <v>9539</v>
      </c>
      <c r="D94" s="6">
        <v>2024</v>
      </c>
      <c r="E94" s="6" t="s">
        <v>9450</v>
      </c>
      <c r="F94" s="6" t="s">
        <v>9282</v>
      </c>
      <c r="G94" s="6" t="s">
        <v>9541</v>
      </c>
      <c r="H94" s="6" t="s">
        <v>10173</v>
      </c>
      <c r="I94" s="6" t="s">
        <v>10168</v>
      </c>
      <c r="J94" s="6" t="s">
        <v>10174</v>
      </c>
      <c r="K94" s="6" t="s">
        <v>10170</v>
      </c>
      <c r="L94" s="6" t="s">
        <v>10163</v>
      </c>
      <c r="M94" s="6" t="s">
        <v>10175</v>
      </c>
      <c r="N94" s="6"/>
      <c r="O94" s="6"/>
      <c r="P94" s="6"/>
      <c r="Q94" s="6" t="s">
        <v>10176</v>
      </c>
      <c r="R94" s="6" t="s">
        <v>10177</v>
      </c>
      <c r="S94" s="44" t="s">
        <v>252</v>
      </c>
    </row>
    <row r="95" spans="1:19" ht="15" customHeight="1" x14ac:dyDescent="0.3">
      <c r="A95" s="6"/>
      <c r="B95" s="6"/>
      <c r="C95" s="6"/>
      <c r="D95" s="6"/>
      <c r="E95" s="6"/>
      <c r="F95" s="6"/>
      <c r="G95" s="6"/>
      <c r="H95" s="6"/>
      <c r="I95" s="6"/>
      <c r="J95" s="6"/>
      <c r="K95" s="6"/>
      <c r="L95" s="6"/>
      <c r="M95" s="6"/>
      <c r="N95" s="6"/>
      <c r="O95" s="6"/>
      <c r="P95" s="6"/>
      <c r="Q95" s="6"/>
      <c r="R95" s="6"/>
      <c r="S95" s="44"/>
    </row>
    <row r="96" spans="1:19" ht="15" customHeight="1" x14ac:dyDescent="0.3">
      <c r="A96" s="6"/>
      <c r="B96" s="6"/>
      <c r="C96" s="6"/>
      <c r="D96" s="6"/>
      <c r="E96" s="6"/>
      <c r="F96" s="6"/>
      <c r="G96" s="6"/>
      <c r="H96" s="6"/>
      <c r="I96" s="6"/>
      <c r="J96" s="6"/>
      <c r="K96" s="6"/>
      <c r="L96" s="6"/>
      <c r="M96" s="6"/>
      <c r="N96" s="6"/>
      <c r="O96" s="6"/>
      <c r="P96" s="6"/>
      <c r="Q96" s="6"/>
      <c r="R96" s="6"/>
      <c r="S96" s="44"/>
    </row>
    <row r="97" spans="1:19" ht="15" customHeight="1" x14ac:dyDescent="0.3">
      <c r="A97" s="6"/>
      <c r="B97" s="6"/>
      <c r="C97" s="6"/>
      <c r="D97" s="6"/>
      <c r="E97" s="6"/>
      <c r="F97" s="6"/>
      <c r="G97" s="6"/>
      <c r="H97" s="6"/>
      <c r="I97" s="6"/>
      <c r="J97" s="6"/>
      <c r="K97" s="6"/>
      <c r="L97" s="6"/>
      <c r="M97" s="6"/>
      <c r="N97" s="6"/>
      <c r="O97" s="6"/>
      <c r="P97" s="6"/>
      <c r="Q97" s="6"/>
      <c r="R97" s="6"/>
      <c r="S97" s="44"/>
    </row>
    <row r="98" spans="1:19" ht="15" customHeight="1" x14ac:dyDescent="0.3">
      <c r="A98" s="6"/>
      <c r="B98" s="6"/>
      <c r="C98" s="6"/>
      <c r="D98" s="6"/>
      <c r="E98" s="6"/>
      <c r="F98" s="6"/>
      <c r="G98" s="6"/>
      <c r="H98" s="6"/>
      <c r="I98" s="6"/>
      <c r="J98" s="6"/>
      <c r="K98" s="6"/>
      <c r="L98" s="6"/>
      <c r="M98" s="6"/>
      <c r="N98" s="6"/>
      <c r="O98" s="6"/>
      <c r="P98" s="6"/>
      <c r="Q98" s="6"/>
      <c r="R98" s="6"/>
      <c r="S98" s="44"/>
    </row>
    <row r="99" spans="1:19" ht="15" customHeight="1" x14ac:dyDescent="0.3">
      <c r="A99" s="6"/>
      <c r="B99" s="6"/>
      <c r="C99" s="6"/>
      <c r="D99" s="6"/>
      <c r="E99" s="6"/>
      <c r="F99" s="6"/>
      <c r="G99" s="6"/>
      <c r="H99" s="6"/>
      <c r="I99" s="6"/>
      <c r="J99" s="6"/>
      <c r="K99" s="6"/>
      <c r="L99" s="6"/>
      <c r="M99" s="6"/>
      <c r="N99" s="6"/>
      <c r="O99" s="6"/>
      <c r="P99" s="6"/>
      <c r="Q99" s="6"/>
      <c r="R99" s="6"/>
      <c r="S99" s="44"/>
    </row>
    <row r="100" spans="1:19" ht="15" customHeight="1" x14ac:dyDescent="0.3">
      <c r="A100" s="6"/>
      <c r="B100" s="6"/>
      <c r="C100" s="6"/>
      <c r="D100" s="6"/>
      <c r="E100" s="6"/>
      <c r="F100" s="6"/>
      <c r="G100" s="6"/>
      <c r="H100" s="6"/>
      <c r="I100" s="6"/>
      <c r="J100" s="6"/>
      <c r="K100" s="6"/>
      <c r="L100" s="6"/>
      <c r="M100" s="6"/>
      <c r="N100" s="6"/>
      <c r="O100" s="6"/>
      <c r="P100" s="6"/>
      <c r="Q100" s="6"/>
      <c r="R100" s="6"/>
      <c r="S100" s="44"/>
    </row>
    <row r="101" spans="1:19" ht="15" customHeight="1" x14ac:dyDescent="0.3">
      <c r="A101" s="6"/>
      <c r="B101" s="6"/>
      <c r="C101" s="6"/>
      <c r="D101" s="6"/>
      <c r="E101" s="6"/>
      <c r="F101" s="6"/>
      <c r="G101" s="6"/>
      <c r="H101" s="6"/>
      <c r="I101" s="6"/>
      <c r="J101" s="6"/>
      <c r="K101" s="6"/>
      <c r="L101" s="6"/>
      <c r="M101" s="6"/>
      <c r="N101" s="6"/>
      <c r="O101" s="6"/>
      <c r="P101" s="6"/>
      <c r="Q101" s="6"/>
      <c r="R101" s="6"/>
      <c r="S101" s="44"/>
    </row>
    <row r="102" spans="1:19" ht="15" customHeight="1" x14ac:dyDescent="0.3">
      <c r="A102" s="6"/>
      <c r="B102" s="6"/>
      <c r="C102" s="6"/>
      <c r="D102" s="6"/>
      <c r="E102" s="6"/>
      <c r="F102" s="6"/>
      <c r="G102" s="6"/>
      <c r="H102" s="6"/>
      <c r="I102" s="6"/>
      <c r="J102" s="6"/>
      <c r="K102" s="6"/>
      <c r="L102" s="6"/>
      <c r="M102" s="6"/>
      <c r="N102" s="6"/>
      <c r="O102" s="6"/>
      <c r="P102" s="6"/>
      <c r="Q102" s="6"/>
      <c r="R102" s="6"/>
      <c r="S102" s="44"/>
    </row>
    <row r="103" spans="1:19" ht="15" customHeight="1" x14ac:dyDescent="0.3">
      <c r="A103" s="6"/>
      <c r="B103" s="6"/>
      <c r="C103" s="6"/>
      <c r="D103" s="6"/>
      <c r="E103" s="6"/>
      <c r="F103" s="6"/>
      <c r="G103" s="6"/>
      <c r="H103" s="6"/>
      <c r="I103" s="6"/>
      <c r="J103" s="6"/>
      <c r="K103" s="6"/>
      <c r="L103" s="6"/>
      <c r="M103" s="6"/>
      <c r="N103" s="6"/>
      <c r="O103" s="6"/>
      <c r="P103" s="6"/>
      <c r="Q103" s="6"/>
      <c r="R103" s="6"/>
      <c r="S103" s="44"/>
    </row>
    <row r="104" spans="1:19" ht="15" customHeight="1" x14ac:dyDescent="0.3">
      <c r="A104" s="6"/>
      <c r="B104" s="6"/>
      <c r="C104" s="6"/>
      <c r="D104" s="6"/>
      <c r="E104" s="6"/>
      <c r="F104" s="6"/>
      <c r="G104" s="6"/>
      <c r="H104" s="6"/>
      <c r="I104" s="6"/>
      <c r="J104" s="6"/>
      <c r="K104" s="6"/>
      <c r="L104" s="6"/>
      <c r="M104" s="6"/>
      <c r="N104" s="6"/>
      <c r="O104" s="6"/>
      <c r="P104" s="6"/>
      <c r="Q104" s="6"/>
      <c r="R104" s="6"/>
      <c r="S104" s="44"/>
    </row>
    <row r="105" spans="1:19" ht="15" customHeight="1" x14ac:dyDescent="0.3">
      <c r="A105" s="6"/>
      <c r="B105" s="6"/>
      <c r="C105" s="6"/>
      <c r="D105" s="6"/>
      <c r="E105" s="6"/>
      <c r="F105" s="6"/>
      <c r="G105" s="6"/>
      <c r="H105" s="6"/>
      <c r="I105" s="6"/>
      <c r="J105" s="6"/>
      <c r="K105" s="6"/>
      <c r="L105" s="6"/>
      <c r="M105" s="6"/>
      <c r="N105" s="6"/>
      <c r="O105" s="6"/>
      <c r="P105" s="6"/>
      <c r="Q105" s="6"/>
      <c r="R105" s="6"/>
      <c r="S105" s="44"/>
    </row>
    <row r="106" spans="1:19" ht="15" customHeight="1" x14ac:dyDescent="0.3">
      <c r="A106" s="6"/>
      <c r="B106" s="6"/>
      <c r="C106" s="6"/>
      <c r="D106" s="6"/>
      <c r="E106" s="6"/>
      <c r="F106" s="6"/>
      <c r="G106" s="6"/>
      <c r="H106" s="6"/>
      <c r="I106" s="6"/>
      <c r="J106" s="6"/>
      <c r="K106" s="6"/>
      <c r="L106" s="6"/>
      <c r="M106" s="6"/>
      <c r="N106" s="6"/>
      <c r="O106" s="6"/>
      <c r="P106" s="6"/>
      <c r="Q106" s="6"/>
      <c r="R106" s="6"/>
      <c r="S106" s="44"/>
    </row>
    <row r="107" spans="1:19" ht="15" customHeight="1" x14ac:dyDescent="0.3">
      <c r="A107" s="6"/>
      <c r="B107" s="6"/>
      <c r="C107" s="6"/>
      <c r="D107" s="6"/>
      <c r="E107" s="6"/>
      <c r="F107" s="6"/>
      <c r="G107" s="6"/>
      <c r="H107" s="6"/>
      <c r="I107" s="6"/>
      <c r="J107" s="6"/>
      <c r="K107" s="6"/>
      <c r="L107" s="6"/>
      <c r="M107" s="6"/>
      <c r="N107" s="6"/>
      <c r="O107" s="6"/>
      <c r="P107" s="6"/>
      <c r="Q107" s="6"/>
      <c r="R107" s="6"/>
      <c r="S107" s="44"/>
    </row>
    <row r="108" spans="1:19" ht="15" customHeight="1" x14ac:dyDescent="0.3">
      <c r="A108" s="6"/>
      <c r="B108" s="6"/>
      <c r="C108" s="6"/>
      <c r="D108" s="6"/>
      <c r="E108" s="6"/>
      <c r="F108" s="6"/>
      <c r="G108" s="6"/>
      <c r="H108" s="6"/>
      <c r="I108" s="6"/>
      <c r="J108" s="6"/>
      <c r="K108" s="6"/>
      <c r="L108" s="6"/>
      <c r="M108" s="6"/>
      <c r="N108" s="6"/>
      <c r="O108" s="6"/>
      <c r="P108" s="6"/>
      <c r="Q108" s="6"/>
      <c r="R108" s="6"/>
      <c r="S108" s="44"/>
    </row>
    <row r="109" spans="1:19" ht="15" customHeight="1" x14ac:dyDescent="0.3">
      <c r="A109" s="6"/>
      <c r="B109" s="6"/>
      <c r="C109" s="6"/>
      <c r="D109" s="6"/>
      <c r="E109" s="6"/>
      <c r="F109" s="6"/>
      <c r="G109" s="6"/>
      <c r="H109" s="6"/>
      <c r="I109" s="6"/>
      <c r="J109" s="6"/>
      <c r="K109" s="6"/>
      <c r="L109" s="6"/>
      <c r="M109" s="6"/>
      <c r="N109" s="6"/>
      <c r="O109" s="6"/>
      <c r="P109" s="6"/>
      <c r="Q109" s="6"/>
      <c r="R109" s="6"/>
      <c r="S109" s="44"/>
    </row>
    <row r="110" spans="1:19" ht="15" customHeight="1" x14ac:dyDescent="0.3">
      <c r="A110" s="6"/>
      <c r="B110" s="6"/>
      <c r="C110" s="6"/>
      <c r="D110" s="6"/>
      <c r="E110" s="6"/>
      <c r="F110" s="6"/>
      <c r="G110" s="6"/>
      <c r="H110" s="6"/>
      <c r="I110" s="6"/>
      <c r="J110" s="6"/>
      <c r="K110" s="6"/>
      <c r="L110" s="6"/>
      <c r="M110" s="6"/>
      <c r="N110" s="6"/>
      <c r="O110" s="6"/>
      <c r="P110" s="6"/>
      <c r="Q110" s="6"/>
      <c r="R110" s="6"/>
      <c r="S110" s="44"/>
    </row>
    <row r="111" spans="1:19" ht="15" customHeight="1" x14ac:dyDescent="0.3">
      <c r="A111" s="6"/>
      <c r="B111" s="6"/>
      <c r="C111" s="6"/>
      <c r="D111" s="6"/>
      <c r="E111" s="6"/>
      <c r="F111" s="6"/>
      <c r="G111" s="6"/>
      <c r="H111" s="6"/>
      <c r="I111" s="6"/>
      <c r="J111" s="6"/>
      <c r="K111" s="6"/>
      <c r="L111" s="6"/>
      <c r="M111" s="6"/>
      <c r="N111" s="6"/>
      <c r="O111" s="6"/>
      <c r="P111" s="6"/>
      <c r="Q111" s="6"/>
      <c r="R111" s="6"/>
      <c r="S111" s="44"/>
    </row>
    <row r="112" spans="1:19" ht="15" customHeight="1" x14ac:dyDescent="0.3">
      <c r="A112" s="6"/>
      <c r="B112" s="6"/>
      <c r="C112" s="6"/>
      <c r="D112" s="6"/>
      <c r="E112" s="6"/>
      <c r="F112" s="6"/>
      <c r="G112" s="6"/>
      <c r="H112" s="6"/>
      <c r="I112" s="6"/>
      <c r="J112" s="6"/>
      <c r="K112" s="6"/>
      <c r="L112" s="6"/>
      <c r="M112" s="6"/>
      <c r="N112" s="6"/>
      <c r="O112" s="6"/>
      <c r="P112" s="6"/>
      <c r="Q112" s="6"/>
      <c r="R112" s="6"/>
      <c r="S112" s="44"/>
    </row>
    <row r="113" spans="1:19" ht="15" customHeight="1" x14ac:dyDescent="0.3">
      <c r="A113" s="6"/>
      <c r="B113" s="6"/>
      <c r="C113" s="6"/>
      <c r="D113" s="6"/>
      <c r="E113" s="6"/>
      <c r="F113" s="6"/>
      <c r="G113" s="6"/>
      <c r="H113" s="6"/>
      <c r="I113" s="6"/>
      <c r="J113" s="6"/>
      <c r="K113" s="6"/>
      <c r="L113" s="6"/>
      <c r="M113" s="6"/>
      <c r="N113" s="6"/>
      <c r="O113" s="6"/>
      <c r="P113" s="6"/>
      <c r="Q113" s="6"/>
      <c r="R113" s="6"/>
      <c r="S113" s="44"/>
    </row>
    <row r="114" spans="1:19" ht="15" customHeight="1" x14ac:dyDescent="0.3">
      <c r="A114" s="6"/>
      <c r="B114" s="6"/>
      <c r="C114" s="6"/>
      <c r="D114" s="6"/>
      <c r="E114" s="6"/>
      <c r="F114" s="6"/>
      <c r="G114" s="6"/>
      <c r="H114" s="6"/>
      <c r="I114" s="6"/>
      <c r="J114" s="6"/>
      <c r="K114" s="6"/>
      <c r="L114" s="6"/>
      <c r="M114" s="6"/>
      <c r="N114" s="6"/>
      <c r="O114" s="6"/>
      <c r="P114" s="6"/>
      <c r="Q114" s="6"/>
      <c r="R114" s="6"/>
      <c r="S114" s="44"/>
    </row>
    <row r="115" spans="1:19" ht="15" customHeight="1" x14ac:dyDescent="0.3">
      <c r="A115" s="6"/>
      <c r="B115" s="6"/>
      <c r="C115" s="6"/>
      <c r="D115" s="6"/>
      <c r="E115" s="6"/>
      <c r="F115" s="6"/>
      <c r="G115" s="6"/>
      <c r="H115" s="6"/>
      <c r="I115" s="6"/>
      <c r="J115" s="6"/>
      <c r="K115" s="6"/>
      <c r="L115" s="6"/>
      <c r="M115" s="6"/>
      <c r="N115" s="6"/>
      <c r="O115" s="6"/>
      <c r="P115" s="6"/>
      <c r="Q115" s="6"/>
      <c r="R115" s="6"/>
      <c r="S115" s="44"/>
    </row>
    <row r="116" spans="1:19" ht="15" customHeight="1" x14ac:dyDescent="0.3">
      <c r="A116" s="6"/>
      <c r="B116" s="6"/>
      <c r="C116" s="6"/>
      <c r="D116" s="6"/>
      <c r="E116" s="6"/>
      <c r="F116" s="6"/>
      <c r="G116" s="6"/>
      <c r="H116" s="6"/>
      <c r="I116" s="6"/>
      <c r="J116" s="6"/>
      <c r="K116" s="6"/>
      <c r="L116" s="6"/>
      <c r="M116" s="6"/>
      <c r="N116" s="6"/>
      <c r="O116" s="6"/>
      <c r="P116" s="6"/>
      <c r="Q116" s="6"/>
      <c r="R116" s="6"/>
      <c r="S116" s="44"/>
    </row>
    <row r="117" spans="1:19" ht="15" customHeight="1" x14ac:dyDescent="0.3">
      <c r="A117" s="6"/>
      <c r="B117" s="6"/>
      <c r="C117" s="6"/>
      <c r="D117" s="6"/>
      <c r="E117" s="6"/>
      <c r="F117" s="6"/>
      <c r="G117" s="6"/>
      <c r="H117" s="6"/>
      <c r="I117" s="6"/>
      <c r="J117" s="6"/>
      <c r="K117" s="6"/>
      <c r="L117" s="6"/>
      <c r="M117" s="6"/>
      <c r="N117" s="6"/>
      <c r="O117" s="6"/>
      <c r="P117" s="6"/>
      <c r="Q117" s="6"/>
      <c r="R117" s="6"/>
      <c r="S117" s="44"/>
    </row>
    <row r="118" spans="1:19" ht="15" customHeight="1" x14ac:dyDescent="0.3">
      <c r="A118" s="6"/>
      <c r="B118" s="6"/>
      <c r="C118" s="6"/>
      <c r="D118" s="6"/>
      <c r="E118" s="6"/>
      <c r="F118" s="6"/>
      <c r="G118" s="6"/>
      <c r="H118" s="6"/>
      <c r="I118" s="6"/>
      <c r="J118" s="6"/>
      <c r="K118" s="6"/>
      <c r="L118" s="6"/>
      <c r="M118" s="6"/>
      <c r="N118" s="6"/>
      <c r="O118" s="6"/>
      <c r="P118" s="6"/>
      <c r="Q118" s="6"/>
      <c r="R118" s="6"/>
      <c r="S118" s="44"/>
    </row>
    <row r="119" spans="1:19" ht="15" customHeight="1" x14ac:dyDescent="0.3">
      <c r="A119" s="6"/>
      <c r="B119" s="6"/>
      <c r="C119" s="6"/>
      <c r="D119" s="6"/>
      <c r="E119" s="6"/>
      <c r="F119" s="6"/>
      <c r="G119" s="6"/>
      <c r="H119" s="6"/>
      <c r="I119" s="6"/>
      <c r="J119" s="6"/>
      <c r="K119" s="6"/>
      <c r="L119" s="6"/>
      <c r="M119" s="6"/>
      <c r="N119" s="6"/>
      <c r="O119" s="6"/>
      <c r="P119" s="6"/>
      <c r="Q119" s="6"/>
      <c r="R119" s="6"/>
      <c r="S119" s="44"/>
    </row>
    <row r="120" spans="1:19" ht="15" customHeight="1" x14ac:dyDescent="0.3">
      <c r="A120" s="6"/>
      <c r="B120" s="6"/>
      <c r="C120" s="6"/>
      <c r="D120" s="6"/>
      <c r="E120" s="6"/>
      <c r="F120" s="6"/>
      <c r="G120" s="6"/>
      <c r="H120" s="6"/>
      <c r="I120" s="6"/>
      <c r="J120" s="6"/>
      <c r="K120" s="6"/>
      <c r="L120" s="6"/>
      <c r="M120" s="6"/>
      <c r="N120" s="6"/>
      <c r="O120" s="6"/>
      <c r="P120" s="6"/>
      <c r="Q120" s="6"/>
      <c r="R120" s="6"/>
      <c r="S120" s="44"/>
    </row>
    <row r="121" spans="1:19" ht="15" customHeight="1" x14ac:dyDescent="0.3">
      <c r="A121" s="6"/>
      <c r="B121" s="6"/>
      <c r="C121" s="6"/>
      <c r="D121" s="6"/>
      <c r="E121" s="6"/>
      <c r="F121" s="6"/>
      <c r="G121" s="6"/>
      <c r="H121" s="6"/>
      <c r="I121" s="6"/>
      <c r="J121" s="6"/>
      <c r="K121" s="6"/>
      <c r="L121" s="6"/>
      <c r="M121" s="6"/>
      <c r="N121" s="6"/>
      <c r="O121" s="6"/>
      <c r="P121" s="6"/>
      <c r="Q121" s="6"/>
      <c r="R121" s="6"/>
      <c r="S121" s="44"/>
    </row>
    <row r="122" spans="1:19" ht="15" customHeight="1" x14ac:dyDescent="0.3">
      <c r="A122" s="6"/>
      <c r="B122" s="6"/>
      <c r="C122" s="6"/>
      <c r="D122" s="6"/>
      <c r="E122" s="6"/>
      <c r="F122" s="6"/>
      <c r="G122" s="6"/>
      <c r="H122" s="6"/>
      <c r="I122" s="6"/>
      <c r="J122" s="6"/>
      <c r="K122" s="6"/>
      <c r="L122" s="6"/>
      <c r="M122" s="6"/>
      <c r="N122" s="6"/>
      <c r="O122" s="6"/>
      <c r="P122" s="6"/>
      <c r="Q122" s="6"/>
      <c r="R122" s="6"/>
      <c r="S122" s="44"/>
    </row>
    <row r="123" spans="1:19" ht="15" customHeight="1" x14ac:dyDescent="0.3">
      <c r="A123" s="6"/>
      <c r="B123" s="6"/>
      <c r="C123" s="6"/>
      <c r="D123" s="6"/>
      <c r="E123" s="6"/>
      <c r="F123" s="6"/>
      <c r="G123" s="6"/>
      <c r="H123" s="6"/>
      <c r="I123" s="6"/>
      <c r="J123" s="6"/>
      <c r="K123" s="6"/>
      <c r="L123" s="6"/>
      <c r="M123" s="6"/>
      <c r="N123" s="6"/>
      <c r="O123" s="6"/>
      <c r="P123" s="6"/>
      <c r="Q123" s="6"/>
      <c r="R123" s="6"/>
      <c r="S123" s="44"/>
    </row>
    <row r="124" spans="1:19" ht="15" customHeight="1" x14ac:dyDescent="0.3">
      <c r="A124" s="6"/>
      <c r="B124" s="6"/>
      <c r="C124" s="6"/>
      <c r="D124" s="6"/>
      <c r="E124" s="6"/>
      <c r="F124" s="6"/>
      <c r="G124" s="6"/>
      <c r="H124" s="6"/>
      <c r="I124" s="6"/>
      <c r="J124" s="6"/>
      <c r="K124" s="6"/>
      <c r="L124" s="6"/>
      <c r="M124" s="6"/>
      <c r="N124" s="6"/>
      <c r="O124" s="6"/>
      <c r="P124" s="6"/>
      <c r="Q124" s="6"/>
      <c r="R124" s="6"/>
      <c r="S124" s="44"/>
    </row>
    <row r="125" spans="1:19" ht="15" customHeight="1" x14ac:dyDescent="0.3">
      <c r="A125" s="6"/>
      <c r="B125" s="6"/>
      <c r="C125" s="6"/>
      <c r="D125" s="6"/>
      <c r="E125" s="6"/>
      <c r="F125" s="6"/>
      <c r="G125" s="6"/>
      <c r="H125" s="6"/>
      <c r="I125" s="6"/>
      <c r="J125" s="6"/>
      <c r="K125" s="6"/>
      <c r="L125" s="6"/>
      <c r="M125" s="6"/>
      <c r="N125" s="6"/>
      <c r="O125" s="6"/>
      <c r="P125" s="6"/>
      <c r="Q125" s="6"/>
      <c r="R125" s="6"/>
      <c r="S125" s="44"/>
    </row>
    <row r="126" spans="1:19" ht="15" customHeight="1" x14ac:dyDescent="0.3">
      <c r="A126" s="6"/>
      <c r="B126" s="6"/>
      <c r="C126" s="6"/>
      <c r="D126" s="6"/>
      <c r="E126" s="6"/>
      <c r="F126" s="6"/>
      <c r="G126" s="6"/>
      <c r="H126" s="6"/>
      <c r="I126" s="6"/>
      <c r="J126" s="6"/>
      <c r="K126" s="6"/>
      <c r="L126" s="6"/>
      <c r="M126" s="6"/>
      <c r="N126" s="6"/>
      <c r="O126" s="6"/>
      <c r="P126" s="6"/>
      <c r="Q126" s="6"/>
      <c r="R126" s="6"/>
      <c r="S126" s="44"/>
    </row>
    <row r="127" spans="1:19" ht="15" customHeight="1" x14ac:dyDescent="0.3">
      <c r="A127" s="6"/>
      <c r="B127" s="6"/>
      <c r="C127" s="6"/>
      <c r="D127" s="6"/>
      <c r="E127" s="6"/>
      <c r="F127" s="6"/>
      <c r="G127" s="6"/>
      <c r="H127" s="6"/>
      <c r="I127" s="6"/>
      <c r="J127" s="6"/>
      <c r="K127" s="6"/>
      <c r="L127" s="6"/>
      <c r="M127" s="6"/>
      <c r="N127" s="6"/>
      <c r="O127" s="6"/>
      <c r="P127" s="6"/>
      <c r="Q127" s="6"/>
      <c r="R127" s="6"/>
      <c r="S127" s="44"/>
    </row>
    <row r="128" spans="1:19" ht="15" customHeight="1" x14ac:dyDescent="0.3">
      <c r="A128" s="6"/>
      <c r="B128" s="6"/>
      <c r="C128" s="6"/>
      <c r="D128" s="6"/>
      <c r="E128" s="6"/>
      <c r="F128" s="6"/>
      <c r="G128" s="6"/>
      <c r="H128" s="6"/>
      <c r="I128" s="6"/>
      <c r="J128" s="6"/>
      <c r="K128" s="6"/>
      <c r="L128" s="6"/>
      <c r="M128" s="6"/>
      <c r="N128" s="6"/>
      <c r="O128" s="6"/>
      <c r="P128" s="6"/>
      <c r="Q128" s="6"/>
      <c r="R128" s="6"/>
      <c r="S128" s="44"/>
    </row>
    <row r="129" spans="1:19" ht="15" customHeight="1" x14ac:dyDescent="0.3">
      <c r="A129" s="6"/>
      <c r="B129" s="6"/>
      <c r="C129" s="6"/>
      <c r="D129" s="6"/>
      <c r="E129" s="6"/>
      <c r="F129" s="6"/>
      <c r="G129" s="6"/>
      <c r="H129" s="6"/>
      <c r="I129" s="6"/>
      <c r="J129" s="6"/>
      <c r="K129" s="6"/>
      <c r="L129" s="6"/>
      <c r="M129" s="6"/>
      <c r="N129" s="6"/>
      <c r="O129" s="6"/>
      <c r="P129" s="6"/>
      <c r="Q129" s="6"/>
      <c r="R129" s="6"/>
      <c r="S129" s="44"/>
    </row>
    <row r="130" spans="1:19" ht="15" customHeight="1" x14ac:dyDescent="0.3">
      <c r="A130" s="6"/>
      <c r="B130" s="6"/>
      <c r="C130" s="6"/>
      <c r="D130" s="6"/>
      <c r="E130" s="6"/>
      <c r="F130" s="6"/>
      <c r="G130" s="6"/>
      <c r="H130" s="6"/>
      <c r="I130" s="6"/>
      <c r="J130" s="6"/>
      <c r="K130" s="6"/>
      <c r="L130" s="6"/>
      <c r="M130" s="6"/>
      <c r="N130" s="6"/>
      <c r="O130" s="6"/>
      <c r="P130" s="6"/>
      <c r="Q130" s="6"/>
      <c r="R130" s="6"/>
      <c r="S130" s="44"/>
    </row>
    <row r="131" spans="1:19" ht="15" customHeight="1" x14ac:dyDescent="0.3">
      <c r="A131" s="6"/>
      <c r="B131" s="6"/>
      <c r="C131" s="6"/>
      <c r="D131" s="6"/>
      <c r="E131" s="6"/>
      <c r="F131" s="6"/>
      <c r="G131" s="6"/>
      <c r="H131" s="6"/>
      <c r="I131" s="6"/>
      <c r="J131" s="6"/>
      <c r="K131" s="6"/>
      <c r="L131" s="6"/>
      <c r="M131" s="6"/>
      <c r="N131" s="6"/>
      <c r="O131" s="6"/>
      <c r="P131" s="6"/>
      <c r="Q131" s="6"/>
      <c r="R131" s="6"/>
      <c r="S131" s="44"/>
    </row>
    <row r="132" spans="1:19" ht="15" customHeight="1" x14ac:dyDescent="0.3">
      <c r="A132" s="6"/>
      <c r="B132" s="6"/>
      <c r="C132" s="6"/>
      <c r="D132" s="6"/>
      <c r="E132" s="6"/>
      <c r="F132" s="6"/>
      <c r="G132" s="6"/>
      <c r="H132" s="6"/>
      <c r="I132" s="6"/>
      <c r="J132" s="6"/>
      <c r="K132" s="6"/>
      <c r="L132" s="6"/>
      <c r="M132" s="6"/>
      <c r="N132" s="6"/>
      <c r="O132" s="6"/>
      <c r="P132" s="6"/>
      <c r="Q132" s="6"/>
      <c r="R132" s="6"/>
      <c r="S132" s="44"/>
    </row>
    <row r="133" spans="1:19" ht="15" customHeight="1" x14ac:dyDescent="0.3">
      <c r="A133" s="6"/>
      <c r="B133" s="6"/>
      <c r="C133" s="6"/>
      <c r="D133" s="6"/>
      <c r="E133" s="6"/>
      <c r="F133" s="6"/>
      <c r="G133" s="6"/>
      <c r="H133" s="6"/>
      <c r="I133" s="6"/>
      <c r="J133" s="6"/>
      <c r="K133" s="6"/>
      <c r="L133" s="6"/>
      <c r="M133" s="6"/>
      <c r="N133" s="6"/>
      <c r="O133" s="6"/>
      <c r="P133" s="6"/>
      <c r="Q133" s="6"/>
      <c r="R133" s="6"/>
      <c r="S133" s="44"/>
    </row>
    <row r="134" spans="1:19" ht="15" customHeight="1" x14ac:dyDescent="0.3">
      <c r="A134" s="6"/>
      <c r="B134" s="6"/>
      <c r="C134" s="6"/>
      <c r="D134" s="6"/>
      <c r="E134" s="6"/>
      <c r="F134" s="6"/>
      <c r="G134" s="6"/>
      <c r="H134" s="6"/>
      <c r="I134" s="6"/>
      <c r="J134" s="6"/>
      <c r="K134" s="6"/>
      <c r="L134" s="6"/>
      <c r="M134" s="6"/>
      <c r="N134" s="6"/>
      <c r="O134" s="6"/>
      <c r="P134" s="6"/>
      <c r="Q134" s="6"/>
      <c r="R134" s="6"/>
      <c r="S134" s="44"/>
    </row>
    <row r="135" spans="1:19" ht="15" customHeight="1" x14ac:dyDescent="0.3">
      <c r="A135" s="6"/>
      <c r="B135" s="6"/>
      <c r="C135" s="6"/>
      <c r="D135" s="6"/>
      <c r="E135" s="6"/>
      <c r="F135" s="6"/>
      <c r="G135" s="6"/>
      <c r="H135" s="6"/>
      <c r="I135" s="6"/>
      <c r="J135" s="6"/>
      <c r="K135" s="6"/>
      <c r="L135" s="6"/>
      <c r="M135" s="6"/>
      <c r="N135" s="6"/>
      <c r="O135" s="6"/>
      <c r="P135" s="6"/>
      <c r="Q135" s="6"/>
      <c r="R135" s="6"/>
      <c r="S135" s="44"/>
    </row>
    <row r="136" spans="1:19" ht="15" customHeight="1" x14ac:dyDescent="0.3">
      <c r="A136" s="6"/>
      <c r="B136" s="6"/>
      <c r="C136" s="6"/>
      <c r="D136" s="6"/>
      <c r="E136" s="6"/>
      <c r="F136" s="6"/>
      <c r="G136" s="6"/>
      <c r="H136" s="6"/>
      <c r="I136" s="6"/>
      <c r="J136" s="6"/>
      <c r="K136" s="6"/>
      <c r="L136" s="6"/>
      <c r="M136" s="6"/>
      <c r="N136" s="6"/>
      <c r="O136" s="6"/>
      <c r="P136" s="6"/>
      <c r="Q136" s="6"/>
      <c r="R136" s="6"/>
      <c r="S136" s="44"/>
    </row>
    <row r="137" spans="1:19" ht="15" customHeight="1" x14ac:dyDescent="0.3">
      <c r="A137" s="6"/>
      <c r="B137" s="6"/>
      <c r="C137" s="6"/>
      <c r="D137" s="6"/>
      <c r="E137" s="6"/>
      <c r="F137" s="6"/>
      <c r="G137" s="6"/>
      <c r="H137" s="6"/>
      <c r="I137" s="6"/>
      <c r="J137" s="6"/>
      <c r="K137" s="6"/>
      <c r="L137" s="6"/>
      <c r="M137" s="6"/>
      <c r="N137" s="6"/>
      <c r="O137" s="6"/>
      <c r="P137" s="6"/>
      <c r="Q137" s="6"/>
      <c r="R137" s="6"/>
      <c r="S137" s="44"/>
    </row>
    <row r="138" spans="1:19" ht="15" customHeight="1" x14ac:dyDescent="0.3">
      <c r="A138" s="6"/>
      <c r="B138" s="6"/>
      <c r="C138" s="6"/>
      <c r="D138" s="6"/>
      <c r="E138" s="6"/>
      <c r="F138" s="6"/>
      <c r="G138" s="6"/>
      <c r="H138" s="6"/>
      <c r="I138" s="6"/>
      <c r="J138" s="6"/>
      <c r="K138" s="6"/>
      <c r="L138" s="6"/>
      <c r="M138" s="6"/>
      <c r="N138" s="6"/>
      <c r="O138" s="6"/>
      <c r="P138" s="6"/>
      <c r="Q138" s="6"/>
      <c r="R138" s="6"/>
      <c r="S138" s="44"/>
    </row>
    <row r="139" spans="1:19" ht="15" customHeight="1" x14ac:dyDescent="0.3">
      <c r="A139" s="6"/>
      <c r="B139" s="6"/>
      <c r="C139" s="6"/>
      <c r="D139" s="6"/>
      <c r="E139" s="6"/>
      <c r="F139" s="6"/>
      <c r="G139" s="6"/>
      <c r="H139" s="6"/>
      <c r="I139" s="6"/>
      <c r="J139" s="6"/>
      <c r="K139" s="6"/>
      <c r="L139" s="6"/>
      <c r="M139" s="6"/>
      <c r="N139" s="6"/>
      <c r="O139" s="6"/>
      <c r="P139" s="6"/>
      <c r="Q139" s="6"/>
      <c r="R139" s="6"/>
      <c r="S139" s="44"/>
    </row>
    <row r="140" spans="1:19" ht="15" customHeight="1" x14ac:dyDescent="0.3">
      <c r="A140" s="6"/>
      <c r="B140" s="6"/>
      <c r="C140" s="6"/>
      <c r="D140" s="6"/>
      <c r="E140" s="6"/>
      <c r="F140" s="6"/>
      <c r="G140" s="6"/>
      <c r="H140" s="6"/>
      <c r="I140" s="6"/>
      <c r="J140" s="6"/>
      <c r="K140" s="6"/>
      <c r="L140" s="6"/>
      <c r="M140" s="6"/>
      <c r="N140" s="6"/>
      <c r="O140" s="6"/>
      <c r="P140" s="6"/>
      <c r="Q140" s="6"/>
      <c r="R140" s="6"/>
      <c r="S140" s="44"/>
    </row>
    <row r="141" spans="1:19" ht="15" customHeight="1" x14ac:dyDescent="0.3">
      <c r="A141" s="6"/>
      <c r="B141" s="6"/>
      <c r="C141" s="6"/>
      <c r="D141" s="6"/>
      <c r="E141" s="6"/>
      <c r="F141" s="6"/>
      <c r="G141" s="6"/>
      <c r="H141" s="6"/>
      <c r="I141" s="6"/>
      <c r="J141" s="6"/>
      <c r="K141" s="6"/>
      <c r="L141" s="6"/>
      <c r="M141" s="6"/>
      <c r="N141" s="6"/>
      <c r="O141" s="6"/>
      <c r="P141" s="6"/>
      <c r="Q141" s="6"/>
      <c r="R141" s="6"/>
      <c r="S141" s="44"/>
    </row>
    <row r="142" spans="1:19" ht="15" customHeight="1" x14ac:dyDescent="0.3">
      <c r="A142" s="6"/>
      <c r="B142" s="6"/>
      <c r="C142" s="6"/>
      <c r="D142" s="6"/>
      <c r="E142" s="6"/>
      <c r="F142" s="6"/>
      <c r="G142" s="6"/>
      <c r="H142" s="6"/>
      <c r="I142" s="6"/>
      <c r="J142" s="6"/>
      <c r="K142" s="6"/>
      <c r="L142" s="6"/>
      <c r="M142" s="6"/>
      <c r="N142" s="6"/>
      <c r="O142" s="6"/>
      <c r="P142" s="6"/>
      <c r="Q142" s="6"/>
      <c r="R142" s="6"/>
      <c r="S142" s="44"/>
    </row>
    <row r="143" spans="1:19" ht="15" customHeight="1" x14ac:dyDescent="0.3">
      <c r="A143" s="6"/>
      <c r="B143" s="6"/>
      <c r="C143" s="6"/>
      <c r="D143" s="6"/>
      <c r="E143" s="6"/>
      <c r="F143" s="6"/>
      <c r="G143" s="6"/>
      <c r="H143" s="6"/>
      <c r="I143" s="6"/>
      <c r="J143" s="6"/>
      <c r="K143" s="6"/>
      <c r="L143" s="6"/>
      <c r="M143" s="6"/>
      <c r="N143" s="6"/>
      <c r="O143" s="6"/>
      <c r="P143" s="6"/>
      <c r="Q143" s="6"/>
      <c r="R143" s="6"/>
      <c r="S143" s="44"/>
    </row>
    <row r="144" spans="1:19" ht="15" customHeight="1" x14ac:dyDescent="0.3">
      <c r="A144" s="6"/>
      <c r="B144" s="6"/>
      <c r="C144" s="6"/>
      <c r="D144" s="6"/>
      <c r="E144" s="6"/>
      <c r="F144" s="6"/>
      <c r="G144" s="6"/>
      <c r="H144" s="6"/>
      <c r="I144" s="6"/>
      <c r="J144" s="6"/>
      <c r="K144" s="6"/>
      <c r="L144" s="6"/>
      <c r="M144" s="6"/>
      <c r="N144" s="6"/>
      <c r="O144" s="6"/>
      <c r="P144" s="6"/>
      <c r="Q144" s="6"/>
      <c r="R144" s="6"/>
      <c r="S144" s="44"/>
    </row>
    <row r="145" spans="1:19" ht="15" customHeight="1" x14ac:dyDescent="0.3">
      <c r="A145" s="6"/>
      <c r="B145" s="6"/>
      <c r="C145" s="6"/>
      <c r="D145" s="6"/>
      <c r="E145" s="6"/>
      <c r="F145" s="6"/>
      <c r="G145" s="6"/>
      <c r="H145" s="6"/>
      <c r="I145" s="6"/>
      <c r="J145" s="6"/>
      <c r="K145" s="6"/>
      <c r="L145" s="6"/>
      <c r="M145" s="6"/>
      <c r="N145" s="6"/>
      <c r="O145" s="6"/>
      <c r="P145" s="6"/>
      <c r="Q145" s="6"/>
      <c r="R145" s="6"/>
      <c r="S145" s="44"/>
    </row>
    <row r="146" spans="1:19" ht="15" customHeight="1" x14ac:dyDescent="0.3">
      <c r="A146" s="6"/>
      <c r="B146" s="6"/>
      <c r="C146" s="6"/>
      <c r="D146" s="6"/>
      <c r="E146" s="6"/>
      <c r="F146" s="6"/>
      <c r="G146" s="6"/>
      <c r="H146" s="6"/>
      <c r="I146" s="6"/>
      <c r="J146" s="6"/>
      <c r="K146" s="6"/>
      <c r="L146" s="6"/>
      <c r="M146" s="6"/>
      <c r="N146" s="6"/>
      <c r="O146" s="6"/>
      <c r="P146" s="6"/>
      <c r="Q146" s="6"/>
      <c r="R146" s="6"/>
      <c r="S146" s="44"/>
    </row>
    <row r="147" spans="1:19" ht="15" customHeight="1" x14ac:dyDescent="0.3">
      <c r="A147" s="6"/>
      <c r="B147" s="6"/>
      <c r="C147" s="6"/>
      <c r="D147" s="6"/>
      <c r="E147" s="6"/>
      <c r="F147" s="6"/>
      <c r="G147" s="6"/>
      <c r="H147" s="6"/>
      <c r="I147" s="6"/>
      <c r="J147" s="6"/>
      <c r="K147" s="6"/>
      <c r="L147" s="6"/>
      <c r="M147" s="6"/>
      <c r="N147" s="6"/>
      <c r="O147" s="6"/>
      <c r="P147" s="6"/>
      <c r="Q147" s="6"/>
      <c r="R147" s="6"/>
      <c r="S147" s="44"/>
    </row>
    <row r="148" spans="1:19" ht="15" customHeight="1" x14ac:dyDescent="0.3">
      <c r="A148" s="6"/>
      <c r="B148" s="6"/>
      <c r="C148" s="6"/>
      <c r="D148" s="6"/>
      <c r="E148" s="6"/>
      <c r="F148" s="6"/>
      <c r="G148" s="6"/>
      <c r="H148" s="6"/>
      <c r="I148" s="6"/>
      <c r="J148" s="6"/>
      <c r="K148" s="6"/>
      <c r="L148" s="6"/>
      <c r="M148" s="6"/>
      <c r="N148" s="6"/>
      <c r="O148" s="6"/>
      <c r="P148" s="6"/>
      <c r="Q148" s="6"/>
      <c r="R148" s="6"/>
      <c r="S148" s="44"/>
    </row>
    <row r="149" spans="1:19" ht="15" customHeight="1" x14ac:dyDescent="0.3">
      <c r="A149" s="6"/>
      <c r="B149" s="6"/>
      <c r="C149" s="6"/>
      <c r="D149" s="6"/>
      <c r="E149" s="6"/>
      <c r="F149" s="6"/>
      <c r="G149" s="6"/>
      <c r="H149" s="6"/>
      <c r="I149" s="6"/>
      <c r="J149" s="6"/>
      <c r="K149" s="6"/>
      <c r="L149" s="6"/>
      <c r="M149" s="6"/>
      <c r="N149" s="6"/>
      <c r="O149" s="6"/>
      <c r="P149" s="6"/>
      <c r="Q149" s="6"/>
      <c r="R149" s="6"/>
      <c r="S149" s="44"/>
    </row>
    <row r="150" spans="1:19" ht="15" customHeight="1" x14ac:dyDescent="0.3">
      <c r="A150" s="6"/>
      <c r="B150" s="6"/>
      <c r="C150" s="6"/>
      <c r="D150" s="6"/>
      <c r="E150" s="6"/>
      <c r="F150" s="6"/>
      <c r="G150" s="6"/>
      <c r="H150" s="6"/>
      <c r="I150" s="6"/>
      <c r="J150" s="6"/>
      <c r="K150" s="6"/>
      <c r="L150" s="6"/>
      <c r="M150" s="6"/>
      <c r="N150" s="6"/>
      <c r="O150" s="6"/>
      <c r="P150" s="6"/>
      <c r="Q150" s="6"/>
      <c r="R150" s="6"/>
      <c r="S150" s="44"/>
    </row>
    <row r="151" spans="1:19" ht="15" customHeight="1" x14ac:dyDescent="0.3">
      <c r="A151" s="6"/>
      <c r="B151" s="6"/>
      <c r="C151" s="6"/>
      <c r="D151" s="6"/>
      <c r="E151" s="6"/>
      <c r="F151" s="6"/>
      <c r="G151" s="6"/>
      <c r="H151" s="6"/>
      <c r="I151" s="6"/>
      <c r="J151" s="6"/>
      <c r="K151" s="6"/>
      <c r="L151" s="6"/>
      <c r="M151" s="6"/>
      <c r="N151" s="6"/>
      <c r="O151" s="6"/>
      <c r="P151" s="6"/>
      <c r="Q151" s="6"/>
      <c r="R151" s="6"/>
      <c r="S151" s="44"/>
    </row>
    <row r="152" spans="1:19" ht="15" customHeight="1" x14ac:dyDescent="0.3">
      <c r="A152" s="6"/>
      <c r="B152" s="6"/>
      <c r="C152" s="6"/>
      <c r="D152" s="6"/>
      <c r="E152" s="6"/>
      <c r="F152" s="6"/>
      <c r="G152" s="6"/>
      <c r="H152" s="6"/>
      <c r="I152" s="6"/>
      <c r="J152" s="6"/>
      <c r="K152" s="6"/>
      <c r="L152" s="6"/>
      <c r="M152" s="6"/>
      <c r="N152" s="6"/>
      <c r="O152" s="6"/>
      <c r="P152" s="6"/>
      <c r="Q152" s="6"/>
      <c r="R152" s="6"/>
      <c r="S152" s="44"/>
    </row>
    <row r="153" spans="1:19" ht="15" customHeight="1" x14ac:dyDescent="0.3">
      <c r="A153" s="6"/>
      <c r="B153" s="6"/>
      <c r="C153" s="6"/>
      <c r="D153" s="6"/>
      <c r="E153" s="6"/>
      <c r="F153" s="6"/>
      <c r="G153" s="6"/>
      <c r="H153" s="6"/>
      <c r="I153" s="6"/>
      <c r="J153" s="6"/>
      <c r="K153" s="6"/>
      <c r="L153" s="6"/>
      <c r="M153" s="6"/>
      <c r="N153" s="6"/>
      <c r="O153" s="6"/>
      <c r="P153" s="6"/>
      <c r="Q153" s="6"/>
      <c r="R153" s="6"/>
      <c r="S153" s="44"/>
    </row>
    <row r="154" spans="1:19" ht="15" customHeight="1" x14ac:dyDescent="0.3">
      <c r="A154" s="6"/>
      <c r="B154" s="6"/>
      <c r="C154" s="6"/>
      <c r="D154" s="6"/>
      <c r="E154" s="6"/>
      <c r="F154" s="6"/>
      <c r="G154" s="6"/>
      <c r="H154" s="6"/>
      <c r="I154" s="6"/>
      <c r="J154" s="6"/>
      <c r="K154" s="6"/>
      <c r="L154" s="6"/>
      <c r="M154" s="6"/>
      <c r="N154" s="6"/>
      <c r="O154" s="6"/>
      <c r="P154" s="6"/>
      <c r="Q154" s="6"/>
      <c r="R154" s="6"/>
      <c r="S154" s="44"/>
    </row>
    <row r="155" spans="1:19" ht="15" customHeight="1" x14ac:dyDescent="0.3">
      <c r="A155" s="6"/>
      <c r="B155" s="6"/>
      <c r="C155" s="6"/>
      <c r="D155" s="6"/>
      <c r="E155" s="6"/>
      <c r="F155" s="6"/>
      <c r="G155" s="6"/>
      <c r="H155" s="6"/>
      <c r="I155" s="6"/>
      <c r="J155" s="6"/>
      <c r="K155" s="6"/>
      <c r="L155" s="6"/>
      <c r="M155" s="6"/>
      <c r="N155" s="6"/>
      <c r="O155" s="6"/>
      <c r="P155" s="6"/>
      <c r="Q155" s="6"/>
      <c r="R155" s="6"/>
      <c r="S155" s="44"/>
    </row>
    <row r="156" spans="1:19" ht="15" customHeight="1" x14ac:dyDescent="0.3">
      <c r="A156" s="6"/>
      <c r="B156" s="6"/>
      <c r="C156" s="6"/>
      <c r="D156" s="6"/>
      <c r="E156" s="6"/>
      <c r="F156" s="6"/>
      <c r="G156" s="6"/>
      <c r="H156" s="6"/>
      <c r="I156" s="6"/>
      <c r="J156" s="6"/>
      <c r="K156" s="6"/>
      <c r="L156" s="6"/>
      <c r="M156" s="6"/>
      <c r="N156" s="6"/>
      <c r="O156" s="6"/>
      <c r="P156" s="6"/>
      <c r="Q156" s="6"/>
      <c r="R156" s="6"/>
      <c r="S156" s="44"/>
    </row>
    <row r="157" spans="1:19" ht="15" customHeight="1" x14ac:dyDescent="0.3">
      <c r="A157" s="6"/>
      <c r="B157" s="6"/>
      <c r="C157" s="6"/>
      <c r="D157" s="6"/>
      <c r="E157" s="6"/>
      <c r="F157" s="6"/>
      <c r="G157" s="6"/>
      <c r="H157" s="6"/>
      <c r="I157" s="6"/>
      <c r="J157" s="6"/>
      <c r="K157" s="6"/>
      <c r="L157" s="6"/>
      <c r="M157" s="6"/>
      <c r="N157" s="6"/>
      <c r="O157" s="6"/>
      <c r="P157" s="6"/>
      <c r="Q157" s="6"/>
      <c r="R157" s="6"/>
      <c r="S157" s="44"/>
    </row>
    <row r="158" spans="1:19" ht="15" customHeight="1" x14ac:dyDescent="0.3">
      <c r="A158" s="6"/>
      <c r="B158" s="6"/>
      <c r="C158" s="6"/>
      <c r="D158" s="6"/>
      <c r="E158" s="6"/>
      <c r="F158" s="6"/>
      <c r="G158" s="6"/>
      <c r="H158" s="6"/>
      <c r="I158" s="6"/>
      <c r="J158" s="6"/>
      <c r="K158" s="6"/>
      <c r="L158" s="6"/>
      <c r="M158" s="6"/>
      <c r="N158" s="6"/>
      <c r="O158" s="6"/>
      <c r="P158" s="6"/>
      <c r="Q158" s="6"/>
      <c r="R158" s="6"/>
      <c r="S158" s="44"/>
    </row>
    <row r="159" spans="1:19" ht="15" customHeight="1" x14ac:dyDescent="0.3">
      <c r="A159" s="6"/>
      <c r="B159" s="6"/>
      <c r="C159" s="6"/>
      <c r="D159" s="6"/>
      <c r="E159" s="6"/>
      <c r="F159" s="6"/>
      <c r="G159" s="6"/>
      <c r="H159" s="6"/>
      <c r="I159" s="6"/>
      <c r="J159" s="6"/>
      <c r="K159" s="6"/>
      <c r="L159" s="6"/>
      <c r="M159" s="6"/>
      <c r="N159" s="6"/>
      <c r="O159" s="6"/>
      <c r="P159" s="6"/>
      <c r="Q159" s="6"/>
      <c r="R159" s="6"/>
      <c r="S159" s="44"/>
    </row>
    <row r="160" spans="1:19" ht="15" customHeight="1" x14ac:dyDescent="0.3">
      <c r="A160" s="6"/>
      <c r="B160" s="6"/>
      <c r="C160" s="6"/>
      <c r="D160" s="6"/>
      <c r="E160" s="6"/>
      <c r="F160" s="6"/>
      <c r="G160" s="6"/>
      <c r="H160" s="6"/>
      <c r="I160" s="6"/>
      <c r="J160" s="6"/>
      <c r="K160" s="6"/>
      <c r="L160" s="6"/>
      <c r="M160" s="6"/>
      <c r="N160" s="6"/>
      <c r="O160" s="6"/>
      <c r="P160" s="6"/>
      <c r="Q160" s="6"/>
      <c r="R160" s="6"/>
      <c r="S160" s="44"/>
    </row>
    <row r="161" spans="1:19" ht="15" customHeight="1" x14ac:dyDescent="0.3">
      <c r="A161" s="6"/>
      <c r="B161" s="6"/>
      <c r="C161" s="6"/>
      <c r="D161" s="6"/>
      <c r="E161" s="6"/>
      <c r="F161" s="6"/>
      <c r="G161" s="6"/>
      <c r="H161" s="6"/>
      <c r="I161" s="6"/>
      <c r="J161" s="6"/>
      <c r="K161" s="6"/>
      <c r="L161" s="6"/>
      <c r="M161" s="6"/>
      <c r="N161" s="6"/>
      <c r="O161" s="6"/>
      <c r="P161" s="6"/>
      <c r="Q161" s="6"/>
      <c r="R161" s="6"/>
      <c r="S161" s="44"/>
    </row>
    <row r="162" spans="1:19" ht="15" customHeight="1" x14ac:dyDescent="0.3">
      <c r="A162" s="6"/>
      <c r="B162" s="6"/>
      <c r="C162" s="6"/>
      <c r="D162" s="6"/>
      <c r="E162" s="6"/>
      <c r="F162" s="6"/>
      <c r="G162" s="6"/>
      <c r="H162" s="6"/>
      <c r="I162" s="6"/>
      <c r="J162" s="6"/>
      <c r="K162" s="6"/>
      <c r="L162" s="6"/>
      <c r="M162" s="6"/>
      <c r="N162" s="6"/>
      <c r="O162" s="6"/>
      <c r="P162" s="6"/>
      <c r="Q162" s="6"/>
      <c r="R162" s="6"/>
      <c r="S162" s="44"/>
    </row>
    <row r="163" spans="1:19" ht="15" customHeight="1" x14ac:dyDescent="0.3">
      <c r="A163" s="6"/>
      <c r="B163" s="6"/>
      <c r="C163" s="6"/>
      <c r="D163" s="6"/>
      <c r="E163" s="6"/>
      <c r="F163" s="6"/>
      <c r="G163" s="6"/>
      <c r="H163" s="6"/>
      <c r="I163" s="6"/>
      <c r="J163" s="6"/>
      <c r="K163" s="6"/>
      <c r="L163" s="6"/>
      <c r="M163" s="6"/>
      <c r="N163" s="6"/>
      <c r="O163" s="6"/>
      <c r="P163" s="6"/>
      <c r="Q163" s="6"/>
      <c r="R163" s="6"/>
      <c r="S163" s="44"/>
    </row>
    <row r="164" spans="1:19" ht="15" customHeight="1" x14ac:dyDescent="0.3">
      <c r="A164" s="6"/>
      <c r="B164" s="6"/>
      <c r="C164" s="6"/>
      <c r="D164" s="6"/>
      <c r="E164" s="6"/>
      <c r="F164" s="6"/>
      <c r="G164" s="6"/>
      <c r="H164" s="6"/>
      <c r="I164" s="6"/>
      <c r="J164" s="6"/>
      <c r="K164" s="6"/>
      <c r="L164" s="6"/>
      <c r="M164" s="6"/>
      <c r="N164" s="6"/>
      <c r="O164" s="6"/>
      <c r="P164" s="6"/>
      <c r="Q164" s="6"/>
      <c r="R164" s="6"/>
      <c r="S164" s="44"/>
    </row>
    <row r="165" spans="1:19" ht="15" customHeight="1" x14ac:dyDescent="0.3">
      <c r="A165" s="6"/>
      <c r="B165" s="6"/>
      <c r="C165" s="6"/>
      <c r="D165" s="6"/>
      <c r="E165" s="6"/>
      <c r="F165" s="6"/>
      <c r="G165" s="6"/>
      <c r="H165" s="6"/>
      <c r="I165" s="6"/>
      <c r="J165" s="6"/>
      <c r="K165" s="6"/>
      <c r="L165" s="6"/>
      <c r="M165" s="6"/>
      <c r="N165" s="6"/>
      <c r="O165" s="6"/>
      <c r="P165" s="6"/>
      <c r="Q165" s="6"/>
      <c r="R165" s="6"/>
      <c r="S165" s="44"/>
    </row>
    <row r="166" spans="1:19" ht="15" customHeight="1" x14ac:dyDescent="0.3">
      <c r="A166" s="6"/>
      <c r="B166" s="6"/>
      <c r="C166" s="6"/>
      <c r="D166" s="6"/>
      <c r="E166" s="6"/>
      <c r="F166" s="6"/>
      <c r="G166" s="6"/>
      <c r="H166" s="6"/>
      <c r="I166" s="6"/>
      <c r="J166" s="6"/>
      <c r="K166" s="6"/>
      <c r="L166" s="6"/>
      <c r="M166" s="6"/>
      <c r="N166" s="6"/>
      <c r="O166" s="6"/>
      <c r="P166" s="6"/>
      <c r="Q166" s="6"/>
      <c r="R166" s="6"/>
      <c r="S166" s="44"/>
    </row>
    <row r="167" spans="1:19" ht="15" customHeight="1" x14ac:dyDescent="0.3">
      <c r="A167" s="6"/>
      <c r="B167" s="6"/>
      <c r="C167" s="6"/>
      <c r="D167" s="6"/>
      <c r="E167" s="6"/>
      <c r="F167" s="6"/>
      <c r="G167" s="6"/>
      <c r="H167" s="6"/>
      <c r="I167" s="6"/>
      <c r="J167" s="6"/>
      <c r="K167" s="6"/>
      <c r="L167" s="6"/>
      <c r="M167" s="6"/>
      <c r="N167" s="6"/>
      <c r="O167" s="6"/>
      <c r="P167" s="6"/>
      <c r="Q167" s="6"/>
      <c r="R167" s="6"/>
      <c r="S167" s="44"/>
    </row>
    <row r="168" spans="1:19" ht="15" customHeight="1" x14ac:dyDescent="0.3">
      <c r="A168" s="6"/>
      <c r="B168" s="6"/>
      <c r="C168" s="6"/>
      <c r="D168" s="6"/>
      <c r="E168" s="6"/>
      <c r="F168" s="6"/>
      <c r="G168" s="6"/>
      <c r="H168" s="6"/>
      <c r="I168" s="6"/>
      <c r="J168" s="6"/>
      <c r="K168" s="6"/>
      <c r="L168" s="6"/>
      <c r="M168" s="6"/>
      <c r="N168" s="6"/>
      <c r="O168" s="6"/>
      <c r="P168" s="6"/>
      <c r="Q168" s="6"/>
      <c r="R168" s="6"/>
      <c r="S168" s="44"/>
    </row>
    <row r="169" spans="1:19" ht="15" customHeight="1" x14ac:dyDescent="0.3">
      <c r="A169" s="6"/>
      <c r="B169" s="6"/>
      <c r="C169" s="6"/>
      <c r="D169" s="6"/>
      <c r="E169" s="6"/>
      <c r="F169" s="6"/>
      <c r="G169" s="6"/>
      <c r="H169" s="6"/>
      <c r="I169" s="6"/>
      <c r="J169" s="6"/>
      <c r="K169" s="6"/>
      <c r="L169" s="6"/>
      <c r="M169" s="6"/>
      <c r="N169" s="6"/>
      <c r="O169" s="6"/>
      <c r="P169" s="6"/>
      <c r="Q169" s="6"/>
      <c r="R169" s="6"/>
      <c r="S169" s="44"/>
    </row>
    <row r="170" spans="1:19" ht="15" customHeight="1" x14ac:dyDescent="0.3">
      <c r="A170" s="6"/>
      <c r="B170" s="6"/>
      <c r="C170" s="6"/>
      <c r="D170" s="6"/>
      <c r="E170" s="6"/>
      <c r="F170" s="6"/>
      <c r="G170" s="6"/>
      <c r="H170" s="6"/>
      <c r="I170" s="6"/>
      <c r="J170" s="6"/>
      <c r="K170" s="6"/>
      <c r="L170" s="6"/>
      <c r="M170" s="6"/>
      <c r="N170" s="6"/>
      <c r="O170" s="6"/>
      <c r="P170" s="6"/>
      <c r="Q170" s="6"/>
      <c r="R170" s="6"/>
      <c r="S170" s="44"/>
    </row>
    <row r="171" spans="1:19" ht="15" customHeight="1" x14ac:dyDescent="0.3">
      <c r="A171" s="6"/>
      <c r="B171" s="6"/>
      <c r="C171" s="6"/>
      <c r="D171" s="6"/>
      <c r="E171" s="6"/>
      <c r="F171" s="6"/>
      <c r="G171" s="6"/>
      <c r="H171" s="6"/>
      <c r="I171" s="6"/>
      <c r="J171" s="6"/>
      <c r="K171" s="6"/>
      <c r="L171" s="6"/>
      <c r="M171" s="6"/>
      <c r="N171" s="6"/>
      <c r="O171" s="6"/>
      <c r="P171" s="6"/>
      <c r="Q171" s="6"/>
      <c r="R171" s="6"/>
      <c r="S171" s="44"/>
    </row>
    <row r="172" spans="1:19" ht="15" customHeight="1" x14ac:dyDescent="0.3">
      <c r="A172" s="6"/>
      <c r="B172" s="6"/>
      <c r="C172" s="6"/>
      <c r="D172" s="6"/>
      <c r="E172" s="6"/>
      <c r="F172" s="6"/>
      <c r="G172" s="6"/>
      <c r="H172" s="6"/>
      <c r="I172" s="6"/>
      <c r="J172" s="6"/>
      <c r="K172" s="6"/>
      <c r="L172" s="6"/>
      <c r="M172" s="6"/>
      <c r="N172" s="6"/>
      <c r="O172" s="6"/>
      <c r="P172" s="6"/>
      <c r="Q172" s="6"/>
      <c r="R172" s="6"/>
      <c r="S172" s="44"/>
    </row>
    <row r="173" spans="1:19" ht="15" customHeight="1" x14ac:dyDescent="0.3">
      <c r="A173" s="6"/>
      <c r="B173" s="6"/>
      <c r="C173" s="6"/>
      <c r="D173" s="6"/>
      <c r="E173" s="6"/>
      <c r="F173" s="6"/>
      <c r="G173" s="6"/>
      <c r="H173" s="6"/>
      <c r="I173" s="6"/>
      <c r="J173" s="6"/>
      <c r="K173" s="6"/>
      <c r="L173" s="6"/>
      <c r="M173" s="6"/>
      <c r="N173" s="6"/>
      <c r="O173" s="6"/>
      <c r="P173" s="6"/>
      <c r="Q173" s="6"/>
      <c r="R173" s="6"/>
      <c r="S173" s="44"/>
    </row>
    <row r="174" spans="1:19" ht="15" customHeight="1" x14ac:dyDescent="0.3">
      <c r="A174" s="6"/>
      <c r="B174" s="6"/>
      <c r="C174" s="6"/>
      <c r="D174" s="6"/>
      <c r="E174" s="6"/>
      <c r="F174" s="6"/>
      <c r="G174" s="6"/>
      <c r="H174" s="6"/>
      <c r="I174" s="6"/>
      <c r="J174" s="6"/>
      <c r="K174" s="6"/>
      <c r="L174" s="6"/>
      <c r="M174" s="6"/>
      <c r="N174" s="6"/>
      <c r="O174" s="6"/>
      <c r="P174" s="6"/>
      <c r="Q174" s="6"/>
      <c r="R174" s="6"/>
      <c r="S174" s="44"/>
    </row>
    <row r="175" spans="1:19" ht="15" customHeight="1" x14ac:dyDescent="0.3">
      <c r="A175" s="6"/>
      <c r="B175" s="6"/>
      <c r="C175" s="6"/>
      <c r="D175" s="6"/>
      <c r="E175" s="6"/>
      <c r="F175" s="6"/>
      <c r="G175" s="6"/>
      <c r="H175" s="6"/>
      <c r="I175" s="6"/>
      <c r="J175" s="6"/>
      <c r="K175" s="6"/>
      <c r="L175" s="6"/>
      <c r="M175" s="6"/>
      <c r="N175" s="6"/>
      <c r="O175" s="6"/>
      <c r="P175" s="6"/>
      <c r="Q175" s="6"/>
      <c r="R175" s="6"/>
      <c r="S175" s="44"/>
    </row>
    <row r="176" spans="1:19" ht="15" customHeight="1" x14ac:dyDescent="0.3">
      <c r="A176" s="6"/>
      <c r="B176" s="6"/>
      <c r="C176" s="6"/>
      <c r="D176" s="6"/>
      <c r="E176" s="6"/>
      <c r="F176" s="6"/>
      <c r="G176" s="6"/>
      <c r="H176" s="6"/>
      <c r="I176" s="6"/>
      <c r="J176" s="6"/>
      <c r="K176" s="6"/>
      <c r="L176" s="6"/>
      <c r="M176" s="6"/>
      <c r="N176" s="6"/>
      <c r="O176" s="6"/>
      <c r="P176" s="6"/>
      <c r="Q176" s="6"/>
      <c r="R176" s="6"/>
      <c r="S176" s="44"/>
    </row>
    <row r="177" spans="1:19" ht="15" customHeight="1" x14ac:dyDescent="0.3">
      <c r="A177" s="6"/>
      <c r="B177" s="6"/>
      <c r="C177" s="6"/>
      <c r="D177" s="6"/>
      <c r="E177" s="6"/>
      <c r="F177" s="6"/>
      <c r="G177" s="6"/>
      <c r="H177" s="6"/>
      <c r="I177" s="6"/>
      <c r="J177" s="6"/>
      <c r="K177" s="6"/>
      <c r="L177" s="6"/>
      <c r="M177" s="6"/>
      <c r="N177" s="6"/>
      <c r="O177" s="6"/>
      <c r="P177" s="6"/>
      <c r="Q177" s="6"/>
      <c r="R177" s="6"/>
      <c r="S177" s="44"/>
    </row>
    <row r="178" spans="1:19" ht="15" customHeight="1" x14ac:dyDescent="0.3">
      <c r="A178" s="6"/>
      <c r="B178" s="6"/>
      <c r="C178" s="6"/>
      <c r="D178" s="6"/>
      <c r="E178" s="6"/>
      <c r="F178" s="6"/>
      <c r="G178" s="6"/>
      <c r="H178" s="6"/>
      <c r="I178" s="6"/>
      <c r="J178" s="6"/>
      <c r="K178" s="6"/>
      <c r="L178" s="6"/>
      <c r="M178" s="6"/>
      <c r="N178" s="6"/>
      <c r="O178" s="6"/>
      <c r="P178" s="6"/>
      <c r="Q178" s="6"/>
      <c r="R178" s="6"/>
      <c r="S178" s="44"/>
    </row>
    <row r="179" spans="1:19" ht="15" customHeight="1" x14ac:dyDescent="0.3">
      <c r="A179" s="6"/>
      <c r="B179" s="6"/>
      <c r="C179" s="6"/>
      <c r="D179" s="6"/>
      <c r="E179" s="6"/>
      <c r="F179" s="6"/>
      <c r="G179" s="6"/>
      <c r="H179" s="6"/>
      <c r="I179" s="6"/>
      <c r="J179" s="6"/>
      <c r="K179" s="6"/>
      <c r="L179" s="6"/>
      <c r="M179" s="6"/>
      <c r="N179" s="6"/>
      <c r="O179" s="6"/>
      <c r="P179" s="6"/>
      <c r="Q179" s="6"/>
      <c r="R179" s="6"/>
      <c r="S179" s="44"/>
    </row>
    <row r="180" spans="1:19" ht="15" customHeight="1" x14ac:dyDescent="0.3">
      <c r="A180" s="6"/>
      <c r="B180" s="6"/>
      <c r="C180" s="6"/>
      <c r="D180" s="6"/>
      <c r="E180" s="6"/>
      <c r="F180" s="6"/>
      <c r="G180" s="6"/>
      <c r="H180" s="6"/>
      <c r="I180" s="6"/>
      <c r="J180" s="6"/>
      <c r="K180" s="6"/>
      <c r="L180" s="6"/>
      <c r="M180" s="6"/>
      <c r="N180" s="6"/>
      <c r="O180" s="6"/>
      <c r="P180" s="6"/>
      <c r="Q180" s="6"/>
      <c r="R180" s="6"/>
      <c r="S180" s="44"/>
    </row>
    <row r="181" spans="1:19" ht="15" customHeight="1" x14ac:dyDescent="0.3">
      <c r="A181" s="6"/>
      <c r="B181" s="6"/>
      <c r="C181" s="6"/>
      <c r="D181" s="6"/>
      <c r="E181" s="6"/>
      <c r="F181" s="6"/>
      <c r="G181" s="6"/>
      <c r="H181" s="6"/>
      <c r="I181" s="6"/>
      <c r="J181" s="6"/>
      <c r="K181" s="6"/>
      <c r="L181" s="6"/>
      <c r="M181" s="6"/>
      <c r="N181" s="6"/>
      <c r="O181" s="6"/>
      <c r="P181" s="6"/>
      <c r="Q181" s="6"/>
      <c r="R181" s="6"/>
      <c r="S181" s="44"/>
    </row>
    <row r="182" spans="1:19" ht="15" customHeight="1" x14ac:dyDescent="0.3">
      <c r="A182" s="6"/>
      <c r="B182" s="6"/>
      <c r="C182" s="6"/>
      <c r="D182" s="6"/>
      <c r="E182" s="6"/>
      <c r="F182" s="6"/>
      <c r="G182" s="6"/>
      <c r="H182" s="6"/>
      <c r="I182" s="6"/>
      <c r="J182" s="6"/>
      <c r="K182" s="6"/>
      <c r="L182" s="6"/>
      <c r="M182" s="6"/>
      <c r="N182" s="6"/>
      <c r="O182" s="6"/>
      <c r="P182" s="6"/>
      <c r="Q182" s="6"/>
      <c r="R182" s="6"/>
      <c r="S182" s="44"/>
    </row>
    <row r="183" spans="1:19" ht="15" customHeight="1" x14ac:dyDescent="0.3">
      <c r="A183" s="6"/>
      <c r="B183" s="6"/>
      <c r="C183" s="6"/>
      <c r="D183" s="6"/>
      <c r="E183" s="6"/>
      <c r="F183" s="6"/>
      <c r="G183" s="6"/>
      <c r="H183" s="6"/>
      <c r="I183" s="6"/>
      <c r="J183" s="6"/>
      <c r="K183" s="6"/>
      <c r="L183" s="6"/>
      <c r="M183" s="6"/>
      <c r="N183" s="6"/>
      <c r="O183" s="6"/>
      <c r="P183" s="6"/>
      <c r="Q183" s="6"/>
      <c r="R183" s="6"/>
      <c r="S183" s="44"/>
    </row>
    <row r="184" spans="1:19" ht="15" customHeight="1" x14ac:dyDescent="0.3">
      <c r="A184" s="6"/>
      <c r="B184" s="6"/>
      <c r="C184" s="6"/>
      <c r="D184" s="6"/>
      <c r="E184" s="6"/>
      <c r="F184" s="6"/>
      <c r="G184" s="6"/>
      <c r="H184" s="6"/>
      <c r="I184" s="6"/>
      <c r="J184" s="6"/>
      <c r="K184" s="6"/>
      <c r="L184" s="6"/>
      <c r="M184" s="6"/>
      <c r="N184" s="6"/>
      <c r="O184" s="6"/>
      <c r="P184" s="6"/>
      <c r="Q184" s="6"/>
      <c r="R184" s="6"/>
      <c r="S184" s="44"/>
    </row>
    <row r="185" spans="1:19" ht="15" customHeight="1" x14ac:dyDescent="0.3">
      <c r="A185" s="6"/>
      <c r="B185" s="6"/>
      <c r="C185" s="6"/>
      <c r="D185" s="6"/>
      <c r="E185" s="6"/>
      <c r="F185" s="6"/>
      <c r="G185" s="6"/>
      <c r="H185" s="6"/>
      <c r="I185" s="6"/>
      <c r="J185" s="6"/>
      <c r="K185" s="6"/>
      <c r="L185" s="6"/>
      <c r="M185" s="6"/>
      <c r="N185" s="6"/>
      <c r="O185" s="6"/>
      <c r="P185" s="6"/>
      <c r="Q185" s="6"/>
      <c r="R185" s="6"/>
      <c r="S185" s="44"/>
    </row>
    <row r="186" spans="1:19" ht="15" customHeight="1" x14ac:dyDescent="0.3">
      <c r="A186" s="6"/>
      <c r="B186" s="6"/>
      <c r="C186" s="6"/>
      <c r="D186" s="6"/>
      <c r="E186" s="6"/>
      <c r="F186" s="6"/>
      <c r="G186" s="6"/>
      <c r="H186" s="6"/>
      <c r="I186" s="6"/>
      <c r="J186" s="6"/>
      <c r="K186" s="6"/>
      <c r="L186" s="6"/>
      <c r="M186" s="6"/>
      <c r="N186" s="6"/>
      <c r="O186" s="6"/>
      <c r="P186" s="6"/>
      <c r="Q186" s="6"/>
      <c r="R186" s="6"/>
      <c r="S186" s="44"/>
    </row>
    <row r="187" spans="1:19" ht="15" customHeight="1" x14ac:dyDescent="0.3">
      <c r="A187" s="6"/>
      <c r="B187" s="6"/>
      <c r="C187" s="6"/>
      <c r="D187" s="6"/>
      <c r="E187" s="6"/>
      <c r="F187" s="6"/>
      <c r="G187" s="6"/>
      <c r="H187" s="6"/>
      <c r="I187" s="6"/>
      <c r="J187" s="6"/>
      <c r="K187" s="6"/>
      <c r="L187" s="6"/>
      <c r="M187" s="6"/>
      <c r="N187" s="6"/>
      <c r="O187" s="6"/>
      <c r="P187" s="6"/>
      <c r="Q187" s="6"/>
      <c r="R187" s="6"/>
      <c r="S187" s="44"/>
    </row>
    <row r="188" spans="1:19" ht="15" customHeight="1" x14ac:dyDescent="0.3">
      <c r="A188" s="6"/>
      <c r="B188" s="6"/>
      <c r="C188" s="6"/>
      <c r="D188" s="6"/>
      <c r="E188" s="6"/>
      <c r="F188" s="6"/>
      <c r="G188" s="6"/>
      <c r="H188" s="6"/>
      <c r="I188" s="6"/>
      <c r="J188" s="6"/>
      <c r="K188" s="6"/>
      <c r="L188" s="6"/>
      <c r="M188" s="6"/>
      <c r="N188" s="6"/>
      <c r="O188" s="6"/>
      <c r="P188" s="6"/>
      <c r="Q188" s="6"/>
      <c r="R188" s="6"/>
      <c r="S188" s="44"/>
    </row>
    <row r="189" spans="1:19" ht="15" customHeight="1" x14ac:dyDescent="0.3">
      <c r="A189" s="6"/>
      <c r="B189" s="6"/>
      <c r="C189" s="6"/>
      <c r="D189" s="6"/>
      <c r="E189" s="6"/>
      <c r="F189" s="6"/>
      <c r="G189" s="6"/>
      <c r="H189" s="6"/>
      <c r="I189" s="6"/>
      <c r="J189" s="6"/>
      <c r="K189" s="6"/>
      <c r="L189" s="6"/>
      <c r="M189" s="6"/>
      <c r="N189" s="6"/>
      <c r="O189" s="6"/>
      <c r="P189" s="6"/>
      <c r="Q189" s="6"/>
      <c r="R189" s="6"/>
      <c r="S189" s="44"/>
    </row>
    <row r="190" spans="1:19" ht="15" customHeight="1" x14ac:dyDescent="0.3">
      <c r="A190" s="6"/>
      <c r="B190" s="6"/>
      <c r="C190" s="6"/>
      <c r="D190" s="6"/>
      <c r="E190" s="6"/>
      <c r="F190" s="6"/>
      <c r="G190" s="6"/>
      <c r="H190" s="6"/>
      <c r="I190" s="6"/>
      <c r="J190" s="6"/>
      <c r="K190" s="6"/>
      <c r="L190" s="6"/>
      <c r="M190" s="6"/>
      <c r="N190" s="6"/>
      <c r="O190" s="6"/>
      <c r="P190" s="6"/>
      <c r="Q190" s="6"/>
      <c r="R190" s="6"/>
      <c r="S190" s="44"/>
    </row>
    <row r="191" spans="1:19" ht="15" customHeight="1" x14ac:dyDescent="0.3">
      <c r="A191" s="6"/>
      <c r="B191" s="6"/>
      <c r="C191" s="6"/>
      <c r="D191" s="6"/>
      <c r="E191" s="6"/>
      <c r="F191" s="6"/>
      <c r="G191" s="6"/>
      <c r="H191" s="6"/>
      <c r="I191" s="6"/>
      <c r="J191" s="6"/>
      <c r="K191" s="6"/>
      <c r="L191" s="6"/>
      <c r="M191" s="6"/>
      <c r="N191" s="6"/>
      <c r="O191" s="6"/>
      <c r="P191" s="6"/>
      <c r="Q191" s="6"/>
      <c r="R191" s="6"/>
      <c r="S191" s="44"/>
    </row>
    <row r="192" spans="1:19" ht="15" customHeight="1" x14ac:dyDescent="0.3">
      <c r="A192" s="6"/>
      <c r="B192" s="6"/>
      <c r="C192" s="6"/>
      <c r="D192" s="6"/>
      <c r="E192" s="6"/>
      <c r="F192" s="6"/>
      <c r="G192" s="6"/>
      <c r="H192" s="6"/>
      <c r="I192" s="6"/>
      <c r="J192" s="6"/>
      <c r="K192" s="6"/>
      <c r="L192" s="6"/>
      <c r="M192" s="6"/>
      <c r="N192" s="6"/>
      <c r="O192" s="6"/>
      <c r="P192" s="6"/>
      <c r="Q192" s="6"/>
      <c r="R192" s="6"/>
      <c r="S192" s="44"/>
    </row>
    <row r="193" spans="1:19" ht="15" customHeight="1" x14ac:dyDescent="0.3">
      <c r="A193" s="6"/>
      <c r="B193" s="6"/>
      <c r="C193" s="6"/>
      <c r="D193" s="6"/>
      <c r="E193" s="6"/>
      <c r="F193" s="6"/>
      <c r="G193" s="6"/>
      <c r="H193" s="6"/>
      <c r="I193" s="6"/>
      <c r="J193" s="6"/>
      <c r="K193" s="6"/>
      <c r="L193" s="6"/>
      <c r="M193" s="6"/>
      <c r="N193" s="6"/>
      <c r="O193" s="6"/>
      <c r="P193" s="6"/>
      <c r="Q193" s="6"/>
      <c r="R193" s="6"/>
      <c r="S193" s="44"/>
    </row>
    <row r="194" spans="1:19" ht="15" customHeight="1" x14ac:dyDescent="0.3">
      <c r="A194" s="6"/>
      <c r="B194" s="6"/>
      <c r="C194" s="6"/>
      <c r="D194" s="6"/>
      <c r="E194" s="6"/>
      <c r="F194" s="6"/>
      <c r="G194" s="6"/>
      <c r="H194" s="6"/>
      <c r="I194" s="6"/>
      <c r="J194" s="6"/>
      <c r="K194" s="6"/>
      <c r="L194" s="6"/>
      <c r="M194" s="6"/>
      <c r="N194" s="6"/>
      <c r="O194" s="6"/>
      <c r="P194" s="6"/>
      <c r="Q194" s="6"/>
      <c r="R194" s="6"/>
      <c r="S194" s="44"/>
    </row>
    <row r="195" spans="1:19" ht="15" customHeight="1" x14ac:dyDescent="0.3">
      <c r="A195" s="6"/>
      <c r="B195" s="6"/>
      <c r="C195" s="6"/>
      <c r="D195" s="6"/>
      <c r="E195" s="6"/>
      <c r="F195" s="6"/>
      <c r="G195" s="6"/>
      <c r="H195" s="6"/>
      <c r="I195" s="6"/>
      <c r="J195" s="6"/>
      <c r="K195" s="6"/>
      <c r="L195" s="6"/>
      <c r="M195" s="6"/>
      <c r="N195" s="6"/>
      <c r="O195" s="6"/>
      <c r="P195" s="6"/>
      <c r="Q195" s="6"/>
      <c r="R195" s="6"/>
      <c r="S195" s="44"/>
    </row>
    <row r="196" spans="1:19" ht="15" customHeight="1" x14ac:dyDescent="0.3">
      <c r="A196" s="6"/>
      <c r="B196" s="6"/>
      <c r="C196" s="6"/>
      <c r="D196" s="6"/>
      <c r="E196" s="6"/>
      <c r="F196" s="6"/>
      <c r="G196" s="6"/>
      <c r="H196" s="6"/>
      <c r="I196" s="6"/>
      <c r="J196" s="6"/>
      <c r="K196" s="6"/>
      <c r="L196" s="6"/>
      <c r="M196" s="6"/>
      <c r="N196" s="6"/>
      <c r="O196" s="6"/>
      <c r="P196" s="6"/>
      <c r="Q196" s="6"/>
      <c r="R196" s="6"/>
      <c r="S196" s="44"/>
    </row>
    <row r="197" spans="1:19" ht="15" customHeight="1" x14ac:dyDescent="0.3">
      <c r="A197" s="6"/>
      <c r="B197" s="6"/>
      <c r="C197" s="6"/>
      <c r="D197" s="6"/>
      <c r="E197" s="6"/>
      <c r="F197" s="6"/>
      <c r="G197" s="6"/>
      <c r="H197" s="6"/>
      <c r="I197" s="6"/>
      <c r="J197" s="6"/>
      <c r="K197" s="6"/>
      <c r="L197" s="6"/>
      <c r="M197" s="6"/>
      <c r="N197" s="6"/>
      <c r="O197" s="6"/>
      <c r="P197" s="6"/>
      <c r="Q197" s="6"/>
      <c r="R197" s="6"/>
      <c r="S197" s="44"/>
    </row>
    <row r="198" spans="1:19" ht="15" customHeight="1" x14ac:dyDescent="0.3">
      <c r="A198" s="6"/>
      <c r="B198" s="6"/>
      <c r="C198" s="6"/>
      <c r="D198" s="6"/>
      <c r="E198" s="6"/>
      <c r="F198" s="6"/>
      <c r="G198" s="6"/>
      <c r="H198" s="6"/>
      <c r="I198" s="6"/>
      <c r="J198" s="6"/>
      <c r="K198" s="6"/>
      <c r="L198" s="6"/>
      <c r="M198" s="6"/>
      <c r="N198" s="6"/>
      <c r="O198" s="6"/>
      <c r="P198" s="6"/>
      <c r="Q198" s="6"/>
      <c r="R198" s="6"/>
      <c r="S198" s="44"/>
    </row>
    <row r="199" spans="1:19" ht="15" customHeight="1" x14ac:dyDescent="0.3">
      <c r="A199" s="6"/>
      <c r="B199" s="6"/>
      <c r="C199" s="6"/>
      <c r="D199" s="6"/>
      <c r="E199" s="6"/>
      <c r="F199" s="6"/>
      <c r="G199" s="6"/>
      <c r="H199" s="6"/>
      <c r="I199" s="6"/>
      <c r="J199" s="6"/>
      <c r="K199" s="6"/>
      <c r="L199" s="6"/>
      <c r="M199" s="6"/>
      <c r="N199" s="6"/>
      <c r="O199" s="6"/>
      <c r="P199" s="6"/>
      <c r="Q199" s="6"/>
      <c r="R199" s="6"/>
      <c r="S199" s="44"/>
    </row>
    <row r="200" spans="1:19" ht="15" customHeight="1" x14ac:dyDescent="0.3">
      <c r="A200" s="6"/>
      <c r="B200" s="6"/>
      <c r="C200" s="6"/>
      <c r="D200" s="6"/>
      <c r="E200" s="6"/>
      <c r="F200" s="6"/>
      <c r="G200" s="6"/>
      <c r="H200" s="6"/>
      <c r="I200" s="6"/>
      <c r="J200" s="6"/>
      <c r="K200" s="6"/>
      <c r="L200" s="6"/>
      <c r="M200" s="6"/>
      <c r="N200" s="6"/>
      <c r="O200" s="6"/>
      <c r="P200" s="6"/>
      <c r="Q200" s="6"/>
      <c r="R200" s="6"/>
      <c r="S200" s="44"/>
    </row>
    <row r="201" spans="1:19" ht="15" customHeight="1" x14ac:dyDescent="0.3">
      <c r="A201" s="6"/>
      <c r="B201" s="6"/>
      <c r="C201" s="6"/>
      <c r="D201" s="6"/>
      <c r="E201" s="6"/>
      <c r="F201" s="6"/>
      <c r="G201" s="6"/>
      <c r="H201" s="6"/>
      <c r="I201" s="6"/>
      <c r="J201" s="6"/>
      <c r="K201" s="6"/>
      <c r="L201" s="6"/>
      <c r="M201" s="6"/>
      <c r="N201" s="6"/>
      <c r="O201" s="6"/>
      <c r="P201" s="6"/>
      <c r="Q201" s="6"/>
      <c r="R201" s="6"/>
      <c r="S201" s="44"/>
    </row>
  </sheetData>
  <phoneticPr fontId="24" type="noConversion"/>
  <dataValidations count="1">
    <dataValidation type="list" allowBlank="1" sqref="S2:S201" xr:uid="{00000000-0002-0000-0200-000000000000}">
      <formula1>"Upstream,Integrated,Downstream,Other"</formula1>
    </dataValidation>
  </dataValidations>
  <pageMargins left="0.75" right="0.75" top="1" bottom="1" header="0.511811023622047" footer="0.511811023622047"/>
  <pageSetup paperSize="9" orientation="portrait" horizontalDpi="300" verticalDpi="300"/>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BG201"/>
  <sheetViews>
    <sheetView showGridLines="0" tabSelected="1" zoomScaleNormal="100" workbookViewId="0">
      <pane xSplit="1" ySplit="1" topLeftCell="AV2" activePane="bottomRight" state="frozen"/>
      <selection pane="topRight" activeCell="B1" sqref="B1"/>
      <selection pane="bottomLeft" activeCell="A2" sqref="A2"/>
      <selection pane="bottomRight" activeCell="O1" sqref="O1:AN1"/>
    </sheetView>
  </sheetViews>
  <sheetFormatPr defaultColWidth="8.6640625" defaultRowHeight="14.4" x14ac:dyDescent="0.3"/>
  <cols>
    <col min="1" max="1" width="22" customWidth="1"/>
    <col min="2" max="54" width="14" customWidth="1"/>
    <col min="55" max="58" width="18" customWidth="1"/>
  </cols>
  <sheetData>
    <row r="1" spans="1:59" ht="69" x14ac:dyDescent="0.3">
      <c r="A1" s="5" t="s">
        <v>272</v>
      </c>
      <c r="B1" s="5" t="s">
        <v>10178</v>
      </c>
      <c r="C1" s="5" t="s">
        <v>10179</v>
      </c>
      <c r="D1" s="5" t="s">
        <v>10180</v>
      </c>
      <c r="E1" s="5" t="s">
        <v>10181</v>
      </c>
      <c r="F1" s="5" t="s">
        <v>10182</v>
      </c>
      <c r="G1" s="5" t="s">
        <v>10183</v>
      </c>
      <c r="H1" s="5" t="s">
        <v>10184</v>
      </c>
      <c r="I1" s="5" t="s">
        <v>10185</v>
      </c>
      <c r="J1" s="5" t="s">
        <v>10186</v>
      </c>
      <c r="K1" s="5" t="s">
        <v>10187</v>
      </c>
      <c r="L1" s="5" t="s">
        <v>10188</v>
      </c>
      <c r="M1" s="5" t="s">
        <v>10189</v>
      </c>
      <c r="N1" s="5" t="s">
        <v>10190</v>
      </c>
      <c r="O1" s="5" t="s">
        <v>10191</v>
      </c>
      <c r="P1" s="5" t="s">
        <v>10192</v>
      </c>
      <c r="Q1" s="5" t="s">
        <v>10193</v>
      </c>
      <c r="R1" s="5" t="s">
        <v>10194</v>
      </c>
      <c r="S1" s="5" t="s">
        <v>10195</v>
      </c>
      <c r="T1" s="5" t="s">
        <v>10196</v>
      </c>
      <c r="U1" s="5" t="s">
        <v>10197</v>
      </c>
      <c r="V1" s="5" t="s">
        <v>10198</v>
      </c>
      <c r="W1" s="5" t="s">
        <v>10199</v>
      </c>
      <c r="X1" s="5" t="s">
        <v>10200</v>
      </c>
      <c r="Y1" s="5" t="s">
        <v>10201</v>
      </c>
      <c r="Z1" s="5" t="s">
        <v>10202</v>
      </c>
      <c r="AA1" s="5" t="s">
        <v>10203</v>
      </c>
      <c r="AB1" s="5" t="s">
        <v>10204</v>
      </c>
      <c r="AC1" s="5" t="s">
        <v>10205</v>
      </c>
      <c r="AD1" s="5" t="s">
        <v>10206</v>
      </c>
      <c r="AE1" s="5" t="s">
        <v>10207</v>
      </c>
      <c r="AF1" s="5" t="s">
        <v>10208</v>
      </c>
      <c r="AG1" s="5" t="s">
        <v>10209</v>
      </c>
      <c r="AH1" s="5" t="s">
        <v>10210</v>
      </c>
      <c r="AI1" s="5" t="s">
        <v>10211</v>
      </c>
      <c r="AJ1" s="5" t="s">
        <v>10212</v>
      </c>
      <c r="AK1" s="5" t="s">
        <v>10213</v>
      </c>
      <c r="AL1" s="5" t="s">
        <v>10214</v>
      </c>
      <c r="AM1" s="5" t="s">
        <v>10215</v>
      </c>
      <c r="AN1" s="5" t="s">
        <v>10216</v>
      </c>
      <c r="AO1" s="5" t="s">
        <v>10217</v>
      </c>
      <c r="AP1" s="5" t="s">
        <v>10218</v>
      </c>
      <c r="AQ1" s="5" t="s">
        <v>10219</v>
      </c>
      <c r="AR1" s="5" t="s">
        <v>10220</v>
      </c>
      <c r="AS1" s="5" t="s">
        <v>10221</v>
      </c>
      <c r="AT1" s="5" t="s">
        <v>10222</v>
      </c>
      <c r="AU1" s="5" t="s">
        <v>10223</v>
      </c>
      <c r="AV1" s="5" t="s">
        <v>10224</v>
      </c>
      <c r="AW1" s="5" t="s">
        <v>10225</v>
      </c>
      <c r="AX1" s="5" t="s">
        <v>10226</v>
      </c>
      <c r="AY1" s="5" t="s">
        <v>10227</v>
      </c>
      <c r="AZ1" s="5" t="s">
        <v>10228</v>
      </c>
      <c r="BA1" s="5" t="s">
        <v>10229</v>
      </c>
      <c r="BB1" s="5" t="s">
        <v>10230</v>
      </c>
      <c r="BC1" s="37" t="s">
        <v>10231</v>
      </c>
      <c r="BD1" s="37" t="s">
        <v>10232</v>
      </c>
      <c r="BE1" s="37" t="s">
        <v>10233</v>
      </c>
      <c r="BF1" s="37" t="s">
        <v>10234</v>
      </c>
      <c r="BG1" s="5" t="s">
        <v>274</v>
      </c>
    </row>
    <row r="2" spans="1:59" ht="15" customHeight="1" x14ac:dyDescent="0.3">
      <c r="A2" s="8" t="s">
        <v>289</v>
      </c>
      <c r="B2" s="9">
        <v>285387</v>
      </c>
      <c r="C2" s="9">
        <v>213158</v>
      </c>
      <c r="D2" s="9">
        <v>72229</v>
      </c>
      <c r="E2" s="9">
        <v>265518</v>
      </c>
      <c r="F2" s="9">
        <v>19869</v>
      </c>
      <c r="G2" s="9">
        <v>102319</v>
      </c>
      <c r="H2" s="9">
        <v>163199</v>
      </c>
      <c r="I2" s="9">
        <v>16.2</v>
      </c>
      <c r="J2" s="9"/>
      <c r="K2" s="9">
        <v>105300</v>
      </c>
      <c r="L2" s="9">
        <v>129804</v>
      </c>
      <c r="M2" s="9">
        <v>50283</v>
      </c>
      <c r="N2" s="9">
        <v>0</v>
      </c>
      <c r="O2" s="9">
        <v>32</v>
      </c>
      <c r="P2" s="9">
        <v>1570</v>
      </c>
      <c r="Q2" s="9">
        <v>14</v>
      </c>
      <c r="R2" s="9"/>
      <c r="S2" s="9">
        <v>2</v>
      </c>
      <c r="T2" s="9"/>
      <c r="U2" s="9">
        <v>1</v>
      </c>
      <c r="V2" s="9"/>
      <c r="W2" s="9">
        <v>2</v>
      </c>
      <c r="X2" s="8"/>
      <c r="Y2" s="8"/>
      <c r="Z2" s="8"/>
      <c r="AA2" s="9">
        <v>2398457</v>
      </c>
      <c r="AB2" s="10">
        <f t="shared" ref="AB2:AB33" si="0">IFERROR(AA2/AF2,"")</f>
        <v>0.35521634596159835</v>
      </c>
      <c r="AC2" s="9">
        <v>3312149</v>
      </c>
      <c r="AD2" s="9">
        <v>3312149</v>
      </c>
      <c r="AE2" s="9">
        <v>1041496</v>
      </c>
      <c r="AF2" s="9">
        <v>6752102</v>
      </c>
      <c r="AG2" s="9">
        <v>1275539</v>
      </c>
      <c r="AH2" s="9">
        <v>272310</v>
      </c>
      <c r="AI2" s="9">
        <v>45158</v>
      </c>
      <c r="AJ2" s="9">
        <v>17289</v>
      </c>
      <c r="AK2" s="9">
        <v>441671</v>
      </c>
      <c r="AL2" s="9">
        <v>115918</v>
      </c>
      <c r="AM2" s="9">
        <v>23621</v>
      </c>
      <c r="AN2" s="9">
        <v>56142</v>
      </c>
      <c r="AO2" s="11">
        <f t="shared" ref="AO2:AO33" si="1">IFERROR(AC2/E2,"")</f>
        <v>12.474291761763798</v>
      </c>
      <c r="AP2" s="11">
        <f t="shared" ref="AP2:AP33" si="2">IFERROR(AD2/E2,"")</f>
        <v>12.474291761763798</v>
      </c>
      <c r="AQ2" s="11">
        <f t="shared" ref="AQ2:AQ33" si="3">IFERROR(AG2/E2,"")</f>
        <v>4.8039643263356906</v>
      </c>
      <c r="AR2" s="10">
        <f t="shared" ref="AR2:AR33" si="4">IFERROR(AG2/AF2,"")</f>
        <v>0.18890991279456382</v>
      </c>
      <c r="AS2" s="10">
        <f t="shared" ref="AS2:AS33" si="5">IFERROR(AH2/AF2,"")</f>
        <v>4.0329663266342838E-2</v>
      </c>
      <c r="AT2" s="10">
        <f t="shared" ref="AT2:AT33" si="6">IFERROR(AI2/AH2,"")</f>
        <v>0.16583305791193859</v>
      </c>
      <c r="AU2" s="10">
        <f t="shared" ref="AU2:AU33" si="7">IFERROR(AN2/AH2,"")</f>
        <v>0.20616943924204031</v>
      </c>
      <c r="AV2" s="12">
        <v>12948</v>
      </c>
      <c r="AW2" s="13"/>
      <c r="AX2" s="13"/>
      <c r="AY2" s="8"/>
      <c r="AZ2" s="8"/>
      <c r="BA2" s="8"/>
      <c r="BB2" s="8"/>
      <c r="BC2" s="38">
        <f t="shared" ref="BC2:BC33" si="8">IFERROR(AG2/AC2,"")</f>
        <v>0.38510918439961489</v>
      </c>
      <c r="BD2" s="38">
        <f t="shared" ref="BD2:BD33" si="9">IFERROR(AG2/(AC2+AA2),"")</f>
        <v>0.22336315970669313</v>
      </c>
      <c r="BE2" s="39">
        <v>0.18890000000000001</v>
      </c>
      <c r="BF2" s="40" t="s">
        <v>10235</v>
      </c>
      <c r="BG2">
        <v>2023</v>
      </c>
    </row>
    <row r="3" spans="1:59" ht="15" customHeight="1" x14ac:dyDescent="0.3">
      <c r="A3" s="8" t="s">
        <v>289</v>
      </c>
      <c r="B3" s="9">
        <v>284831</v>
      </c>
      <c r="C3" s="9">
        <v>212602</v>
      </c>
      <c r="D3" s="9">
        <v>72229</v>
      </c>
      <c r="E3" s="9">
        <v>265490</v>
      </c>
      <c r="F3" s="9">
        <v>19341</v>
      </c>
      <c r="G3" s="9">
        <v>87761</v>
      </c>
      <c r="H3" s="9">
        <v>177729</v>
      </c>
      <c r="I3" s="9">
        <v>16.5</v>
      </c>
      <c r="J3" s="9"/>
      <c r="K3" s="9">
        <v>104376</v>
      </c>
      <c r="L3" s="9">
        <v>130043</v>
      </c>
      <c r="M3" s="9">
        <v>50412</v>
      </c>
      <c r="N3" s="9"/>
      <c r="O3" s="9">
        <v>32</v>
      </c>
      <c r="P3" s="9">
        <v>1570</v>
      </c>
      <c r="Q3" s="9">
        <v>14</v>
      </c>
      <c r="R3" s="9"/>
      <c r="S3" s="9">
        <v>2</v>
      </c>
      <c r="T3" s="9"/>
      <c r="U3" s="9">
        <v>1</v>
      </c>
      <c r="V3" s="9"/>
      <c r="W3" s="9">
        <v>2</v>
      </c>
      <c r="X3" s="8"/>
      <c r="Y3" s="8"/>
      <c r="Z3" s="8"/>
      <c r="AA3" s="9">
        <v>2180762</v>
      </c>
      <c r="AB3" s="10">
        <f t="shared" si="0"/>
        <v>0.36866963527983743</v>
      </c>
      <c r="AC3" s="9">
        <v>3002685</v>
      </c>
      <c r="AD3" s="9">
        <v>3002685</v>
      </c>
      <c r="AE3" s="9">
        <v>731773</v>
      </c>
      <c r="AF3" s="9">
        <v>5915220</v>
      </c>
      <c r="AG3" s="9">
        <v>1125388</v>
      </c>
      <c r="AH3" s="9">
        <v>234121</v>
      </c>
      <c r="AI3" s="9">
        <v>46454</v>
      </c>
      <c r="AJ3" s="9">
        <v>14760</v>
      </c>
      <c r="AK3" s="9">
        <v>388106</v>
      </c>
      <c r="AL3" s="9">
        <v>95826</v>
      </c>
      <c r="AM3" s="9">
        <v>19382</v>
      </c>
      <c r="AN3" s="9">
        <v>57001</v>
      </c>
      <c r="AO3" s="11">
        <f t="shared" si="1"/>
        <v>11.30997401032054</v>
      </c>
      <c r="AP3" s="11">
        <f t="shared" si="2"/>
        <v>11.30997401032054</v>
      </c>
      <c r="AQ3" s="11">
        <f t="shared" si="3"/>
        <v>4.2389091867866959</v>
      </c>
      <c r="AR3" s="10">
        <f t="shared" si="4"/>
        <v>0.19025294071902651</v>
      </c>
      <c r="AS3" s="10">
        <f t="shared" si="5"/>
        <v>3.9579423926751671E-2</v>
      </c>
      <c r="AT3" s="10">
        <f t="shared" si="6"/>
        <v>0.19841876636440131</v>
      </c>
      <c r="AU3" s="10">
        <f t="shared" si="7"/>
        <v>0.24346812118519912</v>
      </c>
      <c r="AV3" s="12">
        <v>12883</v>
      </c>
      <c r="AW3" s="13">
        <v>0.69</v>
      </c>
      <c r="AX3" s="13">
        <v>0.31</v>
      </c>
      <c r="AY3" s="8"/>
      <c r="AZ3" s="8"/>
      <c r="BA3" s="8"/>
      <c r="BB3" s="8"/>
      <c r="BC3" s="38">
        <f t="shared" si="8"/>
        <v>0.37479389279927799</v>
      </c>
      <c r="BD3" s="38">
        <f t="shared" si="9"/>
        <v>0.21711189484526416</v>
      </c>
      <c r="BE3" s="39">
        <v>0.1903</v>
      </c>
      <c r="BF3" s="40" t="s">
        <v>10236</v>
      </c>
      <c r="BG3">
        <v>2024</v>
      </c>
    </row>
    <row r="4" spans="1:59" ht="15" customHeight="1" x14ac:dyDescent="0.3">
      <c r="A4" s="8" t="s">
        <v>289</v>
      </c>
      <c r="B4" s="9">
        <v>280325</v>
      </c>
      <c r="C4" s="9">
        <v>208063</v>
      </c>
      <c r="D4" s="9">
        <v>72262</v>
      </c>
      <c r="E4" s="9">
        <v>260927</v>
      </c>
      <c r="F4" s="9">
        <v>19399</v>
      </c>
      <c r="G4" s="9">
        <v>76292</v>
      </c>
      <c r="H4" s="9">
        <v>184635</v>
      </c>
      <c r="I4" s="9">
        <v>16.7</v>
      </c>
      <c r="J4" s="9"/>
      <c r="K4" s="9">
        <v>103389</v>
      </c>
      <c r="L4" s="9">
        <v>129093</v>
      </c>
      <c r="M4" s="9">
        <v>47843</v>
      </c>
      <c r="N4" s="9"/>
      <c r="O4" s="9">
        <v>32</v>
      </c>
      <c r="P4" s="9">
        <v>1655</v>
      </c>
      <c r="Q4" s="9">
        <v>14</v>
      </c>
      <c r="R4" s="9"/>
      <c r="S4" s="9">
        <v>2</v>
      </c>
      <c r="T4" s="9"/>
      <c r="U4" s="9">
        <v>1</v>
      </c>
      <c r="V4" s="9"/>
      <c r="W4" s="9">
        <v>2</v>
      </c>
      <c r="X4" s="8"/>
      <c r="Y4" s="8"/>
      <c r="Z4" s="8"/>
      <c r="AA4" s="9">
        <v>2409810</v>
      </c>
      <c r="AB4" s="10">
        <f t="shared" si="0"/>
        <v>0.38672240401747993</v>
      </c>
      <c r="AC4" s="9">
        <v>3009024</v>
      </c>
      <c r="AD4" s="9">
        <v>3009024</v>
      </c>
      <c r="AE4" s="9">
        <v>812535</v>
      </c>
      <c r="AF4" s="9">
        <v>6231369</v>
      </c>
      <c r="AG4" s="9">
        <v>1197514</v>
      </c>
      <c r="AH4" s="9">
        <v>251874</v>
      </c>
      <c r="AI4" s="9">
        <v>60451</v>
      </c>
      <c r="AJ4" s="9">
        <v>17718</v>
      </c>
      <c r="AK4" s="9">
        <v>457987</v>
      </c>
      <c r="AL4" s="9">
        <v>119496</v>
      </c>
      <c r="AM4" s="9">
        <v>26920</v>
      </c>
      <c r="AN4" s="9">
        <v>74765</v>
      </c>
      <c r="AO4" s="11">
        <f t="shared" si="1"/>
        <v>11.532053026325372</v>
      </c>
      <c r="AP4" s="11">
        <f t="shared" si="2"/>
        <v>11.532053026325372</v>
      </c>
      <c r="AQ4" s="11">
        <f t="shared" si="3"/>
        <v>4.5894598872481573</v>
      </c>
      <c r="AR4" s="10">
        <f t="shared" si="4"/>
        <v>0.19217510630489062</v>
      </c>
      <c r="AS4" s="10">
        <f t="shared" si="5"/>
        <v>4.0420331391063505E-2</v>
      </c>
      <c r="AT4" s="10">
        <f t="shared" si="6"/>
        <v>0.24000492309646887</v>
      </c>
      <c r="AU4" s="10">
        <f t="shared" si="7"/>
        <v>0.29683492539920753</v>
      </c>
      <c r="AV4" s="12">
        <v>14316</v>
      </c>
      <c r="AW4" s="13">
        <v>0.64</v>
      </c>
      <c r="AX4" s="13">
        <v>0.36</v>
      </c>
      <c r="AY4" s="8"/>
      <c r="AZ4" s="8"/>
      <c r="BA4" s="8"/>
      <c r="BB4" s="8"/>
      <c r="BC4" s="38">
        <f t="shared" si="8"/>
        <v>0.39797422685894163</v>
      </c>
      <c r="BD4" s="38">
        <f t="shared" si="9"/>
        <v>0.22099108405978113</v>
      </c>
      <c r="BE4" s="39">
        <v>0.19220000000000001</v>
      </c>
      <c r="BF4" s="40" t="s">
        <v>10237</v>
      </c>
      <c r="BG4">
        <v>2025</v>
      </c>
    </row>
    <row r="5" spans="1:59" ht="15" customHeight="1" x14ac:dyDescent="0.3">
      <c r="A5" s="8" t="s">
        <v>660</v>
      </c>
      <c r="B5" s="9"/>
      <c r="C5" s="9"/>
      <c r="D5" s="9"/>
      <c r="E5" s="9">
        <v>5040.63</v>
      </c>
      <c r="F5" s="9"/>
      <c r="G5" s="9"/>
      <c r="H5" s="9"/>
      <c r="I5" s="9"/>
      <c r="J5" s="9"/>
      <c r="K5" s="9">
        <v>4453</v>
      </c>
      <c r="L5" s="9"/>
      <c r="M5" s="9"/>
      <c r="N5" s="9"/>
      <c r="O5" s="9">
        <v>1</v>
      </c>
      <c r="P5" s="9">
        <v>30</v>
      </c>
      <c r="Q5" s="9"/>
      <c r="R5" s="9"/>
      <c r="S5" s="9"/>
      <c r="T5" s="9"/>
      <c r="U5" s="9"/>
      <c r="V5" s="9"/>
      <c r="W5" s="9"/>
      <c r="X5" s="8"/>
      <c r="Y5" s="8"/>
      <c r="Z5" s="8"/>
      <c r="AA5" s="9"/>
      <c r="AB5" s="10">
        <f t="shared" si="0"/>
        <v>0</v>
      </c>
      <c r="AC5" s="9"/>
      <c r="AD5" s="9"/>
      <c r="AE5" s="9"/>
      <c r="AF5" s="9">
        <v>121298</v>
      </c>
      <c r="AG5" s="9">
        <v>21524</v>
      </c>
      <c r="AH5" s="9">
        <v>5759</v>
      </c>
      <c r="AI5" s="9"/>
      <c r="AJ5" s="9"/>
      <c r="AK5" s="9"/>
      <c r="AL5" s="9"/>
      <c r="AM5" s="9"/>
      <c r="AN5" s="9"/>
      <c r="AO5" s="11">
        <f t="shared" si="1"/>
        <v>0</v>
      </c>
      <c r="AP5" s="11">
        <f t="shared" si="2"/>
        <v>0</v>
      </c>
      <c r="AQ5" s="11">
        <f t="shared" si="3"/>
        <v>4.2701011579901715</v>
      </c>
      <c r="AR5" s="10">
        <f t="shared" si="4"/>
        <v>0.17744727860310969</v>
      </c>
      <c r="AS5" s="10">
        <f t="shared" si="5"/>
        <v>4.7478111757819588E-2</v>
      </c>
      <c r="AT5" s="10">
        <f t="shared" si="6"/>
        <v>0</v>
      </c>
      <c r="AU5" s="10">
        <f t="shared" si="7"/>
        <v>0</v>
      </c>
      <c r="AV5" s="12"/>
      <c r="AW5" s="13"/>
      <c r="AX5" s="13"/>
      <c r="AY5" s="8"/>
      <c r="AZ5" s="8"/>
      <c r="BA5" s="8"/>
      <c r="BB5" s="8"/>
      <c r="BC5" s="38" t="str">
        <f t="shared" si="8"/>
        <v/>
      </c>
      <c r="BD5" s="38" t="str">
        <f t="shared" si="9"/>
        <v/>
      </c>
      <c r="BE5" s="39">
        <v>0.17749999999999999</v>
      </c>
      <c r="BF5" s="40" t="s">
        <v>10238</v>
      </c>
      <c r="BG5">
        <v>2022</v>
      </c>
    </row>
    <row r="6" spans="1:59" ht="15" customHeight="1" x14ac:dyDescent="0.3">
      <c r="A6" s="8" t="s">
        <v>660</v>
      </c>
      <c r="B6" s="9">
        <v>10006.31</v>
      </c>
      <c r="C6" s="9">
        <v>5040.63</v>
      </c>
      <c r="D6" s="9">
        <v>4965.68</v>
      </c>
      <c r="E6" s="9">
        <v>5040.63</v>
      </c>
      <c r="F6" s="9"/>
      <c r="G6" s="9"/>
      <c r="H6" s="9"/>
      <c r="I6" s="9"/>
      <c r="J6" s="9"/>
      <c r="K6" s="9">
        <v>4453</v>
      </c>
      <c r="L6" s="9"/>
      <c r="M6" s="9"/>
      <c r="N6" s="9"/>
      <c r="O6" s="9">
        <v>1</v>
      </c>
      <c r="P6" s="9">
        <v>30</v>
      </c>
      <c r="Q6" s="9">
        <v>0</v>
      </c>
      <c r="R6" s="9"/>
      <c r="S6" s="9">
        <v>0</v>
      </c>
      <c r="T6" s="9"/>
      <c r="U6" s="9"/>
      <c r="V6" s="9"/>
      <c r="W6" s="9"/>
      <c r="X6" s="8"/>
      <c r="Y6" s="8"/>
      <c r="Z6" s="8"/>
      <c r="AA6" s="9"/>
      <c r="AB6" s="10">
        <f t="shared" si="0"/>
        <v>0</v>
      </c>
      <c r="AC6" s="9"/>
      <c r="AD6" s="9"/>
      <c r="AE6" s="9"/>
      <c r="AF6" s="9">
        <v>99141</v>
      </c>
      <c r="AG6" s="9">
        <v>17178</v>
      </c>
      <c r="AH6" s="9">
        <v>4620</v>
      </c>
      <c r="AI6" s="9"/>
      <c r="AJ6" s="9"/>
      <c r="AK6" s="9"/>
      <c r="AL6" s="9"/>
      <c r="AM6" s="9"/>
      <c r="AN6" s="9"/>
      <c r="AO6" s="11">
        <f t="shared" si="1"/>
        <v>0</v>
      </c>
      <c r="AP6" s="11">
        <f t="shared" si="2"/>
        <v>0</v>
      </c>
      <c r="AQ6" s="11">
        <f t="shared" si="3"/>
        <v>3.4079073449152189</v>
      </c>
      <c r="AR6" s="10">
        <f t="shared" si="4"/>
        <v>0.17326837534420675</v>
      </c>
      <c r="AS6" s="10">
        <f t="shared" si="5"/>
        <v>4.6600296547341664E-2</v>
      </c>
      <c r="AT6" s="10">
        <f t="shared" si="6"/>
        <v>0</v>
      </c>
      <c r="AU6" s="10">
        <f t="shared" si="7"/>
        <v>0</v>
      </c>
      <c r="AV6" s="12"/>
      <c r="AW6" s="13"/>
      <c r="AX6" s="13"/>
      <c r="AY6" s="8"/>
      <c r="AZ6" s="8"/>
      <c r="BA6" s="8"/>
      <c r="BB6" s="8"/>
      <c r="BC6" s="38" t="str">
        <f t="shared" si="8"/>
        <v/>
      </c>
      <c r="BD6" s="38" t="str">
        <f t="shared" si="9"/>
        <v/>
      </c>
      <c r="BE6" s="39">
        <v>0.17330000000000001</v>
      </c>
      <c r="BF6" s="40" t="s">
        <v>10239</v>
      </c>
      <c r="BG6">
        <v>2023</v>
      </c>
    </row>
    <row r="7" spans="1:59" ht="15" customHeight="1" x14ac:dyDescent="0.3">
      <c r="A7" s="8" t="s">
        <v>660</v>
      </c>
      <c r="B7" s="9">
        <v>9709.24</v>
      </c>
      <c r="C7" s="9">
        <v>4743.5600000000004</v>
      </c>
      <c r="D7" s="9">
        <v>4965.68</v>
      </c>
      <c r="E7" s="9">
        <v>4558.21</v>
      </c>
      <c r="F7" s="9">
        <v>185.35</v>
      </c>
      <c r="G7" s="9"/>
      <c r="H7" s="9"/>
      <c r="I7" s="9"/>
      <c r="J7" s="9"/>
      <c r="K7" s="9">
        <v>4453</v>
      </c>
      <c r="L7" s="9"/>
      <c r="M7" s="9"/>
      <c r="N7" s="9"/>
      <c r="O7" s="9">
        <v>1</v>
      </c>
      <c r="P7" s="9">
        <v>30</v>
      </c>
      <c r="Q7" s="9">
        <v>0</v>
      </c>
      <c r="R7" s="9"/>
      <c r="S7" s="9">
        <v>0</v>
      </c>
      <c r="T7" s="9"/>
      <c r="U7" s="9"/>
      <c r="V7" s="9"/>
      <c r="W7" s="9"/>
      <c r="X7" s="8"/>
      <c r="Y7" s="8"/>
      <c r="Z7" s="8"/>
      <c r="AA7" s="9"/>
      <c r="AB7" s="10">
        <f t="shared" si="0"/>
        <v>0</v>
      </c>
      <c r="AC7" s="9"/>
      <c r="AD7" s="9"/>
      <c r="AE7" s="9"/>
      <c r="AF7" s="9">
        <v>71988</v>
      </c>
      <c r="AG7" s="9">
        <v>11546</v>
      </c>
      <c r="AH7" s="9">
        <v>3166</v>
      </c>
      <c r="AI7" s="9"/>
      <c r="AJ7" s="9"/>
      <c r="AK7" s="9"/>
      <c r="AL7" s="9"/>
      <c r="AM7" s="9"/>
      <c r="AN7" s="9"/>
      <c r="AO7" s="11">
        <f t="shared" si="1"/>
        <v>0</v>
      </c>
      <c r="AP7" s="11">
        <f t="shared" si="2"/>
        <v>0</v>
      </c>
      <c r="AQ7" s="11">
        <f t="shared" si="3"/>
        <v>2.5330118621125397</v>
      </c>
      <c r="AR7" s="10">
        <f t="shared" si="4"/>
        <v>0.1603878424181808</v>
      </c>
      <c r="AS7" s="10">
        <f t="shared" si="5"/>
        <v>4.3979552147580155E-2</v>
      </c>
      <c r="AT7" s="10">
        <f t="shared" si="6"/>
        <v>0</v>
      </c>
      <c r="AU7" s="10">
        <f t="shared" si="7"/>
        <v>0</v>
      </c>
      <c r="AV7" s="12"/>
      <c r="AW7" s="13">
        <v>1</v>
      </c>
      <c r="AX7" s="13">
        <v>0</v>
      </c>
      <c r="AY7" s="8"/>
      <c r="AZ7" s="8"/>
      <c r="BA7" s="8"/>
      <c r="BB7" s="8"/>
      <c r="BC7" s="38" t="str">
        <f t="shared" si="8"/>
        <v/>
      </c>
      <c r="BD7" s="38" t="str">
        <f t="shared" si="9"/>
        <v/>
      </c>
      <c r="BE7" s="39">
        <v>0.16039999999999999</v>
      </c>
      <c r="BF7" s="40" t="s">
        <v>10240</v>
      </c>
      <c r="BG7">
        <v>2024</v>
      </c>
    </row>
    <row r="8" spans="1:59" ht="15" customHeight="1" x14ac:dyDescent="0.3">
      <c r="A8" s="8" t="s">
        <v>864</v>
      </c>
      <c r="B8" s="9">
        <v>48516</v>
      </c>
      <c r="C8" s="9">
        <v>43400</v>
      </c>
      <c r="D8" s="9">
        <v>5116</v>
      </c>
      <c r="E8" s="9">
        <v>43400</v>
      </c>
      <c r="F8" s="9">
        <v>5174</v>
      </c>
      <c r="G8" s="9"/>
      <c r="H8" s="9"/>
      <c r="I8" s="9">
        <v>13</v>
      </c>
      <c r="J8" s="9"/>
      <c r="K8" s="9">
        <v>26049</v>
      </c>
      <c r="L8" s="9">
        <v>9051</v>
      </c>
      <c r="M8" s="9"/>
      <c r="N8" s="9">
        <v>13416</v>
      </c>
      <c r="O8" s="9">
        <v>5</v>
      </c>
      <c r="P8" s="9">
        <v>315</v>
      </c>
      <c r="Q8" s="9">
        <v>1</v>
      </c>
      <c r="R8" s="9"/>
      <c r="S8" s="9">
        <v>0</v>
      </c>
      <c r="T8" s="9"/>
      <c r="U8" s="9"/>
      <c r="V8" s="9"/>
      <c r="W8" s="9"/>
      <c r="X8" s="8"/>
      <c r="Y8" s="8"/>
      <c r="Z8" s="8"/>
      <c r="AA8" s="9">
        <v>503811</v>
      </c>
      <c r="AB8" s="10">
        <f t="shared" si="0"/>
        <v>0.36644237895773496</v>
      </c>
      <c r="AC8" s="9">
        <v>881051</v>
      </c>
      <c r="AD8" s="9"/>
      <c r="AE8" s="9"/>
      <c r="AF8" s="9">
        <v>1374871</v>
      </c>
      <c r="AG8" s="9">
        <v>283659</v>
      </c>
      <c r="AH8" s="9">
        <v>57477</v>
      </c>
      <c r="AI8" s="9">
        <v>1459</v>
      </c>
      <c r="AJ8" s="9"/>
      <c r="AK8" s="9"/>
      <c r="AL8" s="9"/>
      <c r="AM8" s="9"/>
      <c r="AN8" s="9"/>
      <c r="AO8" s="11">
        <f t="shared" si="1"/>
        <v>20.300714285714285</v>
      </c>
      <c r="AP8" s="11">
        <f t="shared" si="2"/>
        <v>0</v>
      </c>
      <c r="AQ8" s="11">
        <f t="shared" si="3"/>
        <v>6.5359216589861751</v>
      </c>
      <c r="AR8" s="10">
        <f t="shared" si="4"/>
        <v>0.2063168108135236</v>
      </c>
      <c r="AS8" s="10">
        <f t="shared" si="5"/>
        <v>4.1805376649882063E-2</v>
      </c>
      <c r="AT8" s="10">
        <f t="shared" si="6"/>
        <v>2.5384066670146321E-2</v>
      </c>
      <c r="AU8" s="10">
        <f t="shared" si="7"/>
        <v>0</v>
      </c>
      <c r="AV8" s="12">
        <v>11253</v>
      </c>
      <c r="AW8" s="13">
        <v>0.99760000000000004</v>
      </c>
      <c r="AX8" s="13">
        <v>2.3999999999999998E-3</v>
      </c>
      <c r="AY8" s="8"/>
      <c r="AZ8" s="8"/>
      <c r="BA8" s="8"/>
      <c r="BB8" s="8"/>
      <c r="BC8" s="38">
        <f t="shared" si="8"/>
        <v>0.32195525571164441</v>
      </c>
      <c r="BD8" s="38">
        <f t="shared" si="9"/>
        <v>0.20482835112812683</v>
      </c>
      <c r="BE8" s="39">
        <v>0.20599999999999999</v>
      </c>
      <c r="BF8" s="40" t="s">
        <v>10241</v>
      </c>
      <c r="BG8">
        <v>2023</v>
      </c>
    </row>
    <row r="9" spans="1:59" ht="15" customHeight="1" x14ac:dyDescent="0.3">
      <c r="A9" s="8" t="s">
        <v>864</v>
      </c>
      <c r="B9" s="9">
        <v>49409</v>
      </c>
      <c r="C9" s="9">
        <v>43700</v>
      </c>
      <c r="D9" s="9">
        <v>5709</v>
      </c>
      <c r="E9" s="9">
        <v>42200</v>
      </c>
      <c r="F9" s="9">
        <v>7338</v>
      </c>
      <c r="G9" s="9"/>
      <c r="H9" s="9"/>
      <c r="I9" s="9">
        <v>12.9</v>
      </c>
      <c r="J9" s="9"/>
      <c r="K9" s="9">
        <v>26491</v>
      </c>
      <c r="L9" s="9">
        <v>9051</v>
      </c>
      <c r="M9" s="9"/>
      <c r="N9" s="9">
        <v>13867</v>
      </c>
      <c r="O9" s="9">
        <v>5</v>
      </c>
      <c r="P9" s="9">
        <v>315</v>
      </c>
      <c r="Q9" s="9">
        <v>1</v>
      </c>
      <c r="R9" s="9"/>
      <c r="S9" s="9">
        <v>0</v>
      </c>
      <c r="T9" s="9"/>
      <c r="U9" s="9"/>
      <c r="V9" s="9"/>
      <c r="W9" s="9"/>
      <c r="X9" s="8"/>
      <c r="Y9" s="8"/>
      <c r="Z9" s="8"/>
      <c r="AA9" s="9">
        <v>538483</v>
      </c>
      <c r="AB9" s="10">
        <f t="shared" si="0"/>
        <v>0.39046991292644867</v>
      </c>
      <c r="AC9" s="9">
        <v>840581</v>
      </c>
      <c r="AD9" s="9"/>
      <c r="AE9" s="9"/>
      <c r="AF9" s="9">
        <v>1379064</v>
      </c>
      <c r="AG9" s="9">
        <v>275769</v>
      </c>
      <c r="AH9" s="9">
        <v>55011</v>
      </c>
      <c r="AI9" s="9">
        <v>1052</v>
      </c>
      <c r="AJ9" s="9"/>
      <c r="AK9" s="9"/>
      <c r="AL9" s="9"/>
      <c r="AM9" s="9"/>
      <c r="AN9" s="9"/>
      <c r="AO9" s="11">
        <f t="shared" si="1"/>
        <v>19.918981042654028</v>
      </c>
      <c r="AP9" s="11">
        <f t="shared" si="2"/>
        <v>0</v>
      </c>
      <c r="AQ9" s="11">
        <f t="shared" si="3"/>
        <v>6.5348104265402842</v>
      </c>
      <c r="AR9" s="10">
        <f t="shared" si="4"/>
        <v>0.1999682393275439</v>
      </c>
      <c r="AS9" s="10">
        <f t="shared" si="5"/>
        <v>3.9890099371747798E-2</v>
      </c>
      <c r="AT9" s="10">
        <f t="shared" si="6"/>
        <v>1.9123448037665195E-2</v>
      </c>
      <c r="AU9" s="10">
        <f t="shared" si="7"/>
        <v>0</v>
      </c>
      <c r="AV9" s="12">
        <v>13109</v>
      </c>
      <c r="AW9" s="13">
        <v>0.99670000000000003</v>
      </c>
      <c r="AX9" s="13">
        <v>3.3E-3</v>
      </c>
      <c r="AY9" s="8"/>
      <c r="AZ9" s="8"/>
      <c r="BA9" s="8"/>
      <c r="BB9" s="8"/>
      <c r="BC9" s="38">
        <f t="shared" si="8"/>
        <v>0.32806951382436672</v>
      </c>
      <c r="BD9" s="38">
        <f t="shared" si="9"/>
        <v>0.1999682393275439</v>
      </c>
      <c r="BE9" s="39">
        <v>0.20100000000000001</v>
      </c>
      <c r="BF9" s="40" t="s">
        <v>10242</v>
      </c>
      <c r="BG9">
        <v>2022</v>
      </c>
    </row>
    <row r="10" spans="1:59" ht="15" customHeight="1" x14ac:dyDescent="0.3">
      <c r="A10" s="8" t="s">
        <v>864</v>
      </c>
      <c r="B10" s="9">
        <v>53357</v>
      </c>
      <c r="C10" s="9">
        <v>48352</v>
      </c>
      <c r="D10" s="9">
        <v>5005</v>
      </c>
      <c r="E10" s="9">
        <v>42176</v>
      </c>
      <c r="F10" s="9">
        <v>6212</v>
      </c>
      <c r="G10" s="9"/>
      <c r="H10" s="9"/>
      <c r="I10" s="9">
        <v>12.9</v>
      </c>
      <c r="J10" s="9">
        <v>1718</v>
      </c>
      <c r="K10" s="9">
        <v>26049</v>
      </c>
      <c r="L10" s="9">
        <v>9163</v>
      </c>
      <c r="M10" s="9"/>
      <c r="N10" s="9">
        <v>18145</v>
      </c>
      <c r="O10" s="9">
        <v>5</v>
      </c>
      <c r="P10" s="9">
        <v>315</v>
      </c>
      <c r="Q10" s="9">
        <v>1</v>
      </c>
      <c r="R10" s="9"/>
      <c r="S10" s="9">
        <v>0</v>
      </c>
      <c r="T10" s="9"/>
      <c r="U10" s="9"/>
      <c r="V10" s="9"/>
      <c r="W10" s="9"/>
      <c r="X10" s="8"/>
      <c r="Y10" s="8"/>
      <c r="Z10" s="8"/>
      <c r="AA10" s="9">
        <v>463835</v>
      </c>
      <c r="AB10" s="10">
        <f t="shared" si="0"/>
        <v>0.37612919444038989</v>
      </c>
      <c r="AC10" s="9">
        <v>777615</v>
      </c>
      <c r="AD10" s="9"/>
      <c r="AE10" s="9"/>
      <c r="AF10" s="9">
        <v>1233180</v>
      </c>
      <c r="AG10" s="9">
        <v>245395</v>
      </c>
      <c r="AH10" s="9">
        <v>51889</v>
      </c>
      <c r="AI10" s="9">
        <v>1121</v>
      </c>
      <c r="AJ10" s="9"/>
      <c r="AK10" s="9"/>
      <c r="AL10" s="9"/>
      <c r="AM10" s="9"/>
      <c r="AN10" s="9"/>
      <c r="AO10" s="11">
        <f t="shared" si="1"/>
        <v>18.437381449165404</v>
      </c>
      <c r="AP10" s="11">
        <f t="shared" si="2"/>
        <v>0</v>
      </c>
      <c r="AQ10" s="11">
        <f t="shared" si="3"/>
        <v>5.8183564112291348</v>
      </c>
      <c r="AR10" s="10">
        <f t="shared" si="4"/>
        <v>0.19899365867107802</v>
      </c>
      <c r="AS10" s="10">
        <f t="shared" si="5"/>
        <v>4.2077393405666651E-2</v>
      </c>
      <c r="AT10" s="10">
        <f t="shared" si="6"/>
        <v>2.1603808128890515E-2</v>
      </c>
      <c r="AU10" s="10">
        <f t="shared" si="7"/>
        <v>0</v>
      </c>
      <c r="AV10" s="12">
        <v>13285</v>
      </c>
      <c r="AW10" s="13"/>
      <c r="AX10" s="13"/>
      <c r="AY10" s="8"/>
      <c r="AZ10" s="8"/>
      <c r="BA10" s="8"/>
      <c r="BB10" s="8"/>
      <c r="BC10" s="38">
        <f t="shared" si="8"/>
        <v>0.31557390225239995</v>
      </c>
      <c r="BD10" s="38">
        <f t="shared" si="9"/>
        <v>0.19766804945829475</v>
      </c>
      <c r="BE10" s="39">
        <v>0.19900000000000001</v>
      </c>
      <c r="BF10" s="40" t="s">
        <v>10243</v>
      </c>
      <c r="BG10">
        <v>2024</v>
      </c>
    </row>
    <row r="11" spans="1:59" ht="15" customHeight="1" x14ac:dyDescent="0.3">
      <c r="A11" s="8" t="s">
        <v>1086</v>
      </c>
      <c r="B11" s="9"/>
      <c r="C11" s="9"/>
      <c r="D11" s="9"/>
      <c r="E11" s="9"/>
      <c r="F11" s="9"/>
      <c r="G11" s="9"/>
      <c r="H11" s="9"/>
      <c r="I11" s="9"/>
      <c r="J11" s="9"/>
      <c r="K11" s="9"/>
      <c r="L11" s="9"/>
      <c r="M11" s="9"/>
      <c r="N11" s="9"/>
      <c r="O11" s="9"/>
      <c r="P11" s="9"/>
      <c r="Q11" s="9"/>
      <c r="R11" s="9"/>
      <c r="S11" s="9"/>
      <c r="T11" s="9"/>
      <c r="U11" s="9"/>
      <c r="V11" s="9"/>
      <c r="W11" s="9"/>
      <c r="X11" s="8"/>
      <c r="Y11" s="8"/>
      <c r="Z11" s="8"/>
      <c r="AA11" s="9"/>
      <c r="AB11" s="10" t="str">
        <f t="shared" si="0"/>
        <v/>
      </c>
      <c r="AC11" s="9"/>
      <c r="AD11" s="9"/>
      <c r="AE11" s="9"/>
      <c r="AF11" s="9"/>
      <c r="AG11" s="9"/>
      <c r="AH11" s="9"/>
      <c r="AI11" s="9"/>
      <c r="AJ11" s="9"/>
      <c r="AK11" s="9"/>
      <c r="AL11" s="9"/>
      <c r="AM11" s="9"/>
      <c r="AN11" s="9"/>
      <c r="AO11" s="11" t="str">
        <f t="shared" si="1"/>
        <v/>
      </c>
      <c r="AP11" s="11" t="str">
        <f t="shared" si="2"/>
        <v/>
      </c>
      <c r="AQ11" s="11" t="str">
        <f t="shared" si="3"/>
        <v/>
      </c>
      <c r="AR11" s="10" t="str">
        <f t="shared" si="4"/>
        <v/>
      </c>
      <c r="AS11" s="10" t="str">
        <f t="shared" si="5"/>
        <v/>
      </c>
      <c r="AT11" s="10" t="str">
        <f t="shared" si="6"/>
        <v/>
      </c>
      <c r="AU11" s="10" t="str">
        <f t="shared" si="7"/>
        <v/>
      </c>
      <c r="AV11" s="12"/>
      <c r="AW11" s="13"/>
      <c r="AX11" s="13"/>
      <c r="AY11" s="8"/>
      <c r="AZ11" s="8"/>
      <c r="BA11" s="8"/>
      <c r="BB11" s="8"/>
      <c r="BC11" s="38" t="str">
        <f t="shared" si="8"/>
        <v/>
      </c>
      <c r="BD11" s="38" t="str">
        <f t="shared" si="9"/>
        <v/>
      </c>
      <c r="BE11" s="39"/>
      <c r="BF11" s="40"/>
      <c r="BG11">
        <v>2023</v>
      </c>
    </row>
    <row r="12" spans="1:59" ht="15" customHeight="1" x14ac:dyDescent="0.3">
      <c r="A12" s="8" t="s">
        <v>1086</v>
      </c>
      <c r="B12" s="9"/>
      <c r="C12" s="9"/>
      <c r="D12" s="9"/>
      <c r="E12" s="9"/>
      <c r="F12" s="9"/>
      <c r="G12" s="9"/>
      <c r="H12" s="9"/>
      <c r="I12" s="9"/>
      <c r="J12" s="9"/>
      <c r="K12" s="9"/>
      <c r="L12" s="9"/>
      <c r="M12" s="9"/>
      <c r="N12" s="9"/>
      <c r="O12" s="9"/>
      <c r="P12" s="9"/>
      <c r="Q12" s="9"/>
      <c r="R12" s="9"/>
      <c r="S12" s="9"/>
      <c r="T12" s="9"/>
      <c r="U12" s="9"/>
      <c r="V12" s="9"/>
      <c r="W12" s="9"/>
      <c r="X12" s="8"/>
      <c r="Y12" s="8"/>
      <c r="Z12" s="8"/>
      <c r="AA12" s="9"/>
      <c r="AB12" s="10" t="str">
        <f t="shared" si="0"/>
        <v/>
      </c>
      <c r="AC12" s="9"/>
      <c r="AD12" s="9"/>
      <c r="AE12" s="9"/>
      <c r="AF12" s="9"/>
      <c r="AG12" s="9"/>
      <c r="AH12" s="9"/>
      <c r="AI12" s="9"/>
      <c r="AJ12" s="9"/>
      <c r="AK12" s="9"/>
      <c r="AL12" s="9"/>
      <c r="AM12" s="9"/>
      <c r="AN12" s="9"/>
      <c r="AO12" s="11" t="str">
        <f t="shared" si="1"/>
        <v/>
      </c>
      <c r="AP12" s="11" t="str">
        <f t="shared" si="2"/>
        <v/>
      </c>
      <c r="AQ12" s="11" t="str">
        <f t="shared" si="3"/>
        <v/>
      </c>
      <c r="AR12" s="10" t="str">
        <f t="shared" si="4"/>
        <v/>
      </c>
      <c r="AS12" s="10" t="str">
        <f t="shared" si="5"/>
        <v/>
      </c>
      <c r="AT12" s="10" t="str">
        <f t="shared" si="6"/>
        <v/>
      </c>
      <c r="AU12" s="10" t="str">
        <f t="shared" si="7"/>
        <v/>
      </c>
      <c r="AV12" s="12"/>
      <c r="AW12" s="13"/>
      <c r="AX12" s="13"/>
      <c r="AY12" s="8"/>
      <c r="AZ12" s="8"/>
      <c r="BA12" s="8"/>
      <c r="BB12" s="8"/>
      <c r="BC12" s="38" t="str">
        <f t="shared" si="8"/>
        <v/>
      </c>
      <c r="BD12" s="38" t="str">
        <f t="shared" si="9"/>
        <v/>
      </c>
      <c r="BE12" s="39"/>
      <c r="BF12" s="40"/>
      <c r="BG12">
        <v>2024</v>
      </c>
    </row>
    <row r="13" spans="1:59" ht="15" customHeight="1" x14ac:dyDescent="0.3">
      <c r="A13" s="8" t="s">
        <v>1086</v>
      </c>
      <c r="B13" s="9"/>
      <c r="C13" s="9"/>
      <c r="D13" s="9"/>
      <c r="E13" s="9"/>
      <c r="F13" s="9"/>
      <c r="G13" s="9"/>
      <c r="H13" s="9"/>
      <c r="I13" s="9"/>
      <c r="J13" s="9"/>
      <c r="K13" s="9"/>
      <c r="L13" s="9"/>
      <c r="M13" s="9"/>
      <c r="N13" s="9"/>
      <c r="O13" s="9"/>
      <c r="P13" s="9"/>
      <c r="Q13" s="9"/>
      <c r="R13" s="9"/>
      <c r="S13" s="9"/>
      <c r="T13" s="9"/>
      <c r="U13" s="9"/>
      <c r="V13" s="9"/>
      <c r="W13" s="9"/>
      <c r="X13" s="8"/>
      <c r="Y13" s="8"/>
      <c r="Z13" s="8"/>
      <c r="AA13" s="9"/>
      <c r="AB13" s="10" t="str">
        <f t="shared" si="0"/>
        <v/>
      </c>
      <c r="AC13" s="9"/>
      <c r="AD13" s="9"/>
      <c r="AE13" s="9"/>
      <c r="AF13" s="9"/>
      <c r="AG13" s="9"/>
      <c r="AH13" s="9"/>
      <c r="AI13" s="9"/>
      <c r="AJ13" s="9"/>
      <c r="AK13" s="9"/>
      <c r="AL13" s="9"/>
      <c r="AM13" s="9"/>
      <c r="AN13" s="9"/>
      <c r="AO13" s="11" t="str">
        <f t="shared" si="1"/>
        <v/>
      </c>
      <c r="AP13" s="11" t="str">
        <f t="shared" si="2"/>
        <v/>
      </c>
      <c r="AQ13" s="11" t="str">
        <f t="shared" si="3"/>
        <v/>
      </c>
      <c r="AR13" s="10" t="str">
        <f t="shared" si="4"/>
        <v/>
      </c>
      <c r="AS13" s="10" t="str">
        <f t="shared" si="5"/>
        <v/>
      </c>
      <c r="AT13" s="10" t="str">
        <f t="shared" si="6"/>
        <v/>
      </c>
      <c r="AU13" s="10" t="str">
        <f t="shared" si="7"/>
        <v/>
      </c>
      <c r="AV13" s="12"/>
      <c r="AW13" s="13"/>
      <c r="AX13" s="13"/>
      <c r="AY13" s="8"/>
      <c r="AZ13" s="8"/>
      <c r="BA13" s="8"/>
      <c r="BB13" s="8"/>
      <c r="BC13" s="38" t="str">
        <f t="shared" si="8"/>
        <v/>
      </c>
      <c r="BD13" s="38" t="str">
        <f t="shared" si="9"/>
        <v/>
      </c>
      <c r="BE13" s="39"/>
      <c r="BF13" s="40"/>
      <c r="BG13">
        <v>2025</v>
      </c>
    </row>
    <row r="14" spans="1:59" ht="15" customHeight="1" x14ac:dyDescent="0.3">
      <c r="A14" s="8" t="s">
        <v>1253</v>
      </c>
      <c r="B14" s="9"/>
      <c r="C14" s="9"/>
      <c r="D14" s="9"/>
      <c r="E14" s="9"/>
      <c r="F14" s="9"/>
      <c r="G14" s="9"/>
      <c r="H14" s="9"/>
      <c r="I14" s="9"/>
      <c r="J14" s="9"/>
      <c r="K14" s="9"/>
      <c r="L14" s="9"/>
      <c r="M14" s="9"/>
      <c r="N14" s="9"/>
      <c r="O14" s="9"/>
      <c r="P14" s="9"/>
      <c r="Q14" s="9"/>
      <c r="R14" s="9"/>
      <c r="S14" s="9"/>
      <c r="T14" s="9"/>
      <c r="U14" s="9"/>
      <c r="V14" s="9"/>
      <c r="W14" s="9"/>
      <c r="X14" s="8"/>
      <c r="Y14" s="8"/>
      <c r="Z14" s="8"/>
      <c r="AA14" s="9"/>
      <c r="AB14" s="10" t="str">
        <f t="shared" si="0"/>
        <v/>
      </c>
      <c r="AC14" s="9"/>
      <c r="AD14" s="9"/>
      <c r="AE14" s="9"/>
      <c r="AF14" s="9"/>
      <c r="AG14" s="9"/>
      <c r="AH14" s="9"/>
      <c r="AI14" s="9"/>
      <c r="AJ14" s="9"/>
      <c r="AK14" s="9"/>
      <c r="AL14" s="9"/>
      <c r="AM14" s="9"/>
      <c r="AN14" s="9"/>
      <c r="AO14" s="11" t="str">
        <f t="shared" si="1"/>
        <v/>
      </c>
      <c r="AP14" s="11" t="str">
        <f t="shared" si="2"/>
        <v/>
      </c>
      <c r="AQ14" s="11" t="str">
        <f t="shared" si="3"/>
        <v/>
      </c>
      <c r="AR14" s="10" t="str">
        <f t="shared" si="4"/>
        <v/>
      </c>
      <c r="AS14" s="10" t="str">
        <f t="shared" si="5"/>
        <v/>
      </c>
      <c r="AT14" s="10" t="str">
        <f t="shared" si="6"/>
        <v/>
      </c>
      <c r="AU14" s="10" t="str">
        <f t="shared" si="7"/>
        <v/>
      </c>
      <c r="AV14" s="12"/>
      <c r="AW14" s="13"/>
      <c r="AX14" s="13"/>
      <c r="AY14" s="8"/>
      <c r="AZ14" s="8"/>
      <c r="BA14" s="8"/>
      <c r="BB14" s="8"/>
      <c r="BC14" s="38" t="str">
        <f t="shared" si="8"/>
        <v/>
      </c>
      <c r="BD14" s="38" t="str">
        <f t="shared" si="9"/>
        <v/>
      </c>
      <c r="BE14" s="39"/>
      <c r="BF14" s="40"/>
      <c r="BG14">
        <v>2022</v>
      </c>
    </row>
    <row r="15" spans="1:59" ht="15" customHeight="1" x14ac:dyDescent="0.3">
      <c r="A15" s="8" t="s">
        <v>1253</v>
      </c>
      <c r="B15" s="9"/>
      <c r="C15" s="9"/>
      <c r="D15" s="9"/>
      <c r="E15" s="9"/>
      <c r="F15" s="9"/>
      <c r="G15" s="9"/>
      <c r="H15" s="9"/>
      <c r="I15" s="9"/>
      <c r="J15" s="9"/>
      <c r="K15" s="9"/>
      <c r="L15" s="9"/>
      <c r="M15" s="9"/>
      <c r="N15" s="9"/>
      <c r="O15" s="9"/>
      <c r="P15" s="9"/>
      <c r="Q15" s="9"/>
      <c r="R15" s="9"/>
      <c r="S15" s="9"/>
      <c r="T15" s="9"/>
      <c r="U15" s="9"/>
      <c r="V15" s="9"/>
      <c r="W15" s="9"/>
      <c r="X15" s="8"/>
      <c r="Y15" s="8"/>
      <c r="Z15" s="8"/>
      <c r="AA15" s="9"/>
      <c r="AB15" s="10" t="str">
        <f t="shared" si="0"/>
        <v/>
      </c>
      <c r="AC15" s="9"/>
      <c r="AD15" s="9"/>
      <c r="AE15" s="9"/>
      <c r="AF15" s="9"/>
      <c r="AG15" s="9"/>
      <c r="AH15" s="9"/>
      <c r="AI15" s="9"/>
      <c r="AJ15" s="9"/>
      <c r="AK15" s="9"/>
      <c r="AL15" s="9"/>
      <c r="AM15" s="9"/>
      <c r="AN15" s="9"/>
      <c r="AO15" s="11" t="str">
        <f t="shared" si="1"/>
        <v/>
      </c>
      <c r="AP15" s="11" t="str">
        <f t="shared" si="2"/>
        <v/>
      </c>
      <c r="AQ15" s="11" t="str">
        <f t="shared" si="3"/>
        <v/>
      </c>
      <c r="AR15" s="10" t="str">
        <f t="shared" si="4"/>
        <v/>
      </c>
      <c r="AS15" s="10" t="str">
        <f t="shared" si="5"/>
        <v/>
      </c>
      <c r="AT15" s="10" t="str">
        <f t="shared" si="6"/>
        <v/>
      </c>
      <c r="AU15" s="10" t="str">
        <f t="shared" si="7"/>
        <v/>
      </c>
      <c r="AV15" s="12"/>
      <c r="AW15" s="13"/>
      <c r="AX15" s="13"/>
      <c r="AY15" s="8"/>
      <c r="AZ15" s="8"/>
      <c r="BA15" s="8"/>
      <c r="BB15" s="8"/>
      <c r="BC15" s="38" t="str">
        <f t="shared" si="8"/>
        <v/>
      </c>
      <c r="BD15" s="38" t="str">
        <f t="shared" si="9"/>
        <v/>
      </c>
      <c r="BE15" s="39"/>
      <c r="BF15" s="40"/>
      <c r="BG15">
        <v>2023</v>
      </c>
    </row>
    <row r="16" spans="1:59" ht="15" customHeight="1" x14ac:dyDescent="0.3">
      <c r="A16" s="8" t="s">
        <v>1253</v>
      </c>
      <c r="B16" s="9"/>
      <c r="C16" s="9"/>
      <c r="D16" s="9"/>
      <c r="E16" s="9"/>
      <c r="F16" s="9"/>
      <c r="G16" s="9"/>
      <c r="H16" s="9"/>
      <c r="I16" s="9"/>
      <c r="J16" s="9"/>
      <c r="K16" s="9"/>
      <c r="L16" s="9"/>
      <c r="M16" s="9"/>
      <c r="N16" s="9"/>
      <c r="O16" s="9"/>
      <c r="P16" s="9"/>
      <c r="Q16" s="9"/>
      <c r="R16" s="9"/>
      <c r="S16" s="9"/>
      <c r="T16" s="9"/>
      <c r="U16" s="9"/>
      <c r="V16" s="9"/>
      <c r="W16" s="9"/>
      <c r="X16" s="8"/>
      <c r="Y16" s="8"/>
      <c r="Z16" s="8"/>
      <c r="AA16" s="9"/>
      <c r="AB16" s="10" t="str">
        <f t="shared" si="0"/>
        <v/>
      </c>
      <c r="AC16" s="9"/>
      <c r="AD16" s="9"/>
      <c r="AE16" s="9"/>
      <c r="AF16" s="9"/>
      <c r="AG16" s="9"/>
      <c r="AH16" s="9"/>
      <c r="AI16" s="9"/>
      <c r="AJ16" s="9"/>
      <c r="AK16" s="9"/>
      <c r="AL16" s="9"/>
      <c r="AM16" s="9"/>
      <c r="AN16" s="9"/>
      <c r="AO16" s="11" t="str">
        <f t="shared" si="1"/>
        <v/>
      </c>
      <c r="AP16" s="11" t="str">
        <f t="shared" si="2"/>
        <v/>
      </c>
      <c r="AQ16" s="11" t="str">
        <f t="shared" si="3"/>
        <v/>
      </c>
      <c r="AR16" s="10" t="str">
        <f t="shared" si="4"/>
        <v/>
      </c>
      <c r="AS16" s="10" t="str">
        <f t="shared" si="5"/>
        <v/>
      </c>
      <c r="AT16" s="10" t="str">
        <f t="shared" si="6"/>
        <v/>
      </c>
      <c r="AU16" s="10" t="str">
        <f t="shared" si="7"/>
        <v/>
      </c>
      <c r="AV16" s="12"/>
      <c r="AW16" s="13"/>
      <c r="AX16" s="13"/>
      <c r="AY16" s="8"/>
      <c r="AZ16" s="8"/>
      <c r="BA16" s="8"/>
      <c r="BB16" s="8"/>
      <c r="BC16" s="38" t="str">
        <f t="shared" si="8"/>
        <v/>
      </c>
      <c r="BD16" s="38" t="str">
        <f t="shared" si="9"/>
        <v/>
      </c>
      <c r="BE16" s="39"/>
      <c r="BF16" s="40"/>
      <c r="BG16">
        <v>2024</v>
      </c>
    </row>
    <row r="17" spans="1:59" ht="15" customHeight="1" x14ac:dyDescent="0.3">
      <c r="A17" s="8" t="s">
        <v>1412</v>
      </c>
      <c r="B17" s="9">
        <v>87000</v>
      </c>
      <c r="C17" s="9"/>
      <c r="D17" s="9"/>
      <c r="E17" s="9">
        <v>87000</v>
      </c>
      <c r="F17" s="9">
        <v>0</v>
      </c>
      <c r="G17" s="9"/>
      <c r="H17" s="9"/>
      <c r="I17" s="9"/>
      <c r="J17" s="9"/>
      <c r="K17" s="9">
        <v>2000</v>
      </c>
      <c r="L17" s="9">
        <v>73000</v>
      </c>
      <c r="M17" s="9"/>
      <c r="N17" s="9">
        <v>12000</v>
      </c>
      <c r="O17" s="9">
        <v>7</v>
      </c>
      <c r="P17" s="9">
        <v>370</v>
      </c>
      <c r="Q17" s="9">
        <v>0</v>
      </c>
      <c r="R17" s="9"/>
      <c r="S17" s="9">
        <v>0</v>
      </c>
      <c r="T17" s="9"/>
      <c r="U17" s="9"/>
      <c r="V17" s="9"/>
      <c r="W17" s="9"/>
      <c r="X17" s="8"/>
      <c r="Y17" s="8"/>
      <c r="Z17" s="8"/>
      <c r="AA17" s="9">
        <v>272931</v>
      </c>
      <c r="AB17" s="10">
        <f t="shared" si="0"/>
        <v>0.20099906324012867</v>
      </c>
      <c r="AC17" s="9">
        <v>975251</v>
      </c>
      <c r="AD17" s="9">
        <v>930761</v>
      </c>
      <c r="AE17" s="9">
        <v>154180</v>
      </c>
      <c r="AF17" s="9">
        <v>1357872</v>
      </c>
      <c r="AG17" s="9">
        <v>320107</v>
      </c>
      <c r="AH17" s="9">
        <v>59278</v>
      </c>
      <c r="AI17" s="9"/>
      <c r="AJ17" s="9"/>
      <c r="AK17" s="9"/>
      <c r="AL17" s="9"/>
      <c r="AM17" s="9"/>
      <c r="AN17" s="9"/>
      <c r="AO17" s="11">
        <f t="shared" si="1"/>
        <v>11.209781609195403</v>
      </c>
      <c r="AP17" s="11">
        <f t="shared" si="2"/>
        <v>10.698402298850574</v>
      </c>
      <c r="AQ17" s="11">
        <f t="shared" si="3"/>
        <v>3.6793908045977011</v>
      </c>
      <c r="AR17" s="10">
        <f t="shared" si="4"/>
        <v>0.23574166048051656</v>
      </c>
      <c r="AS17" s="10">
        <f t="shared" si="5"/>
        <v>4.3655072053919663E-2</v>
      </c>
      <c r="AT17" s="10">
        <f t="shared" si="6"/>
        <v>0</v>
      </c>
      <c r="AU17" s="10">
        <f t="shared" si="7"/>
        <v>0</v>
      </c>
      <c r="AV17" s="12">
        <v>11015</v>
      </c>
      <c r="AW17" s="13">
        <v>1</v>
      </c>
      <c r="AX17" s="13">
        <v>0</v>
      </c>
      <c r="AY17" s="8"/>
      <c r="AZ17" s="8"/>
      <c r="BA17" s="8"/>
      <c r="BB17" s="8"/>
      <c r="BC17" s="38">
        <f t="shared" si="8"/>
        <v>0.32823037351410045</v>
      </c>
      <c r="BD17" s="38">
        <f t="shared" si="9"/>
        <v>0.25645859337820925</v>
      </c>
      <c r="BE17" s="39">
        <v>0.23569999999999999</v>
      </c>
      <c r="BF17" s="40" t="s">
        <v>10244</v>
      </c>
      <c r="BG17">
        <v>2023</v>
      </c>
    </row>
    <row r="18" spans="1:59" ht="15" customHeight="1" x14ac:dyDescent="0.3">
      <c r="A18" s="8" t="s">
        <v>1412</v>
      </c>
      <c r="B18" s="9">
        <v>87000</v>
      </c>
      <c r="C18" s="9"/>
      <c r="D18" s="9"/>
      <c r="E18" s="9">
        <v>86729</v>
      </c>
      <c r="F18" s="9">
        <v>271</v>
      </c>
      <c r="G18" s="9"/>
      <c r="H18" s="9"/>
      <c r="I18" s="9"/>
      <c r="J18" s="9"/>
      <c r="K18" s="9">
        <v>2000</v>
      </c>
      <c r="L18" s="9">
        <v>73000</v>
      </c>
      <c r="M18" s="9"/>
      <c r="N18" s="9">
        <v>12000</v>
      </c>
      <c r="O18" s="9">
        <v>7</v>
      </c>
      <c r="P18" s="9">
        <v>370</v>
      </c>
      <c r="Q18" s="9">
        <v>0</v>
      </c>
      <c r="R18" s="9"/>
      <c r="S18" s="9">
        <v>0</v>
      </c>
      <c r="T18" s="9"/>
      <c r="U18" s="9"/>
      <c r="V18" s="9"/>
      <c r="W18" s="9"/>
      <c r="X18" s="8"/>
      <c r="Y18" s="8"/>
      <c r="Z18" s="8"/>
      <c r="AA18" s="9"/>
      <c r="AB18" s="10" t="str">
        <f t="shared" si="0"/>
        <v/>
      </c>
      <c r="AC18" s="9">
        <v>1041515</v>
      </c>
      <c r="AD18" s="9"/>
      <c r="AE18" s="9"/>
      <c r="AF18" s="9"/>
      <c r="AG18" s="9">
        <v>263657</v>
      </c>
      <c r="AH18" s="9">
        <v>49193</v>
      </c>
      <c r="AI18" s="9"/>
      <c r="AJ18" s="9"/>
      <c r="AK18" s="9"/>
      <c r="AL18" s="9"/>
      <c r="AM18" s="9"/>
      <c r="AN18" s="9"/>
      <c r="AO18" s="11">
        <f t="shared" si="1"/>
        <v>12.008843639382444</v>
      </c>
      <c r="AP18" s="11">
        <f t="shared" si="2"/>
        <v>0</v>
      </c>
      <c r="AQ18" s="11">
        <f t="shared" si="3"/>
        <v>3.0400096853416967</v>
      </c>
      <c r="AR18" s="10" t="str">
        <f t="shared" si="4"/>
        <v/>
      </c>
      <c r="AS18" s="10" t="str">
        <f t="shared" si="5"/>
        <v/>
      </c>
      <c r="AT18" s="10">
        <f t="shared" si="6"/>
        <v>0</v>
      </c>
      <c r="AU18" s="10">
        <f t="shared" si="7"/>
        <v>0</v>
      </c>
      <c r="AV18" s="12">
        <v>12515</v>
      </c>
      <c r="AW18" s="13"/>
      <c r="AX18" s="13"/>
      <c r="AY18" s="8"/>
      <c r="AZ18" s="8"/>
      <c r="BA18" s="8"/>
      <c r="BB18" s="8"/>
      <c r="BC18" s="38">
        <f t="shared" si="8"/>
        <v>0.25314757828739864</v>
      </c>
      <c r="BD18" s="38">
        <f t="shared" si="9"/>
        <v>0.25314757828739864</v>
      </c>
      <c r="BE18" s="39">
        <v>0.23599999999999999</v>
      </c>
      <c r="BF18" s="40"/>
      <c r="BG18">
        <v>2024</v>
      </c>
    </row>
    <row r="19" spans="1:59" ht="15" customHeight="1" x14ac:dyDescent="0.3">
      <c r="A19" s="8" t="s">
        <v>1412</v>
      </c>
      <c r="B19" s="9">
        <v>74339</v>
      </c>
      <c r="C19" s="9"/>
      <c r="D19" s="9"/>
      <c r="E19" s="9">
        <v>74068</v>
      </c>
      <c r="F19" s="9">
        <v>271</v>
      </c>
      <c r="G19" s="9"/>
      <c r="H19" s="9"/>
      <c r="I19" s="9"/>
      <c r="J19" s="9"/>
      <c r="K19" s="9"/>
      <c r="L19" s="9"/>
      <c r="M19" s="9"/>
      <c r="N19" s="9"/>
      <c r="O19" s="9">
        <v>7</v>
      </c>
      <c r="P19" s="9">
        <v>370</v>
      </c>
      <c r="Q19" s="9"/>
      <c r="R19" s="9"/>
      <c r="S19" s="9"/>
      <c r="T19" s="9"/>
      <c r="U19" s="9"/>
      <c r="V19" s="9"/>
      <c r="W19" s="9"/>
      <c r="X19" s="8"/>
      <c r="Y19" s="8"/>
      <c r="Z19" s="8"/>
      <c r="AA19" s="9"/>
      <c r="AB19" s="10" t="str">
        <f t="shared" si="0"/>
        <v/>
      </c>
      <c r="AC19" s="9"/>
      <c r="AD19" s="9"/>
      <c r="AE19" s="9"/>
      <c r="AF19" s="9"/>
      <c r="AG19" s="9"/>
      <c r="AH19" s="9"/>
      <c r="AI19" s="9"/>
      <c r="AJ19" s="9"/>
      <c r="AK19" s="9"/>
      <c r="AL19" s="9"/>
      <c r="AM19" s="9"/>
      <c r="AN19" s="9"/>
      <c r="AO19" s="11">
        <f t="shared" si="1"/>
        <v>0</v>
      </c>
      <c r="AP19" s="11">
        <f t="shared" si="2"/>
        <v>0</v>
      </c>
      <c r="AQ19" s="11">
        <f t="shared" si="3"/>
        <v>0</v>
      </c>
      <c r="AR19" s="10" t="str">
        <f t="shared" si="4"/>
        <v/>
      </c>
      <c r="AS19" s="10" t="str">
        <f t="shared" si="5"/>
        <v/>
      </c>
      <c r="AT19" s="10" t="str">
        <f t="shared" si="6"/>
        <v/>
      </c>
      <c r="AU19" s="10" t="str">
        <f t="shared" si="7"/>
        <v/>
      </c>
      <c r="AV19" s="12"/>
      <c r="AW19" s="13"/>
      <c r="AX19" s="13"/>
      <c r="AY19" s="8"/>
      <c r="AZ19" s="8"/>
      <c r="BA19" s="8"/>
      <c r="BB19" s="8"/>
      <c r="BC19" s="38" t="str">
        <f t="shared" si="8"/>
        <v/>
      </c>
      <c r="BD19" s="38" t="str">
        <f t="shared" si="9"/>
        <v/>
      </c>
      <c r="BE19" s="39"/>
      <c r="BF19" s="40"/>
      <c r="BG19">
        <v>2025</v>
      </c>
    </row>
    <row r="20" spans="1:59" ht="15" customHeight="1" x14ac:dyDescent="0.3">
      <c r="A20" s="8" t="s">
        <v>1625</v>
      </c>
      <c r="B20" s="9"/>
      <c r="C20" s="9"/>
      <c r="D20" s="9"/>
      <c r="E20" s="9"/>
      <c r="F20" s="9"/>
      <c r="G20" s="9"/>
      <c r="H20" s="9"/>
      <c r="I20" s="9"/>
      <c r="J20" s="9"/>
      <c r="K20" s="9"/>
      <c r="L20" s="9"/>
      <c r="M20" s="9"/>
      <c r="N20" s="9"/>
      <c r="O20" s="9">
        <v>0</v>
      </c>
      <c r="P20" s="9"/>
      <c r="Q20" s="9">
        <v>1</v>
      </c>
      <c r="R20" s="9">
        <v>25</v>
      </c>
      <c r="S20" s="9">
        <v>1</v>
      </c>
      <c r="T20" s="9">
        <v>850000</v>
      </c>
      <c r="U20" s="9">
        <v>0</v>
      </c>
      <c r="V20" s="9"/>
      <c r="W20" s="9"/>
      <c r="X20" s="8"/>
      <c r="Y20" s="8"/>
      <c r="Z20" s="8"/>
      <c r="AA20" s="9"/>
      <c r="AB20" s="10" t="str">
        <f t="shared" si="0"/>
        <v/>
      </c>
      <c r="AC20" s="9"/>
      <c r="AD20" s="9"/>
      <c r="AE20" s="9"/>
      <c r="AF20" s="9"/>
      <c r="AG20" s="9"/>
      <c r="AH20" s="9"/>
      <c r="AI20" s="9"/>
      <c r="AJ20" s="9"/>
      <c r="AK20" s="9"/>
      <c r="AL20" s="9"/>
      <c r="AM20" s="9"/>
      <c r="AN20" s="9"/>
      <c r="AO20" s="11" t="str">
        <f t="shared" si="1"/>
        <v/>
      </c>
      <c r="AP20" s="11" t="str">
        <f t="shared" si="2"/>
        <v/>
      </c>
      <c r="AQ20" s="11" t="str">
        <f t="shared" si="3"/>
        <v/>
      </c>
      <c r="AR20" s="10" t="str">
        <f t="shared" si="4"/>
        <v/>
      </c>
      <c r="AS20" s="10" t="str">
        <f t="shared" si="5"/>
        <v/>
      </c>
      <c r="AT20" s="10" t="str">
        <f t="shared" si="6"/>
        <v/>
      </c>
      <c r="AU20" s="10" t="str">
        <f t="shared" si="7"/>
        <v/>
      </c>
      <c r="AV20" s="12"/>
      <c r="AW20" s="13">
        <v>0.22539999999999999</v>
      </c>
      <c r="AX20" s="13">
        <v>0.77459999999999996</v>
      </c>
      <c r="AY20" s="8"/>
      <c r="AZ20" s="8" t="s">
        <v>10245</v>
      </c>
      <c r="BA20" s="8"/>
      <c r="BB20" s="8"/>
      <c r="BC20" s="38" t="str">
        <f t="shared" si="8"/>
        <v/>
      </c>
      <c r="BD20" s="38" t="str">
        <f t="shared" si="9"/>
        <v/>
      </c>
      <c r="BE20" s="39"/>
      <c r="BF20" s="40"/>
      <c r="BG20">
        <v>2023</v>
      </c>
    </row>
    <row r="21" spans="1:59" ht="15" customHeight="1" x14ac:dyDescent="0.3">
      <c r="A21" s="8" t="s">
        <v>1625</v>
      </c>
      <c r="B21" s="9"/>
      <c r="C21" s="9"/>
      <c r="D21" s="9"/>
      <c r="E21" s="9"/>
      <c r="F21" s="9"/>
      <c r="G21" s="9"/>
      <c r="H21" s="9"/>
      <c r="I21" s="9"/>
      <c r="J21" s="9"/>
      <c r="K21" s="9"/>
      <c r="L21" s="9"/>
      <c r="M21" s="9"/>
      <c r="N21" s="9"/>
      <c r="O21" s="9">
        <v>0</v>
      </c>
      <c r="P21" s="9"/>
      <c r="Q21" s="9">
        <v>1</v>
      </c>
      <c r="R21" s="9">
        <v>25</v>
      </c>
      <c r="S21" s="9">
        <v>1</v>
      </c>
      <c r="T21" s="9">
        <v>850000</v>
      </c>
      <c r="U21" s="9">
        <v>0</v>
      </c>
      <c r="V21" s="9"/>
      <c r="W21" s="9"/>
      <c r="X21" s="8"/>
      <c r="Y21" s="8"/>
      <c r="Z21" s="8"/>
      <c r="AA21" s="9"/>
      <c r="AB21" s="10" t="str">
        <f t="shared" si="0"/>
        <v/>
      </c>
      <c r="AC21" s="9"/>
      <c r="AD21" s="9"/>
      <c r="AE21" s="9"/>
      <c r="AF21" s="9"/>
      <c r="AG21" s="9"/>
      <c r="AH21" s="9"/>
      <c r="AI21" s="9"/>
      <c r="AJ21" s="9">
        <v>387833</v>
      </c>
      <c r="AK21" s="9">
        <v>296406</v>
      </c>
      <c r="AL21" s="9">
        <v>67661</v>
      </c>
      <c r="AM21" s="9">
        <v>14659</v>
      </c>
      <c r="AN21" s="9"/>
      <c r="AO21" s="11" t="str">
        <f t="shared" si="1"/>
        <v/>
      </c>
      <c r="AP21" s="11" t="str">
        <f t="shared" si="2"/>
        <v/>
      </c>
      <c r="AQ21" s="11" t="str">
        <f t="shared" si="3"/>
        <v/>
      </c>
      <c r="AR21" s="10" t="str">
        <f t="shared" si="4"/>
        <v/>
      </c>
      <c r="AS21" s="10" t="str">
        <f t="shared" si="5"/>
        <v/>
      </c>
      <c r="AT21" s="10" t="str">
        <f t="shared" si="6"/>
        <v/>
      </c>
      <c r="AU21" s="10" t="str">
        <f t="shared" si="7"/>
        <v/>
      </c>
      <c r="AV21" s="12"/>
      <c r="AW21" s="13">
        <v>0.2366</v>
      </c>
      <c r="AX21" s="13">
        <v>0.76339999999999997</v>
      </c>
      <c r="AY21" s="8"/>
      <c r="AZ21" s="8" t="s">
        <v>10246</v>
      </c>
      <c r="BA21" s="8"/>
      <c r="BB21" s="8"/>
      <c r="BC21" s="38" t="str">
        <f t="shared" si="8"/>
        <v/>
      </c>
      <c r="BD21" s="38" t="str">
        <f t="shared" si="9"/>
        <v/>
      </c>
      <c r="BE21" s="39"/>
      <c r="BF21" s="40"/>
      <c r="BG21">
        <v>2024</v>
      </c>
    </row>
    <row r="22" spans="1:59" ht="15" customHeight="1" x14ac:dyDescent="0.3">
      <c r="A22" s="8" t="s">
        <v>1625</v>
      </c>
      <c r="B22" s="9"/>
      <c r="C22" s="9"/>
      <c r="D22" s="9"/>
      <c r="E22" s="9"/>
      <c r="F22" s="9"/>
      <c r="G22" s="9"/>
      <c r="H22" s="9"/>
      <c r="I22" s="9"/>
      <c r="J22" s="9"/>
      <c r="K22" s="9"/>
      <c r="L22" s="9"/>
      <c r="M22" s="9"/>
      <c r="N22" s="9"/>
      <c r="O22" s="9">
        <v>0</v>
      </c>
      <c r="P22" s="9"/>
      <c r="Q22" s="9">
        <v>1</v>
      </c>
      <c r="R22" s="9">
        <v>25</v>
      </c>
      <c r="S22" s="9">
        <v>1</v>
      </c>
      <c r="T22" s="9">
        <v>850000</v>
      </c>
      <c r="U22" s="9">
        <v>0</v>
      </c>
      <c r="V22" s="9"/>
      <c r="W22" s="9"/>
      <c r="X22" s="8"/>
      <c r="Y22" s="8"/>
      <c r="Z22" s="8"/>
      <c r="AA22" s="9"/>
      <c r="AB22" s="10" t="str">
        <f t="shared" si="0"/>
        <v/>
      </c>
      <c r="AC22" s="9"/>
      <c r="AD22" s="9"/>
      <c r="AE22" s="9"/>
      <c r="AF22" s="9"/>
      <c r="AG22" s="9"/>
      <c r="AH22" s="9"/>
      <c r="AI22" s="9"/>
      <c r="AJ22" s="9">
        <v>578928</v>
      </c>
      <c r="AK22" s="9">
        <v>467921</v>
      </c>
      <c r="AL22" s="9">
        <v>101320</v>
      </c>
      <c r="AM22" s="9">
        <v>21898</v>
      </c>
      <c r="AN22" s="9"/>
      <c r="AO22" s="11" t="str">
        <f t="shared" si="1"/>
        <v/>
      </c>
      <c r="AP22" s="11" t="str">
        <f t="shared" si="2"/>
        <v/>
      </c>
      <c r="AQ22" s="11" t="str">
        <f t="shared" si="3"/>
        <v/>
      </c>
      <c r="AR22" s="10" t="str">
        <f t="shared" si="4"/>
        <v/>
      </c>
      <c r="AS22" s="10" t="str">
        <f t="shared" si="5"/>
        <v/>
      </c>
      <c r="AT22" s="10" t="str">
        <f t="shared" si="6"/>
        <v/>
      </c>
      <c r="AU22" s="10" t="str">
        <f t="shared" si="7"/>
        <v/>
      </c>
      <c r="AV22" s="12"/>
      <c r="AW22" s="13">
        <v>0.21360000000000001</v>
      </c>
      <c r="AX22" s="13">
        <v>0.78639999999999999</v>
      </c>
      <c r="AY22" s="8"/>
      <c r="AZ22" s="8" t="s">
        <v>10247</v>
      </c>
      <c r="BA22" s="8"/>
      <c r="BB22" s="8"/>
      <c r="BC22" s="38" t="str">
        <f t="shared" si="8"/>
        <v/>
      </c>
      <c r="BD22" s="38" t="str">
        <f t="shared" si="9"/>
        <v/>
      </c>
      <c r="BE22" s="39"/>
      <c r="BF22" s="40"/>
      <c r="BG22">
        <v>2025</v>
      </c>
    </row>
    <row r="23" spans="1:59" ht="15" customHeight="1" x14ac:dyDescent="0.3">
      <c r="A23" s="8" t="s">
        <v>1938</v>
      </c>
      <c r="B23" s="9">
        <v>19333.900000000001</v>
      </c>
      <c r="C23" s="9">
        <v>19333.900000000001</v>
      </c>
      <c r="D23" s="9"/>
      <c r="E23" s="9">
        <v>16147.1</v>
      </c>
      <c r="F23" s="9">
        <v>3186.8</v>
      </c>
      <c r="G23" s="9">
        <v>12053.3</v>
      </c>
      <c r="H23" s="9">
        <v>4093.8</v>
      </c>
      <c r="I23" s="9"/>
      <c r="J23" s="9"/>
      <c r="K23" s="9">
        <v>19333.900000000001</v>
      </c>
      <c r="L23" s="9"/>
      <c r="M23" s="9"/>
      <c r="N23" s="9"/>
      <c r="O23" s="9">
        <v>1</v>
      </c>
      <c r="P23" s="9">
        <v>45</v>
      </c>
      <c r="Q23" s="9">
        <v>0</v>
      </c>
      <c r="R23" s="9"/>
      <c r="S23" s="9">
        <v>0</v>
      </c>
      <c r="T23" s="9"/>
      <c r="U23" s="9"/>
      <c r="V23" s="9"/>
      <c r="W23" s="9"/>
      <c r="X23" s="8"/>
      <c r="Y23" s="8"/>
      <c r="Z23" s="8"/>
      <c r="AA23" s="9">
        <v>14326</v>
      </c>
      <c r="AB23" s="10">
        <f t="shared" si="0"/>
        <v>8.2248248937880353E-2</v>
      </c>
      <c r="AC23" s="9">
        <v>342464</v>
      </c>
      <c r="AD23" s="9">
        <v>342464</v>
      </c>
      <c r="AE23" s="9"/>
      <c r="AF23" s="9">
        <v>174180</v>
      </c>
      <c r="AG23" s="9">
        <v>35701</v>
      </c>
      <c r="AH23" s="9">
        <v>8974</v>
      </c>
      <c r="AI23" s="9"/>
      <c r="AJ23" s="9"/>
      <c r="AK23" s="9"/>
      <c r="AL23" s="9"/>
      <c r="AM23" s="9"/>
      <c r="AN23" s="9"/>
      <c r="AO23" s="11">
        <f t="shared" si="1"/>
        <v>21.209009667370612</v>
      </c>
      <c r="AP23" s="11">
        <f t="shared" si="2"/>
        <v>21.209009667370612</v>
      </c>
      <c r="AQ23" s="11">
        <f t="shared" si="3"/>
        <v>2.2109852543181128</v>
      </c>
      <c r="AR23" s="10">
        <f t="shared" si="4"/>
        <v>0.20496612699506259</v>
      </c>
      <c r="AS23" s="10">
        <f t="shared" si="5"/>
        <v>5.1521414628545183E-2</v>
      </c>
      <c r="AT23" s="10">
        <f t="shared" si="6"/>
        <v>0</v>
      </c>
      <c r="AU23" s="10">
        <f t="shared" si="7"/>
        <v>0</v>
      </c>
      <c r="AV23" s="12">
        <v>12468</v>
      </c>
      <c r="AW23" s="13">
        <v>1</v>
      </c>
      <c r="AX23" s="13">
        <v>0</v>
      </c>
      <c r="AY23" s="8"/>
      <c r="AZ23" s="8"/>
      <c r="BA23" s="8"/>
      <c r="BB23" s="8"/>
      <c r="BC23" s="38">
        <f t="shared" si="8"/>
        <v>0.10424745374696319</v>
      </c>
      <c r="BD23" s="38">
        <f t="shared" si="9"/>
        <v>0.10006166092098993</v>
      </c>
      <c r="BE23" s="39">
        <v>0.20499999999999999</v>
      </c>
      <c r="BF23" s="40" t="s">
        <v>10248</v>
      </c>
      <c r="BG23">
        <v>2022</v>
      </c>
    </row>
    <row r="24" spans="1:59" ht="15" customHeight="1" x14ac:dyDescent="0.3">
      <c r="A24" s="8" t="s">
        <v>1938</v>
      </c>
      <c r="B24" s="9">
        <v>19552</v>
      </c>
      <c r="C24" s="9">
        <v>19552</v>
      </c>
      <c r="D24" s="9">
        <v>183.71</v>
      </c>
      <c r="E24" s="9">
        <v>17258.3</v>
      </c>
      <c r="F24" s="9">
        <v>2293.6999999999998</v>
      </c>
      <c r="G24" s="9">
        <v>13227.2</v>
      </c>
      <c r="H24" s="9">
        <v>4031.1</v>
      </c>
      <c r="I24" s="9"/>
      <c r="J24" s="9"/>
      <c r="K24" s="9">
        <v>19552</v>
      </c>
      <c r="L24" s="9"/>
      <c r="M24" s="9"/>
      <c r="N24" s="9"/>
      <c r="O24" s="9">
        <v>2</v>
      </c>
      <c r="P24" s="9">
        <v>90</v>
      </c>
      <c r="Q24" s="9">
        <v>0</v>
      </c>
      <c r="R24" s="9"/>
      <c r="S24" s="9">
        <v>0</v>
      </c>
      <c r="T24" s="9"/>
      <c r="U24" s="9"/>
      <c r="V24" s="9"/>
      <c r="W24" s="9"/>
      <c r="X24" s="8"/>
      <c r="Y24" s="8"/>
      <c r="Z24" s="8"/>
      <c r="AA24" s="9">
        <v>26402</v>
      </c>
      <c r="AB24" s="10">
        <f t="shared" si="0"/>
        <v>0.11494773321955531</v>
      </c>
      <c r="AC24" s="9">
        <v>337367</v>
      </c>
      <c r="AD24" s="9">
        <v>337367</v>
      </c>
      <c r="AE24" s="9"/>
      <c r="AF24" s="9">
        <v>229687</v>
      </c>
      <c r="AG24" s="9">
        <v>48663</v>
      </c>
      <c r="AH24" s="9">
        <v>11166</v>
      </c>
      <c r="AI24" s="9"/>
      <c r="AJ24" s="9"/>
      <c r="AK24" s="9"/>
      <c r="AL24" s="9"/>
      <c r="AM24" s="9"/>
      <c r="AN24" s="9"/>
      <c r="AO24" s="11">
        <f t="shared" si="1"/>
        <v>19.548101493194579</v>
      </c>
      <c r="AP24" s="11">
        <f t="shared" si="2"/>
        <v>19.548101493194579</v>
      </c>
      <c r="AQ24" s="11">
        <f t="shared" si="3"/>
        <v>2.8196867594143109</v>
      </c>
      <c r="AR24" s="10">
        <f t="shared" si="4"/>
        <v>0.2118665836551481</v>
      </c>
      <c r="AS24" s="10">
        <f t="shared" si="5"/>
        <v>4.8613983377378781E-2</v>
      </c>
      <c r="AT24" s="10">
        <f t="shared" si="6"/>
        <v>0</v>
      </c>
      <c r="AU24" s="10">
        <f t="shared" si="7"/>
        <v>0</v>
      </c>
      <c r="AV24" s="12">
        <v>10821</v>
      </c>
      <c r="AW24" s="13">
        <v>1</v>
      </c>
      <c r="AX24" s="13">
        <v>0</v>
      </c>
      <c r="AY24" s="8"/>
      <c r="AZ24" s="8"/>
      <c r="BA24" s="8"/>
      <c r="BB24" s="8"/>
      <c r="BC24" s="38">
        <f t="shared" si="8"/>
        <v>0.1442435092940329</v>
      </c>
      <c r="BD24" s="38">
        <f t="shared" si="9"/>
        <v>0.13377445576725888</v>
      </c>
      <c r="BE24" s="39">
        <v>0.21199999999999999</v>
      </c>
      <c r="BF24" s="40" t="s">
        <v>10249</v>
      </c>
      <c r="BG24">
        <v>2023</v>
      </c>
    </row>
    <row r="25" spans="1:59" ht="15" customHeight="1" x14ac:dyDescent="0.3">
      <c r="A25" s="8" t="s">
        <v>1938</v>
      </c>
      <c r="B25" s="9">
        <v>20067.599999999999</v>
      </c>
      <c r="C25" s="9">
        <v>20067.599999999999</v>
      </c>
      <c r="D25" s="9">
        <v>868.8</v>
      </c>
      <c r="E25" s="9">
        <v>17430.900000000001</v>
      </c>
      <c r="F25" s="9">
        <v>2636.7</v>
      </c>
      <c r="G25" s="9">
        <v>13352</v>
      </c>
      <c r="H25" s="9">
        <v>4078.9</v>
      </c>
      <c r="I25" s="9"/>
      <c r="J25" s="9"/>
      <c r="K25" s="9">
        <v>20067.599999999999</v>
      </c>
      <c r="L25" s="9"/>
      <c r="M25" s="9"/>
      <c r="N25" s="9"/>
      <c r="O25" s="9">
        <v>2</v>
      </c>
      <c r="P25" s="9">
        <v>90</v>
      </c>
      <c r="Q25" s="9">
        <v>0</v>
      </c>
      <c r="R25" s="9"/>
      <c r="S25" s="9">
        <v>0</v>
      </c>
      <c r="T25" s="9"/>
      <c r="U25" s="9"/>
      <c r="V25" s="9"/>
      <c r="W25" s="9"/>
      <c r="X25" s="8"/>
      <c r="Y25" s="8"/>
      <c r="Z25" s="8"/>
      <c r="AA25" s="9">
        <v>33723</v>
      </c>
      <c r="AB25" s="10">
        <f t="shared" si="0"/>
        <v>0.12685593051381108</v>
      </c>
      <c r="AC25" s="9">
        <v>319085</v>
      </c>
      <c r="AD25" s="9">
        <v>319085</v>
      </c>
      <c r="AE25" s="9"/>
      <c r="AF25" s="9">
        <v>265837</v>
      </c>
      <c r="AG25" s="9">
        <v>55700</v>
      </c>
      <c r="AH25" s="9">
        <v>11801</v>
      </c>
      <c r="AI25" s="9"/>
      <c r="AJ25" s="9"/>
      <c r="AK25" s="9"/>
      <c r="AL25" s="9"/>
      <c r="AM25" s="9"/>
      <c r="AN25" s="9"/>
      <c r="AO25" s="11">
        <f t="shared" si="1"/>
        <v>18.305709974814839</v>
      </c>
      <c r="AP25" s="11">
        <f t="shared" si="2"/>
        <v>18.305709974814839</v>
      </c>
      <c r="AQ25" s="11">
        <f t="shared" si="3"/>
        <v>3.1954747029700128</v>
      </c>
      <c r="AR25" s="10">
        <f t="shared" si="4"/>
        <v>0.20952689053818693</v>
      </c>
      <c r="AS25" s="10">
        <f t="shared" si="5"/>
        <v>4.4391864187453216E-2</v>
      </c>
      <c r="AT25" s="10">
        <f t="shared" si="6"/>
        <v>0</v>
      </c>
      <c r="AU25" s="10">
        <f t="shared" si="7"/>
        <v>0</v>
      </c>
      <c r="AV25" s="12">
        <v>12793</v>
      </c>
      <c r="AW25" s="13">
        <v>1</v>
      </c>
      <c r="AX25" s="13">
        <v>0</v>
      </c>
      <c r="AY25" s="8"/>
      <c r="AZ25" s="8"/>
      <c r="BA25" s="8"/>
      <c r="BB25" s="8"/>
      <c r="BC25" s="38">
        <f t="shared" si="8"/>
        <v>0.17456163718131532</v>
      </c>
      <c r="BD25" s="38">
        <f t="shared" si="9"/>
        <v>0.15787623863404457</v>
      </c>
      <c r="BE25" s="39">
        <v>0.21</v>
      </c>
      <c r="BF25" s="40" t="s">
        <v>10250</v>
      </c>
      <c r="BG25">
        <v>2024</v>
      </c>
    </row>
    <row r="26" spans="1:59" ht="15" customHeight="1" x14ac:dyDescent="0.3">
      <c r="A26" s="8" t="s">
        <v>2189</v>
      </c>
      <c r="B26" s="9">
        <v>112500</v>
      </c>
      <c r="C26" s="9">
        <v>84600</v>
      </c>
      <c r="D26" s="9">
        <v>28300</v>
      </c>
      <c r="E26" s="9">
        <v>104000</v>
      </c>
      <c r="F26" s="9">
        <v>8800</v>
      </c>
      <c r="G26" s="9"/>
      <c r="H26" s="9"/>
      <c r="I26" s="9">
        <v>12.8</v>
      </c>
      <c r="J26" s="9"/>
      <c r="K26" s="9"/>
      <c r="L26" s="9">
        <v>112500</v>
      </c>
      <c r="M26" s="9"/>
      <c r="N26" s="9"/>
      <c r="O26" s="9">
        <v>12</v>
      </c>
      <c r="P26" s="9">
        <v>675</v>
      </c>
      <c r="Q26" s="9">
        <v>1</v>
      </c>
      <c r="R26" s="9">
        <v>16.7</v>
      </c>
      <c r="S26" s="9">
        <v>0</v>
      </c>
      <c r="T26" s="9"/>
      <c r="U26" s="9"/>
      <c r="V26" s="9"/>
      <c r="W26" s="9"/>
      <c r="X26" s="8"/>
      <c r="Y26" s="8"/>
      <c r="Z26" s="8"/>
      <c r="AA26" s="9"/>
      <c r="AB26" s="10">
        <f t="shared" si="0"/>
        <v>0</v>
      </c>
      <c r="AC26" s="9">
        <v>2213698</v>
      </c>
      <c r="AD26" s="9">
        <v>1758257</v>
      </c>
      <c r="AE26" s="9">
        <v>455442</v>
      </c>
      <c r="AF26" s="9">
        <v>2809177</v>
      </c>
      <c r="AG26" s="9">
        <v>639480</v>
      </c>
      <c r="AH26" s="9">
        <v>117622</v>
      </c>
      <c r="AI26" s="9">
        <v>37970</v>
      </c>
      <c r="AJ26" s="9"/>
      <c r="AK26" s="9"/>
      <c r="AL26" s="9"/>
      <c r="AM26" s="9"/>
      <c r="AN26" s="9"/>
      <c r="AO26" s="11">
        <f t="shared" si="1"/>
        <v>21.285557692307691</v>
      </c>
      <c r="AP26" s="11">
        <f t="shared" si="2"/>
        <v>16.906317307692309</v>
      </c>
      <c r="AQ26" s="11">
        <f t="shared" si="3"/>
        <v>6.1488461538461534</v>
      </c>
      <c r="AR26" s="10">
        <f t="shared" si="4"/>
        <v>0.22763962541342181</v>
      </c>
      <c r="AS26" s="10">
        <f t="shared" si="5"/>
        <v>4.1870626165599389E-2</v>
      </c>
      <c r="AT26" s="10">
        <f t="shared" si="6"/>
        <v>0.32281375933073747</v>
      </c>
      <c r="AU26" s="10">
        <f t="shared" si="7"/>
        <v>0</v>
      </c>
      <c r="AV26" s="12">
        <v>11180</v>
      </c>
      <c r="AW26" s="13">
        <v>1</v>
      </c>
      <c r="AX26" s="13">
        <v>0</v>
      </c>
      <c r="AY26" s="8"/>
      <c r="AZ26" s="8"/>
      <c r="BA26" s="8"/>
      <c r="BB26" s="8"/>
      <c r="BC26" s="38">
        <f t="shared" si="8"/>
        <v>0.28887409213000148</v>
      </c>
      <c r="BD26" s="38">
        <f t="shared" si="9"/>
        <v>0.28887409213000148</v>
      </c>
      <c r="BE26" s="39">
        <v>0.2276</v>
      </c>
      <c r="BF26" s="40" t="s">
        <v>10251</v>
      </c>
      <c r="BG26">
        <v>2022</v>
      </c>
    </row>
    <row r="27" spans="1:59" ht="15" customHeight="1" x14ac:dyDescent="0.3">
      <c r="A27" s="8" t="s">
        <v>2189</v>
      </c>
      <c r="B27" s="9">
        <v>112700</v>
      </c>
      <c r="C27" s="9">
        <v>84800</v>
      </c>
      <c r="D27" s="9">
        <v>27900</v>
      </c>
      <c r="E27" s="9">
        <v>105700</v>
      </c>
      <c r="F27" s="9">
        <v>7000</v>
      </c>
      <c r="G27" s="9"/>
      <c r="H27" s="9"/>
      <c r="I27" s="9">
        <v>13.3</v>
      </c>
      <c r="J27" s="9"/>
      <c r="K27" s="9"/>
      <c r="L27" s="9">
        <v>112700</v>
      </c>
      <c r="M27" s="9"/>
      <c r="N27" s="9"/>
      <c r="O27" s="9">
        <v>12</v>
      </c>
      <c r="P27" s="9">
        <v>675</v>
      </c>
      <c r="Q27" s="9">
        <v>1</v>
      </c>
      <c r="R27" s="9">
        <v>16.7</v>
      </c>
      <c r="S27" s="9">
        <v>0</v>
      </c>
      <c r="T27" s="9"/>
      <c r="U27" s="9"/>
      <c r="V27" s="9"/>
      <c r="W27" s="9"/>
      <c r="X27" s="8"/>
      <c r="Y27" s="8"/>
      <c r="Z27" s="8"/>
      <c r="AA27" s="9">
        <v>582738</v>
      </c>
      <c r="AB27" s="10">
        <f t="shared" si="0"/>
        <v>0.20414291664666942</v>
      </c>
      <c r="AC27" s="9">
        <v>2271821</v>
      </c>
      <c r="AD27" s="9">
        <v>1796532</v>
      </c>
      <c r="AE27" s="9">
        <v>475289</v>
      </c>
      <c r="AF27" s="9">
        <v>2854559</v>
      </c>
      <c r="AG27" s="9">
        <v>661892</v>
      </c>
      <c r="AH27" s="9">
        <v>122732</v>
      </c>
      <c r="AI27" s="9">
        <v>40356</v>
      </c>
      <c r="AJ27" s="9"/>
      <c r="AK27" s="9"/>
      <c r="AL27" s="9"/>
      <c r="AM27" s="9"/>
      <c r="AN27" s="9"/>
      <c r="AO27" s="11">
        <f t="shared" si="1"/>
        <v>21.493103122043518</v>
      </c>
      <c r="AP27" s="11">
        <f t="shared" si="2"/>
        <v>16.996518448438977</v>
      </c>
      <c r="AQ27" s="11">
        <f t="shared" si="3"/>
        <v>6.2619867549668875</v>
      </c>
      <c r="AR27" s="10">
        <f t="shared" si="4"/>
        <v>0.23187189334674813</v>
      </c>
      <c r="AS27" s="10">
        <f t="shared" si="5"/>
        <v>4.2995082602951977E-2</v>
      </c>
      <c r="AT27" s="10">
        <f t="shared" si="6"/>
        <v>0.32881400123847082</v>
      </c>
      <c r="AU27" s="10">
        <f t="shared" si="7"/>
        <v>0</v>
      </c>
      <c r="AV27" s="12">
        <v>11390</v>
      </c>
      <c r="AW27" s="13">
        <v>1</v>
      </c>
      <c r="AX27" s="13">
        <v>0</v>
      </c>
      <c r="AY27" s="8"/>
      <c r="AZ27" s="8"/>
      <c r="BA27" s="8"/>
      <c r="BB27" s="8"/>
      <c r="BC27" s="38">
        <f t="shared" si="8"/>
        <v>0.29134865819094025</v>
      </c>
      <c r="BD27" s="38">
        <f t="shared" si="9"/>
        <v>0.23187189334674813</v>
      </c>
      <c r="BE27" s="39">
        <v>0.2319</v>
      </c>
      <c r="BF27" s="40" t="s">
        <v>10252</v>
      </c>
      <c r="BG27">
        <v>2023</v>
      </c>
    </row>
    <row r="28" spans="1:59" ht="15" customHeight="1" x14ac:dyDescent="0.3">
      <c r="A28" s="8" t="s">
        <v>2189</v>
      </c>
      <c r="B28" s="9">
        <v>110700</v>
      </c>
      <c r="C28" s="9">
        <v>82800</v>
      </c>
      <c r="D28" s="9">
        <v>27908</v>
      </c>
      <c r="E28" s="9">
        <v>104101</v>
      </c>
      <c r="F28" s="9">
        <v>6599</v>
      </c>
      <c r="G28" s="9"/>
      <c r="H28" s="9"/>
      <c r="I28" s="9">
        <v>14</v>
      </c>
      <c r="J28" s="9">
        <v>900</v>
      </c>
      <c r="K28" s="9"/>
      <c r="L28" s="9">
        <v>110700</v>
      </c>
      <c r="M28" s="9"/>
      <c r="N28" s="9"/>
      <c r="O28" s="9">
        <v>12</v>
      </c>
      <c r="P28" s="9">
        <v>675</v>
      </c>
      <c r="Q28" s="9">
        <v>1</v>
      </c>
      <c r="R28" s="9">
        <v>16.7</v>
      </c>
      <c r="S28" s="9">
        <v>0</v>
      </c>
      <c r="T28" s="9"/>
      <c r="U28" s="9"/>
      <c r="V28" s="9"/>
      <c r="W28" s="9"/>
      <c r="X28" s="8"/>
      <c r="Y28" s="8"/>
      <c r="Z28" s="8"/>
      <c r="AA28" s="9">
        <v>405349</v>
      </c>
      <c r="AB28" s="10">
        <f t="shared" si="0"/>
        <v>0.16116705353216551</v>
      </c>
      <c r="AC28" s="9">
        <v>2109737</v>
      </c>
      <c r="AD28" s="9">
        <v>1661979</v>
      </c>
      <c r="AE28" s="9">
        <v>447757</v>
      </c>
      <c r="AF28" s="9">
        <v>2515086</v>
      </c>
      <c r="AG28" s="9">
        <v>601508</v>
      </c>
      <c r="AH28" s="9">
        <v>114210</v>
      </c>
      <c r="AI28" s="9">
        <v>38217</v>
      </c>
      <c r="AJ28" s="9"/>
      <c r="AK28" s="9"/>
      <c r="AL28" s="9"/>
      <c r="AM28" s="9"/>
      <c r="AN28" s="9"/>
      <c r="AO28" s="11">
        <f t="shared" si="1"/>
        <v>20.266251044658553</v>
      </c>
      <c r="AP28" s="11">
        <f t="shared" si="2"/>
        <v>15.965062775573722</v>
      </c>
      <c r="AQ28" s="11">
        <f t="shared" si="3"/>
        <v>5.7781193264233774</v>
      </c>
      <c r="AR28" s="10">
        <f t="shared" si="4"/>
        <v>0.23916001281864716</v>
      </c>
      <c r="AS28" s="10">
        <f t="shared" si="5"/>
        <v>4.5409978028584312E-2</v>
      </c>
      <c r="AT28" s="10">
        <f t="shared" si="6"/>
        <v>0.33462043603887576</v>
      </c>
      <c r="AU28" s="10">
        <f t="shared" si="7"/>
        <v>0</v>
      </c>
      <c r="AV28" s="12">
        <v>12790</v>
      </c>
      <c r="AW28" s="13">
        <v>1</v>
      </c>
      <c r="AX28" s="13">
        <v>0</v>
      </c>
      <c r="AY28" s="8"/>
      <c r="AZ28" s="8"/>
      <c r="BA28" s="8"/>
      <c r="BB28" s="8"/>
      <c r="BC28" s="38">
        <f t="shared" si="8"/>
        <v>0.28511041897639372</v>
      </c>
      <c r="BD28" s="38">
        <f t="shared" si="9"/>
        <v>0.23916001281864716</v>
      </c>
      <c r="BE28" s="39">
        <v>0.2392</v>
      </c>
      <c r="BF28" s="40" t="s">
        <v>10253</v>
      </c>
      <c r="BG28">
        <v>2024</v>
      </c>
    </row>
    <row r="29" spans="1:59" ht="15" customHeight="1" x14ac:dyDescent="0.3">
      <c r="A29" s="8" t="s">
        <v>2433</v>
      </c>
      <c r="B29" s="9">
        <v>88752</v>
      </c>
      <c r="C29" s="9">
        <v>77384</v>
      </c>
      <c r="D29" s="9">
        <v>11368</v>
      </c>
      <c r="E29" s="9">
        <v>82624</v>
      </c>
      <c r="F29" s="9">
        <v>6128</v>
      </c>
      <c r="G29" s="9"/>
      <c r="H29" s="9"/>
      <c r="I29" s="9">
        <v>11</v>
      </c>
      <c r="J29" s="9"/>
      <c r="K29" s="9"/>
      <c r="L29" s="9">
        <v>85420</v>
      </c>
      <c r="M29" s="9"/>
      <c r="N29" s="9">
        <v>3332</v>
      </c>
      <c r="O29" s="9">
        <v>5</v>
      </c>
      <c r="P29" s="9"/>
      <c r="Q29" s="9">
        <v>1</v>
      </c>
      <c r="R29" s="9"/>
      <c r="S29" s="9">
        <v>0</v>
      </c>
      <c r="T29" s="9"/>
      <c r="U29" s="9"/>
      <c r="V29" s="9"/>
      <c r="W29" s="9"/>
      <c r="X29" s="8"/>
      <c r="Y29" s="8"/>
      <c r="Z29" s="8"/>
      <c r="AA29" s="9"/>
      <c r="AB29" s="10">
        <f t="shared" si="0"/>
        <v>0</v>
      </c>
      <c r="AC29" s="9">
        <v>1202008</v>
      </c>
      <c r="AD29" s="9"/>
      <c r="AE29" s="9"/>
      <c r="AF29" s="9">
        <v>1202008</v>
      </c>
      <c r="AG29" s="9">
        <v>277058</v>
      </c>
      <c r="AH29" s="9">
        <v>48192</v>
      </c>
      <c r="AI29" s="9">
        <v>11106</v>
      </c>
      <c r="AJ29" s="9"/>
      <c r="AK29" s="9"/>
      <c r="AL29" s="9"/>
      <c r="AM29" s="9"/>
      <c r="AN29" s="9">
        <v>12433</v>
      </c>
      <c r="AO29" s="11">
        <f t="shared" si="1"/>
        <v>14.54792796281952</v>
      </c>
      <c r="AP29" s="11">
        <f t="shared" si="2"/>
        <v>0</v>
      </c>
      <c r="AQ29" s="11">
        <f t="shared" si="3"/>
        <v>3.3532387683965919</v>
      </c>
      <c r="AR29" s="10">
        <f t="shared" si="4"/>
        <v>0.23049597007673825</v>
      </c>
      <c r="AS29" s="10">
        <f t="shared" si="5"/>
        <v>4.009291119526659E-2</v>
      </c>
      <c r="AT29" s="10">
        <f t="shared" si="6"/>
        <v>0.23045318725099601</v>
      </c>
      <c r="AU29" s="10">
        <f t="shared" si="7"/>
        <v>0.25798887782204516</v>
      </c>
      <c r="AV29" s="12">
        <v>13406</v>
      </c>
      <c r="AW29" s="13">
        <v>1</v>
      </c>
      <c r="AX29" s="13">
        <v>0</v>
      </c>
      <c r="AY29" s="8"/>
      <c r="AZ29" s="8"/>
      <c r="BA29" s="8"/>
      <c r="BB29" s="8"/>
      <c r="BC29" s="38">
        <f t="shared" si="8"/>
        <v>0.23049597007673825</v>
      </c>
      <c r="BD29" s="38">
        <f t="shared" si="9"/>
        <v>0.23049597007673825</v>
      </c>
      <c r="BE29" s="39"/>
      <c r="BF29" s="40" t="s">
        <v>10254</v>
      </c>
      <c r="BG29">
        <v>2022</v>
      </c>
    </row>
    <row r="30" spans="1:59" ht="15" customHeight="1" x14ac:dyDescent="0.3">
      <c r="A30" s="8" t="s">
        <v>2433</v>
      </c>
      <c r="B30" s="9">
        <v>88752</v>
      </c>
      <c r="C30" s="9">
        <v>77434</v>
      </c>
      <c r="D30" s="9">
        <v>11318</v>
      </c>
      <c r="E30" s="9">
        <v>84128</v>
      </c>
      <c r="F30" s="9">
        <v>4623</v>
      </c>
      <c r="G30" s="9"/>
      <c r="H30" s="9"/>
      <c r="I30" s="9">
        <v>11.9</v>
      </c>
      <c r="J30" s="9"/>
      <c r="K30" s="9"/>
      <c r="L30" s="9">
        <v>85420</v>
      </c>
      <c r="M30" s="9"/>
      <c r="N30" s="9">
        <v>3332</v>
      </c>
      <c r="O30" s="9">
        <v>6</v>
      </c>
      <c r="P30" s="9"/>
      <c r="Q30" s="9">
        <v>1</v>
      </c>
      <c r="R30" s="9"/>
      <c r="S30" s="9">
        <v>0</v>
      </c>
      <c r="T30" s="9"/>
      <c r="U30" s="9"/>
      <c r="V30" s="9"/>
      <c r="W30" s="9"/>
      <c r="X30" s="8"/>
      <c r="Y30" s="8"/>
      <c r="Z30" s="8"/>
      <c r="AA30" s="9"/>
      <c r="AB30" s="10" t="str">
        <f t="shared" si="0"/>
        <v/>
      </c>
      <c r="AC30" s="9">
        <v>1261820</v>
      </c>
      <c r="AD30" s="9"/>
      <c r="AE30" s="9"/>
      <c r="AF30" s="9"/>
      <c r="AG30" s="9">
        <v>307674</v>
      </c>
      <c r="AH30" s="9">
        <v>55797</v>
      </c>
      <c r="AI30" s="9">
        <v>13370</v>
      </c>
      <c r="AJ30" s="9"/>
      <c r="AK30" s="9"/>
      <c r="AL30" s="9"/>
      <c r="AM30" s="9"/>
      <c r="AN30" s="9">
        <v>15188</v>
      </c>
      <c r="AO30" s="11">
        <f t="shared" si="1"/>
        <v>14.998811335108407</v>
      </c>
      <c r="AP30" s="11">
        <f t="shared" si="2"/>
        <v>0</v>
      </c>
      <c r="AQ30" s="11">
        <f t="shared" si="3"/>
        <v>3.6572128185621908</v>
      </c>
      <c r="AR30" s="10" t="str">
        <f t="shared" si="4"/>
        <v/>
      </c>
      <c r="AS30" s="10" t="str">
        <f t="shared" si="5"/>
        <v/>
      </c>
      <c r="AT30" s="10">
        <f t="shared" si="6"/>
        <v>0.23961861748839544</v>
      </c>
      <c r="AU30" s="10">
        <f t="shared" si="7"/>
        <v>0.27220101439145472</v>
      </c>
      <c r="AV30" s="12"/>
      <c r="AW30" s="13">
        <v>1</v>
      </c>
      <c r="AX30" s="13">
        <v>0</v>
      </c>
      <c r="AY30" s="8"/>
      <c r="AZ30" s="8"/>
      <c r="BA30" s="8"/>
      <c r="BB30" s="8"/>
      <c r="BC30" s="38">
        <f t="shared" si="8"/>
        <v>0.243833510326354</v>
      </c>
      <c r="BD30" s="38">
        <f t="shared" si="9"/>
        <v>0.243833510326354</v>
      </c>
      <c r="BE30" s="39"/>
      <c r="BF30" s="40" t="s">
        <v>10255</v>
      </c>
      <c r="BG30">
        <v>2023</v>
      </c>
    </row>
    <row r="31" spans="1:59" ht="15" customHeight="1" x14ac:dyDescent="0.3">
      <c r="A31" s="8" t="s">
        <v>2433</v>
      </c>
      <c r="B31" s="9">
        <v>88701</v>
      </c>
      <c r="C31" s="9">
        <v>78315</v>
      </c>
      <c r="D31" s="9">
        <v>10386</v>
      </c>
      <c r="E31" s="9">
        <v>87633</v>
      </c>
      <c r="F31" s="9">
        <v>1068</v>
      </c>
      <c r="G31" s="9"/>
      <c r="H31" s="9"/>
      <c r="I31" s="9">
        <v>13</v>
      </c>
      <c r="J31" s="9"/>
      <c r="K31" s="9"/>
      <c r="L31" s="9">
        <v>85369</v>
      </c>
      <c r="M31" s="9"/>
      <c r="N31" s="9">
        <v>3332</v>
      </c>
      <c r="O31" s="9">
        <v>6</v>
      </c>
      <c r="P31" s="9"/>
      <c r="Q31" s="9">
        <v>1</v>
      </c>
      <c r="R31" s="9"/>
      <c r="S31" s="9">
        <v>0</v>
      </c>
      <c r="T31" s="9"/>
      <c r="U31" s="9"/>
      <c r="V31" s="9"/>
      <c r="W31" s="9"/>
      <c r="X31" s="8"/>
      <c r="Y31" s="8"/>
      <c r="Z31" s="8"/>
      <c r="AA31" s="9"/>
      <c r="AB31" s="10" t="str">
        <f t="shared" si="0"/>
        <v/>
      </c>
      <c r="AC31" s="9">
        <v>1312257</v>
      </c>
      <c r="AD31" s="9"/>
      <c r="AE31" s="9"/>
      <c r="AF31" s="9"/>
      <c r="AG31" s="9">
        <v>297758</v>
      </c>
      <c r="AH31" s="9">
        <v>52859</v>
      </c>
      <c r="AI31" s="9">
        <v>13692</v>
      </c>
      <c r="AJ31" s="9"/>
      <c r="AK31" s="9"/>
      <c r="AL31" s="9"/>
      <c r="AM31" s="9"/>
      <c r="AN31" s="9">
        <v>15452</v>
      </c>
      <c r="AO31" s="11">
        <f t="shared" si="1"/>
        <v>14.974461675396254</v>
      </c>
      <c r="AP31" s="11">
        <f t="shared" si="2"/>
        <v>0</v>
      </c>
      <c r="AQ31" s="11">
        <f t="shared" si="3"/>
        <v>3.3977839398400147</v>
      </c>
      <c r="AR31" s="10" t="str">
        <f t="shared" si="4"/>
        <v/>
      </c>
      <c r="AS31" s="10" t="str">
        <f t="shared" si="5"/>
        <v/>
      </c>
      <c r="AT31" s="10">
        <f t="shared" si="6"/>
        <v>0.25902873682816552</v>
      </c>
      <c r="AU31" s="10">
        <f t="shared" si="7"/>
        <v>0.29232486426152593</v>
      </c>
      <c r="AV31" s="12"/>
      <c r="AW31" s="13">
        <v>1</v>
      </c>
      <c r="AX31" s="13">
        <v>0</v>
      </c>
      <c r="AY31" s="8"/>
      <c r="AZ31" s="8"/>
      <c r="BA31" s="8"/>
      <c r="BB31" s="8"/>
      <c r="BC31" s="38">
        <f t="shared" si="8"/>
        <v>0.22690524798115003</v>
      </c>
      <c r="BD31" s="38">
        <f t="shared" si="9"/>
        <v>0.22690524798115003</v>
      </c>
      <c r="BE31" s="39"/>
      <c r="BF31" s="40" t="s">
        <v>10256</v>
      </c>
      <c r="BG31">
        <v>2024</v>
      </c>
    </row>
    <row r="32" spans="1:59" ht="15" customHeight="1" x14ac:dyDescent="0.3">
      <c r="A32" s="8" t="s">
        <v>2636</v>
      </c>
      <c r="B32" s="9"/>
      <c r="C32" s="9"/>
      <c r="D32" s="9"/>
      <c r="E32" s="9"/>
      <c r="F32" s="9"/>
      <c r="G32" s="9"/>
      <c r="H32" s="9"/>
      <c r="I32" s="9"/>
      <c r="J32" s="9"/>
      <c r="K32" s="9"/>
      <c r="L32" s="9"/>
      <c r="M32" s="9"/>
      <c r="N32" s="9"/>
      <c r="O32" s="9"/>
      <c r="P32" s="9"/>
      <c r="Q32" s="9"/>
      <c r="R32" s="9"/>
      <c r="S32" s="9"/>
      <c r="T32" s="9"/>
      <c r="U32" s="9"/>
      <c r="V32" s="9"/>
      <c r="W32" s="9"/>
      <c r="X32" s="8"/>
      <c r="Y32" s="8"/>
      <c r="Z32" s="8"/>
      <c r="AA32" s="9"/>
      <c r="AB32" s="10" t="str">
        <f t="shared" si="0"/>
        <v/>
      </c>
      <c r="AC32" s="9"/>
      <c r="AD32" s="9"/>
      <c r="AE32" s="9"/>
      <c r="AF32" s="9"/>
      <c r="AG32" s="9"/>
      <c r="AH32" s="9"/>
      <c r="AI32" s="9"/>
      <c r="AJ32" s="9"/>
      <c r="AK32" s="9"/>
      <c r="AL32" s="9"/>
      <c r="AM32" s="9"/>
      <c r="AN32" s="9"/>
      <c r="AO32" s="11" t="str">
        <f t="shared" si="1"/>
        <v/>
      </c>
      <c r="AP32" s="11" t="str">
        <f t="shared" si="2"/>
        <v/>
      </c>
      <c r="AQ32" s="11" t="str">
        <f t="shared" si="3"/>
        <v/>
      </c>
      <c r="AR32" s="10" t="str">
        <f t="shared" si="4"/>
        <v/>
      </c>
      <c r="AS32" s="10" t="str">
        <f t="shared" si="5"/>
        <v/>
      </c>
      <c r="AT32" s="10" t="str">
        <f t="shared" si="6"/>
        <v/>
      </c>
      <c r="AU32" s="10" t="str">
        <f t="shared" si="7"/>
        <v/>
      </c>
      <c r="AV32" s="12"/>
      <c r="AW32" s="13"/>
      <c r="AX32" s="13"/>
      <c r="AY32" s="8"/>
      <c r="AZ32" s="8"/>
      <c r="BA32" s="8"/>
      <c r="BB32" s="8"/>
      <c r="BC32" s="38" t="str">
        <f t="shared" si="8"/>
        <v/>
      </c>
      <c r="BD32" s="38" t="str">
        <f t="shared" si="9"/>
        <v/>
      </c>
      <c r="BE32" s="39"/>
      <c r="BF32" s="40"/>
      <c r="BG32">
        <v>2022</v>
      </c>
    </row>
    <row r="33" spans="1:59" ht="15" customHeight="1" x14ac:dyDescent="0.3">
      <c r="A33" s="8" t="s">
        <v>2636</v>
      </c>
      <c r="B33" s="9"/>
      <c r="C33" s="9"/>
      <c r="D33" s="9"/>
      <c r="E33" s="9"/>
      <c r="F33" s="9"/>
      <c r="G33" s="9"/>
      <c r="H33" s="9"/>
      <c r="I33" s="9"/>
      <c r="J33" s="9"/>
      <c r="K33" s="9"/>
      <c r="L33" s="9"/>
      <c r="M33" s="9"/>
      <c r="N33" s="9"/>
      <c r="O33" s="9"/>
      <c r="P33" s="9"/>
      <c r="Q33" s="9"/>
      <c r="R33" s="9"/>
      <c r="S33" s="9"/>
      <c r="T33" s="9"/>
      <c r="U33" s="9"/>
      <c r="V33" s="9"/>
      <c r="W33" s="9"/>
      <c r="X33" s="8"/>
      <c r="Y33" s="8"/>
      <c r="Z33" s="8"/>
      <c r="AA33" s="9"/>
      <c r="AB33" s="10" t="str">
        <f t="shared" si="0"/>
        <v/>
      </c>
      <c r="AC33" s="9"/>
      <c r="AD33" s="9"/>
      <c r="AE33" s="9"/>
      <c r="AF33" s="9"/>
      <c r="AG33" s="9"/>
      <c r="AH33" s="9"/>
      <c r="AI33" s="9"/>
      <c r="AJ33" s="9"/>
      <c r="AK33" s="9"/>
      <c r="AL33" s="9"/>
      <c r="AM33" s="9"/>
      <c r="AN33" s="9"/>
      <c r="AO33" s="11" t="str">
        <f t="shared" si="1"/>
        <v/>
      </c>
      <c r="AP33" s="11" t="str">
        <f t="shared" si="2"/>
        <v/>
      </c>
      <c r="AQ33" s="11" t="str">
        <f t="shared" si="3"/>
        <v/>
      </c>
      <c r="AR33" s="10" t="str">
        <f t="shared" si="4"/>
        <v/>
      </c>
      <c r="AS33" s="10" t="str">
        <f t="shared" si="5"/>
        <v/>
      </c>
      <c r="AT33" s="10" t="str">
        <f t="shared" si="6"/>
        <v/>
      </c>
      <c r="AU33" s="10" t="str">
        <f t="shared" si="7"/>
        <v/>
      </c>
      <c r="AV33" s="12"/>
      <c r="AW33" s="13"/>
      <c r="AX33" s="13"/>
      <c r="AY33" s="8"/>
      <c r="AZ33" s="8"/>
      <c r="BA33" s="8"/>
      <c r="BB33" s="8"/>
      <c r="BC33" s="38" t="str">
        <f t="shared" si="8"/>
        <v/>
      </c>
      <c r="BD33" s="38" t="str">
        <f t="shared" si="9"/>
        <v/>
      </c>
      <c r="BE33" s="39"/>
      <c r="BF33" s="40"/>
      <c r="BG33">
        <v>2023</v>
      </c>
    </row>
    <row r="34" spans="1:59" ht="15" customHeight="1" x14ac:dyDescent="0.3">
      <c r="A34" s="8" t="s">
        <v>2636</v>
      </c>
      <c r="B34" s="9"/>
      <c r="C34" s="9"/>
      <c r="D34" s="9"/>
      <c r="E34" s="9"/>
      <c r="F34" s="9"/>
      <c r="G34" s="9"/>
      <c r="H34" s="9"/>
      <c r="I34" s="9"/>
      <c r="J34" s="9"/>
      <c r="K34" s="9"/>
      <c r="L34" s="9"/>
      <c r="M34" s="9"/>
      <c r="N34" s="9"/>
      <c r="O34" s="9"/>
      <c r="P34" s="9"/>
      <c r="Q34" s="9"/>
      <c r="R34" s="9"/>
      <c r="S34" s="9"/>
      <c r="T34" s="9"/>
      <c r="U34" s="9"/>
      <c r="V34" s="9"/>
      <c r="W34" s="9"/>
      <c r="X34" s="8"/>
      <c r="Y34" s="8"/>
      <c r="Z34" s="8"/>
      <c r="AA34" s="9"/>
      <c r="AB34" s="10" t="str">
        <f t="shared" ref="AB34:AB65" si="10">IFERROR(AA34/AF34,"")</f>
        <v/>
      </c>
      <c r="AC34" s="9"/>
      <c r="AD34" s="9"/>
      <c r="AE34" s="9"/>
      <c r="AF34" s="9"/>
      <c r="AG34" s="9"/>
      <c r="AH34" s="9"/>
      <c r="AI34" s="9"/>
      <c r="AJ34" s="9"/>
      <c r="AK34" s="9"/>
      <c r="AL34" s="9"/>
      <c r="AM34" s="9"/>
      <c r="AN34" s="9"/>
      <c r="AO34" s="11" t="str">
        <f t="shared" ref="AO34:AO65" si="11">IFERROR(AC34/E34,"")</f>
        <v/>
      </c>
      <c r="AP34" s="11" t="str">
        <f t="shared" ref="AP34:AP65" si="12">IFERROR(AD34/E34,"")</f>
        <v/>
      </c>
      <c r="AQ34" s="11" t="str">
        <f t="shared" ref="AQ34:AQ65" si="13">IFERROR(AG34/E34,"")</f>
        <v/>
      </c>
      <c r="AR34" s="10" t="str">
        <f t="shared" ref="AR34:AR65" si="14">IFERROR(AG34/AF34,"")</f>
        <v/>
      </c>
      <c r="AS34" s="10" t="str">
        <f t="shared" ref="AS34:AS65" si="15">IFERROR(AH34/AF34,"")</f>
        <v/>
      </c>
      <c r="AT34" s="10" t="str">
        <f t="shared" ref="AT34:AT65" si="16">IFERROR(AI34/AH34,"")</f>
        <v/>
      </c>
      <c r="AU34" s="10" t="str">
        <f t="shared" ref="AU34:AU65" si="17">IFERROR(AN34/AH34,"")</f>
        <v/>
      </c>
      <c r="AV34" s="12"/>
      <c r="AW34" s="13"/>
      <c r="AX34" s="13"/>
      <c r="AY34" s="8"/>
      <c r="AZ34" s="8"/>
      <c r="BA34" s="8"/>
      <c r="BB34" s="8"/>
      <c r="BC34" s="38" t="str">
        <f t="shared" ref="BC34:BC65" si="18">IFERROR(AG34/AC34,"")</f>
        <v/>
      </c>
      <c r="BD34" s="38" t="str">
        <f t="shared" ref="BD34:BD65" si="19">IFERROR(AG34/(AC34+AA34),"")</f>
        <v/>
      </c>
      <c r="BE34" s="39"/>
      <c r="BF34" s="40"/>
      <c r="BG34">
        <v>2024</v>
      </c>
    </row>
    <row r="35" spans="1:59" ht="15" customHeight="1" x14ac:dyDescent="0.3">
      <c r="A35" s="8" t="s">
        <v>2830</v>
      </c>
      <c r="B35" s="9"/>
      <c r="C35" s="9"/>
      <c r="D35" s="9"/>
      <c r="E35" s="9"/>
      <c r="F35" s="9"/>
      <c r="G35" s="9"/>
      <c r="H35" s="9"/>
      <c r="I35" s="9"/>
      <c r="J35" s="9"/>
      <c r="K35" s="9"/>
      <c r="L35" s="9"/>
      <c r="M35" s="9"/>
      <c r="N35" s="9"/>
      <c r="O35" s="9"/>
      <c r="P35" s="9"/>
      <c r="Q35" s="9"/>
      <c r="R35" s="9"/>
      <c r="S35" s="9"/>
      <c r="T35" s="9"/>
      <c r="U35" s="9"/>
      <c r="V35" s="9"/>
      <c r="W35" s="9"/>
      <c r="X35" s="8"/>
      <c r="Y35" s="8"/>
      <c r="Z35" s="8"/>
      <c r="AA35" s="9"/>
      <c r="AB35" s="10" t="str">
        <f t="shared" si="10"/>
        <v/>
      </c>
      <c r="AC35" s="9"/>
      <c r="AD35" s="9"/>
      <c r="AE35" s="9"/>
      <c r="AF35" s="9"/>
      <c r="AG35" s="9"/>
      <c r="AH35" s="9"/>
      <c r="AI35" s="9"/>
      <c r="AJ35" s="9"/>
      <c r="AK35" s="9"/>
      <c r="AL35" s="9"/>
      <c r="AM35" s="9"/>
      <c r="AN35" s="9"/>
      <c r="AO35" s="11" t="str">
        <f t="shared" si="11"/>
        <v/>
      </c>
      <c r="AP35" s="11" t="str">
        <f t="shared" si="12"/>
        <v/>
      </c>
      <c r="AQ35" s="11" t="str">
        <f t="shared" si="13"/>
        <v/>
      </c>
      <c r="AR35" s="10" t="str">
        <f t="shared" si="14"/>
        <v/>
      </c>
      <c r="AS35" s="10" t="str">
        <f t="shared" si="15"/>
        <v/>
      </c>
      <c r="AT35" s="10" t="str">
        <f t="shared" si="16"/>
        <v/>
      </c>
      <c r="AU35" s="10" t="str">
        <f t="shared" si="17"/>
        <v/>
      </c>
      <c r="AV35" s="12"/>
      <c r="AW35" s="13"/>
      <c r="AX35" s="13"/>
      <c r="AY35" s="8"/>
      <c r="AZ35" s="8"/>
      <c r="BA35" s="8"/>
      <c r="BB35" s="8"/>
      <c r="BC35" s="38" t="str">
        <f t="shared" si="18"/>
        <v/>
      </c>
      <c r="BD35" s="38" t="str">
        <f t="shared" si="19"/>
        <v/>
      </c>
      <c r="BE35" s="39"/>
      <c r="BF35" s="40"/>
      <c r="BG35">
        <v>2020</v>
      </c>
    </row>
    <row r="36" spans="1:59" ht="15" customHeight="1" x14ac:dyDescent="0.3">
      <c r="A36" s="8" t="s">
        <v>2957</v>
      </c>
      <c r="B36" s="9"/>
      <c r="C36" s="9"/>
      <c r="D36" s="9"/>
      <c r="E36" s="9"/>
      <c r="F36" s="9"/>
      <c r="G36" s="9"/>
      <c r="H36" s="9"/>
      <c r="I36" s="9"/>
      <c r="J36" s="9"/>
      <c r="K36" s="9"/>
      <c r="L36" s="9"/>
      <c r="M36" s="9"/>
      <c r="N36" s="9"/>
      <c r="O36" s="9"/>
      <c r="P36" s="9"/>
      <c r="Q36" s="9"/>
      <c r="R36" s="9"/>
      <c r="S36" s="9"/>
      <c r="T36" s="9"/>
      <c r="U36" s="9"/>
      <c r="V36" s="9"/>
      <c r="W36" s="9"/>
      <c r="X36" s="8"/>
      <c r="Y36" s="8"/>
      <c r="Z36" s="8"/>
      <c r="AA36" s="9"/>
      <c r="AB36" s="10" t="str">
        <f t="shared" si="10"/>
        <v/>
      </c>
      <c r="AC36" s="9"/>
      <c r="AD36" s="9"/>
      <c r="AE36" s="9"/>
      <c r="AF36" s="9"/>
      <c r="AG36" s="9"/>
      <c r="AH36" s="9"/>
      <c r="AI36" s="9"/>
      <c r="AJ36" s="9"/>
      <c r="AK36" s="9"/>
      <c r="AL36" s="9"/>
      <c r="AM36" s="9"/>
      <c r="AN36" s="9"/>
      <c r="AO36" s="11" t="str">
        <f t="shared" si="11"/>
        <v/>
      </c>
      <c r="AP36" s="11" t="str">
        <f t="shared" si="12"/>
        <v/>
      </c>
      <c r="AQ36" s="11" t="str">
        <f t="shared" si="13"/>
        <v/>
      </c>
      <c r="AR36" s="10" t="str">
        <f t="shared" si="14"/>
        <v/>
      </c>
      <c r="AS36" s="10" t="str">
        <f t="shared" si="15"/>
        <v/>
      </c>
      <c r="AT36" s="10" t="str">
        <f t="shared" si="16"/>
        <v/>
      </c>
      <c r="AU36" s="10" t="str">
        <f t="shared" si="17"/>
        <v/>
      </c>
      <c r="AV36" s="12"/>
      <c r="AW36" s="13"/>
      <c r="AX36" s="13"/>
      <c r="AY36" s="8"/>
      <c r="AZ36" s="8"/>
      <c r="BA36" s="8"/>
      <c r="BB36" s="8"/>
      <c r="BC36" s="38" t="str">
        <f t="shared" si="18"/>
        <v/>
      </c>
      <c r="BD36" s="38" t="str">
        <f t="shared" si="19"/>
        <v/>
      </c>
      <c r="BE36" s="39"/>
      <c r="BF36" s="40"/>
      <c r="BG36">
        <v>2024</v>
      </c>
    </row>
    <row r="37" spans="1:59" ht="15" customHeight="1" x14ac:dyDescent="0.3">
      <c r="A37" s="8" t="s">
        <v>3129</v>
      </c>
      <c r="B37" s="9">
        <v>12917</v>
      </c>
      <c r="C37" s="9">
        <v>12917</v>
      </c>
      <c r="D37" s="9">
        <v>0</v>
      </c>
      <c r="E37" s="9">
        <v>12700</v>
      </c>
      <c r="F37" s="9">
        <v>217</v>
      </c>
      <c r="G37" s="9">
        <v>2918</v>
      </c>
      <c r="H37" s="9">
        <v>9782</v>
      </c>
      <c r="I37" s="9">
        <v>16.579999999999998</v>
      </c>
      <c r="J37" s="9"/>
      <c r="K37" s="9">
        <v>11905</v>
      </c>
      <c r="L37" s="9">
        <v>1012</v>
      </c>
      <c r="M37" s="9"/>
      <c r="N37" s="9"/>
      <c r="O37" s="9">
        <v>1</v>
      </c>
      <c r="P37" s="9">
        <v>90</v>
      </c>
      <c r="Q37" s="9"/>
      <c r="R37" s="9"/>
      <c r="S37" s="9"/>
      <c r="T37" s="9"/>
      <c r="U37" s="9"/>
      <c r="V37" s="9"/>
      <c r="W37" s="9"/>
      <c r="X37" s="8"/>
      <c r="Y37" s="8"/>
      <c r="Z37" s="8"/>
      <c r="AA37" s="9">
        <v>34068</v>
      </c>
      <c r="AB37" s="10">
        <f t="shared" si="10"/>
        <v>0.16157687802055518</v>
      </c>
      <c r="AC37" s="9">
        <v>189719</v>
      </c>
      <c r="AD37" s="9">
        <v>189719</v>
      </c>
      <c r="AE37" s="9"/>
      <c r="AF37" s="9">
        <v>210847</v>
      </c>
      <c r="AG37" s="9">
        <v>48841</v>
      </c>
      <c r="AH37" s="9">
        <v>9517</v>
      </c>
      <c r="AI37" s="9"/>
      <c r="AJ37" s="9"/>
      <c r="AK37" s="9"/>
      <c r="AL37" s="9"/>
      <c r="AM37" s="9"/>
      <c r="AN37" s="9"/>
      <c r="AO37" s="11">
        <f t="shared" si="11"/>
        <v>14.938503937007875</v>
      </c>
      <c r="AP37" s="11">
        <f t="shared" si="12"/>
        <v>14.938503937007875</v>
      </c>
      <c r="AQ37" s="11">
        <f t="shared" si="13"/>
        <v>3.845748031496063</v>
      </c>
      <c r="AR37" s="10">
        <f t="shared" si="14"/>
        <v>0.23164190147358038</v>
      </c>
      <c r="AS37" s="10">
        <f t="shared" si="15"/>
        <v>4.5136995072256186E-2</v>
      </c>
      <c r="AT37" s="10">
        <f t="shared" si="16"/>
        <v>0</v>
      </c>
      <c r="AU37" s="10">
        <f t="shared" si="17"/>
        <v>0</v>
      </c>
      <c r="AV37" s="12">
        <v>11917</v>
      </c>
      <c r="AW37" s="13">
        <v>1</v>
      </c>
      <c r="AX37" s="13">
        <v>0</v>
      </c>
      <c r="AY37" s="8"/>
      <c r="AZ37" s="8"/>
      <c r="BA37" s="8"/>
      <c r="BB37" s="8"/>
      <c r="BC37" s="38">
        <f t="shared" si="18"/>
        <v>0.25743863292553726</v>
      </c>
      <c r="BD37" s="38">
        <f t="shared" si="19"/>
        <v>0.21824770875877508</v>
      </c>
      <c r="BE37" s="39">
        <v>0.2316</v>
      </c>
      <c r="BF37" s="40" t="s">
        <v>10257</v>
      </c>
      <c r="BG37">
        <v>2022</v>
      </c>
    </row>
    <row r="38" spans="1:59" ht="15" customHeight="1" x14ac:dyDescent="0.3">
      <c r="A38" s="8" t="s">
        <v>3129</v>
      </c>
      <c r="B38" s="9">
        <v>13114</v>
      </c>
      <c r="C38" s="9">
        <v>13114</v>
      </c>
      <c r="D38" s="9">
        <v>0</v>
      </c>
      <c r="E38" s="9">
        <v>12452</v>
      </c>
      <c r="F38" s="9">
        <v>662</v>
      </c>
      <c r="G38" s="9">
        <v>2446</v>
      </c>
      <c r="H38" s="9">
        <v>10005</v>
      </c>
      <c r="I38" s="9">
        <v>17.329999999999998</v>
      </c>
      <c r="J38" s="9">
        <v>331</v>
      </c>
      <c r="K38" s="9">
        <v>12102</v>
      </c>
      <c r="L38" s="9">
        <v>1012</v>
      </c>
      <c r="M38" s="9"/>
      <c r="N38" s="9"/>
      <c r="O38" s="9">
        <v>1</v>
      </c>
      <c r="P38" s="9">
        <v>90</v>
      </c>
      <c r="Q38" s="9"/>
      <c r="R38" s="9"/>
      <c r="S38" s="9"/>
      <c r="T38" s="9"/>
      <c r="U38" s="9"/>
      <c r="V38" s="9"/>
      <c r="W38" s="9"/>
      <c r="X38" s="8"/>
      <c r="Y38" s="8"/>
      <c r="Z38" s="8"/>
      <c r="AA38" s="9">
        <v>28621</v>
      </c>
      <c r="AB38" s="10">
        <f t="shared" si="10"/>
        <v>0.12606981609954851</v>
      </c>
      <c r="AC38" s="9">
        <v>208937</v>
      </c>
      <c r="AD38" s="9">
        <v>208937</v>
      </c>
      <c r="AE38" s="9"/>
      <c r="AF38" s="9">
        <v>227025</v>
      </c>
      <c r="AG38" s="9">
        <v>50310</v>
      </c>
      <c r="AH38" s="9">
        <v>10532</v>
      </c>
      <c r="AI38" s="9"/>
      <c r="AJ38" s="9"/>
      <c r="AK38" s="9"/>
      <c r="AL38" s="9"/>
      <c r="AM38" s="9"/>
      <c r="AN38" s="9"/>
      <c r="AO38" s="11">
        <f t="shared" si="11"/>
        <v>16.779392868615485</v>
      </c>
      <c r="AP38" s="11">
        <f t="shared" si="12"/>
        <v>16.779392868615485</v>
      </c>
      <c r="AQ38" s="11">
        <f t="shared" si="13"/>
        <v>4.0403148088660457</v>
      </c>
      <c r="AR38" s="10">
        <f t="shared" si="14"/>
        <v>0.22160555004955401</v>
      </c>
      <c r="AS38" s="10">
        <f t="shared" si="15"/>
        <v>4.6391366589582643E-2</v>
      </c>
      <c r="AT38" s="10">
        <f t="shared" si="16"/>
        <v>0</v>
      </c>
      <c r="AU38" s="10">
        <f t="shared" si="17"/>
        <v>0</v>
      </c>
      <c r="AV38" s="12">
        <v>11094</v>
      </c>
      <c r="AW38" s="13">
        <v>1</v>
      </c>
      <c r="AX38" s="13">
        <v>0</v>
      </c>
      <c r="AY38" s="8"/>
      <c r="AZ38" s="8"/>
      <c r="BA38" s="8"/>
      <c r="BB38" s="8"/>
      <c r="BC38" s="38">
        <f t="shared" si="18"/>
        <v>0.24079028606709199</v>
      </c>
      <c r="BD38" s="38">
        <f t="shared" si="19"/>
        <v>0.21177986007627611</v>
      </c>
      <c r="BE38" s="39">
        <v>0.22159999999999999</v>
      </c>
      <c r="BF38" s="40" t="s">
        <v>10258</v>
      </c>
      <c r="BG38">
        <v>2023</v>
      </c>
    </row>
    <row r="39" spans="1:59" ht="15" customHeight="1" x14ac:dyDescent="0.3">
      <c r="A39" s="8" t="s">
        <v>3129</v>
      </c>
      <c r="B39" s="9">
        <v>15596</v>
      </c>
      <c r="C39" s="9">
        <v>15200</v>
      </c>
      <c r="D39" s="9">
        <v>396</v>
      </c>
      <c r="E39" s="9">
        <v>13939</v>
      </c>
      <c r="F39" s="9">
        <v>1658</v>
      </c>
      <c r="G39" s="9">
        <v>4801</v>
      </c>
      <c r="H39" s="9">
        <v>9137</v>
      </c>
      <c r="I39" s="9">
        <v>16</v>
      </c>
      <c r="J39" s="9">
        <v>1203</v>
      </c>
      <c r="K39" s="9">
        <v>11190</v>
      </c>
      <c r="L39" s="9">
        <v>4406</v>
      </c>
      <c r="M39" s="9"/>
      <c r="N39" s="9"/>
      <c r="O39" s="9">
        <v>1</v>
      </c>
      <c r="P39" s="9">
        <v>90</v>
      </c>
      <c r="Q39" s="9"/>
      <c r="R39" s="9"/>
      <c r="S39" s="9"/>
      <c r="T39" s="9"/>
      <c r="U39" s="9"/>
      <c r="V39" s="9"/>
      <c r="W39" s="9"/>
      <c r="X39" s="8"/>
      <c r="Y39" s="8"/>
      <c r="Z39" s="8"/>
      <c r="AA39" s="9">
        <v>31296</v>
      </c>
      <c r="AB39" s="10">
        <f t="shared" si="10"/>
        <v>0.15135511577969937</v>
      </c>
      <c r="AC39" s="9">
        <v>225259</v>
      </c>
      <c r="AD39" s="9">
        <v>225259</v>
      </c>
      <c r="AE39" s="9"/>
      <c r="AF39" s="9">
        <v>206772</v>
      </c>
      <c r="AG39" s="9">
        <v>43934</v>
      </c>
      <c r="AH39" s="9">
        <v>9123</v>
      </c>
      <c r="AI39" s="9"/>
      <c r="AJ39" s="9"/>
      <c r="AK39" s="9"/>
      <c r="AL39" s="9"/>
      <c r="AM39" s="9"/>
      <c r="AN39" s="9"/>
      <c r="AO39" s="11">
        <f t="shared" si="11"/>
        <v>16.160341487911616</v>
      </c>
      <c r="AP39" s="11">
        <f t="shared" si="12"/>
        <v>16.160341487911616</v>
      </c>
      <c r="AQ39" s="11">
        <f t="shared" si="13"/>
        <v>3.1518760312791447</v>
      </c>
      <c r="AR39" s="10">
        <f t="shared" si="14"/>
        <v>0.21247557696399899</v>
      </c>
      <c r="AS39" s="10">
        <f t="shared" si="15"/>
        <v>4.4121060878648949E-2</v>
      </c>
      <c r="AT39" s="10">
        <f t="shared" si="16"/>
        <v>0</v>
      </c>
      <c r="AU39" s="10">
        <f t="shared" si="17"/>
        <v>0</v>
      </c>
      <c r="AV39" s="12">
        <v>13117</v>
      </c>
      <c r="AW39" s="13">
        <v>1</v>
      </c>
      <c r="AX39" s="13">
        <v>0</v>
      </c>
      <c r="AY39" s="8"/>
      <c r="AZ39" s="8"/>
      <c r="BA39" s="8"/>
      <c r="BB39" s="8"/>
      <c r="BC39" s="38">
        <f t="shared" si="18"/>
        <v>0.19503771214468679</v>
      </c>
      <c r="BD39" s="38">
        <f t="shared" si="19"/>
        <v>0.1712459316715714</v>
      </c>
      <c r="BE39" s="39">
        <v>0.21249999999999999</v>
      </c>
      <c r="BF39" s="40" t="s">
        <v>10259</v>
      </c>
      <c r="BG39">
        <v>2024</v>
      </c>
    </row>
    <row r="40" spans="1:59" ht="15" customHeight="1" x14ac:dyDescent="0.3">
      <c r="A40" s="8" t="s">
        <v>3439</v>
      </c>
      <c r="B40" s="9"/>
      <c r="C40" s="9"/>
      <c r="D40" s="9"/>
      <c r="E40" s="9"/>
      <c r="F40" s="9"/>
      <c r="G40" s="9"/>
      <c r="H40" s="9"/>
      <c r="I40" s="9"/>
      <c r="J40" s="9"/>
      <c r="K40" s="9"/>
      <c r="L40" s="9"/>
      <c r="M40" s="9"/>
      <c r="N40" s="9"/>
      <c r="O40" s="9">
        <v>1</v>
      </c>
      <c r="P40" s="9"/>
      <c r="Q40" s="9"/>
      <c r="R40" s="9"/>
      <c r="S40" s="9"/>
      <c r="T40" s="9"/>
      <c r="U40" s="9"/>
      <c r="V40" s="9"/>
      <c r="W40" s="9"/>
      <c r="X40" s="8"/>
      <c r="Y40" s="8"/>
      <c r="Z40" s="8"/>
      <c r="AA40" s="9"/>
      <c r="AB40" s="10" t="str">
        <f t="shared" si="10"/>
        <v/>
      </c>
      <c r="AC40" s="9"/>
      <c r="AD40" s="9"/>
      <c r="AE40" s="9"/>
      <c r="AF40" s="9"/>
      <c r="AG40" s="9"/>
      <c r="AH40" s="9"/>
      <c r="AI40" s="9"/>
      <c r="AJ40" s="9"/>
      <c r="AK40" s="9"/>
      <c r="AL40" s="9"/>
      <c r="AM40" s="9"/>
      <c r="AN40" s="9"/>
      <c r="AO40" s="11" t="str">
        <f t="shared" si="11"/>
        <v/>
      </c>
      <c r="AP40" s="11" t="str">
        <f t="shared" si="12"/>
        <v/>
      </c>
      <c r="AQ40" s="11" t="str">
        <f t="shared" si="13"/>
        <v/>
      </c>
      <c r="AR40" s="10" t="str">
        <f t="shared" si="14"/>
        <v/>
      </c>
      <c r="AS40" s="10" t="str">
        <f t="shared" si="15"/>
        <v/>
      </c>
      <c r="AT40" s="10" t="str">
        <f t="shared" si="16"/>
        <v/>
      </c>
      <c r="AU40" s="10" t="str">
        <f t="shared" si="17"/>
        <v/>
      </c>
      <c r="AV40" s="12"/>
      <c r="AW40" s="13"/>
      <c r="AX40" s="13"/>
      <c r="AY40" s="8"/>
      <c r="AZ40" s="8"/>
      <c r="BA40" s="8"/>
      <c r="BB40" s="8"/>
      <c r="BC40" s="38" t="str">
        <f t="shared" si="18"/>
        <v/>
      </c>
      <c r="BD40" s="38" t="str">
        <f t="shared" si="19"/>
        <v/>
      </c>
      <c r="BE40" s="39"/>
      <c r="BF40" s="40" t="s">
        <v>10260</v>
      </c>
      <c r="BG40">
        <v>2023</v>
      </c>
    </row>
    <row r="41" spans="1:59" ht="15" customHeight="1" x14ac:dyDescent="0.3">
      <c r="A41" s="8" t="s">
        <v>3615</v>
      </c>
      <c r="B41" s="9">
        <v>10782.99</v>
      </c>
      <c r="C41" s="9">
        <v>10264.870000000001</v>
      </c>
      <c r="D41" s="9">
        <v>518.12</v>
      </c>
      <c r="E41" s="9">
        <v>9370.35</v>
      </c>
      <c r="F41" s="9">
        <v>894.52</v>
      </c>
      <c r="G41" s="9"/>
      <c r="H41" s="9"/>
      <c r="I41" s="9"/>
      <c r="J41" s="9"/>
      <c r="K41" s="9"/>
      <c r="L41" s="9">
        <v>10264.870000000001</v>
      </c>
      <c r="M41" s="9"/>
      <c r="N41" s="9"/>
      <c r="O41" s="9">
        <v>0</v>
      </c>
      <c r="P41" s="9">
        <v>0</v>
      </c>
      <c r="Q41" s="9"/>
      <c r="R41" s="9"/>
      <c r="S41" s="9">
        <v>1</v>
      </c>
      <c r="T41" s="9"/>
      <c r="U41" s="9"/>
      <c r="V41" s="9"/>
      <c r="W41" s="9"/>
      <c r="X41" s="8"/>
      <c r="Y41" s="8"/>
      <c r="Z41" s="8"/>
      <c r="AA41" s="9">
        <v>0</v>
      </c>
      <c r="AB41" s="10" t="str">
        <f t="shared" si="10"/>
        <v/>
      </c>
      <c r="AC41" s="9">
        <v>54299</v>
      </c>
      <c r="AD41" s="9"/>
      <c r="AE41" s="9"/>
      <c r="AF41" s="9"/>
      <c r="AG41" s="9">
        <v>0</v>
      </c>
      <c r="AH41" s="9">
        <v>0</v>
      </c>
      <c r="AI41" s="9"/>
      <c r="AJ41" s="9"/>
      <c r="AK41" s="9"/>
      <c r="AL41" s="9"/>
      <c r="AM41" s="9"/>
      <c r="AN41" s="9"/>
      <c r="AO41" s="11">
        <f t="shared" si="11"/>
        <v>5.7947675380321968</v>
      </c>
      <c r="AP41" s="11">
        <f t="shared" si="12"/>
        <v>0</v>
      </c>
      <c r="AQ41" s="11">
        <f t="shared" si="13"/>
        <v>0</v>
      </c>
      <c r="AR41" s="10" t="str">
        <f t="shared" si="14"/>
        <v/>
      </c>
      <c r="AS41" s="10" t="str">
        <f t="shared" si="15"/>
        <v/>
      </c>
      <c r="AT41" s="10" t="str">
        <f t="shared" si="16"/>
        <v/>
      </c>
      <c r="AU41" s="10" t="str">
        <f t="shared" si="17"/>
        <v/>
      </c>
      <c r="AV41" s="12"/>
      <c r="AW41" s="13">
        <v>0.85</v>
      </c>
      <c r="AX41" s="13">
        <v>0.15</v>
      </c>
      <c r="AY41" s="8"/>
      <c r="AZ41" s="8"/>
      <c r="BA41" s="8"/>
      <c r="BB41" s="8"/>
      <c r="BC41" s="38">
        <f t="shared" si="18"/>
        <v>0</v>
      </c>
      <c r="BD41" s="38">
        <f t="shared" si="19"/>
        <v>0</v>
      </c>
      <c r="BE41" s="39"/>
      <c r="BF41" s="40" t="s">
        <v>10261</v>
      </c>
      <c r="BG41">
        <v>2022</v>
      </c>
    </row>
    <row r="42" spans="1:59" ht="15" customHeight="1" x14ac:dyDescent="0.3">
      <c r="A42" s="8" t="s">
        <v>3615</v>
      </c>
      <c r="B42" s="9">
        <v>17964.7</v>
      </c>
      <c r="C42" s="9">
        <v>17964.7</v>
      </c>
      <c r="D42" s="9">
        <v>518.12</v>
      </c>
      <c r="E42" s="9">
        <v>14961.46</v>
      </c>
      <c r="F42" s="9">
        <v>3003.24</v>
      </c>
      <c r="G42" s="9"/>
      <c r="H42" s="9"/>
      <c r="I42" s="9"/>
      <c r="J42" s="9"/>
      <c r="K42" s="9"/>
      <c r="L42" s="9">
        <v>17964.7</v>
      </c>
      <c r="M42" s="9"/>
      <c r="N42" s="9"/>
      <c r="O42" s="9">
        <v>1</v>
      </c>
      <c r="P42" s="9">
        <v>60</v>
      </c>
      <c r="Q42" s="9"/>
      <c r="R42" s="9"/>
      <c r="S42" s="9">
        <v>1</v>
      </c>
      <c r="T42" s="9"/>
      <c r="U42" s="9"/>
      <c r="V42" s="9"/>
      <c r="W42" s="9"/>
      <c r="X42" s="8"/>
      <c r="Y42" s="8"/>
      <c r="Z42" s="8"/>
      <c r="AA42" s="9"/>
      <c r="AB42" s="10" t="str">
        <f t="shared" si="10"/>
        <v/>
      </c>
      <c r="AC42" s="9">
        <v>208107</v>
      </c>
      <c r="AD42" s="9"/>
      <c r="AE42" s="9"/>
      <c r="AF42" s="9"/>
      <c r="AG42" s="9"/>
      <c r="AH42" s="9"/>
      <c r="AI42" s="9"/>
      <c r="AJ42" s="9"/>
      <c r="AK42" s="9"/>
      <c r="AL42" s="9"/>
      <c r="AM42" s="9"/>
      <c r="AN42" s="9"/>
      <c r="AO42" s="11">
        <f t="shared" si="11"/>
        <v>13.909538240251955</v>
      </c>
      <c r="AP42" s="11">
        <f t="shared" si="12"/>
        <v>0</v>
      </c>
      <c r="AQ42" s="11">
        <f t="shared" si="13"/>
        <v>0</v>
      </c>
      <c r="AR42" s="10" t="str">
        <f t="shared" si="14"/>
        <v/>
      </c>
      <c r="AS42" s="10" t="str">
        <f t="shared" si="15"/>
        <v/>
      </c>
      <c r="AT42" s="10" t="str">
        <f t="shared" si="16"/>
        <v/>
      </c>
      <c r="AU42" s="10" t="str">
        <f t="shared" si="17"/>
        <v/>
      </c>
      <c r="AV42" s="12"/>
      <c r="AW42" s="13"/>
      <c r="AX42" s="13"/>
      <c r="AY42" s="8"/>
      <c r="AZ42" s="8"/>
      <c r="BA42" s="8"/>
      <c r="BB42" s="8"/>
      <c r="BC42" s="38">
        <f t="shared" si="18"/>
        <v>0</v>
      </c>
      <c r="BD42" s="38">
        <f t="shared" si="19"/>
        <v>0</v>
      </c>
      <c r="BE42" s="39"/>
      <c r="BF42" s="40" t="s">
        <v>10262</v>
      </c>
      <c r="BG42">
        <v>2023</v>
      </c>
    </row>
    <row r="43" spans="1:59" ht="15" customHeight="1" x14ac:dyDescent="0.3">
      <c r="A43" s="8" t="s">
        <v>3615</v>
      </c>
      <c r="B43" s="9">
        <v>18226.09</v>
      </c>
      <c r="C43" s="9">
        <v>17707.97</v>
      </c>
      <c r="D43" s="9">
        <v>518.12</v>
      </c>
      <c r="E43" s="9">
        <v>10667.64</v>
      </c>
      <c r="F43" s="9">
        <v>7558.45</v>
      </c>
      <c r="G43" s="9"/>
      <c r="H43" s="9"/>
      <c r="I43" s="9"/>
      <c r="J43" s="9"/>
      <c r="K43" s="9"/>
      <c r="L43" s="9">
        <v>18226.09</v>
      </c>
      <c r="M43" s="9"/>
      <c r="N43" s="9"/>
      <c r="O43" s="9">
        <v>1</v>
      </c>
      <c r="P43" s="9">
        <v>60</v>
      </c>
      <c r="Q43" s="9"/>
      <c r="R43" s="9"/>
      <c r="S43" s="9">
        <v>1</v>
      </c>
      <c r="T43" s="9"/>
      <c r="U43" s="9"/>
      <c r="V43" s="9"/>
      <c r="W43" s="9"/>
      <c r="X43" s="8"/>
      <c r="Y43" s="8"/>
      <c r="Z43" s="8"/>
      <c r="AA43" s="9"/>
      <c r="AB43" s="10" t="str">
        <f t="shared" si="10"/>
        <v/>
      </c>
      <c r="AC43" s="9">
        <v>159688</v>
      </c>
      <c r="AD43" s="9"/>
      <c r="AE43" s="9"/>
      <c r="AF43" s="9"/>
      <c r="AG43" s="9">
        <v>40318</v>
      </c>
      <c r="AH43" s="9">
        <v>7888</v>
      </c>
      <c r="AI43" s="9"/>
      <c r="AJ43" s="9"/>
      <c r="AK43" s="9"/>
      <c r="AL43" s="9"/>
      <c r="AM43" s="9"/>
      <c r="AN43" s="9"/>
      <c r="AO43" s="11">
        <f t="shared" si="11"/>
        <v>14.969384043706013</v>
      </c>
      <c r="AP43" s="11">
        <f t="shared" si="12"/>
        <v>0</v>
      </c>
      <c r="AQ43" s="11">
        <f t="shared" si="13"/>
        <v>3.7794676235793485</v>
      </c>
      <c r="AR43" s="10" t="str">
        <f t="shared" si="14"/>
        <v/>
      </c>
      <c r="AS43" s="10" t="str">
        <f t="shared" si="15"/>
        <v/>
      </c>
      <c r="AT43" s="10">
        <f t="shared" si="16"/>
        <v>0</v>
      </c>
      <c r="AU43" s="10">
        <f t="shared" si="17"/>
        <v>0</v>
      </c>
      <c r="AV43" s="12">
        <v>13120</v>
      </c>
      <c r="AW43" s="13">
        <v>1</v>
      </c>
      <c r="AX43" s="13">
        <v>0</v>
      </c>
      <c r="AY43" s="8"/>
      <c r="AZ43" s="8"/>
      <c r="BA43" s="8"/>
      <c r="BB43" s="8"/>
      <c r="BC43" s="38">
        <f t="shared" si="18"/>
        <v>0.25247983567957516</v>
      </c>
      <c r="BD43" s="38">
        <f t="shared" si="19"/>
        <v>0.25247983567957516</v>
      </c>
      <c r="BE43" s="39"/>
      <c r="BF43" s="40" t="s">
        <v>10263</v>
      </c>
      <c r="BG43">
        <v>2024</v>
      </c>
    </row>
    <row r="44" spans="1:59" ht="15" customHeight="1" x14ac:dyDescent="0.3">
      <c r="A44" s="8" t="s">
        <v>3937</v>
      </c>
      <c r="B44" s="9">
        <v>27919</v>
      </c>
      <c r="C44" s="9">
        <v>21407</v>
      </c>
      <c r="D44" s="9">
        <v>6512</v>
      </c>
      <c r="E44" s="9">
        <v>31524</v>
      </c>
      <c r="F44" s="9">
        <v>12503</v>
      </c>
      <c r="G44" s="9"/>
      <c r="H44" s="9"/>
      <c r="I44" s="9"/>
      <c r="J44" s="9"/>
      <c r="K44" s="9">
        <v>0</v>
      </c>
      <c r="L44" s="9">
        <v>29723</v>
      </c>
      <c r="M44" s="9"/>
      <c r="N44" s="9">
        <v>14304</v>
      </c>
      <c r="O44" s="9">
        <v>2</v>
      </c>
      <c r="P44" s="9">
        <v>90</v>
      </c>
      <c r="Q44" s="9">
        <v>0</v>
      </c>
      <c r="R44" s="9"/>
      <c r="S44" s="9">
        <v>0</v>
      </c>
      <c r="T44" s="9"/>
      <c r="U44" s="9">
        <v>0</v>
      </c>
      <c r="V44" s="9"/>
      <c r="W44" s="9">
        <v>0</v>
      </c>
      <c r="X44" s="8"/>
      <c r="Y44" s="8"/>
      <c r="Z44" s="8"/>
      <c r="AA44" s="9">
        <v>153717</v>
      </c>
      <c r="AB44" s="10">
        <f t="shared" si="10"/>
        <v>0.6543265055932983</v>
      </c>
      <c r="AC44" s="9">
        <v>81206</v>
      </c>
      <c r="AD44" s="9">
        <v>81206</v>
      </c>
      <c r="AE44" s="9"/>
      <c r="AF44" s="9">
        <v>234924</v>
      </c>
      <c r="AG44" s="9">
        <v>47983</v>
      </c>
      <c r="AH44" s="9">
        <v>8573</v>
      </c>
      <c r="AI44" s="9">
        <v>0</v>
      </c>
      <c r="AJ44" s="9">
        <v>0</v>
      </c>
      <c r="AK44" s="9">
        <v>0</v>
      </c>
      <c r="AL44" s="9">
        <v>0</v>
      </c>
      <c r="AM44" s="9">
        <v>0</v>
      </c>
      <c r="AN44" s="9">
        <v>0</v>
      </c>
      <c r="AO44" s="11">
        <f t="shared" si="11"/>
        <v>2.5760055830478366</v>
      </c>
      <c r="AP44" s="11">
        <f t="shared" si="12"/>
        <v>2.5760055830478366</v>
      </c>
      <c r="AQ44" s="11">
        <f t="shared" si="13"/>
        <v>1.5221101383073214</v>
      </c>
      <c r="AR44" s="10">
        <f t="shared" si="14"/>
        <v>0.20424903373005737</v>
      </c>
      <c r="AS44" s="10">
        <f t="shared" si="15"/>
        <v>3.6492652943079462E-2</v>
      </c>
      <c r="AT44" s="10">
        <f t="shared" si="16"/>
        <v>0</v>
      </c>
      <c r="AU44" s="10">
        <f t="shared" si="17"/>
        <v>0</v>
      </c>
      <c r="AV44" s="12">
        <v>12337</v>
      </c>
      <c r="AW44" s="13">
        <v>1</v>
      </c>
      <c r="AX44" s="13">
        <v>0</v>
      </c>
      <c r="AY44" s="8"/>
      <c r="AZ44" s="8"/>
      <c r="BA44" s="8"/>
      <c r="BB44" s="8"/>
      <c r="BC44" s="38">
        <f t="shared" si="18"/>
        <v>0.59087998423761789</v>
      </c>
      <c r="BD44" s="38">
        <f t="shared" si="19"/>
        <v>0.20424990315975872</v>
      </c>
      <c r="BE44" s="39">
        <v>0.20419999999999999</v>
      </c>
      <c r="BF44" s="40" t="s">
        <v>10264</v>
      </c>
      <c r="BG44">
        <v>2022</v>
      </c>
    </row>
    <row r="45" spans="1:59" ht="15" customHeight="1" x14ac:dyDescent="0.3">
      <c r="A45" s="8" t="s">
        <v>3937</v>
      </c>
      <c r="B45" s="9">
        <v>27919</v>
      </c>
      <c r="C45" s="9">
        <v>21407</v>
      </c>
      <c r="D45" s="9">
        <v>6512</v>
      </c>
      <c r="E45" s="9">
        <v>31673</v>
      </c>
      <c r="F45" s="9">
        <v>12354</v>
      </c>
      <c r="G45" s="9"/>
      <c r="H45" s="9"/>
      <c r="I45" s="9"/>
      <c r="J45" s="9"/>
      <c r="K45" s="9">
        <v>0</v>
      </c>
      <c r="L45" s="9">
        <v>29723</v>
      </c>
      <c r="M45" s="9"/>
      <c r="N45" s="9">
        <v>14304</v>
      </c>
      <c r="O45" s="9">
        <v>2</v>
      </c>
      <c r="P45" s="9">
        <v>90</v>
      </c>
      <c r="Q45" s="9">
        <v>0</v>
      </c>
      <c r="R45" s="9"/>
      <c r="S45" s="9">
        <v>0</v>
      </c>
      <c r="T45" s="9"/>
      <c r="U45" s="9">
        <v>0</v>
      </c>
      <c r="V45" s="9"/>
      <c r="W45" s="9">
        <v>0</v>
      </c>
      <c r="X45" s="8"/>
      <c r="Y45" s="8"/>
      <c r="Z45" s="8"/>
      <c r="AA45" s="9">
        <v>160058</v>
      </c>
      <c r="AB45" s="10">
        <f t="shared" si="10"/>
        <v>0.61938115286979134</v>
      </c>
      <c r="AC45" s="9">
        <v>98357</v>
      </c>
      <c r="AD45" s="9">
        <v>98357</v>
      </c>
      <c r="AE45" s="9"/>
      <c r="AF45" s="9">
        <v>258416</v>
      </c>
      <c r="AG45" s="9">
        <v>53447</v>
      </c>
      <c r="AH45" s="9">
        <v>9534</v>
      </c>
      <c r="AI45" s="9">
        <v>0</v>
      </c>
      <c r="AJ45" s="9">
        <v>0</v>
      </c>
      <c r="AK45" s="9">
        <v>0</v>
      </c>
      <c r="AL45" s="9">
        <v>0</v>
      </c>
      <c r="AM45" s="9">
        <v>0</v>
      </c>
      <c r="AN45" s="9">
        <v>0</v>
      </c>
      <c r="AO45" s="11">
        <f t="shared" si="11"/>
        <v>3.1053894484261044</v>
      </c>
      <c r="AP45" s="11">
        <f t="shared" si="12"/>
        <v>3.1053894484261044</v>
      </c>
      <c r="AQ45" s="11">
        <f t="shared" si="13"/>
        <v>1.6874625074985004</v>
      </c>
      <c r="AR45" s="10">
        <f t="shared" si="14"/>
        <v>0.20682542876602067</v>
      </c>
      <c r="AS45" s="10">
        <f t="shared" si="15"/>
        <v>3.6894000371494026E-2</v>
      </c>
      <c r="AT45" s="10">
        <f t="shared" si="16"/>
        <v>0</v>
      </c>
      <c r="AU45" s="10">
        <f t="shared" si="17"/>
        <v>0</v>
      </c>
      <c r="AV45" s="12">
        <v>11039</v>
      </c>
      <c r="AW45" s="13">
        <v>1</v>
      </c>
      <c r="AX45" s="13">
        <v>0</v>
      </c>
      <c r="AY45" s="8"/>
      <c r="AZ45" s="8"/>
      <c r="BA45" s="8"/>
      <c r="BB45" s="8"/>
      <c r="BC45" s="38">
        <f t="shared" si="18"/>
        <v>0.54339802962676775</v>
      </c>
      <c r="BD45" s="38">
        <f t="shared" si="19"/>
        <v>0.20682622912756612</v>
      </c>
      <c r="BE45" s="39">
        <v>0.20680000000000001</v>
      </c>
      <c r="BF45" s="40" t="s">
        <v>10265</v>
      </c>
      <c r="BG45">
        <v>2023</v>
      </c>
    </row>
    <row r="46" spans="1:59" ht="15" customHeight="1" x14ac:dyDescent="0.3">
      <c r="A46" s="8" t="s">
        <v>3937</v>
      </c>
      <c r="B46" s="9">
        <v>27918</v>
      </c>
      <c r="C46" s="9">
        <v>21407</v>
      </c>
      <c r="D46" s="9">
        <v>6512</v>
      </c>
      <c r="E46" s="9">
        <v>31699</v>
      </c>
      <c r="F46" s="9">
        <v>12288</v>
      </c>
      <c r="G46" s="9"/>
      <c r="H46" s="9"/>
      <c r="I46" s="9"/>
      <c r="J46" s="9"/>
      <c r="K46" s="9">
        <v>0</v>
      </c>
      <c r="L46" s="9">
        <v>29723</v>
      </c>
      <c r="M46" s="9"/>
      <c r="N46" s="9">
        <v>14264</v>
      </c>
      <c r="O46" s="9">
        <v>2</v>
      </c>
      <c r="P46" s="9">
        <v>90</v>
      </c>
      <c r="Q46" s="9">
        <v>0</v>
      </c>
      <c r="R46" s="9"/>
      <c r="S46" s="9">
        <v>0</v>
      </c>
      <c r="T46" s="9"/>
      <c r="U46" s="9">
        <v>0</v>
      </c>
      <c r="V46" s="9"/>
      <c r="W46" s="9">
        <v>0</v>
      </c>
      <c r="X46" s="8"/>
      <c r="Y46" s="8"/>
      <c r="Z46" s="8"/>
      <c r="AA46" s="9">
        <v>121298</v>
      </c>
      <c r="AB46" s="10">
        <f t="shared" si="10"/>
        <v>0.53483070763722629</v>
      </c>
      <c r="AC46" s="9">
        <v>105499</v>
      </c>
      <c r="AD46" s="9">
        <v>105499</v>
      </c>
      <c r="AE46" s="9"/>
      <c r="AF46" s="9">
        <v>226797</v>
      </c>
      <c r="AG46" s="9">
        <v>44955</v>
      </c>
      <c r="AH46" s="9">
        <v>7888</v>
      </c>
      <c r="AI46" s="9">
        <v>0</v>
      </c>
      <c r="AJ46" s="9">
        <v>0</v>
      </c>
      <c r="AK46" s="9">
        <v>0</v>
      </c>
      <c r="AL46" s="9">
        <v>0</v>
      </c>
      <c r="AM46" s="9">
        <v>0</v>
      </c>
      <c r="AN46" s="9">
        <v>0</v>
      </c>
      <c r="AO46" s="11">
        <f t="shared" si="11"/>
        <v>3.3281491529701253</v>
      </c>
      <c r="AP46" s="11">
        <f t="shared" si="12"/>
        <v>3.3281491529701253</v>
      </c>
      <c r="AQ46" s="11">
        <f t="shared" si="13"/>
        <v>1.4181835389128994</v>
      </c>
      <c r="AR46" s="10">
        <f t="shared" si="14"/>
        <v>0.19821690763105332</v>
      </c>
      <c r="AS46" s="10">
        <f t="shared" si="15"/>
        <v>3.4780001499137993E-2</v>
      </c>
      <c r="AT46" s="10">
        <f t="shared" si="16"/>
        <v>0</v>
      </c>
      <c r="AU46" s="10">
        <f t="shared" si="17"/>
        <v>0</v>
      </c>
      <c r="AV46" s="12">
        <v>13169</v>
      </c>
      <c r="AW46" s="13">
        <v>1</v>
      </c>
      <c r="AX46" s="13">
        <v>0</v>
      </c>
      <c r="AY46" s="8"/>
      <c r="AZ46" s="8"/>
      <c r="BA46" s="8"/>
      <c r="BB46" s="8"/>
      <c r="BC46" s="38">
        <f t="shared" si="18"/>
        <v>0.42611778310694887</v>
      </c>
      <c r="BD46" s="38">
        <f t="shared" si="19"/>
        <v>0.19821690763105332</v>
      </c>
      <c r="BE46" s="39">
        <v>0.19819999999999999</v>
      </c>
      <c r="BF46" s="40" t="s">
        <v>10266</v>
      </c>
      <c r="BG46">
        <v>2024</v>
      </c>
    </row>
    <row r="47" spans="1:59" ht="15" customHeight="1" x14ac:dyDescent="0.3">
      <c r="A47" s="8" t="s">
        <v>4324</v>
      </c>
      <c r="B47" s="9">
        <v>111240</v>
      </c>
      <c r="C47" s="9">
        <v>111240</v>
      </c>
      <c r="D47" s="9">
        <v>35064</v>
      </c>
      <c r="E47" s="9">
        <v>101306</v>
      </c>
      <c r="F47" s="9">
        <v>9934</v>
      </c>
      <c r="G47" s="9">
        <v>2710</v>
      </c>
      <c r="H47" s="9">
        <v>81033</v>
      </c>
      <c r="I47" s="9">
        <v>19</v>
      </c>
      <c r="J47" s="9"/>
      <c r="K47" s="9">
        <v>85373</v>
      </c>
      <c r="L47" s="9">
        <v>17152</v>
      </c>
      <c r="M47" s="9">
        <v>5466</v>
      </c>
      <c r="N47" s="9">
        <v>3249</v>
      </c>
      <c r="O47" s="9">
        <v>12</v>
      </c>
      <c r="P47" s="9"/>
      <c r="Q47" s="9"/>
      <c r="R47" s="9"/>
      <c r="S47" s="9">
        <v>0</v>
      </c>
      <c r="T47" s="9"/>
      <c r="U47" s="9">
        <v>0</v>
      </c>
      <c r="V47" s="9"/>
      <c r="W47" s="9">
        <v>0</v>
      </c>
      <c r="X47" s="8"/>
      <c r="Y47" s="8"/>
      <c r="Z47" s="8"/>
      <c r="AA47" s="9">
        <v>243000</v>
      </c>
      <c r="AB47" s="10" t="str">
        <f t="shared" si="10"/>
        <v/>
      </c>
      <c r="AC47" s="9">
        <v>1174000</v>
      </c>
      <c r="AD47" s="9">
        <v>1174000</v>
      </c>
      <c r="AE47" s="9"/>
      <c r="AF47" s="9"/>
      <c r="AG47" s="9">
        <v>306000</v>
      </c>
      <c r="AH47" s="9">
        <v>88000</v>
      </c>
      <c r="AI47" s="9"/>
      <c r="AJ47" s="9"/>
      <c r="AK47" s="9"/>
      <c r="AL47" s="9"/>
      <c r="AM47" s="9"/>
      <c r="AN47" s="9"/>
      <c r="AO47" s="11">
        <f t="shared" si="11"/>
        <v>11.588652202238762</v>
      </c>
      <c r="AP47" s="11">
        <f t="shared" si="12"/>
        <v>11.588652202238762</v>
      </c>
      <c r="AQ47" s="11">
        <f t="shared" si="13"/>
        <v>3.0205515961542257</v>
      </c>
      <c r="AR47" s="10" t="str">
        <f t="shared" si="14"/>
        <v/>
      </c>
      <c r="AS47" s="10" t="str">
        <f t="shared" si="15"/>
        <v/>
      </c>
      <c r="AT47" s="10">
        <f t="shared" si="16"/>
        <v>0</v>
      </c>
      <c r="AU47" s="10">
        <f t="shared" si="17"/>
        <v>0</v>
      </c>
      <c r="AV47" s="12"/>
      <c r="AW47" s="13">
        <v>0.94930000000000003</v>
      </c>
      <c r="AX47" s="13">
        <v>5.0700000000000002E-2</v>
      </c>
      <c r="AY47" s="8"/>
      <c r="AZ47" s="8"/>
      <c r="BA47" s="8"/>
      <c r="BB47" s="8"/>
      <c r="BC47" s="38">
        <f t="shared" si="18"/>
        <v>0.26064735945485518</v>
      </c>
      <c r="BD47" s="38">
        <f t="shared" si="19"/>
        <v>0.21594918842625266</v>
      </c>
      <c r="BE47" s="39"/>
      <c r="BF47" s="40" t="s">
        <v>10267</v>
      </c>
      <c r="BG47">
        <v>2022</v>
      </c>
    </row>
    <row r="48" spans="1:59" ht="15" customHeight="1" x14ac:dyDescent="0.3">
      <c r="A48" s="8" t="s">
        <v>4324</v>
      </c>
      <c r="B48" s="9">
        <v>111940</v>
      </c>
      <c r="C48" s="9">
        <v>111940</v>
      </c>
      <c r="D48" s="9">
        <v>35417</v>
      </c>
      <c r="E48" s="9">
        <v>102884</v>
      </c>
      <c r="F48" s="9">
        <v>9056</v>
      </c>
      <c r="G48" s="9">
        <v>3229</v>
      </c>
      <c r="H48" s="9">
        <v>81969</v>
      </c>
      <c r="I48" s="9">
        <v>19</v>
      </c>
      <c r="J48" s="9"/>
      <c r="K48" s="9">
        <v>86125</v>
      </c>
      <c r="L48" s="9">
        <v>17152</v>
      </c>
      <c r="M48" s="9">
        <v>5486</v>
      </c>
      <c r="N48" s="9">
        <v>3177</v>
      </c>
      <c r="O48" s="9">
        <v>12</v>
      </c>
      <c r="P48" s="9"/>
      <c r="Q48" s="9"/>
      <c r="R48" s="9"/>
      <c r="S48" s="9">
        <v>0</v>
      </c>
      <c r="T48" s="9"/>
      <c r="U48" s="9">
        <v>0</v>
      </c>
      <c r="V48" s="9"/>
      <c r="W48" s="9">
        <v>0</v>
      </c>
      <c r="X48" s="8"/>
      <c r="Y48" s="8"/>
      <c r="Z48" s="8"/>
      <c r="AA48" s="9">
        <v>201000</v>
      </c>
      <c r="AB48" s="10" t="str">
        <f t="shared" si="10"/>
        <v/>
      </c>
      <c r="AC48" s="9">
        <v>1177000</v>
      </c>
      <c r="AD48" s="9">
        <v>1177000</v>
      </c>
      <c r="AE48" s="9"/>
      <c r="AF48" s="9"/>
      <c r="AG48" s="9">
        <v>294000</v>
      </c>
      <c r="AH48" s="9">
        <v>87000</v>
      </c>
      <c r="AI48" s="9"/>
      <c r="AJ48" s="9"/>
      <c r="AK48" s="9"/>
      <c r="AL48" s="9"/>
      <c r="AM48" s="9"/>
      <c r="AN48" s="9"/>
      <c r="AO48" s="11">
        <f t="shared" si="11"/>
        <v>11.440068426577504</v>
      </c>
      <c r="AP48" s="11">
        <f t="shared" si="12"/>
        <v>11.440068426577504</v>
      </c>
      <c r="AQ48" s="11">
        <f t="shared" si="13"/>
        <v>2.8575871855682129</v>
      </c>
      <c r="AR48" s="10" t="str">
        <f t="shared" si="14"/>
        <v/>
      </c>
      <c r="AS48" s="10" t="str">
        <f t="shared" si="15"/>
        <v/>
      </c>
      <c r="AT48" s="10">
        <f t="shared" si="16"/>
        <v>0</v>
      </c>
      <c r="AU48" s="10">
        <f t="shared" si="17"/>
        <v>0</v>
      </c>
      <c r="AV48" s="12"/>
      <c r="AW48" s="13">
        <v>0.98470000000000002</v>
      </c>
      <c r="AX48" s="13">
        <v>1.5299999999999999E-2</v>
      </c>
      <c r="AY48" s="8"/>
      <c r="AZ48" s="8"/>
      <c r="BA48" s="8"/>
      <c r="BB48" s="8"/>
      <c r="BC48" s="38">
        <f t="shared" si="18"/>
        <v>0.2497875955819881</v>
      </c>
      <c r="BD48" s="38">
        <f t="shared" si="19"/>
        <v>0.21335268505079827</v>
      </c>
      <c r="BE48" s="39"/>
      <c r="BF48" s="40" t="s">
        <v>10268</v>
      </c>
      <c r="BG48">
        <v>2023</v>
      </c>
    </row>
    <row r="49" spans="1:59" ht="15" customHeight="1" x14ac:dyDescent="0.3">
      <c r="A49" s="8" t="s">
        <v>4324</v>
      </c>
      <c r="B49" s="9">
        <v>111367</v>
      </c>
      <c r="C49" s="9">
        <v>111367</v>
      </c>
      <c r="D49" s="9">
        <v>35779</v>
      </c>
      <c r="E49" s="9">
        <v>84941</v>
      </c>
      <c r="F49" s="9">
        <v>6211</v>
      </c>
      <c r="G49" s="9"/>
      <c r="H49" s="9"/>
      <c r="I49" s="9">
        <v>19</v>
      </c>
      <c r="J49" s="9"/>
      <c r="K49" s="9">
        <v>86746</v>
      </c>
      <c r="L49" s="9">
        <v>15924</v>
      </c>
      <c r="M49" s="9">
        <v>5480</v>
      </c>
      <c r="N49" s="9">
        <v>3217</v>
      </c>
      <c r="O49" s="9">
        <v>12</v>
      </c>
      <c r="P49" s="9"/>
      <c r="Q49" s="9"/>
      <c r="R49" s="9"/>
      <c r="S49" s="9">
        <v>0</v>
      </c>
      <c r="T49" s="9"/>
      <c r="U49" s="9">
        <v>0</v>
      </c>
      <c r="V49" s="9"/>
      <c r="W49" s="9">
        <v>0</v>
      </c>
      <c r="X49" s="8"/>
      <c r="Y49" s="8"/>
      <c r="Z49" s="8"/>
      <c r="AA49" s="9">
        <v>172000</v>
      </c>
      <c r="AB49" s="10" t="str">
        <f t="shared" si="10"/>
        <v/>
      </c>
      <c r="AC49" s="9">
        <v>1173000</v>
      </c>
      <c r="AD49" s="9">
        <v>1173000</v>
      </c>
      <c r="AE49" s="9"/>
      <c r="AF49" s="9"/>
      <c r="AG49" s="9">
        <v>287000</v>
      </c>
      <c r="AH49" s="9">
        <v>82000</v>
      </c>
      <c r="AI49" s="9"/>
      <c r="AJ49" s="9"/>
      <c r="AK49" s="9"/>
      <c r="AL49" s="9"/>
      <c r="AM49" s="9"/>
      <c r="AN49" s="9"/>
      <c r="AO49" s="11">
        <f t="shared" si="11"/>
        <v>13.809585476978137</v>
      </c>
      <c r="AP49" s="11">
        <f t="shared" si="12"/>
        <v>13.809585476978137</v>
      </c>
      <c r="AQ49" s="11">
        <f t="shared" si="13"/>
        <v>3.3788158839665181</v>
      </c>
      <c r="AR49" s="10" t="str">
        <f t="shared" si="14"/>
        <v/>
      </c>
      <c r="AS49" s="10" t="str">
        <f t="shared" si="15"/>
        <v/>
      </c>
      <c r="AT49" s="10">
        <f t="shared" si="16"/>
        <v>0</v>
      </c>
      <c r="AU49" s="10">
        <f t="shared" si="17"/>
        <v>0</v>
      </c>
      <c r="AV49" s="12">
        <v>13190</v>
      </c>
      <c r="AW49" s="13">
        <v>0.98470000000000002</v>
      </c>
      <c r="AX49" s="13">
        <v>1.5299999999999999E-2</v>
      </c>
      <c r="AY49" s="8"/>
      <c r="AZ49" s="8"/>
      <c r="BA49" s="8"/>
      <c r="BB49" s="8"/>
      <c r="BC49" s="38">
        <f t="shared" si="18"/>
        <v>0.24467178175618073</v>
      </c>
      <c r="BD49" s="38">
        <f t="shared" si="19"/>
        <v>0.2133828996282528</v>
      </c>
      <c r="BE49" s="39"/>
      <c r="BF49" s="40" t="s">
        <v>10269</v>
      </c>
      <c r="BG49">
        <v>2024</v>
      </c>
    </row>
    <row r="50" spans="1:59" ht="15" customHeight="1" x14ac:dyDescent="0.3">
      <c r="A50" s="8" t="s">
        <v>4718</v>
      </c>
      <c r="B50" s="9"/>
      <c r="C50" s="9"/>
      <c r="D50" s="9"/>
      <c r="E50" s="9"/>
      <c r="F50" s="9"/>
      <c r="G50" s="9"/>
      <c r="H50" s="9"/>
      <c r="I50" s="9"/>
      <c r="J50" s="9"/>
      <c r="K50" s="9"/>
      <c r="L50" s="9"/>
      <c r="M50" s="9"/>
      <c r="N50" s="9"/>
      <c r="O50" s="9"/>
      <c r="P50" s="9"/>
      <c r="Q50" s="9"/>
      <c r="R50" s="9"/>
      <c r="S50" s="9"/>
      <c r="T50" s="9"/>
      <c r="U50" s="9"/>
      <c r="V50" s="9"/>
      <c r="W50" s="9"/>
      <c r="X50" s="8"/>
      <c r="Y50" s="8"/>
      <c r="Z50" s="8"/>
      <c r="AA50" s="9"/>
      <c r="AB50" s="10" t="str">
        <f t="shared" si="10"/>
        <v/>
      </c>
      <c r="AC50" s="9"/>
      <c r="AD50" s="9"/>
      <c r="AE50" s="9"/>
      <c r="AF50" s="9"/>
      <c r="AG50" s="9"/>
      <c r="AH50" s="9"/>
      <c r="AI50" s="9"/>
      <c r="AJ50" s="9"/>
      <c r="AK50" s="9"/>
      <c r="AL50" s="9"/>
      <c r="AM50" s="9"/>
      <c r="AN50" s="9"/>
      <c r="AO50" s="11" t="str">
        <f t="shared" si="11"/>
        <v/>
      </c>
      <c r="AP50" s="11" t="str">
        <f t="shared" si="12"/>
        <v/>
      </c>
      <c r="AQ50" s="11" t="str">
        <f t="shared" si="13"/>
        <v/>
      </c>
      <c r="AR50" s="10" t="str">
        <f t="shared" si="14"/>
        <v/>
      </c>
      <c r="AS50" s="10" t="str">
        <f t="shared" si="15"/>
        <v/>
      </c>
      <c r="AT50" s="10" t="str">
        <f t="shared" si="16"/>
        <v/>
      </c>
      <c r="AU50" s="10" t="str">
        <f t="shared" si="17"/>
        <v/>
      </c>
      <c r="AV50" s="12"/>
      <c r="AW50" s="13"/>
      <c r="AX50" s="13"/>
      <c r="AY50" s="8"/>
      <c r="AZ50" s="8"/>
      <c r="BA50" s="8"/>
      <c r="BB50" s="8"/>
      <c r="BC50" s="38" t="str">
        <f t="shared" si="18"/>
        <v/>
      </c>
      <c r="BD50" s="38" t="str">
        <f t="shared" si="19"/>
        <v/>
      </c>
      <c r="BE50" s="39"/>
      <c r="BF50" s="40" t="s">
        <v>10270</v>
      </c>
      <c r="BG50">
        <v>2022</v>
      </c>
    </row>
    <row r="51" spans="1:59" ht="15" customHeight="1" x14ac:dyDescent="0.3">
      <c r="A51" s="8" t="s">
        <v>4840</v>
      </c>
      <c r="B51" s="9">
        <v>391.29</v>
      </c>
      <c r="C51" s="9">
        <v>391.29</v>
      </c>
      <c r="D51" s="9"/>
      <c r="E51" s="9">
        <v>169.72</v>
      </c>
      <c r="F51" s="9">
        <v>221.57</v>
      </c>
      <c r="G51" s="9"/>
      <c r="H51" s="9"/>
      <c r="I51" s="9"/>
      <c r="J51" s="9"/>
      <c r="K51" s="9"/>
      <c r="L51" s="9"/>
      <c r="M51" s="9"/>
      <c r="N51" s="9"/>
      <c r="O51" s="9">
        <v>5</v>
      </c>
      <c r="P51" s="9">
        <v>240</v>
      </c>
      <c r="Q51" s="9">
        <v>1</v>
      </c>
      <c r="R51" s="9"/>
      <c r="S51" s="9">
        <v>1</v>
      </c>
      <c r="T51" s="9">
        <v>495000</v>
      </c>
      <c r="U51" s="9">
        <v>1</v>
      </c>
      <c r="V51" s="9"/>
      <c r="W51" s="9"/>
      <c r="X51" s="8"/>
      <c r="Y51" s="8"/>
      <c r="Z51" s="8"/>
      <c r="AA51" s="9">
        <v>1506111</v>
      </c>
      <c r="AB51" s="10">
        <f t="shared" si="10"/>
        <v>1</v>
      </c>
      <c r="AC51" s="9"/>
      <c r="AD51" s="9"/>
      <c r="AE51" s="9"/>
      <c r="AF51" s="9">
        <v>1506111</v>
      </c>
      <c r="AG51" s="9">
        <v>278280</v>
      </c>
      <c r="AH51" s="9">
        <v>83960</v>
      </c>
      <c r="AI51" s="9">
        <v>22550</v>
      </c>
      <c r="AJ51" s="9">
        <v>340060</v>
      </c>
      <c r="AK51" s="9">
        <v>7690</v>
      </c>
      <c r="AL51" s="9">
        <v>2440</v>
      </c>
      <c r="AM51" s="9">
        <v>19610</v>
      </c>
      <c r="AN51" s="9">
        <v>27340</v>
      </c>
      <c r="AO51" s="11">
        <f t="shared" si="11"/>
        <v>0</v>
      </c>
      <c r="AP51" s="11">
        <f t="shared" si="12"/>
        <v>0</v>
      </c>
      <c r="AQ51" s="11">
        <f t="shared" si="13"/>
        <v>1639.6417629036059</v>
      </c>
      <c r="AR51" s="10">
        <f t="shared" si="14"/>
        <v>0.1847672581901334</v>
      </c>
      <c r="AS51" s="10">
        <f t="shared" si="15"/>
        <v>5.5746223219935317E-2</v>
      </c>
      <c r="AT51" s="10">
        <f t="shared" si="16"/>
        <v>0.26858027632205811</v>
      </c>
      <c r="AU51" s="10">
        <f t="shared" si="17"/>
        <v>0.32563125297760837</v>
      </c>
      <c r="AV51" s="12"/>
      <c r="AW51" s="13">
        <v>0.76</v>
      </c>
      <c r="AX51" s="13">
        <v>0.24</v>
      </c>
      <c r="AY51" s="8"/>
      <c r="AZ51" s="8"/>
      <c r="BA51" s="8"/>
      <c r="BB51" s="8"/>
      <c r="BC51" s="38" t="str">
        <f t="shared" si="18"/>
        <v/>
      </c>
      <c r="BD51" s="38">
        <f t="shared" si="19"/>
        <v>0.1847672581901334</v>
      </c>
      <c r="BE51" s="39"/>
      <c r="BF51" s="40" t="s">
        <v>10271</v>
      </c>
      <c r="BG51">
        <v>2022</v>
      </c>
    </row>
    <row r="52" spans="1:59" ht="15" customHeight="1" x14ac:dyDescent="0.3">
      <c r="A52" s="8" t="s">
        <v>4840</v>
      </c>
      <c r="B52" s="9">
        <v>427.88</v>
      </c>
      <c r="C52" s="9">
        <v>427.88</v>
      </c>
      <c r="D52" s="9"/>
      <c r="E52" s="9">
        <v>166.92</v>
      </c>
      <c r="F52" s="9">
        <v>260.95999999999998</v>
      </c>
      <c r="G52" s="9"/>
      <c r="H52" s="9"/>
      <c r="I52" s="9"/>
      <c r="J52" s="9"/>
      <c r="K52" s="9"/>
      <c r="L52" s="9"/>
      <c r="M52" s="9"/>
      <c r="N52" s="9"/>
      <c r="O52" s="9">
        <v>5</v>
      </c>
      <c r="P52" s="9">
        <v>240</v>
      </c>
      <c r="Q52" s="9">
        <v>1</v>
      </c>
      <c r="R52" s="9"/>
      <c r="S52" s="9">
        <v>1</v>
      </c>
      <c r="T52" s="9"/>
      <c r="U52" s="9">
        <v>1</v>
      </c>
      <c r="V52" s="9"/>
      <c r="W52" s="9"/>
      <c r="X52" s="8"/>
      <c r="Y52" s="8"/>
      <c r="Z52" s="8"/>
      <c r="AA52" s="9">
        <v>1470215</v>
      </c>
      <c r="AB52" s="10">
        <f t="shared" si="10"/>
        <v>1</v>
      </c>
      <c r="AC52" s="9">
        <v>694.59</v>
      </c>
      <c r="AD52" s="9"/>
      <c r="AE52" s="9"/>
      <c r="AF52" s="9">
        <v>1470215</v>
      </c>
      <c r="AG52" s="9">
        <v>256930</v>
      </c>
      <c r="AH52" s="9">
        <v>77230</v>
      </c>
      <c r="AI52" s="9">
        <v>15730</v>
      </c>
      <c r="AJ52" s="9">
        <v>274680</v>
      </c>
      <c r="AK52" s="9">
        <v>9420</v>
      </c>
      <c r="AL52" s="9">
        <v>3630</v>
      </c>
      <c r="AM52" s="9">
        <v>15970</v>
      </c>
      <c r="AN52" s="9">
        <v>19960</v>
      </c>
      <c r="AO52" s="11">
        <f t="shared" si="11"/>
        <v>4.1612149532710285</v>
      </c>
      <c r="AP52" s="11">
        <f t="shared" si="12"/>
        <v>0</v>
      </c>
      <c r="AQ52" s="11">
        <f t="shared" si="13"/>
        <v>1539.2403546609155</v>
      </c>
      <c r="AR52" s="10">
        <f t="shared" si="14"/>
        <v>0.17475675326397841</v>
      </c>
      <c r="AS52" s="10">
        <f t="shared" si="15"/>
        <v>5.2529732045993274E-2</v>
      </c>
      <c r="AT52" s="10">
        <f t="shared" si="16"/>
        <v>0.20367732746342096</v>
      </c>
      <c r="AU52" s="10">
        <f t="shared" si="17"/>
        <v>0.25844878933057103</v>
      </c>
      <c r="AV52" s="12"/>
      <c r="AW52" s="13">
        <v>0.85</v>
      </c>
      <c r="AX52" s="13">
        <v>0.15</v>
      </c>
      <c r="AY52" s="8"/>
      <c r="AZ52" s="8"/>
      <c r="BA52" s="8"/>
      <c r="BB52" s="8"/>
      <c r="BC52" s="38">
        <f t="shared" si="18"/>
        <v>369.90166861025926</v>
      </c>
      <c r="BD52" s="38">
        <f t="shared" si="19"/>
        <v>0.17467422997765619</v>
      </c>
      <c r="BE52" s="39"/>
      <c r="BF52" s="40" t="s">
        <v>10272</v>
      </c>
      <c r="BG52">
        <v>2023</v>
      </c>
    </row>
    <row r="53" spans="1:59" ht="15" customHeight="1" x14ac:dyDescent="0.3">
      <c r="A53" s="8" t="s">
        <v>4840</v>
      </c>
      <c r="B53" s="9">
        <v>477.85</v>
      </c>
      <c r="C53" s="9">
        <v>477.85</v>
      </c>
      <c r="D53" s="9"/>
      <c r="E53" s="9"/>
      <c r="F53" s="9"/>
      <c r="G53" s="9"/>
      <c r="H53" s="9"/>
      <c r="I53" s="9"/>
      <c r="J53" s="9"/>
      <c r="K53" s="9"/>
      <c r="L53" s="9"/>
      <c r="M53" s="9"/>
      <c r="N53" s="9"/>
      <c r="O53" s="9">
        <v>6</v>
      </c>
      <c r="P53" s="9">
        <v>360</v>
      </c>
      <c r="Q53" s="9">
        <v>1</v>
      </c>
      <c r="R53" s="9"/>
      <c r="S53" s="9">
        <v>1</v>
      </c>
      <c r="T53" s="9">
        <v>1188000</v>
      </c>
      <c r="U53" s="9">
        <v>1</v>
      </c>
      <c r="V53" s="9"/>
      <c r="W53" s="9"/>
      <c r="X53" s="8"/>
      <c r="Y53" s="8"/>
      <c r="Z53" s="8"/>
      <c r="AA53" s="9">
        <v>1132255</v>
      </c>
      <c r="AB53" s="10">
        <f t="shared" si="10"/>
        <v>1</v>
      </c>
      <c r="AC53" s="9">
        <v>487</v>
      </c>
      <c r="AD53" s="9"/>
      <c r="AE53" s="9"/>
      <c r="AF53" s="9">
        <v>1132255</v>
      </c>
      <c r="AG53" s="9">
        <v>195440</v>
      </c>
      <c r="AH53" s="9">
        <v>57860</v>
      </c>
      <c r="AI53" s="9">
        <v>21230</v>
      </c>
      <c r="AJ53" s="9">
        <v>212470</v>
      </c>
      <c r="AK53" s="9">
        <v>12460</v>
      </c>
      <c r="AL53" s="9">
        <v>3660</v>
      </c>
      <c r="AM53" s="9">
        <v>9330</v>
      </c>
      <c r="AN53" s="9">
        <v>26650</v>
      </c>
      <c r="AO53" s="11" t="str">
        <f t="shared" si="11"/>
        <v/>
      </c>
      <c r="AP53" s="11" t="str">
        <f t="shared" si="12"/>
        <v/>
      </c>
      <c r="AQ53" s="11" t="str">
        <f t="shared" si="13"/>
        <v/>
      </c>
      <c r="AR53" s="10">
        <f t="shared" si="14"/>
        <v>0.17261129339238954</v>
      </c>
      <c r="AS53" s="10">
        <f t="shared" si="15"/>
        <v>5.1101562810497637E-2</v>
      </c>
      <c r="AT53" s="10">
        <f t="shared" si="16"/>
        <v>0.36692015209125473</v>
      </c>
      <c r="AU53" s="10">
        <f t="shared" si="17"/>
        <v>0.46059453854130661</v>
      </c>
      <c r="AV53" s="12"/>
      <c r="AW53" s="13">
        <v>0.76</v>
      </c>
      <c r="AX53" s="13">
        <v>0.24</v>
      </c>
      <c r="AY53" s="8"/>
      <c r="AZ53" s="8"/>
      <c r="BA53" s="8"/>
      <c r="BB53" s="8"/>
      <c r="BC53" s="38">
        <f t="shared" si="18"/>
        <v>401.31416837782342</v>
      </c>
      <c r="BD53" s="38">
        <f t="shared" si="19"/>
        <v>0.17253708258367748</v>
      </c>
      <c r="BE53" s="39"/>
      <c r="BF53" s="40" t="s">
        <v>10273</v>
      </c>
      <c r="BG53">
        <v>2024</v>
      </c>
    </row>
    <row r="54" spans="1:59" ht="15" customHeight="1" x14ac:dyDescent="0.3">
      <c r="A54" s="8" t="s">
        <v>5124</v>
      </c>
      <c r="B54" s="9">
        <v>8000</v>
      </c>
      <c r="C54" s="9"/>
      <c r="D54" s="9"/>
      <c r="E54" s="9"/>
      <c r="F54" s="9"/>
      <c r="G54" s="9"/>
      <c r="H54" s="9"/>
      <c r="I54" s="9">
        <v>10</v>
      </c>
      <c r="J54" s="9"/>
      <c r="K54" s="9"/>
      <c r="L54" s="9"/>
      <c r="M54" s="9"/>
      <c r="N54" s="9"/>
      <c r="O54" s="9">
        <v>1</v>
      </c>
      <c r="P54" s="9">
        <v>30</v>
      </c>
      <c r="Q54" s="9">
        <v>0</v>
      </c>
      <c r="R54" s="9"/>
      <c r="S54" s="9">
        <v>0</v>
      </c>
      <c r="T54" s="9"/>
      <c r="U54" s="9"/>
      <c r="V54" s="9"/>
      <c r="W54" s="9"/>
      <c r="X54" s="8"/>
      <c r="Y54" s="8"/>
      <c r="Z54" s="8"/>
      <c r="AA54" s="9">
        <v>71472</v>
      </c>
      <c r="AB54" s="10">
        <f t="shared" si="10"/>
        <v>0.37634272715784151</v>
      </c>
      <c r="AC54" s="9">
        <v>117967</v>
      </c>
      <c r="AD54" s="9"/>
      <c r="AE54" s="9"/>
      <c r="AF54" s="9">
        <v>189912</v>
      </c>
      <c r="AG54" s="9">
        <v>43729</v>
      </c>
      <c r="AH54" s="9">
        <v>7453</v>
      </c>
      <c r="AI54" s="9"/>
      <c r="AJ54" s="9"/>
      <c r="AK54" s="9"/>
      <c r="AL54" s="9"/>
      <c r="AM54" s="9"/>
      <c r="AN54" s="9"/>
      <c r="AO54" s="11" t="str">
        <f t="shared" si="11"/>
        <v/>
      </c>
      <c r="AP54" s="11" t="str">
        <f t="shared" si="12"/>
        <v/>
      </c>
      <c r="AQ54" s="11" t="str">
        <f t="shared" si="13"/>
        <v/>
      </c>
      <c r="AR54" s="10">
        <f t="shared" si="14"/>
        <v>0.23025927798138085</v>
      </c>
      <c r="AS54" s="10">
        <f t="shared" si="15"/>
        <v>3.9244492185854504E-2</v>
      </c>
      <c r="AT54" s="10">
        <f t="shared" si="16"/>
        <v>0</v>
      </c>
      <c r="AU54" s="10">
        <f t="shared" si="17"/>
        <v>0</v>
      </c>
      <c r="AV54" s="12">
        <v>12739</v>
      </c>
      <c r="AW54" s="13">
        <v>1</v>
      </c>
      <c r="AX54" s="13">
        <v>0</v>
      </c>
      <c r="AY54" s="8"/>
      <c r="AZ54" s="8"/>
      <c r="BA54" s="8"/>
      <c r="BB54" s="8"/>
      <c r="BC54" s="38">
        <f t="shared" si="18"/>
        <v>0.37068841286122389</v>
      </c>
      <c r="BD54" s="38">
        <f t="shared" si="19"/>
        <v>0.23083419992715334</v>
      </c>
      <c r="BE54" s="39">
        <v>0.23019999999999999</v>
      </c>
      <c r="BF54" s="40" t="s">
        <v>10274</v>
      </c>
      <c r="BG54">
        <v>2022</v>
      </c>
    </row>
    <row r="55" spans="1:59" ht="15" customHeight="1" x14ac:dyDescent="0.3">
      <c r="A55" s="8" t="s">
        <v>5124</v>
      </c>
      <c r="B55" s="9"/>
      <c r="C55" s="9">
        <v>6000</v>
      </c>
      <c r="D55" s="9"/>
      <c r="E55" s="9"/>
      <c r="F55" s="9"/>
      <c r="G55" s="9"/>
      <c r="H55" s="9"/>
      <c r="I55" s="9">
        <v>10</v>
      </c>
      <c r="J55" s="9"/>
      <c r="K55" s="9"/>
      <c r="L55" s="9"/>
      <c r="M55" s="9"/>
      <c r="N55" s="9"/>
      <c r="O55" s="9">
        <v>2</v>
      </c>
      <c r="P55" s="9">
        <v>60</v>
      </c>
      <c r="Q55" s="9">
        <v>0</v>
      </c>
      <c r="R55" s="9"/>
      <c r="S55" s="9">
        <v>0</v>
      </c>
      <c r="T55" s="9"/>
      <c r="U55" s="9"/>
      <c r="V55" s="9"/>
      <c r="W55" s="9"/>
      <c r="X55" s="8"/>
      <c r="Y55" s="8"/>
      <c r="Z55" s="8"/>
      <c r="AA55" s="9">
        <v>180478</v>
      </c>
      <c r="AB55" s="10">
        <f t="shared" si="10"/>
        <v>0.59698263743024704</v>
      </c>
      <c r="AC55" s="9">
        <v>121778</v>
      </c>
      <c r="AD55" s="9"/>
      <c r="AE55" s="9"/>
      <c r="AF55" s="9">
        <v>302317</v>
      </c>
      <c r="AG55" s="9">
        <v>57803</v>
      </c>
      <c r="AH55" s="9">
        <v>11149</v>
      </c>
      <c r="AI55" s="9"/>
      <c r="AJ55" s="9"/>
      <c r="AK55" s="9"/>
      <c r="AL55" s="9"/>
      <c r="AM55" s="9"/>
      <c r="AN55" s="9"/>
      <c r="AO55" s="11" t="str">
        <f t="shared" si="11"/>
        <v/>
      </c>
      <c r="AP55" s="11" t="str">
        <f t="shared" si="12"/>
        <v/>
      </c>
      <c r="AQ55" s="11" t="str">
        <f t="shared" si="13"/>
        <v/>
      </c>
      <c r="AR55" s="10">
        <f t="shared" si="14"/>
        <v>0.19119996559902355</v>
      </c>
      <c r="AS55" s="10">
        <f t="shared" si="15"/>
        <v>3.6878508320736178E-2</v>
      </c>
      <c r="AT55" s="10">
        <f t="shared" si="16"/>
        <v>0</v>
      </c>
      <c r="AU55" s="10">
        <f t="shared" si="17"/>
        <v>0</v>
      </c>
      <c r="AV55" s="12">
        <v>10933</v>
      </c>
      <c r="AW55" s="13">
        <v>1</v>
      </c>
      <c r="AX55" s="13">
        <v>0</v>
      </c>
      <c r="AY55" s="8"/>
      <c r="AZ55" s="8"/>
      <c r="BA55" s="8"/>
      <c r="BB55" s="8"/>
      <c r="BC55" s="38">
        <f t="shared" si="18"/>
        <v>0.4746588053671435</v>
      </c>
      <c r="BD55" s="38">
        <f t="shared" si="19"/>
        <v>0.19123855274998677</v>
      </c>
      <c r="BE55" s="39">
        <v>0.19120000000000001</v>
      </c>
      <c r="BF55" s="40" t="s">
        <v>10275</v>
      </c>
      <c r="BG55">
        <v>2023</v>
      </c>
    </row>
    <row r="56" spans="1:59" ht="15" customHeight="1" x14ac:dyDescent="0.3">
      <c r="A56" s="8" t="s">
        <v>5124</v>
      </c>
      <c r="B56" s="9">
        <v>7424.11</v>
      </c>
      <c r="C56" s="9">
        <v>6000</v>
      </c>
      <c r="D56" s="9"/>
      <c r="E56" s="9"/>
      <c r="F56" s="9"/>
      <c r="G56" s="9"/>
      <c r="H56" s="9"/>
      <c r="I56" s="9">
        <v>10</v>
      </c>
      <c r="J56" s="9"/>
      <c r="K56" s="9"/>
      <c r="L56" s="9"/>
      <c r="M56" s="9"/>
      <c r="N56" s="9"/>
      <c r="O56" s="9">
        <v>2</v>
      </c>
      <c r="P56" s="9">
        <v>30</v>
      </c>
      <c r="Q56" s="9">
        <v>1</v>
      </c>
      <c r="R56" s="9">
        <v>2.5</v>
      </c>
      <c r="S56" s="9">
        <v>0</v>
      </c>
      <c r="T56" s="9"/>
      <c r="U56" s="9"/>
      <c r="V56" s="9"/>
      <c r="W56" s="9"/>
      <c r="X56" s="8"/>
      <c r="Y56" s="8"/>
      <c r="Z56" s="8"/>
      <c r="AA56" s="9">
        <v>217660</v>
      </c>
      <c r="AB56" s="10">
        <f t="shared" si="10"/>
        <v>0.68292560484693321</v>
      </c>
      <c r="AC56" s="9">
        <v>100830</v>
      </c>
      <c r="AD56" s="9"/>
      <c r="AE56" s="9"/>
      <c r="AF56" s="9">
        <v>318717</v>
      </c>
      <c r="AG56" s="9">
        <v>69967</v>
      </c>
      <c r="AH56" s="9">
        <v>13667</v>
      </c>
      <c r="AI56" s="9">
        <v>3531</v>
      </c>
      <c r="AJ56" s="9"/>
      <c r="AK56" s="9"/>
      <c r="AL56" s="9"/>
      <c r="AM56" s="9"/>
      <c r="AN56" s="9"/>
      <c r="AO56" s="11" t="str">
        <f t="shared" si="11"/>
        <v/>
      </c>
      <c r="AP56" s="11" t="str">
        <f t="shared" si="12"/>
        <v/>
      </c>
      <c r="AQ56" s="11" t="str">
        <f t="shared" si="13"/>
        <v/>
      </c>
      <c r="AR56" s="10">
        <f t="shared" si="14"/>
        <v>0.21952704123093528</v>
      </c>
      <c r="AS56" s="10">
        <f t="shared" si="15"/>
        <v>4.2881302221092696E-2</v>
      </c>
      <c r="AT56" s="10">
        <f t="shared" si="16"/>
        <v>0.25835955220604373</v>
      </c>
      <c r="AU56" s="10">
        <f t="shared" si="17"/>
        <v>0</v>
      </c>
      <c r="AV56" s="12">
        <v>12932</v>
      </c>
      <c r="AW56" s="13">
        <v>1</v>
      </c>
      <c r="AX56" s="13">
        <v>0</v>
      </c>
      <c r="AY56" s="8"/>
      <c r="AZ56" s="8"/>
      <c r="BA56" s="8"/>
      <c r="BB56" s="8"/>
      <c r="BC56" s="38">
        <f t="shared" si="18"/>
        <v>0.69391054249727269</v>
      </c>
      <c r="BD56" s="38">
        <f t="shared" si="19"/>
        <v>0.21968350654651636</v>
      </c>
      <c r="BE56" s="39">
        <v>0.2195</v>
      </c>
      <c r="BF56" s="40" t="s">
        <v>10276</v>
      </c>
      <c r="BG56">
        <v>2024</v>
      </c>
    </row>
    <row r="57" spans="1:59" ht="15" customHeight="1" x14ac:dyDescent="0.3">
      <c r="A57" s="8" t="s">
        <v>5374</v>
      </c>
      <c r="B57" s="9">
        <v>27265</v>
      </c>
      <c r="C57" s="9">
        <v>26384</v>
      </c>
      <c r="D57" s="9">
        <v>881</v>
      </c>
      <c r="E57" s="9">
        <v>25757</v>
      </c>
      <c r="F57" s="9">
        <v>1508</v>
      </c>
      <c r="G57" s="9"/>
      <c r="H57" s="9"/>
      <c r="I57" s="9"/>
      <c r="J57" s="9"/>
      <c r="K57" s="9"/>
      <c r="L57" s="9">
        <v>27265</v>
      </c>
      <c r="M57" s="9"/>
      <c r="N57" s="9"/>
      <c r="O57" s="9">
        <v>1</v>
      </c>
      <c r="P57" s="9">
        <v>60</v>
      </c>
      <c r="Q57" s="9">
        <v>0</v>
      </c>
      <c r="R57" s="9"/>
      <c r="S57" s="9">
        <v>0</v>
      </c>
      <c r="T57" s="9"/>
      <c r="U57" s="9"/>
      <c r="V57" s="9"/>
      <c r="W57" s="9"/>
      <c r="X57" s="8"/>
      <c r="Y57" s="8"/>
      <c r="Z57" s="8"/>
      <c r="AA57" s="9"/>
      <c r="AB57" s="10">
        <f t="shared" si="10"/>
        <v>0</v>
      </c>
      <c r="AC57" s="9">
        <v>399606</v>
      </c>
      <c r="AD57" s="9"/>
      <c r="AE57" s="9"/>
      <c r="AF57" s="9">
        <v>399606</v>
      </c>
      <c r="AG57" s="9">
        <v>82862</v>
      </c>
      <c r="AH57" s="9">
        <v>15617</v>
      </c>
      <c r="AI57" s="9"/>
      <c r="AJ57" s="9"/>
      <c r="AK57" s="9"/>
      <c r="AL57" s="9"/>
      <c r="AM57" s="9"/>
      <c r="AN57" s="9"/>
      <c r="AO57" s="11">
        <f t="shared" si="11"/>
        <v>15.514462087976085</v>
      </c>
      <c r="AP57" s="11">
        <f t="shared" si="12"/>
        <v>0</v>
      </c>
      <c r="AQ57" s="11">
        <f t="shared" si="13"/>
        <v>3.217067205031642</v>
      </c>
      <c r="AR57" s="10">
        <f t="shared" si="14"/>
        <v>0.20735924886012722</v>
      </c>
      <c r="AS57" s="10">
        <f t="shared" si="15"/>
        <v>3.9080994779858158E-2</v>
      </c>
      <c r="AT57" s="10">
        <f t="shared" si="16"/>
        <v>0</v>
      </c>
      <c r="AU57" s="10">
        <f t="shared" si="17"/>
        <v>0</v>
      </c>
      <c r="AV57" s="12">
        <v>12145</v>
      </c>
      <c r="AW57" s="13">
        <v>1</v>
      </c>
      <c r="AX57" s="13">
        <v>0</v>
      </c>
      <c r="AY57" s="8"/>
      <c r="AZ57" s="8"/>
      <c r="BA57" s="8"/>
      <c r="BB57" s="8"/>
      <c r="BC57" s="38">
        <f t="shared" si="18"/>
        <v>0.20735924886012722</v>
      </c>
      <c r="BD57" s="38">
        <f t="shared" si="19"/>
        <v>0.20735924886012722</v>
      </c>
      <c r="BE57" s="39">
        <v>0.2177</v>
      </c>
      <c r="BF57" s="40" t="s">
        <v>10277</v>
      </c>
      <c r="BG57">
        <v>2022</v>
      </c>
    </row>
    <row r="58" spans="1:59" ht="15" customHeight="1" x14ac:dyDescent="0.3">
      <c r="A58" s="8" t="s">
        <v>5374</v>
      </c>
      <c r="B58" s="9">
        <v>28148</v>
      </c>
      <c r="C58" s="9">
        <v>26767</v>
      </c>
      <c r="D58" s="9">
        <v>1382</v>
      </c>
      <c r="E58" s="9">
        <v>26175</v>
      </c>
      <c r="F58" s="9">
        <v>1972</v>
      </c>
      <c r="G58" s="9"/>
      <c r="H58" s="9"/>
      <c r="I58" s="9"/>
      <c r="J58" s="9"/>
      <c r="K58" s="9"/>
      <c r="L58" s="9">
        <v>28148</v>
      </c>
      <c r="M58" s="9"/>
      <c r="N58" s="9"/>
      <c r="O58" s="9">
        <v>2</v>
      </c>
      <c r="P58" s="9">
        <v>120</v>
      </c>
      <c r="Q58" s="9">
        <v>0</v>
      </c>
      <c r="R58" s="9"/>
      <c r="S58" s="9">
        <v>0</v>
      </c>
      <c r="T58" s="9"/>
      <c r="U58" s="9"/>
      <c r="V58" s="9"/>
      <c r="W58" s="9"/>
      <c r="X58" s="8"/>
      <c r="Y58" s="8"/>
      <c r="Z58" s="8"/>
      <c r="AA58" s="9"/>
      <c r="AB58" s="10">
        <f t="shared" si="10"/>
        <v>0</v>
      </c>
      <c r="AC58" s="9">
        <v>463843</v>
      </c>
      <c r="AD58" s="9"/>
      <c r="AE58" s="9"/>
      <c r="AF58" s="9">
        <v>463843</v>
      </c>
      <c r="AG58" s="9">
        <v>91285</v>
      </c>
      <c r="AH58" s="9">
        <v>18926</v>
      </c>
      <c r="AI58" s="9"/>
      <c r="AJ58" s="9"/>
      <c r="AK58" s="9"/>
      <c r="AL58" s="9"/>
      <c r="AM58" s="9"/>
      <c r="AN58" s="9"/>
      <c r="AO58" s="11">
        <f t="shared" si="11"/>
        <v>17.720840496657114</v>
      </c>
      <c r="AP58" s="11">
        <f t="shared" si="12"/>
        <v>0</v>
      </c>
      <c r="AQ58" s="11">
        <f t="shared" si="13"/>
        <v>3.4874880611270296</v>
      </c>
      <c r="AR58" s="10">
        <f t="shared" si="14"/>
        <v>0.19680150395715792</v>
      </c>
      <c r="AS58" s="10">
        <f t="shared" si="15"/>
        <v>4.0802599155317643E-2</v>
      </c>
      <c r="AT58" s="10">
        <f t="shared" si="16"/>
        <v>0</v>
      </c>
      <c r="AU58" s="10">
        <f t="shared" si="17"/>
        <v>0</v>
      </c>
      <c r="AV58" s="12">
        <v>10796</v>
      </c>
      <c r="AW58" s="13">
        <v>1</v>
      </c>
      <c r="AX58" s="13">
        <v>0</v>
      </c>
      <c r="AY58" s="8"/>
      <c r="AZ58" s="8"/>
      <c r="BA58" s="8"/>
      <c r="BB58" s="8"/>
      <c r="BC58" s="38">
        <f t="shared" si="18"/>
        <v>0.19680150395715792</v>
      </c>
      <c r="BD58" s="38">
        <f t="shared" si="19"/>
        <v>0.19680150395715792</v>
      </c>
      <c r="BE58" s="39">
        <v>0.21690000000000001</v>
      </c>
      <c r="BF58" s="40" t="s">
        <v>10278</v>
      </c>
      <c r="BG58">
        <v>2023</v>
      </c>
    </row>
    <row r="59" spans="1:59" ht="15" customHeight="1" x14ac:dyDescent="0.3">
      <c r="A59" s="8" t="s">
        <v>5374</v>
      </c>
      <c r="B59" s="9">
        <v>29125</v>
      </c>
      <c r="C59" s="9">
        <v>27384</v>
      </c>
      <c r="D59" s="9">
        <v>1741</v>
      </c>
      <c r="E59" s="9">
        <v>26725</v>
      </c>
      <c r="F59" s="9">
        <v>2400</v>
      </c>
      <c r="G59" s="9"/>
      <c r="H59" s="9"/>
      <c r="I59" s="9">
        <v>9.8000000000000007</v>
      </c>
      <c r="J59" s="9"/>
      <c r="K59" s="9"/>
      <c r="L59" s="9">
        <v>29125</v>
      </c>
      <c r="M59" s="9"/>
      <c r="N59" s="9"/>
      <c r="O59" s="9">
        <v>2</v>
      </c>
      <c r="P59" s="9">
        <v>120</v>
      </c>
      <c r="Q59" s="9">
        <v>0</v>
      </c>
      <c r="R59" s="9"/>
      <c r="S59" s="9">
        <v>0</v>
      </c>
      <c r="T59" s="9"/>
      <c r="U59" s="9"/>
      <c r="V59" s="9"/>
      <c r="W59" s="9"/>
      <c r="X59" s="8"/>
      <c r="Y59" s="8"/>
      <c r="Z59" s="8"/>
      <c r="AA59" s="9"/>
      <c r="AB59" s="10">
        <f t="shared" si="10"/>
        <v>0</v>
      </c>
      <c r="AC59" s="9">
        <v>477288</v>
      </c>
      <c r="AD59" s="9"/>
      <c r="AE59" s="9"/>
      <c r="AF59" s="9">
        <v>477288</v>
      </c>
      <c r="AG59" s="9">
        <v>105570</v>
      </c>
      <c r="AH59" s="9">
        <v>21062</v>
      </c>
      <c r="AI59" s="9"/>
      <c r="AJ59" s="9"/>
      <c r="AK59" s="9"/>
      <c r="AL59" s="9"/>
      <c r="AM59" s="9"/>
      <c r="AN59" s="9"/>
      <c r="AO59" s="11">
        <f t="shared" si="11"/>
        <v>17.859232927970066</v>
      </c>
      <c r="AP59" s="11">
        <f t="shared" si="12"/>
        <v>0</v>
      </c>
      <c r="AQ59" s="11">
        <f t="shared" si="13"/>
        <v>3.9502338634237604</v>
      </c>
      <c r="AR59" s="10">
        <f t="shared" si="14"/>
        <v>0.22118720772363856</v>
      </c>
      <c r="AS59" s="10">
        <f t="shared" si="15"/>
        <v>4.4128492650139954E-2</v>
      </c>
      <c r="AT59" s="10">
        <f t="shared" si="16"/>
        <v>0</v>
      </c>
      <c r="AU59" s="10">
        <f t="shared" si="17"/>
        <v>0</v>
      </c>
      <c r="AV59" s="12">
        <v>12802</v>
      </c>
      <c r="AW59" s="13">
        <v>1</v>
      </c>
      <c r="AX59" s="13">
        <v>0</v>
      </c>
      <c r="AY59" s="8"/>
      <c r="AZ59" s="8"/>
      <c r="BA59" s="8"/>
      <c r="BB59" s="8"/>
      <c r="BC59" s="38">
        <f t="shared" si="18"/>
        <v>0.22118720772363856</v>
      </c>
      <c r="BD59" s="38">
        <f t="shared" si="19"/>
        <v>0.22118720772363856</v>
      </c>
      <c r="BE59" s="39">
        <v>0.21199999999999999</v>
      </c>
      <c r="BF59" s="40" t="s">
        <v>10279</v>
      </c>
      <c r="BG59">
        <v>2024</v>
      </c>
    </row>
    <row r="60" spans="1:59" ht="15" customHeight="1" x14ac:dyDescent="0.3">
      <c r="A60" s="8" t="s">
        <v>5641</v>
      </c>
      <c r="B60" s="9"/>
      <c r="C60" s="9"/>
      <c r="D60" s="9"/>
      <c r="E60" s="9"/>
      <c r="F60" s="9"/>
      <c r="G60" s="9"/>
      <c r="H60" s="9"/>
      <c r="I60" s="9"/>
      <c r="J60" s="9"/>
      <c r="K60" s="9"/>
      <c r="L60" s="9"/>
      <c r="M60" s="9"/>
      <c r="N60" s="9"/>
      <c r="O60" s="9">
        <v>1</v>
      </c>
      <c r="P60" s="9"/>
      <c r="Q60" s="9"/>
      <c r="R60" s="9"/>
      <c r="S60" s="9"/>
      <c r="T60" s="9"/>
      <c r="U60" s="9"/>
      <c r="V60" s="9"/>
      <c r="W60" s="9"/>
      <c r="X60" s="8"/>
      <c r="Y60" s="8"/>
      <c r="Z60" s="8"/>
      <c r="AA60" s="9"/>
      <c r="AB60" s="10" t="str">
        <f t="shared" si="10"/>
        <v/>
      </c>
      <c r="AC60" s="9"/>
      <c r="AD60" s="9"/>
      <c r="AE60" s="9"/>
      <c r="AF60" s="9"/>
      <c r="AG60" s="9"/>
      <c r="AH60" s="9"/>
      <c r="AI60" s="9"/>
      <c r="AJ60" s="9"/>
      <c r="AK60" s="9"/>
      <c r="AL60" s="9"/>
      <c r="AM60" s="9"/>
      <c r="AN60" s="9"/>
      <c r="AO60" s="11" t="str">
        <f t="shared" si="11"/>
        <v/>
      </c>
      <c r="AP60" s="11" t="str">
        <f t="shared" si="12"/>
        <v/>
      </c>
      <c r="AQ60" s="11" t="str">
        <f t="shared" si="13"/>
        <v/>
      </c>
      <c r="AR60" s="10" t="str">
        <f t="shared" si="14"/>
        <v/>
      </c>
      <c r="AS60" s="10" t="str">
        <f t="shared" si="15"/>
        <v/>
      </c>
      <c r="AT60" s="10" t="str">
        <f t="shared" si="16"/>
        <v/>
      </c>
      <c r="AU60" s="10" t="str">
        <f t="shared" si="17"/>
        <v/>
      </c>
      <c r="AV60" s="12"/>
      <c r="AW60" s="13">
        <v>0.36199999999999999</v>
      </c>
      <c r="AX60" s="13">
        <v>0.63800000000000001</v>
      </c>
      <c r="AY60" s="8"/>
      <c r="AZ60" s="8"/>
      <c r="BA60" s="8"/>
      <c r="BB60" s="8"/>
      <c r="BC60" s="38" t="str">
        <f t="shared" si="18"/>
        <v/>
      </c>
      <c r="BD60" s="38" t="str">
        <f t="shared" si="19"/>
        <v/>
      </c>
      <c r="BE60" s="39"/>
      <c r="BF60" s="40"/>
      <c r="BG60">
        <v>2022</v>
      </c>
    </row>
    <row r="61" spans="1:59" ht="15" customHeight="1" x14ac:dyDescent="0.3">
      <c r="A61" s="8" t="s">
        <v>5641</v>
      </c>
      <c r="B61" s="9"/>
      <c r="C61" s="9"/>
      <c r="D61" s="9"/>
      <c r="E61" s="9"/>
      <c r="F61" s="9"/>
      <c r="G61" s="9"/>
      <c r="H61" s="9"/>
      <c r="I61" s="9"/>
      <c r="J61" s="9"/>
      <c r="K61" s="9"/>
      <c r="L61" s="9"/>
      <c r="M61" s="9"/>
      <c r="N61" s="9"/>
      <c r="O61" s="9">
        <v>1</v>
      </c>
      <c r="P61" s="9"/>
      <c r="Q61" s="9"/>
      <c r="R61" s="9"/>
      <c r="S61" s="9"/>
      <c r="T61" s="9"/>
      <c r="U61" s="9"/>
      <c r="V61" s="9"/>
      <c r="W61" s="9"/>
      <c r="X61" s="8"/>
      <c r="Y61" s="8"/>
      <c r="Z61" s="8"/>
      <c r="AA61" s="9"/>
      <c r="AB61" s="10" t="str">
        <f t="shared" si="10"/>
        <v/>
      </c>
      <c r="AC61" s="9"/>
      <c r="AD61" s="9"/>
      <c r="AE61" s="9"/>
      <c r="AF61" s="9"/>
      <c r="AG61" s="9"/>
      <c r="AH61" s="9"/>
      <c r="AI61" s="9"/>
      <c r="AJ61" s="9"/>
      <c r="AK61" s="9"/>
      <c r="AL61" s="9"/>
      <c r="AM61" s="9"/>
      <c r="AN61" s="9"/>
      <c r="AO61" s="11" t="str">
        <f t="shared" si="11"/>
        <v/>
      </c>
      <c r="AP61" s="11" t="str">
        <f t="shared" si="12"/>
        <v/>
      </c>
      <c r="AQ61" s="11" t="str">
        <f t="shared" si="13"/>
        <v/>
      </c>
      <c r="AR61" s="10" t="str">
        <f t="shared" si="14"/>
        <v/>
      </c>
      <c r="AS61" s="10" t="str">
        <f t="shared" si="15"/>
        <v/>
      </c>
      <c r="AT61" s="10" t="str">
        <f t="shared" si="16"/>
        <v/>
      </c>
      <c r="AU61" s="10" t="str">
        <f t="shared" si="17"/>
        <v/>
      </c>
      <c r="AV61" s="12"/>
      <c r="AW61" s="13">
        <v>0.497</v>
      </c>
      <c r="AX61" s="13">
        <v>0.503</v>
      </c>
      <c r="AY61" s="8"/>
      <c r="AZ61" s="8"/>
      <c r="BA61" s="8"/>
      <c r="BB61" s="8"/>
      <c r="BC61" s="38" t="str">
        <f t="shared" si="18"/>
        <v/>
      </c>
      <c r="BD61" s="38" t="str">
        <f t="shared" si="19"/>
        <v/>
      </c>
      <c r="BE61" s="39"/>
      <c r="BF61" s="40"/>
      <c r="BG61">
        <v>2023</v>
      </c>
    </row>
    <row r="62" spans="1:59" ht="15" customHeight="1" x14ac:dyDescent="0.3">
      <c r="A62" s="8" t="s">
        <v>5641</v>
      </c>
      <c r="B62" s="9"/>
      <c r="C62" s="9"/>
      <c r="D62" s="9"/>
      <c r="E62" s="9"/>
      <c r="F62" s="9"/>
      <c r="G62" s="9"/>
      <c r="H62" s="9"/>
      <c r="I62" s="9"/>
      <c r="J62" s="9"/>
      <c r="K62" s="9"/>
      <c r="L62" s="9"/>
      <c r="M62" s="9"/>
      <c r="N62" s="9"/>
      <c r="O62" s="9">
        <v>1</v>
      </c>
      <c r="P62" s="9"/>
      <c r="Q62" s="9"/>
      <c r="R62" s="9"/>
      <c r="S62" s="9"/>
      <c r="T62" s="9"/>
      <c r="U62" s="9"/>
      <c r="V62" s="9"/>
      <c r="W62" s="9"/>
      <c r="X62" s="8"/>
      <c r="Y62" s="8"/>
      <c r="Z62" s="8"/>
      <c r="AA62" s="9"/>
      <c r="AB62" s="10" t="str">
        <f t="shared" si="10"/>
        <v/>
      </c>
      <c r="AC62" s="9"/>
      <c r="AD62" s="9"/>
      <c r="AE62" s="9"/>
      <c r="AF62" s="9"/>
      <c r="AG62" s="9"/>
      <c r="AH62" s="9"/>
      <c r="AI62" s="9"/>
      <c r="AJ62" s="9"/>
      <c r="AK62" s="9"/>
      <c r="AL62" s="9"/>
      <c r="AM62" s="9"/>
      <c r="AN62" s="9"/>
      <c r="AO62" s="11" t="str">
        <f t="shared" si="11"/>
        <v/>
      </c>
      <c r="AP62" s="11" t="str">
        <f t="shared" si="12"/>
        <v/>
      </c>
      <c r="AQ62" s="11" t="str">
        <f t="shared" si="13"/>
        <v/>
      </c>
      <c r="AR62" s="10" t="str">
        <f t="shared" si="14"/>
        <v/>
      </c>
      <c r="AS62" s="10" t="str">
        <f t="shared" si="15"/>
        <v/>
      </c>
      <c r="AT62" s="10" t="str">
        <f t="shared" si="16"/>
        <v/>
      </c>
      <c r="AU62" s="10" t="str">
        <f t="shared" si="17"/>
        <v/>
      </c>
      <c r="AV62" s="12"/>
      <c r="AW62" s="13">
        <v>0.48699999999999999</v>
      </c>
      <c r="AX62" s="13">
        <v>0.51300000000000001</v>
      </c>
      <c r="AY62" s="8"/>
      <c r="AZ62" s="8"/>
      <c r="BA62" s="8"/>
      <c r="BB62" s="8"/>
      <c r="BC62" s="38" t="str">
        <f t="shared" si="18"/>
        <v/>
      </c>
      <c r="BD62" s="38" t="str">
        <f t="shared" si="19"/>
        <v/>
      </c>
      <c r="BE62" s="39"/>
      <c r="BF62" s="40"/>
      <c r="BG62">
        <v>2024</v>
      </c>
    </row>
    <row r="63" spans="1:59" ht="15" customHeight="1" x14ac:dyDescent="0.3">
      <c r="A63" s="8" t="s">
        <v>5876</v>
      </c>
      <c r="B63" s="9">
        <v>20267</v>
      </c>
      <c r="C63" s="9">
        <v>16877.18</v>
      </c>
      <c r="D63" s="9">
        <v>3194.15</v>
      </c>
      <c r="E63" s="9">
        <v>12396.52</v>
      </c>
      <c r="F63" s="9">
        <v>4480.66</v>
      </c>
      <c r="G63" s="9"/>
      <c r="H63" s="9"/>
      <c r="I63" s="9"/>
      <c r="J63" s="9"/>
      <c r="K63" s="9"/>
      <c r="L63" s="9">
        <v>20267</v>
      </c>
      <c r="M63" s="9"/>
      <c r="N63" s="9"/>
      <c r="O63" s="9">
        <v>1</v>
      </c>
      <c r="P63" s="9">
        <v>60</v>
      </c>
      <c r="Q63" s="9">
        <v>0</v>
      </c>
      <c r="R63" s="9"/>
      <c r="S63" s="9">
        <v>0</v>
      </c>
      <c r="T63" s="9"/>
      <c r="U63" s="9"/>
      <c r="V63" s="9"/>
      <c r="W63" s="9"/>
      <c r="X63" s="8"/>
      <c r="Y63" s="8"/>
      <c r="Z63" s="8"/>
      <c r="AA63" s="9"/>
      <c r="AB63" s="10" t="str">
        <f t="shared" si="10"/>
        <v/>
      </c>
      <c r="AC63" s="9">
        <v>243726</v>
      </c>
      <c r="AD63" s="9"/>
      <c r="AE63" s="9"/>
      <c r="AF63" s="9"/>
      <c r="AG63" s="9">
        <v>72118</v>
      </c>
      <c r="AH63" s="9">
        <v>12856</v>
      </c>
      <c r="AI63" s="9"/>
      <c r="AJ63" s="9"/>
      <c r="AK63" s="9"/>
      <c r="AL63" s="9"/>
      <c r="AM63" s="9"/>
      <c r="AN63" s="9"/>
      <c r="AO63" s="11">
        <f t="shared" si="11"/>
        <v>19.660840300342354</v>
      </c>
      <c r="AP63" s="11">
        <f t="shared" si="12"/>
        <v>0</v>
      </c>
      <c r="AQ63" s="11">
        <f t="shared" si="13"/>
        <v>5.8176004233446159</v>
      </c>
      <c r="AR63" s="10" t="str">
        <f t="shared" si="14"/>
        <v/>
      </c>
      <c r="AS63" s="10" t="str">
        <f t="shared" si="15"/>
        <v/>
      </c>
      <c r="AT63" s="10">
        <f t="shared" si="16"/>
        <v>0</v>
      </c>
      <c r="AU63" s="10">
        <f t="shared" si="17"/>
        <v>0</v>
      </c>
      <c r="AV63" s="12">
        <v>12732</v>
      </c>
      <c r="AW63" s="13">
        <v>1</v>
      </c>
      <c r="AX63" s="13">
        <v>0</v>
      </c>
      <c r="AY63" s="8"/>
      <c r="AZ63" s="8"/>
      <c r="BA63" s="8"/>
      <c r="BB63" s="8"/>
      <c r="BC63" s="38">
        <f t="shared" si="18"/>
        <v>0.29589785250650319</v>
      </c>
      <c r="BD63" s="38">
        <f t="shared" si="19"/>
        <v>0.29589785250650319</v>
      </c>
      <c r="BE63" s="39"/>
      <c r="BF63" s="40"/>
      <c r="BG63">
        <v>2022</v>
      </c>
    </row>
    <row r="64" spans="1:59" ht="15" customHeight="1" x14ac:dyDescent="0.3">
      <c r="A64" s="8" t="s">
        <v>5876</v>
      </c>
      <c r="B64" s="9">
        <v>26945.33</v>
      </c>
      <c r="C64" s="9">
        <v>23366.63</v>
      </c>
      <c r="D64" s="9">
        <v>3578.7</v>
      </c>
      <c r="E64" s="9">
        <v>19417</v>
      </c>
      <c r="F64" s="9">
        <v>3336.21</v>
      </c>
      <c r="G64" s="9"/>
      <c r="H64" s="9"/>
      <c r="I64" s="9"/>
      <c r="J64" s="9"/>
      <c r="K64" s="9"/>
      <c r="L64" s="9">
        <v>20267</v>
      </c>
      <c r="M64" s="9"/>
      <c r="N64" s="9"/>
      <c r="O64" s="9">
        <v>1</v>
      </c>
      <c r="P64" s="9">
        <v>90</v>
      </c>
      <c r="Q64" s="9">
        <v>0</v>
      </c>
      <c r="R64" s="9"/>
      <c r="S64" s="9">
        <v>0</v>
      </c>
      <c r="T64" s="9"/>
      <c r="U64" s="9"/>
      <c r="V64" s="9"/>
      <c r="W64" s="9"/>
      <c r="X64" s="8"/>
      <c r="Y64" s="8"/>
      <c r="Z64" s="8"/>
      <c r="AA64" s="9"/>
      <c r="AB64" s="10" t="str">
        <f t="shared" si="10"/>
        <v/>
      </c>
      <c r="AC64" s="9">
        <v>306497</v>
      </c>
      <c r="AD64" s="9"/>
      <c r="AE64" s="9"/>
      <c r="AF64" s="9"/>
      <c r="AG64" s="9">
        <v>71957</v>
      </c>
      <c r="AH64" s="9">
        <v>13998</v>
      </c>
      <c r="AI64" s="9"/>
      <c r="AJ64" s="9"/>
      <c r="AK64" s="9"/>
      <c r="AL64" s="9"/>
      <c r="AM64" s="9"/>
      <c r="AN64" s="9"/>
      <c r="AO64" s="11">
        <f t="shared" si="11"/>
        <v>15.784982232064685</v>
      </c>
      <c r="AP64" s="11">
        <f t="shared" si="12"/>
        <v>0</v>
      </c>
      <c r="AQ64" s="11">
        <f t="shared" si="13"/>
        <v>3.7058762939692023</v>
      </c>
      <c r="AR64" s="10" t="str">
        <f t="shared" si="14"/>
        <v/>
      </c>
      <c r="AS64" s="10" t="str">
        <f t="shared" si="15"/>
        <v/>
      </c>
      <c r="AT64" s="10">
        <f t="shared" si="16"/>
        <v>0</v>
      </c>
      <c r="AU64" s="10">
        <f t="shared" si="17"/>
        <v>0</v>
      </c>
      <c r="AV64" s="12">
        <v>10900</v>
      </c>
      <c r="AW64" s="13">
        <v>1</v>
      </c>
      <c r="AX64" s="13">
        <v>0</v>
      </c>
      <c r="AY64" s="8"/>
      <c r="AZ64" s="8"/>
      <c r="BA64" s="8"/>
      <c r="BB64" s="8"/>
      <c r="BC64" s="38">
        <f t="shared" si="18"/>
        <v>0.23477228162102728</v>
      </c>
      <c r="BD64" s="38">
        <f t="shared" si="19"/>
        <v>0.23477228162102728</v>
      </c>
      <c r="BE64" s="39"/>
      <c r="BF64" s="40"/>
      <c r="BG64">
        <v>2023</v>
      </c>
    </row>
    <row r="65" spans="1:59" ht="15" customHeight="1" x14ac:dyDescent="0.3">
      <c r="A65" s="8" t="s">
        <v>5876</v>
      </c>
      <c r="B65" s="9">
        <v>26620.92</v>
      </c>
      <c r="C65" s="9">
        <v>22782</v>
      </c>
      <c r="D65" s="9">
        <v>3839</v>
      </c>
      <c r="E65" s="9">
        <v>19491</v>
      </c>
      <c r="F65" s="9">
        <v>3291</v>
      </c>
      <c r="G65" s="9"/>
      <c r="H65" s="9"/>
      <c r="I65" s="9"/>
      <c r="J65" s="9">
        <v>856</v>
      </c>
      <c r="K65" s="9"/>
      <c r="L65" s="9">
        <v>22782</v>
      </c>
      <c r="M65" s="9"/>
      <c r="N65" s="9"/>
      <c r="O65" s="9">
        <v>1</v>
      </c>
      <c r="P65" s="9">
        <v>90</v>
      </c>
      <c r="Q65" s="9">
        <v>0</v>
      </c>
      <c r="R65" s="9"/>
      <c r="S65" s="9">
        <v>0</v>
      </c>
      <c r="T65" s="9"/>
      <c r="U65" s="9"/>
      <c r="V65" s="9"/>
      <c r="W65" s="9"/>
      <c r="X65" s="8"/>
      <c r="Y65" s="8"/>
      <c r="Z65" s="8"/>
      <c r="AA65" s="9"/>
      <c r="AB65" s="10" t="str">
        <f t="shared" si="10"/>
        <v/>
      </c>
      <c r="AC65" s="9">
        <v>223235</v>
      </c>
      <c r="AD65" s="9"/>
      <c r="AE65" s="9"/>
      <c r="AF65" s="9"/>
      <c r="AG65" s="9">
        <v>53108</v>
      </c>
      <c r="AH65" s="9">
        <v>9262</v>
      </c>
      <c r="AI65" s="9"/>
      <c r="AJ65" s="9"/>
      <c r="AK65" s="9"/>
      <c r="AL65" s="9"/>
      <c r="AM65" s="9"/>
      <c r="AN65" s="9"/>
      <c r="AO65" s="11">
        <f t="shared" si="11"/>
        <v>11.453234826330101</v>
      </c>
      <c r="AP65" s="11">
        <f t="shared" si="12"/>
        <v>0</v>
      </c>
      <c r="AQ65" s="11">
        <f t="shared" si="13"/>
        <v>2.7247447539890204</v>
      </c>
      <c r="AR65" s="10" t="str">
        <f t="shared" si="14"/>
        <v/>
      </c>
      <c r="AS65" s="10" t="str">
        <f t="shared" si="15"/>
        <v/>
      </c>
      <c r="AT65" s="10">
        <f t="shared" si="16"/>
        <v>0</v>
      </c>
      <c r="AU65" s="10">
        <f t="shared" si="17"/>
        <v>0</v>
      </c>
      <c r="AV65" s="12"/>
      <c r="AW65" s="13">
        <v>1</v>
      </c>
      <c r="AX65" s="13">
        <v>0</v>
      </c>
      <c r="AY65" s="8"/>
      <c r="AZ65" s="8"/>
      <c r="BA65" s="8"/>
      <c r="BB65" s="8"/>
      <c r="BC65" s="38">
        <f t="shared" si="18"/>
        <v>0.23790176271641991</v>
      </c>
      <c r="BD65" s="38">
        <f t="shared" si="19"/>
        <v>0.23790176271641991</v>
      </c>
      <c r="BE65" s="39"/>
      <c r="BF65" s="40"/>
      <c r="BG65">
        <v>2024</v>
      </c>
    </row>
    <row r="66" spans="1:59" ht="15" customHeight="1" x14ac:dyDescent="0.3">
      <c r="A66" s="8" t="s">
        <v>6131</v>
      </c>
      <c r="B66" s="9">
        <v>13324</v>
      </c>
      <c r="C66" s="9">
        <v>13324</v>
      </c>
      <c r="D66" s="9"/>
      <c r="E66" s="9">
        <v>10649</v>
      </c>
      <c r="F66" s="9">
        <v>2675</v>
      </c>
      <c r="G66" s="9"/>
      <c r="H66" s="9"/>
      <c r="I66" s="9">
        <v>14</v>
      </c>
      <c r="J66" s="9"/>
      <c r="K66" s="9">
        <v>13324</v>
      </c>
      <c r="L66" s="9"/>
      <c r="M66" s="9"/>
      <c r="N66" s="9"/>
      <c r="O66" s="9">
        <v>1</v>
      </c>
      <c r="P66" s="9">
        <v>120</v>
      </c>
      <c r="Q66" s="9">
        <v>0</v>
      </c>
      <c r="R66" s="9"/>
      <c r="S66" s="9">
        <v>0</v>
      </c>
      <c r="T66" s="9"/>
      <c r="U66" s="9"/>
      <c r="V66" s="9"/>
      <c r="W66" s="9"/>
      <c r="X66" s="8"/>
      <c r="Y66" s="8"/>
      <c r="Z66" s="8"/>
      <c r="AA66" s="9">
        <v>279009</v>
      </c>
      <c r="AB66" s="10">
        <f t="shared" ref="AB66:AB97" si="20">IFERROR(AA66/AF66,"")</f>
        <v>0.60490411820182333</v>
      </c>
      <c r="AC66" s="9">
        <v>162559</v>
      </c>
      <c r="AD66" s="9">
        <v>162559</v>
      </c>
      <c r="AE66" s="9">
        <v>19677</v>
      </c>
      <c r="AF66" s="9">
        <v>461245</v>
      </c>
      <c r="AG66" s="9">
        <v>100914</v>
      </c>
      <c r="AH66" s="9">
        <v>20749</v>
      </c>
      <c r="AI66" s="9"/>
      <c r="AJ66" s="9"/>
      <c r="AK66" s="9"/>
      <c r="AL66" s="9"/>
      <c r="AM66" s="9"/>
      <c r="AN66" s="9"/>
      <c r="AO66" s="11">
        <f t="shared" ref="AO66:AO97" si="21">IFERROR(AC66/E66,"")</f>
        <v>15.265189219645038</v>
      </c>
      <c r="AP66" s="11">
        <f t="shared" ref="AP66:AP97" si="22">IFERROR(AD66/E66,"")</f>
        <v>15.265189219645038</v>
      </c>
      <c r="AQ66" s="11">
        <f t="shared" ref="AQ66:AQ97" si="23">IFERROR(AG66/E66,"")</f>
        <v>9.4763827589445011</v>
      </c>
      <c r="AR66" s="10">
        <f t="shared" ref="AR66:AR97" si="24">IFERROR(AG66/AF66,"")</f>
        <v>0.21878611150256372</v>
      </c>
      <c r="AS66" s="10">
        <f t="shared" ref="AS66:AS97" si="25">IFERROR(AH66/AF66,"")</f>
        <v>4.498476948259602E-2</v>
      </c>
      <c r="AT66" s="10">
        <f t="shared" ref="AT66:AT97" si="26">IFERROR(AI66/AH66,"")</f>
        <v>0</v>
      </c>
      <c r="AU66" s="10">
        <f t="shared" ref="AU66:AU97" si="27">IFERROR(AN66/AH66,"")</f>
        <v>0</v>
      </c>
      <c r="AV66" s="12">
        <v>12108</v>
      </c>
      <c r="AW66" s="13"/>
      <c r="AX66" s="13"/>
      <c r="AY66" s="8"/>
      <c r="AZ66" s="8"/>
      <c r="BA66" s="8"/>
      <c r="BB66" s="8"/>
      <c r="BC66" s="38">
        <f t="shared" ref="BC66:BC97" si="28">IFERROR(AG66/AC66,"")</f>
        <v>0.62078383848325835</v>
      </c>
      <c r="BD66" s="38">
        <f t="shared" ref="BD66:BD97" si="29">IFERROR(AG66/(AC66+AA66),"")</f>
        <v>0.22853558228857163</v>
      </c>
      <c r="BE66" s="39"/>
      <c r="BF66" s="40"/>
      <c r="BG66">
        <v>2022</v>
      </c>
    </row>
    <row r="67" spans="1:59" ht="15" customHeight="1" x14ac:dyDescent="0.3">
      <c r="A67" s="8" t="s">
        <v>6131</v>
      </c>
      <c r="B67" s="9">
        <v>13834</v>
      </c>
      <c r="C67" s="9">
        <v>13834</v>
      </c>
      <c r="D67" s="9"/>
      <c r="E67" s="9">
        <v>11183</v>
      </c>
      <c r="F67" s="9">
        <v>2651</v>
      </c>
      <c r="G67" s="9"/>
      <c r="H67" s="9"/>
      <c r="I67" s="9"/>
      <c r="J67" s="9"/>
      <c r="K67" s="9">
        <v>13834</v>
      </c>
      <c r="L67" s="9"/>
      <c r="M67" s="9"/>
      <c r="N67" s="9"/>
      <c r="O67" s="9">
        <v>1</v>
      </c>
      <c r="P67" s="9">
        <v>120</v>
      </c>
      <c r="Q67" s="9">
        <v>0</v>
      </c>
      <c r="R67" s="9"/>
      <c r="S67" s="9">
        <v>0</v>
      </c>
      <c r="T67" s="9"/>
      <c r="U67" s="9"/>
      <c r="V67" s="9"/>
      <c r="W67" s="9"/>
      <c r="X67" s="8"/>
      <c r="Y67" s="8"/>
      <c r="Z67" s="8"/>
      <c r="AA67" s="9">
        <v>227544</v>
      </c>
      <c r="AB67" s="10">
        <f t="shared" si="20"/>
        <v>0.51900443406382857</v>
      </c>
      <c r="AC67" s="9">
        <v>179913</v>
      </c>
      <c r="AD67" s="9">
        <v>179913</v>
      </c>
      <c r="AE67" s="9">
        <v>30967</v>
      </c>
      <c r="AF67" s="9">
        <v>438424</v>
      </c>
      <c r="AG67" s="9">
        <v>99766</v>
      </c>
      <c r="AH67" s="9">
        <v>19947</v>
      </c>
      <c r="AI67" s="9"/>
      <c r="AJ67" s="9"/>
      <c r="AK67" s="9"/>
      <c r="AL67" s="9"/>
      <c r="AM67" s="9"/>
      <c r="AN67" s="9"/>
      <c r="AO67" s="11">
        <f t="shared" si="21"/>
        <v>16.088080121613164</v>
      </c>
      <c r="AP67" s="11">
        <f t="shared" si="22"/>
        <v>16.088080121613164</v>
      </c>
      <c r="AQ67" s="11">
        <f t="shared" si="23"/>
        <v>8.9212197084860954</v>
      </c>
      <c r="AR67" s="10">
        <f t="shared" si="24"/>
        <v>0.22755597321314527</v>
      </c>
      <c r="AS67" s="10">
        <f t="shared" si="25"/>
        <v>4.5497053081035708E-2</v>
      </c>
      <c r="AT67" s="10">
        <f t="shared" si="26"/>
        <v>0</v>
      </c>
      <c r="AU67" s="10">
        <f t="shared" si="27"/>
        <v>0</v>
      </c>
      <c r="AV67" s="12">
        <v>11096</v>
      </c>
      <c r="AW67" s="13"/>
      <c r="AX67" s="13"/>
      <c r="AY67" s="8"/>
      <c r="AZ67" s="8"/>
      <c r="BA67" s="8"/>
      <c r="BB67" s="8"/>
      <c r="BC67" s="38">
        <f t="shared" si="28"/>
        <v>0.55452357528360929</v>
      </c>
      <c r="BD67" s="38">
        <f t="shared" si="29"/>
        <v>0.24485037684958166</v>
      </c>
      <c r="BE67" s="39"/>
      <c r="BF67" s="40"/>
      <c r="BG67">
        <v>2023</v>
      </c>
    </row>
    <row r="68" spans="1:59" ht="15" customHeight="1" x14ac:dyDescent="0.3">
      <c r="A68" s="8" t="s">
        <v>6131</v>
      </c>
      <c r="B68" s="9">
        <v>15232</v>
      </c>
      <c r="C68" s="9">
        <v>15232</v>
      </c>
      <c r="D68" s="9"/>
      <c r="E68" s="9">
        <v>11485</v>
      </c>
      <c r="F68" s="9">
        <v>3747</v>
      </c>
      <c r="G68" s="9"/>
      <c r="H68" s="9"/>
      <c r="I68" s="9"/>
      <c r="J68" s="9"/>
      <c r="K68" s="9">
        <v>15232</v>
      </c>
      <c r="L68" s="9"/>
      <c r="M68" s="9"/>
      <c r="N68" s="9"/>
      <c r="O68" s="9">
        <v>1</v>
      </c>
      <c r="P68" s="9">
        <v>120</v>
      </c>
      <c r="Q68" s="9">
        <v>0</v>
      </c>
      <c r="R68" s="9"/>
      <c r="S68" s="9">
        <v>0</v>
      </c>
      <c r="T68" s="9"/>
      <c r="U68" s="9"/>
      <c r="V68" s="9"/>
      <c r="W68" s="9"/>
      <c r="X68" s="8"/>
      <c r="Y68" s="8"/>
      <c r="Z68" s="8"/>
      <c r="AA68" s="9">
        <v>225533</v>
      </c>
      <c r="AB68" s="10">
        <f t="shared" si="20"/>
        <v>0.53063716551810136</v>
      </c>
      <c r="AC68" s="9">
        <v>155246</v>
      </c>
      <c r="AD68" s="9">
        <v>155246</v>
      </c>
      <c r="AE68" s="9">
        <v>44550</v>
      </c>
      <c r="AF68" s="9">
        <v>425023</v>
      </c>
      <c r="AG68" s="9">
        <v>95507</v>
      </c>
      <c r="AH68" s="9">
        <v>19025</v>
      </c>
      <c r="AI68" s="9"/>
      <c r="AJ68" s="9"/>
      <c r="AK68" s="9"/>
      <c r="AL68" s="9"/>
      <c r="AM68" s="9"/>
      <c r="AN68" s="9"/>
      <c r="AO68" s="11">
        <f t="shared" si="21"/>
        <v>13.517283413147585</v>
      </c>
      <c r="AP68" s="11">
        <f t="shared" si="22"/>
        <v>13.517283413147585</v>
      </c>
      <c r="AQ68" s="11">
        <f t="shared" si="23"/>
        <v>8.3158032215933826</v>
      </c>
      <c r="AR68" s="10">
        <f t="shared" si="24"/>
        <v>0.22471019215430693</v>
      </c>
      <c r="AS68" s="10">
        <f t="shared" si="25"/>
        <v>4.4762283452895492E-2</v>
      </c>
      <c r="AT68" s="10">
        <f t="shared" si="26"/>
        <v>0</v>
      </c>
      <c r="AU68" s="10">
        <f t="shared" si="27"/>
        <v>0</v>
      </c>
      <c r="AV68" s="12">
        <v>12978</v>
      </c>
      <c r="AW68" s="13"/>
      <c r="AX68" s="13"/>
      <c r="AY68" s="8"/>
      <c r="AZ68" s="8"/>
      <c r="BA68" s="8"/>
      <c r="BB68" s="8"/>
      <c r="BC68" s="38">
        <f t="shared" si="28"/>
        <v>0.6151978150805818</v>
      </c>
      <c r="BD68" s="38">
        <f t="shared" si="29"/>
        <v>0.2508200294659107</v>
      </c>
      <c r="BE68" s="39"/>
      <c r="BF68" s="40"/>
      <c r="BG68">
        <v>2024</v>
      </c>
    </row>
    <row r="69" spans="1:59" ht="15" customHeight="1" x14ac:dyDescent="0.3">
      <c r="A69" s="8" t="s">
        <v>6444</v>
      </c>
      <c r="B69" s="9">
        <v>1091</v>
      </c>
      <c r="C69" s="9">
        <v>1091</v>
      </c>
      <c r="D69" s="9"/>
      <c r="E69" s="9">
        <v>995.75</v>
      </c>
      <c r="F69" s="9">
        <v>94.89</v>
      </c>
      <c r="G69" s="9"/>
      <c r="H69" s="9"/>
      <c r="I69" s="9"/>
      <c r="J69" s="9"/>
      <c r="K69" s="9">
        <v>1091</v>
      </c>
      <c r="L69" s="9"/>
      <c r="M69" s="9"/>
      <c r="N69" s="9"/>
      <c r="O69" s="9">
        <v>0</v>
      </c>
      <c r="P69" s="9"/>
      <c r="Q69" s="9">
        <v>0</v>
      </c>
      <c r="R69" s="9"/>
      <c r="S69" s="9">
        <v>0</v>
      </c>
      <c r="T69" s="9"/>
      <c r="U69" s="9">
        <v>0</v>
      </c>
      <c r="V69" s="9"/>
      <c r="W69" s="9">
        <v>0</v>
      </c>
      <c r="X69" s="8"/>
      <c r="Y69" s="8"/>
      <c r="Z69" s="8"/>
      <c r="AA69" s="9"/>
      <c r="AB69" s="10" t="str">
        <f t="shared" si="20"/>
        <v/>
      </c>
      <c r="AC69" s="9">
        <v>26037</v>
      </c>
      <c r="AD69" s="9">
        <v>26037</v>
      </c>
      <c r="AE69" s="9"/>
      <c r="AF69" s="9"/>
      <c r="AG69" s="9"/>
      <c r="AH69" s="9"/>
      <c r="AI69" s="9"/>
      <c r="AJ69" s="9"/>
      <c r="AK69" s="9"/>
      <c r="AL69" s="9"/>
      <c r="AM69" s="9"/>
      <c r="AN69" s="9"/>
      <c r="AO69" s="11">
        <f t="shared" si="21"/>
        <v>26.148129550590006</v>
      </c>
      <c r="AP69" s="11">
        <f t="shared" si="22"/>
        <v>26.148129550590006</v>
      </c>
      <c r="AQ69" s="11">
        <f t="shared" si="23"/>
        <v>0</v>
      </c>
      <c r="AR69" s="10" t="str">
        <f t="shared" si="24"/>
        <v/>
      </c>
      <c r="AS69" s="10" t="str">
        <f t="shared" si="25"/>
        <v/>
      </c>
      <c r="AT69" s="10" t="str">
        <f t="shared" si="26"/>
        <v/>
      </c>
      <c r="AU69" s="10" t="str">
        <f t="shared" si="27"/>
        <v/>
      </c>
      <c r="AV69" s="12"/>
      <c r="AW69" s="13">
        <v>1</v>
      </c>
      <c r="AX69" s="13">
        <v>0</v>
      </c>
      <c r="AY69" s="8"/>
      <c r="AZ69" s="8"/>
      <c r="BA69" s="8"/>
      <c r="BB69" s="8"/>
      <c r="BC69" s="38">
        <f t="shared" si="28"/>
        <v>0</v>
      </c>
      <c r="BD69" s="38">
        <f t="shared" si="29"/>
        <v>0</v>
      </c>
      <c r="BE69" s="39"/>
      <c r="BF69" s="40" t="s">
        <v>10280</v>
      </c>
      <c r="BG69">
        <v>2023</v>
      </c>
    </row>
    <row r="70" spans="1:59" ht="15" customHeight="1" x14ac:dyDescent="0.3">
      <c r="A70" s="8" t="s">
        <v>6444</v>
      </c>
      <c r="B70" s="9">
        <v>1091</v>
      </c>
      <c r="C70" s="9">
        <v>1091</v>
      </c>
      <c r="D70" s="9"/>
      <c r="E70" s="9">
        <v>995.75</v>
      </c>
      <c r="F70" s="9">
        <v>94.89</v>
      </c>
      <c r="G70" s="9"/>
      <c r="H70" s="9"/>
      <c r="I70" s="9"/>
      <c r="J70" s="9"/>
      <c r="K70" s="9">
        <v>1091</v>
      </c>
      <c r="L70" s="9"/>
      <c r="M70" s="9"/>
      <c r="N70" s="9"/>
      <c r="O70" s="9">
        <v>0</v>
      </c>
      <c r="P70" s="9">
        <v>10</v>
      </c>
      <c r="Q70" s="9">
        <v>0</v>
      </c>
      <c r="R70" s="9"/>
      <c r="S70" s="9">
        <v>0</v>
      </c>
      <c r="T70" s="9"/>
      <c r="U70" s="9">
        <v>0</v>
      </c>
      <c r="V70" s="9"/>
      <c r="W70" s="9">
        <v>0</v>
      </c>
      <c r="X70" s="8"/>
      <c r="Y70" s="8"/>
      <c r="Z70" s="8"/>
      <c r="AA70" s="9"/>
      <c r="AB70" s="10" t="str">
        <f t="shared" si="20"/>
        <v/>
      </c>
      <c r="AC70" s="9">
        <v>22461</v>
      </c>
      <c r="AD70" s="9">
        <v>22461</v>
      </c>
      <c r="AE70" s="9"/>
      <c r="AF70" s="9"/>
      <c r="AG70" s="9">
        <v>0</v>
      </c>
      <c r="AH70" s="9">
        <v>0</v>
      </c>
      <c r="AI70" s="9"/>
      <c r="AJ70" s="9"/>
      <c r="AK70" s="9"/>
      <c r="AL70" s="9"/>
      <c r="AM70" s="9"/>
      <c r="AN70" s="9"/>
      <c r="AO70" s="11">
        <f t="shared" si="21"/>
        <v>22.556866683404468</v>
      </c>
      <c r="AP70" s="11">
        <f t="shared" si="22"/>
        <v>22.556866683404468</v>
      </c>
      <c r="AQ70" s="11">
        <f t="shared" si="23"/>
        <v>0</v>
      </c>
      <c r="AR70" s="10" t="str">
        <f t="shared" si="24"/>
        <v/>
      </c>
      <c r="AS70" s="10" t="str">
        <f t="shared" si="25"/>
        <v/>
      </c>
      <c r="AT70" s="10" t="str">
        <f t="shared" si="26"/>
        <v/>
      </c>
      <c r="AU70" s="10" t="str">
        <f t="shared" si="27"/>
        <v/>
      </c>
      <c r="AV70" s="12"/>
      <c r="AW70" s="13">
        <v>1</v>
      </c>
      <c r="AX70" s="13">
        <v>0</v>
      </c>
      <c r="AY70" s="8"/>
      <c r="AZ70" s="8"/>
      <c r="BA70" s="8"/>
      <c r="BB70" s="8"/>
      <c r="BC70" s="38">
        <f t="shared" si="28"/>
        <v>0</v>
      </c>
      <c r="BD70" s="38">
        <f t="shared" si="29"/>
        <v>0</v>
      </c>
      <c r="BE70" s="39"/>
      <c r="BF70" s="40" t="s">
        <v>10281</v>
      </c>
      <c r="BG70">
        <v>2024</v>
      </c>
    </row>
    <row r="71" spans="1:59" ht="15" customHeight="1" x14ac:dyDescent="0.3">
      <c r="A71" s="8" t="s">
        <v>6670</v>
      </c>
      <c r="B71" s="9">
        <v>132660</v>
      </c>
      <c r="C71" s="9">
        <v>82973</v>
      </c>
      <c r="D71" s="9">
        <v>49687</v>
      </c>
      <c r="E71" s="9">
        <v>122047.2</v>
      </c>
      <c r="F71" s="9">
        <v>10612.8</v>
      </c>
      <c r="G71" s="9"/>
      <c r="H71" s="9"/>
      <c r="I71" s="9">
        <v>14</v>
      </c>
      <c r="J71" s="9"/>
      <c r="K71" s="9">
        <v>83000</v>
      </c>
      <c r="L71" s="9">
        <v>50036</v>
      </c>
      <c r="M71" s="9"/>
      <c r="N71" s="9">
        <v>35142</v>
      </c>
      <c r="O71" s="9">
        <v>8</v>
      </c>
      <c r="P71" s="9">
        <v>515</v>
      </c>
      <c r="Q71" s="9"/>
      <c r="R71" s="9"/>
      <c r="S71" s="9">
        <v>0</v>
      </c>
      <c r="T71" s="9"/>
      <c r="U71" s="9"/>
      <c r="V71" s="9"/>
      <c r="W71" s="9"/>
      <c r="X71" s="8"/>
      <c r="Y71" s="8"/>
      <c r="Z71" s="8"/>
      <c r="AA71" s="9">
        <v>133952</v>
      </c>
      <c r="AB71" s="10">
        <f t="shared" si="20"/>
        <v>7.0000219482293527E-2</v>
      </c>
      <c r="AC71" s="9">
        <v>1242866</v>
      </c>
      <c r="AD71" s="9">
        <v>1242866</v>
      </c>
      <c r="AE71" s="9">
        <v>670728</v>
      </c>
      <c r="AF71" s="9">
        <v>1913594</v>
      </c>
      <c r="AG71" s="9">
        <v>394847</v>
      </c>
      <c r="AH71" s="9">
        <v>98321</v>
      </c>
      <c r="AI71" s="9"/>
      <c r="AJ71" s="9"/>
      <c r="AK71" s="9"/>
      <c r="AL71" s="9"/>
      <c r="AM71" s="9"/>
      <c r="AN71" s="9"/>
      <c r="AO71" s="11">
        <f t="shared" si="21"/>
        <v>10.183486388872502</v>
      </c>
      <c r="AP71" s="11">
        <f t="shared" si="22"/>
        <v>10.183486388872502</v>
      </c>
      <c r="AQ71" s="11">
        <f t="shared" si="23"/>
        <v>3.2351991688461514</v>
      </c>
      <c r="AR71" s="10">
        <f t="shared" si="24"/>
        <v>0.20633791702942211</v>
      </c>
      <c r="AS71" s="10">
        <f t="shared" si="25"/>
        <v>5.1380282337841782E-2</v>
      </c>
      <c r="AT71" s="10">
        <f t="shared" si="26"/>
        <v>0</v>
      </c>
      <c r="AU71" s="10">
        <f t="shared" si="27"/>
        <v>0</v>
      </c>
      <c r="AV71" s="12">
        <v>12341</v>
      </c>
      <c r="AW71" s="13">
        <v>1</v>
      </c>
      <c r="AX71" s="13">
        <v>0</v>
      </c>
      <c r="AY71" s="8"/>
      <c r="AZ71" s="8"/>
      <c r="BA71" s="8"/>
      <c r="BB71" s="8"/>
      <c r="BC71" s="38">
        <f t="shared" si="28"/>
        <v>0.31769072450288283</v>
      </c>
      <c r="BD71" s="38">
        <f t="shared" si="29"/>
        <v>0.28678227623404112</v>
      </c>
      <c r="BE71" s="39">
        <v>0.21</v>
      </c>
      <c r="BF71" s="40" t="s">
        <v>10282</v>
      </c>
      <c r="BG71">
        <v>2022</v>
      </c>
    </row>
    <row r="72" spans="1:59" ht="15" customHeight="1" x14ac:dyDescent="0.3">
      <c r="A72" s="8" t="s">
        <v>6670</v>
      </c>
      <c r="B72" s="9">
        <v>132162</v>
      </c>
      <c r="C72" s="9">
        <v>82123</v>
      </c>
      <c r="D72" s="9">
        <v>50039</v>
      </c>
      <c r="E72" s="9">
        <v>117624.18</v>
      </c>
      <c r="F72" s="9">
        <v>14537.82</v>
      </c>
      <c r="G72" s="9"/>
      <c r="H72" s="9"/>
      <c r="I72" s="9">
        <v>15</v>
      </c>
      <c r="J72" s="9">
        <v>10000</v>
      </c>
      <c r="K72" s="9">
        <v>82000</v>
      </c>
      <c r="L72" s="9">
        <v>50000</v>
      </c>
      <c r="M72" s="9"/>
      <c r="N72" s="9">
        <v>35637</v>
      </c>
      <c r="O72" s="9">
        <v>8</v>
      </c>
      <c r="P72" s="9">
        <v>515</v>
      </c>
      <c r="Q72" s="9">
        <v>0</v>
      </c>
      <c r="R72" s="9"/>
      <c r="S72" s="9">
        <v>0</v>
      </c>
      <c r="T72" s="9"/>
      <c r="U72" s="9"/>
      <c r="V72" s="9"/>
      <c r="W72" s="9"/>
      <c r="X72" s="8"/>
      <c r="Y72" s="8"/>
      <c r="Z72" s="8"/>
      <c r="AA72" s="9">
        <v>171015.66</v>
      </c>
      <c r="AB72" s="10">
        <f t="shared" si="20"/>
        <v>0.09</v>
      </c>
      <c r="AC72" s="9">
        <v>1259629</v>
      </c>
      <c r="AD72" s="9">
        <v>1259629</v>
      </c>
      <c r="AE72" s="9">
        <v>640545</v>
      </c>
      <c r="AF72" s="9">
        <v>1900174</v>
      </c>
      <c r="AG72" s="9">
        <v>396927</v>
      </c>
      <c r="AH72" s="9">
        <v>98984</v>
      </c>
      <c r="AI72" s="9"/>
      <c r="AJ72" s="9"/>
      <c r="AK72" s="9"/>
      <c r="AL72" s="9"/>
      <c r="AM72" s="9"/>
      <c r="AN72" s="9"/>
      <c r="AO72" s="11">
        <f t="shared" si="21"/>
        <v>10.708929065435356</v>
      </c>
      <c r="AP72" s="11">
        <f t="shared" si="22"/>
        <v>10.708929065435356</v>
      </c>
      <c r="AQ72" s="11">
        <f t="shared" si="23"/>
        <v>3.3745357459665182</v>
      </c>
      <c r="AR72" s="10">
        <f t="shared" si="24"/>
        <v>0.20888981745882218</v>
      </c>
      <c r="AS72" s="10">
        <f t="shared" si="25"/>
        <v>5.2092071568182706E-2</v>
      </c>
      <c r="AT72" s="10">
        <f t="shared" si="26"/>
        <v>0</v>
      </c>
      <c r="AU72" s="10">
        <f t="shared" si="27"/>
        <v>0</v>
      </c>
      <c r="AV72" s="12">
        <v>11405</v>
      </c>
      <c r="AW72" s="13">
        <v>1</v>
      </c>
      <c r="AX72" s="13">
        <v>0</v>
      </c>
      <c r="AY72" s="8"/>
      <c r="AZ72" s="8"/>
      <c r="BA72" s="8"/>
      <c r="BB72" s="8"/>
      <c r="BC72" s="38">
        <f t="shared" si="28"/>
        <v>0.3151142122005765</v>
      </c>
      <c r="BD72" s="38">
        <f t="shared" si="29"/>
        <v>0.27744625279627438</v>
      </c>
      <c r="BE72" s="39">
        <v>0.214</v>
      </c>
      <c r="BF72" s="40" t="s">
        <v>10283</v>
      </c>
      <c r="BG72">
        <v>2023</v>
      </c>
    </row>
    <row r="73" spans="1:59" ht="15" customHeight="1" x14ac:dyDescent="0.3">
      <c r="A73" s="8" t="s">
        <v>6670</v>
      </c>
      <c r="B73" s="9">
        <v>128290</v>
      </c>
      <c r="C73" s="9">
        <v>81733</v>
      </c>
      <c r="D73" s="9">
        <v>46557</v>
      </c>
      <c r="E73" s="9">
        <v>108816</v>
      </c>
      <c r="F73" s="9">
        <v>19348</v>
      </c>
      <c r="G73" s="9"/>
      <c r="H73" s="9"/>
      <c r="I73" s="9">
        <v>14</v>
      </c>
      <c r="J73" s="9">
        <v>11200</v>
      </c>
      <c r="K73" s="9">
        <v>79000</v>
      </c>
      <c r="L73" s="9">
        <v>49000</v>
      </c>
      <c r="M73" s="9"/>
      <c r="N73" s="9">
        <v>35901</v>
      </c>
      <c r="O73" s="9">
        <v>8</v>
      </c>
      <c r="P73" s="9">
        <v>510</v>
      </c>
      <c r="Q73" s="9">
        <v>0</v>
      </c>
      <c r="R73" s="9"/>
      <c r="S73" s="9">
        <v>0</v>
      </c>
      <c r="T73" s="9"/>
      <c r="U73" s="9"/>
      <c r="V73" s="9"/>
      <c r="W73" s="9"/>
      <c r="X73" s="8"/>
      <c r="Y73" s="8"/>
      <c r="Z73" s="8"/>
      <c r="AA73" s="9">
        <v>160000</v>
      </c>
      <c r="AB73" s="10">
        <f t="shared" si="20"/>
        <v>9.2679694342368057E-2</v>
      </c>
      <c r="AC73" s="9">
        <v>1167927</v>
      </c>
      <c r="AD73" s="9">
        <v>1167927</v>
      </c>
      <c r="AE73" s="9">
        <v>399000</v>
      </c>
      <c r="AF73" s="9">
        <v>1726376</v>
      </c>
      <c r="AG73" s="9">
        <v>341287</v>
      </c>
      <c r="AH73" s="9">
        <v>83827</v>
      </c>
      <c r="AI73" s="9"/>
      <c r="AJ73" s="9"/>
      <c r="AK73" s="9"/>
      <c r="AL73" s="9"/>
      <c r="AM73" s="9"/>
      <c r="AN73" s="9"/>
      <c r="AO73" s="11">
        <f t="shared" si="21"/>
        <v>10.733044772827526</v>
      </c>
      <c r="AP73" s="11">
        <f t="shared" si="22"/>
        <v>10.733044772827526</v>
      </c>
      <c r="AQ73" s="11">
        <f t="shared" si="23"/>
        <v>3.1363678135568298</v>
      </c>
      <c r="AR73" s="10">
        <f t="shared" si="24"/>
        <v>0.19768984276889856</v>
      </c>
      <c r="AS73" s="10">
        <f t="shared" si="25"/>
        <v>4.8556629610235547E-2</v>
      </c>
      <c r="AT73" s="10">
        <f t="shared" si="26"/>
        <v>0</v>
      </c>
      <c r="AU73" s="10">
        <f t="shared" si="27"/>
        <v>0</v>
      </c>
      <c r="AV73" s="12">
        <v>13283</v>
      </c>
      <c r="AW73" s="13"/>
      <c r="AX73" s="13"/>
      <c r="AY73" s="8"/>
      <c r="AZ73" s="8"/>
      <c r="BA73" s="8"/>
      <c r="BB73" s="8"/>
      <c r="BC73" s="38">
        <f t="shared" si="28"/>
        <v>0.2922160374749449</v>
      </c>
      <c r="BD73" s="38">
        <f t="shared" si="29"/>
        <v>0.25700735055466151</v>
      </c>
      <c r="BE73" s="39">
        <v>0.20499999999999999</v>
      </c>
      <c r="BF73" s="40" t="s">
        <v>10284</v>
      </c>
      <c r="BG73">
        <v>2024</v>
      </c>
    </row>
    <row r="74" spans="1:59" ht="15" customHeight="1" x14ac:dyDescent="0.3">
      <c r="A74" s="8" t="s">
        <v>7065</v>
      </c>
      <c r="B74" s="9">
        <v>294488</v>
      </c>
      <c r="C74" s="9">
        <v>244768</v>
      </c>
      <c r="D74" s="9">
        <v>90551</v>
      </c>
      <c r="E74" s="9">
        <v>218064</v>
      </c>
      <c r="F74" s="9">
        <v>26704</v>
      </c>
      <c r="G74" s="9">
        <v>132699</v>
      </c>
      <c r="H74" s="9">
        <v>85365</v>
      </c>
      <c r="I74" s="9">
        <v>18</v>
      </c>
      <c r="J74" s="9"/>
      <c r="K74" s="9">
        <v>188537</v>
      </c>
      <c r="L74" s="9">
        <v>97235</v>
      </c>
      <c r="M74" s="9">
        <v>5467</v>
      </c>
      <c r="N74" s="9">
        <v>3249</v>
      </c>
      <c r="O74" s="9">
        <v>27</v>
      </c>
      <c r="P74" s="9"/>
      <c r="Q74" s="9"/>
      <c r="R74" s="9"/>
      <c r="S74" s="9">
        <v>5</v>
      </c>
      <c r="T74" s="9">
        <v>1700000</v>
      </c>
      <c r="U74" s="9"/>
      <c r="V74" s="9"/>
      <c r="W74" s="9"/>
      <c r="X74" s="8"/>
      <c r="Y74" s="8"/>
      <c r="Z74" s="8"/>
      <c r="AA74" s="9">
        <v>929000</v>
      </c>
      <c r="AB74" s="10" t="str">
        <f t="shared" si="20"/>
        <v/>
      </c>
      <c r="AC74" s="9">
        <v>2812000</v>
      </c>
      <c r="AD74" s="9">
        <v>2812000</v>
      </c>
      <c r="AE74" s="9"/>
      <c r="AF74" s="9"/>
      <c r="AG74" s="9">
        <v>736000</v>
      </c>
      <c r="AH74" s="9">
        <v>180000</v>
      </c>
      <c r="AI74" s="9"/>
      <c r="AJ74" s="9"/>
      <c r="AK74" s="9"/>
      <c r="AL74" s="9"/>
      <c r="AM74" s="9"/>
      <c r="AN74" s="9"/>
      <c r="AO74" s="11">
        <f t="shared" si="21"/>
        <v>12.895296793601878</v>
      </c>
      <c r="AP74" s="11">
        <f t="shared" si="22"/>
        <v>12.895296793601878</v>
      </c>
      <c r="AQ74" s="11">
        <f t="shared" si="23"/>
        <v>3.3751559175287991</v>
      </c>
      <c r="AR74" s="10" t="str">
        <f t="shared" si="24"/>
        <v/>
      </c>
      <c r="AS74" s="10" t="str">
        <f t="shared" si="25"/>
        <v/>
      </c>
      <c r="AT74" s="10">
        <f t="shared" si="26"/>
        <v>0</v>
      </c>
      <c r="AU74" s="10">
        <f t="shared" si="27"/>
        <v>0</v>
      </c>
      <c r="AV74" s="12">
        <v>12341</v>
      </c>
      <c r="AW74" s="13"/>
      <c r="AX74" s="13"/>
      <c r="AY74" s="8"/>
      <c r="AZ74" s="8"/>
      <c r="BA74" s="8"/>
      <c r="BB74" s="8"/>
      <c r="BC74" s="38">
        <f t="shared" si="28"/>
        <v>0.26173541963015645</v>
      </c>
      <c r="BD74" s="38">
        <f t="shared" si="29"/>
        <v>0.19673883988238439</v>
      </c>
      <c r="BE74" s="39">
        <v>0.21</v>
      </c>
      <c r="BF74" s="40" t="s">
        <v>10285</v>
      </c>
      <c r="BG74">
        <v>2022</v>
      </c>
    </row>
    <row r="75" spans="1:59" ht="15" customHeight="1" x14ac:dyDescent="0.3">
      <c r="A75" s="8" t="s">
        <v>7065</v>
      </c>
      <c r="B75" s="9">
        <v>293429</v>
      </c>
      <c r="C75" s="9">
        <v>244337</v>
      </c>
      <c r="D75" s="9">
        <v>90867</v>
      </c>
      <c r="E75" s="9">
        <v>220531</v>
      </c>
      <c r="F75" s="9">
        <v>23806</v>
      </c>
      <c r="G75" s="9">
        <v>134833</v>
      </c>
      <c r="H75" s="9">
        <v>85698</v>
      </c>
      <c r="I75" s="9">
        <v>19</v>
      </c>
      <c r="J75" s="9"/>
      <c r="K75" s="9">
        <v>187610</v>
      </c>
      <c r="L75" s="9">
        <v>97156</v>
      </c>
      <c r="M75" s="9">
        <v>5486</v>
      </c>
      <c r="N75" s="9">
        <v>3177</v>
      </c>
      <c r="O75" s="9">
        <v>27</v>
      </c>
      <c r="P75" s="9"/>
      <c r="Q75" s="9"/>
      <c r="R75" s="9"/>
      <c r="S75" s="9">
        <v>5</v>
      </c>
      <c r="T75" s="9">
        <v>1700000</v>
      </c>
      <c r="U75" s="9"/>
      <c r="V75" s="9"/>
      <c r="W75" s="9"/>
      <c r="X75" s="8"/>
      <c r="Y75" s="8"/>
      <c r="Z75" s="8"/>
      <c r="AA75" s="9">
        <v>848000</v>
      </c>
      <c r="AB75" s="10" t="str">
        <f t="shared" si="20"/>
        <v/>
      </c>
      <c r="AC75" s="9">
        <v>2784000</v>
      </c>
      <c r="AD75" s="9">
        <v>2784000</v>
      </c>
      <c r="AE75" s="9"/>
      <c r="AF75" s="9"/>
      <c r="AG75" s="9">
        <v>708000</v>
      </c>
      <c r="AH75" s="9">
        <v>175000</v>
      </c>
      <c r="AI75" s="9"/>
      <c r="AJ75" s="9"/>
      <c r="AK75" s="9"/>
      <c r="AL75" s="9"/>
      <c r="AM75" s="9"/>
      <c r="AN75" s="9"/>
      <c r="AO75" s="11">
        <f t="shared" si="21"/>
        <v>12.624075526796686</v>
      </c>
      <c r="AP75" s="11">
        <f t="shared" si="22"/>
        <v>12.624075526796686</v>
      </c>
      <c r="AQ75" s="11">
        <f t="shared" si="23"/>
        <v>3.2104330003491572</v>
      </c>
      <c r="AR75" s="10" t="str">
        <f t="shared" si="24"/>
        <v/>
      </c>
      <c r="AS75" s="10" t="str">
        <f t="shared" si="25"/>
        <v/>
      </c>
      <c r="AT75" s="10">
        <f t="shared" si="26"/>
        <v>0</v>
      </c>
      <c r="AU75" s="10">
        <f t="shared" si="27"/>
        <v>0</v>
      </c>
      <c r="AV75" s="12">
        <v>11273</v>
      </c>
      <c r="AW75" s="13">
        <v>0.86</v>
      </c>
      <c r="AX75" s="13">
        <v>0.14000000000000001</v>
      </c>
      <c r="AY75" s="8"/>
      <c r="AZ75" s="8"/>
      <c r="BA75" s="8"/>
      <c r="BB75" s="8"/>
      <c r="BC75" s="38">
        <f t="shared" si="28"/>
        <v>0.25431034482758619</v>
      </c>
      <c r="BD75" s="38">
        <f t="shared" si="29"/>
        <v>0.1949339207048458</v>
      </c>
      <c r="BE75" s="39">
        <v>0.19489999999999999</v>
      </c>
      <c r="BF75" s="40" t="s">
        <v>10285</v>
      </c>
      <c r="BG75">
        <v>2023</v>
      </c>
    </row>
    <row r="76" spans="1:59" ht="15" customHeight="1" x14ac:dyDescent="0.3">
      <c r="A76" s="8" t="s">
        <v>7065</v>
      </c>
      <c r="B76" s="9">
        <v>288649</v>
      </c>
      <c r="C76" s="9">
        <v>241208</v>
      </c>
      <c r="D76" s="9">
        <v>91523</v>
      </c>
      <c r="E76" s="9">
        <v>220318</v>
      </c>
      <c r="F76" s="9">
        <v>20890</v>
      </c>
      <c r="G76" s="9"/>
      <c r="H76" s="9"/>
      <c r="I76" s="9"/>
      <c r="J76" s="9"/>
      <c r="K76" s="9">
        <v>188414</v>
      </c>
      <c r="L76" s="9">
        <v>91538</v>
      </c>
      <c r="M76" s="9">
        <v>5480</v>
      </c>
      <c r="N76" s="9">
        <v>3217</v>
      </c>
      <c r="O76" s="9">
        <v>27</v>
      </c>
      <c r="P76" s="9"/>
      <c r="Q76" s="9"/>
      <c r="R76" s="9"/>
      <c r="S76" s="9">
        <v>5</v>
      </c>
      <c r="T76" s="9">
        <v>1700000</v>
      </c>
      <c r="U76" s="9"/>
      <c r="V76" s="9"/>
      <c r="W76" s="9"/>
      <c r="X76" s="8"/>
      <c r="Y76" s="8"/>
      <c r="Z76" s="8"/>
      <c r="AA76" s="9">
        <v>887000</v>
      </c>
      <c r="AB76" s="10" t="str">
        <f t="shared" si="20"/>
        <v/>
      </c>
      <c r="AC76" s="9">
        <v>2758000</v>
      </c>
      <c r="AD76" s="9">
        <v>2758000</v>
      </c>
      <c r="AE76" s="9"/>
      <c r="AF76" s="9"/>
      <c r="AG76" s="9">
        <v>706000</v>
      </c>
      <c r="AH76" s="9">
        <v>167000</v>
      </c>
      <c r="AI76" s="9"/>
      <c r="AJ76" s="9"/>
      <c r="AK76" s="9"/>
      <c r="AL76" s="9"/>
      <c r="AM76" s="9"/>
      <c r="AN76" s="9"/>
      <c r="AO76" s="11">
        <f t="shared" si="21"/>
        <v>12.518269047467751</v>
      </c>
      <c r="AP76" s="11">
        <f t="shared" si="22"/>
        <v>12.518269047467751</v>
      </c>
      <c r="AQ76" s="11">
        <f t="shared" si="23"/>
        <v>3.2044590092502654</v>
      </c>
      <c r="AR76" s="10" t="str">
        <f t="shared" si="24"/>
        <v/>
      </c>
      <c r="AS76" s="10" t="str">
        <f t="shared" si="25"/>
        <v/>
      </c>
      <c r="AT76" s="10">
        <f t="shared" si="26"/>
        <v>0</v>
      </c>
      <c r="AU76" s="10">
        <f t="shared" si="27"/>
        <v>0</v>
      </c>
      <c r="AV76" s="12">
        <v>13190</v>
      </c>
      <c r="AW76" s="13">
        <v>0.86099999999999999</v>
      </c>
      <c r="AX76" s="13">
        <v>0.13900000000000001</v>
      </c>
      <c r="AY76" s="8"/>
      <c r="AZ76" s="8"/>
      <c r="BA76" s="8"/>
      <c r="BB76" s="8"/>
      <c r="BC76" s="38">
        <f t="shared" si="28"/>
        <v>0.25598259608411894</v>
      </c>
      <c r="BD76" s="38">
        <f t="shared" si="29"/>
        <v>0.19368998628257889</v>
      </c>
      <c r="BE76" s="39"/>
      <c r="BF76" s="40" t="s">
        <v>10286</v>
      </c>
      <c r="BG76">
        <v>2024</v>
      </c>
    </row>
    <row r="77" spans="1:59" ht="15" customHeight="1" x14ac:dyDescent="0.3">
      <c r="A77" s="8" t="s">
        <v>7418</v>
      </c>
      <c r="B77" s="9">
        <v>136402</v>
      </c>
      <c r="C77" s="9">
        <v>105030</v>
      </c>
      <c r="D77" s="9">
        <v>31372</v>
      </c>
      <c r="E77" s="9">
        <v>129615</v>
      </c>
      <c r="F77" s="9">
        <v>7187</v>
      </c>
      <c r="G77" s="9">
        <v>85990</v>
      </c>
      <c r="H77" s="9">
        <v>34390</v>
      </c>
      <c r="I77" s="9"/>
      <c r="J77" s="9">
        <v>2800</v>
      </c>
      <c r="K77" s="9"/>
      <c r="L77" s="9"/>
      <c r="M77" s="9"/>
      <c r="N77" s="9"/>
      <c r="O77" s="9">
        <v>16</v>
      </c>
      <c r="P77" s="9"/>
      <c r="Q77" s="9"/>
      <c r="R77" s="9"/>
      <c r="S77" s="9">
        <v>4</v>
      </c>
      <c r="T77" s="9">
        <v>2900000</v>
      </c>
      <c r="U77" s="9"/>
      <c r="V77" s="9">
        <v>810000</v>
      </c>
      <c r="W77" s="9"/>
      <c r="X77" s="8"/>
      <c r="Y77" s="8"/>
      <c r="Z77" s="8"/>
      <c r="AA77" s="9"/>
      <c r="AB77" s="10">
        <f t="shared" si="20"/>
        <v>0</v>
      </c>
      <c r="AC77" s="9">
        <v>1950842</v>
      </c>
      <c r="AD77" s="9">
        <v>1925000</v>
      </c>
      <c r="AE77" s="9">
        <v>557000</v>
      </c>
      <c r="AF77" s="9">
        <v>4350000</v>
      </c>
      <c r="AG77" s="9">
        <v>572000</v>
      </c>
      <c r="AH77" s="9">
        <v>157000</v>
      </c>
      <c r="AI77" s="9"/>
      <c r="AJ77" s="9"/>
      <c r="AK77" s="9"/>
      <c r="AL77" s="9"/>
      <c r="AM77" s="9"/>
      <c r="AN77" s="9"/>
      <c r="AO77" s="11">
        <f t="shared" si="21"/>
        <v>15.051051190062879</v>
      </c>
      <c r="AP77" s="11">
        <f t="shared" si="22"/>
        <v>14.851676117733287</v>
      </c>
      <c r="AQ77" s="11">
        <f t="shared" si="23"/>
        <v>4.4130694749836055</v>
      </c>
      <c r="AR77" s="10">
        <f t="shared" si="24"/>
        <v>0.13149425287356323</v>
      </c>
      <c r="AS77" s="10">
        <f t="shared" si="25"/>
        <v>3.6091954022988502E-2</v>
      </c>
      <c r="AT77" s="10">
        <f t="shared" si="26"/>
        <v>0</v>
      </c>
      <c r="AU77" s="10">
        <f t="shared" si="27"/>
        <v>0</v>
      </c>
      <c r="AV77" s="12">
        <v>18488</v>
      </c>
      <c r="AW77" s="13"/>
      <c r="AX77" s="13"/>
      <c r="AY77" s="8"/>
      <c r="AZ77" s="8"/>
      <c r="BA77" s="8"/>
      <c r="BB77" s="8"/>
      <c r="BC77" s="38">
        <f t="shared" si="28"/>
        <v>0.29320672817173304</v>
      </c>
      <c r="BD77" s="38">
        <f t="shared" si="29"/>
        <v>0.29320672817173304</v>
      </c>
      <c r="BE77" s="39">
        <v>0.20799999999999999</v>
      </c>
      <c r="BF77" s="40" t="s">
        <v>10287</v>
      </c>
      <c r="BG77">
        <v>2022</v>
      </c>
    </row>
    <row r="78" spans="1:59" ht="15" customHeight="1" x14ac:dyDescent="0.3">
      <c r="A78" s="8" t="s">
        <v>7418</v>
      </c>
      <c r="B78" s="9">
        <v>134177</v>
      </c>
      <c r="C78" s="9">
        <v>103316</v>
      </c>
      <c r="D78" s="9">
        <v>30861</v>
      </c>
      <c r="E78" s="9">
        <v>126343</v>
      </c>
      <c r="F78" s="9">
        <v>7834</v>
      </c>
      <c r="G78" s="9">
        <v>77494</v>
      </c>
      <c r="H78" s="9">
        <v>38953</v>
      </c>
      <c r="I78" s="9"/>
      <c r="J78" s="9">
        <v>3200</v>
      </c>
      <c r="K78" s="9"/>
      <c r="L78" s="9"/>
      <c r="M78" s="9"/>
      <c r="N78" s="9"/>
      <c r="O78" s="9">
        <v>16</v>
      </c>
      <c r="P78" s="9"/>
      <c r="Q78" s="9"/>
      <c r="R78" s="9"/>
      <c r="S78" s="9">
        <v>4</v>
      </c>
      <c r="T78" s="9">
        <v>2900000</v>
      </c>
      <c r="U78" s="9"/>
      <c r="V78" s="9">
        <v>819000</v>
      </c>
      <c r="W78" s="9"/>
      <c r="X78" s="8"/>
      <c r="Y78" s="8"/>
      <c r="Z78" s="8"/>
      <c r="AA78" s="9">
        <v>314528</v>
      </c>
      <c r="AB78" s="10">
        <f t="shared" si="20"/>
        <v>7.2305287356321843E-2</v>
      </c>
      <c r="AC78" s="9">
        <v>1849591</v>
      </c>
      <c r="AD78" s="9">
        <v>1850000</v>
      </c>
      <c r="AE78" s="9">
        <v>560000</v>
      </c>
      <c r="AF78" s="9">
        <v>4350000</v>
      </c>
      <c r="AG78" s="9">
        <v>567000</v>
      </c>
      <c r="AH78" s="9">
        <v>155000</v>
      </c>
      <c r="AI78" s="9"/>
      <c r="AJ78" s="9"/>
      <c r="AK78" s="9"/>
      <c r="AL78" s="9"/>
      <c r="AM78" s="9"/>
      <c r="AN78" s="9"/>
      <c r="AO78" s="11">
        <f t="shared" si="21"/>
        <v>14.6394418369043</v>
      </c>
      <c r="AP78" s="11">
        <f t="shared" si="22"/>
        <v>14.642679056219972</v>
      </c>
      <c r="AQ78" s="11">
        <f t="shared" si="23"/>
        <v>4.487783256690121</v>
      </c>
      <c r="AR78" s="10">
        <f t="shared" si="24"/>
        <v>0.13034482758620689</v>
      </c>
      <c r="AS78" s="10">
        <f t="shared" si="25"/>
        <v>3.5632183908045977E-2</v>
      </c>
      <c r="AT78" s="10">
        <f t="shared" si="26"/>
        <v>0</v>
      </c>
      <c r="AU78" s="10">
        <f t="shared" si="27"/>
        <v>0</v>
      </c>
      <c r="AV78" s="12">
        <v>13734</v>
      </c>
      <c r="AW78" s="13">
        <v>0.56530000000000002</v>
      </c>
      <c r="AX78" s="13">
        <v>0.43469999999999998</v>
      </c>
      <c r="AY78" s="8"/>
      <c r="AZ78" s="8"/>
      <c r="BA78" s="8"/>
      <c r="BB78" s="8"/>
      <c r="BC78" s="38">
        <f t="shared" si="28"/>
        <v>0.30655425983366053</v>
      </c>
      <c r="BD78" s="38">
        <f t="shared" si="29"/>
        <v>0.26200037983123847</v>
      </c>
      <c r="BE78" s="39">
        <v>0.20799999999999999</v>
      </c>
      <c r="BF78" s="40" t="s">
        <v>10288</v>
      </c>
      <c r="BG78">
        <v>2023</v>
      </c>
    </row>
    <row r="79" spans="1:59" ht="15" customHeight="1" x14ac:dyDescent="0.3">
      <c r="A79" s="8" t="s">
        <v>7418</v>
      </c>
      <c r="B79" s="9">
        <v>136587</v>
      </c>
      <c r="C79" s="9">
        <v>105172</v>
      </c>
      <c r="D79" s="9">
        <v>31415</v>
      </c>
      <c r="E79" s="9">
        <v>123260</v>
      </c>
      <c r="F79" s="9">
        <v>13227</v>
      </c>
      <c r="G79" s="9">
        <v>71581</v>
      </c>
      <c r="H79" s="9">
        <v>41665</v>
      </c>
      <c r="I79" s="9"/>
      <c r="J79" s="9">
        <v>7900</v>
      </c>
      <c r="K79" s="9">
        <v>62830</v>
      </c>
      <c r="L79" s="9">
        <v>73757</v>
      </c>
      <c r="M79" s="9"/>
      <c r="N79" s="9"/>
      <c r="O79" s="9">
        <v>16</v>
      </c>
      <c r="P79" s="9"/>
      <c r="Q79" s="9">
        <v>4</v>
      </c>
      <c r="R79" s="9"/>
      <c r="S79" s="9">
        <v>4</v>
      </c>
      <c r="T79" s="9">
        <v>2880000</v>
      </c>
      <c r="U79" s="9"/>
      <c r="V79" s="9">
        <v>879000</v>
      </c>
      <c r="W79" s="9"/>
      <c r="X79" s="8"/>
      <c r="Y79" s="8"/>
      <c r="Z79" s="8"/>
      <c r="AA79" s="9"/>
      <c r="AB79" s="10">
        <f t="shared" si="20"/>
        <v>0</v>
      </c>
      <c r="AC79" s="9">
        <v>1741349</v>
      </c>
      <c r="AD79" s="9">
        <v>1741000</v>
      </c>
      <c r="AE79" s="9">
        <v>501000</v>
      </c>
      <c r="AF79" s="9">
        <v>4350000</v>
      </c>
      <c r="AG79" s="9">
        <v>532000</v>
      </c>
      <c r="AH79" s="9">
        <v>145000</v>
      </c>
      <c r="AI79" s="9"/>
      <c r="AJ79" s="9"/>
      <c r="AK79" s="9"/>
      <c r="AL79" s="9"/>
      <c r="AM79" s="9"/>
      <c r="AN79" s="9"/>
      <c r="AO79" s="11">
        <f t="shared" si="21"/>
        <v>14.12744604900211</v>
      </c>
      <c r="AP79" s="11">
        <f t="shared" si="22"/>
        <v>14.124614635729353</v>
      </c>
      <c r="AQ79" s="11">
        <f t="shared" si="23"/>
        <v>4.316079831251014</v>
      </c>
      <c r="AR79" s="10">
        <f t="shared" si="24"/>
        <v>0.12229885057471264</v>
      </c>
      <c r="AS79" s="10">
        <f t="shared" si="25"/>
        <v>3.3333333333333333E-2</v>
      </c>
      <c r="AT79" s="10">
        <f t="shared" si="26"/>
        <v>0</v>
      </c>
      <c r="AU79" s="10">
        <f t="shared" si="27"/>
        <v>0</v>
      </c>
      <c r="AV79" s="12">
        <v>15906</v>
      </c>
      <c r="AW79" s="13">
        <v>0.57999999999999996</v>
      </c>
      <c r="AX79" s="13">
        <v>0.42</v>
      </c>
      <c r="AY79" s="8"/>
      <c r="AZ79" s="8"/>
      <c r="BA79" s="8"/>
      <c r="BB79" s="8"/>
      <c r="BC79" s="38">
        <f t="shared" si="28"/>
        <v>0.30551026818862848</v>
      </c>
      <c r="BD79" s="38">
        <f t="shared" si="29"/>
        <v>0.30551026818862848</v>
      </c>
      <c r="BE79" s="39">
        <v>0.20300000000000001</v>
      </c>
      <c r="BF79" s="40" t="s">
        <v>10289</v>
      </c>
      <c r="BG79">
        <v>2024</v>
      </c>
    </row>
    <row r="80" spans="1:59" ht="15" customHeight="1" x14ac:dyDescent="0.3">
      <c r="A80" s="8" t="s">
        <v>1631</v>
      </c>
      <c r="B80" s="9">
        <v>82465.72</v>
      </c>
      <c r="C80" s="9">
        <v>69167.06</v>
      </c>
      <c r="D80" s="9">
        <v>13238.67</v>
      </c>
      <c r="E80" s="9">
        <v>81405</v>
      </c>
      <c r="F80" s="9">
        <v>1060</v>
      </c>
      <c r="G80" s="9"/>
      <c r="H80" s="9"/>
      <c r="I80" s="9"/>
      <c r="J80" s="9"/>
      <c r="K80" s="9">
        <v>0</v>
      </c>
      <c r="L80" s="9">
        <v>115880</v>
      </c>
      <c r="M80" s="9">
        <v>0</v>
      </c>
      <c r="N80" s="9">
        <v>0</v>
      </c>
      <c r="O80" s="9">
        <v>8</v>
      </c>
      <c r="P80" s="9">
        <v>540</v>
      </c>
      <c r="Q80" s="9">
        <v>1</v>
      </c>
      <c r="R80" s="9">
        <v>25</v>
      </c>
      <c r="S80" s="9">
        <v>1</v>
      </c>
      <c r="T80" s="9">
        <v>850000</v>
      </c>
      <c r="U80" s="9">
        <v>0</v>
      </c>
      <c r="V80" s="9"/>
      <c r="W80" s="9">
        <v>0</v>
      </c>
      <c r="X80" s="8"/>
      <c r="Y80" s="8"/>
      <c r="Z80" s="8"/>
      <c r="AA80" s="9">
        <v>571063</v>
      </c>
      <c r="AB80" s="10">
        <f t="shared" si="20"/>
        <v>0.24351006404333062</v>
      </c>
      <c r="AC80" s="9">
        <v>1723170</v>
      </c>
      <c r="AD80" s="9">
        <v>1723170</v>
      </c>
      <c r="AE80" s="9">
        <v>94226</v>
      </c>
      <c r="AF80" s="9">
        <v>2345131</v>
      </c>
      <c r="AG80" s="9">
        <v>518819</v>
      </c>
      <c r="AH80" s="9">
        <v>99082</v>
      </c>
      <c r="AI80" s="9">
        <v>22327</v>
      </c>
      <c r="AJ80" s="9">
        <v>746544</v>
      </c>
      <c r="AK80" s="9">
        <v>584864</v>
      </c>
      <c r="AL80" s="9">
        <v>137360</v>
      </c>
      <c r="AM80" s="9">
        <v>29323</v>
      </c>
      <c r="AN80" s="9">
        <v>34448</v>
      </c>
      <c r="AO80" s="11">
        <f t="shared" si="21"/>
        <v>21.167864381794729</v>
      </c>
      <c r="AP80" s="11">
        <f t="shared" si="22"/>
        <v>21.167864381794729</v>
      </c>
      <c r="AQ80" s="11">
        <f t="shared" si="23"/>
        <v>6.3733063079663408</v>
      </c>
      <c r="AR80" s="10">
        <f t="shared" si="24"/>
        <v>0.22123241729353285</v>
      </c>
      <c r="AS80" s="10">
        <f t="shared" si="25"/>
        <v>4.2250091785917293E-2</v>
      </c>
      <c r="AT80" s="10">
        <f t="shared" si="26"/>
        <v>0.22533860842534467</v>
      </c>
      <c r="AU80" s="10">
        <f t="shared" si="27"/>
        <v>0.34767162552229469</v>
      </c>
      <c r="AV80" s="12"/>
      <c r="AW80" s="13"/>
      <c r="AX80" s="13"/>
      <c r="AY80" s="8"/>
      <c r="AZ80" s="8"/>
      <c r="BA80" s="8"/>
      <c r="BB80" s="8"/>
      <c r="BC80" s="38">
        <f t="shared" si="28"/>
        <v>0.30108404858487553</v>
      </c>
      <c r="BD80" s="38">
        <f t="shared" si="29"/>
        <v>0.22614050098660424</v>
      </c>
      <c r="BE80" s="39">
        <v>0.221</v>
      </c>
      <c r="BF80" s="40" t="s">
        <v>10290</v>
      </c>
      <c r="BG80">
        <v>2023</v>
      </c>
    </row>
    <row r="81" spans="1:59" ht="15" customHeight="1" x14ac:dyDescent="0.3">
      <c r="A81" s="8" t="s">
        <v>1631</v>
      </c>
      <c r="B81" s="9">
        <v>115571</v>
      </c>
      <c r="C81" s="9">
        <v>93224</v>
      </c>
      <c r="D81" s="9">
        <v>22347</v>
      </c>
      <c r="E81" s="9">
        <v>81604</v>
      </c>
      <c r="F81" s="9">
        <v>925</v>
      </c>
      <c r="G81" s="9"/>
      <c r="H81" s="9"/>
      <c r="I81" s="9"/>
      <c r="J81" s="9"/>
      <c r="K81" s="9">
        <v>0</v>
      </c>
      <c r="L81" s="9">
        <v>115571</v>
      </c>
      <c r="M81" s="9">
        <v>0</v>
      </c>
      <c r="N81" s="9">
        <v>0</v>
      </c>
      <c r="O81" s="9">
        <v>8</v>
      </c>
      <c r="P81" s="9">
        <v>540</v>
      </c>
      <c r="Q81" s="9">
        <v>2</v>
      </c>
      <c r="R81" s="9">
        <v>25</v>
      </c>
      <c r="S81" s="9">
        <v>1</v>
      </c>
      <c r="T81" s="9">
        <v>850000</v>
      </c>
      <c r="U81" s="9">
        <v>0</v>
      </c>
      <c r="V81" s="9"/>
      <c r="W81" s="9">
        <v>0</v>
      </c>
      <c r="X81" s="8"/>
      <c r="Y81" s="8"/>
      <c r="Z81" s="8"/>
      <c r="AA81" s="9">
        <v>488647</v>
      </c>
      <c r="AB81" s="10">
        <f t="shared" si="20"/>
        <v>0.23069409298636553</v>
      </c>
      <c r="AC81" s="9">
        <v>1562446</v>
      </c>
      <c r="AD81" s="9">
        <v>1562446</v>
      </c>
      <c r="AE81" s="9">
        <v>134421</v>
      </c>
      <c r="AF81" s="9">
        <v>2118160</v>
      </c>
      <c r="AG81" s="9">
        <v>461414</v>
      </c>
      <c r="AH81" s="9">
        <v>89833</v>
      </c>
      <c r="AI81" s="9">
        <v>20388</v>
      </c>
      <c r="AJ81" s="9">
        <v>387457</v>
      </c>
      <c r="AK81" s="9">
        <v>296405</v>
      </c>
      <c r="AL81" s="9">
        <v>67660</v>
      </c>
      <c r="AM81" s="9">
        <v>15064</v>
      </c>
      <c r="AN81" s="9">
        <v>28086</v>
      </c>
      <c r="AO81" s="11">
        <f t="shared" si="21"/>
        <v>19.146683986079115</v>
      </c>
      <c r="AP81" s="11">
        <f t="shared" si="22"/>
        <v>19.146683986079115</v>
      </c>
      <c r="AQ81" s="11">
        <f t="shared" si="23"/>
        <v>5.6543061614626735</v>
      </c>
      <c r="AR81" s="10">
        <f t="shared" si="24"/>
        <v>0.21783717943875816</v>
      </c>
      <c r="AS81" s="10">
        <f t="shared" si="25"/>
        <v>4.2410866034671604E-2</v>
      </c>
      <c r="AT81" s="10">
        <f t="shared" si="26"/>
        <v>0.22695445994233746</v>
      </c>
      <c r="AU81" s="10">
        <f t="shared" si="27"/>
        <v>0.31264680017365554</v>
      </c>
      <c r="AV81" s="12"/>
      <c r="AW81" s="13"/>
      <c r="AX81" s="13"/>
      <c r="AY81" s="8"/>
      <c r="AZ81" s="8"/>
      <c r="BA81" s="8"/>
      <c r="BB81" s="8"/>
      <c r="BC81" s="38">
        <f t="shared" si="28"/>
        <v>0.29531516609214015</v>
      </c>
      <c r="BD81" s="38">
        <f t="shared" si="29"/>
        <v>0.2249600578813345</v>
      </c>
      <c r="BE81" s="39">
        <v>0.218</v>
      </c>
      <c r="BF81" s="40" t="s">
        <v>10291</v>
      </c>
      <c r="BG81">
        <v>2024</v>
      </c>
    </row>
    <row r="82" spans="1:59" ht="15" customHeight="1" x14ac:dyDescent="0.3">
      <c r="A82" s="8" t="s">
        <v>1631</v>
      </c>
      <c r="B82" s="9">
        <v>136447</v>
      </c>
      <c r="C82" s="9">
        <v>77314</v>
      </c>
      <c r="D82" s="9">
        <v>17500</v>
      </c>
      <c r="E82" s="9">
        <v>93726</v>
      </c>
      <c r="F82" s="9">
        <v>1221</v>
      </c>
      <c r="G82" s="9"/>
      <c r="H82" s="9"/>
      <c r="I82" s="9"/>
      <c r="J82" s="9"/>
      <c r="K82" s="9">
        <v>0</v>
      </c>
      <c r="L82" s="9">
        <v>136447</v>
      </c>
      <c r="M82" s="9">
        <v>0</v>
      </c>
      <c r="N82" s="9">
        <v>0</v>
      </c>
      <c r="O82" s="9">
        <v>10</v>
      </c>
      <c r="P82" s="9">
        <v>675</v>
      </c>
      <c r="Q82" s="9">
        <v>1</v>
      </c>
      <c r="R82" s="9">
        <v>25</v>
      </c>
      <c r="S82" s="9">
        <v>1</v>
      </c>
      <c r="T82" s="9">
        <v>850000</v>
      </c>
      <c r="U82" s="9">
        <v>0</v>
      </c>
      <c r="V82" s="9"/>
      <c r="W82" s="9">
        <v>0</v>
      </c>
      <c r="X82" s="8"/>
      <c r="Y82" s="8"/>
      <c r="Z82" s="8"/>
      <c r="AA82" s="9">
        <v>596153</v>
      </c>
      <c r="AB82" s="10">
        <f t="shared" si="20"/>
        <v>0.25017520359286965</v>
      </c>
      <c r="AC82" s="9">
        <v>1628452</v>
      </c>
      <c r="AD82" s="9">
        <v>1628452</v>
      </c>
      <c r="AE82" s="9">
        <v>178559</v>
      </c>
      <c r="AF82" s="9">
        <v>2382942</v>
      </c>
      <c r="AG82" s="9">
        <v>527052</v>
      </c>
      <c r="AH82" s="9">
        <v>104130</v>
      </c>
      <c r="AI82" s="9">
        <v>15379</v>
      </c>
      <c r="AJ82" s="9">
        <v>569213</v>
      </c>
      <c r="AK82" s="9">
        <v>467934</v>
      </c>
      <c r="AL82" s="9">
        <v>101221</v>
      </c>
      <c r="AM82" s="9">
        <v>21913</v>
      </c>
      <c r="AN82" s="9">
        <v>37506</v>
      </c>
      <c r="AO82" s="11">
        <f t="shared" si="21"/>
        <v>17.374602564923286</v>
      </c>
      <c r="AP82" s="11">
        <f t="shared" si="22"/>
        <v>17.374602564923286</v>
      </c>
      <c r="AQ82" s="11">
        <f t="shared" si="23"/>
        <v>5.6233275718583959</v>
      </c>
      <c r="AR82" s="10">
        <f t="shared" si="24"/>
        <v>0.22117701563865172</v>
      </c>
      <c r="AS82" s="10">
        <f t="shared" si="25"/>
        <v>4.3698084132975122E-2</v>
      </c>
      <c r="AT82" s="10">
        <f t="shared" si="26"/>
        <v>0.14769038701622972</v>
      </c>
      <c r="AU82" s="10">
        <f t="shared" si="27"/>
        <v>0.36018438490348603</v>
      </c>
      <c r="AV82" s="12"/>
      <c r="AW82" s="13">
        <v>0.25829999999999997</v>
      </c>
      <c r="AX82" s="13">
        <v>0.74170000000000003</v>
      </c>
      <c r="AY82" s="8"/>
      <c r="AZ82" s="8"/>
      <c r="BA82" s="8"/>
      <c r="BB82" s="8"/>
      <c r="BC82" s="38">
        <f t="shared" si="28"/>
        <v>0.32365215554403814</v>
      </c>
      <c r="BD82" s="38">
        <f t="shared" si="29"/>
        <v>0.23691936321279508</v>
      </c>
      <c r="BE82" s="39">
        <v>0.22120000000000001</v>
      </c>
      <c r="BF82" s="40" t="s">
        <v>10292</v>
      </c>
      <c r="BG82">
        <v>2025</v>
      </c>
    </row>
    <row r="83" spans="1:59" ht="15" customHeight="1" x14ac:dyDescent="0.3">
      <c r="A83" s="8" t="s">
        <v>8154</v>
      </c>
      <c r="B83" s="9">
        <v>160500</v>
      </c>
      <c r="C83" s="9">
        <v>136400</v>
      </c>
      <c r="D83" s="9">
        <v>24100</v>
      </c>
      <c r="E83" s="9">
        <v>129221</v>
      </c>
      <c r="F83" s="9">
        <v>7164</v>
      </c>
      <c r="G83" s="9">
        <v>3880</v>
      </c>
      <c r="H83" s="9">
        <v>7155</v>
      </c>
      <c r="I83" s="9"/>
      <c r="J83" s="9"/>
      <c r="K83" s="9">
        <v>5515</v>
      </c>
      <c r="L83" s="9">
        <v>130870</v>
      </c>
      <c r="M83" s="9"/>
      <c r="N83" s="9"/>
      <c r="O83" s="9">
        <v>18</v>
      </c>
      <c r="P83" s="9">
        <v>995</v>
      </c>
      <c r="Q83" s="9">
        <v>1</v>
      </c>
      <c r="R83" s="9"/>
      <c r="S83" s="9">
        <v>0</v>
      </c>
      <c r="T83" s="9"/>
      <c r="U83" s="9">
        <v>0</v>
      </c>
      <c r="V83" s="9"/>
      <c r="W83" s="9"/>
      <c r="X83" s="8"/>
      <c r="Y83" s="8"/>
      <c r="Z83" s="8"/>
      <c r="AA83" s="9">
        <v>820000</v>
      </c>
      <c r="AB83" s="10">
        <f t="shared" si="20"/>
        <v>0.19509873899595526</v>
      </c>
      <c r="AC83" s="9">
        <v>3050000</v>
      </c>
      <c r="AD83" s="9">
        <v>3050000</v>
      </c>
      <c r="AE83" s="9">
        <v>348000</v>
      </c>
      <c r="AF83" s="9">
        <v>4203000</v>
      </c>
      <c r="AG83" s="9">
        <v>978000</v>
      </c>
      <c r="AH83" s="9">
        <v>208000</v>
      </c>
      <c r="AI83" s="9">
        <v>6500</v>
      </c>
      <c r="AJ83" s="9"/>
      <c r="AK83" s="9"/>
      <c r="AL83" s="9"/>
      <c r="AM83" s="9"/>
      <c r="AN83" s="9"/>
      <c r="AO83" s="11">
        <f t="shared" si="21"/>
        <v>23.602974748686361</v>
      </c>
      <c r="AP83" s="11">
        <f t="shared" si="22"/>
        <v>23.602974748686361</v>
      </c>
      <c r="AQ83" s="11">
        <f t="shared" si="23"/>
        <v>7.5684292800705766</v>
      </c>
      <c r="AR83" s="10">
        <f t="shared" si="24"/>
        <v>0.23269093504639543</v>
      </c>
      <c r="AS83" s="10">
        <f t="shared" si="25"/>
        <v>4.9488460623364261E-2</v>
      </c>
      <c r="AT83" s="10">
        <f t="shared" si="26"/>
        <v>3.125E-2</v>
      </c>
      <c r="AU83" s="10">
        <f t="shared" si="27"/>
        <v>0</v>
      </c>
      <c r="AV83" s="12">
        <v>11115</v>
      </c>
      <c r="AW83" s="13"/>
      <c r="AX83" s="13"/>
      <c r="AY83" s="8"/>
      <c r="AZ83" s="8"/>
      <c r="BA83" s="8"/>
      <c r="BB83" s="8"/>
      <c r="BC83" s="38">
        <f t="shared" si="28"/>
        <v>0.32065573770491801</v>
      </c>
      <c r="BD83" s="38">
        <f t="shared" si="29"/>
        <v>0.25271317829457363</v>
      </c>
      <c r="BE83" s="39">
        <v>0.23300000000000001</v>
      </c>
      <c r="BF83" s="40" t="s">
        <v>10293</v>
      </c>
      <c r="BG83">
        <v>2023</v>
      </c>
    </row>
    <row r="84" spans="1:59" ht="15" customHeight="1" x14ac:dyDescent="0.3">
      <c r="A84" s="8" t="s">
        <v>8154</v>
      </c>
      <c r="B84" s="9">
        <v>160800</v>
      </c>
      <c r="C84" s="9">
        <v>135600</v>
      </c>
      <c r="D84" s="9">
        <v>25200</v>
      </c>
      <c r="E84" s="9">
        <v>128178</v>
      </c>
      <c r="F84" s="9">
        <v>7416</v>
      </c>
      <c r="G84" s="9">
        <v>4375</v>
      </c>
      <c r="H84" s="9">
        <v>6796</v>
      </c>
      <c r="I84" s="9"/>
      <c r="J84" s="9"/>
      <c r="K84" s="9">
        <v>5578</v>
      </c>
      <c r="L84" s="9">
        <v>130016</v>
      </c>
      <c r="M84" s="9"/>
      <c r="N84" s="9"/>
      <c r="O84" s="9">
        <v>18</v>
      </c>
      <c r="P84" s="9">
        <v>995</v>
      </c>
      <c r="Q84" s="9">
        <v>1</v>
      </c>
      <c r="R84" s="9"/>
      <c r="S84" s="9">
        <v>0</v>
      </c>
      <c r="T84" s="9"/>
      <c r="U84" s="9">
        <v>0</v>
      </c>
      <c r="V84" s="9"/>
      <c r="W84" s="9"/>
      <c r="X84" s="8"/>
      <c r="Y84" s="8"/>
      <c r="Z84" s="8"/>
      <c r="AA84" s="9">
        <v>679000</v>
      </c>
      <c r="AB84" s="10">
        <f t="shared" si="20"/>
        <v>0.17137809187279152</v>
      </c>
      <c r="AC84" s="9">
        <v>2946000</v>
      </c>
      <c r="AD84" s="9">
        <v>2946000</v>
      </c>
      <c r="AE84" s="9">
        <v>330000</v>
      </c>
      <c r="AF84" s="9">
        <v>3962000</v>
      </c>
      <c r="AG84" s="9">
        <v>916000</v>
      </c>
      <c r="AH84" s="9">
        <v>193000</v>
      </c>
      <c r="AI84" s="9">
        <v>20300</v>
      </c>
      <c r="AJ84" s="9"/>
      <c r="AK84" s="9"/>
      <c r="AL84" s="9"/>
      <c r="AM84" s="9"/>
      <c r="AN84" s="9"/>
      <c r="AO84" s="11">
        <f t="shared" si="21"/>
        <v>22.983663343163414</v>
      </c>
      <c r="AP84" s="11">
        <f t="shared" si="22"/>
        <v>22.983663343163414</v>
      </c>
      <c r="AQ84" s="11">
        <f t="shared" si="23"/>
        <v>7.1463121596529824</v>
      </c>
      <c r="AR84" s="10">
        <f t="shared" si="24"/>
        <v>0.23119636547198386</v>
      </c>
      <c r="AS84" s="10">
        <f t="shared" si="25"/>
        <v>4.8712771327612314E-2</v>
      </c>
      <c r="AT84" s="10">
        <f t="shared" si="26"/>
        <v>0.10518134715025906</v>
      </c>
      <c r="AU84" s="10">
        <f t="shared" si="27"/>
        <v>0</v>
      </c>
      <c r="AV84" s="12">
        <v>13156</v>
      </c>
      <c r="AW84" s="13"/>
      <c r="AX84" s="13"/>
      <c r="AY84" s="8"/>
      <c r="AZ84" s="8"/>
      <c r="BA84" s="8"/>
      <c r="BB84" s="8"/>
      <c r="BC84" s="38">
        <f t="shared" si="28"/>
        <v>0.31093007467752887</v>
      </c>
      <c r="BD84" s="38">
        <f t="shared" si="29"/>
        <v>0.25268965517241382</v>
      </c>
      <c r="BE84" s="39">
        <v>0.23100000000000001</v>
      </c>
      <c r="BF84" s="40" t="s">
        <v>10294</v>
      </c>
      <c r="BG84">
        <v>2024</v>
      </c>
    </row>
    <row r="85" spans="1:59" ht="15" customHeight="1" x14ac:dyDescent="0.3">
      <c r="A85" s="8" t="s">
        <v>8154</v>
      </c>
      <c r="B85" s="9">
        <v>159700</v>
      </c>
      <c r="C85" s="9">
        <v>132800</v>
      </c>
      <c r="D85" s="9">
        <v>26900</v>
      </c>
      <c r="E85" s="9">
        <v>125201</v>
      </c>
      <c r="F85" s="9">
        <v>7613</v>
      </c>
      <c r="G85" s="9">
        <v>4853</v>
      </c>
      <c r="H85" s="9">
        <v>4544</v>
      </c>
      <c r="I85" s="9"/>
      <c r="J85" s="9"/>
      <c r="K85" s="9">
        <v>5376</v>
      </c>
      <c r="L85" s="9">
        <v>127438</v>
      </c>
      <c r="M85" s="9"/>
      <c r="N85" s="9"/>
      <c r="O85" s="9">
        <v>18</v>
      </c>
      <c r="P85" s="9">
        <v>995</v>
      </c>
      <c r="Q85" s="9">
        <v>1</v>
      </c>
      <c r="R85" s="9"/>
      <c r="S85" s="9">
        <v>0</v>
      </c>
      <c r="T85" s="9"/>
      <c r="U85" s="9">
        <v>0</v>
      </c>
      <c r="V85" s="9"/>
      <c r="W85" s="9"/>
      <c r="X85" s="8"/>
      <c r="Y85" s="8"/>
      <c r="Z85" s="8"/>
      <c r="AA85" s="9">
        <v>659000</v>
      </c>
      <c r="AB85" s="10">
        <f t="shared" si="20"/>
        <v>0.16116409880166299</v>
      </c>
      <c r="AC85" s="9">
        <v>3040000</v>
      </c>
      <c r="AD85" s="9">
        <v>3040000</v>
      </c>
      <c r="AE85" s="9">
        <v>384000</v>
      </c>
      <c r="AF85" s="9">
        <v>4089000</v>
      </c>
      <c r="AG85" s="9">
        <v>953000</v>
      </c>
      <c r="AH85" s="9">
        <v>202000</v>
      </c>
      <c r="AI85" s="9">
        <v>22100</v>
      </c>
      <c r="AJ85" s="9"/>
      <c r="AK85" s="9"/>
      <c r="AL85" s="9"/>
      <c r="AM85" s="9"/>
      <c r="AN85" s="9"/>
      <c r="AO85" s="11">
        <f t="shared" si="21"/>
        <v>24.280956222394391</v>
      </c>
      <c r="AP85" s="11">
        <f t="shared" si="22"/>
        <v>24.280956222394391</v>
      </c>
      <c r="AQ85" s="11">
        <f t="shared" si="23"/>
        <v>7.6117602894545575</v>
      </c>
      <c r="AR85" s="10">
        <f t="shared" si="24"/>
        <v>0.23306431890437759</v>
      </c>
      <c r="AS85" s="10">
        <f t="shared" si="25"/>
        <v>4.9400831499144045E-2</v>
      </c>
      <c r="AT85" s="10">
        <f t="shared" si="26"/>
        <v>0.10940594059405941</v>
      </c>
      <c r="AU85" s="10">
        <f t="shared" si="27"/>
        <v>0</v>
      </c>
      <c r="AV85" s="12">
        <v>14220</v>
      </c>
      <c r="AW85" s="13"/>
      <c r="AX85" s="13"/>
      <c r="AY85" s="8"/>
      <c r="AZ85" s="8"/>
      <c r="BA85" s="8"/>
      <c r="BB85" s="8"/>
      <c r="BC85" s="38">
        <f t="shared" si="28"/>
        <v>0.31348684210526317</v>
      </c>
      <c r="BD85" s="38">
        <f t="shared" si="29"/>
        <v>0.25763719924303868</v>
      </c>
      <c r="BE85" s="39">
        <v>0.23300000000000001</v>
      </c>
      <c r="BF85" s="40" t="s">
        <v>10293</v>
      </c>
      <c r="BG85">
        <v>2025</v>
      </c>
    </row>
    <row r="86" spans="1:59" ht="15" customHeight="1" x14ac:dyDescent="0.3">
      <c r="A86" s="8" t="s">
        <v>8514</v>
      </c>
      <c r="B86" s="9">
        <v>60497</v>
      </c>
      <c r="C86" s="9">
        <v>48524</v>
      </c>
      <c r="D86" s="9">
        <v>11973</v>
      </c>
      <c r="E86" s="9">
        <v>59937</v>
      </c>
      <c r="F86" s="9">
        <v>560</v>
      </c>
      <c r="G86" s="9"/>
      <c r="H86" s="9"/>
      <c r="I86" s="9">
        <v>14.5</v>
      </c>
      <c r="J86" s="9"/>
      <c r="K86" s="9"/>
      <c r="L86" s="9">
        <v>60497</v>
      </c>
      <c r="M86" s="9"/>
      <c r="N86" s="9"/>
      <c r="O86" s="9">
        <v>6</v>
      </c>
      <c r="P86" s="9">
        <v>335</v>
      </c>
      <c r="Q86" s="9">
        <v>0</v>
      </c>
      <c r="R86" s="9"/>
      <c r="S86" s="9">
        <v>0</v>
      </c>
      <c r="T86" s="9"/>
      <c r="U86" s="9"/>
      <c r="V86" s="9"/>
      <c r="W86" s="9"/>
      <c r="X86" s="8"/>
      <c r="Y86" s="8"/>
      <c r="Z86" s="8"/>
      <c r="AA86" s="9">
        <v>196484</v>
      </c>
      <c r="AB86" s="10">
        <f t="shared" si="20"/>
        <v>0.13939464453954165</v>
      </c>
      <c r="AC86" s="9">
        <v>1068338</v>
      </c>
      <c r="AD86" s="9">
        <v>1068338</v>
      </c>
      <c r="AE86" s="9">
        <v>144730</v>
      </c>
      <c r="AF86" s="9">
        <v>1409552</v>
      </c>
      <c r="AG86" s="9">
        <v>327688</v>
      </c>
      <c r="AH86" s="9">
        <v>52207</v>
      </c>
      <c r="AI86" s="9"/>
      <c r="AJ86" s="9"/>
      <c r="AK86" s="9"/>
      <c r="AL86" s="9"/>
      <c r="AM86" s="9"/>
      <c r="AN86" s="9"/>
      <c r="AO86" s="11">
        <f t="shared" si="21"/>
        <v>17.824348899677997</v>
      </c>
      <c r="AP86" s="11">
        <f t="shared" si="22"/>
        <v>17.824348899677997</v>
      </c>
      <c r="AQ86" s="11">
        <f t="shared" si="23"/>
        <v>5.4672072342626423</v>
      </c>
      <c r="AR86" s="10">
        <f t="shared" si="24"/>
        <v>0.232476701817315</v>
      </c>
      <c r="AS86" s="10">
        <f t="shared" si="25"/>
        <v>3.7038009239815206E-2</v>
      </c>
      <c r="AT86" s="10">
        <f t="shared" si="26"/>
        <v>0</v>
      </c>
      <c r="AU86" s="10">
        <f t="shared" si="27"/>
        <v>0</v>
      </c>
      <c r="AV86" s="12">
        <v>10959</v>
      </c>
      <c r="AW86" s="13">
        <v>1</v>
      </c>
      <c r="AX86" s="13">
        <v>0</v>
      </c>
      <c r="AY86" s="8"/>
      <c r="AZ86" s="8"/>
      <c r="BA86" s="8"/>
      <c r="BB86" s="8"/>
      <c r="BC86" s="38">
        <f t="shared" si="28"/>
        <v>0.30672689729280433</v>
      </c>
      <c r="BD86" s="38">
        <f t="shared" si="29"/>
        <v>0.25907835252707495</v>
      </c>
      <c r="BE86" s="39">
        <v>0.23200000000000001</v>
      </c>
      <c r="BF86" s="40" t="s">
        <v>10295</v>
      </c>
      <c r="BG86">
        <v>2023</v>
      </c>
    </row>
    <row r="87" spans="1:59" ht="15" customHeight="1" x14ac:dyDescent="0.3">
      <c r="A87" s="8" t="s">
        <v>8514</v>
      </c>
      <c r="B87" s="9">
        <v>60515</v>
      </c>
      <c r="C87" s="9">
        <v>48542</v>
      </c>
      <c r="D87" s="9">
        <v>11973</v>
      </c>
      <c r="E87" s="9">
        <v>59165</v>
      </c>
      <c r="F87" s="9">
        <v>260</v>
      </c>
      <c r="G87" s="9"/>
      <c r="H87" s="9"/>
      <c r="I87" s="9">
        <v>15.5</v>
      </c>
      <c r="J87" s="9"/>
      <c r="K87" s="9"/>
      <c r="L87" s="9">
        <v>60515</v>
      </c>
      <c r="M87" s="9"/>
      <c r="N87" s="9"/>
      <c r="O87" s="9">
        <v>6</v>
      </c>
      <c r="P87" s="9">
        <v>335</v>
      </c>
      <c r="Q87" s="9">
        <v>1</v>
      </c>
      <c r="R87" s="9">
        <v>4.17</v>
      </c>
      <c r="S87" s="9">
        <v>0</v>
      </c>
      <c r="T87" s="9"/>
      <c r="U87" s="9"/>
      <c r="V87" s="9"/>
      <c r="W87" s="9"/>
      <c r="X87" s="8"/>
      <c r="Y87" s="8"/>
      <c r="Z87" s="8"/>
      <c r="AA87" s="9">
        <v>162383</v>
      </c>
      <c r="AB87" s="10">
        <f t="shared" si="20"/>
        <v>0.11752602091516325</v>
      </c>
      <c r="AC87" s="9">
        <v>1071173</v>
      </c>
      <c r="AD87" s="9">
        <v>1071173</v>
      </c>
      <c r="AE87" s="9">
        <v>148121</v>
      </c>
      <c r="AF87" s="9">
        <v>1381677</v>
      </c>
      <c r="AG87" s="9">
        <v>324857</v>
      </c>
      <c r="AH87" s="9">
        <v>50787</v>
      </c>
      <c r="AI87" s="9">
        <v>5262</v>
      </c>
      <c r="AJ87" s="9"/>
      <c r="AK87" s="9"/>
      <c r="AL87" s="9"/>
      <c r="AM87" s="9"/>
      <c r="AN87" s="9">
        <v>6862</v>
      </c>
      <c r="AO87" s="11">
        <f t="shared" si="21"/>
        <v>18.104842389926478</v>
      </c>
      <c r="AP87" s="11">
        <f t="shared" si="22"/>
        <v>18.104842389926478</v>
      </c>
      <c r="AQ87" s="11">
        <f t="shared" si="23"/>
        <v>5.4906955125496495</v>
      </c>
      <c r="AR87" s="10">
        <f t="shared" si="24"/>
        <v>0.23511790382267347</v>
      </c>
      <c r="AS87" s="10">
        <f t="shared" si="25"/>
        <v>3.6757505553034461E-2</v>
      </c>
      <c r="AT87" s="10">
        <f t="shared" si="26"/>
        <v>0.10360919132848957</v>
      </c>
      <c r="AU87" s="10">
        <f t="shared" si="27"/>
        <v>0.1351133163998661</v>
      </c>
      <c r="AV87" s="12">
        <v>12230</v>
      </c>
      <c r="AW87" s="13">
        <v>1</v>
      </c>
      <c r="AX87" s="13">
        <v>0</v>
      </c>
      <c r="AY87" s="8"/>
      <c r="AZ87" s="8"/>
      <c r="BA87" s="8"/>
      <c r="BB87" s="8"/>
      <c r="BC87" s="38">
        <f t="shared" si="28"/>
        <v>0.30327220719715675</v>
      </c>
      <c r="BD87" s="38">
        <f t="shared" si="29"/>
        <v>0.26335002221220599</v>
      </c>
      <c r="BE87" s="39">
        <v>0.23499999999999999</v>
      </c>
      <c r="BF87" s="40" t="s">
        <v>10296</v>
      </c>
      <c r="BG87">
        <v>2024</v>
      </c>
    </row>
    <row r="88" spans="1:59" ht="15" customHeight="1" x14ac:dyDescent="0.3">
      <c r="A88" s="8" t="s">
        <v>8514</v>
      </c>
      <c r="B88" s="9">
        <v>64430</v>
      </c>
      <c r="C88" s="9">
        <v>51960</v>
      </c>
      <c r="D88" s="9">
        <v>12470</v>
      </c>
      <c r="E88" s="9">
        <v>63975</v>
      </c>
      <c r="F88" s="9">
        <v>455</v>
      </c>
      <c r="G88" s="9"/>
      <c r="H88" s="9"/>
      <c r="I88" s="9">
        <v>16.100000000000001</v>
      </c>
      <c r="J88" s="9"/>
      <c r="K88" s="9"/>
      <c r="L88" s="9">
        <v>64430</v>
      </c>
      <c r="M88" s="9"/>
      <c r="N88" s="9"/>
      <c r="O88" s="9">
        <v>6</v>
      </c>
      <c r="P88" s="9">
        <v>335</v>
      </c>
      <c r="Q88" s="9">
        <v>1</v>
      </c>
      <c r="R88" s="9">
        <v>4.17</v>
      </c>
      <c r="S88" s="9">
        <v>0</v>
      </c>
      <c r="T88" s="9"/>
      <c r="U88" s="9"/>
      <c r="V88" s="9"/>
      <c r="W88" s="9"/>
      <c r="X88" s="8"/>
      <c r="Y88" s="8"/>
      <c r="Z88" s="8"/>
      <c r="AA88" s="9">
        <v>192405</v>
      </c>
      <c r="AB88" s="10">
        <f t="shared" si="20"/>
        <v>0.13147456094856019</v>
      </c>
      <c r="AC88" s="9">
        <v>1109558</v>
      </c>
      <c r="AD88" s="9">
        <v>1109558</v>
      </c>
      <c r="AE88" s="9">
        <v>161476</v>
      </c>
      <c r="AF88" s="9">
        <v>1463439</v>
      </c>
      <c r="AG88" s="9">
        <v>333092</v>
      </c>
      <c r="AH88" s="9">
        <v>52197</v>
      </c>
      <c r="AI88" s="9">
        <v>11991</v>
      </c>
      <c r="AJ88" s="9"/>
      <c r="AK88" s="9"/>
      <c r="AL88" s="9"/>
      <c r="AM88" s="9"/>
      <c r="AN88" s="9">
        <v>15803</v>
      </c>
      <c r="AO88" s="11">
        <f t="shared" si="21"/>
        <v>17.343618601016022</v>
      </c>
      <c r="AP88" s="11">
        <f t="shared" si="22"/>
        <v>17.343618601016022</v>
      </c>
      <c r="AQ88" s="11">
        <f t="shared" si="23"/>
        <v>5.2065963266901134</v>
      </c>
      <c r="AR88" s="10">
        <f t="shared" si="24"/>
        <v>0.22760907697553504</v>
      </c>
      <c r="AS88" s="10">
        <f t="shared" si="25"/>
        <v>3.5667356138520297E-2</v>
      </c>
      <c r="AT88" s="10">
        <f t="shared" si="26"/>
        <v>0.22972584631300649</v>
      </c>
      <c r="AU88" s="10">
        <f t="shared" si="27"/>
        <v>0.3027568634212694</v>
      </c>
      <c r="AV88" s="12">
        <v>14004</v>
      </c>
      <c r="AW88" s="13">
        <v>1</v>
      </c>
      <c r="AX88" s="13">
        <v>0</v>
      </c>
      <c r="AY88" s="8"/>
      <c r="AZ88" s="8"/>
      <c r="BA88" s="8"/>
      <c r="BB88" s="8"/>
      <c r="BC88" s="38">
        <f t="shared" si="28"/>
        <v>0.30020242294679506</v>
      </c>
      <c r="BD88" s="38">
        <f t="shared" si="29"/>
        <v>0.25583829955229143</v>
      </c>
      <c r="BE88" s="39">
        <v>0.2276</v>
      </c>
      <c r="BF88" s="40" t="s">
        <v>10297</v>
      </c>
      <c r="BG88">
        <v>2025</v>
      </c>
    </row>
    <row r="89" spans="1:59" ht="15" customHeight="1" x14ac:dyDescent="0.3">
      <c r="A89" s="8" t="s">
        <v>8828</v>
      </c>
      <c r="B89" s="9">
        <v>52192</v>
      </c>
      <c r="C89" s="9">
        <v>37217</v>
      </c>
      <c r="D89" s="9">
        <v>14975</v>
      </c>
      <c r="E89" s="9">
        <v>45968</v>
      </c>
      <c r="F89" s="9">
        <v>6346</v>
      </c>
      <c r="G89" s="9"/>
      <c r="H89" s="9"/>
      <c r="I89" s="9"/>
      <c r="J89" s="9"/>
      <c r="K89" s="9">
        <v>62583</v>
      </c>
      <c r="L89" s="9">
        <v>411</v>
      </c>
      <c r="M89" s="9">
        <v>0</v>
      </c>
      <c r="N89" s="9">
        <v>3222</v>
      </c>
      <c r="O89" s="9">
        <v>5</v>
      </c>
      <c r="P89" s="9">
        <v>240</v>
      </c>
      <c r="Q89" s="9">
        <v>1</v>
      </c>
      <c r="R89" s="9"/>
      <c r="S89" s="9">
        <v>1</v>
      </c>
      <c r="T89" s="9">
        <v>495000</v>
      </c>
      <c r="U89" s="9">
        <v>1</v>
      </c>
      <c r="V89" s="9">
        <v>165000</v>
      </c>
      <c r="W89" s="9">
        <v>0</v>
      </c>
      <c r="X89" s="8"/>
      <c r="Y89" s="8"/>
      <c r="Z89" s="8"/>
      <c r="AA89" s="9"/>
      <c r="AB89" s="10" t="str">
        <f t="shared" si="20"/>
        <v/>
      </c>
      <c r="AC89" s="9">
        <v>376655</v>
      </c>
      <c r="AD89" s="9"/>
      <c r="AE89" s="9"/>
      <c r="AF89" s="9"/>
      <c r="AG89" s="9">
        <v>154701</v>
      </c>
      <c r="AH89" s="9">
        <v>36488</v>
      </c>
      <c r="AI89" s="9"/>
      <c r="AJ89" s="9"/>
      <c r="AK89" s="9"/>
      <c r="AL89" s="9"/>
      <c r="AM89" s="9"/>
      <c r="AN89" s="9"/>
      <c r="AO89" s="11">
        <f t="shared" si="21"/>
        <v>8.1938522450400271</v>
      </c>
      <c r="AP89" s="11">
        <f t="shared" si="22"/>
        <v>0</v>
      </c>
      <c r="AQ89" s="11">
        <f t="shared" si="23"/>
        <v>3.3654063696484511</v>
      </c>
      <c r="AR89" s="10" t="str">
        <f t="shared" si="24"/>
        <v/>
      </c>
      <c r="AS89" s="10" t="str">
        <f t="shared" si="25"/>
        <v/>
      </c>
      <c r="AT89" s="10">
        <f t="shared" si="26"/>
        <v>0</v>
      </c>
      <c r="AU89" s="10">
        <f t="shared" si="27"/>
        <v>0</v>
      </c>
      <c r="AV89" s="12"/>
      <c r="AW89" s="13">
        <v>0.69340000000000002</v>
      </c>
      <c r="AX89" s="13">
        <v>0.30659999999999998</v>
      </c>
      <c r="AY89" s="8"/>
      <c r="AZ89" s="8"/>
      <c r="BA89" s="8"/>
      <c r="BB89" s="8"/>
      <c r="BC89" s="38">
        <f t="shared" si="28"/>
        <v>0.41072334098843771</v>
      </c>
      <c r="BD89" s="38">
        <f t="shared" si="29"/>
        <v>0.41072334098843771</v>
      </c>
      <c r="BE89" s="39"/>
      <c r="BF89" s="40" t="s">
        <v>10298</v>
      </c>
      <c r="BG89">
        <v>2022</v>
      </c>
    </row>
    <row r="90" spans="1:59" ht="15" customHeight="1" x14ac:dyDescent="0.3">
      <c r="A90" s="8" t="s">
        <v>8828</v>
      </c>
      <c r="B90" s="9">
        <v>54828</v>
      </c>
      <c r="C90" s="9">
        <v>39853</v>
      </c>
      <c r="D90" s="9">
        <v>14975</v>
      </c>
      <c r="E90" s="9">
        <v>62677</v>
      </c>
      <c r="F90" s="9">
        <v>7036</v>
      </c>
      <c r="G90" s="9"/>
      <c r="H90" s="9"/>
      <c r="I90" s="9"/>
      <c r="J90" s="9"/>
      <c r="K90" s="9">
        <v>65119</v>
      </c>
      <c r="L90" s="9">
        <v>411</v>
      </c>
      <c r="M90" s="9">
        <v>0</v>
      </c>
      <c r="N90" s="9">
        <v>3222</v>
      </c>
      <c r="O90" s="9">
        <v>5</v>
      </c>
      <c r="P90" s="9">
        <v>240</v>
      </c>
      <c r="Q90" s="9">
        <v>1</v>
      </c>
      <c r="R90" s="9"/>
      <c r="S90" s="9">
        <v>1</v>
      </c>
      <c r="T90" s="9">
        <v>495000</v>
      </c>
      <c r="U90" s="9">
        <v>1</v>
      </c>
      <c r="V90" s="9">
        <v>165000</v>
      </c>
      <c r="W90" s="9">
        <v>0</v>
      </c>
      <c r="X90" s="8"/>
      <c r="Y90" s="8"/>
      <c r="Z90" s="8"/>
      <c r="AA90" s="9"/>
      <c r="AB90" s="10" t="str">
        <f t="shared" si="20"/>
        <v/>
      </c>
      <c r="AC90" s="9">
        <v>366113</v>
      </c>
      <c r="AD90" s="9"/>
      <c r="AE90" s="9"/>
      <c r="AF90" s="9"/>
      <c r="AG90" s="9">
        <v>123628</v>
      </c>
      <c r="AH90" s="9">
        <v>28591</v>
      </c>
      <c r="AI90" s="9"/>
      <c r="AJ90" s="9"/>
      <c r="AK90" s="9"/>
      <c r="AL90" s="9"/>
      <c r="AM90" s="9"/>
      <c r="AN90" s="9"/>
      <c r="AO90" s="11">
        <f t="shared" si="21"/>
        <v>5.8412655360020418</v>
      </c>
      <c r="AP90" s="11">
        <f t="shared" si="22"/>
        <v>0</v>
      </c>
      <c r="AQ90" s="11">
        <f t="shared" si="23"/>
        <v>1.9724619876509724</v>
      </c>
      <c r="AR90" s="10" t="str">
        <f t="shared" si="24"/>
        <v/>
      </c>
      <c r="AS90" s="10" t="str">
        <f t="shared" si="25"/>
        <v/>
      </c>
      <c r="AT90" s="10">
        <f t="shared" si="26"/>
        <v>0</v>
      </c>
      <c r="AU90" s="10">
        <f t="shared" si="27"/>
        <v>0</v>
      </c>
      <c r="AV90" s="12"/>
      <c r="AW90" s="13">
        <v>0.93689999999999996</v>
      </c>
      <c r="AX90" s="13">
        <v>6.3100000000000003E-2</v>
      </c>
      <c r="AY90" s="8"/>
      <c r="AZ90" s="8"/>
      <c r="BA90" s="8"/>
      <c r="BB90" s="8"/>
      <c r="BC90" s="38">
        <f t="shared" si="28"/>
        <v>0.33767716524679536</v>
      </c>
      <c r="BD90" s="38">
        <f t="shared" si="29"/>
        <v>0.33767716524679536</v>
      </c>
      <c r="BE90" s="39"/>
      <c r="BF90" s="40" t="s">
        <v>10299</v>
      </c>
      <c r="BG90">
        <v>2023</v>
      </c>
    </row>
    <row r="91" spans="1:59" ht="15" customHeight="1" x14ac:dyDescent="0.3">
      <c r="A91" s="8" t="s">
        <v>8828</v>
      </c>
      <c r="B91" s="9">
        <v>56147</v>
      </c>
      <c r="C91" s="9">
        <v>43745</v>
      </c>
      <c r="D91" s="9">
        <v>14975</v>
      </c>
      <c r="E91" s="9">
        <v>43869</v>
      </c>
      <c r="F91" s="9">
        <v>12278</v>
      </c>
      <c r="G91" s="9"/>
      <c r="H91" s="9"/>
      <c r="I91" s="9"/>
      <c r="J91" s="9"/>
      <c r="K91" s="9">
        <v>51776</v>
      </c>
      <c r="L91" s="9">
        <v>411</v>
      </c>
      <c r="M91" s="9">
        <v>0</v>
      </c>
      <c r="N91" s="9">
        <v>3222</v>
      </c>
      <c r="O91" s="9">
        <v>5</v>
      </c>
      <c r="P91" s="9">
        <v>240</v>
      </c>
      <c r="Q91" s="9">
        <v>0</v>
      </c>
      <c r="R91" s="9"/>
      <c r="S91" s="9">
        <v>0</v>
      </c>
      <c r="T91" s="9"/>
      <c r="U91" s="9">
        <v>0</v>
      </c>
      <c r="V91" s="9"/>
      <c r="W91" s="9">
        <v>0</v>
      </c>
      <c r="X91" s="8"/>
      <c r="Y91" s="8"/>
      <c r="Z91" s="8"/>
      <c r="AA91" s="9"/>
      <c r="AB91" s="10" t="str">
        <f t="shared" si="20"/>
        <v/>
      </c>
      <c r="AC91" s="9">
        <v>347865</v>
      </c>
      <c r="AD91" s="9"/>
      <c r="AE91" s="9"/>
      <c r="AF91" s="9"/>
      <c r="AG91" s="9">
        <v>113918</v>
      </c>
      <c r="AH91" s="9">
        <v>24263</v>
      </c>
      <c r="AI91" s="9"/>
      <c r="AJ91" s="9"/>
      <c r="AK91" s="9"/>
      <c r="AL91" s="9"/>
      <c r="AM91" s="9"/>
      <c r="AN91" s="9"/>
      <c r="AO91" s="11">
        <f t="shared" si="21"/>
        <v>7.9296314025849686</v>
      </c>
      <c r="AP91" s="11">
        <f t="shared" si="22"/>
        <v>0</v>
      </c>
      <c r="AQ91" s="11">
        <f t="shared" si="23"/>
        <v>2.5967767671932345</v>
      </c>
      <c r="AR91" s="10" t="str">
        <f t="shared" si="24"/>
        <v/>
      </c>
      <c r="AS91" s="10" t="str">
        <f t="shared" si="25"/>
        <v/>
      </c>
      <c r="AT91" s="10">
        <f t="shared" si="26"/>
        <v>0</v>
      </c>
      <c r="AU91" s="10">
        <f t="shared" si="27"/>
        <v>0</v>
      </c>
      <c r="AV91" s="12"/>
      <c r="AW91" s="13">
        <v>0.9738</v>
      </c>
      <c r="AX91" s="13">
        <v>2.6200000000000001E-2</v>
      </c>
      <c r="AY91" s="8"/>
      <c r="AZ91" s="8"/>
      <c r="BA91" s="8"/>
      <c r="BB91" s="8"/>
      <c r="BC91" s="38">
        <f t="shared" si="28"/>
        <v>0.32747761344199616</v>
      </c>
      <c r="BD91" s="38">
        <f t="shared" si="29"/>
        <v>0.32747761344199616</v>
      </c>
      <c r="BE91" s="39"/>
      <c r="BF91" s="40" t="s">
        <v>10300</v>
      </c>
      <c r="BG91">
        <v>2024</v>
      </c>
    </row>
    <row r="92" spans="1:59" ht="15" customHeight="1" x14ac:dyDescent="0.3">
      <c r="A92" s="8" t="s">
        <v>9276</v>
      </c>
      <c r="B92" s="9"/>
      <c r="C92" s="9"/>
      <c r="D92" s="9"/>
      <c r="E92" s="9"/>
      <c r="F92" s="9"/>
      <c r="G92" s="9"/>
      <c r="H92" s="9"/>
      <c r="I92" s="9"/>
      <c r="J92" s="9"/>
      <c r="K92" s="9"/>
      <c r="L92" s="9"/>
      <c r="M92" s="9"/>
      <c r="N92" s="9"/>
      <c r="O92" s="9"/>
      <c r="P92" s="9"/>
      <c r="Q92" s="9"/>
      <c r="R92" s="9"/>
      <c r="S92" s="9"/>
      <c r="T92" s="9"/>
      <c r="U92" s="9"/>
      <c r="V92" s="9"/>
      <c r="W92" s="9"/>
      <c r="X92" s="8"/>
      <c r="Y92" s="8"/>
      <c r="Z92" s="8"/>
      <c r="AA92" s="9"/>
      <c r="AB92" s="10" t="str">
        <f t="shared" si="20"/>
        <v/>
      </c>
      <c r="AC92" s="9"/>
      <c r="AD92" s="9"/>
      <c r="AE92" s="9"/>
      <c r="AF92" s="9"/>
      <c r="AG92" s="9"/>
      <c r="AH92" s="9"/>
      <c r="AI92" s="9"/>
      <c r="AJ92" s="9"/>
      <c r="AK92" s="9"/>
      <c r="AL92" s="9"/>
      <c r="AM92" s="9"/>
      <c r="AN92" s="9"/>
      <c r="AO92" s="11" t="str">
        <f t="shared" si="21"/>
        <v/>
      </c>
      <c r="AP92" s="11" t="str">
        <f t="shared" si="22"/>
        <v/>
      </c>
      <c r="AQ92" s="11" t="str">
        <f t="shared" si="23"/>
        <v/>
      </c>
      <c r="AR92" s="10" t="str">
        <f t="shared" si="24"/>
        <v/>
      </c>
      <c r="AS92" s="10" t="str">
        <f t="shared" si="25"/>
        <v/>
      </c>
      <c r="AT92" s="10" t="str">
        <f t="shared" si="26"/>
        <v/>
      </c>
      <c r="AU92" s="10" t="str">
        <f t="shared" si="27"/>
        <v/>
      </c>
      <c r="AV92" s="12"/>
      <c r="AW92" s="13"/>
      <c r="AX92" s="13"/>
      <c r="AY92" s="8"/>
      <c r="AZ92" s="8"/>
      <c r="BA92" s="8"/>
      <c r="BB92" s="8"/>
      <c r="BC92" s="38" t="str">
        <f t="shared" si="28"/>
        <v/>
      </c>
      <c r="BD92" s="38" t="str">
        <f t="shared" si="29"/>
        <v/>
      </c>
      <c r="BE92" s="39"/>
      <c r="BF92" s="40" t="s">
        <v>10301</v>
      </c>
      <c r="BG92">
        <v>2022</v>
      </c>
    </row>
    <row r="93" spans="1:59" ht="15" customHeight="1" x14ac:dyDescent="0.3">
      <c r="A93" s="8" t="s">
        <v>9276</v>
      </c>
      <c r="B93" s="9"/>
      <c r="C93" s="9"/>
      <c r="D93" s="9"/>
      <c r="E93" s="9"/>
      <c r="F93" s="9"/>
      <c r="G93" s="9"/>
      <c r="H93" s="9"/>
      <c r="I93" s="9"/>
      <c r="J93" s="9"/>
      <c r="K93" s="9"/>
      <c r="L93" s="9"/>
      <c r="M93" s="9"/>
      <c r="N93" s="9"/>
      <c r="O93" s="9"/>
      <c r="P93" s="9"/>
      <c r="Q93" s="9"/>
      <c r="R93" s="9"/>
      <c r="S93" s="9"/>
      <c r="T93" s="9"/>
      <c r="U93" s="9"/>
      <c r="V93" s="9"/>
      <c r="W93" s="9"/>
      <c r="X93" s="8"/>
      <c r="Y93" s="8"/>
      <c r="Z93" s="8"/>
      <c r="AA93" s="9"/>
      <c r="AB93" s="10" t="str">
        <f t="shared" si="20"/>
        <v/>
      </c>
      <c r="AC93" s="9"/>
      <c r="AD93" s="9"/>
      <c r="AE93" s="9"/>
      <c r="AF93" s="9"/>
      <c r="AG93" s="9"/>
      <c r="AH93" s="9"/>
      <c r="AI93" s="9"/>
      <c r="AJ93" s="9"/>
      <c r="AK93" s="9"/>
      <c r="AL93" s="9"/>
      <c r="AM93" s="9"/>
      <c r="AN93" s="9"/>
      <c r="AO93" s="11" t="str">
        <f t="shared" si="21"/>
        <v/>
      </c>
      <c r="AP93" s="11" t="str">
        <f t="shared" si="22"/>
        <v/>
      </c>
      <c r="AQ93" s="11" t="str">
        <f t="shared" si="23"/>
        <v/>
      </c>
      <c r="AR93" s="10" t="str">
        <f t="shared" si="24"/>
        <v/>
      </c>
      <c r="AS93" s="10" t="str">
        <f t="shared" si="25"/>
        <v/>
      </c>
      <c r="AT93" s="10" t="str">
        <f t="shared" si="26"/>
        <v/>
      </c>
      <c r="AU93" s="10" t="str">
        <f t="shared" si="27"/>
        <v/>
      </c>
      <c r="AV93" s="12"/>
      <c r="AW93" s="13"/>
      <c r="AX93" s="13"/>
      <c r="AY93" s="8"/>
      <c r="AZ93" s="8"/>
      <c r="BA93" s="8"/>
      <c r="BB93" s="8"/>
      <c r="BC93" s="38" t="str">
        <f t="shared" si="28"/>
        <v/>
      </c>
      <c r="BD93" s="38" t="str">
        <f t="shared" si="29"/>
        <v/>
      </c>
      <c r="BE93" s="39"/>
      <c r="BF93" s="40" t="s">
        <v>10301</v>
      </c>
      <c r="BG93">
        <v>2023</v>
      </c>
    </row>
    <row r="94" spans="1:59" ht="15" customHeight="1" x14ac:dyDescent="0.3">
      <c r="A94" s="8" t="s">
        <v>9276</v>
      </c>
      <c r="B94" s="9"/>
      <c r="C94" s="9"/>
      <c r="D94" s="9"/>
      <c r="E94" s="9"/>
      <c r="F94" s="9"/>
      <c r="G94" s="9"/>
      <c r="H94" s="9"/>
      <c r="I94" s="9"/>
      <c r="J94" s="9"/>
      <c r="K94" s="9"/>
      <c r="L94" s="9"/>
      <c r="M94" s="9"/>
      <c r="N94" s="9"/>
      <c r="O94" s="9"/>
      <c r="P94" s="9"/>
      <c r="Q94" s="9"/>
      <c r="R94" s="9"/>
      <c r="S94" s="9"/>
      <c r="T94" s="9"/>
      <c r="U94" s="9"/>
      <c r="V94" s="9"/>
      <c r="W94" s="9"/>
      <c r="X94" s="8"/>
      <c r="Y94" s="8"/>
      <c r="Z94" s="8"/>
      <c r="AA94" s="9"/>
      <c r="AB94" s="10" t="str">
        <f t="shared" si="20"/>
        <v/>
      </c>
      <c r="AC94" s="9"/>
      <c r="AD94" s="9"/>
      <c r="AE94" s="9"/>
      <c r="AF94" s="9"/>
      <c r="AG94" s="9"/>
      <c r="AH94" s="9"/>
      <c r="AI94" s="9"/>
      <c r="AJ94" s="9"/>
      <c r="AK94" s="9"/>
      <c r="AL94" s="9"/>
      <c r="AM94" s="9"/>
      <c r="AN94" s="9"/>
      <c r="AO94" s="11" t="str">
        <f t="shared" si="21"/>
        <v/>
      </c>
      <c r="AP94" s="11" t="str">
        <f t="shared" si="22"/>
        <v/>
      </c>
      <c r="AQ94" s="11" t="str">
        <f t="shared" si="23"/>
        <v/>
      </c>
      <c r="AR94" s="10" t="str">
        <f t="shared" si="24"/>
        <v/>
      </c>
      <c r="AS94" s="10" t="str">
        <f t="shared" si="25"/>
        <v/>
      </c>
      <c r="AT94" s="10" t="str">
        <f t="shared" si="26"/>
        <v/>
      </c>
      <c r="AU94" s="10" t="str">
        <f t="shared" si="27"/>
        <v/>
      </c>
      <c r="AV94" s="12"/>
      <c r="AW94" s="13"/>
      <c r="AX94" s="13"/>
      <c r="AY94" s="8"/>
      <c r="AZ94" s="8"/>
      <c r="BA94" s="8"/>
      <c r="BB94" s="8"/>
      <c r="BC94" s="38" t="str">
        <f t="shared" si="28"/>
        <v/>
      </c>
      <c r="BD94" s="38" t="str">
        <f t="shared" si="29"/>
        <v/>
      </c>
      <c r="BE94" s="39"/>
      <c r="BF94" s="40" t="s">
        <v>10302</v>
      </c>
      <c r="BG94">
        <v>2024</v>
      </c>
    </row>
    <row r="95" spans="1:59" ht="15" customHeight="1" x14ac:dyDescent="0.3">
      <c r="A95" s="8"/>
      <c r="B95" s="9"/>
      <c r="C95" s="9"/>
      <c r="D95" s="9"/>
      <c r="E95" s="9"/>
      <c r="F95" s="9"/>
      <c r="G95" s="9"/>
      <c r="H95" s="9"/>
      <c r="I95" s="9"/>
      <c r="J95" s="9"/>
      <c r="K95" s="9"/>
      <c r="L95" s="9"/>
      <c r="M95" s="9"/>
      <c r="N95" s="9"/>
      <c r="O95" s="9"/>
      <c r="P95" s="9"/>
      <c r="Q95" s="9"/>
      <c r="R95" s="9"/>
      <c r="S95" s="9"/>
      <c r="T95" s="9"/>
      <c r="U95" s="9"/>
      <c r="V95" s="9"/>
      <c r="W95" s="9"/>
      <c r="X95" s="8"/>
      <c r="Y95" s="8"/>
      <c r="Z95" s="8"/>
      <c r="AA95" s="9"/>
      <c r="AB95" s="10" t="str">
        <f t="shared" si="20"/>
        <v/>
      </c>
      <c r="AC95" s="9"/>
      <c r="AD95" s="9"/>
      <c r="AE95" s="9"/>
      <c r="AF95" s="9"/>
      <c r="AG95" s="9"/>
      <c r="AH95" s="9"/>
      <c r="AI95" s="9"/>
      <c r="AJ95" s="9"/>
      <c r="AK95" s="9"/>
      <c r="AL95" s="9"/>
      <c r="AM95" s="9"/>
      <c r="AN95" s="9"/>
      <c r="AO95" s="11" t="str">
        <f t="shared" si="21"/>
        <v/>
      </c>
      <c r="AP95" s="11" t="str">
        <f t="shared" si="22"/>
        <v/>
      </c>
      <c r="AQ95" s="11" t="str">
        <f t="shared" si="23"/>
        <v/>
      </c>
      <c r="AR95" s="10" t="str">
        <f t="shared" si="24"/>
        <v/>
      </c>
      <c r="AS95" s="10" t="str">
        <f t="shared" si="25"/>
        <v/>
      </c>
      <c r="AT95" s="10" t="str">
        <f t="shared" si="26"/>
        <v/>
      </c>
      <c r="AU95" s="10" t="str">
        <f t="shared" si="27"/>
        <v/>
      </c>
      <c r="AV95" s="12"/>
      <c r="AW95" s="13"/>
      <c r="AX95" s="13"/>
      <c r="AY95" s="8"/>
      <c r="AZ95" s="8"/>
      <c r="BA95" s="8"/>
      <c r="BB95" s="8"/>
      <c r="BC95" s="38" t="str">
        <f t="shared" si="28"/>
        <v/>
      </c>
      <c r="BD95" s="38" t="str">
        <f t="shared" si="29"/>
        <v/>
      </c>
      <c r="BE95" s="39"/>
      <c r="BF95" s="40"/>
    </row>
    <row r="96" spans="1:59" ht="15" customHeight="1" x14ac:dyDescent="0.3">
      <c r="A96" s="8"/>
      <c r="B96" s="9"/>
      <c r="C96" s="9"/>
      <c r="D96" s="9"/>
      <c r="E96" s="9"/>
      <c r="F96" s="9"/>
      <c r="G96" s="9"/>
      <c r="H96" s="9"/>
      <c r="I96" s="9"/>
      <c r="J96" s="9"/>
      <c r="K96" s="9"/>
      <c r="L96" s="9"/>
      <c r="M96" s="9"/>
      <c r="N96" s="9"/>
      <c r="O96" s="9"/>
      <c r="P96" s="9"/>
      <c r="Q96" s="9"/>
      <c r="R96" s="9"/>
      <c r="S96" s="9"/>
      <c r="T96" s="9"/>
      <c r="U96" s="9"/>
      <c r="V96" s="9"/>
      <c r="W96" s="9"/>
      <c r="X96" s="8"/>
      <c r="Y96" s="8"/>
      <c r="Z96" s="8"/>
      <c r="AA96" s="9"/>
      <c r="AB96" s="10" t="str">
        <f t="shared" si="20"/>
        <v/>
      </c>
      <c r="AC96" s="9"/>
      <c r="AD96" s="9"/>
      <c r="AE96" s="9"/>
      <c r="AF96" s="9"/>
      <c r="AG96" s="9"/>
      <c r="AH96" s="9"/>
      <c r="AI96" s="9"/>
      <c r="AJ96" s="9"/>
      <c r="AK96" s="9"/>
      <c r="AL96" s="9"/>
      <c r="AM96" s="9"/>
      <c r="AN96" s="9"/>
      <c r="AO96" s="11" t="str">
        <f t="shared" si="21"/>
        <v/>
      </c>
      <c r="AP96" s="11" t="str">
        <f t="shared" si="22"/>
        <v/>
      </c>
      <c r="AQ96" s="11" t="str">
        <f t="shared" si="23"/>
        <v/>
      </c>
      <c r="AR96" s="10" t="str">
        <f t="shared" si="24"/>
        <v/>
      </c>
      <c r="AS96" s="10" t="str">
        <f t="shared" si="25"/>
        <v/>
      </c>
      <c r="AT96" s="10" t="str">
        <f t="shared" si="26"/>
        <v/>
      </c>
      <c r="AU96" s="10" t="str">
        <f t="shared" si="27"/>
        <v/>
      </c>
      <c r="AV96" s="12"/>
      <c r="AW96" s="13"/>
      <c r="AX96" s="13"/>
      <c r="AY96" s="8"/>
      <c r="AZ96" s="8"/>
      <c r="BA96" s="8"/>
      <c r="BB96" s="8"/>
      <c r="BC96" s="38" t="str">
        <f t="shared" si="28"/>
        <v/>
      </c>
      <c r="BD96" s="38" t="str">
        <f t="shared" si="29"/>
        <v/>
      </c>
      <c r="BE96" s="39"/>
      <c r="BF96" s="40"/>
    </row>
    <row r="97" spans="1:58" ht="15" customHeight="1" x14ac:dyDescent="0.3">
      <c r="A97" s="8"/>
      <c r="B97" s="9"/>
      <c r="C97" s="9"/>
      <c r="D97" s="9"/>
      <c r="E97" s="9"/>
      <c r="F97" s="9"/>
      <c r="G97" s="9"/>
      <c r="H97" s="9"/>
      <c r="I97" s="9"/>
      <c r="J97" s="9"/>
      <c r="K97" s="9"/>
      <c r="L97" s="9"/>
      <c r="M97" s="9"/>
      <c r="N97" s="9"/>
      <c r="O97" s="9"/>
      <c r="P97" s="9"/>
      <c r="Q97" s="9"/>
      <c r="R97" s="9"/>
      <c r="S97" s="9"/>
      <c r="T97" s="9"/>
      <c r="U97" s="9"/>
      <c r="V97" s="9"/>
      <c r="W97" s="9"/>
      <c r="X97" s="8"/>
      <c r="Y97" s="8"/>
      <c r="Z97" s="8"/>
      <c r="AA97" s="9"/>
      <c r="AB97" s="10" t="str">
        <f t="shared" si="20"/>
        <v/>
      </c>
      <c r="AC97" s="9"/>
      <c r="AD97" s="9"/>
      <c r="AE97" s="9"/>
      <c r="AF97" s="9"/>
      <c r="AG97" s="9"/>
      <c r="AH97" s="9"/>
      <c r="AI97" s="9"/>
      <c r="AJ97" s="9"/>
      <c r="AK97" s="9"/>
      <c r="AL97" s="9"/>
      <c r="AM97" s="9"/>
      <c r="AN97" s="9"/>
      <c r="AO97" s="11" t="str">
        <f t="shared" si="21"/>
        <v/>
      </c>
      <c r="AP97" s="11" t="str">
        <f t="shared" si="22"/>
        <v/>
      </c>
      <c r="AQ97" s="11" t="str">
        <f t="shared" si="23"/>
        <v/>
      </c>
      <c r="AR97" s="10" t="str">
        <f t="shared" si="24"/>
        <v/>
      </c>
      <c r="AS97" s="10" t="str">
        <f t="shared" si="25"/>
        <v/>
      </c>
      <c r="AT97" s="10" t="str">
        <f t="shared" si="26"/>
        <v/>
      </c>
      <c r="AU97" s="10" t="str">
        <f t="shared" si="27"/>
        <v/>
      </c>
      <c r="AV97" s="12"/>
      <c r="AW97" s="13"/>
      <c r="AX97" s="13"/>
      <c r="AY97" s="8"/>
      <c r="AZ97" s="8"/>
      <c r="BA97" s="8"/>
      <c r="BB97" s="8"/>
      <c r="BC97" s="38" t="str">
        <f t="shared" si="28"/>
        <v/>
      </c>
      <c r="BD97" s="38" t="str">
        <f t="shared" si="29"/>
        <v/>
      </c>
      <c r="BE97" s="39"/>
      <c r="BF97" s="40"/>
    </row>
    <row r="98" spans="1:58" ht="15" customHeight="1" x14ac:dyDescent="0.3">
      <c r="A98" s="8"/>
      <c r="B98" s="9"/>
      <c r="C98" s="9"/>
      <c r="D98" s="9"/>
      <c r="E98" s="9"/>
      <c r="F98" s="9"/>
      <c r="G98" s="9"/>
      <c r="H98" s="9"/>
      <c r="I98" s="9"/>
      <c r="J98" s="9"/>
      <c r="K98" s="9"/>
      <c r="L98" s="9"/>
      <c r="M98" s="9"/>
      <c r="N98" s="9"/>
      <c r="O98" s="9"/>
      <c r="P98" s="9"/>
      <c r="Q98" s="9"/>
      <c r="R98" s="9"/>
      <c r="S98" s="9"/>
      <c r="T98" s="9"/>
      <c r="U98" s="9"/>
      <c r="V98" s="9"/>
      <c r="W98" s="9"/>
      <c r="X98" s="8"/>
      <c r="Y98" s="8"/>
      <c r="Z98" s="8"/>
      <c r="AA98" s="9"/>
      <c r="AB98" s="10" t="str">
        <f t="shared" ref="AB98:AB129" si="30">IFERROR(AA98/AF98,"")</f>
        <v/>
      </c>
      <c r="AC98" s="9"/>
      <c r="AD98" s="9"/>
      <c r="AE98" s="9"/>
      <c r="AF98" s="9"/>
      <c r="AG98" s="9"/>
      <c r="AH98" s="9"/>
      <c r="AI98" s="9"/>
      <c r="AJ98" s="9"/>
      <c r="AK98" s="9"/>
      <c r="AL98" s="9"/>
      <c r="AM98" s="9"/>
      <c r="AN98" s="9"/>
      <c r="AO98" s="11" t="str">
        <f t="shared" ref="AO98:AO129" si="31">IFERROR(AC98/E98,"")</f>
        <v/>
      </c>
      <c r="AP98" s="11" t="str">
        <f t="shared" ref="AP98:AP129" si="32">IFERROR(AD98/E98,"")</f>
        <v/>
      </c>
      <c r="AQ98" s="11" t="str">
        <f t="shared" ref="AQ98:AQ129" si="33">IFERROR(AG98/E98,"")</f>
        <v/>
      </c>
      <c r="AR98" s="10" t="str">
        <f t="shared" ref="AR98:AR129" si="34">IFERROR(AG98/AF98,"")</f>
        <v/>
      </c>
      <c r="AS98" s="10" t="str">
        <f t="shared" ref="AS98:AS129" si="35">IFERROR(AH98/AF98,"")</f>
        <v/>
      </c>
      <c r="AT98" s="10" t="str">
        <f t="shared" ref="AT98:AT129" si="36">IFERROR(AI98/AH98,"")</f>
        <v/>
      </c>
      <c r="AU98" s="10" t="str">
        <f t="shared" ref="AU98:AU129" si="37">IFERROR(AN98/AH98,"")</f>
        <v/>
      </c>
      <c r="AV98" s="12"/>
      <c r="AW98" s="13"/>
      <c r="AX98" s="13"/>
      <c r="AY98" s="8"/>
      <c r="AZ98" s="8"/>
      <c r="BA98" s="8"/>
      <c r="BB98" s="8"/>
      <c r="BC98" s="38" t="str">
        <f t="shared" ref="BC98:BC129" si="38">IFERROR(AG98/AC98,"")</f>
        <v/>
      </c>
      <c r="BD98" s="38" t="str">
        <f t="shared" ref="BD98:BD129" si="39">IFERROR(AG98/(AC98+AA98),"")</f>
        <v/>
      </c>
      <c r="BE98" s="39"/>
      <c r="BF98" s="40"/>
    </row>
    <row r="99" spans="1:58" ht="15" customHeight="1" x14ac:dyDescent="0.3">
      <c r="A99" s="8"/>
      <c r="B99" s="9"/>
      <c r="C99" s="9"/>
      <c r="D99" s="9"/>
      <c r="E99" s="9"/>
      <c r="F99" s="9"/>
      <c r="G99" s="9"/>
      <c r="H99" s="9"/>
      <c r="I99" s="9"/>
      <c r="J99" s="9"/>
      <c r="K99" s="9"/>
      <c r="L99" s="9"/>
      <c r="M99" s="9"/>
      <c r="N99" s="9"/>
      <c r="O99" s="9"/>
      <c r="P99" s="9"/>
      <c r="Q99" s="9"/>
      <c r="R99" s="9"/>
      <c r="S99" s="9"/>
      <c r="T99" s="9"/>
      <c r="U99" s="9"/>
      <c r="V99" s="9"/>
      <c r="W99" s="9"/>
      <c r="X99" s="8"/>
      <c r="Y99" s="8"/>
      <c r="Z99" s="8"/>
      <c r="AA99" s="9"/>
      <c r="AB99" s="10" t="str">
        <f t="shared" si="30"/>
        <v/>
      </c>
      <c r="AC99" s="9"/>
      <c r="AD99" s="9"/>
      <c r="AE99" s="9"/>
      <c r="AF99" s="9"/>
      <c r="AG99" s="9"/>
      <c r="AH99" s="9"/>
      <c r="AI99" s="9"/>
      <c r="AJ99" s="9"/>
      <c r="AK99" s="9"/>
      <c r="AL99" s="9"/>
      <c r="AM99" s="9"/>
      <c r="AN99" s="9"/>
      <c r="AO99" s="11" t="str">
        <f t="shared" si="31"/>
        <v/>
      </c>
      <c r="AP99" s="11" t="str">
        <f t="shared" si="32"/>
        <v/>
      </c>
      <c r="AQ99" s="11" t="str">
        <f t="shared" si="33"/>
        <v/>
      </c>
      <c r="AR99" s="10" t="str">
        <f t="shared" si="34"/>
        <v/>
      </c>
      <c r="AS99" s="10" t="str">
        <f t="shared" si="35"/>
        <v/>
      </c>
      <c r="AT99" s="10" t="str">
        <f t="shared" si="36"/>
        <v/>
      </c>
      <c r="AU99" s="10" t="str">
        <f t="shared" si="37"/>
        <v/>
      </c>
      <c r="AV99" s="12"/>
      <c r="AW99" s="13"/>
      <c r="AX99" s="13"/>
      <c r="AY99" s="8"/>
      <c r="AZ99" s="8"/>
      <c r="BA99" s="8"/>
      <c r="BB99" s="8"/>
      <c r="BC99" s="38" t="str">
        <f t="shared" si="38"/>
        <v/>
      </c>
      <c r="BD99" s="38" t="str">
        <f t="shared" si="39"/>
        <v/>
      </c>
      <c r="BE99" s="39"/>
      <c r="BF99" s="40"/>
    </row>
    <row r="100" spans="1:58" ht="15" customHeight="1" x14ac:dyDescent="0.3">
      <c r="A100" s="8"/>
      <c r="B100" s="9"/>
      <c r="C100" s="9"/>
      <c r="D100" s="9"/>
      <c r="E100" s="9"/>
      <c r="F100" s="9"/>
      <c r="G100" s="9"/>
      <c r="H100" s="9"/>
      <c r="I100" s="9"/>
      <c r="J100" s="9"/>
      <c r="K100" s="9"/>
      <c r="L100" s="9"/>
      <c r="M100" s="9"/>
      <c r="N100" s="9"/>
      <c r="O100" s="9"/>
      <c r="P100" s="9"/>
      <c r="Q100" s="9"/>
      <c r="R100" s="9"/>
      <c r="S100" s="9"/>
      <c r="T100" s="9"/>
      <c r="U100" s="9"/>
      <c r="V100" s="9"/>
      <c r="W100" s="9"/>
      <c r="X100" s="8"/>
      <c r="Y100" s="8"/>
      <c r="Z100" s="8"/>
      <c r="AA100" s="9"/>
      <c r="AB100" s="10" t="str">
        <f t="shared" si="30"/>
        <v/>
      </c>
      <c r="AC100" s="9"/>
      <c r="AD100" s="9"/>
      <c r="AE100" s="9"/>
      <c r="AF100" s="9"/>
      <c r="AG100" s="9"/>
      <c r="AH100" s="9"/>
      <c r="AI100" s="9"/>
      <c r="AJ100" s="9"/>
      <c r="AK100" s="9"/>
      <c r="AL100" s="9"/>
      <c r="AM100" s="9"/>
      <c r="AN100" s="9"/>
      <c r="AO100" s="11" t="str">
        <f t="shared" si="31"/>
        <v/>
      </c>
      <c r="AP100" s="11" t="str">
        <f t="shared" si="32"/>
        <v/>
      </c>
      <c r="AQ100" s="11" t="str">
        <f t="shared" si="33"/>
        <v/>
      </c>
      <c r="AR100" s="10" t="str">
        <f t="shared" si="34"/>
        <v/>
      </c>
      <c r="AS100" s="10" t="str">
        <f t="shared" si="35"/>
        <v/>
      </c>
      <c r="AT100" s="10" t="str">
        <f t="shared" si="36"/>
        <v/>
      </c>
      <c r="AU100" s="10" t="str">
        <f t="shared" si="37"/>
        <v/>
      </c>
      <c r="AV100" s="12"/>
      <c r="AW100" s="13"/>
      <c r="AX100" s="13"/>
      <c r="AY100" s="8"/>
      <c r="AZ100" s="8"/>
      <c r="BA100" s="8"/>
      <c r="BB100" s="8"/>
      <c r="BC100" s="38" t="str">
        <f t="shared" si="38"/>
        <v/>
      </c>
      <c r="BD100" s="38" t="str">
        <f t="shared" si="39"/>
        <v/>
      </c>
      <c r="BE100" s="39"/>
      <c r="BF100" s="40"/>
    </row>
    <row r="101" spans="1:58" ht="15" customHeight="1" x14ac:dyDescent="0.3">
      <c r="A101" s="8"/>
      <c r="B101" s="9"/>
      <c r="C101" s="9"/>
      <c r="D101" s="9"/>
      <c r="E101" s="9"/>
      <c r="F101" s="9"/>
      <c r="G101" s="9"/>
      <c r="H101" s="9"/>
      <c r="I101" s="9"/>
      <c r="J101" s="9"/>
      <c r="K101" s="9"/>
      <c r="L101" s="9"/>
      <c r="M101" s="9"/>
      <c r="N101" s="9"/>
      <c r="O101" s="9"/>
      <c r="P101" s="9"/>
      <c r="Q101" s="9"/>
      <c r="R101" s="9"/>
      <c r="S101" s="9"/>
      <c r="T101" s="9"/>
      <c r="U101" s="9"/>
      <c r="V101" s="9"/>
      <c r="W101" s="9"/>
      <c r="X101" s="8"/>
      <c r="Y101" s="8"/>
      <c r="Z101" s="8"/>
      <c r="AA101" s="9"/>
      <c r="AB101" s="10" t="str">
        <f t="shared" si="30"/>
        <v/>
      </c>
      <c r="AC101" s="9"/>
      <c r="AD101" s="9"/>
      <c r="AE101" s="9"/>
      <c r="AF101" s="9"/>
      <c r="AG101" s="9"/>
      <c r="AH101" s="9"/>
      <c r="AI101" s="9"/>
      <c r="AJ101" s="9"/>
      <c r="AK101" s="9"/>
      <c r="AL101" s="9"/>
      <c r="AM101" s="9"/>
      <c r="AN101" s="9"/>
      <c r="AO101" s="11" t="str">
        <f t="shared" si="31"/>
        <v/>
      </c>
      <c r="AP101" s="11" t="str">
        <f t="shared" si="32"/>
        <v/>
      </c>
      <c r="AQ101" s="11" t="str">
        <f t="shared" si="33"/>
        <v/>
      </c>
      <c r="AR101" s="10" t="str">
        <f t="shared" si="34"/>
        <v/>
      </c>
      <c r="AS101" s="10" t="str">
        <f t="shared" si="35"/>
        <v/>
      </c>
      <c r="AT101" s="10" t="str">
        <f t="shared" si="36"/>
        <v/>
      </c>
      <c r="AU101" s="10" t="str">
        <f t="shared" si="37"/>
        <v/>
      </c>
      <c r="AV101" s="12"/>
      <c r="AW101" s="13"/>
      <c r="AX101" s="13"/>
      <c r="AY101" s="8"/>
      <c r="AZ101" s="8"/>
      <c r="BA101" s="8"/>
      <c r="BB101" s="8"/>
      <c r="BC101" s="38" t="str">
        <f t="shared" si="38"/>
        <v/>
      </c>
      <c r="BD101" s="38" t="str">
        <f t="shared" si="39"/>
        <v/>
      </c>
      <c r="BE101" s="39"/>
      <c r="BF101" s="40"/>
    </row>
    <row r="102" spans="1:58" ht="15" customHeight="1" x14ac:dyDescent="0.3">
      <c r="A102" s="8"/>
      <c r="B102" s="9"/>
      <c r="C102" s="9"/>
      <c r="D102" s="9"/>
      <c r="E102" s="9"/>
      <c r="F102" s="9"/>
      <c r="G102" s="9"/>
      <c r="H102" s="9"/>
      <c r="I102" s="9"/>
      <c r="J102" s="9"/>
      <c r="K102" s="9"/>
      <c r="L102" s="9"/>
      <c r="M102" s="9"/>
      <c r="N102" s="9"/>
      <c r="O102" s="9"/>
      <c r="P102" s="9"/>
      <c r="Q102" s="9"/>
      <c r="R102" s="9"/>
      <c r="S102" s="9"/>
      <c r="T102" s="9"/>
      <c r="U102" s="9"/>
      <c r="V102" s="9"/>
      <c r="W102" s="9"/>
      <c r="X102" s="8"/>
      <c r="Y102" s="8"/>
      <c r="Z102" s="8"/>
      <c r="AA102" s="9"/>
      <c r="AB102" s="10" t="str">
        <f t="shared" si="30"/>
        <v/>
      </c>
      <c r="AC102" s="9"/>
      <c r="AD102" s="9"/>
      <c r="AE102" s="9"/>
      <c r="AF102" s="9"/>
      <c r="AG102" s="9"/>
      <c r="AH102" s="9"/>
      <c r="AI102" s="9"/>
      <c r="AJ102" s="9"/>
      <c r="AK102" s="9"/>
      <c r="AL102" s="9"/>
      <c r="AM102" s="9"/>
      <c r="AN102" s="9"/>
      <c r="AO102" s="11" t="str">
        <f t="shared" si="31"/>
        <v/>
      </c>
      <c r="AP102" s="11" t="str">
        <f t="shared" si="32"/>
        <v/>
      </c>
      <c r="AQ102" s="11" t="str">
        <f t="shared" si="33"/>
        <v/>
      </c>
      <c r="AR102" s="10" t="str">
        <f t="shared" si="34"/>
        <v/>
      </c>
      <c r="AS102" s="10" t="str">
        <f t="shared" si="35"/>
        <v/>
      </c>
      <c r="AT102" s="10" t="str">
        <f t="shared" si="36"/>
        <v/>
      </c>
      <c r="AU102" s="10" t="str">
        <f t="shared" si="37"/>
        <v/>
      </c>
      <c r="AV102" s="12"/>
      <c r="AW102" s="13"/>
      <c r="AX102" s="13"/>
      <c r="AY102" s="8"/>
      <c r="AZ102" s="8"/>
      <c r="BA102" s="8"/>
      <c r="BB102" s="8"/>
      <c r="BC102" s="38" t="str">
        <f t="shared" si="38"/>
        <v/>
      </c>
      <c r="BD102" s="38" t="str">
        <f t="shared" si="39"/>
        <v/>
      </c>
      <c r="BE102" s="39"/>
      <c r="BF102" s="40"/>
    </row>
    <row r="103" spans="1:58" ht="15" customHeight="1" x14ac:dyDescent="0.3">
      <c r="A103" s="8"/>
      <c r="B103" s="9"/>
      <c r="C103" s="9"/>
      <c r="D103" s="9"/>
      <c r="E103" s="9"/>
      <c r="F103" s="9"/>
      <c r="G103" s="9"/>
      <c r="H103" s="9"/>
      <c r="I103" s="9"/>
      <c r="J103" s="9"/>
      <c r="K103" s="9"/>
      <c r="L103" s="9"/>
      <c r="M103" s="9"/>
      <c r="N103" s="9"/>
      <c r="O103" s="9"/>
      <c r="P103" s="9"/>
      <c r="Q103" s="9"/>
      <c r="R103" s="9"/>
      <c r="S103" s="9"/>
      <c r="T103" s="9"/>
      <c r="U103" s="9"/>
      <c r="V103" s="9"/>
      <c r="W103" s="9"/>
      <c r="X103" s="8"/>
      <c r="Y103" s="8"/>
      <c r="Z103" s="8"/>
      <c r="AA103" s="9"/>
      <c r="AB103" s="10" t="str">
        <f t="shared" si="30"/>
        <v/>
      </c>
      <c r="AC103" s="9"/>
      <c r="AD103" s="9"/>
      <c r="AE103" s="9"/>
      <c r="AF103" s="9"/>
      <c r="AG103" s="9"/>
      <c r="AH103" s="9"/>
      <c r="AI103" s="9"/>
      <c r="AJ103" s="9"/>
      <c r="AK103" s="9"/>
      <c r="AL103" s="9"/>
      <c r="AM103" s="9"/>
      <c r="AN103" s="9"/>
      <c r="AO103" s="11" t="str">
        <f t="shared" si="31"/>
        <v/>
      </c>
      <c r="AP103" s="11" t="str">
        <f t="shared" si="32"/>
        <v/>
      </c>
      <c r="AQ103" s="11" t="str">
        <f t="shared" si="33"/>
        <v/>
      </c>
      <c r="AR103" s="10" t="str">
        <f t="shared" si="34"/>
        <v/>
      </c>
      <c r="AS103" s="10" t="str">
        <f t="shared" si="35"/>
        <v/>
      </c>
      <c r="AT103" s="10" t="str">
        <f t="shared" si="36"/>
        <v/>
      </c>
      <c r="AU103" s="10" t="str">
        <f t="shared" si="37"/>
        <v/>
      </c>
      <c r="AV103" s="12"/>
      <c r="AW103" s="13"/>
      <c r="AX103" s="13"/>
      <c r="AY103" s="8"/>
      <c r="AZ103" s="8"/>
      <c r="BA103" s="8"/>
      <c r="BB103" s="8"/>
      <c r="BC103" s="38" t="str">
        <f t="shared" si="38"/>
        <v/>
      </c>
      <c r="BD103" s="38" t="str">
        <f t="shared" si="39"/>
        <v/>
      </c>
      <c r="BE103" s="39"/>
      <c r="BF103" s="40"/>
    </row>
    <row r="104" spans="1:58" ht="15" customHeight="1" x14ac:dyDescent="0.3">
      <c r="A104" s="8"/>
      <c r="B104" s="9"/>
      <c r="C104" s="9"/>
      <c r="D104" s="9"/>
      <c r="E104" s="9"/>
      <c r="F104" s="9"/>
      <c r="G104" s="9"/>
      <c r="H104" s="9"/>
      <c r="I104" s="9"/>
      <c r="J104" s="9"/>
      <c r="K104" s="9"/>
      <c r="L104" s="9"/>
      <c r="M104" s="9"/>
      <c r="N104" s="9"/>
      <c r="O104" s="9"/>
      <c r="P104" s="9"/>
      <c r="Q104" s="9"/>
      <c r="R104" s="9"/>
      <c r="S104" s="9"/>
      <c r="T104" s="9"/>
      <c r="U104" s="9"/>
      <c r="V104" s="9"/>
      <c r="W104" s="9"/>
      <c r="X104" s="8"/>
      <c r="Y104" s="8"/>
      <c r="Z104" s="8"/>
      <c r="AA104" s="9"/>
      <c r="AB104" s="10" t="str">
        <f t="shared" si="30"/>
        <v/>
      </c>
      <c r="AC104" s="9"/>
      <c r="AD104" s="9"/>
      <c r="AE104" s="9"/>
      <c r="AF104" s="9"/>
      <c r="AG104" s="9"/>
      <c r="AH104" s="9"/>
      <c r="AI104" s="9"/>
      <c r="AJ104" s="9"/>
      <c r="AK104" s="9"/>
      <c r="AL104" s="9"/>
      <c r="AM104" s="9"/>
      <c r="AN104" s="9"/>
      <c r="AO104" s="11" t="str">
        <f t="shared" si="31"/>
        <v/>
      </c>
      <c r="AP104" s="11" t="str">
        <f t="shared" si="32"/>
        <v/>
      </c>
      <c r="AQ104" s="11" t="str">
        <f t="shared" si="33"/>
        <v/>
      </c>
      <c r="AR104" s="10" t="str">
        <f t="shared" si="34"/>
        <v/>
      </c>
      <c r="AS104" s="10" t="str">
        <f t="shared" si="35"/>
        <v/>
      </c>
      <c r="AT104" s="10" t="str">
        <f t="shared" si="36"/>
        <v/>
      </c>
      <c r="AU104" s="10" t="str">
        <f t="shared" si="37"/>
        <v/>
      </c>
      <c r="AV104" s="12"/>
      <c r="AW104" s="13"/>
      <c r="AX104" s="13"/>
      <c r="AY104" s="8"/>
      <c r="AZ104" s="8"/>
      <c r="BA104" s="8"/>
      <c r="BB104" s="8"/>
      <c r="BC104" s="38" t="str">
        <f t="shared" si="38"/>
        <v/>
      </c>
      <c r="BD104" s="38" t="str">
        <f t="shared" si="39"/>
        <v/>
      </c>
      <c r="BE104" s="39"/>
      <c r="BF104" s="40"/>
    </row>
    <row r="105" spans="1:58" ht="15" customHeight="1" x14ac:dyDescent="0.3">
      <c r="A105" s="8"/>
      <c r="B105" s="9"/>
      <c r="C105" s="9"/>
      <c r="D105" s="9"/>
      <c r="E105" s="9"/>
      <c r="F105" s="9"/>
      <c r="G105" s="9"/>
      <c r="H105" s="9"/>
      <c r="I105" s="9"/>
      <c r="J105" s="9"/>
      <c r="K105" s="9"/>
      <c r="L105" s="9"/>
      <c r="M105" s="9"/>
      <c r="N105" s="9"/>
      <c r="O105" s="9"/>
      <c r="P105" s="9"/>
      <c r="Q105" s="9"/>
      <c r="R105" s="9"/>
      <c r="S105" s="9"/>
      <c r="T105" s="9"/>
      <c r="U105" s="9"/>
      <c r="V105" s="9"/>
      <c r="W105" s="9"/>
      <c r="X105" s="8"/>
      <c r="Y105" s="8"/>
      <c r="Z105" s="8"/>
      <c r="AA105" s="9"/>
      <c r="AB105" s="10" t="str">
        <f t="shared" si="30"/>
        <v/>
      </c>
      <c r="AC105" s="9"/>
      <c r="AD105" s="9"/>
      <c r="AE105" s="9"/>
      <c r="AF105" s="9"/>
      <c r="AG105" s="9"/>
      <c r="AH105" s="9"/>
      <c r="AI105" s="9"/>
      <c r="AJ105" s="9"/>
      <c r="AK105" s="9"/>
      <c r="AL105" s="9"/>
      <c r="AM105" s="9"/>
      <c r="AN105" s="9"/>
      <c r="AO105" s="11" t="str">
        <f t="shared" si="31"/>
        <v/>
      </c>
      <c r="AP105" s="11" t="str">
        <f t="shared" si="32"/>
        <v/>
      </c>
      <c r="AQ105" s="11" t="str">
        <f t="shared" si="33"/>
        <v/>
      </c>
      <c r="AR105" s="10" t="str">
        <f t="shared" si="34"/>
        <v/>
      </c>
      <c r="AS105" s="10" t="str">
        <f t="shared" si="35"/>
        <v/>
      </c>
      <c r="AT105" s="10" t="str">
        <f t="shared" si="36"/>
        <v/>
      </c>
      <c r="AU105" s="10" t="str">
        <f t="shared" si="37"/>
        <v/>
      </c>
      <c r="AV105" s="12"/>
      <c r="AW105" s="13"/>
      <c r="AX105" s="13"/>
      <c r="AY105" s="8"/>
      <c r="AZ105" s="8"/>
      <c r="BA105" s="8"/>
      <c r="BB105" s="8"/>
      <c r="BC105" s="38" t="str">
        <f t="shared" si="38"/>
        <v/>
      </c>
      <c r="BD105" s="38" t="str">
        <f t="shared" si="39"/>
        <v/>
      </c>
      <c r="BE105" s="39"/>
      <c r="BF105" s="40"/>
    </row>
    <row r="106" spans="1:58" ht="15" customHeight="1" x14ac:dyDescent="0.3">
      <c r="A106" s="8"/>
      <c r="B106" s="9"/>
      <c r="C106" s="9"/>
      <c r="D106" s="9"/>
      <c r="E106" s="9"/>
      <c r="F106" s="9"/>
      <c r="G106" s="9"/>
      <c r="H106" s="9"/>
      <c r="I106" s="9"/>
      <c r="J106" s="9"/>
      <c r="K106" s="9"/>
      <c r="L106" s="9"/>
      <c r="M106" s="9"/>
      <c r="N106" s="9"/>
      <c r="O106" s="9"/>
      <c r="P106" s="9"/>
      <c r="Q106" s="9"/>
      <c r="R106" s="9"/>
      <c r="S106" s="9"/>
      <c r="T106" s="9"/>
      <c r="U106" s="9"/>
      <c r="V106" s="9"/>
      <c r="W106" s="9"/>
      <c r="X106" s="8"/>
      <c r="Y106" s="8"/>
      <c r="Z106" s="8"/>
      <c r="AA106" s="9"/>
      <c r="AB106" s="10" t="str">
        <f t="shared" si="30"/>
        <v/>
      </c>
      <c r="AC106" s="9"/>
      <c r="AD106" s="9"/>
      <c r="AE106" s="9"/>
      <c r="AF106" s="9"/>
      <c r="AG106" s="9"/>
      <c r="AH106" s="9"/>
      <c r="AI106" s="9"/>
      <c r="AJ106" s="9"/>
      <c r="AK106" s="9"/>
      <c r="AL106" s="9"/>
      <c r="AM106" s="9"/>
      <c r="AN106" s="9"/>
      <c r="AO106" s="11" t="str">
        <f t="shared" si="31"/>
        <v/>
      </c>
      <c r="AP106" s="11" t="str">
        <f t="shared" si="32"/>
        <v/>
      </c>
      <c r="AQ106" s="11" t="str">
        <f t="shared" si="33"/>
        <v/>
      </c>
      <c r="AR106" s="10" t="str">
        <f t="shared" si="34"/>
        <v/>
      </c>
      <c r="AS106" s="10" t="str">
        <f t="shared" si="35"/>
        <v/>
      </c>
      <c r="AT106" s="10" t="str">
        <f t="shared" si="36"/>
        <v/>
      </c>
      <c r="AU106" s="10" t="str">
        <f t="shared" si="37"/>
        <v/>
      </c>
      <c r="AV106" s="12"/>
      <c r="AW106" s="13"/>
      <c r="AX106" s="13"/>
      <c r="AY106" s="8"/>
      <c r="AZ106" s="8"/>
      <c r="BA106" s="8"/>
      <c r="BB106" s="8"/>
      <c r="BC106" s="38" t="str">
        <f t="shared" si="38"/>
        <v/>
      </c>
      <c r="BD106" s="38" t="str">
        <f t="shared" si="39"/>
        <v/>
      </c>
      <c r="BE106" s="39"/>
      <c r="BF106" s="40"/>
    </row>
    <row r="107" spans="1:58" ht="15" customHeight="1" x14ac:dyDescent="0.3">
      <c r="A107" s="8"/>
      <c r="B107" s="9"/>
      <c r="C107" s="9"/>
      <c r="D107" s="9"/>
      <c r="E107" s="9"/>
      <c r="F107" s="9"/>
      <c r="G107" s="9"/>
      <c r="H107" s="9"/>
      <c r="I107" s="9"/>
      <c r="J107" s="9"/>
      <c r="K107" s="9"/>
      <c r="L107" s="9"/>
      <c r="M107" s="9"/>
      <c r="N107" s="9"/>
      <c r="O107" s="9"/>
      <c r="P107" s="9"/>
      <c r="Q107" s="9"/>
      <c r="R107" s="9"/>
      <c r="S107" s="9"/>
      <c r="T107" s="9"/>
      <c r="U107" s="9"/>
      <c r="V107" s="9"/>
      <c r="W107" s="9"/>
      <c r="X107" s="8"/>
      <c r="Y107" s="8"/>
      <c r="Z107" s="8"/>
      <c r="AA107" s="9"/>
      <c r="AB107" s="10" t="str">
        <f t="shared" si="30"/>
        <v/>
      </c>
      <c r="AC107" s="9"/>
      <c r="AD107" s="9"/>
      <c r="AE107" s="9"/>
      <c r="AF107" s="9"/>
      <c r="AG107" s="9"/>
      <c r="AH107" s="9"/>
      <c r="AI107" s="9"/>
      <c r="AJ107" s="9"/>
      <c r="AK107" s="9"/>
      <c r="AL107" s="9"/>
      <c r="AM107" s="9"/>
      <c r="AN107" s="9"/>
      <c r="AO107" s="11" t="str">
        <f t="shared" si="31"/>
        <v/>
      </c>
      <c r="AP107" s="11" t="str">
        <f t="shared" si="32"/>
        <v/>
      </c>
      <c r="AQ107" s="11" t="str">
        <f t="shared" si="33"/>
        <v/>
      </c>
      <c r="AR107" s="10" t="str">
        <f t="shared" si="34"/>
        <v/>
      </c>
      <c r="AS107" s="10" t="str">
        <f t="shared" si="35"/>
        <v/>
      </c>
      <c r="AT107" s="10" t="str">
        <f t="shared" si="36"/>
        <v/>
      </c>
      <c r="AU107" s="10" t="str">
        <f t="shared" si="37"/>
        <v/>
      </c>
      <c r="AV107" s="12"/>
      <c r="AW107" s="13"/>
      <c r="AX107" s="13"/>
      <c r="AY107" s="8"/>
      <c r="AZ107" s="8"/>
      <c r="BA107" s="8"/>
      <c r="BB107" s="8"/>
      <c r="BC107" s="38" t="str">
        <f t="shared" si="38"/>
        <v/>
      </c>
      <c r="BD107" s="38" t="str">
        <f t="shared" si="39"/>
        <v/>
      </c>
      <c r="BE107" s="39"/>
      <c r="BF107" s="40"/>
    </row>
    <row r="108" spans="1:58" ht="15" customHeight="1" x14ac:dyDescent="0.3">
      <c r="A108" s="8"/>
      <c r="B108" s="9"/>
      <c r="C108" s="9"/>
      <c r="D108" s="9"/>
      <c r="E108" s="9"/>
      <c r="F108" s="9"/>
      <c r="G108" s="9"/>
      <c r="H108" s="9"/>
      <c r="I108" s="9"/>
      <c r="J108" s="9"/>
      <c r="K108" s="9"/>
      <c r="L108" s="9"/>
      <c r="M108" s="9"/>
      <c r="N108" s="9"/>
      <c r="O108" s="9"/>
      <c r="P108" s="9"/>
      <c r="Q108" s="9"/>
      <c r="R108" s="9"/>
      <c r="S108" s="9"/>
      <c r="T108" s="9"/>
      <c r="U108" s="9"/>
      <c r="V108" s="9"/>
      <c r="W108" s="9"/>
      <c r="X108" s="8"/>
      <c r="Y108" s="8"/>
      <c r="Z108" s="8"/>
      <c r="AA108" s="9"/>
      <c r="AB108" s="10" t="str">
        <f t="shared" si="30"/>
        <v/>
      </c>
      <c r="AC108" s="9"/>
      <c r="AD108" s="9"/>
      <c r="AE108" s="9"/>
      <c r="AF108" s="9"/>
      <c r="AG108" s="9"/>
      <c r="AH108" s="9"/>
      <c r="AI108" s="9"/>
      <c r="AJ108" s="9"/>
      <c r="AK108" s="9"/>
      <c r="AL108" s="9"/>
      <c r="AM108" s="9"/>
      <c r="AN108" s="9"/>
      <c r="AO108" s="11" t="str">
        <f t="shared" si="31"/>
        <v/>
      </c>
      <c r="AP108" s="11" t="str">
        <f t="shared" si="32"/>
        <v/>
      </c>
      <c r="AQ108" s="11" t="str">
        <f t="shared" si="33"/>
        <v/>
      </c>
      <c r="AR108" s="10" t="str">
        <f t="shared" si="34"/>
        <v/>
      </c>
      <c r="AS108" s="10" t="str">
        <f t="shared" si="35"/>
        <v/>
      </c>
      <c r="AT108" s="10" t="str">
        <f t="shared" si="36"/>
        <v/>
      </c>
      <c r="AU108" s="10" t="str">
        <f t="shared" si="37"/>
        <v/>
      </c>
      <c r="AV108" s="12"/>
      <c r="AW108" s="13"/>
      <c r="AX108" s="13"/>
      <c r="AY108" s="8"/>
      <c r="AZ108" s="8"/>
      <c r="BA108" s="8"/>
      <c r="BB108" s="8"/>
      <c r="BC108" s="38" t="str">
        <f t="shared" si="38"/>
        <v/>
      </c>
      <c r="BD108" s="38" t="str">
        <f t="shared" si="39"/>
        <v/>
      </c>
      <c r="BE108" s="39"/>
      <c r="BF108" s="40"/>
    </row>
    <row r="109" spans="1:58" ht="15" customHeight="1" x14ac:dyDescent="0.3">
      <c r="A109" s="8"/>
      <c r="B109" s="9"/>
      <c r="C109" s="9"/>
      <c r="D109" s="9"/>
      <c r="E109" s="9"/>
      <c r="F109" s="9"/>
      <c r="G109" s="9"/>
      <c r="H109" s="9"/>
      <c r="I109" s="9"/>
      <c r="J109" s="9"/>
      <c r="K109" s="9"/>
      <c r="L109" s="9"/>
      <c r="M109" s="9"/>
      <c r="N109" s="9"/>
      <c r="O109" s="9"/>
      <c r="P109" s="9"/>
      <c r="Q109" s="9"/>
      <c r="R109" s="9"/>
      <c r="S109" s="9"/>
      <c r="T109" s="9"/>
      <c r="U109" s="9"/>
      <c r="V109" s="9"/>
      <c r="W109" s="9"/>
      <c r="X109" s="8"/>
      <c r="Y109" s="8"/>
      <c r="Z109" s="8"/>
      <c r="AA109" s="9"/>
      <c r="AB109" s="10" t="str">
        <f t="shared" si="30"/>
        <v/>
      </c>
      <c r="AC109" s="9"/>
      <c r="AD109" s="9"/>
      <c r="AE109" s="9"/>
      <c r="AF109" s="9"/>
      <c r="AG109" s="9"/>
      <c r="AH109" s="9"/>
      <c r="AI109" s="9"/>
      <c r="AJ109" s="9"/>
      <c r="AK109" s="9"/>
      <c r="AL109" s="9"/>
      <c r="AM109" s="9"/>
      <c r="AN109" s="9"/>
      <c r="AO109" s="11" t="str">
        <f t="shared" si="31"/>
        <v/>
      </c>
      <c r="AP109" s="11" t="str">
        <f t="shared" si="32"/>
        <v/>
      </c>
      <c r="AQ109" s="11" t="str">
        <f t="shared" si="33"/>
        <v/>
      </c>
      <c r="AR109" s="10" t="str">
        <f t="shared" si="34"/>
        <v/>
      </c>
      <c r="AS109" s="10" t="str">
        <f t="shared" si="35"/>
        <v/>
      </c>
      <c r="AT109" s="10" t="str">
        <f t="shared" si="36"/>
        <v/>
      </c>
      <c r="AU109" s="10" t="str">
        <f t="shared" si="37"/>
        <v/>
      </c>
      <c r="AV109" s="12"/>
      <c r="AW109" s="13"/>
      <c r="AX109" s="13"/>
      <c r="AY109" s="8"/>
      <c r="AZ109" s="8"/>
      <c r="BA109" s="8"/>
      <c r="BB109" s="8"/>
      <c r="BC109" s="38" t="str">
        <f t="shared" si="38"/>
        <v/>
      </c>
      <c r="BD109" s="38" t="str">
        <f t="shared" si="39"/>
        <v/>
      </c>
      <c r="BE109" s="39"/>
      <c r="BF109" s="40"/>
    </row>
    <row r="110" spans="1:58" ht="15" customHeight="1" x14ac:dyDescent="0.3">
      <c r="A110" s="8"/>
      <c r="B110" s="9"/>
      <c r="C110" s="9"/>
      <c r="D110" s="9"/>
      <c r="E110" s="9"/>
      <c r="F110" s="9"/>
      <c r="G110" s="9"/>
      <c r="H110" s="9"/>
      <c r="I110" s="9"/>
      <c r="J110" s="9"/>
      <c r="K110" s="9"/>
      <c r="L110" s="9"/>
      <c r="M110" s="9"/>
      <c r="N110" s="9"/>
      <c r="O110" s="9"/>
      <c r="P110" s="9"/>
      <c r="Q110" s="9"/>
      <c r="R110" s="9"/>
      <c r="S110" s="9"/>
      <c r="T110" s="9"/>
      <c r="U110" s="9"/>
      <c r="V110" s="9"/>
      <c r="W110" s="9"/>
      <c r="X110" s="8"/>
      <c r="Y110" s="8"/>
      <c r="Z110" s="8"/>
      <c r="AA110" s="9"/>
      <c r="AB110" s="10" t="str">
        <f t="shared" si="30"/>
        <v/>
      </c>
      <c r="AC110" s="9"/>
      <c r="AD110" s="9"/>
      <c r="AE110" s="9"/>
      <c r="AF110" s="9"/>
      <c r="AG110" s="9"/>
      <c r="AH110" s="9"/>
      <c r="AI110" s="9"/>
      <c r="AJ110" s="9"/>
      <c r="AK110" s="9"/>
      <c r="AL110" s="9"/>
      <c r="AM110" s="9"/>
      <c r="AN110" s="9"/>
      <c r="AO110" s="11" t="str">
        <f t="shared" si="31"/>
        <v/>
      </c>
      <c r="AP110" s="11" t="str">
        <f t="shared" si="32"/>
        <v/>
      </c>
      <c r="AQ110" s="11" t="str">
        <f t="shared" si="33"/>
        <v/>
      </c>
      <c r="AR110" s="10" t="str">
        <f t="shared" si="34"/>
        <v/>
      </c>
      <c r="AS110" s="10" t="str">
        <f t="shared" si="35"/>
        <v/>
      </c>
      <c r="AT110" s="10" t="str">
        <f t="shared" si="36"/>
        <v/>
      </c>
      <c r="AU110" s="10" t="str">
        <f t="shared" si="37"/>
        <v/>
      </c>
      <c r="AV110" s="12"/>
      <c r="AW110" s="13"/>
      <c r="AX110" s="13"/>
      <c r="AY110" s="8"/>
      <c r="AZ110" s="8"/>
      <c r="BA110" s="8"/>
      <c r="BB110" s="8"/>
      <c r="BC110" s="38" t="str">
        <f t="shared" si="38"/>
        <v/>
      </c>
      <c r="BD110" s="38" t="str">
        <f t="shared" si="39"/>
        <v/>
      </c>
      <c r="BE110" s="39"/>
      <c r="BF110" s="40"/>
    </row>
    <row r="111" spans="1:58" ht="15" customHeight="1" x14ac:dyDescent="0.3">
      <c r="A111" s="8"/>
      <c r="B111" s="9"/>
      <c r="C111" s="9"/>
      <c r="D111" s="9"/>
      <c r="E111" s="9"/>
      <c r="F111" s="9"/>
      <c r="G111" s="9"/>
      <c r="H111" s="9"/>
      <c r="I111" s="9"/>
      <c r="J111" s="9"/>
      <c r="K111" s="9"/>
      <c r="L111" s="9"/>
      <c r="M111" s="9"/>
      <c r="N111" s="9"/>
      <c r="O111" s="9"/>
      <c r="P111" s="9"/>
      <c r="Q111" s="9"/>
      <c r="R111" s="9"/>
      <c r="S111" s="9"/>
      <c r="T111" s="9"/>
      <c r="U111" s="9"/>
      <c r="V111" s="9"/>
      <c r="W111" s="9"/>
      <c r="X111" s="8"/>
      <c r="Y111" s="8"/>
      <c r="Z111" s="8"/>
      <c r="AA111" s="9"/>
      <c r="AB111" s="10" t="str">
        <f t="shared" si="30"/>
        <v/>
      </c>
      <c r="AC111" s="9"/>
      <c r="AD111" s="9"/>
      <c r="AE111" s="9"/>
      <c r="AF111" s="9"/>
      <c r="AG111" s="9"/>
      <c r="AH111" s="9"/>
      <c r="AI111" s="9"/>
      <c r="AJ111" s="9"/>
      <c r="AK111" s="9"/>
      <c r="AL111" s="9"/>
      <c r="AM111" s="9"/>
      <c r="AN111" s="9"/>
      <c r="AO111" s="11" t="str">
        <f t="shared" si="31"/>
        <v/>
      </c>
      <c r="AP111" s="11" t="str">
        <f t="shared" si="32"/>
        <v/>
      </c>
      <c r="AQ111" s="11" t="str">
        <f t="shared" si="33"/>
        <v/>
      </c>
      <c r="AR111" s="10" t="str">
        <f t="shared" si="34"/>
        <v/>
      </c>
      <c r="AS111" s="10" t="str">
        <f t="shared" si="35"/>
        <v/>
      </c>
      <c r="AT111" s="10" t="str">
        <f t="shared" si="36"/>
        <v/>
      </c>
      <c r="AU111" s="10" t="str">
        <f t="shared" si="37"/>
        <v/>
      </c>
      <c r="AV111" s="12"/>
      <c r="AW111" s="13"/>
      <c r="AX111" s="13"/>
      <c r="AY111" s="8"/>
      <c r="AZ111" s="8"/>
      <c r="BA111" s="8"/>
      <c r="BB111" s="8"/>
      <c r="BC111" s="38" t="str">
        <f t="shared" si="38"/>
        <v/>
      </c>
      <c r="BD111" s="38" t="str">
        <f t="shared" si="39"/>
        <v/>
      </c>
      <c r="BE111" s="39"/>
      <c r="BF111" s="40"/>
    </row>
    <row r="112" spans="1:58" ht="15" customHeight="1" x14ac:dyDescent="0.3">
      <c r="A112" s="8"/>
      <c r="B112" s="9"/>
      <c r="C112" s="9"/>
      <c r="D112" s="9"/>
      <c r="E112" s="9"/>
      <c r="F112" s="9"/>
      <c r="G112" s="9"/>
      <c r="H112" s="9"/>
      <c r="I112" s="9"/>
      <c r="J112" s="9"/>
      <c r="K112" s="9"/>
      <c r="L112" s="9"/>
      <c r="M112" s="9"/>
      <c r="N112" s="9"/>
      <c r="O112" s="9"/>
      <c r="P112" s="9"/>
      <c r="Q112" s="9"/>
      <c r="R112" s="9"/>
      <c r="S112" s="9"/>
      <c r="T112" s="9"/>
      <c r="U112" s="9"/>
      <c r="V112" s="9"/>
      <c r="W112" s="9"/>
      <c r="X112" s="8"/>
      <c r="Y112" s="8"/>
      <c r="Z112" s="8"/>
      <c r="AA112" s="9"/>
      <c r="AB112" s="10" t="str">
        <f t="shared" si="30"/>
        <v/>
      </c>
      <c r="AC112" s="9"/>
      <c r="AD112" s="9"/>
      <c r="AE112" s="9"/>
      <c r="AF112" s="9"/>
      <c r="AG112" s="9"/>
      <c r="AH112" s="9"/>
      <c r="AI112" s="9"/>
      <c r="AJ112" s="9"/>
      <c r="AK112" s="9"/>
      <c r="AL112" s="9"/>
      <c r="AM112" s="9"/>
      <c r="AN112" s="9"/>
      <c r="AO112" s="11" t="str">
        <f t="shared" si="31"/>
        <v/>
      </c>
      <c r="AP112" s="11" t="str">
        <f t="shared" si="32"/>
        <v/>
      </c>
      <c r="AQ112" s="11" t="str">
        <f t="shared" si="33"/>
        <v/>
      </c>
      <c r="AR112" s="10" t="str">
        <f t="shared" si="34"/>
        <v/>
      </c>
      <c r="AS112" s="10" t="str">
        <f t="shared" si="35"/>
        <v/>
      </c>
      <c r="AT112" s="10" t="str">
        <f t="shared" si="36"/>
        <v/>
      </c>
      <c r="AU112" s="10" t="str">
        <f t="shared" si="37"/>
        <v/>
      </c>
      <c r="AV112" s="12"/>
      <c r="AW112" s="13"/>
      <c r="AX112" s="13"/>
      <c r="AY112" s="8"/>
      <c r="AZ112" s="8"/>
      <c r="BA112" s="8"/>
      <c r="BB112" s="8"/>
      <c r="BC112" s="38" t="str">
        <f t="shared" si="38"/>
        <v/>
      </c>
      <c r="BD112" s="38" t="str">
        <f t="shared" si="39"/>
        <v/>
      </c>
      <c r="BE112" s="39"/>
      <c r="BF112" s="40"/>
    </row>
    <row r="113" spans="1:58" ht="15" customHeight="1" x14ac:dyDescent="0.3">
      <c r="A113" s="8"/>
      <c r="B113" s="9"/>
      <c r="C113" s="9"/>
      <c r="D113" s="9"/>
      <c r="E113" s="9"/>
      <c r="F113" s="9"/>
      <c r="G113" s="9"/>
      <c r="H113" s="9"/>
      <c r="I113" s="9"/>
      <c r="J113" s="9"/>
      <c r="K113" s="9"/>
      <c r="L113" s="9"/>
      <c r="M113" s="9"/>
      <c r="N113" s="9"/>
      <c r="O113" s="9"/>
      <c r="P113" s="9"/>
      <c r="Q113" s="9"/>
      <c r="R113" s="9"/>
      <c r="S113" s="9"/>
      <c r="T113" s="9"/>
      <c r="U113" s="9"/>
      <c r="V113" s="9"/>
      <c r="W113" s="9"/>
      <c r="X113" s="8"/>
      <c r="Y113" s="8"/>
      <c r="Z113" s="8"/>
      <c r="AA113" s="9"/>
      <c r="AB113" s="10" t="str">
        <f t="shared" si="30"/>
        <v/>
      </c>
      <c r="AC113" s="9"/>
      <c r="AD113" s="9"/>
      <c r="AE113" s="9"/>
      <c r="AF113" s="9"/>
      <c r="AG113" s="9"/>
      <c r="AH113" s="9"/>
      <c r="AI113" s="9"/>
      <c r="AJ113" s="9"/>
      <c r="AK113" s="9"/>
      <c r="AL113" s="9"/>
      <c r="AM113" s="9"/>
      <c r="AN113" s="9"/>
      <c r="AO113" s="11" t="str">
        <f t="shared" si="31"/>
        <v/>
      </c>
      <c r="AP113" s="11" t="str">
        <f t="shared" si="32"/>
        <v/>
      </c>
      <c r="AQ113" s="11" t="str">
        <f t="shared" si="33"/>
        <v/>
      </c>
      <c r="AR113" s="10" t="str">
        <f t="shared" si="34"/>
        <v/>
      </c>
      <c r="AS113" s="10" t="str">
        <f t="shared" si="35"/>
        <v/>
      </c>
      <c r="AT113" s="10" t="str">
        <f t="shared" si="36"/>
        <v/>
      </c>
      <c r="AU113" s="10" t="str">
        <f t="shared" si="37"/>
        <v/>
      </c>
      <c r="AV113" s="12"/>
      <c r="AW113" s="13"/>
      <c r="AX113" s="13"/>
      <c r="AY113" s="8"/>
      <c r="AZ113" s="8"/>
      <c r="BA113" s="8"/>
      <c r="BB113" s="8"/>
      <c r="BC113" s="38" t="str">
        <f t="shared" si="38"/>
        <v/>
      </c>
      <c r="BD113" s="38" t="str">
        <f t="shared" si="39"/>
        <v/>
      </c>
      <c r="BE113" s="39"/>
      <c r="BF113" s="40"/>
    </row>
    <row r="114" spans="1:58" ht="15" customHeight="1" x14ac:dyDescent="0.3">
      <c r="A114" s="8"/>
      <c r="B114" s="9"/>
      <c r="C114" s="9"/>
      <c r="D114" s="9"/>
      <c r="E114" s="9"/>
      <c r="F114" s="9"/>
      <c r="G114" s="9"/>
      <c r="H114" s="9"/>
      <c r="I114" s="9"/>
      <c r="J114" s="9"/>
      <c r="K114" s="9"/>
      <c r="L114" s="9"/>
      <c r="M114" s="9"/>
      <c r="N114" s="9"/>
      <c r="O114" s="9"/>
      <c r="P114" s="9"/>
      <c r="Q114" s="9"/>
      <c r="R114" s="9"/>
      <c r="S114" s="9"/>
      <c r="T114" s="9"/>
      <c r="U114" s="9"/>
      <c r="V114" s="9"/>
      <c r="W114" s="9"/>
      <c r="X114" s="8"/>
      <c r="Y114" s="8"/>
      <c r="Z114" s="8"/>
      <c r="AA114" s="9"/>
      <c r="AB114" s="10" t="str">
        <f t="shared" si="30"/>
        <v/>
      </c>
      <c r="AC114" s="9"/>
      <c r="AD114" s="9"/>
      <c r="AE114" s="9"/>
      <c r="AF114" s="9"/>
      <c r="AG114" s="9"/>
      <c r="AH114" s="9"/>
      <c r="AI114" s="9"/>
      <c r="AJ114" s="9"/>
      <c r="AK114" s="9"/>
      <c r="AL114" s="9"/>
      <c r="AM114" s="9"/>
      <c r="AN114" s="9"/>
      <c r="AO114" s="11" t="str">
        <f t="shared" si="31"/>
        <v/>
      </c>
      <c r="AP114" s="11" t="str">
        <f t="shared" si="32"/>
        <v/>
      </c>
      <c r="AQ114" s="11" t="str">
        <f t="shared" si="33"/>
        <v/>
      </c>
      <c r="AR114" s="10" t="str">
        <f t="shared" si="34"/>
        <v/>
      </c>
      <c r="AS114" s="10" t="str">
        <f t="shared" si="35"/>
        <v/>
      </c>
      <c r="AT114" s="10" t="str">
        <f t="shared" si="36"/>
        <v/>
      </c>
      <c r="AU114" s="10" t="str">
        <f t="shared" si="37"/>
        <v/>
      </c>
      <c r="AV114" s="12"/>
      <c r="AW114" s="13"/>
      <c r="AX114" s="13"/>
      <c r="AY114" s="8"/>
      <c r="AZ114" s="8"/>
      <c r="BA114" s="8"/>
      <c r="BB114" s="8"/>
      <c r="BC114" s="38" t="str">
        <f t="shared" si="38"/>
        <v/>
      </c>
      <c r="BD114" s="38" t="str">
        <f t="shared" si="39"/>
        <v/>
      </c>
      <c r="BE114" s="39"/>
      <c r="BF114" s="40"/>
    </row>
    <row r="115" spans="1:58" ht="15" customHeight="1" x14ac:dyDescent="0.3">
      <c r="A115" s="8"/>
      <c r="B115" s="9"/>
      <c r="C115" s="9"/>
      <c r="D115" s="9"/>
      <c r="E115" s="9"/>
      <c r="F115" s="9"/>
      <c r="G115" s="9"/>
      <c r="H115" s="9"/>
      <c r="I115" s="9"/>
      <c r="J115" s="9"/>
      <c r="K115" s="9"/>
      <c r="L115" s="9"/>
      <c r="M115" s="9"/>
      <c r="N115" s="9"/>
      <c r="O115" s="9"/>
      <c r="P115" s="9"/>
      <c r="Q115" s="9"/>
      <c r="R115" s="9"/>
      <c r="S115" s="9"/>
      <c r="T115" s="9"/>
      <c r="U115" s="9"/>
      <c r="V115" s="9"/>
      <c r="W115" s="9"/>
      <c r="X115" s="8"/>
      <c r="Y115" s="8"/>
      <c r="Z115" s="8"/>
      <c r="AA115" s="9"/>
      <c r="AB115" s="10" t="str">
        <f t="shared" si="30"/>
        <v/>
      </c>
      <c r="AC115" s="9"/>
      <c r="AD115" s="9"/>
      <c r="AE115" s="9"/>
      <c r="AF115" s="9"/>
      <c r="AG115" s="9"/>
      <c r="AH115" s="9"/>
      <c r="AI115" s="9"/>
      <c r="AJ115" s="9"/>
      <c r="AK115" s="9"/>
      <c r="AL115" s="9"/>
      <c r="AM115" s="9"/>
      <c r="AN115" s="9"/>
      <c r="AO115" s="11" t="str">
        <f t="shared" si="31"/>
        <v/>
      </c>
      <c r="AP115" s="11" t="str">
        <f t="shared" si="32"/>
        <v/>
      </c>
      <c r="AQ115" s="11" t="str">
        <f t="shared" si="33"/>
        <v/>
      </c>
      <c r="AR115" s="10" t="str">
        <f t="shared" si="34"/>
        <v/>
      </c>
      <c r="AS115" s="10" t="str">
        <f t="shared" si="35"/>
        <v/>
      </c>
      <c r="AT115" s="10" t="str">
        <f t="shared" si="36"/>
        <v/>
      </c>
      <c r="AU115" s="10" t="str">
        <f t="shared" si="37"/>
        <v/>
      </c>
      <c r="AV115" s="12"/>
      <c r="AW115" s="13"/>
      <c r="AX115" s="13"/>
      <c r="AY115" s="8"/>
      <c r="AZ115" s="8"/>
      <c r="BA115" s="8"/>
      <c r="BB115" s="8"/>
      <c r="BC115" s="38" t="str">
        <f t="shared" si="38"/>
        <v/>
      </c>
      <c r="BD115" s="38" t="str">
        <f t="shared" si="39"/>
        <v/>
      </c>
      <c r="BE115" s="39"/>
      <c r="BF115" s="40"/>
    </row>
    <row r="116" spans="1:58" ht="15" customHeight="1" x14ac:dyDescent="0.3">
      <c r="A116" s="8"/>
      <c r="B116" s="9"/>
      <c r="C116" s="9"/>
      <c r="D116" s="9"/>
      <c r="E116" s="9"/>
      <c r="F116" s="9"/>
      <c r="G116" s="9"/>
      <c r="H116" s="9"/>
      <c r="I116" s="9"/>
      <c r="J116" s="9"/>
      <c r="K116" s="9"/>
      <c r="L116" s="9"/>
      <c r="M116" s="9"/>
      <c r="N116" s="9"/>
      <c r="O116" s="9"/>
      <c r="P116" s="9"/>
      <c r="Q116" s="9"/>
      <c r="R116" s="9"/>
      <c r="S116" s="9"/>
      <c r="T116" s="9"/>
      <c r="U116" s="9"/>
      <c r="V116" s="9"/>
      <c r="W116" s="9"/>
      <c r="X116" s="8"/>
      <c r="Y116" s="8"/>
      <c r="Z116" s="8"/>
      <c r="AA116" s="9"/>
      <c r="AB116" s="10" t="str">
        <f t="shared" si="30"/>
        <v/>
      </c>
      <c r="AC116" s="9"/>
      <c r="AD116" s="9"/>
      <c r="AE116" s="9"/>
      <c r="AF116" s="9"/>
      <c r="AG116" s="9"/>
      <c r="AH116" s="9"/>
      <c r="AI116" s="9"/>
      <c r="AJ116" s="9"/>
      <c r="AK116" s="9"/>
      <c r="AL116" s="9"/>
      <c r="AM116" s="9"/>
      <c r="AN116" s="9"/>
      <c r="AO116" s="11" t="str">
        <f t="shared" si="31"/>
        <v/>
      </c>
      <c r="AP116" s="11" t="str">
        <f t="shared" si="32"/>
        <v/>
      </c>
      <c r="AQ116" s="11" t="str">
        <f t="shared" si="33"/>
        <v/>
      </c>
      <c r="AR116" s="10" t="str">
        <f t="shared" si="34"/>
        <v/>
      </c>
      <c r="AS116" s="10" t="str">
        <f t="shared" si="35"/>
        <v/>
      </c>
      <c r="AT116" s="10" t="str">
        <f t="shared" si="36"/>
        <v/>
      </c>
      <c r="AU116" s="10" t="str">
        <f t="shared" si="37"/>
        <v/>
      </c>
      <c r="AV116" s="12"/>
      <c r="AW116" s="13"/>
      <c r="AX116" s="13"/>
      <c r="AY116" s="8"/>
      <c r="AZ116" s="8"/>
      <c r="BA116" s="8"/>
      <c r="BB116" s="8"/>
      <c r="BC116" s="38" t="str">
        <f t="shared" si="38"/>
        <v/>
      </c>
      <c r="BD116" s="38" t="str">
        <f t="shared" si="39"/>
        <v/>
      </c>
      <c r="BE116" s="39"/>
      <c r="BF116" s="40"/>
    </row>
    <row r="117" spans="1:58" ht="15" customHeight="1" x14ac:dyDescent="0.3">
      <c r="A117" s="8"/>
      <c r="B117" s="9"/>
      <c r="C117" s="9"/>
      <c r="D117" s="9"/>
      <c r="E117" s="9"/>
      <c r="F117" s="9"/>
      <c r="G117" s="9"/>
      <c r="H117" s="9"/>
      <c r="I117" s="9"/>
      <c r="J117" s="9"/>
      <c r="K117" s="9"/>
      <c r="L117" s="9"/>
      <c r="M117" s="9"/>
      <c r="N117" s="9"/>
      <c r="O117" s="9"/>
      <c r="P117" s="9"/>
      <c r="Q117" s="9"/>
      <c r="R117" s="9"/>
      <c r="S117" s="9"/>
      <c r="T117" s="9"/>
      <c r="U117" s="9"/>
      <c r="V117" s="9"/>
      <c r="W117" s="9"/>
      <c r="X117" s="8"/>
      <c r="Y117" s="8"/>
      <c r="Z117" s="8"/>
      <c r="AA117" s="9"/>
      <c r="AB117" s="10" t="str">
        <f t="shared" si="30"/>
        <v/>
      </c>
      <c r="AC117" s="9"/>
      <c r="AD117" s="9"/>
      <c r="AE117" s="9"/>
      <c r="AF117" s="9"/>
      <c r="AG117" s="9"/>
      <c r="AH117" s="9"/>
      <c r="AI117" s="9"/>
      <c r="AJ117" s="9"/>
      <c r="AK117" s="9"/>
      <c r="AL117" s="9"/>
      <c r="AM117" s="9"/>
      <c r="AN117" s="9"/>
      <c r="AO117" s="11" t="str">
        <f t="shared" si="31"/>
        <v/>
      </c>
      <c r="AP117" s="11" t="str">
        <f t="shared" si="32"/>
        <v/>
      </c>
      <c r="AQ117" s="11" t="str">
        <f t="shared" si="33"/>
        <v/>
      </c>
      <c r="AR117" s="10" t="str">
        <f t="shared" si="34"/>
        <v/>
      </c>
      <c r="AS117" s="10" t="str">
        <f t="shared" si="35"/>
        <v/>
      </c>
      <c r="AT117" s="10" t="str">
        <f t="shared" si="36"/>
        <v/>
      </c>
      <c r="AU117" s="10" t="str">
        <f t="shared" si="37"/>
        <v/>
      </c>
      <c r="AV117" s="12"/>
      <c r="AW117" s="13"/>
      <c r="AX117" s="13"/>
      <c r="AY117" s="8"/>
      <c r="AZ117" s="8"/>
      <c r="BA117" s="8"/>
      <c r="BB117" s="8"/>
      <c r="BC117" s="38" t="str">
        <f t="shared" si="38"/>
        <v/>
      </c>
      <c r="BD117" s="38" t="str">
        <f t="shared" si="39"/>
        <v/>
      </c>
      <c r="BE117" s="39"/>
      <c r="BF117" s="40"/>
    </row>
    <row r="118" spans="1:58" ht="15" customHeight="1" x14ac:dyDescent="0.3">
      <c r="A118" s="8"/>
      <c r="B118" s="9"/>
      <c r="C118" s="9"/>
      <c r="D118" s="9"/>
      <c r="E118" s="9"/>
      <c r="F118" s="9"/>
      <c r="G118" s="9"/>
      <c r="H118" s="9"/>
      <c r="I118" s="9"/>
      <c r="J118" s="9"/>
      <c r="K118" s="9"/>
      <c r="L118" s="9"/>
      <c r="M118" s="9"/>
      <c r="N118" s="9"/>
      <c r="O118" s="9"/>
      <c r="P118" s="9"/>
      <c r="Q118" s="9"/>
      <c r="R118" s="9"/>
      <c r="S118" s="9"/>
      <c r="T118" s="9"/>
      <c r="U118" s="9"/>
      <c r="V118" s="9"/>
      <c r="W118" s="9"/>
      <c r="X118" s="8"/>
      <c r="Y118" s="8"/>
      <c r="Z118" s="8"/>
      <c r="AA118" s="9"/>
      <c r="AB118" s="10" t="str">
        <f t="shared" si="30"/>
        <v/>
      </c>
      <c r="AC118" s="9"/>
      <c r="AD118" s="9"/>
      <c r="AE118" s="9"/>
      <c r="AF118" s="9"/>
      <c r="AG118" s="9"/>
      <c r="AH118" s="9"/>
      <c r="AI118" s="9"/>
      <c r="AJ118" s="9"/>
      <c r="AK118" s="9"/>
      <c r="AL118" s="9"/>
      <c r="AM118" s="9"/>
      <c r="AN118" s="9"/>
      <c r="AO118" s="11" t="str">
        <f t="shared" si="31"/>
        <v/>
      </c>
      <c r="AP118" s="11" t="str">
        <f t="shared" si="32"/>
        <v/>
      </c>
      <c r="AQ118" s="11" t="str">
        <f t="shared" si="33"/>
        <v/>
      </c>
      <c r="AR118" s="10" t="str">
        <f t="shared" si="34"/>
        <v/>
      </c>
      <c r="AS118" s="10" t="str">
        <f t="shared" si="35"/>
        <v/>
      </c>
      <c r="AT118" s="10" t="str">
        <f t="shared" si="36"/>
        <v/>
      </c>
      <c r="AU118" s="10" t="str">
        <f t="shared" si="37"/>
        <v/>
      </c>
      <c r="AV118" s="12"/>
      <c r="AW118" s="13"/>
      <c r="AX118" s="13"/>
      <c r="AY118" s="8"/>
      <c r="AZ118" s="8"/>
      <c r="BA118" s="8"/>
      <c r="BB118" s="8"/>
      <c r="BC118" s="38" t="str">
        <f t="shared" si="38"/>
        <v/>
      </c>
      <c r="BD118" s="38" t="str">
        <f t="shared" si="39"/>
        <v/>
      </c>
      <c r="BE118" s="39"/>
      <c r="BF118" s="40"/>
    </row>
    <row r="119" spans="1:58" ht="15" customHeight="1" x14ac:dyDescent="0.3">
      <c r="A119" s="8"/>
      <c r="B119" s="9"/>
      <c r="C119" s="9"/>
      <c r="D119" s="9"/>
      <c r="E119" s="9"/>
      <c r="F119" s="9"/>
      <c r="G119" s="9"/>
      <c r="H119" s="9"/>
      <c r="I119" s="9"/>
      <c r="J119" s="9"/>
      <c r="K119" s="9"/>
      <c r="L119" s="9"/>
      <c r="M119" s="9"/>
      <c r="N119" s="9"/>
      <c r="O119" s="9"/>
      <c r="P119" s="9"/>
      <c r="Q119" s="9"/>
      <c r="R119" s="9"/>
      <c r="S119" s="9"/>
      <c r="T119" s="9"/>
      <c r="U119" s="9"/>
      <c r="V119" s="9"/>
      <c r="W119" s="9"/>
      <c r="X119" s="8"/>
      <c r="Y119" s="8"/>
      <c r="Z119" s="8"/>
      <c r="AA119" s="9"/>
      <c r="AB119" s="10" t="str">
        <f t="shared" si="30"/>
        <v/>
      </c>
      <c r="AC119" s="9"/>
      <c r="AD119" s="9"/>
      <c r="AE119" s="9"/>
      <c r="AF119" s="9"/>
      <c r="AG119" s="9"/>
      <c r="AH119" s="9"/>
      <c r="AI119" s="9"/>
      <c r="AJ119" s="9"/>
      <c r="AK119" s="9"/>
      <c r="AL119" s="9"/>
      <c r="AM119" s="9"/>
      <c r="AN119" s="9"/>
      <c r="AO119" s="11" t="str">
        <f t="shared" si="31"/>
        <v/>
      </c>
      <c r="AP119" s="11" t="str">
        <f t="shared" si="32"/>
        <v/>
      </c>
      <c r="AQ119" s="11" t="str">
        <f t="shared" si="33"/>
        <v/>
      </c>
      <c r="AR119" s="10" t="str">
        <f t="shared" si="34"/>
        <v/>
      </c>
      <c r="AS119" s="10" t="str">
        <f t="shared" si="35"/>
        <v/>
      </c>
      <c r="AT119" s="10" t="str">
        <f t="shared" si="36"/>
        <v/>
      </c>
      <c r="AU119" s="10" t="str">
        <f t="shared" si="37"/>
        <v/>
      </c>
      <c r="AV119" s="12"/>
      <c r="AW119" s="13"/>
      <c r="AX119" s="13"/>
      <c r="AY119" s="8"/>
      <c r="AZ119" s="8"/>
      <c r="BA119" s="8"/>
      <c r="BB119" s="8"/>
      <c r="BC119" s="38" t="str">
        <f t="shared" si="38"/>
        <v/>
      </c>
      <c r="BD119" s="38" t="str">
        <f t="shared" si="39"/>
        <v/>
      </c>
      <c r="BE119" s="39"/>
      <c r="BF119" s="40"/>
    </row>
    <row r="120" spans="1:58" ht="15" customHeight="1" x14ac:dyDescent="0.3">
      <c r="A120" s="8"/>
      <c r="B120" s="9"/>
      <c r="C120" s="9"/>
      <c r="D120" s="9"/>
      <c r="E120" s="9"/>
      <c r="F120" s="9"/>
      <c r="G120" s="9"/>
      <c r="H120" s="9"/>
      <c r="I120" s="9"/>
      <c r="J120" s="9"/>
      <c r="K120" s="9"/>
      <c r="L120" s="9"/>
      <c r="M120" s="9"/>
      <c r="N120" s="9"/>
      <c r="O120" s="9"/>
      <c r="P120" s="9"/>
      <c r="Q120" s="9"/>
      <c r="R120" s="9"/>
      <c r="S120" s="9"/>
      <c r="T120" s="9"/>
      <c r="U120" s="9"/>
      <c r="V120" s="9"/>
      <c r="W120" s="9"/>
      <c r="X120" s="8"/>
      <c r="Y120" s="8"/>
      <c r="Z120" s="8"/>
      <c r="AA120" s="9"/>
      <c r="AB120" s="10" t="str">
        <f t="shared" si="30"/>
        <v/>
      </c>
      <c r="AC120" s="9"/>
      <c r="AD120" s="9"/>
      <c r="AE120" s="9"/>
      <c r="AF120" s="9"/>
      <c r="AG120" s="9"/>
      <c r="AH120" s="9"/>
      <c r="AI120" s="9"/>
      <c r="AJ120" s="9"/>
      <c r="AK120" s="9"/>
      <c r="AL120" s="9"/>
      <c r="AM120" s="9"/>
      <c r="AN120" s="9"/>
      <c r="AO120" s="11" t="str">
        <f t="shared" si="31"/>
        <v/>
      </c>
      <c r="AP120" s="11" t="str">
        <f t="shared" si="32"/>
        <v/>
      </c>
      <c r="AQ120" s="11" t="str">
        <f t="shared" si="33"/>
        <v/>
      </c>
      <c r="AR120" s="10" t="str">
        <f t="shared" si="34"/>
        <v/>
      </c>
      <c r="AS120" s="10" t="str">
        <f t="shared" si="35"/>
        <v/>
      </c>
      <c r="AT120" s="10" t="str">
        <f t="shared" si="36"/>
        <v/>
      </c>
      <c r="AU120" s="10" t="str">
        <f t="shared" si="37"/>
        <v/>
      </c>
      <c r="AV120" s="12"/>
      <c r="AW120" s="13"/>
      <c r="AX120" s="13"/>
      <c r="AY120" s="8"/>
      <c r="AZ120" s="8"/>
      <c r="BA120" s="8"/>
      <c r="BB120" s="8"/>
      <c r="BC120" s="38" t="str">
        <f t="shared" si="38"/>
        <v/>
      </c>
      <c r="BD120" s="38" t="str">
        <f t="shared" si="39"/>
        <v/>
      </c>
      <c r="BE120" s="39"/>
      <c r="BF120" s="40"/>
    </row>
    <row r="121" spans="1:58" ht="15" customHeight="1" x14ac:dyDescent="0.3">
      <c r="A121" s="8"/>
      <c r="B121" s="9"/>
      <c r="C121" s="9"/>
      <c r="D121" s="9"/>
      <c r="E121" s="9"/>
      <c r="F121" s="9"/>
      <c r="G121" s="9"/>
      <c r="H121" s="9"/>
      <c r="I121" s="9"/>
      <c r="J121" s="9"/>
      <c r="K121" s="9"/>
      <c r="L121" s="9"/>
      <c r="M121" s="9"/>
      <c r="N121" s="9"/>
      <c r="O121" s="9"/>
      <c r="P121" s="9"/>
      <c r="Q121" s="9"/>
      <c r="R121" s="9"/>
      <c r="S121" s="9"/>
      <c r="T121" s="9"/>
      <c r="U121" s="9"/>
      <c r="V121" s="9"/>
      <c r="W121" s="9"/>
      <c r="X121" s="8"/>
      <c r="Y121" s="8"/>
      <c r="Z121" s="8"/>
      <c r="AA121" s="9"/>
      <c r="AB121" s="10" t="str">
        <f t="shared" si="30"/>
        <v/>
      </c>
      <c r="AC121" s="9"/>
      <c r="AD121" s="9"/>
      <c r="AE121" s="9"/>
      <c r="AF121" s="9"/>
      <c r="AG121" s="9"/>
      <c r="AH121" s="9"/>
      <c r="AI121" s="9"/>
      <c r="AJ121" s="9"/>
      <c r="AK121" s="9"/>
      <c r="AL121" s="9"/>
      <c r="AM121" s="9"/>
      <c r="AN121" s="9"/>
      <c r="AO121" s="11" t="str">
        <f t="shared" si="31"/>
        <v/>
      </c>
      <c r="AP121" s="11" t="str">
        <f t="shared" si="32"/>
        <v/>
      </c>
      <c r="AQ121" s="11" t="str">
        <f t="shared" si="33"/>
        <v/>
      </c>
      <c r="AR121" s="10" t="str">
        <f t="shared" si="34"/>
        <v/>
      </c>
      <c r="AS121" s="10" t="str">
        <f t="shared" si="35"/>
        <v/>
      </c>
      <c r="AT121" s="10" t="str">
        <f t="shared" si="36"/>
        <v/>
      </c>
      <c r="AU121" s="10" t="str">
        <f t="shared" si="37"/>
        <v/>
      </c>
      <c r="AV121" s="12"/>
      <c r="AW121" s="13"/>
      <c r="AX121" s="13"/>
      <c r="AY121" s="8"/>
      <c r="AZ121" s="8"/>
      <c r="BA121" s="8"/>
      <c r="BB121" s="8"/>
      <c r="BC121" s="38" t="str">
        <f t="shared" si="38"/>
        <v/>
      </c>
      <c r="BD121" s="38" t="str">
        <f t="shared" si="39"/>
        <v/>
      </c>
      <c r="BE121" s="39"/>
      <c r="BF121" s="40"/>
    </row>
    <row r="122" spans="1:58" ht="15" customHeight="1" x14ac:dyDescent="0.3">
      <c r="A122" s="8"/>
      <c r="B122" s="9"/>
      <c r="C122" s="9"/>
      <c r="D122" s="9"/>
      <c r="E122" s="9"/>
      <c r="F122" s="9"/>
      <c r="G122" s="9"/>
      <c r="H122" s="9"/>
      <c r="I122" s="9"/>
      <c r="J122" s="9"/>
      <c r="K122" s="9"/>
      <c r="L122" s="9"/>
      <c r="M122" s="9"/>
      <c r="N122" s="9"/>
      <c r="O122" s="9"/>
      <c r="P122" s="9"/>
      <c r="Q122" s="9"/>
      <c r="R122" s="9"/>
      <c r="S122" s="9"/>
      <c r="T122" s="9"/>
      <c r="U122" s="9"/>
      <c r="V122" s="9"/>
      <c r="W122" s="9"/>
      <c r="X122" s="8"/>
      <c r="Y122" s="8"/>
      <c r="Z122" s="8"/>
      <c r="AA122" s="9"/>
      <c r="AB122" s="10" t="str">
        <f t="shared" si="30"/>
        <v/>
      </c>
      <c r="AC122" s="9"/>
      <c r="AD122" s="9"/>
      <c r="AE122" s="9"/>
      <c r="AF122" s="9"/>
      <c r="AG122" s="9"/>
      <c r="AH122" s="9"/>
      <c r="AI122" s="9"/>
      <c r="AJ122" s="9"/>
      <c r="AK122" s="9"/>
      <c r="AL122" s="9"/>
      <c r="AM122" s="9"/>
      <c r="AN122" s="9"/>
      <c r="AO122" s="11" t="str">
        <f t="shared" si="31"/>
        <v/>
      </c>
      <c r="AP122" s="11" t="str">
        <f t="shared" si="32"/>
        <v/>
      </c>
      <c r="AQ122" s="11" t="str">
        <f t="shared" si="33"/>
        <v/>
      </c>
      <c r="AR122" s="10" t="str">
        <f t="shared" si="34"/>
        <v/>
      </c>
      <c r="AS122" s="10" t="str">
        <f t="shared" si="35"/>
        <v/>
      </c>
      <c r="AT122" s="10" t="str">
        <f t="shared" si="36"/>
        <v/>
      </c>
      <c r="AU122" s="10" t="str">
        <f t="shared" si="37"/>
        <v/>
      </c>
      <c r="AV122" s="12"/>
      <c r="AW122" s="13"/>
      <c r="AX122" s="13"/>
      <c r="AY122" s="8"/>
      <c r="AZ122" s="8"/>
      <c r="BA122" s="8"/>
      <c r="BB122" s="8"/>
      <c r="BC122" s="38" t="str">
        <f t="shared" si="38"/>
        <v/>
      </c>
      <c r="BD122" s="38" t="str">
        <f t="shared" si="39"/>
        <v/>
      </c>
      <c r="BE122" s="39"/>
      <c r="BF122" s="40"/>
    </row>
    <row r="123" spans="1:58" ht="15" customHeight="1" x14ac:dyDescent="0.3">
      <c r="A123" s="8"/>
      <c r="B123" s="9"/>
      <c r="C123" s="9"/>
      <c r="D123" s="9"/>
      <c r="E123" s="9"/>
      <c r="F123" s="9"/>
      <c r="G123" s="9"/>
      <c r="H123" s="9"/>
      <c r="I123" s="9"/>
      <c r="J123" s="9"/>
      <c r="K123" s="9"/>
      <c r="L123" s="9"/>
      <c r="M123" s="9"/>
      <c r="N123" s="9"/>
      <c r="O123" s="9"/>
      <c r="P123" s="9"/>
      <c r="Q123" s="9"/>
      <c r="R123" s="9"/>
      <c r="S123" s="9"/>
      <c r="T123" s="9"/>
      <c r="U123" s="9"/>
      <c r="V123" s="9"/>
      <c r="W123" s="9"/>
      <c r="X123" s="8"/>
      <c r="Y123" s="8"/>
      <c r="Z123" s="8"/>
      <c r="AA123" s="9"/>
      <c r="AB123" s="10" t="str">
        <f t="shared" si="30"/>
        <v/>
      </c>
      <c r="AC123" s="9"/>
      <c r="AD123" s="9"/>
      <c r="AE123" s="9"/>
      <c r="AF123" s="9"/>
      <c r="AG123" s="9"/>
      <c r="AH123" s="9"/>
      <c r="AI123" s="9"/>
      <c r="AJ123" s="9"/>
      <c r="AK123" s="9"/>
      <c r="AL123" s="9"/>
      <c r="AM123" s="9"/>
      <c r="AN123" s="9"/>
      <c r="AO123" s="11" t="str">
        <f t="shared" si="31"/>
        <v/>
      </c>
      <c r="AP123" s="11" t="str">
        <f t="shared" si="32"/>
        <v/>
      </c>
      <c r="AQ123" s="11" t="str">
        <f t="shared" si="33"/>
        <v/>
      </c>
      <c r="AR123" s="10" t="str">
        <f t="shared" si="34"/>
        <v/>
      </c>
      <c r="AS123" s="10" t="str">
        <f t="shared" si="35"/>
        <v/>
      </c>
      <c r="AT123" s="10" t="str">
        <f t="shared" si="36"/>
        <v/>
      </c>
      <c r="AU123" s="10" t="str">
        <f t="shared" si="37"/>
        <v/>
      </c>
      <c r="AV123" s="12"/>
      <c r="AW123" s="13"/>
      <c r="AX123" s="13"/>
      <c r="AY123" s="8"/>
      <c r="AZ123" s="8"/>
      <c r="BA123" s="8"/>
      <c r="BB123" s="8"/>
      <c r="BC123" s="38" t="str">
        <f t="shared" si="38"/>
        <v/>
      </c>
      <c r="BD123" s="38" t="str">
        <f t="shared" si="39"/>
        <v/>
      </c>
      <c r="BE123" s="39"/>
      <c r="BF123" s="40"/>
    </row>
    <row r="124" spans="1:58" ht="15" customHeight="1" x14ac:dyDescent="0.3">
      <c r="A124" s="8"/>
      <c r="B124" s="9"/>
      <c r="C124" s="9"/>
      <c r="D124" s="9"/>
      <c r="E124" s="9"/>
      <c r="F124" s="9"/>
      <c r="G124" s="9"/>
      <c r="H124" s="9"/>
      <c r="I124" s="9"/>
      <c r="J124" s="9"/>
      <c r="K124" s="9"/>
      <c r="L124" s="9"/>
      <c r="M124" s="9"/>
      <c r="N124" s="9"/>
      <c r="O124" s="9"/>
      <c r="P124" s="9"/>
      <c r="Q124" s="9"/>
      <c r="R124" s="9"/>
      <c r="S124" s="9"/>
      <c r="T124" s="9"/>
      <c r="U124" s="9"/>
      <c r="V124" s="9"/>
      <c r="W124" s="9"/>
      <c r="X124" s="8"/>
      <c r="Y124" s="8"/>
      <c r="Z124" s="8"/>
      <c r="AA124" s="9"/>
      <c r="AB124" s="10" t="str">
        <f t="shared" si="30"/>
        <v/>
      </c>
      <c r="AC124" s="9"/>
      <c r="AD124" s="9"/>
      <c r="AE124" s="9"/>
      <c r="AF124" s="9"/>
      <c r="AG124" s="9"/>
      <c r="AH124" s="9"/>
      <c r="AI124" s="9"/>
      <c r="AJ124" s="9"/>
      <c r="AK124" s="9"/>
      <c r="AL124" s="9"/>
      <c r="AM124" s="9"/>
      <c r="AN124" s="9"/>
      <c r="AO124" s="11" t="str">
        <f t="shared" si="31"/>
        <v/>
      </c>
      <c r="AP124" s="11" t="str">
        <f t="shared" si="32"/>
        <v/>
      </c>
      <c r="AQ124" s="11" t="str">
        <f t="shared" si="33"/>
        <v/>
      </c>
      <c r="AR124" s="10" t="str">
        <f t="shared" si="34"/>
        <v/>
      </c>
      <c r="AS124" s="10" t="str">
        <f t="shared" si="35"/>
        <v/>
      </c>
      <c r="AT124" s="10" t="str">
        <f t="shared" si="36"/>
        <v/>
      </c>
      <c r="AU124" s="10" t="str">
        <f t="shared" si="37"/>
        <v/>
      </c>
      <c r="AV124" s="12"/>
      <c r="AW124" s="13"/>
      <c r="AX124" s="13"/>
      <c r="AY124" s="8"/>
      <c r="AZ124" s="8"/>
      <c r="BA124" s="8"/>
      <c r="BB124" s="8"/>
      <c r="BC124" s="38" t="str">
        <f t="shared" si="38"/>
        <v/>
      </c>
      <c r="BD124" s="38" t="str">
        <f t="shared" si="39"/>
        <v/>
      </c>
      <c r="BE124" s="39"/>
      <c r="BF124" s="40"/>
    </row>
    <row r="125" spans="1:58" ht="15" customHeight="1" x14ac:dyDescent="0.3">
      <c r="A125" s="8"/>
      <c r="B125" s="9"/>
      <c r="C125" s="9"/>
      <c r="D125" s="9"/>
      <c r="E125" s="9"/>
      <c r="F125" s="9"/>
      <c r="G125" s="9"/>
      <c r="H125" s="9"/>
      <c r="I125" s="9"/>
      <c r="J125" s="9"/>
      <c r="K125" s="9"/>
      <c r="L125" s="9"/>
      <c r="M125" s="9"/>
      <c r="N125" s="9"/>
      <c r="O125" s="9"/>
      <c r="P125" s="9"/>
      <c r="Q125" s="9"/>
      <c r="R125" s="9"/>
      <c r="S125" s="9"/>
      <c r="T125" s="9"/>
      <c r="U125" s="9"/>
      <c r="V125" s="9"/>
      <c r="W125" s="9"/>
      <c r="X125" s="8"/>
      <c r="Y125" s="8"/>
      <c r="Z125" s="8"/>
      <c r="AA125" s="9"/>
      <c r="AB125" s="10" t="str">
        <f t="shared" si="30"/>
        <v/>
      </c>
      <c r="AC125" s="9"/>
      <c r="AD125" s="9"/>
      <c r="AE125" s="9"/>
      <c r="AF125" s="9"/>
      <c r="AG125" s="9"/>
      <c r="AH125" s="9"/>
      <c r="AI125" s="9"/>
      <c r="AJ125" s="9"/>
      <c r="AK125" s="9"/>
      <c r="AL125" s="9"/>
      <c r="AM125" s="9"/>
      <c r="AN125" s="9"/>
      <c r="AO125" s="11" t="str">
        <f t="shared" si="31"/>
        <v/>
      </c>
      <c r="AP125" s="11" t="str">
        <f t="shared" si="32"/>
        <v/>
      </c>
      <c r="AQ125" s="11" t="str">
        <f t="shared" si="33"/>
        <v/>
      </c>
      <c r="AR125" s="10" t="str">
        <f t="shared" si="34"/>
        <v/>
      </c>
      <c r="AS125" s="10" t="str">
        <f t="shared" si="35"/>
        <v/>
      </c>
      <c r="AT125" s="10" t="str">
        <f t="shared" si="36"/>
        <v/>
      </c>
      <c r="AU125" s="10" t="str">
        <f t="shared" si="37"/>
        <v/>
      </c>
      <c r="AV125" s="12"/>
      <c r="AW125" s="13"/>
      <c r="AX125" s="13"/>
      <c r="AY125" s="8"/>
      <c r="AZ125" s="8"/>
      <c r="BA125" s="8"/>
      <c r="BB125" s="8"/>
      <c r="BC125" s="38" t="str">
        <f t="shared" si="38"/>
        <v/>
      </c>
      <c r="BD125" s="38" t="str">
        <f t="shared" si="39"/>
        <v/>
      </c>
      <c r="BE125" s="39"/>
      <c r="BF125" s="40"/>
    </row>
    <row r="126" spans="1:58" ht="15" customHeight="1" x14ac:dyDescent="0.3">
      <c r="A126" s="8"/>
      <c r="B126" s="9"/>
      <c r="C126" s="9"/>
      <c r="D126" s="9"/>
      <c r="E126" s="9"/>
      <c r="F126" s="9"/>
      <c r="G126" s="9"/>
      <c r="H126" s="9"/>
      <c r="I126" s="9"/>
      <c r="J126" s="9"/>
      <c r="K126" s="9"/>
      <c r="L126" s="9"/>
      <c r="M126" s="9"/>
      <c r="N126" s="9"/>
      <c r="O126" s="9"/>
      <c r="P126" s="9"/>
      <c r="Q126" s="9"/>
      <c r="R126" s="9"/>
      <c r="S126" s="9"/>
      <c r="T126" s="9"/>
      <c r="U126" s="9"/>
      <c r="V126" s="9"/>
      <c r="W126" s="9"/>
      <c r="X126" s="8"/>
      <c r="Y126" s="8"/>
      <c r="Z126" s="8"/>
      <c r="AA126" s="9"/>
      <c r="AB126" s="10" t="str">
        <f t="shared" si="30"/>
        <v/>
      </c>
      <c r="AC126" s="9"/>
      <c r="AD126" s="9"/>
      <c r="AE126" s="9"/>
      <c r="AF126" s="9"/>
      <c r="AG126" s="9"/>
      <c r="AH126" s="9"/>
      <c r="AI126" s="9"/>
      <c r="AJ126" s="9"/>
      <c r="AK126" s="9"/>
      <c r="AL126" s="9"/>
      <c r="AM126" s="9"/>
      <c r="AN126" s="9"/>
      <c r="AO126" s="11" t="str">
        <f t="shared" si="31"/>
        <v/>
      </c>
      <c r="AP126" s="11" t="str">
        <f t="shared" si="32"/>
        <v/>
      </c>
      <c r="AQ126" s="11" t="str">
        <f t="shared" si="33"/>
        <v/>
      </c>
      <c r="AR126" s="10" t="str">
        <f t="shared" si="34"/>
        <v/>
      </c>
      <c r="AS126" s="10" t="str">
        <f t="shared" si="35"/>
        <v/>
      </c>
      <c r="AT126" s="10" t="str">
        <f t="shared" si="36"/>
        <v/>
      </c>
      <c r="AU126" s="10" t="str">
        <f t="shared" si="37"/>
        <v/>
      </c>
      <c r="AV126" s="12"/>
      <c r="AW126" s="13"/>
      <c r="AX126" s="13"/>
      <c r="AY126" s="8"/>
      <c r="AZ126" s="8"/>
      <c r="BA126" s="8"/>
      <c r="BB126" s="8"/>
      <c r="BC126" s="38" t="str">
        <f t="shared" si="38"/>
        <v/>
      </c>
      <c r="BD126" s="38" t="str">
        <f t="shared" si="39"/>
        <v/>
      </c>
      <c r="BE126" s="39"/>
      <c r="BF126" s="40"/>
    </row>
    <row r="127" spans="1:58" ht="15" customHeight="1" x14ac:dyDescent="0.3">
      <c r="A127" s="8"/>
      <c r="B127" s="9"/>
      <c r="C127" s="9"/>
      <c r="D127" s="9"/>
      <c r="E127" s="9"/>
      <c r="F127" s="9"/>
      <c r="G127" s="9"/>
      <c r="H127" s="9"/>
      <c r="I127" s="9"/>
      <c r="J127" s="9"/>
      <c r="K127" s="9"/>
      <c r="L127" s="9"/>
      <c r="M127" s="9"/>
      <c r="N127" s="9"/>
      <c r="O127" s="9"/>
      <c r="P127" s="9"/>
      <c r="Q127" s="9"/>
      <c r="R127" s="9"/>
      <c r="S127" s="9"/>
      <c r="T127" s="9"/>
      <c r="U127" s="9"/>
      <c r="V127" s="9"/>
      <c r="W127" s="9"/>
      <c r="X127" s="8"/>
      <c r="Y127" s="8"/>
      <c r="Z127" s="8"/>
      <c r="AA127" s="9"/>
      <c r="AB127" s="10" t="str">
        <f t="shared" si="30"/>
        <v/>
      </c>
      <c r="AC127" s="9"/>
      <c r="AD127" s="9"/>
      <c r="AE127" s="9"/>
      <c r="AF127" s="9"/>
      <c r="AG127" s="9"/>
      <c r="AH127" s="9"/>
      <c r="AI127" s="9"/>
      <c r="AJ127" s="9"/>
      <c r="AK127" s="9"/>
      <c r="AL127" s="9"/>
      <c r="AM127" s="9"/>
      <c r="AN127" s="9"/>
      <c r="AO127" s="11" t="str">
        <f t="shared" si="31"/>
        <v/>
      </c>
      <c r="AP127" s="11" t="str">
        <f t="shared" si="32"/>
        <v/>
      </c>
      <c r="AQ127" s="11" t="str">
        <f t="shared" si="33"/>
        <v/>
      </c>
      <c r="AR127" s="10" t="str">
        <f t="shared" si="34"/>
        <v/>
      </c>
      <c r="AS127" s="10" t="str">
        <f t="shared" si="35"/>
        <v/>
      </c>
      <c r="AT127" s="10" t="str">
        <f t="shared" si="36"/>
        <v/>
      </c>
      <c r="AU127" s="10" t="str">
        <f t="shared" si="37"/>
        <v/>
      </c>
      <c r="AV127" s="12"/>
      <c r="AW127" s="13"/>
      <c r="AX127" s="13"/>
      <c r="AY127" s="8"/>
      <c r="AZ127" s="8"/>
      <c r="BA127" s="8"/>
      <c r="BB127" s="8"/>
      <c r="BC127" s="38" t="str">
        <f t="shared" si="38"/>
        <v/>
      </c>
      <c r="BD127" s="38" t="str">
        <f t="shared" si="39"/>
        <v/>
      </c>
      <c r="BE127" s="39"/>
      <c r="BF127" s="40"/>
    </row>
    <row r="128" spans="1:58" ht="15" customHeight="1" x14ac:dyDescent="0.3">
      <c r="A128" s="8"/>
      <c r="B128" s="9"/>
      <c r="C128" s="9"/>
      <c r="D128" s="9"/>
      <c r="E128" s="9"/>
      <c r="F128" s="9"/>
      <c r="G128" s="9"/>
      <c r="H128" s="9"/>
      <c r="I128" s="9"/>
      <c r="J128" s="9"/>
      <c r="K128" s="9"/>
      <c r="L128" s="9"/>
      <c r="M128" s="9"/>
      <c r="N128" s="9"/>
      <c r="O128" s="9"/>
      <c r="P128" s="9"/>
      <c r="Q128" s="9"/>
      <c r="R128" s="9"/>
      <c r="S128" s="9"/>
      <c r="T128" s="9"/>
      <c r="U128" s="9"/>
      <c r="V128" s="9"/>
      <c r="W128" s="9"/>
      <c r="X128" s="8"/>
      <c r="Y128" s="8"/>
      <c r="Z128" s="8"/>
      <c r="AA128" s="9"/>
      <c r="AB128" s="10" t="str">
        <f t="shared" si="30"/>
        <v/>
      </c>
      <c r="AC128" s="9"/>
      <c r="AD128" s="9"/>
      <c r="AE128" s="9"/>
      <c r="AF128" s="9"/>
      <c r="AG128" s="9"/>
      <c r="AH128" s="9"/>
      <c r="AI128" s="9"/>
      <c r="AJ128" s="9"/>
      <c r="AK128" s="9"/>
      <c r="AL128" s="9"/>
      <c r="AM128" s="9"/>
      <c r="AN128" s="9"/>
      <c r="AO128" s="11" t="str">
        <f t="shared" si="31"/>
        <v/>
      </c>
      <c r="AP128" s="11" t="str">
        <f t="shared" si="32"/>
        <v/>
      </c>
      <c r="AQ128" s="11" t="str">
        <f t="shared" si="33"/>
        <v/>
      </c>
      <c r="AR128" s="10" t="str">
        <f t="shared" si="34"/>
        <v/>
      </c>
      <c r="AS128" s="10" t="str">
        <f t="shared" si="35"/>
        <v/>
      </c>
      <c r="AT128" s="10" t="str">
        <f t="shared" si="36"/>
        <v/>
      </c>
      <c r="AU128" s="10" t="str">
        <f t="shared" si="37"/>
        <v/>
      </c>
      <c r="AV128" s="12"/>
      <c r="AW128" s="13"/>
      <c r="AX128" s="13"/>
      <c r="AY128" s="8"/>
      <c r="AZ128" s="8"/>
      <c r="BA128" s="8"/>
      <c r="BB128" s="8"/>
      <c r="BC128" s="38" t="str">
        <f t="shared" si="38"/>
        <v/>
      </c>
      <c r="BD128" s="38" t="str">
        <f t="shared" si="39"/>
        <v/>
      </c>
      <c r="BE128" s="39"/>
      <c r="BF128" s="40"/>
    </row>
    <row r="129" spans="1:58" ht="15" customHeight="1" x14ac:dyDescent="0.3">
      <c r="A129" s="8"/>
      <c r="B129" s="9"/>
      <c r="C129" s="9"/>
      <c r="D129" s="9"/>
      <c r="E129" s="9"/>
      <c r="F129" s="9"/>
      <c r="G129" s="9"/>
      <c r="H129" s="9"/>
      <c r="I129" s="9"/>
      <c r="J129" s="9"/>
      <c r="K129" s="9"/>
      <c r="L129" s="9"/>
      <c r="M129" s="9"/>
      <c r="N129" s="9"/>
      <c r="O129" s="9"/>
      <c r="P129" s="9"/>
      <c r="Q129" s="9"/>
      <c r="R129" s="9"/>
      <c r="S129" s="9"/>
      <c r="T129" s="9"/>
      <c r="U129" s="9"/>
      <c r="V129" s="9"/>
      <c r="W129" s="9"/>
      <c r="X129" s="8"/>
      <c r="Y129" s="8"/>
      <c r="Z129" s="8"/>
      <c r="AA129" s="9"/>
      <c r="AB129" s="10" t="str">
        <f t="shared" si="30"/>
        <v/>
      </c>
      <c r="AC129" s="9"/>
      <c r="AD129" s="9"/>
      <c r="AE129" s="9"/>
      <c r="AF129" s="9"/>
      <c r="AG129" s="9"/>
      <c r="AH129" s="9"/>
      <c r="AI129" s="9"/>
      <c r="AJ129" s="9"/>
      <c r="AK129" s="9"/>
      <c r="AL129" s="9"/>
      <c r="AM129" s="9"/>
      <c r="AN129" s="9"/>
      <c r="AO129" s="11" t="str">
        <f t="shared" si="31"/>
        <v/>
      </c>
      <c r="AP129" s="11" t="str">
        <f t="shared" si="32"/>
        <v/>
      </c>
      <c r="AQ129" s="11" t="str">
        <f t="shared" si="33"/>
        <v/>
      </c>
      <c r="AR129" s="10" t="str">
        <f t="shared" si="34"/>
        <v/>
      </c>
      <c r="AS129" s="10" t="str">
        <f t="shared" si="35"/>
        <v/>
      </c>
      <c r="AT129" s="10" t="str">
        <f t="shared" si="36"/>
        <v/>
      </c>
      <c r="AU129" s="10" t="str">
        <f t="shared" si="37"/>
        <v/>
      </c>
      <c r="AV129" s="12"/>
      <c r="AW129" s="13"/>
      <c r="AX129" s="13"/>
      <c r="AY129" s="8"/>
      <c r="AZ129" s="8"/>
      <c r="BA129" s="8"/>
      <c r="BB129" s="8"/>
      <c r="BC129" s="38" t="str">
        <f t="shared" si="38"/>
        <v/>
      </c>
      <c r="BD129" s="38" t="str">
        <f t="shared" si="39"/>
        <v/>
      </c>
      <c r="BE129" s="39"/>
      <c r="BF129" s="40"/>
    </row>
    <row r="130" spans="1:58" ht="15" customHeight="1" x14ac:dyDescent="0.3">
      <c r="A130" s="8"/>
      <c r="B130" s="9"/>
      <c r="C130" s="9"/>
      <c r="D130" s="9"/>
      <c r="E130" s="9"/>
      <c r="F130" s="9"/>
      <c r="G130" s="9"/>
      <c r="H130" s="9"/>
      <c r="I130" s="9"/>
      <c r="J130" s="9"/>
      <c r="K130" s="9"/>
      <c r="L130" s="9"/>
      <c r="M130" s="9"/>
      <c r="N130" s="9"/>
      <c r="O130" s="9"/>
      <c r="P130" s="9"/>
      <c r="Q130" s="9"/>
      <c r="R130" s="9"/>
      <c r="S130" s="9"/>
      <c r="T130" s="9"/>
      <c r="U130" s="9"/>
      <c r="V130" s="9"/>
      <c r="W130" s="9"/>
      <c r="X130" s="8"/>
      <c r="Y130" s="8"/>
      <c r="Z130" s="8"/>
      <c r="AA130" s="9"/>
      <c r="AB130" s="10" t="str">
        <f t="shared" ref="AB130:AB161" si="40">IFERROR(AA130/AF130,"")</f>
        <v/>
      </c>
      <c r="AC130" s="9"/>
      <c r="AD130" s="9"/>
      <c r="AE130" s="9"/>
      <c r="AF130" s="9"/>
      <c r="AG130" s="9"/>
      <c r="AH130" s="9"/>
      <c r="AI130" s="9"/>
      <c r="AJ130" s="9"/>
      <c r="AK130" s="9"/>
      <c r="AL130" s="9"/>
      <c r="AM130" s="9"/>
      <c r="AN130" s="9"/>
      <c r="AO130" s="11" t="str">
        <f t="shared" ref="AO130:AO161" si="41">IFERROR(AC130/E130,"")</f>
        <v/>
      </c>
      <c r="AP130" s="11" t="str">
        <f t="shared" ref="AP130:AP161" si="42">IFERROR(AD130/E130,"")</f>
        <v/>
      </c>
      <c r="AQ130" s="11" t="str">
        <f t="shared" ref="AQ130:AQ161" si="43">IFERROR(AG130/E130,"")</f>
        <v/>
      </c>
      <c r="AR130" s="10" t="str">
        <f t="shared" ref="AR130:AR161" si="44">IFERROR(AG130/AF130,"")</f>
        <v/>
      </c>
      <c r="AS130" s="10" t="str">
        <f t="shared" ref="AS130:AS161" si="45">IFERROR(AH130/AF130,"")</f>
        <v/>
      </c>
      <c r="AT130" s="10" t="str">
        <f t="shared" ref="AT130:AT161" si="46">IFERROR(AI130/AH130,"")</f>
        <v/>
      </c>
      <c r="AU130" s="10" t="str">
        <f t="shared" ref="AU130:AU161" si="47">IFERROR(AN130/AH130,"")</f>
        <v/>
      </c>
      <c r="AV130" s="12"/>
      <c r="AW130" s="13"/>
      <c r="AX130" s="13"/>
      <c r="AY130" s="8"/>
      <c r="AZ130" s="8"/>
      <c r="BA130" s="8"/>
      <c r="BB130" s="8"/>
      <c r="BC130" s="38" t="str">
        <f t="shared" ref="BC130:BC161" si="48">IFERROR(AG130/AC130,"")</f>
        <v/>
      </c>
      <c r="BD130" s="38" t="str">
        <f t="shared" ref="BD130:BD161" si="49">IFERROR(AG130/(AC130+AA130),"")</f>
        <v/>
      </c>
      <c r="BE130" s="39"/>
      <c r="BF130" s="40"/>
    </row>
    <row r="131" spans="1:58" ht="15" customHeight="1" x14ac:dyDescent="0.3">
      <c r="A131" s="8"/>
      <c r="B131" s="9"/>
      <c r="C131" s="9"/>
      <c r="D131" s="9"/>
      <c r="E131" s="9"/>
      <c r="F131" s="9"/>
      <c r="G131" s="9"/>
      <c r="H131" s="9"/>
      <c r="I131" s="9"/>
      <c r="J131" s="9"/>
      <c r="K131" s="9"/>
      <c r="L131" s="9"/>
      <c r="M131" s="9"/>
      <c r="N131" s="9"/>
      <c r="O131" s="9"/>
      <c r="P131" s="9"/>
      <c r="Q131" s="9"/>
      <c r="R131" s="9"/>
      <c r="S131" s="9"/>
      <c r="T131" s="9"/>
      <c r="U131" s="9"/>
      <c r="V131" s="9"/>
      <c r="W131" s="9"/>
      <c r="X131" s="8"/>
      <c r="Y131" s="8"/>
      <c r="Z131" s="8"/>
      <c r="AA131" s="9"/>
      <c r="AB131" s="10" t="str">
        <f t="shared" si="40"/>
        <v/>
      </c>
      <c r="AC131" s="9"/>
      <c r="AD131" s="9"/>
      <c r="AE131" s="9"/>
      <c r="AF131" s="9"/>
      <c r="AG131" s="9"/>
      <c r="AH131" s="9"/>
      <c r="AI131" s="9"/>
      <c r="AJ131" s="9"/>
      <c r="AK131" s="9"/>
      <c r="AL131" s="9"/>
      <c r="AM131" s="9"/>
      <c r="AN131" s="9"/>
      <c r="AO131" s="11" t="str">
        <f t="shared" si="41"/>
        <v/>
      </c>
      <c r="AP131" s="11" t="str">
        <f t="shared" si="42"/>
        <v/>
      </c>
      <c r="AQ131" s="11" t="str">
        <f t="shared" si="43"/>
        <v/>
      </c>
      <c r="AR131" s="10" t="str">
        <f t="shared" si="44"/>
        <v/>
      </c>
      <c r="AS131" s="10" t="str">
        <f t="shared" si="45"/>
        <v/>
      </c>
      <c r="AT131" s="10" t="str">
        <f t="shared" si="46"/>
        <v/>
      </c>
      <c r="AU131" s="10" t="str">
        <f t="shared" si="47"/>
        <v/>
      </c>
      <c r="AV131" s="12"/>
      <c r="AW131" s="13"/>
      <c r="AX131" s="13"/>
      <c r="AY131" s="8"/>
      <c r="AZ131" s="8"/>
      <c r="BA131" s="8"/>
      <c r="BB131" s="8"/>
      <c r="BC131" s="38" t="str">
        <f t="shared" si="48"/>
        <v/>
      </c>
      <c r="BD131" s="38" t="str">
        <f t="shared" si="49"/>
        <v/>
      </c>
      <c r="BE131" s="39"/>
      <c r="BF131" s="40"/>
    </row>
    <row r="132" spans="1:58" ht="15" customHeight="1" x14ac:dyDescent="0.3">
      <c r="A132" s="8"/>
      <c r="B132" s="9"/>
      <c r="C132" s="9"/>
      <c r="D132" s="9"/>
      <c r="E132" s="9"/>
      <c r="F132" s="9"/>
      <c r="G132" s="9"/>
      <c r="H132" s="9"/>
      <c r="I132" s="9"/>
      <c r="J132" s="9"/>
      <c r="K132" s="9"/>
      <c r="L132" s="9"/>
      <c r="M132" s="9"/>
      <c r="N132" s="9"/>
      <c r="O132" s="9"/>
      <c r="P132" s="9"/>
      <c r="Q132" s="9"/>
      <c r="R132" s="9"/>
      <c r="S132" s="9"/>
      <c r="T132" s="9"/>
      <c r="U132" s="9"/>
      <c r="V132" s="9"/>
      <c r="W132" s="9"/>
      <c r="X132" s="8"/>
      <c r="Y132" s="8"/>
      <c r="Z132" s="8"/>
      <c r="AA132" s="9"/>
      <c r="AB132" s="10" t="str">
        <f t="shared" si="40"/>
        <v/>
      </c>
      <c r="AC132" s="9"/>
      <c r="AD132" s="9"/>
      <c r="AE132" s="9"/>
      <c r="AF132" s="9"/>
      <c r="AG132" s="9"/>
      <c r="AH132" s="9"/>
      <c r="AI132" s="9"/>
      <c r="AJ132" s="9"/>
      <c r="AK132" s="9"/>
      <c r="AL132" s="9"/>
      <c r="AM132" s="9"/>
      <c r="AN132" s="9"/>
      <c r="AO132" s="11" t="str">
        <f t="shared" si="41"/>
        <v/>
      </c>
      <c r="AP132" s="11" t="str">
        <f t="shared" si="42"/>
        <v/>
      </c>
      <c r="AQ132" s="11" t="str">
        <f t="shared" si="43"/>
        <v/>
      </c>
      <c r="AR132" s="10" t="str">
        <f t="shared" si="44"/>
        <v/>
      </c>
      <c r="AS132" s="10" t="str">
        <f t="shared" si="45"/>
        <v/>
      </c>
      <c r="AT132" s="10" t="str">
        <f t="shared" si="46"/>
        <v/>
      </c>
      <c r="AU132" s="10" t="str">
        <f t="shared" si="47"/>
        <v/>
      </c>
      <c r="AV132" s="12"/>
      <c r="AW132" s="13"/>
      <c r="AX132" s="13"/>
      <c r="AY132" s="8"/>
      <c r="AZ132" s="8"/>
      <c r="BA132" s="8"/>
      <c r="BB132" s="8"/>
      <c r="BC132" s="38" t="str">
        <f t="shared" si="48"/>
        <v/>
      </c>
      <c r="BD132" s="38" t="str">
        <f t="shared" si="49"/>
        <v/>
      </c>
      <c r="BE132" s="39"/>
      <c r="BF132" s="40"/>
    </row>
    <row r="133" spans="1:58" ht="15" customHeight="1" x14ac:dyDescent="0.3">
      <c r="A133" s="8"/>
      <c r="B133" s="9"/>
      <c r="C133" s="9"/>
      <c r="D133" s="9"/>
      <c r="E133" s="9"/>
      <c r="F133" s="9"/>
      <c r="G133" s="9"/>
      <c r="H133" s="9"/>
      <c r="I133" s="9"/>
      <c r="J133" s="9"/>
      <c r="K133" s="9"/>
      <c r="L133" s="9"/>
      <c r="M133" s="9"/>
      <c r="N133" s="9"/>
      <c r="O133" s="9"/>
      <c r="P133" s="9"/>
      <c r="Q133" s="9"/>
      <c r="R133" s="9"/>
      <c r="S133" s="9"/>
      <c r="T133" s="9"/>
      <c r="U133" s="9"/>
      <c r="V133" s="9"/>
      <c r="W133" s="9"/>
      <c r="X133" s="8"/>
      <c r="Y133" s="8"/>
      <c r="Z133" s="8"/>
      <c r="AA133" s="9"/>
      <c r="AB133" s="10" t="str">
        <f t="shared" si="40"/>
        <v/>
      </c>
      <c r="AC133" s="9"/>
      <c r="AD133" s="9"/>
      <c r="AE133" s="9"/>
      <c r="AF133" s="9"/>
      <c r="AG133" s="9"/>
      <c r="AH133" s="9"/>
      <c r="AI133" s="9"/>
      <c r="AJ133" s="9"/>
      <c r="AK133" s="9"/>
      <c r="AL133" s="9"/>
      <c r="AM133" s="9"/>
      <c r="AN133" s="9"/>
      <c r="AO133" s="11" t="str">
        <f t="shared" si="41"/>
        <v/>
      </c>
      <c r="AP133" s="11" t="str">
        <f t="shared" si="42"/>
        <v/>
      </c>
      <c r="AQ133" s="11" t="str">
        <f t="shared" si="43"/>
        <v/>
      </c>
      <c r="AR133" s="10" t="str">
        <f t="shared" si="44"/>
        <v/>
      </c>
      <c r="AS133" s="10" t="str">
        <f t="shared" si="45"/>
        <v/>
      </c>
      <c r="AT133" s="10" t="str">
        <f t="shared" si="46"/>
        <v/>
      </c>
      <c r="AU133" s="10" t="str">
        <f t="shared" si="47"/>
        <v/>
      </c>
      <c r="AV133" s="12"/>
      <c r="AW133" s="13"/>
      <c r="AX133" s="13"/>
      <c r="AY133" s="8"/>
      <c r="AZ133" s="8"/>
      <c r="BA133" s="8"/>
      <c r="BB133" s="8"/>
      <c r="BC133" s="38" t="str">
        <f t="shared" si="48"/>
        <v/>
      </c>
      <c r="BD133" s="38" t="str">
        <f t="shared" si="49"/>
        <v/>
      </c>
      <c r="BE133" s="39"/>
      <c r="BF133" s="40"/>
    </row>
    <row r="134" spans="1:58" ht="15" customHeight="1" x14ac:dyDescent="0.3">
      <c r="A134" s="8"/>
      <c r="B134" s="9"/>
      <c r="C134" s="9"/>
      <c r="D134" s="9"/>
      <c r="E134" s="9"/>
      <c r="F134" s="9"/>
      <c r="G134" s="9"/>
      <c r="H134" s="9"/>
      <c r="I134" s="9"/>
      <c r="J134" s="9"/>
      <c r="K134" s="9"/>
      <c r="L134" s="9"/>
      <c r="M134" s="9"/>
      <c r="N134" s="9"/>
      <c r="O134" s="9"/>
      <c r="P134" s="9"/>
      <c r="Q134" s="9"/>
      <c r="R134" s="9"/>
      <c r="S134" s="9"/>
      <c r="T134" s="9"/>
      <c r="U134" s="9"/>
      <c r="V134" s="9"/>
      <c r="W134" s="9"/>
      <c r="X134" s="8"/>
      <c r="Y134" s="8"/>
      <c r="Z134" s="8"/>
      <c r="AA134" s="9"/>
      <c r="AB134" s="10" t="str">
        <f t="shared" si="40"/>
        <v/>
      </c>
      <c r="AC134" s="9"/>
      <c r="AD134" s="9"/>
      <c r="AE134" s="9"/>
      <c r="AF134" s="9"/>
      <c r="AG134" s="9"/>
      <c r="AH134" s="9"/>
      <c r="AI134" s="9"/>
      <c r="AJ134" s="9"/>
      <c r="AK134" s="9"/>
      <c r="AL134" s="9"/>
      <c r="AM134" s="9"/>
      <c r="AN134" s="9"/>
      <c r="AO134" s="11" t="str">
        <f t="shared" si="41"/>
        <v/>
      </c>
      <c r="AP134" s="11" t="str">
        <f t="shared" si="42"/>
        <v/>
      </c>
      <c r="AQ134" s="11" t="str">
        <f t="shared" si="43"/>
        <v/>
      </c>
      <c r="AR134" s="10" t="str">
        <f t="shared" si="44"/>
        <v/>
      </c>
      <c r="AS134" s="10" t="str">
        <f t="shared" si="45"/>
        <v/>
      </c>
      <c r="AT134" s="10" t="str">
        <f t="shared" si="46"/>
        <v/>
      </c>
      <c r="AU134" s="10" t="str">
        <f t="shared" si="47"/>
        <v/>
      </c>
      <c r="AV134" s="12"/>
      <c r="AW134" s="13"/>
      <c r="AX134" s="13"/>
      <c r="AY134" s="8"/>
      <c r="AZ134" s="8"/>
      <c r="BA134" s="8"/>
      <c r="BB134" s="8"/>
      <c r="BC134" s="38" t="str">
        <f t="shared" si="48"/>
        <v/>
      </c>
      <c r="BD134" s="38" t="str">
        <f t="shared" si="49"/>
        <v/>
      </c>
      <c r="BE134" s="39"/>
      <c r="BF134" s="40"/>
    </row>
    <row r="135" spans="1:58" ht="15" customHeight="1" x14ac:dyDescent="0.3">
      <c r="A135" s="8"/>
      <c r="B135" s="9"/>
      <c r="C135" s="9"/>
      <c r="D135" s="9"/>
      <c r="E135" s="9"/>
      <c r="F135" s="9"/>
      <c r="G135" s="9"/>
      <c r="H135" s="9"/>
      <c r="I135" s="9"/>
      <c r="J135" s="9"/>
      <c r="K135" s="9"/>
      <c r="L135" s="9"/>
      <c r="M135" s="9"/>
      <c r="N135" s="9"/>
      <c r="O135" s="9"/>
      <c r="P135" s="9"/>
      <c r="Q135" s="9"/>
      <c r="R135" s="9"/>
      <c r="S135" s="9"/>
      <c r="T135" s="9"/>
      <c r="U135" s="9"/>
      <c r="V135" s="9"/>
      <c r="W135" s="9"/>
      <c r="X135" s="8"/>
      <c r="Y135" s="8"/>
      <c r="Z135" s="8"/>
      <c r="AA135" s="9"/>
      <c r="AB135" s="10" t="str">
        <f t="shared" si="40"/>
        <v/>
      </c>
      <c r="AC135" s="9"/>
      <c r="AD135" s="9"/>
      <c r="AE135" s="9"/>
      <c r="AF135" s="9"/>
      <c r="AG135" s="9"/>
      <c r="AH135" s="9"/>
      <c r="AI135" s="9"/>
      <c r="AJ135" s="9"/>
      <c r="AK135" s="9"/>
      <c r="AL135" s="9"/>
      <c r="AM135" s="9"/>
      <c r="AN135" s="9"/>
      <c r="AO135" s="11" t="str">
        <f t="shared" si="41"/>
        <v/>
      </c>
      <c r="AP135" s="11" t="str">
        <f t="shared" si="42"/>
        <v/>
      </c>
      <c r="AQ135" s="11" t="str">
        <f t="shared" si="43"/>
        <v/>
      </c>
      <c r="AR135" s="10" t="str">
        <f t="shared" si="44"/>
        <v/>
      </c>
      <c r="AS135" s="10" t="str">
        <f t="shared" si="45"/>
        <v/>
      </c>
      <c r="AT135" s="10" t="str">
        <f t="shared" si="46"/>
        <v/>
      </c>
      <c r="AU135" s="10" t="str">
        <f t="shared" si="47"/>
        <v/>
      </c>
      <c r="AV135" s="12"/>
      <c r="AW135" s="13"/>
      <c r="AX135" s="13"/>
      <c r="AY135" s="8"/>
      <c r="AZ135" s="8"/>
      <c r="BA135" s="8"/>
      <c r="BB135" s="8"/>
      <c r="BC135" s="38" t="str">
        <f t="shared" si="48"/>
        <v/>
      </c>
      <c r="BD135" s="38" t="str">
        <f t="shared" si="49"/>
        <v/>
      </c>
      <c r="BE135" s="39"/>
      <c r="BF135" s="40"/>
    </row>
    <row r="136" spans="1:58" ht="15" customHeight="1" x14ac:dyDescent="0.3">
      <c r="A136" s="8"/>
      <c r="B136" s="9"/>
      <c r="C136" s="9"/>
      <c r="D136" s="9"/>
      <c r="E136" s="9"/>
      <c r="F136" s="9"/>
      <c r="G136" s="9"/>
      <c r="H136" s="9"/>
      <c r="I136" s="9"/>
      <c r="J136" s="9"/>
      <c r="K136" s="9"/>
      <c r="L136" s="9"/>
      <c r="M136" s="9"/>
      <c r="N136" s="9"/>
      <c r="O136" s="9"/>
      <c r="P136" s="9"/>
      <c r="Q136" s="9"/>
      <c r="R136" s="9"/>
      <c r="S136" s="9"/>
      <c r="T136" s="9"/>
      <c r="U136" s="9"/>
      <c r="V136" s="9"/>
      <c r="W136" s="9"/>
      <c r="X136" s="8"/>
      <c r="Y136" s="8"/>
      <c r="Z136" s="8"/>
      <c r="AA136" s="9"/>
      <c r="AB136" s="10" t="str">
        <f t="shared" si="40"/>
        <v/>
      </c>
      <c r="AC136" s="9"/>
      <c r="AD136" s="9"/>
      <c r="AE136" s="9"/>
      <c r="AF136" s="9"/>
      <c r="AG136" s="9"/>
      <c r="AH136" s="9"/>
      <c r="AI136" s="9"/>
      <c r="AJ136" s="9"/>
      <c r="AK136" s="9"/>
      <c r="AL136" s="9"/>
      <c r="AM136" s="9"/>
      <c r="AN136" s="9"/>
      <c r="AO136" s="11" t="str">
        <f t="shared" si="41"/>
        <v/>
      </c>
      <c r="AP136" s="11" t="str">
        <f t="shared" si="42"/>
        <v/>
      </c>
      <c r="AQ136" s="11" t="str">
        <f t="shared" si="43"/>
        <v/>
      </c>
      <c r="AR136" s="10" t="str">
        <f t="shared" si="44"/>
        <v/>
      </c>
      <c r="AS136" s="10" t="str">
        <f t="shared" si="45"/>
        <v/>
      </c>
      <c r="AT136" s="10" t="str">
        <f t="shared" si="46"/>
        <v/>
      </c>
      <c r="AU136" s="10" t="str">
        <f t="shared" si="47"/>
        <v/>
      </c>
      <c r="AV136" s="12"/>
      <c r="AW136" s="13"/>
      <c r="AX136" s="13"/>
      <c r="AY136" s="8"/>
      <c r="AZ136" s="8"/>
      <c r="BA136" s="8"/>
      <c r="BB136" s="8"/>
      <c r="BC136" s="38" t="str">
        <f t="shared" si="48"/>
        <v/>
      </c>
      <c r="BD136" s="38" t="str">
        <f t="shared" si="49"/>
        <v/>
      </c>
      <c r="BE136" s="39"/>
      <c r="BF136" s="40"/>
    </row>
    <row r="137" spans="1:58" ht="15" customHeight="1" x14ac:dyDescent="0.3">
      <c r="A137" s="8"/>
      <c r="B137" s="9"/>
      <c r="C137" s="9"/>
      <c r="D137" s="9"/>
      <c r="E137" s="9"/>
      <c r="F137" s="9"/>
      <c r="G137" s="9"/>
      <c r="H137" s="9"/>
      <c r="I137" s="9"/>
      <c r="J137" s="9"/>
      <c r="K137" s="9"/>
      <c r="L137" s="9"/>
      <c r="M137" s="9"/>
      <c r="N137" s="9"/>
      <c r="O137" s="9"/>
      <c r="P137" s="9"/>
      <c r="Q137" s="9"/>
      <c r="R137" s="9"/>
      <c r="S137" s="9"/>
      <c r="T137" s="9"/>
      <c r="U137" s="9"/>
      <c r="V137" s="9"/>
      <c r="W137" s="9"/>
      <c r="X137" s="8"/>
      <c r="Y137" s="8"/>
      <c r="Z137" s="8"/>
      <c r="AA137" s="9"/>
      <c r="AB137" s="10" t="str">
        <f t="shared" si="40"/>
        <v/>
      </c>
      <c r="AC137" s="9"/>
      <c r="AD137" s="9"/>
      <c r="AE137" s="9"/>
      <c r="AF137" s="9"/>
      <c r="AG137" s="9"/>
      <c r="AH137" s="9"/>
      <c r="AI137" s="9"/>
      <c r="AJ137" s="9"/>
      <c r="AK137" s="9"/>
      <c r="AL137" s="9"/>
      <c r="AM137" s="9"/>
      <c r="AN137" s="9"/>
      <c r="AO137" s="11" t="str">
        <f t="shared" si="41"/>
        <v/>
      </c>
      <c r="AP137" s="11" t="str">
        <f t="shared" si="42"/>
        <v/>
      </c>
      <c r="AQ137" s="11" t="str">
        <f t="shared" si="43"/>
        <v/>
      </c>
      <c r="AR137" s="10" t="str">
        <f t="shared" si="44"/>
        <v/>
      </c>
      <c r="AS137" s="10" t="str">
        <f t="shared" si="45"/>
        <v/>
      </c>
      <c r="AT137" s="10" t="str">
        <f t="shared" si="46"/>
        <v/>
      </c>
      <c r="AU137" s="10" t="str">
        <f t="shared" si="47"/>
        <v/>
      </c>
      <c r="AV137" s="12"/>
      <c r="AW137" s="13"/>
      <c r="AX137" s="13"/>
      <c r="AY137" s="8"/>
      <c r="AZ137" s="8"/>
      <c r="BA137" s="8"/>
      <c r="BB137" s="8"/>
      <c r="BC137" s="38" t="str">
        <f t="shared" si="48"/>
        <v/>
      </c>
      <c r="BD137" s="38" t="str">
        <f t="shared" si="49"/>
        <v/>
      </c>
      <c r="BE137" s="39"/>
      <c r="BF137" s="40"/>
    </row>
    <row r="138" spans="1:58" ht="15" customHeight="1" x14ac:dyDescent="0.3">
      <c r="A138" s="8"/>
      <c r="B138" s="9"/>
      <c r="C138" s="9"/>
      <c r="D138" s="9"/>
      <c r="E138" s="9"/>
      <c r="F138" s="9"/>
      <c r="G138" s="9"/>
      <c r="H138" s="9"/>
      <c r="I138" s="9"/>
      <c r="J138" s="9"/>
      <c r="K138" s="9"/>
      <c r="L138" s="9"/>
      <c r="M138" s="9"/>
      <c r="N138" s="9"/>
      <c r="O138" s="9"/>
      <c r="P138" s="9"/>
      <c r="Q138" s="9"/>
      <c r="R138" s="9"/>
      <c r="S138" s="9"/>
      <c r="T138" s="9"/>
      <c r="U138" s="9"/>
      <c r="V138" s="9"/>
      <c r="W138" s="9"/>
      <c r="X138" s="8"/>
      <c r="Y138" s="8"/>
      <c r="Z138" s="8"/>
      <c r="AA138" s="9"/>
      <c r="AB138" s="10" t="str">
        <f t="shared" si="40"/>
        <v/>
      </c>
      <c r="AC138" s="9"/>
      <c r="AD138" s="9"/>
      <c r="AE138" s="9"/>
      <c r="AF138" s="9"/>
      <c r="AG138" s="9"/>
      <c r="AH138" s="9"/>
      <c r="AI138" s="9"/>
      <c r="AJ138" s="9"/>
      <c r="AK138" s="9"/>
      <c r="AL138" s="9"/>
      <c r="AM138" s="9"/>
      <c r="AN138" s="9"/>
      <c r="AO138" s="11" t="str">
        <f t="shared" si="41"/>
        <v/>
      </c>
      <c r="AP138" s="11" t="str">
        <f t="shared" si="42"/>
        <v/>
      </c>
      <c r="AQ138" s="11" t="str">
        <f t="shared" si="43"/>
        <v/>
      </c>
      <c r="AR138" s="10" t="str">
        <f t="shared" si="44"/>
        <v/>
      </c>
      <c r="AS138" s="10" t="str">
        <f t="shared" si="45"/>
        <v/>
      </c>
      <c r="AT138" s="10" t="str">
        <f t="shared" si="46"/>
        <v/>
      </c>
      <c r="AU138" s="10" t="str">
        <f t="shared" si="47"/>
        <v/>
      </c>
      <c r="AV138" s="12"/>
      <c r="AW138" s="13"/>
      <c r="AX138" s="13"/>
      <c r="AY138" s="8"/>
      <c r="AZ138" s="8"/>
      <c r="BA138" s="8"/>
      <c r="BB138" s="8"/>
      <c r="BC138" s="38" t="str">
        <f t="shared" si="48"/>
        <v/>
      </c>
      <c r="BD138" s="38" t="str">
        <f t="shared" si="49"/>
        <v/>
      </c>
      <c r="BE138" s="39"/>
      <c r="BF138" s="40"/>
    </row>
    <row r="139" spans="1:58" ht="15" customHeight="1" x14ac:dyDescent="0.3">
      <c r="A139" s="8"/>
      <c r="B139" s="9"/>
      <c r="C139" s="9"/>
      <c r="D139" s="9"/>
      <c r="E139" s="9"/>
      <c r="F139" s="9"/>
      <c r="G139" s="9"/>
      <c r="H139" s="9"/>
      <c r="I139" s="9"/>
      <c r="J139" s="9"/>
      <c r="K139" s="9"/>
      <c r="L139" s="9"/>
      <c r="M139" s="9"/>
      <c r="N139" s="9"/>
      <c r="O139" s="9"/>
      <c r="P139" s="9"/>
      <c r="Q139" s="9"/>
      <c r="R139" s="9"/>
      <c r="S139" s="9"/>
      <c r="T139" s="9"/>
      <c r="U139" s="9"/>
      <c r="V139" s="9"/>
      <c r="W139" s="9"/>
      <c r="X139" s="8"/>
      <c r="Y139" s="8"/>
      <c r="Z139" s="8"/>
      <c r="AA139" s="9"/>
      <c r="AB139" s="10" t="str">
        <f t="shared" si="40"/>
        <v/>
      </c>
      <c r="AC139" s="9"/>
      <c r="AD139" s="9"/>
      <c r="AE139" s="9"/>
      <c r="AF139" s="9"/>
      <c r="AG139" s="9"/>
      <c r="AH139" s="9"/>
      <c r="AI139" s="9"/>
      <c r="AJ139" s="9"/>
      <c r="AK139" s="9"/>
      <c r="AL139" s="9"/>
      <c r="AM139" s="9"/>
      <c r="AN139" s="9"/>
      <c r="AO139" s="11" t="str">
        <f t="shared" si="41"/>
        <v/>
      </c>
      <c r="AP139" s="11" t="str">
        <f t="shared" si="42"/>
        <v/>
      </c>
      <c r="AQ139" s="11" t="str">
        <f t="shared" si="43"/>
        <v/>
      </c>
      <c r="AR139" s="10" t="str">
        <f t="shared" si="44"/>
        <v/>
      </c>
      <c r="AS139" s="10" t="str">
        <f t="shared" si="45"/>
        <v/>
      </c>
      <c r="AT139" s="10" t="str">
        <f t="shared" si="46"/>
        <v/>
      </c>
      <c r="AU139" s="10" t="str">
        <f t="shared" si="47"/>
        <v/>
      </c>
      <c r="AV139" s="12"/>
      <c r="AW139" s="13"/>
      <c r="AX139" s="13"/>
      <c r="AY139" s="8"/>
      <c r="AZ139" s="8"/>
      <c r="BA139" s="8"/>
      <c r="BB139" s="8"/>
      <c r="BC139" s="38" t="str">
        <f t="shared" si="48"/>
        <v/>
      </c>
      <c r="BD139" s="38" t="str">
        <f t="shared" si="49"/>
        <v/>
      </c>
      <c r="BE139" s="39"/>
      <c r="BF139" s="40"/>
    </row>
    <row r="140" spans="1:58" ht="15" customHeight="1" x14ac:dyDescent="0.3">
      <c r="A140" s="8"/>
      <c r="B140" s="9"/>
      <c r="C140" s="9"/>
      <c r="D140" s="9"/>
      <c r="E140" s="9"/>
      <c r="F140" s="9"/>
      <c r="G140" s="9"/>
      <c r="H140" s="9"/>
      <c r="I140" s="9"/>
      <c r="J140" s="9"/>
      <c r="K140" s="9"/>
      <c r="L140" s="9"/>
      <c r="M140" s="9"/>
      <c r="N140" s="9"/>
      <c r="O140" s="9"/>
      <c r="P140" s="9"/>
      <c r="Q140" s="9"/>
      <c r="R140" s="9"/>
      <c r="S140" s="9"/>
      <c r="T140" s="9"/>
      <c r="U140" s="9"/>
      <c r="V140" s="9"/>
      <c r="W140" s="9"/>
      <c r="X140" s="8"/>
      <c r="Y140" s="8"/>
      <c r="Z140" s="8"/>
      <c r="AA140" s="9"/>
      <c r="AB140" s="10" t="str">
        <f t="shared" si="40"/>
        <v/>
      </c>
      <c r="AC140" s="9"/>
      <c r="AD140" s="9"/>
      <c r="AE140" s="9"/>
      <c r="AF140" s="9"/>
      <c r="AG140" s="9"/>
      <c r="AH140" s="9"/>
      <c r="AI140" s="9"/>
      <c r="AJ140" s="9"/>
      <c r="AK140" s="9"/>
      <c r="AL140" s="9"/>
      <c r="AM140" s="9"/>
      <c r="AN140" s="9"/>
      <c r="AO140" s="11" t="str">
        <f t="shared" si="41"/>
        <v/>
      </c>
      <c r="AP140" s="11" t="str">
        <f t="shared" si="42"/>
        <v/>
      </c>
      <c r="AQ140" s="11" t="str">
        <f t="shared" si="43"/>
        <v/>
      </c>
      <c r="AR140" s="10" t="str">
        <f t="shared" si="44"/>
        <v/>
      </c>
      <c r="AS140" s="10" t="str">
        <f t="shared" si="45"/>
        <v/>
      </c>
      <c r="AT140" s="10" t="str">
        <f t="shared" si="46"/>
        <v/>
      </c>
      <c r="AU140" s="10" t="str">
        <f t="shared" si="47"/>
        <v/>
      </c>
      <c r="AV140" s="12"/>
      <c r="AW140" s="13"/>
      <c r="AX140" s="13"/>
      <c r="AY140" s="8"/>
      <c r="AZ140" s="8"/>
      <c r="BA140" s="8"/>
      <c r="BB140" s="8"/>
      <c r="BC140" s="38" t="str">
        <f t="shared" si="48"/>
        <v/>
      </c>
      <c r="BD140" s="38" t="str">
        <f t="shared" si="49"/>
        <v/>
      </c>
      <c r="BE140" s="39"/>
      <c r="BF140" s="40"/>
    </row>
    <row r="141" spans="1:58" ht="15" customHeight="1" x14ac:dyDescent="0.3">
      <c r="A141" s="8"/>
      <c r="B141" s="9"/>
      <c r="C141" s="9"/>
      <c r="D141" s="9"/>
      <c r="E141" s="9"/>
      <c r="F141" s="9"/>
      <c r="G141" s="9"/>
      <c r="H141" s="9"/>
      <c r="I141" s="9"/>
      <c r="J141" s="9"/>
      <c r="K141" s="9"/>
      <c r="L141" s="9"/>
      <c r="M141" s="9"/>
      <c r="N141" s="9"/>
      <c r="O141" s="9"/>
      <c r="P141" s="9"/>
      <c r="Q141" s="9"/>
      <c r="R141" s="9"/>
      <c r="S141" s="9"/>
      <c r="T141" s="9"/>
      <c r="U141" s="9"/>
      <c r="V141" s="9"/>
      <c r="W141" s="9"/>
      <c r="X141" s="8"/>
      <c r="Y141" s="8"/>
      <c r="Z141" s="8"/>
      <c r="AA141" s="9"/>
      <c r="AB141" s="10" t="str">
        <f t="shared" si="40"/>
        <v/>
      </c>
      <c r="AC141" s="9"/>
      <c r="AD141" s="9"/>
      <c r="AE141" s="9"/>
      <c r="AF141" s="9"/>
      <c r="AG141" s="9"/>
      <c r="AH141" s="9"/>
      <c r="AI141" s="9"/>
      <c r="AJ141" s="9"/>
      <c r="AK141" s="9"/>
      <c r="AL141" s="9"/>
      <c r="AM141" s="9"/>
      <c r="AN141" s="9"/>
      <c r="AO141" s="11" t="str">
        <f t="shared" si="41"/>
        <v/>
      </c>
      <c r="AP141" s="11" t="str">
        <f t="shared" si="42"/>
        <v/>
      </c>
      <c r="AQ141" s="11" t="str">
        <f t="shared" si="43"/>
        <v/>
      </c>
      <c r="AR141" s="10" t="str">
        <f t="shared" si="44"/>
        <v/>
      </c>
      <c r="AS141" s="10" t="str">
        <f t="shared" si="45"/>
        <v/>
      </c>
      <c r="AT141" s="10" t="str">
        <f t="shared" si="46"/>
        <v/>
      </c>
      <c r="AU141" s="10" t="str">
        <f t="shared" si="47"/>
        <v/>
      </c>
      <c r="AV141" s="12"/>
      <c r="AW141" s="13"/>
      <c r="AX141" s="13"/>
      <c r="AY141" s="8"/>
      <c r="AZ141" s="8"/>
      <c r="BA141" s="8"/>
      <c r="BB141" s="8"/>
      <c r="BC141" s="38" t="str">
        <f t="shared" si="48"/>
        <v/>
      </c>
      <c r="BD141" s="38" t="str">
        <f t="shared" si="49"/>
        <v/>
      </c>
      <c r="BE141" s="39"/>
      <c r="BF141" s="40"/>
    </row>
    <row r="142" spans="1:58" ht="15" customHeight="1" x14ac:dyDescent="0.3">
      <c r="A142" s="8"/>
      <c r="B142" s="9"/>
      <c r="C142" s="9"/>
      <c r="D142" s="9"/>
      <c r="E142" s="9"/>
      <c r="F142" s="9"/>
      <c r="G142" s="9"/>
      <c r="H142" s="9"/>
      <c r="I142" s="9"/>
      <c r="J142" s="9"/>
      <c r="K142" s="9"/>
      <c r="L142" s="9"/>
      <c r="M142" s="9"/>
      <c r="N142" s="9"/>
      <c r="O142" s="9"/>
      <c r="P142" s="9"/>
      <c r="Q142" s="9"/>
      <c r="R142" s="9"/>
      <c r="S142" s="9"/>
      <c r="T142" s="9"/>
      <c r="U142" s="9"/>
      <c r="V142" s="9"/>
      <c r="W142" s="9"/>
      <c r="X142" s="8"/>
      <c r="Y142" s="8"/>
      <c r="Z142" s="8"/>
      <c r="AA142" s="9"/>
      <c r="AB142" s="10" t="str">
        <f t="shared" si="40"/>
        <v/>
      </c>
      <c r="AC142" s="9"/>
      <c r="AD142" s="9"/>
      <c r="AE142" s="9"/>
      <c r="AF142" s="9"/>
      <c r="AG142" s="9"/>
      <c r="AH142" s="9"/>
      <c r="AI142" s="9"/>
      <c r="AJ142" s="9"/>
      <c r="AK142" s="9"/>
      <c r="AL142" s="9"/>
      <c r="AM142" s="9"/>
      <c r="AN142" s="9"/>
      <c r="AO142" s="11" t="str">
        <f t="shared" si="41"/>
        <v/>
      </c>
      <c r="AP142" s="11" t="str">
        <f t="shared" si="42"/>
        <v/>
      </c>
      <c r="AQ142" s="11" t="str">
        <f t="shared" si="43"/>
        <v/>
      </c>
      <c r="AR142" s="10" t="str">
        <f t="shared" si="44"/>
        <v/>
      </c>
      <c r="AS142" s="10" t="str">
        <f t="shared" si="45"/>
        <v/>
      </c>
      <c r="AT142" s="10" t="str">
        <f t="shared" si="46"/>
        <v/>
      </c>
      <c r="AU142" s="10" t="str">
        <f t="shared" si="47"/>
        <v/>
      </c>
      <c r="AV142" s="12"/>
      <c r="AW142" s="13"/>
      <c r="AX142" s="13"/>
      <c r="AY142" s="8"/>
      <c r="AZ142" s="8"/>
      <c r="BA142" s="8"/>
      <c r="BB142" s="8"/>
      <c r="BC142" s="38" t="str">
        <f t="shared" si="48"/>
        <v/>
      </c>
      <c r="BD142" s="38" t="str">
        <f t="shared" si="49"/>
        <v/>
      </c>
      <c r="BE142" s="39"/>
      <c r="BF142" s="40"/>
    </row>
    <row r="143" spans="1:58" ht="15" customHeight="1" x14ac:dyDescent="0.3">
      <c r="A143" s="8"/>
      <c r="B143" s="9"/>
      <c r="C143" s="9"/>
      <c r="D143" s="9"/>
      <c r="E143" s="9"/>
      <c r="F143" s="9"/>
      <c r="G143" s="9"/>
      <c r="H143" s="9"/>
      <c r="I143" s="9"/>
      <c r="J143" s="9"/>
      <c r="K143" s="9"/>
      <c r="L143" s="9"/>
      <c r="M143" s="9"/>
      <c r="N143" s="9"/>
      <c r="O143" s="9"/>
      <c r="P143" s="9"/>
      <c r="Q143" s="9"/>
      <c r="R143" s="9"/>
      <c r="S143" s="9"/>
      <c r="T143" s="9"/>
      <c r="U143" s="9"/>
      <c r="V143" s="9"/>
      <c r="W143" s="9"/>
      <c r="X143" s="8"/>
      <c r="Y143" s="8"/>
      <c r="Z143" s="8"/>
      <c r="AA143" s="9"/>
      <c r="AB143" s="10" t="str">
        <f t="shared" si="40"/>
        <v/>
      </c>
      <c r="AC143" s="9"/>
      <c r="AD143" s="9"/>
      <c r="AE143" s="9"/>
      <c r="AF143" s="9"/>
      <c r="AG143" s="9"/>
      <c r="AH143" s="9"/>
      <c r="AI143" s="9"/>
      <c r="AJ143" s="9"/>
      <c r="AK143" s="9"/>
      <c r="AL143" s="9"/>
      <c r="AM143" s="9"/>
      <c r="AN143" s="9"/>
      <c r="AO143" s="11" t="str">
        <f t="shared" si="41"/>
        <v/>
      </c>
      <c r="AP143" s="11" t="str">
        <f t="shared" si="42"/>
        <v/>
      </c>
      <c r="AQ143" s="11" t="str">
        <f t="shared" si="43"/>
        <v/>
      </c>
      <c r="AR143" s="10" t="str">
        <f t="shared" si="44"/>
        <v/>
      </c>
      <c r="AS143" s="10" t="str">
        <f t="shared" si="45"/>
        <v/>
      </c>
      <c r="AT143" s="10" t="str">
        <f t="shared" si="46"/>
        <v/>
      </c>
      <c r="AU143" s="10" t="str">
        <f t="shared" si="47"/>
        <v/>
      </c>
      <c r="AV143" s="12"/>
      <c r="AW143" s="13"/>
      <c r="AX143" s="13"/>
      <c r="AY143" s="8"/>
      <c r="AZ143" s="8"/>
      <c r="BA143" s="8"/>
      <c r="BB143" s="8"/>
      <c r="BC143" s="38" t="str">
        <f t="shared" si="48"/>
        <v/>
      </c>
      <c r="BD143" s="38" t="str">
        <f t="shared" si="49"/>
        <v/>
      </c>
      <c r="BE143" s="39"/>
      <c r="BF143" s="40"/>
    </row>
    <row r="144" spans="1:58" ht="15" customHeight="1" x14ac:dyDescent="0.3">
      <c r="A144" s="8"/>
      <c r="B144" s="9"/>
      <c r="C144" s="9"/>
      <c r="D144" s="9"/>
      <c r="E144" s="9"/>
      <c r="F144" s="9"/>
      <c r="G144" s="9"/>
      <c r="H144" s="9"/>
      <c r="I144" s="9"/>
      <c r="J144" s="9"/>
      <c r="K144" s="9"/>
      <c r="L144" s="9"/>
      <c r="M144" s="9"/>
      <c r="N144" s="9"/>
      <c r="O144" s="9"/>
      <c r="P144" s="9"/>
      <c r="Q144" s="9"/>
      <c r="R144" s="9"/>
      <c r="S144" s="9"/>
      <c r="T144" s="9"/>
      <c r="U144" s="9"/>
      <c r="V144" s="9"/>
      <c r="W144" s="9"/>
      <c r="X144" s="8"/>
      <c r="Y144" s="8"/>
      <c r="Z144" s="8"/>
      <c r="AA144" s="9"/>
      <c r="AB144" s="10" t="str">
        <f t="shared" si="40"/>
        <v/>
      </c>
      <c r="AC144" s="9"/>
      <c r="AD144" s="9"/>
      <c r="AE144" s="9"/>
      <c r="AF144" s="9"/>
      <c r="AG144" s="9"/>
      <c r="AH144" s="9"/>
      <c r="AI144" s="9"/>
      <c r="AJ144" s="9"/>
      <c r="AK144" s="9"/>
      <c r="AL144" s="9"/>
      <c r="AM144" s="9"/>
      <c r="AN144" s="9"/>
      <c r="AO144" s="11" t="str">
        <f t="shared" si="41"/>
        <v/>
      </c>
      <c r="AP144" s="11" t="str">
        <f t="shared" si="42"/>
        <v/>
      </c>
      <c r="AQ144" s="11" t="str">
        <f t="shared" si="43"/>
        <v/>
      </c>
      <c r="AR144" s="10" t="str">
        <f t="shared" si="44"/>
        <v/>
      </c>
      <c r="AS144" s="10" t="str">
        <f t="shared" si="45"/>
        <v/>
      </c>
      <c r="AT144" s="10" t="str">
        <f t="shared" si="46"/>
        <v/>
      </c>
      <c r="AU144" s="10" t="str">
        <f t="shared" si="47"/>
        <v/>
      </c>
      <c r="AV144" s="12"/>
      <c r="AW144" s="13"/>
      <c r="AX144" s="13"/>
      <c r="AY144" s="8"/>
      <c r="AZ144" s="8"/>
      <c r="BA144" s="8"/>
      <c r="BB144" s="8"/>
      <c r="BC144" s="38" t="str">
        <f t="shared" si="48"/>
        <v/>
      </c>
      <c r="BD144" s="38" t="str">
        <f t="shared" si="49"/>
        <v/>
      </c>
      <c r="BE144" s="39"/>
      <c r="BF144" s="40"/>
    </row>
    <row r="145" spans="1:58" ht="15" customHeight="1" x14ac:dyDescent="0.3">
      <c r="A145" s="8"/>
      <c r="B145" s="9"/>
      <c r="C145" s="9"/>
      <c r="D145" s="9"/>
      <c r="E145" s="9"/>
      <c r="F145" s="9"/>
      <c r="G145" s="9"/>
      <c r="H145" s="9"/>
      <c r="I145" s="9"/>
      <c r="J145" s="9"/>
      <c r="K145" s="9"/>
      <c r="L145" s="9"/>
      <c r="M145" s="9"/>
      <c r="N145" s="9"/>
      <c r="O145" s="9"/>
      <c r="P145" s="9"/>
      <c r="Q145" s="9"/>
      <c r="R145" s="9"/>
      <c r="S145" s="9"/>
      <c r="T145" s="9"/>
      <c r="U145" s="9"/>
      <c r="V145" s="9"/>
      <c r="W145" s="9"/>
      <c r="X145" s="8"/>
      <c r="Y145" s="8"/>
      <c r="Z145" s="8"/>
      <c r="AA145" s="9"/>
      <c r="AB145" s="10" t="str">
        <f t="shared" si="40"/>
        <v/>
      </c>
      <c r="AC145" s="9"/>
      <c r="AD145" s="9"/>
      <c r="AE145" s="9"/>
      <c r="AF145" s="9"/>
      <c r="AG145" s="9"/>
      <c r="AH145" s="9"/>
      <c r="AI145" s="9"/>
      <c r="AJ145" s="9"/>
      <c r="AK145" s="9"/>
      <c r="AL145" s="9"/>
      <c r="AM145" s="9"/>
      <c r="AN145" s="9"/>
      <c r="AO145" s="11" t="str">
        <f t="shared" si="41"/>
        <v/>
      </c>
      <c r="AP145" s="11" t="str">
        <f t="shared" si="42"/>
        <v/>
      </c>
      <c r="AQ145" s="11" t="str">
        <f t="shared" si="43"/>
        <v/>
      </c>
      <c r="AR145" s="10" t="str">
        <f t="shared" si="44"/>
        <v/>
      </c>
      <c r="AS145" s="10" t="str">
        <f t="shared" si="45"/>
        <v/>
      </c>
      <c r="AT145" s="10" t="str">
        <f t="shared" si="46"/>
        <v/>
      </c>
      <c r="AU145" s="10" t="str">
        <f t="shared" si="47"/>
        <v/>
      </c>
      <c r="AV145" s="12"/>
      <c r="AW145" s="13"/>
      <c r="AX145" s="13"/>
      <c r="AY145" s="8"/>
      <c r="AZ145" s="8"/>
      <c r="BA145" s="8"/>
      <c r="BB145" s="8"/>
      <c r="BC145" s="38" t="str">
        <f t="shared" si="48"/>
        <v/>
      </c>
      <c r="BD145" s="38" t="str">
        <f t="shared" si="49"/>
        <v/>
      </c>
      <c r="BE145" s="39"/>
      <c r="BF145" s="40"/>
    </row>
    <row r="146" spans="1:58" ht="15" customHeight="1" x14ac:dyDescent="0.3">
      <c r="A146" s="8"/>
      <c r="B146" s="9"/>
      <c r="C146" s="9"/>
      <c r="D146" s="9"/>
      <c r="E146" s="9"/>
      <c r="F146" s="9"/>
      <c r="G146" s="9"/>
      <c r="H146" s="9"/>
      <c r="I146" s="9"/>
      <c r="J146" s="9"/>
      <c r="K146" s="9"/>
      <c r="L146" s="9"/>
      <c r="M146" s="9"/>
      <c r="N146" s="9"/>
      <c r="O146" s="9"/>
      <c r="P146" s="9"/>
      <c r="Q146" s="9"/>
      <c r="R146" s="9"/>
      <c r="S146" s="9"/>
      <c r="T146" s="9"/>
      <c r="U146" s="9"/>
      <c r="V146" s="9"/>
      <c r="W146" s="9"/>
      <c r="X146" s="8"/>
      <c r="Y146" s="8"/>
      <c r="Z146" s="8"/>
      <c r="AA146" s="9"/>
      <c r="AB146" s="10" t="str">
        <f t="shared" si="40"/>
        <v/>
      </c>
      <c r="AC146" s="9"/>
      <c r="AD146" s="9"/>
      <c r="AE146" s="9"/>
      <c r="AF146" s="9"/>
      <c r="AG146" s="9"/>
      <c r="AH146" s="9"/>
      <c r="AI146" s="9"/>
      <c r="AJ146" s="9"/>
      <c r="AK146" s="9"/>
      <c r="AL146" s="9"/>
      <c r="AM146" s="9"/>
      <c r="AN146" s="9"/>
      <c r="AO146" s="11" t="str">
        <f t="shared" si="41"/>
        <v/>
      </c>
      <c r="AP146" s="11" t="str">
        <f t="shared" si="42"/>
        <v/>
      </c>
      <c r="AQ146" s="11" t="str">
        <f t="shared" si="43"/>
        <v/>
      </c>
      <c r="AR146" s="10" t="str">
        <f t="shared" si="44"/>
        <v/>
      </c>
      <c r="AS146" s="10" t="str">
        <f t="shared" si="45"/>
        <v/>
      </c>
      <c r="AT146" s="10" t="str">
        <f t="shared" si="46"/>
        <v/>
      </c>
      <c r="AU146" s="10" t="str">
        <f t="shared" si="47"/>
        <v/>
      </c>
      <c r="AV146" s="12"/>
      <c r="AW146" s="13"/>
      <c r="AX146" s="13"/>
      <c r="AY146" s="8"/>
      <c r="AZ146" s="8"/>
      <c r="BA146" s="8"/>
      <c r="BB146" s="8"/>
      <c r="BC146" s="38" t="str">
        <f t="shared" si="48"/>
        <v/>
      </c>
      <c r="BD146" s="38" t="str">
        <f t="shared" si="49"/>
        <v/>
      </c>
      <c r="BE146" s="39"/>
      <c r="BF146" s="40"/>
    </row>
    <row r="147" spans="1:58" ht="15" customHeight="1" x14ac:dyDescent="0.3">
      <c r="A147" s="8"/>
      <c r="B147" s="9"/>
      <c r="C147" s="9"/>
      <c r="D147" s="9"/>
      <c r="E147" s="9"/>
      <c r="F147" s="9"/>
      <c r="G147" s="9"/>
      <c r="H147" s="9"/>
      <c r="I147" s="9"/>
      <c r="J147" s="9"/>
      <c r="K147" s="9"/>
      <c r="L147" s="9"/>
      <c r="M147" s="9"/>
      <c r="N147" s="9"/>
      <c r="O147" s="9"/>
      <c r="P147" s="9"/>
      <c r="Q147" s="9"/>
      <c r="R147" s="9"/>
      <c r="S147" s="9"/>
      <c r="T147" s="9"/>
      <c r="U147" s="9"/>
      <c r="V147" s="9"/>
      <c r="W147" s="9"/>
      <c r="X147" s="8"/>
      <c r="Y147" s="8"/>
      <c r="Z147" s="8"/>
      <c r="AA147" s="9"/>
      <c r="AB147" s="10" t="str">
        <f t="shared" si="40"/>
        <v/>
      </c>
      <c r="AC147" s="9"/>
      <c r="AD147" s="9"/>
      <c r="AE147" s="9"/>
      <c r="AF147" s="9"/>
      <c r="AG147" s="9"/>
      <c r="AH147" s="9"/>
      <c r="AI147" s="9"/>
      <c r="AJ147" s="9"/>
      <c r="AK147" s="9"/>
      <c r="AL147" s="9"/>
      <c r="AM147" s="9"/>
      <c r="AN147" s="9"/>
      <c r="AO147" s="11" t="str">
        <f t="shared" si="41"/>
        <v/>
      </c>
      <c r="AP147" s="11" t="str">
        <f t="shared" si="42"/>
        <v/>
      </c>
      <c r="AQ147" s="11" t="str">
        <f t="shared" si="43"/>
        <v/>
      </c>
      <c r="AR147" s="10" t="str">
        <f t="shared" si="44"/>
        <v/>
      </c>
      <c r="AS147" s="10" t="str">
        <f t="shared" si="45"/>
        <v/>
      </c>
      <c r="AT147" s="10" t="str">
        <f t="shared" si="46"/>
        <v/>
      </c>
      <c r="AU147" s="10" t="str">
        <f t="shared" si="47"/>
        <v/>
      </c>
      <c r="AV147" s="12"/>
      <c r="AW147" s="13"/>
      <c r="AX147" s="13"/>
      <c r="AY147" s="8"/>
      <c r="AZ147" s="8"/>
      <c r="BA147" s="8"/>
      <c r="BB147" s="8"/>
      <c r="BC147" s="38" t="str">
        <f t="shared" si="48"/>
        <v/>
      </c>
      <c r="BD147" s="38" t="str">
        <f t="shared" si="49"/>
        <v/>
      </c>
      <c r="BE147" s="39"/>
      <c r="BF147" s="40"/>
    </row>
    <row r="148" spans="1:58" ht="15" customHeight="1" x14ac:dyDescent="0.3">
      <c r="A148" s="8"/>
      <c r="B148" s="9"/>
      <c r="C148" s="9"/>
      <c r="D148" s="9"/>
      <c r="E148" s="9"/>
      <c r="F148" s="9"/>
      <c r="G148" s="9"/>
      <c r="H148" s="9"/>
      <c r="I148" s="9"/>
      <c r="J148" s="9"/>
      <c r="K148" s="9"/>
      <c r="L148" s="9"/>
      <c r="M148" s="9"/>
      <c r="N148" s="9"/>
      <c r="O148" s="9"/>
      <c r="P148" s="9"/>
      <c r="Q148" s="9"/>
      <c r="R148" s="9"/>
      <c r="S148" s="9"/>
      <c r="T148" s="9"/>
      <c r="U148" s="9"/>
      <c r="V148" s="9"/>
      <c r="W148" s="9"/>
      <c r="X148" s="8"/>
      <c r="Y148" s="8"/>
      <c r="Z148" s="8"/>
      <c r="AA148" s="9"/>
      <c r="AB148" s="10" t="str">
        <f t="shared" si="40"/>
        <v/>
      </c>
      <c r="AC148" s="9"/>
      <c r="AD148" s="9"/>
      <c r="AE148" s="9"/>
      <c r="AF148" s="9"/>
      <c r="AG148" s="9"/>
      <c r="AH148" s="9"/>
      <c r="AI148" s="9"/>
      <c r="AJ148" s="9"/>
      <c r="AK148" s="9"/>
      <c r="AL148" s="9"/>
      <c r="AM148" s="9"/>
      <c r="AN148" s="9"/>
      <c r="AO148" s="11" t="str">
        <f t="shared" si="41"/>
        <v/>
      </c>
      <c r="AP148" s="11" t="str">
        <f t="shared" si="42"/>
        <v/>
      </c>
      <c r="AQ148" s="11" t="str">
        <f t="shared" si="43"/>
        <v/>
      </c>
      <c r="AR148" s="10" t="str">
        <f t="shared" si="44"/>
        <v/>
      </c>
      <c r="AS148" s="10" t="str">
        <f t="shared" si="45"/>
        <v/>
      </c>
      <c r="AT148" s="10" t="str">
        <f t="shared" si="46"/>
        <v/>
      </c>
      <c r="AU148" s="10" t="str">
        <f t="shared" si="47"/>
        <v/>
      </c>
      <c r="AV148" s="12"/>
      <c r="AW148" s="13"/>
      <c r="AX148" s="13"/>
      <c r="AY148" s="8"/>
      <c r="AZ148" s="8"/>
      <c r="BA148" s="8"/>
      <c r="BB148" s="8"/>
      <c r="BC148" s="38" t="str">
        <f t="shared" si="48"/>
        <v/>
      </c>
      <c r="BD148" s="38" t="str">
        <f t="shared" si="49"/>
        <v/>
      </c>
      <c r="BE148" s="39"/>
      <c r="BF148" s="40"/>
    </row>
    <row r="149" spans="1:58" ht="15" customHeight="1" x14ac:dyDescent="0.3">
      <c r="A149" s="8"/>
      <c r="B149" s="9"/>
      <c r="C149" s="9"/>
      <c r="D149" s="9"/>
      <c r="E149" s="9"/>
      <c r="F149" s="9"/>
      <c r="G149" s="9"/>
      <c r="H149" s="9"/>
      <c r="I149" s="9"/>
      <c r="J149" s="9"/>
      <c r="K149" s="9"/>
      <c r="L149" s="9"/>
      <c r="M149" s="9"/>
      <c r="N149" s="9"/>
      <c r="O149" s="9"/>
      <c r="P149" s="9"/>
      <c r="Q149" s="9"/>
      <c r="R149" s="9"/>
      <c r="S149" s="9"/>
      <c r="T149" s="9"/>
      <c r="U149" s="9"/>
      <c r="V149" s="9"/>
      <c r="W149" s="9"/>
      <c r="X149" s="8"/>
      <c r="Y149" s="8"/>
      <c r="Z149" s="8"/>
      <c r="AA149" s="9"/>
      <c r="AB149" s="10" t="str">
        <f t="shared" si="40"/>
        <v/>
      </c>
      <c r="AC149" s="9"/>
      <c r="AD149" s="9"/>
      <c r="AE149" s="9"/>
      <c r="AF149" s="9"/>
      <c r="AG149" s="9"/>
      <c r="AH149" s="9"/>
      <c r="AI149" s="9"/>
      <c r="AJ149" s="9"/>
      <c r="AK149" s="9"/>
      <c r="AL149" s="9"/>
      <c r="AM149" s="9"/>
      <c r="AN149" s="9"/>
      <c r="AO149" s="11" t="str">
        <f t="shared" si="41"/>
        <v/>
      </c>
      <c r="AP149" s="11" t="str">
        <f t="shared" si="42"/>
        <v/>
      </c>
      <c r="AQ149" s="11" t="str">
        <f t="shared" si="43"/>
        <v/>
      </c>
      <c r="AR149" s="10" t="str">
        <f t="shared" si="44"/>
        <v/>
      </c>
      <c r="AS149" s="10" t="str">
        <f t="shared" si="45"/>
        <v/>
      </c>
      <c r="AT149" s="10" t="str">
        <f t="shared" si="46"/>
        <v/>
      </c>
      <c r="AU149" s="10" t="str">
        <f t="shared" si="47"/>
        <v/>
      </c>
      <c r="AV149" s="12"/>
      <c r="AW149" s="13"/>
      <c r="AX149" s="13"/>
      <c r="AY149" s="8"/>
      <c r="AZ149" s="8"/>
      <c r="BA149" s="8"/>
      <c r="BB149" s="8"/>
      <c r="BC149" s="38" t="str">
        <f t="shared" si="48"/>
        <v/>
      </c>
      <c r="BD149" s="38" t="str">
        <f t="shared" si="49"/>
        <v/>
      </c>
      <c r="BE149" s="39"/>
      <c r="BF149" s="40"/>
    </row>
    <row r="150" spans="1:58" ht="15" customHeight="1" x14ac:dyDescent="0.3">
      <c r="A150" s="8"/>
      <c r="B150" s="9"/>
      <c r="C150" s="9"/>
      <c r="D150" s="9"/>
      <c r="E150" s="9"/>
      <c r="F150" s="9"/>
      <c r="G150" s="9"/>
      <c r="H150" s="9"/>
      <c r="I150" s="9"/>
      <c r="J150" s="9"/>
      <c r="K150" s="9"/>
      <c r="L150" s="9"/>
      <c r="M150" s="9"/>
      <c r="N150" s="9"/>
      <c r="O150" s="9"/>
      <c r="P150" s="9"/>
      <c r="Q150" s="9"/>
      <c r="R150" s="9"/>
      <c r="S150" s="9"/>
      <c r="T150" s="9"/>
      <c r="U150" s="9"/>
      <c r="V150" s="9"/>
      <c r="W150" s="9"/>
      <c r="X150" s="8"/>
      <c r="Y150" s="8"/>
      <c r="Z150" s="8"/>
      <c r="AA150" s="9"/>
      <c r="AB150" s="10" t="str">
        <f t="shared" si="40"/>
        <v/>
      </c>
      <c r="AC150" s="9"/>
      <c r="AD150" s="9"/>
      <c r="AE150" s="9"/>
      <c r="AF150" s="9"/>
      <c r="AG150" s="9"/>
      <c r="AH150" s="9"/>
      <c r="AI150" s="9"/>
      <c r="AJ150" s="9"/>
      <c r="AK150" s="9"/>
      <c r="AL150" s="9"/>
      <c r="AM150" s="9"/>
      <c r="AN150" s="9"/>
      <c r="AO150" s="11" t="str">
        <f t="shared" si="41"/>
        <v/>
      </c>
      <c r="AP150" s="11" t="str">
        <f t="shared" si="42"/>
        <v/>
      </c>
      <c r="AQ150" s="11" t="str">
        <f t="shared" si="43"/>
        <v/>
      </c>
      <c r="AR150" s="10" t="str">
        <f t="shared" si="44"/>
        <v/>
      </c>
      <c r="AS150" s="10" t="str">
        <f t="shared" si="45"/>
        <v/>
      </c>
      <c r="AT150" s="10" t="str">
        <f t="shared" si="46"/>
        <v/>
      </c>
      <c r="AU150" s="10" t="str">
        <f t="shared" si="47"/>
        <v/>
      </c>
      <c r="AV150" s="12"/>
      <c r="AW150" s="13"/>
      <c r="AX150" s="13"/>
      <c r="AY150" s="8"/>
      <c r="AZ150" s="8"/>
      <c r="BA150" s="8"/>
      <c r="BB150" s="8"/>
      <c r="BC150" s="38" t="str">
        <f t="shared" si="48"/>
        <v/>
      </c>
      <c r="BD150" s="38" t="str">
        <f t="shared" si="49"/>
        <v/>
      </c>
      <c r="BE150" s="39"/>
      <c r="BF150" s="40"/>
    </row>
    <row r="151" spans="1:58" ht="15" customHeight="1" x14ac:dyDescent="0.3">
      <c r="A151" s="8"/>
      <c r="B151" s="9"/>
      <c r="C151" s="9"/>
      <c r="D151" s="9"/>
      <c r="E151" s="9"/>
      <c r="F151" s="9"/>
      <c r="G151" s="9"/>
      <c r="H151" s="9"/>
      <c r="I151" s="9"/>
      <c r="J151" s="9"/>
      <c r="K151" s="9"/>
      <c r="L151" s="9"/>
      <c r="M151" s="9"/>
      <c r="N151" s="9"/>
      <c r="O151" s="9"/>
      <c r="P151" s="9"/>
      <c r="Q151" s="9"/>
      <c r="R151" s="9"/>
      <c r="S151" s="9"/>
      <c r="T151" s="9"/>
      <c r="U151" s="9"/>
      <c r="V151" s="9"/>
      <c r="W151" s="9"/>
      <c r="X151" s="8"/>
      <c r="Y151" s="8"/>
      <c r="Z151" s="8"/>
      <c r="AA151" s="9"/>
      <c r="AB151" s="10" t="str">
        <f t="shared" si="40"/>
        <v/>
      </c>
      <c r="AC151" s="9"/>
      <c r="AD151" s="9"/>
      <c r="AE151" s="9"/>
      <c r="AF151" s="9"/>
      <c r="AG151" s="9"/>
      <c r="AH151" s="9"/>
      <c r="AI151" s="9"/>
      <c r="AJ151" s="9"/>
      <c r="AK151" s="9"/>
      <c r="AL151" s="9"/>
      <c r="AM151" s="9"/>
      <c r="AN151" s="9"/>
      <c r="AO151" s="11" t="str">
        <f t="shared" si="41"/>
        <v/>
      </c>
      <c r="AP151" s="11" t="str">
        <f t="shared" si="42"/>
        <v/>
      </c>
      <c r="AQ151" s="11" t="str">
        <f t="shared" si="43"/>
        <v/>
      </c>
      <c r="AR151" s="10" t="str">
        <f t="shared" si="44"/>
        <v/>
      </c>
      <c r="AS151" s="10" t="str">
        <f t="shared" si="45"/>
        <v/>
      </c>
      <c r="AT151" s="10" t="str">
        <f t="shared" si="46"/>
        <v/>
      </c>
      <c r="AU151" s="10" t="str">
        <f t="shared" si="47"/>
        <v/>
      </c>
      <c r="AV151" s="12"/>
      <c r="AW151" s="13"/>
      <c r="AX151" s="13"/>
      <c r="AY151" s="8"/>
      <c r="AZ151" s="8"/>
      <c r="BA151" s="8"/>
      <c r="BB151" s="8"/>
      <c r="BC151" s="38" t="str">
        <f t="shared" si="48"/>
        <v/>
      </c>
      <c r="BD151" s="38" t="str">
        <f t="shared" si="49"/>
        <v/>
      </c>
      <c r="BE151" s="39"/>
      <c r="BF151" s="40"/>
    </row>
    <row r="152" spans="1:58" ht="15" customHeight="1" x14ac:dyDescent="0.3">
      <c r="A152" s="8"/>
      <c r="B152" s="9"/>
      <c r="C152" s="9"/>
      <c r="D152" s="9"/>
      <c r="E152" s="9"/>
      <c r="F152" s="9"/>
      <c r="G152" s="9"/>
      <c r="H152" s="9"/>
      <c r="I152" s="9"/>
      <c r="J152" s="9"/>
      <c r="K152" s="9"/>
      <c r="L152" s="9"/>
      <c r="M152" s="9"/>
      <c r="N152" s="9"/>
      <c r="O152" s="9"/>
      <c r="P152" s="9"/>
      <c r="Q152" s="9"/>
      <c r="R152" s="9"/>
      <c r="S152" s="9"/>
      <c r="T152" s="9"/>
      <c r="U152" s="9"/>
      <c r="V152" s="9"/>
      <c r="W152" s="9"/>
      <c r="X152" s="8"/>
      <c r="Y152" s="8"/>
      <c r="Z152" s="8"/>
      <c r="AA152" s="9"/>
      <c r="AB152" s="10" t="str">
        <f t="shared" si="40"/>
        <v/>
      </c>
      <c r="AC152" s="9"/>
      <c r="AD152" s="9"/>
      <c r="AE152" s="9"/>
      <c r="AF152" s="9"/>
      <c r="AG152" s="9"/>
      <c r="AH152" s="9"/>
      <c r="AI152" s="9"/>
      <c r="AJ152" s="9"/>
      <c r="AK152" s="9"/>
      <c r="AL152" s="9"/>
      <c r="AM152" s="9"/>
      <c r="AN152" s="9"/>
      <c r="AO152" s="11" t="str">
        <f t="shared" si="41"/>
        <v/>
      </c>
      <c r="AP152" s="11" t="str">
        <f t="shared" si="42"/>
        <v/>
      </c>
      <c r="AQ152" s="11" t="str">
        <f t="shared" si="43"/>
        <v/>
      </c>
      <c r="AR152" s="10" t="str">
        <f t="shared" si="44"/>
        <v/>
      </c>
      <c r="AS152" s="10" t="str">
        <f t="shared" si="45"/>
        <v/>
      </c>
      <c r="AT152" s="10" t="str">
        <f t="shared" si="46"/>
        <v/>
      </c>
      <c r="AU152" s="10" t="str">
        <f t="shared" si="47"/>
        <v/>
      </c>
      <c r="AV152" s="12"/>
      <c r="AW152" s="13"/>
      <c r="AX152" s="13"/>
      <c r="AY152" s="8"/>
      <c r="AZ152" s="8"/>
      <c r="BA152" s="8"/>
      <c r="BB152" s="8"/>
      <c r="BC152" s="38" t="str">
        <f t="shared" si="48"/>
        <v/>
      </c>
      <c r="BD152" s="38" t="str">
        <f t="shared" si="49"/>
        <v/>
      </c>
      <c r="BE152" s="39"/>
      <c r="BF152" s="40"/>
    </row>
    <row r="153" spans="1:58" ht="15" customHeight="1" x14ac:dyDescent="0.3">
      <c r="A153" s="8"/>
      <c r="B153" s="9"/>
      <c r="C153" s="9"/>
      <c r="D153" s="9"/>
      <c r="E153" s="9"/>
      <c r="F153" s="9"/>
      <c r="G153" s="9"/>
      <c r="H153" s="9"/>
      <c r="I153" s="9"/>
      <c r="J153" s="9"/>
      <c r="K153" s="9"/>
      <c r="L153" s="9"/>
      <c r="M153" s="9"/>
      <c r="N153" s="9"/>
      <c r="O153" s="9"/>
      <c r="P153" s="9"/>
      <c r="Q153" s="9"/>
      <c r="R153" s="9"/>
      <c r="S153" s="9"/>
      <c r="T153" s="9"/>
      <c r="U153" s="9"/>
      <c r="V153" s="9"/>
      <c r="W153" s="9"/>
      <c r="X153" s="8"/>
      <c r="Y153" s="8"/>
      <c r="Z153" s="8"/>
      <c r="AA153" s="9"/>
      <c r="AB153" s="10" t="str">
        <f t="shared" si="40"/>
        <v/>
      </c>
      <c r="AC153" s="9"/>
      <c r="AD153" s="9"/>
      <c r="AE153" s="9"/>
      <c r="AF153" s="9"/>
      <c r="AG153" s="9"/>
      <c r="AH153" s="9"/>
      <c r="AI153" s="9"/>
      <c r="AJ153" s="9"/>
      <c r="AK153" s="9"/>
      <c r="AL153" s="9"/>
      <c r="AM153" s="9"/>
      <c r="AN153" s="9"/>
      <c r="AO153" s="11" t="str">
        <f t="shared" si="41"/>
        <v/>
      </c>
      <c r="AP153" s="11" t="str">
        <f t="shared" si="42"/>
        <v/>
      </c>
      <c r="AQ153" s="11" t="str">
        <f t="shared" si="43"/>
        <v/>
      </c>
      <c r="AR153" s="10" t="str">
        <f t="shared" si="44"/>
        <v/>
      </c>
      <c r="AS153" s="10" t="str">
        <f t="shared" si="45"/>
        <v/>
      </c>
      <c r="AT153" s="10" t="str">
        <f t="shared" si="46"/>
        <v/>
      </c>
      <c r="AU153" s="10" t="str">
        <f t="shared" si="47"/>
        <v/>
      </c>
      <c r="AV153" s="12"/>
      <c r="AW153" s="13"/>
      <c r="AX153" s="13"/>
      <c r="AY153" s="8"/>
      <c r="AZ153" s="8"/>
      <c r="BA153" s="8"/>
      <c r="BB153" s="8"/>
      <c r="BC153" s="38" t="str">
        <f t="shared" si="48"/>
        <v/>
      </c>
      <c r="BD153" s="38" t="str">
        <f t="shared" si="49"/>
        <v/>
      </c>
      <c r="BE153" s="39"/>
      <c r="BF153" s="40"/>
    </row>
    <row r="154" spans="1:58" ht="15" customHeight="1" x14ac:dyDescent="0.3">
      <c r="A154" s="8"/>
      <c r="B154" s="9"/>
      <c r="C154" s="9"/>
      <c r="D154" s="9"/>
      <c r="E154" s="9"/>
      <c r="F154" s="9"/>
      <c r="G154" s="9"/>
      <c r="H154" s="9"/>
      <c r="I154" s="9"/>
      <c r="J154" s="9"/>
      <c r="K154" s="9"/>
      <c r="L154" s="9"/>
      <c r="M154" s="9"/>
      <c r="N154" s="9"/>
      <c r="O154" s="9"/>
      <c r="P154" s="9"/>
      <c r="Q154" s="9"/>
      <c r="R154" s="9"/>
      <c r="S154" s="9"/>
      <c r="T154" s="9"/>
      <c r="U154" s="9"/>
      <c r="V154" s="9"/>
      <c r="W154" s="9"/>
      <c r="X154" s="8"/>
      <c r="Y154" s="8"/>
      <c r="Z154" s="8"/>
      <c r="AA154" s="9"/>
      <c r="AB154" s="10" t="str">
        <f t="shared" si="40"/>
        <v/>
      </c>
      <c r="AC154" s="9"/>
      <c r="AD154" s="9"/>
      <c r="AE154" s="9"/>
      <c r="AF154" s="9"/>
      <c r="AG154" s="9"/>
      <c r="AH154" s="9"/>
      <c r="AI154" s="9"/>
      <c r="AJ154" s="9"/>
      <c r="AK154" s="9"/>
      <c r="AL154" s="9"/>
      <c r="AM154" s="9"/>
      <c r="AN154" s="9"/>
      <c r="AO154" s="11" t="str">
        <f t="shared" si="41"/>
        <v/>
      </c>
      <c r="AP154" s="11" t="str">
        <f t="shared" si="42"/>
        <v/>
      </c>
      <c r="AQ154" s="11" t="str">
        <f t="shared" si="43"/>
        <v/>
      </c>
      <c r="AR154" s="10" t="str">
        <f t="shared" si="44"/>
        <v/>
      </c>
      <c r="AS154" s="10" t="str">
        <f t="shared" si="45"/>
        <v/>
      </c>
      <c r="AT154" s="10" t="str">
        <f t="shared" si="46"/>
        <v/>
      </c>
      <c r="AU154" s="10" t="str">
        <f t="shared" si="47"/>
        <v/>
      </c>
      <c r="AV154" s="12"/>
      <c r="AW154" s="13"/>
      <c r="AX154" s="13"/>
      <c r="AY154" s="8"/>
      <c r="AZ154" s="8"/>
      <c r="BA154" s="8"/>
      <c r="BB154" s="8"/>
      <c r="BC154" s="38" t="str">
        <f t="shared" si="48"/>
        <v/>
      </c>
      <c r="BD154" s="38" t="str">
        <f t="shared" si="49"/>
        <v/>
      </c>
      <c r="BE154" s="39"/>
      <c r="BF154" s="40"/>
    </row>
    <row r="155" spans="1:58" ht="15" customHeight="1" x14ac:dyDescent="0.3">
      <c r="A155" s="8"/>
      <c r="B155" s="9"/>
      <c r="C155" s="9"/>
      <c r="D155" s="9"/>
      <c r="E155" s="9"/>
      <c r="F155" s="9"/>
      <c r="G155" s="9"/>
      <c r="H155" s="9"/>
      <c r="I155" s="9"/>
      <c r="J155" s="9"/>
      <c r="K155" s="9"/>
      <c r="L155" s="9"/>
      <c r="M155" s="9"/>
      <c r="N155" s="9"/>
      <c r="O155" s="9"/>
      <c r="P155" s="9"/>
      <c r="Q155" s="9"/>
      <c r="R155" s="9"/>
      <c r="S155" s="9"/>
      <c r="T155" s="9"/>
      <c r="U155" s="9"/>
      <c r="V155" s="9"/>
      <c r="W155" s="9"/>
      <c r="X155" s="8"/>
      <c r="Y155" s="8"/>
      <c r="Z155" s="8"/>
      <c r="AA155" s="9"/>
      <c r="AB155" s="10" t="str">
        <f t="shared" si="40"/>
        <v/>
      </c>
      <c r="AC155" s="9"/>
      <c r="AD155" s="9"/>
      <c r="AE155" s="9"/>
      <c r="AF155" s="9"/>
      <c r="AG155" s="9"/>
      <c r="AH155" s="9"/>
      <c r="AI155" s="9"/>
      <c r="AJ155" s="9"/>
      <c r="AK155" s="9"/>
      <c r="AL155" s="9"/>
      <c r="AM155" s="9"/>
      <c r="AN155" s="9"/>
      <c r="AO155" s="11" t="str">
        <f t="shared" si="41"/>
        <v/>
      </c>
      <c r="AP155" s="11" t="str">
        <f t="shared" si="42"/>
        <v/>
      </c>
      <c r="AQ155" s="11" t="str">
        <f t="shared" si="43"/>
        <v/>
      </c>
      <c r="AR155" s="10" t="str">
        <f t="shared" si="44"/>
        <v/>
      </c>
      <c r="AS155" s="10" t="str">
        <f t="shared" si="45"/>
        <v/>
      </c>
      <c r="AT155" s="10" t="str">
        <f t="shared" si="46"/>
        <v/>
      </c>
      <c r="AU155" s="10" t="str">
        <f t="shared" si="47"/>
        <v/>
      </c>
      <c r="AV155" s="12"/>
      <c r="AW155" s="13"/>
      <c r="AX155" s="13"/>
      <c r="AY155" s="8"/>
      <c r="AZ155" s="8"/>
      <c r="BA155" s="8"/>
      <c r="BB155" s="8"/>
      <c r="BC155" s="38" t="str">
        <f t="shared" si="48"/>
        <v/>
      </c>
      <c r="BD155" s="38" t="str">
        <f t="shared" si="49"/>
        <v/>
      </c>
      <c r="BE155" s="39"/>
      <c r="BF155" s="40"/>
    </row>
    <row r="156" spans="1:58" ht="15" customHeight="1" x14ac:dyDescent="0.3">
      <c r="A156" s="8"/>
      <c r="B156" s="9"/>
      <c r="C156" s="9"/>
      <c r="D156" s="9"/>
      <c r="E156" s="9"/>
      <c r="F156" s="9"/>
      <c r="G156" s="9"/>
      <c r="H156" s="9"/>
      <c r="I156" s="9"/>
      <c r="J156" s="9"/>
      <c r="K156" s="9"/>
      <c r="L156" s="9"/>
      <c r="M156" s="9"/>
      <c r="N156" s="9"/>
      <c r="O156" s="9"/>
      <c r="P156" s="9"/>
      <c r="Q156" s="9"/>
      <c r="R156" s="9"/>
      <c r="S156" s="9"/>
      <c r="T156" s="9"/>
      <c r="U156" s="9"/>
      <c r="V156" s="9"/>
      <c r="W156" s="9"/>
      <c r="X156" s="8"/>
      <c r="Y156" s="8"/>
      <c r="Z156" s="8"/>
      <c r="AA156" s="9"/>
      <c r="AB156" s="10" t="str">
        <f t="shared" si="40"/>
        <v/>
      </c>
      <c r="AC156" s="9"/>
      <c r="AD156" s="9"/>
      <c r="AE156" s="9"/>
      <c r="AF156" s="9"/>
      <c r="AG156" s="9"/>
      <c r="AH156" s="9"/>
      <c r="AI156" s="9"/>
      <c r="AJ156" s="9"/>
      <c r="AK156" s="9"/>
      <c r="AL156" s="9"/>
      <c r="AM156" s="9"/>
      <c r="AN156" s="9"/>
      <c r="AO156" s="11" t="str">
        <f t="shared" si="41"/>
        <v/>
      </c>
      <c r="AP156" s="11" t="str">
        <f t="shared" si="42"/>
        <v/>
      </c>
      <c r="AQ156" s="11" t="str">
        <f t="shared" si="43"/>
        <v/>
      </c>
      <c r="AR156" s="10" t="str">
        <f t="shared" si="44"/>
        <v/>
      </c>
      <c r="AS156" s="10" t="str">
        <f t="shared" si="45"/>
        <v/>
      </c>
      <c r="AT156" s="10" t="str">
        <f t="shared" si="46"/>
        <v/>
      </c>
      <c r="AU156" s="10" t="str">
        <f t="shared" si="47"/>
        <v/>
      </c>
      <c r="AV156" s="12"/>
      <c r="AW156" s="13"/>
      <c r="AX156" s="13"/>
      <c r="AY156" s="8"/>
      <c r="AZ156" s="8"/>
      <c r="BA156" s="8"/>
      <c r="BB156" s="8"/>
      <c r="BC156" s="38" t="str">
        <f t="shared" si="48"/>
        <v/>
      </c>
      <c r="BD156" s="38" t="str">
        <f t="shared" si="49"/>
        <v/>
      </c>
      <c r="BE156" s="39"/>
      <c r="BF156" s="40"/>
    </row>
    <row r="157" spans="1:58" ht="15" customHeight="1" x14ac:dyDescent="0.3">
      <c r="A157" s="8"/>
      <c r="B157" s="9"/>
      <c r="C157" s="9"/>
      <c r="D157" s="9"/>
      <c r="E157" s="9"/>
      <c r="F157" s="9"/>
      <c r="G157" s="9"/>
      <c r="H157" s="9"/>
      <c r="I157" s="9"/>
      <c r="J157" s="9"/>
      <c r="K157" s="9"/>
      <c r="L157" s="9"/>
      <c r="M157" s="9"/>
      <c r="N157" s="9"/>
      <c r="O157" s="9"/>
      <c r="P157" s="9"/>
      <c r="Q157" s="9"/>
      <c r="R157" s="9"/>
      <c r="S157" s="9"/>
      <c r="T157" s="9"/>
      <c r="U157" s="9"/>
      <c r="V157" s="9"/>
      <c r="W157" s="9"/>
      <c r="X157" s="8"/>
      <c r="Y157" s="8"/>
      <c r="Z157" s="8"/>
      <c r="AA157" s="9"/>
      <c r="AB157" s="10" t="str">
        <f t="shared" si="40"/>
        <v/>
      </c>
      <c r="AC157" s="9"/>
      <c r="AD157" s="9"/>
      <c r="AE157" s="9"/>
      <c r="AF157" s="9"/>
      <c r="AG157" s="9"/>
      <c r="AH157" s="9"/>
      <c r="AI157" s="9"/>
      <c r="AJ157" s="9"/>
      <c r="AK157" s="9"/>
      <c r="AL157" s="9"/>
      <c r="AM157" s="9"/>
      <c r="AN157" s="9"/>
      <c r="AO157" s="11" t="str">
        <f t="shared" si="41"/>
        <v/>
      </c>
      <c r="AP157" s="11" t="str">
        <f t="shared" si="42"/>
        <v/>
      </c>
      <c r="AQ157" s="11" t="str">
        <f t="shared" si="43"/>
        <v/>
      </c>
      <c r="AR157" s="10" t="str">
        <f t="shared" si="44"/>
        <v/>
      </c>
      <c r="AS157" s="10" t="str">
        <f t="shared" si="45"/>
        <v/>
      </c>
      <c r="AT157" s="10" t="str">
        <f t="shared" si="46"/>
        <v/>
      </c>
      <c r="AU157" s="10" t="str">
        <f t="shared" si="47"/>
        <v/>
      </c>
      <c r="AV157" s="12"/>
      <c r="AW157" s="13"/>
      <c r="AX157" s="13"/>
      <c r="AY157" s="8"/>
      <c r="AZ157" s="8"/>
      <c r="BA157" s="8"/>
      <c r="BB157" s="8"/>
      <c r="BC157" s="38" t="str">
        <f t="shared" si="48"/>
        <v/>
      </c>
      <c r="BD157" s="38" t="str">
        <f t="shared" si="49"/>
        <v/>
      </c>
      <c r="BE157" s="39"/>
      <c r="BF157" s="40"/>
    </row>
    <row r="158" spans="1:58" ht="15" customHeight="1" x14ac:dyDescent="0.3">
      <c r="A158" s="8"/>
      <c r="B158" s="9"/>
      <c r="C158" s="9"/>
      <c r="D158" s="9"/>
      <c r="E158" s="9"/>
      <c r="F158" s="9"/>
      <c r="G158" s="9"/>
      <c r="H158" s="9"/>
      <c r="I158" s="9"/>
      <c r="J158" s="9"/>
      <c r="K158" s="9"/>
      <c r="L158" s="9"/>
      <c r="M158" s="9"/>
      <c r="N158" s="9"/>
      <c r="O158" s="9"/>
      <c r="P158" s="9"/>
      <c r="Q158" s="9"/>
      <c r="R158" s="9"/>
      <c r="S158" s="9"/>
      <c r="T158" s="9"/>
      <c r="U158" s="9"/>
      <c r="V158" s="9"/>
      <c r="W158" s="9"/>
      <c r="X158" s="8"/>
      <c r="Y158" s="8"/>
      <c r="Z158" s="8"/>
      <c r="AA158" s="9"/>
      <c r="AB158" s="10" t="str">
        <f t="shared" si="40"/>
        <v/>
      </c>
      <c r="AC158" s="9"/>
      <c r="AD158" s="9"/>
      <c r="AE158" s="9"/>
      <c r="AF158" s="9"/>
      <c r="AG158" s="9"/>
      <c r="AH158" s="9"/>
      <c r="AI158" s="9"/>
      <c r="AJ158" s="9"/>
      <c r="AK158" s="9"/>
      <c r="AL158" s="9"/>
      <c r="AM158" s="9"/>
      <c r="AN158" s="9"/>
      <c r="AO158" s="11" t="str">
        <f t="shared" si="41"/>
        <v/>
      </c>
      <c r="AP158" s="11" t="str">
        <f t="shared" si="42"/>
        <v/>
      </c>
      <c r="AQ158" s="11" t="str">
        <f t="shared" si="43"/>
        <v/>
      </c>
      <c r="AR158" s="10" t="str">
        <f t="shared" si="44"/>
        <v/>
      </c>
      <c r="AS158" s="10" t="str">
        <f t="shared" si="45"/>
        <v/>
      </c>
      <c r="AT158" s="10" t="str">
        <f t="shared" si="46"/>
        <v/>
      </c>
      <c r="AU158" s="10" t="str">
        <f t="shared" si="47"/>
        <v/>
      </c>
      <c r="AV158" s="12"/>
      <c r="AW158" s="13"/>
      <c r="AX158" s="13"/>
      <c r="AY158" s="8"/>
      <c r="AZ158" s="8"/>
      <c r="BA158" s="8"/>
      <c r="BB158" s="8"/>
      <c r="BC158" s="38" t="str">
        <f t="shared" si="48"/>
        <v/>
      </c>
      <c r="BD158" s="38" t="str">
        <f t="shared" si="49"/>
        <v/>
      </c>
      <c r="BE158" s="39"/>
      <c r="BF158" s="40"/>
    </row>
    <row r="159" spans="1:58" ht="15" customHeight="1" x14ac:dyDescent="0.3">
      <c r="A159" s="8"/>
      <c r="B159" s="9"/>
      <c r="C159" s="9"/>
      <c r="D159" s="9"/>
      <c r="E159" s="9"/>
      <c r="F159" s="9"/>
      <c r="G159" s="9"/>
      <c r="H159" s="9"/>
      <c r="I159" s="9"/>
      <c r="J159" s="9"/>
      <c r="K159" s="9"/>
      <c r="L159" s="9"/>
      <c r="M159" s="9"/>
      <c r="N159" s="9"/>
      <c r="O159" s="9"/>
      <c r="P159" s="9"/>
      <c r="Q159" s="9"/>
      <c r="R159" s="9"/>
      <c r="S159" s="9"/>
      <c r="T159" s="9"/>
      <c r="U159" s="9"/>
      <c r="V159" s="9"/>
      <c r="W159" s="9"/>
      <c r="X159" s="8"/>
      <c r="Y159" s="8"/>
      <c r="Z159" s="8"/>
      <c r="AA159" s="9"/>
      <c r="AB159" s="10" t="str">
        <f t="shared" si="40"/>
        <v/>
      </c>
      <c r="AC159" s="9"/>
      <c r="AD159" s="9"/>
      <c r="AE159" s="9"/>
      <c r="AF159" s="9"/>
      <c r="AG159" s="9"/>
      <c r="AH159" s="9"/>
      <c r="AI159" s="9"/>
      <c r="AJ159" s="9"/>
      <c r="AK159" s="9"/>
      <c r="AL159" s="9"/>
      <c r="AM159" s="9"/>
      <c r="AN159" s="9"/>
      <c r="AO159" s="11" t="str">
        <f t="shared" si="41"/>
        <v/>
      </c>
      <c r="AP159" s="11" t="str">
        <f t="shared" si="42"/>
        <v/>
      </c>
      <c r="AQ159" s="11" t="str">
        <f t="shared" si="43"/>
        <v/>
      </c>
      <c r="AR159" s="10" t="str">
        <f t="shared" si="44"/>
        <v/>
      </c>
      <c r="AS159" s="10" t="str">
        <f t="shared" si="45"/>
        <v/>
      </c>
      <c r="AT159" s="10" t="str">
        <f t="shared" si="46"/>
        <v/>
      </c>
      <c r="AU159" s="10" t="str">
        <f t="shared" si="47"/>
        <v/>
      </c>
      <c r="AV159" s="12"/>
      <c r="AW159" s="13"/>
      <c r="AX159" s="13"/>
      <c r="AY159" s="8"/>
      <c r="AZ159" s="8"/>
      <c r="BA159" s="8"/>
      <c r="BB159" s="8"/>
      <c r="BC159" s="38" t="str">
        <f t="shared" si="48"/>
        <v/>
      </c>
      <c r="BD159" s="38" t="str">
        <f t="shared" si="49"/>
        <v/>
      </c>
      <c r="BE159" s="39"/>
      <c r="BF159" s="40"/>
    </row>
    <row r="160" spans="1:58" ht="15" customHeight="1" x14ac:dyDescent="0.3">
      <c r="A160" s="8"/>
      <c r="B160" s="9"/>
      <c r="C160" s="9"/>
      <c r="D160" s="9"/>
      <c r="E160" s="9"/>
      <c r="F160" s="9"/>
      <c r="G160" s="9"/>
      <c r="H160" s="9"/>
      <c r="I160" s="9"/>
      <c r="J160" s="9"/>
      <c r="K160" s="9"/>
      <c r="L160" s="9"/>
      <c r="M160" s="9"/>
      <c r="N160" s="9"/>
      <c r="O160" s="9"/>
      <c r="P160" s="9"/>
      <c r="Q160" s="9"/>
      <c r="R160" s="9"/>
      <c r="S160" s="9"/>
      <c r="T160" s="9"/>
      <c r="U160" s="9"/>
      <c r="V160" s="9"/>
      <c r="W160" s="9"/>
      <c r="X160" s="8"/>
      <c r="Y160" s="8"/>
      <c r="Z160" s="8"/>
      <c r="AA160" s="9"/>
      <c r="AB160" s="10" t="str">
        <f t="shared" si="40"/>
        <v/>
      </c>
      <c r="AC160" s="9"/>
      <c r="AD160" s="9"/>
      <c r="AE160" s="9"/>
      <c r="AF160" s="9"/>
      <c r="AG160" s="9"/>
      <c r="AH160" s="9"/>
      <c r="AI160" s="9"/>
      <c r="AJ160" s="9"/>
      <c r="AK160" s="9"/>
      <c r="AL160" s="9"/>
      <c r="AM160" s="9"/>
      <c r="AN160" s="9"/>
      <c r="AO160" s="11" t="str">
        <f t="shared" si="41"/>
        <v/>
      </c>
      <c r="AP160" s="11" t="str">
        <f t="shared" si="42"/>
        <v/>
      </c>
      <c r="AQ160" s="11" t="str">
        <f t="shared" si="43"/>
        <v/>
      </c>
      <c r="AR160" s="10" t="str">
        <f t="shared" si="44"/>
        <v/>
      </c>
      <c r="AS160" s="10" t="str">
        <f t="shared" si="45"/>
        <v/>
      </c>
      <c r="AT160" s="10" t="str">
        <f t="shared" si="46"/>
        <v/>
      </c>
      <c r="AU160" s="10" t="str">
        <f t="shared" si="47"/>
        <v/>
      </c>
      <c r="AV160" s="12"/>
      <c r="AW160" s="13"/>
      <c r="AX160" s="13"/>
      <c r="AY160" s="8"/>
      <c r="AZ160" s="8"/>
      <c r="BA160" s="8"/>
      <c r="BB160" s="8"/>
      <c r="BC160" s="38" t="str">
        <f t="shared" si="48"/>
        <v/>
      </c>
      <c r="BD160" s="38" t="str">
        <f t="shared" si="49"/>
        <v/>
      </c>
      <c r="BE160" s="39"/>
      <c r="BF160" s="40"/>
    </row>
    <row r="161" spans="1:58" ht="15" customHeight="1" x14ac:dyDescent="0.3">
      <c r="A161" s="8"/>
      <c r="B161" s="9"/>
      <c r="C161" s="9"/>
      <c r="D161" s="9"/>
      <c r="E161" s="9"/>
      <c r="F161" s="9"/>
      <c r="G161" s="9"/>
      <c r="H161" s="9"/>
      <c r="I161" s="9"/>
      <c r="J161" s="9"/>
      <c r="K161" s="9"/>
      <c r="L161" s="9"/>
      <c r="M161" s="9"/>
      <c r="N161" s="9"/>
      <c r="O161" s="9"/>
      <c r="P161" s="9"/>
      <c r="Q161" s="9"/>
      <c r="R161" s="9"/>
      <c r="S161" s="9"/>
      <c r="T161" s="9"/>
      <c r="U161" s="9"/>
      <c r="V161" s="9"/>
      <c r="W161" s="9"/>
      <c r="X161" s="8"/>
      <c r="Y161" s="8"/>
      <c r="Z161" s="8"/>
      <c r="AA161" s="9"/>
      <c r="AB161" s="10" t="str">
        <f t="shared" si="40"/>
        <v/>
      </c>
      <c r="AC161" s="9"/>
      <c r="AD161" s="9"/>
      <c r="AE161" s="9"/>
      <c r="AF161" s="9"/>
      <c r="AG161" s="9"/>
      <c r="AH161" s="9"/>
      <c r="AI161" s="9"/>
      <c r="AJ161" s="9"/>
      <c r="AK161" s="9"/>
      <c r="AL161" s="9"/>
      <c r="AM161" s="9"/>
      <c r="AN161" s="9"/>
      <c r="AO161" s="11" t="str">
        <f t="shared" si="41"/>
        <v/>
      </c>
      <c r="AP161" s="11" t="str">
        <f t="shared" si="42"/>
        <v/>
      </c>
      <c r="AQ161" s="11" t="str">
        <f t="shared" si="43"/>
        <v/>
      </c>
      <c r="AR161" s="10" t="str">
        <f t="shared" si="44"/>
        <v/>
      </c>
      <c r="AS161" s="10" t="str">
        <f t="shared" si="45"/>
        <v/>
      </c>
      <c r="AT161" s="10" t="str">
        <f t="shared" si="46"/>
        <v/>
      </c>
      <c r="AU161" s="10" t="str">
        <f t="shared" si="47"/>
        <v/>
      </c>
      <c r="AV161" s="12"/>
      <c r="AW161" s="13"/>
      <c r="AX161" s="13"/>
      <c r="AY161" s="8"/>
      <c r="AZ161" s="8"/>
      <c r="BA161" s="8"/>
      <c r="BB161" s="8"/>
      <c r="BC161" s="38" t="str">
        <f t="shared" si="48"/>
        <v/>
      </c>
      <c r="BD161" s="38" t="str">
        <f t="shared" si="49"/>
        <v/>
      </c>
      <c r="BE161" s="39"/>
      <c r="BF161" s="40"/>
    </row>
    <row r="162" spans="1:58" ht="15" customHeight="1" x14ac:dyDescent="0.3">
      <c r="A162" s="8"/>
      <c r="B162" s="9"/>
      <c r="C162" s="9"/>
      <c r="D162" s="9"/>
      <c r="E162" s="9"/>
      <c r="F162" s="9"/>
      <c r="G162" s="9"/>
      <c r="H162" s="9"/>
      <c r="I162" s="9"/>
      <c r="J162" s="9"/>
      <c r="K162" s="9"/>
      <c r="L162" s="9"/>
      <c r="M162" s="9"/>
      <c r="N162" s="9"/>
      <c r="O162" s="9"/>
      <c r="P162" s="9"/>
      <c r="Q162" s="9"/>
      <c r="R162" s="9"/>
      <c r="S162" s="9"/>
      <c r="T162" s="9"/>
      <c r="U162" s="9"/>
      <c r="V162" s="9"/>
      <c r="W162" s="9"/>
      <c r="X162" s="8"/>
      <c r="Y162" s="8"/>
      <c r="Z162" s="8"/>
      <c r="AA162" s="9"/>
      <c r="AB162" s="10" t="str">
        <f t="shared" ref="AB162:AB193" si="50">IFERROR(AA162/AF162,"")</f>
        <v/>
      </c>
      <c r="AC162" s="9"/>
      <c r="AD162" s="9"/>
      <c r="AE162" s="9"/>
      <c r="AF162" s="9"/>
      <c r="AG162" s="9"/>
      <c r="AH162" s="9"/>
      <c r="AI162" s="9"/>
      <c r="AJ162" s="9"/>
      <c r="AK162" s="9"/>
      <c r="AL162" s="9"/>
      <c r="AM162" s="9"/>
      <c r="AN162" s="9"/>
      <c r="AO162" s="11" t="str">
        <f t="shared" ref="AO162:AO193" si="51">IFERROR(AC162/E162,"")</f>
        <v/>
      </c>
      <c r="AP162" s="11" t="str">
        <f t="shared" ref="AP162:AP193" si="52">IFERROR(AD162/E162,"")</f>
        <v/>
      </c>
      <c r="AQ162" s="11" t="str">
        <f t="shared" ref="AQ162:AQ193" si="53">IFERROR(AG162/E162,"")</f>
        <v/>
      </c>
      <c r="AR162" s="10" t="str">
        <f t="shared" ref="AR162:AR193" si="54">IFERROR(AG162/AF162,"")</f>
        <v/>
      </c>
      <c r="AS162" s="10" t="str">
        <f t="shared" ref="AS162:AS193" si="55">IFERROR(AH162/AF162,"")</f>
        <v/>
      </c>
      <c r="AT162" s="10" t="str">
        <f t="shared" ref="AT162:AT193" si="56">IFERROR(AI162/AH162,"")</f>
        <v/>
      </c>
      <c r="AU162" s="10" t="str">
        <f t="shared" ref="AU162:AU193" si="57">IFERROR(AN162/AH162,"")</f>
        <v/>
      </c>
      <c r="AV162" s="12"/>
      <c r="AW162" s="13"/>
      <c r="AX162" s="13"/>
      <c r="AY162" s="8"/>
      <c r="AZ162" s="8"/>
      <c r="BA162" s="8"/>
      <c r="BB162" s="8"/>
      <c r="BC162" s="38" t="str">
        <f t="shared" ref="BC162:BC193" si="58">IFERROR(AG162/AC162,"")</f>
        <v/>
      </c>
      <c r="BD162" s="38" t="str">
        <f t="shared" ref="BD162:BD193" si="59">IFERROR(AG162/(AC162+AA162),"")</f>
        <v/>
      </c>
      <c r="BE162" s="39"/>
      <c r="BF162" s="40"/>
    </row>
    <row r="163" spans="1:58" ht="15" customHeight="1" x14ac:dyDescent="0.3">
      <c r="A163" s="8"/>
      <c r="B163" s="9"/>
      <c r="C163" s="9"/>
      <c r="D163" s="9"/>
      <c r="E163" s="9"/>
      <c r="F163" s="9"/>
      <c r="G163" s="9"/>
      <c r="H163" s="9"/>
      <c r="I163" s="9"/>
      <c r="J163" s="9"/>
      <c r="K163" s="9"/>
      <c r="L163" s="9"/>
      <c r="M163" s="9"/>
      <c r="N163" s="9"/>
      <c r="O163" s="9"/>
      <c r="P163" s="9"/>
      <c r="Q163" s="9"/>
      <c r="R163" s="9"/>
      <c r="S163" s="9"/>
      <c r="T163" s="9"/>
      <c r="U163" s="9"/>
      <c r="V163" s="9"/>
      <c r="W163" s="9"/>
      <c r="X163" s="8"/>
      <c r="Y163" s="8"/>
      <c r="Z163" s="8"/>
      <c r="AA163" s="9"/>
      <c r="AB163" s="10" t="str">
        <f t="shared" si="50"/>
        <v/>
      </c>
      <c r="AC163" s="9"/>
      <c r="AD163" s="9"/>
      <c r="AE163" s="9"/>
      <c r="AF163" s="9"/>
      <c r="AG163" s="9"/>
      <c r="AH163" s="9"/>
      <c r="AI163" s="9"/>
      <c r="AJ163" s="9"/>
      <c r="AK163" s="9"/>
      <c r="AL163" s="9"/>
      <c r="AM163" s="9"/>
      <c r="AN163" s="9"/>
      <c r="AO163" s="11" t="str">
        <f t="shared" si="51"/>
        <v/>
      </c>
      <c r="AP163" s="11" t="str">
        <f t="shared" si="52"/>
        <v/>
      </c>
      <c r="AQ163" s="11" t="str">
        <f t="shared" si="53"/>
        <v/>
      </c>
      <c r="AR163" s="10" t="str">
        <f t="shared" si="54"/>
        <v/>
      </c>
      <c r="AS163" s="10" t="str">
        <f t="shared" si="55"/>
        <v/>
      </c>
      <c r="AT163" s="10" t="str">
        <f t="shared" si="56"/>
        <v/>
      </c>
      <c r="AU163" s="10" t="str">
        <f t="shared" si="57"/>
        <v/>
      </c>
      <c r="AV163" s="12"/>
      <c r="AW163" s="13"/>
      <c r="AX163" s="13"/>
      <c r="AY163" s="8"/>
      <c r="AZ163" s="8"/>
      <c r="BA163" s="8"/>
      <c r="BB163" s="8"/>
      <c r="BC163" s="38" t="str">
        <f t="shared" si="58"/>
        <v/>
      </c>
      <c r="BD163" s="38" t="str">
        <f t="shared" si="59"/>
        <v/>
      </c>
      <c r="BE163" s="39"/>
      <c r="BF163" s="40"/>
    </row>
    <row r="164" spans="1:58" ht="15" customHeight="1" x14ac:dyDescent="0.3">
      <c r="A164" s="8"/>
      <c r="B164" s="9"/>
      <c r="C164" s="9"/>
      <c r="D164" s="9"/>
      <c r="E164" s="9"/>
      <c r="F164" s="9"/>
      <c r="G164" s="9"/>
      <c r="H164" s="9"/>
      <c r="I164" s="9"/>
      <c r="J164" s="9"/>
      <c r="K164" s="9"/>
      <c r="L164" s="9"/>
      <c r="M164" s="9"/>
      <c r="N164" s="9"/>
      <c r="O164" s="9"/>
      <c r="P164" s="9"/>
      <c r="Q164" s="9"/>
      <c r="R164" s="9"/>
      <c r="S164" s="9"/>
      <c r="T164" s="9"/>
      <c r="U164" s="9"/>
      <c r="V164" s="9"/>
      <c r="W164" s="9"/>
      <c r="X164" s="8"/>
      <c r="Y164" s="8"/>
      <c r="Z164" s="8"/>
      <c r="AA164" s="9"/>
      <c r="AB164" s="10" t="str">
        <f t="shared" si="50"/>
        <v/>
      </c>
      <c r="AC164" s="9"/>
      <c r="AD164" s="9"/>
      <c r="AE164" s="9"/>
      <c r="AF164" s="9"/>
      <c r="AG164" s="9"/>
      <c r="AH164" s="9"/>
      <c r="AI164" s="9"/>
      <c r="AJ164" s="9"/>
      <c r="AK164" s="9"/>
      <c r="AL164" s="9"/>
      <c r="AM164" s="9"/>
      <c r="AN164" s="9"/>
      <c r="AO164" s="11" t="str">
        <f t="shared" si="51"/>
        <v/>
      </c>
      <c r="AP164" s="11" t="str">
        <f t="shared" si="52"/>
        <v/>
      </c>
      <c r="AQ164" s="11" t="str">
        <f t="shared" si="53"/>
        <v/>
      </c>
      <c r="AR164" s="10" t="str">
        <f t="shared" si="54"/>
        <v/>
      </c>
      <c r="AS164" s="10" t="str">
        <f t="shared" si="55"/>
        <v/>
      </c>
      <c r="AT164" s="10" t="str">
        <f t="shared" si="56"/>
        <v/>
      </c>
      <c r="AU164" s="10" t="str">
        <f t="shared" si="57"/>
        <v/>
      </c>
      <c r="AV164" s="12"/>
      <c r="AW164" s="13"/>
      <c r="AX164" s="13"/>
      <c r="AY164" s="8"/>
      <c r="AZ164" s="8"/>
      <c r="BA164" s="8"/>
      <c r="BB164" s="8"/>
      <c r="BC164" s="38" t="str">
        <f t="shared" si="58"/>
        <v/>
      </c>
      <c r="BD164" s="38" t="str">
        <f t="shared" si="59"/>
        <v/>
      </c>
      <c r="BE164" s="39"/>
      <c r="BF164" s="40"/>
    </row>
    <row r="165" spans="1:58" ht="15" customHeight="1" x14ac:dyDescent="0.3">
      <c r="A165" s="8"/>
      <c r="B165" s="9"/>
      <c r="C165" s="9"/>
      <c r="D165" s="9"/>
      <c r="E165" s="9"/>
      <c r="F165" s="9"/>
      <c r="G165" s="9"/>
      <c r="H165" s="9"/>
      <c r="I165" s="9"/>
      <c r="J165" s="9"/>
      <c r="K165" s="9"/>
      <c r="L165" s="9"/>
      <c r="M165" s="9"/>
      <c r="N165" s="9"/>
      <c r="O165" s="9"/>
      <c r="P165" s="9"/>
      <c r="Q165" s="9"/>
      <c r="R165" s="9"/>
      <c r="S165" s="9"/>
      <c r="T165" s="9"/>
      <c r="U165" s="9"/>
      <c r="V165" s="9"/>
      <c r="W165" s="9"/>
      <c r="X165" s="8"/>
      <c r="Y165" s="8"/>
      <c r="Z165" s="8"/>
      <c r="AA165" s="9"/>
      <c r="AB165" s="10" t="str">
        <f t="shared" si="50"/>
        <v/>
      </c>
      <c r="AC165" s="9"/>
      <c r="AD165" s="9"/>
      <c r="AE165" s="9"/>
      <c r="AF165" s="9"/>
      <c r="AG165" s="9"/>
      <c r="AH165" s="9"/>
      <c r="AI165" s="9"/>
      <c r="AJ165" s="9"/>
      <c r="AK165" s="9"/>
      <c r="AL165" s="9"/>
      <c r="AM165" s="9"/>
      <c r="AN165" s="9"/>
      <c r="AO165" s="11" t="str">
        <f t="shared" si="51"/>
        <v/>
      </c>
      <c r="AP165" s="11" t="str">
        <f t="shared" si="52"/>
        <v/>
      </c>
      <c r="AQ165" s="11" t="str">
        <f t="shared" si="53"/>
        <v/>
      </c>
      <c r="AR165" s="10" t="str">
        <f t="shared" si="54"/>
        <v/>
      </c>
      <c r="AS165" s="10" t="str">
        <f t="shared" si="55"/>
        <v/>
      </c>
      <c r="AT165" s="10" t="str">
        <f t="shared" si="56"/>
        <v/>
      </c>
      <c r="AU165" s="10" t="str">
        <f t="shared" si="57"/>
        <v/>
      </c>
      <c r="AV165" s="12"/>
      <c r="AW165" s="13"/>
      <c r="AX165" s="13"/>
      <c r="AY165" s="8"/>
      <c r="AZ165" s="8"/>
      <c r="BA165" s="8"/>
      <c r="BB165" s="8"/>
      <c r="BC165" s="38" t="str">
        <f t="shared" si="58"/>
        <v/>
      </c>
      <c r="BD165" s="38" t="str">
        <f t="shared" si="59"/>
        <v/>
      </c>
      <c r="BE165" s="39"/>
      <c r="BF165" s="40"/>
    </row>
    <row r="166" spans="1:58" ht="15" customHeight="1" x14ac:dyDescent="0.3">
      <c r="A166" s="8"/>
      <c r="B166" s="9"/>
      <c r="C166" s="9"/>
      <c r="D166" s="9"/>
      <c r="E166" s="9"/>
      <c r="F166" s="9"/>
      <c r="G166" s="9"/>
      <c r="H166" s="9"/>
      <c r="I166" s="9"/>
      <c r="J166" s="9"/>
      <c r="K166" s="9"/>
      <c r="L166" s="9"/>
      <c r="M166" s="9"/>
      <c r="N166" s="9"/>
      <c r="O166" s="9"/>
      <c r="P166" s="9"/>
      <c r="Q166" s="9"/>
      <c r="R166" s="9"/>
      <c r="S166" s="9"/>
      <c r="T166" s="9"/>
      <c r="U166" s="9"/>
      <c r="V166" s="9"/>
      <c r="W166" s="9"/>
      <c r="X166" s="8"/>
      <c r="Y166" s="8"/>
      <c r="Z166" s="8"/>
      <c r="AA166" s="9"/>
      <c r="AB166" s="10" t="str">
        <f t="shared" si="50"/>
        <v/>
      </c>
      <c r="AC166" s="9"/>
      <c r="AD166" s="9"/>
      <c r="AE166" s="9"/>
      <c r="AF166" s="9"/>
      <c r="AG166" s="9"/>
      <c r="AH166" s="9"/>
      <c r="AI166" s="9"/>
      <c r="AJ166" s="9"/>
      <c r="AK166" s="9"/>
      <c r="AL166" s="9"/>
      <c r="AM166" s="9"/>
      <c r="AN166" s="9"/>
      <c r="AO166" s="11" t="str">
        <f t="shared" si="51"/>
        <v/>
      </c>
      <c r="AP166" s="11" t="str">
        <f t="shared" si="52"/>
        <v/>
      </c>
      <c r="AQ166" s="11" t="str">
        <f t="shared" si="53"/>
        <v/>
      </c>
      <c r="AR166" s="10" t="str">
        <f t="shared" si="54"/>
        <v/>
      </c>
      <c r="AS166" s="10" t="str">
        <f t="shared" si="55"/>
        <v/>
      </c>
      <c r="AT166" s="10" t="str">
        <f t="shared" si="56"/>
        <v/>
      </c>
      <c r="AU166" s="10" t="str">
        <f t="shared" si="57"/>
        <v/>
      </c>
      <c r="AV166" s="12"/>
      <c r="AW166" s="13"/>
      <c r="AX166" s="13"/>
      <c r="AY166" s="8"/>
      <c r="AZ166" s="8"/>
      <c r="BA166" s="8"/>
      <c r="BB166" s="8"/>
      <c r="BC166" s="38" t="str">
        <f t="shared" si="58"/>
        <v/>
      </c>
      <c r="BD166" s="38" t="str">
        <f t="shared" si="59"/>
        <v/>
      </c>
      <c r="BE166" s="39"/>
      <c r="BF166" s="40"/>
    </row>
    <row r="167" spans="1:58" ht="15" customHeight="1" x14ac:dyDescent="0.3">
      <c r="A167" s="8"/>
      <c r="B167" s="9"/>
      <c r="C167" s="9"/>
      <c r="D167" s="9"/>
      <c r="E167" s="9"/>
      <c r="F167" s="9"/>
      <c r="G167" s="9"/>
      <c r="H167" s="9"/>
      <c r="I167" s="9"/>
      <c r="J167" s="9"/>
      <c r="K167" s="9"/>
      <c r="L167" s="9"/>
      <c r="M167" s="9"/>
      <c r="N167" s="9"/>
      <c r="O167" s="9"/>
      <c r="P167" s="9"/>
      <c r="Q167" s="9"/>
      <c r="R167" s="9"/>
      <c r="S167" s="9"/>
      <c r="T167" s="9"/>
      <c r="U167" s="9"/>
      <c r="V167" s="9"/>
      <c r="W167" s="9"/>
      <c r="X167" s="8"/>
      <c r="Y167" s="8"/>
      <c r="Z167" s="8"/>
      <c r="AA167" s="9"/>
      <c r="AB167" s="10" t="str">
        <f t="shared" si="50"/>
        <v/>
      </c>
      <c r="AC167" s="9"/>
      <c r="AD167" s="9"/>
      <c r="AE167" s="9"/>
      <c r="AF167" s="9"/>
      <c r="AG167" s="9"/>
      <c r="AH167" s="9"/>
      <c r="AI167" s="9"/>
      <c r="AJ167" s="9"/>
      <c r="AK167" s="9"/>
      <c r="AL167" s="9"/>
      <c r="AM167" s="9"/>
      <c r="AN167" s="9"/>
      <c r="AO167" s="11" t="str">
        <f t="shared" si="51"/>
        <v/>
      </c>
      <c r="AP167" s="11" t="str">
        <f t="shared" si="52"/>
        <v/>
      </c>
      <c r="AQ167" s="11" t="str">
        <f t="shared" si="53"/>
        <v/>
      </c>
      <c r="AR167" s="10" t="str">
        <f t="shared" si="54"/>
        <v/>
      </c>
      <c r="AS167" s="10" t="str">
        <f t="shared" si="55"/>
        <v/>
      </c>
      <c r="AT167" s="10" t="str">
        <f t="shared" si="56"/>
        <v/>
      </c>
      <c r="AU167" s="10" t="str">
        <f t="shared" si="57"/>
        <v/>
      </c>
      <c r="AV167" s="12"/>
      <c r="AW167" s="13"/>
      <c r="AX167" s="13"/>
      <c r="AY167" s="8"/>
      <c r="AZ167" s="8"/>
      <c r="BA167" s="8"/>
      <c r="BB167" s="8"/>
      <c r="BC167" s="38" t="str">
        <f t="shared" si="58"/>
        <v/>
      </c>
      <c r="BD167" s="38" t="str">
        <f t="shared" si="59"/>
        <v/>
      </c>
      <c r="BE167" s="39"/>
      <c r="BF167" s="40"/>
    </row>
    <row r="168" spans="1:58" ht="15" customHeight="1" x14ac:dyDescent="0.3">
      <c r="A168" s="8"/>
      <c r="B168" s="9"/>
      <c r="C168" s="9"/>
      <c r="D168" s="9"/>
      <c r="E168" s="9"/>
      <c r="F168" s="9"/>
      <c r="G168" s="9"/>
      <c r="H168" s="9"/>
      <c r="I168" s="9"/>
      <c r="J168" s="9"/>
      <c r="K168" s="9"/>
      <c r="L168" s="9"/>
      <c r="M168" s="9"/>
      <c r="N168" s="9"/>
      <c r="O168" s="9"/>
      <c r="P168" s="9"/>
      <c r="Q168" s="9"/>
      <c r="R168" s="9"/>
      <c r="S168" s="9"/>
      <c r="T168" s="9"/>
      <c r="U168" s="9"/>
      <c r="V168" s="9"/>
      <c r="W168" s="9"/>
      <c r="X168" s="8"/>
      <c r="Y168" s="8"/>
      <c r="Z168" s="8"/>
      <c r="AA168" s="9"/>
      <c r="AB168" s="10" t="str">
        <f t="shared" si="50"/>
        <v/>
      </c>
      <c r="AC168" s="9"/>
      <c r="AD168" s="9"/>
      <c r="AE168" s="9"/>
      <c r="AF168" s="9"/>
      <c r="AG168" s="9"/>
      <c r="AH168" s="9"/>
      <c r="AI168" s="9"/>
      <c r="AJ168" s="9"/>
      <c r="AK168" s="9"/>
      <c r="AL168" s="9"/>
      <c r="AM168" s="9"/>
      <c r="AN168" s="9"/>
      <c r="AO168" s="11" t="str">
        <f t="shared" si="51"/>
        <v/>
      </c>
      <c r="AP168" s="11" t="str">
        <f t="shared" si="52"/>
        <v/>
      </c>
      <c r="AQ168" s="11" t="str">
        <f t="shared" si="53"/>
        <v/>
      </c>
      <c r="AR168" s="10" t="str">
        <f t="shared" si="54"/>
        <v/>
      </c>
      <c r="AS168" s="10" t="str">
        <f t="shared" si="55"/>
        <v/>
      </c>
      <c r="AT168" s="10" t="str">
        <f t="shared" si="56"/>
        <v/>
      </c>
      <c r="AU168" s="10" t="str">
        <f t="shared" si="57"/>
        <v/>
      </c>
      <c r="AV168" s="12"/>
      <c r="AW168" s="13"/>
      <c r="AX168" s="13"/>
      <c r="AY168" s="8"/>
      <c r="AZ168" s="8"/>
      <c r="BA168" s="8"/>
      <c r="BB168" s="8"/>
      <c r="BC168" s="38" t="str">
        <f t="shared" si="58"/>
        <v/>
      </c>
      <c r="BD168" s="38" t="str">
        <f t="shared" si="59"/>
        <v/>
      </c>
      <c r="BE168" s="39"/>
      <c r="BF168" s="40"/>
    </row>
    <row r="169" spans="1:58" ht="15" customHeight="1" x14ac:dyDescent="0.3">
      <c r="A169" s="8"/>
      <c r="B169" s="9"/>
      <c r="C169" s="9"/>
      <c r="D169" s="9"/>
      <c r="E169" s="9"/>
      <c r="F169" s="9"/>
      <c r="G169" s="9"/>
      <c r="H169" s="9"/>
      <c r="I169" s="9"/>
      <c r="J169" s="9"/>
      <c r="K169" s="9"/>
      <c r="L169" s="9"/>
      <c r="M169" s="9"/>
      <c r="N169" s="9"/>
      <c r="O169" s="9"/>
      <c r="P169" s="9"/>
      <c r="Q169" s="9"/>
      <c r="R169" s="9"/>
      <c r="S169" s="9"/>
      <c r="T169" s="9"/>
      <c r="U169" s="9"/>
      <c r="V169" s="9"/>
      <c r="W169" s="9"/>
      <c r="X169" s="8"/>
      <c r="Y169" s="8"/>
      <c r="Z169" s="8"/>
      <c r="AA169" s="9"/>
      <c r="AB169" s="10" t="str">
        <f t="shared" si="50"/>
        <v/>
      </c>
      <c r="AC169" s="9"/>
      <c r="AD169" s="9"/>
      <c r="AE169" s="9"/>
      <c r="AF169" s="9"/>
      <c r="AG169" s="9"/>
      <c r="AH169" s="9"/>
      <c r="AI169" s="9"/>
      <c r="AJ169" s="9"/>
      <c r="AK169" s="9"/>
      <c r="AL169" s="9"/>
      <c r="AM169" s="9"/>
      <c r="AN169" s="9"/>
      <c r="AO169" s="11" t="str">
        <f t="shared" si="51"/>
        <v/>
      </c>
      <c r="AP169" s="11" t="str">
        <f t="shared" si="52"/>
        <v/>
      </c>
      <c r="AQ169" s="11" t="str">
        <f t="shared" si="53"/>
        <v/>
      </c>
      <c r="AR169" s="10" t="str">
        <f t="shared" si="54"/>
        <v/>
      </c>
      <c r="AS169" s="10" t="str">
        <f t="shared" si="55"/>
        <v/>
      </c>
      <c r="AT169" s="10" t="str">
        <f t="shared" si="56"/>
        <v/>
      </c>
      <c r="AU169" s="10" t="str">
        <f t="shared" si="57"/>
        <v/>
      </c>
      <c r="AV169" s="12"/>
      <c r="AW169" s="13"/>
      <c r="AX169" s="13"/>
      <c r="AY169" s="8"/>
      <c r="AZ169" s="8"/>
      <c r="BA169" s="8"/>
      <c r="BB169" s="8"/>
      <c r="BC169" s="38" t="str">
        <f t="shared" si="58"/>
        <v/>
      </c>
      <c r="BD169" s="38" t="str">
        <f t="shared" si="59"/>
        <v/>
      </c>
      <c r="BE169" s="39"/>
      <c r="BF169" s="40"/>
    </row>
    <row r="170" spans="1:58" ht="15" customHeight="1" x14ac:dyDescent="0.3">
      <c r="A170" s="8"/>
      <c r="B170" s="9"/>
      <c r="C170" s="9"/>
      <c r="D170" s="9"/>
      <c r="E170" s="9"/>
      <c r="F170" s="9"/>
      <c r="G170" s="9"/>
      <c r="H170" s="9"/>
      <c r="I170" s="9"/>
      <c r="J170" s="9"/>
      <c r="K170" s="9"/>
      <c r="L170" s="9"/>
      <c r="M170" s="9"/>
      <c r="N170" s="9"/>
      <c r="O170" s="9"/>
      <c r="P170" s="9"/>
      <c r="Q170" s="9"/>
      <c r="R170" s="9"/>
      <c r="S170" s="9"/>
      <c r="T170" s="9"/>
      <c r="U170" s="9"/>
      <c r="V170" s="9"/>
      <c r="W170" s="9"/>
      <c r="X170" s="8"/>
      <c r="Y170" s="8"/>
      <c r="Z170" s="8"/>
      <c r="AA170" s="9"/>
      <c r="AB170" s="10" t="str">
        <f t="shared" si="50"/>
        <v/>
      </c>
      <c r="AC170" s="9"/>
      <c r="AD170" s="9"/>
      <c r="AE170" s="9"/>
      <c r="AF170" s="9"/>
      <c r="AG170" s="9"/>
      <c r="AH170" s="9"/>
      <c r="AI170" s="9"/>
      <c r="AJ170" s="9"/>
      <c r="AK170" s="9"/>
      <c r="AL170" s="9"/>
      <c r="AM170" s="9"/>
      <c r="AN170" s="9"/>
      <c r="AO170" s="11" t="str">
        <f t="shared" si="51"/>
        <v/>
      </c>
      <c r="AP170" s="11" t="str">
        <f t="shared" si="52"/>
        <v/>
      </c>
      <c r="AQ170" s="11" t="str">
        <f t="shared" si="53"/>
        <v/>
      </c>
      <c r="AR170" s="10" t="str">
        <f t="shared" si="54"/>
        <v/>
      </c>
      <c r="AS170" s="10" t="str">
        <f t="shared" si="55"/>
        <v/>
      </c>
      <c r="AT170" s="10" t="str">
        <f t="shared" si="56"/>
        <v/>
      </c>
      <c r="AU170" s="10" t="str">
        <f t="shared" si="57"/>
        <v/>
      </c>
      <c r="AV170" s="12"/>
      <c r="AW170" s="13"/>
      <c r="AX170" s="13"/>
      <c r="AY170" s="8"/>
      <c r="AZ170" s="8"/>
      <c r="BA170" s="8"/>
      <c r="BB170" s="8"/>
      <c r="BC170" s="38" t="str">
        <f t="shared" si="58"/>
        <v/>
      </c>
      <c r="BD170" s="38" t="str">
        <f t="shared" si="59"/>
        <v/>
      </c>
      <c r="BE170" s="39"/>
      <c r="BF170" s="40"/>
    </row>
    <row r="171" spans="1:58" ht="15" customHeight="1" x14ac:dyDescent="0.3">
      <c r="A171" s="8"/>
      <c r="B171" s="9"/>
      <c r="C171" s="9"/>
      <c r="D171" s="9"/>
      <c r="E171" s="9"/>
      <c r="F171" s="9"/>
      <c r="G171" s="9"/>
      <c r="H171" s="9"/>
      <c r="I171" s="9"/>
      <c r="J171" s="9"/>
      <c r="K171" s="9"/>
      <c r="L171" s="9"/>
      <c r="M171" s="9"/>
      <c r="N171" s="9"/>
      <c r="O171" s="9"/>
      <c r="P171" s="9"/>
      <c r="Q171" s="9"/>
      <c r="R171" s="9"/>
      <c r="S171" s="9"/>
      <c r="T171" s="9"/>
      <c r="U171" s="9"/>
      <c r="V171" s="9"/>
      <c r="W171" s="9"/>
      <c r="X171" s="8"/>
      <c r="Y171" s="8"/>
      <c r="Z171" s="8"/>
      <c r="AA171" s="9"/>
      <c r="AB171" s="10" t="str">
        <f t="shared" si="50"/>
        <v/>
      </c>
      <c r="AC171" s="9"/>
      <c r="AD171" s="9"/>
      <c r="AE171" s="9"/>
      <c r="AF171" s="9"/>
      <c r="AG171" s="9"/>
      <c r="AH171" s="9"/>
      <c r="AI171" s="9"/>
      <c r="AJ171" s="9"/>
      <c r="AK171" s="9"/>
      <c r="AL171" s="9"/>
      <c r="AM171" s="9"/>
      <c r="AN171" s="9"/>
      <c r="AO171" s="11" t="str">
        <f t="shared" si="51"/>
        <v/>
      </c>
      <c r="AP171" s="11" t="str">
        <f t="shared" si="52"/>
        <v/>
      </c>
      <c r="AQ171" s="11" t="str">
        <f t="shared" si="53"/>
        <v/>
      </c>
      <c r="AR171" s="10" t="str">
        <f t="shared" si="54"/>
        <v/>
      </c>
      <c r="AS171" s="10" t="str">
        <f t="shared" si="55"/>
        <v/>
      </c>
      <c r="AT171" s="10" t="str">
        <f t="shared" si="56"/>
        <v/>
      </c>
      <c r="AU171" s="10" t="str">
        <f t="shared" si="57"/>
        <v/>
      </c>
      <c r="AV171" s="12"/>
      <c r="AW171" s="13"/>
      <c r="AX171" s="13"/>
      <c r="AY171" s="8"/>
      <c r="AZ171" s="8"/>
      <c r="BA171" s="8"/>
      <c r="BB171" s="8"/>
      <c r="BC171" s="38" t="str">
        <f t="shared" si="58"/>
        <v/>
      </c>
      <c r="BD171" s="38" t="str">
        <f t="shared" si="59"/>
        <v/>
      </c>
      <c r="BE171" s="39"/>
      <c r="BF171" s="40"/>
    </row>
    <row r="172" spans="1:58" ht="15" customHeight="1" x14ac:dyDescent="0.3">
      <c r="A172" s="8"/>
      <c r="B172" s="9"/>
      <c r="C172" s="9"/>
      <c r="D172" s="9"/>
      <c r="E172" s="9"/>
      <c r="F172" s="9"/>
      <c r="G172" s="9"/>
      <c r="H172" s="9"/>
      <c r="I172" s="9"/>
      <c r="J172" s="9"/>
      <c r="K172" s="9"/>
      <c r="L172" s="9"/>
      <c r="M172" s="9"/>
      <c r="N172" s="9"/>
      <c r="O172" s="9"/>
      <c r="P172" s="9"/>
      <c r="Q172" s="9"/>
      <c r="R172" s="9"/>
      <c r="S172" s="9"/>
      <c r="T172" s="9"/>
      <c r="U172" s="9"/>
      <c r="V172" s="9"/>
      <c r="W172" s="9"/>
      <c r="X172" s="8"/>
      <c r="Y172" s="8"/>
      <c r="Z172" s="8"/>
      <c r="AA172" s="9"/>
      <c r="AB172" s="10" t="str">
        <f t="shared" si="50"/>
        <v/>
      </c>
      <c r="AC172" s="9"/>
      <c r="AD172" s="9"/>
      <c r="AE172" s="9"/>
      <c r="AF172" s="9"/>
      <c r="AG172" s="9"/>
      <c r="AH172" s="9"/>
      <c r="AI172" s="9"/>
      <c r="AJ172" s="9"/>
      <c r="AK172" s="9"/>
      <c r="AL172" s="9"/>
      <c r="AM172" s="9"/>
      <c r="AN172" s="9"/>
      <c r="AO172" s="11" t="str">
        <f t="shared" si="51"/>
        <v/>
      </c>
      <c r="AP172" s="11" t="str">
        <f t="shared" si="52"/>
        <v/>
      </c>
      <c r="AQ172" s="11" t="str">
        <f t="shared" si="53"/>
        <v/>
      </c>
      <c r="AR172" s="10" t="str">
        <f t="shared" si="54"/>
        <v/>
      </c>
      <c r="AS172" s="10" t="str">
        <f t="shared" si="55"/>
        <v/>
      </c>
      <c r="AT172" s="10" t="str">
        <f t="shared" si="56"/>
        <v/>
      </c>
      <c r="AU172" s="10" t="str">
        <f t="shared" si="57"/>
        <v/>
      </c>
      <c r="AV172" s="12"/>
      <c r="AW172" s="13"/>
      <c r="AX172" s="13"/>
      <c r="AY172" s="8"/>
      <c r="AZ172" s="8"/>
      <c r="BA172" s="8"/>
      <c r="BB172" s="8"/>
      <c r="BC172" s="38" t="str">
        <f t="shared" si="58"/>
        <v/>
      </c>
      <c r="BD172" s="38" t="str">
        <f t="shared" si="59"/>
        <v/>
      </c>
      <c r="BE172" s="39"/>
      <c r="BF172" s="40"/>
    </row>
    <row r="173" spans="1:58" ht="15" customHeight="1" x14ac:dyDescent="0.3">
      <c r="A173" s="8"/>
      <c r="B173" s="9"/>
      <c r="C173" s="9"/>
      <c r="D173" s="9"/>
      <c r="E173" s="9"/>
      <c r="F173" s="9"/>
      <c r="G173" s="9"/>
      <c r="H173" s="9"/>
      <c r="I173" s="9"/>
      <c r="J173" s="9"/>
      <c r="K173" s="9"/>
      <c r="L173" s="9"/>
      <c r="M173" s="9"/>
      <c r="N173" s="9"/>
      <c r="O173" s="9"/>
      <c r="P173" s="9"/>
      <c r="Q173" s="9"/>
      <c r="R173" s="9"/>
      <c r="S173" s="9"/>
      <c r="T173" s="9"/>
      <c r="U173" s="9"/>
      <c r="V173" s="9"/>
      <c r="W173" s="9"/>
      <c r="X173" s="8"/>
      <c r="Y173" s="8"/>
      <c r="Z173" s="8"/>
      <c r="AA173" s="9"/>
      <c r="AB173" s="10" t="str">
        <f t="shared" si="50"/>
        <v/>
      </c>
      <c r="AC173" s="9"/>
      <c r="AD173" s="9"/>
      <c r="AE173" s="9"/>
      <c r="AF173" s="9"/>
      <c r="AG173" s="9"/>
      <c r="AH173" s="9"/>
      <c r="AI173" s="9"/>
      <c r="AJ173" s="9"/>
      <c r="AK173" s="9"/>
      <c r="AL173" s="9"/>
      <c r="AM173" s="9"/>
      <c r="AN173" s="9"/>
      <c r="AO173" s="11" t="str">
        <f t="shared" si="51"/>
        <v/>
      </c>
      <c r="AP173" s="11" t="str">
        <f t="shared" si="52"/>
        <v/>
      </c>
      <c r="AQ173" s="11" t="str">
        <f t="shared" si="53"/>
        <v/>
      </c>
      <c r="AR173" s="10" t="str">
        <f t="shared" si="54"/>
        <v/>
      </c>
      <c r="AS173" s="10" t="str">
        <f t="shared" si="55"/>
        <v/>
      </c>
      <c r="AT173" s="10" t="str">
        <f t="shared" si="56"/>
        <v/>
      </c>
      <c r="AU173" s="10" t="str">
        <f t="shared" si="57"/>
        <v/>
      </c>
      <c r="AV173" s="12"/>
      <c r="AW173" s="13"/>
      <c r="AX173" s="13"/>
      <c r="AY173" s="8"/>
      <c r="AZ173" s="8"/>
      <c r="BA173" s="8"/>
      <c r="BB173" s="8"/>
      <c r="BC173" s="38" t="str">
        <f t="shared" si="58"/>
        <v/>
      </c>
      <c r="BD173" s="38" t="str">
        <f t="shared" si="59"/>
        <v/>
      </c>
      <c r="BE173" s="39"/>
      <c r="BF173" s="40"/>
    </row>
    <row r="174" spans="1:58" ht="15" customHeight="1" x14ac:dyDescent="0.3">
      <c r="A174" s="8"/>
      <c r="B174" s="9"/>
      <c r="C174" s="9"/>
      <c r="D174" s="9"/>
      <c r="E174" s="9"/>
      <c r="F174" s="9"/>
      <c r="G174" s="9"/>
      <c r="H174" s="9"/>
      <c r="I174" s="9"/>
      <c r="J174" s="9"/>
      <c r="K174" s="9"/>
      <c r="L174" s="9"/>
      <c r="M174" s="9"/>
      <c r="N174" s="9"/>
      <c r="O174" s="9"/>
      <c r="P174" s="9"/>
      <c r="Q174" s="9"/>
      <c r="R174" s="9"/>
      <c r="S174" s="9"/>
      <c r="T174" s="9"/>
      <c r="U174" s="9"/>
      <c r="V174" s="9"/>
      <c r="W174" s="9"/>
      <c r="X174" s="8"/>
      <c r="Y174" s="8"/>
      <c r="Z174" s="8"/>
      <c r="AA174" s="9"/>
      <c r="AB174" s="10" t="str">
        <f t="shared" si="50"/>
        <v/>
      </c>
      <c r="AC174" s="9"/>
      <c r="AD174" s="9"/>
      <c r="AE174" s="9"/>
      <c r="AF174" s="9"/>
      <c r="AG174" s="9"/>
      <c r="AH174" s="9"/>
      <c r="AI174" s="9"/>
      <c r="AJ174" s="9"/>
      <c r="AK174" s="9"/>
      <c r="AL174" s="9"/>
      <c r="AM174" s="9"/>
      <c r="AN174" s="9"/>
      <c r="AO174" s="11" t="str">
        <f t="shared" si="51"/>
        <v/>
      </c>
      <c r="AP174" s="11" t="str">
        <f t="shared" si="52"/>
        <v/>
      </c>
      <c r="AQ174" s="11" t="str">
        <f t="shared" si="53"/>
        <v/>
      </c>
      <c r="AR174" s="10" t="str">
        <f t="shared" si="54"/>
        <v/>
      </c>
      <c r="AS174" s="10" t="str">
        <f t="shared" si="55"/>
        <v/>
      </c>
      <c r="AT174" s="10" t="str">
        <f t="shared" si="56"/>
        <v/>
      </c>
      <c r="AU174" s="10" t="str">
        <f t="shared" si="57"/>
        <v/>
      </c>
      <c r="AV174" s="12"/>
      <c r="AW174" s="13"/>
      <c r="AX174" s="13"/>
      <c r="AY174" s="8"/>
      <c r="AZ174" s="8"/>
      <c r="BA174" s="8"/>
      <c r="BB174" s="8"/>
      <c r="BC174" s="38" t="str">
        <f t="shared" si="58"/>
        <v/>
      </c>
      <c r="BD174" s="38" t="str">
        <f t="shared" si="59"/>
        <v/>
      </c>
      <c r="BE174" s="39"/>
      <c r="BF174" s="40"/>
    </row>
    <row r="175" spans="1:58" ht="15" customHeight="1" x14ac:dyDescent="0.3">
      <c r="A175" s="8"/>
      <c r="B175" s="9"/>
      <c r="C175" s="9"/>
      <c r="D175" s="9"/>
      <c r="E175" s="9"/>
      <c r="F175" s="9"/>
      <c r="G175" s="9"/>
      <c r="H175" s="9"/>
      <c r="I175" s="9"/>
      <c r="J175" s="9"/>
      <c r="K175" s="9"/>
      <c r="L175" s="9"/>
      <c r="M175" s="9"/>
      <c r="N175" s="9"/>
      <c r="O175" s="9"/>
      <c r="P175" s="9"/>
      <c r="Q175" s="9"/>
      <c r="R175" s="9"/>
      <c r="S175" s="9"/>
      <c r="T175" s="9"/>
      <c r="U175" s="9"/>
      <c r="V175" s="9"/>
      <c r="W175" s="9"/>
      <c r="X175" s="8"/>
      <c r="Y175" s="8"/>
      <c r="Z175" s="8"/>
      <c r="AA175" s="9"/>
      <c r="AB175" s="10" t="str">
        <f t="shared" si="50"/>
        <v/>
      </c>
      <c r="AC175" s="9"/>
      <c r="AD175" s="9"/>
      <c r="AE175" s="9"/>
      <c r="AF175" s="9"/>
      <c r="AG175" s="9"/>
      <c r="AH175" s="9"/>
      <c r="AI175" s="9"/>
      <c r="AJ175" s="9"/>
      <c r="AK175" s="9"/>
      <c r="AL175" s="9"/>
      <c r="AM175" s="9"/>
      <c r="AN175" s="9"/>
      <c r="AO175" s="11" t="str">
        <f t="shared" si="51"/>
        <v/>
      </c>
      <c r="AP175" s="11" t="str">
        <f t="shared" si="52"/>
        <v/>
      </c>
      <c r="AQ175" s="11" t="str">
        <f t="shared" si="53"/>
        <v/>
      </c>
      <c r="AR175" s="10" t="str">
        <f t="shared" si="54"/>
        <v/>
      </c>
      <c r="AS175" s="10" t="str">
        <f t="shared" si="55"/>
        <v/>
      </c>
      <c r="AT175" s="10" t="str">
        <f t="shared" si="56"/>
        <v/>
      </c>
      <c r="AU175" s="10" t="str">
        <f t="shared" si="57"/>
        <v/>
      </c>
      <c r="AV175" s="12"/>
      <c r="AW175" s="13"/>
      <c r="AX175" s="13"/>
      <c r="AY175" s="8"/>
      <c r="AZ175" s="8"/>
      <c r="BA175" s="8"/>
      <c r="BB175" s="8"/>
      <c r="BC175" s="38" t="str">
        <f t="shared" si="58"/>
        <v/>
      </c>
      <c r="BD175" s="38" t="str">
        <f t="shared" si="59"/>
        <v/>
      </c>
      <c r="BE175" s="39"/>
      <c r="BF175" s="40"/>
    </row>
    <row r="176" spans="1:58" ht="15" customHeight="1" x14ac:dyDescent="0.3">
      <c r="A176" s="8"/>
      <c r="B176" s="9"/>
      <c r="C176" s="9"/>
      <c r="D176" s="9"/>
      <c r="E176" s="9"/>
      <c r="F176" s="9"/>
      <c r="G176" s="9"/>
      <c r="H176" s="9"/>
      <c r="I176" s="9"/>
      <c r="J176" s="9"/>
      <c r="K176" s="9"/>
      <c r="L176" s="9"/>
      <c r="M176" s="9"/>
      <c r="N176" s="9"/>
      <c r="O176" s="9"/>
      <c r="P176" s="9"/>
      <c r="Q176" s="9"/>
      <c r="R176" s="9"/>
      <c r="S176" s="9"/>
      <c r="T176" s="9"/>
      <c r="U176" s="9"/>
      <c r="V176" s="9"/>
      <c r="W176" s="9"/>
      <c r="X176" s="8"/>
      <c r="Y176" s="8"/>
      <c r="Z176" s="8"/>
      <c r="AA176" s="9"/>
      <c r="AB176" s="10" t="str">
        <f t="shared" si="50"/>
        <v/>
      </c>
      <c r="AC176" s="9"/>
      <c r="AD176" s="9"/>
      <c r="AE176" s="9"/>
      <c r="AF176" s="9"/>
      <c r="AG176" s="9"/>
      <c r="AH176" s="9"/>
      <c r="AI176" s="9"/>
      <c r="AJ176" s="9"/>
      <c r="AK176" s="9"/>
      <c r="AL176" s="9"/>
      <c r="AM176" s="9"/>
      <c r="AN176" s="9"/>
      <c r="AO176" s="11" t="str">
        <f t="shared" si="51"/>
        <v/>
      </c>
      <c r="AP176" s="11" t="str">
        <f t="shared" si="52"/>
        <v/>
      </c>
      <c r="AQ176" s="11" t="str">
        <f t="shared" si="53"/>
        <v/>
      </c>
      <c r="AR176" s="10" t="str">
        <f t="shared" si="54"/>
        <v/>
      </c>
      <c r="AS176" s="10" t="str">
        <f t="shared" si="55"/>
        <v/>
      </c>
      <c r="AT176" s="10" t="str">
        <f t="shared" si="56"/>
        <v/>
      </c>
      <c r="AU176" s="10" t="str">
        <f t="shared" si="57"/>
        <v/>
      </c>
      <c r="AV176" s="12"/>
      <c r="AW176" s="13"/>
      <c r="AX176" s="13"/>
      <c r="AY176" s="8"/>
      <c r="AZ176" s="8"/>
      <c r="BA176" s="8"/>
      <c r="BB176" s="8"/>
      <c r="BC176" s="38" t="str">
        <f t="shared" si="58"/>
        <v/>
      </c>
      <c r="BD176" s="38" t="str">
        <f t="shared" si="59"/>
        <v/>
      </c>
      <c r="BE176" s="39"/>
      <c r="BF176" s="40"/>
    </row>
    <row r="177" spans="1:58" ht="15" customHeight="1" x14ac:dyDescent="0.3">
      <c r="A177" s="8"/>
      <c r="B177" s="9"/>
      <c r="C177" s="9"/>
      <c r="D177" s="9"/>
      <c r="E177" s="9"/>
      <c r="F177" s="9"/>
      <c r="G177" s="9"/>
      <c r="H177" s="9"/>
      <c r="I177" s="9"/>
      <c r="J177" s="9"/>
      <c r="K177" s="9"/>
      <c r="L177" s="9"/>
      <c r="M177" s="9"/>
      <c r="N177" s="9"/>
      <c r="O177" s="9"/>
      <c r="P177" s="9"/>
      <c r="Q177" s="9"/>
      <c r="R177" s="9"/>
      <c r="S177" s="9"/>
      <c r="T177" s="9"/>
      <c r="U177" s="9"/>
      <c r="V177" s="9"/>
      <c r="W177" s="9"/>
      <c r="X177" s="8"/>
      <c r="Y177" s="8"/>
      <c r="Z177" s="8"/>
      <c r="AA177" s="9"/>
      <c r="AB177" s="10" t="str">
        <f t="shared" si="50"/>
        <v/>
      </c>
      <c r="AC177" s="9"/>
      <c r="AD177" s="9"/>
      <c r="AE177" s="9"/>
      <c r="AF177" s="9"/>
      <c r="AG177" s="9"/>
      <c r="AH177" s="9"/>
      <c r="AI177" s="9"/>
      <c r="AJ177" s="9"/>
      <c r="AK177" s="9"/>
      <c r="AL177" s="9"/>
      <c r="AM177" s="9"/>
      <c r="AN177" s="9"/>
      <c r="AO177" s="11" t="str">
        <f t="shared" si="51"/>
        <v/>
      </c>
      <c r="AP177" s="11" t="str">
        <f t="shared" si="52"/>
        <v/>
      </c>
      <c r="AQ177" s="11" t="str">
        <f t="shared" si="53"/>
        <v/>
      </c>
      <c r="AR177" s="10" t="str">
        <f t="shared" si="54"/>
        <v/>
      </c>
      <c r="AS177" s="10" t="str">
        <f t="shared" si="55"/>
        <v/>
      </c>
      <c r="AT177" s="10" t="str">
        <f t="shared" si="56"/>
        <v/>
      </c>
      <c r="AU177" s="10" t="str">
        <f t="shared" si="57"/>
        <v/>
      </c>
      <c r="AV177" s="12"/>
      <c r="AW177" s="13"/>
      <c r="AX177" s="13"/>
      <c r="AY177" s="8"/>
      <c r="AZ177" s="8"/>
      <c r="BA177" s="8"/>
      <c r="BB177" s="8"/>
      <c r="BC177" s="38" t="str">
        <f t="shared" si="58"/>
        <v/>
      </c>
      <c r="BD177" s="38" t="str">
        <f t="shared" si="59"/>
        <v/>
      </c>
      <c r="BE177" s="39"/>
      <c r="BF177" s="40"/>
    </row>
    <row r="178" spans="1:58" ht="15" customHeight="1" x14ac:dyDescent="0.3">
      <c r="A178" s="8"/>
      <c r="B178" s="9"/>
      <c r="C178" s="9"/>
      <c r="D178" s="9"/>
      <c r="E178" s="9"/>
      <c r="F178" s="9"/>
      <c r="G178" s="9"/>
      <c r="H178" s="9"/>
      <c r="I178" s="9"/>
      <c r="J178" s="9"/>
      <c r="K178" s="9"/>
      <c r="L178" s="9"/>
      <c r="M178" s="9"/>
      <c r="N178" s="9"/>
      <c r="O178" s="9"/>
      <c r="P178" s="9"/>
      <c r="Q178" s="9"/>
      <c r="R178" s="9"/>
      <c r="S178" s="9"/>
      <c r="T178" s="9"/>
      <c r="U178" s="9"/>
      <c r="V178" s="9"/>
      <c r="W178" s="9"/>
      <c r="X178" s="8"/>
      <c r="Y178" s="8"/>
      <c r="Z178" s="8"/>
      <c r="AA178" s="9"/>
      <c r="AB178" s="10" t="str">
        <f t="shared" si="50"/>
        <v/>
      </c>
      <c r="AC178" s="9"/>
      <c r="AD178" s="9"/>
      <c r="AE178" s="9"/>
      <c r="AF178" s="9"/>
      <c r="AG178" s="9"/>
      <c r="AH178" s="9"/>
      <c r="AI178" s="9"/>
      <c r="AJ178" s="9"/>
      <c r="AK178" s="9"/>
      <c r="AL178" s="9"/>
      <c r="AM178" s="9"/>
      <c r="AN178" s="9"/>
      <c r="AO178" s="11" t="str">
        <f t="shared" si="51"/>
        <v/>
      </c>
      <c r="AP178" s="11" t="str">
        <f t="shared" si="52"/>
        <v/>
      </c>
      <c r="AQ178" s="11" t="str">
        <f t="shared" si="53"/>
        <v/>
      </c>
      <c r="AR178" s="10" t="str">
        <f t="shared" si="54"/>
        <v/>
      </c>
      <c r="AS178" s="10" t="str">
        <f t="shared" si="55"/>
        <v/>
      </c>
      <c r="AT178" s="10" t="str">
        <f t="shared" si="56"/>
        <v/>
      </c>
      <c r="AU178" s="10" t="str">
        <f t="shared" si="57"/>
        <v/>
      </c>
      <c r="AV178" s="12"/>
      <c r="AW178" s="13"/>
      <c r="AX178" s="13"/>
      <c r="AY178" s="8"/>
      <c r="AZ178" s="8"/>
      <c r="BA178" s="8"/>
      <c r="BB178" s="8"/>
      <c r="BC178" s="38" t="str">
        <f t="shared" si="58"/>
        <v/>
      </c>
      <c r="BD178" s="38" t="str">
        <f t="shared" si="59"/>
        <v/>
      </c>
      <c r="BE178" s="39"/>
      <c r="BF178" s="40"/>
    </row>
    <row r="179" spans="1:58" ht="15" customHeight="1" x14ac:dyDescent="0.3">
      <c r="A179" s="8"/>
      <c r="B179" s="9"/>
      <c r="C179" s="9"/>
      <c r="D179" s="9"/>
      <c r="E179" s="9"/>
      <c r="F179" s="9"/>
      <c r="G179" s="9"/>
      <c r="H179" s="9"/>
      <c r="I179" s="9"/>
      <c r="J179" s="9"/>
      <c r="K179" s="9"/>
      <c r="L179" s="9"/>
      <c r="M179" s="9"/>
      <c r="N179" s="9"/>
      <c r="O179" s="9"/>
      <c r="P179" s="9"/>
      <c r="Q179" s="9"/>
      <c r="R179" s="9"/>
      <c r="S179" s="9"/>
      <c r="T179" s="9"/>
      <c r="U179" s="9"/>
      <c r="V179" s="9"/>
      <c r="W179" s="9"/>
      <c r="X179" s="8"/>
      <c r="Y179" s="8"/>
      <c r="Z179" s="8"/>
      <c r="AA179" s="9"/>
      <c r="AB179" s="10" t="str">
        <f t="shared" si="50"/>
        <v/>
      </c>
      <c r="AC179" s="9"/>
      <c r="AD179" s="9"/>
      <c r="AE179" s="9"/>
      <c r="AF179" s="9"/>
      <c r="AG179" s="9"/>
      <c r="AH179" s="9"/>
      <c r="AI179" s="9"/>
      <c r="AJ179" s="9"/>
      <c r="AK179" s="9"/>
      <c r="AL179" s="9"/>
      <c r="AM179" s="9"/>
      <c r="AN179" s="9"/>
      <c r="AO179" s="11" t="str">
        <f t="shared" si="51"/>
        <v/>
      </c>
      <c r="AP179" s="11" t="str">
        <f t="shared" si="52"/>
        <v/>
      </c>
      <c r="AQ179" s="11" t="str">
        <f t="shared" si="53"/>
        <v/>
      </c>
      <c r="AR179" s="10" t="str">
        <f t="shared" si="54"/>
        <v/>
      </c>
      <c r="AS179" s="10" t="str">
        <f t="shared" si="55"/>
        <v/>
      </c>
      <c r="AT179" s="10" t="str">
        <f t="shared" si="56"/>
        <v/>
      </c>
      <c r="AU179" s="10" t="str">
        <f t="shared" si="57"/>
        <v/>
      </c>
      <c r="AV179" s="12"/>
      <c r="AW179" s="13"/>
      <c r="AX179" s="13"/>
      <c r="AY179" s="8"/>
      <c r="AZ179" s="8"/>
      <c r="BA179" s="8"/>
      <c r="BB179" s="8"/>
      <c r="BC179" s="38" t="str">
        <f t="shared" si="58"/>
        <v/>
      </c>
      <c r="BD179" s="38" t="str">
        <f t="shared" si="59"/>
        <v/>
      </c>
      <c r="BE179" s="39"/>
      <c r="BF179" s="40"/>
    </row>
    <row r="180" spans="1:58" ht="15" customHeight="1" x14ac:dyDescent="0.3">
      <c r="A180" s="8"/>
      <c r="B180" s="9"/>
      <c r="C180" s="9"/>
      <c r="D180" s="9"/>
      <c r="E180" s="9"/>
      <c r="F180" s="9"/>
      <c r="G180" s="9"/>
      <c r="H180" s="9"/>
      <c r="I180" s="9"/>
      <c r="J180" s="9"/>
      <c r="K180" s="9"/>
      <c r="L180" s="9"/>
      <c r="M180" s="9"/>
      <c r="N180" s="9"/>
      <c r="O180" s="9"/>
      <c r="P180" s="9"/>
      <c r="Q180" s="9"/>
      <c r="R180" s="9"/>
      <c r="S180" s="9"/>
      <c r="T180" s="9"/>
      <c r="U180" s="9"/>
      <c r="V180" s="9"/>
      <c r="W180" s="9"/>
      <c r="X180" s="8"/>
      <c r="Y180" s="8"/>
      <c r="Z180" s="8"/>
      <c r="AA180" s="9"/>
      <c r="AB180" s="10" t="str">
        <f t="shared" si="50"/>
        <v/>
      </c>
      <c r="AC180" s="9"/>
      <c r="AD180" s="9"/>
      <c r="AE180" s="9"/>
      <c r="AF180" s="9"/>
      <c r="AG180" s="9"/>
      <c r="AH180" s="9"/>
      <c r="AI180" s="9"/>
      <c r="AJ180" s="9"/>
      <c r="AK180" s="9"/>
      <c r="AL180" s="9"/>
      <c r="AM180" s="9"/>
      <c r="AN180" s="9"/>
      <c r="AO180" s="11" t="str">
        <f t="shared" si="51"/>
        <v/>
      </c>
      <c r="AP180" s="11" t="str">
        <f t="shared" si="52"/>
        <v/>
      </c>
      <c r="AQ180" s="11" t="str">
        <f t="shared" si="53"/>
        <v/>
      </c>
      <c r="AR180" s="10" t="str">
        <f t="shared" si="54"/>
        <v/>
      </c>
      <c r="AS180" s="10" t="str">
        <f t="shared" si="55"/>
        <v/>
      </c>
      <c r="AT180" s="10" t="str">
        <f t="shared" si="56"/>
        <v/>
      </c>
      <c r="AU180" s="10" t="str">
        <f t="shared" si="57"/>
        <v/>
      </c>
      <c r="AV180" s="12"/>
      <c r="AW180" s="13"/>
      <c r="AX180" s="13"/>
      <c r="AY180" s="8"/>
      <c r="AZ180" s="8"/>
      <c r="BA180" s="8"/>
      <c r="BB180" s="8"/>
      <c r="BC180" s="38" t="str">
        <f t="shared" si="58"/>
        <v/>
      </c>
      <c r="BD180" s="38" t="str">
        <f t="shared" si="59"/>
        <v/>
      </c>
      <c r="BE180" s="39"/>
      <c r="BF180" s="40"/>
    </row>
    <row r="181" spans="1:58" ht="15" customHeight="1" x14ac:dyDescent="0.3">
      <c r="A181" s="8"/>
      <c r="B181" s="9"/>
      <c r="C181" s="9"/>
      <c r="D181" s="9"/>
      <c r="E181" s="9"/>
      <c r="F181" s="9"/>
      <c r="G181" s="9"/>
      <c r="H181" s="9"/>
      <c r="I181" s="9"/>
      <c r="J181" s="9"/>
      <c r="K181" s="9"/>
      <c r="L181" s="9"/>
      <c r="M181" s="9"/>
      <c r="N181" s="9"/>
      <c r="O181" s="9"/>
      <c r="P181" s="9"/>
      <c r="Q181" s="9"/>
      <c r="R181" s="9"/>
      <c r="S181" s="9"/>
      <c r="T181" s="9"/>
      <c r="U181" s="9"/>
      <c r="V181" s="9"/>
      <c r="W181" s="9"/>
      <c r="X181" s="8"/>
      <c r="Y181" s="8"/>
      <c r="Z181" s="8"/>
      <c r="AA181" s="9"/>
      <c r="AB181" s="10" t="str">
        <f t="shared" si="50"/>
        <v/>
      </c>
      <c r="AC181" s="9"/>
      <c r="AD181" s="9"/>
      <c r="AE181" s="9"/>
      <c r="AF181" s="9"/>
      <c r="AG181" s="9"/>
      <c r="AH181" s="9"/>
      <c r="AI181" s="9"/>
      <c r="AJ181" s="9"/>
      <c r="AK181" s="9"/>
      <c r="AL181" s="9"/>
      <c r="AM181" s="9"/>
      <c r="AN181" s="9"/>
      <c r="AO181" s="11" t="str">
        <f t="shared" si="51"/>
        <v/>
      </c>
      <c r="AP181" s="11" t="str">
        <f t="shared" si="52"/>
        <v/>
      </c>
      <c r="AQ181" s="11" t="str">
        <f t="shared" si="53"/>
        <v/>
      </c>
      <c r="AR181" s="10" t="str">
        <f t="shared" si="54"/>
        <v/>
      </c>
      <c r="AS181" s="10" t="str">
        <f t="shared" si="55"/>
        <v/>
      </c>
      <c r="AT181" s="10" t="str">
        <f t="shared" si="56"/>
        <v/>
      </c>
      <c r="AU181" s="10" t="str">
        <f t="shared" si="57"/>
        <v/>
      </c>
      <c r="AV181" s="12"/>
      <c r="AW181" s="13"/>
      <c r="AX181" s="13"/>
      <c r="AY181" s="8"/>
      <c r="AZ181" s="8"/>
      <c r="BA181" s="8"/>
      <c r="BB181" s="8"/>
      <c r="BC181" s="38" t="str">
        <f t="shared" si="58"/>
        <v/>
      </c>
      <c r="BD181" s="38" t="str">
        <f t="shared" si="59"/>
        <v/>
      </c>
      <c r="BE181" s="39"/>
      <c r="BF181" s="40"/>
    </row>
    <row r="182" spans="1:58" ht="15" customHeight="1" x14ac:dyDescent="0.3">
      <c r="A182" s="8"/>
      <c r="B182" s="9"/>
      <c r="C182" s="9"/>
      <c r="D182" s="9"/>
      <c r="E182" s="9"/>
      <c r="F182" s="9"/>
      <c r="G182" s="9"/>
      <c r="H182" s="9"/>
      <c r="I182" s="9"/>
      <c r="J182" s="9"/>
      <c r="K182" s="9"/>
      <c r="L182" s="9"/>
      <c r="M182" s="9"/>
      <c r="N182" s="9"/>
      <c r="O182" s="9"/>
      <c r="P182" s="9"/>
      <c r="Q182" s="9"/>
      <c r="R182" s="9"/>
      <c r="S182" s="9"/>
      <c r="T182" s="9"/>
      <c r="U182" s="9"/>
      <c r="V182" s="9"/>
      <c r="W182" s="9"/>
      <c r="X182" s="8"/>
      <c r="Y182" s="8"/>
      <c r="Z182" s="8"/>
      <c r="AA182" s="9"/>
      <c r="AB182" s="10" t="str">
        <f t="shared" si="50"/>
        <v/>
      </c>
      <c r="AC182" s="9"/>
      <c r="AD182" s="9"/>
      <c r="AE182" s="9"/>
      <c r="AF182" s="9"/>
      <c r="AG182" s="9"/>
      <c r="AH182" s="9"/>
      <c r="AI182" s="9"/>
      <c r="AJ182" s="9"/>
      <c r="AK182" s="9"/>
      <c r="AL182" s="9"/>
      <c r="AM182" s="9"/>
      <c r="AN182" s="9"/>
      <c r="AO182" s="11" t="str">
        <f t="shared" si="51"/>
        <v/>
      </c>
      <c r="AP182" s="11" t="str">
        <f t="shared" si="52"/>
        <v/>
      </c>
      <c r="AQ182" s="11" t="str">
        <f t="shared" si="53"/>
        <v/>
      </c>
      <c r="AR182" s="10" t="str">
        <f t="shared" si="54"/>
        <v/>
      </c>
      <c r="AS182" s="10" t="str">
        <f t="shared" si="55"/>
        <v/>
      </c>
      <c r="AT182" s="10" t="str">
        <f t="shared" si="56"/>
        <v/>
      </c>
      <c r="AU182" s="10" t="str">
        <f t="shared" si="57"/>
        <v/>
      </c>
      <c r="AV182" s="12"/>
      <c r="AW182" s="13"/>
      <c r="AX182" s="13"/>
      <c r="AY182" s="8"/>
      <c r="AZ182" s="8"/>
      <c r="BA182" s="8"/>
      <c r="BB182" s="8"/>
      <c r="BC182" s="38" t="str">
        <f t="shared" si="58"/>
        <v/>
      </c>
      <c r="BD182" s="38" t="str">
        <f t="shared" si="59"/>
        <v/>
      </c>
      <c r="BE182" s="39"/>
      <c r="BF182" s="40"/>
    </row>
    <row r="183" spans="1:58" ht="15" customHeight="1" x14ac:dyDescent="0.3">
      <c r="A183" s="8"/>
      <c r="B183" s="9"/>
      <c r="C183" s="9"/>
      <c r="D183" s="9"/>
      <c r="E183" s="9"/>
      <c r="F183" s="9"/>
      <c r="G183" s="9"/>
      <c r="H183" s="9"/>
      <c r="I183" s="9"/>
      <c r="J183" s="9"/>
      <c r="K183" s="9"/>
      <c r="L183" s="9"/>
      <c r="M183" s="9"/>
      <c r="N183" s="9"/>
      <c r="O183" s="9"/>
      <c r="P183" s="9"/>
      <c r="Q183" s="9"/>
      <c r="R183" s="9"/>
      <c r="S183" s="9"/>
      <c r="T183" s="9"/>
      <c r="U183" s="9"/>
      <c r="V183" s="9"/>
      <c r="W183" s="9"/>
      <c r="X183" s="8"/>
      <c r="Y183" s="8"/>
      <c r="Z183" s="8"/>
      <c r="AA183" s="9"/>
      <c r="AB183" s="10" t="str">
        <f t="shared" si="50"/>
        <v/>
      </c>
      <c r="AC183" s="9"/>
      <c r="AD183" s="9"/>
      <c r="AE183" s="9"/>
      <c r="AF183" s="9"/>
      <c r="AG183" s="9"/>
      <c r="AH183" s="9"/>
      <c r="AI183" s="9"/>
      <c r="AJ183" s="9"/>
      <c r="AK183" s="9"/>
      <c r="AL183" s="9"/>
      <c r="AM183" s="9"/>
      <c r="AN183" s="9"/>
      <c r="AO183" s="11" t="str">
        <f t="shared" si="51"/>
        <v/>
      </c>
      <c r="AP183" s="11" t="str">
        <f t="shared" si="52"/>
        <v/>
      </c>
      <c r="AQ183" s="11" t="str">
        <f t="shared" si="53"/>
        <v/>
      </c>
      <c r="AR183" s="10" t="str">
        <f t="shared" si="54"/>
        <v/>
      </c>
      <c r="AS183" s="10" t="str">
        <f t="shared" si="55"/>
        <v/>
      </c>
      <c r="AT183" s="10" t="str">
        <f t="shared" si="56"/>
        <v/>
      </c>
      <c r="AU183" s="10" t="str">
        <f t="shared" si="57"/>
        <v/>
      </c>
      <c r="AV183" s="12"/>
      <c r="AW183" s="13"/>
      <c r="AX183" s="13"/>
      <c r="AY183" s="8"/>
      <c r="AZ183" s="8"/>
      <c r="BA183" s="8"/>
      <c r="BB183" s="8"/>
      <c r="BC183" s="38" t="str">
        <f t="shared" si="58"/>
        <v/>
      </c>
      <c r="BD183" s="38" t="str">
        <f t="shared" si="59"/>
        <v/>
      </c>
      <c r="BE183" s="39"/>
      <c r="BF183" s="40"/>
    </row>
    <row r="184" spans="1:58" ht="15" customHeight="1" x14ac:dyDescent="0.3">
      <c r="A184" s="8"/>
      <c r="B184" s="9"/>
      <c r="C184" s="9"/>
      <c r="D184" s="9"/>
      <c r="E184" s="9"/>
      <c r="F184" s="9"/>
      <c r="G184" s="9"/>
      <c r="H184" s="9"/>
      <c r="I184" s="9"/>
      <c r="J184" s="9"/>
      <c r="K184" s="9"/>
      <c r="L184" s="9"/>
      <c r="M184" s="9"/>
      <c r="N184" s="9"/>
      <c r="O184" s="9"/>
      <c r="P184" s="9"/>
      <c r="Q184" s="9"/>
      <c r="R184" s="9"/>
      <c r="S184" s="9"/>
      <c r="T184" s="9"/>
      <c r="U184" s="9"/>
      <c r="V184" s="9"/>
      <c r="W184" s="9"/>
      <c r="X184" s="8"/>
      <c r="Y184" s="8"/>
      <c r="Z184" s="8"/>
      <c r="AA184" s="9"/>
      <c r="AB184" s="10" t="str">
        <f t="shared" si="50"/>
        <v/>
      </c>
      <c r="AC184" s="9"/>
      <c r="AD184" s="9"/>
      <c r="AE184" s="9"/>
      <c r="AF184" s="9"/>
      <c r="AG184" s="9"/>
      <c r="AH184" s="9"/>
      <c r="AI184" s="9"/>
      <c r="AJ184" s="9"/>
      <c r="AK184" s="9"/>
      <c r="AL184" s="9"/>
      <c r="AM184" s="9"/>
      <c r="AN184" s="9"/>
      <c r="AO184" s="11" t="str">
        <f t="shared" si="51"/>
        <v/>
      </c>
      <c r="AP184" s="11" t="str">
        <f t="shared" si="52"/>
        <v/>
      </c>
      <c r="AQ184" s="11" t="str">
        <f t="shared" si="53"/>
        <v/>
      </c>
      <c r="AR184" s="10" t="str">
        <f t="shared" si="54"/>
        <v/>
      </c>
      <c r="AS184" s="10" t="str">
        <f t="shared" si="55"/>
        <v/>
      </c>
      <c r="AT184" s="10" t="str">
        <f t="shared" si="56"/>
        <v/>
      </c>
      <c r="AU184" s="10" t="str">
        <f t="shared" si="57"/>
        <v/>
      </c>
      <c r="AV184" s="12"/>
      <c r="AW184" s="13"/>
      <c r="AX184" s="13"/>
      <c r="AY184" s="8"/>
      <c r="AZ184" s="8"/>
      <c r="BA184" s="8"/>
      <c r="BB184" s="8"/>
      <c r="BC184" s="38" t="str">
        <f t="shared" si="58"/>
        <v/>
      </c>
      <c r="BD184" s="38" t="str">
        <f t="shared" si="59"/>
        <v/>
      </c>
      <c r="BE184" s="39"/>
      <c r="BF184" s="40"/>
    </row>
    <row r="185" spans="1:58" ht="15" customHeight="1" x14ac:dyDescent="0.3">
      <c r="A185" s="8"/>
      <c r="B185" s="9"/>
      <c r="C185" s="9"/>
      <c r="D185" s="9"/>
      <c r="E185" s="9"/>
      <c r="F185" s="9"/>
      <c r="G185" s="9"/>
      <c r="H185" s="9"/>
      <c r="I185" s="9"/>
      <c r="J185" s="9"/>
      <c r="K185" s="9"/>
      <c r="L185" s="9"/>
      <c r="M185" s="9"/>
      <c r="N185" s="9"/>
      <c r="O185" s="9"/>
      <c r="P185" s="9"/>
      <c r="Q185" s="9"/>
      <c r="R185" s="9"/>
      <c r="S185" s="9"/>
      <c r="T185" s="9"/>
      <c r="U185" s="9"/>
      <c r="V185" s="9"/>
      <c r="W185" s="9"/>
      <c r="X185" s="8"/>
      <c r="Y185" s="8"/>
      <c r="Z185" s="8"/>
      <c r="AA185" s="9"/>
      <c r="AB185" s="10" t="str">
        <f t="shared" si="50"/>
        <v/>
      </c>
      <c r="AC185" s="9"/>
      <c r="AD185" s="9"/>
      <c r="AE185" s="9"/>
      <c r="AF185" s="9"/>
      <c r="AG185" s="9"/>
      <c r="AH185" s="9"/>
      <c r="AI185" s="9"/>
      <c r="AJ185" s="9"/>
      <c r="AK185" s="9"/>
      <c r="AL185" s="9"/>
      <c r="AM185" s="9"/>
      <c r="AN185" s="9"/>
      <c r="AO185" s="11" t="str">
        <f t="shared" si="51"/>
        <v/>
      </c>
      <c r="AP185" s="11" t="str">
        <f t="shared" si="52"/>
        <v/>
      </c>
      <c r="AQ185" s="11" t="str">
        <f t="shared" si="53"/>
        <v/>
      </c>
      <c r="AR185" s="10" t="str">
        <f t="shared" si="54"/>
        <v/>
      </c>
      <c r="AS185" s="10" t="str">
        <f t="shared" si="55"/>
        <v/>
      </c>
      <c r="AT185" s="10" t="str">
        <f t="shared" si="56"/>
        <v/>
      </c>
      <c r="AU185" s="10" t="str">
        <f t="shared" si="57"/>
        <v/>
      </c>
      <c r="AV185" s="12"/>
      <c r="AW185" s="13"/>
      <c r="AX185" s="13"/>
      <c r="AY185" s="8"/>
      <c r="AZ185" s="8"/>
      <c r="BA185" s="8"/>
      <c r="BB185" s="8"/>
      <c r="BC185" s="38" t="str">
        <f t="shared" si="58"/>
        <v/>
      </c>
      <c r="BD185" s="38" t="str">
        <f t="shared" si="59"/>
        <v/>
      </c>
      <c r="BE185" s="39"/>
      <c r="BF185" s="40"/>
    </row>
    <row r="186" spans="1:58" ht="15" customHeight="1" x14ac:dyDescent="0.3">
      <c r="A186" s="8"/>
      <c r="B186" s="9"/>
      <c r="C186" s="9"/>
      <c r="D186" s="9"/>
      <c r="E186" s="9"/>
      <c r="F186" s="9"/>
      <c r="G186" s="9"/>
      <c r="H186" s="9"/>
      <c r="I186" s="9"/>
      <c r="J186" s="9"/>
      <c r="K186" s="9"/>
      <c r="L186" s="9"/>
      <c r="M186" s="9"/>
      <c r="N186" s="9"/>
      <c r="O186" s="9"/>
      <c r="P186" s="9"/>
      <c r="Q186" s="9"/>
      <c r="R186" s="9"/>
      <c r="S186" s="9"/>
      <c r="T186" s="9"/>
      <c r="U186" s="9"/>
      <c r="V186" s="9"/>
      <c r="W186" s="9"/>
      <c r="X186" s="8"/>
      <c r="Y186" s="8"/>
      <c r="Z186" s="8"/>
      <c r="AA186" s="9"/>
      <c r="AB186" s="10" t="str">
        <f t="shared" si="50"/>
        <v/>
      </c>
      <c r="AC186" s="9"/>
      <c r="AD186" s="9"/>
      <c r="AE186" s="9"/>
      <c r="AF186" s="9"/>
      <c r="AG186" s="9"/>
      <c r="AH186" s="9"/>
      <c r="AI186" s="9"/>
      <c r="AJ186" s="9"/>
      <c r="AK186" s="9"/>
      <c r="AL186" s="9"/>
      <c r="AM186" s="9"/>
      <c r="AN186" s="9"/>
      <c r="AO186" s="11" t="str">
        <f t="shared" si="51"/>
        <v/>
      </c>
      <c r="AP186" s="11" t="str">
        <f t="shared" si="52"/>
        <v/>
      </c>
      <c r="AQ186" s="11" t="str">
        <f t="shared" si="53"/>
        <v/>
      </c>
      <c r="AR186" s="10" t="str">
        <f t="shared" si="54"/>
        <v/>
      </c>
      <c r="AS186" s="10" t="str">
        <f t="shared" si="55"/>
        <v/>
      </c>
      <c r="AT186" s="10" t="str">
        <f t="shared" si="56"/>
        <v/>
      </c>
      <c r="AU186" s="10" t="str">
        <f t="shared" si="57"/>
        <v/>
      </c>
      <c r="AV186" s="12"/>
      <c r="AW186" s="13"/>
      <c r="AX186" s="13"/>
      <c r="AY186" s="8"/>
      <c r="AZ186" s="8"/>
      <c r="BA186" s="8"/>
      <c r="BB186" s="8"/>
      <c r="BC186" s="38" t="str">
        <f t="shared" si="58"/>
        <v/>
      </c>
      <c r="BD186" s="38" t="str">
        <f t="shared" si="59"/>
        <v/>
      </c>
      <c r="BE186" s="39"/>
      <c r="BF186" s="40"/>
    </row>
    <row r="187" spans="1:58" ht="15" customHeight="1" x14ac:dyDescent="0.3">
      <c r="A187" s="8"/>
      <c r="B187" s="9"/>
      <c r="C187" s="9"/>
      <c r="D187" s="9"/>
      <c r="E187" s="9"/>
      <c r="F187" s="9"/>
      <c r="G187" s="9"/>
      <c r="H187" s="9"/>
      <c r="I187" s="9"/>
      <c r="J187" s="9"/>
      <c r="K187" s="9"/>
      <c r="L187" s="9"/>
      <c r="M187" s="9"/>
      <c r="N187" s="9"/>
      <c r="O187" s="9"/>
      <c r="P187" s="9"/>
      <c r="Q187" s="9"/>
      <c r="R187" s="9"/>
      <c r="S187" s="9"/>
      <c r="T187" s="9"/>
      <c r="U187" s="9"/>
      <c r="V187" s="9"/>
      <c r="W187" s="9"/>
      <c r="X187" s="8"/>
      <c r="Y187" s="8"/>
      <c r="Z187" s="8"/>
      <c r="AA187" s="9"/>
      <c r="AB187" s="10" t="str">
        <f t="shared" si="50"/>
        <v/>
      </c>
      <c r="AC187" s="9"/>
      <c r="AD187" s="9"/>
      <c r="AE187" s="9"/>
      <c r="AF187" s="9"/>
      <c r="AG187" s="9"/>
      <c r="AH187" s="9"/>
      <c r="AI187" s="9"/>
      <c r="AJ187" s="9"/>
      <c r="AK187" s="9"/>
      <c r="AL187" s="9"/>
      <c r="AM187" s="9"/>
      <c r="AN187" s="9"/>
      <c r="AO187" s="11" t="str">
        <f t="shared" si="51"/>
        <v/>
      </c>
      <c r="AP187" s="11" t="str">
        <f t="shared" si="52"/>
        <v/>
      </c>
      <c r="AQ187" s="11" t="str">
        <f t="shared" si="53"/>
        <v/>
      </c>
      <c r="AR187" s="10" t="str">
        <f t="shared" si="54"/>
        <v/>
      </c>
      <c r="AS187" s="10" t="str">
        <f t="shared" si="55"/>
        <v/>
      </c>
      <c r="AT187" s="10" t="str">
        <f t="shared" si="56"/>
        <v/>
      </c>
      <c r="AU187" s="10" t="str">
        <f t="shared" si="57"/>
        <v/>
      </c>
      <c r="AV187" s="12"/>
      <c r="AW187" s="13"/>
      <c r="AX187" s="13"/>
      <c r="AY187" s="8"/>
      <c r="AZ187" s="8"/>
      <c r="BA187" s="8"/>
      <c r="BB187" s="8"/>
      <c r="BC187" s="38" t="str">
        <f t="shared" si="58"/>
        <v/>
      </c>
      <c r="BD187" s="38" t="str">
        <f t="shared" si="59"/>
        <v/>
      </c>
      <c r="BE187" s="39"/>
      <c r="BF187" s="40"/>
    </row>
    <row r="188" spans="1:58" ht="15" customHeight="1" x14ac:dyDescent="0.3">
      <c r="A188" s="8"/>
      <c r="B188" s="9"/>
      <c r="C188" s="9"/>
      <c r="D188" s="9"/>
      <c r="E188" s="9"/>
      <c r="F188" s="9"/>
      <c r="G188" s="9"/>
      <c r="H188" s="9"/>
      <c r="I188" s="9"/>
      <c r="J188" s="9"/>
      <c r="K188" s="9"/>
      <c r="L188" s="9"/>
      <c r="M188" s="9"/>
      <c r="N188" s="9"/>
      <c r="O188" s="9"/>
      <c r="P188" s="9"/>
      <c r="Q188" s="9"/>
      <c r="R188" s="9"/>
      <c r="S188" s="9"/>
      <c r="T188" s="9"/>
      <c r="U188" s="9"/>
      <c r="V188" s="9"/>
      <c r="W188" s="9"/>
      <c r="X188" s="8"/>
      <c r="Y188" s="8"/>
      <c r="Z188" s="8"/>
      <c r="AA188" s="9"/>
      <c r="AB188" s="10" t="str">
        <f t="shared" si="50"/>
        <v/>
      </c>
      <c r="AC188" s="9"/>
      <c r="AD188" s="9"/>
      <c r="AE188" s="9"/>
      <c r="AF188" s="9"/>
      <c r="AG188" s="9"/>
      <c r="AH188" s="9"/>
      <c r="AI188" s="9"/>
      <c r="AJ188" s="9"/>
      <c r="AK188" s="9"/>
      <c r="AL188" s="9"/>
      <c r="AM188" s="9"/>
      <c r="AN188" s="9"/>
      <c r="AO188" s="11" t="str">
        <f t="shared" si="51"/>
        <v/>
      </c>
      <c r="AP188" s="11" t="str">
        <f t="shared" si="52"/>
        <v/>
      </c>
      <c r="AQ188" s="11" t="str">
        <f t="shared" si="53"/>
        <v/>
      </c>
      <c r="AR188" s="10" t="str">
        <f t="shared" si="54"/>
        <v/>
      </c>
      <c r="AS188" s="10" t="str">
        <f t="shared" si="55"/>
        <v/>
      </c>
      <c r="AT188" s="10" t="str">
        <f t="shared" si="56"/>
        <v/>
      </c>
      <c r="AU188" s="10" t="str">
        <f t="shared" si="57"/>
        <v/>
      </c>
      <c r="AV188" s="12"/>
      <c r="AW188" s="13"/>
      <c r="AX188" s="13"/>
      <c r="AY188" s="8"/>
      <c r="AZ188" s="8"/>
      <c r="BA188" s="8"/>
      <c r="BB188" s="8"/>
      <c r="BC188" s="38" t="str">
        <f t="shared" si="58"/>
        <v/>
      </c>
      <c r="BD188" s="38" t="str">
        <f t="shared" si="59"/>
        <v/>
      </c>
      <c r="BE188" s="39"/>
      <c r="BF188" s="40"/>
    </row>
    <row r="189" spans="1:58" ht="15" customHeight="1" x14ac:dyDescent="0.3">
      <c r="A189" s="8"/>
      <c r="B189" s="9"/>
      <c r="C189" s="9"/>
      <c r="D189" s="9"/>
      <c r="E189" s="9"/>
      <c r="F189" s="9"/>
      <c r="G189" s="9"/>
      <c r="H189" s="9"/>
      <c r="I189" s="9"/>
      <c r="J189" s="9"/>
      <c r="K189" s="9"/>
      <c r="L189" s="9"/>
      <c r="M189" s="9"/>
      <c r="N189" s="9"/>
      <c r="O189" s="9"/>
      <c r="P189" s="9"/>
      <c r="Q189" s="9"/>
      <c r="R189" s="9"/>
      <c r="S189" s="9"/>
      <c r="T189" s="9"/>
      <c r="U189" s="9"/>
      <c r="V189" s="9"/>
      <c r="W189" s="9"/>
      <c r="X189" s="8"/>
      <c r="Y189" s="8"/>
      <c r="Z189" s="8"/>
      <c r="AA189" s="9"/>
      <c r="AB189" s="10" t="str">
        <f t="shared" si="50"/>
        <v/>
      </c>
      <c r="AC189" s="9"/>
      <c r="AD189" s="9"/>
      <c r="AE189" s="9"/>
      <c r="AF189" s="9"/>
      <c r="AG189" s="9"/>
      <c r="AH189" s="9"/>
      <c r="AI189" s="9"/>
      <c r="AJ189" s="9"/>
      <c r="AK189" s="9"/>
      <c r="AL189" s="9"/>
      <c r="AM189" s="9"/>
      <c r="AN189" s="9"/>
      <c r="AO189" s="11" t="str">
        <f t="shared" si="51"/>
        <v/>
      </c>
      <c r="AP189" s="11" t="str">
        <f t="shared" si="52"/>
        <v/>
      </c>
      <c r="AQ189" s="11" t="str">
        <f t="shared" si="53"/>
        <v/>
      </c>
      <c r="AR189" s="10" t="str">
        <f t="shared" si="54"/>
        <v/>
      </c>
      <c r="AS189" s="10" t="str">
        <f t="shared" si="55"/>
        <v/>
      </c>
      <c r="AT189" s="10" t="str">
        <f t="shared" si="56"/>
        <v/>
      </c>
      <c r="AU189" s="10" t="str">
        <f t="shared" si="57"/>
        <v/>
      </c>
      <c r="AV189" s="12"/>
      <c r="AW189" s="13"/>
      <c r="AX189" s="13"/>
      <c r="AY189" s="8"/>
      <c r="AZ189" s="8"/>
      <c r="BA189" s="8"/>
      <c r="BB189" s="8"/>
      <c r="BC189" s="38" t="str">
        <f t="shared" si="58"/>
        <v/>
      </c>
      <c r="BD189" s="38" t="str">
        <f t="shared" si="59"/>
        <v/>
      </c>
      <c r="BE189" s="39"/>
      <c r="BF189" s="40"/>
    </row>
    <row r="190" spans="1:58" ht="15" customHeight="1" x14ac:dyDescent="0.3">
      <c r="A190" s="8"/>
      <c r="B190" s="9"/>
      <c r="C190" s="9"/>
      <c r="D190" s="9"/>
      <c r="E190" s="9"/>
      <c r="F190" s="9"/>
      <c r="G190" s="9"/>
      <c r="H190" s="9"/>
      <c r="I190" s="9"/>
      <c r="J190" s="9"/>
      <c r="K190" s="9"/>
      <c r="L190" s="9"/>
      <c r="M190" s="9"/>
      <c r="N190" s="9"/>
      <c r="O190" s="9"/>
      <c r="P190" s="9"/>
      <c r="Q190" s="9"/>
      <c r="R190" s="9"/>
      <c r="S190" s="9"/>
      <c r="T190" s="9"/>
      <c r="U190" s="9"/>
      <c r="V190" s="9"/>
      <c r="W190" s="9"/>
      <c r="X190" s="8"/>
      <c r="Y190" s="8"/>
      <c r="Z190" s="8"/>
      <c r="AA190" s="9"/>
      <c r="AB190" s="10" t="str">
        <f t="shared" si="50"/>
        <v/>
      </c>
      <c r="AC190" s="9"/>
      <c r="AD190" s="9"/>
      <c r="AE190" s="9"/>
      <c r="AF190" s="9"/>
      <c r="AG190" s="9"/>
      <c r="AH190" s="9"/>
      <c r="AI190" s="9"/>
      <c r="AJ190" s="9"/>
      <c r="AK190" s="9"/>
      <c r="AL190" s="9"/>
      <c r="AM190" s="9"/>
      <c r="AN190" s="9"/>
      <c r="AO190" s="11" t="str">
        <f t="shared" si="51"/>
        <v/>
      </c>
      <c r="AP190" s="11" t="str">
        <f t="shared" si="52"/>
        <v/>
      </c>
      <c r="AQ190" s="11" t="str">
        <f t="shared" si="53"/>
        <v/>
      </c>
      <c r="AR190" s="10" t="str">
        <f t="shared" si="54"/>
        <v/>
      </c>
      <c r="AS190" s="10" t="str">
        <f t="shared" si="55"/>
        <v/>
      </c>
      <c r="AT190" s="10" t="str">
        <f t="shared" si="56"/>
        <v/>
      </c>
      <c r="AU190" s="10" t="str">
        <f t="shared" si="57"/>
        <v/>
      </c>
      <c r="AV190" s="12"/>
      <c r="AW190" s="13"/>
      <c r="AX190" s="13"/>
      <c r="AY190" s="8"/>
      <c r="AZ190" s="8"/>
      <c r="BA190" s="8"/>
      <c r="BB190" s="8"/>
      <c r="BC190" s="38" t="str">
        <f t="shared" si="58"/>
        <v/>
      </c>
      <c r="BD190" s="38" t="str">
        <f t="shared" si="59"/>
        <v/>
      </c>
      <c r="BE190" s="39"/>
      <c r="BF190" s="40"/>
    </row>
    <row r="191" spans="1:58" ht="15" customHeight="1" x14ac:dyDescent="0.3">
      <c r="A191" s="8"/>
      <c r="B191" s="9"/>
      <c r="C191" s="9"/>
      <c r="D191" s="9"/>
      <c r="E191" s="9"/>
      <c r="F191" s="9"/>
      <c r="G191" s="9"/>
      <c r="H191" s="9"/>
      <c r="I191" s="9"/>
      <c r="J191" s="9"/>
      <c r="K191" s="9"/>
      <c r="L191" s="9"/>
      <c r="M191" s="9"/>
      <c r="N191" s="9"/>
      <c r="O191" s="9"/>
      <c r="P191" s="9"/>
      <c r="Q191" s="9"/>
      <c r="R191" s="9"/>
      <c r="S191" s="9"/>
      <c r="T191" s="9"/>
      <c r="U191" s="9"/>
      <c r="V191" s="9"/>
      <c r="W191" s="9"/>
      <c r="X191" s="8"/>
      <c r="Y191" s="8"/>
      <c r="Z191" s="8"/>
      <c r="AA191" s="9"/>
      <c r="AB191" s="10" t="str">
        <f t="shared" si="50"/>
        <v/>
      </c>
      <c r="AC191" s="9"/>
      <c r="AD191" s="9"/>
      <c r="AE191" s="9"/>
      <c r="AF191" s="9"/>
      <c r="AG191" s="9"/>
      <c r="AH191" s="9"/>
      <c r="AI191" s="9"/>
      <c r="AJ191" s="9"/>
      <c r="AK191" s="9"/>
      <c r="AL191" s="9"/>
      <c r="AM191" s="9"/>
      <c r="AN191" s="9"/>
      <c r="AO191" s="11" t="str">
        <f t="shared" si="51"/>
        <v/>
      </c>
      <c r="AP191" s="11" t="str">
        <f t="shared" si="52"/>
        <v/>
      </c>
      <c r="AQ191" s="11" t="str">
        <f t="shared" si="53"/>
        <v/>
      </c>
      <c r="AR191" s="10" t="str">
        <f t="shared" si="54"/>
        <v/>
      </c>
      <c r="AS191" s="10" t="str">
        <f t="shared" si="55"/>
        <v/>
      </c>
      <c r="AT191" s="10" t="str">
        <f t="shared" si="56"/>
        <v/>
      </c>
      <c r="AU191" s="10" t="str">
        <f t="shared" si="57"/>
        <v/>
      </c>
      <c r="AV191" s="12"/>
      <c r="AW191" s="13"/>
      <c r="AX191" s="13"/>
      <c r="AY191" s="8"/>
      <c r="AZ191" s="8"/>
      <c r="BA191" s="8"/>
      <c r="BB191" s="8"/>
      <c r="BC191" s="38" t="str">
        <f t="shared" si="58"/>
        <v/>
      </c>
      <c r="BD191" s="38" t="str">
        <f t="shared" si="59"/>
        <v/>
      </c>
      <c r="BE191" s="39"/>
      <c r="BF191" s="40"/>
    </row>
    <row r="192" spans="1:58" ht="15" customHeight="1" x14ac:dyDescent="0.3">
      <c r="A192" s="8"/>
      <c r="B192" s="9"/>
      <c r="C192" s="9"/>
      <c r="D192" s="9"/>
      <c r="E192" s="9"/>
      <c r="F192" s="9"/>
      <c r="G192" s="9"/>
      <c r="H192" s="9"/>
      <c r="I192" s="9"/>
      <c r="J192" s="9"/>
      <c r="K192" s="9"/>
      <c r="L192" s="9"/>
      <c r="M192" s="9"/>
      <c r="N192" s="9"/>
      <c r="O192" s="9"/>
      <c r="P192" s="9"/>
      <c r="Q192" s="9"/>
      <c r="R192" s="9"/>
      <c r="S192" s="9"/>
      <c r="T192" s="9"/>
      <c r="U192" s="9"/>
      <c r="V192" s="9"/>
      <c r="W192" s="9"/>
      <c r="X192" s="8"/>
      <c r="Y192" s="8"/>
      <c r="Z192" s="8"/>
      <c r="AA192" s="9"/>
      <c r="AB192" s="10" t="str">
        <f t="shared" si="50"/>
        <v/>
      </c>
      <c r="AC192" s="9"/>
      <c r="AD192" s="9"/>
      <c r="AE192" s="9"/>
      <c r="AF192" s="9"/>
      <c r="AG192" s="9"/>
      <c r="AH192" s="9"/>
      <c r="AI192" s="9"/>
      <c r="AJ192" s="9"/>
      <c r="AK192" s="9"/>
      <c r="AL192" s="9"/>
      <c r="AM192" s="9"/>
      <c r="AN192" s="9"/>
      <c r="AO192" s="11" t="str">
        <f t="shared" si="51"/>
        <v/>
      </c>
      <c r="AP192" s="11" t="str">
        <f t="shared" si="52"/>
        <v/>
      </c>
      <c r="AQ192" s="11" t="str">
        <f t="shared" si="53"/>
        <v/>
      </c>
      <c r="AR192" s="10" t="str">
        <f t="shared" si="54"/>
        <v/>
      </c>
      <c r="AS192" s="10" t="str">
        <f t="shared" si="55"/>
        <v/>
      </c>
      <c r="AT192" s="10" t="str">
        <f t="shared" si="56"/>
        <v/>
      </c>
      <c r="AU192" s="10" t="str">
        <f t="shared" si="57"/>
        <v/>
      </c>
      <c r="AV192" s="12"/>
      <c r="AW192" s="13"/>
      <c r="AX192" s="13"/>
      <c r="AY192" s="8"/>
      <c r="AZ192" s="8"/>
      <c r="BA192" s="8"/>
      <c r="BB192" s="8"/>
      <c r="BC192" s="38" t="str">
        <f t="shared" si="58"/>
        <v/>
      </c>
      <c r="BD192" s="38" t="str">
        <f t="shared" si="59"/>
        <v/>
      </c>
      <c r="BE192" s="39"/>
      <c r="BF192" s="40"/>
    </row>
    <row r="193" spans="1:58" ht="15" customHeight="1" x14ac:dyDescent="0.3">
      <c r="A193" s="8"/>
      <c r="B193" s="9"/>
      <c r="C193" s="9"/>
      <c r="D193" s="9"/>
      <c r="E193" s="9"/>
      <c r="F193" s="9"/>
      <c r="G193" s="9"/>
      <c r="H193" s="9"/>
      <c r="I193" s="9"/>
      <c r="J193" s="9"/>
      <c r="K193" s="9"/>
      <c r="L193" s="9"/>
      <c r="M193" s="9"/>
      <c r="N193" s="9"/>
      <c r="O193" s="9"/>
      <c r="P193" s="9"/>
      <c r="Q193" s="9"/>
      <c r="R193" s="9"/>
      <c r="S193" s="9"/>
      <c r="T193" s="9"/>
      <c r="U193" s="9"/>
      <c r="V193" s="9"/>
      <c r="W193" s="9"/>
      <c r="X193" s="8"/>
      <c r="Y193" s="8"/>
      <c r="Z193" s="8"/>
      <c r="AA193" s="9"/>
      <c r="AB193" s="10" t="str">
        <f t="shared" si="50"/>
        <v/>
      </c>
      <c r="AC193" s="9"/>
      <c r="AD193" s="9"/>
      <c r="AE193" s="9"/>
      <c r="AF193" s="9"/>
      <c r="AG193" s="9"/>
      <c r="AH193" s="9"/>
      <c r="AI193" s="9"/>
      <c r="AJ193" s="9"/>
      <c r="AK193" s="9"/>
      <c r="AL193" s="9"/>
      <c r="AM193" s="9"/>
      <c r="AN193" s="9"/>
      <c r="AO193" s="11" t="str">
        <f t="shared" si="51"/>
        <v/>
      </c>
      <c r="AP193" s="11" t="str">
        <f t="shared" si="52"/>
        <v/>
      </c>
      <c r="AQ193" s="11" t="str">
        <f t="shared" si="53"/>
        <v/>
      </c>
      <c r="AR193" s="10" t="str">
        <f t="shared" si="54"/>
        <v/>
      </c>
      <c r="AS193" s="10" t="str">
        <f t="shared" si="55"/>
        <v/>
      </c>
      <c r="AT193" s="10" t="str">
        <f t="shared" si="56"/>
        <v/>
      </c>
      <c r="AU193" s="10" t="str">
        <f t="shared" si="57"/>
        <v/>
      </c>
      <c r="AV193" s="12"/>
      <c r="AW193" s="13"/>
      <c r="AX193" s="13"/>
      <c r="AY193" s="8"/>
      <c r="AZ193" s="8"/>
      <c r="BA193" s="8"/>
      <c r="BB193" s="8"/>
      <c r="BC193" s="38" t="str">
        <f t="shared" si="58"/>
        <v/>
      </c>
      <c r="BD193" s="38" t="str">
        <f t="shared" si="59"/>
        <v/>
      </c>
      <c r="BE193" s="39"/>
      <c r="BF193" s="40"/>
    </row>
    <row r="194" spans="1:58" ht="15" customHeight="1" x14ac:dyDescent="0.3">
      <c r="A194" s="8"/>
      <c r="B194" s="9"/>
      <c r="C194" s="9"/>
      <c r="D194" s="9"/>
      <c r="E194" s="9"/>
      <c r="F194" s="9"/>
      <c r="G194" s="9"/>
      <c r="H194" s="9"/>
      <c r="I194" s="9"/>
      <c r="J194" s="9"/>
      <c r="K194" s="9"/>
      <c r="L194" s="9"/>
      <c r="M194" s="9"/>
      <c r="N194" s="9"/>
      <c r="O194" s="9"/>
      <c r="P194" s="9"/>
      <c r="Q194" s="9"/>
      <c r="R194" s="9"/>
      <c r="S194" s="9"/>
      <c r="T194" s="9"/>
      <c r="U194" s="9"/>
      <c r="V194" s="9"/>
      <c r="W194" s="9"/>
      <c r="X194" s="8"/>
      <c r="Y194" s="8"/>
      <c r="Z194" s="8"/>
      <c r="AA194" s="9"/>
      <c r="AB194" s="10" t="str">
        <f t="shared" ref="AB194:AB201" si="60">IFERROR(AA194/AF194,"")</f>
        <v/>
      </c>
      <c r="AC194" s="9"/>
      <c r="AD194" s="9"/>
      <c r="AE194" s="9"/>
      <c r="AF194" s="9"/>
      <c r="AG194" s="9"/>
      <c r="AH194" s="9"/>
      <c r="AI194" s="9"/>
      <c r="AJ194" s="9"/>
      <c r="AK194" s="9"/>
      <c r="AL194" s="9"/>
      <c r="AM194" s="9"/>
      <c r="AN194" s="9"/>
      <c r="AO194" s="11" t="str">
        <f t="shared" ref="AO194:AO201" si="61">IFERROR(AC194/E194,"")</f>
        <v/>
      </c>
      <c r="AP194" s="11" t="str">
        <f t="shared" ref="AP194:AP201" si="62">IFERROR(AD194/E194,"")</f>
        <v/>
      </c>
      <c r="AQ194" s="11" t="str">
        <f t="shared" ref="AQ194:AQ201" si="63">IFERROR(AG194/E194,"")</f>
        <v/>
      </c>
      <c r="AR194" s="10" t="str">
        <f t="shared" ref="AR194:AR201" si="64">IFERROR(AG194/AF194,"")</f>
        <v/>
      </c>
      <c r="AS194" s="10" t="str">
        <f t="shared" ref="AS194:AS201" si="65">IFERROR(AH194/AF194,"")</f>
        <v/>
      </c>
      <c r="AT194" s="10" t="str">
        <f t="shared" ref="AT194:AT201" si="66">IFERROR(AI194/AH194,"")</f>
        <v/>
      </c>
      <c r="AU194" s="10" t="str">
        <f t="shared" ref="AU194:AU201" si="67">IFERROR(AN194/AH194,"")</f>
        <v/>
      </c>
      <c r="AV194" s="12"/>
      <c r="AW194" s="13"/>
      <c r="AX194" s="13"/>
      <c r="AY194" s="8"/>
      <c r="AZ194" s="8"/>
      <c r="BA194" s="8"/>
      <c r="BB194" s="8"/>
      <c r="BC194" s="38" t="str">
        <f t="shared" ref="BC194:BC201" si="68">IFERROR(AG194/AC194,"")</f>
        <v/>
      </c>
      <c r="BD194" s="38" t="str">
        <f t="shared" ref="BD194:BD201" si="69">IFERROR(AG194/(AC194+AA194),"")</f>
        <v/>
      </c>
      <c r="BE194" s="39"/>
      <c r="BF194" s="40"/>
    </row>
    <row r="195" spans="1:58" ht="15" customHeight="1" x14ac:dyDescent="0.3">
      <c r="A195" s="8"/>
      <c r="B195" s="9"/>
      <c r="C195" s="9"/>
      <c r="D195" s="9"/>
      <c r="E195" s="9"/>
      <c r="F195" s="9"/>
      <c r="G195" s="9"/>
      <c r="H195" s="9"/>
      <c r="I195" s="9"/>
      <c r="J195" s="9"/>
      <c r="K195" s="9"/>
      <c r="L195" s="9"/>
      <c r="M195" s="9"/>
      <c r="N195" s="9"/>
      <c r="O195" s="9"/>
      <c r="P195" s="9"/>
      <c r="Q195" s="9"/>
      <c r="R195" s="9"/>
      <c r="S195" s="9"/>
      <c r="T195" s="9"/>
      <c r="U195" s="9"/>
      <c r="V195" s="9"/>
      <c r="W195" s="9"/>
      <c r="X195" s="8"/>
      <c r="Y195" s="8"/>
      <c r="Z195" s="8"/>
      <c r="AA195" s="9"/>
      <c r="AB195" s="10" t="str">
        <f t="shared" si="60"/>
        <v/>
      </c>
      <c r="AC195" s="9"/>
      <c r="AD195" s="9"/>
      <c r="AE195" s="9"/>
      <c r="AF195" s="9"/>
      <c r="AG195" s="9"/>
      <c r="AH195" s="9"/>
      <c r="AI195" s="9"/>
      <c r="AJ195" s="9"/>
      <c r="AK195" s="9"/>
      <c r="AL195" s="9"/>
      <c r="AM195" s="9"/>
      <c r="AN195" s="9"/>
      <c r="AO195" s="11" t="str">
        <f t="shared" si="61"/>
        <v/>
      </c>
      <c r="AP195" s="11" t="str">
        <f t="shared" si="62"/>
        <v/>
      </c>
      <c r="AQ195" s="11" t="str">
        <f t="shared" si="63"/>
        <v/>
      </c>
      <c r="AR195" s="10" t="str">
        <f t="shared" si="64"/>
        <v/>
      </c>
      <c r="AS195" s="10" t="str">
        <f t="shared" si="65"/>
        <v/>
      </c>
      <c r="AT195" s="10" t="str">
        <f t="shared" si="66"/>
        <v/>
      </c>
      <c r="AU195" s="10" t="str">
        <f t="shared" si="67"/>
        <v/>
      </c>
      <c r="AV195" s="12"/>
      <c r="AW195" s="13"/>
      <c r="AX195" s="13"/>
      <c r="AY195" s="8"/>
      <c r="AZ195" s="8"/>
      <c r="BA195" s="8"/>
      <c r="BB195" s="8"/>
      <c r="BC195" s="38" t="str">
        <f t="shared" si="68"/>
        <v/>
      </c>
      <c r="BD195" s="38" t="str">
        <f t="shared" si="69"/>
        <v/>
      </c>
      <c r="BE195" s="39"/>
      <c r="BF195" s="40"/>
    </row>
    <row r="196" spans="1:58" ht="15" customHeight="1" x14ac:dyDescent="0.3">
      <c r="A196" s="8"/>
      <c r="B196" s="9"/>
      <c r="C196" s="9"/>
      <c r="D196" s="9"/>
      <c r="E196" s="9"/>
      <c r="F196" s="9"/>
      <c r="G196" s="9"/>
      <c r="H196" s="9"/>
      <c r="I196" s="9"/>
      <c r="J196" s="9"/>
      <c r="K196" s="9"/>
      <c r="L196" s="9"/>
      <c r="M196" s="9"/>
      <c r="N196" s="9"/>
      <c r="O196" s="9"/>
      <c r="P196" s="9"/>
      <c r="Q196" s="9"/>
      <c r="R196" s="9"/>
      <c r="S196" s="9"/>
      <c r="T196" s="9"/>
      <c r="U196" s="9"/>
      <c r="V196" s="9"/>
      <c r="W196" s="9"/>
      <c r="X196" s="8"/>
      <c r="Y196" s="8"/>
      <c r="Z196" s="8"/>
      <c r="AA196" s="9"/>
      <c r="AB196" s="10" t="str">
        <f t="shared" si="60"/>
        <v/>
      </c>
      <c r="AC196" s="9"/>
      <c r="AD196" s="9"/>
      <c r="AE196" s="9"/>
      <c r="AF196" s="9"/>
      <c r="AG196" s="9"/>
      <c r="AH196" s="9"/>
      <c r="AI196" s="9"/>
      <c r="AJ196" s="9"/>
      <c r="AK196" s="9"/>
      <c r="AL196" s="9"/>
      <c r="AM196" s="9"/>
      <c r="AN196" s="9"/>
      <c r="AO196" s="11" t="str">
        <f t="shared" si="61"/>
        <v/>
      </c>
      <c r="AP196" s="11" t="str">
        <f t="shared" si="62"/>
        <v/>
      </c>
      <c r="AQ196" s="11" t="str">
        <f t="shared" si="63"/>
        <v/>
      </c>
      <c r="AR196" s="10" t="str">
        <f t="shared" si="64"/>
        <v/>
      </c>
      <c r="AS196" s="10" t="str">
        <f t="shared" si="65"/>
        <v/>
      </c>
      <c r="AT196" s="10" t="str">
        <f t="shared" si="66"/>
        <v/>
      </c>
      <c r="AU196" s="10" t="str">
        <f t="shared" si="67"/>
        <v/>
      </c>
      <c r="AV196" s="12"/>
      <c r="AW196" s="13"/>
      <c r="AX196" s="13"/>
      <c r="AY196" s="8"/>
      <c r="AZ196" s="8"/>
      <c r="BA196" s="8"/>
      <c r="BB196" s="8"/>
      <c r="BC196" s="38" t="str">
        <f t="shared" si="68"/>
        <v/>
      </c>
      <c r="BD196" s="38" t="str">
        <f t="shared" si="69"/>
        <v/>
      </c>
      <c r="BE196" s="39"/>
      <c r="BF196" s="40"/>
    </row>
    <row r="197" spans="1:58" ht="15" customHeight="1" x14ac:dyDescent="0.3">
      <c r="A197" s="8"/>
      <c r="B197" s="9"/>
      <c r="C197" s="9"/>
      <c r="D197" s="9"/>
      <c r="E197" s="9"/>
      <c r="F197" s="9"/>
      <c r="G197" s="9"/>
      <c r="H197" s="9"/>
      <c r="I197" s="9"/>
      <c r="J197" s="9"/>
      <c r="K197" s="9"/>
      <c r="L197" s="9"/>
      <c r="M197" s="9"/>
      <c r="N197" s="9"/>
      <c r="O197" s="9"/>
      <c r="P197" s="9"/>
      <c r="Q197" s="9"/>
      <c r="R197" s="9"/>
      <c r="S197" s="9"/>
      <c r="T197" s="9"/>
      <c r="U197" s="9"/>
      <c r="V197" s="9"/>
      <c r="W197" s="9"/>
      <c r="X197" s="8"/>
      <c r="Y197" s="8"/>
      <c r="Z197" s="8"/>
      <c r="AA197" s="9"/>
      <c r="AB197" s="10" t="str">
        <f t="shared" si="60"/>
        <v/>
      </c>
      <c r="AC197" s="9"/>
      <c r="AD197" s="9"/>
      <c r="AE197" s="9"/>
      <c r="AF197" s="9"/>
      <c r="AG197" s="9"/>
      <c r="AH197" s="9"/>
      <c r="AI197" s="9"/>
      <c r="AJ197" s="9"/>
      <c r="AK197" s="9"/>
      <c r="AL197" s="9"/>
      <c r="AM197" s="9"/>
      <c r="AN197" s="9"/>
      <c r="AO197" s="11" t="str">
        <f t="shared" si="61"/>
        <v/>
      </c>
      <c r="AP197" s="11" t="str">
        <f t="shared" si="62"/>
        <v/>
      </c>
      <c r="AQ197" s="11" t="str">
        <f t="shared" si="63"/>
        <v/>
      </c>
      <c r="AR197" s="10" t="str">
        <f t="shared" si="64"/>
        <v/>
      </c>
      <c r="AS197" s="10" t="str">
        <f t="shared" si="65"/>
        <v/>
      </c>
      <c r="AT197" s="10" t="str">
        <f t="shared" si="66"/>
        <v/>
      </c>
      <c r="AU197" s="10" t="str">
        <f t="shared" si="67"/>
        <v/>
      </c>
      <c r="AV197" s="12"/>
      <c r="AW197" s="13"/>
      <c r="AX197" s="13"/>
      <c r="AY197" s="8"/>
      <c r="AZ197" s="8"/>
      <c r="BA197" s="8"/>
      <c r="BB197" s="8"/>
      <c r="BC197" s="38" t="str">
        <f t="shared" si="68"/>
        <v/>
      </c>
      <c r="BD197" s="38" t="str">
        <f t="shared" si="69"/>
        <v/>
      </c>
      <c r="BE197" s="39"/>
      <c r="BF197" s="40"/>
    </row>
    <row r="198" spans="1:58" ht="15" customHeight="1" x14ac:dyDescent="0.3">
      <c r="A198" s="8"/>
      <c r="B198" s="9"/>
      <c r="C198" s="9"/>
      <c r="D198" s="9"/>
      <c r="E198" s="9"/>
      <c r="F198" s="9"/>
      <c r="G198" s="9"/>
      <c r="H198" s="9"/>
      <c r="I198" s="9"/>
      <c r="J198" s="9"/>
      <c r="K198" s="9"/>
      <c r="L198" s="9"/>
      <c r="M198" s="9"/>
      <c r="N198" s="9"/>
      <c r="O198" s="9"/>
      <c r="P198" s="9"/>
      <c r="Q198" s="9"/>
      <c r="R198" s="9"/>
      <c r="S198" s="9"/>
      <c r="T198" s="9"/>
      <c r="U198" s="9"/>
      <c r="V198" s="9"/>
      <c r="W198" s="9"/>
      <c r="X198" s="8"/>
      <c r="Y198" s="8"/>
      <c r="Z198" s="8"/>
      <c r="AA198" s="9"/>
      <c r="AB198" s="10" t="str">
        <f t="shared" si="60"/>
        <v/>
      </c>
      <c r="AC198" s="9"/>
      <c r="AD198" s="9"/>
      <c r="AE198" s="9"/>
      <c r="AF198" s="9"/>
      <c r="AG198" s="9"/>
      <c r="AH198" s="9"/>
      <c r="AI198" s="9"/>
      <c r="AJ198" s="9"/>
      <c r="AK198" s="9"/>
      <c r="AL198" s="9"/>
      <c r="AM198" s="9"/>
      <c r="AN198" s="9"/>
      <c r="AO198" s="11" t="str">
        <f t="shared" si="61"/>
        <v/>
      </c>
      <c r="AP198" s="11" t="str">
        <f t="shared" si="62"/>
        <v/>
      </c>
      <c r="AQ198" s="11" t="str">
        <f t="shared" si="63"/>
        <v/>
      </c>
      <c r="AR198" s="10" t="str">
        <f t="shared" si="64"/>
        <v/>
      </c>
      <c r="AS198" s="10" t="str">
        <f t="shared" si="65"/>
        <v/>
      </c>
      <c r="AT198" s="10" t="str">
        <f t="shared" si="66"/>
        <v/>
      </c>
      <c r="AU198" s="10" t="str">
        <f t="shared" si="67"/>
        <v/>
      </c>
      <c r="AV198" s="12"/>
      <c r="AW198" s="13"/>
      <c r="AX198" s="13"/>
      <c r="AY198" s="8"/>
      <c r="AZ198" s="8"/>
      <c r="BA198" s="8"/>
      <c r="BB198" s="8"/>
      <c r="BC198" s="38" t="str">
        <f t="shared" si="68"/>
        <v/>
      </c>
      <c r="BD198" s="38" t="str">
        <f t="shared" si="69"/>
        <v/>
      </c>
      <c r="BE198" s="39"/>
      <c r="BF198" s="40"/>
    </row>
    <row r="199" spans="1:58" ht="15" customHeight="1" x14ac:dyDescent="0.3">
      <c r="A199" s="8"/>
      <c r="B199" s="9"/>
      <c r="C199" s="9"/>
      <c r="D199" s="9"/>
      <c r="E199" s="9"/>
      <c r="F199" s="9"/>
      <c r="G199" s="9"/>
      <c r="H199" s="9"/>
      <c r="I199" s="9"/>
      <c r="J199" s="9"/>
      <c r="K199" s="9"/>
      <c r="L199" s="9"/>
      <c r="M199" s="9"/>
      <c r="N199" s="9"/>
      <c r="O199" s="9"/>
      <c r="P199" s="9"/>
      <c r="Q199" s="9"/>
      <c r="R199" s="9"/>
      <c r="S199" s="9"/>
      <c r="T199" s="9"/>
      <c r="U199" s="9"/>
      <c r="V199" s="9"/>
      <c r="W199" s="9"/>
      <c r="X199" s="8"/>
      <c r="Y199" s="8"/>
      <c r="Z199" s="8"/>
      <c r="AA199" s="9"/>
      <c r="AB199" s="10" t="str">
        <f t="shared" si="60"/>
        <v/>
      </c>
      <c r="AC199" s="9"/>
      <c r="AD199" s="9"/>
      <c r="AE199" s="9"/>
      <c r="AF199" s="9"/>
      <c r="AG199" s="9"/>
      <c r="AH199" s="9"/>
      <c r="AI199" s="9"/>
      <c r="AJ199" s="9"/>
      <c r="AK199" s="9"/>
      <c r="AL199" s="9"/>
      <c r="AM199" s="9"/>
      <c r="AN199" s="9"/>
      <c r="AO199" s="11" t="str">
        <f t="shared" si="61"/>
        <v/>
      </c>
      <c r="AP199" s="11" t="str">
        <f t="shared" si="62"/>
        <v/>
      </c>
      <c r="AQ199" s="11" t="str">
        <f t="shared" si="63"/>
        <v/>
      </c>
      <c r="AR199" s="10" t="str">
        <f t="shared" si="64"/>
        <v/>
      </c>
      <c r="AS199" s="10" t="str">
        <f t="shared" si="65"/>
        <v/>
      </c>
      <c r="AT199" s="10" t="str">
        <f t="shared" si="66"/>
        <v/>
      </c>
      <c r="AU199" s="10" t="str">
        <f t="shared" si="67"/>
        <v/>
      </c>
      <c r="AV199" s="12"/>
      <c r="AW199" s="13"/>
      <c r="AX199" s="13"/>
      <c r="AY199" s="8"/>
      <c r="AZ199" s="8"/>
      <c r="BA199" s="8"/>
      <c r="BB199" s="8"/>
      <c r="BC199" s="38" t="str">
        <f t="shared" si="68"/>
        <v/>
      </c>
      <c r="BD199" s="38" t="str">
        <f t="shared" si="69"/>
        <v/>
      </c>
      <c r="BE199" s="39"/>
      <c r="BF199" s="40"/>
    </row>
    <row r="200" spans="1:58" ht="15" customHeight="1" x14ac:dyDescent="0.3">
      <c r="A200" s="8"/>
      <c r="B200" s="9"/>
      <c r="C200" s="9"/>
      <c r="D200" s="9"/>
      <c r="E200" s="9"/>
      <c r="F200" s="9"/>
      <c r="G200" s="9"/>
      <c r="H200" s="9"/>
      <c r="I200" s="9"/>
      <c r="J200" s="9"/>
      <c r="K200" s="9"/>
      <c r="L200" s="9"/>
      <c r="M200" s="9"/>
      <c r="N200" s="9"/>
      <c r="O200" s="9"/>
      <c r="P200" s="9"/>
      <c r="Q200" s="9"/>
      <c r="R200" s="9"/>
      <c r="S200" s="9"/>
      <c r="T200" s="9"/>
      <c r="U200" s="9"/>
      <c r="V200" s="9"/>
      <c r="W200" s="9"/>
      <c r="X200" s="8"/>
      <c r="Y200" s="8"/>
      <c r="Z200" s="8"/>
      <c r="AA200" s="9"/>
      <c r="AB200" s="10" t="str">
        <f t="shared" si="60"/>
        <v/>
      </c>
      <c r="AC200" s="9"/>
      <c r="AD200" s="9"/>
      <c r="AE200" s="9"/>
      <c r="AF200" s="9"/>
      <c r="AG200" s="9"/>
      <c r="AH200" s="9"/>
      <c r="AI200" s="9"/>
      <c r="AJ200" s="9"/>
      <c r="AK200" s="9"/>
      <c r="AL200" s="9"/>
      <c r="AM200" s="9"/>
      <c r="AN200" s="9"/>
      <c r="AO200" s="11" t="str">
        <f t="shared" si="61"/>
        <v/>
      </c>
      <c r="AP200" s="11" t="str">
        <f t="shared" si="62"/>
        <v/>
      </c>
      <c r="AQ200" s="11" t="str">
        <f t="shared" si="63"/>
        <v/>
      </c>
      <c r="AR200" s="10" t="str">
        <f t="shared" si="64"/>
        <v/>
      </c>
      <c r="AS200" s="10" t="str">
        <f t="shared" si="65"/>
        <v/>
      </c>
      <c r="AT200" s="10" t="str">
        <f t="shared" si="66"/>
        <v/>
      </c>
      <c r="AU200" s="10" t="str">
        <f t="shared" si="67"/>
        <v/>
      </c>
      <c r="AV200" s="12"/>
      <c r="AW200" s="13"/>
      <c r="AX200" s="13"/>
      <c r="AY200" s="8"/>
      <c r="AZ200" s="8"/>
      <c r="BA200" s="8"/>
      <c r="BB200" s="8"/>
      <c r="BC200" s="38" t="str">
        <f t="shared" si="68"/>
        <v/>
      </c>
      <c r="BD200" s="38" t="str">
        <f t="shared" si="69"/>
        <v/>
      </c>
      <c r="BE200" s="39"/>
      <c r="BF200" s="40"/>
    </row>
    <row r="201" spans="1:58" ht="15" customHeight="1" x14ac:dyDescent="0.3">
      <c r="A201" s="8"/>
      <c r="B201" s="9"/>
      <c r="C201" s="9"/>
      <c r="D201" s="9"/>
      <c r="E201" s="9"/>
      <c r="F201" s="9"/>
      <c r="G201" s="9"/>
      <c r="H201" s="9"/>
      <c r="I201" s="9"/>
      <c r="J201" s="9"/>
      <c r="K201" s="9"/>
      <c r="L201" s="9"/>
      <c r="M201" s="9"/>
      <c r="N201" s="9"/>
      <c r="O201" s="9"/>
      <c r="P201" s="9"/>
      <c r="Q201" s="9"/>
      <c r="R201" s="9"/>
      <c r="S201" s="9"/>
      <c r="T201" s="9"/>
      <c r="U201" s="9"/>
      <c r="V201" s="9"/>
      <c r="W201" s="9"/>
      <c r="X201" s="8"/>
      <c r="Y201" s="8"/>
      <c r="Z201" s="8"/>
      <c r="AA201" s="9"/>
      <c r="AB201" s="10" t="str">
        <f t="shared" si="60"/>
        <v/>
      </c>
      <c r="AC201" s="9"/>
      <c r="AD201" s="9"/>
      <c r="AE201" s="9"/>
      <c r="AF201" s="9"/>
      <c r="AG201" s="9"/>
      <c r="AH201" s="9"/>
      <c r="AI201" s="9"/>
      <c r="AJ201" s="9"/>
      <c r="AK201" s="9"/>
      <c r="AL201" s="9"/>
      <c r="AM201" s="9"/>
      <c r="AN201" s="9"/>
      <c r="AO201" s="11" t="str">
        <f t="shared" si="61"/>
        <v/>
      </c>
      <c r="AP201" s="11" t="str">
        <f t="shared" si="62"/>
        <v/>
      </c>
      <c r="AQ201" s="11" t="str">
        <f t="shared" si="63"/>
        <v/>
      </c>
      <c r="AR201" s="10" t="str">
        <f t="shared" si="64"/>
        <v/>
      </c>
      <c r="AS201" s="10" t="str">
        <f t="shared" si="65"/>
        <v/>
      </c>
      <c r="AT201" s="10" t="str">
        <f t="shared" si="66"/>
        <v/>
      </c>
      <c r="AU201" s="10" t="str">
        <f t="shared" si="67"/>
        <v/>
      </c>
      <c r="AV201" s="12"/>
      <c r="AW201" s="13"/>
      <c r="AX201" s="13"/>
      <c r="AY201" s="8"/>
      <c r="AZ201" s="8"/>
      <c r="BA201" s="8"/>
      <c r="BB201" s="8"/>
      <c r="BC201" s="38" t="str">
        <f t="shared" si="68"/>
        <v/>
      </c>
      <c r="BD201" s="38" t="str">
        <f t="shared" si="69"/>
        <v/>
      </c>
      <c r="BE201" s="39"/>
      <c r="BF201" s="40"/>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D7D31"/>
  </sheetPr>
  <dimension ref="A1:AT201"/>
  <sheetViews>
    <sheetView showGridLines="0" zoomScaleNormal="100" workbookViewId="0">
      <pane xSplit="1" ySplit="1" topLeftCell="AK2" activePane="bottomRight" state="frozen"/>
      <selection pane="topRight" activeCell="B1" sqref="B1"/>
      <selection pane="bottomLeft" activeCell="A2" sqref="A2"/>
      <selection pane="bottomRight"/>
    </sheetView>
  </sheetViews>
  <sheetFormatPr defaultColWidth="8.6640625" defaultRowHeight="14.4" x14ac:dyDescent="0.3"/>
  <cols>
    <col min="1" max="1" width="22" customWidth="1"/>
    <col min="2" max="40" width="15" customWidth="1"/>
    <col min="41" max="45" width="18" customWidth="1"/>
    <col min="46" max="46" width="30" customWidth="1"/>
  </cols>
  <sheetData>
    <row r="1" spans="1:46" ht="31.5" customHeight="1" x14ac:dyDescent="0.3">
      <c r="A1" s="5" t="s">
        <v>272</v>
      </c>
      <c r="B1" s="5" t="s">
        <v>274</v>
      </c>
      <c r="C1" s="5" t="s">
        <v>877</v>
      </c>
      <c r="D1" s="5" t="s">
        <v>10303</v>
      </c>
      <c r="E1" s="5" t="s">
        <v>10304</v>
      </c>
      <c r="F1" s="5" t="s">
        <v>10305</v>
      </c>
      <c r="G1" s="5" t="s">
        <v>10306</v>
      </c>
      <c r="H1" s="5" t="s">
        <v>10307</v>
      </c>
      <c r="I1" s="5" t="s">
        <v>10308</v>
      </c>
      <c r="J1" s="5" t="s">
        <v>10309</v>
      </c>
      <c r="K1" s="5" t="s">
        <v>10310</v>
      </c>
      <c r="L1" s="5" t="s">
        <v>10311</v>
      </c>
      <c r="M1" s="5" t="s">
        <v>10312</v>
      </c>
      <c r="N1" s="5" t="s">
        <v>10313</v>
      </c>
      <c r="O1" s="5" t="s">
        <v>10314</v>
      </c>
      <c r="P1" s="5" t="s">
        <v>10315</v>
      </c>
      <c r="Q1" s="5" t="s">
        <v>10316</v>
      </c>
      <c r="R1" s="5" t="s">
        <v>10317</v>
      </c>
      <c r="S1" s="5" t="s">
        <v>10318</v>
      </c>
      <c r="T1" s="5" t="s">
        <v>10319</v>
      </c>
      <c r="U1" s="5" t="s">
        <v>10320</v>
      </c>
      <c r="V1" s="5" t="s">
        <v>10321</v>
      </c>
      <c r="W1" s="5" t="s">
        <v>10322</v>
      </c>
      <c r="X1" s="5" t="s">
        <v>10323</v>
      </c>
      <c r="Y1" s="5" t="s">
        <v>10324</v>
      </c>
      <c r="Z1" s="5" t="s">
        <v>10325</v>
      </c>
      <c r="AA1" s="5" t="s">
        <v>10326</v>
      </c>
      <c r="AB1" s="5" t="s">
        <v>10327</v>
      </c>
      <c r="AC1" s="5" t="s">
        <v>10328</v>
      </c>
      <c r="AD1" s="5" t="s">
        <v>10329</v>
      </c>
      <c r="AE1" s="5" t="s">
        <v>10330</v>
      </c>
      <c r="AF1" s="5" t="s">
        <v>10331</v>
      </c>
      <c r="AG1" s="5" t="s">
        <v>10332</v>
      </c>
      <c r="AH1" s="5" t="s">
        <v>10333</v>
      </c>
      <c r="AI1" s="5" t="s">
        <v>10334</v>
      </c>
      <c r="AJ1" s="5" t="s">
        <v>10335</v>
      </c>
      <c r="AK1" s="5" t="s">
        <v>10336</v>
      </c>
      <c r="AL1" s="5" t="s">
        <v>10337</v>
      </c>
      <c r="AM1" s="5" t="s">
        <v>10338</v>
      </c>
      <c r="AN1" s="5" t="s">
        <v>10339</v>
      </c>
      <c r="AO1" s="37" t="s">
        <v>10340</v>
      </c>
      <c r="AP1" s="37" t="s">
        <v>10341</v>
      </c>
      <c r="AQ1" s="37" t="s">
        <v>10342</v>
      </c>
      <c r="AR1" s="37" t="s">
        <v>10343</v>
      </c>
      <c r="AS1" s="37" t="s">
        <v>10344</v>
      </c>
      <c r="AT1" s="37" t="s">
        <v>10345</v>
      </c>
    </row>
    <row r="2" spans="1:46" ht="15" customHeight="1" x14ac:dyDescent="0.3">
      <c r="A2" s="6" t="s">
        <v>289</v>
      </c>
      <c r="B2" s="14">
        <v>2023</v>
      </c>
      <c r="C2" s="15">
        <v>20745</v>
      </c>
      <c r="D2" s="15">
        <v>2771</v>
      </c>
      <c r="E2" s="15"/>
      <c r="F2" s="15">
        <v>1251.22</v>
      </c>
      <c r="G2" s="15">
        <v>1088</v>
      </c>
      <c r="H2" s="15">
        <v>1056</v>
      </c>
      <c r="I2" s="15">
        <v>28846</v>
      </c>
      <c r="J2" s="15">
        <v>7118</v>
      </c>
      <c r="K2" s="15">
        <v>21728</v>
      </c>
      <c r="L2" s="15">
        <v>6280</v>
      </c>
      <c r="M2" s="15">
        <v>3882</v>
      </c>
      <c r="N2" s="15">
        <v>2398</v>
      </c>
      <c r="O2" s="15">
        <v>22566</v>
      </c>
      <c r="P2" s="16">
        <f t="shared" ref="P2:P33" si="0">IFERROR(J2-M2,"")</f>
        <v>3236</v>
      </c>
      <c r="Q2" s="15">
        <v>2089.5100000000002</v>
      </c>
      <c r="R2" s="15">
        <v>4005.05</v>
      </c>
      <c r="S2" s="16">
        <f t="shared" ref="S2:S33" si="1">IFERROR(R2-Q2,"")</f>
        <v>1915.54</v>
      </c>
      <c r="T2" s="15">
        <v>2538.7399999999998</v>
      </c>
      <c r="U2" s="15">
        <v>1236.3399999999999</v>
      </c>
      <c r="V2" s="16">
        <f t="shared" ref="V2:V33" si="2">IFERROR(T2-U2,"")</f>
        <v>1302.3999999999999</v>
      </c>
      <c r="W2" s="15">
        <v>1925</v>
      </c>
      <c r="X2" s="15">
        <v>549</v>
      </c>
      <c r="Y2" s="15">
        <v>11724</v>
      </c>
      <c r="Z2" s="15">
        <v>82</v>
      </c>
      <c r="AA2" s="15">
        <v>319</v>
      </c>
      <c r="AB2" s="15">
        <v>7025</v>
      </c>
      <c r="AC2" s="16">
        <f t="shared" ref="AC2:AC33" si="3">IFERROR(W2*AB2/1000,"")</f>
        <v>13523.125</v>
      </c>
      <c r="AD2" s="17">
        <f t="shared" ref="AD2:AD33" si="4">IFERROR(J2/M2,"")</f>
        <v>1.8335909325090161</v>
      </c>
      <c r="AE2" s="17">
        <f t="shared" ref="AE2:AE33" si="5">IFERROR(R2/I2,"")</f>
        <v>0.13884247382652709</v>
      </c>
      <c r="AF2" s="17">
        <f t="shared" ref="AF2:AF33" si="6">IFERROR(R2/O2,"")</f>
        <v>0.17748160950101924</v>
      </c>
      <c r="AG2" s="18">
        <f t="shared" ref="AG2:AG33" si="7">IFERROR(G2/I2,"")</f>
        <v>3.77175344935173E-2</v>
      </c>
      <c r="AH2" s="18">
        <f t="shared" ref="AH2:AH33" si="8">IFERROR(G2/O2,"")</f>
        <v>4.821412744837366E-2</v>
      </c>
      <c r="AI2" s="18">
        <f t="shared" ref="AI2:AI33" si="9">IFERROR(G2/C2,"")</f>
        <v>5.2446372619908414E-2</v>
      </c>
      <c r="AJ2" s="18">
        <f t="shared" ref="AJ2:AJ33" si="10">IFERROR(D2/C2,"")</f>
        <v>0.13357435526632924</v>
      </c>
      <c r="AK2" s="6"/>
      <c r="AL2" s="6"/>
      <c r="AM2" s="6"/>
      <c r="AN2" s="6"/>
      <c r="AO2" s="41"/>
      <c r="AP2" s="42">
        <f t="shared" ref="AP2:AP33" si="11">IFERROR(IF(AND(NOT(ISNUMBER(F2)),NOT(ISNUMBER(AO2))),"",F2+AO2),"")</f>
        <v>1251.22</v>
      </c>
      <c r="AQ2" s="42" t="str">
        <f t="shared" ref="AQ2:AQ33" si="12">IFERROR(IF(OR(NOT(ISNUMBER(E2)),NOT(ISNUMBER(AP2))),"",E2-AP2),"")</f>
        <v/>
      </c>
      <c r="AR2" s="41"/>
      <c r="AS2" s="42" t="str">
        <f t="shared" ref="AS2:AS33" si="13">IFERROR(IF(OR(NOT(ISNUMBER(AR2)),NOT(ISNUMBER(S2))),"",AR2-S2),"")</f>
        <v/>
      </c>
      <c r="AT2" s="45"/>
    </row>
    <row r="3" spans="1:46" ht="15" customHeight="1" x14ac:dyDescent="0.3">
      <c r="A3" s="6" t="s">
        <v>289</v>
      </c>
      <c r="B3" s="14">
        <v>2024</v>
      </c>
      <c r="C3" s="15">
        <v>21815</v>
      </c>
      <c r="D3" s="15">
        <v>3341</v>
      </c>
      <c r="E3" s="15"/>
      <c r="F3" s="15">
        <v>1658</v>
      </c>
      <c r="G3" s="15">
        <v>1187</v>
      </c>
      <c r="H3" s="15">
        <v>1148</v>
      </c>
      <c r="I3" s="15">
        <v>28793</v>
      </c>
      <c r="J3" s="15">
        <v>8434</v>
      </c>
      <c r="K3" s="15">
        <v>20360</v>
      </c>
      <c r="L3" s="15">
        <v>5591</v>
      </c>
      <c r="M3" s="15">
        <v>3238</v>
      </c>
      <c r="N3" s="15">
        <v>2354</v>
      </c>
      <c r="O3" s="15">
        <v>23202</v>
      </c>
      <c r="P3" s="16">
        <f t="shared" si="0"/>
        <v>5196</v>
      </c>
      <c r="Q3" s="15">
        <v>3236</v>
      </c>
      <c r="R3" s="15">
        <v>3190</v>
      </c>
      <c r="S3" s="16">
        <f t="shared" si="1"/>
        <v>-46</v>
      </c>
      <c r="T3" s="15">
        <v>3380</v>
      </c>
      <c r="U3" s="15">
        <v>941</v>
      </c>
      <c r="V3" s="16">
        <f t="shared" si="2"/>
        <v>2439</v>
      </c>
      <c r="W3" s="15">
        <v>1925</v>
      </c>
      <c r="X3" s="15">
        <v>596</v>
      </c>
      <c r="Y3" s="15">
        <v>12055</v>
      </c>
      <c r="Z3" s="15">
        <v>84</v>
      </c>
      <c r="AA3" s="15">
        <v>165</v>
      </c>
      <c r="AB3" s="15">
        <v>6200</v>
      </c>
      <c r="AC3" s="16">
        <f t="shared" si="3"/>
        <v>11935</v>
      </c>
      <c r="AD3" s="17">
        <f t="shared" si="4"/>
        <v>2.6046942557134032</v>
      </c>
      <c r="AE3" s="17">
        <f t="shared" si="5"/>
        <v>0.11079081721251693</v>
      </c>
      <c r="AF3" s="17">
        <f t="shared" si="6"/>
        <v>0.13748814757348504</v>
      </c>
      <c r="AG3" s="18">
        <f t="shared" si="7"/>
        <v>4.122529781544125E-2</v>
      </c>
      <c r="AH3" s="18">
        <f t="shared" si="8"/>
        <v>5.1159382811826568E-2</v>
      </c>
      <c r="AI3" s="18">
        <f t="shared" si="9"/>
        <v>5.4412101764840709E-2</v>
      </c>
      <c r="AJ3" s="18">
        <f t="shared" si="10"/>
        <v>0.15315150126060051</v>
      </c>
      <c r="AK3" s="6"/>
      <c r="AL3" s="6"/>
      <c r="AM3" s="6"/>
      <c r="AN3" s="6"/>
      <c r="AO3" s="41"/>
      <c r="AP3" s="42">
        <f t="shared" si="11"/>
        <v>1658</v>
      </c>
      <c r="AQ3" s="42" t="str">
        <f t="shared" si="12"/>
        <v/>
      </c>
      <c r="AR3" s="41"/>
      <c r="AS3" s="42" t="str">
        <f t="shared" si="13"/>
        <v/>
      </c>
      <c r="AT3" s="45" t="s">
        <v>10346</v>
      </c>
    </row>
    <row r="4" spans="1:46" ht="15" customHeight="1" x14ac:dyDescent="0.3">
      <c r="A4" s="6" t="s">
        <v>289</v>
      </c>
      <c r="B4" s="14">
        <v>2025</v>
      </c>
      <c r="C4" s="15">
        <v>28655</v>
      </c>
      <c r="D4" s="15">
        <v>4631</v>
      </c>
      <c r="E4" s="15"/>
      <c r="F4" s="15">
        <v>2417</v>
      </c>
      <c r="G4" s="15">
        <v>1538</v>
      </c>
      <c r="H4" s="15">
        <v>1472</v>
      </c>
      <c r="I4" s="15">
        <v>27047</v>
      </c>
      <c r="J4" s="15">
        <v>8663</v>
      </c>
      <c r="K4" s="15">
        <v>18384</v>
      </c>
      <c r="L4" s="15">
        <v>2889</v>
      </c>
      <c r="M4" s="15">
        <v>2000</v>
      </c>
      <c r="N4" s="15">
        <v>889</v>
      </c>
      <c r="O4" s="15">
        <v>24158</v>
      </c>
      <c r="P4" s="16">
        <f t="shared" si="0"/>
        <v>6663</v>
      </c>
      <c r="Q4" s="15">
        <v>2760</v>
      </c>
      <c r="R4" s="15">
        <v>0</v>
      </c>
      <c r="S4" s="16">
        <f t="shared" si="1"/>
        <v>-2760</v>
      </c>
      <c r="T4" s="15">
        <v>4210</v>
      </c>
      <c r="U4" s="15">
        <v>782</v>
      </c>
      <c r="V4" s="16">
        <f t="shared" si="2"/>
        <v>3428</v>
      </c>
      <c r="W4" s="15">
        <v>1925</v>
      </c>
      <c r="X4" s="15">
        <v>765</v>
      </c>
      <c r="Y4" s="15">
        <v>12551</v>
      </c>
      <c r="Z4" s="15">
        <v>123</v>
      </c>
      <c r="AA4" s="15"/>
      <c r="AB4" s="15">
        <v>7375</v>
      </c>
      <c r="AC4" s="16">
        <f t="shared" si="3"/>
        <v>14196.875</v>
      </c>
      <c r="AD4" s="17">
        <f t="shared" si="4"/>
        <v>4.3315000000000001</v>
      </c>
      <c r="AE4" s="17">
        <f t="shared" si="5"/>
        <v>0</v>
      </c>
      <c r="AF4" s="17">
        <f t="shared" si="6"/>
        <v>0</v>
      </c>
      <c r="AG4" s="18">
        <f t="shared" si="7"/>
        <v>5.6863977520612265E-2</v>
      </c>
      <c r="AH4" s="18">
        <f t="shared" si="8"/>
        <v>6.3664210613461378E-2</v>
      </c>
      <c r="AI4" s="18">
        <f t="shared" si="9"/>
        <v>5.3673006456115863E-2</v>
      </c>
      <c r="AJ4" s="18">
        <f t="shared" si="10"/>
        <v>0.16161228406909789</v>
      </c>
      <c r="AK4" s="6"/>
      <c r="AL4" s="6"/>
      <c r="AM4" s="6"/>
      <c r="AN4" s="6"/>
      <c r="AO4" s="41"/>
      <c r="AP4" s="42">
        <f t="shared" si="11"/>
        <v>2417</v>
      </c>
      <c r="AQ4" s="42" t="str">
        <f t="shared" si="12"/>
        <v/>
      </c>
      <c r="AR4" s="41">
        <v>-2760</v>
      </c>
      <c r="AS4" s="42">
        <f t="shared" si="13"/>
        <v>0</v>
      </c>
      <c r="AT4" s="45" t="s">
        <v>10347</v>
      </c>
    </row>
    <row r="5" spans="1:46" ht="15" customHeight="1" x14ac:dyDescent="0.3">
      <c r="A5" s="6" t="s">
        <v>660</v>
      </c>
      <c r="B5" s="14">
        <v>2022</v>
      </c>
      <c r="C5" s="15">
        <v>317.86</v>
      </c>
      <c r="D5" s="15">
        <v>22.78</v>
      </c>
      <c r="E5" s="15"/>
      <c r="F5" s="15">
        <v>-10.54</v>
      </c>
      <c r="G5" s="15">
        <v>-10.79</v>
      </c>
      <c r="H5" s="15">
        <v>-10.79</v>
      </c>
      <c r="I5" s="15">
        <v>444.21</v>
      </c>
      <c r="J5" s="15">
        <v>77.819999999999993</v>
      </c>
      <c r="K5" s="15">
        <v>366.39</v>
      </c>
      <c r="L5" s="15">
        <v>205.52</v>
      </c>
      <c r="M5" s="15">
        <v>51.32</v>
      </c>
      <c r="N5" s="15">
        <v>154.19999999999999</v>
      </c>
      <c r="O5" s="15">
        <v>238.69</v>
      </c>
      <c r="P5" s="16">
        <f t="shared" si="0"/>
        <v>26.499999999999993</v>
      </c>
      <c r="Q5" s="15">
        <v>15.02</v>
      </c>
      <c r="R5" s="15">
        <v>166.18</v>
      </c>
      <c r="S5" s="16">
        <f t="shared" si="1"/>
        <v>151.16</v>
      </c>
      <c r="T5" s="15">
        <v>51.02</v>
      </c>
      <c r="U5" s="15">
        <v>29.78</v>
      </c>
      <c r="V5" s="16">
        <f t="shared" si="2"/>
        <v>21.240000000000002</v>
      </c>
      <c r="W5" s="15">
        <v>9350</v>
      </c>
      <c r="X5" s="15">
        <v>-1.1499999999999999</v>
      </c>
      <c r="Y5" s="15"/>
      <c r="Z5" s="15"/>
      <c r="AA5" s="15"/>
      <c r="AB5" s="15">
        <v>50</v>
      </c>
      <c r="AC5" s="16">
        <f t="shared" si="3"/>
        <v>467.5</v>
      </c>
      <c r="AD5" s="17">
        <f t="shared" si="4"/>
        <v>1.5163678877630551</v>
      </c>
      <c r="AE5" s="17">
        <f t="shared" si="5"/>
        <v>0.37410233898381401</v>
      </c>
      <c r="AF5" s="17">
        <f t="shared" si="6"/>
        <v>0.69621685030793079</v>
      </c>
      <c r="AG5" s="18">
        <f t="shared" si="7"/>
        <v>-2.4290313140181444E-2</v>
      </c>
      <c r="AH5" s="18">
        <f t="shared" si="8"/>
        <v>-4.5205077715865766E-2</v>
      </c>
      <c r="AI5" s="18">
        <f t="shared" si="9"/>
        <v>-3.3945762285282823E-2</v>
      </c>
      <c r="AJ5" s="18">
        <f t="shared" si="10"/>
        <v>7.1666771534637894E-2</v>
      </c>
      <c r="AK5" s="6"/>
      <c r="AL5" s="6"/>
      <c r="AM5" s="6"/>
      <c r="AN5" s="6"/>
      <c r="AO5" s="41"/>
      <c r="AP5" s="42">
        <f t="shared" si="11"/>
        <v>-10.54</v>
      </c>
      <c r="AQ5" s="42" t="str">
        <f t="shared" si="12"/>
        <v/>
      </c>
      <c r="AR5" s="41"/>
      <c r="AS5" s="42" t="str">
        <f t="shared" si="13"/>
        <v/>
      </c>
      <c r="AT5" s="45" t="s">
        <v>10348</v>
      </c>
    </row>
    <row r="6" spans="1:46" ht="15" customHeight="1" x14ac:dyDescent="0.3">
      <c r="A6" s="6" t="s">
        <v>660</v>
      </c>
      <c r="B6" s="14">
        <v>2023</v>
      </c>
      <c r="C6" s="15">
        <v>219.94</v>
      </c>
      <c r="D6" s="15">
        <v>0.22</v>
      </c>
      <c r="E6" s="15"/>
      <c r="F6" s="15">
        <v>-63.1</v>
      </c>
      <c r="G6" s="15">
        <v>-55.96</v>
      </c>
      <c r="H6" s="15">
        <v>-55.96</v>
      </c>
      <c r="I6" s="15">
        <v>378.14</v>
      </c>
      <c r="J6" s="15">
        <v>24.21</v>
      </c>
      <c r="K6" s="15">
        <v>353.92</v>
      </c>
      <c r="L6" s="15">
        <v>195.4</v>
      </c>
      <c r="M6" s="15">
        <v>41.92</v>
      </c>
      <c r="N6" s="15">
        <v>153.47</v>
      </c>
      <c r="O6" s="15">
        <v>182.74</v>
      </c>
      <c r="P6" s="16">
        <f t="shared" si="0"/>
        <v>-17.71</v>
      </c>
      <c r="Q6" s="15">
        <v>8.36</v>
      </c>
      <c r="R6" s="15">
        <v>153.47</v>
      </c>
      <c r="S6" s="16">
        <f t="shared" si="1"/>
        <v>145.11000000000001</v>
      </c>
      <c r="T6" s="15">
        <v>14.61</v>
      </c>
      <c r="U6" s="15">
        <v>12.62</v>
      </c>
      <c r="V6" s="16">
        <f t="shared" si="2"/>
        <v>1.9900000000000002</v>
      </c>
      <c r="W6" s="15">
        <v>9350</v>
      </c>
      <c r="X6" s="15">
        <v>-5.98</v>
      </c>
      <c r="Y6" s="15"/>
      <c r="Z6" s="15"/>
      <c r="AA6" s="15"/>
      <c r="AB6" s="15">
        <v>50</v>
      </c>
      <c r="AC6" s="16">
        <f t="shared" si="3"/>
        <v>467.5</v>
      </c>
      <c r="AD6" s="17">
        <f t="shared" si="4"/>
        <v>0.57752862595419852</v>
      </c>
      <c r="AE6" s="17">
        <f t="shared" si="5"/>
        <v>0.40585497434812506</v>
      </c>
      <c r="AF6" s="17">
        <f t="shared" si="6"/>
        <v>0.83982707672102441</v>
      </c>
      <c r="AG6" s="18">
        <f t="shared" si="7"/>
        <v>-0.14798751785053155</v>
      </c>
      <c r="AH6" s="18">
        <f t="shared" si="8"/>
        <v>-0.3062274269453869</v>
      </c>
      <c r="AI6" s="18">
        <f t="shared" si="9"/>
        <v>-0.25443302718923344</v>
      </c>
      <c r="AJ6" s="18">
        <f t="shared" si="10"/>
        <v>1.0002728016731835E-3</v>
      </c>
      <c r="AK6" s="6"/>
      <c r="AL6" s="6"/>
      <c r="AM6" s="6"/>
      <c r="AN6" s="6"/>
      <c r="AO6" s="41"/>
      <c r="AP6" s="42">
        <f t="shared" si="11"/>
        <v>-63.1</v>
      </c>
      <c r="AQ6" s="42" t="str">
        <f t="shared" si="12"/>
        <v/>
      </c>
      <c r="AR6" s="41"/>
      <c r="AS6" s="42" t="str">
        <f t="shared" si="13"/>
        <v/>
      </c>
      <c r="AT6" s="45" t="s">
        <v>10349</v>
      </c>
    </row>
    <row r="7" spans="1:46" ht="15" customHeight="1" x14ac:dyDescent="0.3">
      <c r="A7" s="6" t="s">
        <v>660</v>
      </c>
      <c r="B7" s="14">
        <v>2024</v>
      </c>
      <c r="C7" s="15">
        <v>196.74</v>
      </c>
      <c r="D7" s="15">
        <v>-11.96</v>
      </c>
      <c r="E7" s="15"/>
      <c r="F7" s="15">
        <v>-34.61</v>
      </c>
      <c r="G7" s="15">
        <v>-23.05</v>
      </c>
      <c r="H7" s="15">
        <v>-23.05</v>
      </c>
      <c r="I7" s="15">
        <v>350.16</v>
      </c>
      <c r="J7" s="15">
        <v>38.49</v>
      </c>
      <c r="K7" s="15">
        <v>311.67</v>
      </c>
      <c r="L7" s="15">
        <v>190.38</v>
      </c>
      <c r="M7" s="15">
        <v>50.09</v>
      </c>
      <c r="N7" s="15">
        <v>140.29</v>
      </c>
      <c r="O7" s="15">
        <v>159.78</v>
      </c>
      <c r="P7" s="16">
        <f t="shared" si="0"/>
        <v>-11.600000000000001</v>
      </c>
      <c r="Q7" s="15">
        <v>15.82</v>
      </c>
      <c r="R7" s="15">
        <v>140.29</v>
      </c>
      <c r="S7" s="16">
        <f t="shared" si="1"/>
        <v>124.47</v>
      </c>
      <c r="T7" s="15">
        <v>23.75</v>
      </c>
      <c r="U7" s="15">
        <v>4.3499999999999996</v>
      </c>
      <c r="V7" s="16">
        <f t="shared" si="2"/>
        <v>19.399999999999999</v>
      </c>
      <c r="W7" s="15">
        <v>9350</v>
      </c>
      <c r="X7" s="15">
        <v>-2.4700000000000002</v>
      </c>
      <c r="Y7" s="15"/>
      <c r="Z7" s="15"/>
      <c r="AA7" s="15"/>
      <c r="AB7" s="15">
        <v>6</v>
      </c>
      <c r="AC7" s="16">
        <f t="shared" si="3"/>
        <v>56.1</v>
      </c>
      <c r="AD7" s="17">
        <f t="shared" si="4"/>
        <v>0.76841684967059287</v>
      </c>
      <c r="AE7" s="17">
        <f t="shared" si="5"/>
        <v>0.40064541923692021</v>
      </c>
      <c r="AF7" s="17">
        <f t="shared" si="6"/>
        <v>0.87801977719364122</v>
      </c>
      <c r="AG7" s="18">
        <f t="shared" si="7"/>
        <v>-6.582705049120402E-2</v>
      </c>
      <c r="AH7" s="18">
        <f t="shared" si="8"/>
        <v>-0.14426085868068594</v>
      </c>
      <c r="AI7" s="18">
        <f t="shared" si="9"/>
        <v>-0.11715970316153299</v>
      </c>
      <c r="AJ7" s="18">
        <f t="shared" si="10"/>
        <v>-6.0790891531971133E-2</v>
      </c>
      <c r="AK7" s="6"/>
      <c r="AL7" s="6"/>
      <c r="AM7" s="6"/>
      <c r="AN7" s="6"/>
      <c r="AO7" s="41"/>
      <c r="AP7" s="42">
        <f t="shared" si="11"/>
        <v>-34.61</v>
      </c>
      <c r="AQ7" s="42" t="str">
        <f t="shared" si="12"/>
        <v/>
      </c>
      <c r="AR7" s="41"/>
      <c r="AS7" s="42" t="str">
        <f t="shared" si="13"/>
        <v/>
      </c>
      <c r="AT7" s="45" t="s">
        <v>10350</v>
      </c>
    </row>
    <row r="8" spans="1:46" ht="15" customHeight="1" x14ac:dyDescent="0.3">
      <c r="A8" s="6" t="s">
        <v>864</v>
      </c>
      <c r="B8" s="14">
        <v>2023</v>
      </c>
      <c r="C8" s="15">
        <v>3641</v>
      </c>
      <c r="D8" s="15">
        <v>487</v>
      </c>
      <c r="E8" s="15">
        <v>756</v>
      </c>
      <c r="F8" s="15">
        <v>229</v>
      </c>
      <c r="G8" s="15">
        <v>29</v>
      </c>
      <c r="H8" s="15">
        <v>40</v>
      </c>
      <c r="I8" s="15">
        <v>9454</v>
      </c>
      <c r="J8" s="15">
        <v>847</v>
      </c>
      <c r="K8" s="15">
        <v>8608</v>
      </c>
      <c r="L8" s="15">
        <v>2904</v>
      </c>
      <c r="M8" s="15">
        <v>813</v>
      </c>
      <c r="N8" s="15">
        <v>2091</v>
      </c>
      <c r="O8" s="15">
        <v>6547</v>
      </c>
      <c r="P8" s="16">
        <f t="shared" si="0"/>
        <v>34</v>
      </c>
      <c r="Q8" s="15">
        <v>91</v>
      </c>
      <c r="R8" s="15">
        <v>2323</v>
      </c>
      <c r="S8" s="16">
        <f t="shared" si="1"/>
        <v>2232</v>
      </c>
      <c r="T8" s="15">
        <v>564</v>
      </c>
      <c r="U8" s="15">
        <v>523</v>
      </c>
      <c r="V8" s="16">
        <f t="shared" si="2"/>
        <v>41</v>
      </c>
      <c r="W8" s="15">
        <v>3354</v>
      </c>
      <c r="X8" s="15">
        <v>12</v>
      </c>
      <c r="Y8" s="15"/>
      <c r="Z8" s="15"/>
      <c r="AA8" s="15">
        <v>27.8</v>
      </c>
      <c r="AB8" s="15">
        <v>745</v>
      </c>
      <c r="AC8" s="16">
        <f t="shared" si="3"/>
        <v>2498.73</v>
      </c>
      <c r="AD8" s="17">
        <f t="shared" si="4"/>
        <v>1.0418204182041821</v>
      </c>
      <c r="AE8" s="17">
        <f t="shared" si="5"/>
        <v>0.24571609900571187</v>
      </c>
      <c r="AF8" s="17">
        <f t="shared" si="6"/>
        <v>0.35481900106919201</v>
      </c>
      <c r="AG8" s="18">
        <f t="shared" si="7"/>
        <v>3.0674846625766872E-3</v>
      </c>
      <c r="AH8" s="18">
        <f t="shared" si="8"/>
        <v>4.4295096990988238E-3</v>
      </c>
      <c r="AI8" s="18">
        <f t="shared" si="9"/>
        <v>7.964844822850866E-3</v>
      </c>
      <c r="AJ8" s="18">
        <f t="shared" si="10"/>
        <v>0.13375446305959901</v>
      </c>
      <c r="AK8" s="6"/>
      <c r="AL8" s="6"/>
      <c r="AM8" s="6"/>
      <c r="AN8" s="6"/>
      <c r="AO8" s="41"/>
      <c r="AP8" s="42">
        <f t="shared" si="11"/>
        <v>229</v>
      </c>
      <c r="AQ8" s="42">
        <f t="shared" si="12"/>
        <v>527</v>
      </c>
      <c r="AR8" s="41">
        <v>2232</v>
      </c>
      <c r="AS8" s="42">
        <f t="shared" si="13"/>
        <v>0</v>
      </c>
      <c r="AT8" s="45" t="s">
        <v>10351</v>
      </c>
    </row>
    <row r="9" spans="1:46" ht="15" customHeight="1" x14ac:dyDescent="0.3">
      <c r="A9" s="6" t="s">
        <v>864</v>
      </c>
      <c r="B9" s="14">
        <v>2022</v>
      </c>
      <c r="C9" s="15">
        <v>4191</v>
      </c>
      <c r="D9" s="15">
        <v>839</v>
      </c>
      <c r="E9" s="15">
        <v>1079</v>
      </c>
      <c r="F9" s="15">
        <v>523</v>
      </c>
      <c r="G9" s="15">
        <v>330</v>
      </c>
      <c r="H9" s="15">
        <v>338</v>
      </c>
      <c r="I9" s="15">
        <v>9382</v>
      </c>
      <c r="J9" s="15">
        <v>920</v>
      </c>
      <c r="K9" s="15">
        <v>8462</v>
      </c>
      <c r="L9" s="15">
        <v>2779</v>
      </c>
      <c r="M9" s="15">
        <v>631</v>
      </c>
      <c r="N9" s="15">
        <v>2148</v>
      </c>
      <c r="O9" s="15">
        <v>6603</v>
      </c>
      <c r="P9" s="16">
        <f t="shared" si="0"/>
        <v>289</v>
      </c>
      <c r="Q9" s="15">
        <v>168</v>
      </c>
      <c r="R9" s="15">
        <v>2089</v>
      </c>
      <c r="S9" s="16">
        <f t="shared" si="1"/>
        <v>1921</v>
      </c>
      <c r="T9" s="15">
        <v>934</v>
      </c>
      <c r="U9" s="15">
        <v>524</v>
      </c>
      <c r="V9" s="16">
        <f t="shared" si="2"/>
        <v>410</v>
      </c>
      <c r="W9" s="15">
        <v>3354</v>
      </c>
      <c r="X9" s="15">
        <v>101</v>
      </c>
      <c r="Y9" s="15"/>
      <c r="Z9" s="15"/>
      <c r="AA9" s="15">
        <v>43</v>
      </c>
      <c r="AB9" s="15">
        <v>665</v>
      </c>
      <c r="AC9" s="16">
        <f t="shared" si="3"/>
        <v>2230.41</v>
      </c>
      <c r="AD9" s="17">
        <f t="shared" si="4"/>
        <v>1.4580031695721078</v>
      </c>
      <c r="AE9" s="17">
        <f t="shared" si="5"/>
        <v>0.22266041355787677</v>
      </c>
      <c r="AF9" s="17">
        <f t="shared" si="6"/>
        <v>0.31637134635771619</v>
      </c>
      <c r="AG9" s="18">
        <f t="shared" si="7"/>
        <v>3.5173736943082498E-2</v>
      </c>
      <c r="AH9" s="18">
        <f t="shared" si="8"/>
        <v>4.9977283053157656E-2</v>
      </c>
      <c r="AI9" s="18">
        <f t="shared" si="9"/>
        <v>7.874015748031496E-2</v>
      </c>
      <c r="AJ9" s="18">
        <f t="shared" si="10"/>
        <v>0.2001908852302553</v>
      </c>
      <c r="AK9" s="6"/>
      <c r="AL9" s="6"/>
      <c r="AM9" s="6"/>
      <c r="AN9" s="6"/>
      <c r="AO9" s="41"/>
      <c r="AP9" s="42">
        <f t="shared" si="11"/>
        <v>523</v>
      </c>
      <c r="AQ9" s="42">
        <f t="shared" si="12"/>
        <v>556</v>
      </c>
      <c r="AR9" s="41">
        <v>1921</v>
      </c>
      <c r="AS9" s="42">
        <f t="shared" si="13"/>
        <v>0</v>
      </c>
      <c r="AT9" s="45" t="s">
        <v>10352</v>
      </c>
    </row>
    <row r="10" spans="1:46" ht="15" customHeight="1" x14ac:dyDescent="0.3">
      <c r="A10" s="6" t="s">
        <v>864</v>
      </c>
      <c r="B10" s="14">
        <v>2024</v>
      </c>
      <c r="C10" s="15">
        <v>3827</v>
      </c>
      <c r="D10" s="15">
        <v>764</v>
      </c>
      <c r="E10" s="15">
        <v>957</v>
      </c>
      <c r="F10" s="15">
        <v>389</v>
      </c>
      <c r="G10" s="15">
        <v>149</v>
      </c>
      <c r="H10" s="15">
        <v>155</v>
      </c>
      <c r="I10" s="15">
        <v>9263</v>
      </c>
      <c r="J10" s="15">
        <v>1005</v>
      </c>
      <c r="K10" s="15">
        <v>8258</v>
      </c>
      <c r="L10" s="15">
        <v>2930</v>
      </c>
      <c r="M10" s="15">
        <v>798</v>
      </c>
      <c r="N10" s="15">
        <v>2132</v>
      </c>
      <c r="O10" s="15">
        <v>6332</v>
      </c>
      <c r="P10" s="16">
        <f t="shared" si="0"/>
        <v>207</v>
      </c>
      <c r="Q10" s="15">
        <v>147</v>
      </c>
      <c r="R10" s="15">
        <v>2352</v>
      </c>
      <c r="S10" s="16">
        <f t="shared" si="1"/>
        <v>2205</v>
      </c>
      <c r="T10" s="15">
        <v>705</v>
      </c>
      <c r="U10" s="15">
        <v>452</v>
      </c>
      <c r="V10" s="16">
        <f t="shared" si="2"/>
        <v>253</v>
      </c>
      <c r="W10" s="15">
        <v>3354</v>
      </c>
      <c r="X10" s="15">
        <v>47</v>
      </c>
      <c r="Y10" s="15"/>
      <c r="Z10" s="15">
        <v>27.8</v>
      </c>
      <c r="AA10" s="15"/>
      <c r="AB10" s="15">
        <v>715</v>
      </c>
      <c r="AC10" s="16">
        <f t="shared" si="3"/>
        <v>2398.11</v>
      </c>
      <c r="AD10" s="17">
        <f t="shared" si="4"/>
        <v>1.2593984962406015</v>
      </c>
      <c r="AE10" s="17">
        <f t="shared" si="5"/>
        <v>0.2539134189787326</v>
      </c>
      <c r="AF10" s="17">
        <f t="shared" si="6"/>
        <v>0.37144662034112447</v>
      </c>
      <c r="AG10" s="18">
        <f t="shared" si="7"/>
        <v>1.6085501457411205E-2</v>
      </c>
      <c r="AH10" s="18">
        <f t="shared" si="8"/>
        <v>2.3531269740998104E-2</v>
      </c>
      <c r="AI10" s="18">
        <f t="shared" si="9"/>
        <v>3.8933890776064801E-2</v>
      </c>
      <c r="AJ10" s="18">
        <f t="shared" si="10"/>
        <v>0.19963417820747323</v>
      </c>
      <c r="AK10" s="6"/>
      <c r="AL10" s="6"/>
      <c r="AM10" s="6"/>
      <c r="AN10" s="6"/>
      <c r="AO10" s="41"/>
      <c r="AP10" s="42">
        <f t="shared" si="11"/>
        <v>389</v>
      </c>
      <c r="AQ10" s="42">
        <f t="shared" si="12"/>
        <v>568</v>
      </c>
      <c r="AR10" s="41">
        <v>2205</v>
      </c>
      <c r="AS10" s="42">
        <f t="shared" si="13"/>
        <v>0</v>
      </c>
      <c r="AT10" s="45" t="s">
        <v>10353</v>
      </c>
    </row>
    <row r="11" spans="1:46" ht="15" customHeight="1" x14ac:dyDescent="0.3">
      <c r="A11" s="6" t="s">
        <v>1086</v>
      </c>
      <c r="B11" s="14">
        <v>2023</v>
      </c>
      <c r="C11" s="15">
        <v>2298</v>
      </c>
      <c r="D11" s="15">
        <v>1162</v>
      </c>
      <c r="E11" s="15"/>
      <c r="F11" s="15">
        <v>692</v>
      </c>
      <c r="G11" s="15">
        <v>596</v>
      </c>
      <c r="H11" s="15">
        <v>596</v>
      </c>
      <c r="I11" s="15">
        <v>3902</v>
      </c>
      <c r="J11" s="15">
        <v>2945</v>
      </c>
      <c r="K11" s="15">
        <v>957</v>
      </c>
      <c r="L11" s="15">
        <v>455</v>
      </c>
      <c r="M11" s="15">
        <v>401</v>
      </c>
      <c r="N11" s="15">
        <v>54</v>
      </c>
      <c r="O11" s="15">
        <v>3447</v>
      </c>
      <c r="P11" s="16">
        <f t="shared" si="0"/>
        <v>2544</v>
      </c>
      <c r="Q11" s="15">
        <v>1042</v>
      </c>
      <c r="R11" s="15">
        <v>0</v>
      </c>
      <c r="S11" s="16">
        <f t="shared" si="1"/>
        <v>-1042</v>
      </c>
      <c r="T11" s="15">
        <v>43</v>
      </c>
      <c r="U11" s="15">
        <v>255</v>
      </c>
      <c r="V11" s="16">
        <f t="shared" si="2"/>
        <v>-212</v>
      </c>
      <c r="W11" s="15">
        <v>3000</v>
      </c>
      <c r="X11" s="15">
        <v>198.54</v>
      </c>
      <c r="Y11" s="15">
        <v>1149</v>
      </c>
      <c r="Z11" s="15"/>
      <c r="AA11" s="15"/>
      <c r="AB11" s="15">
        <v>1600</v>
      </c>
      <c r="AC11" s="16">
        <f t="shared" si="3"/>
        <v>4800</v>
      </c>
      <c r="AD11" s="17">
        <f t="shared" si="4"/>
        <v>7.3441396508728181</v>
      </c>
      <c r="AE11" s="17">
        <f t="shared" si="5"/>
        <v>0</v>
      </c>
      <c r="AF11" s="17">
        <f t="shared" si="6"/>
        <v>0</v>
      </c>
      <c r="AG11" s="18">
        <f t="shared" si="7"/>
        <v>0.15274218349564325</v>
      </c>
      <c r="AH11" s="18">
        <f t="shared" si="8"/>
        <v>0.17290397447055411</v>
      </c>
      <c r="AI11" s="18">
        <f t="shared" si="9"/>
        <v>0.25935596170583114</v>
      </c>
      <c r="AJ11" s="18">
        <f t="shared" si="10"/>
        <v>0.50565709312445606</v>
      </c>
      <c r="AK11" s="6"/>
      <c r="AL11" s="6"/>
      <c r="AM11" s="6"/>
      <c r="AN11" s="6"/>
      <c r="AO11" s="41"/>
      <c r="AP11" s="42">
        <f t="shared" si="11"/>
        <v>692</v>
      </c>
      <c r="AQ11" s="42" t="str">
        <f t="shared" si="12"/>
        <v/>
      </c>
      <c r="AR11" s="41">
        <v>-1042</v>
      </c>
      <c r="AS11" s="42">
        <f t="shared" si="13"/>
        <v>0</v>
      </c>
      <c r="AT11" s="45" t="s">
        <v>10354</v>
      </c>
    </row>
    <row r="12" spans="1:46" ht="15" customHeight="1" x14ac:dyDescent="0.3">
      <c r="A12" s="6" t="s">
        <v>1086</v>
      </c>
      <c r="B12" s="14">
        <v>2024</v>
      </c>
      <c r="C12" s="15">
        <v>1368</v>
      </c>
      <c r="D12" s="15">
        <v>625</v>
      </c>
      <c r="E12" s="15"/>
      <c r="F12" s="15">
        <v>206</v>
      </c>
      <c r="G12" s="15">
        <v>179</v>
      </c>
      <c r="H12" s="15">
        <v>179</v>
      </c>
      <c r="I12" s="15">
        <v>3635</v>
      </c>
      <c r="J12" s="15">
        <v>2573</v>
      </c>
      <c r="K12" s="15">
        <v>1062</v>
      </c>
      <c r="L12" s="15">
        <v>244</v>
      </c>
      <c r="M12" s="15">
        <v>192</v>
      </c>
      <c r="N12" s="15">
        <v>52</v>
      </c>
      <c r="O12" s="15">
        <v>3390</v>
      </c>
      <c r="P12" s="16">
        <f t="shared" si="0"/>
        <v>2381</v>
      </c>
      <c r="Q12" s="15">
        <v>568</v>
      </c>
      <c r="R12" s="15">
        <v>0</v>
      </c>
      <c r="S12" s="16">
        <f t="shared" si="1"/>
        <v>-568</v>
      </c>
      <c r="T12" s="15">
        <v>-146</v>
      </c>
      <c r="U12" s="15">
        <v>95</v>
      </c>
      <c r="V12" s="16">
        <f t="shared" si="2"/>
        <v>-241</v>
      </c>
      <c r="W12" s="15">
        <v>3000</v>
      </c>
      <c r="X12" s="15">
        <v>59.5</v>
      </c>
      <c r="Y12" s="15">
        <v>1130</v>
      </c>
      <c r="Z12" s="15"/>
      <c r="AA12" s="15">
        <v>80</v>
      </c>
      <c r="AB12" s="15">
        <v>1200</v>
      </c>
      <c r="AC12" s="16">
        <f t="shared" si="3"/>
        <v>3600</v>
      </c>
      <c r="AD12" s="17">
        <f t="shared" si="4"/>
        <v>13.401041666666666</v>
      </c>
      <c r="AE12" s="17">
        <f t="shared" si="5"/>
        <v>0</v>
      </c>
      <c r="AF12" s="17">
        <f t="shared" si="6"/>
        <v>0</v>
      </c>
      <c r="AG12" s="18">
        <f t="shared" si="7"/>
        <v>4.9243466299862447E-2</v>
      </c>
      <c r="AH12" s="18">
        <f t="shared" si="8"/>
        <v>5.2802359882005899E-2</v>
      </c>
      <c r="AI12" s="18">
        <f t="shared" si="9"/>
        <v>0.13084795321637427</v>
      </c>
      <c r="AJ12" s="18">
        <f t="shared" si="10"/>
        <v>0.45687134502923976</v>
      </c>
      <c r="AK12" s="6"/>
      <c r="AL12" s="6"/>
      <c r="AM12" s="6"/>
      <c r="AN12" s="6"/>
      <c r="AO12" s="41"/>
      <c r="AP12" s="42">
        <f t="shared" si="11"/>
        <v>206</v>
      </c>
      <c r="AQ12" s="42" t="str">
        <f t="shared" si="12"/>
        <v/>
      </c>
      <c r="AR12" s="41">
        <v>-568</v>
      </c>
      <c r="AS12" s="42">
        <f t="shared" si="13"/>
        <v>0</v>
      </c>
      <c r="AT12" s="45" t="s">
        <v>10355</v>
      </c>
    </row>
    <row r="13" spans="1:46" ht="15" customHeight="1" x14ac:dyDescent="0.3">
      <c r="A13" s="6" t="s">
        <v>1086</v>
      </c>
      <c r="B13" s="14">
        <v>2025</v>
      </c>
      <c r="C13" s="15">
        <v>1696</v>
      </c>
      <c r="D13" s="15">
        <v>681</v>
      </c>
      <c r="E13" s="15"/>
      <c r="F13" s="15">
        <v>227</v>
      </c>
      <c r="G13" s="15">
        <v>190</v>
      </c>
      <c r="H13" s="15">
        <v>190</v>
      </c>
      <c r="I13" s="15">
        <v>3738</v>
      </c>
      <c r="J13" s="15">
        <v>2640</v>
      </c>
      <c r="K13" s="15">
        <v>1098</v>
      </c>
      <c r="L13" s="15">
        <v>244</v>
      </c>
      <c r="M13" s="15">
        <v>184</v>
      </c>
      <c r="N13" s="15">
        <v>59</v>
      </c>
      <c r="O13" s="15">
        <v>3495</v>
      </c>
      <c r="P13" s="16">
        <f t="shared" si="0"/>
        <v>2456</v>
      </c>
      <c r="Q13" s="15">
        <v>167</v>
      </c>
      <c r="R13" s="15">
        <v>17</v>
      </c>
      <c r="S13" s="16">
        <f t="shared" si="1"/>
        <v>-150</v>
      </c>
      <c r="T13" s="15">
        <v>-263</v>
      </c>
      <c r="U13" s="15">
        <v>63</v>
      </c>
      <c r="V13" s="16">
        <f t="shared" si="2"/>
        <v>-326</v>
      </c>
      <c r="W13" s="15">
        <v>3000</v>
      </c>
      <c r="X13" s="15">
        <v>63.43</v>
      </c>
      <c r="Y13" s="15">
        <v>1165</v>
      </c>
      <c r="Z13" s="15"/>
      <c r="AA13" s="15">
        <v>28</v>
      </c>
      <c r="AB13" s="15"/>
      <c r="AC13" s="16">
        <f t="shared" si="3"/>
        <v>0</v>
      </c>
      <c r="AD13" s="17">
        <f t="shared" si="4"/>
        <v>14.347826086956522</v>
      </c>
      <c r="AE13" s="17">
        <f t="shared" si="5"/>
        <v>4.5478865703584802E-3</v>
      </c>
      <c r="AF13" s="17">
        <f t="shared" si="6"/>
        <v>4.8640915593705291E-3</v>
      </c>
      <c r="AG13" s="18">
        <f t="shared" si="7"/>
        <v>5.0829320492241842E-2</v>
      </c>
      <c r="AH13" s="18">
        <f t="shared" si="8"/>
        <v>5.4363376251788269E-2</v>
      </c>
      <c r="AI13" s="18">
        <f t="shared" si="9"/>
        <v>0.11202830188679246</v>
      </c>
      <c r="AJ13" s="18">
        <f t="shared" si="10"/>
        <v>0.40153301886792453</v>
      </c>
      <c r="AK13" s="6"/>
      <c r="AL13" s="6"/>
      <c r="AM13" s="6"/>
      <c r="AN13" s="6"/>
      <c r="AO13" s="41"/>
      <c r="AP13" s="42">
        <f t="shared" si="11"/>
        <v>227</v>
      </c>
      <c r="AQ13" s="42" t="str">
        <f t="shared" si="12"/>
        <v/>
      </c>
      <c r="AR13" s="41">
        <v>-150</v>
      </c>
      <c r="AS13" s="42">
        <f t="shared" si="13"/>
        <v>0</v>
      </c>
      <c r="AT13" s="45" t="s">
        <v>10356</v>
      </c>
    </row>
    <row r="14" spans="1:46" ht="15" customHeight="1" x14ac:dyDescent="0.3">
      <c r="A14" s="6" t="s">
        <v>1253</v>
      </c>
      <c r="B14" s="14">
        <v>2022</v>
      </c>
      <c r="C14" s="15">
        <v>153.5</v>
      </c>
      <c r="D14" s="15">
        <v>-11.82</v>
      </c>
      <c r="E14" s="15"/>
      <c r="F14" s="15">
        <v>-41.02</v>
      </c>
      <c r="G14" s="15">
        <v>-133.47</v>
      </c>
      <c r="H14" s="15">
        <v>-133.47</v>
      </c>
      <c r="I14" s="15">
        <v>4142.04</v>
      </c>
      <c r="J14" s="15">
        <v>75.77</v>
      </c>
      <c r="K14" s="15">
        <v>4066.27</v>
      </c>
      <c r="L14" s="15">
        <v>2939.13</v>
      </c>
      <c r="M14" s="15">
        <v>218.11</v>
      </c>
      <c r="N14" s="15">
        <v>2721.02</v>
      </c>
      <c r="O14" s="15">
        <v>1202.9100000000001</v>
      </c>
      <c r="P14" s="16">
        <f t="shared" si="0"/>
        <v>-142.34000000000003</v>
      </c>
      <c r="Q14" s="15">
        <v>8.93</v>
      </c>
      <c r="R14" s="15">
        <v>2478.5700000000002</v>
      </c>
      <c r="S14" s="16">
        <f t="shared" si="1"/>
        <v>2469.6400000000003</v>
      </c>
      <c r="T14" s="15">
        <v>22.56</v>
      </c>
      <c r="U14" s="15">
        <v>0.2</v>
      </c>
      <c r="V14" s="16">
        <f t="shared" si="2"/>
        <v>22.36</v>
      </c>
      <c r="W14" s="15">
        <v>46277.5</v>
      </c>
      <c r="X14" s="15">
        <v>-2.88</v>
      </c>
      <c r="Y14" s="15"/>
      <c r="Z14" s="15"/>
      <c r="AA14" s="15"/>
      <c r="AB14" s="15">
        <v>50</v>
      </c>
      <c r="AC14" s="16">
        <f t="shared" si="3"/>
        <v>2313.875</v>
      </c>
      <c r="AD14" s="17">
        <f t="shared" si="4"/>
        <v>0.34739351703268989</v>
      </c>
      <c r="AE14" s="17">
        <f t="shared" si="5"/>
        <v>0.59839354520960686</v>
      </c>
      <c r="AF14" s="17">
        <f t="shared" si="6"/>
        <v>2.0604783400254383</v>
      </c>
      <c r="AG14" s="18">
        <f t="shared" si="7"/>
        <v>-3.2223252310455718E-2</v>
      </c>
      <c r="AH14" s="18">
        <f t="shared" si="8"/>
        <v>-0.11095593186522681</v>
      </c>
      <c r="AI14" s="18">
        <f t="shared" si="9"/>
        <v>-0.86951140065146582</v>
      </c>
      <c r="AJ14" s="18">
        <f t="shared" si="10"/>
        <v>-7.7003257328990229E-2</v>
      </c>
      <c r="AK14" s="6"/>
      <c r="AL14" s="6"/>
      <c r="AM14" s="6"/>
      <c r="AN14" s="6"/>
      <c r="AO14" s="41">
        <v>51.51</v>
      </c>
      <c r="AP14" s="42">
        <f t="shared" si="11"/>
        <v>10.489999999999995</v>
      </c>
      <c r="AQ14" s="42" t="str">
        <f t="shared" si="12"/>
        <v/>
      </c>
      <c r="AR14" s="41">
        <v>2469.65</v>
      </c>
      <c r="AS14" s="42">
        <f t="shared" si="13"/>
        <v>9.9999999997635314E-3</v>
      </c>
      <c r="AT14" s="45" t="s">
        <v>10357</v>
      </c>
    </row>
    <row r="15" spans="1:46" ht="15" customHeight="1" x14ac:dyDescent="0.3">
      <c r="A15" s="6" t="s">
        <v>1253</v>
      </c>
      <c r="B15" s="14">
        <v>2023</v>
      </c>
      <c r="C15" s="15">
        <v>196.67</v>
      </c>
      <c r="D15" s="15">
        <v>-6.03</v>
      </c>
      <c r="E15" s="15"/>
      <c r="F15" s="15">
        <v>-40.53</v>
      </c>
      <c r="G15" s="15">
        <v>-114.05</v>
      </c>
      <c r="H15" s="15">
        <v>-114.05</v>
      </c>
      <c r="I15" s="15">
        <v>4055.75</v>
      </c>
      <c r="J15" s="15">
        <v>59.79</v>
      </c>
      <c r="K15" s="15">
        <v>3995.96</v>
      </c>
      <c r="L15" s="15">
        <v>2948.91</v>
      </c>
      <c r="M15" s="15">
        <v>295.64999999999998</v>
      </c>
      <c r="N15" s="15">
        <v>2653.26</v>
      </c>
      <c r="O15" s="15">
        <v>1106.8399999999999</v>
      </c>
      <c r="P15" s="16">
        <f t="shared" si="0"/>
        <v>-235.85999999999999</v>
      </c>
      <c r="Q15" s="15">
        <v>13.82</v>
      </c>
      <c r="R15" s="15">
        <v>2413.69</v>
      </c>
      <c r="S15" s="16">
        <f t="shared" si="1"/>
        <v>2399.87</v>
      </c>
      <c r="T15" s="15">
        <v>138.15</v>
      </c>
      <c r="U15" s="15">
        <v>69.209999999999994</v>
      </c>
      <c r="V15" s="16">
        <f t="shared" si="2"/>
        <v>68.940000000000012</v>
      </c>
      <c r="W15" s="15">
        <v>46277.5</v>
      </c>
      <c r="X15" s="15">
        <v>-2.46</v>
      </c>
      <c r="Y15" s="15"/>
      <c r="Z15" s="15"/>
      <c r="AA15" s="15"/>
      <c r="AB15" s="15">
        <v>50</v>
      </c>
      <c r="AC15" s="16">
        <f t="shared" si="3"/>
        <v>2313.875</v>
      </c>
      <c r="AD15" s="17">
        <f t="shared" si="4"/>
        <v>0.20223236935565703</v>
      </c>
      <c r="AE15" s="17">
        <f t="shared" si="5"/>
        <v>0.59512790482648092</v>
      </c>
      <c r="AF15" s="17">
        <f t="shared" si="6"/>
        <v>2.1807036247334759</v>
      </c>
      <c r="AG15" s="18">
        <f t="shared" si="7"/>
        <v>-2.8120569561733342E-2</v>
      </c>
      <c r="AH15" s="18">
        <f t="shared" si="8"/>
        <v>-0.10304108994976691</v>
      </c>
      <c r="AI15" s="18">
        <f t="shared" si="9"/>
        <v>-0.57990542533177403</v>
      </c>
      <c r="AJ15" s="18">
        <f t="shared" si="10"/>
        <v>-3.0660497279707127E-2</v>
      </c>
      <c r="AK15" s="6"/>
      <c r="AL15" s="6"/>
      <c r="AM15" s="6"/>
      <c r="AN15" s="6"/>
      <c r="AO15" s="41">
        <v>45.91</v>
      </c>
      <c r="AP15" s="42">
        <f t="shared" si="11"/>
        <v>5.3799999999999955</v>
      </c>
      <c r="AQ15" s="42" t="str">
        <f t="shared" si="12"/>
        <v/>
      </c>
      <c r="AR15" s="41">
        <v>2399.87</v>
      </c>
      <c r="AS15" s="42">
        <f t="shared" si="13"/>
        <v>0</v>
      </c>
      <c r="AT15" s="45" t="s">
        <v>10358</v>
      </c>
    </row>
    <row r="16" spans="1:46" ht="15" customHeight="1" x14ac:dyDescent="0.3">
      <c r="A16" s="6" t="s">
        <v>1253</v>
      </c>
      <c r="B16" s="14">
        <v>2024</v>
      </c>
      <c r="C16" s="15">
        <v>635.63</v>
      </c>
      <c r="D16" s="15">
        <v>-19.850000000000001</v>
      </c>
      <c r="E16" s="15"/>
      <c r="F16" s="15">
        <v>-70.3</v>
      </c>
      <c r="G16" s="15">
        <v>-719.27</v>
      </c>
      <c r="H16" s="15">
        <v>-719.27</v>
      </c>
      <c r="I16" s="15">
        <v>3894.06</v>
      </c>
      <c r="J16" s="15">
        <v>162.46</v>
      </c>
      <c r="K16" s="15">
        <v>3731.61</v>
      </c>
      <c r="L16" s="15">
        <v>3431.56</v>
      </c>
      <c r="M16" s="15">
        <v>69.97</v>
      </c>
      <c r="N16" s="15">
        <v>3361.6</v>
      </c>
      <c r="O16" s="15">
        <v>462.5</v>
      </c>
      <c r="P16" s="16">
        <f t="shared" si="0"/>
        <v>92.490000000000009</v>
      </c>
      <c r="Q16" s="15">
        <v>61.35</v>
      </c>
      <c r="R16" s="15">
        <v>2346</v>
      </c>
      <c r="S16" s="16">
        <f t="shared" si="1"/>
        <v>2284.65</v>
      </c>
      <c r="T16" s="15">
        <v>70.959999999999994</v>
      </c>
      <c r="U16" s="15">
        <v>21.77</v>
      </c>
      <c r="V16" s="16">
        <f t="shared" si="2"/>
        <v>49.19</v>
      </c>
      <c r="W16" s="15">
        <v>46277.5</v>
      </c>
      <c r="X16" s="15">
        <v>-15.54</v>
      </c>
      <c r="Y16" s="15"/>
      <c r="Z16" s="15"/>
      <c r="AA16" s="15"/>
      <c r="AB16" s="15">
        <v>3</v>
      </c>
      <c r="AC16" s="16">
        <f t="shared" si="3"/>
        <v>138.83250000000001</v>
      </c>
      <c r="AD16" s="17">
        <f t="shared" si="4"/>
        <v>2.3218522223810205</v>
      </c>
      <c r="AE16" s="17">
        <f t="shared" si="5"/>
        <v>0.60245604844301326</v>
      </c>
      <c r="AF16" s="17">
        <f t="shared" si="6"/>
        <v>5.0724324324324321</v>
      </c>
      <c r="AG16" s="18">
        <f t="shared" si="7"/>
        <v>-0.1847095319537963</v>
      </c>
      <c r="AH16" s="18">
        <f t="shared" si="8"/>
        <v>-1.5551783783783784</v>
      </c>
      <c r="AI16" s="18">
        <f t="shared" si="9"/>
        <v>-1.1315859855576358</v>
      </c>
      <c r="AJ16" s="18">
        <f t="shared" si="10"/>
        <v>-3.1228859556660323E-2</v>
      </c>
      <c r="AK16" s="6"/>
      <c r="AL16" s="6"/>
      <c r="AM16" s="6"/>
      <c r="AN16" s="6"/>
      <c r="AO16" s="41">
        <v>84.32</v>
      </c>
      <c r="AP16" s="42">
        <f t="shared" si="11"/>
        <v>14.019999999999996</v>
      </c>
      <c r="AQ16" s="42" t="str">
        <f t="shared" si="12"/>
        <v/>
      </c>
      <c r="AR16" s="41">
        <v>2284.64</v>
      </c>
      <c r="AS16" s="42">
        <f t="shared" si="13"/>
        <v>-1.0000000000218279E-2</v>
      </c>
      <c r="AT16" s="45" t="s">
        <v>10359</v>
      </c>
    </row>
    <row r="17" spans="1:46" ht="15" customHeight="1" x14ac:dyDescent="0.3">
      <c r="A17" s="6" t="s">
        <v>1412</v>
      </c>
      <c r="B17" s="14">
        <v>2023</v>
      </c>
      <c r="C17" s="15">
        <v>4204.6099999999997</v>
      </c>
      <c r="D17" s="15">
        <v>1057.1500000000001</v>
      </c>
      <c r="E17" s="15"/>
      <c r="F17" s="15">
        <v>703.47</v>
      </c>
      <c r="G17" s="15">
        <v>159.97</v>
      </c>
      <c r="H17" s="15">
        <v>177.03</v>
      </c>
      <c r="I17" s="15">
        <v>10183.51</v>
      </c>
      <c r="J17" s="15">
        <v>1300.01</v>
      </c>
      <c r="K17" s="15">
        <v>8883.5</v>
      </c>
      <c r="L17" s="15">
        <v>7991.96</v>
      </c>
      <c r="M17" s="15">
        <v>3513.09</v>
      </c>
      <c r="N17" s="15">
        <v>4478.87</v>
      </c>
      <c r="O17" s="15">
        <v>2191.5500000000002</v>
      </c>
      <c r="P17" s="16">
        <f t="shared" si="0"/>
        <v>-2213.08</v>
      </c>
      <c r="Q17" s="15">
        <v>25.37</v>
      </c>
      <c r="R17" s="15">
        <v>7777.55</v>
      </c>
      <c r="S17" s="16">
        <f t="shared" si="1"/>
        <v>7752.18</v>
      </c>
      <c r="T17" s="15">
        <v>633.05999999999995</v>
      </c>
      <c r="U17" s="15">
        <v>279</v>
      </c>
      <c r="V17" s="16">
        <f t="shared" si="2"/>
        <v>354.05999999999995</v>
      </c>
      <c r="W17" s="15">
        <v>31525.29</v>
      </c>
      <c r="X17" s="15">
        <v>5.68</v>
      </c>
      <c r="Y17" s="15"/>
      <c r="Z17" s="15"/>
      <c r="AA17" s="15"/>
      <c r="AB17" s="15">
        <v>54</v>
      </c>
      <c r="AC17" s="16">
        <f t="shared" si="3"/>
        <v>1702.3656600000002</v>
      </c>
      <c r="AD17" s="17">
        <f t="shared" si="4"/>
        <v>0.37004745110429849</v>
      </c>
      <c r="AE17" s="17">
        <f t="shared" si="5"/>
        <v>0.76373961433729631</v>
      </c>
      <c r="AF17" s="17">
        <f t="shared" si="6"/>
        <v>3.5488809290228374</v>
      </c>
      <c r="AG17" s="18">
        <f t="shared" si="7"/>
        <v>1.5708729112064505E-2</v>
      </c>
      <c r="AH17" s="18">
        <f t="shared" si="8"/>
        <v>7.2993999680591351E-2</v>
      </c>
      <c r="AI17" s="18">
        <f t="shared" si="9"/>
        <v>3.8046334856264914E-2</v>
      </c>
      <c r="AJ17" s="18">
        <f t="shared" si="10"/>
        <v>0.25142641053510317</v>
      </c>
      <c r="AK17" s="6"/>
      <c r="AL17" s="6"/>
      <c r="AM17" s="6"/>
      <c r="AN17" s="6"/>
      <c r="AO17" s="41"/>
      <c r="AP17" s="42">
        <f t="shared" si="11"/>
        <v>703.47</v>
      </c>
      <c r="AQ17" s="42" t="str">
        <f t="shared" si="12"/>
        <v/>
      </c>
      <c r="AR17" s="41"/>
      <c r="AS17" s="42" t="str">
        <f t="shared" si="13"/>
        <v/>
      </c>
      <c r="AT17" s="45" t="s">
        <v>10360</v>
      </c>
    </row>
    <row r="18" spans="1:46" ht="15" customHeight="1" x14ac:dyDescent="0.3">
      <c r="A18" s="6" t="s">
        <v>1412</v>
      </c>
      <c r="B18" s="14">
        <v>2024</v>
      </c>
      <c r="C18" s="15">
        <v>4302.68</v>
      </c>
      <c r="D18" s="15">
        <v>1254.43</v>
      </c>
      <c r="E18" s="15"/>
      <c r="F18" s="15">
        <v>926.51</v>
      </c>
      <c r="G18" s="15">
        <v>272.13</v>
      </c>
      <c r="H18" s="15">
        <v>260.20999999999998</v>
      </c>
      <c r="I18" s="15">
        <v>9794.3799999999992</v>
      </c>
      <c r="J18" s="15">
        <v>1420.68</v>
      </c>
      <c r="K18" s="15">
        <v>8373.7000000000007</v>
      </c>
      <c r="L18" s="15">
        <v>7342.29</v>
      </c>
      <c r="M18" s="15">
        <v>2945.12</v>
      </c>
      <c r="N18" s="15">
        <v>4397.17</v>
      </c>
      <c r="O18" s="15">
        <v>2452.09</v>
      </c>
      <c r="P18" s="16">
        <f t="shared" si="0"/>
        <v>-1524.4399999999998</v>
      </c>
      <c r="Q18" s="15">
        <v>58.08</v>
      </c>
      <c r="R18" s="15">
        <v>3959.18</v>
      </c>
      <c r="S18" s="16">
        <f t="shared" si="1"/>
        <v>3901.1</v>
      </c>
      <c r="T18" s="15">
        <v>833.79</v>
      </c>
      <c r="U18" s="15">
        <v>86.04</v>
      </c>
      <c r="V18" s="16">
        <f t="shared" si="2"/>
        <v>747.75</v>
      </c>
      <c r="W18" s="15">
        <v>31525.29</v>
      </c>
      <c r="X18" s="15">
        <v>8.36</v>
      </c>
      <c r="Y18" s="15"/>
      <c r="Z18" s="15"/>
      <c r="AA18" s="15"/>
      <c r="AB18" s="15">
        <v>59</v>
      </c>
      <c r="AC18" s="16">
        <f t="shared" si="3"/>
        <v>1859.9921100000001</v>
      </c>
      <c r="AD18" s="17">
        <f t="shared" si="4"/>
        <v>0.48238441897104367</v>
      </c>
      <c r="AE18" s="17">
        <f t="shared" si="5"/>
        <v>0.40422977258386955</v>
      </c>
      <c r="AF18" s="17">
        <f t="shared" si="6"/>
        <v>1.6146144717363553</v>
      </c>
      <c r="AG18" s="18">
        <f t="shared" si="7"/>
        <v>2.7784300792903689E-2</v>
      </c>
      <c r="AH18" s="18">
        <f t="shared" si="8"/>
        <v>0.11097879767871488</v>
      </c>
      <c r="AI18" s="18">
        <f t="shared" si="9"/>
        <v>6.324662768321139E-2</v>
      </c>
      <c r="AJ18" s="18">
        <f t="shared" si="10"/>
        <v>0.29154619911311092</v>
      </c>
      <c r="AK18" s="6"/>
      <c r="AL18" s="6"/>
      <c r="AM18" s="6"/>
      <c r="AN18" s="6"/>
      <c r="AO18" s="41">
        <v>176.43</v>
      </c>
      <c r="AP18" s="42">
        <f t="shared" si="11"/>
        <v>1102.94</v>
      </c>
      <c r="AQ18" s="42" t="str">
        <f t="shared" si="12"/>
        <v/>
      </c>
      <c r="AR18" s="41">
        <v>3901.1</v>
      </c>
      <c r="AS18" s="42">
        <f t="shared" si="13"/>
        <v>0</v>
      </c>
      <c r="AT18" s="45" t="s">
        <v>10361</v>
      </c>
    </row>
    <row r="19" spans="1:46" ht="15" customHeight="1" x14ac:dyDescent="0.3">
      <c r="A19" s="6" t="s">
        <v>1412</v>
      </c>
      <c r="B19" s="14">
        <v>2025</v>
      </c>
      <c r="C19" s="15">
        <v>5761.3</v>
      </c>
      <c r="D19" s="15">
        <v>1590.66</v>
      </c>
      <c r="E19" s="15"/>
      <c r="F19" s="15">
        <v>1189.7</v>
      </c>
      <c r="G19" s="15">
        <v>379.11</v>
      </c>
      <c r="H19" s="15">
        <v>361.72</v>
      </c>
      <c r="I19" s="15">
        <v>10176.15</v>
      </c>
      <c r="J19" s="15">
        <v>1737.16</v>
      </c>
      <c r="K19" s="15">
        <v>8438.99</v>
      </c>
      <c r="L19" s="15">
        <v>7349.04</v>
      </c>
      <c r="M19" s="15">
        <v>2595.3000000000002</v>
      </c>
      <c r="N19" s="15">
        <v>4753.74</v>
      </c>
      <c r="O19" s="15">
        <v>2827.11</v>
      </c>
      <c r="P19" s="16">
        <f t="shared" si="0"/>
        <v>-858.1400000000001</v>
      </c>
      <c r="Q19" s="15">
        <v>139.79</v>
      </c>
      <c r="R19" s="15">
        <v>4034.49</v>
      </c>
      <c r="S19" s="16">
        <f t="shared" si="1"/>
        <v>3894.7</v>
      </c>
      <c r="T19" s="15">
        <v>1340.73</v>
      </c>
      <c r="U19" s="15">
        <v>331.04</v>
      </c>
      <c r="V19" s="16">
        <f t="shared" si="2"/>
        <v>1009.69</v>
      </c>
      <c r="W19" s="15">
        <v>31525.29</v>
      </c>
      <c r="X19" s="15">
        <v>11.62</v>
      </c>
      <c r="Y19" s="15"/>
      <c r="Z19" s="15"/>
      <c r="AA19" s="15"/>
      <c r="AB19" s="15"/>
      <c r="AC19" s="16">
        <f t="shared" si="3"/>
        <v>0</v>
      </c>
      <c r="AD19" s="17">
        <f t="shared" si="4"/>
        <v>0.66934843756020501</v>
      </c>
      <c r="AE19" s="17">
        <f t="shared" si="5"/>
        <v>0.39646526436815493</v>
      </c>
      <c r="AF19" s="17">
        <f t="shared" si="6"/>
        <v>1.4270721691055528</v>
      </c>
      <c r="AG19" s="18">
        <f t="shared" si="7"/>
        <v>3.725475744756121E-2</v>
      </c>
      <c r="AH19" s="18">
        <f t="shared" si="8"/>
        <v>0.13409807188259387</v>
      </c>
      <c r="AI19" s="18">
        <f t="shared" si="9"/>
        <v>6.5802856994081199E-2</v>
      </c>
      <c r="AJ19" s="18">
        <f t="shared" si="10"/>
        <v>0.27609393713224445</v>
      </c>
      <c r="AK19" s="6"/>
      <c r="AL19" s="6"/>
      <c r="AM19" s="6"/>
      <c r="AN19" s="6"/>
      <c r="AO19" s="41">
        <v>175.54</v>
      </c>
      <c r="AP19" s="42">
        <f t="shared" si="11"/>
        <v>1365.24</v>
      </c>
      <c r="AQ19" s="42" t="str">
        <f t="shared" si="12"/>
        <v/>
      </c>
      <c r="AR19" s="41">
        <v>3894.7</v>
      </c>
      <c r="AS19" s="42">
        <f t="shared" si="13"/>
        <v>0</v>
      </c>
      <c r="AT19" s="45" t="s">
        <v>10362</v>
      </c>
    </row>
    <row r="20" spans="1:46" ht="15" customHeight="1" x14ac:dyDescent="0.3">
      <c r="A20" s="6" t="s">
        <v>1625</v>
      </c>
      <c r="B20" s="14">
        <v>2023</v>
      </c>
      <c r="C20" s="15">
        <v>10319.437</v>
      </c>
      <c r="D20" s="15">
        <v>1314.5070000000001</v>
      </c>
      <c r="E20" s="15"/>
      <c r="F20" s="15">
        <v>311.75900000000001</v>
      </c>
      <c r="G20" s="15">
        <v>144.24199999999999</v>
      </c>
      <c r="H20" s="15">
        <v>144.24199999999999</v>
      </c>
      <c r="I20" s="15">
        <v>4336.1940000000004</v>
      </c>
      <c r="J20" s="15">
        <v>3925.96</v>
      </c>
      <c r="K20" s="15">
        <v>410.23399999999998</v>
      </c>
      <c r="L20" s="15">
        <v>3433.7779999999998</v>
      </c>
      <c r="M20" s="15">
        <v>2659.6590000000001</v>
      </c>
      <c r="N20" s="15">
        <v>774.11900000000003</v>
      </c>
      <c r="O20" s="15">
        <v>902.41600000000005</v>
      </c>
      <c r="P20" s="16">
        <f t="shared" si="0"/>
        <v>1266.3009999999999</v>
      </c>
      <c r="Q20" s="15">
        <v>304.93200000000002</v>
      </c>
      <c r="R20" s="15">
        <v>2987.4690000000001</v>
      </c>
      <c r="S20" s="16">
        <f t="shared" si="1"/>
        <v>2682.5370000000003</v>
      </c>
      <c r="T20" s="15">
        <v>-384.36799999999999</v>
      </c>
      <c r="U20" s="15">
        <v>19.183</v>
      </c>
      <c r="V20" s="16">
        <f t="shared" si="2"/>
        <v>-403.55099999999999</v>
      </c>
      <c r="W20" s="15">
        <v>3125</v>
      </c>
      <c r="X20" s="15">
        <v>46.16</v>
      </c>
      <c r="Y20" s="15"/>
      <c r="Z20" s="15"/>
      <c r="AA20" s="15"/>
      <c r="AB20" s="15">
        <v>1765</v>
      </c>
      <c r="AC20" s="16">
        <f t="shared" si="3"/>
        <v>5515.625</v>
      </c>
      <c r="AD20" s="17">
        <f t="shared" si="4"/>
        <v>1.4761140431912512</v>
      </c>
      <c r="AE20" s="17">
        <f t="shared" si="5"/>
        <v>0.68896110275508882</v>
      </c>
      <c r="AF20" s="17">
        <f t="shared" si="6"/>
        <v>3.3105230846970799</v>
      </c>
      <c r="AG20" s="18">
        <f t="shared" si="7"/>
        <v>3.3264655594283828E-2</v>
      </c>
      <c r="AH20" s="18">
        <f t="shared" si="8"/>
        <v>0.15983980780482612</v>
      </c>
      <c r="AI20" s="18">
        <f t="shared" si="9"/>
        <v>1.3977700527654754E-2</v>
      </c>
      <c r="AJ20" s="18">
        <f t="shared" si="10"/>
        <v>0.12738165851489766</v>
      </c>
      <c r="AK20" s="6"/>
      <c r="AL20" s="6"/>
      <c r="AM20" s="6"/>
      <c r="AN20" s="6"/>
      <c r="AO20" s="41">
        <v>42.463999999999999</v>
      </c>
      <c r="AP20" s="42">
        <f t="shared" si="11"/>
        <v>354.22300000000001</v>
      </c>
      <c r="AQ20" s="42" t="str">
        <f t="shared" si="12"/>
        <v/>
      </c>
      <c r="AR20" s="41"/>
      <c r="AS20" s="42" t="str">
        <f t="shared" si="13"/>
        <v/>
      </c>
      <c r="AT20" s="45" t="s">
        <v>10363</v>
      </c>
    </row>
    <row r="21" spans="1:46" ht="15" customHeight="1" x14ac:dyDescent="0.3">
      <c r="A21" s="6" t="s">
        <v>1625</v>
      </c>
      <c r="B21" s="14">
        <v>2024</v>
      </c>
      <c r="C21" s="15">
        <v>9766.1080000000002</v>
      </c>
      <c r="D21" s="15">
        <v>1146.509</v>
      </c>
      <c r="E21" s="15"/>
      <c r="F21" s="15">
        <v>89.638999999999996</v>
      </c>
      <c r="G21" s="15">
        <v>68.186000000000007</v>
      </c>
      <c r="H21" s="15">
        <v>68.186000000000007</v>
      </c>
      <c r="I21" s="15">
        <v>4200.3190000000004</v>
      </c>
      <c r="J21" s="15">
        <v>3591.721</v>
      </c>
      <c r="K21" s="15">
        <v>608.59799999999996</v>
      </c>
      <c r="L21" s="15">
        <v>3231.0210000000002</v>
      </c>
      <c r="M21" s="15">
        <v>2547.1529999999998</v>
      </c>
      <c r="N21" s="15">
        <v>683.86800000000005</v>
      </c>
      <c r="O21" s="15">
        <v>969.298</v>
      </c>
      <c r="P21" s="16">
        <f t="shared" si="0"/>
        <v>1044.5680000000002</v>
      </c>
      <c r="Q21" s="15">
        <v>234.10400000000001</v>
      </c>
      <c r="R21" s="15">
        <v>2714.1370000000002</v>
      </c>
      <c r="S21" s="16">
        <f t="shared" si="1"/>
        <v>2480.0330000000004</v>
      </c>
      <c r="T21" s="15">
        <v>-246.57900000000001</v>
      </c>
      <c r="U21" s="15">
        <v>115.11799999999999</v>
      </c>
      <c r="V21" s="16">
        <f t="shared" si="2"/>
        <v>-361.697</v>
      </c>
      <c r="W21" s="15">
        <v>3125</v>
      </c>
      <c r="X21" s="15">
        <v>21.82</v>
      </c>
      <c r="Y21" s="15"/>
      <c r="Z21" s="15"/>
      <c r="AA21" s="15">
        <v>9.23</v>
      </c>
      <c r="AB21" s="15">
        <v>945</v>
      </c>
      <c r="AC21" s="16">
        <f t="shared" si="3"/>
        <v>2953.125</v>
      </c>
      <c r="AD21" s="17">
        <f t="shared" si="4"/>
        <v>1.4100923658688742</v>
      </c>
      <c r="AE21" s="17">
        <f t="shared" si="5"/>
        <v>0.64617401678301101</v>
      </c>
      <c r="AF21" s="17">
        <f t="shared" si="6"/>
        <v>2.8001058498005773</v>
      </c>
      <c r="AG21" s="18">
        <f t="shared" si="7"/>
        <v>1.6233528929588445E-2</v>
      </c>
      <c r="AH21" s="18">
        <f t="shared" si="8"/>
        <v>7.034575538172988E-2</v>
      </c>
      <c r="AI21" s="18">
        <f t="shared" si="9"/>
        <v>6.9819010807580673E-3</v>
      </c>
      <c r="AJ21" s="18">
        <f t="shared" si="10"/>
        <v>0.11739671525238099</v>
      </c>
      <c r="AK21" s="6"/>
      <c r="AL21" s="6"/>
      <c r="AM21" s="6"/>
      <c r="AN21" s="6"/>
      <c r="AO21" s="41">
        <v>44.677999999999997</v>
      </c>
      <c r="AP21" s="42">
        <f t="shared" si="11"/>
        <v>134.31700000000001</v>
      </c>
      <c r="AQ21" s="42" t="str">
        <f t="shared" si="12"/>
        <v/>
      </c>
      <c r="AR21" s="41"/>
      <c r="AS21" s="42" t="str">
        <f t="shared" si="13"/>
        <v/>
      </c>
      <c r="AT21" s="45" t="s">
        <v>10364</v>
      </c>
    </row>
    <row r="22" spans="1:46" ht="15" customHeight="1" x14ac:dyDescent="0.3">
      <c r="A22" s="6" t="s">
        <v>1625</v>
      </c>
      <c r="B22" s="14">
        <v>2025</v>
      </c>
      <c r="C22" s="15">
        <v>13970.811</v>
      </c>
      <c r="D22" s="15">
        <v>1982.3019999999999</v>
      </c>
      <c r="E22" s="15"/>
      <c r="F22" s="15">
        <v>366.41800000000001</v>
      </c>
      <c r="G22" s="15">
        <v>106.175</v>
      </c>
      <c r="H22" s="15">
        <v>106.175</v>
      </c>
      <c r="I22" s="15">
        <v>4117.8140000000003</v>
      </c>
      <c r="J22" s="15">
        <v>2811.84</v>
      </c>
      <c r="K22" s="15">
        <v>1305.9739999999999</v>
      </c>
      <c r="L22" s="15">
        <v>3007.1990000000001</v>
      </c>
      <c r="M22" s="15">
        <v>2286.6619999999998</v>
      </c>
      <c r="N22" s="15">
        <v>720.53700000000003</v>
      </c>
      <c r="O22" s="15">
        <v>1110.615</v>
      </c>
      <c r="P22" s="16">
        <f t="shared" si="0"/>
        <v>525.17800000000034</v>
      </c>
      <c r="Q22" s="15">
        <v>284.83499999999998</v>
      </c>
      <c r="R22" s="15">
        <v>1897.8409999999999</v>
      </c>
      <c r="S22" s="16">
        <f t="shared" si="1"/>
        <v>1613.0059999999999</v>
      </c>
      <c r="T22" s="15">
        <v>395.71199999999999</v>
      </c>
      <c r="U22" s="15">
        <v>258.90499999999997</v>
      </c>
      <c r="V22" s="16">
        <f t="shared" si="2"/>
        <v>136.80700000000002</v>
      </c>
      <c r="W22" s="15">
        <v>3125</v>
      </c>
      <c r="X22" s="15">
        <v>33.979999999999997</v>
      </c>
      <c r="Y22" s="15"/>
      <c r="Z22" s="15"/>
      <c r="AA22" s="15"/>
      <c r="AB22" s="15">
        <v>1045</v>
      </c>
      <c r="AC22" s="16">
        <f t="shared" si="3"/>
        <v>3265.625</v>
      </c>
      <c r="AD22" s="17">
        <f t="shared" si="4"/>
        <v>1.2296701480148795</v>
      </c>
      <c r="AE22" s="17">
        <f t="shared" si="5"/>
        <v>0.46088555723983643</v>
      </c>
      <c r="AF22" s="17">
        <f t="shared" si="6"/>
        <v>1.7088198880800276</v>
      </c>
      <c r="AG22" s="18">
        <f t="shared" si="7"/>
        <v>2.5784311773188393E-2</v>
      </c>
      <c r="AH22" s="18">
        <f t="shared" si="8"/>
        <v>9.5600185482818081E-2</v>
      </c>
      <c r="AI22" s="18">
        <f t="shared" si="9"/>
        <v>7.5997735564528072E-3</v>
      </c>
      <c r="AJ22" s="18">
        <f t="shared" si="10"/>
        <v>0.14188882807161302</v>
      </c>
      <c r="AK22" s="6"/>
      <c r="AL22" s="6"/>
      <c r="AM22" s="6"/>
      <c r="AN22" s="6"/>
      <c r="AO22" s="41">
        <v>46.703000000000003</v>
      </c>
      <c r="AP22" s="42">
        <f t="shared" si="11"/>
        <v>413.12099999999998</v>
      </c>
      <c r="AQ22" s="42" t="str">
        <f t="shared" si="12"/>
        <v/>
      </c>
      <c r="AR22" s="41"/>
      <c r="AS22" s="42" t="str">
        <f t="shared" si="13"/>
        <v/>
      </c>
      <c r="AT22" s="45" t="s">
        <v>10365</v>
      </c>
    </row>
    <row r="23" spans="1:46" ht="15" customHeight="1" x14ac:dyDescent="0.3">
      <c r="A23" s="6" t="s">
        <v>1938</v>
      </c>
      <c r="B23" s="14">
        <v>2022</v>
      </c>
      <c r="C23" s="15">
        <v>970.572</v>
      </c>
      <c r="D23" s="15">
        <v>571.75900000000001</v>
      </c>
      <c r="E23" s="15">
        <v>449.517</v>
      </c>
      <c r="F23" s="15">
        <v>396.17399999999998</v>
      </c>
      <c r="G23" s="15">
        <v>252.40700000000001</v>
      </c>
      <c r="H23" s="15">
        <v>252.40700000000001</v>
      </c>
      <c r="I23" s="15">
        <v>1835.2539999999999</v>
      </c>
      <c r="J23" s="15">
        <v>502.52800000000002</v>
      </c>
      <c r="K23" s="15">
        <v>1332.7260000000001</v>
      </c>
      <c r="L23" s="15">
        <v>872.14200000000005</v>
      </c>
      <c r="M23" s="15">
        <v>251.24700000000001</v>
      </c>
      <c r="N23" s="15">
        <v>620.89499999999998</v>
      </c>
      <c r="O23" s="15">
        <v>963.11199999999997</v>
      </c>
      <c r="P23" s="16">
        <f t="shared" si="0"/>
        <v>251.28100000000001</v>
      </c>
      <c r="Q23" s="15">
        <v>263.73399999999998</v>
      </c>
      <c r="R23" s="15">
        <v>644.69600000000003</v>
      </c>
      <c r="S23" s="16">
        <f t="shared" si="1"/>
        <v>380.96200000000005</v>
      </c>
      <c r="T23" s="15">
        <v>401.33600000000001</v>
      </c>
      <c r="U23" s="15">
        <v>134.417</v>
      </c>
      <c r="V23" s="16">
        <f t="shared" si="2"/>
        <v>266.91899999999998</v>
      </c>
      <c r="W23" s="15">
        <v>2050</v>
      </c>
      <c r="X23" s="15">
        <v>123</v>
      </c>
      <c r="Y23" s="15"/>
      <c r="Z23" s="15">
        <v>25</v>
      </c>
      <c r="AA23" s="15">
        <v>10</v>
      </c>
      <c r="AB23" s="15">
        <v>570</v>
      </c>
      <c r="AC23" s="16">
        <f t="shared" si="3"/>
        <v>1168.5</v>
      </c>
      <c r="AD23" s="17">
        <f t="shared" si="4"/>
        <v>2.0001353249989053</v>
      </c>
      <c r="AE23" s="17">
        <f t="shared" si="5"/>
        <v>0.35128434538216513</v>
      </c>
      <c r="AF23" s="17">
        <f t="shared" si="6"/>
        <v>0.66938839927235882</v>
      </c>
      <c r="AG23" s="18">
        <f t="shared" si="7"/>
        <v>0.13753246144675343</v>
      </c>
      <c r="AH23" s="18">
        <f t="shared" si="8"/>
        <v>0.26207440048509417</v>
      </c>
      <c r="AI23" s="18">
        <f t="shared" si="9"/>
        <v>0.26006004706502972</v>
      </c>
      <c r="AJ23" s="18">
        <f t="shared" si="10"/>
        <v>0.5890948842538215</v>
      </c>
      <c r="AK23" s="6"/>
      <c r="AL23" s="6"/>
      <c r="AM23" s="6"/>
      <c r="AN23" s="6"/>
      <c r="AO23" s="41"/>
      <c r="AP23" s="42">
        <f t="shared" si="11"/>
        <v>396.17399999999998</v>
      </c>
      <c r="AQ23" s="42">
        <f t="shared" si="12"/>
        <v>53.343000000000018</v>
      </c>
      <c r="AR23" s="41">
        <v>380.96199999999999</v>
      </c>
      <c r="AS23" s="42">
        <f t="shared" si="13"/>
        <v>-5.6843418860808015E-14</v>
      </c>
      <c r="AT23" s="45" t="s">
        <v>10366</v>
      </c>
    </row>
    <row r="24" spans="1:46" ht="15" customHeight="1" x14ac:dyDescent="0.3">
      <c r="A24" s="6" t="s">
        <v>1938</v>
      </c>
      <c r="B24" s="14">
        <v>2023</v>
      </c>
      <c r="C24" s="15">
        <v>875.51199999999994</v>
      </c>
      <c r="D24" s="15">
        <v>399.58600000000001</v>
      </c>
      <c r="E24" s="15">
        <v>317.26100000000002</v>
      </c>
      <c r="F24" s="15">
        <v>221.84299999999999</v>
      </c>
      <c r="G24" s="15">
        <v>146.13900000000001</v>
      </c>
      <c r="H24" s="15">
        <v>146.13900000000001</v>
      </c>
      <c r="I24" s="15">
        <v>1842.8579999999999</v>
      </c>
      <c r="J24" s="15">
        <v>323.75799999999998</v>
      </c>
      <c r="K24" s="15">
        <v>1519.0989999999999</v>
      </c>
      <c r="L24" s="15">
        <v>727.68600000000004</v>
      </c>
      <c r="M24" s="15">
        <v>187.48699999999999</v>
      </c>
      <c r="N24" s="15">
        <v>540.19899999999996</v>
      </c>
      <c r="O24" s="15">
        <v>1115.172</v>
      </c>
      <c r="P24" s="16">
        <f t="shared" si="0"/>
        <v>136.27099999999999</v>
      </c>
      <c r="Q24" s="15">
        <v>25.364999999999998</v>
      </c>
      <c r="R24" s="15">
        <v>509.346</v>
      </c>
      <c r="S24" s="16">
        <f t="shared" si="1"/>
        <v>483.98099999999999</v>
      </c>
      <c r="T24" s="15">
        <v>192.49100000000001</v>
      </c>
      <c r="U24" s="15">
        <v>136.37200000000001</v>
      </c>
      <c r="V24" s="16">
        <f t="shared" si="2"/>
        <v>56.119</v>
      </c>
      <c r="W24" s="15">
        <v>2050</v>
      </c>
      <c r="X24" s="15">
        <v>71</v>
      </c>
      <c r="Y24" s="15"/>
      <c r="Z24" s="15"/>
      <c r="AA24" s="15"/>
      <c r="AB24" s="15">
        <v>472</v>
      </c>
      <c r="AC24" s="16">
        <f t="shared" si="3"/>
        <v>967.6</v>
      </c>
      <c r="AD24" s="17">
        <f t="shared" si="4"/>
        <v>1.7268290601481702</v>
      </c>
      <c r="AE24" s="17">
        <f t="shared" si="5"/>
        <v>0.27638917377247735</v>
      </c>
      <c r="AF24" s="17">
        <f t="shared" si="6"/>
        <v>0.45674209897666007</v>
      </c>
      <c r="AG24" s="18">
        <f t="shared" si="7"/>
        <v>7.9300195674327598E-2</v>
      </c>
      <c r="AH24" s="18">
        <f t="shared" si="8"/>
        <v>0.13104615252176346</v>
      </c>
      <c r="AI24" s="18">
        <f t="shared" si="9"/>
        <v>0.16691832893209918</v>
      </c>
      <c r="AJ24" s="18">
        <f t="shared" si="10"/>
        <v>0.45640265353301845</v>
      </c>
      <c r="AK24" s="6"/>
      <c r="AL24" s="6"/>
      <c r="AM24" s="6"/>
      <c r="AN24" s="6"/>
      <c r="AO24" s="41"/>
      <c r="AP24" s="42">
        <f t="shared" si="11"/>
        <v>221.84299999999999</v>
      </c>
      <c r="AQ24" s="42">
        <f t="shared" si="12"/>
        <v>95.418000000000035</v>
      </c>
      <c r="AR24" s="41">
        <v>483.98099999999999</v>
      </c>
      <c r="AS24" s="42">
        <f t="shared" si="13"/>
        <v>0</v>
      </c>
      <c r="AT24" s="45" t="s">
        <v>10367</v>
      </c>
    </row>
    <row r="25" spans="1:46" ht="15" customHeight="1" x14ac:dyDescent="0.3">
      <c r="A25" s="6" t="s">
        <v>1938</v>
      </c>
      <c r="B25" s="14">
        <v>2024</v>
      </c>
      <c r="C25" s="15">
        <v>1066.759</v>
      </c>
      <c r="D25" s="15">
        <v>483.86399999999998</v>
      </c>
      <c r="E25" s="15">
        <v>441.97899999999998</v>
      </c>
      <c r="F25" s="15">
        <v>263.62799999999999</v>
      </c>
      <c r="G25" s="15">
        <v>214.85499999999999</v>
      </c>
      <c r="H25" s="15">
        <v>214.85499999999999</v>
      </c>
      <c r="I25" s="15">
        <v>2251.2649999999999</v>
      </c>
      <c r="J25" s="15">
        <v>463.27600000000001</v>
      </c>
      <c r="K25" s="15">
        <v>1787.989</v>
      </c>
      <c r="L25" s="15">
        <v>952.71900000000005</v>
      </c>
      <c r="M25" s="15">
        <v>250.75700000000001</v>
      </c>
      <c r="N25" s="15">
        <v>701.96199999999999</v>
      </c>
      <c r="O25" s="15">
        <v>1298.5450000000001</v>
      </c>
      <c r="P25" s="16">
        <f t="shared" si="0"/>
        <v>212.51900000000001</v>
      </c>
      <c r="Q25" s="15">
        <v>133.268</v>
      </c>
      <c r="R25" s="15">
        <v>693.577</v>
      </c>
      <c r="S25" s="16">
        <f t="shared" si="1"/>
        <v>560.30899999999997</v>
      </c>
      <c r="T25" s="15">
        <v>332.80799999999999</v>
      </c>
      <c r="U25" s="15">
        <v>227.648</v>
      </c>
      <c r="V25" s="16">
        <f t="shared" si="2"/>
        <v>105.16</v>
      </c>
      <c r="W25" s="15">
        <v>2050</v>
      </c>
      <c r="X25" s="15">
        <v>105</v>
      </c>
      <c r="Y25" s="15"/>
      <c r="Z25" s="15"/>
      <c r="AA25" s="15">
        <v>14.63</v>
      </c>
      <c r="AB25" s="15">
        <v>725</v>
      </c>
      <c r="AC25" s="16">
        <f t="shared" si="3"/>
        <v>1486.25</v>
      </c>
      <c r="AD25" s="17">
        <f t="shared" si="4"/>
        <v>1.8475097405057486</v>
      </c>
      <c r="AE25" s="17">
        <f t="shared" si="5"/>
        <v>0.30808323320444286</v>
      </c>
      <c r="AF25" s="17">
        <f t="shared" si="6"/>
        <v>0.53411857117004025</v>
      </c>
      <c r="AG25" s="18">
        <f t="shared" si="7"/>
        <v>9.5437454053609858E-2</v>
      </c>
      <c r="AH25" s="18">
        <f t="shared" si="8"/>
        <v>0.16545826290194024</v>
      </c>
      <c r="AI25" s="18">
        <f t="shared" si="9"/>
        <v>0.20140912802235555</v>
      </c>
      <c r="AJ25" s="18">
        <f t="shared" si="10"/>
        <v>0.45358323670107303</v>
      </c>
      <c r="AK25" s="6"/>
      <c r="AL25" s="6"/>
      <c r="AM25" s="6"/>
      <c r="AN25" s="6"/>
      <c r="AO25" s="41"/>
      <c r="AP25" s="42">
        <f t="shared" si="11"/>
        <v>263.62799999999999</v>
      </c>
      <c r="AQ25" s="42">
        <f t="shared" si="12"/>
        <v>178.351</v>
      </c>
      <c r="AR25" s="41">
        <v>560.30899999999997</v>
      </c>
      <c r="AS25" s="42">
        <f t="shared" si="13"/>
        <v>0</v>
      </c>
      <c r="AT25" s="45" t="s">
        <v>10368</v>
      </c>
    </row>
    <row r="26" spans="1:46" ht="15" customHeight="1" x14ac:dyDescent="0.3">
      <c r="A26" s="6" t="s">
        <v>2189</v>
      </c>
      <c r="B26" s="14">
        <v>2022</v>
      </c>
      <c r="C26" s="15">
        <v>9633.6710000000003</v>
      </c>
      <c r="D26" s="15">
        <v>3117.5749999999998</v>
      </c>
      <c r="E26" s="15">
        <v>3018.3629999999998</v>
      </c>
      <c r="F26" s="15">
        <v>2172.4749999999999</v>
      </c>
      <c r="G26" s="15">
        <v>1206.587</v>
      </c>
      <c r="H26" s="15">
        <v>1206.835</v>
      </c>
      <c r="I26" s="15">
        <v>15357.228999999999</v>
      </c>
      <c r="J26" s="15">
        <v>3229.5819999999999</v>
      </c>
      <c r="K26" s="15">
        <v>12127.647000000001</v>
      </c>
      <c r="L26" s="15">
        <v>7197.0889999999999</v>
      </c>
      <c r="M26" s="15">
        <v>3022.1619999999998</v>
      </c>
      <c r="N26" s="15">
        <v>4174.9269999999997</v>
      </c>
      <c r="O26" s="15">
        <v>8160.14</v>
      </c>
      <c r="P26" s="16">
        <f t="shared" si="0"/>
        <v>207.42000000000007</v>
      </c>
      <c r="Q26" s="15">
        <v>359.34899999999999</v>
      </c>
      <c r="R26" s="15">
        <v>4926.9459999999999</v>
      </c>
      <c r="S26" s="16">
        <f t="shared" si="1"/>
        <v>4567.5969999999998</v>
      </c>
      <c r="T26" s="15">
        <v>1538.027</v>
      </c>
      <c r="U26" s="15">
        <v>1197.7560000000001</v>
      </c>
      <c r="V26" s="16">
        <f t="shared" si="2"/>
        <v>340.27099999999996</v>
      </c>
      <c r="W26" s="15">
        <v>10599.842000000001</v>
      </c>
      <c r="X26" s="15">
        <v>113.86</v>
      </c>
      <c r="Y26" s="15">
        <v>758.03</v>
      </c>
      <c r="Z26" s="15"/>
      <c r="AA26" s="15">
        <v>20</v>
      </c>
      <c r="AB26" s="15">
        <v>496</v>
      </c>
      <c r="AC26" s="16">
        <f t="shared" si="3"/>
        <v>5257.521632</v>
      </c>
      <c r="AD26" s="17">
        <f t="shared" si="4"/>
        <v>1.068632985260221</v>
      </c>
      <c r="AE26" s="17">
        <f t="shared" si="5"/>
        <v>0.32082259110676803</v>
      </c>
      <c r="AF26" s="17">
        <f t="shared" si="6"/>
        <v>0.60378204295514537</v>
      </c>
      <c r="AG26" s="18">
        <f t="shared" si="7"/>
        <v>7.8568015102203667E-2</v>
      </c>
      <c r="AH26" s="18">
        <f t="shared" si="8"/>
        <v>0.14786351704750164</v>
      </c>
      <c r="AI26" s="18">
        <f t="shared" si="9"/>
        <v>0.12524685553409495</v>
      </c>
      <c r="AJ26" s="18">
        <f t="shared" si="10"/>
        <v>0.32361235919308429</v>
      </c>
      <c r="AK26" s="6"/>
      <c r="AL26" s="6"/>
      <c r="AM26" s="6"/>
      <c r="AN26" s="6"/>
      <c r="AO26" s="41">
        <v>846.01199999999994</v>
      </c>
      <c r="AP26" s="42">
        <f t="shared" si="11"/>
        <v>3018.4870000000001</v>
      </c>
      <c r="AQ26" s="42">
        <f t="shared" si="12"/>
        <v>-0.12400000000025102</v>
      </c>
      <c r="AR26" s="41">
        <v>4567.5969999999998</v>
      </c>
      <c r="AS26" s="42">
        <f t="shared" si="13"/>
        <v>0</v>
      </c>
      <c r="AT26" s="45" t="s">
        <v>10369</v>
      </c>
    </row>
    <row r="27" spans="1:46" ht="15" customHeight="1" x14ac:dyDescent="0.3">
      <c r="A27" s="6" t="s">
        <v>2189</v>
      </c>
      <c r="B27" s="14">
        <v>2023</v>
      </c>
      <c r="C27" s="15">
        <v>9498.7489999999998</v>
      </c>
      <c r="D27" s="15">
        <v>2527.4679999999998</v>
      </c>
      <c r="E27" s="15">
        <v>2421.0680000000002</v>
      </c>
      <c r="F27" s="15">
        <v>1555.713</v>
      </c>
      <c r="G27" s="15">
        <v>841.66499999999996</v>
      </c>
      <c r="H27" s="15">
        <v>839.80899999999997</v>
      </c>
      <c r="I27" s="15">
        <v>16178.278</v>
      </c>
      <c r="J27" s="15">
        <v>2949.268</v>
      </c>
      <c r="K27" s="15">
        <v>13229.01</v>
      </c>
      <c r="L27" s="15">
        <v>7288.85</v>
      </c>
      <c r="M27" s="15">
        <v>2945.9609999999998</v>
      </c>
      <c r="N27" s="15">
        <v>4342.8890000000001</v>
      </c>
      <c r="O27" s="15">
        <v>8889.4279999999999</v>
      </c>
      <c r="P27" s="16">
        <f t="shared" si="0"/>
        <v>3.3070000000002437</v>
      </c>
      <c r="Q27" s="15">
        <v>389.74599999999998</v>
      </c>
      <c r="R27" s="15">
        <v>5075.6149999999998</v>
      </c>
      <c r="S27" s="16">
        <f t="shared" si="1"/>
        <v>4685.8689999999997</v>
      </c>
      <c r="T27" s="15">
        <v>1874.3720000000001</v>
      </c>
      <c r="U27" s="15">
        <v>1382.461</v>
      </c>
      <c r="V27" s="16">
        <f t="shared" si="2"/>
        <v>491.91100000000006</v>
      </c>
      <c r="W27" s="15">
        <v>10599.842000000001</v>
      </c>
      <c r="X27" s="15">
        <v>79.23</v>
      </c>
      <c r="Y27" s="15">
        <v>822.27</v>
      </c>
      <c r="Z27" s="15"/>
      <c r="AA27" s="15">
        <v>30</v>
      </c>
      <c r="AB27" s="15">
        <v>555</v>
      </c>
      <c r="AC27" s="16">
        <f t="shared" si="3"/>
        <v>5882.9123100000006</v>
      </c>
      <c r="AD27" s="17">
        <f t="shared" si="4"/>
        <v>1.0011225538966741</v>
      </c>
      <c r="AE27" s="17">
        <f t="shared" si="5"/>
        <v>0.31373023754444074</v>
      </c>
      <c r="AF27" s="17">
        <f t="shared" si="6"/>
        <v>0.57097205804467954</v>
      </c>
      <c r="AG27" s="18">
        <f t="shared" si="7"/>
        <v>5.2024387267915653E-2</v>
      </c>
      <c r="AH27" s="18">
        <f t="shared" si="8"/>
        <v>9.4681570062775694E-2</v>
      </c>
      <c r="AI27" s="18">
        <f t="shared" si="9"/>
        <v>8.8607984061901207E-2</v>
      </c>
      <c r="AJ27" s="18">
        <f t="shared" si="10"/>
        <v>0.26608430225917118</v>
      </c>
      <c r="AK27" s="6"/>
      <c r="AL27" s="6"/>
      <c r="AM27" s="6"/>
      <c r="AN27" s="6"/>
      <c r="AO27" s="41">
        <v>865.35500000000002</v>
      </c>
      <c r="AP27" s="42">
        <f t="shared" si="11"/>
        <v>2421.0680000000002</v>
      </c>
      <c r="AQ27" s="42">
        <f t="shared" si="12"/>
        <v>0</v>
      </c>
      <c r="AR27" s="41">
        <v>4685.8689999999997</v>
      </c>
      <c r="AS27" s="42">
        <f t="shared" si="13"/>
        <v>0</v>
      </c>
      <c r="AT27" s="45" t="s">
        <v>10370</v>
      </c>
    </row>
    <row r="28" spans="1:46" ht="15" customHeight="1" x14ac:dyDescent="0.3">
      <c r="A28" s="6" t="s">
        <v>2189</v>
      </c>
      <c r="B28" s="14">
        <v>2024</v>
      </c>
      <c r="C28" s="15">
        <v>10119.219999999999</v>
      </c>
      <c r="D28" s="15">
        <v>3004.201</v>
      </c>
      <c r="E28" s="15">
        <v>3096.491</v>
      </c>
      <c r="F28" s="15">
        <v>2123.67</v>
      </c>
      <c r="G28" s="15">
        <v>1141.375</v>
      </c>
      <c r="H28" s="15">
        <v>1142.4929999999999</v>
      </c>
      <c r="I28" s="15">
        <v>17412.416000000001</v>
      </c>
      <c r="J28" s="15">
        <v>2897.2460000000001</v>
      </c>
      <c r="K28" s="15">
        <v>14515.17</v>
      </c>
      <c r="L28" s="15">
        <v>7515.1009999999997</v>
      </c>
      <c r="M28" s="15">
        <v>2530.3420000000001</v>
      </c>
      <c r="N28" s="15">
        <v>4984.759</v>
      </c>
      <c r="O28" s="15">
        <v>9897.3150000000005</v>
      </c>
      <c r="P28" s="16">
        <f t="shared" si="0"/>
        <v>366.904</v>
      </c>
      <c r="Q28" s="15">
        <v>557.02300000000002</v>
      </c>
      <c r="R28" s="15">
        <v>5228.2120000000004</v>
      </c>
      <c r="S28" s="16">
        <f t="shared" si="1"/>
        <v>4671.1890000000003</v>
      </c>
      <c r="T28" s="15">
        <v>2150.6149999999998</v>
      </c>
      <c r="U28" s="15">
        <v>1092.1010000000001</v>
      </c>
      <c r="V28" s="16">
        <f t="shared" si="2"/>
        <v>1058.5139999999997</v>
      </c>
      <c r="W28" s="15">
        <v>10599.842000000001</v>
      </c>
      <c r="X28" s="15">
        <v>107.78</v>
      </c>
      <c r="Y28" s="15">
        <v>917.32</v>
      </c>
      <c r="Z28" s="15"/>
      <c r="AA28" s="15">
        <v>22</v>
      </c>
      <c r="AB28" s="15">
        <v>950</v>
      </c>
      <c r="AC28" s="16">
        <f t="shared" si="3"/>
        <v>10069.849900000001</v>
      </c>
      <c r="AD28" s="17">
        <f t="shared" si="4"/>
        <v>1.1450017428474095</v>
      </c>
      <c r="AE28" s="17">
        <f t="shared" si="5"/>
        <v>0.30025770117139405</v>
      </c>
      <c r="AF28" s="17">
        <f t="shared" si="6"/>
        <v>0.52824548880176092</v>
      </c>
      <c r="AG28" s="18">
        <f t="shared" si="7"/>
        <v>6.5549490662295221E-2</v>
      </c>
      <c r="AH28" s="18">
        <f t="shared" si="8"/>
        <v>0.11532168067804248</v>
      </c>
      <c r="AI28" s="18">
        <f t="shared" si="9"/>
        <v>0.11279278442409593</v>
      </c>
      <c r="AJ28" s="18">
        <f t="shared" si="10"/>
        <v>0.29688068843250764</v>
      </c>
      <c r="AK28" s="6"/>
      <c r="AL28" s="6"/>
      <c r="AM28" s="6"/>
      <c r="AN28" s="6"/>
      <c r="AO28" s="41">
        <v>972.82100000000003</v>
      </c>
      <c r="AP28" s="42">
        <f t="shared" si="11"/>
        <v>3096.491</v>
      </c>
      <c r="AQ28" s="42">
        <f t="shared" si="12"/>
        <v>0</v>
      </c>
      <c r="AR28" s="41">
        <v>4671.1890000000003</v>
      </c>
      <c r="AS28" s="42">
        <f t="shared" si="13"/>
        <v>0</v>
      </c>
      <c r="AT28" s="45" t="s">
        <v>10371</v>
      </c>
    </row>
    <row r="29" spans="1:46" ht="15" customHeight="1" x14ac:dyDescent="0.3">
      <c r="A29" s="6" t="s">
        <v>2433</v>
      </c>
      <c r="B29" s="14">
        <v>2022</v>
      </c>
      <c r="C29" s="15">
        <v>4828.634</v>
      </c>
      <c r="D29" s="15">
        <v>1616.33</v>
      </c>
      <c r="E29" s="15"/>
      <c r="F29" s="15">
        <v>1304.8620000000001</v>
      </c>
      <c r="G29" s="15">
        <v>749.31100000000004</v>
      </c>
      <c r="H29" s="15">
        <v>709.14400000000001</v>
      </c>
      <c r="I29" s="15">
        <v>8624.009</v>
      </c>
      <c r="J29" s="15">
        <v>1808.825</v>
      </c>
      <c r="K29" s="15">
        <v>6815.1840000000002</v>
      </c>
      <c r="L29" s="15">
        <v>4724.9970000000003</v>
      </c>
      <c r="M29" s="15">
        <v>2052.8119999999999</v>
      </c>
      <c r="N29" s="15">
        <v>2672.1849999999999</v>
      </c>
      <c r="O29" s="15">
        <v>3899.0120000000002</v>
      </c>
      <c r="P29" s="16">
        <f t="shared" si="0"/>
        <v>-243.98699999999985</v>
      </c>
      <c r="Q29" s="15">
        <v>507.76799999999997</v>
      </c>
      <c r="R29" s="15">
        <v>3508.1930000000002</v>
      </c>
      <c r="S29" s="16">
        <f t="shared" si="1"/>
        <v>3000.4250000000002</v>
      </c>
      <c r="T29" s="15">
        <v>1895.7370000000001</v>
      </c>
      <c r="U29" s="15">
        <v>468.85899999999998</v>
      </c>
      <c r="V29" s="16">
        <f t="shared" si="2"/>
        <v>1426.8780000000002</v>
      </c>
      <c r="W29" s="15">
        <v>3629.4119999999998</v>
      </c>
      <c r="X29" s="15">
        <v>195.39</v>
      </c>
      <c r="Y29" s="15">
        <v>1074.26</v>
      </c>
      <c r="Z29" s="15"/>
      <c r="AA29" s="15"/>
      <c r="AB29" s="15">
        <v>4300</v>
      </c>
      <c r="AC29" s="16">
        <f t="shared" si="3"/>
        <v>15606.471599999999</v>
      </c>
      <c r="AD29" s="17">
        <f t="shared" si="4"/>
        <v>0.88114498551255549</v>
      </c>
      <c r="AE29" s="17">
        <f t="shared" si="5"/>
        <v>0.40679375450559019</v>
      </c>
      <c r="AF29" s="17">
        <f t="shared" si="6"/>
        <v>0.89976460703378192</v>
      </c>
      <c r="AG29" s="18">
        <f t="shared" si="7"/>
        <v>8.6886620827969913E-2</v>
      </c>
      <c r="AH29" s="18">
        <f t="shared" si="8"/>
        <v>0.19217971116785484</v>
      </c>
      <c r="AI29" s="18">
        <f t="shared" si="9"/>
        <v>0.15518074055726735</v>
      </c>
      <c r="AJ29" s="18">
        <f t="shared" si="10"/>
        <v>0.33473856167189309</v>
      </c>
      <c r="AK29" s="6"/>
      <c r="AL29" s="6"/>
      <c r="AM29" s="6"/>
      <c r="AN29" s="6"/>
      <c r="AO29" s="41">
        <v>507.53</v>
      </c>
      <c r="AP29" s="42">
        <f t="shared" si="11"/>
        <v>1812.3920000000001</v>
      </c>
      <c r="AQ29" s="42" t="str">
        <f t="shared" si="12"/>
        <v/>
      </c>
      <c r="AR29" s="41">
        <v>3000.4250000000002</v>
      </c>
      <c r="AS29" s="42">
        <f t="shared" si="13"/>
        <v>0</v>
      </c>
      <c r="AT29" s="45" t="s">
        <v>10372</v>
      </c>
    </row>
    <row r="30" spans="1:46" ht="15" customHeight="1" x14ac:dyDescent="0.3">
      <c r="A30" s="6" t="s">
        <v>2433</v>
      </c>
      <c r="B30" s="14">
        <v>2023</v>
      </c>
      <c r="C30" s="15">
        <v>5062.2439999999997</v>
      </c>
      <c r="D30" s="15">
        <v>832.91399999999999</v>
      </c>
      <c r="E30" s="15"/>
      <c r="F30" s="15">
        <v>379.31900000000002</v>
      </c>
      <c r="G30" s="15">
        <v>161.679</v>
      </c>
      <c r="H30" s="15">
        <v>153.571</v>
      </c>
      <c r="I30" s="15">
        <v>8634.0349999999999</v>
      </c>
      <c r="J30" s="15">
        <v>1800.279</v>
      </c>
      <c r="K30" s="15">
        <v>6833.7569999999996</v>
      </c>
      <c r="L30" s="15">
        <v>4570.3860000000004</v>
      </c>
      <c r="M30" s="15">
        <v>2594.2249999999999</v>
      </c>
      <c r="N30" s="15">
        <v>1976.162</v>
      </c>
      <c r="O30" s="15">
        <v>4063.6489999999999</v>
      </c>
      <c r="P30" s="16">
        <f t="shared" si="0"/>
        <v>-793.94599999999991</v>
      </c>
      <c r="Q30" s="15">
        <v>475.80200000000002</v>
      </c>
      <c r="R30" s="15">
        <v>3259.078</v>
      </c>
      <c r="S30" s="16">
        <f t="shared" si="1"/>
        <v>2783.2759999999998</v>
      </c>
      <c r="T30" s="15">
        <v>1030.9690000000001</v>
      </c>
      <c r="U30" s="15">
        <v>478.93799999999999</v>
      </c>
      <c r="V30" s="16">
        <f t="shared" si="2"/>
        <v>552.03100000000006</v>
      </c>
      <c r="W30" s="15">
        <v>3629.4119999999998</v>
      </c>
      <c r="X30" s="15">
        <v>42.31</v>
      </c>
      <c r="Y30" s="15">
        <v>1065.46</v>
      </c>
      <c r="Z30" s="15"/>
      <c r="AA30" s="15"/>
      <c r="AB30" s="15">
        <v>5300</v>
      </c>
      <c r="AC30" s="16">
        <f t="shared" si="3"/>
        <v>19235.883599999997</v>
      </c>
      <c r="AD30" s="17">
        <f t="shared" si="4"/>
        <v>0.69395638389114289</v>
      </c>
      <c r="AE30" s="17">
        <f t="shared" si="5"/>
        <v>0.37746870379839786</v>
      </c>
      <c r="AF30" s="17">
        <f t="shared" si="6"/>
        <v>0.80200775214591613</v>
      </c>
      <c r="AG30" s="18">
        <f t="shared" si="7"/>
        <v>1.8725775376171164E-2</v>
      </c>
      <c r="AH30" s="18">
        <f t="shared" si="8"/>
        <v>3.9786654802124892E-2</v>
      </c>
      <c r="AI30" s="18">
        <f t="shared" si="9"/>
        <v>3.193820764072218E-2</v>
      </c>
      <c r="AJ30" s="18">
        <f t="shared" si="10"/>
        <v>0.16453454238871143</v>
      </c>
      <c r="AK30" s="6"/>
      <c r="AL30" s="6"/>
      <c r="AM30" s="6"/>
      <c r="AN30" s="6"/>
      <c r="AO30" s="41">
        <v>518.45600000000002</v>
      </c>
      <c r="AP30" s="42">
        <f t="shared" si="11"/>
        <v>897.77500000000009</v>
      </c>
      <c r="AQ30" s="42" t="str">
        <f t="shared" si="12"/>
        <v/>
      </c>
      <c r="AR30" s="41">
        <v>2783.2759999999998</v>
      </c>
      <c r="AS30" s="42">
        <f t="shared" si="13"/>
        <v>0</v>
      </c>
      <c r="AT30" s="45" t="s">
        <v>10373</v>
      </c>
    </row>
    <row r="31" spans="1:46" ht="15" customHeight="1" x14ac:dyDescent="0.3">
      <c r="A31" s="6" t="s">
        <v>2433</v>
      </c>
      <c r="B31" s="14">
        <v>2024</v>
      </c>
      <c r="C31" s="15">
        <v>5742.9840000000004</v>
      </c>
      <c r="D31" s="15">
        <v>1318.57</v>
      </c>
      <c r="E31" s="15"/>
      <c r="F31" s="15">
        <v>876.68499999999995</v>
      </c>
      <c r="G31" s="15">
        <v>571.45399999999995</v>
      </c>
      <c r="H31" s="15">
        <v>542.47299999999996</v>
      </c>
      <c r="I31" s="15">
        <v>8816.6839999999993</v>
      </c>
      <c r="J31" s="15">
        <v>1943.127</v>
      </c>
      <c r="K31" s="15">
        <v>6873.5569999999998</v>
      </c>
      <c r="L31" s="15">
        <v>4963.9489999999996</v>
      </c>
      <c r="M31" s="15">
        <v>2572.4879999999998</v>
      </c>
      <c r="N31" s="15">
        <v>2391.4609999999998</v>
      </c>
      <c r="O31" s="15">
        <v>3852.7350000000001</v>
      </c>
      <c r="P31" s="16">
        <f t="shared" si="0"/>
        <v>-629.36099999999988</v>
      </c>
      <c r="Q31" s="15">
        <v>815.77700000000004</v>
      </c>
      <c r="R31" s="15">
        <v>3514.1379999999999</v>
      </c>
      <c r="S31" s="16">
        <f t="shared" si="1"/>
        <v>2698.3609999999999</v>
      </c>
      <c r="T31" s="15">
        <v>1706.1220000000001</v>
      </c>
      <c r="U31" s="15">
        <v>516.22299999999996</v>
      </c>
      <c r="V31" s="16">
        <f t="shared" si="2"/>
        <v>1189.8990000000001</v>
      </c>
      <c r="W31" s="15">
        <v>3629.4119999999998</v>
      </c>
      <c r="X31" s="15">
        <v>151.02000000000001</v>
      </c>
      <c r="Y31" s="15">
        <v>1061.52</v>
      </c>
      <c r="Z31" s="15"/>
      <c r="AA31" s="15"/>
      <c r="AB31" s="15">
        <v>5400</v>
      </c>
      <c r="AC31" s="16">
        <f t="shared" si="3"/>
        <v>19598.824800000002</v>
      </c>
      <c r="AD31" s="17">
        <f t="shared" si="4"/>
        <v>0.755349296090011</v>
      </c>
      <c r="AE31" s="17">
        <f t="shared" si="5"/>
        <v>0.39857819561186497</v>
      </c>
      <c r="AF31" s="17">
        <f t="shared" si="6"/>
        <v>0.91211515975015145</v>
      </c>
      <c r="AG31" s="18">
        <f t="shared" si="7"/>
        <v>6.4815071062998289E-2</v>
      </c>
      <c r="AH31" s="18">
        <f t="shared" si="8"/>
        <v>0.14832424238884842</v>
      </c>
      <c r="AI31" s="18">
        <f t="shared" si="9"/>
        <v>9.9504717408232357E-2</v>
      </c>
      <c r="AJ31" s="18">
        <f t="shared" si="10"/>
        <v>0.22959666960590519</v>
      </c>
      <c r="AK31" s="6"/>
      <c r="AL31" s="6"/>
      <c r="AM31" s="6"/>
      <c r="AN31" s="6"/>
      <c r="AO31" s="41">
        <v>523.88099999999997</v>
      </c>
      <c r="AP31" s="42">
        <f t="shared" si="11"/>
        <v>1400.5659999999998</v>
      </c>
      <c r="AQ31" s="42" t="str">
        <f t="shared" si="12"/>
        <v/>
      </c>
      <c r="AR31" s="41">
        <v>2698.3609999999999</v>
      </c>
      <c r="AS31" s="42">
        <f t="shared" si="13"/>
        <v>0</v>
      </c>
      <c r="AT31" s="45" t="s">
        <v>10374</v>
      </c>
    </row>
    <row r="32" spans="1:46" ht="15" customHeight="1" x14ac:dyDescent="0.3">
      <c r="A32" s="6" t="s">
        <v>2636</v>
      </c>
      <c r="B32" s="14">
        <v>2022</v>
      </c>
      <c r="C32" s="15">
        <v>23242</v>
      </c>
      <c r="D32" s="15">
        <v>1243.4000000000001</v>
      </c>
      <c r="E32" s="15"/>
      <c r="F32" s="15">
        <v>748</v>
      </c>
      <c r="G32" s="15">
        <v>486.4</v>
      </c>
      <c r="H32" s="15">
        <v>478.8</v>
      </c>
      <c r="I32" s="15">
        <v>7185.9</v>
      </c>
      <c r="J32" s="15">
        <v>5283.3</v>
      </c>
      <c r="K32" s="15">
        <v>1902.1</v>
      </c>
      <c r="L32" s="15">
        <v>4578.1000000000004</v>
      </c>
      <c r="M32" s="15">
        <v>3645.2</v>
      </c>
      <c r="N32" s="15">
        <v>933.3</v>
      </c>
      <c r="O32" s="15">
        <v>2605.8000000000002</v>
      </c>
      <c r="P32" s="16">
        <f t="shared" si="0"/>
        <v>1638.1000000000004</v>
      </c>
      <c r="Q32" s="15">
        <v>811.1</v>
      </c>
      <c r="R32" s="15">
        <v>2085</v>
      </c>
      <c r="S32" s="16">
        <f t="shared" si="1"/>
        <v>1273.9000000000001</v>
      </c>
      <c r="T32" s="15">
        <v>366.1</v>
      </c>
      <c r="U32" s="15">
        <v>94.7</v>
      </c>
      <c r="V32" s="16">
        <f t="shared" si="2"/>
        <v>271.40000000000003</v>
      </c>
      <c r="W32" s="15">
        <v>480</v>
      </c>
      <c r="X32" s="15">
        <v>995</v>
      </c>
      <c r="Y32" s="15"/>
      <c r="Z32" s="15"/>
      <c r="AA32" s="15"/>
      <c r="AB32" s="15">
        <v>6750</v>
      </c>
      <c r="AC32" s="16">
        <f t="shared" si="3"/>
        <v>3240</v>
      </c>
      <c r="AD32" s="17">
        <f t="shared" si="4"/>
        <v>1.4493854932513992</v>
      </c>
      <c r="AE32" s="17">
        <f t="shared" si="5"/>
        <v>0.29015154677910909</v>
      </c>
      <c r="AF32" s="17">
        <f t="shared" si="6"/>
        <v>0.80013815335021865</v>
      </c>
      <c r="AG32" s="18">
        <f t="shared" si="7"/>
        <v>6.7688111440459789E-2</v>
      </c>
      <c r="AH32" s="18">
        <f t="shared" si="8"/>
        <v>0.18666052651776804</v>
      </c>
      <c r="AI32" s="18">
        <f t="shared" si="9"/>
        <v>2.0927631012821614E-2</v>
      </c>
      <c r="AJ32" s="18">
        <f t="shared" si="10"/>
        <v>5.3497977798812497E-2</v>
      </c>
      <c r="AK32" s="6"/>
      <c r="AL32" s="6"/>
      <c r="AM32" s="6"/>
      <c r="AN32" s="6"/>
      <c r="AO32" s="41"/>
      <c r="AP32" s="42">
        <f t="shared" si="11"/>
        <v>748</v>
      </c>
      <c r="AQ32" s="42" t="str">
        <f t="shared" si="12"/>
        <v/>
      </c>
      <c r="AR32" s="41"/>
      <c r="AS32" s="42" t="str">
        <f t="shared" si="13"/>
        <v/>
      </c>
      <c r="AT32" s="45" t="s">
        <v>10375</v>
      </c>
    </row>
    <row r="33" spans="1:46" ht="15" customHeight="1" x14ac:dyDescent="0.3">
      <c r="A33" s="6" t="s">
        <v>2636</v>
      </c>
      <c r="B33" s="14">
        <v>2023</v>
      </c>
      <c r="C33" s="15">
        <v>21349</v>
      </c>
      <c r="D33" s="15">
        <v>1083</v>
      </c>
      <c r="E33" s="15"/>
      <c r="F33" s="15">
        <v>656</v>
      </c>
      <c r="G33" s="15">
        <v>377</v>
      </c>
      <c r="H33" s="15">
        <v>368</v>
      </c>
      <c r="I33" s="15">
        <v>7567</v>
      </c>
      <c r="J33" s="15">
        <v>5513</v>
      </c>
      <c r="K33" s="15">
        <v>2053</v>
      </c>
      <c r="L33" s="15">
        <v>4813</v>
      </c>
      <c r="M33" s="15">
        <v>4081</v>
      </c>
      <c r="N33" s="15">
        <v>732</v>
      </c>
      <c r="O33" s="15">
        <v>2755</v>
      </c>
      <c r="P33" s="16">
        <f t="shared" si="0"/>
        <v>1432</v>
      </c>
      <c r="Q33" s="15">
        <v>977</v>
      </c>
      <c r="R33" s="15">
        <v>2212</v>
      </c>
      <c r="S33" s="16">
        <f t="shared" si="1"/>
        <v>1235</v>
      </c>
      <c r="T33" s="15">
        <v>586</v>
      </c>
      <c r="U33" s="15">
        <v>225</v>
      </c>
      <c r="V33" s="16">
        <f t="shared" si="2"/>
        <v>361</v>
      </c>
      <c r="W33" s="15">
        <v>480</v>
      </c>
      <c r="X33" s="15">
        <v>762</v>
      </c>
      <c r="Y33" s="15"/>
      <c r="Z33" s="15"/>
      <c r="AA33" s="15"/>
      <c r="AB33" s="15">
        <v>5525</v>
      </c>
      <c r="AC33" s="16">
        <f t="shared" si="3"/>
        <v>2652</v>
      </c>
      <c r="AD33" s="17">
        <f t="shared" si="4"/>
        <v>1.3508943886302376</v>
      </c>
      <c r="AE33" s="17">
        <f t="shared" si="5"/>
        <v>0.2923219241443108</v>
      </c>
      <c r="AF33" s="17">
        <f t="shared" si="6"/>
        <v>0.80290381125226862</v>
      </c>
      <c r="AG33" s="18">
        <f t="shared" si="7"/>
        <v>4.9821593762389323E-2</v>
      </c>
      <c r="AH33" s="18">
        <f t="shared" si="8"/>
        <v>0.1368421052631579</v>
      </c>
      <c r="AI33" s="18">
        <f t="shared" si="9"/>
        <v>1.7658906740362548E-2</v>
      </c>
      <c r="AJ33" s="18">
        <f t="shared" si="10"/>
        <v>5.0728371352288165E-2</v>
      </c>
      <c r="AK33" s="6"/>
      <c r="AL33" s="6"/>
      <c r="AM33" s="6"/>
      <c r="AN33" s="6"/>
      <c r="AO33" s="41"/>
      <c r="AP33" s="42">
        <f t="shared" si="11"/>
        <v>656</v>
      </c>
      <c r="AQ33" s="42" t="str">
        <f t="shared" si="12"/>
        <v/>
      </c>
      <c r="AR33" s="41"/>
      <c r="AS33" s="42" t="str">
        <f t="shared" si="13"/>
        <v/>
      </c>
      <c r="AT33" s="45" t="s">
        <v>10376</v>
      </c>
    </row>
    <row r="34" spans="1:46" ht="15" customHeight="1" x14ac:dyDescent="0.3">
      <c r="A34" s="6" t="s">
        <v>2636</v>
      </c>
      <c r="B34" s="14">
        <v>2024</v>
      </c>
      <c r="C34" s="15">
        <v>20495</v>
      </c>
      <c r="D34" s="15">
        <v>845</v>
      </c>
      <c r="E34" s="15"/>
      <c r="F34" s="15">
        <v>367</v>
      </c>
      <c r="G34" s="15">
        <v>152</v>
      </c>
      <c r="H34" s="15">
        <v>138</v>
      </c>
      <c r="I34" s="15">
        <v>8439</v>
      </c>
      <c r="J34" s="15">
        <v>6157</v>
      </c>
      <c r="K34" s="15">
        <v>2282</v>
      </c>
      <c r="L34" s="15">
        <v>5611</v>
      </c>
      <c r="M34" s="15">
        <v>4749</v>
      </c>
      <c r="N34" s="15">
        <v>862</v>
      </c>
      <c r="O34" s="15">
        <v>2828</v>
      </c>
      <c r="P34" s="16">
        <f t="shared" ref="P34:P65" si="14">IFERROR(J34-M34,"")</f>
        <v>1408</v>
      </c>
      <c r="Q34" s="15">
        <v>1235</v>
      </c>
      <c r="R34" s="15">
        <v>2027</v>
      </c>
      <c r="S34" s="16">
        <f t="shared" ref="S34:S65" si="15">IFERROR(R34-Q34,"")</f>
        <v>792</v>
      </c>
      <c r="T34" s="15">
        <v>830</v>
      </c>
      <c r="U34" s="15">
        <v>171</v>
      </c>
      <c r="V34" s="16">
        <f t="shared" ref="V34:V65" si="16">IFERROR(T34-U34,"")</f>
        <v>659</v>
      </c>
      <c r="W34" s="15">
        <v>480</v>
      </c>
      <c r="X34" s="15">
        <v>285</v>
      </c>
      <c r="Y34" s="15"/>
      <c r="Z34" s="15"/>
      <c r="AA34" s="15"/>
      <c r="AB34" s="15">
        <v>10650</v>
      </c>
      <c r="AC34" s="16">
        <f t="shared" ref="AC34:AC65" si="17">IFERROR(W34*AB34/1000,"")</f>
        <v>5112</v>
      </c>
      <c r="AD34" s="17">
        <f t="shared" ref="AD34:AD65" si="18">IFERROR(J34/M34,"")</f>
        <v>1.2964834702042536</v>
      </c>
      <c r="AE34" s="17">
        <f t="shared" ref="AE34:AE65" si="19">IFERROR(R34/I34,"")</f>
        <v>0.24019433582177982</v>
      </c>
      <c r="AF34" s="17">
        <f t="shared" ref="AF34:AF65" si="20">IFERROR(R34/O34,"")</f>
        <v>0.71676096181046678</v>
      </c>
      <c r="AG34" s="18">
        <f t="shared" ref="AG34:AG65" si="21">IFERROR(G34/I34,"")</f>
        <v>1.8011612750325867E-2</v>
      </c>
      <c r="AH34" s="18">
        <f t="shared" ref="AH34:AH65" si="22">IFERROR(G34/O34,"")</f>
        <v>5.3748231966053751E-2</v>
      </c>
      <c r="AI34" s="18">
        <f t="shared" ref="AI34:AI65" si="23">IFERROR(G34/C34,"")</f>
        <v>7.416443034886558E-3</v>
      </c>
      <c r="AJ34" s="18">
        <f t="shared" ref="AJ34:AJ65" si="24">IFERROR(D34/C34,"")</f>
        <v>4.1229568187362772E-2</v>
      </c>
      <c r="AK34" s="6"/>
      <c r="AL34" s="6"/>
      <c r="AM34" s="6"/>
      <c r="AN34" s="6"/>
      <c r="AO34" s="41"/>
      <c r="AP34" s="42">
        <f t="shared" ref="AP34:AP65" si="25">IFERROR(IF(AND(NOT(ISNUMBER(F34)),NOT(ISNUMBER(AO34))),"",F34+AO34),"")</f>
        <v>367</v>
      </c>
      <c r="AQ34" s="42" t="str">
        <f t="shared" ref="AQ34:AQ65" si="26">IFERROR(IF(OR(NOT(ISNUMBER(E34)),NOT(ISNUMBER(AP34))),"",E34-AP34),"")</f>
        <v/>
      </c>
      <c r="AR34" s="41"/>
      <c r="AS34" s="42" t="str">
        <f t="shared" ref="AS34:AS65" si="27">IFERROR(IF(OR(NOT(ISNUMBER(AR34)),NOT(ISNUMBER(S34))),"",AR34-S34),"")</f>
        <v/>
      </c>
      <c r="AT34" s="45" t="s">
        <v>10377</v>
      </c>
    </row>
    <row r="35" spans="1:46" ht="15" customHeight="1" x14ac:dyDescent="0.3">
      <c r="A35" s="6" t="s">
        <v>2830</v>
      </c>
      <c r="B35" s="14">
        <v>2020</v>
      </c>
      <c r="C35" s="15">
        <v>3.72</v>
      </c>
      <c r="D35" s="15">
        <v>-4.84</v>
      </c>
      <c r="E35" s="15"/>
      <c r="F35" s="15">
        <v>-10.09</v>
      </c>
      <c r="G35" s="15">
        <v>-383.23</v>
      </c>
      <c r="H35" s="15">
        <v>-302.02999999999997</v>
      </c>
      <c r="I35" s="15">
        <v>471.66</v>
      </c>
      <c r="J35" s="15">
        <v>8.1</v>
      </c>
      <c r="K35" s="15">
        <v>463.56</v>
      </c>
      <c r="L35" s="15">
        <v>387.27</v>
      </c>
      <c r="M35" s="15">
        <v>93.33</v>
      </c>
      <c r="N35" s="15">
        <v>293.94</v>
      </c>
      <c r="O35" s="15">
        <v>84.39</v>
      </c>
      <c r="P35" s="16">
        <f t="shared" si="14"/>
        <v>-85.23</v>
      </c>
      <c r="Q35" s="15">
        <v>0.17</v>
      </c>
      <c r="R35" s="15">
        <v>228.53</v>
      </c>
      <c r="S35" s="16">
        <f t="shared" si="15"/>
        <v>228.36</v>
      </c>
      <c r="T35" s="15">
        <v>1.04</v>
      </c>
      <c r="U35" s="15">
        <v>15.83</v>
      </c>
      <c r="V35" s="16">
        <f t="shared" si="16"/>
        <v>-14.79</v>
      </c>
      <c r="W35" s="15"/>
      <c r="X35" s="15">
        <v>-82.41</v>
      </c>
      <c r="Y35" s="15"/>
      <c r="Z35" s="15"/>
      <c r="AA35" s="15"/>
      <c r="AB35" s="15"/>
      <c r="AC35" s="16">
        <f t="shared" si="17"/>
        <v>0</v>
      </c>
      <c r="AD35" s="17">
        <f t="shared" si="18"/>
        <v>8.6788813886210223E-2</v>
      </c>
      <c r="AE35" s="17">
        <f t="shared" si="19"/>
        <v>0.4845227494381546</v>
      </c>
      <c r="AF35" s="17">
        <f t="shared" si="20"/>
        <v>2.7080222775210334</v>
      </c>
      <c r="AG35" s="18">
        <f t="shared" si="21"/>
        <v>-0.8125132510706865</v>
      </c>
      <c r="AH35" s="18">
        <f t="shared" si="22"/>
        <v>-4.5411778646759098</v>
      </c>
      <c r="AI35" s="18">
        <f t="shared" si="23"/>
        <v>-103.01881720430107</v>
      </c>
      <c r="AJ35" s="18">
        <f t="shared" si="24"/>
        <v>-1.3010752688172043</v>
      </c>
      <c r="AK35" s="6"/>
      <c r="AL35" s="6"/>
      <c r="AM35" s="6"/>
      <c r="AN35" s="6"/>
      <c r="AO35" s="41"/>
      <c r="AP35" s="42">
        <f t="shared" si="25"/>
        <v>-10.09</v>
      </c>
      <c r="AQ35" s="42" t="str">
        <f t="shared" si="26"/>
        <v/>
      </c>
      <c r="AR35" s="41"/>
      <c r="AS35" s="42" t="str">
        <f t="shared" si="27"/>
        <v/>
      </c>
      <c r="AT35" s="45" t="s">
        <v>10378</v>
      </c>
    </row>
    <row r="36" spans="1:46" ht="15" customHeight="1" x14ac:dyDescent="0.3">
      <c r="A36" s="6" t="s">
        <v>2957</v>
      </c>
      <c r="B36" s="14">
        <v>2024</v>
      </c>
      <c r="C36" s="15">
        <v>1444</v>
      </c>
      <c r="D36" s="15">
        <v>186</v>
      </c>
      <c r="E36" s="15"/>
      <c r="F36" s="15">
        <v>109</v>
      </c>
      <c r="G36" s="15">
        <v>79</v>
      </c>
      <c r="H36" s="15">
        <v>60</v>
      </c>
      <c r="I36" s="15">
        <v>980</v>
      </c>
      <c r="J36" s="15">
        <v>575</v>
      </c>
      <c r="K36" s="15">
        <v>405</v>
      </c>
      <c r="L36" s="15">
        <v>301</v>
      </c>
      <c r="M36" s="15">
        <v>271</v>
      </c>
      <c r="N36" s="15">
        <v>30</v>
      </c>
      <c r="O36" s="15">
        <v>679</v>
      </c>
      <c r="P36" s="16">
        <f t="shared" si="14"/>
        <v>304</v>
      </c>
      <c r="Q36" s="15">
        <v>29</v>
      </c>
      <c r="R36" s="15">
        <v>65</v>
      </c>
      <c r="S36" s="16">
        <f t="shared" si="15"/>
        <v>36</v>
      </c>
      <c r="T36" s="15">
        <v>-8</v>
      </c>
      <c r="U36" s="15">
        <v>134</v>
      </c>
      <c r="V36" s="16">
        <f t="shared" si="16"/>
        <v>-142</v>
      </c>
      <c r="W36" s="15">
        <v>2500</v>
      </c>
      <c r="X36" s="15">
        <v>27</v>
      </c>
      <c r="Y36" s="15"/>
      <c r="Z36" s="15"/>
      <c r="AA36" s="15"/>
      <c r="AB36" s="15">
        <v>302</v>
      </c>
      <c r="AC36" s="16">
        <f t="shared" si="17"/>
        <v>755</v>
      </c>
      <c r="AD36" s="17">
        <f t="shared" si="18"/>
        <v>2.121771217712177</v>
      </c>
      <c r="AE36" s="17">
        <f t="shared" si="19"/>
        <v>6.6326530612244902E-2</v>
      </c>
      <c r="AF36" s="17">
        <f t="shared" si="20"/>
        <v>9.5729013254786458E-2</v>
      </c>
      <c r="AG36" s="18">
        <f t="shared" si="21"/>
        <v>8.0612244897959179E-2</v>
      </c>
      <c r="AH36" s="18">
        <f t="shared" si="22"/>
        <v>0.11634756995581738</v>
      </c>
      <c r="AI36" s="18">
        <f t="shared" si="23"/>
        <v>5.4709141274238225E-2</v>
      </c>
      <c r="AJ36" s="18">
        <f t="shared" si="24"/>
        <v>0.12880886426592797</v>
      </c>
      <c r="AK36" s="6"/>
      <c r="AL36" s="6"/>
      <c r="AM36" s="6"/>
      <c r="AN36" s="6"/>
      <c r="AO36" s="41"/>
      <c r="AP36" s="42">
        <f t="shared" si="25"/>
        <v>109</v>
      </c>
      <c r="AQ36" s="42" t="str">
        <f t="shared" si="26"/>
        <v/>
      </c>
      <c r="AR36" s="41">
        <v>36</v>
      </c>
      <c r="AS36" s="42">
        <f t="shared" si="27"/>
        <v>0</v>
      </c>
      <c r="AT36" s="45" t="s">
        <v>10379</v>
      </c>
    </row>
    <row r="37" spans="1:46" ht="15" customHeight="1" x14ac:dyDescent="0.3">
      <c r="A37" s="6" t="s">
        <v>3129</v>
      </c>
      <c r="B37" s="14">
        <v>2022</v>
      </c>
      <c r="C37" s="15">
        <v>554.70000000000005</v>
      </c>
      <c r="D37" s="15">
        <v>122.5</v>
      </c>
      <c r="E37" s="15">
        <v>305.8</v>
      </c>
      <c r="F37" s="15">
        <v>136.9</v>
      </c>
      <c r="G37" s="15">
        <v>75.8</v>
      </c>
      <c r="H37" s="15">
        <v>75.599999999999994</v>
      </c>
      <c r="I37" s="15">
        <v>2045.4</v>
      </c>
      <c r="J37" s="15">
        <v>456.9</v>
      </c>
      <c r="K37" s="15">
        <v>1588.5</v>
      </c>
      <c r="L37" s="15">
        <v>892.9</v>
      </c>
      <c r="M37" s="15">
        <v>455.9</v>
      </c>
      <c r="N37" s="15">
        <v>437</v>
      </c>
      <c r="O37" s="15">
        <v>1152.5</v>
      </c>
      <c r="P37" s="16">
        <f t="shared" si="14"/>
        <v>1</v>
      </c>
      <c r="Q37" s="15">
        <v>235.2</v>
      </c>
      <c r="R37" s="15">
        <v>356.7</v>
      </c>
      <c r="S37" s="16">
        <f t="shared" si="15"/>
        <v>121.5</v>
      </c>
      <c r="T37" s="15">
        <v>178.7</v>
      </c>
      <c r="U37" s="15">
        <v>31.7</v>
      </c>
      <c r="V37" s="16">
        <f t="shared" si="16"/>
        <v>147</v>
      </c>
      <c r="W37" s="15">
        <v>6000</v>
      </c>
      <c r="X37" s="15">
        <v>12.61</v>
      </c>
      <c r="Y37" s="15"/>
      <c r="Z37" s="15"/>
      <c r="AA37" s="15"/>
      <c r="AB37" s="15">
        <v>81</v>
      </c>
      <c r="AC37" s="16">
        <f t="shared" si="17"/>
        <v>486</v>
      </c>
      <c r="AD37" s="17">
        <f t="shared" si="18"/>
        <v>1.002193463478833</v>
      </c>
      <c r="AE37" s="17">
        <f t="shared" si="19"/>
        <v>0.17439131710178937</v>
      </c>
      <c r="AF37" s="17">
        <f t="shared" si="20"/>
        <v>0.30950108459869846</v>
      </c>
      <c r="AG37" s="18">
        <f t="shared" si="21"/>
        <v>3.7058766011538083E-2</v>
      </c>
      <c r="AH37" s="18">
        <f t="shared" si="22"/>
        <v>6.577006507592191E-2</v>
      </c>
      <c r="AI37" s="18">
        <f t="shared" si="23"/>
        <v>0.13665044168018747</v>
      </c>
      <c r="AJ37" s="18">
        <f t="shared" si="24"/>
        <v>0.22084009374436631</v>
      </c>
      <c r="AK37" s="6"/>
      <c r="AL37" s="6"/>
      <c r="AM37" s="6"/>
      <c r="AN37" s="6"/>
      <c r="AO37" s="41">
        <v>168.9</v>
      </c>
      <c r="AP37" s="42">
        <f t="shared" si="25"/>
        <v>305.8</v>
      </c>
      <c r="AQ37" s="42">
        <f t="shared" si="26"/>
        <v>0</v>
      </c>
      <c r="AR37" s="41">
        <v>121.5</v>
      </c>
      <c r="AS37" s="42">
        <f t="shared" si="27"/>
        <v>0</v>
      </c>
      <c r="AT37" s="45" t="s">
        <v>10380</v>
      </c>
    </row>
    <row r="38" spans="1:46" ht="15" customHeight="1" x14ac:dyDescent="0.3">
      <c r="A38" s="6" t="s">
        <v>3129</v>
      </c>
      <c r="B38" s="14">
        <v>2023</v>
      </c>
      <c r="C38" s="15">
        <v>744.3</v>
      </c>
      <c r="D38" s="15">
        <v>93.6</v>
      </c>
      <c r="E38" s="15">
        <v>169.2</v>
      </c>
      <c r="F38" s="15">
        <v>44.4</v>
      </c>
      <c r="G38" s="15">
        <v>2.4</v>
      </c>
      <c r="H38" s="15">
        <v>2.1</v>
      </c>
      <c r="I38" s="15">
        <v>2118.1999999999998</v>
      </c>
      <c r="J38" s="15">
        <v>572.29999999999995</v>
      </c>
      <c r="K38" s="15">
        <v>1545.9</v>
      </c>
      <c r="L38" s="15">
        <v>949.9</v>
      </c>
      <c r="M38" s="15">
        <v>345.4</v>
      </c>
      <c r="N38" s="15">
        <v>604.6</v>
      </c>
      <c r="O38" s="15">
        <v>1168.3</v>
      </c>
      <c r="P38" s="16">
        <f t="shared" si="14"/>
        <v>226.89999999999998</v>
      </c>
      <c r="Q38" s="15">
        <v>355.4</v>
      </c>
      <c r="R38" s="15">
        <v>466.6</v>
      </c>
      <c r="S38" s="16">
        <f t="shared" si="15"/>
        <v>111.20000000000005</v>
      </c>
      <c r="T38" s="15">
        <v>260.2</v>
      </c>
      <c r="U38" s="15">
        <v>93.2</v>
      </c>
      <c r="V38" s="16">
        <f t="shared" si="16"/>
        <v>167</v>
      </c>
      <c r="W38" s="15">
        <v>6000</v>
      </c>
      <c r="X38" s="15">
        <v>0.36</v>
      </c>
      <c r="Y38" s="15"/>
      <c r="Z38" s="15"/>
      <c r="AA38" s="15"/>
      <c r="AB38" s="15">
        <v>120</v>
      </c>
      <c r="AC38" s="16">
        <f t="shared" si="17"/>
        <v>720</v>
      </c>
      <c r="AD38" s="17">
        <f t="shared" si="18"/>
        <v>1.6569195136074117</v>
      </c>
      <c r="AE38" s="17">
        <f t="shared" si="19"/>
        <v>0.22028137097535647</v>
      </c>
      <c r="AF38" s="17">
        <f t="shared" si="20"/>
        <v>0.39938371993494826</v>
      </c>
      <c r="AG38" s="18">
        <f t="shared" si="21"/>
        <v>1.133037484656784E-3</v>
      </c>
      <c r="AH38" s="18">
        <f t="shared" si="22"/>
        <v>2.0542668835059489E-3</v>
      </c>
      <c r="AI38" s="18">
        <f t="shared" si="23"/>
        <v>3.2245062474808546E-3</v>
      </c>
      <c r="AJ38" s="18">
        <f t="shared" si="24"/>
        <v>0.12575574365175332</v>
      </c>
      <c r="AK38" s="6"/>
      <c r="AL38" s="6"/>
      <c r="AM38" s="6"/>
      <c r="AN38" s="6"/>
      <c r="AO38" s="41">
        <v>124.8</v>
      </c>
      <c r="AP38" s="42">
        <f t="shared" si="25"/>
        <v>169.2</v>
      </c>
      <c r="AQ38" s="42">
        <f t="shared" si="26"/>
        <v>0</v>
      </c>
      <c r="AR38" s="41">
        <v>111.3</v>
      </c>
      <c r="AS38" s="42">
        <f t="shared" si="27"/>
        <v>9.9999999999951683E-2</v>
      </c>
      <c r="AT38" s="45" t="s">
        <v>10381</v>
      </c>
    </row>
    <row r="39" spans="1:46" ht="15" customHeight="1" x14ac:dyDescent="0.3">
      <c r="A39" s="6" t="s">
        <v>3129</v>
      </c>
      <c r="B39" s="14">
        <v>2024</v>
      </c>
      <c r="C39" s="15">
        <v>804.6</v>
      </c>
      <c r="D39" s="15">
        <v>163.6</v>
      </c>
      <c r="E39" s="15">
        <v>242.4</v>
      </c>
      <c r="F39" s="15">
        <v>115.6</v>
      </c>
      <c r="G39" s="15">
        <v>62.4</v>
      </c>
      <c r="H39" s="15">
        <v>60.5</v>
      </c>
      <c r="I39" s="15">
        <v>2321.1999999999998</v>
      </c>
      <c r="J39" s="15">
        <v>286.2</v>
      </c>
      <c r="K39" s="15">
        <v>2035</v>
      </c>
      <c r="L39" s="15">
        <v>1089.3</v>
      </c>
      <c r="M39" s="15">
        <v>510.9</v>
      </c>
      <c r="N39" s="15">
        <v>578.4</v>
      </c>
      <c r="O39" s="15">
        <v>1232</v>
      </c>
      <c r="P39" s="16">
        <f t="shared" si="14"/>
        <v>-224.7</v>
      </c>
      <c r="Q39" s="15">
        <v>154.80000000000001</v>
      </c>
      <c r="R39" s="15">
        <v>391.7</v>
      </c>
      <c r="S39" s="16">
        <f t="shared" si="15"/>
        <v>236.89999999999998</v>
      </c>
      <c r="T39" s="15">
        <v>169.6</v>
      </c>
      <c r="U39" s="15">
        <v>21.9</v>
      </c>
      <c r="V39" s="16">
        <f t="shared" si="16"/>
        <v>147.69999999999999</v>
      </c>
      <c r="W39" s="15">
        <v>6000</v>
      </c>
      <c r="X39" s="15">
        <v>10.09</v>
      </c>
      <c r="Y39" s="15"/>
      <c r="Z39" s="15"/>
      <c r="AA39" s="15"/>
      <c r="AB39" s="15">
        <v>113</v>
      </c>
      <c r="AC39" s="16">
        <f t="shared" si="17"/>
        <v>678</v>
      </c>
      <c r="AD39" s="17">
        <f t="shared" si="18"/>
        <v>0.56018790369935412</v>
      </c>
      <c r="AE39" s="17">
        <f t="shared" si="19"/>
        <v>0.16874892297087715</v>
      </c>
      <c r="AF39" s="17">
        <f t="shared" si="20"/>
        <v>0.31793831168831166</v>
      </c>
      <c r="AG39" s="18">
        <f t="shared" si="21"/>
        <v>2.6882646906772362E-2</v>
      </c>
      <c r="AH39" s="18">
        <f t="shared" si="22"/>
        <v>5.0649350649350645E-2</v>
      </c>
      <c r="AI39" s="18">
        <f t="shared" si="23"/>
        <v>7.755406413124534E-2</v>
      </c>
      <c r="AJ39" s="18">
        <f t="shared" si="24"/>
        <v>0.20333084762614961</v>
      </c>
      <c r="AK39" s="6"/>
      <c r="AL39" s="6"/>
      <c r="AM39" s="6"/>
      <c r="AN39" s="6"/>
      <c r="AO39" s="41">
        <v>126.9</v>
      </c>
      <c r="AP39" s="42">
        <f t="shared" si="25"/>
        <v>242.5</v>
      </c>
      <c r="AQ39" s="42">
        <f t="shared" si="26"/>
        <v>-9.9999999999994316E-2</v>
      </c>
      <c r="AR39" s="41">
        <v>236.8</v>
      </c>
      <c r="AS39" s="42">
        <f t="shared" si="27"/>
        <v>-9.9999999999965894E-2</v>
      </c>
      <c r="AT39" s="45" t="s">
        <v>10382</v>
      </c>
    </row>
    <row r="40" spans="1:46" ht="15" customHeight="1" x14ac:dyDescent="0.3">
      <c r="A40" s="6" t="s">
        <v>3439</v>
      </c>
      <c r="B40" s="14">
        <v>2023</v>
      </c>
      <c r="C40" s="15">
        <v>35.729999999999997</v>
      </c>
      <c r="D40" s="15">
        <v>11.65</v>
      </c>
      <c r="E40" s="15"/>
      <c r="F40" s="15">
        <v>5.45</v>
      </c>
      <c r="G40" s="15">
        <v>3.86</v>
      </c>
      <c r="H40" s="15">
        <v>3.86</v>
      </c>
      <c r="I40" s="15">
        <v>301.27</v>
      </c>
      <c r="J40" s="15">
        <v>99.86</v>
      </c>
      <c r="K40" s="15">
        <v>201.42</v>
      </c>
      <c r="L40" s="15">
        <v>15</v>
      </c>
      <c r="M40" s="15">
        <v>9.1199999999999992</v>
      </c>
      <c r="N40" s="15">
        <v>5.88</v>
      </c>
      <c r="O40" s="15">
        <v>286.27999999999997</v>
      </c>
      <c r="P40" s="16">
        <f t="shared" si="14"/>
        <v>90.74</v>
      </c>
      <c r="Q40" s="15">
        <v>1.05</v>
      </c>
      <c r="R40" s="15">
        <v>6.56</v>
      </c>
      <c r="S40" s="16">
        <f t="shared" si="15"/>
        <v>5.51</v>
      </c>
      <c r="T40" s="15">
        <v>-2.15</v>
      </c>
      <c r="U40" s="15">
        <v>7.55</v>
      </c>
      <c r="V40" s="16">
        <f t="shared" si="16"/>
        <v>-9.6999999999999993</v>
      </c>
      <c r="W40" s="15">
        <v>4600</v>
      </c>
      <c r="X40" s="15">
        <v>0.84</v>
      </c>
      <c r="Y40" s="15">
        <v>62.23</v>
      </c>
      <c r="Z40" s="15">
        <v>0</v>
      </c>
      <c r="AA40" s="15">
        <v>0</v>
      </c>
      <c r="AB40" s="15">
        <v>50</v>
      </c>
      <c r="AC40" s="16">
        <f t="shared" si="17"/>
        <v>230</v>
      </c>
      <c r="AD40" s="17">
        <f t="shared" si="18"/>
        <v>10.949561403508772</v>
      </c>
      <c r="AE40" s="17">
        <f t="shared" si="19"/>
        <v>2.1774488000796628E-2</v>
      </c>
      <c r="AF40" s="17">
        <f t="shared" si="20"/>
        <v>2.2914629034511667E-2</v>
      </c>
      <c r="AG40" s="18">
        <f t="shared" si="21"/>
        <v>1.2812427390712651E-2</v>
      </c>
      <c r="AH40" s="18">
        <f t="shared" si="22"/>
        <v>1.3483303059941318E-2</v>
      </c>
      <c r="AI40" s="18">
        <f t="shared" si="23"/>
        <v>0.10803246571508537</v>
      </c>
      <c r="AJ40" s="18">
        <f t="shared" si="24"/>
        <v>0.32605653512454524</v>
      </c>
      <c r="AK40" s="6"/>
      <c r="AL40" s="6"/>
      <c r="AM40" s="6"/>
      <c r="AN40" s="6"/>
      <c r="AO40" s="41">
        <v>1.72</v>
      </c>
      <c r="AP40" s="42">
        <f t="shared" si="25"/>
        <v>7.17</v>
      </c>
      <c r="AQ40" s="42" t="str">
        <f t="shared" si="26"/>
        <v/>
      </c>
      <c r="AR40" s="41"/>
      <c r="AS40" s="42" t="str">
        <f t="shared" si="27"/>
        <v/>
      </c>
      <c r="AT40" s="45" t="s">
        <v>10383</v>
      </c>
    </row>
    <row r="41" spans="1:46" ht="15" customHeight="1" x14ac:dyDescent="0.3">
      <c r="A41" s="6" t="s">
        <v>3615</v>
      </c>
      <c r="B41" s="14">
        <v>2022</v>
      </c>
      <c r="C41" s="15">
        <v>4708</v>
      </c>
      <c r="D41" s="15">
        <v>168</v>
      </c>
      <c r="E41" s="15"/>
      <c r="F41" s="15">
        <v>88</v>
      </c>
      <c r="G41" s="15">
        <v>42</v>
      </c>
      <c r="H41" s="15">
        <v>42</v>
      </c>
      <c r="I41" s="15">
        <v>3001</v>
      </c>
      <c r="J41" s="15">
        <v>1434</v>
      </c>
      <c r="K41" s="15">
        <v>1567</v>
      </c>
      <c r="L41" s="15">
        <v>1847</v>
      </c>
      <c r="M41" s="15">
        <v>628</v>
      </c>
      <c r="N41" s="15">
        <v>1220</v>
      </c>
      <c r="O41" s="15">
        <v>1154</v>
      </c>
      <c r="P41" s="16">
        <f t="shared" si="14"/>
        <v>806</v>
      </c>
      <c r="Q41" s="15">
        <v>206</v>
      </c>
      <c r="R41" s="15">
        <v>1446</v>
      </c>
      <c r="S41" s="16">
        <f t="shared" si="15"/>
        <v>1240</v>
      </c>
      <c r="T41" s="15">
        <v>62</v>
      </c>
      <c r="U41" s="15">
        <v>275</v>
      </c>
      <c r="V41" s="16">
        <f t="shared" si="16"/>
        <v>-213</v>
      </c>
      <c r="W41" s="15">
        <v>8000</v>
      </c>
      <c r="X41" s="15">
        <v>5.8</v>
      </c>
      <c r="Y41" s="15"/>
      <c r="Z41" s="15"/>
      <c r="AA41" s="15"/>
      <c r="AB41" s="15">
        <v>318</v>
      </c>
      <c r="AC41" s="16">
        <f t="shared" si="17"/>
        <v>2544</v>
      </c>
      <c r="AD41" s="17">
        <f t="shared" si="18"/>
        <v>2.2834394904458599</v>
      </c>
      <c r="AE41" s="17">
        <f t="shared" si="19"/>
        <v>0.481839386871043</v>
      </c>
      <c r="AF41" s="17">
        <f t="shared" si="20"/>
        <v>1.2530329289428077</v>
      </c>
      <c r="AG41" s="18">
        <f t="shared" si="21"/>
        <v>1.3995334888370544E-2</v>
      </c>
      <c r="AH41" s="18">
        <f t="shared" si="22"/>
        <v>3.6395147313691506E-2</v>
      </c>
      <c r="AI41" s="18">
        <f t="shared" si="23"/>
        <v>8.9209855564995749E-3</v>
      </c>
      <c r="AJ41" s="18">
        <f t="shared" si="24"/>
        <v>3.56839422259983E-2</v>
      </c>
      <c r="AK41" s="6"/>
      <c r="AL41" s="6"/>
      <c r="AM41" s="6"/>
      <c r="AN41" s="6"/>
      <c r="AO41" s="41"/>
      <c r="AP41" s="42">
        <f t="shared" si="25"/>
        <v>88</v>
      </c>
      <c r="AQ41" s="42" t="str">
        <f t="shared" si="26"/>
        <v/>
      </c>
      <c r="AR41" s="41"/>
      <c r="AS41" s="42" t="str">
        <f t="shared" si="27"/>
        <v/>
      </c>
      <c r="AT41" s="45" t="s">
        <v>10384</v>
      </c>
    </row>
    <row r="42" spans="1:46" ht="15" customHeight="1" x14ac:dyDescent="0.3">
      <c r="A42" s="6" t="s">
        <v>3615</v>
      </c>
      <c r="B42" s="14">
        <v>2023</v>
      </c>
      <c r="C42" s="15">
        <v>4442</v>
      </c>
      <c r="D42" s="15">
        <v>385</v>
      </c>
      <c r="E42" s="15"/>
      <c r="F42" s="15">
        <v>253</v>
      </c>
      <c r="G42" s="15">
        <v>77</v>
      </c>
      <c r="H42" s="15">
        <v>77</v>
      </c>
      <c r="I42" s="15">
        <v>3653</v>
      </c>
      <c r="J42" s="15">
        <v>1352</v>
      </c>
      <c r="K42" s="15">
        <v>2301</v>
      </c>
      <c r="L42" s="15">
        <v>2211</v>
      </c>
      <c r="M42" s="15">
        <v>366</v>
      </c>
      <c r="N42" s="15">
        <v>1845</v>
      </c>
      <c r="O42" s="15">
        <v>1442</v>
      </c>
      <c r="P42" s="16">
        <f t="shared" si="14"/>
        <v>986</v>
      </c>
      <c r="Q42" s="15">
        <v>160</v>
      </c>
      <c r="R42" s="15">
        <v>1924</v>
      </c>
      <c r="S42" s="16">
        <f t="shared" si="15"/>
        <v>1764</v>
      </c>
      <c r="T42" s="15">
        <v>230</v>
      </c>
      <c r="U42" s="15">
        <v>440</v>
      </c>
      <c r="V42" s="16">
        <f t="shared" si="16"/>
        <v>-210</v>
      </c>
      <c r="W42" s="15">
        <v>9231</v>
      </c>
      <c r="X42" s="15">
        <v>8.3699999999999992</v>
      </c>
      <c r="Y42" s="15"/>
      <c r="Z42" s="15"/>
      <c r="AA42" s="15"/>
      <c r="AB42" s="15">
        <v>248</v>
      </c>
      <c r="AC42" s="16">
        <f t="shared" si="17"/>
        <v>2289.288</v>
      </c>
      <c r="AD42" s="17">
        <f t="shared" si="18"/>
        <v>3.6939890710382515</v>
      </c>
      <c r="AE42" s="17">
        <f t="shared" si="19"/>
        <v>0.5266903914590747</v>
      </c>
      <c r="AF42" s="17">
        <f t="shared" si="20"/>
        <v>1.3342579750346741</v>
      </c>
      <c r="AG42" s="18">
        <f t="shared" si="21"/>
        <v>2.1078565562551329E-2</v>
      </c>
      <c r="AH42" s="18">
        <f t="shared" si="22"/>
        <v>5.3398058252427182E-2</v>
      </c>
      <c r="AI42" s="18">
        <f t="shared" si="23"/>
        <v>1.7334533993696534E-2</v>
      </c>
      <c r="AJ42" s="18">
        <f t="shared" si="24"/>
        <v>8.6672669968482663E-2</v>
      </c>
      <c r="AK42" s="6"/>
      <c r="AL42" s="6"/>
      <c r="AM42" s="6"/>
      <c r="AN42" s="6"/>
      <c r="AO42" s="41"/>
      <c r="AP42" s="42">
        <f t="shared" si="25"/>
        <v>253</v>
      </c>
      <c r="AQ42" s="42" t="str">
        <f t="shared" si="26"/>
        <v/>
      </c>
      <c r="AR42" s="41"/>
      <c r="AS42" s="42" t="str">
        <f t="shared" si="27"/>
        <v/>
      </c>
      <c r="AT42" s="45" t="s">
        <v>10385</v>
      </c>
    </row>
    <row r="43" spans="1:46" ht="15" customHeight="1" x14ac:dyDescent="0.3">
      <c r="A43" s="6" t="s">
        <v>3615</v>
      </c>
      <c r="B43" s="14">
        <v>2024</v>
      </c>
      <c r="C43" s="15">
        <v>3865</v>
      </c>
      <c r="D43" s="15">
        <v>481</v>
      </c>
      <c r="E43" s="15"/>
      <c r="F43" s="15">
        <v>416</v>
      </c>
      <c r="G43" s="15">
        <v>261</v>
      </c>
      <c r="H43" s="15">
        <v>261</v>
      </c>
      <c r="I43" s="15">
        <v>4105</v>
      </c>
      <c r="J43" s="15">
        <v>1922</v>
      </c>
      <c r="K43" s="15">
        <v>2183</v>
      </c>
      <c r="L43" s="15">
        <v>2404</v>
      </c>
      <c r="M43" s="15">
        <v>602</v>
      </c>
      <c r="N43" s="15">
        <v>1802</v>
      </c>
      <c r="O43" s="15">
        <v>1701</v>
      </c>
      <c r="P43" s="16">
        <f t="shared" si="14"/>
        <v>1320</v>
      </c>
      <c r="Q43" s="15">
        <v>252</v>
      </c>
      <c r="R43" s="15">
        <v>1855</v>
      </c>
      <c r="S43" s="16">
        <f t="shared" si="15"/>
        <v>1603</v>
      </c>
      <c r="T43" s="15">
        <v>253</v>
      </c>
      <c r="U43" s="15">
        <v>15</v>
      </c>
      <c r="V43" s="16">
        <f t="shared" si="16"/>
        <v>238</v>
      </c>
      <c r="W43" s="15">
        <v>9231</v>
      </c>
      <c r="X43" s="15">
        <v>28.25</v>
      </c>
      <c r="Y43" s="15"/>
      <c r="Z43" s="15"/>
      <c r="AA43" s="15"/>
      <c r="AB43" s="15">
        <v>310</v>
      </c>
      <c r="AC43" s="16">
        <f t="shared" si="17"/>
        <v>2861.61</v>
      </c>
      <c r="AD43" s="17">
        <f t="shared" si="18"/>
        <v>3.1926910299003324</v>
      </c>
      <c r="AE43" s="17">
        <f t="shared" si="19"/>
        <v>0.45188794153471379</v>
      </c>
      <c r="AF43" s="17">
        <f t="shared" si="20"/>
        <v>1.0905349794238683</v>
      </c>
      <c r="AG43" s="18">
        <f t="shared" si="21"/>
        <v>6.3580998781973208E-2</v>
      </c>
      <c r="AH43" s="18">
        <f t="shared" si="22"/>
        <v>0.15343915343915343</v>
      </c>
      <c r="AI43" s="18">
        <f t="shared" si="23"/>
        <v>6.7529107373868053E-2</v>
      </c>
      <c r="AJ43" s="18">
        <f t="shared" si="24"/>
        <v>0.12445019404915912</v>
      </c>
      <c r="AK43" s="6"/>
      <c r="AL43" s="6"/>
      <c r="AM43" s="6"/>
      <c r="AN43" s="6"/>
      <c r="AO43" s="41"/>
      <c r="AP43" s="42">
        <f t="shared" si="25"/>
        <v>416</v>
      </c>
      <c r="AQ43" s="42" t="str">
        <f t="shared" si="26"/>
        <v/>
      </c>
      <c r="AR43" s="41"/>
      <c r="AS43" s="42" t="str">
        <f t="shared" si="27"/>
        <v/>
      </c>
      <c r="AT43" s="45" t="s">
        <v>10386</v>
      </c>
    </row>
    <row r="44" spans="1:46" ht="15" customHeight="1" x14ac:dyDescent="0.3">
      <c r="A44" s="6" t="s">
        <v>3937</v>
      </c>
      <c r="B44" s="14">
        <v>2022</v>
      </c>
      <c r="C44" s="15">
        <v>972</v>
      </c>
      <c r="D44" s="15">
        <v>27</v>
      </c>
      <c r="E44" s="15"/>
      <c r="F44" s="15">
        <v>-30</v>
      </c>
      <c r="G44" s="15">
        <v>-302</v>
      </c>
      <c r="H44" s="15">
        <v>-300</v>
      </c>
      <c r="I44" s="15">
        <v>3590</v>
      </c>
      <c r="J44" s="15">
        <v>262</v>
      </c>
      <c r="K44" s="15">
        <v>3327</v>
      </c>
      <c r="L44" s="15">
        <v>3471</v>
      </c>
      <c r="M44" s="15">
        <v>656</v>
      </c>
      <c r="N44" s="15">
        <v>2815</v>
      </c>
      <c r="O44" s="15">
        <v>118</v>
      </c>
      <c r="P44" s="16">
        <f t="shared" si="14"/>
        <v>-394</v>
      </c>
      <c r="Q44" s="15">
        <v>1.98</v>
      </c>
      <c r="R44" s="15">
        <v>2235</v>
      </c>
      <c r="S44" s="16">
        <f t="shared" si="15"/>
        <v>2233.02</v>
      </c>
      <c r="T44" s="15">
        <v>-138</v>
      </c>
      <c r="U44" s="15">
        <v>54</v>
      </c>
      <c r="V44" s="16">
        <f t="shared" si="16"/>
        <v>-192</v>
      </c>
      <c r="W44" s="15">
        <v>3775</v>
      </c>
      <c r="X44" s="15">
        <v>-80</v>
      </c>
      <c r="Y44" s="15">
        <v>31</v>
      </c>
      <c r="Z44" s="15">
        <v>0</v>
      </c>
      <c r="AA44" s="15">
        <v>0</v>
      </c>
      <c r="AB44" s="15">
        <v>105</v>
      </c>
      <c r="AC44" s="16">
        <f t="shared" si="17"/>
        <v>396.375</v>
      </c>
      <c r="AD44" s="17">
        <f t="shared" si="18"/>
        <v>0.39939024390243905</v>
      </c>
      <c r="AE44" s="17">
        <f t="shared" si="19"/>
        <v>0.62256267409470756</v>
      </c>
      <c r="AF44" s="17">
        <f t="shared" si="20"/>
        <v>18.940677966101696</v>
      </c>
      <c r="AG44" s="18">
        <f t="shared" si="21"/>
        <v>-8.4122562674094709E-2</v>
      </c>
      <c r="AH44" s="18">
        <f t="shared" si="22"/>
        <v>-2.5593220338983049</v>
      </c>
      <c r="AI44" s="18">
        <f t="shared" si="23"/>
        <v>-0.31069958847736623</v>
      </c>
      <c r="AJ44" s="18">
        <f t="shared" si="24"/>
        <v>2.7777777777777776E-2</v>
      </c>
      <c r="AK44" s="6"/>
      <c r="AL44" s="6"/>
      <c r="AM44" s="6"/>
      <c r="AN44" s="6"/>
      <c r="AO44" s="41">
        <v>113</v>
      </c>
      <c r="AP44" s="42">
        <f t="shared" si="25"/>
        <v>83</v>
      </c>
      <c r="AQ44" s="42" t="str">
        <f t="shared" si="26"/>
        <v/>
      </c>
      <c r="AR44" s="41"/>
      <c r="AS44" s="42" t="str">
        <f t="shared" si="27"/>
        <v/>
      </c>
      <c r="AT44" s="45" t="s">
        <v>10387</v>
      </c>
    </row>
    <row r="45" spans="1:46" ht="15" customHeight="1" x14ac:dyDescent="0.3">
      <c r="A45" s="6" t="s">
        <v>3937</v>
      </c>
      <c r="B45" s="14">
        <v>2023</v>
      </c>
      <c r="C45" s="15">
        <v>896</v>
      </c>
      <c r="D45" s="15">
        <v>-16</v>
      </c>
      <c r="E45" s="15"/>
      <c r="F45" s="15">
        <v>-73</v>
      </c>
      <c r="G45" s="15">
        <v>-304</v>
      </c>
      <c r="H45" s="15">
        <v>-302</v>
      </c>
      <c r="I45" s="15">
        <v>3656</v>
      </c>
      <c r="J45" s="15">
        <v>272</v>
      </c>
      <c r="K45" s="15">
        <v>3385</v>
      </c>
      <c r="L45" s="15">
        <v>2675</v>
      </c>
      <c r="M45" s="15">
        <v>602</v>
      </c>
      <c r="N45" s="15">
        <v>2073</v>
      </c>
      <c r="O45" s="15">
        <v>982</v>
      </c>
      <c r="P45" s="16">
        <f t="shared" si="14"/>
        <v>-330</v>
      </c>
      <c r="Q45" s="15">
        <v>7.03</v>
      </c>
      <c r="R45" s="15">
        <v>1964</v>
      </c>
      <c r="S45" s="16">
        <f t="shared" si="15"/>
        <v>1956.97</v>
      </c>
      <c r="T45" s="15">
        <v>-121</v>
      </c>
      <c r="U45" s="15">
        <v>81</v>
      </c>
      <c r="V45" s="16">
        <f t="shared" si="16"/>
        <v>-202</v>
      </c>
      <c r="W45" s="15">
        <v>16233</v>
      </c>
      <c r="X45" s="15">
        <v>-59</v>
      </c>
      <c r="Y45" s="15">
        <v>60</v>
      </c>
      <c r="Z45" s="15">
        <v>0</v>
      </c>
      <c r="AA45" s="15">
        <v>0</v>
      </c>
      <c r="AB45" s="15">
        <v>180</v>
      </c>
      <c r="AC45" s="16">
        <f t="shared" si="17"/>
        <v>2921.94</v>
      </c>
      <c r="AD45" s="17">
        <f t="shared" si="18"/>
        <v>0.45182724252491696</v>
      </c>
      <c r="AE45" s="17">
        <f t="shared" si="19"/>
        <v>0.53719912472647702</v>
      </c>
      <c r="AF45" s="17">
        <f t="shared" si="20"/>
        <v>2</v>
      </c>
      <c r="AG45" s="18">
        <f t="shared" si="21"/>
        <v>-8.3150984682713341E-2</v>
      </c>
      <c r="AH45" s="18">
        <f t="shared" si="22"/>
        <v>-0.30957230142566189</v>
      </c>
      <c r="AI45" s="18">
        <f t="shared" si="23"/>
        <v>-0.3392857142857143</v>
      </c>
      <c r="AJ45" s="18">
        <f t="shared" si="24"/>
        <v>-1.7857142857142856E-2</v>
      </c>
      <c r="AK45" s="6"/>
      <c r="AL45" s="6"/>
      <c r="AM45" s="6"/>
      <c r="AN45" s="6"/>
      <c r="AO45" s="41">
        <v>117</v>
      </c>
      <c r="AP45" s="42">
        <f t="shared" si="25"/>
        <v>44</v>
      </c>
      <c r="AQ45" s="42" t="str">
        <f t="shared" si="26"/>
        <v/>
      </c>
      <c r="AR45" s="41"/>
      <c r="AS45" s="42" t="str">
        <f t="shared" si="27"/>
        <v/>
      </c>
      <c r="AT45" s="45" t="s">
        <v>10388</v>
      </c>
    </row>
    <row r="46" spans="1:46" ht="15" customHeight="1" x14ac:dyDescent="0.3">
      <c r="A46" s="6" t="s">
        <v>3937</v>
      </c>
      <c r="B46" s="14">
        <v>2024</v>
      </c>
      <c r="C46" s="15">
        <v>1071</v>
      </c>
      <c r="D46" s="15">
        <v>110</v>
      </c>
      <c r="E46" s="15"/>
      <c r="F46" s="15">
        <v>51</v>
      </c>
      <c r="G46" s="15">
        <v>-194</v>
      </c>
      <c r="H46" s="15">
        <v>-193</v>
      </c>
      <c r="I46" s="15">
        <v>3868</v>
      </c>
      <c r="J46" s="15">
        <v>532</v>
      </c>
      <c r="K46" s="15">
        <v>3336</v>
      </c>
      <c r="L46" s="15">
        <v>2502</v>
      </c>
      <c r="M46" s="15">
        <v>533</v>
      </c>
      <c r="N46" s="15">
        <v>1968</v>
      </c>
      <c r="O46" s="15">
        <v>1366</v>
      </c>
      <c r="P46" s="16">
        <f t="shared" si="14"/>
        <v>-1</v>
      </c>
      <c r="Q46" s="15">
        <v>5.85</v>
      </c>
      <c r="R46" s="15">
        <v>995</v>
      </c>
      <c r="S46" s="16">
        <f t="shared" si="15"/>
        <v>989.15</v>
      </c>
      <c r="T46" s="15">
        <v>-179</v>
      </c>
      <c r="U46" s="15">
        <v>87</v>
      </c>
      <c r="V46" s="16">
        <f t="shared" si="16"/>
        <v>-266</v>
      </c>
      <c r="W46" s="15">
        <v>16233</v>
      </c>
      <c r="X46" s="15">
        <v>-12</v>
      </c>
      <c r="Y46" s="15">
        <v>84</v>
      </c>
      <c r="Z46" s="15">
        <v>0</v>
      </c>
      <c r="AA46" s="15">
        <v>0</v>
      </c>
      <c r="AB46" s="15">
        <v>110</v>
      </c>
      <c r="AC46" s="16">
        <f t="shared" si="17"/>
        <v>1785.63</v>
      </c>
      <c r="AD46" s="17">
        <f t="shared" si="18"/>
        <v>0.99812382739212002</v>
      </c>
      <c r="AE46" s="17">
        <f t="shared" si="19"/>
        <v>0.25723888314374355</v>
      </c>
      <c r="AF46" s="17">
        <f t="shared" si="20"/>
        <v>0.72840409956076135</v>
      </c>
      <c r="AG46" s="18">
        <f t="shared" si="21"/>
        <v>-5.0155118924508788E-2</v>
      </c>
      <c r="AH46" s="18">
        <f t="shared" si="22"/>
        <v>-0.14202049780380674</v>
      </c>
      <c r="AI46" s="18">
        <f t="shared" si="23"/>
        <v>-0.1811391223155929</v>
      </c>
      <c r="AJ46" s="18">
        <f t="shared" si="24"/>
        <v>0.10270774976657329</v>
      </c>
      <c r="AK46" s="6"/>
      <c r="AL46" s="6"/>
      <c r="AM46" s="6"/>
      <c r="AN46" s="6"/>
      <c r="AO46" s="41">
        <v>108</v>
      </c>
      <c r="AP46" s="42">
        <f t="shared" si="25"/>
        <v>159</v>
      </c>
      <c r="AQ46" s="42" t="str">
        <f t="shared" si="26"/>
        <v/>
      </c>
      <c r="AR46" s="41"/>
      <c r="AS46" s="42" t="str">
        <f t="shared" si="27"/>
        <v/>
      </c>
      <c r="AT46" s="45" t="s">
        <v>10389</v>
      </c>
    </row>
    <row r="47" spans="1:46" ht="15" customHeight="1" x14ac:dyDescent="0.3">
      <c r="A47" s="6" t="s">
        <v>4324</v>
      </c>
      <c r="B47" s="14">
        <v>2022</v>
      </c>
      <c r="C47" s="15">
        <v>4585</v>
      </c>
      <c r="D47" s="15">
        <v>1491</v>
      </c>
      <c r="E47" s="15">
        <v>1747</v>
      </c>
      <c r="F47" s="15">
        <v>1206</v>
      </c>
      <c r="G47" s="15">
        <v>1035</v>
      </c>
      <c r="H47" s="15">
        <v>1036</v>
      </c>
      <c r="I47" s="15">
        <v>12417</v>
      </c>
      <c r="J47" s="15">
        <v>5107</v>
      </c>
      <c r="K47" s="15">
        <v>7310</v>
      </c>
      <c r="L47" s="15">
        <v>1481</v>
      </c>
      <c r="M47" s="15">
        <v>710</v>
      </c>
      <c r="N47" s="15">
        <v>772</v>
      </c>
      <c r="O47" s="15">
        <v>10936</v>
      </c>
      <c r="P47" s="16">
        <f t="shared" si="14"/>
        <v>4397</v>
      </c>
      <c r="Q47" s="15">
        <v>3847</v>
      </c>
      <c r="R47" s="15">
        <v>0</v>
      </c>
      <c r="S47" s="16">
        <f t="shared" si="15"/>
        <v>-3847</v>
      </c>
      <c r="T47" s="15">
        <v>1087</v>
      </c>
      <c r="U47" s="15">
        <v>321</v>
      </c>
      <c r="V47" s="16">
        <f t="shared" si="16"/>
        <v>766</v>
      </c>
      <c r="W47" s="15">
        <v>6820</v>
      </c>
      <c r="X47" s="15">
        <v>152</v>
      </c>
      <c r="Y47" s="15">
        <v>1603</v>
      </c>
      <c r="Z47" s="15"/>
      <c r="AA47" s="15">
        <v>51</v>
      </c>
      <c r="AB47" s="15">
        <v>1015</v>
      </c>
      <c r="AC47" s="16">
        <f t="shared" si="17"/>
        <v>6922.3</v>
      </c>
      <c r="AD47" s="17">
        <f t="shared" si="18"/>
        <v>7.1929577464788732</v>
      </c>
      <c r="AE47" s="17">
        <f t="shared" si="19"/>
        <v>0</v>
      </c>
      <c r="AF47" s="17">
        <f t="shared" si="20"/>
        <v>0</v>
      </c>
      <c r="AG47" s="18">
        <f t="shared" si="21"/>
        <v>8.3353467021019576E-2</v>
      </c>
      <c r="AH47" s="18">
        <f t="shared" si="22"/>
        <v>9.4641550841258235E-2</v>
      </c>
      <c r="AI47" s="18">
        <f t="shared" si="23"/>
        <v>0.22573609596510361</v>
      </c>
      <c r="AJ47" s="18">
        <f t="shared" si="24"/>
        <v>0.32519083969465651</v>
      </c>
      <c r="AK47" s="6"/>
      <c r="AL47" s="6"/>
      <c r="AM47" s="6"/>
      <c r="AN47" s="6"/>
      <c r="AO47" s="41"/>
      <c r="AP47" s="42">
        <f t="shared" si="25"/>
        <v>1206</v>
      </c>
      <c r="AQ47" s="42">
        <f t="shared" si="26"/>
        <v>541</v>
      </c>
      <c r="AR47" s="41">
        <v>-3847</v>
      </c>
      <c r="AS47" s="42">
        <f t="shared" si="27"/>
        <v>0</v>
      </c>
      <c r="AT47" s="45" t="s">
        <v>10390</v>
      </c>
    </row>
    <row r="48" spans="1:46" ht="15" customHeight="1" x14ac:dyDescent="0.3">
      <c r="A48" s="6" t="s">
        <v>4324</v>
      </c>
      <c r="B48" s="14">
        <v>2023</v>
      </c>
      <c r="C48" s="15">
        <v>4190</v>
      </c>
      <c r="D48" s="15">
        <v>1151</v>
      </c>
      <c r="E48" s="15">
        <v>1301</v>
      </c>
      <c r="F48" s="15">
        <v>759</v>
      </c>
      <c r="G48" s="15">
        <v>761</v>
      </c>
      <c r="H48" s="15">
        <v>762</v>
      </c>
      <c r="I48" s="15">
        <v>12514</v>
      </c>
      <c r="J48" s="15">
        <v>5377</v>
      </c>
      <c r="K48" s="15">
        <v>7137</v>
      </c>
      <c r="L48" s="15">
        <v>1167</v>
      </c>
      <c r="M48" s="15">
        <v>564</v>
      </c>
      <c r="N48" s="15">
        <v>602</v>
      </c>
      <c r="O48" s="15">
        <v>11347</v>
      </c>
      <c r="P48" s="16">
        <f t="shared" si="14"/>
        <v>4813</v>
      </c>
      <c r="Q48" s="15">
        <v>4511</v>
      </c>
      <c r="R48" s="15">
        <v>0</v>
      </c>
      <c r="S48" s="16">
        <f t="shared" si="15"/>
        <v>-4511</v>
      </c>
      <c r="T48" s="15">
        <v>1411</v>
      </c>
      <c r="U48" s="15">
        <v>369</v>
      </c>
      <c r="V48" s="16">
        <f t="shared" si="16"/>
        <v>1042</v>
      </c>
      <c r="W48" s="15">
        <v>6820</v>
      </c>
      <c r="X48" s="15">
        <v>112</v>
      </c>
      <c r="Y48" s="15">
        <v>1664</v>
      </c>
      <c r="Z48" s="15"/>
      <c r="AA48" s="15">
        <v>53</v>
      </c>
      <c r="AB48" s="15">
        <v>890</v>
      </c>
      <c r="AC48" s="16">
        <f t="shared" si="17"/>
        <v>6069.8</v>
      </c>
      <c r="AD48" s="17">
        <f t="shared" si="18"/>
        <v>9.5336879432624109</v>
      </c>
      <c r="AE48" s="17">
        <f t="shared" si="19"/>
        <v>0</v>
      </c>
      <c r="AF48" s="17">
        <f t="shared" si="20"/>
        <v>0</v>
      </c>
      <c r="AG48" s="18">
        <f t="shared" si="21"/>
        <v>6.0811890682435671E-2</v>
      </c>
      <c r="AH48" s="18">
        <f t="shared" si="22"/>
        <v>6.7066184894685826E-2</v>
      </c>
      <c r="AI48" s="18">
        <f t="shared" si="23"/>
        <v>0.18162291169451075</v>
      </c>
      <c r="AJ48" s="18">
        <f t="shared" si="24"/>
        <v>0.27470167064439138</v>
      </c>
      <c r="AK48" s="6"/>
      <c r="AL48" s="6"/>
      <c r="AM48" s="6"/>
      <c r="AN48" s="6"/>
      <c r="AO48" s="41"/>
      <c r="AP48" s="42">
        <f t="shared" si="25"/>
        <v>759</v>
      </c>
      <c r="AQ48" s="42">
        <f t="shared" si="26"/>
        <v>542</v>
      </c>
      <c r="AR48" s="41">
        <v>-4511</v>
      </c>
      <c r="AS48" s="42">
        <f t="shared" si="27"/>
        <v>0</v>
      </c>
      <c r="AT48" s="45" t="s">
        <v>10391</v>
      </c>
    </row>
    <row r="49" spans="1:46" ht="15" customHeight="1" x14ac:dyDescent="0.3">
      <c r="A49" s="6" t="s">
        <v>4324</v>
      </c>
      <c r="B49" s="14">
        <v>2024</v>
      </c>
      <c r="C49" s="15">
        <v>4563</v>
      </c>
      <c r="D49" s="15">
        <v>1992</v>
      </c>
      <c r="E49" s="15">
        <v>2099</v>
      </c>
      <c r="F49" s="15">
        <v>1551</v>
      </c>
      <c r="G49" s="15">
        <v>1476</v>
      </c>
      <c r="H49" s="15">
        <v>1477</v>
      </c>
      <c r="I49" s="15">
        <v>13842</v>
      </c>
      <c r="J49" s="15">
        <v>7117</v>
      </c>
      <c r="K49" s="15">
        <v>6725</v>
      </c>
      <c r="L49" s="15">
        <v>1285</v>
      </c>
      <c r="M49" s="15">
        <v>678</v>
      </c>
      <c r="N49" s="15">
        <v>607</v>
      </c>
      <c r="O49" s="15">
        <v>12557</v>
      </c>
      <c r="P49" s="16">
        <f t="shared" si="14"/>
        <v>6439</v>
      </c>
      <c r="Q49" s="15">
        <v>5454</v>
      </c>
      <c r="R49" s="15">
        <v>0</v>
      </c>
      <c r="S49" s="16">
        <f t="shared" si="15"/>
        <v>-5454</v>
      </c>
      <c r="T49" s="15">
        <v>1565</v>
      </c>
      <c r="U49" s="15">
        <v>376</v>
      </c>
      <c r="V49" s="16">
        <f t="shared" si="16"/>
        <v>1189</v>
      </c>
      <c r="W49" s="15">
        <v>6820</v>
      </c>
      <c r="X49" s="15">
        <v>217</v>
      </c>
      <c r="Y49" s="15">
        <v>1841</v>
      </c>
      <c r="Z49" s="15"/>
      <c r="AA49" s="15">
        <v>39</v>
      </c>
      <c r="AB49" s="15">
        <v>975</v>
      </c>
      <c r="AC49" s="16">
        <f t="shared" si="17"/>
        <v>6649.5</v>
      </c>
      <c r="AD49" s="17">
        <f t="shared" si="18"/>
        <v>10.497050147492626</v>
      </c>
      <c r="AE49" s="17">
        <f t="shared" si="19"/>
        <v>0</v>
      </c>
      <c r="AF49" s="17">
        <f t="shared" si="20"/>
        <v>0</v>
      </c>
      <c r="AG49" s="18">
        <f t="shared" si="21"/>
        <v>0.10663198959687907</v>
      </c>
      <c r="AH49" s="18">
        <f t="shared" si="22"/>
        <v>0.11754399936290515</v>
      </c>
      <c r="AI49" s="18">
        <f t="shared" si="23"/>
        <v>0.3234714003944773</v>
      </c>
      <c r="AJ49" s="18">
        <f t="shared" si="24"/>
        <v>0.43655489809335962</v>
      </c>
      <c r="AK49" s="6"/>
      <c r="AL49" s="6"/>
      <c r="AM49" s="6"/>
      <c r="AN49" s="6"/>
      <c r="AO49" s="41"/>
      <c r="AP49" s="42">
        <f t="shared" si="25"/>
        <v>1551</v>
      </c>
      <c r="AQ49" s="42">
        <f t="shared" si="26"/>
        <v>548</v>
      </c>
      <c r="AR49" s="41">
        <v>-5454</v>
      </c>
      <c r="AS49" s="42">
        <f t="shared" si="27"/>
        <v>0</v>
      </c>
      <c r="AT49" s="45" t="s">
        <v>10392</v>
      </c>
    </row>
    <row r="50" spans="1:46" ht="15" customHeight="1" x14ac:dyDescent="0.3">
      <c r="A50" s="6" t="s">
        <v>4718</v>
      </c>
      <c r="B50" s="14">
        <v>2022</v>
      </c>
      <c r="C50" s="15">
        <v>32.270000000000003</v>
      </c>
      <c r="D50" s="15">
        <v>-3.43</v>
      </c>
      <c r="E50" s="15"/>
      <c r="F50" s="15">
        <v>-4.3099999999999996</v>
      </c>
      <c r="G50" s="15">
        <v>-10.68</v>
      </c>
      <c r="H50" s="15">
        <v>-10.57</v>
      </c>
      <c r="I50" s="15">
        <v>840.19</v>
      </c>
      <c r="J50" s="15">
        <v>205.92</v>
      </c>
      <c r="K50" s="15">
        <v>634.27</v>
      </c>
      <c r="L50" s="15">
        <v>764.27</v>
      </c>
      <c r="M50" s="15">
        <v>645.96</v>
      </c>
      <c r="N50" s="15">
        <v>118.3</v>
      </c>
      <c r="O50" s="15">
        <v>75.92</v>
      </c>
      <c r="P50" s="16">
        <f t="shared" si="14"/>
        <v>-440.04000000000008</v>
      </c>
      <c r="Q50" s="15">
        <v>2.38</v>
      </c>
      <c r="R50" s="15">
        <v>358.71</v>
      </c>
      <c r="S50" s="16">
        <f t="shared" si="15"/>
        <v>356.33</v>
      </c>
      <c r="T50" s="15">
        <v>1.62</v>
      </c>
      <c r="U50" s="15">
        <v>0</v>
      </c>
      <c r="V50" s="16">
        <f t="shared" si="16"/>
        <v>1.62</v>
      </c>
      <c r="W50" s="15">
        <v>9000</v>
      </c>
      <c r="X50" s="15">
        <v>-1.17</v>
      </c>
      <c r="Y50" s="15"/>
      <c r="Z50" s="15"/>
      <c r="AA50" s="15"/>
      <c r="AB50" s="15"/>
      <c r="AC50" s="16">
        <f t="shared" si="17"/>
        <v>0</v>
      </c>
      <c r="AD50" s="17">
        <f t="shared" si="18"/>
        <v>0.31878134869032132</v>
      </c>
      <c r="AE50" s="17">
        <f t="shared" si="19"/>
        <v>0.42693914471726629</v>
      </c>
      <c r="AF50" s="17">
        <f t="shared" si="20"/>
        <v>4.7248419388830341</v>
      </c>
      <c r="AG50" s="18">
        <f t="shared" si="21"/>
        <v>-1.2711410514288434E-2</v>
      </c>
      <c r="AH50" s="18">
        <f t="shared" si="22"/>
        <v>-0.14067439409905164</v>
      </c>
      <c r="AI50" s="18">
        <f t="shared" si="23"/>
        <v>-0.33095754570808794</v>
      </c>
      <c r="AJ50" s="18">
        <f t="shared" si="24"/>
        <v>-0.10629067245119306</v>
      </c>
      <c r="AK50" s="6"/>
      <c r="AL50" s="6"/>
      <c r="AM50" s="6"/>
      <c r="AN50" s="6"/>
      <c r="AO50" s="41"/>
      <c r="AP50" s="42">
        <f t="shared" si="25"/>
        <v>-4.3099999999999996</v>
      </c>
      <c r="AQ50" s="42" t="str">
        <f t="shared" si="26"/>
        <v/>
      </c>
      <c r="AR50" s="41">
        <v>356.33</v>
      </c>
      <c r="AS50" s="42">
        <f t="shared" si="27"/>
        <v>0</v>
      </c>
      <c r="AT50" s="45" t="s">
        <v>10393</v>
      </c>
    </row>
    <row r="51" spans="1:46" ht="15" customHeight="1" x14ac:dyDescent="0.3">
      <c r="A51" s="6" t="s">
        <v>4840</v>
      </c>
      <c r="B51" s="14">
        <v>2022</v>
      </c>
      <c r="C51" s="15">
        <v>7505.7</v>
      </c>
      <c r="D51" s="15">
        <v>728.61</v>
      </c>
      <c r="E51" s="15"/>
      <c r="F51" s="15">
        <v>100.54</v>
      </c>
      <c r="G51" s="15">
        <v>-34.79</v>
      </c>
      <c r="H51" s="15">
        <v>-20.100000000000001</v>
      </c>
      <c r="I51" s="15">
        <v>2561.66</v>
      </c>
      <c r="J51" s="15">
        <v>1429.23</v>
      </c>
      <c r="K51" s="15">
        <v>1132.43</v>
      </c>
      <c r="L51" s="15">
        <v>1916.29</v>
      </c>
      <c r="M51" s="15">
        <v>1423.46</v>
      </c>
      <c r="N51" s="15">
        <v>492.83</v>
      </c>
      <c r="O51" s="15">
        <v>645.37</v>
      </c>
      <c r="P51" s="16">
        <f t="shared" si="14"/>
        <v>5.7699999999999818</v>
      </c>
      <c r="Q51" s="15">
        <v>457.6</v>
      </c>
      <c r="R51" s="15">
        <v>1657.9</v>
      </c>
      <c r="S51" s="16">
        <f t="shared" si="15"/>
        <v>1200.3000000000002</v>
      </c>
      <c r="T51" s="15">
        <v>-285.73</v>
      </c>
      <c r="U51" s="15">
        <v>124.96</v>
      </c>
      <c r="V51" s="16">
        <f t="shared" si="16"/>
        <v>-410.69</v>
      </c>
      <c r="W51" s="15">
        <v>3554.45</v>
      </c>
      <c r="X51" s="15">
        <v>-5.69</v>
      </c>
      <c r="Y51" s="15"/>
      <c r="Z51" s="15"/>
      <c r="AA51" s="15"/>
      <c r="AB51" s="15">
        <v>845</v>
      </c>
      <c r="AC51" s="16">
        <f t="shared" si="17"/>
        <v>3003.5102499999998</v>
      </c>
      <c r="AD51" s="17">
        <f t="shared" si="18"/>
        <v>1.0040535034352915</v>
      </c>
      <c r="AE51" s="17">
        <f t="shared" si="19"/>
        <v>0.64719752035789302</v>
      </c>
      <c r="AF51" s="17">
        <f t="shared" si="20"/>
        <v>2.5689139563351255</v>
      </c>
      <c r="AG51" s="18">
        <f t="shared" si="21"/>
        <v>-1.3581037296128293E-2</v>
      </c>
      <c r="AH51" s="18">
        <f t="shared" si="22"/>
        <v>-5.3907061065745228E-2</v>
      </c>
      <c r="AI51" s="18">
        <f t="shared" si="23"/>
        <v>-4.63514395725915E-3</v>
      </c>
      <c r="AJ51" s="18">
        <f t="shared" si="24"/>
        <v>9.7074223590071548E-2</v>
      </c>
      <c r="AK51" s="6"/>
      <c r="AL51" s="6"/>
      <c r="AM51" s="6"/>
      <c r="AN51" s="6"/>
      <c r="AO51" s="41"/>
      <c r="AP51" s="42">
        <f t="shared" si="25"/>
        <v>100.54</v>
      </c>
      <c r="AQ51" s="42" t="str">
        <f t="shared" si="26"/>
        <v/>
      </c>
      <c r="AR51" s="41"/>
      <c r="AS51" s="42" t="str">
        <f t="shared" si="27"/>
        <v/>
      </c>
      <c r="AT51" s="45" t="s">
        <v>10394</v>
      </c>
    </row>
    <row r="52" spans="1:46" ht="15" customHeight="1" x14ac:dyDescent="0.3">
      <c r="A52" s="6" t="s">
        <v>4840</v>
      </c>
      <c r="B52" s="14">
        <v>2023</v>
      </c>
      <c r="C52" s="15">
        <v>5425.48</v>
      </c>
      <c r="D52" s="15">
        <v>257.35000000000002</v>
      </c>
      <c r="E52" s="15"/>
      <c r="F52" s="15">
        <v>-43.9</v>
      </c>
      <c r="G52" s="15">
        <v>-172.27</v>
      </c>
      <c r="H52" s="15">
        <v>-152.22999999999999</v>
      </c>
      <c r="I52" s="15">
        <v>2680.2</v>
      </c>
      <c r="J52" s="15">
        <v>1425.67</v>
      </c>
      <c r="K52" s="15">
        <v>1254.53</v>
      </c>
      <c r="L52" s="15">
        <v>2159.14</v>
      </c>
      <c r="M52" s="15">
        <v>1693.11</v>
      </c>
      <c r="N52" s="15">
        <v>466.02</v>
      </c>
      <c r="O52" s="15">
        <v>521.05999999999995</v>
      </c>
      <c r="P52" s="16">
        <f t="shared" si="14"/>
        <v>-267.43999999999983</v>
      </c>
      <c r="Q52" s="15">
        <v>421.27</v>
      </c>
      <c r="R52" s="15">
        <v>1916.95</v>
      </c>
      <c r="S52" s="16">
        <f t="shared" si="15"/>
        <v>1495.68</v>
      </c>
      <c r="T52" s="15">
        <v>309.79000000000002</v>
      </c>
      <c r="U52" s="15">
        <v>180.81</v>
      </c>
      <c r="V52" s="16">
        <f t="shared" si="16"/>
        <v>128.98000000000002</v>
      </c>
      <c r="W52" s="15">
        <v>3554.45</v>
      </c>
      <c r="X52" s="15">
        <v>-43.12</v>
      </c>
      <c r="Y52" s="15"/>
      <c r="Z52" s="15"/>
      <c r="AA52" s="15"/>
      <c r="AB52" s="15">
        <v>705</v>
      </c>
      <c r="AC52" s="16">
        <f t="shared" si="17"/>
        <v>2505.8872500000002</v>
      </c>
      <c r="AD52" s="17">
        <f t="shared" si="18"/>
        <v>0.84204215910366143</v>
      </c>
      <c r="AE52" s="17">
        <f t="shared" si="19"/>
        <v>0.71522647563614661</v>
      </c>
      <c r="AF52" s="17">
        <f t="shared" si="20"/>
        <v>3.6789429240394584</v>
      </c>
      <c r="AG52" s="18">
        <f t="shared" si="21"/>
        <v>-6.4275054100440279E-2</v>
      </c>
      <c r="AH52" s="18">
        <f t="shared" si="22"/>
        <v>-0.3306145165623921</v>
      </c>
      <c r="AI52" s="18">
        <f t="shared" si="23"/>
        <v>-3.17520293135354E-2</v>
      </c>
      <c r="AJ52" s="18">
        <f t="shared" si="24"/>
        <v>4.7433591129264145E-2</v>
      </c>
      <c r="AK52" s="6"/>
      <c r="AL52" s="6"/>
      <c r="AM52" s="6"/>
      <c r="AN52" s="6"/>
      <c r="AO52" s="41"/>
      <c r="AP52" s="42">
        <f t="shared" si="25"/>
        <v>-43.9</v>
      </c>
      <c r="AQ52" s="42" t="str">
        <f t="shared" si="26"/>
        <v/>
      </c>
      <c r="AR52" s="41"/>
      <c r="AS52" s="42" t="str">
        <f t="shared" si="27"/>
        <v/>
      </c>
      <c r="AT52" s="45" t="s">
        <v>10395</v>
      </c>
    </row>
    <row r="53" spans="1:46" ht="15" customHeight="1" x14ac:dyDescent="0.3">
      <c r="A53" s="6" t="s">
        <v>4840</v>
      </c>
      <c r="B53" s="14">
        <v>2024</v>
      </c>
      <c r="C53" s="15">
        <v>4685.75</v>
      </c>
      <c r="D53" s="15">
        <v>352.54</v>
      </c>
      <c r="E53" s="15"/>
      <c r="F53" s="15">
        <v>68.709999999999994</v>
      </c>
      <c r="G53" s="15">
        <v>-22.98</v>
      </c>
      <c r="H53" s="15">
        <v>-20.85</v>
      </c>
      <c r="I53" s="15">
        <v>3073.81</v>
      </c>
      <c r="J53" s="15">
        <v>1576.71</v>
      </c>
      <c r="K53" s="15">
        <v>1497.1</v>
      </c>
      <c r="L53" s="15">
        <v>2568.91</v>
      </c>
      <c r="M53" s="15">
        <v>1811.73</v>
      </c>
      <c r="N53" s="15">
        <v>757.18</v>
      </c>
      <c r="O53" s="15">
        <v>504.89</v>
      </c>
      <c r="P53" s="16">
        <f t="shared" si="14"/>
        <v>-235.01999999999998</v>
      </c>
      <c r="Q53" s="15">
        <v>276.10000000000002</v>
      </c>
      <c r="R53" s="15">
        <v>2310</v>
      </c>
      <c r="S53" s="16">
        <f t="shared" si="15"/>
        <v>2033.9</v>
      </c>
      <c r="T53" s="15">
        <v>-38.01</v>
      </c>
      <c r="U53" s="15">
        <v>319.07</v>
      </c>
      <c r="V53" s="16">
        <f t="shared" si="16"/>
        <v>-357.08</v>
      </c>
      <c r="W53" s="15">
        <v>3554.45</v>
      </c>
      <c r="X53" s="15">
        <v>-5.91</v>
      </c>
      <c r="Y53" s="15"/>
      <c r="Z53" s="15"/>
      <c r="AA53" s="15"/>
      <c r="AB53" s="15">
        <v>695</v>
      </c>
      <c r="AC53" s="16">
        <f t="shared" si="17"/>
        <v>2470.3427499999998</v>
      </c>
      <c r="AD53" s="17">
        <f t="shared" si="18"/>
        <v>0.87027868390985408</v>
      </c>
      <c r="AE53" s="17">
        <f t="shared" si="19"/>
        <v>0.75151034058708899</v>
      </c>
      <c r="AF53" s="17">
        <f t="shared" si="20"/>
        <v>4.5752540157261983</v>
      </c>
      <c r="AG53" s="18">
        <f t="shared" si="21"/>
        <v>-7.476063907658574E-3</v>
      </c>
      <c r="AH53" s="18">
        <f t="shared" si="22"/>
        <v>-4.5514864623977504E-2</v>
      </c>
      <c r="AI53" s="18">
        <f t="shared" si="23"/>
        <v>-4.9042309128741399E-3</v>
      </c>
      <c r="AJ53" s="18">
        <f t="shared" si="24"/>
        <v>7.5236621672090914E-2</v>
      </c>
      <c r="AK53" s="6"/>
      <c r="AL53" s="6"/>
      <c r="AM53" s="6"/>
      <c r="AN53" s="6"/>
      <c r="AO53" s="41"/>
      <c r="AP53" s="42">
        <f t="shared" si="25"/>
        <v>68.709999999999994</v>
      </c>
      <c r="AQ53" s="42" t="str">
        <f t="shared" si="26"/>
        <v/>
      </c>
      <c r="AR53" s="41"/>
      <c r="AS53" s="42" t="str">
        <f t="shared" si="27"/>
        <v/>
      </c>
      <c r="AT53" s="45" t="s">
        <v>10396</v>
      </c>
    </row>
    <row r="54" spans="1:46" ht="15" customHeight="1" x14ac:dyDescent="0.3">
      <c r="A54" s="6" t="s">
        <v>5124</v>
      </c>
      <c r="B54" s="14">
        <v>2022</v>
      </c>
      <c r="C54" s="15">
        <v>627.88</v>
      </c>
      <c r="D54" s="15">
        <v>174.19</v>
      </c>
      <c r="E54" s="15"/>
      <c r="F54" s="15">
        <v>115.15</v>
      </c>
      <c r="G54" s="15">
        <v>61.88</v>
      </c>
      <c r="H54" s="15">
        <v>61.52</v>
      </c>
      <c r="I54" s="15">
        <v>966.24</v>
      </c>
      <c r="J54" s="15">
        <v>460.45</v>
      </c>
      <c r="K54" s="15">
        <v>505.79</v>
      </c>
      <c r="L54" s="15">
        <v>422.83</v>
      </c>
      <c r="M54" s="15">
        <v>211.34</v>
      </c>
      <c r="N54" s="15">
        <v>211.49</v>
      </c>
      <c r="O54" s="15">
        <v>543.41</v>
      </c>
      <c r="P54" s="16">
        <f t="shared" si="14"/>
        <v>249.10999999999999</v>
      </c>
      <c r="Q54" s="15">
        <v>303.67</v>
      </c>
      <c r="R54" s="15">
        <v>352.67</v>
      </c>
      <c r="S54" s="16">
        <f t="shared" si="15"/>
        <v>49</v>
      </c>
      <c r="T54" s="15">
        <v>89.26</v>
      </c>
      <c r="U54" s="15"/>
      <c r="V54" s="16">
        <f t="shared" si="16"/>
        <v>89.26</v>
      </c>
      <c r="W54" s="15">
        <v>12000</v>
      </c>
      <c r="X54" s="15">
        <v>6.2</v>
      </c>
      <c r="Y54" s="15"/>
      <c r="Z54" s="15"/>
      <c r="AA54" s="15"/>
      <c r="AB54" s="15">
        <v>129</v>
      </c>
      <c r="AC54" s="16">
        <f t="shared" si="17"/>
        <v>1548</v>
      </c>
      <c r="AD54" s="17">
        <f t="shared" si="18"/>
        <v>2.1787167597236681</v>
      </c>
      <c r="AE54" s="17">
        <f t="shared" si="19"/>
        <v>0.36499213445934758</v>
      </c>
      <c r="AF54" s="17">
        <f t="shared" si="20"/>
        <v>0.64899431368579896</v>
      </c>
      <c r="AG54" s="18">
        <f t="shared" si="21"/>
        <v>6.4042059943699284E-2</v>
      </c>
      <c r="AH54" s="18">
        <f t="shared" si="22"/>
        <v>0.11387350251191551</v>
      </c>
      <c r="AI54" s="18">
        <f t="shared" si="23"/>
        <v>9.8553863795629748E-2</v>
      </c>
      <c r="AJ54" s="18">
        <f t="shared" si="24"/>
        <v>0.27742562273045807</v>
      </c>
      <c r="AK54" s="6"/>
      <c r="AL54" s="6"/>
      <c r="AM54" s="6"/>
      <c r="AN54" s="6"/>
      <c r="AO54" s="41"/>
      <c r="AP54" s="42">
        <f t="shared" si="25"/>
        <v>115.15</v>
      </c>
      <c r="AQ54" s="42" t="str">
        <f t="shared" si="26"/>
        <v/>
      </c>
      <c r="AR54" s="41"/>
      <c r="AS54" s="42" t="str">
        <f t="shared" si="27"/>
        <v/>
      </c>
      <c r="AT54" s="45" t="s">
        <v>10397</v>
      </c>
    </row>
    <row r="55" spans="1:46" ht="15" customHeight="1" x14ac:dyDescent="0.3">
      <c r="A55" s="6" t="s">
        <v>5124</v>
      </c>
      <c r="B55" s="14">
        <v>2023</v>
      </c>
      <c r="C55" s="15">
        <v>710.98</v>
      </c>
      <c r="D55" s="15">
        <v>125.75</v>
      </c>
      <c r="E55" s="15"/>
      <c r="F55" s="15">
        <v>62.68</v>
      </c>
      <c r="G55" s="15">
        <v>51.38</v>
      </c>
      <c r="H55" s="15">
        <v>51.24</v>
      </c>
      <c r="I55" s="15">
        <v>1331.79</v>
      </c>
      <c r="J55" s="15">
        <v>538.02</v>
      </c>
      <c r="K55" s="15">
        <v>793.78</v>
      </c>
      <c r="L55" s="15">
        <v>747.32</v>
      </c>
      <c r="M55" s="15">
        <v>166.15</v>
      </c>
      <c r="N55" s="15">
        <v>581.16999999999996</v>
      </c>
      <c r="O55" s="15">
        <v>584.48</v>
      </c>
      <c r="P55" s="16">
        <f t="shared" si="14"/>
        <v>371.87</v>
      </c>
      <c r="Q55" s="15">
        <v>188.24</v>
      </c>
      <c r="R55" s="15">
        <v>662.84</v>
      </c>
      <c r="S55" s="16">
        <f t="shared" si="15"/>
        <v>474.6</v>
      </c>
      <c r="T55" s="15">
        <v>16.579999999999998</v>
      </c>
      <c r="U55" s="15">
        <v>371.81</v>
      </c>
      <c r="V55" s="16">
        <f t="shared" si="16"/>
        <v>-355.23</v>
      </c>
      <c r="W55" s="15">
        <v>12000.1</v>
      </c>
      <c r="X55" s="15">
        <v>4.2699999999999996</v>
      </c>
      <c r="Y55" s="15"/>
      <c r="Z55" s="15"/>
      <c r="AA55" s="15"/>
      <c r="AB55" s="15">
        <v>150</v>
      </c>
      <c r="AC55" s="16">
        <f t="shared" si="17"/>
        <v>1800.0150000000001</v>
      </c>
      <c r="AD55" s="17">
        <f t="shared" si="18"/>
        <v>3.2381582907011732</v>
      </c>
      <c r="AE55" s="17">
        <f t="shared" si="19"/>
        <v>0.49770609480473654</v>
      </c>
      <c r="AF55" s="17">
        <f t="shared" si="20"/>
        <v>1.1340678894059677</v>
      </c>
      <c r="AG55" s="18">
        <f t="shared" si="21"/>
        <v>3.8579655951764172E-2</v>
      </c>
      <c r="AH55" s="18">
        <f t="shared" si="22"/>
        <v>8.7907199562003838E-2</v>
      </c>
      <c r="AI55" s="18">
        <f t="shared" si="23"/>
        <v>7.2266449126557705E-2</v>
      </c>
      <c r="AJ55" s="18">
        <f t="shared" si="24"/>
        <v>0.17686854763847085</v>
      </c>
      <c r="AK55" s="6"/>
      <c r="AL55" s="6"/>
      <c r="AM55" s="6"/>
      <c r="AN55" s="6"/>
      <c r="AO55" s="41"/>
      <c r="AP55" s="42">
        <f t="shared" si="25"/>
        <v>62.68</v>
      </c>
      <c r="AQ55" s="42" t="str">
        <f t="shared" si="26"/>
        <v/>
      </c>
      <c r="AR55" s="41"/>
      <c r="AS55" s="42" t="str">
        <f t="shared" si="27"/>
        <v/>
      </c>
      <c r="AT55" s="45" t="s">
        <v>10398</v>
      </c>
    </row>
    <row r="56" spans="1:46" ht="15" customHeight="1" x14ac:dyDescent="0.3">
      <c r="A56" s="6" t="s">
        <v>5124</v>
      </c>
      <c r="B56" s="14">
        <v>2024</v>
      </c>
      <c r="C56" s="15">
        <v>1006.86</v>
      </c>
      <c r="D56" s="15">
        <v>179.43</v>
      </c>
      <c r="E56" s="15"/>
      <c r="F56" s="15">
        <v>106.39</v>
      </c>
      <c r="G56" s="15">
        <v>52.25</v>
      </c>
      <c r="H56" s="15">
        <v>52.04</v>
      </c>
      <c r="I56" s="15">
        <v>1518.44</v>
      </c>
      <c r="J56" s="15">
        <v>668.76</v>
      </c>
      <c r="K56" s="15">
        <v>849.68</v>
      </c>
      <c r="L56" s="15">
        <v>889.1</v>
      </c>
      <c r="M56" s="15">
        <v>171.44</v>
      </c>
      <c r="N56" s="15">
        <v>717.66</v>
      </c>
      <c r="O56" s="15">
        <v>629.34</v>
      </c>
      <c r="P56" s="16">
        <f t="shared" si="14"/>
        <v>497.32</v>
      </c>
      <c r="Q56" s="15">
        <v>164.52</v>
      </c>
      <c r="R56" s="15">
        <v>798.72</v>
      </c>
      <c r="S56" s="16">
        <f t="shared" si="15"/>
        <v>634.20000000000005</v>
      </c>
      <c r="T56" s="15">
        <v>114.33</v>
      </c>
      <c r="U56" s="15">
        <v>70.819999999999993</v>
      </c>
      <c r="V56" s="16">
        <f t="shared" si="16"/>
        <v>43.510000000000005</v>
      </c>
      <c r="W56" s="15">
        <v>12052.4</v>
      </c>
      <c r="X56" s="15">
        <v>4.33</v>
      </c>
      <c r="Y56" s="15"/>
      <c r="Z56" s="15"/>
      <c r="AA56" s="15">
        <v>1</v>
      </c>
      <c r="AB56" s="15">
        <v>120</v>
      </c>
      <c r="AC56" s="16">
        <f t="shared" si="17"/>
        <v>1446.288</v>
      </c>
      <c r="AD56" s="17">
        <f t="shared" si="18"/>
        <v>3.9008399440037329</v>
      </c>
      <c r="AE56" s="17">
        <f t="shared" si="19"/>
        <v>0.52601354021232316</v>
      </c>
      <c r="AF56" s="17">
        <f t="shared" si="20"/>
        <v>1.2691390981027744</v>
      </c>
      <c r="AG56" s="18">
        <f t="shared" si="21"/>
        <v>3.4410315850478122E-2</v>
      </c>
      <c r="AH56" s="18">
        <f t="shared" si="22"/>
        <v>8.3023484920710586E-2</v>
      </c>
      <c r="AI56" s="18">
        <f t="shared" si="23"/>
        <v>5.1894007111217048E-2</v>
      </c>
      <c r="AJ56" s="18">
        <f t="shared" si="24"/>
        <v>0.17820749657350576</v>
      </c>
      <c r="AK56" s="6"/>
      <c r="AL56" s="6"/>
      <c r="AM56" s="6"/>
      <c r="AN56" s="6"/>
      <c r="AO56" s="41"/>
      <c r="AP56" s="42">
        <f t="shared" si="25"/>
        <v>106.39</v>
      </c>
      <c r="AQ56" s="42" t="str">
        <f t="shared" si="26"/>
        <v/>
      </c>
      <c r="AR56" s="41"/>
      <c r="AS56" s="42" t="str">
        <f t="shared" si="27"/>
        <v/>
      </c>
      <c r="AT56" s="45" t="s">
        <v>10399</v>
      </c>
    </row>
    <row r="57" spans="1:46" ht="15" customHeight="1" x14ac:dyDescent="0.3">
      <c r="A57" s="6" t="s">
        <v>5374</v>
      </c>
      <c r="B57" s="14">
        <v>2022</v>
      </c>
      <c r="C57" s="15">
        <v>1134</v>
      </c>
      <c r="D57" s="15">
        <v>406</v>
      </c>
      <c r="E57" s="15"/>
      <c r="F57" s="15">
        <v>313.18</v>
      </c>
      <c r="G57" s="15">
        <v>70</v>
      </c>
      <c r="H57" s="15">
        <v>70</v>
      </c>
      <c r="I57" s="15">
        <v>3035</v>
      </c>
      <c r="J57" s="15">
        <v>331</v>
      </c>
      <c r="K57" s="15">
        <v>2705</v>
      </c>
      <c r="L57" s="15">
        <v>2405</v>
      </c>
      <c r="M57" s="15">
        <v>337</v>
      </c>
      <c r="N57" s="15">
        <v>2068</v>
      </c>
      <c r="O57" s="15">
        <v>630</v>
      </c>
      <c r="P57" s="16">
        <f t="shared" si="14"/>
        <v>-6</v>
      </c>
      <c r="Q57" s="15">
        <v>40</v>
      </c>
      <c r="R57" s="15">
        <v>2104.6</v>
      </c>
      <c r="S57" s="16">
        <f t="shared" si="15"/>
        <v>2064.6</v>
      </c>
      <c r="T57" s="15">
        <v>47</v>
      </c>
      <c r="U57" s="15">
        <v>103.49</v>
      </c>
      <c r="V57" s="16">
        <f t="shared" si="16"/>
        <v>-56.489999999999995</v>
      </c>
      <c r="W57" s="15">
        <v>20220</v>
      </c>
      <c r="X57" s="15">
        <v>3.47</v>
      </c>
      <c r="Y57" s="15"/>
      <c r="Z57" s="15"/>
      <c r="AA57" s="15"/>
      <c r="AB57" s="15"/>
      <c r="AC57" s="16">
        <f t="shared" si="17"/>
        <v>0</v>
      </c>
      <c r="AD57" s="17">
        <f t="shared" si="18"/>
        <v>0.98219584569732943</v>
      </c>
      <c r="AE57" s="17">
        <f t="shared" si="19"/>
        <v>0.69344316309719933</v>
      </c>
      <c r="AF57" s="17">
        <f t="shared" si="20"/>
        <v>3.3406349206349204</v>
      </c>
      <c r="AG57" s="18">
        <f t="shared" si="21"/>
        <v>2.3064250411861616E-2</v>
      </c>
      <c r="AH57" s="18">
        <f t="shared" si="22"/>
        <v>0.1111111111111111</v>
      </c>
      <c r="AI57" s="18">
        <f t="shared" si="23"/>
        <v>6.1728395061728392E-2</v>
      </c>
      <c r="AJ57" s="18">
        <f t="shared" si="24"/>
        <v>0.35802469135802467</v>
      </c>
      <c r="AK57" s="6"/>
      <c r="AL57" s="6"/>
      <c r="AM57" s="6"/>
      <c r="AN57" s="6"/>
      <c r="AO57" s="41"/>
      <c r="AP57" s="42">
        <f t="shared" si="25"/>
        <v>313.18</v>
      </c>
      <c r="AQ57" s="42" t="str">
        <f t="shared" si="26"/>
        <v/>
      </c>
      <c r="AR57" s="41"/>
      <c r="AS57" s="42" t="str">
        <f t="shared" si="27"/>
        <v/>
      </c>
      <c r="AT57" s="45" t="s">
        <v>10400</v>
      </c>
    </row>
    <row r="58" spans="1:46" ht="15" customHeight="1" x14ac:dyDescent="0.3">
      <c r="A58" s="6" t="s">
        <v>5374</v>
      </c>
      <c r="B58" s="14">
        <v>2023</v>
      </c>
      <c r="C58" s="15">
        <v>1185</v>
      </c>
      <c r="D58" s="15">
        <v>303</v>
      </c>
      <c r="E58" s="15"/>
      <c r="F58" s="15">
        <v>202.81</v>
      </c>
      <c r="G58" s="15">
        <v>2</v>
      </c>
      <c r="H58" s="15">
        <v>2</v>
      </c>
      <c r="I58" s="15">
        <v>3672</v>
      </c>
      <c r="J58" s="15">
        <v>636</v>
      </c>
      <c r="K58" s="15">
        <v>3037</v>
      </c>
      <c r="L58" s="15">
        <v>2611</v>
      </c>
      <c r="M58" s="15">
        <v>678</v>
      </c>
      <c r="N58" s="15">
        <v>1933</v>
      </c>
      <c r="O58" s="15">
        <v>1061</v>
      </c>
      <c r="P58" s="16">
        <f t="shared" si="14"/>
        <v>-42</v>
      </c>
      <c r="Q58" s="15">
        <v>243</v>
      </c>
      <c r="R58" s="15">
        <v>2110.0100000000002</v>
      </c>
      <c r="S58" s="16">
        <f t="shared" si="15"/>
        <v>1867.0100000000002</v>
      </c>
      <c r="T58" s="15">
        <v>136</v>
      </c>
      <c r="U58" s="15">
        <v>329.88</v>
      </c>
      <c r="V58" s="16">
        <f t="shared" si="16"/>
        <v>-193.88</v>
      </c>
      <c r="W58" s="15">
        <v>23789</v>
      </c>
      <c r="X58" s="15">
        <v>0.09</v>
      </c>
      <c r="Y58" s="15"/>
      <c r="Z58" s="15"/>
      <c r="AA58" s="15"/>
      <c r="AB58" s="15">
        <v>177</v>
      </c>
      <c r="AC58" s="16">
        <f t="shared" si="17"/>
        <v>4210.6530000000002</v>
      </c>
      <c r="AD58" s="17">
        <f t="shared" si="18"/>
        <v>0.93805309734513276</v>
      </c>
      <c r="AE58" s="17">
        <f t="shared" si="19"/>
        <v>0.57462145969498912</v>
      </c>
      <c r="AF58" s="17">
        <f t="shared" si="20"/>
        <v>1.9886993402450521</v>
      </c>
      <c r="AG58" s="18">
        <f t="shared" si="21"/>
        <v>5.4466230936819177E-4</v>
      </c>
      <c r="AH58" s="18">
        <f t="shared" si="22"/>
        <v>1.885014137606032E-3</v>
      </c>
      <c r="AI58" s="18">
        <f t="shared" si="23"/>
        <v>1.6877637130801688E-3</v>
      </c>
      <c r="AJ58" s="18">
        <f t="shared" si="24"/>
        <v>0.25569620253164554</v>
      </c>
      <c r="AK58" s="6"/>
      <c r="AL58" s="6"/>
      <c r="AM58" s="6"/>
      <c r="AN58" s="6"/>
      <c r="AO58" s="41"/>
      <c r="AP58" s="42">
        <f t="shared" si="25"/>
        <v>202.81</v>
      </c>
      <c r="AQ58" s="42" t="str">
        <f t="shared" si="26"/>
        <v/>
      </c>
      <c r="AR58" s="41"/>
      <c r="AS58" s="42" t="str">
        <f t="shared" si="27"/>
        <v/>
      </c>
      <c r="AT58" s="45" t="s">
        <v>10401</v>
      </c>
    </row>
    <row r="59" spans="1:46" ht="15" customHeight="1" x14ac:dyDescent="0.3">
      <c r="A59" s="6" t="s">
        <v>5374</v>
      </c>
      <c r="B59" s="14">
        <v>2024</v>
      </c>
      <c r="C59" s="15">
        <v>1490</v>
      </c>
      <c r="D59" s="15">
        <v>585</v>
      </c>
      <c r="E59" s="15"/>
      <c r="F59" s="15"/>
      <c r="G59" s="15">
        <v>305</v>
      </c>
      <c r="H59" s="15">
        <v>305</v>
      </c>
      <c r="I59" s="15">
        <v>3728</v>
      </c>
      <c r="J59" s="15">
        <v>720</v>
      </c>
      <c r="K59" s="15">
        <v>3008</v>
      </c>
      <c r="L59" s="15">
        <v>2363</v>
      </c>
      <c r="M59" s="15">
        <v>627</v>
      </c>
      <c r="N59" s="15">
        <v>1735</v>
      </c>
      <c r="O59" s="15">
        <v>1365</v>
      </c>
      <c r="P59" s="16">
        <f t="shared" si="14"/>
        <v>93</v>
      </c>
      <c r="Q59" s="15">
        <v>386</v>
      </c>
      <c r="R59" s="15"/>
      <c r="S59" s="16">
        <f t="shared" si="15"/>
        <v>-386</v>
      </c>
      <c r="T59" s="15">
        <v>438</v>
      </c>
      <c r="U59" s="15">
        <v>75</v>
      </c>
      <c r="V59" s="16">
        <f t="shared" si="16"/>
        <v>363</v>
      </c>
      <c r="W59" s="15">
        <v>23802</v>
      </c>
      <c r="X59" s="15">
        <v>12.8</v>
      </c>
      <c r="Y59" s="15"/>
      <c r="Z59" s="15"/>
      <c r="AA59" s="15"/>
      <c r="AB59" s="15">
        <v>276</v>
      </c>
      <c r="AC59" s="16">
        <f t="shared" si="17"/>
        <v>6569.3519999999999</v>
      </c>
      <c r="AD59" s="17">
        <f t="shared" si="18"/>
        <v>1.1483253588516746</v>
      </c>
      <c r="AE59" s="17">
        <f t="shared" si="19"/>
        <v>0</v>
      </c>
      <c r="AF59" s="17">
        <f t="shared" si="20"/>
        <v>0</v>
      </c>
      <c r="AG59" s="18">
        <f t="shared" si="21"/>
        <v>8.1813304721030045E-2</v>
      </c>
      <c r="AH59" s="18">
        <f t="shared" si="22"/>
        <v>0.22344322344322345</v>
      </c>
      <c r="AI59" s="18">
        <f t="shared" si="23"/>
        <v>0.20469798657718122</v>
      </c>
      <c r="AJ59" s="18">
        <f t="shared" si="24"/>
        <v>0.39261744966442952</v>
      </c>
      <c r="AK59" s="6"/>
      <c r="AL59" s="6"/>
      <c r="AM59" s="6"/>
      <c r="AN59" s="6"/>
      <c r="AO59" s="41"/>
      <c r="AP59" s="42" t="str">
        <f t="shared" si="25"/>
        <v/>
      </c>
      <c r="AQ59" s="42" t="str">
        <f t="shared" si="26"/>
        <v/>
      </c>
      <c r="AR59" s="41"/>
      <c r="AS59" s="42" t="str">
        <f t="shared" si="27"/>
        <v/>
      </c>
      <c r="AT59" s="45" t="s">
        <v>10402</v>
      </c>
    </row>
    <row r="60" spans="1:46" ht="15" customHeight="1" x14ac:dyDescent="0.3">
      <c r="A60" s="6" t="s">
        <v>5641</v>
      </c>
      <c r="B60" s="14">
        <v>2022</v>
      </c>
      <c r="C60" s="15">
        <v>514.20000000000005</v>
      </c>
      <c r="D60" s="15">
        <v>44.14</v>
      </c>
      <c r="E60" s="15"/>
      <c r="F60" s="15">
        <v>15.18</v>
      </c>
      <c r="G60" s="15">
        <v>6.82</v>
      </c>
      <c r="H60" s="15">
        <v>6.82</v>
      </c>
      <c r="I60" s="15">
        <v>157.97999999999999</v>
      </c>
      <c r="J60" s="15">
        <v>118.48</v>
      </c>
      <c r="K60" s="15">
        <v>39.5</v>
      </c>
      <c r="L60" s="15">
        <v>75.19</v>
      </c>
      <c r="M60" s="15">
        <v>67.98</v>
      </c>
      <c r="N60" s="15">
        <v>7.22</v>
      </c>
      <c r="O60" s="15">
        <v>82.79</v>
      </c>
      <c r="P60" s="16">
        <f t="shared" si="14"/>
        <v>50.5</v>
      </c>
      <c r="Q60" s="15">
        <v>7.96</v>
      </c>
      <c r="R60" s="15">
        <v>51.36</v>
      </c>
      <c r="S60" s="16">
        <f t="shared" si="15"/>
        <v>43.4</v>
      </c>
      <c r="T60" s="15">
        <v>18.87</v>
      </c>
      <c r="U60" s="15">
        <v>27.22</v>
      </c>
      <c r="V60" s="16">
        <f t="shared" si="16"/>
        <v>-8.3499999999999979</v>
      </c>
      <c r="W60" s="15">
        <v>454.06</v>
      </c>
      <c r="X60" s="15">
        <v>15.02</v>
      </c>
      <c r="Y60" s="15">
        <v>182</v>
      </c>
      <c r="Z60" s="15"/>
      <c r="AA60" s="15"/>
      <c r="AB60" s="15">
        <v>218</v>
      </c>
      <c r="AC60" s="16">
        <f t="shared" si="17"/>
        <v>98.985079999999996</v>
      </c>
      <c r="AD60" s="17">
        <f t="shared" si="18"/>
        <v>1.7428655486907914</v>
      </c>
      <c r="AE60" s="17">
        <f t="shared" si="19"/>
        <v>0.32510444360045576</v>
      </c>
      <c r="AF60" s="17">
        <f t="shared" si="20"/>
        <v>0.62036477835487369</v>
      </c>
      <c r="AG60" s="18">
        <f t="shared" si="21"/>
        <v>4.3170021521711614E-2</v>
      </c>
      <c r="AH60" s="18">
        <f t="shared" si="22"/>
        <v>8.2377098683415875E-2</v>
      </c>
      <c r="AI60" s="18">
        <f t="shared" si="23"/>
        <v>1.3263321664721897E-2</v>
      </c>
      <c r="AJ60" s="18">
        <f t="shared" si="24"/>
        <v>8.5842084791909759E-2</v>
      </c>
      <c r="AK60" s="6"/>
      <c r="AL60" s="6"/>
      <c r="AM60" s="6"/>
      <c r="AN60" s="6"/>
      <c r="AO60" s="41"/>
      <c r="AP60" s="42">
        <f t="shared" si="25"/>
        <v>15.18</v>
      </c>
      <c r="AQ60" s="42" t="str">
        <f t="shared" si="26"/>
        <v/>
      </c>
      <c r="AR60" s="41"/>
      <c r="AS60" s="42" t="str">
        <f t="shared" si="27"/>
        <v/>
      </c>
      <c r="AT60" s="45" t="s">
        <v>10403</v>
      </c>
    </row>
    <row r="61" spans="1:46" ht="15" customHeight="1" x14ac:dyDescent="0.3">
      <c r="A61" s="6" t="s">
        <v>5641</v>
      </c>
      <c r="B61" s="14">
        <v>2023</v>
      </c>
      <c r="C61" s="15">
        <v>600.35</v>
      </c>
      <c r="D61" s="15">
        <v>35.92</v>
      </c>
      <c r="E61" s="15"/>
      <c r="F61" s="15">
        <v>11.25</v>
      </c>
      <c r="G61" s="15">
        <v>3.13</v>
      </c>
      <c r="H61" s="15">
        <v>3.13</v>
      </c>
      <c r="I61" s="15">
        <v>199.91</v>
      </c>
      <c r="J61" s="15">
        <v>136.07</v>
      </c>
      <c r="K61" s="15">
        <v>63.84</v>
      </c>
      <c r="L61" s="15">
        <v>115.42</v>
      </c>
      <c r="M61" s="15">
        <v>103.76</v>
      </c>
      <c r="N61" s="15">
        <v>11.66</v>
      </c>
      <c r="O61" s="15">
        <v>84.49</v>
      </c>
      <c r="P61" s="16">
        <f t="shared" si="14"/>
        <v>32.309999999999988</v>
      </c>
      <c r="Q61" s="15">
        <v>7.91</v>
      </c>
      <c r="R61" s="15">
        <v>80.8</v>
      </c>
      <c r="S61" s="16">
        <f t="shared" si="15"/>
        <v>72.89</v>
      </c>
      <c r="T61" s="15">
        <v>-11.95</v>
      </c>
      <c r="U61" s="15">
        <v>14.37</v>
      </c>
      <c r="V61" s="16">
        <f t="shared" si="16"/>
        <v>-26.32</v>
      </c>
      <c r="W61" s="15">
        <v>454.06</v>
      </c>
      <c r="X61" s="15">
        <v>6.89</v>
      </c>
      <c r="Y61" s="15">
        <v>186</v>
      </c>
      <c r="Z61" s="15"/>
      <c r="AA61" s="15"/>
      <c r="AB61" s="15">
        <v>133</v>
      </c>
      <c r="AC61" s="16">
        <f t="shared" si="17"/>
        <v>60.389980000000001</v>
      </c>
      <c r="AD61" s="17">
        <f t="shared" si="18"/>
        <v>1.3113916730917501</v>
      </c>
      <c r="AE61" s="17">
        <f t="shared" si="19"/>
        <v>0.40418188184683107</v>
      </c>
      <c r="AF61" s="17">
        <f t="shared" si="20"/>
        <v>0.95632619244881056</v>
      </c>
      <c r="AG61" s="18">
        <f t="shared" si="21"/>
        <v>1.5657045670551747E-2</v>
      </c>
      <c r="AH61" s="18">
        <f t="shared" si="22"/>
        <v>3.7045804237187833E-2</v>
      </c>
      <c r="AI61" s="18">
        <f t="shared" si="23"/>
        <v>5.2136253851919707E-3</v>
      </c>
      <c r="AJ61" s="18">
        <f t="shared" si="24"/>
        <v>5.9831764803864415E-2</v>
      </c>
      <c r="AK61" s="6"/>
      <c r="AL61" s="6"/>
      <c r="AM61" s="6"/>
      <c r="AN61" s="6"/>
      <c r="AO61" s="41"/>
      <c r="AP61" s="42">
        <f t="shared" si="25"/>
        <v>11.25</v>
      </c>
      <c r="AQ61" s="42" t="str">
        <f t="shared" si="26"/>
        <v/>
      </c>
      <c r="AR61" s="41"/>
      <c r="AS61" s="42" t="str">
        <f t="shared" si="27"/>
        <v/>
      </c>
      <c r="AT61" s="45" t="s">
        <v>10404</v>
      </c>
    </row>
    <row r="62" spans="1:46" ht="15" customHeight="1" x14ac:dyDescent="0.3">
      <c r="A62" s="6" t="s">
        <v>5641</v>
      </c>
      <c r="B62" s="14">
        <v>2024</v>
      </c>
      <c r="C62" s="15">
        <v>634.38</v>
      </c>
      <c r="D62" s="15">
        <v>45.26</v>
      </c>
      <c r="E62" s="15"/>
      <c r="F62" s="15">
        <v>16.510000000000002</v>
      </c>
      <c r="G62" s="15">
        <v>6.35</v>
      </c>
      <c r="H62" s="15">
        <v>6.35</v>
      </c>
      <c r="I62" s="15">
        <v>219.17</v>
      </c>
      <c r="J62" s="15">
        <v>147.96</v>
      </c>
      <c r="K62" s="15">
        <v>71.209999999999994</v>
      </c>
      <c r="L62" s="15">
        <v>128.36000000000001</v>
      </c>
      <c r="M62" s="15">
        <v>123.59</v>
      </c>
      <c r="N62" s="15">
        <v>4.7699999999999996</v>
      </c>
      <c r="O62" s="15">
        <v>90.81</v>
      </c>
      <c r="P62" s="16">
        <f t="shared" si="14"/>
        <v>24.370000000000005</v>
      </c>
      <c r="Q62" s="15">
        <v>9.77</v>
      </c>
      <c r="R62" s="15">
        <v>86.87</v>
      </c>
      <c r="S62" s="16">
        <f t="shared" si="15"/>
        <v>77.100000000000009</v>
      </c>
      <c r="T62" s="15">
        <v>13.17</v>
      </c>
      <c r="U62" s="15">
        <v>6.69</v>
      </c>
      <c r="V62" s="16">
        <f t="shared" si="16"/>
        <v>6.4799999999999995</v>
      </c>
      <c r="W62" s="15">
        <v>454.06</v>
      </c>
      <c r="X62" s="15">
        <v>13.98</v>
      </c>
      <c r="Y62" s="15">
        <v>200</v>
      </c>
      <c r="Z62" s="15"/>
      <c r="AA62" s="15"/>
      <c r="AB62" s="15">
        <v>98</v>
      </c>
      <c r="AC62" s="16">
        <f t="shared" si="17"/>
        <v>44.497879999999995</v>
      </c>
      <c r="AD62" s="17">
        <f t="shared" si="18"/>
        <v>1.1971842382069746</v>
      </c>
      <c r="AE62" s="17">
        <f t="shared" si="19"/>
        <v>0.39635899073778352</v>
      </c>
      <c r="AF62" s="17">
        <f t="shared" si="20"/>
        <v>0.95661270785155827</v>
      </c>
      <c r="AG62" s="18">
        <f t="shared" si="21"/>
        <v>2.8972943377287036E-2</v>
      </c>
      <c r="AH62" s="18">
        <f t="shared" si="22"/>
        <v>6.9926219579341475E-2</v>
      </c>
      <c r="AI62" s="18">
        <f t="shared" si="23"/>
        <v>1.0009773321983668E-2</v>
      </c>
      <c r="AJ62" s="18">
        <f t="shared" si="24"/>
        <v>7.1345250480784383E-2</v>
      </c>
      <c r="AK62" s="6"/>
      <c r="AL62" s="6"/>
      <c r="AM62" s="6"/>
      <c r="AN62" s="6"/>
      <c r="AO62" s="41"/>
      <c r="AP62" s="42">
        <f t="shared" si="25"/>
        <v>16.510000000000002</v>
      </c>
      <c r="AQ62" s="42" t="str">
        <f t="shared" si="26"/>
        <v/>
      </c>
      <c r="AR62" s="41"/>
      <c r="AS62" s="42" t="str">
        <f t="shared" si="27"/>
        <v/>
      </c>
      <c r="AT62" s="45" t="s">
        <v>10405</v>
      </c>
    </row>
    <row r="63" spans="1:46" ht="15" customHeight="1" x14ac:dyDescent="0.3">
      <c r="A63" s="6" t="s">
        <v>5876</v>
      </c>
      <c r="B63" s="14">
        <v>2022</v>
      </c>
      <c r="C63" s="15">
        <v>1007.31</v>
      </c>
      <c r="D63" s="15">
        <v>264.42</v>
      </c>
      <c r="E63" s="15"/>
      <c r="F63" s="15">
        <v>233.64</v>
      </c>
      <c r="G63" s="15">
        <v>167.25</v>
      </c>
      <c r="H63" s="15">
        <v>172.15</v>
      </c>
      <c r="I63" s="15">
        <v>2347.52</v>
      </c>
      <c r="J63" s="15">
        <v>289.99799999999999</v>
      </c>
      <c r="K63" s="15">
        <v>2057.52</v>
      </c>
      <c r="L63" s="15">
        <v>918.35</v>
      </c>
      <c r="M63" s="15">
        <v>197.37</v>
      </c>
      <c r="N63" s="15">
        <v>720.98</v>
      </c>
      <c r="O63" s="15">
        <v>1429.17</v>
      </c>
      <c r="P63" s="16">
        <f t="shared" si="14"/>
        <v>92.627999999999986</v>
      </c>
      <c r="Q63" s="15">
        <v>35.9</v>
      </c>
      <c r="R63" s="15">
        <v>692.08</v>
      </c>
      <c r="S63" s="16">
        <f t="shared" si="15"/>
        <v>656.18000000000006</v>
      </c>
      <c r="T63" s="15">
        <v>213.08</v>
      </c>
      <c r="U63" s="15">
        <v>77.069999999999993</v>
      </c>
      <c r="V63" s="16">
        <f t="shared" si="16"/>
        <v>136.01000000000002</v>
      </c>
      <c r="W63" s="15">
        <v>5737.85</v>
      </c>
      <c r="X63" s="15">
        <v>30</v>
      </c>
      <c r="Y63" s="15">
        <v>249</v>
      </c>
      <c r="Z63" s="15"/>
      <c r="AA63" s="15"/>
      <c r="AB63" s="15">
        <v>805</v>
      </c>
      <c r="AC63" s="16">
        <f t="shared" si="17"/>
        <v>4618.9692500000001</v>
      </c>
      <c r="AD63" s="17">
        <f t="shared" si="18"/>
        <v>1.469311445508436</v>
      </c>
      <c r="AE63" s="17">
        <f t="shared" si="19"/>
        <v>0.29481324972737188</v>
      </c>
      <c r="AF63" s="17">
        <f t="shared" si="20"/>
        <v>0.48425309795195814</v>
      </c>
      <c r="AG63" s="18">
        <f t="shared" si="21"/>
        <v>7.124539940021811E-2</v>
      </c>
      <c r="AH63" s="18">
        <f t="shared" si="22"/>
        <v>0.11702596612019563</v>
      </c>
      <c r="AI63" s="18">
        <f t="shared" si="23"/>
        <v>0.16603627483098551</v>
      </c>
      <c r="AJ63" s="18">
        <f t="shared" si="24"/>
        <v>0.26250111683592936</v>
      </c>
      <c r="AK63" s="6"/>
      <c r="AL63" s="6"/>
      <c r="AM63" s="6"/>
      <c r="AN63" s="6"/>
      <c r="AO63" s="41">
        <v>0</v>
      </c>
      <c r="AP63" s="42">
        <f t="shared" si="25"/>
        <v>233.64</v>
      </c>
      <c r="AQ63" s="42" t="str">
        <f t="shared" si="26"/>
        <v/>
      </c>
      <c r="AR63" s="41">
        <v>656.18</v>
      </c>
      <c r="AS63" s="42">
        <f t="shared" si="27"/>
        <v>-1.1368683772161603E-13</v>
      </c>
      <c r="AT63" s="45" t="s">
        <v>10406</v>
      </c>
    </row>
    <row r="64" spans="1:46" ht="15" customHeight="1" x14ac:dyDescent="0.3">
      <c r="A64" s="6" t="s">
        <v>5876</v>
      </c>
      <c r="B64" s="14">
        <v>2023</v>
      </c>
      <c r="C64" s="15">
        <v>868.46</v>
      </c>
      <c r="D64" s="15">
        <v>246.07</v>
      </c>
      <c r="E64" s="15"/>
      <c r="F64" s="15">
        <v>191.94</v>
      </c>
      <c r="G64" s="15">
        <v>108.06</v>
      </c>
      <c r="H64" s="15">
        <v>108.06</v>
      </c>
      <c r="I64" s="15">
        <v>2591.48</v>
      </c>
      <c r="J64" s="15">
        <v>290.91000000000003</v>
      </c>
      <c r="K64" s="15">
        <v>2300.56</v>
      </c>
      <c r="L64" s="15">
        <v>965.4</v>
      </c>
      <c r="M64" s="15">
        <v>161.57</v>
      </c>
      <c r="N64" s="15">
        <v>803.83</v>
      </c>
      <c r="O64" s="15">
        <v>1626.07</v>
      </c>
      <c r="P64" s="16">
        <f t="shared" si="14"/>
        <v>129.34000000000003</v>
      </c>
      <c r="Q64" s="15">
        <v>75.59</v>
      </c>
      <c r="R64" s="15">
        <v>569.84</v>
      </c>
      <c r="S64" s="16">
        <f t="shared" si="15"/>
        <v>494.25</v>
      </c>
      <c r="T64" s="15">
        <v>355.18</v>
      </c>
      <c r="U64" s="15">
        <v>353.38</v>
      </c>
      <c r="V64" s="16">
        <f t="shared" si="16"/>
        <v>1.8000000000000114</v>
      </c>
      <c r="W64" s="15">
        <v>5737.85</v>
      </c>
      <c r="X64" s="15">
        <v>18.829999999999998</v>
      </c>
      <c r="Y64" s="15">
        <v>283</v>
      </c>
      <c r="Z64" s="15"/>
      <c r="AA64" s="15"/>
      <c r="AB64" s="15">
        <v>424</v>
      </c>
      <c r="AC64" s="16">
        <f t="shared" si="17"/>
        <v>2432.8484000000003</v>
      </c>
      <c r="AD64" s="17">
        <f t="shared" si="18"/>
        <v>1.8005198984960082</v>
      </c>
      <c r="AE64" s="17">
        <f t="shared" si="19"/>
        <v>0.21988979270532669</v>
      </c>
      <c r="AF64" s="17">
        <f t="shared" si="20"/>
        <v>0.35044001795740654</v>
      </c>
      <c r="AG64" s="18">
        <f t="shared" si="21"/>
        <v>4.1698180190470308E-2</v>
      </c>
      <c r="AH64" s="18">
        <f t="shared" si="22"/>
        <v>6.6454703672043647E-2</v>
      </c>
      <c r="AI64" s="18">
        <f t="shared" si="23"/>
        <v>0.12442714690371462</v>
      </c>
      <c r="AJ64" s="18">
        <f t="shared" si="24"/>
        <v>0.28334062593556408</v>
      </c>
      <c r="AK64" s="6"/>
      <c r="AL64" s="6"/>
      <c r="AM64" s="6"/>
      <c r="AN64" s="6"/>
      <c r="AO64" s="41">
        <v>50.95</v>
      </c>
      <c r="AP64" s="42">
        <f t="shared" si="25"/>
        <v>242.89</v>
      </c>
      <c r="AQ64" s="42" t="str">
        <f t="shared" si="26"/>
        <v/>
      </c>
      <c r="AR64" s="41">
        <v>494.25</v>
      </c>
      <c r="AS64" s="42">
        <f t="shared" si="27"/>
        <v>0</v>
      </c>
      <c r="AT64" s="45" t="s">
        <v>10407</v>
      </c>
    </row>
    <row r="65" spans="1:46" ht="15" customHeight="1" x14ac:dyDescent="0.3">
      <c r="A65" s="6" t="s">
        <v>5876</v>
      </c>
      <c r="B65" s="14">
        <v>2024</v>
      </c>
      <c r="C65" s="15">
        <v>738.57</v>
      </c>
      <c r="D65" s="15">
        <v>204.97</v>
      </c>
      <c r="E65" s="15"/>
      <c r="F65" s="15">
        <v>150.69</v>
      </c>
      <c r="G65" s="15">
        <v>79.180000000000007</v>
      </c>
      <c r="H65" s="15">
        <v>79.180000000000007</v>
      </c>
      <c r="I65" s="15">
        <v>2639.2</v>
      </c>
      <c r="J65" s="15">
        <v>367.88</v>
      </c>
      <c r="K65" s="15">
        <v>2271.3200000000002</v>
      </c>
      <c r="L65" s="15">
        <v>846.25</v>
      </c>
      <c r="M65" s="15">
        <v>211.18</v>
      </c>
      <c r="N65" s="15">
        <v>635.07000000000005</v>
      </c>
      <c r="O65" s="15">
        <v>1792.95</v>
      </c>
      <c r="P65" s="16">
        <f t="shared" si="14"/>
        <v>156.69999999999999</v>
      </c>
      <c r="Q65" s="15">
        <v>14.23</v>
      </c>
      <c r="R65" s="15">
        <v>488.72</v>
      </c>
      <c r="S65" s="16">
        <f t="shared" si="15"/>
        <v>474.49</v>
      </c>
      <c r="T65" s="15">
        <v>111.43</v>
      </c>
      <c r="U65" s="15">
        <v>39.46</v>
      </c>
      <c r="V65" s="16">
        <f t="shared" si="16"/>
        <v>71.97</v>
      </c>
      <c r="W65" s="15">
        <v>5737.85</v>
      </c>
      <c r="X65" s="15">
        <v>13.8</v>
      </c>
      <c r="Y65" s="15">
        <v>312</v>
      </c>
      <c r="Z65" s="15"/>
      <c r="AA65" s="15"/>
      <c r="AB65" s="15">
        <v>424</v>
      </c>
      <c r="AC65" s="16">
        <f t="shared" si="17"/>
        <v>2432.8484000000003</v>
      </c>
      <c r="AD65" s="17">
        <f t="shared" si="18"/>
        <v>1.7420210247182497</v>
      </c>
      <c r="AE65" s="17">
        <f t="shared" si="19"/>
        <v>0.18517732646256443</v>
      </c>
      <c r="AF65" s="17">
        <f t="shared" si="20"/>
        <v>0.27257871106277365</v>
      </c>
      <c r="AG65" s="18">
        <f t="shared" si="21"/>
        <v>3.0001515610791153E-2</v>
      </c>
      <c r="AH65" s="18">
        <f t="shared" si="22"/>
        <v>4.4161856158844368E-2</v>
      </c>
      <c r="AI65" s="18">
        <f t="shared" si="23"/>
        <v>0.10720717061348281</v>
      </c>
      <c r="AJ65" s="18">
        <f t="shared" si="24"/>
        <v>0.2775227805082795</v>
      </c>
      <c r="AK65" s="6"/>
      <c r="AL65" s="6"/>
      <c r="AM65" s="6"/>
      <c r="AN65" s="6"/>
      <c r="AO65" s="41">
        <v>54.49</v>
      </c>
      <c r="AP65" s="42">
        <f t="shared" si="25"/>
        <v>205.18</v>
      </c>
      <c r="AQ65" s="42" t="str">
        <f t="shared" si="26"/>
        <v/>
      </c>
      <c r="AR65" s="41">
        <v>474.49</v>
      </c>
      <c r="AS65" s="42">
        <f t="shared" si="27"/>
        <v>0</v>
      </c>
      <c r="AT65" s="45" t="s">
        <v>10408</v>
      </c>
    </row>
    <row r="66" spans="1:46" ht="15" customHeight="1" x14ac:dyDescent="0.3">
      <c r="A66" s="6" t="s">
        <v>6131</v>
      </c>
      <c r="B66" s="14">
        <v>2022</v>
      </c>
      <c r="C66" s="15">
        <v>2034</v>
      </c>
      <c r="D66" s="15">
        <v>529</v>
      </c>
      <c r="E66" s="15"/>
      <c r="F66" s="15">
        <v>317</v>
      </c>
      <c r="G66" s="15">
        <v>173</v>
      </c>
      <c r="H66" s="15">
        <v>173</v>
      </c>
      <c r="I66" s="15">
        <v>1551</v>
      </c>
      <c r="J66" s="15">
        <v>496</v>
      </c>
      <c r="K66" s="15">
        <v>1054</v>
      </c>
      <c r="L66" s="15">
        <v>842</v>
      </c>
      <c r="M66" s="15">
        <v>337</v>
      </c>
      <c r="N66" s="15">
        <v>505</v>
      </c>
      <c r="O66" s="15">
        <v>708</v>
      </c>
      <c r="P66" s="16">
        <f t="shared" ref="P66:P97" si="28">IFERROR(J66-M66,"")</f>
        <v>159</v>
      </c>
      <c r="Q66" s="15">
        <v>72</v>
      </c>
      <c r="R66" s="15">
        <v>685</v>
      </c>
      <c r="S66" s="16">
        <f t="shared" ref="S66:S97" si="29">IFERROR(R66-Q66,"")</f>
        <v>613</v>
      </c>
      <c r="T66" s="15">
        <v>200</v>
      </c>
      <c r="U66" s="15">
        <v>65</v>
      </c>
      <c r="V66" s="16">
        <f t="shared" ref="V66:V97" si="30">IFERROR(T66-U66,"")</f>
        <v>135</v>
      </c>
      <c r="W66" s="15">
        <v>781</v>
      </c>
      <c r="X66" s="15">
        <v>222</v>
      </c>
      <c r="Y66" s="15">
        <v>907</v>
      </c>
      <c r="Z66" s="15">
        <v>50</v>
      </c>
      <c r="AA66" s="15">
        <v>70</v>
      </c>
      <c r="AB66" s="15">
        <v>1400</v>
      </c>
      <c r="AC66" s="16">
        <f t="shared" ref="AC66:AC97" si="31">IFERROR(W66*AB66/1000,"")</f>
        <v>1093.4000000000001</v>
      </c>
      <c r="AD66" s="17">
        <f t="shared" ref="AD66:AD97" si="32">IFERROR(J66/M66,"")</f>
        <v>1.4718100890207715</v>
      </c>
      <c r="AE66" s="17">
        <f t="shared" ref="AE66:AE97" si="33">IFERROR(R66/I66,"")</f>
        <v>0.44165054803352677</v>
      </c>
      <c r="AF66" s="17">
        <f t="shared" ref="AF66:AF97" si="34">IFERROR(R66/O66,"")</f>
        <v>0.96751412429378536</v>
      </c>
      <c r="AG66" s="18">
        <f t="shared" ref="AG66:AG97" si="35">IFERROR(G66/I66,"")</f>
        <v>0.11154094132817537</v>
      </c>
      <c r="AH66" s="18">
        <f t="shared" ref="AH66:AH97" si="36">IFERROR(G66/O66,"")</f>
        <v>0.2443502824858757</v>
      </c>
      <c r="AI66" s="18">
        <f t="shared" ref="AI66:AI97" si="37">IFERROR(G66/C66,"")</f>
        <v>8.5054080629301865E-2</v>
      </c>
      <c r="AJ66" s="18">
        <f t="shared" ref="AJ66:AJ97" si="38">IFERROR(D66/C66,"")</f>
        <v>0.26007866273352997</v>
      </c>
      <c r="AK66" s="6"/>
      <c r="AL66" s="6"/>
      <c r="AM66" s="6"/>
      <c r="AN66" s="6"/>
      <c r="AO66" s="41"/>
      <c r="AP66" s="42">
        <f t="shared" ref="AP66:AP97" si="39">IFERROR(IF(AND(NOT(ISNUMBER(F66)),NOT(ISNUMBER(AO66))),"",F66+AO66),"")</f>
        <v>317</v>
      </c>
      <c r="AQ66" s="42" t="str">
        <f t="shared" ref="AQ66:AQ97" si="40">IFERROR(IF(OR(NOT(ISNUMBER(E66)),NOT(ISNUMBER(AP66))),"",E66-AP66),"")</f>
        <v/>
      </c>
      <c r="AR66" s="41"/>
      <c r="AS66" s="42" t="str">
        <f t="shared" ref="AS66:AS97" si="41">IFERROR(IF(OR(NOT(ISNUMBER(AR66)),NOT(ISNUMBER(S66))),"",AR66-S66),"")</f>
        <v/>
      </c>
      <c r="AT66" s="45" t="s">
        <v>10409</v>
      </c>
    </row>
    <row r="67" spans="1:46" ht="15" customHeight="1" x14ac:dyDescent="0.3">
      <c r="A67" s="6" t="s">
        <v>6131</v>
      </c>
      <c r="B67" s="14">
        <v>2023</v>
      </c>
      <c r="C67" s="15">
        <v>2037</v>
      </c>
      <c r="D67" s="15">
        <v>503</v>
      </c>
      <c r="E67" s="15"/>
      <c r="F67" s="15">
        <v>291</v>
      </c>
      <c r="G67" s="15">
        <v>192</v>
      </c>
      <c r="H67" s="15">
        <v>191</v>
      </c>
      <c r="I67" s="15">
        <v>1489</v>
      </c>
      <c r="J67" s="15">
        <v>341</v>
      </c>
      <c r="K67" s="15">
        <v>1148</v>
      </c>
      <c r="L67" s="15">
        <v>692</v>
      </c>
      <c r="M67" s="15">
        <v>273</v>
      </c>
      <c r="N67" s="15">
        <v>420</v>
      </c>
      <c r="O67" s="15">
        <v>797</v>
      </c>
      <c r="P67" s="16">
        <f t="shared" si="28"/>
        <v>68</v>
      </c>
      <c r="Q67" s="15">
        <v>29</v>
      </c>
      <c r="R67" s="15">
        <v>536</v>
      </c>
      <c r="S67" s="16">
        <f t="shared" si="29"/>
        <v>507</v>
      </c>
      <c r="T67" s="15">
        <v>364</v>
      </c>
      <c r="U67" s="15">
        <v>153</v>
      </c>
      <c r="V67" s="16">
        <f t="shared" si="30"/>
        <v>211</v>
      </c>
      <c r="W67" s="15">
        <v>781</v>
      </c>
      <c r="X67" s="15">
        <v>245</v>
      </c>
      <c r="Y67" s="15">
        <v>1020</v>
      </c>
      <c r="Z67" s="15">
        <v>70</v>
      </c>
      <c r="AA67" s="15">
        <v>60</v>
      </c>
      <c r="AB67" s="15">
        <v>1400</v>
      </c>
      <c r="AC67" s="16">
        <f t="shared" si="31"/>
        <v>1093.4000000000001</v>
      </c>
      <c r="AD67" s="17">
        <f t="shared" si="32"/>
        <v>1.2490842490842491</v>
      </c>
      <c r="AE67" s="17">
        <f t="shared" si="33"/>
        <v>0.35997313633310946</v>
      </c>
      <c r="AF67" s="17">
        <f t="shared" si="34"/>
        <v>0.67252195734002507</v>
      </c>
      <c r="AG67" s="18">
        <f t="shared" si="35"/>
        <v>0.12894560107454667</v>
      </c>
      <c r="AH67" s="18">
        <f t="shared" si="36"/>
        <v>0.24090338770388958</v>
      </c>
      <c r="AI67" s="18">
        <f t="shared" si="37"/>
        <v>9.4256259204712811E-2</v>
      </c>
      <c r="AJ67" s="18">
        <f t="shared" si="38"/>
        <v>0.24693176239567993</v>
      </c>
      <c r="AK67" s="6"/>
      <c r="AL67" s="6"/>
      <c r="AM67" s="6"/>
      <c r="AN67" s="6"/>
      <c r="AO67" s="41"/>
      <c r="AP67" s="42">
        <f t="shared" si="39"/>
        <v>291</v>
      </c>
      <c r="AQ67" s="42" t="str">
        <f t="shared" si="40"/>
        <v/>
      </c>
      <c r="AR67" s="41"/>
      <c r="AS67" s="42" t="str">
        <f t="shared" si="41"/>
        <v/>
      </c>
      <c r="AT67" s="45" t="s">
        <v>10410</v>
      </c>
    </row>
    <row r="68" spans="1:46" ht="15" customHeight="1" x14ac:dyDescent="0.3">
      <c r="A68" s="6" t="s">
        <v>6131</v>
      </c>
      <c r="B68" s="14">
        <v>2024</v>
      </c>
      <c r="C68" s="15">
        <v>2043</v>
      </c>
      <c r="D68" s="15">
        <v>537</v>
      </c>
      <c r="E68" s="15"/>
      <c r="F68" s="15">
        <v>333</v>
      </c>
      <c r="G68" s="15">
        <v>221</v>
      </c>
      <c r="H68" s="15">
        <v>220</v>
      </c>
      <c r="I68" s="15">
        <v>1764</v>
      </c>
      <c r="J68" s="15">
        <v>502</v>
      </c>
      <c r="K68" s="15">
        <v>1262</v>
      </c>
      <c r="L68" s="15">
        <v>798</v>
      </c>
      <c r="M68" s="15">
        <v>489</v>
      </c>
      <c r="N68" s="15">
        <v>309</v>
      </c>
      <c r="O68" s="15">
        <v>966</v>
      </c>
      <c r="P68" s="16">
        <f t="shared" si="28"/>
        <v>13</v>
      </c>
      <c r="Q68" s="15">
        <v>22</v>
      </c>
      <c r="R68" s="15">
        <v>590</v>
      </c>
      <c r="S68" s="16">
        <f t="shared" si="29"/>
        <v>568</v>
      </c>
      <c r="T68" s="15">
        <v>157</v>
      </c>
      <c r="U68" s="15">
        <v>157</v>
      </c>
      <c r="V68" s="16">
        <f t="shared" si="30"/>
        <v>0</v>
      </c>
      <c r="W68" s="15">
        <v>781</v>
      </c>
      <c r="X68" s="15">
        <v>282</v>
      </c>
      <c r="Y68" s="15">
        <v>1236</v>
      </c>
      <c r="Z68" s="15">
        <v>40</v>
      </c>
      <c r="AA68" s="15">
        <v>52</v>
      </c>
      <c r="AB68" s="15">
        <v>1610</v>
      </c>
      <c r="AC68" s="16">
        <f t="shared" si="31"/>
        <v>1257.4100000000001</v>
      </c>
      <c r="AD68" s="17">
        <f t="shared" si="32"/>
        <v>1.0265848670756645</v>
      </c>
      <c r="AE68" s="17">
        <f t="shared" si="33"/>
        <v>0.3344671201814059</v>
      </c>
      <c r="AF68" s="17">
        <f t="shared" si="34"/>
        <v>0.61076604554865421</v>
      </c>
      <c r="AG68" s="18">
        <f t="shared" si="35"/>
        <v>0.12528344671201813</v>
      </c>
      <c r="AH68" s="18">
        <f t="shared" si="36"/>
        <v>0.22877846790890269</v>
      </c>
      <c r="AI68" s="18">
        <f t="shared" si="37"/>
        <v>0.10817425354870289</v>
      </c>
      <c r="AJ68" s="18">
        <f t="shared" si="38"/>
        <v>0.26284875183553597</v>
      </c>
      <c r="AK68" s="6"/>
      <c r="AL68" s="6"/>
      <c r="AM68" s="6"/>
      <c r="AN68" s="6"/>
      <c r="AO68" s="41"/>
      <c r="AP68" s="42">
        <f t="shared" si="39"/>
        <v>333</v>
      </c>
      <c r="AQ68" s="42" t="str">
        <f t="shared" si="40"/>
        <v/>
      </c>
      <c r="AR68" s="41">
        <v>775</v>
      </c>
      <c r="AS68" s="42">
        <f t="shared" si="41"/>
        <v>207</v>
      </c>
      <c r="AT68" s="45" t="s">
        <v>10411</v>
      </c>
    </row>
    <row r="69" spans="1:46" ht="15" customHeight="1" x14ac:dyDescent="0.3">
      <c r="A69" s="6" t="s">
        <v>6444</v>
      </c>
      <c r="B69" s="14">
        <v>2023</v>
      </c>
      <c r="C69" s="15">
        <v>61.66</v>
      </c>
      <c r="D69" s="15">
        <v>34.5</v>
      </c>
      <c r="E69" s="15">
        <v>35.340000000000003</v>
      </c>
      <c r="F69" s="15">
        <v>32.78</v>
      </c>
      <c r="G69" s="15">
        <v>26.19</v>
      </c>
      <c r="H69" s="15">
        <v>26.19</v>
      </c>
      <c r="I69" s="15">
        <v>168.91</v>
      </c>
      <c r="J69" s="15">
        <v>100.32</v>
      </c>
      <c r="K69" s="15">
        <v>68.59</v>
      </c>
      <c r="L69" s="15">
        <v>6.18</v>
      </c>
      <c r="M69" s="15">
        <v>5.76</v>
      </c>
      <c r="N69" s="15">
        <v>0.42</v>
      </c>
      <c r="O69" s="15">
        <v>162.74</v>
      </c>
      <c r="P69" s="16">
        <f t="shared" si="28"/>
        <v>94.559999999999988</v>
      </c>
      <c r="Q69" s="15">
        <v>74.98</v>
      </c>
      <c r="R69" s="15">
        <v>1.88</v>
      </c>
      <c r="S69" s="16">
        <f t="shared" si="29"/>
        <v>-73.100000000000009</v>
      </c>
      <c r="T69" s="15">
        <v>17.260000000000002</v>
      </c>
      <c r="U69" s="15">
        <v>10.45</v>
      </c>
      <c r="V69" s="16">
        <f t="shared" si="30"/>
        <v>6.8100000000000023</v>
      </c>
      <c r="W69" s="15">
        <v>2167.5</v>
      </c>
      <c r="X69" s="15">
        <v>12.08</v>
      </c>
      <c r="Y69" s="15">
        <v>75.08</v>
      </c>
      <c r="Z69" s="15"/>
      <c r="AA69" s="15"/>
      <c r="AB69" s="15">
        <v>152</v>
      </c>
      <c r="AC69" s="16">
        <f t="shared" si="31"/>
        <v>329.46</v>
      </c>
      <c r="AD69" s="17">
        <f t="shared" si="32"/>
        <v>17.416666666666668</v>
      </c>
      <c r="AE69" s="17">
        <f t="shared" si="33"/>
        <v>1.1130187673909182E-2</v>
      </c>
      <c r="AF69" s="17">
        <f t="shared" si="34"/>
        <v>1.1552169104092416E-2</v>
      </c>
      <c r="AG69" s="18">
        <f t="shared" si="35"/>
        <v>0.15505298679770294</v>
      </c>
      <c r="AH69" s="18">
        <f t="shared" si="36"/>
        <v>0.16093154725328745</v>
      </c>
      <c r="AI69" s="18">
        <f t="shared" si="37"/>
        <v>0.42474862147259168</v>
      </c>
      <c r="AJ69" s="18">
        <f t="shared" si="38"/>
        <v>0.55951994810249761</v>
      </c>
      <c r="AK69" s="6"/>
      <c r="AL69" s="6"/>
      <c r="AM69" s="6"/>
      <c r="AN69" s="6"/>
      <c r="AO69" s="41"/>
      <c r="AP69" s="42">
        <f t="shared" si="39"/>
        <v>32.78</v>
      </c>
      <c r="AQ69" s="42">
        <f t="shared" si="40"/>
        <v>2.5600000000000023</v>
      </c>
      <c r="AR69" s="41"/>
      <c r="AS69" s="42" t="str">
        <f t="shared" si="41"/>
        <v/>
      </c>
      <c r="AT69" s="45" t="s">
        <v>10412</v>
      </c>
    </row>
    <row r="70" spans="1:46" ht="15" customHeight="1" x14ac:dyDescent="0.3">
      <c r="A70" s="6" t="s">
        <v>6444</v>
      </c>
      <c r="B70" s="14">
        <v>2024</v>
      </c>
      <c r="C70" s="15">
        <v>63.58</v>
      </c>
      <c r="D70" s="15">
        <v>36.35</v>
      </c>
      <c r="E70" s="15">
        <v>36.880000000000003</v>
      </c>
      <c r="F70" s="15">
        <v>32.96</v>
      </c>
      <c r="G70" s="15">
        <v>27.13</v>
      </c>
      <c r="H70" s="15">
        <v>27.13</v>
      </c>
      <c r="I70" s="15">
        <v>190.56</v>
      </c>
      <c r="J70" s="15">
        <v>77.36</v>
      </c>
      <c r="K70" s="15">
        <v>113.2</v>
      </c>
      <c r="L70" s="15">
        <v>5.41</v>
      </c>
      <c r="M70" s="15">
        <v>3.97</v>
      </c>
      <c r="N70" s="15">
        <v>1.45</v>
      </c>
      <c r="O70" s="15">
        <v>185.15</v>
      </c>
      <c r="P70" s="16">
        <f t="shared" si="28"/>
        <v>73.39</v>
      </c>
      <c r="Q70" s="15">
        <v>64.209999999999994</v>
      </c>
      <c r="R70" s="15">
        <v>1.01</v>
      </c>
      <c r="S70" s="16">
        <f t="shared" si="29"/>
        <v>-63.199999999999996</v>
      </c>
      <c r="T70" s="15">
        <v>29.22</v>
      </c>
      <c r="U70" s="15">
        <v>44.6</v>
      </c>
      <c r="V70" s="16">
        <f t="shared" si="30"/>
        <v>-15.380000000000003</v>
      </c>
      <c r="W70" s="15">
        <v>2167.5</v>
      </c>
      <c r="X70" s="15">
        <v>12.52</v>
      </c>
      <c r="Y70" s="15">
        <v>85.42</v>
      </c>
      <c r="Z70" s="15"/>
      <c r="AA70" s="15">
        <v>2.2000000000000002</v>
      </c>
      <c r="AB70" s="15">
        <v>77</v>
      </c>
      <c r="AC70" s="16">
        <f t="shared" si="31"/>
        <v>166.89750000000001</v>
      </c>
      <c r="AD70" s="17">
        <f t="shared" si="32"/>
        <v>19.486146095717881</v>
      </c>
      <c r="AE70" s="17">
        <f t="shared" si="33"/>
        <v>5.3001679261125102E-3</v>
      </c>
      <c r="AF70" s="17">
        <f t="shared" si="34"/>
        <v>5.4550364569268157E-3</v>
      </c>
      <c r="AG70" s="18">
        <f t="shared" si="35"/>
        <v>0.14236985726280435</v>
      </c>
      <c r="AH70" s="18">
        <f t="shared" si="36"/>
        <v>0.14652984066972724</v>
      </c>
      <c r="AI70" s="18">
        <f t="shared" si="37"/>
        <v>0.42670651148159799</v>
      </c>
      <c r="AJ70" s="18">
        <f t="shared" si="38"/>
        <v>0.57172066687637624</v>
      </c>
      <c r="AK70" s="6"/>
      <c r="AL70" s="6"/>
      <c r="AM70" s="6"/>
      <c r="AN70" s="6"/>
      <c r="AO70" s="41"/>
      <c r="AP70" s="42">
        <f t="shared" si="39"/>
        <v>32.96</v>
      </c>
      <c r="AQ70" s="42">
        <f t="shared" si="40"/>
        <v>3.9200000000000017</v>
      </c>
      <c r="AR70" s="41"/>
      <c r="AS70" s="42" t="str">
        <f t="shared" si="41"/>
        <v/>
      </c>
      <c r="AT70" s="45" t="s">
        <v>10413</v>
      </c>
    </row>
    <row r="71" spans="1:46" ht="15" customHeight="1" x14ac:dyDescent="0.3">
      <c r="A71" s="6" t="s">
        <v>6670</v>
      </c>
      <c r="B71" s="14">
        <v>2022</v>
      </c>
      <c r="C71" s="15">
        <v>5672</v>
      </c>
      <c r="D71" s="15">
        <v>1984</v>
      </c>
      <c r="E71" s="15">
        <v>2162</v>
      </c>
      <c r="F71" s="15">
        <v>1619</v>
      </c>
      <c r="G71" s="15">
        <v>1039</v>
      </c>
      <c r="H71" s="15">
        <v>1050</v>
      </c>
      <c r="I71" s="15">
        <v>10243</v>
      </c>
      <c r="J71" s="15">
        <v>1800</v>
      </c>
      <c r="K71" s="15">
        <v>8443</v>
      </c>
      <c r="L71" s="15">
        <v>5013</v>
      </c>
      <c r="M71" s="15">
        <v>1361</v>
      </c>
      <c r="N71" s="15">
        <v>3652</v>
      </c>
      <c r="O71" s="15">
        <v>5230</v>
      </c>
      <c r="P71" s="16">
        <f t="shared" si="28"/>
        <v>439</v>
      </c>
      <c r="Q71" s="15">
        <v>535</v>
      </c>
      <c r="R71" s="15">
        <v>3082</v>
      </c>
      <c r="S71" s="16">
        <f t="shared" si="29"/>
        <v>2547</v>
      </c>
      <c r="T71" s="15">
        <v>1254</v>
      </c>
      <c r="U71" s="15">
        <v>404</v>
      </c>
      <c r="V71" s="16">
        <f t="shared" si="30"/>
        <v>850</v>
      </c>
      <c r="W71" s="15">
        <v>1819</v>
      </c>
      <c r="X71" s="15">
        <v>577</v>
      </c>
      <c r="Y71" s="15">
        <v>2805</v>
      </c>
      <c r="Z71" s="15">
        <v>90</v>
      </c>
      <c r="AA71" s="15">
        <v>135</v>
      </c>
      <c r="AB71" s="15">
        <v>2100</v>
      </c>
      <c r="AC71" s="16">
        <f t="shared" si="31"/>
        <v>3819.9</v>
      </c>
      <c r="AD71" s="17">
        <f t="shared" si="32"/>
        <v>1.322556943423953</v>
      </c>
      <c r="AE71" s="17">
        <f t="shared" si="33"/>
        <v>0.3008884115981646</v>
      </c>
      <c r="AF71" s="17">
        <f t="shared" si="34"/>
        <v>0.58929254302103251</v>
      </c>
      <c r="AG71" s="18">
        <f t="shared" si="35"/>
        <v>0.10143512642780435</v>
      </c>
      <c r="AH71" s="18">
        <f t="shared" si="36"/>
        <v>0.19866156787762906</v>
      </c>
      <c r="AI71" s="18">
        <f t="shared" si="37"/>
        <v>0.1831805359661495</v>
      </c>
      <c r="AJ71" s="18">
        <f t="shared" si="38"/>
        <v>0.34978843441466856</v>
      </c>
      <c r="AK71" s="6"/>
      <c r="AL71" s="6"/>
      <c r="AM71" s="6"/>
      <c r="AN71" s="6"/>
      <c r="AO71" s="41"/>
      <c r="AP71" s="42">
        <f t="shared" si="39"/>
        <v>1619</v>
      </c>
      <c r="AQ71" s="42">
        <f t="shared" si="40"/>
        <v>543</v>
      </c>
      <c r="AR71" s="41"/>
      <c r="AS71" s="42" t="str">
        <f t="shared" si="41"/>
        <v/>
      </c>
      <c r="AT71" s="45" t="s">
        <v>10414</v>
      </c>
    </row>
    <row r="72" spans="1:46" ht="15" customHeight="1" x14ac:dyDescent="0.3">
      <c r="A72" s="6" t="s">
        <v>6670</v>
      </c>
      <c r="B72" s="14">
        <v>2023</v>
      </c>
      <c r="C72" s="15">
        <v>5621</v>
      </c>
      <c r="D72" s="15">
        <v>1327</v>
      </c>
      <c r="E72" s="15"/>
      <c r="F72" s="15">
        <v>937</v>
      </c>
      <c r="G72" s="15">
        <v>441</v>
      </c>
      <c r="H72" s="15">
        <v>484</v>
      </c>
      <c r="I72" s="15">
        <v>10068</v>
      </c>
      <c r="J72" s="15">
        <v>1616</v>
      </c>
      <c r="K72" s="15">
        <v>8452</v>
      </c>
      <c r="L72" s="15">
        <v>4555</v>
      </c>
      <c r="M72" s="15">
        <v>1310</v>
      </c>
      <c r="N72" s="15">
        <v>3245</v>
      </c>
      <c r="O72" s="15">
        <v>5512</v>
      </c>
      <c r="P72" s="16">
        <f t="shared" si="28"/>
        <v>306</v>
      </c>
      <c r="Q72" s="15">
        <v>536</v>
      </c>
      <c r="R72" s="15">
        <v>2837</v>
      </c>
      <c r="S72" s="16">
        <f t="shared" si="29"/>
        <v>2301</v>
      </c>
      <c r="T72" s="15">
        <v>1423</v>
      </c>
      <c r="U72" s="15">
        <v>553</v>
      </c>
      <c r="V72" s="16">
        <f t="shared" si="30"/>
        <v>870</v>
      </c>
      <c r="W72" s="15">
        <v>1819</v>
      </c>
      <c r="X72" s="15">
        <v>266</v>
      </c>
      <c r="Y72" s="15">
        <v>3031</v>
      </c>
      <c r="Z72" s="15"/>
      <c r="AA72" s="15">
        <v>288</v>
      </c>
      <c r="AB72" s="15">
        <v>2010</v>
      </c>
      <c r="AC72" s="16">
        <f t="shared" si="31"/>
        <v>3656.19</v>
      </c>
      <c r="AD72" s="17">
        <f t="shared" si="32"/>
        <v>1.2335877862595419</v>
      </c>
      <c r="AE72" s="17">
        <f t="shared" si="33"/>
        <v>0.28178386968613428</v>
      </c>
      <c r="AF72" s="17">
        <f t="shared" si="34"/>
        <v>0.51469521044992739</v>
      </c>
      <c r="AG72" s="18">
        <f t="shared" si="35"/>
        <v>4.3802145411203815E-2</v>
      </c>
      <c r="AH72" s="18">
        <f t="shared" si="36"/>
        <v>8.0007256894049347E-2</v>
      </c>
      <c r="AI72" s="18">
        <f t="shared" si="37"/>
        <v>7.8455790784557902E-2</v>
      </c>
      <c r="AJ72" s="18">
        <f t="shared" si="38"/>
        <v>0.23607898950364703</v>
      </c>
      <c r="AK72" s="6"/>
      <c r="AL72" s="6"/>
      <c r="AM72" s="6"/>
      <c r="AN72" s="6"/>
      <c r="AO72" s="41"/>
      <c r="AP72" s="42">
        <f t="shared" si="39"/>
        <v>937</v>
      </c>
      <c r="AQ72" s="42" t="str">
        <f t="shared" si="40"/>
        <v/>
      </c>
      <c r="AR72" s="41"/>
      <c r="AS72" s="42" t="str">
        <f t="shared" si="41"/>
        <v/>
      </c>
      <c r="AT72" s="45" t="s">
        <v>10415</v>
      </c>
    </row>
    <row r="73" spans="1:46" ht="15" customHeight="1" x14ac:dyDescent="0.3">
      <c r="A73" s="6" t="s">
        <v>6670</v>
      </c>
      <c r="B73" s="14">
        <v>2024</v>
      </c>
      <c r="C73" s="15">
        <v>5694</v>
      </c>
      <c r="D73" s="15">
        <v>1601</v>
      </c>
      <c r="E73" s="15"/>
      <c r="F73" s="15">
        <v>1264</v>
      </c>
      <c r="G73" s="15">
        <v>697</v>
      </c>
      <c r="H73" s="15">
        <v>749</v>
      </c>
      <c r="I73" s="15">
        <v>10702</v>
      </c>
      <c r="J73" s="15">
        <v>2225</v>
      </c>
      <c r="K73" s="15">
        <v>8478</v>
      </c>
      <c r="L73" s="15">
        <v>4492</v>
      </c>
      <c r="M73" s="15">
        <v>1760</v>
      </c>
      <c r="N73" s="15">
        <v>2732</v>
      </c>
      <c r="O73" s="15">
        <v>6210</v>
      </c>
      <c r="P73" s="16">
        <f t="shared" si="28"/>
        <v>465</v>
      </c>
      <c r="Q73" s="15">
        <v>841</v>
      </c>
      <c r="R73" s="15">
        <v>2882</v>
      </c>
      <c r="S73" s="16">
        <f t="shared" si="29"/>
        <v>2041</v>
      </c>
      <c r="T73" s="15">
        <v>1256</v>
      </c>
      <c r="U73" s="15">
        <v>437</v>
      </c>
      <c r="V73" s="16">
        <f t="shared" si="30"/>
        <v>819</v>
      </c>
      <c r="W73" s="15">
        <v>1819</v>
      </c>
      <c r="X73" s="15">
        <v>412</v>
      </c>
      <c r="Y73" s="15">
        <v>3415</v>
      </c>
      <c r="Z73" s="15"/>
      <c r="AA73" s="15">
        <v>121</v>
      </c>
      <c r="AB73" s="15">
        <v>2140</v>
      </c>
      <c r="AC73" s="16">
        <f t="shared" si="31"/>
        <v>3892.66</v>
      </c>
      <c r="AD73" s="17">
        <f t="shared" si="32"/>
        <v>1.2642045454545454</v>
      </c>
      <c r="AE73" s="17">
        <f t="shared" si="33"/>
        <v>0.26929545879274902</v>
      </c>
      <c r="AF73" s="17">
        <f t="shared" si="34"/>
        <v>0.46409017713365541</v>
      </c>
      <c r="AG73" s="18">
        <f t="shared" si="35"/>
        <v>6.5128013455428888E-2</v>
      </c>
      <c r="AH73" s="18">
        <f t="shared" si="36"/>
        <v>0.11223832528180354</v>
      </c>
      <c r="AI73" s="18">
        <f t="shared" si="37"/>
        <v>0.12240955391640324</v>
      </c>
      <c r="AJ73" s="18">
        <f t="shared" si="38"/>
        <v>0.28117316473480858</v>
      </c>
      <c r="AK73" s="6"/>
      <c r="AL73" s="6"/>
      <c r="AM73" s="6"/>
      <c r="AN73" s="6"/>
      <c r="AO73" s="41"/>
      <c r="AP73" s="42">
        <f t="shared" si="39"/>
        <v>1264</v>
      </c>
      <c r="AQ73" s="42" t="str">
        <f t="shared" si="40"/>
        <v/>
      </c>
      <c r="AR73" s="41"/>
      <c r="AS73" s="42" t="str">
        <f t="shared" si="41"/>
        <v/>
      </c>
      <c r="AT73" s="45" t="s">
        <v>10416</v>
      </c>
    </row>
    <row r="74" spans="1:46" ht="15" customHeight="1" x14ac:dyDescent="0.3">
      <c r="A74" s="6" t="s">
        <v>7065</v>
      </c>
      <c r="B74" s="14">
        <v>2022</v>
      </c>
      <c r="C74" s="15">
        <v>17794</v>
      </c>
      <c r="D74" s="15">
        <v>4649</v>
      </c>
      <c r="E74" s="15">
        <v>4684</v>
      </c>
      <c r="F74" s="15">
        <v>2920</v>
      </c>
      <c r="G74" s="15">
        <v>1510</v>
      </c>
      <c r="H74" s="15">
        <v>1198</v>
      </c>
      <c r="I74" s="15">
        <v>36113</v>
      </c>
      <c r="J74" s="15">
        <v>10443</v>
      </c>
      <c r="K74" s="15">
        <v>25670</v>
      </c>
      <c r="L74" s="15">
        <v>14946</v>
      </c>
      <c r="M74" s="15">
        <v>9461</v>
      </c>
      <c r="N74" s="15">
        <v>5485</v>
      </c>
      <c r="O74" s="15">
        <v>21167</v>
      </c>
      <c r="P74" s="16">
        <f t="shared" si="28"/>
        <v>982</v>
      </c>
      <c r="Q74" s="15">
        <v>4297</v>
      </c>
      <c r="R74" s="15">
        <v>9871</v>
      </c>
      <c r="S74" s="16">
        <f t="shared" si="29"/>
        <v>5574</v>
      </c>
      <c r="T74" s="15">
        <v>3596</v>
      </c>
      <c r="U74" s="15">
        <v>1460</v>
      </c>
      <c r="V74" s="16">
        <f t="shared" si="30"/>
        <v>2136</v>
      </c>
      <c r="W74" s="15">
        <v>15501</v>
      </c>
      <c r="X74" s="15">
        <v>77</v>
      </c>
      <c r="Y74" s="15">
        <v>1086</v>
      </c>
      <c r="Z74" s="15"/>
      <c r="AA74" s="15">
        <v>13</v>
      </c>
      <c r="AB74" s="15">
        <v>414</v>
      </c>
      <c r="AC74" s="16">
        <f t="shared" si="31"/>
        <v>6417.4139999999998</v>
      </c>
      <c r="AD74" s="17">
        <f t="shared" si="32"/>
        <v>1.1037945248916605</v>
      </c>
      <c r="AE74" s="17">
        <f t="shared" si="33"/>
        <v>0.27333647163071473</v>
      </c>
      <c r="AF74" s="17">
        <f t="shared" si="34"/>
        <v>0.46633911276987766</v>
      </c>
      <c r="AG74" s="18">
        <f t="shared" si="35"/>
        <v>4.181319746351729E-2</v>
      </c>
      <c r="AH74" s="18">
        <f t="shared" si="36"/>
        <v>7.1337459252610189E-2</v>
      </c>
      <c r="AI74" s="18">
        <f t="shared" si="37"/>
        <v>8.4860065190513659E-2</v>
      </c>
      <c r="AJ74" s="18">
        <f t="shared" si="38"/>
        <v>0.26126784309317747</v>
      </c>
      <c r="AK74" s="6"/>
      <c r="AL74" s="6"/>
      <c r="AM74" s="6"/>
      <c r="AN74" s="6"/>
      <c r="AO74" s="41"/>
      <c r="AP74" s="42">
        <f t="shared" si="39"/>
        <v>2920</v>
      </c>
      <c r="AQ74" s="42">
        <f t="shared" si="40"/>
        <v>1764</v>
      </c>
      <c r="AR74" s="41"/>
      <c r="AS74" s="42" t="str">
        <f t="shared" si="41"/>
        <v/>
      </c>
      <c r="AT74" s="45" t="s">
        <v>10417</v>
      </c>
    </row>
    <row r="75" spans="1:46" ht="15" customHeight="1" x14ac:dyDescent="0.3">
      <c r="A75" s="6" t="s">
        <v>7065</v>
      </c>
      <c r="B75" s="14">
        <v>2023</v>
      </c>
      <c r="C75" s="15">
        <v>16003</v>
      </c>
      <c r="D75" s="15">
        <v>3358</v>
      </c>
      <c r="E75" s="15">
        <v>3535</v>
      </c>
      <c r="F75" s="15">
        <v>1930</v>
      </c>
      <c r="G75" s="15">
        <v>927</v>
      </c>
      <c r="H75" s="15">
        <v>736</v>
      </c>
      <c r="I75" s="15">
        <v>35012</v>
      </c>
      <c r="J75" s="15">
        <v>9897</v>
      </c>
      <c r="K75" s="15">
        <v>25115</v>
      </c>
      <c r="L75" s="15">
        <v>13291</v>
      </c>
      <c r="M75" s="15">
        <v>9411</v>
      </c>
      <c r="N75" s="15">
        <v>3880</v>
      </c>
      <c r="O75" s="15">
        <v>21721</v>
      </c>
      <c r="P75" s="16">
        <f t="shared" si="28"/>
        <v>486</v>
      </c>
      <c r="Q75" s="15">
        <v>5161</v>
      </c>
      <c r="R75" s="15">
        <v>8693</v>
      </c>
      <c r="S75" s="16">
        <f t="shared" si="29"/>
        <v>3532</v>
      </c>
      <c r="T75" s="15">
        <v>3830</v>
      </c>
      <c r="U75" s="15">
        <v>1324</v>
      </c>
      <c r="V75" s="16">
        <f t="shared" si="30"/>
        <v>2506</v>
      </c>
      <c r="W75" s="15">
        <v>15501</v>
      </c>
      <c r="X75" s="15">
        <v>48</v>
      </c>
      <c r="Y75" s="15">
        <v>1119</v>
      </c>
      <c r="Z75" s="15"/>
      <c r="AA75" s="15">
        <v>15</v>
      </c>
      <c r="AB75" s="15">
        <v>376</v>
      </c>
      <c r="AC75" s="16">
        <f t="shared" si="31"/>
        <v>5828.3760000000002</v>
      </c>
      <c r="AD75" s="17">
        <f t="shared" si="32"/>
        <v>1.0516416958877908</v>
      </c>
      <c r="AE75" s="17">
        <f t="shared" si="33"/>
        <v>0.24828630183936937</v>
      </c>
      <c r="AF75" s="17">
        <f t="shared" si="34"/>
        <v>0.40021177662170249</v>
      </c>
      <c r="AG75" s="18">
        <f t="shared" si="35"/>
        <v>2.6476636581743401E-2</v>
      </c>
      <c r="AH75" s="18">
        <f t="shared" si="36"/>
        <v>4.2677593112655954E-2</v>
      </c>
      <c r="AI75" s="18">
        <f t="shared" si="37"/>
        <v>5.7926638755233392E-2</v>
      </c>
      <c r="AJ75" s="18">
        <f t="shared" si="38"/>
        <v>0.20983565581453478</v>
      </c>
      <c r="AK75" s="6"/>
      <c r="AL75" s="6"/>
      <c r="AM75" s="6"/>
      <c r="AN75" s="6"/>
      <c r="AO75" s="41"/>
      <c r="AP75" s="42">
        <f t="shared" si="39"/>
        <v>1930</v>
      </c>
      <c r="AQ75" s="42">
        <f t="shared" si="40"/>
        <v>1605</v>
      </c>
      <c r="AR75" s="41"/>
      <c r="AS75" s="42" t="str">
        <f t="shared" si="41"/>
        <v/>
      </c>
      <c r="AT75" s="45" t="s">
        <v>10418</v>
      </c>
    </row>
    <row r="76" spans="1:46" ht="15" customHeight="1" x14ac:dyDescent="0.3">
      <c r="A76" s="6" t="s">
        <v>7065</v>
      </c>
      <c r="B76" s="14">
        <v>2024</v>
      </c>
      <c r="C76" s="15">
        <v>15968</v>
      </c>
      <c r="D76" s="15">
        <v>4838</v>
      </c>
      <c r="E76" s="15">
        <v>4731</v>
      </c>
      <c r="F76" s="15">
        <v>3302</v>
      </c>
      <c r="G76" s="15">
        <v>2184</v>
      </c>
      <c r="H76" s="15">
        <v>1550</v>
      </c>
      <c r="I76" s="15">
        <v>37248</v>
      </c>
      <c r="J76" s="15">
        <v>13233</v>
      </c>
      <c r="K76" s="15">
        <v>24015</v>
      </c>
      <c r="L76" s="15">
        <v>13260</v>
      </c>
      <c r="M76" s="15">
        <v>8769</v>
      </c>
      <c r="N76" s="15">
        <v>4491</v>
      </c>
      <c r="O76" s="15">
        <v>23987</v>
      </c>
      <c r="P76" s="16">
        <f t="shared" si="28"/>
        <v>4464</v>
      </c>
      <c r="Q76" s="15">
        <v>5752</v>
      </c>
      <c r="R76" s="15">
        <v>8400</v>
      </c>
      <c r="S76" s="16">
        <f t="shared" si="29"/>
        <v>2648</v>
      </c>
      <c r="T76" s="15">
        <v>2300</v>
      </c>
      <c r="U76" s="15">
        <v>1264</v>
      </c>
      <c r="V76" s="16">
        <f t="shared" si="30"/>
        <v>1036</v>
      </c>
      <c r="W76" s="15">
        <v>15501</v>
      </c>
      <c r="X76" s="15">
        <v>100</v>
      </c>
      <c r="Y76" s="15">
        <v>1208</v>
      </c>
      <c r="Z76" s="15"/>
      <c r="AA76" s="15">
        <v>10</v>
      </c>
      <c r="AB76" s="15">
        <v>378</v>
      </c>
      <c r="AC76" s="16">
        <f t="shared" si="31"/>
        <v>5859.3779999999997</v>
      </c>
      <c r="AD76" s="17">
        <f t="shared" si="32"/>
        <v>1.5090660280533699</v>
      </c>
      <c r="AE76" s="17">
        <f t="shared" si="33"/>
        <v>0.22551546391752578</v>
      </c>
      <c r="AF76" s="17">
        <f t="shared" si="34"/>
        <v>0.35018968607995998</v>
      </c>
      <c r="AG76" s="18">
        <f t="shared" si="35"/>
        <v>5.8634020618556701E-2</v>
      </c>
      <c r="AH76" s="18">
        <f t="shared" si="36"/>
        <v>9.1049318380789598E-2</v>
      </c>
      <c r="AI76" s="18">
        <f t="shared" si="37"/>
        <v>0.13677354709418837</v>
      </c>
      <c r="AJ76" s="18">
        <f t="shared" si="38"/>
        <v>0.30298096192384771</v>
      </c>
      <c r="AK76" s="6"/>
      <c r="AL76" s="6"/>
      <c r="AM76" s="6"/>
      <c r="AN76" s="6"/>
      <c r="AO76" s="41"/>
      <c r="AP76" s="42">
        <f t="shared" si="39"/>
        <v>3302</v>
      </c>
      <c r="AQ76" s="42">
        <f t="shared" si="40"/>
        <v>1429</v>
      </c>
      <c r="AR76" s="41"/>
      <c r="AS76" s="42" t="str">
        <f t="shared" si="41"/>
        <v/>
      </c>
      <c r="AT76" s="45" t="s">
        <v>10419</v>
      </c>
    </row>
    <row r="77" spans="1:46" ht="15" customHeight="1" x14ac:dyDescent="0.3">
      <c r="A77" s="6" t="s">
        <v>7418</v>
      </c>
      <c r="B77" s="14">
        <v>2022</v>
      </c>
      <c r="C77" s="15">
        <v>75046</v>
      </c>
      <c r="D77" s="15">
        <v>13312</v>
      </c>
      <c r="E77" s="15">
        <v>9531</v>
      </c>
      <c r="F77" s="15">
        <v>6601</v>
      </c>
      <c r="G77" s="15">
        <v>5505</v>
      </c>
      <c r="H77" s="15">
        <v>5501</v>
      </c>
      <c r="I77" s="15">
        <v>42601</v>
      </c>
      <c r="J77" s="15">
        <v>23709</v>
      </c>
      <c r="K77" s="15">
        <v>18892</v>
      </c>
      <c r="L77" s="15">
        <v>23353</v>
      </c>
      <c r="M77" s="15">
        <v>12105</v>
      </c>
      <c r="N77" s="15">
        <v>11248</v>
      </c>
      <c r="O77" s="15">
        <v>19248</v>
      </c>
      <c r="P77" s="16">
        <f t="shared" si="28"/>
        <v>11604</v>
      </c>
      <c r="Q77" s="15">
        <v>2480</v>
      </c>
      <c r="R77" s="15">
        <v>18168</v>
      </c>
      <c r="S77" s="16">
        <f t="shared" si="29"/>
        <v>15688</v>
      </c>
      <c r="T77" s="15">
        <v>4283</v>
      </c>
      <c r="U77" s="15">
        <v>1279</v>
      </c>
      <c r="V77" s="16">
        <f t="shared" si="30"/>
        <v>3004</v>
      </c>
      <c r="W77" s="15">
        <v>2872</v>
      </c>
      <c r="X77" s="15">
        <v>1915</v>
      </c>
      <c r="Y77" s="15">
        <v>6698</v>
      </c>
      <c r="Z77" s="15">
        <v>200</v>
      </c>
      <c r="AA77" s="15">
        <v>370</v>
      </c>
      <c r="AB77" s="15">
        <v>4950</v>
      </c>
      <c r="AC77" s="16">
        <f t="shared" si="31"/>
        <v>14216.4</v>
      </c>
      <c r="AD77" s="17">
        <f t="shared" si="32"/>
        <v>1.9586121437422552</v>
      </c>
      <c r="AE77" s="17">
        <f t="shared" si="33"/>
        <v>0.4264688622332809</v>
      </c>
      <c r="AF77" s="17">
        <f t="shared" si="34"/>
        <v>0.94389027431421446</v>
      </c>
      <c r="AG77" s="18">
        <f t="shared" si="35"/>
        <v>0.12922231872491255</v>
      </c>
      <c r="AH77" s="18">
        <f t="shared" si="36"/>
        <v>0.28600374064837908</v>
      </c>
      <c r="AI77" s="18">
        <f t="shared" si="37"/>
        <v>7.3355008927857582E-2</v>
      </c>
      <c r="AJ77" s="18">
        <f t="shared" si="38"/>
        <v>0.17738453748367669</v>
      </c>
      <c r="AK77" s="6"/>
      <c r="AL77" s="6"/>
      <c r="AM77" s="6"/>
      <c r="AN77" s="6"/>
      <c r="AO77" s="41"/>
      <c r="AP77" s="42">
        <f t="shared" si="39"/>
        <v>6601</v>
      </c>
      <c r="AQ77" s="42">
        <f t="shared" si="40"/>
        <v>2930</v>
      </c>
      <c r="AR77" s="41"/>
      <c r="AS77" s="42" t="str">
        <f t="shared" si="41"/>
        <v/>
      </c>
      <c r="AT77" s="45" t="s">
        <v>10420</v>
      </c>
    </row>
    <row r="78" spans="1:46" ht="15" customHeight="1" x14ac:dyDescent="0.3">
      <c r="A78" s="6" t="s">
        <v>7418</v>
      </c>
      <c r="B78" s="14">
        <v>2023</v>
      </c>
      <c r="C78" s="15">
        <v>66531</v>
      </c>
      <c r="D78" s="15">
        <v>6761</v>
      </c>
      <c r="E78" s="15">
        <v>3799</v>
      </c>
      <c r="F78" s="15">
        <v>1483</v>
      </c>
      <c r="G78" s="15">
        <v>918</v>
      </c>
      <c r="H78" s="15">
        <v>918</v>
      </c>
      <c r="I78" s="15">
        <v>39716</v>
      </c>
      <c r="J78" s="15">
        <v>19141</v>
      </c>
      <c r="K78" s="15">
        <v>20575</v>
      </c>
      <c r="L78" s="15">
        <v>20644</v>
      </c>
      <c r="M78" s="15">
        <v>10225</v>
      </c>
      <c r="N78" s="15">
        <v>10419</v>
      </c>
      <c r="O78" s="15">
        <v>19072</v>
      </c>
      <c r="P78" s="16">
        <f t="shared" si="28"/>
        <v>8916</v>
      </c>
      <c r="Q78" s="15">
        <v>1642</v>
      </c>
      <c r="R78" s="15">
        <v>16007</v>
      </c>
      <c r="S78" s="16">
        <f t="shared" si="29"/>
        <v>14365</v>
      </c>
      <c r="T78" s="15">
        <v>4038</v>
      </c>
      <c r="U78" s="15">
        <v>1847</v>
      </c>
      <c r="V78" s="16">
        <f t="shared" si="30"/>
        <v>2191</v>
      </c>
      <c r="W78" s="15">
        <v>2872</v>
      </c>
      <c r="X78" s="15">
        <v>320</v>
      </c>
      <c r="Y78" s="15">
        <v>6637</v>
      </c>
      <c r="Z78" s="15">
        <v>95</v>
      </c>
      <c r="AA78" s="15">
        <v>370</v>
      </c>
      <c r="AB78" s="15">
        <v>4000</v>
      </c>
      <c r="AC78" s="16">
        <f t="shared" si="31"/>
        <v>11488</v>
      </c>
      <c r="AD78" s="17">
        <f t="shared" si="32"/>
        <v>1.8719804400977995</v>
      </c>
      <c r="AE78" s="17">
        <f t="shared" si="33"/>
        <v>0.40303655957296808</v>
      </c>
      <c r="AF78" s="17">
        <f t="shared" si="34"/>
        <v>0.83929320469798663</v>
      </c>
      <c r="AG78" s="18">
        <f t="shared" si="35"/>
        <v>2.3114110182294291E-2</v>
      </c>
      <c r="AH78" s="18">
        <f t="shared" si="36"/>
        <v>4.8133389261744965E-2</v>
      </c>
      <c r="AI78" s="18">
        <f t="shared" si="37"/>
        <v>1.3798079090950084E-2</v>
      </c>
      <c r="AJ78" s="18">
        <f t="shared" si="38"/>
        <v>0.10162180036374022</v>
      </c>
      <c r="AK78" s="6"/>
      <c r="AL78" s="6"/>
      <c r="AM78" s="6"/>
      <c r="AN78" s="6"/>
      <c r="AO78" s="41"/>
      <c r="AP78" s="42">
        <f t="shared" si="39"/>
        <v>1483</v>
      </c>
      <c r="AQ78" s="42">
        <f t="shared" si="40"/>
        <v>2316</v>
      </c>
      <c r="AR78" s="41"/>
      <c r="AS78" s="42" t="str">
        <f t="shared" si="41"/>
        <v/>
      </c>
      <c r="AT78" s="45" t="s">
        <v>10421</v>
      </c>
    </row>
    <row r="79" spans="1:46" ht="15" customHeight="1" x14ac:dyDescent="0.3">
      <c r="A79" s="6" t="s">
        <v>7418</v>
      </c>
      <c r="B79" s="14">
        <v>2024</v>
      </c>
      <c r="C79" s="15">
        <v>78835</v>
      </c>
      <c r="D79" s="15">
        <v>8014</v>
      </c>
      <c r="E79" s="15">
        <v>4209</v>
      </c>
      <c r="F79" s="15">
        <v>2025</v>
      </c>
      <c r="G79" s="15">
        <v>1278</v>
      </c>
      <c r="H79" s="15">
        <v>1278</v>
      </c>
      <c r="I79" s="15">
        <v>45333</v>
      </c>
      <c r="J79" s="15">
        <v>24442</v>
      </c>
      <c r="K79" s="15">
        <v>20892</v>
      </c>
      <c r="L79" s="15">
        <v>25450</v>
      </c>
      <c r="M79" s="15">
        <v>13371</v>
      </c>
      <c r="N79" s="15">
        <v>12079</v>
      </c>
      <c r="O79" s="15">
        <v>19883</v>
      </c>
      <c r="P79" s="16">
        <f t="shared" si="28"/>
        <v>11071</v>
      </c>
      <c r="Q79" s="15">
        <v>1586</v>
      </c>
      <c r="R79" s="15">
        <v>19199</v>
      </c>
      <c r="S79" s="16">
        <f t="shared" si="29"/>
        <v>17613</v>
      </c>
      <c r="T79" s="15">
        <v>-253</v>
      </c>
      <c r="U79" s="15">
        <v>2270</v>
      </c>
      <c r="V79" s="16">
        <f t="shared" si="30"/>
        <v>-2523</v>
      </c>
      <c r="W79" s="15">
        <v>2872</v>
      </c>
      <c r="X79" s="15">
        <v>445</v>
      </c>
      <c r="Y79" s="15">
        <v>6917</v>
      </c>
      <c r="Z79" s="15">
        <v>105</v>
      </c>
      <c r="AA79" s="15"/>
      <c r="AB79" s="15">
        <v>3650</v>
      </c>
      <c r="AC79" s="16">
        <f t="shared" si="31"/>
        <v>10482.799999999999</v>
      </c>
      <c r="AD79" s="17">
        <f t="shared" si="32"/>
        <v>1.8279859397202902</v>
      </c>
      <c r="AE79" s="17">
        <f t="shared" si="33"/>
        <v>0.42351046698872785</v>
      </c>
      <c r="AF79" s="17">
        <f t="shared" si="34"/>
        <v>0.96559875270331441</v>
      </c>
      <c r="AG79" s="18">
        <f t="shared" si="35"/>
        <v>2.8191383760174708E-2</v>
      </c>
      <c r="AH79" s="18">
        <f t="shared" si="36"/>
        <v>6.4276014685912583E-2</v>
      </c>
      <c r="AI79" s="18">
        <f t="shared" si="37"/>
        <v>1.6211073761654086E-2</v>
      </c>
      <c r="AJ79" s="18">
        <f t="shared" si="38"/>
        <v>0.10165535612354919</v>
      </c>
      <c r="AK79" s="6"/>
      <c r="AL79" s="6"/>
      <c r="AM79" s="6"/>
      <c r="AN79" s="6"/>
      <c r="AO79" s="41"/>
      <c r="AP79" s="42">
        <f t="shared" si="39"/>
        <v>2025</v>
      </c>
      <c r="AQ79" s="42">
        <f t="shared" si="40"/>
        <v>2184</v>
      </c>
      <c r="AR79" s="41"/>
      <c r="AS79" s="42" t="str">
        <f t="shared" si="41"/>
        <v/>
      </c>
      <c r="AT79" s="45" t="s">
        <v>10422</v>
      </c>
    </row>
    <row r="80" spans="1:46" ht="15" customHeight="1" x14ac:dyDescent="0.3">
      <c r="A80" s="6" t="s">
        <v>1631</v>
      </c>
      <c r="B80" s="14">
        <v>2023</v>
      </c>
      <c r="C80" s="15">
        <v>10703</v>
      </c>
      <c r="D80" s="15">
        <v>2799</v>
      </c>
      <c r="E80" s="15"/>
      <c r="F80" s="15">
        <v>1196</v>
      </c>
      <c r="G80" s="15">
        <v>344</v>
      </c>
      <c r="H80" s="15">
        <v>512</v>
      </c>
      <c r="I80" s="15">
        <v>11810</v>
      </c>
      <c r="J80" s="15">
        <v>5028</v>
      </c>
      <c r="K80" s="15">
        <v>6782</v>
      </c>
      <c r="L80" s="15">
        <v>9820</v>
      </c>
      <c r="M80" s="15">
        <v>4755</v>
      </c>
      <c r="N80" s="15">
        <v>5066</v>
      </c>
      <c r="O80" s="15">
        <v>1990</v>
      </c>
      <c r="P80" s="16">
        <f t="shared" si="28"/>
        <v>273</v>
      </c>
      <c r="Q80" s="15">
        <v>1237</v>
      </c>
      <c r="R80" s="15">
        <v>8102</v>
      </c>
      <c r="S80" s="16">
        <f t="shared" si="29"/>
        <v>6865</v>
      </c>
      <c r="T80" s="15">
        <v>624</v>
      </c>
      <c r="U80" s="15">
        <v>103</v>
      </c>
      <c r="V80" s="16">
        <f t="shared" si="30"/>
        <v>521</v>
      </c>
      <c r="W80" s="15">
        <v>9525</v>
      </c>
      <c r="X80" s="15">
        <v>53.78</v>
      </c>
      <c r="Y80" s="15">
        <v>184</v>
      </c>
      <c r="Z80" s="15">
        <v>0</v>
      </c>
      <c r="AA80" s="15">
        <v>149.28</v>
      </c>
      <c r="AB80" s="15">
        <v>1045</v>
      </c>
      <c r="AC80" s="16">
        <f t="shared" si="31"/>
        <v>9953.625</v>
      </c>
      <c r="AD80" s="17">
        <f t="shared" si="32"/>
        <v>1.0574132492113564</v>
      </c>
      <c r="AE80" s="17">
        <f t="shared" si="33"/>
        <v>0.68602878916172738</v>
      </c>
      <c r="AF80" s="17">
        <f t="shared" si="34"/>
        <v>4.0713567839195983</v>
      </c>
      <c r="AG80" s="18">
        <f t="shared" si="35"/>
        <v>2.9127857747671466E-2</v>
      </c>
      <c r="AH80" s="18">
        <f t="shared" si="36"/>
        <v>0.17286432160804019</v>
      </c>
      <c r="AI80" s="18">
        <f t="shared" si="37"/>
        <v>3.214052134915444E-2</v>
      </c>
      <c r="AJ80" s="18">
        <f t="shared" si="38"/>
        <v>0.26151546295431188</v>
      </c>
      <c r="AK80" s="6"/>
      <c r="AL80" s="6"/>
      <c r="AM80" s="6"/>
      <c r="AN80" s="6"/>
      <c r="AO80" s="41"/>
      <c r="AP80" s="42">
        <f t="shared" si="39"/>
        <v>1196</v>
      </c>
      <c r="AQ80" s="42" t="str">
        <f t="shared" si="40"/>
        <v/>
      </c>
      <c r="AR80" s="41"/>
      <c r="AS80" s="42" t="str">
        <f t="shared" si="41"/>
        <v/>
      </c>
      <c r="AT80" s="45" t="s">
        <v>10423</v>
      </c>
    </row>
    <row r="81" spans="1:46" ht="15" customHeight="1" x14ac:dyDescent="0.3">
      <c r="A81" s="6" t="s">
        <v>1631</v>
      </c>
      <c r="B81" s="14">
        <v>2024</v>
      </c>
      <c r="C81" s="15">
        <v>10522</v>
      </c>
      <c r="D81" s="15">
        <v>3280</v>
      </c>
      <c r="E81" s="15"/>
      <c r="F81" s="15">
        <v>1770</v>
      </c>
      <c r="G81" s="15">
        <v>845</v>
      </c>
      <c r="H81" s="15">
        <v>820</v>
      </c>
      <c r="I81" s="15">
        <v>11765</v>
      </c>
      <c r="J81" s="15">
        <v>5232</v>
      </c>
      <c r="K81" s="15">
        <v>6533</v>
      </c>
      <c r="L81" s="15">
        <v>8873</v>
      </c>
      <c r="M81" s="15">
        <v>4716</v>
      </c>
      <c r="N81" s="15">
        <v>4157</v>
      </c>
      <c r="O81" s="15">
        <v>2891</v>
      </c>
      <c r="P81" s="16">
        <f t="shared" si="28"/>
        <v>516</v>
      </c>
      <c r="Q81" s="15">
        <v>1180</v>
      </c>
      <c r="R81" s="15">
        <v>6985</v>
      </c>
      <c r="S81" s="16">
        <f t="shared" si="29"/>
        <v>5805</v>
      </c>
      <c r="T81" s="15">
        <v>607</v>
      </c>
      <c r="U81" s="15">
        <v>19</v>
      </c>
      <c r="V81" s="16">
        <f t="shared" si="30"/>
        <v>588</v>
      </c>
      <c r="W81" s="15">
        <v>9525</v>
      </c>
      <c r="X81" s="15">
        <v>86.04</v>
      </c>
      <c r="Y81" s="15">
        <v>276</v>
      </c>
      <c r="Z81" s="15">
        <v>0</v>
      </c>
      <c r="AA81" s="15">
        <v>0</v>
      </c>
      <c r="AB81" s="15">
        <v>1300</v>
      </c>
      <c r="AC81" s="16">
        <f t="shared" si="31"/>
        <v>12382.5</v>
      </c>
      <c r="AD81" s="17">
        <f t="shared" si="32"/>
        <v>1.10941475826972</v>
      </c>
      <c r="AE81" s="17">
        <f t="shared" si="33"/>
        <v>0.5937101572460689</v>
      </c>
      <c r="AF81" s="17">
        <f t="shared" si="34"/>
        <v>2.4161189899688691</v>
      </c>
      <c r="AG81" s="18">
        <f t="shared" si="35"/>
        <v>7.18232044198895E-2</v>
      </c>
      <c r="AH81" s="18">
        <f t="shared" si="36"/>
        <v>0.29228640608785889</v>
      </c>
      <c r="AI81" s="18">
        <f t="shared" si="37"/>
        <v>8.0307926249762407E-2</v>
      </c>
      <c r="AJ81" s="18">
        <f t="shared" si="38"/>
        <v>0.31172780840144459</v>
      </c>
      <c r="AK81" s="6"/>
      <c r="AL81" s="6"/>
      <c r="AM81" s="6"/>
      <c r="AN81" s="6"/>
      <c r="AO81" s="41"/>
      <c r="AP81" s="42">
        <f t="shared" si="39"/>
        <v>1770</v>
      </c>
      <c r="AQ81" s="42" t="str">
        <f t="shared" si="40"/>
        <v/>
      </c>
      <c r="AR81" s="41"/>
      <c r="AS81" s="42" t="str">
        <f t="shared" si="41"/>
        <v/>
      </c>
      <c r="AT81" s="45" t="s">
        <v>10424</v>
      </c>
    </row>
    <row r="82" spans="1:46" ht="15" customHeight="1" x14ac:dyDescent="0.3">
      <c r="A82" s="6" t="s">
        <v>1631</v>
      </c>
      <c r="B82" s="14">
        <v>2025</v>
      </c>
      <c r="C82" s="15">
        <v>14813</v>
      </c>
      <c r="D82" s="15">
        <v>5175</v>
      </c>
      <c r="E82" s="15"/>
      <c r="F82" s="15">
        <v>2548</v>
      </c>
      <c r="G82" s="15">
        <v>1393</v>
      </c>
      <c r="H82" s="15">
        <v>1161</v>
      </c>
      <c r="I82" s="15">
        <v>13584</v>
      </c>
      <c r="J82" s="15">
        <v>5901</v>
      </c>
      <c r="K82" s="15">
        <v>7683</v>
      </c>
      <c r="L82" s="15">
        <v>10643</v>
      </c>
      <c r="M82" s="15">
        <v>4613</v>
      </c>
      <c r="N82" s="15">
        <v>6029</v>
      </c>
      <c r="O82" s="15">
        <v>2941</v>
      </c>
      <c r="P82" s="16">
        <f t="shared" si="28"/>
        <v>1288</v>
      </c>
      <c r="Q82" s="15">
        <v>874</v>
      </c>
      <c r="R82" s="15">
        <v>8139</v>
      </c>
      <c r="S82" s="16">
        <f t="shared" si="29"/>
        <v>7265</v>
      </c>
      <c r="T82" s="15">
        <v>1097</v>
      </c>
      <c r="U82" s="15">
        <v>402</v>
      </c>
      <c r="V82" s="16">
        <f t="shared" si="30"/>
        <v>695</v>
      </c>
      <c r="W82" s="15">
        <v>9525</v>
      </c>
      <c r="X82" s="15">
        <v>121.86</v>
      </c>
      <c r="Y82" s="15">
        <v>239</v>
      </c>
      <c r="Z82" s="15">
        <v>0</v>
      </c>
      <c r="AA82" s="15">
        <v>47.24</v>
      </c>
      <c r="AB82" s="15">
        <v>1580</v>
      </c>
      <c r="AC82" s="16">
        <f t="shared" si="31"/>
        <v>15049.5</v>
      </c>
      <c r="AD82" s="17">
        <f t="shared" si="32"/>
        <v>1.2792109256449165</v>
      </c>
      <c r="AE82" s="17">
        <f t="shared" si="33"/>
        <v>0.59916077738515905</v>
      </c>
      <c r="AF82" s="17">
        <f t="shared" si="34"/>
        <v>2.767426045562734</v>
      </c>
      <c r="AG82" s="18">
        <f t="shared" si="35"/>
        <v>0.10254711425206124</v>
      </c>
      <c r="AH82" s="18">
        <f t="shared" si="36"/>
        <v>0.47364841890513432</v>
      </c>
      <c r="AI82" s="18">
        <f t="shared" si="37"/>
        <v>9.4039019779923044E-2</v>
      </c>
      <c r="AJ82" s="18">
        <f t="shared" si="38"/>
        <v>0.34935529602376292</v>
      </c>
      <c r="AK82" s="6"/>
      <c r="AL82" s="6"/>
      <c r="AM82" s="6"/>
      <c r="AN82" s="6"/>
      <c r="AO82" s="41"/>
      <c r="AP82" s="42">
        <f t="shared" si="39"/>
        <v>2548</v>
      </c>
      <c r="AQ82" s="42" t="str">
        <f t="shared" si="40"/>
        <v/>
      </c>
      <c r="AR82" s="41"/>
      <c r="AS82" s="42" t="str">
        <f t="shared" si="41"/>
        <v/>
      </c>
      <c r="AT82" s="45" t="s">
        <v>10425</v>
      </c>
    </row>
    <row r="83" spans="1:46" ht="15" customHeight="1" x14ac:dyDescent="0.3">
      <c r="A83" s="6" t="s">
        <v>8154</v>
      </c>
      <c r="B83" s="14">
        <v>2023</v>
      </c>
      <c r="C83" s="15">
        <v>8326</v>
      </c>
      <c r="D83" s="15">
        <v>2217</v>
      </c>
      <c r="E83" s="15"/>
      <c r="F83" s="15">
        <v>1373</v>
      </c>
      <c r="G83" s="15">
        <v>1661</v>
      </c>
      <c r="H83" s="15">
        <v>1608</v>
      </c>
      <c r="I83" s="15">
        <v>13867</v>
      </c>
      <c r="J83" s="15">
        <v>2446</v>
      </c>
      <c r="K83" s="15">
        <v>11422</v>
      </c>
      <c r="L83" s="15">
        <v>2528</v>
      </c>
      <c r="M83" s="15">
        <v>1959</v>
      </c>
      <c r="N83" s="15">
        <v>569</v>
      </c>
      <c r="O83" s="15">
        <v>11340</v>
      </c>
      <c r="P83" s="16">
        <f t="shared" si="28"/>
        <v>487</v>
      </c>
      <c r="Q83" s="15">
        <v>1007</v>
      </c>
      <c r="R83" s="15">
        <v>1121</v>
      </c>
      <c r="S83" s="16">
        <f t="shared" si="29"/>
        <v>114</v>
      </c>
      <c r="T83" s="15">
        <v>1569</v>
      </c>
      <c r="U83" s="15">
        <v>802</v>
      </c>
      <c r="V83" s="16">
        <f t="shared" si="30"/>
        <v>767</v>
      </c>
      <c r="W83" s="15">
        <v>19853</v>
      </c>
      <c r="X83" s="15">
        <v>81</v>
      </c>
      <c r="Y83" s="15">
        <v>571</v>
      </c>
      <c r="Z83" s="15"/>
      <c r="AA83" s="15">
        <v>91</v>
      </c>
      <c r="AB83" s="15">
        <v>545</v>
      </c>
      <c r="AC83" s="16">
        <f t="shared" si="31"/>
        <v>10819.885</v>
      </c>
      <c r="AD83" s="17">
        <f t="shared" si="32"/>
        <v>1.248596222562532</v>
      </c>
      <c r="AE83" s="17">
        <f t="shared" si="33"/>
        <v>8.0839402898968779E-2</v>
      </c>
      <c r="AF83" s="17">
        <f t="shared" si="34"/>
        <v>9.8853615520282184E-2</v>
      </c>
      <c r="AG83" s="18">
        <f t="shared" si="35"/>
        <v>0.11978077450061296</v>
      </c>
      <c r="AH83" s="18">
        <f t="shared" si="36"/>
        <v>0.1464726631393298</v>
      </c>
      <c r="AI83" s="18">
        <f t="shared" si="37"/>
        <v>0.19949555608935862</v>
      </c>
      <c r="AJ83" s="18">
        <f t="shared" si="38"/>
        <v>0.26627432140283447</v>
      </c>
      <c r="AK83" s="6"/>
      <c r="AL83" s="6"/>
      <c r="AM83" s="6"/>
      <c r="AN83" s="6"/>
      <c r="AO83" s="41"/>
      <c r="AP83" s="42">
        <f t="shared" si="39"/>
        <v>1373</v>
      </c>
      <c r="AQ83" s="42" t="str">
        <f t="shared" si="40"/>
        <v/>
      </c>
      <c r="AR83" s="41"/>
      <c r="AS83" s="42" t="str">
        <f t="shared" si="41"/>
        <v/>
      </c>
      <c r="AT83" s="45" t="s">
        <v>10426</v>
      </c>
    </row>
    <row r="84" spans="1:46" ht="15" customHeight="1" x14ac:dyDescent="0.3">
      <c r="A84" s="6" t="s">
        <v>8154</v>
      </c>
      <c r="B84" s="14">
        <v>2024</v>
      </c>
      <c r="C84" s="15">
        <v>9671</v>
      </c>
      <c r="D84" s="15">
        <v>3723</v>
      </c>
      <c r="E84" s="15"/>
      <c r="F84" s="15">
        <v>3045</v>
      </c>
      <c r="G84" s="15">
        <v>3241</v>
      </c>
      <c r="H84" s="15">
        <v>3120</v>
      </c>
      <c r="I84" s="15">
        <v>14307</v>
      </c>
      <c r="J84" s="15">
        <v>3247</v>
      </c>
      <c r="K84" s="15">
        <v>11061</v>
      </c>
      <c r="L84" s="15">
        <v>3031</v>
      </c>
      <c r="M84" s="15">
        <v>2362</v>
      </c>
      <c r="N84" s="15">
        <v>669</v>
      </c>
      <c r="O84" s="15">
        <v>11276</v>
      </c>
      <c r="P84" s="16">
        <f t="shared" si="28"/>
        <v>885</v>
      </c>
      <c r="Q84" s="15">
        <v>1309</v>
      </c>
      <c r="R84" s="15">
        <v>1100</v>
      </c>
      <c r="S84" s="16">
        <f t="shared" si="29"/>
        <v>-209</v>
      </c>
      <c r="T84" s="15">
        <v>3239</v>
      </c>
      <c r="U84" s="15">
        <v>588</v>
      </c>
      <c r="V84" s="16">
        <f t="shared" si="30"/>
        <v>2651</v>
      </c>
      <c r="W84" s="15">
        <v>19853</v>
      </c>
      <c r="X84" s="15">
        <v>157</v>
      </c>
      <c r="Y84" s="15">
        <v>568</v>
      </c>
      <c r="Z84" s="15">
        <v>76</v>
      </c>
      <c r="AA84" s="15"/>
      <c r="AB84" s="15">
        <v>765</v>
      </c>
      <c r="AC84" s="16">
        <f t="shared" si="31"/>
        <v>15187.545</v>
      </c>
      <c r="AD84" s="17">
        <f t="shared" si="32"/>
        <v>1.3746824724809483</v>
      </c>
      <c r="AE84" s="17">
        <f t="shared" si="33"/>
        <v>7.6885440693366877E-2</v>
      </c>
      <c r="AF84" s="17">
        <f t="shared" si="34"/>
        <v>9.7552323518978357E-2</v>
      </c>
      <c r="AG84" s="18">
        <f t="shared" si="35"/>
        <v>0.22653246662472915</v>
      </c>
      <c r="AH84" s="18">
        <f t="shared" si="36"/>
        <v>0.28742461865909896</v>
      </c>
      <c r="AI84" s="18">
        <f t="shared" si="37"/>
        <v>0.33512563333678008</v>
      </c>
      <c r="AJ84" s="18">
        <f t="shared" si="38"/>
        <v>0.38496536035570261</v>
      </c>
      <c r="AK84" s="6"/>
      <c r="AL84" s="6"/>
      <c r="AM84" s="6"/>
      <c r="AN84" s="6"/>
      <c r="AO84" s="41"/>
      <c r="AP84" s="42">
        <f t="shared" si="39"/>
        <v>3045</v>
      </c>
      <c r="AQ84" s="42" t="str">
        <f t="shared" si="40"/>
        <v/>
      </c>
      <c r="AR84" s="41"/>
      <c r="AS84" s="42" t="str">
        <f t="shared" si="41"/>
        <v/>
      </c>
      <c r="AT84" s="45" t="s">
        <v>10427</v>
      </c>
    </row>
    <row r="85" spans="1:46" ht="15" customHeight="1" x14ac:dyDescent="0.3">
      <c r="A85" s="6" t="s">
        <v>8154</v>
      </c>
      <c r="B85" s="14">
        <v>2025</v>
      </c>
      <c r="C85" s="15">
        <v>11402</v>
      </c>
      <c r="D85" s="15">
        <v>4498</v>
      </c>
      <c r="E85" s="15"/>
      <c r="F85" s="15">
        <v>3543</v>
      </c>
      <c r="G85" s="15">
        <v>3845</v>
      </c>
      <c r="H85" s="15">
        <v>3702</v>
      </c>
      <c r="I85" s="15">
        <v>14697</v>
      </c>
      <c r="J85" s="15">
        <v>3981</v>
      </c>
      <c r="K85" s="15">
        <v>10715</v>
      </c>
      <c r="L85" s="15">
        <v>3009</v>
      </c>
      <c r="M85" s="15">
        <v>1870</v>
      </c>
      <c r="N85" s="15">
        <v>1139</v>
      </c>
      <c r="O85" s="15">
        <v>11687</v>
      </c>
      <c r="P85" s="16">
        <f t="shared" si="28"/>
        <v>2111</v>
      </c>
      <c r="Q85" s="15">
        <v>1651</v>
      </c>
      <c r="R85" s="15">
        <v>1099</v>
      </c>
      <c r="S85" s="16">
        <f t="shared" si="29"/>
        <v>-552</v>
      </c>
      <c r="T85" s="15">
        <v>3431</v>
      </c>
      <c r="U85" s="15">
        <v>637</v>
      </c>
      <c r="V85" s="16">
        <f t="shared" si="30"/>
        <v>2794</v>
      </c>
      <c r="W85" s="15">
        <v>19853</v>
      </c>
      <c r="X85" s="15">
        <v>186</v>
      </c>
      <c r="Y85" s="15">
        <v>589</v>
      </c>
      <c r="Z85" s="15">
        <v>89</v>
      </c>
      <c r="AA85" s="15">
        <v>76</v>
      </c>
      <c r="AB85" s="15">
        <v>1500</v>
      </c>
      <c r="AC85" s="16">
        <f t="shared" si="31"/>
        <v>29779.5</v>
      </c>
      <c r="AD85" s="17">
        <f t="shared" si="32"/>
        <v>2.1288770053475936</v>
      </c>
      <c r="AE85" s="17">
        <f t="shared" si="33"/>
        <v>7.4777165407906382E-2</v>
      </c>
      <c r="AF85" s="17">
        <f t="shared" si="34"/>
        <v>9.4036108496620183E-2</v>
      </c>
      <c r="AG85" s="18">
        <f t="shared" si="35"/>
        <v>0.26161801728243861</v>
      </c>
      <c r="AH85" s="18">
        <f t="shared" si="36"/>
        <v>0.32899803200136907</v>
      </c>
      <c r="AI85" s="18">
        <f t="shared" si="37"/>
        <v>0.33722154008068761</v>
      </c>
      <c r="AJ85" s="18">
        <f t="shared" si="38"/>
        <v>0.39449219435186811</v>
      </c>
      <c r="AK85" s="6"/>
      <c r="AL85" s="6"/>
      <c r="AM85" s="6"/>
      <c r="AN85" s="6"/>
      <c r="AO85" s="41"/>
      <c r="AP85" s="42">
        <f t="shared" si="39"/>
        <v>3543</v>
      </c>
      <c r="AQ85" s="42" t="str">
        <f t="shared" si="40"/>
        <v/>
      </c>
      <c r="AR85" s="41"/>
      <c r="AS85" s="42" t="str">
        <f t="shared" si="41"/>
        <v/>
      </c>
      <c r="AT85" s="45" t="s">
        <v>10428</v>
      </c>
    </row>
    <row r="86" spans="1:46" ht="15" customHeight="1" x14ac:dyDescent="0.3">
      <c r="A86" s="6" t="s">
        <v>8514</v>
      </c>
      <c r="B86" s="14">
        <v>2023</v>
      </c>
      <c r="C86" s="15">
        <v>4007</v>
      </c>
      <c r="D86" s="15">
        <v>1070</v>
      </c>
      <c r="E86" s="15"/>
      <c r="F86" s="15">
        <v>710</v>
      </c>
      <c r="G86" s="15">
        <v>452</v>
      </c>
      <c r="H86" s="15">
        <v>452</v>
      </c>
      <c r="I86" s="15">
        <v>5424</v>
      </c>
      <c r="J86" s="15">
        <v>1614</v>
      </c>
      <c r="K86" s="15">
        <v>3810</v>
      </c>
      <c r="L86" s="15">
        <v>2966</v>
      </c>
      <c r="M86" s="15">
        <v>1690</v>
      </c>
      <c r="N86" s="15">
        <v>1276</v>
      </c>
      <c r="O86" s="15">
        <v>2458</v>
      </c>
      <c r="P86" s="16">
        <f t="shared" si="28"/>
        <v>-76</v>
      </c>
      <c r="Q86" s="15">
        <v>583</v>
      </c>
      <c r="R86" s="15">
        <v>964</v>
      </c>
      <c r="S86" s="16">
        <f t="shared" si="29"/>
        <v>381</v>
      </c>
      <c r="T86" s="15">
        <v>1314</v>
      </c>
      <c r="U86" s="15">
        <v>386</v>
      </c>
      <c r="V86" s="16">
        <f t="shared" si="30"/>
        <v>928</v>
      </c>
      <c r="W86" s="15">
        <v>12947</v>
      </c>
      <c r="X86" s="15">
        <v>34.9</v>
      </c>
      <c r="Y86" s="15"/>
      <c r="Z86" s="15"/>
      <c r="AA86" s="15">
        <v>12.21</v>
      </c>
      <c r="AB86" s="15">
        <v>450</v>
      </c>
      <c r="AC86" s="16">
        <f t="shared" si="31"/>
        <v>5826.15</v>
      </c>
      <c r="AD86" s="17">
        <f t="shared" si="32"/>
        <v>0.95502958579881658</v>
      </c>
      <c r="AE86" s="17">
        <f t="shared" si="33"/>
        <v>0.17772861356932154</v>
      </c>
      <c r="AF86" s="17">
        <f t="shared" si="34"/>
        <v>0.39218877135882829</v>
      </c>
      <c r="AG86" s="18">
        <f t="shared" si="35"/>
        <v>8.3333333333333329E-2</v>
      </c>
      <c r="AH86" s="18">
        <f t="shared" si="36"/>
        <v>0.18388934092758341</v>
      </c>
      <c r="AI86" s="18">
        <f t="shared" si="37"/>
        <v>0.11280259545794859</v>
      </c>
      <c r="AJ86" s="18">
        <f t="shared" si="38"/>
        <v>0.26703269278762165</v>
      </c>
      <c r="AK86" s="6"/>
      <c r="AL86" s="6"/>
      <c r="AM86" s="6"/>
      <c r="AN86" s="6"/>
      <c r="AO86" s="41"/>
      <c r="AP86" s="42">
        <f t="shared" si="39"/>
        <v>710</v>
      </c>
      <c r="AQ86" s="42" t="str">
        <f t="shared" si="40"/>
        <v/>
      </c>
      <c r="AR86" s="41"/>
      <c r="AS86" s="42" t="str">
        <f t="shared" si="41"/>
        <v/>
      </c>
      <c r="AT86" s="45" t="s">
        <v>10429</v>
      </c>
    </row>
    <row r="87" spans="1:46" ht="15" customHeight="1" x14ac:dyDescent="0.3">
      <c r="A87" s="6" t="s">
        <v>8514</v>
      </c>
      <c r="B87" s="14">
        <v>2024</v>
      </c>
      <c r="C87" s="15">
        <v>4211</v>
      </c>
      <c r="D87" s="15">
        <v>1456</v>
      </c>
      <c r="E87" s="15">
        <v>1390</v>
      </c>
      <c r="F87" s="15">
        <v>1110</v>
      </c>
      <c r="G87" s="15">
        <v>826</v>
      </c>
      <c r="H87" s="15">
        <v>826</v>
      </c>
      <c r="I87" s="15">
        <v>5664</v>
      </c>
      <c r="J87" s="15">
        <v>1767</v>
      </c>
      <c r="K87" s="15">
        <v>3898</v>
      </c>
      <c r="L87" s="15">
        <v>2520</v>
      </c>
      <c r="M87" s="15">
        <v>1573</v>
      </c>
      <c r="N87" s="15">
        <v>947</v>
      </c>
      <c r="O87" s="15">
        <v>3145</v>
      </c>
      <c r="P87" s="16">
        <f t="shared" si="28"/>
        <v>194</v>
      </c>
      <c r="Q87" s="15">
        <v>487</v>
      </c>
      <c r="R87" s="15">
        <v>520</v>
      </c>
      <c r="S87" s="16">
        <f t="shared" si="29"/>
        <v>33</v>
      </c>
      <c r="T87" s="15">
        <v>1140</v>
      </c>
      <c r="U87" s="15">
        <v>402</v>
      </c>
      <c r="V87" s="16">
        <f t="shared" si="30"/>
        <v>738</v>
      </c>
      <c r="W87" s="15">
        <v>12947</v>
      </c>
      <c r="X87" s="15">
        <v>63.77</v>
      </c>
      <c r="Y87" s="15"/>
      <c r="Z87" s="15"/>
      <c r="AA87" s="15">
        <v>31</v>
      </c>
      <c r="AB87" s="15">
        <v>545</v>
      </c>
      <c r="AC87" s="16">
        <f t="shared" si="31"/>
        <v>7056.1149999999998</v>
      </c>
      <c r="AD87" s="17">
        <f t="shared" si="32"/>
        <v>1.1233312142403051</v>
      </c>
      <c r="AE87" s="17">
        <f t="shared" si="33"/>
        <v>9.1807909604519775E-2</v>
      </c>
      <c r="AF87" s="17">
        <f t="shared" si="34"/>
        <v>0.16534181240063592</v>
      </c>
      <c r="AG87" s="18">
        <f t="shared" si="35"/>
        <v>0.14583333333333334</v>
      </c>
      <c r="AH87" s="18">
        <f t="shared" si="36"/>
        <v>0.26263910969793325</v>
      </c>
      <c r="AI87" s="18">
        <f t="shared" si="37"/>
        <v>0.19615293279506055</v>
      </c>
      <c r="AJ87" s="18">
        <f t="shared" si="38"/>
        <v>0.34576110187603892</v>
      </c>
      <c r="AK87" s="6"/>
      <c r="AL87" s="6"/>
      <c r="AM87" s="6"/>
      <c r="AN87" s="6"/>
      <c r="AO87" s="41"/>
      <c r="AP87" s="42">
        <f t="shared" si="39"/>
        <v>1110</v>
      </c>
      <c r="AQ87" s="42">
        <f t="shared" si="40"/>
        <v>280</v>
      </c>
      <c r="AR87" s="41"/>
      <c r="AS87" s="42" t="str">
        <f t="shared" si="41"/>
        <v/>
      </c>
      <c r="AT87" s="45" t="s">
        <v>10430</v>
      </c>
    </row>
    <row r="88" spans="1:46" ht="15" customHeight="1" x14ac:dyDescent="0.3">
      <c r="A88" s="6" t="s">
        <v>8514</v>
      </c>
      <c r="B88" s="14">
        <v>2025</v>
      </c>
      <c r="C88" s="15">
        <v>5421</v>
      </c>
      <c r="D88" s="15">
        <v>1864</v>
      </c>
      <c r="E88" s="15"/>
      <c r="F88" s="15">
        <v>1251</v>
      </c>
      <c r="G88" s="15">
        <v>1107</v>
      </c>
      <c r="H88" s="15">
        <v>1107</v>
      </c>
      <c r="I88" s="15">
        <v>6018</v>
      </c>
      <c r="J88" s="15">
        <v>1589</v>
      </c>
      <c r="K88" s="15">
        <v>4429</v>
      </c>
      <c r="L88" s="15">
        <v>2373</v>
      </c>
      <c r="M88" s="15">
        <v>1425</v>
      </c>
      <c r="N88" s="15">
        <v>948</v>
      </c>
      <c r="O88" s="15">
        <v>3645</v>
      </c>
      <c r="P88" s="16">
        <f t="shared" si="28"/>
        <v>164</v>
      </c>
      <c r="Q88" s="15">
        <v>334</v>
      </c>
      <c r="R88" s="15">
        <v>955.74</v>
      </c>
      <c r="S88" s="16">
        <f t="shared" si="29"/>
        <v>621.74</v>
      </c>
      <c r="T88" s="15">
        <v>1544</v>
      </c>
      <c r="U88" s="15">
        <v>596</v>
      </c>
      <c r="V88" s="16">
        <f t="shared" si="30"/>
        <v>948</v>
      </c>
      <c r="W88" s="15">
        <v>12947</v>
      </c>
      <c r="X88" s="15">
        <v>85.48</v>
      </c>
      <c r="Y88" s="15"/>
      <c r="Z88" s="15">
        <v>15.5</v>
      </c>
      <c r="AA88" s="15">
        <v>31</v>
      </c>
      <c r="AB88" s="15">
        <v>700</v>
      </c>
      <c r="AC88" s="16">
        <f t="shared" si="31"/>
        <v>9062.9</v>
      </c>
      <c r="AD88" s="17">
        <f t="shared" si="32"/>
        <v>1.1150877192982456</v>
      </c>
      <c r="AE88" s="17">
        <f t="shared" si="33"/>
        <v>0.15881355932203389</v>
      </c>
      <c r="AF88" s="17">
        <f t="shared" si="34"/>
        <v>0.26220576131687245</v>
      </c>
      <c r="AG88" s="18">
        <f t="shared" si="35"/>
        <v>0.1839481555333998</v>
      </c>
      <c r="AH88" s="18">
        <f t="shared" si="36"/>
        <v>0.3037037037037037</v>
      </c>
      <c r="AI88" s="18">
        <f t="shared" si="37"/>
        <v>0.20420586607636967</v>
      </c>
      <c r="AJ88" s="18">
        <f t="shared" si="38"/>
        <v>0.34384799852425751</v>
      </c>
      <c r="AK88" s="6"/>
      <c r="AL88" s="6"/>
      <c r="AM88" s="6"/>
      <c r="AN88" s="6"/>
      <c r="AO88" s="41"/>
      <c r="AP88" s="42">
        <f t="shared" si="39"/>
        <v>1251</v>
      </c>
      <c r="AQ88" s="42" t="str">
        <f t="shared" si="40"/>
        <v/>
      </c>
      <c r="AR88" s="41"/>
      <c r="AS88" s="42" t="str">
        <f t="shared" si="41"/>
        <v/>
      </c>
      <c r="AT88" s="45" t="s">
        <v>10431</v>
      </c>
    </row>
    <row r="89" spans="1:46" ht="15" customHeight="1" x14ac:dyDescent="0.3">
      <c r="A89" s="6" t="s">
        <v>8828</v>
      </c>
      <c r="B89" s="14">
        <v>2022</v>
      </c>
      <c r="C89" s="15">
        <v>4189</v>
      </c>
      <c r="D89" s="15">
        <v>786</v>
      </c>
      <c r="E89" s="15"/>
      <c r="F89" s="15">
        <v>315</v>
      </c>
      <c r="G89" s="15">
        <v>930</v>
      </c>
      <c r="H89" s="15">
        <v>217</v>
      </c>
      <c r="I89" s="15">
        <v>4540</v>
      </c>
      <c r="J89" s="15">
        <v>707</v>
      </c>
      <c r="K89" s="15">
        <v>3833</v>
      </c>
      <c r="L89" s="15">
        <v>10497</v>
      </c>
      <c r="M89" s="15">
        <v>8306</v>
      </c>
      <c r="N89" s="15">
        <v>2191</v>
      </c>
      <c r="O89" s="15">
        <v>-5957</v>
      </c>
      <c r="P89" s="16">
        <f t="shared" si="28"/>
        <v>-7599</v>
      </c>
      <c r="Q89" s="15">
        <v>144</v>
      </c>
      <c r="R89" s="15">
        <v>5937.42</v>
      </c>
      <c r="S89" s="16">
        <f t="shared" si="29"/>
        <v>5793.42</v>
      </c>
      <c r="T89" s="15">
        <v>-85</v>
      </c>
      <c r="U89" s="15">
        <v>329.08</v>
      </c>
      <c r="V89" s="16">
        <f t="shared" si="30"/>
        <v>-414.08</v>
      </c>
      <c r="W89" s="15">
        <v>2500</v>
      </c>
      <c r="X89" s="15">
        <v>86.71</v>
      </c>
      <c r="Y89" s="15"/>
      <c r="Z89" s="15">
        <v>0</v>
      </c>
      <c r="AA89" s="15">
        <v>0</v>
      </c>
      <c r="AB89" s="15">
        <v>128</v>
      </c>
      <c r="AC89" s="16">
        <f t="shared" si="31"/>
        <v>320</v>
      </c>
      <c r="AD89" s="17">
        <f t="shared" si="32"/>
        <v>8.511919094630388E-2</v>
      </c>
      <c r="AE89" s="17">
        <f t="shared" si="33"/>
        <v>1.3078017621145375</v>
      </c>
      <c r="AF89" s="17">
        <f t="shared" si="34"/>
        <v>-0.99671311062615409</v>
      </c>
      <c r="AG89" s="18">
        <f t="shared" si="35"/>
        <v>0.20484581497797358</v>
      </c>
      <c r="AH89" s="18">
        <f t="shared" si="36"/>
        <v>-0.15611885177102569</v>
      </c>
      <c r="AI89" s="18">
        <f t="shared" si="37"/>
        <v>0.22201002625925043</v>
      </c>
      <c r="AJ89" s="18">
        <f t="shared" si="38"/>
        <v>0.18763428025781809</v>
      </c>
      <c r="AK89" s="6"/>
      <c r="AL89" s="6"/>
      <c r="AM89" s="6"/>
      <c r="AN89" s="6"/>
      <c r="AO89" s="41"/>
      <c r="AP89" s="42">
        <f t="shared" si="39"/>
        <v>315</v>
      </c>
      <c r="AQ89" s="42" t="str">
        <f t="shared" si="40"/>
        <v/>
      </c>
      <c r="AR89" s="41"/>
      <c r="AS89" s="42" t="str">
        <f t="shared" si="41"/>
        <v/>
      </c>
      <c r="AT89" s="45" t="s">
        <v>10432</v>
      </c>
    </row>
    <row r="90" spans="1:46" ht="15" customHeight="1" x14ac:dyDescent="0.3">
      <c r="A90" s="6" t="s">
        <v>8828</v>
      </c>
      <c r="B90" s="14">
        <v>2023</v>
      </c>
      <c r="C90" s="15">
        <v>2405</v>
      </c>
      <c r="D90" s="15">
        <v>477</v>
      </c>
      <c r="E90" s="15"/>
      <c r="F90" s="15">
        <v>43</v>
      </c>
      <c r="G90" s="15">
        <v>26</v>
      </c>
      <c r="H90" s="15">
        <v>63</v>
      </c>
      <c r="I90" s="15">
        <v>4560</v>
      </c>
      <c r="J90" s="15">
        <v>782</v>
      </c>
      <c r="K90" s="15">
        <v>3778</v>
      </c>
      <c r="L90" s="15">
        <v>10493</v>
      </c>
      <c r="M90" s="15">
        <v>7694</v>
      </c>
      <c r="N90" s="15">
        <v>2798</v>
      </c>
      <c r="O90" s="15">
        <v>-5933</v>
      </c>
      <c r="P90" s="16">
        <f t="shared" si="28"/>
        <v>-6912</v>
      </c>
      <c r="Q90" s="15">
        <v>123</v>
      </c>
      <c r="R90" s="15">
        <v>4493</v>
      </c>
      <c r="S90" s="16">
        <f t="shared" si="29"/>
        <v>4370</v>
      </c>
      <c r="T90" s="15">
        <v>-50</v>
      </c>
      <c r="U90" s="15">
        <v>212</v>
      </c>
      <c r="V90" s="16">
        <f t="shared" si="30"/>
        <v>-262</v>
      </c>
      <c r="W90" s="15">
        <v>2500</v>
      </c>
      <c r="X90" s="15">
        <v>25.08</v>
      </c>
      <c r="Y90" s="15"/>
      <c r="Z90" s="15">
        <v>0</v>
      </c>
      <c r="AA90" s="15">
        <v>0</v>
      </c>
      <c r="AB90" s="15">
        <v>113</v>
      </c>
      <c r="AC90" s="16">
        <f t="shared" si="31"/>
        <v>282.5</v>
      </c>
      <c r="AD90" s="17">
        <f t="shared" si="32"/>
        <v>0.10163763971926176</v>
      </c>
      <c r="AE90" s="17">
        <f t="shared" si="33"/>
        <v>0.98530701754385963</v>
      </c>
      <c r="AF90" s="17">
        <f t="shared" si="34"/>
        <v>-0.75728973537839206</v>
      </c>
      <c r="AG90" s="18">
        <f t="shared" si="35"/>
        <v>5.7017543859649127E-3</v>
      </c>
      <c r="AH90" s="18">
        <f t="shared" si="36"/>
        <v>-4.382268666779033E-3</v>
      </c>
      <c r="AI90" s="18">
        <f t="shared" si="37"/>
        <v>1.0810810810810811E-2</v>
      </c>
      <c r="AJ90" s="18">
        <f t="shared" si="38"/>
        <v>0.19833679833679835</v>
      </c>
      <c r="AK90" s="6"/>
      <c r="AL90" s="6"/>
      <c r="AM90" s="6"/>
      <c r="AN90" s="6"/>
      <c r="AO90" s="41"/>
      <c r="AP90" s="42">
        <f t="shared" si="39"/>
        <v>43</v>
      </c>
      <c r="AQ90" s="42" t="str">
        <f t="shared" si="40"/>
        <v/>
      </c>
      <c r="AR90" s="41"/>
      <c r="AS90" s="42" t="str">
        <f t="shared" si="41"/>
        <v/>
      </c>
      <c r="AT90" s="45" t="s">
        <v>10433</v>
      </c>
    </row>
    <row r="91" spans="1:46" ht="15" customHeight="1" x14ac:dyDescent="0.3">
      <c r="A91" s="6" t="s">
        <v>8828</v>
      </c>
      <c r="B91" s="14">
        <v>2024</v>
      </c>
      <c r="C91" s="15">
        <v>2328</v>
      </c>
      <c r="D91" s="15">
        <v>605</v>
      </c>
      <c r="E91" s="15"/>
      <c r="F91" s="15">
        <v>209</v>
      </c>
      <c r="G91" s="15">
        <v>139</v>
      </c>
      <c r="H91" s="15">
        <v>139</v>
      </c>
      <c r="I91" s="15">
        <v>3214</v>
      </c>
      <c r="J91" s="15">
        <v>850</v>
      </c>
      <c r="K91" s="15">
        <v>2364</v>
      </c>
      <c r="L91" s="15">
        <v>8491</v>
      </c>
      <c r="M91" s="15">
        <v>8145</v>
      </c>
      <c r="N91" s="15">
        <v>345</v>
      </c>
      <c r="O91" s="15">
        <v>-5276</v>
      </c>
      <c r="P91" s="16">
        <f t="shared" si="28"/>
        <v>-7295</v>
      </c>
      <c r="Q91" s="15">
        <v>134</v>
      </c>
      <c r="R91" s="15">
        <v>4667</v>
      </c>
      <c r="S91" s="16">
        <f t="shared" si="29"/>
        <v>4533</v>
      </c>
      <c r="T91" s="15">
        <v>394</v>
      </c>
      <c r="U91" s="15">
        <v>291</v>
      </c>
      <c r="V91" s="16">
        <f t="shared" si="30"/>
        <v>103</v>
      </c>
      <c r="W91" s="15">
        <v>2500</v>
      </c>
      <c r="X91" s="15">
        <v>55.56</v>
      </c>
      <c r="Y91" s="15"/>
      <c r="Z91" s="15">
        <v>0</v>
      </c>
      <c r="AA91" s="15">
        <v>0</v>
      </c>
      <c r="AB91" s="15">
        <v>97</v>
      </c>
      <c r="AC91" s="16">
        <f t="shared" si="31"/>
        <v>242.5</v>
      </c>
      <c r="AD91" s="17">
        <f t="shared" si="32"/>
        <v>0.10435850214855739</v>
      </c>
      <c r="AE91" s="17">
        <f t="shared" si="33"/>
        <v>1.4520846297448662</v>
      </c>
      <c r="AF91" s="17">
        <f t="shared" si="34"/>
        <v>-0.88457164518574682</v>
      </c>
      <c r="AG91" s="18">
        <f t="shared" si="35"/>
        <v>4.3248288736776601E-2</v>
      </c>
      <c r="AH91" s="18">
        <f t="shared" si="36"/>
        <v>-2.6345716451857466E-2</v>
      </c>
      <c r="AI91" s="18">
        <f t="shared" si="37"/>
        <v>5.9707903780068732E-2</v>
      </c>
      <c r="AJ91" s="18">
        <f t="shared" si="38"/>
        <v>0.25987972508591067</v>
      </c>
      <c r="AK91" s="6"/>
      <c r="AL91" s="6"/>
      <c r="AM91" s="6"/>
      <c r="AN91" s="6"/>
      <c r="AO91" s="41"/>
      <c r="AP91" s="42">
        <f t="shared" si="39"/>
        <v>209</v>
      </c>
      <c r="AQ91" s="42" t="str">
        <f t="shared" si="40"/>
        <v/>
      </c>
      <c r="AR91" s="41"/>
      <c r="AS91" s="42" t="str">
        <f t="shared" si="41"/>
        <v/>
      </c>
      <c r="AT91" s="45" t="s">
        <v>10434</v>
      </c>
    </row>
    <row r="92" spans="1:46" ht="15" customHeight="1" x14ac:dyDescent="0.3">
      <c r="A92" s="6" t="s">
        <v>9276</v>
      </c>
      <c r="B92" s="14">
        <v>2022</v>
      </c>
      <c r="C92" s="15">
        <v>330.02</v>
      </c>
      <c r="D92" s="15">
        <v>2.76</v>
      </c>
      <c r="E92" s="15"/>
      <c r="F92" s="15">
        <v>-5.96</v>
      </c>
      <c r="G92" s="15">
        <v>-4.07</v>
      </c>
      <c r="H92" s="15">
        <v>-4.07</v>
      </c>
      <c r="I92" s="15">
        <v>97.5</v>
      </c>
      <c r="J92" s="15">
        <v>53.63</v>
      </c>
      <c r="K92" s="15">
        <v>43.88</v>
      </c>
      <c r="L92" s="15">
        <v>26.49</v>
      </c>
      <c r="M92" s="15">
        <v>25.77</v>
      </c>
      <c r="N92" s="15">
        <v>0.72</v>
      </c>
      <c r="O92" s="15">
        <v>71.02</v>
      </c>
      <c r="P92" s="16">
        <f t="shared" si="28"/>
        <v>27.860000000000003</v>
      </c>
      <c r="Q92" s="15">
        <v>2.99</v>
      </c>
      <c r="R92" s="15">
        <v>0</v>
      </c>
      <c r="S92" s="16">
        <f t="shared" si="29"/>
        <v>-2.99</v>
      </c>
      <c r="T92" s="15">
        <v>-1.73</v>
      </c>
      <c r="U92" s="15">
        <v>0</v>
      </c>
      <c r="V92" s="16">
        <f t="shared" si="30"/>
        <v>-1.73</v>
      </c>
      <c r="W92" s="15">
        <v>1240.92</v>
      </c>
      <c r="X92" s="15">
        <v>-3.26</v>
      </c>
      <c r="Y92" s="15">
        <v>57.23</v>
      </c>
      <c r="Z92" s="15">
        <v>0</v>
      </c>
      <c r="AA92" s="15">
        <v>0</v>
      </c>
      <c r="AB92" s="15">
        <v>250</v>
      </c>
      <c r="AC92" s="16">
        <f t="shared" si="31"/>
        <v>310.23</v>
      </c>
      <c r="AD92" s="17">
        <f t="shared" si="32"/>
        <v>2.0811020566550256</v>
      </c>
      <c r="AE92" s="17">
        <f t="shared" si="33"/>
        <v>0</v>
      </c>
      <c r="AF92" s="17">
        <f t="shared" si="34"/>
        <v>0</v>
      </c>
      <c r="AG92" s="18">
        <f t="shared" si="35"/>
        <v>-4.174358974358975E-2</v>
      </c>
      <c r="AH92" s="18">
        <f t="shared" si="36"/>
        <v>-5.7307800619543797E-2</v>
      </c>
      <c r="AI92" s="18">
        <f t="shared" si="37"/>
        <v>-1.2332585903884615E-2</v>
      </c>
      <c r="AJ92" s="18">
        <f t="shared" si="38"/>
        <v>8.3631295073025875E-3</v>
      </c>
      <c r="AK92" s="6"/>
      <c r="AL92" s="6"/>
      <c r="AM92" s="6"/>
      <c r="AN92" s="6"/>
      <c r="AO92" s="41"/>
      <c r="AP92" s="42">
        <f t="shared" si="39"/>
        <v>-5.96</v>
      </c>
      <c r="AQ92" s="42" t="str">
        <f t="shared" si="40"/>
        <v/>
      </c>
      <c r="AR92" s="41"/>
      <c r="AS92" s="42" t="str">
        <f t="shared" si="41"/>
        <v/>
      </c>
      <c r="AT92" s="45" t="s">
        <v>10435</v>
      </c>
    </row>
    <row r="93" spans="1:46" ht="15" customHeight="1" x14ac:dyDescent="0.3">
      <c r="A93" s="6" t="s">
        <v>9276</v>
      </c>
      <c r="B93" s="14">
        <v>2023</v>
      </c>
      <c r="C93" s="15">
        <v>420.95</v>
      </c>
      <c r="D93" s="15">
        <v>11.9</v>
      </c>
      <c r="E93" s="15"/>
      <c r="F93" s="15">
        <v>-0.36</v>
      </c>
      <c r="G93" s="15">
        <v>0.23599999999999999</v>
      </c>
      <c r="H93" s="15">
        <v>0.23599999999999999</v>
      </c>
      <c r="I93" s="15">
        <v>131.94</v>
      </c>
      <c r="J93" s="15">
        <v>85.79</v>
      </c>
      <c r="K93" s="15">
        <v>46.15</v>
      </c>
      <c r="L93" s="15">
        <v>60.68</v>
      </c>
      <c r="M93" s="15">
        <v>59.92</v>
      </c>
      <c r="N93" s="15">
        <v>0.77</v>
      </c>
      <c r="O93" s="15">
        <v>71.25</v>
      </c>
      <c r="P93" s="16">
        <f t="shared" si="28"/>
        <v>25.870000000000005</v>
      </c>
      <c r="Q93" s="15">
        <v>9.07</v>
      </c>
      <c r="R93" s="15">
        <v>0</v>
      </c>
      <c r="S93" s="16">
        <f t="shared" si="29"/>
        <v>-9.07</v>
      </c>
      <c r="T93" s="15">
        <v>9.6300000000000008</v>
      </c>
      <c r="U93" s="15">
        <v>2.94</v>
      </c>
      <c r="V93" s="16">
        <f t="shared" si="30"/>
        <v>6.6900000000000013</v>
      </c>
      <c r="W93" s="15">
        <v>1240.92</v>
      </c>
      <c r="X93" s="15">
        <v>0.19</v>
      </c>
      <c r="Y93" s="15">
        <v>57.42</v>
      </c>
      <c r="Z93" s="15">
        <v>0</v>
      </c>
      <c r="AA93" s="15">
        <v>0</v>
      </c>
      <c r="AB93" s="15">
        <v>136</v>
      </c>
      <c r="AC93" s="16">
        <f t="shared" si="31"/>
        <v>168.76512</v>
      </c>
      <c r="AD93" s="17">
        <f t="shared" si="32"/>
        <v>1.4317423230974633</v>
      </c>
      <c r="AE93" s="17">
        <f t="shared" si="33"/>
        <v>0</v>
      </c>
      <c r="AF93" s="17">
        <f t="shared" si="34"/>
        <v>0</v>
      </c>
      <c r="AG93" s="18">
        <f t="shared" si="35"/>
        <v>1.7886918296195239E-3</v>
      </c>
      <c r="AH93" s="18">
        <f t="shared" si="36"/>
        <v>3.3122807017543858E-3</v>
      </c>
      <c r="AI93" s="18">
        <f t="shared" si="37"/>
        <v>5.606366551847013E-4</v>
      </c>
      <c r="AJ93" s="18">
        <f t="shared" si="38"/>
        <v>2.8269390663974346E-2</v>
      </c>
      <c r="AK93" s="6"/>
      <c r="AL93" s="6"/>
      <c r="AM93" s="6"/>
      <c r="AN93" s="6"/>
      <c r="AO93" s="41"/>
      <c r="AP93" s="42">
        <f t="shared" si="39"/>
        <v>-0.36</v>
      </c>
      <c r="AQ93" s="42" t="str">
        <f t="shared" si="40"/>
        <v/>
      </c>
      <c r="AR93" s="41"/>
      <c r="AS93" s="42" t="str">
        <f t="shared" si="41"/>
        <v/>
      </c>
      <c r="AT93" s="45" t="s">
        <v>10436</v>
      </c>
    </row>
    <row r="94" spans="1:46" ht="15" customHeight="1" x14ac:dyDescent="0.3">
      <c r="A94" s="6" t="s">
        <v>9276</v>
      </c>
      <c r="B94" s="14">
        <v>2024</v>
      </c>
      <c r="C94" s="15">
        <v>2122.33</v>
      </c>
      <c r="D94" s="15">
        <v>24.65</v>
      </c>
      <c r="E94" s="15"/>
      <c r="F94" s="15">
        <v>0.52</v>
      </c>
      <c r="G94" s="15">
        <v>0.78400000000000003</v>
      </c>
      <c r="H94" s="15">
        <v>0.78400000000000003</v>
      </c>
      <c r="I94" s="15">
        <v>86.59</v>
      </c>
      <c r="J94" s="15">
        <v>39.58</v>
      </c>
      <c r="K94" s="15">
        <v>47</v>
      </c>
      <c r="L94" s="15">
        <v>14.55</v>
      </c>
      <c r="M94" s="15">
        <v>13.71</v>
      </c>
      <c r="N94" s="15">
        <v>0.84</v>
      </c>
      <c r="O94" s="15">
        <v>72.040000000000006</v>
      </c>
      <c r="P94" s="16">
        <f t="shared" si="28"/>
        <v>25.869999999999997</v>
      </c>
      <c r="Q94" s="15">
        <v>10.77</v>
      </c>
      <c r="R94" s="15">
        <v>0.1</v>
      </c>
      <c r="S94" s="16">
        <f t="shared" si="29"/>
        <v>-10.67</v>
      </c>
      <c r="T94" s="15">
        <v>3.43</v>
      </c>
      <c r="U94" s="15">
        <v>2.33</v>
      </c>
      <c r="V94" s="16">
        <f t="shared" si="30"/>
        <v>1.1000000000000001</v>
      </c>
      <c r="W94" s="15">
        <v>1240.92</v>
      </c>
      <c r="X94" s="15">
        <v>0.63</v>
      </c>
      <c r="Y94" s="15">
        <v>58.05</v>
      </c>
      <c r="Z94" s="15">
        <v>0</v>
      </c>
      <c r="AA94" s="15">
        <v>0</v>
      </c>
      <c r="AB94" s="15">
        <v>91</v>
      </c>
      <c r="AC94" s="16">
        <f t="shared" si="31"/>
        <v>112.92372</v>
      </c>
      <c r="AD94" s="17">
        <f t="shared" si="32"/>
        <v>2.8869438366156088</v>
      </c>
      <c r="AE94" s="17">
        <f t="shared" si="33"/>
        <v>1.1548677676406051E-3</v>
      </c>
      <c r="AF94" s="17">
        <f t="shared" si="34"/>
        <v>1.3881177123820098E-3</v>
      </c>
      <c r="AG94" s="18">
        <f t="shared" si="35"/>
        <v>9.0541632983023451E-3</v>
      </c>
      <c r="AH94" s="18">
        <f t="shared" si="36"/>
        <v>1.0882842865074958E-2</v>
      </c>
      <c r="AI94" s="18">
        <f t="shared" si="37"/>
        <v>3.6940532339457111E-4</v>
      </c>
      <c r="AJ94" s="18">
        <f t="shared" si="38"/>
        <v>1.1614593394995123E-2</v>
      </c>
      <c r="AK94" s="6"/>
      <c r="AL94" s="6"/>
      <c r="AM94" s="6"/>
      <c r="AN94" s="6"/>
      <c r="AO94" s="41"/>
      <c r="AP94" s="42">
        <f t="shared" si="39"/>
        <v>0.52</v>
      </c>
      <c r="AQ94" s="42" t="str">
        <f t="shared" si="40"/>
        <v/>
      </c>
      <c r="AR94" s="41"/>
      <c r="AS94" s="42" t="str">
        <f t="shared" si="41"/>
        <v/>
      </c>
      <c r="AT94" s="45" t="s">
        <v>10437</v>
      </c>
    </row>
    <row r="95" spans="1:46" ht="15" customHeight="1" x14ac:dyDescent="0.3">
      <c r="A95" s="6"/>
      <c r="B95" s="14"/>
      <c r="C95" s="15"/>
      <c r="D95" s="15"/>
      <c r="E95" s="15"/>
      <c r="F95" s="15"/>
      <c r="G95" s="15"/>
      <c r="H95" s="15"/>
      <c r="I95" s="15"/>
      <c r="J95" s="15"/>
      <c r="K95" s="15"/>
      <c r="L95" s="15"/>
      <c r="M95" s="15"/>
      <c r="N95" s="15"/>
      <c r="O95" s="15"/>
      <c r="P95" s="16">
        <f t="shared" si="28"/>
        <v>0</v>
      </c>
      <c r="Q95" s="15"/>
      <c r="R95" s="15"/>
      <c r="S95" s="16">
        <f t="shared" si="29"/>
        <v>0</v>
      </c>
      <c r="T95" s="15"/>
      <c r="U95" s="15"/>
      <c r="V95" s="16">
        <f t="shared" si="30"/>
        <v>0</v>
      </c>
      <c r="W95" s="15"/>
      <c r="X95" s="15"/>
      <c r="Y95" s="15"/>
      <c r="Z95" s="15"/>
      <c r="AA95" s="15"/>
      <c r="AB95" s="15"/>
      <c r="AC95" s="16">
        <f t="shared" si="31"/>
        <v>0</v>
      </c>
      <c r="AD95" s="17" t="str">
        <f t="shared" si="32"/>
        <v/>
      </c>
      <c r="AE95" s="17" t="str">
        <f t="shared" si="33"/>
        <v/>
      </c>
      <c r="AF95" s="17" t="str">
        <f t="shared" si="34"/>
        <v/>
      </c>
      <c r="AG95" s="18" t="str">
        <f t="shared" si="35"/>
        <v/>
      </c>
      <c r="AH95" s="18" t="str">
        <f t="shared" si="36"/>
        <v/>
      </c>
      <c r="AI95" s="18" t="str">
        <f t="shared" si="37"/>
        <v/>
      </c>
      <c r="AJ95" s="18" t="str">
        <f t="shared" si="38"/>
        <v/>
      </c>
      <c r="AK95" s="6"/>
      <c r="AL95" s="6"/>
      <c r="AM95" s="6"/>
      <c r="AN95" s="6"/>
      <c r="AO95" s="41"/>
      <c r="AP95" s="42" t="str">
        <f t="shared" si="39"/>
        <v/>
      </c>
      <c r="AQ95" s="42" t="str">
        <f t="shared" si="40"/>
        <v/>
      </c>
      <c r="AR95" s="41"/>
      <c r="AS95" s="42" t="str">
        <f t="shared" si="41"/>
        <v/>
      </c>
      <c r="AT95" s="45"/>
    </row>
    <row r="96" spans="1:46" ht="15" customHeight="1" x14ac:dyDescent="0.3">
      <c r="A96" s="6"/>
      <c r="B96" s="14"/>
      <c r="C96" s="15"/>
      <c r="D96" s="15"/>
      <c r="E96" s="15"/>
      <c r="F96" s="15"/>
      <c r="G96" s="15"/>
      <c r="H96" s="15"/>
      <c r="I96" s="15"/>
      <c r="J96" s="15"/>
      <c r="K96" s="15"/>
      <c r="L96" s="15"/>
      <c r="M96" s="15"/>
      <c r="N96" s="15"/>
      <c r="O96" s="15"/>
      <c r="P96" s="16">
        <f t="shared" si="28"/>
        <v>0</v>
      </c>
      <c r="Q96" s="15"/>
      <c r="R96" s="15"/>
      <c r="S96" s="16">
        <f t="shared" si="29"/>
        <v>0</v>
      </c>
      <c r="T96" s="15"/>
      <c r="U96" s="15"/>
      <c r="V96" s="16">
        <f t="shared" si="30"/>
        <v>0</v>
      </c>
      <c r="W96" s="15"/>
      <c r="X96" s="15"/>
      <c r="Y96" s="15"/>
      <c r="Z96" s="15"/>
      <c r="AA96" s="15"/>
      <c r="AB96" s="15"/>
      <c r="AC96" s="16">
        <f t="shared" si="31"/>
        <v>0</v>
      </c>
      <c r="AD96" s="17" t="str">
        <f t="shared" si="32"/>
        <v/>
      </c>
      <c r="AE96" s="17" t="str">
        <f t="shared" si="33"/>
        <v/>
      </c>
      <c r="AF96" s="17" t="str">
        <f t="shared" si="34"/>
        <v/>
      </c>
      <c r="AG96" s="18" t="str">
        <f t="shared" si="35"/>
        <v/>
      </c>
      <c r="AH96" s="18" t="str">
        <f t="shared" si="36"/>
        <v/>
      </c>
      <c r="AI96" s="18" t="str">
        <f t="shared" si="37"/>
        <v/>
      </c>
      <c r="AJ96" s="18" t="str">
        <f t="shared" si="38"/>
        <v/>
      </c>
      <c r="AK96" s="6"/>
      <c r="AL96" s="6"/>
      <c r="AM96" s="6"/>
      <c r="AN96" s="6"/>
      <c r="AO96" s="41"/>
      <c r="AP96" s="42" t="str">
        <f t="shared" si="39"/>
        <v/>
      </c>
      <c r="AQ96" s="42" t="str">
        <f t="shared" si="40"/>
        <v/>
      </c>
      <c r="AR96" s="41"/>
      <c r="AS96" s="42" t="str">
        <f t="shared" si="41"/>
        <v/>
      </c>
      <c r="AT96" s="45"/>
    </row>
    <row r="97" spans="1:46" ht="15" customHeight="1" x14ac:dyDescent="0.3">
      <c r="A97" s="6"/>
      <c r="B97" s="14"/>
      <c r="C97" s="15"/>
      <c r="D97" s="15"/>
      <c r="E97" s="15"/>
      <c r="F97" s="15"/>
      <c r="G97" s="15"/>
      <c r="H97" s="15"/>
      <c r="I97" s="15"/>
      <c r="J97" s="15"/>
      <c r="K97" s="15"/>
      <c r="L97" s="15"/>
      <c r="M97" s="15"/>
      <c r="N97" s="15"/>
      <c r="O97" s="15"/>
      <c r="P97" s="16">
        <f t="shared" si="28"/>
        <v>0</v>
      </c>
      <c r="Q97" s="15"/>
      <c r="R97" s="15"/>
      <c r="S97" s="16">
        <f t="shared" si="29"/>
        <v>0</v>
      </c>
      <c r="T97" s="15"/>
      <c r="U97" s="15"/>
      <c r="V97" s="16">
        <f t="shared" si="30"/>
        <v>0</v>
      </c>
      <c r="W97" s="15"/>
      <c r="X97" s="15"/>
      <c r="Y97" s="15"/>
      <c r="Z97" s="15"/>
      <c r="AA97" s="15"/>
      <c r="AB97" s="15"/>
      <c r="AC97" s="16">
        <f t="shared" si="31"/>
        <v>0</v>
      </c>
      <c r="AD97" s="17" t="str">
        <f t="shared" si="32"/>
        <v/>
      </c>
      <c r="AE97" s="17" t="str">
        <f t="shared" si="33"/>
        <v/>
      </c>
      <c r="AF97" s="17" t="str">
        <f t="shared" si="34"/>
        <v/>
      </c>
      <c r="AG97" s="18" t="str">
        <f t="shared" si="35"/>
        <v/>
      </c>
      <c r="AH97" s="18" t="str">
        <f t="shared" si="36"/>
        <v/>
      </c>
      <c r="AI97" s="18" t="str">
        <f t="shared" si="37"/>
        <v/>
      </c>
      <c r="AJ97" s="18" t="str">
        <f t="shared" si="38"/>
        <v/>
      </c>
      <c r="AK97" s="6"/>
      <c r="AL97" s="6"/>
      <c r="AM97" s="6"/>
      <c r="AN97" s="6"/>
      <c r="AO97" s="41"/>
      <c r="AP97" s="42" t="str">
        <f t="shared" si="39"/>
        <v/>
      </c>
      <c r="AQ97" s="42" t="str">
        <f t="shared" si="40"/>
        <v/>
      </c>
      <c r="AR97" s="41"/>
      <c r="AS97" s="42" t="str">
        <f t="shared" si="41"/>
        <v/>
      </c>
      <c r="AT97" s="45"/>
    </row>
    <row r="98" spans="1:46" ht="15" customHeight="1" x14ac:dyDescent="0.3">
      <c r="A98" s="6"/>
      <c r="B98" s="14"/>
      <c r="C98" s="15"/>
      <c r="D98" s="15"/>
      <c r="E98" s="15"/>
      <c r="F98" s="15"/>
      <c r="G98" s="15"/>
      <c r="H98" s="15"/>
      <c r="I98" s="15"/>
      <c r="J98" s="15"/>
      <c r="K98" s="15"/>
      <c r="L98" s="15"/>
      <c r="M98" s="15"/>
      <c r="N98" s="15"/>
      <c r="O98" s="15"/>
      <c r="P98" s="16">
        <f t="shared" ref="P98:P129" si="42">IFERROR(J98-M98,"")</f>
        <v>0</v>
      </c>
      <c r="Q98" s="15"/>
      <c r="R98" s="15"/>
      <c r="S98" s="16">
        <f t="shared" ref="S98:S129" si="43">IFERROR(R98-Q98,"")</f>
        <v>0</v>
      </c>
      <c r="T98" s="15"/>
      <c r="U98" s="15"/>
      <c r="V98" s="16">
        <f t="shared" ref="V98:V129" si="44">IFERROR(T98-U98,"")</f>
        <v>0</v>
      </c>
      <c r="W98" s="15"/>
      <c r="X98" s="15"/>
      <c r="Y98" s="15"/>
      <c r="Z98" s="15"/>
      <c r="AA98" s="15"/>
      <c r="AB98" s="15"/>
      <c r="AC98" s="16">
        <f t="shared" ref="AC98:AC129" si="45">IFERROR(W98*AB98/1000,"")</f>
        <v>0</v>
      </c>
      <c r="AD98" s="17" t="str">
        <f t="shared" ref="AD98:AD129" si="46">IFERROR(J98/M98,"")</f>
        <v/>
      </c>
      <c r="AE98" s="17" t="str">
        <f t="shared" ref="AE98:AE129" si="47">IFERROR(R98/I98,"")</f>
        <v/>
      </c>
      <c r="AF98" s="17" t="str">
        <f t="shared" ref="AF98:AF129" si="48">IFERROR(R98/O98,"")</f>
        <v/>
      </c>
      <c r="AG98" s="18" t="str">
        <f t="shared" ref="AG98:AG129" si="49">IFERROR(G98/I98,"")</f>
        <v/>
      </c>
      <c r="AH98" s="18" t="str">
        <f t="shared" ref="AH98:AH129" si="50">IFERROR(G98/O98,"")</f>
        <v/>
      </c>
      <c r="AI98" s="18" t="str">
        <f t="shared" ref="AI98:AI129" si="51">IFERROR(G98/C98,"")</f>
        <v/>
      </c>
      <c r="AJ98" s="18" t="str">
        <f t="shared" ref="AJ98:AJ129" si="52">IFERROR(D98/C98,"")</f>
        <v/>
      </c>
      <c r="AK98" s="6"/>
      <c r="AL98" s="6"/>
      <c r="AM98" s="6"/>
      <c r="AN98" s="6"/>
      <c r="AO98" s="41"/>
      <c r="AP98" s="42" t="str">
        <f t="shared" ref="AP98:AP129" si="53">IFERROR(IF(AND(NOT(ISNUMBER(F98)),NOT(ISNUMBER(AO98))),"",F98+AO98),"")</f>
        <v/>
      </c>
      <c r="AQ98" s="42" t="str">
        <f t="shared" ref="AQ98:AQ129" si="54">IFERROR(IF(OR(NOT(ISNUMBER(E98)),NOT(ISNUMBER(AP98))),"",E98-AP98),"")</f>
        <v/>
      </c>
      <c r="AR98" s="41"/>
      <c r="AS98" s="42" t="str">
        <f t="shared" ref="AS98:AS129" si="55">IFERROR(IF(OR(NOT(ISNUMBER(AR98)),NOT(ISNUMBER(S98))),"",AR98-S98),"")</f>
        <v/>
      </c>
      <c r="AT98" s="45"/>
    </row>
    <row r="99" spans="1:46" ht="15" customHeight="1" x14ac:dyDescent="0.3">
      <c r="A99" s="6"/>
      <c r="B99" s="14"/>
      <c r="C99" s="15"/>
      <c r="D99" s="15"/>
      <c r="E99" s="15"/>
      <c r="F99" s="15"/>
      <c r="G99" s="15"/>
      <c r="H99" s="15"/>
      <c r="I99" s="15"/>
      <c r="J99" s="15"/>
      <c r="K99" s="15"/>
      <c r="L99" s="15"/>
      <c r="M99" s="15"/>
      <c r="N99" s="15"/>
      <c r="O99" s="15"/>
      <c r="P99" s="16">
        <f t="shared" si="42"/>
        <v>0</v>
      </c>
      <c r="Q99" s="15"/>
      <c r="R99" s="15"/>
      <c r="S99" s="16">
        <f t="shared" si="43"/>
        <v>0</v>
      </c>
      <c r="T99" s="15"/>
      <c r="U99" s="15"/>
      <c r="V99" s="16">
        <f t="shared" si="44"/>
        <v>0</v>
      </c>
      <c r="W99" s="15"/>
      <c r="X99" s="15"/>
      <c r="Y99" s="15"/>
      <c r="Z99" s="15"/>
      <c r="AA99" s="15"/>
      <c r="AB99" s="15"/>
      <c r="AC99" s="16">
        <f t="shared" si="45"/>
        <v>0</v>
      </c>
      <c r="AD99" s="17" t="str">
        <f t="shared" si="46"/>
        <v/>
      </c>
      <c r="AE99" s="17" t="str">
        <f t="shared" si="47"/>
        <v/>
      </c>
      <c r="AF99" s="17" t="str">
        <f t="shared" si="48"/>
        <v/>
      </c>
      <c r="AG99" s="18" t="str">
        <f t="shared" si="49"/>
        <v/>
      </c>
      <c r="AH99" s="18" t="str">
        <f t="shared" si="50"/>
        <v/>
      </c>
      <c r="AI99" s="18" t="str">
        <f t="shared" si="51"/>
        <v/>
      </c>
      <c r="AJ99" s="18" t="str">
        <f t="shared" si="52"/>
        <v/>
      </c>
      <c r="AK99" s="6"/>
      <c r="AL99" s="6"/>
      <c r="AM99" s="6"/>
      <c r="AN99" s="6"/>
      <c r="AO99" s="41"/>
      <c r="AP99" s="42" t="str">
        <f t="shared" si="53"/>
        <v/>
      </c>
      <c r="AQ99" s="42" t="str">
        <f t="shared" si="54"/>
        <v/>
      </c>
      <c r="AR99" s="41"/>
      <c r="AS99" s="42" t="str">
        <f t="shared" si="55"/>
        <v/>
      </c>
      <c r="AT99" s="45"/>
    </row>
    <row r="100" spans="1:46" ht="15" customHeight="1" x14ac:dyDescent="0.3">
      <c r="A100" s="6"/>
      <c r="B100" s="14"/>
      <c r="C100" s="15"/>
      <c r="D100" s="15"/>
      <c r="E100" s="15"/>
      <c r="F100" s="15"/>
      <c r="G100" s="15"/>
      <c r="H100" s="15"/>
      <c r="I100" s="15"/>
      <c r="J100" s="15"/>
      <c r="K100" s="15"/>
      <c r="L100" s="15"/>
      <c r="M100" s="15"/>
      <c r="N100" s="15"/>
      <c r="O100" s="15"/>
      <c r="P100" s="16">
        <f t="shared" si="42"/>
        <v>0</v>
      </c>
      <c r="Q100" s="15"/>
      <c r="R100" s="15"/>
      <c r="S100" s="16">
        <f t="shared" si="43"/>
        <v>0</v>
      </c>
      <c r="T100" s="15"/>
      <c r="U100" s="15"/>
      <c r="V100" s="16">
        <f t="shared" si="44"/>
        <v>0</v>
      </c>
      <c r="W100" s="15"/>
      <c r="X100" s="15"/>
      <c r="Y100" s="15"/>
      <c r="Z100" s="15"/>
      <c r="AA100" s="15"/>
      <c r="AB100" s="15"/>
      <c r="AC100" s="16">
        <f t="shared" si="45"/>
        <v>0</v>
      </c>
      <c r="AD100" s="17" t="str">
        <f t="shared" si="46"/>
        <v/>
      </c>
      <c r="AE100" s="17" t="str">
        <f t="shared" si="47"/>
        <v/>
      </c>
      <c r="AF100" s="17" t="str">
        <f t="shared" si="48"/>
        <v/>
      </c>
      <c r="AG100" s="18" t="str">
        <f t="shared" si="49"/>
        <v/>
      </c>
      <c r="AH100" s="18" t="str">
        <f t="shared" si="50"/>
        <v/>
      </c>
      <c r="AI100" s="18" t="str">
        <f t="shared" si="51"/>
        <v/>
      </c>
      <c r="AJ100" s="18" t="str">
        <f t="shared" si="52"/>
        <v/>
      </c>
      <c r="AK100" s="6"/>
      <c r="AL100" s="6"/>
      <c r="AM100" s="6"/>
      <c r="AN100" s="6"/>
      <c r="AO100" s="41"/>
      <c r="AP100" s="42" t="str">
        <f t="shared" si="53"/>
        <v/>
      </c>
      <c r="AQ100" s="42" t="str">
        <f t="shared" si="54"/>
        <v/>
      </c>
      <c r="AR100" s="41"/>
      <c r="AS100" s="42" t="str">
        <f t="shared" si="55"/>
        <v/>
      </c>
      <c r="AT100" s="45"/>
    </row>
    <row r="101" spans="1:46" ht="15" customHeight="1" x14ac:dyDescent="0.3">
      <c r="A101" s="6"/>
      <c r="B101" s="14"/>
      <c r="C101" s="15"/>
      <c r="D101" s="15"/>
      <c r="E101" s="15"/>
      <c r="F101" s="15"/>
      <c r="G101" s="15"/>
      <c r="H101" s="15"/>
      <c r="I101" s="15"/>
      <c r="J101" s="15"/>
      <c r="K101" s="15"/>
      <c r="L101" s="15"/>
      <c r="M101" s="15"/>
      <c r="N101" s="15"/>
      <c r="O101" s="15"/>
      <c r="P101" s="16">
        <f t="shared" si="42"/>
        <v>0</v>
      </c>
      <c r="Q101" s="15"/>
      <c r="R101" s="15"/>
      <c r="S101" s="16">
        <f t="shared" si="43"/>
        <v>0</v>
      </c>
      <c r="T101" s="15"/>
      <c r="U101" s="15"/>
      <c r="V101" s="16">
        <f t="shared" si="44"/>
        <v>0</v>
      </c>
      <c r="W101" s="15"/>
      <c r="X101" s="15"/>
      <c r="Y101" s="15"/>
      <c r="Z101" s="15"/>
      <c r="AA101" s="15"/>
      <c r="AB101" s="15"/>
      <c r="AC101" s="16">
        <f t="shared" si="45"/>
        <v>0</v>
      </c>
      <c r="AD101" s="17" t="str">
        <f t="shared" si="46"/>
        <v/>
      </c>
      <c r="AE101" s="17" t="str">
        <f t="shared" si="47"/>
        <v/>
      </c>
      <c r="AF101" s="17" t="str">
        <f t="shared" si="48"/>
        <v/>
      </c>
      <c r="AG101" s="18" t="str">
        <f t="shared" si="49"/>
        <v/>
      </c>
      <c r="AH101" s="18" t="str">
        <f t="shared" si="50"/>
        <v/>
      </c>
      <c r="AI101" s="18" t="str">
        <f t="shared" si="51"/>
        <v/>
      </c>
      <c r="AJ101" s="18" t="str">
        <f t="shared" si="52"/>
        <v/>
      </c>
      <c r="AK101" s="6"/>
      <c r="AL101" s="6"/>
      <c r="AM101" s="6"/>
      <c r="AN101" s="6"/>
      <c r="AO101" s="41"/>
      <c r="AP101" s="42" t="str">
        <f t="shared" si="53"/>
        <v/>
      </c>
      <c r="AQ101" s="42" t="str">
        <f t="shared" si="54"/>
        <v/>
      </c>
      <c r="AR101" s="41"/>
      <c r="AS101" s="42" t="str">
        <f t="shared" si="55"/>
        <v/>
      </c>
      <c r="AT101" s="45"/>
    </row>
    <row r="102" spans="1:46" ht="15" customHeight="1" x14ac:dyDescent="0.3">
      <c r="A102" s="6"/>
      <c r="B102" s="14"/>
      <c r="C102" s="15"/>
      <c r="D102" s="15"/>
      <c r="E102" s="15"/>
      <c r="F102" s="15"/>
      <c r="G102" s="15"/>
      <c r="H102" s="15"/>
      <c r="I102" s="15"/>
      <c r="J102" s="15"/>
      <c r="K102" s="15"/>
      <c r="L102" s="15"/>
      <c r="M102" s="15"/>
      <c r="N102" s="15"/>
      <c r="O102" s="15"/>
      <c r="P102" s="16">
        <f t="shared" si="42"/>
        <v>0</v>
      </c>
      <c r="Q102" s="15"/>
      <c r="R102" s="15"/>
      <c r="S102" s="16">
        <f t="shared" si="43"/>
        <v>0</v>
      </c>
      <c r="T102" s="15"/>
      <c r="U102" s="15"/>
      <c r="V102" s="16">
        <f t="shared" si="44"/>
        <v>0</v>
      </c>
      <c r="W102" s="15"/>
      <c r="X102" s="15"/>
      <c r="Y102" s="15"/>
      <c r="Z102" s="15"/>
      <c r="AA102" s="15"/>
      <c r="AB102" s="15"/>
      <c r="AC102" s="16">
        <f t="shared" si="45"/>
        <v>0</v>
      </c>
      <c r="AD102" s="17" t="str">
        <f t="shared" si="46"/>
        <v/>
      </c>
      <c r="AE102" s="17" t="str">
        <f t="shared" si="47"/>
        <v/>
      </c>
      <c r="AF102" s="17" t="str">
        <f t="shared" si="48"/>
        <v/>
      </c>
      <c r="AG102" s="18" t="str">
        <f t="shared" si="49"/>
        <v/>
      </c>
      <c r="AH102" s="18" t="str">
        <f t="shared" si="50"/>
        <v/>
      </c>
      <c r="AI102" s="18" t="str">
        <f t="shared" si="51"/>
        <v/>
      </c>
      <c r="AJ102" s="18" t="str">
        <f t="shared" si="52"/>
        <v/>
      </c>
      <c r="AK102" s="6"/>
      <c r="AL102" s="6"/>
      <c r="AM102" s="6"/>
      <c r="AN102" s="6"/>
      <c r="AO102" s="41"/>
      <c r="AP102" s="42" t="str">
        <f t="shared" si="53"/>
        <v/>
      </c>
      <c r="AQ102" s="42" t="str">
        <f t="shared" si="54"/>
        <v/>
      </c>
      <c r="AR102" s="41"/>
      <c r="AS102" s="42" t="str">
        <f t="shared" si="55"/>
        <v/>
      </c>
      <c r="AT102" s="45"/>
    </row>
    <row r="103" spans="1:46" ht="15" customHeight="1" x14ac:dyDescent="0.3">
      <c r="A103" s="6"/>
      <c r="B103" s="14"/>
      <c r="C103" s="15"/>
      <c r="D103" s="15"/>
      <c r="E103" s="15"/>
      <c r="F103" s="15"/>
      <c r="G103" s="15"/>
      <c r="H103" s="15"/>
      <c r="I103" s="15"/>
      <c r="J103" s="15"/>
      <c r="K103" s="15"/>
      <c r="L103" s="15"/>
      <c r="M103" s="15"/>
      <c r="N103" s="15"/>
      <c r="O103" s="15"/>
      <c r="P103" s="16">
        <f t="shared" si="42"/>
        <v>0</v>
      </c>
      <c r="Q103" s="15"/>
      <c r="R103" s="15"/>
      <c r="S103" s="16">
        <f t="shared" si="43"/>
        <v>0</v>
      </c>
      <c r="T103" s="15"/>
      <c r="U103" s="15"/>
      <c r="V103" s="16">
        <f t="shared" si="44"/>
        <v>0</v>
      </c>
      <c r="W103" s="15"/>
      <c r="X103" s="15"/>
      <c r="Y103" s="15"/>
      <c r="Z103" s="15"/>
      <c r="AA103" s="15"/>
      <c r="AB103" s="15"/>
      <c r="AC103" s="16">
        <f t="shared" si="45"/>
        <v>0</v>
      </c>
      <c r="AD103" s="17" t="str">
        <f t="shared" si="46"/>
        <v/>
      </c>
      <c r="AE103" s="17" t="str">
        <f t="shared" si="47"/>
        <v/>
      </c>
      <c r="AF103" s="17" t="str">
        <f t="shared" si="48"/>
        <v/>
      </c>
      <c r="AG103" s="18" t="str">
        <f t="shared" si="49"/>
        <v/>
      </c>
      <c r="AH103" s="18" t="str">
        <f t="shared" si="50"/>
        <v/>
      </c>
      <c r="AI103" s="18" t="str">
        <f t="shared" si="51"/>
        <v/>
      </c>
      <c r="AJ103" s="18" t="str">
        <f t="shared" si="52"/>
        <v/>
      </c>
      <c r="AK103" s="6"/>
      <c r="AL103" s="6"/>
      <c r="AM103" s="6"/>
      <c r="AN103" s="6"/>
      <c r="AO103" s="41"/>
      <c r="AP103" s="42" t="str">
        <f t="shared" si="53"/>
        <v/>
      </c>
      <c r="AQ103" s="42" t="str">
        <f t="shared" si="54"/>
        <v/>
      </c>
      <c r="AR103" s="41"/>
      <c r="AS103" s="42" t="str">
        <f t="shared" si="55"/>
        <v/>
      </c>
      <c r="AT103" s="45"/>
    </row>
    <row r="104" spans="1:46" ht="15" customHeight="1" x14ac:dyDescent="0.3">
      <c r="A104" s="6"/>
      <c r="B104" s="14"/>
      <c r="C104" s="15"/>
      <c r="D104" s="15"/>
      <c r="E104" s="15"/>
      <c r="F104" s="15"/>
      <c r="G104" s="15"/>
      <c r="H104" s="15"/>
      <c r="I104" s="15"/>
      <c r="J104" s="15"/>
      <c r="K104" s="15"/>
      <c r="L104" s="15"/>
      <c r="M104" s="15"/>
      <c r="N104" s="15"/>
      <c r="O104" s="15"/>
      <c r="P104" s="16">
        <f t="shared" si="42"/>
        <v>0</v>
      </c>
      <c r="Q104" s="15"/>
      <c r="R104" s="15"/>
      <c r="S104" s="16">
        <f t="shared" si="43"/>
        <v>0</v>
      </c>
      <c r="T104" s="15"/>
      <c r="U104" s="15"/>
      <c r="V104" s="16">
        <f t="shared" si="44"/>
        <v>0</v>
      </c>
      <c r="W104" s="15"/>
      <c r="X104" s="15"/>
      <c r="Y104" s="15"/>
      <c r="Z104" s="15"/>
      <c r="AA104" s="15"/>
      <c r="AB104" s="15"/>
      <c r="AC104" s="16">
        <f t="shared" si="45"/>
        <v>0</v>
      </c>
      <c r="AD104" s="17" t="str">
        <f t="shared" si="46"/>
        <v/>
      </c>
      <c r="AE104" s="17" t="str">
        <f t="shared" si="47"/>
        <v/>
      </c>
      <c r="AF104" s="17" t="str">
        <f t="shared" si="48"/>
        <v/>
      </c>
      <c r="AG104" s="18" t="str">
        <f t="shared" si="49"/>
        <v/>
      </c>
      <c r="AH104" s="18" t="str">
        <f t="shared" si="50"/>
        <v/>
      </c>
      <c r="AI104" s="18" t="str">
        <f t="shared" si="51"/>
        <v/>
      </c>
      <c r="AJ104" s="18" t="str">
        <f t="shared" si="52"/>
        <v/>
      </c>
      <c r="AK104" s="6"/>
      <c r="AL104" s="6"/>
      <c r="AM104" s="6"/>
      <c r="AN104" s="6"/>
      <c r="AO104" s="41"/>
      <c r="AP104" s="42" t="str">
        <f t="shared" si="53"/>
        <v/>
      </c>
      <c r="AQ104" s="42" t="str">
        <f t="shared" si="54"/>
        <v/>
      </c>
      <c r="AR104" s="41"/>
      <c r="AS104" s="42" t="str">
        <f t="shared" si="55"/>
        <v/>
      </c>
      <c r="AT104" s="45"/>
    </row>
    <row r="105" spans="1:46" ht="15" customHeight="1" x14ac:dyDescent="0.3">
      <c r="A105" s="6"/>
      <c r="B105" s="14"/>
      <c r="C105" s="15"/>
      <c r="D105" s="15"/>
      <c r="E105" s="15"/>
      <c r="F105" s="15"/>
      <c r="G105" s="15"/>
      <c r="H105" s="15"/>
      <c r="I105" s="15"/>
      <c r="J105" s="15"/>
      <c r="K105" s="15"/>
      <c r="L105" s="15"/>
      <c r="M105" s="15"/>
      <c r="N105" s="15"/>
      <c r="O105" s="15"/>
      <c r="P105" s="16">
        <f t="shared" si="42"/>
        <v>0</v>
      </c>
      <c r="Q105" s="15"/>
      <c r="R105" s="15"/>
      <c r="S105" s="16">
        <f t="shared" si="43"/>
        <v>0</v>
      </c>
      <c r="T105" s="15"/>
      <c r="U105" s="15"/>
      <c r="V105" s="16">
        <f t="shared" si="44"/>
        <v>0</v>
      </c>
      <c r="W105" s="15"/>
      <c r="X105" s="15"/>
      <c r="Y105" s="15"/>
      <c r="Z105" s="15"/>
      <c r="AA105" s="15"/>
      <c r="AB105" s="15"/>
      <c r="AC105" s="16">
        <f t="shared" si="45"/>
        <v>0</v>
      </c>
      <c r="AD105" s="17" t="str">
        <f t="shared" si="46"/>
        <v/>
      </c>
      <c r="AE105" s="17" t="str">
        <f t="shared" si="47"/>
        <v/>
      </c>
      <c r="AF105" s="17" t="str">
        <f t="shared" si="48"/>
        <v/>
      </c>
      <c r="AG105" s="18" t="str">
        <f t="shared" si="49"/>
        <v/>
      </c>
      <c r="AH105" s="18" t="str">
        <f t="shared" si="50"/>
        <v/>
      </c>
      <c r="AI105" s="18" t="str">
        <f t="shared" si="51"/>
        <v/>
      </c>
      <c r="AJ105" s="18" t="str">
        <f t="shared" si="52"/>
        <v/>
      </c>
      <c r="AK105" s="6"/>
      <c r="AL105" s="6"/>
      <c r="AM105" s="6"/>
      <c r="AN105" s="6"/>
      <c r="AO105" s="41"/>
      <c r="AP105" s="42" t="str">
        <f t="shared" si="53"/>
        <v/>
      </c>
      <c r="AQ105" s="42" t="str">
        <f t="shared" si="54"/>
        <v/>
      </c>
      <c r="AR105" s="41"/>
      <c r="AS105" s="42" t="str">
        <f t="shared" si="55"/>
        <v/>
      </c>
      <c r="AT105" s="45"/>
    </row>
    <row r="106" spans="1:46" ht="15" customHeight="1" x14ac:dyDescent="0.3">
      <c r="A106" s="6"/>
      <c r="B106" s="14"/>
      <c r="C106" s="15"/>
      <c r="D106" s="15"/>
      <c r="E106" s="15"/>
      <c r="F106" s="15"/>
      <c r="G106" s="15"/>
      <c r="H106" s="15"/>
      <c r="I106" s="15"/>
      <c r="J106" s="15"/>
      <c r="K106" s="15"/>
      <c r="L106" s="15"/>
      <c r="M106" s="15"/>
      <c r="N106" s="15"/>
      <c r="O106" s="15"/>
      <c r="P106" s="16">
        <f t="shared" si="42"/>
        <v>0</v>
      </c>
      <c r="Q106" s="15"/>
      <c r="R106" s="15"/>
      <c r="S106" s="16">
        <f t="shared" si="43"/>
        <v>0</v>
      </c>
      <c r="T106" s="15"/>
      <c r="U106" s="15"/>
      <c r="V106" s="16">
        <f t="shared" si="44"/>
        <v>0</v>
      </c>
      <c r="W106" s="15"/>
      <c r="X106" s="15"/>
      <c r="Y106" s="15"/>
      <c r="Z106" s="15"/>
      <c r="AA106" s="15"/>
      <c r="AB106" s="15"/>
      <c r="AC106" s="16">
        <f t="shared" si="45"/>
        <v>0</v>
      </c>
      <c r="AD106" s="17" t="str">
        <f t="shared" si="46"/>
        <v/>
      </c>
      <c r="AE106" s="17" t="str">
        <f t="shared" si="47"/>
        <v/>
      </c>
      <c r="AF106" s="17" t="str">
        <f t="shared" si="48"/>
        <v/>
      </c>
      <c r="AG106" s="18" t="str">
        <f t="shared" si="49"/>
        <v/>
      </c>
      <c r="AH106" s="18" t="str">
        <f t="shared" si="50"/>
        <v/>
      </c>
      <c r="AI106" s="18" t="str">
        <f t="shared" si="51"/>
        <v/>
      </c>
      <c r="AJ106" s="18" t="str">
        <f t="shared" si="52"/>
        <v/>
      </c>
      <c r="AK106" s="6"/>
      <c r="AL106" s="6"/>
      <c r="AM106" s="6"/>
      <c r="AN106" s="6"/>
      <c r="AO106" s="41"/>
      <c r="AP106" s="42" t="str">
        <f t="shared" si="53"/>
        <v/>
      </c>
      <c r="AQ106" s="42" t="str">
        <f t="shared" si="54"/>
        <v/>
      </c>
      <c r="AR106" s="41"/>
      <c r="AS106" s="42" t="str">
        <f t="shared" si="55"/>
        <v/>
      </c>
      <c r="AT106" s="45"/>
    </row>
    <row r="107" spans="1:46" ht="15" customHeight="1" x14ac:dyDescent="0.3">
      <c r="A107" s="6"/>
      <c r="B107" s="14"/>
      <c r="C107" s="15"/>
      <c r="D107" s="15"/>
      <c r="E107" s="15"/>
      <c r="F107" s="15"/>
      <c r="G107" s="15"/>
      <c r="H107" s="15"/>
      <c r="I107" s="15"/>
      <c r="J107" s="15"/>
      <c r="K107" s="15"/>
      <c r="L107" s="15"/>
      <c r="M107" s="15"/>
      <c r="N107" s="15"/>
      <c r="O107" s="15"/>
      <c r="P107" s="16">
        <f t="shared" si="42"/>
        <v>0</v>
      </c>
      <c r="Q107" s="15"/>
      <c r="R107" s="15"/>
      <c r="S107" s="16">
        <f t="shared" si="43"/>
        <v>0</v>
      </c>
      <c r="T107" s="15"/>
      <c r="U107" s="15"/>
      <c r="V107" s="16">
        <f t="shared" si="44"/>
        <v>0</v>
      </c>
      <c r="W107" s="15"/>
      <c r="X107" s="15"/>
      <c r="Y107" s="15"/>
      <c r="Z107" s="15"/>
      <c r="AA107" s="15"/>
      <c r="AB107" s="15"/>
      <c r="AC107" s="16">
        <f t="shared" si="45"/>
        <v>0</v>
      </c>
      <c r="AD107" s="17" t="str">
        <f t="shared" si="46"/>
        <v/>
      </c>
      <c r="AE107" s="17" t="str">
        <f t="shared" si="47"/>
        <v/>
      </c>
      <c r="AF107" s="17" t="str">
        <f t="shared" si="48"/>
        <v/>
      </c>
      <c r="AG107" s="18" t="str">
        <f t="shared" si="49"/>
        <v/>
      </c>
      <c r="AH107" s="18" t="str">
        <f t="shared" si="50"/>
        <v/>
      </c>
      <c r="AI107" s="18" t="str">
        <f t="shared" si="51"/>
        <v/>
      </c>
      <c r="AJ107" s="18" t="str">
        <f t="shared" si="52"/>
        <v/>
      </c>
      <c r="AK107" s="6"/>
      <c r="AL107" s="6"/>
      <c r="AM107" s="6"/>
      <c r="AN107" s="6"/>
      <c r="AO107" s="41"/>
      <c r="AP107" s="42" t="str">
        <f t="shared" si="53"/>
        <v/>
      </c>
      <c r="AQ107" s="42" t="str">
        <f t="shared" si="54"/>
        <v/>
      </c>
      <c r="AR107" s="41"/>
      <c r="AS107" s="42" t="str">
        <f t="shared" si="55"/>
        <v/>
      </c>
      <c r="AT107" s="45"/>
    </row>
    <row r="108" spans="1:46" ht="15" customHeight="1" x14ac:dyDescent="0.3">
      <c r="A108" s="6"/>
      <c r="B108" s="14"/>
      <c r="C108" s="15"/>
      <c r="D108" s="15"/>
      <c r="E108" s="15"/>
      <c r="F108" s="15"/>
      <c r="G108" s="15"/>
      <c r="H108" s="15"/>
      <c r="I108" s="15"/>
      <c r="J108" s="15"/>
      <c r="K108" s="15"/>
      <c r="L108" s="15"/>
      <c r="M108" s="15"/>
      <c r="N108" s="15"/>
      <c r="O108" s="15"/>
      <c r="P108" s="16">
        <f t="shared" si="42"/>
        <v>0</v>
      </c>
      <c r="Q108" s="15"/>
      <c r="R108" s="15"/>
      <c r="S108" s="16">
        <f t="shared" si="43"/>
        <v>0</v>
      </c>
      <c r="T108" s="15"/>
      <c r="U108" s="15"/>
      <c r="V108" s="16">
        <f t="shared" si="44"/>
        <v>0</v>
      </c>
      <c r="W108" s="15"/>
      <c r="X108" s="15"/>
      <c r="Y108" s="15"/>
      <c r="Z108" s="15"/>
      <c r="AA108" s="15"/>
      <c r="AB108" s="15"/>
      <c r="AC108" s="16">
        <f t="shared" si="45"/>
        <v>0</v>
      </c>
      <c r="AD108" s="17" t="str">
        <f t="shared" si="46"/>
        <v/>
      </c>
      <c r="AE108" s="17" t="str">
        <f t="shared" si="47"/>
        <v/>
      </c>
      <c r="AF108" s="17" t="str">
        <f t="shared" si="48"/>
        <v/>
      </c>
      <c r="AG108" s="18" t="str">
        <f t="shared" si="49"/>
        <v/>
      </c>
      <c r="AH108" s="18" t="str">
        <f t="shared" si="50"/>
        <v/>
      </c>
      <c r="AI108" s="18" t="str">
        <f t="shared" si="51"/>
        <v/>
      </c>
      <c r="AJ108" s="18" t="str">
        <f t="shared" si="52"/>
        <v/>
      </c>
      <c r="AK108" s="6"/>
      <c r="AL108" s="6"/>
      <c r="AM108" s="6"/>
      <c r="AN108" s="6"/>
      <c r="AO108" s="41"/>
      <c r="AP108" s="42" t="str">
        <f t="shared" si="53"/>
        <v/>
      </c>
      <c r="AQ108" s="42" t="str">
        <f t="shared" si="54"/>
        <v/>
      </c>
      <c r="AR108" s="41"/>
      <c r="AS108" s="42" t="str">
        <f t="shared" si="55"/>
        <v/>
      </c>
      <c r="AT108" s="45"/>
    </row>
    <row r="109" spans="1:46" ht="15" customHeight="1" x14ac:dyDescent="0.3">
      <c r="A109" s="6"/>
      <c r="B109" s="14"/>
      <c r="C109" s="15"/>
      <c r="D109" s="15"/>
      <c r="E109" s="15"/>
      <c r="F109" s="15"/>
      <c r="G109" s="15"/>
      <c r="H109" s="15"/>
      <c r="I109" s="15"/>
      <c r="J109" s="15"/>
      <c r="K109" s="15"/>
      <c r="L109" s="15"/>
      <c r="M109" s="15"/>
      <c r="N109" s="15"/>
      <c r="O109" s="15"/>
      <c r="P109" s="16">
        <f t="shared" si="42"/>
        <v>0</v>
      </c>
      <c r="Q109" s="15"/>
      <c r="R109" s="15"/>
      <c r="S109" s="16">
        <f t="shared" si="43"/>
        <v>0</v>
      </c>
      <c r="T109" s="15"/>
      <c r="U109" s="15"/>
      <c r="V109" s="16">
        <f t="shared" si="44"/>
        <v>0</v>
      </c>
      <c r="W109" s="15"/>
      <c r="X109" s="15"/>
      <c r="Y109" s="15"/>
      <c r="Z109" s="15"/>
      <c r="AA109" s="15"/>
      <c r="AB109" s="15"/>
      <c r="AC109" s="16">
        <f t="shared" si="45"/>
        <v>0</v>
      </c>
      <c r="AD109" s="17" t="str">
        <f t="shared" si="46"/>
        <v/>
      </c>
      <c r="AE109" s="17" t="str">
        <f t="shared" si="47"/>
        <v/>
      </c>
      <c r="AF109" s="17" t="str">
        <f t="shared" si="48"/>
        <v/>
      </c>
      <c r="AG109" s="18" t="str">
        <f t="shared" si="49"/>
        <v/>
      </c>
      <c r="AH109" s="18" t="str">
        <f t="shared" si="50"/>
        <v/>
      </c>
      <c r="AI109" s="18" t="str">
        <f t="shared" si="51"/>
        <v/>
      </c>
      <c r="AJ109" s="18" t="str">
        <f t="shared" si="52"/>
        <v/>
      </c>
      <c r="AK109" s="6"/>
      <c r="AL109" s="6"/>
      <c r="AM109" s="6"/>
      <c r="AN109" s="6"/>
      <c r="AO109" s="41"/>
      <c r="AP109" s="42" t="str">
        <f t="shared" si="53"/>
        <v/>
      </c>
      <c r="AQ109" s="42" t="str">
        <f t="shared" si="54"/>
        <v/>
      </c>
      <c r="AR109" s="41"/>
      <c r="AS109" s="42" t="str">
        <f t="shared" si="55"/>
        <v/>
      </c>
      <c r="AT109" s="45"/>
    </row>
    <row r="110" spans="1:46" ht="15" customHeight="1" x14ac:dyDescent="0.3">
      <c r="A110" s="6"/>
      <c r="B110" s="14"/>
      <c r="C110" s="15"/>
      <c r="D110" s="15"/>
      <c r="E110" s="15"/>
      <c r="F110" s="15"/>
      <c r="G110" s="15"/>
      <c r="H110" s="15"/>
      <c r="I110" s="15"/>
      <c r="J110" s="15"/>
      <c r="K110" s="15"/>
      <c r="L110" s="15"/>
      <c r="M110" s="15"/>
      <c r="N110" s="15"/>
      <c r="O110" s="15"/>
      <c r="P110" s="16">
        <f t="shared" si="42"/>
        <v>0</v>
      </c>
      <c r="Q110" s="15"/>
      <c r="R110" s="15"/>
      <c r="S110" s="16">
        <f t="shared" si="43"/>
        <v>0</v>
      </c>
      <c r="T110" s="15"/>
      <c r="U110" s="15"/>
      <c r="V110" s="16">
        <f t="shared" si="44"/>
        <v>0</v>
      </c>
      <c r="W110" s="15"/>
      <c r="X110" s="15"/>
      <c r="Y110" s="15"/>
      <c r="Z110" s="15"/>
      <c r="AA110" s="15"/>
      <c r="AB110" s="15"/>
      <c r="AC110" s="16">
        <f t="shared" si="45"/>
        <v>0</v>
      </c>
      <c r="AD110" s="17" t="str">
        <f t="shared" si="46"/>
        <v/>
      </c>
      <c r="AE110" s="17" t="str">
        <f t="shared" si="47"/>
        <v/>
      </c>
      <c r="AF110" s="17" t="str">
        <f t="shared" si="48"/>
        <v/>
      </c>
      <c r="AG110" s="18" t="str">
        <f t="shared" si="49"/>
        <v/>
      </c>
      <c r="AH110" s="18" t="str">
        <f t="shared" si="50"/>
        <v/>
      </c>
      <c r="AI110" s="18" t="str">
        <f t="shared" si="51"/>
        <v/>
      </c>
      <c r="AJ110" s="18" t="str">
        <f t="shared" si="52"/>
        <v/>
      </c>
      <c r="AK110" s="6"/>
      <c r="AL110" s="6"/>
      <c r="AM110" s="6"/>
      <c r="AN110" s="6"/>
      <c r="AO110" s="41"/>
      <c r="AP110" s="42" t="str">
        <f t="shared" si="53"/>
        <v/>
      </c>
      <c r="AQ110" s="42" t="str">
        <f t="shared" si="54"/>
        <v/>
      </c>
      <c r="AR110" s="41"/>
      <c r="AS110" s="42" t="str">
        <f t="shared" si="55"/>
        <v/>
      </c>
      <c r="AT110" s="45"/>
    </row>
    <row r="111" spans="1:46" ht="15" customHeight="1" x14ac:dyDescent="0.3">
      <c r="A111" s="6"/>
      <c r="B111" s="14"/>
      <c r="C111" s="15"/>
      <c r="D111" s="15"/>
      <c r="E111" s="15"/>
      <c r="F111" s="15"/>
      <c r="G111" s="15"/>
      <c r="H111" s="15"/>
      <c r="I111" s="15"/>
      <c r="J111" s="15"/>
      <c r="K111" s="15"/>
      <c r="L111" s="15"/>
      <c r="M111" s="15"/>
      <c r="N111" s="15"/>
      <c r="O111" s="15"/>
      <c r="P111" s="16">
        <f t="shared" si="42"/>
        <v>0</v>
      </c>
      <c r="Q111" s="15"/>
      <c r="R111" s="15"/>
      <c r="S111" s="16">
        <f t="shared" si="43"/>
        <v>0</v>
      </c>
      <c r="T111" s="15"/>
      <c r="U111" s="15"/>
      <c r="V111" s="16">
        <f t="shared" si="44"/>
        <v>0</v>
      </c>
      <c r="W111" s="15"/>
      <c r="X111" s="15"/>
      <c r="Y111" s="15"/>
      <c r="Z111" s="15"/>
      <c r="AA111" s="15"/>
      <c r="AB111" s="15"/>
      <c r="AC111" s="16">
        <f t="shared" si="45"/>
        <v>0</v>
      </c>
      <c r="AD111" s="17" t="str">
        <f t="shared" si="46"/>
        <v/>
      </c>
      <c r="AE111" s="17" t="str">
        <f t="shared" si="47"/>
        <v/>
      </c>
      <c r="AF111" s="17" t="str">
        <f t="shared" si="48"/>
        <v/>
      </c>
      <c r="AG111" s="18" t="str">
        <f t="shared" si="49"/>
        <v/>
      </c>
      <c r="AH111" s="18" t="str">
        <f t="shared" si="50"/>
        <v/>
      </c>
      <c r="AI111" s="18" t="str">
        <f t="shared" si="51"/>
        <v/>
      </c>
      <c r="AJ111" s="18" t="str">
        <f t="shared" si="52"/>
        <v/>
      </c>
      <c r="AK111" s="6"/>
      <c r="AL111" s="6"/>
      <c r="AM111" s="6"/>
      <c r="AN111" s="6"/>
      <c r="AO111" s="41"/>
      <c r="AP111" s="42" t="str">
        <f t="shared" si="53"/>
        <v/>
      </c>
      <c r="AQ111" s="42" t="str">
        <f t="shared" si="54"/>
        <v/>
      </c>
      <c r="AR111" s="41"/>
      <c r="AS111" s="42" t="str">
        <f t="shared" si="55"/>
        <v/>
      </c>
      <c r="AT111" s="45"/>
    </row>
    <row r="112" spans="1:46" ht="15" customHeight="1" x14ac:dyDescent="0.3">
      <c r="A112" s="6"/>
      <c r="B112" s="14"/>
      <c r="C112" s="15"/>
      <c r="D112" s="15"/>
      <c r="E112" s="15"/>
      <c r="F112" s="15"/>
      <c r="G112" s="15"/>
      <c r="H112" s="15"/>
      <c r="I112" s="15"/>
      <c r="J112" s="15"/>
      <c r="K112" s="15"/>
      <c r="L112" s="15"/>
      <c r="M112" s="15"/>
      <c r="N112" s="15"/>
      <c r="O112" s="15"/>
      <c r="P112" s="16">
        <f t="shared" si="42"/>
        <v>0</v>
      </c>
      <c r="Q112" s="15"/>
      <c r="R112" s="15"/>
      <c r="S112" s="16">
        <f t="shared" si="43"/>
        <v>0</v>
      </c>
      <c r="T112" s="15"/>
      <c r="U112" s="15"/>
      <c r="V112" s="16">
        <f t="shared" si="44"/>
        <v>0</v>
      </c>
      <c r="W112" s="15"/>
      <c r="X112" s="15"/>
      <c r="Y112" s="15"/>
      <c r="Z112" s="15"/>
      <c r="AA112" s="15"/>
      <c r="AB112" s="15"/>
      <c r="AC112" s="16">
        <f t="shared" si="45"/>
        <v>0</v>
      </c>
      <c r="AD112" s="17" t="str">
        <f t="shared" si="46"/>
        <v/>
      </c>
      <c r="AE112" s="17" t="str">
        <f t="shared" si="47"/>
        <v/>
      </c>
      <c r="AF112" s="17" t="str">
        <f t="shared" si="48"/>
        <v/>
      </c>
      <c r="AG112" s="18" t="str">
        <f t="shared" si="49"/>
        <v/>
      </c>
      <c r="AH112" s="18" t="str">
        <f t="shared" si="50"/>
        <v/>
      </c>
      <c r="AI112" s="18" t="str">
        <f t="shared" si="51"/>
        <v/>
      </c>
      <c r="AJ112" s="18" t="str">
        <f t="shared" si="52"/>
        <v/>
      </c>
      <c r="AK112" s="6"/>
      <c r="AL112" s="6"/>
      <c r="AM112" s="6"/>
      <c r="AN112" s="6"/>
      <c r="AO112" s="41"/>
      <c r="AP112" s="42" t="str">
        <f t="shared" si="53"/>
        <v/>
      </c>
      <c r="AQ112" s="42" t="str">
        <f t="shared" si="54"/>
        <v/>
      </c>
      <c r="AR112" s="41"/>
      <c r="AS112" s="42" t="str">
        <f t="shared" si="55"/>
        <v/>
      </c>
      <c r="AT112" s="45"/>
    </row>
    <row r="113" spans="1:46" ht="15" customHeight="1" x14ac:dyDescent="0.3">
      <c r="A113" s="6"/>
      <c r="B113" s="14"/>
      <c r="C113" s="15"/>
      <c r="D113" s="15"/>
      <c r="E113" s="15"/>
      <c r="F113" s="15"/>
      <c r="G113" s="15"/>
      <c r="H113" s="15"/>
      <c r="I113" s="15"/>
      <c r="J113" s="15"/>
      <c r="K113" s="15"/>
      <c r="L113" s="15"/>
      <c r="M113" s="15"/>
      <c r="N113" s="15"/>
      <c r="O113" s="15"/>
      <c r="P113" s="16">
        <f t="shared" si="42"/>
        <v>0</v>
      </c>
      <c r="Q113" s="15"/>
      <c r="R113" s="15"/>
      <c r="S113" s="16">
        <f t="shared" si="43"/>
        <v>0</v>
      </c>
      <c r="T113" s="15"/>
      <c r="U113" s="15"/>
      <c r="V113" s="16">
        <f t="shared" si="44"/>
        <v>0</v>
      </c>
      <c r="W113" s="15"/>
      <c r="X113" s="15"/>
      <c r="Y113" s="15"/>
      <c r="Z113" s="15"/>
      <c r="AA113" s="15"/>
      <c r="AB113" s="15"/>
      <c r="AC113" s="16">
        <f t="shared" si="45"/>
        <v>0</v>
      </c>
      <c r="AD113" s="17" t="str">
        <f t="shared" si="46"/>
        <v/>
      </c>
      <c r="AE113" s="17" t="str">
        <f t="shared" si="47"/>
        <v/>
      </c>
      <c r="AF113" s="17" t="str">
        <f t="shared" si="48"/>
        <v/>
      </c>
      <c r="AG113" s="18" t="str">
        <f t="shared" si="49"/>
        <v/>
      </c>
      <c r="AH113" s="18" t="str">
        <f t="shared" si="50"/>
        <v/>
      </c>
      <c r="AI113" s="18" t="str">
        <f t="shared" si="51"/>
        <v/>
      </c>
      <c r="AJ113" s="18" t="str">
        <f t="shared" si="52"/>
        <v/>
      </c>
      <c r="AK113" s="6"/>
      <c r="AL113" s="6"/>
      <c r="AM113" s="6"/>
      <c r="AN113" s="6"/>
      <c r="AO113" s="41"/>
      <c r="AP113" s="42" t="str">
        <f t="shared" si="53"/>
        <v/>
      </c>
      <c r="AQ113" s="42" t="str">
        <f t="shared" si="54"/>
        <v/>
      </c>
      <c r="AR113" s="41"/>
      <c r="AS113" s="42" t="str">
        <f t="shared" si="55"/>
        <v/>
      </c>
      <c r="AT113" s="45"/>
    </row>
    <row r="114" spans="1:46" ht="15" customHeight="1" x14ac:dyDescent="0.3">
      <c r="A114" s="6"/>
      <c r="B114" s="14"/>
      <c r="C114" s="15"/>
      <c r="D114" s="15"/>
      <c r="E114" s="15"/>
      <c r="F114" s="15"/>
      <c r="G114" s="15"/>
      <c r="H114" s="15"/>
      <c r="I114" s="15"/>
      <c r="J114" s="15"/>
      <c r="K114" s="15"/>
      <c r="L114" s="15"/>
      <c r="M114" s="15"/>
      <c r="N114" s="15"/>
      <c r="O114" s="15"/>
      <c r="P114" s="16">
        <f t="shared" si="42"/>
        <v>0</v>
      </c>
      <c r="Q114" s="15"/>
      <c r="R114" s="15"/>
      <c r="S114" s="16">
        <f t="shared" si="43"/>
        <v>0</v>
      </c>
      <c r="T114" s="15"/>
      <c r="U114" s="15"/>
      <c r="V114" s="16">
        <f t="shared" si="44"/>
        <v>0</v>
      </c>
      <c r="W114" s="15"/>
      <c r="X114" s="15"/>
      <c r="Y114" s="15"/>
      <c r="Z114" s="15"/>
      <c r="AA114" s="15"/>
      <c r="AB114" s="15"/>
      <c r="AC114" s="16">
        <f t="shared" si="45"/>
        <v>0</v>
      </c>
      <c r="AD114" s="17" t="str">
        <f t="shared" si="46"/>
        <v/>
      </c>
      <c r="AE114" s="17" t="str">
        <f t="shared" si="47"/>
        <v/>
      </c>
      <c r="AF114" s="17" t="str">
        <f t="shared" si="48"/>
        <v/>
      </c>
      <c r="AG114" s="18" t="str">
        <f t="shared" si="49"/>
        <v/>
      </c>
      <c r="AH114" s="18" t="str">
        <f t="shared" si="50"/>
        <v/>
      </c>
      <c r="AI114" s="18" t="str">
        <f t="shared" si="51"/>
        <v/>
      </c>
      <c r="AJ114" s="18" t="str">
        <f t="shared" si="52"/>
        <v/>
      </c>
      <c r="AK114" s="6"/>
      <c r="AL114" s="6"/>
      <c r="AM114" s="6"/>
      <c r="AN114" s="6"/>
      <c r="AO114" s="41"/>
      <c r="AP114" s="42" t="str">
        <f t="shared" si="53"/>
        <v/>
      </c>
      <c r="AQ114" s="42" t="str">
        <f t="shared" si="54"/>
        <v/>
      </c>
      <c r="AR114" s="41"/>
      <c r="AS114" s="42" t="str">
        <f t="shared" si="55"/>
        <v/>
      </c>
      <c r="AT114" s="45"/>
    </row>
    <row r="115" spans="1:46" ht="15" customHeight="1" x14ac:dyDescent="0.3">
      <c r="A115" s="6"/>
      <c r="B115" s="14"/>
      <c r="C115" s="15"/>
      <c r="D115" s="15"/>
      <c r="E115" s="15"/>
      <c r="F115" s="15"/>
      <c r="G115" s="15"/>
      <c r="H115" s="15"/>
      <c r="I115" s="15"/>
      <c r="J115" s="15"/>
      <c r="K115" s="15"/>
      <c r="L115" s="15"/>
      <c r="M115" s="15"/>
      <c r="N115" s="15"/>
      <c r="O115" s="15"/>
      <c r="P115" s="16">
        <f t="shared" si="42"/>
        <v>0</v>
      </c>
      <c r="Q115" s="15"/>
      <c r="R115" s="15"/>
      <c r="S115" s="16">
        <f t="shared" si="43"/>
        <v>0</v>
      </c>
      <c r="T115" s="15"/>
      <c r="U115" s="15"/>
      <c r="V115" s="16">
        <f t="shared" si="44"/>
        <v>0</v>
      </c>
      <c r="W115" s="15"/>
      <c r="X115" s="15"/>
      <c r="Y115" s="15"/>
      <c r="Z115" s="15"/>
      <c r="AA115" s="15"/>
      <c r="AB115" s="15"/>
      <c r="AC115" s="16">
        <f t="shared" si="45"/>
        <v>0</v>
      </c>
      <c r="AD115" s="17" t="str">
        <f t="shared" si="46"/>
        <v/>
      </c>
      <c r="AE115" s="17" t="str">
        <f t="shared" si="47"/>
        <v/>
      </c>
      <c r="AF115" s="17" t="str">
        <f t="shared" si="48"/>
        <v/>
      </c>
      <c r="AG115" s="18" t="str">
        <f t="shared" si="49"/>
        <v/>
      </c>
      <c r="AH115" s="18" t="str">
        <f t="shared" si="50"/>
        <v/>
      </c>
      <c r="AI115" s="18" t="str">
        <f t="shared" si="51"/>
        <v/>
      </c>
      <c r="AJ115" s="18" t="str">
        <f t="shared" si="52"/>
        <v/>
      </c>
      <c r="AK115" s="6"/>
      <c r="AL115" s="6"/>
      <c r="AM115" s="6"/>
      <c r="AN115" s="6"/>
      <c r="AO115" s="41"/>
      <c r="AP115" s="42" t="str">
        <f t="shared" si="53"/>
        <v/>
      </c>
      <c r="AQ115" s="42" t="str">
        <f t="shared" si="54"/>
        <v/>
      </c>
      <c r="AR115" s="41"/>
      <c r="AS115" s="42" t="str">
        <f t="shared" si="55"/>
        <v/>
      </c>
      <c r="AT115" s="45"/>
    </row>
    <row r="116" spans="1:46" ht="15" customHeight="1" x14ac:dyDescent="0.3">
      <c r="A116" s="6"/>
      <c r="B116" s="14"/>
      <c r="C116" s="15"/>
      <c r="D116" s="15"/>
      <c r="E116" s="15"/>
      <c r="F116" s="15"/>
      <c r="G116" s="15"/>
      <c r="H116" s="15"/>
      <c r="I116" s="15"/>
      <c r="J116" s="15"/>
      <c r="K116" s="15"/>
      <c r="L116" s="15"/>
      <c r="M116" s="15"/>
      <c r="N116" s="15"/>
      <c r="O116" s="15"/>
      <c r="P116" s="16">
        <f t="shared" si="42"/>
        <v>0</v>
      </c>
      <c r="Q116" s="15"/>
      <c r="R116" s="15"/>
      <c r="S116" s="16">
        <f t="shared" si="43"/>
        <v>0</v>
      </c>
      <c r="T116" s="15"/>
      <c r="U116" s="15"/>
      <c r="V116" s="16">
        <f t="shared" si="44"/>
        <v>0</v>
      </c>
      <c r="W116" s="15"/>
      <c r="X116" s="15"/>
      <c r="Y116" s="15"/>
      <c r="Z116" s="15"/>
      <c r="AA116" s="15"/>
      <c r="AB116" s="15"/>
      <c r="AC116" s="16">
        <f t="shared" si="45"/>
        <v>0</v>
      </c>
      <c r="AD116" s="17" t="str">
        <f t="shared" si="46"/>
        <v/>
      </c>
      <c r="AE116" s="17" t="str">
        <f t="shared" si="47"/>
        <v/>
      </c>
      <c r="AF116" s="17" t="str">
        <f t="shared" si="48"/>
        <v/>
      </c>
      <c r="AG116" s="18" t="str">
        <f t="shared" si="49"/>
        <v/>
      </c>
      <c r="AH116" s="18" t="str">
        <f t="shared" si="50"/>
        <v/>
      </c>
      <c r="AI116" s="18" t="str">
        <f t="shared" si="51"/>
        <v/>
      </c>
      <c r="AJ116" s="18" t="str">
        <f t="shared" si="52"/>
        <v/>
      </c>
      <c r="AK116" s="6"/>
      <c r="AL116" s="6"/>
      <c r="AM116" s="6"/>
      <c r="AN116" s="6"/>
      <c r="AO116" s="41"/>
      <c r="AP116" s="42" t="str">
        <f t="shared" si="53"/>
        <v/>
      </c>
      <c r="AQ116" s="42" t="str">
        <f t="shared" si="54"/>
        <v/>
      </c>
      <c r="AR116" s="41"/>
      <c r="AS116" s="42" t="str">
        <f t="shared" si="55"/>
        <v/>
      </c>
      <c r="AT116" s="45"/>
    </row>
    <row r="117" spans="1:46" ht="15" customHeight="1" x14ac:dyDescent="0.3">
      <c r="A117" s="6"/>
      <c r="B117" s="14"/>
      <c r="C117" s="15"/>
      <c r="D117" s="15"/>
      <c r="E117" s="15"/>
      <c r="F117" s="15"/>
      <c r="G117" s="15"/>
      <c r="H117" s="15"/>
      <c r="I117" s="15"/>
      <c r="J117" s="15"/>
      <c r="K117" s="15"/>
      <c r="L117" s="15"/>
      <c r="M117" s="15"/>
      <c r="N117" s="15"/>
      <c r="O117" s="15"/>
      <c r="P117" s="16">
        <f t="shared" si="42"/>
        <v>0</v>
      </c>
      <c r="Q117" s="15"/>
      <c r="R117" s="15"/>
      <c r="S117" s="16">
        <f t="shared" si="43"/>
        <v>0</v>
      </c>
      <c r="T117" s="15"/>
      <c r="U117" s="15"/>
      <c r="V117" s="16">
        <f t="shared" si="44"/>
        <v>0</v>
      </c>
      <c r="W117" s="15"/>
      <c r="X117" s="15"/>
      <c r="Y117" s="15"/>
      <c r="Z117" s="15"/>
      <c r="AA117" s="15"/>
      <c r="AB117" s="15"/>
      <c r="AC117" s="16">
        <f t="shared" si="45"/>
        <v>0</v>
      </c>
      <c r="AD117" s="17" t="str">
        <f t="shared" si="46"/>
        <v/>
      </c>
      <c r="AE117" s="17" t="str">
        <f t="shared" si="47"/>
        <v/>
      </c>
      <c r="AF117" s="17" t="str">
        <f t="shared" si="48"/>
        <v/>
      </c>
      <c r="AG117" s="18" t="str">
        <f t="shared" si="49"/>
        <v/>
      </c>
      <c r="AH117" s="18" t="str">
        <f t="shared" si="50"/>
        <v/>
      </c>
      <c r="AI117" s="18" t="str">
        <f t="shared" si="51"/>
        <v/>
      </c>
      <c r="AJ117" s="18" t="str">
        <f t="shared" si="52"/>
        <v/>
      </c>
      <c r="AK117" s="6"/>
      <c r="AL117" s="6"/>
      <c r="AM117" s="6"/>
      <c r="AN117" s="6"/>
      <c r="AO117" s="41"/>
      <c r="AP117" s="42" t="str">
        <f t="shared" si="53"/>
        <v/>
      </c>
      <c r="AQ117" s="42" t="str">
        <f t="shared" si="54"/>
        <v/>
      </c>
      <c r="AR117" s="41"/>
      <c r="AS117" s="42" t="str">
        <f t="shared" si="55"/>
        <v/>
      </c>
      <c r="AT117" s="45"/>
    </row>
    <row r="118" spans="1:46" ht="15" customHeight="1" x14ac:dyDescent="0.3">
      <c r="A118" s="6"/>
      <c r="B118" s="14"/>
      <c r="C118" s="15"/>
      <c r="D118" s="15"/>
      <c r="E118" s="15"/>
      <c r="F118" s="15"/>
      <c r="G118" s="15"/>
      <c r="H118" s="15"/>
      <c r="I118" s="15"/>
      <c r="J118" s="15"/>
      <c r="K118" s="15"/>
      <c r="L118" s="15"/>
      <c r="M118" s="15"/>
      <c r="N118" s="15"/>
      <c r="O118" s="15"/>
      <c r="P118" s="16">
        <f t="shared" si="42"/>
        <v>0</v>
      </c>
      <c r="Q118" s="15"/>
      <c r="R118" s="15"/>
      <c r="S118" s="16">
        <f t="shared" si="43"/>
        <v>0</v>
      </c>
      <c r="T118" s="15"/>
      <c r="U118" s="15"/>
      <c r="V118" s="16">
        <f t="shared" si="44"/>
        <v>0</v>
      </c>
      <c r="W118" s="15"/>
      <c r="X118" s="15"/>
      <c r="Y118" s="15"/>
      <c r="Z118" s="15"/>
      <c r="AA118" s="15"/>
      <c r="AB118" s="15"/>
      <c r="AC118" s="16">
        <f t="shared" si="45"/>
        <v>0</v>
      </c>
      <c r="AD118" s="17" t="str">
        <f t="shared" si="46"/>
        <v/>
      </c>
      <c r="AE118" s="17" t="str">
        <f t="shared" si="47"/>
        <v/>
      </c>
      <c r="AF118" s="17" t="str">
        <f t="shared" si="48"/>
        <v/>
      </c>
      <c r="AG118" s="18" t="str">
        <f t="shared" si="49"/>
        <v/>
      </c>
      <c r="AH118" s="18" t="str">
        <f t="shared" si="50"/>
        <v/>
      </c>
      <c r="AI118" s="18" t="str">
        <f t="shared" si="51"/>
        <v/>
      </c>
      <c r="AJ118" s="18" t="str">
        <f t="shared" si="52"/>
        <v/>
      </c>
      <c r="AK118" s="6"/>
      <c r="AL118" s="6"/>
      <c r="AM118" s="6"/>
      <c r="AN118" s="6"/>
      <c r="AO118" s="41"/>
      <c r="AP118" s="42" t="str">
        <f t="shared" si="53"/>
        <v/>
      </c>
      <c r="AQ118" s="42" t="str">
        <f t="shared" si="54"/>
        <v/>
      </c>
      <c r="AR118" s="41"/>
      <c r="AS118" s="42" t="str">
        <f t="shared" si="55"/>
        <v/>
      </c>
      <c r="AT118" s="45"/>
    </row>
    <row r="119" spans="1:46" ht="15" customHeight="1" x14ac:dyDescent="0.3">
      <c r="A119" s="6"/>
      <c r="B119" s="14"/>
      <c r="C119" s="15"/>
      <c r="D119" s="15"/>
      <c r="E119" s="15"/>
      <c r="F119" s="15"/>
      <c r="G119" s="15"/>
      <c r="H119" s="15"/>
      <c r="I119" s="15"/>
      <c r="J119" s="15"/>
      <c r="K119" s="15"/>
      <c r="L119" s="15"/>
      <c r="M119" s="15"/>
      <c r="N119" s="15"/>
      <c r="O119" s="15"/>
      <c r="P119" s="16">
        <f t="shared" si="42"/>
        <v>0</v>
      </c>
      <c r="Q119" s="15"/>
      <c r="R119" s="15"/>
      <c r="S119" s="16">
        <f t="shared" si="43"/>
        <v>0</v>
      </c>
      <c r="T119" s="15"/>
      <c r="U119" s="15"/>
      <c r="V119" s="16">
        <f t="shared" si="44"/>
        <v>0</v>
      </c>
      <c r="W119" s="15"/>
      <c r="X119" s="15"/>
      <c r="Y119" s="15"/>
      <c r="Z119" s="15"/>
      <c r="AA119" s="15"/>
      <c r="AB119" s="15"/>
      <c r="AC119" s="16">
        <f t="shared" si="45"/>
        <v>0</v>
      </c>
      <c r="AD119" s="17" t="str">
        <f t="shared" si="46"/>
        <v/>
      </c>
      <c r="AE119" s="17" t="str">
        <f t="shared" si="47"/>
        <v/>
      </c>
      <c r="AF119" s="17" t="str">
        <f t="shared" si="48"/>
        <v/>
      </c>
      <c r="AG119" s="18" t="str">
        <f t="shared" si="49"/>
        <v/>
      </c>
      <c r="AH119" s="18" t="str">
        <f t="shared" si="50"/>
        <v/>
      </c>
      <c r="AI119" s="18" t="str">
        <f t="shared" si="51"/>
        <v/>
      </c>
      <c r="AJ119" s="18" t="str">
        <f t="shared" si="52"/>
        <v/>
      </c>
      <c r="AK119" s="6"/>
      <c r="AL119" s="6"/>
      <c r="AM119" s="6"/>
      <c r="AN119" s="6"/>
      <c r="AO119" s="41"/>
      <c r="AP119" s="42" t="str">
        <f t="shared" si="53"/>
        <v/>
      </c>
      <c r="AQ119" s="42" t="str">
        <f t="shared" si="54"/>
        <v/>
      </c>
      <c r="AR119" s="41"/>
      <c r="AS119" s="42" t="str">
        <f t="shared" si="55"/>
        <v/>
      </c>
      <c r="AT119" s="45"/>
    </row>
    <row r="120" spans="1:46" ht="15" customHeight="1" x14ac:dyDescent="0.3">
      <c r="A120" s="6"/>
      <c r="B120" s="14"/>
      <c r="C120" s="15"/>
      <c r="D120" s="15"/>
      <c r="E120" s="15"/>
      <c r="F120" s="15"/>
      <c r="G120" s="15"/>
      <c r="H120" s="15"/>
      <c r="I120" s="15"/>
      <c r="J120" s="15"/>
      <c r="K120" s="15"/>
      <c r="L120" s="15"/>
      <c r="M120" s="15"/>
      <c r="N120" s="15"/>
      <c r="O120" s="15"/>
      <c r="P120" s="16">
        <f t="shared" si="42"/>
        <v>0</v>
      </c>
      <c r="Q120" s="15"/>
      <c r="R120" s="15"/>
      <c r="S120" s="16">
        <f t="shared" si="43"/>
        <v>0</v>
      </c>
      <c r="T120" s="15"/>
      <c r="U120" s="15"/>
      <c r="V120" s="16">
        <f t="shared" si="44"/>
        <v>0</v>
      </c>
      <c r="W120" s="15"/>
      <c r="X120" s="15"/>
      <c r="Y120" s="15"/>
      <c r="Z120" s="15"/>
      <c r="AA120" s="15"/>
      <c r="AB120" s="15"/>
      <c r="AC120" s="16">
        <f t="shared" si="45"/>
        <v>0</v>
      </c>
      <c r="AD120" s="17" t="str">
        <f t="shared" si="46"/>
        <v/>
      </c>
      <c r="AE120" s="17" t="str">
        <f t="shared" si="47"/>
        <v/>
      </c>
      <c r="AF120" s="17" t="str">
        <f t="shared" si="48"/>
        <v/>
      </c>
      <c r="AG120" s="18" t="str">
        <f t="shared" si="49"/>
        <v/>
      </c>
      <c r="AH120" s="18" t="str">
        <f t="shared" si="50"/>
        <v/>
      </c>
      <c r="AI120" s="18" t="str">
        <f t="shared" si="51"/>
        <v/>
      </c>
      <c r="AJ120" s="18" t="str">
        <f t="shared" si="52"/>
        <v/>
      </c>
      <c r="AK120" s="6"/>
      <c r="AL120" s="6"/>
      <c r="AM120" s="6"/>
      <c r="AN120" s="6"/>
      <c r="AO120" s="41"/>
      <c r="AP120" s="42" t="str">
        <f t="shared" si="53"/>
        <v/>
      </c>
      <c r="AQ120" s="42" t="str">
        <f t="shared" si="54"/>
        <v/>
      </c>
      <c r="AR120" s="41"/>
      <c r="AS120" s="42" t="str">
        <f t="shared" si="55"/>
        <v/>
      </c>
      <c r="AT120" s="45"/>
    </row>
    <row r="121" spans="1:46" ht="15" customHeight="1" x14ac:dyDescent="0.3">
      <c r="A121" s="6"/>
      <c r="B121" s="14"/>
      <c r="C121" s="15"/>
      <c r="D121" s="15"/>
      <c r="E121" s="15"/>
      <c r="F121" s="15"/>
      <c r="G121" s="15"/>
      <c r="H121" s="15"/>
      <c r="I121" s="15"/>
      <c r="J121" s="15"/>
      <c r="K121" s="15"/>
      <c r="L121" s="15"/>
      <c r="M121" s="15"/>
      <c r="N121" s="15"/>
      <c r="O121" s="15"/>
      <c r="P121" s="16">
        <f t="shared" si="42"/>
        <v>0</v>
      </c>
      <c r="Q121" s="15"/>
      <c r="R121" s="15"/>
      <c r="S121" s="16">
        <f t="shared" si="43"/>
        <v>0</v>
      </c>
      <c r="T121" s="15"/>
      <c r="U121" s="15"/>
      <c r="V121" s="16">
        <f t="shared" si="44"/>
        <v>0</v>
      </c>
      <c r="W121" s="15"/>
      <c r="X121" s="15"/>
      <c r="Y121" s="15"/>
      <c r="Z121" s="15"/>
      <c r="AA121" s="15"/>
      <c r="AB121" s="15"/>
      <c r="AC121" s="16">
        <f t="shared" si="45"/>
        <v>0</v>
      </c>
      <c r="AD121" s="17" t="str">
        <f t="shared" si="46"/>
        <v/>
      </c>
      <c r="AE121" s="17" t="str">
        <f t="shared" si="47"/>
        <v/>
      </c>
      <c r="AF121" s="17" t="str">
        <f t="shared" si="48"/>
        <v/>
      </c>
      <c r="AG121" s="18" t="str">
        <f t="shared" si="49"/>
        <v/>
      </c>
      <c r="AH121" s="18" t="str">
        <f t="shared" si="50"/>
        <v/>
      </c>
      <c r="AI121" s="18" t="str">
        <f t="shared" si="51"/>
        <v/>
      </c>
      <c r="AJ121" s="18" t="str">
        <f t="shared" si="52"/>
        <v/>
      </c>
      <c r="AK121" s="6"/>
      <c r="AL121" s="6"/>
      <c r="AM121" s="6"/>
      <c r="AN121" s="6"/>
      <c r="AO121" s="41"/>
      <c r="AP121" s="42" t="str">
        <f t="shared" si="53"/>
        <v/>
      </c>
      <c r="AQ121" s="42" t="str">
        <f t="shared" si="54"/>
        <v/>
      </c>
      <c r="AR121" s="41"/>
      <c r="AS121" s="42" t="str">
        <f t="shared" si="55"/>
        <v/>
      </c>
      <c r="AT121" s="45"/>
    </row>
    <row r="122" spans="1:46" ht="15" customHeight="1" x14ac:dyDescent="0.3">
      <c r="A122" s="6"/>
      <c r="B122" s="14"/>
      <c r="C122" s="15"/>
      <c r="D122" s="15"/>
      <c r="E122" s="15"/>
      <c r="F122" s="15"/>
      <c r="G122" s="15"/>
      <c r="H122" s="15"/>
      <c r="I122" s="15"/>
      <c r="J122" s="15"/>
      <c r="K122" s="15"/>
      <c r="L122" s="15"/>
      <c r="M122" s="15"/>
      <c r="N122" s="15"/>
      <c r="O122" s="15"/>
      <c r="P122" s="16">
        <f t="shared" si="42"/>
        <v>0</v>
      </c>
      <c r="Q122" s="15"/>
      <c r="R122" s="15"/>
      <c r="S122" s="16">
        <f t="shared" si="43"/>
        <v>0</v>
      </c>
      <c r="T122" s="15"/>
      <c r="U122" s="15"/>
      <c r="V122" s="16">
        <f t="shared" si="44"/>
        <v>0</v>
      </c>
      <c r="W122" s="15"/>
      <c r="X122" s="15"/>
      <c r="Y122" s="15"/>
      <c r="Z122" s="15"/>
      <c r="AA122" s="15"/>
      <c r="AB122" s="15"/>
      <c r="AC122" s="16">
        <f t="shared" si="45"/>
        <v>0</v>
      </c>
      <c r="AD122" s="17" t="str">
        <f t="shared" si="46"/>
        <v/>
      </c>
      <c r="AE122" s="17" t="str">
        <f t="shared" si="47"/>
        <v/>
      </c>
      <c r="AF122" s="17" t="str">
        <f t="shared" si="48"/>
        <v/>
      </c>
      <c r="AG122" s="18" t="str">
        <f t="shared" si="49"/>
        <v/>
      </c>
      <c r="AH122" s="18" t="str">
        <f t="shared" si="50"/>
        <v/>
      </c>
      <c r="AI122" s="18" t="str">
        <f t="shared" si="51"/>
        <v/>
      </c>
      <c r="AJ122" s="18" t="str">
        <f t="shared" si="52"/>
        <v/>
      </c>
      <c r="AK122" s="6"/>
      <c r="AL122" s="6"/>
      <c r="AM122" s="6"/>
      <c r="AN122" s="6"/>
      <c r="AO122" s="41"/>
      <c r="AP122" s="42" t="str">
        <f t="shared" si="53"/>
        <v/>
      </c>
      <c r="AQ122" s="42" t="str">
        <f t="shared" si="54"/>
        <v/>
      </c>
      <c r="AR122" s="41"/>
      <c r="AS122" s="42" t="str">
        <f t="shared" si="55"/>
        <v/>
      </c>
      <c r="AT122" s="45"/>
    </row>
    <row r="123" spans="1:46" ht="15" customHeight="1" x14ac:dyDescent="0.3">
      <c r="A123" s="6"/>
      <c r="B123" s="14"/>
      <c r="C123" s="15"/>
      <c r="D123" s="15"/>
      <c r="E123" s="15"/>
      <c r="F123" s="15"/>
      <c r="G123" s="15"/>
      <c r="H123" s="15"/>
      <c r="I123" s="15"/>
      <c r="J123" s="15"/>
      <c r="K123" s="15"/>
      <c r="L123" s="15"/>
      <c r="M123" s="15"/>
      <c r="N123" s="15"/>
      <c r="O123" s="15"/>
      <c r="P123" s="16">
        <f t="shared" si="42"/>
        <v>0</v>
      </c>
      <c r="Q123" s="15"/>
      <c r="R123" s="15"/>
      <c r="S123" s="16">
        <f t="shared" si="43"/>
        <v>0</v>
      </c>
      <c r="T123" s="15"/>
      <c r="U123" s="15"/>
      <c r="V123" s="16">
        <f t="shared" si="44"/>
        <v>0</v>
      </c>
      <c r="W123" s="15"/>
      <c r="X123" s="15"/>
      <c r="Y123" s="15"/>
      <c r="Z123" s="15"/>
      <c r="AA123" s="15"/>
      <c r="AB123" s="15"/>
      <c r="AC123" s="16">
        <f t="shared" si="45"/>
        <v>0</v>
      </c>
      <c r="AD123" s="17" t="str">
        <f t="shared" si="46"/>
        <v/>
      </c>
      <c r="AE123" s="17" t="str">
        <f t="shared" si="47"/>
        <v/>
      </c>
      <c r="AF123" s="17" t="str">
        <f t="shared" si="48"/>
        <v/>
      </c>
      <c r="AG123" s="18" t="str">
        <f t="shared" si="49"/>
        <v/>
      </c>
      <c r="AH123" s="18" t="str">
        <f t="shared" si="50"/>
        <v/>
      </c>
      <c r="AI123" s="18" t="str">
        <f t="shared" si="51"/>
        <v/>
      </c>
      <c r="AJ123" s="18" t="str">
        <f t="shared" si="52"/>
        <v/>
      </c>
      <c r="AK123" s="6"/>
      <c r="AL123" s="6"/>
      <c r="AM123" s="6"/>
      <c r="AN123" s="6"/>
      <c r="AO123" s="41"/>
      <c r="AP123" s="42" t="str">
        <f t="shared" si="53"/>
        <v/>
      </c>
      <c r="AQ123" s="42" t="str">
        <f t="shared" si="54"/>
        <v/>
      </c>
      <c r="AR123" s="41"/>
      <c r="AS123" s="42" t="str">
        <f t="shared" si="55"/>
        <v/>
      </c>
      <c r="AT123" s="45"/>
    </row>
    <row r="124" spans="1:46" ht="15" customHeight="1" x14ac:dyDescent="0.3">
      <c r="A124" s="6"/>
      <c r="B124" s="14"/>
      <c r="C124" s="15"/>
      <c r="D124" s="15"/>
      <c r="E124" s="15"/>
      <c r="F124" s="15"/>
      <c r="G124" s="15"/>
      <c r="H124" s="15"/>
      <c r="I124" s="15"/>
      <c r="J124" s="15"/>
      <c r="K124" s="15"/>
      <c r="L124" s="15"/>
      <c r="M124" s="15"/>
      <c r="N124" s="15"/>
      <c r="O124" s="15"/>
      <c r="P124" s="16">
        <f t="shared" si="42"/>
        <v>0</v>
      </c>
      <c r="Q124" s="15"/>
      <c r="R124" s="15"/>
      <c r="S124" s="16">
        <f t="shared" si="43"/>
        <v>0</v>
      </c>
      <c r="T124" s="15"/>
      <c r="U124" s="15"/>
      <c r="V124" s="16">
        <f t="shared" si="44"/>
        <v>0</v>
      </c>
      <c r="W124" s="15"/>
      <c r="X124" s="15"/>
      <c r="Y124" s="15"/>
      <c r="Z124" s="15"/>
      <c r="AA124" s="15"/>
      <c r="AB124" s="15"/>
      <c r="AC124" s="16">
        <f t="shared" si="45"/>
        <v>0</v>
      </c>
      <c r="AD124" s="17" t="str">
        <f t="shared" si="46"/>
        <v/>
      </c>
      <c r="AE124" s="17" t="str">
        <f t="shared" si="47"/>
        <v/>
      </c>
      <c r="AF124" s="17" t="str">
        <f t="shared" si="48"/>
        <v/>
      </c>
      <c r="AG124" s="18" t="str">
        <f t="shared" si="49"/>
        <v/>
      </c>
      <c r="AH124" s="18" t="str">
        <f t="shared" si="50"/>
        <v/>
      </c>
      <c r="AI124" s="18" t="str">
        <f t="shared" si="51"/>
        <v/>
      </c>
      <c r="AJ124" s="18" t="str">
        <f t="shared" si="52"/>
        <v/>
      </c>
      <c r="AK124" s="6"/>
      <c r="AL124" s="6"/>
      <c r="AM124" s="6"/>
      <c r="AN124" s="6"/>
      <c r="AO124" s="41"/>
      <c r="AP124" s="42" t="str">
        <f t="shared" si="53"/>
        <v/>
      </c>
      <c r="AQ124" s="42" t="str">
        <f t="shared" si="54"/>
        <v/>
      </c>
      <c r="AR124" s="41"/>
      <c r="AS124" s="42" t="str">
        <f t="shared" si="55"/>
        <v/>
      </c>
      <c r="AT124" s="45"/>
    </row>
    <row r="125" spans="1:46" ht="15" customHeight="1" x14ac:dyDescent="0.3">
      <c r="A125" s="6"/>
      <c r="B125" s="14"/>
      <c r="C125" s="15"/>
      <c r="D125" s="15"/>
      <c r="E125" s="15"/>
      <c r="F125" s="15"/>
      <c r="G125" s="15"/>
      <c r="H125" s="15"/>
      <c r="I125" s="15"/>
      <c r="J125" s="15"/>
      <c r="K125" s="15"/>
      <c r="L125" s="15"/>
      <c r="M125" s="15"/>
      <c r="N125" s="15"/>
      <c r="O125" s="15"/>
      <c r="P125" s="16">
        <f t="shared" si="42"/>
        <v>0</v>
      </c>
      <c r="Q125" s="15"/>
      <c r="R125" s="15"/>
      <c r="S125" s="16">
        <f t="shared" si="43"/>
        <v>0</v>
      </c>
      <c r="T125" s="15"/>
      <c r="U125" s="15"/>
      <c r="V125" s="16">
        <f t="shared" si="44"/>
        <v>0</v>
      </c>
      <c r="W125" s="15"/>
      <c r="X125" s="15"/>
      <c r="Y125" s="15"/>
      <c r="Z125" s="15"/>
      <c r="AA125" s="15"/>
      <c r="AB125" s="15"/>
      <c r="AC125" s="16">
        <f t="shared" si="45"/>
        <v>0</v>
      </c>
      <c r="AD125" s="17" t="str">
        <f t="shared" si="46"/>
        <v/>
      </c>
      <c r="AE125" s="17" t="str">
        <f t="shared" si="47"/>
        <v/>
      </c>
      <c r="AF125" s="17" t="str">
        <f t="shared" si="48"/>
        <v/>
      </c>
      <c r="AG125" s="18" t="str">
        <f t="shared" si="49"/>
        <v/>
      </c>
      <c r="AH125" s="18" t="str">
        <f t="shared" si="50"/>
        <v/>
      </c>
      <c r="AI125" s="18" t="str">
        <f t="shared" si="51"/>
        <v/>
      </c>
      <c r="AJ125" s="18" t="str">
        <f t="shared" si="52"/>
        <v/>
      </c>
      <c r="AK125" s="6"/>
      <c r="AL125" s="6"/>
      <c r="AM125" s="6"/>
      <c r="AN125" s="6"/>
      <c r="AO125" s="41"/>
      <c r="AP125" s="42" t="str">
        <f t="shared" si="53"/>
        <v/>
      </c>
      <c r="AQ125" s="42" t="str">
        <f t="shared" si="54"/>
        <v/>
      </c>
      <c r="AR125" s="41"/>
      <c r="AS125" s="42" t="str">
        <f t="shared" si="55"/>
        <v/>
      </c>
      <c r="AT125" s="45"/>
    </row>
    <row r="126" spans="1:46" ht="15" customHeight="1" x14ac:dyDescent="0.3">
      <c r="A126" s="6"/>
      <c r="B126" s="14"/>
      <c r="C126" s="15"/>
      <c r="D126" s="15"/>
      <c r="E126" s="15"/>
      <c r="F126" s="15"/>
      <c r="G126" s="15"/>
      <c r="H126" s="15"/>
      <c r="I126" s="15"/>
      <c r="J126" s="15"/>
      <c r="K126" s="15"/>
      <c r="L126" s="15"/>
      <c r="M126" s="15"/>
      <c r="N126" s="15"/>
      <c r="O126" s="15"/>
      <c r="P126" s="16">
        <f t="shared" si="42"/>
        <v>0</v>
      </c>
      <c r="Q126" s="15"/>
      <c r="R126" s="15"/>
      <c r="S126" s="16">
        <f t="shared" si="43"/>
        <v>0</v>
      </c>
      <c r="T126" s="15"/>
      <c r="U126" s="15"/>
      <c r="V126" s="16">
        <f t="shared" si="44"/>
        <v>0</v>
      </c>
      <c r="W126" s="15"/>
      <c r="X126" s="15"/>
      <c r="Y126" s="15"/>
      <c r="Z126" s="15"/>
      <c r="AA126" s="15"/>
      <c r="AB126" s="15"/>
      <c r="AC126" s="16">
        <f t="shared" si="45"/>
        <v>0</v>
      </c>
      <c r="AD126" s="17" t="str">
        <f t="shared" si="46"/>
        <v/>
      </c>
      <c r="AE126" s="17" t="str">
        <f t="shared" si="47"/>
        <v/>
      </c>
      <c r="AF126" s="17" t="str">
        <f t="shared" si="48"/>
        <v/>
      </c>
      <c r="AG126" s="18" t="str">
        <f t="shared" si="49"/>
        <v/>
      </c>
      <c r="AH126" s="18" t="str">
        <f t="shared" si="50"/>
        <v/>
      </c>
      <c r="AI126" s="18" t="str">
        <f t="shared" si="51"/>
        <v/>
      </c>
      <c r="AJ126" s="18" t="str">
        <f t="shared" si="52"/>
        <v/>
      </c>
      <c r="AK126" s="6"/>
      <c r="AL126" s="6"/>
      <c r="AM126" s="6"/>
      <c r="AN126" s="6"/>
      <c r="AO126" s="41"/>
      <c r="AP126" s="42" t="str">
        <f t="shared" si="53"/>
        <v/>
      </c>
      <c r="AQ126" s="42" t="str">
        <f t="shared" si="54"/>
        <v/>
      </c>
      <c r="AR126" s="41"/>
      <c r="AS126" s="42" t="str">
        <f t="shared" si="55"/>
        <v/>
      </c>
      <c r="AT126" s="45"/>
    </row>
    <row r="127" spans="1:46" ht="15" customHeight="1" x14ac:dyDescent="0.3">
      <c r="A127" s="6"/>
      <c r="B127" s="14"/>
      <c r="C127" s="15"/>
      <c r="D127" s="15"/>
      <c r="E127" s="15"/>
      <c r="F127" s="15"/>
      <c r="G127" s="15"/>
      <c r="H127" s="15"/>
      <c r="I127" s="15"/>
      <c r="J127" s="15"/>
      <c r="K127" s="15"/>
      <c r="L127" s="15"/>
      <c r="M127" s="15"/>
      <c r="N127" s="15"/>
      <c r="O127" s="15"/>
      <c r="P127" s="16">
        <f t="shared" si="42"/>
        <v>0</v>
      </c>
      <c r="Q127" s="15"/>
      <c r="R127" s="15"/>
      <c r="S127" s="16">
        <f t="shared" si="43"/>
        <v>0</v>
      </c>
      <c r="T127" s="15"/>
      <c r="U127" s="15"/>
      <c r="V127" s="16">
        <f t="shared" si="44"/>
        <v>0</v>
      </c>
      <c r="W127" s="15"/>
      <c r="X127" s="15"/>
      <c r="Y127" s="15"/>
      <c r="Z127" s="15"/>
      <c r="AA127" s="15"/>
      <c r="AB127" s="15"/>
      <c r="AC127" s="16">
        <f t="shared" si="45"/>
        <v>0</v>
      </c>
      <c r="AD127" s="17" t="str">
        <f t="shared" si="46"/>
        <v/>
      </c>
      <c r="AE127" s="17" t="str">
        <f t="shared" si="47"/>
        <v/>
      </c>
      <c r="AF127" s="17" t="str">
        <f t="shared" si="48"/>
        <v/>
      </c>
      <c r="AG127" s="18" t="str">
        <f t="shared" si="49"/>
        <v/>
      </c>
      <c r="AH127" s="18" t="str">
        <f t="shared" si="50"/>
        <v/>
      </c>
      <c r="AI127" s="18" t="str">
        <f t="shared" si="51"/>
        <v/>
      </c>
      <c r="AJ127" s="18" t="str">
        <f t="shared" si="52"/>
        <v/>
      </c>
      <c r="AK127" s="6"/>
      <c r="AL127" s="6"/>
      <c r="AM127" s="6"/>
      <c r="AN127" s="6"/>
      <c r="AO127" s="41"/>
      <c r="AP127" s="42" t="str">
        <f t="shared" si="53"/>
        <v/>
      </c>
      <c r="AQ127" s="42" t="str">
        <f t="shared" si="54"/>
        <v/>
      </c>
      <c r="AR127" s="41"/>
      <c r="AS127" s="42" t="str">
        <f t="shared" si="55"/>
        <v/>
      </c>
      <c r="AT127" s="45"/>
    </row>
    <row r="128" spans="1:46" ht="15" customHeight="1" x14ac:dyDescent="0.3">
      <c r="A128" s="6"/>
      <c r="B128" s="14"/>
      <c r="C128" s="15"/>
      <c r="D128" s="15"/>
      <c r="E128" s="15"/>
      <c r="F128" s="15"/>
      <c r="G128" s="15"/>
      <c r="H128" s="15"/>
      <c r="I128" s="15"/>
      <c r="J128" s="15"/>
      <c r="K128" s="15"/>
      <c r="L128" s="15"/>
      <c r="M128" s="15"/>
      <c r="N128" s="15"/>
      <c r="O128" s="15"/>
      <c r="P128" s="16">
        <f t="shared" si="42"/>
        <v>0</v>
      </c>
      <c r="Q128" s="15"/>
      <c r="R128" s="15"/>
      <c r="S128" s="16">
        <f t="shared" si="43"/>
        <v>0</v>
      </c>
      <c r="T128" s="15"/>
      <c r="U128" s="15"/>
      <c r="V128" s="16">
        <f t="shared" si="44"/>
        <v>0</v>
      </c>
      <c r="W128" s="15"/>
      <c r="X128" s="15"/>
      <c r="Y128" s="15"/>
      <c r="Z128" s="15"/>
      <c r="AA128" s="15"/>
      <c r="AB128" s="15"/>
      <c r="AC128" s="16">
        <f t="shared" si="45"/>
        <v>0</v>
      </c>
      <c r="AD128" s="17" t="str">
        <f t="shared" si="46"/>
        <v/>
      </c>
      <c r="AE128" s="17" t="str">
        <f t="shared" si="47"/>
        <v/>
      </c>
      <c r="AF128" s="17" t="str">
        <f t="shared" si="48"/>
        <v/>
      </c>
      <c r="AG128" s="18" t="str">
        <f t="shared" si="49"/>
        <v/>
      </c>
      <c r="AH128" s="18" t="str">
        <f t="shared" si="50"/>
        <v/>
      </c>
      <c r="AI128" s="18" t="str">
        <f t="shared" si="51"/>
        <v/>
      </c>
      <c r="AJ128" s="18" t="str">
        <f t="shared" si="52"/>
        <v/>
      </c>
      <c r="AK128" s="6"/>
      <c r="AL128" s="6"/>
      <c r="AM128" s="6"/>
      <c r="AN128" s="6"/>
      <c r="AO128" s="41"/>
      <c r="AP128" s="42" t="str">
        <f t="shared" si="53"/>
        <v/>
      </c>
      <c r="AQ128" s="42" t="str">
        <f t="shared" si="54"/>
        <v/>
      </c>
      <c r="AR128" s="41"/>
      <c r="AS128" s="42" t="str">
        <f t="shared" si="55"/>
        <v/>
      </c>
      <c r="AT128" s="45"/>
    </row>
    <row r="129" spans="1:46" ht="15" customHeight="1" x14ac:dyDescent="0.3">
      <c r="A129" s="6"/>
      <c r="B129" s="14"/>
      <c r="C129" s="15"/>
      <c r="D129" s="15"/>
      <c r="E129" s="15"/>
      <c r="F129" s="15"/>
      <c r="G129" s="15"/>
      <c r="H129" s="15"/>
      <c r="I129" s="15"/>
      <c r="J129" s="15"/>
      <c r="K129" s="15"/>
      <c r="L129" s="15"/>
      <c r="M129" s="15"/>
      <c r="N129" s="15"/>
      <c r="O129" s="15"/>
      <c r="P129" s="16">
        <f t="shared" si="42"/>
        <v>0</v>
      </c>
      <c r="Q129" s="15"/>
      <c r="R129" s="15"/>
      <c r="S129" s="16">
        <f t="shared" si="43"/>
        <v>0</v>
      </c>
      <c r="T129" s="15"/>
      <c r="U129" s="15"/>
      <c r="V129" s="16">
        <f t="shared" si="44"/>
        <v>0</v>
      </c>
      <c r="W129" s="15"/>
      <c r="X129" s="15"/>
      <c r="Y129" s="15"/>
      <c r="Z129" s="15"/>
      <c r="AA129" s="15"/>
      <c r="AB129" s="15"/>
      <c r="AC129" s="16">
        <f t="shared" si="45"/>
        <v>0</v>
      </c>
      <c r="AD129" s="17" t="str">
        <f t="shared" si="46"/>
        <v/>
      </c>
      <c r="AE129" s="17" t="str">
        <f t="shared" si="47"/>
        <v/>
      </c>
      <c r="AF129" s="17" t="str">
        <f t="shared" si="48"/>
        <v/>
      </c>
      <c r="AG129" s="18" t="str">
        <f t="shared" si="49"/>
        <v/>
      </c>
      <c r="AH129" s="18" t="str">
        <f t="shared" si="50"/>
        <v/>
      </c>
      <c r="AI129" s="18" t="str">
        <f t="shared" si="51"/>
        <v/>
      </c>
      <c r="AJ129" s="18" t="str">
        <f t="shared" si="52"/>
        <v/>
      </c>
      <c r="AK129" s="6"/>
      <c r="AL129" s="6"/>
      <c r="AM129" s="6"/>
      <c r="AN129" s="6"/>
      <c r="AO129" s="41"/>
      <c r="AP129" s="42" t="str">
        <f t="shared" si="53"/>
        <v/>
      </c>
      <c r="AQ129" s="42" t="str">
        <f t="shared" si="54"/>
        <v/>
      </c>
      <c r="AR129" s="41"/>
      <c r="AS129" s="42" t="str">
        <f t="shared" si="55"/>
        <v/>
      </c>
      <c r="AT129" s="45"/>
    </row>
    <row r="130" spans="1:46" ht="15" customHeight="1" x14ac:dyDescent="0.3">
      <c r="A130" s="6"/>
      <c r="B130" s="14"/>
      <c r="C130" s="15"/>
      <c r="D130" s="15"/>
      <c r="E130" s="15"/>
      <c r="F130" s="15"/>
      <c r="G130" s="15"/>
      <c r="H130" s="15"/>
      <c r="I130" s="15"/>
      <c r="J130" s="15"/>
      <c r="K130" s="15"/>
      <c r="L130" s="15"/>
      <c r="M130" s="15"/>
      <c r="N130" s="15"/>
      <c r="O130" s="15"/>
      <c r="P130" s="16">
        <f t="shared" ref="P130:P161" si="56">IFERROR(J130-M130,"")</f>
        <v>0</v>
      </c>
      <c r="Q130" s="15"/>
      <c r="R130" s="15"/>
      <c r="S130" s="16">
        <f t="shared" ref="S130:S161" si="57">IFERROR(R130-Q130,"")</f>
        <v>0</v>
      </c>
      <c r="T130" s="15"/>
      <c r="U130" s="15"/>
      <c r="V130" s="16">
        <f t="shared" ref="V130:V161" si="58">IFERROR(T130-U130,"")</f>
        <v>0</v>
      </c>
      <c r="W130" s="15"/>
      <c r="X130" s="15"/>
      <c r="Y130" s="15"/>
      <c r="Z130" s="15"/>
      <c r="AA130" s="15"/>
      <c r="AB130" s="15"/>
      <c r="AC130" s="16">
        <f t="shared" ref="AC130:AC161" si="59">IFERROR(W130*AB130/1000,"")</f>
        <v>0</v>
      </c>
      <c r="AD130" s="17" t="str">
        <f t="shared" ref="AD130:AD161" si="60">IFERROR(J130/M130,"")</f>
        <v/>
      </c>
      <c r="AE130" s="17" t="str">
        <f t="shared" ref="AE130:AE161" si="61">IFERROR(R130/I130,"")</f>
        <v/>
      </c>
      <c r="AF130" s="17" t="str">
        <f t="shared" ref="AF130:AF161" si="62">IFERROR(R130/O130,"")</f>
        <v/>
      </c>
      <c r="AG130" s="18" t="str">
        <f t="shared" ref="AG130:AG161" si="63">IFERROR(G130/I130,"")</f>
        <v/>
      </c>
      <c r="AH130" s="18" t="str">
        <f t="shared" ref="AH130:AH161" si="64">IFERROR(G130/O130,"")</f>
        <v/>
      </c>
      <c r="AI130" s="18" t="str">
        <f t="shared" ref="AI130:AI161" si="65">IFERROR(G130/C130,"")</f>
        <v/>
      </c>
      <c r="AJ130" s="18" t="str">
        <f t="shared" ref="AJ130:AJ161" si="66">IFERROR(D130/C130,"")</f>
        <v/>
      </c>
      <c r="AK130" s="6"/>
      <c r="AL130" s="6"/>
      <c r="AM130" s="6"/>
      <c r="AN130" s="6"/>
      <c r="AO130" s="41"/>
      <c r="AP130" s="42" t="str">
        <f t="shared" ref="AP130:AP161" si="67">IFERROR(IF(AND(NOT(ISNUMBER(F130)),NOT(ISNUMBER(AO130))),"",F130+AO130),"")</f>
        <v/>
      </c>
      <c r="AQ130" s="42" t="str">
        <f t="shared" ref="AQ130:AQ161" si="68">IFERROR(IF(OR(NOT(ISNUMBER(E130)),NOT(ISNUMBER(AP130))),"",E130-AP130),"")</f>
        <v/>
      </c>
      <c r="AR130" s="41"/>
      <c r="AS130" s="42" t="str">
        <f t="shared" ref="AS130:AS161" si="69">IFERROR(IF(OR(NOT(ISNUMBER(AR130)),NOT(ISNUMBER(S130))),"",AR130-S130),"")</f>
        <v/>
      </c>
      <c r="AT130" s="45"/>
    </row>
    <row r="131" spans="1:46" ht="15" customHeight="1" x14ac:dyDescent="0.3">
      <c r="A131" s="6"/>
      <c r="B131" s="14"/>
      <c r="C131" s="15"/>
      <c r="D131" s="15"/>
      <c r="E131" s="15"/>
      <c r="F131" s="15"/>
      <c r="G131" s="15"/>
      <c r="H131" s="15"/>
      <c r="I131" s="15"/>
      <c r="J131" s="15"/>
      <c r="K131" s="15"/>
      <c r="L131" s="15"/>
      <c r="M131" s="15"/>
      <c r="N131" s="15"/>
      <c r="O131" s="15"/>
      <c r="P131" s="16">
        <f t="shared" si="56"/>
        <v>0</v>
      </c>
      <c r="Q131" s="15"/>
      <c r="R131" s="15"/>
      <c r="S131" s="16">
        <f t="shared" si="57"/>
        <v>0</v>
      </c>
      <c r="T131" s="15"/>
      <c r="U131" s="15"/>
      <c r="V131" s="16">
        <f t="shared" si="58"/>
        <v>0</v>
      </c>
      <c r="W131" s="15"/>
      <c r="X131" s="15"/>
      <c r="Y131" s="15"/>
      <c r="Z131" s="15"/>
      <c r="AA131" s="15"/>
      <c r="AB131" s="15"/>
      <c r="AC131" s="16">
        <f t="shared" si="59"/>
        <v>0</v>
      </c>
      <c r="AD131" s="17" t="str">
        <f t="shared" si="60"/>
        <v/>
      </c>
      <c r="AE131" s="17" t="str">
        <f t="shared" si="61"/>
        <v/>
      </c>
      <c r="AF131" s="17" t="str">
        <f t="shared" si="62"/>
        <v/>
      </c>
      <c r="AG131" s="18" t="str">
        <f t="shared" si="63"/>
        <v/>
      </c>
      <c r="AH131" s="18" t="str">
        <f t="shared" si="64"/>
        <v/>
      </c>
      <c r="AI131" s="18" t="str">
        <f t="shared" si="65"/>
        <v/>
      </c>
      <c r="AJ131" s="18" t="str">
        <f t="shared" si="66"/>
        <v/>
      </c>
      <c r="AK131" s="6"/>
      <c r="AL131" s="6"/>
      <c r="AM131" s="6"/>
      <c r="AN131" s="6"/>
      <c r="AO131" s="41"/>
      <c r="AP131" s="42" t="str">
        <f t="shared" si="67"/>
        <v/>
      </c>
      <c r="AQ131" s="42" t="str">
        <f t="shared" si="68"/>
        <v/>
      </c>
      <c r="AR131" s="41"/>
      <c r="AS131" s="42" t="str">
        <f t="shared" si="69"/>
        <v/>
      </c>
      <c r="AT131" s="45"/>
    </row>
    <row r="132" spans="1:46" ht="15" customHeight="1" x14ac:dyDescent="0.3">
      <c r="A132" s="6"/>
      <c r="B132" s="14"/>
      <c r="C132" s="15"/>
      <c r="D132" s="15"/>
      <c r="E132" s="15"/>
      <c r="F132" s="15"/>
      <c r="G132" s="15"/>
      <c r="H132" s="15"/>
      <c r="I132" s="15"/>
      <c r="J132" s="15"/>
      <c r="K132" s="15"/>
      <c r="L132" s="15"/>
      <c r="M132" s="15"/>
      <c r="N132" s="15"/>
      <c r="O132" s="15"/>
      <c r="P132" s="16">
        <f t="shared" si="56"/>
        <v>0</v>
      </c>
      <c r="Q132" s="15"/>
      <c r="R132" s="15"/>
      <c r="S132" s="16">
        <f t="shared" si="57"/>
        <v>0</v>
      </c>
      <c r="T132" s="15"/>
      <c r="U132" s="15"/>
      <c r="V132" s="16">
        <f t="shared" si="58"/>
        <v>0</v>
      </c>
      <c r="W132" s="15"/>
      <c r="X132" s="15"/>
      <c r="Y132" s="15"/>
      <c r="Z132" s="15"/>
      <c r="AA132" s="15"/>
      <c r="AB132" s="15"/>
      <c r="AC132" s="16">
        <f t="shared" si="59"/>
        <v>0</v>
      </c>
      <c r="AD132" s="17" t="str">
        <f t="shared" si="60"/>
        <v/>
      </c>
      <c r="AE132" s="17" t="str">
        <f t="shared" si="61"/>
        <v/>
      </c>
      <c r="AF132" s="17" t="str">
        <f t="shared" si="62"/>
        <v/>
      </c>
      <c r="AG132" s="18" t="str">
        <f t="shared" si="63"/>
        <v/>
      </c>
      <c r="AH132" s="18" t="str">
        <f t="shared" si="64"/>
        <v/>
      </c>
      <c r="AI132" s="18" t="str">
        <f t="shared" si="65"/>
        <v/>
      </c>
      <c r="AJ132" s="18" t="str">
        <f t="shared" si="66"/>
        <v/>
      </c>
      <c r="AK132" s="6"/>
      <c r="AL132" s="6"/>
      <c r="AM132" s="6"/>
      <c r="AN132" s="6"/>
      <c r="AO132" s="41"/>
      <c r="AP132" s="42" t="str">
        <f t="shared" si="67"/>
        <v/>
      </c>
      <c r="AQ132" s="42" t="str">
        <f t="shared" si="68"/>
        <v/>
      </c>
      <c r="AR132" s="41"/>
      <c r="AS132" s="42" t="str">
        <f t="shared" si="69"/>
        <v/>
      </c>
      <c r="AT132" s="45"/>
    </row>
    <row r="133" spans="1:46" ht="15" customHeight="1" x14ac:dyDescent="0.3">
      <c r="A133" s="6"/>
      <c r="B133" s="14"/>
      <c r="C133" s="15"/>
      <c r="D133" s="15"/>
      <c r="E133" s="15"/>
      <c r="F133" s="15"/>
      <c r="G133" s="15"/>
      <c r="H133" s="15"/>
      <c r="I133" s="15"/>
      <c r="J133" s="15"/>
      <c r="K133" s="15"/>
      <c r="L133" s="15"/>
      <c r="M133" s="15"/>
      <c r="N133" s="15"/>
      <c r="O133" s="15"/>
      <c r="P133" s="16">
        <f t="shared" si="56"/>
        <v>0</v>
      </c>
      <c r="Q133" s="15"/>
      <c r="R133" s="15"/>
      <c r="S133" s="16">
        <f t="shared" si="57"/>
        <v>0</v>
      </c>
      <c r="T133" s="15"/>
      <c r="U133" s="15"/>
      <c r="V133" s="16">
        <f t="shared" si="58"/>
        <v>0</v>
      </c>
      <c r="W133" s="15"/>
      <c r="X133" s="15"/>
      <c r="Y133" s="15"/>
      <c r="Z133" s="15"/>
      <c r="AA133" s="15"/>
      <c r="AB133" s="15"/>
      <c r="AC133" s="16">
        <f t="shared" si="59"/>
        <v>0</v>
      </c>
      <c r="AD133" s="17" t="str">
        <f t="shared" si="60"/>
        <v/>
      </c>
      <c r="AE133" s="17" t="str">
        <f t="shared" si="61"/>
        <v/>
      </c>
      <c r="AF133" s="17" t="str">
        <f t="shared" si="62"/>
        <v/>
      </c>
      <c r="AG133" s="18" t="str">
        <f t="shared" si="63"/>
        <v/>
      </c>
      <c r="AH133" s="18" t="str">
        <f t="shared" si="64"/>
        <v/>
      </c>
      <c r="AI133" s="18" t="str">
        <f t="shared" si="65"/>
        <v/>
      </c>
      <c r="AJ133" s="18" t="str">
        <f t="shared" si="66"/>
        <v/>
      </c>
      <c r="AK133" s="6"/>
      <c r="AL133" s="6"/>
      <c r="AM133" s="6"/>
      <c r="AN133" s="6"/>
      <c r="AO133" s="41"/>
      <c r="AP133" s="42" t="str">
        <f t="shared" si="67"/>
        <v/>
      </c>
      <c r="AQ133" s="42" t="str">
        <f t="shared" si="68"/>
        <v/>
      </c>
      <c r="AR133" s="41"/>
      <c r="AS133" s="42" t="str">
        <f t="shared" si="69"/>
        <v/>
      </c>
      <c r="AT133" s="45"/>
    </row>
    <row r="134" spans="1:46" ht="15" customHeight="1" x14ac:dyDescent="0.3">
      <c r="A134" s="6"/>
      <c r="B134" s="14"/>
      <c r="C134" s="15"/>
      <c r="D134" s="15"/>
      <c r="E134" s="15"/>
      <c r="F134" s="15"/>
      <c r="G134" s="15"/>
      <c r="H134" s="15"/>
      <c r="I134" s="15"/>
      <c r="J134" s="15"/>
      <c r="K134" s="15"/>
      <c r="L134" s="15"/>
      <c r="M134" s="15"/>
      <c r="N134" s="15"/>
      <c r="O134" s="15"/>
      <c r="P134" s="16">
        <f t="shared" si="56"/>
        <v>0</v>
      </c>
      <c r="Q134" s="15"/>
      <c r="R134" s="15"/>
      <c r="S134" s="16">
        <f t="shared" si="57"/>
        <v>0</v>
      </c>
      <c r="T134" s="15"/>
      <c r="U134" s="15"/>
      <c r="V134" s="16">
        <f t="shared" si="58"/>
        <v>0</v>
      </c>
      <c r="W134" s="15"/>
      <c r="X134" s="15"/>
      <c r="Y134" s="15"/>
      <c r="Z134" s="15"/>
      <c r="AA134" s="15"/>
      <c r="AB134" s="15"/>
      <c r="AC134" s="16">
        <f t="shared" si="59"/>
        <v>0</v>
      </c>
      <c r="AD134" s="17" t="str">
        <f t="shared" si="60"/>
        <v/>
      </c>
      <c r="AE134" s="17" t="str">
        <f t="shared" si="61"/>
        <v/>
      </c>
      <c r="AF134" s="17" t="str">
        <f t="shared" si="62"/>
        <v/>
      </c>
      <c r="AG134" s="18" t="str">
        <f t="shared" si="63"/>
        <v/>
      </c>
      <c r="AH134" s="18" t="str">
        <f t="shared" si="64"/>
        <v/>
      </c>
      <c r="AI134" s="18" t="str">
        <f t="shared" si="65"/>
        <v/>
      </c>
      <c r="AJ134" s="18" t="str">
        <f t="shared" si="66"/>
        <v/>
      </c>
      <c r="AK134" s="6"/>
      <c r="AL134" s="6"/>
      <c r="AM134" s="6"/>
      <c r="AN134" s="6"/>
      <c r="AO134" s="41"/>
      <c r="AP134" s="42" t="str">
        <f t="shared" si="67"/>
        <v/>
      </c>
      <c r="AQ134" s="42" t="str">
        <f t="shared" si="68"/>
        <v/>
      </c>
      <c r="AR134" s="41"/>
      <c r="AS134" s="42" t="str">
        <f t="shared" si="69"/>
        <v/>
      </c>
      <c r="AT134" s="45"/>
    </row>
    <row r="135" spans="1:46" ht="15" customHeight="1" x14ac:dyDescent="0.3">
      <c r="A135" s="6"/>
      <c r="B135" s="14"/>
      <c r="C135" s="15"/>
      <c r="D135" s="15"/>
      <c r="E135" s="15"/>
      <c r="F135" s="15"/>
      <c r="G135" s="15"/>
      <c r="H135" s="15"/>
      <c r="I135" s="15"/>
      <c r="J135" s="15"/>
      <c r="K135" s="15"/>
      <c r="L135" s="15"/>
      <c r="M135" s="15"/>
      <c r="N135" s="15"/>
      <c r="O135" s="15"/>
      <c r="P135" s="16">
        <f t="shared" si="56"/>
        <v>0</v>
      </c>
      <c r="Q135" s="15"/>
      <c r="R135" s="15"/>
      <c r="S135" s="16">
        <f t="shared" si="57"/>
        <v>0</v>
      </c>
      <c r="T135" s="15"/>
      <c r="U135" s="15"/>
      <c r="V135" s="16">
        <f t="shared" si="58"/>
        <v>0</v>
      </c>
      <c r="W135" s="15"/>
      <c r="X135" s="15"/>
      <c r="Y135" s="15"/>
      <c r="Z135" s="15"/>
      <c r="AA135" s="15"/>
      <c r="AB135" s="15"/>
      <c r="AC135" s="16">
        <f t="shared" si="59"/>
        <v>0</v>
      </c>
      <c r="AD135" s="17" t="str">
        <f t="shared" si="60"/>
        <v/>
      </c>
      <c r="AE135" s="17" t="str">
        <f t="shared" si="61"/>
        <v/>
      </c>
      <c r="AF135" s="17" t="str">
        <f t="shared" si="62"/>
        <v/>
      </c>
      <c r="AG135" s="18" t="str">
        <f t="shared" si="63"/>
        <v/>
      </c>
      <c r="AH135" s="18" t="str">
        <f t="shared" si="64"/>
        <v/>
      </c>
      <c r="AI135" s="18" t="str">
        <f t="shared" si="65"/>
        <v/>
      </c>
      <c r="AJ135" s="18" t="str">
        <f t="shared" si="66"/>
        <v/>
      </c>
      <c r="AK135" s="6"/>
      <c r="AL135" s="6"/>
      <c r="AM135" s="6"/>
      <c r="AN135" s="6"/>
      <c r="AO135" s="41"/>
      <c r="AP135" s="42" t="str">
        <f t="shared" si="67"/>
        <v/>
      </c>
      <c r="AQ135" s="42" t="str">
        <f t="shared" si="68"/>
        <v/>
      </c>
      <c r="AR135" s="41"/>
      <c r="AS135" s="42" t="str">
        <f t="shared" si="69"/>
        <v/>
      </c>
      <c r="AT135" s="45"/>
    </row>
    <row r="136" spans="1:46" ht="15" customHeight="1" x14ac:dyDescent="0.3">
      <c r="A136" s="6"/>
      <c r="B136" s="14"/>
      <c r="C136" s="15"/>
      <c r="D136" s="15"/>
      <c r="E136" s="15"/>
      <c r="F136" s="15"/>
      <c r="G136" s="15"/>
      <c r="H136" s="15"/>
      <c r="I136" s="15"/>
      <c r="J136" s="15"/>
      <c r="K136" s="15"/>
      <c r="L136" s="15"/>
      <c r="M136" s="15"/>
      <c r="N136" s="15"/>
      <c r="O136" s="15"/>
      <c r="P136" s="16">
        <f t="shared" si="56"/>
        <v>0</v>
      </c>
      <c r="Q136" s="15"/>
      <c r="R136" s="15"/>
      <c r="S136" s="16">
        <f t="shared" si="57"/>
        <v>0</v>
      </c>
      <c r="T136" s="15"/>
      <c r="U136" s="15"/>
      <c r="V136" s="16">
        <f t="shared" si="58"/>
        <v>0</v>
      </c>
      <c r="W136" s="15"/>
      <c r="X136" s="15"/>
      <c r="Y136" s="15"/>
      <c r="Z136" s="15"/>
      <c r="AA136" s="15"/>
      <c r="AB136" s="15"/>
      <c r="AC136" s="16">
        <f t="shared" si="59"/>
        <v>0</v>
      </c>
      <c r="AD136" s="17" t="str">
        <f t="shared" si="60"/>
        <v/>
      </c>
      <c r="AE136" s="17" t="str">
        <f t="shared" si="61"/>
        <v/>
      </c>
      <c r="AF136" s="17" t="str">
        <f t="shared" si="62"/>
        <v/>
      </c>
      <c r="AG136" s="18" t="str">
        <f t="shared" si="63"/>
        <v/>
      </c>
      <c r="AH136" s="18" t="str">
        <f t="shared" si="64"/>
        <v/>
      </c>
      <c r="AI136" s="18" t="str">
        <f t="shared" si="65"/>
        <v/>
      </c>
      <c r="AJ136" s="18" t="str">
        <f t="shared" si="66"/>
        <v/>
      </c>
      <c r="AK136" s="6"/>
      <c r="AL136" s="6"/>
      <c r="AM136" s="6"/>
      <c r="AN136" s="6"/>
      <c r="AO136" s="41"/>
      <c r="AP136" s="42" t="str">
        <f t="shared" si="67"/>
        <v/>
      </c>
      <c r="AQ136" s="42" t="str">
        <f t="shared" si="68"/>
        <v/>
      </c>
      <c r="AR136" s="41"/>
      <c r="AS136" s="42" t="str">
        <f t="shared" si="69"/>
        <v/>
      </c>
      <c r="AT136" s="45"/>
    </row>
    <row r="137" spans="1:46" ht="15" customHeight="1" x14ac:dyDescent="0.3">
      <c r="A137" s="6"/>
      <c r="B137" s="14"/>
      <c r="C137" s="15"/>
      <c r="D137" s="15"/>
      <c r="E137" s="15"/>
      <c r="F137" s="15"/>
      <c r="G137" s="15"/>
      <c r="H137" s="15"/>
      <c r="I137" s="15"/>
      <c r="J137" s="15"/>
      <c r="K137" s="15"/>
      <c r="L137" s="15"/>
      <c r="M137" s="15"/>
      <c r="N137" s="15"/>
      <c r="O137" s="15"/>
      <c r="P137" s="16">
        <f t="shared" si="56"/>
        <v>0</v>
      </c>
      <c r="Q137" s="15"/>
      <c r="R137" s="15"/>
      <c r="S137" s="16">
        <f t="shared" si="57"/>
        <v>0</v>
      </c>
      <c r="T137" s="15"/>
      <c r="U137" s="15"/>
      <c r="V137" s="16">
        <f t="shared" si="58"/>
        <v>0</v>
      </c>
      <c r="W137" s="15"/>
      <c r="X137" s="15"/>
      <c r="Y137" s="15"/>
      <c r="Z137" s="15"/>
      <c r="AA137" s="15"/>
      <c r="AB137" s="15"/>
      <c r="AC137" s="16">
        <f t="shared" si="59"/>
        <v>0</v>
      </c>
      <c r="AD137" s="17" t="str">
        <f t="shared" si="60"/>
        <v/>
      </c>
      <c r="AE137" s="17" t="str">
        <f t="shared" si="61"/>
        <v/>
      </c>
      <c r="AF137" s="17" t="str">
        <f t="shared" si="62"/>
        <v/>
      </c>
      <c r="AG137" s="18" t="str">
        <f t="shared" si="63"/>
        <v/>
      </c>
      <c r="AH137" s="18" t="str">
        <f t="shared" si="64"/>
        <v/>
      </c>
      <c r="AI137" s="18" t="str">
        <f t="shared" si="65"/>
        <v/>
      </c>
      <c r="AJ137" s="18" t="str">
        <f t="shared" si="66"/>
        <v/>
      </c>
      <c r="AK137" s="6"/>
      <c r="AL137" s="6"/>
      <c r="AM137" s="6"/>
      <c r="AN137" s="6"/>
      <c r="AO137" s="41"/>
      <c r="AP137" s="42" t="str">
        <f t="shared" si="67"/>
        <v/>
      </c>
      <c r="AQ137" s="42" t="str">
        <f t="shared" si="68"/>
        <v/>
      </c>
      <c r="AR137" s="41"/>
      <c r="AS137" s="42" t="str">
        <f t="shared" si="69"/>
        <v/>
      </c>
      <c r="AT137" s="45"/>
    </row>
    <row r="138" spans="1:46" ht="15" customHeight="1" x14ac:dyDescent="0.3">
      <c r="A138" s="6"/>
      <c r="B138" s="14"/>
      <c r="C138" s="15"/>
      <c r="D138" s="15"/>
      <c r="E138" s="15"/>
      <c r="F138" s="15"/>
      <c r="G138" s="15"/>
      <c r="H138" s="15"/>
      <c r="I138" s="15"/>
      <c r="J138" s="15"/>
      <c r="K138" s="15"/>
      <c r="L138" s="15"/>
      <c r="M138" s="15"/>
      <c r="N138" s="15"/>
      <c r="O138" s="15"/>
      <c r="P138" s="16">
        <f t="shared" si="56"/>
        <v>0</v>
      </c>
      <c r="Q138" s="15"/>
      <c r="R138" s="15"/>
      <c r="S138" s="16">
        <f t="shared" si="57"/>
        <v>0</v>
      </c>
      <c r="T138" s="15"/>
      <c r="U138" s="15"/>
      <c r="V138" s="16">
        <f t="shared" si="58"/>
        <v>0</v>
      </c>
      <c r="W138" s="15"/>
      <c r="X138" s="15"/>
      <c r="Y138" s="15"/>
      <c r="Z138" s="15"/>
      <c r="AA138" s="15"/>
      <c r="AB138" s="15"/>
      <c r="AC138" s="16">
        <f t="shared" si="59"/>
        <v>0</v>
      </c>
      <c r="AD138" s="17" t="str">
        <f t="shared" si="60"/>
        <v/>
      </c>
      <c r="AE138" s="17" t="str">
        <f t="shared" si="61"/>
        <v/>
      </c>
      <c r="AF138" s="17" t="str">
        <f t="shared" si="62"/>
        <v/>
      </c>
      <c r="AG138" s="18" t="str">
        <f t="shared" si="63"/>
        <v/>
      </c>
      <c r="AH138" s="18" t="str">
        <f t="shared" si="64"/>
        <v/>
      </c>
      <c r="AI138" s="18" t="str">
        <f t="shared" si="65"/>
        <v/>
      </c>
      <c r="AJ138" s="18" t="str">
        <f t="shared" si="66"/>
        <v/>
      </c>
      <c r="AK138" s="6"/>
      <c r="AL138" s="6"/>
      <c r="AM138" s="6"/>
      <c r="AN138" s="6"/>
      <c r="AO138" s="41"/>
      <c r="AP138" s="42" t="str">
        <f t="shared" si="67"/>
        <v/>
      </c>
      <c r="AQ138" s="42" t="str">
        <f t="shared" si="68"/>
        <v/>
      </c>
      <c r="AR138" s="41"/>
      <c r="AS138" s="42" t="str">
        <f t="shared" si="69"/>
        <v/>
      </c>
      <c r="AT138" s="45"/>
    </row>
    <row r="139" spans="1:46" ht="15" customHeight="1" x14ac:dyDescent="0.3">
      <c r="A139" s="6"/>
      <c r="B139" s="14"/>
      <c r="C139" s="15"/>
      <c r="D139" s="15"/>
      <c r="E139" s="15"/>
      <c r="F139" s="15"/>
      <c r="G139" s="15"/>
      <c r="H139" s="15"/>
      <c r="I139" s="15"/>
      <c r="J139" s="15"/>
      <c r="K139" s="15"/>
      <c r="L139" s="15"/>
      <c r="M139" s="15"/>
      <c r="N139" s="15"/>
      <c r="O139" s="15"/>
      <c r="P139" s="16">
        <f t="shared" si="56"/>
        <v>0</v>
      </c>
      <c r="Q139" s="15"/>
      <c r="R139" s="15"/>
      <c r="S139" s="16">
        <f t="shared" si="57"/>
        <v>0</v>
      </c>
      <c r="T139" s="15"/>
      <c r="U139" s="15"/>
      <c r="V139" s="16">
        <f t="shared" si="58"/>
        <v>0</v>
      </c>
      <c r="W139" s="15"/>
      <c r="X139" s="15"/>
      <c r="Y139" s="15"/>
      <c r="Z139" s="15"/>
      <c r="AA139" s="15"/>
      <c r="AB139" s="15"/>
      <c r="AC139" s="16">
        <f t="shared" si="59"/>
        <v>0</v>
      </c>
      <c r="AD139" s="17" t="str">
        <f t="shared" si="60"/>
        <v/>
      </c>
      <c r="AE139" s="17" t="str">
        <f t="shared" si="61"/>
        <v/>
      </c>
      <c r="AF139" s="17" t="str">
        <f t="shared" si="62"/>
        <v/>
      </c>
      <c r="AG139" s="18" t="str">
        <f t="shared" si="63"/>
        <v/>
      </c>
      <c r="AH139" s="18" t="str">
        <f t="shared" si="64"/>
        <v/>
      </c>
      <c r="AI139" s="18" t="str">
        <f t="shared" si="65"/>
        <v/>
      </c>
      <c r="AJ139" s="18" t="str">
        <f t="shared" si="66"/>
        <v/>
      </c>
      <c r="AK139" s="6"/>
      <c r="AL139" s="6"/>
      <c r="AM139" s="6"/>
      <c r="AN139" s="6"/>
      <c r="AO139" s="41"/>
      <c r="AP139" s="42" t="str">
        <f t="shared" si="67"/>
        <v/>
      </c>
      <c r="AQ139" s="42" t="str">
        <f t="shared" si="68"/>
        <v/>
      </c>
      <c r="AR139" s="41"/>
      <c r="AS139" s="42" t="str">
        <f t="shared" si="69"/>
        <v/>
      </c>
      <c r="AT139" s="45"/>
    </row>
    <row r="140" spans="1:46" ht="15" customHeight="1" x14ac:dyDescent="0.3">
      <c r="A140" s="6"/>
      <c r="B140" s="14"/>
      <c r="C140" s="15"/>
      <c r="D140" s="15"/>
      <c r="E140" s="15"/>
      <c r="F140" s="15"/>
      <c r="G140" s="15"/>
      <c r="H140" s="15"/>
      <c r="I140" s="15"/>
      <c r="J140" s="15"/>
      <c r="K140" s="15"/>
      <c r="L140" s="15"/>
      <c r="M140" s="15"/>
      <c r="N140" s="15"/>
      <c r="O140" s="15"/>
      <c r="P140" s="16">
        <f t="shared" si="56"/>
        <v>0</v>
      </c>
      <c r="Q140" s="15"/>
      <c r="R140" s="15"/>
      <c r="S140" s="16">
        <f t="shared" si="57"/>
        <v>0</v>
      </c>
      <c r="T140" s="15"/>
      <c r="U140" s="15"/>
      <c r="V140" s="16">
        <f t="shared" si="58"/>
        <v>0</v>
      </c>
      <c r="W140" s="15"/>
      <c r="X140" s="15"/>
      <c r="Y140" s="15"/>
      <c r="Z140" s="15"/>
      <c r="AA140" s="15"/>
      <c r="AB140" s="15"/>
      <c r="AC140" s="16">
        <f t="shared" si="59"/>
        <v>0</v>
      </c>
      <c r="AD140" s="17" t="str">
        <f t="shared" si="60"/>
        <v/>
      </c>
      <c r="AE140" s="17" t="str">
        <f t="shared" si="61"/>
        <v/>
      </c>
      <c r="AF140" s="17" t="str">
        <f t="shared" si="62"/>
        <v/>
      </c>
      <c r="AG140" s="18" t="str">
        <f t="shared" si="63"/>
        <v/>
      </c>
      <c r="AH140" s="18" t="str">
        <f t="shared" si="64"/>
        <v/>
      </c>
      <c r="AI140" s="18" t="str">
        <f t="shared" si="65"/>
        <v/>
      </c>
      <c r="AJ140" s="18" t="str">
        <f t="shared" si="66"/>
        <v/>
      </c>
      <c r="AK140" s="6"/>
      <c r="AL140" s="6"/>
      <c r="AM140" s="6"/>
      <c r="AN140" s="6"/>
      <c r="AO140" s="41"/>
      <c r="AP140" s="42" t="str">
        <f t="shared" si="67"/>
        <v/>
      </c>
      <c r="AQ140" s="42" t="str">
        <f t="shared" si="68"/>
        <v/>
      </c>
      <c r="AR140" s="41"/>
      <c r="AS140" s="42" t="str">
        <f t="shared" si="69"/>
        <v/>
      </c>
      <c r="AT140" s="45"/>
    </row>
    <row r="141" spans="1:46" ht="15" customHeight="1" x14ac:dyDescent="0.3">
      <c r="A141" s="6"/>
      <c r="B141" s="14"/>
      <c r="C141" s="15"/>
      <c r="D141" s="15"/>
      <c r="E141" s="15"/>
      <c r="F141" s="15"/>
      <c r="G141" s="15"/>
      <c r="H141" s="15"/>
      <c r="I141" s="15"/>
      <c r="J141" s="15"/>
      <c r="K141" s="15"/>
      <c r="L141" s="15"/>
      <c r="M141" s="15"/>
      <c r="N141" s="15"/>
      <c r="O141" s="15"/>
      <c r="P141" s="16">
        <f t="shared" si="56"/>
        <v>0</v>
      </c>
      <c r="Q141" s="15"/>
      <c r="R141" s="15"/>
      <c r="S141" s="16">
        <f t="shared" si="57"/>
        <v>0</v>
      </c>
      <c r="T141" s="15"/>
      <c r="U141" s="15"/>
      <c r="V141" s="16">
        <f t="shared" si="58"/>
        <v>0</v>
      </c>
      <c r="W141" s="15"/>
      <c r="X141" s="15"/>
      <c r="Y141" s="15"/>
      <c r="Z141" s="15"/>
      <c r="AA141" s="15"/>
      <c r="AB141" s="15"/>
      <c r="AC141" s="16">
        <f t="shared" si="59"/>
        <v>0</v>
      </c>
      <c r="AD141" s="17" t="str">
        <f t="shared" si="60"/>
        <v/>
      </c>
      <c r="AE141" s="17" t="str">
        <f t="shared" si="61"/>
        <v/>
      </c>
      <c r="AF141" s="17" t="str">
        <f t="shared" si="62"/>
        <v/>
      </c>
      <c r="AG141" s="18" t="str">
        <f t="shared" si="63"/>
        <v/>
      </c>
      <c r="AH141" s="18" t="str">
        <f t="shared" si="64"/>
        <v/>
      </c>
      <c r="AI141" s="18" t="str">
        <f t="shared" si="65"/>
        <v/>
      </c>
      <c r="AJ141" s="18" t="str">
        <f t="shared" si="66"/>
        <v/>
      </c>
      <c r="AK141" s="6"/>
      <c r="AL141" s="6"/>
      <c r="AM141" s="6"/>
      <c r="AN141" s="6"/>
      <c r="AO141" s="41"/>
      <c r="AP141" s="42" t="str">
        <f t="shared" si="67"/>
        <v/>
      </c>
      <c r="AQ141" s="42" t="str">
        <f t="shared" si="68"/>
        <v/>
      </c>
      <c r="AR141" s="41"/>
      <c r="AS141" s="42" t="str">
        <f t="shared" si="69"/>
        <v/>
      </c>
      <c r="AT141" s="45"/>
    </row>
    <row r="142" spans="1:46" ht="15" customHeight="1" x14ac:dyDescent="0.3">
      <c r="A142" s="6"/>
      <c r="B142" s="14"/>
      <c r="C142" s="15"/>
      <c r="D142" s="15"/>
      <c r="E142" s="15"/>
      <c r="F142" s="15"/>
      <c r="G142" s="15"/>
      <c r="H142" s="15"/>
      <c r="I142" s="15"/>
      <c r="J142" s="15"/>
      <c r="K142" s="15"/>
      <c r="L142" s="15"/>
      <c r="M142" s="15"/>
      <c r="N142" s="15"/>
      <c r="O142" s="15"/>
      <c r="P142" s="16">
        <f t="shared" si="56"/>
        <v>0</v>
      </c>
      <c r="Q142" s="15"/>
      <c r="R142" s="15"/>
      <c r="S142" s="16">
        <f t="shared" si="57"/>
        <v>0</v>
      </c>
      <c r="T142" s="15"/>
      <c r="U142" s="15"/>
      <c r="V142" s="16">
        <f t="shared" si="58"/>
        <v>0</v>
      </c>
      <c r="W142" s="15"/>
      <c r="X142" s="15"/>
      <c r="Y142" s="15"/>
      <c r="Z142" s="15"/>
      <c r="AA142" s="15"/>
      <c r="AB142" s="15"/>
      <c r="AC142" s="16">
        <f t="shared" si="59"/>
        <v>0</v>
      </c>
      <c r="AD142" s="17" t="str">
        <f t="shared" si="60"/>
        <v/>
      </c>
      <c r="AE142" s="17" t="str">
        <f t="shared" si="61"/>
        <v/>
      </c>
      <c r="AF142" s="17" t="str">
        <f t="shared" si="62"/>
        <v/>
      </c>
      <c r="AG142" s="18" t="str">
        <f t="shared" si="63"/>
        <v/>
      </c>
      <c r="AH142" s="18" t="str">
        <f t="shared" si="64"/>
        <v/>
      </c>
      <c r="AI142" s="18" t="str">
        <f t="shared" si="65"/>
        <v/>
      </c>
      <c r="AJ142" s="18" t="str">
        <f t="shared" si="66"/>
        <v/>
      </c>
      <c r="AK142" s="6"/>
      <c r="AL142" s="6"/>
      <c r="AM142" s="6"/>
      <c r="AN142" s="6"/>
      <c r="AO142" s="41"/>
      <c r="AP142" s="42" t="str">
        <f t="shared" si="67"/>
        <v/>
      </c>
      <c r="AQ142" s="42" t="str">
        <f t="shared" si="68"/>
        <v/>
      </c>
      <c r="AR142" s="41"/>
      <c r="AS142" s="42" t="str">
        <f t="shared" si="69"/>
        <v/>
      </c>
      <c r="AT142" s="45"/>
    </row>
    <row r="143" spans="1:46" ht="15" customHeight="1" x14ac:dyDescent="0.3">
      <c r="A143" s="6"/>
      <c r="B143" s="14"/>
      <c r="C143" s="15"/>
      <c r="D143" s="15"/>
      <c r="E143" s="15"/>
      <c r="F143" s="15"/>
      <c r="G143" s="15"/>
      <c r="H143" s="15"/>
      <c r="I143" s="15"/>
      <c r="J143" s="15"/>
      <c r="K143" s="15"/>
      <c r="L143" s="15"/>
      <c r="M143" s="15"/>
      <c r="N143" s="15"/>
      <c r="O143" s="15"/>
      <c r="P143" s="16">
        <f t="shared" si="56"/>
        <v>0</v>
      </c>
      <c r="Q143" s="15"/>
      <c r="R143" s="15"/>
      <c r="S143" s="16">
        <f t="shared" si="57"/>
        <v>0</v>
      </c>
      <c r="T143" s="15"/>
      <c r="U143" s="15"/>
      <c r="V143" s="16">
        <f t="shared" si="58"/>
        <v>0</v>
      </c>
      <c r="W143" s="15"/>
      <c r="X143" s="15"/>
      <c r="Y143" s="15"/>
      <c r="Z143" s="15"/>
      <c r="AA143" s="15"/>
      <c r="AB143" s="15"/>
      <c r="AC143" s="16">
        <f t="shared" si="59"/>
        <v>0</v>
      </c>
      <c r="AD143" s="17" t="str">
        <f t="shared" si="60"/>
        <v/>
      </c>
      <c r="AE143" s="17" t="str">
        <f t="shared" si="61"/>
        <v/>
      </c>
      <c r="AF143" s="17" t="str">
        <f t="shared" si="62"/>
        <v/>
      </c>
      <c r="AG143" s="18" t="str">
        <f t="shared" si="63"/>
        <v/>
      </c>
      <c r="AH143" s="18" t="str">
        <f t="shared" si="64"/>
        <v/>
      </c>
      <c r="AI143" s="18" t="str">
        <f t="shared" si="65"/>
        <v/>
      </c>
      <c r="AJ143" s="18" t="str">
        <f t="shared" si="66"/>
        <v/>
      </c>
      <c r="AK143" s="6"/>
      <c r="AL143" s="6"/>
      <c r="AM143" s="6"/>
      <c r="AN143" s="6"/>
      <c r="AO143" s="41"/>
      <c r="AP143" s="42" t="str">
        <f t="shared" si="67"/>
        <v/>
      </c>
      <c r="AQ143" s="42" t="str">
        <f t="shared" si="68"/>
        <v/>
      </c>
      <c r="AR143" s="41"/>
      <c r="AS143" s="42" t="str">
        <f t="shared" si="69"/>
        <v/>
      </c>
      <c r="AT143" s="45"/>
    </row>
    <row r="144" spans="1:46" ht="15" customHeight="1" x14ac:dyDescent="0.3">
      <c r="A144" s="6"/>
      <c r="B144" s="14"/>
      <c r="C144" s="15"/>
      <c r="D144" s="15"/>
      <c r="E144" s="15"/>
      <c r="F144" s="15"/>
      <c r="G144" s="15"/>
      <c r="H144" s="15"/>
      <c r="I144" s="15"/>
      <c r="J144" s="15"/>
      <c r="K144" s="15"/>
      <c r="L144" s="15"/>
      <c r="M144" s="15"/>
      <c r="N144" s="15"/>
      <c r="O144" s="15"/>
      <c r="P144" s="16">
        <f t="shared" si="56"/>
        <v>0</v>
      </c>
      <c r="Q144" s="15"/>
      <c r="R144" s="15"/>
      <c r="S144" s="16">
        <f t="shared" si="57"/>
        <v>0</v>
      </c>
      <c r="T144" s="15"/>
      <c r="U144" s="15"/>
      <c r="V144" s="16">
        <f t="shared" si="58"/>
        <v>0</v>
      </c>
      <c r="W144" s="15"/>
      <c r="X144" s="15"/>
      <c r="Y144" s="15"/>
      <c r="Z144" s="15"/>
      <c r="AA144" s="15"/>
      <c r="AB144" s="15"/>
      <c r="AC144" s="16">
        <f t="shared" si="59"/>
        <v>0</v>
      </c>
      <c r="AD144" s="17" t="str">
        <f t="shared" si="60"/>
        <v/>
      </c>
      <c r="AE144" s="17" t="str">
        <f t="shared" si="61"/>
        <v/>
      </c>
      <c r="AF144" s="17" t="str">
        <f t="shared" si="62"/>
        <v/>
      </c>
      <c r="AG144" s="18" t="str">
        <f t="shared" si="63"/>
        <v/>
      </c>
      <c r="AH144" s="18" t="str">
        <f t="shared" si="64"/>
        <v/>
      </c>
      <c r="AI144" s="18" t="str">
        <f t="shared" si="65"/>
        <v/>
      </c>
      <c r="AJ144" s="18" t="str">
        <f t="shared" si="66"/>
        <v/>
      </c>
      <c r="AK144" s="6"/>
      <c r="AL144" s="6"/>
      <c r="AM144" s="6"/>
      <c r="AN144" s="6"/>
      <c r="AO144" s="41"/>
      <c r="AP144" s="42" t="str">
        <f t="shared" si="67"/>
        <v/>
      </c>
      <c r="AQ144" s="42" t="str">
        <f t="shared" si="68"/>
        <v/>
      </c>
      <c r="AR144" s="41"/>
      <c r="AS144" s="42" t="str">
        <f t="shared" si="69"/>
        <v/>
      </c>
      <c r="AT144" s="45"/>
    </row>
    <row r="145" spans="1:46" ht="15" customHeight="1" x14ac:dyDescent="0.3">
      <c r="A145" s="6"/>
      <c r="B145" s="14"/>
      <c r="C145" s="15"/>
      <c r="D145" s="15"/>
      <c r="E145" s="15"/>
      <c r="F145" s="15"/>
      <c r="G145" s="15"/>
      <c r="H145" s="15"/>
      <c r="I145" s="15"/>
      <c r="J145" s="15"/>
      <c r="K145" s="15"/>
      <c r="L145" s="15"/>
      <c r="M145" s="15"/>
      <c r="N145" s="15"/>
      <c r="O145" s="15"/>
      <c r="P145" s="16">
        <f t="shared" si="56"/>
        <v>0</v>
      </c>
      <c r="Q145" s="15"/>
      <c r="R145" s="15"/>
      <c r="S145" s="16">
        <f t="shared" si="57"/>
        <v>0</v>
      </c>
      <c r="T145" s="15"/>
      <c r="U145" s="15"/>
      <c r="V145" s="16">
        <f t="shared" si="58"/>
        <v>0</v>
      </c>
      <c r="W145" s="15"/>
      <c r="X145" s="15"/>
      <c r="Y145" s="15"/>
      <c r="Z145" s="15"/>
      <c r="AA145" s="15"/>
      <c r="AB145" s="15"/>
      <c r="AC145" s="16">
        <f t="shared" si="59"/>
        <v>0</v>
      </c>
      <c r="AD145" s="17" t="str">
        <f t="shared" si="60"/>
        <v/>
      </c>
      <c r="AE145" s="17" t="str">
        <f t="shared" si="61"/>
        <v/>
      </c>
      <c r="AF145" s="17" t="str">
        <f t="shared" si="62"/>
        <v/>
      </c>
      <c r="AG145" s="18" t="str">
        <f t="shared" si="63"/>
        <v/>
      </c>
      <c r="AH145" s="18" t="str">
        <f t="shared" si="64"/>
        <v/>
      </c>
      <c r="AI145" s="18" t="str">
        <f t="shared" si="65"/>
        <v/>
      </c>
      <c r="AJ145" s="18" t="str">
        <f t="shared" si="66"/>
        <v/>
      </c>
      <c r="AK145" s="6"/>
      <c r="AL145" s="6"/>
      <c r="AM145" s="6"/>
      <c r="AN145" s="6"/>
      <c r="AO145" s="41"/>
      <c r="AP145" s="42" t="str">
        <f t="shared" si="67"/>
        <v/>
      </c>
      <c r="AQ145" s="42" t="str">
        <f t="shared" si="68"/>
        <v/>
      </c>
      <c r="AR145" s="41"/>
      <c r="AS145" s="42" t="str">
        <f t="shared" si="69"/>
        <v/>
      </c>
      <c r="AT145" s="45"/>
    </row>
    <row r="146" spans="1:46" ht="15" customHeight="1" x14ac:dyDescent="0.3">
      <c r="A146" s="6"/>
      <c r="B146" s="14"/>
      <c r="C146" s="15"/>
      <c r="D146" s="15"/>
      <c r="E146" s="15"/>
      <c r="F146" s="15"/>
      <c r="G146" s="15"/>
      <c r="H146" s="15"/>
      <c r="I146" s="15"/>
      <c r="J146" s="15"/>
      <c r="K146" s="15"/>
      <c r="L146" s="15"/>
      <c r="M146" s="15"/>
      <c r="N146" s="15"/>
      <c r="O146" s="15"/>
      <c r="P146" s="16">
        <f t="shared" si="56"/>
        <v>0</v>
      </c>
      <c r="Q146" s="15"/>
      <c r="R146" s="15"/>
      <c r="S146" s="16">
        <f t="shared" si="57"/>
        <v>0</v>
      </c>
      <c r="T146" s="15"/>
      <c r="U146" s="15"/>
      <c r="V146" s="16">
        <f t="shared" si="58"/>
        <v>0</v>
      </c>
      <c r="W146" s="15"/>
      <c r="X146" s="15"/>
      <c r="Y146" s="15"/>
      <c r="Z146" s="15"/>
      <c r="AA146" s="15"/>
      <c r="AB146" s="15"/>
      <c r="AC146" s="16">
        <f t="shared" si="59"/>
        <v>0</v>
      </c>
      <c r="AD146" s="17" t="str">
        <f t="shared" si="60"/>
        <v/>
      </c>
      <c r="AE146" s="17" t="str">
        <f t="shared" si="61"/>
        <v/>
      </c>
      <c r="AF146" s="17" t="str">
        <f t="shared" si="62"/>
        <v/>
      </c>
      <c r="AG146" s="18" t="str">
        <f t="shared" si="63"/>
        <v/>
      </c>
      <c r="AH146" s="18" t="str">
        <f t="shared" si="64"/>
        <v/>
      </c>
      <c r="AI146" s="18" t="str">
        <f t="shared" si="65"/>
        <v/>
      </c>
      <c r="AJ146" s="18" t="str">
        <f t="shared" si="66"/>
        <v/>
      </c>
      <c r="AK146" s="6"/>
      <c r="AL146" s="6"/>
      <c r="AM146" s="6"/>
      <c r="AN146" s="6"/>
      <c r="AO146" s="41"/>
      <c r="AP146" s="42" t="str">
        <f t="shared" si="67"/>
        <v/>
      </c>
      <c r="AQ146" s="42" t="str">
        <f t="shared" si="68"/>
        <v/>
      </c>
      <c r="AR146" s="41"/>
      <c r="AS146" s="42" t="str">
        <f t="shared" si="69"/>
        <v/>
      </c>
      <c r="AT146" s="45"/>
    </row>
    <row r="147" spans="1:46" ht="15" customHeight="1" x14ac:dyDescent="0.3">
      <c r="A147" s="6"/>
      <c r="B147" s="14"/>
      <c r="C147" s="15"/>
      <c r="D147" s="15"/>
      <c r="E147" s="15"/>
      <c r="F147" s="15"/>
      <c r="G147" s="15"/>
      <c r="H147" s="15"/>
      <c r="I147" s="15"/>
      <c r="J147" s="15"/>
      <c r="K147" s="15"/>
      <c r="L147" s="15"/>
      <c r="M147" s="15"/>
      <c r="N147" s="15"/>
      <c r="O147" s="15"/>
      <c r="P147" s="16">
        <f t="shared" si="56"/>
        <v>0</v>
      </c>
      <c r="Q147" s="15"/>
      <c r="R147" s="15"/>
      <c r="S147" s="16">
        <f t="shared" si="57"/>
        <v>0</v>
      </c>
      <c r="T147" s="15"/>
      <c r="U147" s="15"/>
      <c r="V147" s="16">
        <f t="shared" si="58"/>
        <v>0</v>
      </c>
      <c r="W147" s="15"/>
      <c r="X147" s="15"/>
      <c r="Y147" s="15"/>
      <c r="Z147" s="15"/>
      <c r="AA147" s="15"/>
      <c r="AB147" s="15"/>
      <c r="AC147" s="16">
        <f t="shared" si="59"/>
        <v>0</v>
      </c>
      <c r="AD147" s="17" t="str">
        <f t="shared" si="60"/>
        <v/>
      </c>
      <c r="AE147" s="17" t="str">
        <f t="shared" si="61"/>
        <v/>
      </c>
      <c r="AF147" s="17" t="str">
        <f t="shared" si="62"/>
        <v/>
      </c>
      <c r="AG147" s="18" t="str">
        <f t="shared" si="63"/>
        <v/>
      </c>
      <c r="AH147" s="18" t="str">
        <f t="shared" si="64"/>
        <v/>
      </c>
      <c r="AI147" s="18" t="str">
        <f t="shared" si="65"/>
        <v/>
      </c>
      <c r="AJ147" s="18" t="str">
        <f t="shared" si="66"/>
        <v/>
      </c>
      <c r="AK147" s="6"/>
      <c r="AL147" s="6"/>
      <c r="AM147" s="6"/>
      <c r="AN147" s="6"/>
      <c r="AO147" s="41"/>
      <c r="AP147" s="42" t="str">
        <f t="shared" si="67"/>
        <v/>
      </c>
      <c r="AQ147" s="42" t="str">
        <f t="shared" si="68"/>
        <v/>
      </c>
      <c r="AR147" s="41"/>
      <c r="AS147" s="42" t="str">
        <f t="shared" si="69"/>
        <v/>
      </c>
      <c r="AT147" s="45"/>
    </row>
    <row r="148" spans="1:46" ht="15" customHeight="1" x14ac:dyDescent="0.3">
      <c r="A148" s="6"/>
      <c r="B148" s="14"/>
      <c r="C148" s="15"/>
      <c r="D148" s="15"/>
      <c r="E148" s="15"/>
      <c r="F148" s="15"/>
      <c r="G148" s="15"/>
      <c r="H148" s="15"/>
      <c r="I148" s="15"/>
      <c r="J148" s="15"/>
      <c r="K148" s="15"/>
      <c r="L148" s="15"/>
      <c r="M148" s="15"/>
      <c r="N148" s="15"/>
      <c r="O148" s="15"/>
      <c r="P148" s="16">
        <f t="shared" si="56"/>
        <v>0</v>
      </c>
      <c r="Q148" s="15"/>
      <c r="R148" s="15"/>
      <c r="S148" s="16">
        <f t="shared" si="57"/>
        <v>0</v>
      </c>
      <c r="T148" s="15"/>
      <c r="U148" s="15"/>
      <c r="V148" s="16">
        <f t="shared" si="58"/>
        <v>0</v>
      </c>
      <c r="W148" s="15"/>
      <c r="X148" s="15"/>
      <c r="Y148" s="15"/>
      <c r="Z148" s="15"/>
      <c r="AA148" s="15"/>
      <c r="AB148" s="15"/>
      <c r="AC148" s="16">
        <f t="shared" si="59"/>
        <v>0</v>
      </c>
      <c r="AD148" s="17" t="str">
        <f t="shared" si="60"/>
        <v/>
      </c>
      <c r="AE148" s="17" t="str">
        <f t="shared" si="61"/>
        <v/>
      </c>
      <c r="AF148" s="17" t="str">
        <f t="shared" si="62"/>
        <v/>
      </c>
      <c r="AG148" s="18" t="str">
        <f t="shared" si="63"/>
        <v/>
      </c>
      <c r="AH148" s="18" t="str">
        <f t="shared" si="64"/>
        <v/>
      </c>
      <c r="AI148" s="18" t="str">
        <f t="shared" si="65"/>
        <v/>
      </c>
      <c r="AJ148" s="18" t="str">
        <f t="shared" si="66"/>
        <v/>
      </c>
      <c r="AK148" s="6"/>
      <c r="AL148" s="6"/>
      <c r="AM148" s="6"/>
      <c r="AN148" s="6"/>
      <c r="AO148" s="41"/>
      <c r="AP148" s="42" t="str">
        <f t="shared" si="67"/>
        <v/>
      </c>
      <c r="AQ148" s="42" t="str">
        <f t="shared" si="68"/>
        <v/>
      </c>
      <c r="AR148" s="41"/>
      <c r="AS148" s="42" t="str">
        <f t="shared" si="69"/>
        <v/>
      </c>
      <c r="AT148" s="45"/>
    </row>
    <row r="149" spans="1:46" ht="15" customHeight="1" x14ac:dyDescent="0.3">
      <c r="A149" s="6"/>
      <c r="B149" s="14"/>
      <c r="C149" s="15"/>
      <c r="D149" s="15"/>
      <c r="E149" s="15"/>
      <c r="F149" s="15"/>
      <c r="G149" s="15"/>
      <c r="H149" s="15"/>
      <c r="I149" s="15"/>
      <c r="J149" s="15"/>
      <c r="K149" s="15"/>
      <c r="L149" s="15"/>
      <c r="M149" s="15"/>
      <c r="N149" s="15"/>
      <c r="O149" s="15"/>
      <c r="P149" s="16">
        <f t="shared" si="56"/>
        <v>0</v>
      </c>
      <c r="Q149" s="15"/>
      <c r="R149" s="15"/>
      <c r="S149" s="16">
        <f t="shared" si="57"/>
        <v>0</v>
      </c>
      <c r="T149" s="15"/>
      <c r="U149" s="15"/>
      <c r="V149" s="16">
        <f t="shared" si="58"/>
        <v>0</v>
      </c>
      <c r="W149" s="15"/>
      <c r="X149" s="15"/>
      <c r="Y149" s="15"/>
      <c r="Z149" s="15"/>
      <c r="AA149" s="15"/>
      <c r="AB149" s="15"/>
      <c r="AC149" s="16">
        <f t="shared" si="59"/>
        <v>0</v>
      </c>
      <c r="AD149" s="17" t="str">
        <f t="shared" si="60"/>
        <v/>
      </c>
      <c r="AE149" s="17" t="str">
        <f t="shared" si="61"/>
        <v/>
      </c>
      <c r="AF149" s="17" t="str">
        <f t="shared" si="62"/>
        <v/>
      </c>
      <c r="AG149" s="18" t="str">
        <f t="shared" si="63"/>
        <v/>
      </c>
      <c r="AH149" s="18" t="str">
        <f t="shared" si="64"/>
        <v/>
      </c>
      <c r="AI149" s="18" t="str">
        <f t="shared" si="65"/>
        <v/>
      </c>
      <c r="AJ149" s="18" t="str">
        <f t="shared" si="66"/>
        <v/>
      </c>
      <c r="AK149" s="6"/>
      <c r="AL149" s="6"/>
      <c r="AM149" s="6"/>
      <c r="AN149" s="6"/>
      <c r="AO149" s="41"/>
      <c r="AP149" s="42" t="str">
        <f t="shared" si="67"/>
        <v/>
      </c>
      <c r="AQ149" s="42" t="str">
        <f t="shared" si="68"/>
        <v/>
      </c>
      <c r="AR149" s="41"/>
      <c r="AS149" s="42" t="str">
        <f t="shared" si="69"/>
        <v/>
      </c>
      <c r="AT149" s="45"/>
    </row>
    <row r="150" spans="1:46" ht="15" customHeight="1" x14ac:dyDescent="0.3">
      <c r="A150" s="6"/>
      <c r="B150" s="14"/>
      <c r="C150" s="15"/>
      <c r="D150" s="15"/>
      <c r="E150" s="15"/>
      <c r="F150" s="15"/>
      <c r="G150" s="15"/>
      <c r="H150" s="15"/>
      <c r="I150" s="15"/>
      <c r="J150" s="15"/>
      <c r="K150" s="15"/>
      <c r="L150" s="15"/>
      <c r="M150" s="15"/>
      <c r="N150" s="15"/>
      <c r="O150" s="15"/>
      <c r="P150" s="16">
        <f t="shared" si="56"/>
        <v>0</v>
      </c>
      <c r="Q150" s="15"/>
      <c r="R150" s="15"/>
      <c r="S150" s="16">
        <f t="shared" si="57"/>
        <v>0</v>
      </c>
      <c r="T150" s="15"/>
      <c r="U150" s="15"/>
      <c r="V150" s="16">
        <f t="shared" si="58"/>
        <v>0</v>
      </c>
      <c r="W150" s="15"/>
      <c r="X150" s="15"/>
      <c r="Y150" s="15"/>
      <c r="Z150" s="15"/>
      <c r="AA150" s="15"/>
      <c r="AB150" s="15"/>
      <c r="AC150" s="16">
        <f t="shared" si="59"/>
        <v>0</v>
      </c>
      <c r="AD150" s="17" t="str">
        <f t="shared" si="60"/>
        <v/>
      </c>
      <c r="AE150" s="17" t="str">
        <f t="shared" si="61"/>
        <v/>
      </c>
      <c r="AF150" s="17" t="str">
        <f t="shared" si="62"/>
        <v/>
      </c>
      <c r="AG150" s="18" t="str">
        <f t="shared" si="63"/>
        <v/>
      </c>
      <c r="AH150" s="18" t="str">
        <f t="shared" si="64"/>
        <v/>
      </c>
      <c r="AI150" s="18" t="str">
        <f t="shared" si="65"/>
        <v/>
      </c>
      <c r="AJ150" s="18" t="str">
        <f t="shared" si="66"/>
        <v/>
      </c>
      <c r="AK150" s="6"/>
      <c r="AL150" s="6"/>
      <c r="AM150" s="6"/>
      <c r="AN150" s="6"/>
      <c r="AO150" s="41"/>
      <c r="AP150" s="42" t="str">
        <f t="shared" si="67"/>
        <v/>
      </c>
      <c r="AQ150" s="42" t="str">
        <f t="shared" si="68"/>
        <v/>
      </c>
      <c r="AR150" s="41"/>
      <c r="AS150" s="42" t="str">
        <f t="shared" si="69"/>
        <v/>
      </c>
      <c r="AT150" s="45"/>
    </row>
    <row r="151" spans="1:46" ht="15" customHeight="1" x14ac:dyDescent="0.3">
      <c r="A151" s="6"/>
      <c r="B151" s="14"/>
      <c r="C151" s="15"/>
      <c r="D151" s="15"/>
      <c r="E151" s="15"/>
      <c r="F151" s="15"/>
      <c r="G151" s="15"/>
      <c r="H151" s="15"/>
      <c r="I151" s="15"/>
      <c r="J151" s="15"/>
      <c r="K151" s="15"/>
      <c r="L151" s="15"/>
      <c r="M151" s="15"/>
      <c r="N151" s="15"/>
      <c r="O151" s="15"/>
      <c r="P151" s="16">
        <f t="shared" si="56"/>
        <v>0</v>
      </c>
      <c r="Q151" s="15"/>
      <c r="R151" s="15"/>
      <c r="S151" s="16">
        <f t="shared" si="57"/>
        <v>0</v>
      </c>
      <c r="T151" s="15"/>
      <c r="U151" s="15"/>
      <c r="V151" s="16">
        <f t="shared" si="58"/>
        <v>0</v>
      </c>
      <c r="W151" s="15"/>
      <c r="X151" s="15"/>
      <c r="Y151" s="15"/>
      <c r="Z151" s="15"/>
      <c r="AA151" s="15"/>
      <c r="AB151" s="15"/>
      <c r="AC151" s="16">
        <f t="shared" si="59"/>
        <v>0</v>
      </c>
      <c r="AD151" s="17" t="str">
        <f t="shared" si="60"/>
        <v/>
      </c>
      <c r="AE151" s="17" t="str">
        <f t="shared" si="61"/>
        <v/>
      </c>
      <c r="AF151" s="17" t="str">
        <f t="shared" si="62"/>
        <v/>
      </c>
      <c r="AG151" s="18" t="str">
        <f t="shared" si="63"/>
        <v/>
      </c>
      <c r="AH151" s="18" t="str">
        <f t="shared" si="64"/>
        <v/>
      </c>
      <c r="AI151" s="18" t="str">
        <f t="shared" si="65"/>
        <v/>
      </c>
      <c r="AJ151" s="18" t="str">
        <f t="shared" si="66"/>
        <v/>
      </c>
      <c r="AK151" s="6"/>
      <c r="AL151" s="6"/>
      <c r="AM151" s="6"/>
      <c r="AN151" s="6"/>
      <c r="AO151" s="41"/>
      <c r="AP151" s="42" t="str">
        <f t="shared" si="67"/>
        <v/>
      </c>
      <c r="AQ151" s="42" t="str">
        <f t="shared" si="68"/>
        <v/>
      </c>
      <c r="AR151" s="41"/>
      <c r="AS151" s="42" t="str">
        <f t="shared" si="69"/>
        <v/>
      </c>
      <c r="AT151" s="45"/>
    </row>
    <row r="152" spans="1:46" ht="15" customHeight="1" x14ac:dyDescent="0.3">
      <c r="A152" s="6"/>
      <c r="B152" s="14"/>
      <c r="C152" s="15"/>
      <c r="D152" s="15"/>
      <c r="E152" s="15"/>
      <c r="F152" s="15"/>
      <c r="G152" s="15"/>
      <c r="H152" s="15"/>
      <c r="I152" s="15"/>
      <c r="J152" s="15"/>
      <c r="K152" s="15"/>
      <c r="L152" s="15"/>
      <c r="M152" s="15"/>
      <c r="N152" s="15"/>
      <c r="O152" s="15"/>
      <c r="P152" s="16">
        <f t="shared" si="56"/>
        <v>0</v>
      </c>
      <c r="Q152" s="15"/>
      <c r="R152" s="15"/>
      <c r="S152" s="16">
        <f t="shared" si="57"/>
        <v>0</v>
      </c>
      <c r="T152" s="15"/>
      <c r="U152" s="15"/>
      <c r="V152" s="16">
        <f t="shared" si="58"/>
        <v>0</v>
      </c>
      <c r="W152" s="15"/>
      <c r="X152" s="15"/>
      <c r="Y152" s="15"/>
      <c r="Z152" s="15"/>
      <c r="AA152" s="15"/>
      <c r="AB152" s="15"/>
      <c r="AC152" s="16">
        <f t="shared" si="59"/>
        <v>0</v>
      </c>
      <c r="AD152" s="17" t="str">
        <f t="shared" si="60"/>
        <v/>
      </c>
      <c r="AE152" s="17" t="str">
        <f t="shared" si="61"/>
        <v/>
      </c>
      <c r="AF152" s="17" t="str">
        <f t="shared" si="62"/>
        <v/>
      </c>
      <c r="AG152" s="18" t="str">
        <f t="shared" si="63"/>
        <v/>
      </c>
      <c r="AH152" s="18" t="str">
        <f t="shared" si="64"/>
        <v/>
      </c>
      <c r="AI152" s="18" t="str">
        <f t="shared" si="65"/>
        <v/>
      </c>
      <c r="AJ152" s="18" t="str">
        <f t="shared" si="66"/>
        <v/>
      </c>
      <c r="AK152" s="6"/>
      <c r="AL152" s="6"/>
      <c r="AM152" s="6"/>
      <c r="AN152" s="6"/>
      <c r="AO152" s="41"/>
      <c r="AP152" s="42" t="str">
        <f t="shared" si="67"/>
        <v/>
      </c>
      <c r="AQ152" s="42" t="str">
        <f t="shared" si="68"/>
        <v/>
      </c>
      <c r="AR152" s="41"/>
      <c r="AS152" s="42" t="str">
        <f t="shared" si="69"/>
        <v/>
      </c>
      <c r="AT152" s="45"/>
    </row>
    <row r="153" spans="1:46" ht="15" customHeight="1" x14ac:dyDescent="0.3">
      <c r="A153" s="6"/>
      <c r="B153" s="14"/>
      <c r="C153" s="15"/>
      <c r="D153" s="15"/>
      <c r="E153" s="15"/>
      <c r="F153" s="15"/>
      <c r="G153" s="15"/>
      <c r="H153" s="15"/>
      <c r="I153" s="15"/>
      <c r="J153" s="15"/>
      <c r="K153" s="15"/>
      <c r="L153" s="15"/>
      <c r="M153" s="15"/>
      <c r="N153" s="15"/>
      <c r="O153" s="15"/>
      <c r="P153" s="16">
        <f t="shared" si="56"/>
        <v>0</v>
      </c>
      <c r="Q153" s="15"/>
      <c r="R153" s="15"/>
      <c r="S153" s="16">
        <f t="shared" si="57"/>
        <v>0</v>
      </c>
      <c r="T153" s="15"/>
      <c r="U153" s="15"/>
      <c r="V153" s="16">
        <f t="shared" si="58"/>
        <v>0</v>
      </c>
      <c r="W153" s="15"/>
      <c r="X153" s="15"/>
      <c r="Y153" s="15"/>
      <c r="Z153" s="15"/>
      <c r="AA153" s="15"/>
      <c r="AB153" s="15"/>
      <c r="AC153" s="16">
        <f t="shared" si="59"/>
        <v>0</v>
      </c>
      <c r="AD153" s="17" t="str">
        <f t="shared" si="60"/>
        <v/>
      </c>
      <c r="AE153" s="17" t="str">
        <f t="shared" si="61"/>
        <v/>
      </c>
      <c r="AF153" s="17" t="str">
        <f t="shared" si="62"/>
        <v/>
      </c>
      <c r="AG153" s="18" t="str">
        <f t="shared" si="63"/>
        <v/>
      </c>
      <c r="AH153" s="18" t="str">
        <f t="shared" si="64"/>
        <v/>
      </c>
      <c r="AI153" s="18" t="str">
        <f t="shared" si="65"/>
        <v/>
      </c>
      <c r="AJ153" s="18" t="str">
        <f t="shared" si="66"/>
        <v/>
      </c>
      <c r="AK153" s="6"/>
      <c r="AL153" s="6"/>
      <c r="AM153" s="6"/>
      <c r="AN153" s="6"/>
      <c r="AO153" s="41"/>
      <c r="AP153" s="42" t="str">
        <f t="shared" si="67"/>
        <v/>
      </c>
      <c r="AQ153" s="42" t="str">
        <f t="shared" si="68"/>
        <v/>
      </c>
      <c r="AR153" s="41"/>
      <c r="AS153" s="42" t="str">
        <f t="shared" si="69"/>
        <v/>
      </c>
      <c r="AT153" s="45"/>
    </row>
    <row r="154" spans="1:46" ht="15" customHeight="1" x14ac:dyDescent="0.3">
      <c r="A154" s="6"/>
      <c r="B154" s="14"/>
      <c r="C154" s="15"/>
      <c r="D154" s="15"/>
      <c r="E154" s="15"/>
      <c r="F154" s="15"/>
      <c r="G154" s="15"/>
      <c r="H154" s="15"/>
      <c r="I154" s="15"/>
      <c r="J154" s="15"/>
      <c r="K154" s="15"/>
      <c r="L154" s="15"/>
      <c r="M154" s="15"/>
      <c r="N154" s="15"/>
      <c r="O154" s="15"/>
      <c r="P154" s="16">
        <f t="shared" si="56"/>
        <v>0</v>
      </c>
      <c r="Q154" s="15"/>
      <c r="R154" s="15"/>
      <c r="S154" s="16">
        <f t="shared" si="57"/>
        <v>0</v>
      </c>
      <c r="T154" s="15"/>
      <c r="U154" s="15"/>
      <c r="V154" s="16">
        <f t="shared" si="58"/>
        <v>0</v>
      </c>
      <c r="W154" s="15"/>
      <c r="X154" s="15"/>
      <c r="Y154" s="15"/>
      <c r="Z154" s="15"/>
      <c r="AA154" s="15"/>
      <c r="AB154" s="15"/>
      <c r="AC154" s="16">
        <f t="shared" si="59"/>
        <v>0</v>
      </c>
      <c r="AD154" s="17" t="str">
        <f t="shared" si="60"/>
        <v/>
      </c>
      <c r="AE154" s="17" t="str">
        <f t="shared" si="61"/>
        <v/>
      </c>
      <c r="AF154" s="17" t="str">
        <f t="shared" si="62"/>
        <v/>
      </c>
      <c r="AG154" s="18" t="str">
        <f t="shared" si="63"/>
        <v/>
      </c>
      <c r="AH154" s="18" t="str">
        <f t="shared" si="64"/>
        <v/>
      </c>
      <c r="AI154" s="18" t="str">
        <f t="shared" si="65"/>
        <v/>
      </c>
      <c r="AJ154" s="18" t="str">
        <f t="shared" si="66"/>
        <v/>
      </c>
      <c r="AK154" s="6"/>
      <c r="AL154" s="6"/>
      <c r="AM154" s="6"/>
      <c r="AN154" s="6"/>
      <c r="AO154" s="41"/>
      <c r="AP154" s="42" t="str">
        <f t="shared" si="67"/>
        <v/>
      </c>
      <c r="AQ154" s="42" t="str">
        <f t="shared" si="68"/>
        <v/>
      </c>
      <c r="AR154" s="41"/>
      <c r="AS154" s="42" t="str">
        <f t="shared" si="69"/>
        <v/>
      </c>
      <c r="AT154" s="45"/>
    </row>
    <row r="155" spans="1:46" ht="15" customHeight="1" x14ac:dyDescent="0.3">
      <c r="A155" s="6"/>
      <c r="B155" s="14"/>
      <c r="C155" s="15"/>
      <c r="D155" s="15"/>
      <c r="E155" s="15"/>
      <c r="F155" s="15"/>
      <c r="G155" s="15"/>
      <c r="H155" s="15"/>
      <c r="I155" s="15"/>
      <c r="J155" s="15"/>
      <c r="K155" s="15"/>
      <c r="L155" s="15"/>
      <c r="M155" s="15"/>
      <c r="N155" s="15"/>
      <c r="O155" s="15"/>
      <c r="P155" s="16">
        <f t="shared" si="56"/>
        <v>0</v>
      </c>
      <c r="Q155" s="15"/>
      <c r="R155" s="15"/>
      <c r="S155" s="16">
        <f t="shared" si="57"/>
        <v>0</v>
      </c>
      <c r="T155" s="15"/>
      <c r="U155" s="15"/>
      <c r="V155" s="16">
        <f t="shared" si="58"/>
        <v>0</v>
      </c>
      <c r="W155" s="15"/>
      <c r="X155" s="15"/>
      <c r="Y155" s="15"/>
      <c r="Z155" s="15"/>
      <c r="AA155" s="15"/>
      <c r="AB155" s="15"/>
      <c r="AC155" s="16">
        <f t="shared" si="59"/>
        <v>0</v>
      </c>
      <c r="AD155" s="17" t="str">
        <f t="shared" si="60"/>
        <v/>
      </c>
      <c r="AE155" s="17" t="str">
        <f t="shared" si="61"/>
        <v/>
      </c>
      <c r="AF155" s="17" t="str">
        <f t="shared" si="62"/>
        <v/>
      </c>
      <c r="AG155" s="18" t="str">
        <f t="shared" si="63"/>
        <v/>
      </c>
      <c r="AH155" s="18" t="str">
        <f t="shared" si="64"/>
        <v/>
      </c>
      <c r="AI155" s="18" t="str">
        <f t="shared" si="65"/>
        <v/>
      </c>
      <c r="AJ155" s="18" t="str">
        <f t="shared" si="66"/>
        <v/>
      </c>
      <c r="AK155" s="6"/>
      <c r="AL155" s="6"/>
      <c r="AM155" s="6"/>
      <c r="AN155" s="6"/>
      <c r="AO155" s="41"/>
      <c r="AP155" s="42" t="str">
        <f t="shared" si="67"/>
        <v/>
      </c>
      <c r="AQ155" s="42" t="str">
        <f t="shared" si="68"/>
        <v/>
      </c>
      <c r="AR155" s="41"/>
      <c r="AS155" s="42" t="str">
        <f t="shared" si="69"/>
        <v/>
      </c>
      <c r="AT155" s="45"/>
    </row>
    <row r="156" spans="1:46" ht="15" customHeight="1" x14ac:dyDescent="0.3">
      <c r="A156" s="6"/>
      <c r="B156" s="14"/>
      <c r="C156" s="15"/>
      <c r="D156" s="15"/>
      <c r="E156" s="15"/>
      <c r="F156" s="15"/>
      <c r="G156" s="15"/>
      <c r="H156" s="15"/>
      <c r="I156" s="15"/>
      <c r="J156" s="15"/>
      <c r="K156" s="15"/>
      <c r="L156" s="15"/>
      <c r="M156" s="15"/>
      <c r="N156" s="15"/>
      <c r="O156" s="15"/>
      <c r="P156" s="16">
        <f t="shared" si="56"/>
        <v>0</v>
      </c>
      <c r="Q156" s="15"/>
      <c r="R156" s="15"/>
      <c r="S156" s="16">
        <f t="shared" si="57"/>
        <v>0</v>
      </c>
      <c r="T156" s="15"/>
      <c r="U156" s="15"/>
      <c r="V156" s="16">
        <f t="shared" si="58"/>
        <v>0</v>
      </c>
      <c r="W156" s="15"/>
      <c r="X156" s="15"/>
      <c r="Y156" s="15"/>
      <c r="Z156" s="15"/>
      <c r="AA156" s="15"/>
      <c r="AB156" s="15"/>
      <c r="AC156" s="16">
        <f t="shared" si="59"/>
        <v>0</v>
      </c>
      <c r="AD156" s="17" t="str">
        <f t="shared" si="60"/>
        <v/>
      </c>
      <c r="AE156" s="17" t="str">
        <f t="shared" si="61"/>
        <v/>
      </c>
      <c r="AF156" s="17" t="str">
        <f t="shared" si="62"/>
        <v/>
      </c>
      <c r="AG156" s="18" t="str">
        <f t="shared" si="63"/>
        <v/>
      </c>
      <c r="AH156" s="18" t="str">
        <f t="shared" si="64"/>
        <v/>
      </c>
      <c r="AI156" s="18" t="str">
        <f t="shared" si="65"/>
        <v/>
      </c>
      <c r="AJ156" s="18" t="str">
        <f t="shared" si="66"/>
        <v/>
      </c>
      <c r="AK156" s="6"/>
      <c r="AL156" s="6"/>
      <c r="AM156" s="6"/>
      <c r="AN156" s="6"/>
      <c r="AO156" s="41"/>
      <c r="AP156" s="42" t="str">
        <f t="shared" si="67"/>
        <v/>
      </c>
      <c r="AQ156" s="42" t="str">
        <f t="shared" si="68"/>
        <v/>
      </c>
      <c r="AR156" s="41"/>
      <c r="AS156" s="42" t="str">
        <f t="shared" si="69"/>
        <v/>
      </c>
      <c r="AT156" s="45"/>
    </row>
    <row r="157" spans="1:46" ht="15" customHeight="1" x14ac:dyDescent="0.3">
      <c r="A157" s="6"/>
      <c r="B157" s="14"/>
      <c r="C157" s="15"/>
      <c r="D157" s="15"/>
      <c r="E157" s="15"/>
      <c r="F157" s="15"/>
      <c r="G157" s="15"/>
      <c r="H157" s="15"/>
      <c r="I157" s="15"/>
      <c r="J157" s="15"/>
      <c r="K157" s="15"/>
      <c r="L157" s="15"/>
      <c r="M157" s="15"/>
      <c r="N157" s="15"/>
      <c r="O157" s="15"/>
      <c r="P157" s="16">
        <f t="shared" si="56"/>
        <v>0</v>
      </c>
      <c r="Q157" s="15"/>
      <c r="R157" s="15"/>
      <c r="S157" s="16">
        <f t="shared" si="57"/>
        <v>0</v>
      </c>
      <c r="T157" s="15"/>
      <c r="U157" s="15"/>
      <c r="V157" s="16">
        <f t="shared" si="58"/>
        <v>0</v>
      </c>
      <c r="W157" s="15"/>
      <c r="X157" s="15"/>
      <c r="Y157" s="15"/>
      <c r="Z157" s="15"/>
      <c r="AA157" s="15"/>
      <c r="AB157" s="15"/>
      <c r="AC157" s="16">
        <f t="shared" si="59"/>
        <v>0</v>
      </c>
      <c r="AD157" s="17" t="str">
        <f t="shared" si="60"/>
        <v/>
      </c>
      <c r="AE157" s="17" t="str">
        <f t="shared" si="61"/>
        <v/>
      </c>
      <c r="AF157" s="17" t="str">
        <f t="shared" si="62"/>
        <v/>
      </c>
      <c r="AG157" s="18" t="str">
        <f t="shared" si="63"/>
        <v/>
      </c>
      <c r="AH157" s="18" t="str">
        <f t="shared" si="64"/>
        <v/>
      </c>
      <c r="AI157" s="18" t="str">
        <f t="shared" si="65"/>
        <v/>
      </c>
      <c r="AJ157" s="18" t="str">
        <f t="shared" si="66"/>
        <v/>
      </c>
      <c r="AK157" s="6"/>
      <c r="AL157" s="6"/>
      <c r="AM157" s="6"/>
      <c r="AN157" s="6"/>
      <c r="AO157" s="41"/>
      <c r="AP157" s="42" t="str">
        <f t="shared" si="67"/>
        <v/>
      </c>
      <c r="AQ157" s="42" t="str">
        <f t="shared" si="68"/>
        <v/>
      </c>
      <c r="AR157" s="41"/>
      <c r="AS157" s="42" t="str">
        <f t="shared" si="69"/>
        <v/>
      </c>
      <c r="AT157" s="45"/>
    </row>
    <row r="158" spans="1:46" ht="15" customHeight="1" x14ac:dyDescent="0.3">
      <c r="A158" s="6"/>
      <c r="B158" s="14"/>
      <c r="C158" s="15"/>
      <c r="D158" s="15"/>
      <c r="E158" s="15"/>
      <c r="F158" s="15"/>
      <c r="G158" s="15"/>
      <c r="H158" s="15"/>
      <c r="I158" s="15"/>
      <c r="J158" s="15"/>
      <c r="K158" s="15"/>
      <c r="L158" s="15"/>
      <c r="M158" s="15"/>
      <c r="N158" s="15"/>
      <c r="O158" s="15"/>
      <c r="P158" s="16">
        <f t="shared" si="56"/>
        <v>0</v>
      </c>
      <c r="Q158" s="15"/>
      <c r="R158" s="15"/>
      <c r="S158" s="16">
        <f t="shared" si="57"/>
        <v>0</v>
      </c>
      <c r="T158" s="15"/>
      <c r="U158" s="15"/>
      <c r="V158" s="16">
        <f t="shared" si="58"/>
        <v>0</v>
      </c>
      <c r="W158" s="15"/>
      <c r="X158" s="15"/>
      <c r="Y158" s="15"/>
      <c r="Z158" s="15"/>
      <c r="AA158" s="15"/>
      <c r="AB158" s="15"/>
      <c r="AC158" s="16">
        <f t="shared" si="59"/>
        <v>0</v>
      </c>
      <c r="AD158" s="17" t="str">
        <f t="shared" si="60"/>
        <v/>
      </c>
      <c r="AE158" s="17" t="str">
        <f t="shared" si="61"/>
        <v/>
      </c>
      <c r="AF158" s="17" t="str">
        <f t="shared" si="62"/>
        <v/>
      </c>
      <c r="AG158" s="18" t="str">
        <f t="shared" si="63"/>
        <v/>
      </c>
      <c r="AH158" s="18" t="str">
        <f t="shared" si="64"/>
        <v/>
      </c>
      <c r="AI158" s="18" t="str">
        <f t="shared" si="65"/>
        <v/>
      </c>
      <c r="AJ158" s="18" t="str">
        <f t="shared" si="66"/>
        <v/>
      </c>
      <c r="AK158" s="6"/>
      <c r="AL158" s="6"/>
      <c r="AM158" s="6"/>
      <c r="AN158" s="6"/>
      <c r="AO158" s="41"/>
      <c r="AP158" s="42" t="str">
        <f t="shared" si="67"/>
        <v/>
      </c>
      <c r="AQ158" s="42" t="str">
        <f t="shared" si="68"/>
        <v/>
      </c>
      <c r="AR158" s="41"/>
      <c r="AS158" s="42" t="str">
        <f t="shared" si="69"/>
        <v/>
      </c>
      <c r="AT158" s="45"/>
    </row>
    <row r="159" spans="1:46" ht="15" customHeight="1" x14ac:dyDescent="0.3">
      <c r="A159" s="6"/>
      <c r="B159" s="14"/>
      <c r="C159" s="15"/>
      <c r="D159" s="15"/>
      <c r="E159" s="15"/>
      <c r="F159" s="15"/>
      <c r="G159" s="15"/>
      <c r="H159" s="15"/>
      <c r="I159" s="15"/>
      <c r="J159" s="15"/>
      <c r="K159" s="15"/>
      <c r="L159" s="15"/>
      <c r="M159" s="15"/>
      <c r="N159" s="15"/>
      <c r="O159" s="15"/>
      <c r="P159" s="16">
        <f t="shared" si="56"/>
        <v>0</v>
      </c>
      <c r="Q159" s="15"/>
      <c r="R159" s="15"/>
      <c r="S159" s="16">
        <f t="shared" si="57"/>
        <v>0</v>
      </c>
      <c r="T159" s="15"/>
      <c r="U159" s="15"/>
      <c r="V159" s="16">
        <f t="shared" si="58"/>
        <v>0</v>
      </c>
      <c r="W159" s="15"/>
      <c r="X159" s="15"/>
      <c r="Y159" s="15"/>
      <c r="Z159" s="15"/>
      <c r="AA159" s="15"/>
      <c r="AB159" s="15"/>
      <c r="AC159" s="16">
        <f t="shared" si="59"/>
        <v>0</v>
      </c>
      <c r="AD159" s="17" t="str">
        <f t="shared" si="60"/>
        <v/>
      </c>
      <c r="AE159" s="17" t="str">
        <f t="shared" si="61"/>
        <v/>
      </c>
      <c r="AF159" s="17" t="str">
        <f t="shared" si="62"/>
        <v/>
      </c>
      <c r="AG159" s="18" t="str">
        <f t="shared" si="63"/>
        <v/>
      </c>
      <c r="AH159" s="18" t="str">
        <f t="shared" si="64"/>
        <v/>
      </c>
      <c r="AI159" s="18" t="str">
        <f t="shared" si="65"/>
        <v/>
      </c>
      <c r="AJ159" s="18" t="str">
        <f t="shared" si="66"/>
        <v/>
      </c>
      <c r="AK159" s="6"/>
      <c r="AL159" s="6"/>
      <c r="AM159" s="6"/>
      <c r="AN159" s="6"/>
      <c r="AO159" s="41"/>
      <c r="AP159" s="42" t="str">
        <f t="shared" si="67"/>
        <v/>
      </c>
      <c r="AQ159" s="42" t="str">
        <f t="shared" si="68"/>
        <v/>
      </c>
      <c r="AR159" s="41"/>
      <c r="AS159" s="42" t="str">
        <f t="shared" si="69"/>
        <v/>
      </c>
      <c r="AT159" s="45"/>
    </row>
    <row r="160" spans="1:46" ht="15" customHeight="1" x14ac:dyDescent="0.3">
      <c r="A160" s="6"/>
      <c r="B160" s="14"/>
      <c r="C160" s="15"/>
      <c r="D160" s="15"/>
      <c r="E160" s="15"/>
      <c r="F160" s="15"/>
      <c r="G160" s="15"/>
      <c r="H160" s="15"/>
      <c r="I160" s="15"/>
      <c r="J160" s="15"/>
      <c r="K160" s="15"/>
      <c r="L160" s="15"/>
      <c r="M160" s="15"/>
      <c r="N160" s="15"/>
      <c r="O160" s="15"/>
      <c r="P160" s="16">
        <f t="shared" si="56"/>
        <v>0</v>
      </c>
      <c r="Q160" s="15"/>
      <c r="R160" s="15"/>
      <c r="S160" s="16">
        <f t="shared" si="57"/>
        <v>0</v>
      </c>
      <c r="T160" s="15"/>
      <c r="U160" s="15"/>
      <c r="V160" s="16">
        <f t="shared" si="58"/>
        <v>0</v>
      </c>
      <c r="W160" s="15"/>
      <c r="X160" s="15"/>
      <c r="Y160" s="15"/>
      <c r="Z160" s="15"/>
      <c r="AA160" s="15"/>
      <c r="AB160" s="15"/>
      <c r="AC160" s="16">
        <f t="shared" si="59"/>
        <v>0</v>
      </c>
      <c r="AD160" s="17" t="str">
        <f t="shared" si="60"/>
        <v/>
      </c>
      <c r="AE160" s="17" t="str">
        <f t="shared" si="61"/>
        <v/>
      </c>
      <c r="AF160" s="17" t="str">
        <f t="shared" si="62"/>
        <v/>
      </c>
      <c r="AG160" s="18" t="str">
        <f t="shared" si="63"/>
        <v/>
      </c>
      <c r="AH160" s="18" t="str">
        <f t="shared" si="64"/>
        <v/>
      </c>
      <c r="AI160" s="18" t="str">
        <f t="shared" si="65"/>
        <v/>
      </c>
      <c r="AJ160" s="18" t="str">
        <f t="shared" si="66"/>
        <v/>
      </c>
      <c r="AK160" s="6"/>
      <c r="AL160" s="6"/>
      <c r="AM160" s="6"/>
      <c r="AN160" s="6"/>
      <c r="AO160" s="41"/>
      <c r="AP160" s="42" t="str">
        <f t="shared" si="67"/>
        <v/>
      </c>
      <c r="AQ160" s="42" t="str">
        <f t="shared" si="68"/>
        <v/>
      </c>
      <c r="AR160" s="41"/>
      <c r="AS160" s="42" t="str">
        <f t="shared" si="69"/>
        <v/>
      </c>
      <c r="AT160" s="45"/>
    </row>
    <row r="161" spans="1:46" ht="15" customHeight="1" x14ac:dyDescent="0.3">
      <c r="A161" s="6"/>
      <c r="B161" s="14"/>
      <c r="C161" s="15"/>
      <c r="D161" s="15"/>
      <c r="E161" s="15"/>
      <c r="F161" s="15"/>
      <c r="G161" s="15"/>
      <c r="H161" s="15"/>
      <c r="I161" s="15"/>
      <c r="J161" s="15"/>
      <c r="K161" s="15"/>
      <c r="L161" s="15"/>
      <c r="M161" s="15"/>
      <c r="N161" s="15"/>
      <c r="O161" s="15"/>
      <c r="P161" s="16">
        <f t="shared" si="56"/>
        <v>0</v>
      </c>
      <c r="Q161" s="15"/>
      <c r="R161" s="15"/>
      <c r="S161" s="16">
        <f t="shared" si="57"/>
        <v>0</v>
      </c>
      <c r="T161" s="15"/>
      <c r="U161" s="15"/>
      <c r="V161" s="16">
        <f t="shared" si="58"/>
        <v>0</v>
      </c>
      <c r="W161" s="15"/>
      <c r="X161" s="15"/>
      <c r="Y161" s="15"/>
      <c r="Z161" s="15"/>
      <c r="AA161" s="15"/>
      <c r="AB161" s="15"/>
      <c r="AC161" s="16">
        <f t="shared" si="59"/>
        <v>0</v>
      </c>
      <c r="AD161" s="17" t="str">
        <f t="shared" si="60"/>
        <v/>
      </c>
      <c r="AE161" s="17" t="str">
        <f t="shared" si="61"/>
        <v/>
      </c>
      <c r="AF161" s="17" t="str">
        <f t="shared" si="62"/>
        <v/>
      </c>
      <c r="AG161" s="18" t="str">
        <f t="shared" si="63"/>
        <v/>
      </c>
      <c r="AH161" s="18" t="str">
        <f t="shared" si="64"/>
        <v/>
      </c>
      <c r="AI161" s="18" t="str">
        <f t="shared" si="65"/>
        <v/>
      </c>
      <c r="AJ161" s="18" t="str">
        <f t="shared" si="66"/>
        <v/>
      </c>
      <c r="AK161" s="6"/>
      <c r="AL161" s="6"/>
      <c r="AM161" s="6"/>
      <c r="AN161" s="6"/>
      <c r="AO161" s="41"/>
      <c r="AP161" s="42" t="str">
        <f t="shared" si="67"/>
        <v/>
      </c>
      <c r="AQ161" s="42" t="str">
        <f t="shared" si="68"/>
        <v/>
      </c>
      <c r="AR161" s="41"/>
      <c r="AS161" s="42" t="str">
        <f t="shared" si="69"/>
        <v/>
      </c>
      <c r="AT161" s="45"/>
    </row>
    <row r="162" spans="1:46" ht="15" customHeight="1" x14ac:dyDescent="0.3">
      <c r="A162" s="6"/>
      <c r="B162" s="14"/>
      <c r="C162" s="15"/>
      <c r="D162" s="15"/>
      <c r="E162" s="15"/>
      <c r="F162" s="15"/>
      <c r="G162" s="15"/>
      <c r="H162" s="15"/>
      <c r="I162" s="15"/>
      <c r="J162" s="15"/>
      <c r="K162" s="15"/>
      <c r="L162" s="15"/>
      <c r="M162" s="15"/>
      <c r="N162" s="15"/>
      <c r="O162" s="15"/>
      <c r="P162" s="16">
        <f t="shared" ref="P162:P193" si="70">IFERROR(J162-M162,"")</f>
        <v>0</v>
      </c>
      <c r="Q162" s="15"/>
      <c r="R162" s="15"/>
      <c r="S162" s="16">
        <f t="shared" ref="S162:S193" si="71">IFERROR(R162-Q162,"")</f>
        <v>0</v>
      </c>
      <c r="T162" s="15"/>
      <c r="U162" s="15"/>
      <c r="V162" s="16">
        <f t="shared" ref="V162:V193" si="72">IFERROR(T162-U162,"")</f>
        <v>0</v>
      </c>
      <c r="W162" s="15"/>
      <c r="X162" s="15"/>
      <c r="Y162" s="15"/>
      <c r="Z162" s="15"/>
      <c r="AA162" s="15"/>
      <c r="AB162" s="15"/>
      <c r="AC162" s="16">
        <f t="shared" ref="AC162:AC193" si="73">IFERROR(W162*AB162/1000,"")</f>
        <v>0</v>
      </c>
      <c r="AD162" s="17" t="str">
        <f t="shared" ref="AD162:AD193" si="74">IFERROR(J162/M162,"")</f>
        <v/>
      </c>
      <c r="AE162" s="17" t="str">
        <f t="shared" ref="AE162:AE193" si="75">IFERROR(R162/I162,"")</f>
        <v/>
      </c>
      <c r="AF162" s="17" t="str">
        <f t="shared" ref="AF162:AF193" si="76">IFERROR(R162/O162,"")</f>
        <v/>
      </c>
      <c r="AG162" s="18" t="str">
        <f t="shared" ref="AG162:AG193" si="77">IFERROR(G162/I162,"")</f>
        <v/>
      </c>
      <c r="AH162" s="18" t="str">
        <f t="shared" ref="AH162:AH193" si="78">IFERROR(G162/O162,"")</f>
        <v/>
      </c>
      <c r="AI162" s="18" t="str">
        <f t="shared" ref="AI162:AI193" si="79">IFERROR(G162/C162,"")</f>
        <v/>
      </c>
      <c r="AJ162" s="18" t="str">
        <f t="shared" ref="AJ162:AJ193" si="80">IFERROR(D162/C162,"")</f>
        <v/>
      </c>
      <c r="AK162" s="6"/>
      <c r="AL162" s="6"/>
      <c r="AM162" s="6"/>
      <c r="AN162" s="6"/>
      <c r="AO162" s="41"/>
      <c r="AP162" s="42" t="str">
        <f t="shared" ref="AP162:AP193" si="81">IFERROR(IF(AND(NOT(ISNUMBER(F162)),NOT(ISNUMBER(AO162))),"",F162+AO162),"")</f>
        <v/>
      </c>
      <c r="AQ162" s="42" t="str">
        <f t="shared" ref="AQ162:AQ193" si="82">IFERROR(IF(OR(NOT(ISNUMBER(E162)),NOT(ISNUMBER(AP162))),"",E162-AP162),"")</f>
        <v/>
      </c>
      <c r="AR162" s="41"/>
      <c r="AS162" s="42" t="str">
        <f t="shared" ref="AS162:AS193" si="83">IFERROR(IF(OR(NOT(ISNUMBER(AR162)),NOT(ISNUMBER(S162))),"",AR162-S162),"")</f>
        <v/>
      </c>
      <c r="AT162" s="45"/>
    </row>
    <row r="163" spans="1:46" ht="15" customHeight="1" x14ac:dyDescent="0.3">
      <c r="A163" s="6"/>
      <c r="B163" s="14"/>
      <c r="C163" s="15"/>
      <c r="D163" s="15"/>
      <c r="E163" s="15"/>
      <c r="F163" s="15"/>
      <c r="G163" s="15"/>
      <c r="H163" s="15"/>
      <c r="I163" s="15"/>
      <c r="J163" s="15"/>
      <c r="K163" s="15"/>
      <c r="L163" s="15"/>
      <c r="M163" s="15"/>
      <c r="N163" s="15"/>
      <c r="O163" s="15"/>
      <c r="P163" s="16">
        <f t="shared" si="70"/>
        <v>0</v>
      </c>
      <c r="Q163" s="15"/>
      <c r="R163" s="15"/>
      <c r="S163" s="16">
        <f t="shared" si="71"/>
        <v>0</v>
      </c>
      <c r="T163" s="15"/>
      <c r="U163" s="15"/>
      <c r="V163" s="16">
        <f t="shared" si="72"/>
        <v>0</v>
      </c>
      <c r="W163" s="15"/>
      <c r="X163" s="15"/>
      <c r="Y163" s="15"/>
      <c r="Z163" s="15"/>
      <c r="AA163" s="15"/>
      <c r="AB163" s="15"/>
      <c r="AC163" s="16">
        <f t="shared" si="73"/>
        <v>0</v>
      </c>
      <c r="AD163" s="17" t="str">
        <f t="shared" si="74"/>
        <v/>
      </c>
      <c r="AE163" s="17" t="str">
        <f t="shared" si="75"/>
        <v/>
      </c>
      <c r="AF163" s="17" t="str">
        <f t="shared" si="76"/>
        <v/>
      </c>
      <c r="AG163" s="18" t="str">
        <f t="shared" si="77"/>
        <v/>
      </c>
      <c r="AH163" s="18" t="str">
        <f t="shared" si="78"/>
        <v/>
      </c>
      <c r="AI163" s="18" t="str">
        <f t="shared" si="79"/>
        <v/>
      </c>
      <c r="AJ163" s="18" t="str">
        <f t="shared" si="80"/>
        <v/>
      </c>
      <c r="AK163" s="6"/>
      <c r="AL163" s="6"/>
      <c r="AM163" s="6"/>
      <c r="AN163" s="6"/>
      <c r="AO163" s="41"/>
      <c r="AP163" s="42" t="str">
        <f t="shared" si="81"/>
        <v/>
      </c>
      <c r="AQ163" s="42" t="str">
        <f t="shared" si="82"/>
        <v/>
      </c>
      <c r="AR163" s="41"/>
      <c r="AS163" s="42" t="str">
        <f t="shared" si="83"/>
        <v/>
      </c>
      <c r="AT163" s="45"/>
    </row>
    <row r="164" spans="1:46" ht="15" customHeight="1" x14ac:dyDescent="0.3">
      <c r="A164" s="6"/>
      <c r="B164" s="14"/>
      <c r="C164" s="15"/>
      <c r="D164" s="15"/>
      <c r="E164" s="15"/>
      <c r="F164" s="15"/>
      <c r="G164" s="15"/>
      <c r="H164" s="15"/>
      <c r="I164" s="15"/>
      <c r="J164" s="15"/>
      <c r="K164" s="15"/>
      <c r="L164" s="15"/>
      <c r="M164" s="15"/>
      <c r="N164" s="15"/>
      <c r="O164" s="15"/>
      <c r="P164" s="16">
        <f t="shared" si="70"/>
        <v>0</v>
      </c>
      <c r="Q164" s="15"/>
      <c r="R164" s="15"/>
      <c r="S164" s="16">
        <f t="shared" si="71"/>
        <v>0</v>
      </c>
      <c r="T164" s="15"/>
      <c r="U164" s="15"/>
      <c r="V164" s="16">
        <f t="shared" si="72"/>
        <v>0</v>
      </c>
      <c r="W164" s="15"/>
      <c r="X164" s="15"/>
      <c r="Y164" s="15"/>
      <c r="Z164" s="15"/>
      <c r="AA164" s="15"/>
      <c r="AB164" s="15"/>
      <c r="AC164" s="16">
        <f t="shared" si="73"/>
        <v>0</v>
      </c>
      <c r="AD164" s="17" t="str">
        <f t="shared" si="74"/>
        <v/>
      </c>
      <c r="AE164" s="17" t="str">
        <f t="shared" si="75"/>
        <v/>
      </c>
      <c r="AF164" s="17" t="str">
        <f t="shared" si="76"/>
        <v/>
      </c>
      <c r="AG164" s="18" t="str">
        <f t="shared" si="77"/>
        <v/>
      </c>
      <c r="AH164" s="18" t="str">
        <f t="shared" si="78"/>
        <v/>
      </c>
      <c r="AI164" s="18" t="str">
        <f t="shared" si="79"/>
        <v/>
      </c>
      <c r="AJ164" s="18" t="str">
        <f t="shared" si="80"/>
        <v/>
      </c>
      <c r="AK164" s="6"/>
      <c r="AL164" s="6"/>
      <c r="AM164" s="6"/>
      <c r="AN164" s="6"/>
      <c r="AO164" s="41"/>
      <c r="AP164" s="42" t="str">
        <f t="shared" si="81"/>
        <v/>
      </c>
      <c r="AQ164" s="42" t="str">
        <f t="shared" si="82"/>
        <v/>
      </c>
      <c r="AR164" s="41"/>
      <c r="AS164" s="42" t="str">
        <f t="shared" si="83"/>
        <v/>
      </c>
      <c r="AT164" s="45"/>
    </row>
    <row r="165" spans="1:46" ht="15" customHeight="1" x14ac:dyDescent="0.3">
      <c r="A165" s="6"/>
      <c r="B165" s="14"/>
      <c r="C165" s="15"/>
      <c r="D165" s="15"/>
      <c r="E165" s="15"/>
      <c r="F165" s="15"/>
      <c r="G165" s="15"/>
      <c r="H165" s="15"/>
      <c r="I165" s="15"/>
      <c r="J165" s="15"/>
      <c r="K165" s="15"/>
      <c r="L165" s="15"/>
      <c r="M165" s="15"/>
      <c r="N165" s="15"/>
      <c r="O165" s="15"/>
      <c r="P165" s="16">
        <f t="shared" si="70"/>
        <v>0</v>
      </c>
      <c r="Q165" s="15"/>
      <c r="R165" s="15"/>
      <c r="S165" s="16">
        <f t="shared" si="71"/>
        <v>0</v>
      </c>
      <c r="T165" s="15"/>
      <c r="U165" s="15"/>
      <c r="V165" s="16">
        <f t="shared" si="72"/>
        <v>0</v>
      </c>
      <c r="W165" s="15"/>
      <c r="X165" s="15"/>
      <c r="Y165" s="15"/>
      <c r="Z165" s="15"/>
      <c r="AA165" s="15"/>
      <c r="AB165" s="15"/>
      <c r="AC165" s="16">
        <f t="shared" si="73"/>
        <v>0</v>
      </c>
      <c r="AD165" s="17" t="str">
        <f t="shared" si="74"/>
        <v/>
      </c>
      <c r="AE165" s="17" t="str">
        <f t="shared" si="75"/>
        <v/>
      </c>
      <c r="AF165" s="17" t="str">
        <f t="shared" si="76"/>
        <v/>
      </c>
      <c r="AG165" s="18" t="str">
        <f t="shared" si="77"/>
        <v/>
      </c>
      <c r="AH165" s="18" t="str">
        <f t="shared" si="78"/>
        <v/>
      </c>
      <c r="AI165" s="18" t="str">
        <f t="shared" si="79"/>
        <v/>
      </c>
      <c r="AJ165" s="18" t="str">
        <f t="shared" si="80"/>
        <v/>
      </c>
      <c r="AK165" s="6"/>
      <c r="AL165" s="6"/>
      <c r="AM165" s="6"/>
      <c r="AN165" s="6"/>
      <c r="AO165" s="41"/>
      <c r="AP165" s="42" t="str">
        <f t="shared" si="81"/>
        <v/>
      </c>
      <c r="AQ165" s="42" t="str">
        <f t="shared" si="82"/>
        <v/>
      </c>
      <c r="AR165" s="41"/>
      <c r="AS165" s="42" t="str">
        <f t="shared" si="83"/>
        <v/>
      </c>
      <c r="AT165" s="45"/>
    </row>
    <row r="166" spans="1:46" ht="15" customHeight="1" x14ac:dyDescent="0.3">
      <c r="A166" s="6"/>
      <c r="B166" s="14"/>
      <c r="C166" s="15"/>
      <c r="D166" s="15"/>
      <c r="E166" s="15"/>
      <c r="F166" s="15"/>
      <c r="G166" s="15"/>
      <c r="H166" s="15"/>
      <c r="I166" s="15"/>
      <c r="J166" s="15"/>
      <c r="K166" s="15"/>
      <c r="L166" s="15"/>
      <c r="M166" s="15"/>
      <c r="N166" s="15"/>
      <c r="O166" s="15"/>
      <c r="P166" s="16">
        <f t="shared" si="70"/>
        <v>0</v>
      </c>
      <c r="Q166" s="15"/>
      <c r="R166" s="15"/>
      <c r="S166" s="16">
        <f t="shared" si="71"/>
        <v>0</v>
      </c>
      <c r="T166" s="15"/>
      <c r="U166" s="15"/>
      <c r="V166" s="16">
        <f t="shared" si="72"/>
        <v>0</v>
      </c>
      <c r="W166" s="15"/>
      <c r="X166" s="15"/>
      <c r="Y166" s="15"/>
      <c r="Z166" s="15"/>
      <c r="AA166" s="15"/>
      <c r="AB166" s="15"/>
      <c r="AC166" s="16">
        <f t="shared" si="73"/>
        <v>0</v>
      </c>
      <c r="AD166" s="17" t="str">
        <f t="shared" si="74"/>
        <v/>
      </c>
      <c r="AE166" s="17" t="str">
        <f t="shared" si="75"/>
        <v/>
      </c>
      <c r="AF166" s="17" t="str">
        <f t="shared" si="76"/>
        <v/>
      </c>
      <c r="AG166" s="18" t="str">
        <f t="shared" si="77"/>
        <v/>
      </c>
      <c r="AH166" s="18" t="str">
        <f t="shared" si="78"/>
        <v/>
      </c>
      <c r="AI166" s="18" t="str">
        <f t="shared" si="79"/>
        <v/>
      </c>
      <c r="AJ166" s="18" t="str">
        <f t="shared" si="80"/>
        <v/>
      </c>
      <c r="AK166" s="6"/>
      <c r="AL166" s="6"/>
      <c r="AM166" s="6"/>
      <c r="AN166" s="6"/>
      <c r="AO166" s="41"/>
      <c r="AP166" s="42" t="str">
        <f t="shared" si="81"/>
        <v/>
      </c>
      <c r="AQ166" s="42" t="str">
        <f t="shared" si="82"/>
        <v/>
      </c>
      <c r="AR166" s="41"/>
      <c r="AS166" s="42" t="str">
        <f t="shared" si="83"/>
        <v/>
      </c>
      <c r="AT166" s="45"/>
    </row>
    <row r="167" spans="1:46" ht="15" customHeight="1" x14ac:dyDescent="0.3">
      <c r="A167" s="6"/>
      <c r="B167" s="14"/>
      <c r="C167" s="15"/>
      <c r="D167" s="15"/>
      <c r="E167" s="15"/>
      <c r="F167" s="15"/>
      <c r="G167" s="15"/>
      <c r="H167" s="15"/>
      <c r="I167" s="15"/>
      <c r="J167" s="15"/>
      <c r="K167" s="15"/>
      <c r="L167" s="15"/>
      <c r="M167" s="15"/>
      <c r="N167" s="15"/>
      <c r="O167" s="15"/>
      <c r="P167" s="16">
        <f t="shared" si="70"/>
        <v>0</v>
      </c>
      <c r="Q167" s="15"/>
      <c r="R167" s="15"/>
      <c r="S167" s="16">
        <f t="shared" si="71"/>
        <v>0</v>
      </c>
      <c r="T167" s="15"/>
      <c r="U167" s="15"/>
      <c r="V167" s="16">
        <f t="shared" si="72"/>
        <v>0</v>
      </c>
      <c r="W167" s="15"/>
      <c r="X167" s="15"/>
      <c r="Y167" s="15"/>
      <c r="Z167" s="15"/>
      <c r="AA167" s="15"/>
      <c r="AB167" s="15"/>
      <c r="AC167" s="16">
        <f t="shared" si="73"/>
        <v>0</v>
      </c>
      <c r="AD167" s="17" t="str">
        <f t="shared" si="74"/>
        <v/>
      </c>
      <c r="AE167" s="17" t="str">
        <f t="shared" si="75"/>
        <v/>
      </c>
      <c r="AF167" s="17" t="str">
        <f t="shared" si="76"/>
        <v/>
      </c>
      <c r="AG167" s="18" t="str">
        <f t="shared" si="77"/>
        <v/>
      </c>
      <c r="AH167" s="18" t="str">
        <f t="shared" si="78"/>
        <v/>
      </c>
      <c r="AI167" s="18" t="str">
        <f t="shared" si="79"/>
        <v/>
      </c>
      <c r="AJ167" s="18" t="str">
        <f t="shared" si="80"/>
        <v/>
      </c>
      <c r="AK167" s="6"/>
      <c r="AL167" s="6"/>
      <c r="AM167" s="6"/>
      <c r="AN167" s="6"/>
      <c r="AO167" s="41"/>
      <c r="AP167" s="42" t="str">
        <f t="shared" si="81"/>
        <v/>
      </c>
      <c r="AQ167" s="42" t="str">
        <f t="shared" si="82"/>
        <v/>
      </c>
      <c r="AR167" s="41"/>
      <c r="AS167" s="42" t="str">
        <f t="shared" si="83"/>
        <v/>
      </c>
      <c r="AT167" s="45"/>
    </row>
    <row r="168" spans="1:46" ht="15" customHeight="1" x14ac:dyDescent="0.3">
      <c r="A168" s="6"/>
      <c r="B168" s="14"/>
      <c r="C168" s="15"/>
      <c r="D168" s="15"/>
      <c r="E168" s="15"/>
      <c r="F168" s="15"/>
      <c r="G168" s="15"/>
      <c r="H168" s="15"/>
      <c r="I168" s="15"/>
      <c r="J168" s="15"/>
      <c r="K168" s="15"/>
      <c r="L168" s="15"/>
      <c r="M168" s="15"/>
      <c r="N168" s="15"/>
      <c r="O168" s="15"/>
      <c r="P168" s="16">
        <f t="shared" si="70"/>
        <v>0</v>
      </c>
      <c r="Q168" s="15"/>
      <c r="R168" s="15"/>
      <c r="S168" s="16">
        <f t="shared" si="71"/>
        <v>0</v>
      </c>
      <c r="T168" s="15"/>
      <c r="U168" s="15"/>
      <c r="V168" s="16">
        <f t="shared" si="72"/>
        <v>0</v>
      </c>
      <c r="W168" s="15"/>
      <c r="X168" s="15"/>
      <c r="Y168" s="15"/>
      <c r="Z168" s="15"/>
      <c r="AA168" s="15"/>
      <c r="AB168" s="15"/>
      <c r="AC168" s="16">
        <f t="shared" si="73"/>
        <v>0</v>
      </c>
      <c r="AD168" s="17" t="str">
        <f t="shared" si="74"/>
        <v/>
      </c>
      <c r="AE168" s="17" t="str">
        <f t="shared" si="75"/>
        <v/>
      </c>
      <c r="AF168" s="17" t="str">
        <f t="shared" si="76"/>
        <v/>
      </c>
      <c r="AG168" s="18" t="str">
        <f t="shared" si="77"/>
        <v/>
      </c>
      <c r="AH168" s="18" t="str">
        <f t="shared" si="78"/>
        <v/>
      </c>
      <c r="AI168" s="18" t="str">
        <f t="shared" si="79"/>
        <v/>
      </c>
      <c r="AJ168" s="18" t="str">
        <f t="shared" si="80"/>
        <v/>
      </c>
      <c r="AK168" s="6"/>
      <c r="AL168" s="6"/>
      <c r="AM168" s="6"/>
      <c r="AN168" s="6"/>
      <c r="AO168" s="41"/>
      <c r="AP168" s="42" t="str">
        <f t="shared" si="81"/>
        <v/>
      </c>
      <c r="AQ168" s="42" t="str">
        <f t="shared" si="82"/>
        <v/>
      </c>
      <c r="AR168" s="41"/>
      <c r="AS168" s="42" t="str">
        <f t="shared" si="83"/>
        <v/>
      </c>
      <c r="AT168" s="45"/>
    </row>
    <row r="169" spans="1:46" ht="15" customHeight="1" x14ac:dyDescent="0.3">
      <c r="A169" s="6"/>
      <c r="B169" s="14"/>
      <c r="C169" s="15"/>
      <c r="D169" s="15"/>
      <c r="E169" s="15"/>
      <c r="F169" s="15"/>
      <c r="G169" s="15"/>
      <c r="H169" s="15"/>
      <c r="I169" s="15"/>
      <c r="J169" s="15"/>
      <c r="K169" s="15"/>
      <c r="L169" s="15"/>
      <c r="M169" s="15"/>
      <c r="N169" s="15"/>
      <c r="O169" s="15"/>
      <c r="P169" s="16">
        <f t="shared" si="70"/>
        <v>0</v>
      </c>
      <c r="Q169" s="15"/>
      <c r="R169" s="15"/>
      <c r="S169" s="16">
        <f t="shared" si="71"/>
        <v>0</v>
      </c>
      <c r="T169" s="15"/>
      <c r="U169" s="15"/>
      <c r="V169" s="16">
        <f t="shared" si="72"/>
        <v>0</v>
      </c>
      <c r="W169" s="15"/>
      <c r="X169" s="15"/>
      <c r="Y169" s="15"/>
      <c r="Z169" s="15"/>
      <c r="AA169" s="15"/>
      <c r="AB169" s="15"/>
      <c r="AC169" s="16">
        <f t="shared" si="73"/>
        <v>0</v>
      </c>
      <c r="AD169" s="17" t="str">
        <f t="shared" si="74"/>
        <v/>
      </c>
      <c r="AE169" s="17" t="str">
        <f t="shared" si="75"/>
        <v/>
      </c>
      <c r="AF169" s="17" t="str">
        <f t="shared" si="76"/>
        <v/>
      </c>
      <c r="AG169" s="18" t="str">
        <f t="shared" si="77"/>
        <v/>
      </c>
      <c r="AH169" s="18" t="str">
        <f t="shared" si="78"/>
        <v/>
      </c>
      <c r="AI169" s="18" t="str">
        <f t="shared" si="79"/>
        <v/>
      </c>
      <c r="AJ169" s="18" t="str">
        <f t="shared" si="80"/>
        <v/>
      </c>
      <c r="AK169" s="6"/>
      <c r="AL169" s="6"/>
      <c r="AM169" s="6"/>
      <c r="AN169" s="6"/>
      <c r="AO169" s="41"/>
      <c r="AP169" s="42" t="str">
        <f t="shared" si="81"/>
        <v/>
      </c>
      <c r="AQ169" s="42" t="str">
        <f t="shared" si="82"/>
        <v/>
      </c>
      <c r="AR169" s="41"/>
      <c r="AS169" s="42" t="str">
        <f t="shared" si="83"/>
        <v/>
      </c>
      <c r="AT169" s="45"/>
    </row>
    <row r="170" spans="1:46" ht="15" customHeight="1" x14ac:dyDescent="0.3">
      <c r="A170" s="6"/>
      <c r="B170" s="14"/>
      <c r="C170" s="15"/>
      <c r="D170" s="15"/>
      <c r="E170" s="15"/>
      <c r="F170" s="15"/>
      <c r="G170" s="15"/>
      <c r="H170" s="15"/>
      <c r="I170" s="15"/>
      <c r="J170" s="15"/>
      <c r="K170" s="15"/>
      <c r="L170" s="15"/>
      <c r="M170" s="15"/>
      <c r="N170" s="15"/>
      <c r="O170" s="15"/>
      <c r="P170" s="16">
        <f t="shared" si="70"/>
        <v>0</v>
      </c>
      <c r="Q170" s="15"/>
      <c r="R170" s="15"/>
      <c r="S170" s="16">
        <f t="shared" si="71"/>
        <v>0</v>
      </c>
      <c r="T170" s="15"/>
      <c r="U170" s="15"/>
      <c r="V170" s="16">
        <f t="shared" si="72"/>
        <v>0</v>
      </c>
      <c r="W170" s="15"/>
      <c r="X170" s="15"/>
      <c r="Y170" s="15"/>
      <c r="Z170" s="15"/>
      <c r="AA170" s="15"/>
      <c r="AB170" s="15"/>
      <c r="AC170" s="16">
        <f t="shared" si="73"/>
        <v>0</v>
      </c>
      <c r="AD170" s="17" t="str">
        <f t="shared" si="74"/>
        <v/>
      </c>
      <c r="AE170" s="17" t="str">
        <f t="shared" si="75"/>
        <v/>
      </c>
      <c r="AF170" s="17" t="str">
        <f t="shared" si="76"/>
        <v/>
      </c>
      <c r="AG170" s="18" t="str">
        <f t="shared" si="77"/>
        <v/>
      </c>
      <c r="AH170" s="18" t="str">
        <f t="shared" si="78"/>
        <v/>
      </c>
      <c r="AI170" s="18" t="str">
        <f t="shared" si="79"/>
        <v/>
      </c>
      <c r="AJ170" s="18" t="str">
        <f t="shared" si="80"/>
        <v/>
      </c>
      <c r="AK170" s="6"/>
      <c r="AL170" s="6"/>
      <c r="AM170" s="6"/>
      <c r="AN170" s="6"/>
      <c r="AO170" s="41"/>
      <c r="AP170" s="42" t="str">
        <f t="shared" si="81"/>
        <v/>
      </c>
      <c r="AQ170" s="42" t="str">
        <f t="shared" si="82"/>
        <v/>
      </c>
      <c r="AR170" s="41"/>
      <c r="AS170" s="42" t="str">
        <f t="shared" si="83"/>
        <v/>
      </c>
      <c r="AT170" s="45"/>
    </row>
    <row r="171" spans="1:46" ht="15" customHeight="1" x14ac:dyDescent="0.3">
      <c r="A171" s="6"/>
      <c r="B171" s="14"/>
      <c r="C171" s="15"/>
      <c r="D171" s="15"/>
      <c r="E171" s="15"/>
      <c r="F171" s="15"/>
      <c r="G171" s="15"/>
      <c r="H171" s="15"/>
      <c r="I171" s="15"/>
      <c r="J171" s="15"/>
      <c r="K171" s="15"/>
      <c r="L171" s="15"/>
      <c r="M171" s="15"/>
      <c r="N171" s="15"/>
      <c r="O171" s="15"/>
      <c r="P171" s="16">
        <f t="shared" si="70"/>
        <v>0</v>
      </c>
      <c r="Q171" s="15"/>
      <c r="R171" s="15"/>
      <c r="S171" s="16">
        <f t="shared" si="71"/>
        <v>0</v>
      </c>
      <c r="T171" s="15"/>
      <c r="U171" s="15"/>
      <c r="V171" s="16">
        <f t="shared" si="72"/>
        <v>0</v>
      </c>
      <c r="W171" s="15"/>
      <c r="X171" s="15"/>
      <c r="Y171" s="15"/>
      <c r="Z171" s="15"/>
      <c r="AA171" s="15"/>
      <c r="AB171" s="15"/>
      <c r="AC171" s="16">
        <f t="shared" si="73"/>
        <v>0</v>
      </c>
      <c r="AD171" s="17" t="str">
        <f t="shared" si="74"/>
        <v/>
      </c>
      <c r="AE171" s="17" t="str">
        <f t="shared" si="75"/>
        <v/>
      </c>
      <c r="AF171" s="17" t="str">
        <f t="shared" si="76"/>
        <v/>
      </c>
      <c r="AG171" s="18" t="str">
        <f t="shared" si="77"/>
        <v/>
      </c>
      <c r="AH171" s="18" t="str">
        <f t="shared" si="78"/>
        <v/>
      </c>
      <c r="AI171" s="18" t="str">
        <f t="shared" si="79"/>
        <v/>
      </c>
      <c r="AJ171" s="18" t="str">
        <f t="shared" si="80"/>
        <v/>
      </c>
      <c r="AK171" s="6"/>
      <c r="AL171" s="6"/>
      <c r="AM171" s="6"/>
      <c r="AN171" s="6"/>
      <c r="AO171" s="41"/>
      <c r="AP171" s="42" t="str">
        <f t="shared" si="81"/>
        <v/>
      </c>
      <c r="AQ171" s="42" t="str">
        <f t="shared" si="82"/>
        <v/>
      </c>
      <c r="AR171" s="41"/>
      <c r="AS171" s="42" t="str">
        <f t="shared" si="83"/>
        <v/>
      </c>
      <c r="AT171" s="45"/>
    </row>
    <row r="172" spans="1:46" ht="15" customHeight="1" x14ac:dyDescent="0.3">
      <c r="A172" s="6"/>
      <c r="B172" s="14"/>
      <c r="C172" s="15"/>
      <c r="D172" s="15"/>
      <c r="E172" s="15"/>
      <c r="F172" s="15"/>
      <c r="G172" s="15"/>
      <c r="H172" s="15"/>
      <c r="I172" s="15"/>
      <c r="J172" s="15"/>
      <c r="K172" s="15"/>
      <c r="L172" s="15"/>
      <c r="M172" s="15"/>
      <c r="N172" s="15"/>
      <c r="O172" s="15"/>
      <c r="P172" s="16">
        <f t="shared" si="70"/>
        <v>0</v>
      </c>
      <c r="Q172" s="15"/>
      <c r="R172" s="15"/>
      <c r="S172" s="16">
        <f t="shared" si="71"/>
        <v>0</v>
      </c>
      <c r="T172" s="15"/>
      <c r="U172" s="15"/>
      <c r="V172" s="16">
        <f t="shared" si="72"/>
        <v>0</v>
      </c>
      <c r="W172" s="15"/>
      <c r="X172" s="15"/>
      <c r="Y172" s="15"/>
      <c r="Z172" s="15"/>
      <c r="AA172" s="15"/>
      <c r="AB172" s="15"/>
      <c r="AC172" s="16">
        <f t="shared" si="73"/>
        <v>0</v>
      </c>
      <c r="AD172" s="17" t="str">
        <f t="shared" si="74"/>
        <v/>
      </c>
      <c r="AE172" s="17" t="str">
        <f t="shared" si="75"/>
        <v/>
      </c>
      <c r="AF172" s="17" t="str">
        <f t="shared" si="76"/>
        <v/>
      </c>
      <c r="AG172" s="18" t="str">
        <f t="shared" si="77"/>
        <v/>
      </c>
      <c r="AH172" s="18" t="str">
        <f t="shared" si="78"/>
        <v/>
      </c>
      <c r="AI172" s="18" t="str">
        <f t="shared" si="79"/>
        <v/>
      </c>
      <c r="AJ172" s="18" t="str">
        <f t="shared" si="80"/>
        <v/>
      </c>
      <c r="AK172" s="6"/>
      <c r="AL172" s="6"/>
      <c r="AM172" s="6"/>
      <c r="AN172" s="6"/>
      <c r="AO172" s="41"/>
      <c r="AP172" s="42" t="str">
        <f t="shared" si="81"/>
        <v/>
      </c>
      <c r="AQ172" s="42" t="str">
        <f t="shared" si="82"/>
        <v/>
      </c>
      <c r="AR172" s="41"/>
      <c r="AS172" s="42" t="str">
        <f t="shared" si="83"/>
        <v/>
      </c>
      <c r="AT172" s="45"/>
    </row>
    <row r="173" spans="1:46" ht="15" customHeight="1" x14ac:dyDescent="0.3">
      <c r="A173" s="6"/>
      <c r="B173" s="14"/>
      <c r="C173" s="15"/>
      <c r="D173" s="15"/>
      <c r="E173" s="15"/>
      <c r="F173" s="15"/>
      <c r="G173" s="15"/>
      <c r="H173" s="15"/>
      <c r="I173" s="15"/>
      <c r="J173" s="15"/>
      <c r="K173" s="15"/>
      <c r="L173" s="15"/>
      <c r="M173" s="15"/>
      <c r="N173" s="15"/>
      <c r="O173" s="15"/>
      <c r="P173" s="16">
        <f t="shared" si="70"/>
        <v>0</v>
      </c>
      <c r="Q173" s="15"/>
      <c r="R173" s="15"/>
      <c r="S173" s="16">
        <f t="shared" si="71"/>
        <v>0</v>
      </c>
      <c r="T173" s="15"/>
      <c r="U173" s="15"/>
      <c r="V173" s="16">
        <f t="shared" si="72"/>
        <v>0</v>
      </c>
      <c r="W173" s="15"/>
      <c r="X173" s="15"/>
      <c r="Y173" s="15"/>
      <c r="Z173" s="15"/>
      <c r="AA173" s="15"/>
      <c r="AB173" s="15"/>
      <c r="AC173" s="16">
        <f t="shared" si="73"/>
        <v>0</v>
      </c>
      <c r="AD173" s="17" t="str">
        <f t="shared" si="74"/>
        <v/>
      </c>
      <c r="AE173" s="17" t="str">
        <f t="shared" si="75"/>
        <v/>
      </c>
      <c r="AF173" s="17" t="str">
        <f t="shared" si="76"/>
        <v/>
      </c>
      <c r="AG173" s="18" t="str">
        <f t="shared" si="77"/>
        <v/>
      </c>
      <c r="AH173" s="18" t="str">
        <f t="shared" si="78"/>
        <v/>
      </c>
      <c r="AI173" s="18" t="str">
        <f t="shared" si="79"/>
        <v/>
      </c>
      <c r="AJ173" s="18" t="str">
        <f t="shared" si="80"/>
        <v/>
      </c>
      <c r="AK173" s="6"/>
      <c r="AL173" s="6"/>
      <c r="AM173" s="6"/>
      <c r="AN173" s="6"/>
      <c r="AO173" s="41"/>
      <c r="AP173" s="42" t="str">
        <f t="shared" si="81"/>
        <v/>
      </c>
      <c r="AQ173" s="42" t="str">
        <f t="shared" si="82"/>
        <v/>
      </c>
      <c r="AR173" s="41"/>
      <c r="AS173" s="42" t="str">
        <f t="shared" si="83"/>
        <v/>
      </c>
      <c r="AT173" s="45"/>
    </row>
    <row r="174" spans="1:46" ht="15" customHeight="1" x14ac:dyDescent="0.3">
      <c r="A174" s="6"/>
      <c r="B174" s="14"/>
      <c r="C174" s="15"/>
      <c r="D174" s="15"/>
      <c r="E174" s="15"/>
      <c r="F174" s="15"/>
      <c r="G174" s="15"/>
      <c r="H174" s="15"/>
      <c r="I174" s="15"/>
      <c r="J174" s="15"/>
      <c r="K174" s="15"/>
      <c r="L174" s="15"/>
      <c r="M174" s="15"/>
      <c r="N174" s="15"/>
      <c r="O174" s="15"/>
      <c r="P174" s="16">
        <f t="shared" si="70"/>
        <v>0</v>
      </c>
      <c r="Q174" s="15"/>
      <c r="R174" s="15"/>
      <c r="S174" s="16">
        <f t="shared" si="71"/>
        <v>0</v>
      </c>
      <c r="T174" s="15"/>
      <c r="U174" s="15"/>
      <c r="V174" s="16">
        <f t="shared" si="72"/>
        <v>0</v>
      </c>
      <c r="W174" s="15"/>
      <c r="X174" s="15"/>
      <c r="Y174" s="15"/>
      <c r="Z174" s="15"/>
      <c r="AA174" s="15"/>
      <c r="AB174" s="15"/>
      <c r="AC174" s="16">
        <f t="shared" si="73"/>
        <v>0</v>
      </c>
      <c r="AD174" s="17" t="str">
        <f t="shared" si="74"/>
        <v/>
      </c>
      <c r="AE174" s="17" t="str">
        <f t="shared" si="75"/>
        <v/>
      </c>
      <c r="AF174" s="17" t="str">
        <f t="shared" si="76"/>
        <v/>
      </c>
      <c r="AG174" s="18" t="str">
        <f t="shared" si="77"/>
        <v/>
      </c>
      <c r="AH174" s="18" t="str">
        <f t="shared" si="78"/>
        <v/>
      </c>
      <c r="AI174" s="18" t="str">
        <f t="shared" si="79"/>
        <v/>
      </c>
      <c r="AJ174" s="18" t="str">
        <f t="shared" si="80"/>
        <v/>
      </c>
      <c r="AK174" s="6"/>
      <c r="AL174" s="6"/>
      <c r="AM174" s="6"/>
      <c r="AN174" s="6"/>
      <c r="AO174" s="41"/>
      <c r="AP174" s="42" t="str">
        <f t="shared" si="81"/>
        <v/>
      </c>
      <c r="AQ174" s="42" t="str">
        <f t="shared" si="82"/>
        <v/>
      </c>
      <c r="AR174" s="41"/>
      <c r="AS174" s="42" t="str">
        <f t="shared" si="83"/>
        <v/>
      </c>
      <c r="AT174" s="45"/>
    </row>
    <row r="175" spans="1:46" ht="15" customHeight="1" x14ac:dyDescent="0.3">
      <c r="A175" s="6"/>
      <c r="B175" s="14"/>
      <c r="C175" s="15"/>
      <c r="D175" s="15"/>
      <c r="E175" s="15"/>
      <c r="F175" s="15"/>
      <c r="G175" s="15"/>
      <c r="H175" s="15"/>
      <c r="I175" s="15"/>
      <c r="J175" s="15"/>
      <c r="K175" s="15"/>
      <c r="L175" s="15"/>
      <c r="M175" s="15"/>
      <c r="N175" s="15"/>
      <c r="O175" s="15"/>
      <c r="P175" s="16">
        <f t="shared" si="70"/>
        <v>0</v>
      </c>
      <c r="Q175" s="15"/>
      <c r="R175" s="15"/>
      <c r="S175" s="16">
        <f t="shared" si="71"/>
        <v>0</v>
      </c>
      <c r="T175" s="15"/>
      <c r="U175" s="15"/>
      <c r="V175" s="16">
        <f t="shared" si="72"/>
        <v>0</v>
      </c>
      <c r="W175" s="15"/>
      <c r="X175" s="15"/>
      <c r="Y175" s="15"/>
      <c r="Z175" s="15"/>
      <c r="AA175" s="15"/>
      <c r="AB175" s="15"/>
      <c r="AC175" s="16">
        <f t="shared" si="73"/>
        <v>0</v>
      </c>
      <c r="AD175" s="17" t="str">
        <f t="shared" si="74"/>
        <v/>
      </c>
      <c r="AE175" s="17" t="str">
        <f t="shared" si="75"/>
        <v/>
      </c>
      <c r="AF175" s="17" t="str">
        <f t="shared" si="76"/>
        <v/>
      </c>
      <c r="AG175" s="18" t="str">
        <f t="shared" si="77"/>
        <v/>
      </c>
      <c r="AH175" s="18" t="str">
        <f t="shared" si="78"/>
        <v/>
      </c>
      <c r="AI175" s="18" t="str">
        <f t="shared" si="79"/>
        <v/>
      </c>
      <c r="AJ175" s="18" t="str">
        <f t="shared" si="80"/>
        <v/>
      </c>
      <c r="AK175" s="6"/>
      <c r="AL175" s="6"/>
      <c r="AM175" s="6"/>
      <c r="AN175" s="6"/>
      <c r="AO175" s="41"/>
      <c r="AP175" s="42" t="str">
        <f t="shared" si="81"/>
        <v/>
      </c>
      <c r="AQ175" s="42" t="str">
        <f t="shared" si="82"/>
        <v/>
      </c>
      <c r="AR175" s="41"/>
      <c r="AS175" s="42" t="str">
        <f t="shared" si="83"/>
        <v/>
      </c>
      <c r="AT175" s="45"/>
    </row>
    <row r="176" spans="1:46" ht="15" customHeight="1" x14ac:dyDescent="0.3">
      <c r="A176" s="6"/>
      <c r="B176" s="14"/>
      <c r="C176" s="15"/>
      <c r="D176" s="15"/>
      <c r="E176" s="15"/>
      <c r="F176" s="15"/>
      <c r="G176" s="15"/>
      <c r="H176" s="15"/>
      <c r="I176" s="15"/>
      <c r="J176" s="15"/>
      <c r="K176" s="15"/>
      <c r="L176" s="15"/>
      <c r="M176" s="15"/>
      <c r="N176" s="15"/>
      <c r="O176" s="15"/>
      <c r="P176" s="16">
        <f t="shared" si="70"/>
        <v>0</v>
      </c>
      <c r="Q176" s="15"/>
      <c r="R176" s="15"/>
      <c r="S176" s="16">
        <f t="shared" si="71"/>
        <v>0</v>
      </c>
      <c r="T176" s="15"/>
      <c r="U176" s="15"/>
      <c r="V176" s="16">
        <f t="shared" si="72"/>
        <v>0</v>
      </c>
      <c r="W176" s="15"/>
      <c r="X176" s="15"/>
      <c r="Y176" s="15"/>
      <c r="Z176" s="15"/>
      <c r="AA176" s="15"/>
      <c r="AB176" s="15"/>
      <c r="AC176" s="16">
        <f t="shared" si="73"/>
        <v>0</v>
      </c>
      <c r="AD176" s="17" t="str">
        <f t="shared" si="74"/>
        <v/>
      </c>
      <c r="AE176" s="17" t="str">
        <f t="shared" si="75"/>
        <v/>
      </c>
      <c r="AF176" s="17" t="str">
        <f t="shared" si="76"/>
        <v/>
      </c>
      <c r="AG176" s="18" t="str">
        <f t="shared" si="77"/>
        <v/>
      </c>
      <c r="AH176" s="18" t="str">
        <f t="shared" si="78"/>
        <v/>
      </c>
      <c r="AI176" s="18" t="str">
        <f t="shared" si="79"/>
        <v/>
      </c>
      <c r="AJ176" s="18" t="str">
        <f t="shared" si="80"/>
        <v/>
      </c>
      <c r="AK176" s="6"/>
      <c r="AL176" s="6"/>
      <c r="AM176" s="6"/>
      <c r="AN176" s="6"/>
      <c r="AO176" s="41"/>
      <c r="AP176" s="42" t="str">
        <f t="shared" si="81"/>
        <v/>
      </c>
      <c r="AQ176" s="42" t="str">
        <f t="shared" si="82"/>
        <v/>
      </c>
      <c r="AR176" s="41"/>
      <c r="AS176" s="42" t="str">
        <f t="shared" si="83"/>
        <v/>
      </c>
      <c r="AT176" s="45"/>
    </row>
    <row r="177" spans="1:46" ht="15" customHeight="1" x14ac:dyDescent="0.3">
      <c r="A177" s="6"/>
      <c r="B177" s="14"/>
      <c r="C177" s="15"/>
      <c r="D177" s="15"/>
      <c r="E177" s="15"/>
      <c r="F177" s="15"/>
      <c r="G177" s="15"/>
      <c r="H177" s="15"/>
      <c r="I177" s="15"/>
      <c r="J177" s="15"/>
      <c r="K177" s="15"/>
      <c r="L177" s="15"/>
      <c r="M177" s="15"/>
      <c r="N177" s="15"/>
      <c r="O177" s="15"/>
      <c r="P177" s="16">
        <f t="shared" si="70"/>
        <v>0</v>
      </c>
      <c r="Q177" s="15"/>
      <c r="R177" s="15"/>
      <c r="S177" s="16">
        <f t="shared" si="71"/>
        <v>0</v>
      </c>
      <c r="T177" s="15"/>
      <c r="U177" s="15"/>
      <c r="V177" s="16">
        <f t="shared" si="72"/>
        <v>0</v>
      </c>
      <c r="W177" s="15"/>
      <c r="X177" s="15"/>
      <c r="Y177" s="15"/>
      <c r="Z177" s="15"/>
      <c r="AA177" s="15"/>
      <c r="AB177" s="15"/>
      <c r="AC177" s="16">
        <f t="shared" si="73"/>
        <v>0</v>
      </c>
      <c r="AD177" s="17" t="str">
        <f t="shared" si="74"/>
        <v/>
      </c>
      <c r="AE177" s="17" t="str">
        <f t="shared" si="75"/>
        <v/>
      </c>
      <c r="AF177" s="17" t="str">
        <f t="shared" si="76"/>
        <v/>
      </c>
      <c r="AG177" s="18" t="str">
        <f t="shared" si="77"/>
        <v/>
      </c>
      <c r="AH177" s="18" t="str">
        <f t="shared" si="78"/>
        <v/>
      </c>
      <c r="AI177" s="18" t="str">
        <f t="shared" si="79"/>
        <v/>
      </c>
      <c r="AJ177" s="18" t="str">
        <f t="shared" si="80"/>
        <v/>
      </c>
      <c r="AK177" s="6"/>
      <c r="AL177" s="6"/>
      <c r="AM177" s="6"/>
      <c r="AN177" s="6"/>
      <c r="AO177" s="41"/>
      <c r="AP177" s="42" t="str">
        <f t="shared" si="81"/>
        <v/>
      </c>
      <c r="AQ177" s="42" t="str">
        <f t="shared" si="82"/>
        <v/>
      </c>
      <c r="AR177" s="41"/>
      <c r="AS177" s="42" t="str">
        <f t="shared" si="83"/>
        <v/>
      </c>
      <c r="AT177" s="45"/>
    </row>
    <row r="178" spans="1:46" ht="15" customHeight="1" x14ac:dyDescent="0.3">
      <c r="A178" s="6"/>
      <c r="B178" s="14"/>
      <c r="C178" s="15"/>
      <c r="D178" s="15"/>
      <c r="E178" s="15"/>
      <c r="F178" s="15"/>
      <c r="G178" s="15"/>
      <c r="H178" s="15"/>
      <c r="I178" s="15"/>
      <c r="J178" s="15"/>
      <c r="K178" s="15"/>
      <c r="L178" s="15"/>
      <c r="M178" s="15"/>
      <c r="N178" s="15"/>
      <c r="O178" s="15"/>
      <c r="P178" s="16">
        <f t="shared" si="70"/>
        <v>0</v>
      </c>
      <c r="Q178" s="15"/>
      <c r="R178" s="15"/>
      <c r="S178" s="16">
        <f t="shared" si="71"/>
        <v>0</v>
      </c>
      <c r="T178" s="15"/>
      <c r="U178" s="15"/>
      <c r="V178" s="16">
        <f t="shared" si="72"/>
        <v>0</v>
      </c>
      <c r="W178" s="15"/>
      <c r="X178" s="15"/>
      <c r="Y178" s="15"/>
      <c r="Z178" s="15"/>
      <c r="AA178" s="15"/>
      <c r="AB178" s="15"/>
      <c r="AC178" s="16">
        <f t="shared" si="73"/>
        <v>0</v>
      </c>
      <c r="AD178" s="17" t="str">
        <f t="shared" si="74"/>
        <v/>
      </c>
      <c r="AE178" s="17" t="str">
        <f t="shared" si="75"/>
        <v/>
      </c>
      <c r="AF178" s="17" t="str">
        <f t="shared" si="76"/>
        <v/>
      </c>
      <c r="AG178" s="18" t="str">
        <f t="shared" si="77"/>
        <v/>
      </c>
      <c r="AH178" s="18" t="str">
        <f t="shared" si="78"/>
        <v/>
      </c>
      <c r="AI178" s="18" t="str">
        <f t="shared" si="79"/>
        <v/>
      </c>
      <c r="AJ178" s="18" t="str">
        <f t="shared" si="80"/>
        <v/>
      </c>
      <c r="AK178" s="6"/>
      <c r="AL178" s="6"/>
      <c r="AM178" s="6"/>
      <c r="AN178" s="6"/>
      <c r="AO178" s="41"/>
      <c r="AP178" s="42" t="str">
        <f t="shared" si="81"/>
        <v/>
      </c>
      <c r="AQ178" s="42" t="str">
        <f t="shared" si="82"/>
        <v/>
      </c>
      <c r="AR178" s="41"/>
      <c r="AS178" s="42" t="str">
        <f t="shared" si="83"/>
        <v/>
      </c>
      <c r="AT178" s="45"/>
    </row>
    <row r="179" spans="1:46" ht="15" customHeight="1" x14ac:dyDescent="0.3">
      <c r="A179" s="6"/>
      <c r="B179" s="14"/>
      <c r="C179" s="15"/>
      <c r="D179" s="15"/>
      <c r="E179" s="15"/>
      <c r="F179" s="15"/>
      <c r="G179" s="15"/>
      <c r="H179" s="15"/>
      <c r="I179" s="15"/>
      <c r="J179" s="15"/>
      <c r="K179" s="15"/>
      <c r="L179" s="15"/>
      <c r="M179" s="15"/>
      <c r="N179" s="15"/>
      <c r="O179" s="15"/>
      <c r="P179" s="16">
        <f t="shared" si="70"/>
        <v>0</v>
      </c>
      <c r="Q179" s="15"/>
      <c r="R179" s="15"/>
      <c r="S179" s="16">
        <f t="shared" si="71"/>
        <v>0</v>
      </c>
      <c r="T179" s="15"/>
      <c r="U179" s="15"/>
      <c r="V179" s="16">
        <f t="shared" si="72"/>
        <v>0</v>
      </c>
      <c r="W179" s="15"/>
      <c r="X179" s="15"/>
      <c r="Y179" s="15"/>
      <c r="Z179" s="15"/>
      <c r="AA179" s="15"/>
      <c r="AB179" s="15"/>
      <c r="AC179" s="16">
        <f t="shared" si="73"/>
        <v>0</v>
      </c>
      <c r="AD179" s="17" t="str">
        <f t="shared" si="74"/>
        <v/>
      </c>
      <c r="AE179" s="17" t="str">
        <f t="shared" si="75"/>
        <v/>
      </c>
      <c r="AF179" s="17" t="str">
        <f t="shared" si="76"/>
        <v/>
      </c>
      <c r="AG179" s="18" t="str">
        <f t="shared" si="77"/>
        <v/>
      </c>
      <c r="AH179" s="18" t="str">
        <f t="shared" si="78"/>
        <v/>
      </c>
      <c r="AI179" s="18" t="str">
        <f t="shared" si="79"/>
        <v/>
      </c>
      <c r="AJ179" s="18" t="str">
        <f t="shared" si="80"/>
        <v/>
      </c>
      <c r="AK179" s="6"/>
      <c r="AL179" s="6"/>
      <c r="AM179" s="6"/>
      <c r="AN179" s="6"/>
      <c r="AO179" s="41"/>
      <c r="AP179" s="42" t="str">
        <f t="shared" si="81"/>
        <v/>
      </c>
      <c r="AQ179" s="42" t="str">
        <f t="shared" si="82"/>
        <v/>
      </c>
      <c r="AR179" s="41"/>
      <c r="AS179" s="42" t="str">
        <f t="shared" si="83"/>
        <v/>
      </c>
      <c r="AT179" s="45"/>
    </row>
    <row r="180" spans="1:46" ht="15" customHeight="1" x14ac:dyDescent="0.3">
      <c r="A180" s="6"/>
      <c r="B180" s="14"/>
      <c r="C180" s="15"/>
      <c r="D180" s="15"/>
      <c r="E180" s="15"/>
      <c r="F180" s="15"/>
      <c r="G180" s="15"/>
      <c r="H180" s="15"/>
      <c r="I180" s="15"/>
      <c r="J180" s="15"/>
      <c r="K180" s="15"/>
      <c r="L180" s="15"/>
      <c r="M180" s="15"/>
      <c r="N180" s="15"/>
      <c r="O180" s="15"/>
      <c r="P180" s="16">
        <f t="shared" si="70"/>
        <v>0</v>
      </c>
      <c r="Q180" s="15"/>
      <c r="R180" s="15"/>
      <c r="S180" s="16">
        <f t="shared" si="71"/>
        <v>0</v>
      </c>
      <c r="T180" s="15"/>
      <c r="U180" s="15"/>
      <c r="V180" s="16">
        <f t="shared" si="72"/>
        <v>0</v>
      </c>
      <c r="W180" s="15"/>
      <c r="X180" s="15"/>
      <c r="Y180" s="15"/>
      <c r="Z180" s="15"/>
      <c r="AA180" s="15"/>
      <c r="AB180" s="15"/>
      <c r="AC180" s="16">
        <f t="shared" si="73"/>
        <v>0</v>
      </c>
      <c r="AD180" s="17" t="str">
        <f t="shared" si="74"/>
        <v/>
      </c>
      <c r="AE180" s="17" t="str">
        <f t="shared" si="75"/>
        <v/>
      </c>
      <c r="AF180" s="17" t="str">
        <f t="shared" si="76"/>
        <v/>
      </c>
      <c r="AG180" s="18" t="str">
        <f t="shared" si="77"/>
        <v/>
      </c>
      <c r="AH180" s="18" t="str">
        <f t="shared" si="78"/>
        <v/>
      </c>
      <c r="AI180" s="18" t="str">
        <f t="shared" si="79"/>
        <v/>
      </c>
      <c r="AJ180" s="18" t="str">
        <f t="shared" si="80"/>
        <v/>
      </c>
      <c r="AK180" s="6"/>
      <c r="AL180" s="6"/>
      <c r="AM180" s="6"/>
      <c r="AN180" s="6"/>
      <c r="AO180" s="41"/>
      <c r="AP180" s="42" t="str">
        <f t="shared" si="81"/>
        <v/>
      </c>
      <c r="AQ180" s="42" t="str">
        <f t="shared" si="82"/>
        <v/>
      </c>
      <c r="AR180" s="41"/>
      <c r="AS180" s="42" t="str">
        <f t="shared" si="83"/>
        <v/>
      </c>
      <c r="AT180" s="45"/>
    </row>
    <row r="181" spans="1:46" ht="15" customHeight="1" x14ac:dyDescent="0.3">
      <c r="A181" s="6"/>
      <c r="B181" s="14"/>
      <c r="C181" s="15"/>
      <c r="D181" s="15"/>
      <c r="E181" s="15"/>
      <c r="F181" s="15"/>
      <c r="G181" s="15"/>
      <c r="H181" s="15"/>
      <c r="I181" s="15"/>
      <c r="J181" s="15"/>
      <c r="K181" s="15"/>
      <c r="L181" s="15"/>
      <c r="M181" s="15"/>
      <c r="N181" s="15"/>
      <c r="O181" s="15"/>
      <c r="P181" s="16">
        <f t="shared" si="70"/>
        <v>0</v>
      </c>
      <c r="Q181" s="15"/>
      <c r="R181" s="15"/>
      <c r="S181" s="16">
        <f t="shared" si="71"/>
        <v>0</v>
      </c>
      <c r="T181" s="15"/>
      <c r="U181" s="15"/>
      <c r="V181" s="16">
        <f t="shared" si="72"/>
        <v>0</v>
      </c>
      <c r="W181" s="15"/>
      <c r="X181" s="15"/>
      <c r="Y181" s="15"/>
      <c r="Z181" s="15"/>
      <c r="AA181" s="15"/>
      <c r="AB181" s="15"/>
      <c r="AC181" s="16">
        <f t="shared" si="73"/>
        <v>0</v>
      </c>
      <c r="AD181" s="17" t="str">
        <f t="shared" si="74"/>
        <v/>
      </c>
      <c r="AE181" s="17" t="str">
        <f t="shared" si="75"/>
        <v/>
      </c>
      <c r="AF181" s="17" t="str">
        <f t="shared" si="76"/>
        <v/>
      </c>
      <c r="AG181" s="18" t="str">
        <f t="shared" si="77"/>
        <v/>
      </c>
      <c r="AH181" s="18" t="str">
        <f t="shared" si="78"/>
        <v/>
      </c>
      <c r="AI181" s="18" t="str">
        <f t="shared" si="79"/>
        <v/>
      </c>
      <c r="AJ181" s="18" t="str">
        <f t="shared" si="80"/>
        <v/>
      </c>
      <c r="AK181" s="6"/>
      <c r="AL181" s="6"/>
      <c r="AM181" s="6"/>
      <c r="AN181" s="6"/>
      <c r="AO181" s="41"/>
      <c r="AP181" s="42" t="str">
        <f t="shared" si="81"/>
        <v/>
      </c>
      <c r="AQ181" s="42" t="str">
        <f t="shared" si="82"/>
        <v/>
      </c>
      <c r="AR181" s="41"/>
      <c r="AS181" s="42" t="str">
        <f t="shared" si="83"/>
        <v/>
      </c>
      <c r="AT181" s="45"/>
    </row>
    <row r="182" spans="1:46" ht="15" customHeight="1" x14ac:dyDescent="0.3">
      <c r="A182" s="6"/>
      <c r="B182" s="14"/>
      <c r="C182" s="15"/>
      <c r="D182" s="15"/>
      <c r="E182" s="15"/>
      <c r="F182" s="15"/>
      <c r="G182" s="15"/>
      <c r="H182" s="15"/>
      <c r="I182" s="15"/>
      <c r="J182" s="15"/>
      <c r="K182" s="15"/>
      <c r="L182" s="15"/>
      <c r="M182" s="15"/>
      <c r="N182" s="15"/>
      <c r="O182" s="15"/>
      <c r="P182" s="16">
        <f t="shared" si="70"/>
        <v>0</v>
      </c>
      <c r="Q182" s="15"/>
      <c r="R182" s="15"/>
      <c r="S182" s="16">
        <f t="shared" si="71"/>
        <v>0</v>
      </c>
      <c r="T182" s="15"/>
      <c r="U182" s="15"/>
      <c r="V182" s="16">
        <f t="shared" si="72"/>
        <v>0</v>
      </c>
      <c r="W182" s="15"/>
      <c r="X182" s="15"/>
      <c r="Y182" s="15"/>
      <c r="Z182" s="15"/>
      <c r="AA182" s="15"/>
      <c r="AB182" s="15"/>
      <c r="AC182" s="16">
        <f t="shared" si="73"/>
        <v>0</v>
      </c>
      <c r="AD182" s="17" t="str">
        <f t="shared" si="74"/>
        <v/>
      </c>
      <c r="AE182" s="17" t="str">
        <f t="shared" si="75"/>
        <v/>
      </c>
      <c r="AF182" s="17" t="str">
        <f t="shared" si="76"/>
        <v/>
      </c>
      <c r="AG182" s="18" t="str">
        <f t="shared" si="77"/>
        <v/>
      </c>
      <c r="AH182" s="18" t="str">
        <f t="shared" si="78"/>
        <v/>
      </c>
      <c r="AI182" s="18" t="str">
        <f t="shared" si="79"/>
        <v/>
      </c>
      <c r="AJ182" s="18" t="str">
        <f t="shared" si="80"/>
        <v/>
      </c>
      <c r="AK182" s="6"/>
      <c r="AL182" s="6"/>
      <c r="AM182" s="6"/>
      <c r="AN182" s="6"/>
      <c r="AO182" s="41"/>
      <c r="AP182" s="42" t="str">
        <f t="shared" si="81"/>
        <v/>
      </c>
      <c r="AQ182" s="42" t="str">
        <f t="shared" si="82"/>
        <v/>
      </c>
      <c r="AR182" s="41"/>
      <c r="AS182" s="42" t="str">
        <f t="shared" si="83"/>
        <v/>
      </c>
      <c r="AT182" s="45"/>
    </row>
    <row r="183" spans="1:46" ht="15" customHeight="1" x14ac:dyDescent="0.3">
      <c r="A183" s="6"/>
      <c r="B183" s="14"/>
      <c r="C183" s="15"/>
      <c r="D183" s="15"/>
      <c r="E183" s="15"/>
      <c r="F183" s="15"/>
      <c r="G183" s="15"/>
      <c r="H183" s="15"/>
      <c r="I183" s="15"/>
      <c r="J183" s="15"/>
      <c r="K183" s="15"/>
      <c r="L183" s="15"/>
      <c r="M183" s="15"/>
      <c r="N183" s="15"/>
      <c r="O183" s="15"/>
      <c r="P183" s="16">
        <f t="shared" si="70"/>
        <v>0</v>
      </c>
      <c r="Q183" s="15"/>
      <c r="R183" s="15"/>
      <c r="S183" s="16">
        <f t="shared" si="71"/>
        <v>0</v>
      </c>
      <c r="T183" s="15"/>
      <c r="U183" s="15"/>
      <c r="V183" s="16">
        <f t="shared" si="72"/>
        <v>0</v>
      </c>
      <c r="W183" s="15"/>
      <c r="X183" s="15"/>
      <c r="Y183" s="15"/>
      <c r="Z183" s="15"/>
      <c r="AA183" s="15"/>
      <c r="AB183" s="15"/>
      <c r="AC183" s="16">
        <f t="shared" si="73"/>
        <v>0</v>
      </c>
      <c r="AD183" s="17" t="str">
        <f t="shared" si="74"/>
        <v/>
      </c>
      <c r="AE183" s="17" t="str">
        <f t="shared" si="75"/>
        <v/>
      </c>
      <c r="AF183" s="17" t="str">
        <f t="shared" si="76"/>
        <v/>
      </c>
      <c r="AG183" s="18" t="str">
        <f t="shared" si="77"/>
        <v/>
      </c>
      <c r="AH183" s="18" t="str">
        <f t="shared" si="78"/>
        <v/>
      </c>
      <c r="AI183" s="18" t="str">
        <f t="shared" si="79"/>
        <v/>
      </c>
      <c r="AJ183" s="18" t="str">
        <f t="shared" si="80"/>
        <v/>
      </c>
      <c r="AK183" s="6"/>
      <c r="AL183" s="6"/>
      <c r="AM183" s="6"/>
      <c r="AN183" s="6"/>
      <c r="AO183" s="41"/>
      <c r="AP183" s="42" t="str">
        <f t="shared" si="81"/>
        <v/>
      </c>
      <c r="AQ183" s="42" t="str">
        <f t="shared" si="82"/>
        <v/>
      </c>
      <c r="AR183" s="41"/>
      <c r="AS183" s="42" t="str">
        <f t="shared" si="83"/>
        <v/>
      </c>
      <c r="AT183" s="45"/>
    </row>
    <row r="184" spans="1:46" ht="15" customHeight="1" x14ac:dyDescent="0.3">
      <c r="A184" s="6"/>
      <c r="B184" s="14"/>
      <c r="C184" s="15"/>
      <c r="D184" s="15"/>
      <c r="E184" s="15"/>
      <c r="F184" s="15"/>
      <c r="G184" s="15"/>
      <c r="H184" s="15"/>
      <c r="I184" s="15"/>
      <c r="J184" s="15"/>
      <c r="K184" s="15"/>
      <c r="L184" s="15"/>
      <c r="M184" s="15"/>
      <c r="N184" s="15"/>
      <c r="O184" s="15"/>
      <c r="P184" s="16">
        <f t="shared" si="70"/>
        <v>0</v>
      </c>
      <c r="Q184" s="15"/>
      <c r="R184" s="15"/>
      <c r="S184" s="16">
        <f t="shared" si="71"/>
        <v>0</v>
      </c>
      <c r="T184" s="15"/>
      <c r="U184" s="15"/>
      <c r="V184" s="16">
        <f t="shared" si="72"/>
        <v>0</v>
      </c>
      <c r="W184" s="15"/>
      <c r="X184" s="15"/>
      <c r="Y184" s="15"/>
      <c r="Z184" s="15"/>
      <c r="AA184" s="15"/>
      <c r="AB184" s="15"/>
      <c r="AC184" s="16">
        <f t="shared" si="73"/>
        <v>0</v>
      </c>
      <c r="AD184" s="17" t="str">
        <f t="shared" si="74"/>
        <v/>
      </c>
      <c r="AE184" s="17" t="str">
        <f t="shared" si="75"/>
        <v/>
      </c>
      <c r="AF184" s="17" t="str">
        <f t="shared" si="76"/>
        <v/>
      </c>
      <c r="AG184" s="18" t="str">
        <f t="shared" si="77"/>
        <v/>
      </c>
      <c r="AH184" s="18" t="str">
        <f t="shared" si="78"/>
        <v/>
      </c>
      <c r="AI184" s="18" t="str">
        <f t="shared" si="79"/>
        <v/>
      </c>
      <c r="AJ184" s="18" t="str">
        <f t="shared" si="80"/>
        <v/>
      </c>
      <c r="AK184" s="6"/>
      <c r="AL184" s="6"/>
      <c r="AM184" s="6"/>
      <c r="AN184" s="6"/>
      <c r="AO184" s="41"/>
      <c r="AP184" s="42" t="str">
        <f t="shared" si="81"/>
        <v/>
      </c>
      <c r="AQ184" s="42" t="str">
        <f t="shared" si="82"/>
        <v/>
      </c>
      <c r="AR184" s="41"/>
      <c r="AS184" s="42" t="str">
        <f t="shared" si="83"/>
        <v/>
      </c>
      <c r="AT184" s="45"/>
    </row>
    <row r="185" spans="1:46" ht="15" customHeight="1" x14ac:dyDescent="0.3">
      <c r="A185" s="6"/>
      <c r="B185" s="14"/>
      <c r="C185" s="15"/>
      <c r="D185" s="15"/>
      <c r="E185" s="15"/>
      <c r="F185" s="15"/>
      <c r="G185" s="15"/>
      <c r="H185" s="15"/>
      <c r="I185" s="15"/>
      <c r="J185" s="15"/>
      <c r="K185" s="15"/>
      <c r="L185" s="15"/>
      <c r="M185" s="15"/>
      <c r="N185" s="15"/>
      <c r="O185" s="15"/>
      <c r="P185" s="16">
        <f t="shared" si="70"/>
        <v>0</v>
      </c>
      <c r="Q185" s="15"/>
      <c r="R185" s="15"/>
      <c r="S185" s="16">
        <f t="shared" si="71"/>
        <v>0</v>
      </c>
      <c r="T185" s="15"/>
      <c r="U185" s="15"/>
      <c r="V185" s="16">
        <f t="shared" si="72"/>
        <v>0</v>
      </c>
      <c r="W185" s="15"/>
      <c r="X185" s="15"/>
      <c r="Y185" s="15"/>
      <c r="Z185" s="15"/>
      <c r="AA185" s="15"/>
      <c r="AB185" s="15"/>
      <c r="AC185" s="16">
        <f t="shared" si="73"/>
        <v>0</v>
      </c>
      <c r="AD185" s="17" t="str">
        <f t="shared" si="74"/>
        <v/>
      </c>
      <c r="AE185" s="17" t="str">
        <f t="shared" si="75"/>
        <v/>
      </c>
      <c r="AF185" s="17" t="str">
        <f t="shared" si="76"/>
        <v/>
      </c>
      <c r="AG185" s="18" t="str">
        <f t="shared" si="77"/>
        <v/>
      </c>
      <c r="AH185" s="18" t="str">
        <f t="shared" si="78"/>
        <v/>
      </c>
      <c r="AI185" s="18" t="str">
        <f t="shared" si="79"/>
        <v/>
      </c>
      <c r="AJ185" s="18" t="str">
        <f t="shared" si="80"/>
        <v/>
      </c>
      <c r="AK185" s="6"/>
      <c r="AL185" s="6"/>
      <c r="AM185" s="6"/>
      <c r="AN185" s="6"/>
      <c r="AO185" s="41"/>
      <c r="AP185" s="42" t="str">
        <f t="shared" si="81"/>
        <v/>
      </c>
      <c r="AQ185" s="42" t="str">
        <f t="shared" si="82"/>
        <v/>
      </c>
      <c r="AR185" s="41"/>
      <c r="AS185" s="42" t="str">
        <f t="shared" si="83"/>
        <v/>
      </c>
      <c r="AT185" s="45"/>
    </row>
    <row r="186" spans="1:46" ht="15" customHeight="1" x14ac:dyDescent="0.3">
      <c r="A186" s="6"/>
      <c r="B186" s="14"/>
      <c r="C186" s="15"/>
      <c r="D186" s="15"/>
      <c r="E186" s="15"/>
      <c r="F186" s="15"/>
      <c r="G186" s="15"/>
      <c r="H186" s="15"/>
      <c r="I186" s="15"/>
      <c r="J186" s="15"/>
      <c r="K186" s="15"/>
      <c r="L186" s="15"/>
      <c r="M186" s="15"/>
      <c r="N186" s="15"/>
      <c r="O186" s="15"/>
      <c r="P186" s="16">
        <f t="shared" si="70"/>
        <v>0</v>
      </c>
      <c r="Q186" s="15"/>
      <c r="R186" s="15"/>
      <c r="S186" s="16">
        <f t="shared" si="71"/>
        <v>0</v>
      </c>
      <c r="T186" s="15"/>
      <c r="U186" s="15"/>
      <c r="V186" s="16">
        <f t="shared" si="72"/>
        <v>0</v>
      </c>
      <c r="W186" s="15"/>
      <c r="X186" s="15"/>
      <c r="Y186" s="15"/>
      <c r="Z186" s="15"/>
      <c r="AA186" s="15"/>
      <c r="AB186" s="15"/>
      <c r="AC186" s="16">
        <f t="shared" si="73"/>
        <v>0</v>
      </c>
      <c r="AD186" s="17" t="str">
        <f t="shared" si="74"/>
        <v/>
      </c>
      <c r="AE186" s="17" t="str">
        <f t="shared" si="75"/>
        <v/>
      </c>
      <c r="AF186" s="17" t="str">
        <f t="shared" si="76"/>
        <v/>
      </c>
      <c r="AG186" s="18" t="str">
        <f t="shared" si="77"/>
        <v/>
      </c>
      <c r="AH186" s="18" t="str">
        <f t="shared" si="78"/>
        <v/>
      </c>
      <c r="AI186" s="18" t="str">
        <f t="shared" si="79"/>
        <v/>
      </c>
      <c r="AJ186" s="18" t="str">
        <f t="shared" si="80"/>
        <v/>
      </c>
      <c r="AK186" s="6"/>
      <c r="AL186" s="6"/>
      <c r="AM186" s="6"/>
      <c r="AN186" s="6"/>
      <c r="AO186" s="41"/>
      <c r="AP186" s="42" t="str">
        <f t="shared" si="81"/>
        <v/>
      </c>
      <c r="AQ186" s="42" t="str">
        <f t="shared" si="82"/>
        <v/>
      </c>
      <c r="AR186" s="41"/>
      <c r="AS186" s="42" t="str">
        <f t="shared" si="83"/>
        <v/>
      </c>
      <c r="AT186" s="45"/>
    </row>
    <row r="187" spans="1:46" ht="15" customHeight="1" x14ac:dyDescent="0.3">
      <c r="A187" s="6"/>
      <c r="B187" s="14"/>
      <c r="C187" s="15"/>
      <c r="D187" s="15"/>
      <c r="E187" s="15"/>
      <c r="F187" s="15"/>
      <c r="G187" s="15"/>
      <c r="H187" s="15"/>
      <c r="I187" s="15"/>
      <c r="J187" s="15"/>
      <c r="K187" s="15"/>
      <c r="L187" s="15"/>
      <c r="M187" s="15"/>
      <c r="N187" s="15"/>
      <c r="O187" s="15"/>
      <c r="P187" s="16">
        <f t="shared" si="70"/>
        <v>0</v>
      </c>
      <c r="Q187" s="15"/>
      <c r="R187" s="15"/>
      <c r="S187" s="16">
        <f t="shared" si="71"/>
        <v>0</v>
      </c>
      <c r="T187" s="15"/>
      <c r="U187" s="15"/>
      <c r="V187" s="16">
        <f t="shared" si="72"/>
        <v>0</v>
      </c>
      <c r="W187" s="15"/>
      <c r="X187" s="15"/>
      <c r="Y187" s="15"/>
      <c r="Z187" s="15"/>
      <c r="AA187" s="15"/>
      <c r="AB187" s="15"/>
      <c r="AC187" s="16">
        <f t="shared" si="73"/>
        <v>0</v>
      </c>
      <c r="AD187" s="17" t="str">
        <f t="shared" si="74"/>
        <v/>
      </c>
      <c r="AE187" s="17" t="str">
        <f t="shared" si="75"/>
        <v/>
      </c>
      <c r="AF187" s="17" t="str">
        <f t="shared" si="76"/>
        <v/>
      </c>
      <c r="AG187" s="18" t="str">
        <f t="shared" si="77"/>
        <v/>
      </c>
      <c r="AH187" s="18" t="str">
        <f t="shared" si="78"/>
        <v/>
      </c>
      <c r="AI187" s="18" t="str">
        <f t="shared" si="79"/>
        <v/>
      </c>
      <c r="AJ187" s="18" t="str">
        <f t="shared" si="80"/>
        <v/>
      </c>
      <c r="AK187" s="6"/>
      <c r="AL187" s="6"/>
      <c r="AM187" s="6"/>
      <c r="AN187" s="6"/>
      <c r="AO187" s="41"/>
      <c r="AP187" s="42" t="str">
        <f t="shared" si="81"/>
        <v/>
      </c>
      <c r="AQ187" s="42" t="str">
        <f t="shared" si="82"/>
        <v/>
      </c>
      <c r="AR187" s="41"/>
      <c r="AS187" s="42" t="str">
        <f t="shared" si="83"/>
        <v/>
      </c>
      <c r="AT187" s="45"/>
    </row>
    <row r="188" spans="1:46" ht="15" customHeight="1" x14ac:dyDescent="0.3">
      <c r="A188" s="6"/>
      <c r="B188" s="14"/>
      <c r="C188" s="15"/>
      <c r="D188" s="15"/>
      <c r="E188" s="15"/>
      <c r="F188" s="15"/>
      <c r="G188" s="15"/>
      <c r="H188" s="15"/>
      <c r="I188" s="15"/>
      <c r="J188" s="15"/>
      <c r="K188" s="15"/>
      <c r="L188" s="15"/>
      <c r="M188" s="15"/>
      <c r="N188" s="15"/>
      <c r="O188" s="15"/>
      <c r="P188" s="16">
        <f t="shared" si="70"/>
        <v>0</v>
      </c>
      <c r="Q188" s="15"/>
      <c r="R188" s="15"/>
      <c r="S188" s="16">
        <f t="shared" si="71"/>
        <v>0</v>
      </c>
      <c r="T188" s="15"/>
      <c r="U188" s="15"/>
      <c r="V188" s="16">
        <f t="shared" si="72"/>
        <v>0</v>
      </c>
      <c r="W188" s="15"/>
      <c r="X188" s="15"/>
      <c r="Y188" s="15"/>
      <c r="Z188" s="15"/>
      <c r="AA188" s="15"/>
      <c r="AB188" s="15"/>
      <c r="AC188" s="16">
        <f t="shared" si="73"/>
        <v>0</v>
      </c>
      <c r="AD188" s="17" t="str">
        <f t="shared" si="74"/>
        <v/>
      </c>
      <c r="AE188" s="17" t="str">
        <f t="shared" si="75"/>
        <v/>
      </c>
      <c r="AF188" s="17" t="str">
        <f t="shared" si="76"/>
        <v/>
      </c>
      <c r="AG188" s="18" t="str">
        <f t="shared" si="77"/>
        <v/>
      </c>
      <c r="AH188" s="18" t="str">
        <f t="shared" si="78"/>
        <v/>
      </c>
      <c r="AI188" s="18" t="str">
        <f t="shared" si="79"/>
        <v/>
      </c>
      <c r="AJ188" s="18" t="str">
        <f t="shared" si="80"/>
        <v/>
      </c>
      <c r="AK188" s="6"/>
      <c r="AL188" s="6"/>
      <c r="AM188" s="6"/>
      <c r="AN188" s="6"/>
      <c r="AO188" s="41"/>
      <c r="AP188" s="42" t="str">
        <f t="shared" si="81"/>
        <v/>
      </c>
      <c r="AQ188" s="42" t="str">
        <f t="shared" si="82"/>
        <v/>
      </c>
      <c r="AR188" s="41"/>
      <c r="AS188" s="42" t="str">
        <f t="shared" si="83"/>
        <v/>
      </c>
      <c r="AT188" s="45"/>
    </row>
    <row r="189" spans="1:46" ht="15" customHeight="1" x14ac:dyDescent="0.3">
      <c r="A189" s="6"/>
      <c r="B189" s="14"/>
      <c r="C189" s="15"/>
      <c r="D189" s="15"/>
      <c r="E189" s="15"/>
      <c r="F189" s="15"/>
      <c r="G189" s="15"/>
      <c r="H189" s="15"/>
      <c r="I189" s="15"/>
      <c r="J189" s="15"/>
      <c r="K189" s="15"/>
      <c r="L189" s="15"/>
      <c r="M189" s="15"/>
      <c r="N189" s="15"/>
      <c r="O189" s="15"/>
      <c r="P189" s="16">
        <f t="shared" si="70"/>
        <v>0</v>
      </c>
      <c r="Q189" s="15"/>
      <c r="R189" s="15"/>
      <c r="S189" s="16">
        <f t="shared" si="71"/>
        <v>0</v>
      </c>
      <c r="T189" s="15"/>
      <c r="U189" s="15"/>
      <c r="V189" s="16">
        <f t="shared" si="72"/>
        <v>0</v>
      </c>
      <c r="W189" s="15"/>
      <c r="X189" s="15"/>
      <c r="Y189" s="15"/>
      <c r="Z189" s="15"/>
      <c r="AA189" s="15"/>
      <c r="AB189" s="15"/>
      <c r="AC189" s="16">
        <f t="shared" si="73"/>
        <v>0</v>
      </c>
      <c r="AD189" s="17" t="str">
        <f t="shared" si="74"/>
        <v/>
      </c>
      <c r="AE189" s="17" t="str">
        <f t="shared" si="75"/>
        <v/>
      </c>
      <c r="AF189" s="17" t="str">
        <f t="shared" si="76"/>
        <v/>
      </c>
      <c r="AG189" s="18" t="str">
        <f t="shared" si="77"/>
        <v/>
      </c>
      <c r="AH189" s="18" t="str">
        <f t="shared" si="78"/>
        <v/>
      </c>
      <c r="AI189" s="18" t="str">
        <f t="shared" si="79"/>
        <v/>
      </c>
      <c r="AJ189" s="18" t="str">
        <f t="shared" si="80"/>
        <v/>
      </c>
      <c r="AK189" s="6"/>
      <c r="AL189" s="6"/>
      <c r="AM189" s="6"/>
      <c r="AN189" s="6"/>
      <c r="AO189" s="41"/>
      <c r="AP189" s="42" t="str">
        <f t="shared" si="81"/>
        <v/>
      </c>
      <c r="AQ189" s="42" t="str">
        <f t="shared" si="82"/>
        <v/>
      </c>
      <c r="AR189" s="41"/>
      <c r="AS189" s="42" t="str">
        <f t="shared" si="83"/>
        <v/>
      </c>
      <c r="AT189" s="45"/>
    </row>
    <row r="190" spans="1:46" ht="15" customHeight="1" x14ac:dyDescent="0.3">
      <c r="A190" s="6"/>
      <c r="B190" s="14"/>
      <c r="C190" s="15"/>
      <c r="D190" s="15"/>
      <c r="E190" s="15"/>
      <c r="F190" s="15"/>
      <c r="G190" s="15"/>
      <c r="H190" s="15"/>
      <c r="I190" s="15"/>
      <c r="J190" s="15"/>
      <c r="K190" s="15"/>
      <c r="L190" s="15"/>
      <c r="M190" s="15"/>
      <c r="N190" s="15"/>
      <c r="O190" s="15"/>
      <c r="P190" s="16">
        <f t="shared" si="70"/>
        <v>0</v>
      </c>
      <c r="Q190" s="15"/>
      <c r="R190" s="15"/>
      <c r="S190" s="16">
        <f t="shared" si="71"/>
        <v>0</v>
      </c>
      <c r="T190" s="15"/>
      <c r="U190" s="15"/>
      <c r="V190" s="16">
        <f t="shared" si="72"/>
        <v>0</v>
      </c>
      <c r="W190" s="15"/>
      <c r="X190" s="15"/>
      <c r="Y190" s="15"/>
      <c r="Z190" s="15"/>
      <c r="AA190" s="15"/>
      <c r="AB190" s="15"/>
      <c r="AC190" s="16">
        <f t="shared" si="73"/>
        <v>0</v>
      </c>
      <c r="AD190" s="17" t="str">
        <f t="shared" si="74"/>
        <v/>
      </c>
      <c r="AE190" s="17" t="str">
        <f t="shared" si="75"/>
        <v/>
      </c>
      <c r="AF190" s="17" t="str">
        <f t="shared" si="76"/>
        <v/>
      </c>
      <c r="AG190" s="18" t="str">
        <f t="shared" si="77"/>
        <v/>
      </c>
      <c r="AH190" s="18" t="str">
        <f t="shared" si="78"/>
        <v/>
      </c>
      <c r="AI190" s="18" t="str">
        <f t="shared" si="79"/>
        <v/>
      </c>
      <c r="AJ190" s="18" t="str">
        <f t="shared" si="80"/>
        <v/>
      </c>
      <c r="AK190" s="6"/>
      <c r="AL190" s="6"/>
      <c r="AM190" s="6"/>
      <c r="AN190" s="6"/>
      <c r="AO190" s="41"/>
      <c r="AP190" s="42" t="str">
        <f t="shared" si="81"/>
        <v/>
      </c>
      <c r="AQ190" s="42" t="str">
        <f t="shared" si="82"/>
        <v/>
      </c>
      <c r="AR190" s="41"/>
      <c r="AS190" s="42" t="str">
        <f t="shared" si="83"/>
        <v/>
      </c>
      <c r="AT190" s="45"/>
    </row>
    <row r="191" spans="1:46" ht="15" customHeight="1" x14ac:dyDescent="0.3">
      <c r="A191" s="6"/>
      <c r="B191" s="14"/>
      <c r="C191" s="15"/>
      <c r="D191" s="15"/>
      <c r="E191" s="15"/>
      <c r="F191" s="15"/>
      <c r="G191" s="15"/>
      <c r="H191" s="15"/>
      <c r="I191" s="15"/>
      <c r="J191" s="15"/>
      <c r="K191" s="15"/>
      <c r="L191" s="15"/>
      <c r="M191" s="15"/>
      <c r="N191" s="15"/>
      <c r="O191" s="15"/>
      <c r="P191" s="16">
        <f t="shared" si="70"/>
        <v>0</v>
      </c>
      <c r="Q191" s="15"/>
      <c r="R191" s="15"/>
      <c r="S191" s="16">
        <f t="shared" si="71"/>
        <v>0</v>
      </c>
      <c r="T191" s="15"/>
      <c r="U191" s="15"/>
      <c r="V191" s="16">
        <f t="shared" si="72"/>
        <v>0</v>
      </c>
      <c r="W191" s="15"/>
      <c r="X191" s="15"/>
      <c r="Y191" s="15"/>
      <c r="Z191" s="15"/>
      <c r="AA191" s="15"/>
      <c r="AB191" s="15"/>
      <c r="AC191" s="16">
        <f t="shared" si="73"/>
        <v>0</v>
      </c>
      <c r="AD191" s="17" t="str">
        <f t="shared" si="74"/>
        <v/>
      </c>
      <c r="AE191" s="17" t="str">
        <f t="shared" si="75"/>
        <v/>
      </c>
      <c r="AF191" s="17" t="str">
        <f t="shared" si="76"/>
        <v/>
      </c>
      <c r="AG191" s="18" t="str">
        <f t="shared" si="77"/>
        <v/>
      </c>
      <c r="AH191" s="18" t="str">
        <f t="shared" si="78"/>
        <v/>
      </c>
      <c r="AI191" s="18" t="str">
        <f t="shared" si="79"/>
        <v/>
      </c>
      <c r="AJ191" s="18" t="str">
        <f t="shared" si="80"/>
        <v/>
      </c>
      <c r="AK191" s="6"/>
      <c r="AL191" s="6"/>
      <c r="AM191" s="6"/>
      <c r="AN191" s="6"/>
      <c r="AO191" s="41"/>
      <c r="AP191" s="42" t="str">
        <f t="shared" si="81"/>
        <v/>
      </c>
      <c r="AQ191" s="42" t="str">
        <f t="shared" si="82"/>
        <v/>
      </c>
      <c r="AR191" s="41"/>
      <c r="AS191" s="42" t="str">
        <f t="shared" si="83"/>
        <v/>
      </c>
      <c r="AT191" s="45"/>
    </row>
    <row r="192" spans="1:46" ht="15" customHeight="1" x14ac:dyDescent="0.3">
      <c r="A192" s="6"/>
      <c r="B192" s="14"/>
      <c r="C192" s="15"/>
      <c r="D192" s="15"/>
      <c r="E192" s="15"/>
      <c r="F192" s="15"/>
      <c r="G192" s="15"/>
      <c r="H192" s="15"/>
      <c r="I192" s="15"/>
      <c r="J192" s="15"/>
      <c r="K192" s="15"/>
      <c r="L192" s="15"/>
      <c r="M192" s="15"/>
      <c r="N192" s="15"/>
      <c r="O192" s="15"/>
      <c r="P192" s="16">
        <f t="shared" si="70"/>
        <v>0</v>
      </c>
      <c r="Q192" s="15"/>
      <c r="R192" s="15"/>
      <c r="S192" s="16">
        <f t="shared" si="71"/>
        <v>0</v>
      </c>
      <c r="T192" s="15"/>
      <c r="U192" s="15"/>
      <c r="V192" s="16">
        <f t="shared" si="72"/>
        <v>0</v>
      </c>
      <c r="W192" s="15"/>
      <c r="X192" s="15"/>
      <c r="Y192" s="15"/>
      <c r="Z192" s="15"/>
      <c r="AA192" s="15"/>
      <c r="AB192" s="15"/>
      <c r="AC192" s="16">
        <f t="shared" si="73"/>
        <v>0</v>
      </c>
      <c r="AD192" s="17" t="str">
        <f t="shared" si="74"/>
        <v/>
      </c>
      <c r="AE192" s="17" t="str">
        <f t="shared" si="75"/>
        <v/>
      </c>
      <c r="AF192" s="17" t="str">
        <f t="shared" si="76"/>
        <v/>
      </c>
      <c r="AG192" s="18" t="str">
        <f t="shared" si="77"/>
        <v/>
      </c>
      <c r="AH192" s="18" t="str">
        <f t="shared" si="78"/>
        <v/>
      </c>
      <c r="AI192" s="18" t="str">
        <f t="shared" si="79"/>
        <v/>
      </c>
      <c r="AJ192" s="18" t="str">
        <f t="shared" si="80"/>
        <v/>
      </c>
      <c r="AK192" s="6"/>
      <c r="AL192" s="6"/>
      <c r="AM192" s="6"/>
      <c r="AN192" s="6"/>
      <c r="AO192" s="41"/>
      <c r="AP192" s="42" t="str">
        <f t="shared" si="81"/>
        <v/>
      </c>
      <c r="AQ192" s="42" t="str">
        <f t="shared" si="82"/>
        <v/>
      </c>
      <c r="AR192" s="41"/>
      <c r="AS192" s="42" t="str">
        <f t="shared" si="83"/>
        <v/>
      </c>
      <c r="AT192" s="45"/>
    </row>
    <row r="193" spans="1:46" ht="15" customHeight="1" x14ac:dyDescent="0.3">
      <c r="A193" s="6"/>
      <c r="B193" s="14"/>
      <c r="C193" s="15"/>
      <c r="D193" s="15"/>
      <c r="E193" s="15"/>
      <c r="F193" s="15"/>
      <c r="G193" s="15"/>
      <c r="H193" s="15"/>
      <c r="I193" s="15"/>
      <c r="J193" s="15"/>
      <c r="K193" s="15"/>
      <c r="L193" s="15"/>
      <c r="M193" s="15"/>
      <c r="N193" s="15"/>
      <c r="O193" s="15"/>
      <c r="P193" s="16">
        <f t="shared" si="70"/>
        <v>0</v>
      </c>
      <c r="Q193" s="15"/>
      <c r="R193" s="15"/>
      <c r="S193" s="16">
        <f t="shared" si="71"/>
        <v>0</v>
      </c>
      <c r="T193" s="15"/>
      <c r="U193" s="15"/>
      <c r="V193" s="16">
        <f t="shared" si="72"/>
        <v>0</v>
      </c>
      <c r="W193" s="15"/>
      <c r="X193" s="15"/>
      <c r="Y193" s="15"/>
      <c r="Z193" s="15"/>
      <c r="AA193" s="15"/>
      <c r="AB193" s="15"/>
      <c r="AC193" s="16">
        <f t="shared" si="73"/>
        <v>0</v>
      </c>
      <c r="AD193" s="17" t="str">
        <f t="shared" si="74"/>
        <v/>
      </c>
      <c r="AE193" s="17" t="str">
        <f t="shared" si="75"/>
        <v/>
      </c>
      <c r="AF193" s="17" t="str">
        <f t="shared" si="76"/>
        <v/>
      </c>
      <c r="AG193" s="18" t="str">
        <f t="shared" si="77"/>
        <v/>
      </c>
      <c r="AH193" s="18" t="str">
        <f t="shared" si="78"/>
        <v/>
      </c>
      <c r="AI193" s="18" t="str">
        <f t="shared" si="79"/>
        <v/>
      </c>
      <c r="AJ193" s="18" t="str">
        <f t="shared" si="80"/>
        <v/>
      </c>
      <c r="AK193" s="6"/>
      <c r="AL193" s="6"/>
      <c r="AM193" s="6"/>
      <c r="AN193" s="6"/>
      <c r="AO193" s="41"/>
      <c r="AP193" s="42" t="str">
        <f t="shared" si="81"/>
        <v/>
      </c>
      <c r="AQ193" s="42" t="str">
        <f t="shared" si="82"/>
        <v/>
      </c>
      <c r="AR193" s="41"/>
      <c r="AS193" s="42" t="str">
        <f t="shared" si="83"/>
        <v/>
      </c>
      <c r="AT193" s="45"/>
    </row>
    <row r="194" spans="1:46" ht="15" customHeight="1" x14ac:dyDescent="0.3">
      <c r="A194" s="6"/>
      <c r="B194" s="14"/>
      <c r="C194" s="15"/>
      <c r="D194" s="15"/>
      <c r="E194" s="15"/>
      <c r="F194" s="15"/>
      <c r="G194" s="15"/>
      <c r="H194" s="15"/>
      <c r="I194" s="15"/>
      <c r="J194" s="15"/>
      <c r="K194" s="15"/>
      <c r="L194" s="15"/>
      <c r="M194" s="15"/>
      <c r="N194" s="15"/>
      <c r="O194" s="15"/>
      <c r="P194" s="16">
        <f t="shared" ref="P194:P201" si="84">IFERROR(J194-M194,"")</f>
        <v>0</v>
      </c>
      <c r="Q194" s="15"/>
      <c r="R194" s="15"/>
      <c r="S194" s="16">
        <f t="shared" ref="S194:S201" si="85">IFERROR(R194-Q194,"")</f>
        <v>0</v>
      </c>
      <c r="T194" s="15"/>
      <c r="U194" s="15"/>
      <c r="V194" s="16">
        <f t="shared" ref="V194:V201" si="86">IFERROR(T194-U194,"")</f>
        <v>0</v>
      </c>
      <c r="W194" s="15"/>
      <c r="X194" s="15"/>
      <c r="Y194" s="15"/>
      <c r="Z194" s="15"/>
      <c r="AA194" s="15"/>
      <c r="AB194" s="15"/>
      <c r="AC194" s="16">
        <f t="shared" ref="AC194:AC201" si="87">IFERROR(W194*AB194/1000,"")</f>
        <v>0</v>
      </c>
      <c r="AD194" s="17" t="str">
        <f t="shared" ref="AD194:AD201" si="88">IFERROR(J194/M194,"")</f>
        <v/>
      </c>
      <c r="AE194" s="17" t="str">
        <f t="shared" ref="AE194:AE201" si="89">IFERROR(R194/I194,"")</f>
        <v/>
      </c>
      <c r="AF194" s="17" t="str">
        <f t="shared" ref="AF194:AF201" si="90">IFERROR(R194/O194,"")</f>
        <v/>
      </c>
      <c r="AG194" s="18" t="str">
        <f t="shared" ref="AG194:AG201" si="91">IFERROR(G194/I194,"")</f>
        <v/>
      </c>
      <c r="AH194" s="18" t="str">
        <f t="shared" ref="AH194:AH201" si="92">IFERROR(G194/O194,"")</f>
        <v/>
      </c>
      <c r="AI194" s="18" t="str">
        <f t="shared" ref="AI194:AI201" si="93">IFERROR(G194/C194,"")</f>
        <v/>
      </c>
      <c r="AJ194" s="18" t="str">
        <f t="shared" ref="AJ194:AJ201" si="94">IFERROR(D194/C194,"")</f>
        <v/>
      </c>
      <c r="AK194" s="6"/>
      <c r="AL194" s="6"/>
      <c r="AM194" s="6"/>
      <c r="AN194" s="6"/>
      <c r="AO194" s="41"/>
      <c r="AP194" s="42" t="str">
        <f t="shared" ref="AP194:AP201" si="95">IFERROR(IF(AND(NOT(ISNUMBER(F194)),NOT(ISNUMBER(AO194))),"",F194+AO194),"")</f>
        <v/>
      </c>
      <c r="AQ194" s="42" t="str">
        <f t="shared" ref="AQ194:AQ201" si="96">IFERROR(IF(OR(NOT(ISNUMBER(E194)),NOT(ISNUMBER(AP194))),"",E194-AP194),"")</f>
        <v/>
      </c>
      <c r="AR194" s="41"/>
      <c r="AS194" s="42" t="str">
        <f t="shared" ref="AS194:AS201" si="97">IFERROR(IF(OR(NOT(ISNUMBER(AR194)),NOT(ISNUMBER(S194))),"",AR194-S194),"")</f>
        <v/>
      </c>
      <c r="AT194" s="45"/>
    </row>
    <row r="195" spans="1:46" ht="15" customHeight="1" x14ac:dyDescent="0.3">
      <c r="A195" s="6"/>
      <c r="B195" s="14"/>
      <c r="C195" s="15"/>
      <c r="D195" s="15"/>
      <c r="E195" s="15"/>
      <c r="F195" s="15"/>
      <c r="G195" s="15"/>
      <c r="H195" s="15"/>
      <c r="I195" s="15"/>
      <c r="J195" s="15"/>
      <c r="K195" s="15"/>
      <c r="L195" s="15"/>
      <c r="M195" s="15"/>
      <c r="N195" s="15"/>
      <c r="O195" s="15"/>
      <c r="P195" s="16">
        <f t="shared" si="84"/>
        <v>0</v>
      </c>
      <c r="Q195" s="15"/>
      <c r="R195" s="15"/>
      <c r="S195" s="16">
        <f t="shared" si="85"/>
        <v>0</v>
      </c>
      <c r="T195" s="15"/>
      <c r="U195" s="15"/>
      <c r="V195" s="16">
        <f t="shared" si="86"/>
        <v>0</v>
      </c>
      <c r="W195" s="15"/>
      <c r="X195" s="15"/>
      <c r="Y195" s="15"/>
      <c r="Z195" s="15"/>
      <c r="AA195" s="15"/>
      <c r="AB195" s="15"/>
      <c r="AC195" s="16">
        <f t="shared" si="87"/>
        <v>0</v>
      </c>
      <c r="AD195" s="17" t="str">
        <f t="shared" si="88"/>
        <v/>
      </c>
      <c r="AE195" s="17" t="str">
        <f t="shared" si="89"/>
        <v/>
      </c>
      <c r="AF195" s="17" t="str">
        <f t="shared" si="90"/>
        <v/>
      </c>
      <c r="AG195" s="18" t="str">
        <f t="shared" si="91"/>
        <v/>
      </c>
      <c r="AH195" s="18" t="str">
        <f t="shared" si="92"/>
        <v/>
      </c>
      <c r="AI195" s="18" t="str">
        <f t="shared" si="93"/>
        <v/>
      </c>
      <c r="AJ195" s="18" t="str">
        <f t="shared" si="94"/>
        <v/>
      </c>
      <c r="AK195" s="6"/>
      <c r="AL195" s="6"/>
      <c r="AM195" s="6"/>
      <c r="AN195" s="6"/>
      <c r="AO195" s="41"/>
      <c r="AP195" s="42" t="str">
        <f t="shared" si="95"/>
        <v/>
      </c>
      <c r="AQ195" s="42" t="str">
        <f t="shared" si="96"/>
        <v/>
      </c>
      <c r="AR195" s="41"/>
      <c r="AS195" s="42" t="str">
        <f t="shared" si="97"/>
        <v/>
      </c>
      <c r="AT195" s="45"/>
    </row>
    <row r="196" spans="1:46" ht="15" customHeight="1" x14ac:dyDescent="0.3">
      <c r="A196" s="6"/>
      <c r="B196" s="14"/>
      <c r="C196" s="15"/>
      <c r="D196" s="15"/>
      <c r="E196" s="15"/>
      <c r="F196" s="15"/>
      <c r="G196" s="15"/>
      <c r="H196" s="15"/>
      <c r="I196" s="15"/>
      <c r="J196" s="15"/>
      <c r="K196" s="15"/>
      <c r="L196" s="15"/>
      <c r="M196" s="15"/>
      <c r="N196" s="15"/>
      <c r="O196" s="15"/>
      <c r="P196" s="16">
        <f t="shared" si="84"/>
        <v>0</v>
      </c>
      <c r="Q196" s="15"/>
      <c r="R196" s="15"/>
      <c r="S196" s="16">
        <f t="shared" si="85"/>
        <v>0</v>
      </c>
      <c r="T196" s="15"/>
      <c r="U196" s="15"/>
      <c r="V196" s="16">
        <f t="shared" si="86"/>
        <v>0</v>
      </c>
      <c r="W196" s="15"/>
      <c r="X196" s="15"/>
      <c r="Y196" s="15"/>
      <c r="Z196" s="15"/>
      <c r="AA196" s="15"/>
      <c r="AB196" s="15"/>
      <c r="AC196" s="16">
        <f t="shared" si="87"/>
        <v>0</v>
      </c>
      <c r="AD196" s="17" t="str">
        <f t="shared" si="88"/>
        <v/>
      </c>
      <c r="AE196" s="17" t="str">
        <f t="shared" si="89"/>
        <v/>
      </c>
      <c r="AF196" s="17" t="str">
        <f t="shared" si="90"/>
        <v/>
      </c>
      <c r="AG196" s="18" t="str">
        <f t="shared" si="91"/>
        <v/>
      </c>
      <c r="AH196" s="18" t="str">
        <f t="shared" si="92"/>
        <v/>
      </c>
      <c r="AI196" s="18" t="str">
        <f t="shared" si="93"/>
        <v/>
      </c>
      <c r="AJ196" s="18" t="str">
        <f t="shared" si="94"/>
        <v/>
      </c>
      <c r="AK196" s="6"/>
      <c r="AL196" s="6"/>
      <c r="AM196" s="6"/>
      <c r="AN196" s="6"/>
      <c r="AO196" s="41"/>
      <c r="AP196" s="42" t="str">
        <f t="shared" si="95"/>
        <v/>
      </c>
      <c r="AQ196" s="42" t="str">
        <f t="shared" si="96"/>
        <v/>
      </c>
      <c r="AR196" s="41"/>
      <c r="AS196" s="42" t="str">
        <f t="shared" si="97"/>
        <v/>
      </c>
      <c r="AT196" s="45"/>
    </row>
    <row r="197" spans="1:46" ht="15" customHeight="1" x14ac:dyDescent="0.3">
      <c r="A197" s="6"/>
      <c r="B197" s="14"/>
      <c r="C197" s="15"/>
      <c r="D197" s="15"/>
      <c r="E197" s="15"/>
      <c r="F197" s="15"/>
      <c r="G197" s="15"/>
      <c r="H197" s="15"/>
      <c r="I197" s="15"/>
      <c r="J197" s="15"/>
      <c r="K197" s="15"/>
      <c r="L197" s="15"/>
      <c r="M197" s="15"/>
      <c r="N197" s="15"/>
      <c r="O197" s="15"/>
      <c r="P197" s="16">
        <f t="shared" si="84"/>
        <v>0</v>
      </c>
      <c r="Q197" s="15"/>
      <c r="R197" s="15"/>
      <c r="S197" s="16">
        <f t="shared" si="85"/>
        <v>0</v>
      </c>
      <c r="T197" s="15"/>
      <c r="U197" s="15"/>
      <c r="V197" s="16">
        <f t="shared" si="86"/>
        <v>0</v>
      </c>
      <c r="W197" s="15"/>
      <c r="X197" s="15"/>
      <c r="Y197" s="15"/>
      <c r="Z197" s="15"/>
      <c r="AA197" s="15"/>
      <c r="AB197" s="15"/>
      <c r="AC197" s="16">
        <f t="shared" si="87"/>
        <v>0</v>
      </c>
      <c r="AD197" s="17" t="str">
        <f t="shared" si="88"/>
        <v/>
      </c>
      <c r="AE197" s="17" t="str">
        <f t="shared" si="89"/>
        <v/>
      </c>
      <c r="AF197" s="17" t="str">
        <f t="shared" si="90"/>
        <v/>
      </c>
      <c r="AG197" s="18" t="str">
        <f t="shared" si="91"/>
        <v/>
      </c>
      <c r="AH197" s="18" t="str">
        <f t="shared" si="92"/>
        <v/>
      </c>
      <c r="AI197" s="18" t="str">
        <f t="shared" si="93"/>
        <v/>
      </c>
      <c r="AJ197" s="18" t="str">
        <f t="shared" si="94"/>
        <v/>
      </c>
      <c r="AK197" s="6"/>
      <c r="AL197" s="6"/>
      <c r="AM197" s="6"/>
      <c r="AN197" s="6"/>
      <c r="AO197" s="41"/>
      <c r="AP197" s="42" t="str">
        <f t="shared" si="95"/>
        <v/>
      </c>
      <c r="AQ197" s="42" t="str">
        <f t="shared" si="96"/>
        <v/>
      </c>
      <c r="AR197" s="41"/>
      <c r="AS197" s="42" t="str">
        <f t="shared" si="97"/>
        <v/>
      </c>
      <c r="AT197" s="45"/>
    </row>
    <row r="198" spans="1:46" ht="15" customHeight="1" x14ac:dyDescent="0.3">
      <c r="A198" s="6"/>
      <c r="B198" s="14"/>
      <c r="C198" s="15"/>
      <c r="D198" s="15"/>
      <c r="E198" s="15"/>
      <c r="F198" s="15"/>
      <c r="G198" s="15"/>
      <c r="H198" s="15"/>
      <c r="I198" s="15"/>
      <c r="J198" s="15"/>
      <c r="K198" s="15"/>
      <c r="L198" s="15"/>
      <c r="M198" s="15"/>
      <c r="N198" s="15"/>
      <c r="O198" s="15"/>
      <c r="P198" s="16">
        <f t="shared" si="84"/>
        <v>0</v>
      </c>
      <c r="Q198" s="15"/>
      <c r="R198" s="15"/>
      <c r="S198" s="16">
        <f t="shared" si="85"/>
        <v>0</v>
      </c>
      <c r="T198" s="15"/>
      <c r="U198" s="15"/>
      <c r="V198" s="16">
        <f t="shared" si="86"/>
        <v>0</v>
      </c>
      <c r="W198" s="15"/>
      <c r="X198" s="15"/>
      <c r="Y198" s="15"/>
      <c r="Z198" s="15"/>
      <c r="AA198" s="15"/>
      <c r="AB198" s="15"/>
      <c r="AC198" s="16">
        <f t="shared" si="87"/>
        <v>0</v>
      </c>
      <c r="AD198" s="17" t="str">
        <f t="shared" si="88"/>
        <v/>
      </c>
      <c r="AE198" s="17" t="str">
        <f t="shared" si="89"/>
        <v/>
      </c>
      <c r="AF198" s="17" t="str">
        <f t="shared" si="90"/>
        <v/>
      </c>
      <c r="AG198" s="18" t="str">
        <f t="shared" si="91"/>
        <v/>
      </c>
      <c r="AH198" s="18" t="str">
        <f t="shared" si="92"/>
        <v/>
      </c>
      <c r="AI198" s="18" t="str">
        <f t="shared" si="93"/>
        <v/>
      </c>
      <c r="AJ198" s="18" t="str">
        <f t="shared" si="94"/>
        <v/>
      </c>
      <c r="AK198" s="6"/>
      <c r="AL198" s="6"/>
      <c r="AM198" s="6"/>
      <c r="AN198" s="6"/>
      <c r="AO198" s="41"/>
      <c r="AP198" s="42" t="str">
        <f t="shared" si="95"/>
        <v/>
      </c>
      <c r="AQ198" s="42" t="str">
        <f t="shared" si="96"/>
        <v/>
      </c>
      <c r="AR198" s="41"/>
      <c r="AS198" s="42" t="str">
        <f t="shared" si="97"/>
        <v/>
      </c>
      <c r="AT198" s="45"/>
    </row>
    <row r="199" spans="1:46" ht="15" customHeight="1" x14ac:dyDescent="0.3">
      <c r="A199" s="6"/>
      <c r="B199" s="14"/>
      <c r="C199" s="15"/>
      <c r="D199" s="15"/>
      <c r="E199" s="15"/>
      <c r="F199" s="15"/>
      <c r="G199" s="15"/>
      <c r="H199" s="15"/>
      <c r="I199" s="15"/>
      <c r="J199" s="15"/>
      <c r="K199" s="15"/>
      <c r="L199" s="15"/>
      <c r="M199" s="15"/>
      <c r="N199" s="15"/>
      <c r="O199" s="15"/>
      <c r="P199" s="16">
        <f t="shared" si="84"/>
        <v>0</v>
      </c>
      <c r="Q199" s="15"/>
      <c r="R199" s="15"/>
      <c r="S199" s="16">
        <f t="shared" si="85"/>
        <v>0</v>
      </c>
      <c r="T199" s="15"/>
      <c r="U199" s="15"/>
      <c r="V199" s="16">
        <f t="shared" si="86"/>
        <v>0</v>
      </c>
      <c r="W199" s="15"/>
      <c r="X199" s="15"/>
      <c r="Y199" s="15"/>
      <c r="Z199" s="15"/>
      <c r="AA199" s="15"/>
      <c r="AB199" s="15"/>
      <c r="AC199" s="16">
        <f t="shared" si="87"/>
        <v>0</v>
      </c>
      <c r="AD199" s="17" t="str">
        <f t="shared" si="88"/>
        <v/>
      </c>
      <c r="AE199" s="17" t="str">
        <f t="shared" si="89"/>
        <v/>
      </c>
      <c r="AF199" s="17" t="str">
        <f t="shared" si="90"/>
        <v/>
      </c>
      <c r="AG199" s="18" t="str">
        <f t="shared" si="91"/>
        <v/>
      </c>
      <c r="AH199" s="18" t="str">
        <f t="shared" si="92"/>
        <v/>
      </c>
      <c r="AI199" s="18" t="str">
        <f t="shared" si="93"/>
        <v/>
      </c>
      <c r="AJ199" s="18" t="str">
        <f t="shared" si="94"/>
        <v/>
      </c>
      <c r="AK199" s="6"/>
      <c r="AL199" s="6"/>
      <c r="AM199" s="6"/>
      <c r="AN199" s="6"/>
      <c r="AO199" s="41"/>
      <c r="AP199" s="42" t="str">
        <f t="shared" si="95"/>
        <v/>
      </c>
      <c r="AQ199" s="42" t="str">
        <f t="shared" si="96"/>
        <v/>
      </c>
      <c r="AR199" s="41"/>
      <c r="AS199" s="42" t="str">
        <f t="shared" si="97"/>
        <v/>
      </c>
      <c r="AT199" s="45"/>
    </row>
    <row r="200" spans="1:46" ht="15" customHeight="1" x14ac:dyDescent="0.3">
      <c r="A200" s="6"/>
      <c r="B200" s="14"/>
      <c r="C200" s="15"/>
      <c r="D200" s="15"/>
      <c r="E200" s="15"/>
      <c r="F200" s="15"/>
      <c r="G200" s="15"/>
      <c r="H200" s="15"/>
      <c r="I200" s="15"/>
      <c r="J200" s="15"/>
      <c r="K200" s="15"/>
      <c r="L200" s="15"/>
      <c r="M200" s="15"/>
      <c r="N200" s="15"/>
      <c r="O200" s="15"/>
      <c r="P200" s="16">
        <f t="shared" si="84"/>
        <v>0</v>
      </c>
      <c r="Q200" s="15"/>
      <c r="R200" s="15"/>
      <c r="S200" s="16">
        <f t="shared" si="85"/>
        <v>0</v>
      </c>
      <c r="T200" s="15"/>
      <c r="U200" s="15"/>
      <c r="V200" s="16">
        <f t="shared" si="86"/>
        <v>0</v>
      </c>
      <c r="W200" s="15"/>
      <c r="X200" s="15"/>
      <c r="Y200" s="15"/>
      <c r="Z200" s="15"/>
      <c r="AA200" s="15"/>
      <c r="AB200" s="15"/>
      <c r="AC200" s="16">
        <f t="shared" si="87"/>
        <v>0</v>
      </c>
      <c r="AD200" s="17" t="str">
        <f t="shared" si="88"/>
        <v/>
      </c>
      <c r="AE200" s="17" t="str">
        <f t="shared" si="89"/>
        <v/>
      </c>
      <c r="AF200" s="17" t="str">
        <f t="shared" si="90"/>
        <v/>
      </c>
      <c r="AG200" s="18" t="str">
        <f t="shared" si="91"/>
        <v/>
      </c>
      <c r="AH200" s="18" t="str">
        <f t="shared" si="92"/>
        <v/>
      </c>
      <c r="AI200" s="18" t="str">
        <f t="shared" si="93"/>
        <v/>
      </c>
      <c r="AJ200" s="18" t="str">
        <f t="shared" si="94"/>
        <v/>
      </c>
      <c r="AK200" s="6"/>
      <c r="AL200" s="6"/>
      <c r="AM200" s="6"/>
      <c r="AN200" s="6"/>
      <c r="AO200" s="41"/>
      <c r="AP200" s="42" t="str">
        <f t="shared" si="95"/>
        <v/>
      </c>
      <c r="AQ200" s="42" t="str">
        <f t="shared" si="96"/>
        <v/>
      </c>
      <c r="AR200" s="41"/>
      <c r="AS200" s="42" t="str">
        <f t="shared" si="97"/>
        <v/>
      </c>
      <c r="AT200" s="45"/>
    </row>
    <row r="201" spans="1:46" ht="15" customHeight="1" x14ac:dyDescent="0.3">
      <c r="A201" s="6"/>
      <c r="B201" s="14"/>
      <c r="C201" s="15"/>
      <c r="D201" s="15"/>
      <c r="E201" s="15"/>
      <c r="F201" s="15"/>
      <c r="G201" s="15"/>
      <c r="H201" s="15"/>
      <c r="I201" s="15"/>
      <c r="J201" s="15"/>
      <c r="K201" s="15"/>
      <c r="L201" s="15"/>
      <c r="M201" s="15"/>
      <c r="N201" s="15"/>
      <c r="O201" s="15"/>
      <c r="P201" s="16">
        <f t="shared" si="84"/>
        <v>0</v>
      </c>
      <c r="Q201" s="15"/>
      <c r="R201" s="15"/>
      <c r="S201" s="16">
        <f t="shared" si="85"/>
        <v>0</v>
      </c>
      <c r="T201" s="15"/>
      <c r="U201" s="15"/>
      <c r="V201" s="16">
        <f t="shared" si="86"/>
        <v>0</v>
      </c>
      <c r="W201" s="15"/>
      <c r="X201" s="15"/>
      <c r="Y201" s="15"/>
      <c r="Z201" s="15"/>
      <c r="AA201" s="15"/>
      <c r="AB201" s="15"/>
      <c r="AC201" s="16">
        <f t="shared" si="87"/>
        <v>0</v>
      </c>
      <c r="AD201" s="17" t="str">
        <f t="shared" si="88"/>
        <v/>
      </c>
      <c r="AE201" s="17" t="str">
        <f t="shared" si="89"/>
        <v/>
      </c>
      <c r="AF201" s="17" t="str">
        <f t="shared" si="90"/>
        <v/>
      </c>
      <c r="AG201" s="18" t="str">
        <f t="shared" si="91"/>
        <v/>
      </c>
      <c r="AH201" s="18" t="str">
        <f t="shared" si="92"/>
        <v/>
      </c>
      <c r="AI201" s="18" t="str">
        <f t="shared" si="93"/>
        <v/>
      </c>
      <c r="AJ201" s="18" t="str">
        <f t="shared" si="94"/>
        <v/>
      </c>
      <c r="AK201" s="6"/>
      <c r="AL201" s="6"/>
      <c r="AM201" s="6"/>
      <c r="AN201" s="6"/>
      <c r="AO201" s="41"/>
      <c r="AP201" s="42" t="str">
        <f t="shared" si="95"/>
        <v/>
      </c>
      <c r="AQ201" s="42" t="str">
        <f t="shared" si="96"/>
        <v/>
      </c>
      <c r="AR201" s="41"/>
      <c r="AS201" s="42" t="str">
        <f t="shared" si="97"/>
        <v/>
      </c>
      <c r="AT201" s="45"/>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30A0"/>
  </sheetPr>
  <dimension ref="A1:AU201"/>
  <sheetViews>
    <sheetView showGridLines="0" zoomScaleNormal="100" workbookViewId="0">
      <pane xSplit="1" ySplit="1" topLeftCell="B2" activePane="bottomRight" state="frozen"/>
      <selection pane="topRight" activeCell="B1" sqref="B1"/>
      <selection pane="bottomLeft" activeCell="A2" sqref="A2"/>
      <selection pane="bottomRight" activeCell="B2" sqref="B2"/>
    </sheetView>
  </sheetViews>
  <sheetFormatPr defaultColWidth="8.6640625" defaultRowHeight="14.4" x14ac:dyDescent="0.3"/>
  <cols>
    <col min="1" max="1" width="22" customWidth="1"/>
    <col min="2" max="33" width="14" customWidth="1"/>
    <col min="34" max="46" width="22" customWidth="1"/>
    <col min="47" max="47" width="26" customWidth="1"/>
  </cols>
  <sheetData>
    <row r="1" spans="1:47" ht="35.1" customHeight="1" x14ac:dyDescent="0.3">
      <c r="A1" s="5" t="s">
        <v>272</v>
      </c>
      <c r="B1" s="5" t="s">
        <v>1</v>
      </c>
      <c r="C1" s="5" t="s">
        <v>10438</v>
      </c>
      <c r="D1" s="5" t="s">
        <v>6259</v>
      </c>
      <c r="E1" s="5" t="s">
        <v>10178</v>
      </c>
      <c r="F1" s="5" t="s">
        <v>10181</v>
      </c>
      <c r="G1" s="5" t="s">
        <v>10185</v>
      </c>
      <c r="H1" s="5" t="s">
        <v>10186</v>
      </c>
      <c r="I1" s="5" t="s">
        <v>10191</v>
      </c>
      <c r="J1" s="5" t="s">
        <v>10195</v>
      </c>
      <c r="K1" s="5" t="s">
        <v>10205</v>
      </c>
      <c r="L1" s="5" t="s">
        <v>10209</v>
      </c>
      <c r="M1" s="5" t="s">
        <v>10439</v>
      </c>
      <c r="N1" s="5" t="s">
        <v>10440</v>
      </c>
      <c r="O1" s="5" t="s">
        <v>877</v>
      </c>
      <c r="P1" s="5" t="s">
        <v>10441</v>
      </c>
      <c r="Q1" s="5" t="s">
        <v>10306</v>
      </c>
      <c r="R1" s="5" t="s">
        <v>10442</v>
      </c>
      <c r="S1" s="5" t="s">
        <v>10443</v>
      </c>
      <c r="T1" s="5" t="s">
        <v>10444</v>
      </c>
      <c r="U1" s="5" t="s">
        <v>10445</v>
      </c>
      <c r="V1" s="5" t="s">
        <v>10446</v>
      </c>
      <c r="W1" s="5" t="s">
        <v>10447</v>
      </c>
      <c r="X1" s="5" t="s">
        <v>10448</v>
      </c>
      <c r="Y1" s="5" t="s">
        <v>10449</v>
      </c>
      <c r="Z1" s="5" t="s">
        <v>10450</v>
      </c>
      <c r="AA1" s="5" t="s">
        <v>10451</v>
      </c>
      <c r="AB1" s="5" t="s">
        <v>10452</v>
      </c>
      <c r="AC1" s="5" t="s">
        <v>10453</v>
      </c>
      <c r="AD1" s="5" t="s">
        <v>10454</v>
      </c>
      <c r="AE1" s="5" t="s">
        <v>10455</v>
      </c>
      <c r="AF1" s="5" t="s">
        <v>10456</v>
      </c>
      <c r="AG1" s="5" t="s">
        <v>10457</v>
      </c>
      <c r="AH1" s="5" t="s">
        <v>10458</v>
      </c>
      <c r="AI1" s="5" t="s">
        <v>10459</v>
      </c>
      <c r="AJ1" s="5" t="s">
        <v>10460</v>
      </c>
      <c r="AK1" s="5" t="s">
        <v>10461</v>
      </c>
      <c r="AL1" s="5" t="s">
        <v>10462</v>
      </c>
      <c r="AM1" s="5" t="s">
        <v>10463</v>
      </c>
      <c r="AN1" s="5" t="s">
        <v>10464</v>
      </c>
      <c r="AO1" s="5" t="s">
        <v>10465</v>
      </c>
      <c r="AP1" s="5" t="s">
        <v>10466</v>
      </c>
      <c r="AQ1" s="5" t="s">
        <v>10467</v>
      </c>
      <c r="AR1" s="5" t="s">
        <v>10468</v>
      </c>
      <c r="AS1" s="5" t="s">
        <v>10469</v>
      </c>
      <c r="AT1" s="5" t="s">
        <v>10470</v>
      </c>
      <c r="AU1" s="37" t="s">
        <v>10471</v>
      </c>
    </row>
    <row r="2" spans="1:47" ht="15" customHeight="1" x14ac:dyDescent="0.3">
      <c r="A2" s="6" t="s">
        <v>289</v>
      </c>
      <c r="B2" s="19" t="str">
        <f t="array" ref="B2">IFERROR(_xlfn.XLOOKUP($A2&amp;"|"&amp;$C2,'Company_Master'!$A$2:$A$94&amp;"|"&amp;'Company_Master'!$D$2:$D$94,'Company_Master'!$B$2:$B$94,""),"")</f>
        <v>AALI</v>
      </c>
      <c r="C2" s="20">
        <v>2023</v>
      </c>
      <c r="D2" s="19" t="str">
        <f t="array" ref="D2">IFERROR(_xlfn.XLOOKUP($A2&amp;"|"&amp;$C2,'Company_Master'!$A$2:$A$94&amp;"|"&amp;'Company_Master'!$D$2:$D$94,'Company_Master'!$H$2:$H$94,""),"")</f>
        <v>Sumatra/Kalimantan/Sulawesi (diversified)</v>
      </c>
      <c r="E2" s="20">
        <f t="array" ref="E2">IFERROR(_xlfn.XLOOKUP($A2&amp;"|"&amp;$C2,Asset_Operations!$A$2:$A$201&amp;"|"&amp;Asset_Operations!$BG$2:$BG$201,Asset_Operations!$B$2:$B$201,""),"")</f>
        <v>285387</v>
      </c>
      <c r="F2" s="20">
        <f t="array" ref="F2">IFERROR(_xlfn.XLOOKUP($A2&amp;"|"&amp;$C2,Asset_Operations!$A$2:$A$201&amp;"|"&amp;Asset_Operations!$BG$2:$BG$201,Asset_Operations!$E$2:$E$201,""),"")</f>
        <v>265518</v>
      </c>
      <c r="G2" s="20">
        <f t="array" ref="G2">IFERROR(_xlfn.XLOOKUP($A2&amp;"|"&amp;$C2,Asset_Operations!$A$2:$A$201&amp;"|"&amp;Asset_Operations!$BG$2:$BG$201,Asset_Operations!$I$2:$I$201,""),"")</f>
        <v>16.2</v>
      </c>
      <c r="H2" s="20">
        <f t="array" ref="H2">IFERROR(_xlfn.XLOOKUP($A2&amp;"|"&amp;$C2,Asset_Operations!$A$2:$A$201&amp;"|"&amp;Asset_Operations!$BG$2:$BG$201,Asset_Operations!$J$2:$J$201,""),"")</f>
        <v>0</v>
      </c>
      <c r="I2" s="20">
        <f t="array" ref="I2">IFERROR(_xlfn.XLOOKUP($A2&amp;"|"&amp;$C2,Asset_Operations!$A$2:$A$201&amp;"|"&amp;Asset_Operations!$BG$2:$BG$201,Asset_Operations!$O$2:$O$201,""),"")</f>
        <v>32</v>
      </c>
      <c r="J2" s="20">
        <f t="array" ref="J2">IFERROR(_xlfn.XLOOKUP($A2&amp;"|"&amp;$C2,Asset_Operations!$A$2:$A$201&amp;"|"&amp;Asset_Operations!$BG$2:$BG$201,Asset_Operations!$S$2:$S$201,""),"")</f>
        <v>2</v>
      </c>
      <c r="K2" s="20">
        <f t="array" ref="K2">IFERROR(_xlfn.XLOOKUP($A2&amp;"|"&amp;$C2,Asset_Operations!$A$2:$A$201&amp;"|"&amp;Asset_Operations!$BG$2:$BG$201,Asset_Operations!$AC$2:$AC$201,""),"")</f>
        <v>3312149</v>
      </c>
      <c r="L2" s="20">
        <f t="array" ref="L2">IFERROR(_xlfn.XLOOKUP($A2&amp;"|"&amp;$C2,Asset_Operations!$A$2:$A$201&amp;"|"&amp;Asset_Operations!$BG$2:$BG$201,Asset_Operations!$AG$2:$AG$201,""),"")</f>
        <v>1275539</v>
      </c>
      <c r="M2" s="20">
        <f t="array" ref="M2">IFERROR(_xlfn.XLOOKUP($A2&amp;"|"&amp;$C2,Asset_Operations!$A$2:$A$201&amp;"|"&amp;Asset_Operations!$BG$2:$BG$201,Asset_Operations!$AO$2:$AO$201,""),"")</f>
        <v>12.474291761763798</v>
      </c>
      <c r="N2" s="21">
        <f t="array" ref="N2">IFERROR(_xlfn.XLOOKUP($A2&amp;"|"&amp;$C2,Asset_Operations!$A$2:$A$201&amp;"|"&amp;Asset_Operations!$BG$2:$BG$201,Asset_Operations!$AR$2:$AR$201,""),"")</f>
        <v>0.18890991279456382</v>
      </c>
      <c r="O2" s="22">
        <f t="array" ref="O2">IFERROR(_xlfn.XLOOKUP($A2&amp;"|"&amp;$C2,Financials!$A$2:$A$201&amp;"|"&amp;Financials!$B$2:$B$201,Financials!$C$2:$C$201,""),"")</f>
        <v>20745</v>
      </c>
      <c r="P2" s="22">
        <f t="array" ref="P2">IFERROR(_xlfn.XLOOKUP($A2&amp;"|"&amp;$C2,Financials!$A$2:$A$201&amp;"|"&amp;Financials!$B$2:$B$201,Financials!$E$2:$E$201,""),"")</f>
        <v>0</v>
      </c>
      <c r="Q2" s="22">
        <f t="array" ref="Q2">IFERROR(_xlfn.XLOOKUP($A2&amp;"|"&amp;$C2,Financials!$A$2:$A$201&amp;"|"&amp;Financials!$B$2:$B$201,Financials!$G$2:$G$201,""),"")</f>
        <v>1088</v>
      </c>
      <c r="R2" s="22">
        <f t="array" ref="R2">IFERROR(_xlfn.XLOOKUP($A2&amp;"|"&amp;$C2,Financials!$A$2:$A$201&amp;"|"&amp;Financials!$B$2:$B$201,Financials!$S$2:$S$201,""),"")</f>
        <v>1915.54</v>
      </c>
      <c r="S2" s="22">
        <f t="array" ref="S2">IFERROR(_xlfn.XLOOKUP($A2&amp;"|"&amp;$C2,Financials!$A$2:$A$201&amp;"|"&amp;Financials!$B$2:$B$201,Financials!$AC$2:$AC$201,""),"")</f>
        <v>13523.125</v>
      </c>
      <c r="T2" s="23">
        <f t="shared" ref="T2:T33" si="0">IFERROR(P2/O2,"")</f>
        <v>0</v>
      </c>
      <c r="U2" s="24" t="str">
        <f t="shared" ref="U2:U33" si="1">IFERROR(R2/P2,"")</f>
        <v/>
      </c>
      <c r="V2" s="25">
        <f t="shared" ref="V2:V33" si="2">IFERROR(O2/E2,"")</f>
        <v>7.2690767273912271E-2</v>
      </c>
      <c r="W2" s="24">
        <f t="shared" ref="W2:W33" si="3">IFERROR(L2/F2,"")</f>
        <v>4.8039643263356906</v>
      </c>
      <c r="X2" s="26">
        <f>IFERROR(IF(NOT(ISNUMBER($E2)),"",IF($E2&gt;=Scoring_Criteria!$D$4,5,IF($E2&gt;=Scoring_Criteria!$E$4,4,IF($E2&gt;=Scoring_Criteria!$F$4,3,IF($E2&gt;=Scoring_Criteria!$G$4,2,1))))),"")</f>
        <v>5</v>
      </c>
      <c r="Y2" s="26">
        <f>IFERROR(IF(OR(NOT(ISNUMBER($F2)),NOT(ISNUMBER($E2)),$E2=0),"",IF(($F2/$E2)&gt;=Scoring_Criteria!$D$5,5,IF(($F2/$E2)&gt;=Scoring_Criteria!$E$5,4,IF(($F2/$E2)&gt;=Scoring_Criteria!$F$5,3,IF(($F2/$E2)&gt;=Scoring_Criteria!$G$5,2,1))))),"")</f>
        <v>5</v>
      </c>
      <c r="Z2" s="26">
        <f>IFERROR(IF(AND(NOT(ISNUMBER($I2)),NOT(ISNUMBER($J2))),"",IF((IFERROR($I2,0)+IFERROR($J2,0))&gt;=Scoring_Criteria!$D$6,5,IF((IFERROR($I2,0)+IFERROR($J2,0))&gt;=Scoring_Criteria!$E$6,4,IF((IFERROR($I2,0)+IFERROR($J2,0))&gt;=Scoring_Criteria!$F$6,3,IF((IFERROR($I2,0)+IFERROR($J2,0))&gt;=Scoring_Criteria!$G$6,2,1))))),"")</f>
        <v>5</v>
      </c>
      <c r="AA2" s="26">
        <f>IFERROR(IF(NOT(ISNUMBER($M2)),"",IF($M2&gt;=Scoring_Criteria!$D$7,5,IF($M2&gt;=Scoring_Criteria!$E$7,4,IF($M2&gt;=Scoring_Criteria!$F$7,3,IF($M2&gt;=Scoring_Criteria!$G$7,2,1))))),"")</f>
        <v>2</v>
      </c>
      <c r="AB2" s="26">
        <f>IFERROR(IF(NOT(ISNUMBER($T2)),"",IF($T2&gt;=Scoring_Criteria!$D$8,5,IF($T2&gt;=Scoring_Criteria!$E$8,4,IF($T2&gt;=Scoring_Criteria!$F$8,3,IF($T2&gt;=Scoring_Criteria!$G$8,2,1))))),"")</f>
        <v>1</v>
      </c>
      <c r="AC2" s="26" t="str">
        <f>IFERROR(IF(NOT(ISNUMBER($U2)),"",IF($U2&lt;=Scoring_Criteria!$D$9,5,IF($U2&lt;=Scoring_Criteria!$E$9,4,IF($U2&lt;=Scoring_Criteria!$F$9,3,IF($U2&lt;=Scoring_Criteria!$G$9,2,1))))),"")</f>
        <v/>
      </c>
      <c r="AD2" s="26">
        <f t="array" ref="AD2">IFERROR(IF(NOT(ISNUMBER(_xlfn.XLOOKUP($A2&amp;"|"&amp;$C2,Financials!$A$2:$A$201&amp;"|"&amp;Financials!$B$2:$B$201,Financials!$AD$2:$AD$201,""))),"",IF(_xlfn.XLOOKUP($A2&amp;"|"&amp;$C2,Financials!$A$2:$A$201&amp;"|"&amp;Financials!$B$2:$B$201,Financials!$AD$2:$AD$201,"")&gt;=Scoring_Criteria!$D$10,5,IF(_xlfn.XLOOKUP($A2&amp;"|"&amp;$C2,Financials!$A$2:$A$201&amp;"|"&amp;Financials!$B$2:$B$201,Financials!$AD$2:$AD$201,"")&gt;=Scoring_Criteria!$E$10,4,IF(_xlfn.XLOOKUP($A2&amp;"|"&amp;$C2,Financials!$A$2:$A$201&amp;"|"&amp;Financials!$B$2:$B$201,Financials!$AD$2:$AD$201,"")&gt;=Scoring_Criteria!$F$10,3,IF(_xlfn.XLOOKUP($A2&amp;"|"&amp;$C2,Financials!$A$2:$A$201&amp;"|"&amp;Financials!$B$2:$B$201,Financials!$AD$2:$AD$201,"")&gt;=Scoring_Criteria!$G$10,2,1))))),"")</f>
        <v>4</v>
      </c>
      <c r="AE2" s="27"/>
      <c r="AF2" s="27"/>
      <c r="AG2" s="28">
        <f t="shared" ref="AG2:AG33" si="4">IFERROR(IF(COUNTA(X2:AF2)=0,"",AVERAGE(X2:AF2)),"")</f>
        <v>3.6666666666666665</v>
      </c>
      <c r="AH2" s="29"/>
      <c r="AI2" s="29"/>
      <c r="AJ2" s="29"/>
      <c r="AK2" s="29"/>
      <c r="AL2" s="29"/>
      <c r="AM2" s="29"/>
      <c r="AN2" s="29"/>
      <c r="AO2" s="29"/>
      <c r="AP2" s="29"/>
      <c r="AQ2" s="29"/>
      <c r="AR2" s="29"/>
      <c r="AS2" s="29"/>
      <c r="AT2" s="29"/>
      <c r="AU2" s="46" t="str">
        <f>IFERROR(Validation_Summary!Q5,"")</f>
        <v>✓ All 8 checks passed</v>
      </c>
    </row>
    <row r="3" spans="1:47" ht="15" customHeight="1" x14ac:dyDescent="0.3">
      <c r="A3" s="6" t="s">
        <v>289</v>
      </c>
      <c r="B3" s="19" t="str">
        <f t="array" ref="B3">IFERROR(_xlfn.XLOOKUP($A3&amp;"|"&amp;$C3,'Company_Master'!$A$2:$A$94&amp;"|"&amp;'Company_Master'!$D$2:$D$94,'Company_Master'!$B$2:$B$94,""),"")</f>
        <v>AALI</v>
      </c>
      <c r="C3" s="20">
        <v>2024</v>
      </c>
      <c r="D3" s="19" t="str">
        <f t="array" ref="D3">IFERROR(_xlfn.XLOOKUP($A3&amp;"|"&amp;$C3,'Company_Master'!$A$2:$A$94&amp;"|"&amp;'Company_Master'!$D$2:$D$94,'Company_Master'!$H$2:$H$94,""),"")</f>
        <v>Sumatra/Kalimantan/Sulawesi (diversified)</v>
      </c>
      <c r="E3" s="20">
        <f t="array" ref="E3">IFERROR(_xlfn.XLOOKUP($A3&amp;"|"&amp;$C3,Asset_Operations!$A$2:$A$201&amp;"|"&amp;Asset_Operations!$BG$2:$BG$201,Asset_Operations!$B$2:$B$201,""),"")</f>
        <v>284831</v>
      </c>
      <c r="F3" s="20">
        <f t="array" ref="F3">IFERROR(_xlfn.XLOOKUP($A3&amp;"|"&amp;$C3,Asset_Operations!$A$2:$A$201&amp;"|"&amp;Asset_Operations!$BG$2:$BG$201,Asset_Operations!$E$2:$E$201,""),"")</f>
        <v>265490</v>
      </c>
      <c r="G3" s="20">
        <f t="array" ref="G3">IFERROR(_xlfn.XLOOKUP($A3&amp;"|"&amp;$C3,Asset_Operations!$A$2:$A$201&amp;"|"&amp;Asset_Operations!$BG$2:$BG$201,Asset_Operations!$I$2:$I$201,""),"")</f>
        <v>16.5</v>
      </c>
      <c r="H3" s="20">
        <f t="array" ref="H3">IFERROR(_xlfn.XLOOKUP($A3&amp;"|"&amp;$C3,Asset_Operations!$A$2:$A$201&amp;"|"&amp;Asset_Operations!$BG$2:$BG$201,Asset_Operations!$J$2:$J$201,""),"")</f>
        <v>0</v>
      </c>
      <c r="I3" s="20">
        <f t="array" ref="I3">IFERROR(_xlfn.XLOOKUP($A3&amp;"|"&amp;$C3,Asset_Operations!$A$2:$A$201&amp;"|"&amp;Asset_Operations!$BG$2:$BG$201,Asset_Operations!$O$2:$O$201,""),"")</f>
        <v>32</v>
      </c>
      <c r="J3" s="20">
        <f t="array" ref="J3">IFERROR(_xlfn.XLOOKUP($A3&amp;"|"&amp;$C3,Asset_Operations!$A$2:$A$201&amp;"|"&amp;Asset_Operations!$BG$2:$BG$201,Asset_Operations!$S$2:$S$201,""),"")</f>
        <v>2</v>
      </c>
      <c r="K3" s="20">
        <f t="array" ref="K3">IFERROR(_xlfn.XLOOKUP($A3&amp;"|"&amp;$C3,Asset_Operations!$A$2:$A$201&amp;"|"&amp;Asset_Operations!$BG$2:$BG$201,Asset_Operations!$AC$2:$AC$201,""),"")</f>
        <v>3002685</v>
      </c>
      <c r="L3" s="20">
        <f t="array" ref="L3">IFERROR(_xlfn.XLOOKUP($A3&amp;"|"&amp;$C3,Asset_Operations!$A$2:$A$201&amp;"|"&amp;Asset_Operations!$BG$2:$BG$201,Asset_Operations!$AG$2:$AG$201,""),"")</f>
        <v>1125388</v>
      </c>
      <c r="M3" s="20">
        <f t="array" ref="M3">IFERROR(_xlfn.XLOOKUP($A3&amp;"|"&amp;$C3,Asset_Operations!$A$2:$A$201&amp;"|"&amp;Asset_Operations!$BG$2:$BG$201,Asset_Operations!$AO$2:$AO$201,""),"")</f>
        <v>11.30997401032054</v>
      </c>
      <c r="N3" s="21">
        <f t="array" ref="N3">IFERROR(_xlfn.XLOOKUP($A3&amp;"|"&amp;$C3,Asset_Operations!$A$2:$A$201&amp;"|"&amp;Asset_Operations!$BG$2:$BG$201,Asset_Operations!$AR$2:$AR$201,""),"")</f>
        <v>0.19025294071902651</v>
      </c>
      <c r="O3" s="22">
        <f t="array" ref="O3">IFERROR(_xlfn.XLOOKUP($A3&amp;"|"&amp;$C3,Financials!$A$2:$A$201&amp;"|"&amp;Financials!$B$2:$B$201,Financials!$C$2:$C$201,""),"")</f>
        <v>21815</v>
      </c>
      <c r="P3" s="22">
        <f t="array" ref="P3">IFERROR(_xlfn.XLOOKUP($A3&amp;"|"&amp;$C3,Financials!$A$2:$A$201&amp;"|"&amp;Financials!$B$2:$B$201,Financials!$E$2:$E$201,""),"")</f>
        <v>0</v>
      </c>
      <c r="Q3" s="22">
        <f t="array" ref="Q3">IFERROR(_xlfn.XLOOKUP($A3&amp;"|"&amp;$C3,Financials!$A$2:$A$201&amp;"|"&amp;Financials!$B$2:$B$201,Financials!$G$2:$G$201,""),"")</f>
        <v>1187</v>
      </c>
      <c r="R3" s="22">
        <f t="array" ref="R3">IFERROR(_xlfn.XLOOKUP($A3&amp;"|"&amp;$C3,Financials!$A$2:$A$201&amp;"|"&amp;Financials!$B$2:$B$201,Financials!$S$2:$S$201,""),"")</f>
        <v>-46</v>
      </c>
      <c r="S3" s="22">
        <f t="array" ref="S3">IFERROR(_xlfn.XLOOKUP($A3&amp;"|"&amp;$C3,Financials!$A$2:$A$201&amp;"|"&amp;Financials!$B$2:$B$201,Financials!$AC$2:$AC$201,""),"")</f>
        <v>11935</v>
      </c>
      <c r="T3" s="23">
        <f t="shared" si="0"/>
        <v>0</v>
      </c>
      <c r="U3" s="24" t="str">
        <f t="shared" si="1"/>
        <v/>
      </c>
      <c r="V3" s="25">
        <f t="shared" si="2"/>
        <v>7.658927574596866E-2</v>
      </c>
      <c r="W3" s="24">
        <f t="shared" si="3"/>
        <v>4.2389091867866959</v>
      </c>
      <c r="X3" s="26">
        <f>IFERROR(IF(NOT(ISNUMBER($E3)),"",IF($E3&gt;=Scoring_Criteria!$D$4,5,IF($E3&gt;=Scoring_Criteria!$E$4,4,IF($E3&gt;=Scoring_Criteria!$F$4,3,IF($E3&gt;=Scoring_Criteria!$G$4,2,1))))),"")</f>
        <v>5</v>
      </c>
      <c r="Y3" s="26">
        <f>IFERROR(IF(OR(NOT(ISNUMBER($F3)),NOT(ISNUMBER($E3)),$E3=0),"",IF(($F3/$E3)&gt;=Scoring_Criteria!$D$5,5,IF(($F3/$E3)&gt;=Scoring_Criteria!$E$5,4,IF(($F3/$E3)&gt;=Scoring_Criteria!$F$5,3,IF(($F3/$E3)&gt;=Scoring_Criteria!$G$5,2,1))))),"")</f>
        <v>5</v>
      </c>
      <c r="Z3" s="26">
        <f>IFERROR(IF(AND(NOT(ISNUMBER($I3)),NOT(ISNUMBER($J3))),"",IF((IFERROR($I3,0)+IFERROR($J3,0))&gt;=Scoring_Criteria!$D$6,5,IF((IFERROR($I3,0)+IFERROR($J3,0))&gt;=Scoring_Criteria!$E$6,4,IF((IFERROR($I3,0)+IFERROR($J3,0))&gt;=Scoring_Criteria!$F$6,3,IF((IFERROR($I3,0)+IFERROR($J3,0))&gt;=Scoring_Criteria!$G$6,2,1))))),"")</f>
        <v>5</v>
      </c>
      <c r="AA3" s="26">
        <f>IFERROR(IF(NOT(ISNUMBER($M3)),"",IF($M3&gt;=Scoring_Criteria!$D$7,5,IF($M3&gt;=Scoring_Criteria!$E$7,4,IF($M3&gt;=Scoring_Criteria!$F$7,3,IF($M3&gt;=Scoring_Criteria!$G$7,2,1))))),"")</f>
        <v>2</v>
      </c>
      <c r="AB3" s="26">
        <f>IFERROR(IF(NOT(ISNUMBER($T3)),"",IF($T3&gt;=Scoring_Criteria!$D$8,5,IF($T3&gt;=Scoring_Criteria!$E$8,4,IF($T3&gt;=Scoring_Criteria!$F$8,3,IF($T3&gt;=Scoring_Criteria!$G$8,2,1))))),"")</f>
        <v>1</v>
      </c>
      <c r="AC3" s="26" t="str">
        <f>IFERROR(IF(NOT(ISNUMBER($U3)),"",IF($U3&lt;=Scoring_Criteria!$D$9,5,IF($U3&lt;=Scoring_Criteria!$E$9,4,IF($U3&lt;=Scoring_Criteria!$F$9,3,IF($U3&lt;=Scoring_Criteria!$G$9,2,1))))),"")</f>
        <v/>
      </c>
      <c r="AD3" s="26">
        <f t="array" ref="AD3">IFERROR(IF(NOT(ISNUMBER(_xlfn.XLOOKUP($A3&amp;"|"&amp;$C3,Financials!$A$2:$A$201&amp;"|"&amp;Financials!$B$2:$B$201,Financials!$AD$2:$AD$201,""))),"",IF(_xlfn.XLOOKUP($A3&amp;"|"&amp;$C3,Financials!$A$2:$A$201&amp;"|"&amp;Financials!$B$2:$B$201,Financials!$AD$2:$AD$201,"")&gt;=Scoring_Criteria!$D$10,5,IF(_xlfn.XLOOKUP($A3&amp;"|"&amp;$C3,Financials!$A$2:$A$201&amp;"|"&amp;Financials!$B$2:$B$201,Financials!$AD$2:$AD$201,"")&gt;=Scoring_Criteria!$E$10,4,IF(_xlfn.XLOOKUP($A3&amp;"|"&amp;$C3,Financials!$A$2:$A$201&amp;"|"&amp;Financials!$B$2:$B$201,Financials!$AD$2:$AD$201,"")&gt;=Scoring_Criteria!$F$10,3,IF(_xlfn.XLOOKUP($A3&amp;"|"&amp;$C3,Financials!$A$2:$A$201&amp;"|"&amp;Financials!$B$2:$B$201,Financials!$AD$2:$AD$201,"")&gt;=Scoring_Criteria!$G$10,2,1))))),"")</f>
        <v>5</v>
      </c>
      <c r="AE3" s="27"/>
      <c r="AF3" s="27"/>
      <c r="AG3" s="28">
        <f t="shared" si="4"/>
        <v>3.8333333333333335</v>
      </c>
      <c r="AH3" s="29"/>
      <c r="AI3" s="29"/>
      <c r="AJ3" s="29"/>
      <c r="AK3" s="29"/>
      <c r="AL3" s="29"/>
      <c r="AM3" s="29"/>
      <c r="AN3" s="29"/>
      <c r="AO3" s="29"/>
      <c r="AP3" s="29"/>
      <c r="AQ3" s="29"/>
      <c r="AR3" s="29"/>
      <c r="AS3" s="29"/>
      <c r="AT3" s="29"/>
      <c r="AU3" s="46" t="str">
        <f>IFERROR(Validation_Summary!Q5,"")</f>
        <v>✓ All 8 checks passed</v>
      </c>
    </row>
    <row r="4" spans="1:47" ht="15" customHeight="1" x14ac:dyDescent="0.3">
      <c r="A4" s="6" t="s">
        <v>289</v>
      </c>
      <c r="B4" s="19" t="str">
        <f t="array" ref="B4">IFERROR(_xlfn.XLOOKUP($A4&amp;"|"&amp;$C4,'Company_Master'!$A$2:$A$94&amp;"|"&amp;'Company_Master'!$D$2:$D$94,'Company_Master'!$B$2:$B$94,""),"")</f>
        <v>AALI</v>
      </c>
      <c r="C4" s="20">
        <v>2025</v>
      </c>
      <c r="D4" s="19" t="str">
        <f t="array" ref="D4">IFERROR(_xlfn.XLOOKUP($A4&amp;"|"&amp;$C4,'Company_Master'!$A$2:$A$94&amp;"|"&amp;'Company_Master'!$D$2:$D$94,'Company_Master'!$H$2:$H$94,""),"")</f>
        <v>Sumatra/Kalimantan/Sulawesi (diversified)</v>
      </c>
      <c r="E4" s="20">
        <f t="array" ref="E4">IFERROR(_xlfn.XLOOKUP($A4&amp;"|"&amp;$C4,Asset_Operations!$A$2:$A$201&amp;"|"&amp;Asset_Operations!$BG$2:$BG$201,Asset_Operations!$B$2:$B$201,""),"")</f>
        <v>280325</v>
      </c>
      <c r="F4" s="20">
        <f t="array" ref="F4">IFERROR(_xlfn.XLOOKUP($A4&amp;"|"&amp;$C4,Asset_Operations!$A$2:$A$201&amp;"|"&amp;Asset_Operations!$BG$2:$BG$201,Asset_Operations!$E$2:$E$201,""),"")</f>
        <v>260927</v>
      </c>
      <c r="G4" s="20">
        <f t="array" ref="G4">IFERROR(_xlfn.XLOOKUP($A4&amp;"|"&amp;$C4,Asset_Operations!$A$2:$A$201&amp;"|"&amp;Asset_Operations!$BG$2:$BG$201,Asset_Operations!$I$2:$I$201,""),"")</f>
        <v>16.7</v>
      </c>
      <c r="H4" s="20">
        <f t="array" ref="H4">IFERROR(_xlfn.XLOOKUP($A4&amp;"|"&amp;$C4,Asset_Operations!$A$2:$A$201&amp;"|"&amp;Asset_Operations!$BG$2:$BG$201,Asset_Operations!$J$2:$J$201,""),"")</f>
        <v>0</v>
      </c>
      <c r="I4" s="20">
        <f t="array" ref="I4">IFERROR(_xlfn.XLOOKUP($A4&amp;"|"&amp;$C4,Asset_Operations!$A$2:$A$201&amp;"|"&amp;Asset_Operations!$BG$2:$BG$201,Asset_Operations!$O$2:$O$201,""),"")</f>
        <v>32</v>
      </c>
      <c r="J4" s="20">
        <f t="array" ref="J4">IFERROR(_xlfn.XLOOKUP($A4&amp;"|"&amp;$C4,Asset_Operations!$A$2:$A$201&amp;"|"&amp;Asset_Operations!$BG$2:$BG$201,Asset_Operations!$S$2:$S$201,""),"")</f>
        <v>2</v>
      </c>
      <c r="K4" s="20">
        <f t="array" ref="K4">IFERROR(_xlfn.XLOOKUP($A4&amp;"|"&amp;$C4,Asset_Operations!$A$2:$A$201&amp;"|"&amp;Asset_Operations!$BG$2:$BG$201,Asset_Operations!$AC$2:$AC$201,""),"")</f>
        <v>3009024</v>
      </c>
      <c r="L4" s="20">
        <f t="array" ref="L4">IFERROR(_xlfn.XLOOKUP($A4&amp;"|"&amp;$C4,Asset_Operations!$A$2:$A$201&amp;"|"&amp;Asset_Operations!$BG$2:$BG$201,Asset_Operations!$AG$2:$AG$201,""),"")</f>
        <v>1197514</v>
      </c>
      <c r="M4" s="20">
        <f t="array" ref="M4">IFERROR(_xlfn.XLOOKUP($A4&amp;"|"&amp;$C4,Asset_Operations!$A$2:$A$201&amp;"|"&amp;Asset_Operations!$BG$2:$BG$201,Asset_Operations!$AO$2:$AO$201,""),"")</f>
        <v>11.532053026325372</v>
      </c>
      <c r="N4" s="21">
        <f t="array" ref="N4">IFERROR(_xlfn.XLOOKUP($A4&amp;"|"&amp;$C4,Asset_Operations!$A$2:$A$201&amp;"|"&amp;Asset_Operations!$BG$2:$BG$201,Asset_Operations!$AR$2:$AR$201,""),"")</f>
        <v>0.19217510630489062</v>
      </c>
      <c r="O4" s="22">
        <f t="array" ref="O4">IFERROR(_xlfn.XLOOKUP($A4&amp;"|"&amp;$C4,Financials!$A$2:$A$201&amp;"|"&amp;Financials!$B$2:$B$201,Financials!$C$2:$C$201,""),"")</f>
        <v>28655</v>
      </c>
      <c r="P4" s="22">
        <f t="array" ref="P4">IFERROR(_xlfn.XLOOKUP($A4&amp;"|"&amp;$C4,Financials!$A$2:$A$201&amp;"|"&amp;Financials!$B$2:$B$201,Financials!$E$2:$E$201,""),"")</f>
        <v>0</v>
      </c>
      <c r="Q4" s="22">
        <f t="array" ref="Q4">IFERROR(_xlfn.XLOOKUP($A4&amp;"|"&amp;$C4,Financials!$A$2:$A$201&amp;"|"&amp;Financials!$B$2:$B$201,Financials!$G$2:$G$201,""),"")</f>
        <v>1538</v>
      </c>
      <c r="R4" s="22">
        <f t="array" ref="R4">IFERROR(_xlfn.XLOOKUP($A4&amp;"|"&amp;$C4,Financials!$A$2:$A$201&amp;"|"&amp;Financials!$B$2:$B$201,Financials!$S$2:$S$201,""),"")</f>
        <v>-2760</v>
      </c>
      <c r="S4" s="22">
        <f t="array" ref="S4">IFERROR(_xlfn.XLOOKUP($A4&amp;"|"&amp;$C4,Financials!$A$2:$A$201&amp;"|"&amp;Financials!$B$2:$B$201,Financials!$AC$2:$AC$201,""),"")</f>
        <v>14196.875</v>
      </c>
      <c r="T4" s="23">
        <f t="shared" si="0"/>
        <v>0</v>
      </c>
      <c r="U4" s="24" t="str">
        <f t="shared" si="1"/>
        <v/>
      </c>
      <c r="V4" s="25">
        <f t="shared" si="2"/>
        <v>0.10222063676090253</v>
      </c>
      <c r="W4" s="24">
        <f t="shared" si="3"/>
        <v>4.5894598872481573</v>
      </c>
      <c r="X4" s="26">
        <f>IFERROR(IF(NOT(ISNUMBER($E4)),"",IF($E4&gt;=Scoring_Criteria!$D$4,5,IF($E4&gt;=Scoring_Criteria!$E$4,4,IF($E4&gt;=Scoring_Criteria!$F$4,3,IF($E4&gt;=Scoring_Criteria!$G$4,2,1))))),"")</f>
        <v>5</v>
      </c>
      <c r="Y4" s="26">
        <f>IFERROR(IF(OR(NOT(ISNUMBER($F4)),NOT(ISNUMBER($E4)),$E4=0),"",IF(($F4/$E4)&gt;=Scoring_Criteria!$D$5,5,IF(($F4/$E4)&gt;=Scoring_Criteria!$E$5,4,IF(($F4/$E4)&gt;=Scoring_Criteria!$F$5,3,IF(($F4/$E4)&gt;=Scoring_Criteria!$G$5,2,1))))),"")</f>
        <v>5</v>
      </c>
      <c r="Z4" s="26">
        <f>IFERROR(IF(AND(NOT(ISNUMBER($I4)),NOT(ISNUMBER($J4))),"",IF((IFERROR($I4,0)+IFERROR($J4,0))&gt;=Scoring_Criteria!$D$6,5,IF((IFERROR($I4,0)+IFERROR($J4,0))&gt;=Scoring_Criteria!$E$6,4,IF((IFERROR($I4,0)+IFERROR($J4,0))&gt;=Scoring_Criteria!$F$6,3,IF((IFERROR($I4,0)+IFERROR($J4,0))&gt;=Scoring_Criteria!$G$6,2,1))))),"")</f>
        <v>5</v>
      </c>
      <c r="AA4" s="26">
        <f>IFERROR(IF(NOT(ISNUMBER($M4)),"",IF($M4&gt;=Scoring_Criteria!$D$7,5,IF($M4&gt;=Scoring_Criteria!$E$7,4,IF($M4&gt;=Scoring_Criteria!$F$7,3,IF($M4&gt;=Scoring_Criteria!$G$7,2,1))))),"")</f>
        <v>2</v>
      </c>
      <c r="AB4" s="26">
        <f>IFERROR(IF(NOT(ISNUMBER($T4)),"",IF($T4&gt;=Scoring_Criteria!$D$8,5,IF($T4&gt;=Scoring_Criteria!$E$8,4,IF($T4&gt;=Scoring_Criteria!$F$8,3,IF($T4&gt;=Scoring_Criteria!$G$8,2,1))))),"")</f>
        <v>1</v>
      </c>
      <c r="AC4" s="26" t="str">
        <f>IFERROR(IF(NOT(ISNUMBER($U4)),"",IF($U4&lt;=Scoring_Criteria!$D$9,5,IF($U4&lt;=Scoring_Criteria!$E$9,4,IF($U4&lt;=Scoring_Criteria!$F$9,3,IF($U4&lt;=Scoring_Criteria!$G$9,2,1))))),"")</f>
        <v/>
      </c>
      <c r="AD4" s="26">
        <f t="array" ref="AD4">IFERROR(IF(NOT(ISNUMBER(_xlfn.XLOOKUP($A4&amp;"|"&amp;$C4,Financials!$A$2:$A$201&amp;"|"&amp;Financials!$B$2:$B$201,Financials!$AD$2:$AD$201,""))),"",IF(_xlfn.XLOOKUP($A4&amp;"|"&amp;$C4,Financials!$A$2:$A$201&amp;"|"&amp;Financials!$B$2:$B$201,Financials!$AD$2:$AD$201,"")&gt;=Scoring_Criteria!$D$10,5,IF(_xlfn.XLOOKUP($A4&amp;"|"&amp;$C4,Financials!$A$2:$A$201&amp;"|"&amp;Financials!$B$2:$B$201,Financials!$AD$2:$AD$201,"")&gt;=Scoring_Criteria!$E$10,4,IF(_xlfn.XLOOKUP($A4&amp;"|"&amp;$C4,Financials!$A$2:$A$201&amp;"|"&amp;Financials!$B$2:$B$201,Financials!$AD$2:$AD$201,"")&gt;=Scoring_Criteria!$F$10,3,IF(_xlfn.XLOOKUP($A4&amp;"|"&amp;$C4,Financials!$A$2:$A$201&amp;"|"&amp;Financials!$B$2:$B$201,Financials!$AD$2:$AD$201,"")&gt;=Scoring_Criteria!$G$10,2,1))))),"")</f>
        <v>5</v>
      </c>
      <c r="AE4" s="27"/>
      <c r="AF4" s="27"/>
      <c r="AG4" s="28">
        <f t="shared" si="4"/>
        <v>3.8333333333333335</v>
      </c>
      <c r="AH4" s="29"/>
      <c r="AI4" s="29"/>
      <c r="AJ4" s="29"/>
      <c r="AK4" s="29"/>
      <c r="AL4" s="29"/>
      <c r="AM4" s="29"/>
      <c r="AN4" s="29"/>
      <c r="AO4" s="29"/>
      <c r="AP4" s="29"/>
      <c r="AQ4" s="29"/>
      <c r="AR4" s="29"/>
      <c r="AS4" s="29"/>
      <c r="AT4" s="29"/>
      <c r="AU4" s="46" t="str">
        <f>IFERROR(Validation_Summary!Q5,"")</f>
        <v>✓ All 8 checks passed</v>
      </c>
    </row>
    <row r="5" spans="1:47" ht="15" customHeight="1" x14ac:dyDescent="0.3">
      <c r="A5" s="6" t="s">
        <v>660</v>
      </c>
      <c r="B5" s="19" t="str">
        <f t="array" ref="B5">IFERROR(_xlfn.XLOOKUP($A5&amp;"|"&amp;$C5,'Company_Master'!$A$2:$A$94&amp;"|"&amp;'Company_Master'!$D$2:$D$94,'Company_Master'!$B$2:$B$94,""),"")</f>
        <v>ANDI</v>
      </c>
      <c r="C5" s="20">
        <v>2022</v>
      </c>
      <c r="D5" s="19" t="str">
        <f t="array" ref="D5">IFERROR(_xlfn.XLOOKUP($A5&amp;"|"&amp;$C5,'Company_Master'!$A$2:$A$94&amp;"|"&amp;'Company_Master'!$D$2:$D$94,'Company_Master'!$H$2:$H$94,""),"")</f>
        <v>South Sumatra (Banyuasin)</v>
      </c>
      <c r="E5" s="20">
        <f t="array" ref="E5">IFERROR(_xlfn.XLOOKUP($A5&amp;"|"&amp;$C5,Asset_Operations!$A$2:$A$201&amp;"|"&amp;Asset_Operations!$BG$2:$BG$201,Asset_Operations!$B$2:$B$201,""),"")</f>
        <v>0</v>
      </c>
      <c r="F5" s="20">
        <f t="array" ref="F5">IFERROR(_xlfn.XLOOKUP($A5&amp;"|"&amp;$C5,Asset_Operations!$A$2:$A$201&amp;"|"&amp;Asset_Operations!$BG$2:$BG$201,Asset_Operations!$E$2:$E$201,""),"")</f>
        <v>5040.63</v>
      </c>
      <c r="G5" s="20">
        <f t="array" ref="G5">IFERROR(_xlfn.XLOOKUP($A5&amp;"|"&amp;$C5,Asset_Operations!$A$2:$A$201&amp;"|"&amp;Asset_Operations!$BG$2:$BG$201,Asset_Operations!$I$2:$I$201,""),"")</f>
        <v>0</v>
      </c>
      <c r="H5" s="20">
        <f t="array" ref="H5">IFERROR(_xlfn.XLOOKUP($A5&amp;"|"&amp;$C5,Asset_Operations!$A$2:$A$201&amp;"|"&amp;Asset_Operations!$BG$2:$BG$201,Asset_Operations!$J$2:$J$201,""),"")</f>
        <v>0</v>
      </c>
      <c r="I5" s="20">
        <f t="array" ref="I5">IFERROR(_xlfn.XLOOKUP($A5&amp;"|"&amp;$C5,Asset_Operations!$A$2:$A$201&amp;"|"&amp;Asset_Operations!$BG$2:$BG$201,Asset_Operations!$O$2:$O$201,""),"")</f>
        <v>1</v>
      </c>
      <c r="J5" s="20">
        <f t="array" ref="J5">IFERROR(_xlfn.XLOOKUP($A5&amp;"|"&amp;$C5,Asset_Operations!$A$2:$A$201&amp;"|"&amp;Asset_Operations!$BG$2:$BG$201,Asset_Operations!$S$2:$S$201,""),"")</f>
        <v>0</v>
      </c>
      <c r="K5" s="20">
        <f t="array" ref="K5">IFERROR(_xlfn.XLOOKUP($A5&amp;"|"&amp;$C5,Asset_Operations!$A$2:$A$201&amp;"|"&amp;Asset_Operations!$BG$2:$BG$201,Asset_Operations!$AC$2:$AC$201,""),"")</f>
        <v>0</v>
      </c>
      <c r="L5" s="20">
        <f t="array" ref="L5">IFERROR(_xlfn.XLOOKUP($A5&amp;"|"&amp;$C5,Asset_Operations!$A$2:$A$201&amp;"|"&amp;Asset_Operations!$BG$2:$BG$201,Asset_Operations!$AG$2:$AG$201,""),"")</f>
        <v>21524</v>
      </c>
      <c r="M5" s="20">
        <f t="array" ref="M5">IFERROR(_xlfn.XLOOKUP($A5&amp;"|"&amp;$C5,Asset_Operations!$A$2:$A$201&amp;"|"&amp;Asset_Operations!$BG$2:$BG$201,Asset_Operations!$AO$2:$AO$201,""),"")</f>
        <v>0</v>
      </c>
      <c r="N5" s="21">
        <f t="array" ref="N5">IFERROR(_xlfn.XLOOKUP($A5&amp;"|"&amp;$C5,Asset_Operations!$A$2:$A$201&amp;"|"&amp;Asset_Operations!$BG$2:$BG$201,Asset_Operations!$AR$2:$AR$201,""),"")</f>
        <v>0.17744727860310969</v>
      </c>
      <c r="O5" s="22">
        <f t="array" ref="O5">IFERROR(_xlfn.XLOOKUP($A5&amp;"|"&amp;$C5,Financials!$A$2:$A$201&amp;"|"&amp;Financials!$B$2:$B$201,Financials!$C$2:$C$201,""),"")</f>
        <v>317.86</v>
      </c>
      <c r="P5" s="22">
        <f t="array" ref="P5">IFERROR(_xlfn.XLOOKUP($A5&amp;"|"&amp;$C5,Financials!$A$2:$A$201&amp;"|"&amp;Financials!$B$2:$B$201,Financials!$E$2:$E$201,""),"")</f>
        <v>0</v>
      </c>
      <c r="Q5" s="22">
        <f t="array" ref="Q5">IFERROR(_xlfn.XLOOKUP($A5&amp;"|"&amp;$C5,Financials!$A$2:$A$201&amp;"|"&amp;Financials!$B$2:$B$201,Financials!$G$2:$G$201,""),"")</f>
        <v>-10.79</v>
      </c>
      <c r="R5" s="22">
        <f t="array" ref="R5">IFERROR(_xlfn.XLOOKUP($A5&amp;"|"&amp;$C5,Financials!$A$2:$A$201&amp;"|"&amp;Financials!$B$2:$B$201,Financials!$S$2:$S$201,""),"")</f>
        <v>151.16</v>
      </c>
      <c r="S5" s="22">
        <f t="array" ref="S5">IFERROR(_xlfn.XLOOKUP($A5&amp;"|"&amp;$C5,Financials!$A$2:$A$201&amp;"|"&amp;Financials!$B$2:$B$201,Financials!$AC$2:$AC$201,""),"")</f>
        <v>467.5</v>
      </c>
      <c r="T5" s="23">
        <f t="shared" si="0"/>
        <v>0</v>
      </c>
      <c r="U5" s="24" t="str">
        <f t="shared" si="1"/>
        <v/>
      </c>
      <c r="V5" s="25" t="str">
        <f t="shared" si="2"/>
        <v/>
      </c>
      <c r="W5" s="24">
        <f t="shared" si="3"/>
        <v>4.2701011579901715</v>
      </c>
      <c r="X5" s="26">
        <f>IFERROR(IF(NOT(ISNUMBER($E5)),"",IF($E5&gt;=Scoring_Criteria!$D$4,5,IF($E5&gt;=Scoring_Criteria!$E$4,4,IF($E5&gt;=Scoring_Criteria!$F$4,3,IF($E5&gt;=Scoring_Criteria!$G$4,2,1))))),"")</f>
        <v>1</v>
      </c>
      <c r="Y5" s="26" t="str">
        <f>IFERROR(IF(OR(NOT(ISNUMBER($F5)),NOT(ISNUMBER($E5)),$E5=0),"",IF(($F5/$E5)&gt;=Scoring_Criteria!$D$5,5,IF(($F5/$E5)&gt;=Scoring_Criteria!$E$5,4,IF(($F5/$E5)&gt;=Scoring_Criteria!$F$5,3,IF(($F5/$E5)&gt;=Scoring_Criteria!$G$5,2,1))))),"")</f>
        <v/>
      </c>
      <c r="Z5" s="26">
        <f>IFERROR(IF(AND(NOT(ISNUMBER($I5)),NOT(ISNUMBER($J5))),"",IF((IFERROR($I5,0)+IFERROR($J5,0))&gt;=Scoring_Criteria!$D$6,5,IF((IFERROR($I5,0)+IFERROR($J5,0))&gt;=Scoring_Criteria!$E$6,4,IF((IFERROR($I5,0)+IFERROR($J5,0))&gt;=Scoring_Criteria!$F$6,3,IF((IFERROR($I5,0)+IFERROR($J5,0))&gt;=Scoring_Criteria!$G$6,2,1))))),"")</f>
        <v>1</v>
      </c>
      <c r="AA5" s="26">
        <f>IFERROR(IF(NOT(ISNUMBER($M5)),"",IF($M5&gt;=Scoring_Criteria!$D$7,5,IF($M5&gt;=Scoring_Criteria!$E$7,4,IF($M5&gt;=Scoring_Criteria!$F$7,3,IF($M5&gt;=Scoring_Criteria!$G$7,2,1))))),"")</f>
        <v>1</v>
      </c>
      <c r="AB5" s="26">
        <f>IFERROR(IF(NOT(ISNUMBER($T5)),"",IF($T5&gt;=Scoring_Criteria!$D$8,5,IF($T5&gt;=Scoring_Criteria!$E$8,4,IF($T5&gt;=Scoring_Criteria!$F$8,3,IF($T5&gt;=Scoring_Criteria!$G$8,2,1))))),"")</f>
        <v>1</v>
      </c>
      <c r="AC5" s="26" t="str">
        <f>IFERROR(IF(NOT(ISNUMBER($U5)),"",IF($U5&lt;=Scoring_Criteria!$D$9,5,IF($U5&lt;=Scoring_Criteria!$E$9,4,IF($U5&lt;=Scoring_Criteria!$F$9,3,IF($U5&lt;=Scoring_Criteria!$G$9,2,1))))),"")</f>
        <v/>
      </c>
      <c r="AD5" s="26">
        <f t="array" ref="AD5">IFERROR(IF(NOT(ISNUMBER(_xlfn.XLOOKUP($A5&amp;"|"&amp;$C5,Financials!$A$2:$A$201&amp;"|"&amp;Financials!$B$2:$B$201,Financials!$AD$2:$AD$201,""))),"",IF(_xlfn.XLOOKUP($A5&amp;"|"&amp;$C5,Financials!$A$2:$A$201&amp;"|"&amp;Financials!$B$2:$B$201,Financials!$AD$2:$AD$201,"")&gt;=Scoring_Criteria!$D$10,5,IF(_xlfn.XLOOKUP($A5&amp;"|"&amp;$C5,Financials!$A$2:$A$201&amp;"|"&amp;Financials!$B$2:$B$201,Financials!$AD$2:$AD$201,"")&gt;=Scoring_Criteria!$E$10,4,IF(_xlfn.XLOOKUP($A5&amp;"|"&amp;$C5,Financials!$A$2:$A$201&amp;"|"&amp;Financials!$B$2:$B$201,Financials!$AD$2:$AD$201,"")&gt;=Scoring_Criteria!$F$10,3,IF(_xlfn.XLOOKUP($A5&amp;"|"&amp;$C5,Financials!$A$2:$A$201&amp;"|"&amp;Financials!$B$2:$B$201,Financials!$AD$2:$AD$201,"")&gt;=Scoring_Criteria!$G$10,2,1))))),"")</f>
        <v>4</v>
      </c>
      <c r="AE5" s="27"/>
      <c r="AF5" s="27"/>
      <c r="AG5" s="28">
        <f t="shared" si="4"/>
        <v>1.6</v>
      </c>
      <c r="AH5" s="29"/>
      <c r="AI5" s="29"/>
      <c r="AJ5" s="29"/>
      <c r="AK5" s="29"/>
      <c r="AL5" s="29"/>
      <c r="AM5" s="29"/>
      <c r="AN5" s="29"/>
      <c r="AO5" s="29"/>
      <c r="AP5" s="29"/>
      <c r="AQ5" s="29"/>
      <c r="AR5" s="29"/>
      <c r="AS5" s="29"/>
      <c r="AT5" s="29"/>
      <c r="AU5" s="46" t="str">
        <f>IFERROR(Validation_Summary!Q5,"")</f>
        <v>✓ All 8 checks passed</v>
      </c>
    </row>
    <row r="6" spans="1:47" ht="15" customHeight="1" x14ac:dyDescent="0.3">
      <c r="A6" s="6" t="s">
        <v>660</v>
      </c>
      <c r="B6" s="19" t="str">
        <f t="array" ref="B6">IFERROR(_xlfn.XLOOKUP($A6&amp;"|"&amp;$C6,'Company_Master'!$A$2:$A$94&amp;"|"&amp;'Company_Master'!$D$2:$D$94,'Company_Master'!$B$2:$B$94,""),"")</f>
        <v>ANDI</v>
      </c>
      <c r="C6" s="20">
        <v>2023</v>
      </c>
      <c r="D6" s="19" t="str">
        <f t="array" ref="D6">IFERROR(_xlfn.XLOOKUP($A6&amp;"|"&amp;$C6,'Company_Master'!$A$2:$A$94&amp;"|"&amp;'Company_Master'!$D$2:$D$94,'Company_Master'!$H$2:$H$94,""),"")</f>
        <v>South Sumatra (Banyuasin)</v>
      </c>
      <c r="E6" s="20">
        <f t="array" ref="E6">IFERROR(_xlfn.XLOOKUP($A6&amp;"|"&amp;$C6,Asset_Operations!$A$2:$A$201&amp;"|"&amp;Asset_Operations!$BG$2:$BG$201,Asset_Operations!$B$2:$B$201,""),"")</f>
        <v>10006.31</v>
      </c>
      <c r="F6" s="20">
        <f t="array" ref="F6">IFERROR(_xlfn.XLOOKUP($A6&amp;"|"&amp;$C6,Asset_Operations!$A$2:$A$201&amp;"|"&amp;Asset_Operations!$BG$2:$BG$201,Asset_Operations!$E$2:$E$201,""),"")</f>
        <v>5040.63</v>
      </c>
      <c r="G6" s="20">
        <f t="array" ref="G6">IFERROR(_xlfn.XLOOKUP($A6&amp;"|"&amp;$C6,Asset_Operations!$A$2:$A$201&amp;"|"&amp;Asset_Operations!$BG$2:$BG$201,Asset_Operations!$I$2:$I$201,""),"")</f>
        <v>0</v>
      </c>
      <c r="H6" s="20">
        <f t="array" ref="H6">IFERROR(_xlfn.XLOOKUP($A6&amp;"|"&amp;$C6,Asset_Operations!$A$2:$A$201&amp;"|"&amp;Asset_Operations!$BG$2:$BG$201,Asset_Operations!$J$2:$J$201,""),"")</f>
        <v>0</v>
      </c>
      <c r="I6" s="20">
        <f t="array" ref="I6">IFERROR(_xlfn.XLOOKUP($A6&amp;"|"&amp;$C6,Asset_Operations!$A$2:$A$201&amp;"|"&amp;Asset_Operations!$BG$2:$BG$201,Asset_Operations!$O$2:$O$201,""),"")</f>
        <v>1</v>
      </c>
      <c r="J6" s="20">
        <f t="array" ref="J6">IFERROR(_xlfn.XLOOKUP($A6&amp;"|"&amp;$C6,Asset_Operations!$A$2:$A$201&amp;"|"&amp;Asset_Operations!$BG$2:$BG$201,Asset_Operations!$S$2:$S$201,""),"")</f>
        <v>0</v>
      </c>
      <c r="K6" s="20">
        <f t="array" ref="K6">IFERROR(_xlfn.XLOOKUP($A6&amp;"|"&amp;$C6,Asset_Operations!$A$2:$A$201&amp;"|"&amp;Asset_Operations!$BG$2:$BG$201,Asset_Operations!$AC$2:$AC$201,""),"")</f>
        <v>0</v>
      </c>
      <c r="L6" s="20">
        <f t="array" ref="L6">IFERROR(_xlfn.XLOOKUP($A6&amp;"|"&amp;$C6,Asset_Operations!$A$2:$A$201&amp;"|"&amp;Asset_Operations!$BG$2:$BG$201,Asset_Operations!$AG$2:$AG$201,""),"")</f>
        <v>17178</v>
      </c>
      <c r="M6" s="20">
        <f t="array" ref="M6">IFERROR(_xlfn.XLOOKUP($A6&amp;"|"&amp;$C6,Asset_Operations!$A$2:$A$201&amp;"|"&amp;Asset_Operations!$BG$2:$BG$201,Asset_Operations!$AO$2:$AO$201,""),"")</f>
        <v>0</v>
      </c>
      <c r="N6" s="21">
        <f t="array" ref="N6">IFERROR(_xlfn.XLOOKUP($A6&amp;"|"&amp;$C6,Asset_Operations!$A$2:$A$201&amp;"|"&amp;Asset_Operations!$BG$2:$BG$201,Asset_Operations!$AR$2:$AR$201,""),"")</f>
        <v>0.17326837534420675</v>
      </c>
      <c r="O6" s="22">
        <f t="array" ref="O6">IFERROR(_xlfn.XLOOKUP($A6&amp;"|"&amp;$C6,Financials!$A$2:$A$201&amp;"|"&amp;Financials!$B$2:$B$201,Financials!$C$2:$C$201,""),"")</f>
        <v>219.94</v>
      </c>
      <c r="P6" s="22">
        <f t="array" ref="P6">IFERROR(_xlfn.XLOOKUP($A6&amp;"|"&amp;$C6,Financials!$A$2:$A$201&amp;"|"&amp;Financials!$B$2:$B$201,Financials!$E$2:$E$201,""),"")</f>
        <v>0</v>
      </c>
      <c r="Q6" s="22">
        <f t="array" ref="Q6">IFERROR(_xlfn.XLOOKUP($A6&amp;"|"&amp;$C6,Financials!$A$2:$A$201&amp;"|"&amp;Financials!$B$2:$B$201,Financials!$G$2:$G$201,""),"")</f>
        <v>-55.96</v>
      </c>
      <c r="R6" s="22">
        <f t="array" ref="R6">IFERROR(_xlfn.XLOOKUP($A6&amp;"|"&amp;$C6,Financials!$A$2:$A$201&amp;"|"&amp;Financials!$B$2:$B$201,Financials!$S$2:$S$201,""),"")</f>
        <v>145.11000000000001</v>
      </c>
      <c r="S6" s="22">
        <f t="array" ref="S6">IFERROR(_xlfn.XLOOKUP($A6&amp;"|"&amp;$C6,Financials!$A$2:$A$201&amp;"|"&amp;Financials!$B$2:$B$201,Financials!$AC$2:$AC$201,""),"")</f>
        <v>467.5</v>
      </c>
      <c r="T6" s="23">
        <f t="shared" si="0"/>
        <v>0</v>
      </c>
      <c r="U6" s="24" t="str">
        <f t="shared" si="1"/>
        <v/>
      </c>
      <c r="V6" s="25">
        <f t="shared" si="2"/>
        <v>2.1980130537630756E-2</v>
      </c>
      <c r="W6" s="24">
        <f t="shared" si="3"/>
        <v>3.4079073449152189</v>
      </c>
      <c r="X6" s="26">
        <f>IFERROR(IF(NOT(ISNUMBER($E6)),"",IF($E6&gt;=Scoring_Criteria!$D$4,5,IF($E6&gt;=Scoring_Criteria!$E$4,4,IF($E6&gt;=Scoring_Criteria!$F$4,3,IF($E6&gt;=Scoring_Criteria!$G$4,2,1))))),"")</f>
        <v>1</v>
      </c>
      <c r="Y6" s="26">
        <f>IFERROR(IF(OR(NOT(ISNUMBER($F6)),NOT(ISNUMBER($E6)),$E6=0),"",IF(($F6/$E6)&gt;=Scoring_Criteria!$D$5,5,IF(($F6/$E6)&gt;=Scoring_Criteria!$E$5,4,IF(($F6/$E6)&gt;=Scoring_Criteria!$F$5,3,IF(($F6/$E6)&gt;=Scoring_Criteria!$G$5,2,1))))),"")</f>
        <v>2</v>
      </c>
      <c r="Z6" s="26">
        <f>IFERROR(IF(AND(NOT(ISNUMBER($I6)),NOT(ISNUMBER($J6))),"",IF((IFERROR($I6,0)+IFERROR($J6,0))&gt;=Scoring_Criteria!$D$6,5,IF((IFERROR($I6,0)+IFERROR($J6,0))&gt;=Scoring_Criteria!$E$6,4,IF((IFERROR($I6,0)+IFERROR($J6,0))&gt;=Scoring_Criteria!$F$6,3,IF((IFERROR($I6,0)+IFERROR($J6,0))&gt;=Scoring_Criteria!$G$6,2,1))))),"")</f>
        <v>1</v>
      </c>
      <c r="AA6" s="26">
        <f>IFERROR(IF(NOT(ISNUMBER($M6)),"",IF($M6&gt;=Scoring_Criteria!$D$7,5,IF($M6&gt;=Scoring_Criteria!$E$7,4,IF($M6&gt;=Scoring_Criteria!$F$7,3,IF($M6&gt;=Scoring_Criteria!$G$7,2,1))))),"")</f>
        <v>1</v>
      </c>
      <c r="AB6" s="26">
        <f>IFERROR(IF(NOT(ISNUMBER($T6)),"",IF($T6&gt;=Scoring_Criteria!$D$8,5,IF($T6&gt;=Scoring_Criteria!$E$8,4,IF($T6&gt;=Scoring_Criteria!$F$8,3,IF($T6&gt;=Scoring_Criteria!$G$8,2,1))))),"")</f>
        <v>1</v>
      </c>
      <c r="AC6" s="26" t="str">
        <f>IFERROR(IF(NOT(ISNUMBER($U6)),"",IF($U6&lt;=Scoring_Criteria!$D$9,5,IF($U6&lt;=Scoring_Criteria!$E$9,4,IF($U6&lt;=Scoring_Criteria!$F$9,3,IF($U6&lt;=Scoring_Criteria!$G$9,2,1))))),"")</f>
        <v/>
      </c>
      <c r="AD6" s="26">
        <f t="array" ref="AD6">IFERROR(IF(NOT(ISNUMBER(_xlfn.XLOOKUP($A6&amp;"|"&amp;$C6,Financials!$A$2:$A$201&amp;"|"&amp;Financials!$B$2:$B$201,Financials!$AD$2:$AD$201,""))),"",IF(_xlfn.XLOOKUP($A6&amp;"|"&amp;$C6,Financials!$A$2:$A$201&amp;"|"&amp;Financials!$B$2:$B$201,Financials!$AD$2:$AD$201,"")&gt;=Scoring_Criteria!$D$10,5,IF(_xlfn.XLOOKUP($A6&amp;"|"&amp;$C6,Financials!$A$2:$A$201&amp;"|"&amp;Financials!$B$2:$B$201,Financials!$AD$2:$AD$201,"")&gt;=Scoring_Criteria!$E$10,4,IF(_xlfn.XLOOKUP($A6&amp;"|"&amp;$C6,Financials!$A$2:$A$201&amp;"|"&amp;Financials!$B$2:$B$201,Financials!$AD$2:$AD$201,"")&gt;=Scoring_Criteria!$F$10,3,IF(_xlfn.XLOOKUP($A6&amp;"|"&amp;$C6,Financials!$A$2:$A$201&amp;"|"&amp;Financials!$B$2:$B$201,Financials!$AD$2:$AD$201,"")&gt;=Scoring_Criteria!$G$10,2,1))))),"")</f>
        <v>1</v>
      </c>
      <c r="AE6" s="27"/>
      <c r="AF6" s="27"/>
      <c r="AG6" s="28">
        <f t="shared" si="4"/>
        <v>1.1666666666666667</v>
      </c>
      <c r="AH6" s="29"/>
      <c r="AI6" s="29"/>
      <c r="AJ6" s="29"/>
      <c r="AK6" s="29"/>
      <c r="AL6" s="29"/>
      <c r="AM6" s="29"/>
      <c r="AN6" s="29"/>
      <c r="AO6" s="29"/>
      <c r="AP6" s="29"/>
      <c r="AQ6" s="29"/>
      <c r="AR6" s="29"/>
      <c r="AS6" s="29"/>
      <c r="AT6" s="29"/>
      <c r="AU6" s="46" t="str">
        <f>IFERROR(Validation_Summary!Q5,"")</f>
        <v>✓ All 8 checks passed</v>
      </c>
    </row>
    <row r="7" spans="1:47" ht="15" customHeight="1" x14ac:dyDescent="0.3">
      <c r="A7" s="6" t="s">
        <v>660</v>
      </c>
      <c r="B7" s="19" t="str">
        <f t="array" ref="B7">IFERROR(_xlfn.XLOOKUP($A7&amp;"|"&amp;$C7,'Company_Master'!$A$2:$A$94&amp;"|"&amp;'Company_Master'!$D$2:$D$94,'Company_Master'!$B$2:$B$94,""),"")</f>
        <v>ANDI</v>
      </c>
      <c r="C7" s="20">
        <v>2024</v>
      </c>
      <c r="D7" s="19" t="str">
        <f t="array" ref="D7">IFERROR(_xlfn.XLOOKUP($A7&amp;"|"&amp;$C7,'Company_Master'!$A$2:$A$94&amp;"|"&amp;'Company_Master'!$D$2:$D$94,'Company_Master'!$H$2:$H$94,""),"")</f>
        <v>South Sumatra (Banyuasin)</v>
      </c>
      <c r="E7" s="20">
        <f t="array" ref="E7">IFERROR(_xlfn.XLOOKUP($A7&amp;"|"&amp;$C7,Asset_Operations!$A$2:$A$201&amp;"|"&amp;Asset_Operations!$BG$2:$BG$201,Asset_Operations!$B$2:$B$201,""),"")</f>
        <v>9709.24</v>
      </c>
      <c r="F7" s="20">
        <f t="array" ref="F7">IFERROR(_xlfn.XLOOKUP($A7&amp;"|"&amp;$C7,Asset_Operations!$A$2:$A$201&amp;"|"&amp;Asset_Operations!$BG$2:$BG$201,Asset_Operations!$E$2:$E$201,""),"")</f>
        <v>4558.21</v>
      </c>
      <c r="G7" s="20">
        <f t="array" ref="G7">IFERROR(_xlfn.XLOOKUP($A7&amp;"|"&amp;$C7,Asset_Operations!$A$2:$A$201&amp;"|"&amp;Asset_Operations!$BG$2:$BG$201,Asset_Operations!$I$2:$I$201,""),"")</f>
        <v>0</v>
      </c>
      <c r="H7" s="20">
        <f t="array" ref="H7">IFERROR(_xlfn.XLOOKUP($A7&amp;"|"&amp;$C7,Asset_Operations!$A$2:$A$201&amp;"|"&amp;Asset_Operations!$BG$2:$BG$201,Asset_Operations!$J$2:$J$201,""),"")</f>
        <v>0</v>
      </c>
      <c r="I7" s="20">
        <f t="array" ref="I7">IFERROR(_xlfn.XLOOKUP($A7&amp;"|"&amp;$C7,Asset_Operations!$A$2:$A$201&amp;"|"&amp;Asset_Operations!$BG$2:$BG$201,Asset_Operations!$O$2:$O$201,""),"")</f>
        <v>1</v>
      </c>
      <c r="J7" s="20">
        <f t="array" ref="J7">IFERROR(_xlfn.XLOOKUP($A7&amp;"|"&amp;$C7,Asset_Operations!$A$2:$A$201&amp;"|"&amp;Asset_Operations!$BG$2:$BG$201,Asset_Operations!$S$2:$S$201,""),"")</f>
        <v>0</v>
      </c>
      <c r="K7" s="20">
        <f t="array" ref="K7">IFERROR(_xlfn.XLOOKUP($A7&amp;"|"&amp;$C7,Asset_Operations!$A$2:$A$201&amp;"|"&amp;Asset_Operations!$BG$2:$BG$201,Asset_Operations!$AC$2:$AC$201,""),"")</f>
        <v>0</v>
      </c>
      <c r="L7" s="20">
        <f t="array" ref="L7">IFERROR(_xlfn.XLOOKUP($A7&amp;"|"&amp;$C7,Asset_Operations!$A$2:$A$201&amp;"|"&amp;Asset_Operations!$BG$2:$BG$201,Asset_Operations!$AG$2:$AG$201,""),"")</f>
        <v>11546</v>
      </c>
      <c r="M7" s="20">
        <f t="array" ref="M7">IFERROR(_xlfn.XLOOKUP($A7&amp;"|"&amp;$C7,Asset_Operations!$A$2:$A$201&amp;"|"&amp;Asset_Operations!$BG$2:$BG$201,Asset_Operations!$AO$2:$AO$201,""),"")</f>
        <v>0</v>
      </c>
      <c r="N7" s="21">
        <f t="array" ref="N7">IFERROR(_xlfn.XLOOKUP($A7&amp;"|"&amp;$C7,Asset_Operations!$A$2:$A$201&amp;"|"&amp;Asset_Operations!$BG$2:$BG$201,Asset_Operations!$AR$2:$AR$201,""),"")</f>
        <v>0.1603878424181808</v>
      </c>
      <c r="O7" s="22">
        <f t="array" ref="O7">IFERROR(_xlfn.XLOOKUP($A7&amp;"|"&amp;$C7,Financials!$A$2:$A$201&amp;"|"&amp;Financials!$B$2:$B$201,Financials!$C$2:$C$201,""),"")</f>
        <v>196.74</v>
      </c>
      <c r="P7" s="22">
        <f t="array" ref="P7">IFERROR(_xlfn.XLOOKUP($A7&amp;"|"&amp;$C7,Financials!$A$2:$A$201&amp;"|"&amp;Financials!$B$2:$B$201,Financials!$E$2:$E$201,""),"")</f>
        <v>0</v>
      </c>
      <c r="Q7" s="22">
        <f t="array" ref="Q7">IFERROR(_xlfn.XLOOKUP($A7&amp;"|"&amp;$C7,Financials!$A$2:$A$201&amp;"|"&amp;Financials!$B$2:$B$201,Financials!$G$2:$G$201,""),"")</f>
        <v>-23.05</v>
      </c>
      <c r="R7" s="22">
        <f t="array" ref="R7">IFERROR(_xlfn.XLOOKUP($A7&amp;"|"&amp;$C7,Financials!$A$2:$A$201&amp;"|"&amp;Financials!$B$2:$B$201,Financials!$S$2:$S$201,""),"")</f>
        <v>124.47</v>
      </c>
      <c r="S7" s="22">
        <f t="array" ref="S7">IFERROR(_xlfn.XLOOKUP($A7&amp;"|"&amp;$C7,Financials!$A$2:$A$201&amp;"|"&amp;Financials!$B$2:$B$201,Financials!$AC$2:$AC$201,""),"")</f>
        <v>56.1</v>
      </c>
      <c r="T7" s="23">
        <f t="shared" si="0"/>
        <v>0</v>
      </c>
      <c r="U7" s="24" t="str">
        <f t="shared" si="1"/>
        <v/>
      </c>
      <c r="V7" s="25">
        <f t="shared" si="2"/>
        <v>2.0263171988744742E-2</v>
      </c>
      <c r="W7" s="24">
        <f t="shared" si="3"/>
        <v>2.5330118621125397</v>
      </c>
      <c r="X7" s="26">
        <f>IFERROR(IF(NOT(ISNUMBER($E7)),"",IF($E7&gt;=Scoring_Criteria!$D$4,5,IF($E7&gt;=Scoring_Criteria!$E$4,4,IF($E7&gt;=Scoring_Criteria!$F$4,3,IF($E7&gt;=Scoring_Criteria!$G$4,2,1))))),"")</f>
        <v>1</v>
      </c>
      <c r="Y7" s="26">
        <f>IFERROR(IF(OR(NOT(ISNUMBER($F7)),NOT(ISNUMBER($E7)),$E7=0),"",IF(($F7/$E7)&gt;=Scoring_Criteria!$D$5,5,IF(($F7/$E7)&gt;=Scoring_Criteria!$E$5,4,IF(($F7/$E7)&gt;=Scoring_Criteria!$F$5,3,IF(($F7/$E7)&gt;=Scoring_Criteria!$G$5,2,1))))),"")</f>
        <v>2</v>
      </c>
      <c r="Z7" s="26">
        <f>IFERROR(IF(AND(NOT(ISNUMBER($I7)),NOT(ISNUMBER($J7))),"",IF((IFERROR($I7,0)+IFERROR($J7,0))&gt;=Scoring_Criteria!$D$6,5,IF((IFERROR($I7,0)+IFERROR($J7,0))&gt;=Scoring_Criteria!$E$6,4,IF((IFERROR($I7,0)+IFERROR($J7,0))&gt;=Scoring_Criteria!$F$6,3,IF((IFERROR($I7,0)+IFERROR($J7,0))&gt;=Scoring_Criteria!$G$6,2,1))))),"")</f>
        <v>1</v>
      </c>
      <c r="AA7" s="26">
        <f>IFERROR(IF(NOT(ISNUMBER($M7)),"",IF($M7&gt;=Scoring_Criteria!$D$7,5,IF($M7&gt;=Scoring_Criteria!$E$7,4,IF($M7&gt;=Scoring_Criteria!$F$7,3,IF($M7&gt;=Scoring_Criteria!$G$7,2,1))))),"")</f>
        <v>1</v>
      </c>
      <c r="AB7" s="26">
        <f>IFERROR(IF(NOT(ISNUMBER($T7)),"",IF($T7&gt;=Scoring_Criteria!$D$8,5,IF($T7&gt;=Scoring_Criteria!$E$8,4,IF($T7&gt;=Scoring_Criteria!$F$8,3,IF($T7&gt;=Scoring_Criteria!$G$8,2,1))))),"")</f>
        <v>1</v>
      </c>
      <c r="AC7" s="26" t="str">
        <f>IFERROR(IF(NOT(ISNUMBER($U7)),"",IF($U7&lt;=Scoring_Criteria!$D$9,5,IF($U7&lt;=Scoring_Criteria!$E$9,4,IF($U7&lt;=Scoring_Criteria!$F$9,3,IF($U7&lt;=Scoring_Criteria!$G$9,2,1))))),"")</f>
        <v/>
      </c>
      <c r="AD7" s="26">
        <f t="array" ref="AD7">IFERROR(IF(NOT(ISNUMBER(_xlfn.XLOOKUP($A7&amp;"|"&amp;$C7,Financials!$A$2:$A$201&amp;"|"&amp;Financials!$B$2:$B$201,Financials!$AD$2:$AD$201,""))),"",IF(_xlfn.XLOOKUP($A7&amp;"|"&amp;$C7,Financials!$A$2:$A$201&amp;"|"&amp;Financials!$B$2:$B$201,Financials!$AD$2:$AD$201,"")&gt;=Scoring_Criteria!$D$10,5,IF(_xlfn.XLOOKUP($A7&amp;"|"&amp;$C7,Financials!$A$2:$A$201&amp;"|"&amp;Financials!$B$2:$B$201,Financials!$AD$2:$AD$201,"")&gt;=Scoring_Criteria!$E$10,4,IF(_xlfn.XLOOKUP($A7&amp;"|"&amp;$C7,Financials!$A$2:$A$201&amp;"|"&amp;Financials!$B$2:$B$201,Financials!$AD$2:$AD$201,"")&gt;=Scoring_Criteria!$F$10,3,IF(_xlfn.XLOOKUP($A7&amp;"|"&amp;$C7,Financials!$A$2:$A$201&amp;"|"&amp;Financials!$B$2:$B$201,Financials!$AD$2:$AD$201,"")&gt;=Scoring_Criteria!$G$10,2,1))))),"")</f>
        <v>1</v>
      </c>
      <c r="AE7" s="27"/>
      <c r="AF7" s="27"/>
      <c r="AG7" s="28">
        <f t="shared" si="4"/>
        <v>1.1666666666666667</v>
      </c>
      <c r="AH7" s="29"/>
      <c r="AI7" s="29"/>
      <c r="AJ7" s="29"/>
      <c r="AK7" s="29"/>
      <c r="AL7" s="29"/>
      <c r="AM7" s="29"/>
      <c r="AN7" s="29"/>
      <c r="AO7" s="29"/>
      <c r="AP7" s="29"/>
      <c r="AQ7" s="29"/>
      <c r="AR7" s="29"/>
      <c r="AS7" s="29"/>
      <c r="AT7" s="29"/>
      <c r="AU7" s="46" t="str">
        <f>IFERROR(Validation_Summary!Q5,"")</f>
        <v>✓ All 8 checks passed</v>
      </c>
    </row>
    <row r="8" spans="1:47" ht="15" customHeight="1" x14ac:dyDescent="0.3">
      <c r="A8" s="6" t="s">
        <v>864</v>
      </c>
      <c r="B8" s="19" t="str">
        <f t="array" ref="B8">IFERROR(_xlfn.XLOOKUP($A8&amp;"|"&amp;$C8,'Company_Master'!$A$2:$A$94&amp;"|"&amp;'Company_Master'!$D$2:$D$94,'Company_Master'!$B$2:$B$94,""),"")</f>
        <v>ANJT</v>
      </c>
      <c r="C8" s="20">
        <v>2023</v>
      </c>
      <c r="D8" s="19" t="str">
        <f t="array" ref="D8">IFERROR(_xlfn.XLOOKUP($A8&amp;"|"&amp;$C8,'Company_Master'!$A$2:$A$94&amp;"|"&amp;'Company_Master'!$D$2:$D$94,'Company_Master'!$H$2:$H$94,""),"")</f>
        <v>Sumatra/Kalimantan/Bangka Belitung/Southwest Papua</v>
      </c>
      <c r="E8" s="20">
        <f t="array" ref="E8">IFERROR(_xlfn.XLOOKUP($A8&amp;"|"&amp;$C8,Asset_Operations!$A$2:$A$201&amp;"|"&amp;Asset_Operations!$BG$2:$BG$201,Asset_Operations!$B$2:$B$201,""),"")</f>
        <v>48516</v>
      </c>
      <c r="F8" s="20">
        <f t="array" ref="F8">IFERROR(_xlfn.XLOOKUP($A8&amp;"|"&amp;$C8,Asset_Operations!$A$2:$A$201&amp;"|"&amp;Asset_Operations!$BG$2:$BG$201,Asset_Operations!$E$2:$E$201,""),"")</f>
        <v>43400</v>
      </c>
      <c r="G8" s="20">
        <f t="array" ref="G8">IFERROR(_xlfn.XLOOKUP($A8&amp;"|"&amp;$C8,Asset_Operations!$A$2:$A$201&amp;"|"&amp;Asset_Operations!$BG$2:$BG$201,Asset_Operations!$I$2:$I$201,""),"")</f>
        <v>13</v>
      </c>
      <c r="H8" s="20">
        <f t="array" ref="H8">IFERROR(_xlfn.XLOOKUP($A8&amp;"|"&amp;$C8,Asset_Operations!$A$2:$A$201&amp;"|"&amp;Asset_Operations!$BG$2:$BG$201,Asset_Operations!$J$2:$J$201,""),"")</f>
        <v>0</v>
      </c>
      <c r="I8" s="20">
        <f t="array" ref="I8">IFERROR(_xlfn.XLOOKUP($A8&amp;"|"&amp;$C8,Asset_Operations!$A$2:$A$201&amp;"|"&amp;Asset_Operations!$BG$2:$BG$201,Asset_Operations!$O$2:$O$201,""),"")</f>
        <v>5</v>
      </c>
      <c r="J8" s="20">
        <f t="array" ref="J8">IFERROR(_xlfn.XLOOKUP($A8&amp;"|"&amp;$C8,Asset_Operations!$A$2:$A$201&amp;"|"&amp;Asset_Operations!$BG$2:$BG$201,Asset_Operations!$S$2:$S$201,""),"")</f>
        <v>0</v>
      </c>
      <c r="K8" s="20">
        <f t="array" ref="K8">IFERROR(_xlfn.XLOOKUP($A8&amp;"|"&amp;$C8,Asset_Operations!$A$2:$A$201&amp;"|"&amp;Asset_Operations!$BG$2:$BG$201,Asset_Operations!$AC$2:$AC$201,""),"")</f>
        <v>881051</v>
      </c>
      <c r="L8" s="20">
        <f t="array" ref="L8">IFERROR(_xlfn.XLOOKUP($A8&amp;"|"&amp;$C8,Asset_Operations!$A$2:$A$201&amp;"|"&amp;Asset_Operations!$BG$2:$BG$201,Asset_Operations!$AG$2:$AG$201,""),"")</f>
        <v>283659</v>
      </c>
      <c r="M8" s="20">
        <f t="array" ref="M8">IFERROR(_xlfn.XLOOKUP($A8&amp;"|"&amp;$C8,Asset_Operations!$A$2:$A$201&amp;"|"&amp;Asset_Operations!$BG$2:$BG$201,Asset_Operations!$AO$2:$AO$201,""),"")</f>
        <v>20.300714285714285</v>
      </c>
      <c r="N8" s="21">
        <f t="array" ref="N8">IFERROR(_xlfn.XLOOKUP($A8&amp;"|"&amp;$C8,Asset_Operations!$A$2:$A$201&amp;"|"&amp;Asset_Operations!$BG$2:$BG$201,Asset_Operations!$AR$2:$AR$201,""),"")</f>
        <v>0.2063168108135236</v>
      </c>
      <c r="O8" s="22">
        <f t="array" ref="O8">IFERROR(_xlfn.XLOOKUP($A8&amp;"|"&amp;$C8,Financials!$A$2:$A$201&amp;"|"&amp;Financials!$B$2:$B$201,Financials!$C$2:$C$201,""),"")</f>
        <v>3641</v>
      </c>
      <c r="P8" s="22">
        <f t="array" ref="P8">IFERROR(_xlfn.XLOOKUP($A8&amp;"|"&amp;$C8,Financials!$A$2:$A$201&amp;"|"&amp;Financials!$B$2:$B$201,Financials!$E$2:$E$201,""),"")</f>
        <v>756</v>
      </c>
      <c r="Q8" s="22">
        <f t="array" ref="Q8">IFERROR(_xlfn.XLOOKUP($A8&amp;"|"&amp;$C8,Financials!$A$2:$A$201&amp;"|"&amp;Financials!$B$2:$B$201,Financials!$G$2:$G$201,""),"")</f>
        <v>29</v>
      </c>
      <c r="R8" s="22">
        <f t="array" ref="R8">IFERROR(_xlfn.XLOOKUP($A8&amp;"|"&amp;$C8,Financials!$A$2:$A$201&amp;"|"&amp;Financials!$B$2:$B$201,Financials!$S$2:$S$201,""),"")</f>
        <v>2232</v>
      </c>
      <c r="S8" s="22">
        <f t="array" ref="S8">IFERROR(_xlfn.XLOOKUP($A8&amp;"|"&amp;$C8,Financials!$A$2:$A$201&amp;"|"&amp;Financials!$B$2:$B$201,Financials!$AC$2:$AC$201,""),"")</f>
        <v>2498.73</v>
      </c>
      <c r="T8" s="23">
        <f t="shared" si="0"/>
        <v>0.20763526503707772</v>
      </c>
      <c r="U8" s="24">
        <f t="shared" si="1"/>
        <v>2.9523809523809526</v>
      </c>
      <c r="V8" s="25">
        <f t="shared" si="2"/>
        <v>7.5047407040976177E-2</v>
      </c>
      <c r="W8" s="24">
        <f t="shared" si="3"/>
        <v>6.5359216589861751</v>
      </c>
      <c r="X8" s="26">
        <f>IFERROR(IF(NOT(ISNUMBER($E8)),"",IF($E8&gt;=Scoring_Criteria!$D$4,5,IF($E8&gt;=Scoring_Criteria!$E$4,4,IF($E8&gt;=Scoring_Criteria!$F$4,3,IF($E8&gt;=Scoring_Criteria!$G$4,2,1))))),"")</f>
        <v>3</v>
      </c>
      <c r="Y8" s="26">
        <f>IFERROR(IF(OR(NOT(ISNUMBER($F8)),NOT(ISNUMBER($E8)),$E8=0),"",IF(($F8/$E8)&gt;=Scoring_Criteria!$D$5,5,IF(($F8/$E8)&gt;=Scoring_Criteria!$E$5,4,IF(($F8/$E8)&gt;=Scoring_Criteria!$F$5,3,IF(($F8/$E8)&gt;=Scoring_Criteria!$G$5,2,1))))),"")</f>
        <v>5</v>
      </c>
      <c r="Z8" s="26">
        <f>IFERROR(IF(AND(NOT(ISNUMBER($I8)),NOT(ISNUMBER($J8))),"",IF((IFERROR($I8,0)+IFERROR($J8,0))&gt;=Scoring_Criteria!$D$6,5,IF((IFERROR($I8,0)+IFERROR($J8,0))&gt;=Scoring_Criteria!$E$6,4,IF((IFERROR($I8,0)+IFERROR($J8,0))&gt;=Scoring_Criteria!$F$6,3,IF((IFERROR($I8,0)+IFERROR($J8,0))&gt;=Scoring_Criteria!$G$6,2,1))))),"")</f>
        <v>3</v>
      </c>
      <c r="AA8" s="26">
        <f>IFERROR(IF(NOT(ISNUMBER($M8)),"",IF($M8&gt;=Scoring_Criteria!$D$7,5,IF($M8&gt;=Scoring_Criteria!$E$7,4,IF($M8&gt;=Scoring_Criteria!$F$7,3,IF($M8&gt;=Scoring_Criteria!$G$7,2,1))))),"")</f>
        <v>4</v>
      </c>
      <c r="AB8" s="26">
        <f>IFERROR(IF(NOT(ISNUMBER($T8)),"",IF($T8&gt;=Scoring_Criteria!$D$8,5,IF($T8&gt;=Scoring_Criteria!$E$8,4,IF($T8&gt;=Scoring_Criteria!$F$8,3,IF($T8&gt;=Scoring_Criteria!$G$8,2,1))))),"")</f>
        <v>4</v>
      </c>
      <c r="AC8" s="26">
        <f>IFERROR(IF(NOT(ISNUMBER($U8)),"",IF($U8&lt;=Scoring_Criteria!$D$9,5,IF($U8&lt;=Scoring_Criteria!$E$9,4,IF($U8&lt;=Scoring_Criteria!$F$9,3,IF($U8&lt;=Scoring_Criteria!$G$9,2,1))))),"")</f>
        <v>3</v>
      </c>
      <c r="AD8" s="26">
        <f t="array" ref="AD8">IFERROR(IF(NOT(ISNUMBER(_xlfn.XLOOKUP($A8&amp;"|"&amp;$C8,Financials!$A$2:$A$201&amp;"|"&amp;Financials!$B$2:$B$201,Financials!$AD$2:$AD$201,""))),"",IF(_xlfn.XLOOKUP($A8&amp;"|"&amp;$C8,Financials!$A$2:$A$201&amp;"|"&amp;Financials!$B$2:$B$201,Financials!$AD$2:$AD$201,"")&gt;=Scoring_Criteria!$D$10,5,IF(_xlfn.XLOOKUP($A8&amp;"|"&amp;$C8,Financials!$A$2:$A$201&amp;"|"&amp;Financials!$B$2:$B$201,Financials!$AD$2:$AD$201,"")&gt;=Scoring_Criteria!$E$10,4,IF(_xlfn.XLOOKUP($A8&amp;"|"&amp;$C8,Financials!$A$2:$A$201&amp;"|"&amp;Financials!$B$2:$B$201,Financials!$AD$2:$AD$201,"")&gt;=Scoring_Criteria!$F$10,3,IF(_xlfn.XLOOKUP($A8&amp;"|"&amp;$C8,Financials!$A$2:$A$201&amp;"|"&amp;Financials!$B$2:$B$201,Financials!$AD$2:$AD$201,"")&gt;=Scoring_Criteria!$G$10,2,1))))),"")</f>
        <v>2</v>
      </c>
      <c r="AE8" s="27"/>
      <c r="AF8" s="27"/>
      <c r="AG8" s="28">
        <f t="shared" si="4"/>
        <v>3.4285714285714284</v>
      </c>
      <c r="AH8" s="29"/>
      <c r="AI8" s="29"/>
      <c r="AJ8" s="29"/>
      <c r="AK8" s="29"/>
      <c r="AL8" s="29"/>
      <c r="AM8" s="29"/>
      <c r="AN8" s="29"/>
      <c r="AO8" s="29"/>
      <c r="AP8" s="29"/>
      <c r="AQ8" s="29"/>
      <c r="AR8" s="29"/>
      <c r="AS8" s="29"/>
      <c r="AT8" s="29"/>
      <c r="AU8" s="46" t="str">
        <f>IFERROR(Validation_Summary!Q5,"")</f>
        <v>✓ All 8 checks passed</v>
      </c>
    </row>
    <row r="9" spans="1:47" ht="15" customHeight="1" x14ac:dyDescent="0.3">
      <c r="A9" s="6" t="s">
        <v>864</v>
      </c>
      <c r="B9" s="19" t="str">
        <f t="array" ref="B9">IFERROR(_xlfn.XLOOKUP($A9&amp;"|"&amp;$C9,'Company_Master'!$A$2:$A$94&amp;"|"&amp;'Company_Master'!$D$2:$D$94,'Company_Master'!$B$2:$B$94,""),"")</f>
        <v>ANJT</v>
      </c>
      <c r="C9" s="20">
        <v>2022</v>
      </c>
      <c r="D9" s="19" t="str">
        <f t="array" ref="D9">IFERROR(_xlfn.XLOOKUP($A9&amp;"|"&amp;$C9,'Company_Master'!$A$2:$A$94&amp;"|"&amp;'Company_Master'!$D$2:$D$94,'Company_Master'!$H$2:$H$94,""),"")</f>
        <v>Sumatra/Kalimantan/Bangka Belitung/Southwest Papua</v>
      </c>
      <c r="E9" s="20">
        <f t="array" ref="E9">IFERROR(_xlfn.XLOOKUP($A9&amp;"|"&amp;$C9,Asset_Operations!$A$2:$A$201&amp;"|"&amp;Asset_Operations!$BG$2:$BG$201,Asset_Operations!$B$2:$B$201,""),"")</f>
        <v>49409</v>
      </c>
      <c r="F9" s="20">
        <f t="array" ref="F9">IFERROR(_xlfn.XLOOKUP($A9&amp;"|"&amp;$C9,Asset_Operations!$A$2:$A$201&amp;"|"&amp;Asset_Operations!$BG$2:$BG$201,Asset_Operations!$E$2:$E$201,""),"")</f>
        <v>42200</v>
      </c>
      <c r="G9" s="20">
        <f t="array" ref="G9">IFERROR(_xlfn.XLOOKUP($A9&amp;"|"&amp;$C9,Asset_Operations!$A$2:$A$201&amp;"|"&amp;Asset_Operations!$BG$2:$BG$201,Asset_Operations!$I$2:$I$201,""),"")</f>
        <v>12.9</v>
      </c>
      <c r="H9" s="20">
        <f t="array" ref="H9">IFERROR(_xlfn.XLOOKUP($A9&amp;"|"&amp;$C9,Asset_Operations!$A$2:$A$201&amp;"|"&amp;Asset_Operations!$BG$2:$BG$201,Asset_Operations!$J$2:$J$201,""),"")</f>
        <v>0</v>
      </c>
      <c r="I9" s="20">
        <f t="array" ref="I9">IFERROR(_xlfn.XLOOKUP($A9&amp;"|"&amp;$C9,Asset_Operations!$A$2:$A$201&amp;"|"&amp;Asset_Operations!$BG$2:$BG$201,Asset_Operations!$O$2:$O$201,""),"")</f>
        <v>5</v>
      </c>
      <c r="J9" s="20">
        <f t="array" ref="J9">IFERROR(_xlfn.XLOOKUP($A9&amp;"|"&amp;$C9,Asset_Operations!$A$2:$A$201&amp;"|"&amp;Asset_Operations!$BG$2:$BG$201,Asset_Operations!$S$2:$S$201,""),"")</f>
        <v>0</v>
      </c>
      <c r="K9" s="20">
        <f t="array" ref="K9">IFERROR(_xlfn.XLOOKUP($A9&amp;"|"&amp;$C9,Asset_Operations!$A$2:$A$201&amp;"|"&amp;Asset_Operations!$BG$2:$BG$201,Asset_Operations!$AC$2:$AC$201,""),"")</f>
        <v>840581</v>
      </c>
      <c r="L9" s="20">
        <f t="array" ref="L9">IFERROR(_xlfn.XLOOKUP($A9&amp;"|"&amp;$C9,Asset_Operations!$A$2:$A$201&amp;"|"&amp;Asset_Operations!$BG$2:$BG$201,Asset_Operations!$AG$2:$AG$201,""),"")</f>
        <v>275769</v>
      </c>
      <c r="M9" s="20">
        <f t="array" ref="M9">IFERROR(_xlfn.XLOOKUP($A9&amp;"|"&amp;$C9,Asset_Operations!$A$2:$A$201&amp;"|"&amp;Asset_Operations!$BG$2:$BG$201,Asset_Operations!$AO$2:$AO$201,""),"")</f>
        <v>19.918981042654028</v>
      </c>
      <c r="N9" s="21">
        <f t="array" ref="N9">IFERROR(_xlfn.XLOOKUP($A9&amp;"|"&amp;$C9,Asset_Operations!$A$2:$A$201&amp;"|"&amp;Asset_Operations!$BG$2:$BG$201,Asset_Operations!$AR$2:$AR$201,""),"")</f>
        <v>0.1999682393275439</v>
      </c>
      <c r="O9" s="22">
        <f t="array" ref="O9">IFERROR(_xlfn.XLOOKUP($A9&amp;"|"&amp;$C9,Financials!$A$2:$A$201&amp;"|"&amp;Financials!$B$2:$B$201,Financials!$C$2:$C$201,""),"")</f>
        <v>4191</v>
      </c>
      <c r="P9" s="22">
        <f t="array" ref="P9">IFERROR(_xlfn.XLOOKUP($A9&amp;"|"&amp;$C9,Financials!$A$2:$A$201&amp;"|"&amp;Financials!$B$2:$B$201,Financials!$E$2:$E$201,""),"")</f>
        <v>1079</v>
      </c>
      <c r="Q9" s="22">
        <f t="array" ref="Q9">IFERROR(_xlfn.XLOOKUP($A9&amp;"|"&amp;$C9,Financials!$A$2:$A$201&amp;"|"&amp;Financials!$B$2:$B$201,Financials!$G$2:$G$201,""),"")</f>
        <v>330</v>
      </c>
      <c r="R9" s="22">
        <f t="array" ref="R9">IFERROR(_xlfn.XLOOKUP($A9&amp;"|"&amp;$C9,Financials!$A$2:$A$201&amp;"|"&amp;Financials!$B$2:$B$201,Financials!$S$2:$S$201,""),"")</f>
        <v>1921</v>
      </c>
      <c r="S9" s="22">
        <f t="array" ref="S9">IFERROR(_xlfn.XLOOKUP($A9&amp;"|"&amp;$C9,Financials!$A$2:$A$201&amp;"|"&amp;Financials!$B$2:$B$201,Financials!$AC$2:$AC$201,""),"")</f>
        <v>2230.41</v>
      </c>
      <c r="T9" s="23">
        <f t="shared" si="0"/>
        <v>0.25745645430684799</v>
      </c>
      <c r="U9" s="24">
        <f t="shared" si="1"/>
        <v>1.7803521779425393</v>
      </c>
      <c r="V9" s="25">
        <f t="shared" si="2"/>
        <v>8.4822603169463051E-2</v>
      </c>
      <c r="W9" s="24">
        <f t="shared" si="3"/>
        <v>6.5348104265402842</v>
      </c>
      <c r="X9" s="26">
        <f>IFERROR(IF(NOT(ISNUMBER($E9)),"",IF($E9&gt;=Scoring_Criteria!$D$4,5,IF($E9&gt;=Scoring_Criteria!$E$4,4,IF($E9&gt;=Scoring_Criteria!$F$4,3,IF($E9&gt;=Scoring_Criteria!$G$4,2,1))))),"")</f>
        <v>3</v>
      </c>
      <c r="Y9" s="26">
        <f>IFERROR(IF(OR(NOT(ISNUMBER($F9)),NOT(ISNUMBER($E9)),$E9=0),"",IF(($F9/$E9)&gt;=Scoring_Criteria!$D$5,5,IF(($F9/$E9)&gt;=Scoring_Criteria!$E$5,4,IF(($F9/$E9)&gt;=Scoring_Criteria!$F$5,3,IF(($F9/$E9)&gt;=Scoring_Criteria!$G$5,2,1))))),"")</f>
        <v>5</v>
      </c>
      <c r="Z9" s="26">
        <f>IFERROR(IF(AND(NOT(ISNUMBER($I9)),NOT(ISNUMBER($J9))),"",IF((IFERROR($I9,0)+IFERROR($J9,0))&gt;=Scoring_Criteria!$D$6,5,IF((IFERROR($I9,0)+IFERROR($J9,0))&gt;=Scoring_Criteria!$E$6,4,IF((IFERROR($I9,0)+IFERROR($J9,0))&gt;=Scoring_Criteria!$F$6,3,IF((IFERROR($I9,0)+IFERROR($J9,0))&gt;=Scoring_Criteria!$G$6,2,1))))),"")</f>
        <v>3</v>
      </c>
      <c r="AA9" s="26">
        <f>IFERROR(IF(NOT(ISNUMBER($M9)),"",IF($M9&gt;=Scoring_Criteria!$D$7,5,IF($M9&gt;=Scoring_Criteria!$E$7,4,IF($M9&gt;=Scoring_Criteria!$F$7,3,IF($M9&gt;=Scoring_Criteria!$G$7,2,1))))),"")</f>
        <v>4</v>
      </c>
      <c r="AB9" s="26">
        <f>IFERROR(IF(NOT(ISNUMBER($T9)),"",IF($T9&gt;=Scoring_Criteria!$D$8,5,IF($T9&gt;=Scoring_Criteria!$E$8,4,IF($T9&gt;=Scoring_Criteria!$F$8,3,IF($T9&gt;=Scoring_Criteria!$G$8,2,1))))),"")</f>
        <v>4</v>
      </c>
      <c r="AC9" s="26">
        <f>IFERROR(IF(NOT(ISNUMBER($U9)),"",IF($U9&lt;=Scoring_Criteria!$D$9,5,IF($U9&lt;=Scoring_Criteria!$E$9,4,IF($U9&lt;=Scoring_Criteria!$F$9,3,IF($U9&lt;=Scoring_Criteria!$G$9,2,1))))),"")</f>
        <v>4</v>
      </c>
      <c r="AD9" s="26">
        <f t="array" ref="AD9">IFERROR(IF(NOT(ISNUMBER(_xlfn.XLOOKUP($A9&amp;"|"&amp;$C9,Financials!$A$2:$A$201&amp;"|"&amp;Financials!$B$2:$B$201,Financials!$AD$2:$AD$201,""))),"",IF(_xlfn.XLOOKUP($A9&amp;"|"&amp;$C9,Financials!$A$2:$A$201&amp;"|"&amp;Financials!$B$2:$B$201,Financials!$AD$2:$AD$201,"")&gt;=Scoring_Criteria!$D$10,5,IF(_xlfn.XLOOKUP($A9&amp;"|"&amp;$C9,Financials!$A$2:$A$201&amp;"|"&amp;Financials!$B$2:$B$201,Financials!$AD$2:$AD$201,"")&gt;=Scoring_Criteria!$E$10,4,IF(_xlfn.XLOOKUP($A9&amp;"|"&amp;$C9,Financials!$A$2:$A$201&amp;"|"&amp;Financials!$B$2:$B$201,Financials!$AD$2:$AD$201,"")&gt;=Scoring_Criteria!$F$10,3,IF(_xlfn.XLOOKUP($A9&amp;"|"&amp;$C9,Financials!$A$2:$A$201&amp;"|"&amp;Financials!$B$2:$B$201,Financials!$AD$2:$AD$201,"")&gt;=Scoring_Criteria!$G$10,2,1))))),"")</f>
        <v>3</v>
      </c>
      <c r="AE9" s="27"/>
      <c r="AF9" s="27"/>
      <c r="AG9" s="28">
        <f t="shared" si="4"/>
        <v>3.7142857142857144</v>
      </c>
      <c r="AH9" s="29"/>
      <c r="AI9" s="29"/>
      <c r="AJ9" s="29"/>
      <c r="AK9" s="29"/>
      <c r="AL9" s="29"/>
      <c r="AM9" s="29"/>
      <c r="AN9" s="29"/>
      <c r="AO9" s="29"/>
      <c r="AP9" s="29"/>
      <c r="AQ9" s="29"/>
      <c r="AR9" s="29"/>
      <c r="AS9" s="29"/>
      <c r="AT9" s="29"/>
      <c r="AU9" s="46" t="str">
        <f>IFERROR(Validation_Summary!Q5,"")</f>
        <v>✓ All 8 checks passed</v>
      </c>
    </row>
    <row r="10" spans="1:47" ht="15" customHeight="1" x14ac:dyDescent="0.3">
      <c r="A10" s="6" t="s">
        <v>864</v>
      </c>
      <c r="B10" s="19" t="str">
        <f t="array" ref="B10">IFERROR(_xlfn.XLOOKUP($A10&amp;"|"&amp;$C10,'Company_Master'!$A$2:$A$94&amp;"|"&amp;'Company_Master'!$D$2:$D$94,'Company_Master'!$B$2:$B$94,""),"")</f>
        <v>ANJT</v>
      </c>
      <c r="C10" s="20">
        <v>2024</v>
      </c>
      <c r="D10" s="19" t="str">
        <f t="array" ref="D10">IFERROR(_xlfn.XLOOKUP($A10&amp;"|"&amp;$C10,'Company_Master'!$A$2:$A$94&amp;"|"&amp;'Company_Master'!$D$2:$D$94,'Company_Master'!$H$2:$H$94,""),"")</f>
        <v>Sumatra/Kalimantan/Bangka Belitung/Southwest Papua</v>
      </c>
      <c r="E10" s="20">
        <f t="array" ref="E10">IFERROR(_xlfn.XLOOKUP($A10&amp;"|"&amp;$C10,Asset_Operations!$A$2:$A$201&amp;"|"&amp;Asset_Operations!$BG$2:$BG$201,Asset_Operations!$B$2:$B$201,""),"")</f>
        <v>53357</v>
      </c>
      <c r="F10" s="20">
        <f t="array" ref="F10">IFERROR(_xlfn.XLOOKUP($A10&amp;"|"&amp;$C10,Asset_Operations!$A$2:$A$201&amp;"|"&amp;Asset_Operations!$BG$2:$BG$201,Asset_Operations!$E$2:$E$201,""),"")</f>
        <v>42176</v>
      </c>
      <c r="G10" s="20">
        <f t="array" ref="G10">IFERROR(_xlfn.XLOOKUP($A10&amp;"|"&amp;$C10,Asset_Operations!$A$2:$A$201&amp;"|"&amp;Asset_Operations!$BG$2:$BG$201,Asset_Operations!$I$2:$I$201,""),"")</f>
        <v>12.9</v>
      </c>
      <c r="H10" s="20">
        <f t="array" ref="H10">IFERROR(_xlfn.XLOOKUP($A10&amp;"|"&amp;$C10,Asset_Operations!$A$2:$A$201&amp;"|"&amp;Asset_Operations!$BG$2:$BG$201,Asset_Operations!$J$2:$J$201,""),"")</f>
        <v>1718</v>
      </c>
      <c r="I10" s="20">
        <f t="array" ref="I10">IFERROR(_xlfn.XLOOKUP($A10&amp;"|"&amp;$C10,Asset_Operations!$A$2:$A$201&amp;"|"&amp;Asset_Operations!$BG$2:$BG$201,Asset_Operations!$O$2:$O$201,""),"")</f>
        <v>5</v>
      </c>
      <c r="J10" s="20">
        <f t="array" ref="J10">IFERROR(_xlfn.XLOOKUP($A10&amp;"|"&amp;$C10,Asset_Operations!$A$2:$A$201&amp;"|"&amp;Asset_Operations!$BG$2:$BG$201,Asset_Operations!$S$2:$S$201,""),"")</f>
        <v>0</v>
      </c>
      <c r="K10" s="20">
        <f t="array" ref="K10">IFERROR(_xlfn.XLOOKUP($A10&amp;"|"&amp;$C10,Asset_Operations!$A$2:$A$201&amp;"|"&amp;Asset_Operations!$BG$2:$BG$201,Asset_Operations!$AC$2:$AC$201,""),"")</f>
        <v>777615</v>
      </c>
      <c r="L10" s="20">
        <f t="array" ref="L10">IFERROR(_xlfn.XLOOKUP($A10&amp;"|"&amp;$C10,Asset_Operations!$A$2:$A$201&amp;"|"&amp;Asset_Operations!$BG$2:$BG$201,Asset_Operations!$AG$2:$AG$201,""),"")</f>
        <v>245395</v>
      </c>
      <c r="M10" s="20">
        <f t="array" ref="M10">IFERROR(_xlfn.XLOOKUP($A10&amp;"|"&amp;$C10,Asset_Operations!$A$2:$A$201&amp;"|"&amp;Asset_Operations!$BG$2:$BG$201,Asset_Operations!$AO$2:$AO$201,""),"")</f>
        <v>18.437381449165404</v>
      </c>
      <c r="N10" s="21">
        <f t="array" ref="N10">IFERROR(_xlfn.XLOOKUP($A10&amp;"|"&amp;$C10,Asset_Operations!$A$2:$A$201&amp;"|"&amp;Asset_Operations!$BG$2:$BG$201,Asset_Operations!$AR$2:$AR$201,""),"")</f>
        <v>0.19899365867107802</v>
      </c>
      <c r="O10" s="22">
        <f t="array" ref="O10">IFERROR(_xlfn.XLOOKUP($A10&amp;"|"&amp;$C10,Financials!$A$2:$A$201&amp;"|"&amp;Financials!$B$2:$B$201,Financials!$C$2:$C$201,""),"")</f>
        <v>3827</v>
      </c>
      <c r="P10" s="22">
        <f t="array" ref="P10">IFERROR(_xlfn.XLOOKUP($A10&amp;"|"&amp;$C10,Financials!$A$2:$A$201&amp;"|"&amp;Financials!$B$2:$B$201,Financials!$E$2:$E$201,""),"")</f>
        <v>957</v>
      </c>
      <c r="Q10" s="22">
        <f t="array" ref="Q10">IFERROR(_xlfn.XLOOKUP($A10&amp;"|"&amp;$C10,Financials!$A$2:$A$201&amp;"|"&amp;Financials!$B$2:$B$201,Financials!$G$2:$G$201,""),"")</f>
        <v>149</v>
      </c>
      <c r="R10" s="22">
        <f t="array" ref="R10">IFERROR(_xlfn.XLOOKUP($A10&amp;"|"&amp;$C10,Financials!$A$2:$A$201&amp;"|"&amp;Financials!$B$2:$B$201,Financials!$S$2:$S$201,""),"")</f>
        <v>2205</v>
      </c>
      <c r="S10" s="22">
        <f t="array" ref="S10">IFERROR(_xlfn.XLOOKUP($A10&amp;"|"&amp;$C10,Financials!$A$2:$A$201&amp;"|"&amp;Financials!$B$2:$B$201,Financials!$AC$2:$AC$201,""),"")</f>
        <v>2398.11</v>
      </c>
      <c r="T10" s="23">
        <f t="shared" si="0"/>
        <v>0.25006532532009407</v>
      </c>
      <c r="U10" s="24">
        <f t="shared" si="1"/>
        <v>2.304075235109718</v>
      </c>
      <c r="V10" s="25">
        <f t="shared" si="2"/>
        <v>7.1724422287609876E-2</v>
      </c>
      <c r="W10" s="24">
        <f t="shared" si="3"/>
        <v>5.8183564112291348</v>
      </c>
      <c r="X10" s="26">
        <f>IFERROR(IF(NOT(ISNUMBER($E10)),"",IF($E10&gt;=Scoring_Criteria!$D$4,5,IF($E10&gt;=Scoring_Criteria!$E$4,4,IF($E10&gt;=Scoring_Criteria!$F$4,3,IF($E10&gt;=Scoring_Criteria!$G$4,2,1))))),"")</f>
        <v>3</v>
      </c>
      <c r="Y10" s="26">
        <f>IFERROR(IF(OR(NOT(ISNUMBER($F10)),NOT(ISNUMBER($E10)),$E10=0),"",IF(($F10/$E10)&gt;=Scoring_Criteria!$D$5,5,IF(($F10/$E10)&gt;=Scoring_Criteria!$E$5,4,IF(($F10/$E10)&gt;=Scoring_Criteria!$F$5,3,IF(($F10/$E10)&gt;=Scoring_Criteria!$G$5,2,1))))),"")</f>
        <v>5</v>
      </c>
      <c r="Z10" s="26">
        <f>IFERROR(IF(AND(NOT(ISNUMBER($I10)),NOT(ISNUMBER($J10))),"",IF((IFERROR($I10,0)+IFERROR($J10,0))&gt;=Scoring_Criteria!$D$6,5,IF((IFERROR($I10,0)+IFERROR($J10,0))&gt;=Scoring_Criteria!$E$6,4,IF((IFERROR($I10,0)+IFERROR($J10,0))&gt;=Scoring_Criteria!$F$6,3,IF((IFERROR($I10,0)+IFERROR($J10,0))&gt;=Scoring_Criteria!$G$6,2,1))))),"")</f>
        <v>3</v>
      </c>
      <c r="AA10" s="26">
        <f>IFERROR(IF(NOT(ISNUMBER($M10)),"",IF($M10&gt;=Scoring_Criteria!$D$7,5,IF($M10&gt;=Scoring_Criteria!$E$7,4,IF($M10&gt;=Scoring_Criteria!$F$7,3,IF($M10&gt;=Scoring_Criteria!$G$7,2,1))))),"")</f>
        <v>4</v>
      </c>
      <c r="AB10" s="26">
        <f>IFERROR(IF(NOT(ISNUMBER($T10)),"",IF($T10&gt;=Scoring_Criteria!$D$8,5,IF($T10&gt;=Scoring_Criteria!$E$8,4,IF($T10&gt;=Scoring_Criteria!$F$8,3,IF($T10&gt;=Scoring_Criteria!$G$8,2,1))))),"")</f>
        <v>4</v>
      </c>
      <c r="AC10" s="26">
        <f>IFERROR(IF(NOT(ISNUMBER($U10)),"",IF($U10&lt;=Scoring_Criteria!$D$9,5,IF($U10&lt;=Scoring_Criteria!$E$9,4,IF($U10&lt;=Scoring_Criteria!$F$9,3,IF($U10&lt;=Scoring_Criteria!$G$9,2,1))))),"")</f>
        <v>3</v>
      </c>
      <c r="AD10" s="26">
        <f t="array" ref="AD10">IFERROR(IF(NOT(ISNUMBER(_xlfn.XLOOKUP($A10&amp;"|"&amp;$C10,Financials!$A$2:$A$201&amp;"|"&amp;Financials!$B$2:$B$201,Financials!$AD$2:$AD$201,""))),"",IF(_xlfn.XLOOKUP($A10&amp;"|"&amp;$C10,Financials!$A$2:$A$201&amp;"|"&amp;Financials!$B$2:$B$201,Financials!$AD$2:$AD$201,"")&gt;=Scoring_Criteria!$D$10,5,IF(_xlfn.XLOOKUP($A10&amp;"|"&amp;$C10,Financials!$A$2:$A$201&amp;"|"&amp;Financials!$B$2:$B$201,Financials!$AD$2:$AD$201,"")&gt;=Scoring_Criteria!$E$10,4,IF(_xlfn.XLOOKUP($A10&amp;"|"&amp;$C10,Financials!$A$2:$A$201&amp;"|"&amp;Financials!$B$2:$B$201,Financials!$AD$2:$AD$201,"")&gt;=Scoring_Criteria!$F$10,3,IF(_xlfn.XLOOKUP($A10&amp;"|"&amp;$C10,Financials!$A$2:$A$201&amp;"|"&amp;Financials!$B$2:$B$201,Financials!$AD$2:$AD$201,"")&gt;=Scoring_Criteria!$G$10,2,1))))),"")</f>
        <v>3</v>
      </c>
      <c r="AE10" s="27"/>
      <c r="AF10" s="27"/>
      <c r="AG10" s="28">
        <f t="shared" si="4"/>
        <v>3.5714285714285716</v>
      </c>
      <c r="AH10" s="29"/>
      <c r="AI10" s="29"/>
      <c r="AJ10" s="29"/>
      <c r="AK10" s="29"/>
      <c r="AL10" s="29"/>
      <c r="AM10" s="29"/>
      <c r="AN10" s="29"/>
      <c r="AO10" s="29"/>
      <c r="AP10" s="29"/>
      <c r="AQ10" s="29"/>
      <c r="AR10" s="29"/>
      <c r="AS10" s="29"/>
      <c r="AT10" s="29"/>
      <c r="AU10" s="46" t="str">
        <f>IFERROR(Validation_Summary!Q5,"")</f>
        <v>✓ All 8 checks passed</v>
      </c>
    </row>
    <row r="11" spans="1:47" ht="15" customHeight="1" x14ac:dyDescent="0.3">
      <c r="A11" s="6" t="s">
        <v>1086</v>
      </c>
      <c r="B11" s="19" t="str">
        <f t="array" ref="B11">IFERROR(_xlfn.XLOOKUP($A11&amp;"|"&amp;$C11,'Company_Master'!$A$2:$A$94&amp;"|"&amp;'Company_Master'!$D$2:$D$94,'Company_Master'!$B$2:$B$94,""),"")</f>
        <v>BISI</v>
      </c>
      <c r="C11" s="20">
        <v>2023</v>
      </c>
      <c r="D11" s="19" t="str">
        <f t="array" ref="D11">IFERROR(_xlfn.XLOOKUP($A11&amp;"|"&amp;$C11,'Company_Master'!$A$2:$A$94&amp;"|"&amp;'Company_Master'!$D$2:$D$94,'Company_Master'!$H$2:$H$94,""),"")</f>
        <v>Java (East Java HQ) - nationwide sales in Indonesia</v>
      </c>
      <c r="E11" s="20">
        <f t="array" ref="E11">IFERROR(_xlfn.XLOOKUP($A11&amp;"|"&amp;$C11,Asset_Operations!$A$2:$A$201&amp;"|"&amp;Asset_Operations!$BG$2:$BG$201,Asset_Operations!$B$2:$B$201,""),"")</f>
        <v>0</v>
      </c>
      <c r="F11" s="20">
        <f t="array" ref="F11">IFERROR(_xlfn.XLOOKUP($A11&amp;"|"&amp;$C11,Asset_Operations!$A$2:$A$201&amp;"|"&amp;Asset_Operations!$BG$2:$BG$201,Asset_Operations!$E$2:$E$201,""),"")</f>
        <v>0</v>
      </c>
      <c r="G11" s="20">
        <f t="array" ref="G11">IFERROR(_xlfn.XLOOKUP($A11&amp;"|"&amp;$C11,Asset_Operations!$A$2:$A$201&amp;"|"&amp;Asset_Operations!$BG$2:$BG$201,Asset_Operations!$I$2:$I$201,""),"")</f>
        <v>0</v>
      </c>
      <c r="H11" s="20">
        <f t="array" ref="H11">IFERROR(_xlfn.XLOOKUP($A11&amp;"|"&amp;$C11,Asset_Operations!$A$2:$A$201&amp;"|"&amp;Asset_Operations!$BG$2:$BG$201,Asset_Operations!$J$2:$J$201,""),"")</f>
        <v>0</v>
      </c>
      <c r="I11" s="20">
        <f t="array" ref="I11">IFERROR(_xlfn.XLOOKUP($A11&amp;"|"&amp;$C11,Asset_Operations!$A$2:$A$201&amp;"|"&amp;Asset_Operations!$BG$2:$BG$201,Asset_Operations!$O$2:$O$201,""),"")</f>
        <v>0</v>
      </c>
      <c r="J11" s="20">
        <f t="array" ref="J11">IFERROR(_xlfn.XLOOKUP($A11&amp;"|"&amp;$C11,Asset_Operations!$A$2:$A$201&amp;"|"&amp;Asset_Operations!$BG$2:$BG$201,Asset_Operations!$S$2:$S$201,""),"")</f>
        <v>0</v>
      </c>
      <c r="K11" s="20">
        <f t="array" ref="K11">IFERROR(_xlfn.XLOOKUP($A11&amp;"|"&amp;$C11,Asset_Operations!$A$2:$A$201&amp;"|"&amp;Asset_Operations!$BG$2:$BG$201,Asset_Operations!$AC$2:$AC$201,""),"")</f>
        <v>0</v>
      </c>
      <c r="L11" s="20">
        <f t="array" ref="L11">IFERROR(_xlfn.XLOOKUP($A11&amp;"|"&amp;$C11,Asset_Operations!$A$2:$A$201&amp;"|"&amp;Asset_Operations!$BG$2:$BG$201,Asset_Operations!$AG$2:$AG$201,""),"")</f>
        <v>0</v>
      </c>
      <c r="M11" s="20" t="str">
        <f t="array" ref="M11">IFERROR(_xlfn.XLOOKUP($A11&amp;"|"&amp;$C11,Asset_Operations!$A$2:$A$201&amp;"|"&amp;Asset_Operations!$BG$2:$BG$201,Asset_Operations!$AO$2:$AO$201,""),"")</f>
        <v/>
      </c>
      <c r="N11" s="21" t="str">
        <f t="array" ref="N11">IFERROR(_xlfn.XLOOKUP($A11&amp;"|"&amp;$C11,Asset_Operations!$A$2:$A$201&amp;"|"&amp;Asset_Operations!$BG$2:$BG$201,Asset_Operations!$AR$2:$AR$201,""),"")</f>
        <v/>
      </c>
      <c r="O11" s="22">
        <f t="array" ref="O11">IFERROR(_xlfn.XLOOKUP($A11&amp;"|"&amp;$C11,Financials!$A$2:$A$201&amp;"|"&amp;Financials!$B$2:$B$201,Financials!$C$2:$C$201,""),"")</f>
        <v>2298</v>
      </c>
      <c r="P11" s="22">
        <f t="array" ref="P11">IFERROR(_xlfn.XLOOKUP($A11&amp;"|"&amp;$C11,Financials!$A$2:$A$201&amp;"|"&amp;Financials!$B$2:$B$201,Financials!$E$2:$E$201,""),"")</f>
        <v>0</v>
      </c>
      <c r="Q11" s="22">
        <f t="array" ref="Q11">IFERROR(_xlfn.XLOOKUP($A11&amp;"|"&amp;$C11,Financials!$A$2:$A$201&amp;"|"&amp;Financials!$B$2:$B$201,Financials!$G$2:$G$201,""),"")</f>
        <v>596</v>
      </c>
      <c r="R11" s="22">
        <f t="array" ref="R11">IFERROR(_xlfn.XLOOKUP($A11&amp;"|"&amp;$C11,Financials!$A$2:$A$201&amp;"|"&amp;Financials!$B$2:$B$201,Financials!$S$2:$S$201,""),"")</f>
        <v>-1042</v>
      </c>
      <c r="S11" s="22">
        <f t="array" ref="S11">IFERROR(_xlfn.XLOOKUP($A11&amp;"|"&amp;$C11,Financials!$A$2:$A$201&amp;"|"&amp;Financials!$B$2:$B$201,Financials!$AC$2:$AC$201,""),"")</f>
        <v>4800</v>
      </c>
      <c r="T11" s="23">
        <f t="shared" si="0"/>
        <v>0</v>
      </c>
      <c r="U11" s="24" t="str">
        <f t="shared" si="1"/>
        <v/>
      </c>
      <c r="V11" s="25" t="str">
        <f t="shared" si="2"/>
        <v/>
      </c>
      <c r="W11" s="24" t="str">
        <f t="shared" si="3"/>
        <v/>
      </c>
      <c r="X11" s="26">
        <f>IFERROR(IF(NOT(ISNUMBER($E11)),"",IF($E11&gt;=Scoring_Criteria!$D$4,5,IF($E11&gt;=Scoring_Criteria!$E$4,4,IF($E11&gt;=Scoring_Criteria!$F$4,3,IF($E11&gt;=Scoring_Criteria!$G$4,2,1))))),"")</f>
        <v>1</v>
      </c>
      <c r="Y11" s="26" t="str">
        <f>IFERROR(IF(OR(NOT(ISNUMBER($F11)),NOT(ISNUMBER($E11)),$E11=0),"",IF(($F11/$E11)&gt;=Scoring_Criteria!$D$5,5,IF(($F11/$E11)&gt;=Scoring_Criteria!$E$5,4,IF(($F11/$E11)&gt;=Scoring_Criteria!$F$5,3,IF(($F11/$E11)&gt;=Scoring_Criteria!$G$5,2,1))))),"")</f>
        <v/>
      </c>
      <c r="Z11" s="26">
        <f>IFERROR(IF(AND(NOT(ISNUMBER($I11)),NOT(ISNUMBER($J11))),"",IF((IFERROR($I11,0)+IFERROR($J11,0))&gt;=Scoring_Criteria!$D$6,5,IF((IFERROR($I11,0)+IFERROR($J11,0))&gt;=Scoring_Criteria!$E$6,4,IF((IFERROR($I11,0)+IFERROR($J11,0))&gt;=Scoring_Criteria!$F$6,3,IF((IFERROR($I11,0)+IFERROR($J11,0))&gt;=Scoring_Criteria!$G$6,2,1))))),"")</f>
        <v>1</v>
      </c>
      <c r="AA11" s="26" t="str">
        <f>IFERROR(IF(NOT(ISNUMBER($M11)),"",IF($M11&gt;=Scoring_Criteria!$D$7,5,IF($M11&gt;=Scoring_Criteria!$E$7,4,IF($M11&gt;=Scoring_Criteria!$F$7,3,IF($M11&gt;=Scoring_Criteria!$G$7,2,1))))),"")</f>
        <v/>
      </c>
      <c r="AB11" s="26">
        <f>IFERROR(IF(NOT(ISNUMBER($T11)),"",IF($T11&gt;=Scoring_Criteria!$D$8,5,IF($T11&gt;=Scoring_Criteria!$E$8,4,IF($T11&gt;=Scoring_Criteria!$F$8,3,IF($T11&gt;=Scoring_Criteria!$G$8,2,1))))),"")</f>
        <v>1</v>
      </c>
      <c r="AC11" s="26" t="str">
        <f>IFERROR(IF(NOT(ISNUMBER($U11)),"",IF($U11&lt;=Scoring_Criteria!$D$9,5,IF($U11&lt;=Scoring_Criteria!$E$9,4,IF($U11&lt;=Scoring_Criteria!$F$9,3,IF($U11&lt;=Scoring_Criteria!$G$9,2,1))))),"")</f>
        <v/>
      </c>
      <c r="AD11" s="26">
        <f t="array" ref="AD11">IFERROR(IF(NOT(ISNUMBER(_xlfn.XLOOKUP($A11&amp;"|"&amp;$C11,Financials!$A$2:$A$201&amp;"|"&amp;Financials!$B$2:$B$201,Financials!$AD$2:$AD$201,""))),"",IF(_xlfn.XLOOKUP($A11&amp;"|"&amp;$C11,Financials!$A$2:$A$201&amp;"|"&amp;Financials!$B$2:$B$201,Financials!$AD$2:$AD$201,"")&gt;=Scoring_Criteria!$D$10,5,IF(_xlfn.XLOOKUP($A11&amp;"|"&amp;$C11,Financials!$A$2:$A$201&amp;"|"&amp;Financials!$B$2:$B$201,Financials!$AD$2:$AD$201,"")&gt;=Scoring_Criteria!$E$10,4,IF(_xlfn.XLOOKUP($A11&amp;"|"&amp;$C11,Financials!$A$2:$A$201&amp;"|"&amp;Financials!$B$2:$B$201,Financials!$AD$2:$AD$201,"")&gt;=Scoring_Criteria!$F$10,3,IF(_xlfn.XLOOKUP($A11&amp;"|"&amp;$C11,Financials!$A$2:$A$201&amp;"|"&amp;Financials!$B$2:$B$201,Financials!$AD$2:$AD$201,"")&gt;=Scoring_Criteria!$G$10,2,1))))),"")</f>
        <v>5</v>
      </c>
      <c r="AE11" s="27"/>
      <c r="AF11" s="27"/>
      <c r="AG11" s="28">
        <f t="shared" si="4"/>
        <v>2</v>
      </c>
      <c r="AH11" s="29"/>
      <c r="AI11" s="29"/>
      <c r="AJ11" s="29"/>
      <c r="AK11" s="29"/>
      <c r="AL11" s="29"/>
      <c r="AM11" s="29"/>
      <c r="AN11" s="29"/>
      <c r="AO11" s="29"/>
      <c r="AP11" s="29"/>
      <c r="AQ11" s="29"/>
      <c r="AR11" s="29"/>
      <c r="AS11" s="29"/>
      <c r="AT11" s="29"/>
      <c r="AU11" s="46" t="str">
        <f>IFERROR(Validation_Summary!Q5,"")</f>
        <v>✓ All 8 checks passed</v>
      </c>
    </row>
    <row r="12" spans="1:47" ht="15" customHeight="1" x14ac:dyDescent="0.3">
      <c r="A12" s="6" t="s">
        <v>1086</v>
      </c>
      <c r="B12" s="19" t="str">
        <f t="array" ref="B12">IFERROR(_xlfn.XLOOKUP($A12&amp;"|"&amp;$C12,'Company_Master'!$A$2:$A$94&amp;"|"&amp;'Company_Master'!$D$2:$D$94,'Company_Master'!$B$2:$B$94,""),"")</f>
        <v>BISI</v>
      </c>
      <c r="C12" s="20">
        <v>2024</v>
      </c>
      <c r="D12" s="19" t="str">
        <f t="array" ref="D12">IFERROR(_xlfn.XLOOKUP($A12&amp;"|"&amp;$C12,'Company_Master'!$A$2:$A$94&amp;"|"&amp;'Company_Master'!$D$2:$D$94,'Company_Master'!$H$2:$H$94,""),"")</f>
        <v>Java (East Java HQ) - nationwide sales in Indonesia</v>
      </c>
      <c r="E12" s="20">
        <f t="array" ref="E12">IFERROR(_xlfn.XLOOKUP($A12&amp;"|"&amp;$C12,Asset_Operations!$A$2:$A$201&amp;"|"&amp;Asset_Operations!$BG$2:$BG$201,Asset_Operations!$B$2:$B$201,""),"")</f>
        <v>0</v>
      </c>
      <c r="F12" s="20">
        <f t="array" ref="F12">IFERROR(_xlfn.XLOOKUP($A12&amp;"|"&amp;$C12,Asset_Operations!$A$2:$A$201&amp;"|"&amp;Asset_Operations!$BG$2:$BG$201,Asset_Operations!$E$2:$E$201,""),"")</f>
        <v>0</v>
      </c>
      <c r="G12" s="20">
        <f t="array" ref="G12">IFERROR(_xlfn.XLOOKUP($A12&amp;"|"&amp;$C12,Asset_Operations!$A$2:$A$201&amp;"|"&amp;Asset_Operations!$BG$2:$BG$201,Asset_Operations!$I$2:$I$201,""),"")</f>
        <v>0</v>
      </c>
      <c r="H12" s="20">
        <f t="array" ref="H12">IFERROR(_xlfn.XLOOKUP($A12&amp;"|"&amp;$C12,Asset_Operations!$A$2:$A$201&amp;"|"&amp;Asset_Operations!$BG$2:$BG$201,Asset_Operations!$J$2:$J$201,""),"")</f>
        <v>0</v>
      </c>
      <c r="I12" s="20">
        <f t="array" ref="I12">IFERROR(_xlfn.XLOOKUP($A12&amp;"|"&amp;$C12,Asset_Operations!$A$2:$A$201&amp;"|"&amp;Asset_Operations!$BG$2:$BG$201,Asset_Operations!$O$2:$O$201,""),"")</f>
        <v>0</v>
      </c>
      <c r="J12" s="20">
        <f t="array" ref="J12">IFERROR(_xlfn.XLOOKUP($A12&amp;"|"&amp;$C12,Asset_Operations!$A$2:$A$201&amp;"|"&amp;Asset_Operations!$BG$2:$BG$201,Asset_Operations!$S$2:$S$201,""),"")</f>
        <v>0</v>
      </c>
      <c r="K12" s="20">
        <f t="array" ref="K12">IFERROR(_xlfn.XLOOKUP($A12&amp;"|"&amp;$C12,Asset_Operations!$A$2:$A$201&amp;"|"&amp;Asset_Operations!$BG$2:$BG$201,Asset_Operations!$AC$2:$AC$201,""),"")</f>
        <v>0</v>
      </c>
      <c r="L12" s="20">
        <f t="array" ref="L12">IFERROR(_xlfn.XLOOKUP($A12&amp;"|"&amp;$C12,Asset_Operations!$A$2:$A$201&amp;"|"&amp;Asset_Operations!$BG$2:$BG$201,Asset_Operations!$AG$2:$AG$201,""),"")</f>
        <v>0</v>
      </c>
      <c r="M12" s="20" t="str">
        <f t="array" ref="M12">IFERROR(_xlfn.XLOOKUP($A12&amp;"|"&amp;$C12,Asset_Operations!$A$2:$A$201&amp;"|"&amp;Asset_Operations!$BG$2:$BG$201,Asset_Operations!$AO$2:$AO$201,""),"")</f>
        <v/>
      </c>
      <c r="N12" s="21" t="str">
        <f t="array" ref="N12">IFERROR(_xlfn.XLOOKUP($A12&amp;"|"&amp;$C12,Asset_Operations!$A$2:$A$201&amp;"|"&amp;Asset_Operations!$BG$2:$BG$201,Asset_Operations!$AR$2:$AR$201,""),"")</f>
        <v/>
      </c>
      <c r="O12" s="22">
        <f t="array" ref="O12">IFERROR(_xlfn.XLOOKUP($A12&amp;"|"&amp;$C12,Financials!$A$2:$A$201&amp;"|"&amp;Financials!$B$2:$B$201,Financials!$C$2:$C$201,""),"")</f>
        <v>1368</v>
      </c>
      <c r="P12" s="22">
        <f t="array" ref="P12">IFERROR(_xlfn.XLOOKUP($A12&amp;"|"&amp;$C12,Financials!$A$2:$A$201&amp;"|"&amp;Financials!$B$2:$B$201,Financials!$E$2:$E$201,""),"")</f>
        <v>0</v>
      </c>
      <c r="Q12" s="22">
        <f t="array" ref="Q12">IFERROR(_xlfn.XLOOKUP($A12&amp;"|"&amp;$C12,Financials!$A$2:$A$201&amp;"|"&amp;Financials!$B$2:$B$201,Financials!$G$2:$G$201,""),"")</f>
        <v>179</v>
      </c>
      <c r="R12" s="22">
        <f t="array" ref="R12">IFERROR(_xlfn.XLOOKUP($A12&amp;"|"&amp;$C12,Financials!$A$2:$A$201&amp;"|"&amp;Financials!$B$2:$B$201,Financials!$S$2:$S$201,""),"")</f>
        <v>-568</v>
      </c>
      <c r="S12" s="22">
        <f t="array" ref="S12">IFERROR(_xlfn.XLOOKUP($A12&amp;"|"&amp;$C12,Financials!$A$2:$A$201&amp;"|"&amp;Financials!$B$2:$B$201,Financials!$AC$2:$AC$201,""),"")</f>
        <v>3600</v>
      </c>
      <c r="T12" s="23">
        <f t="shared" si="0"/>
        <v>0</v>
      </c>
      <c r="U12" s="24" t="str">
        <f t="shared" si="1"/>
        <v/>
      </c>
      <c r="V12" s="25" t="str">
        <f t="shared" si="2"/>
        <v/>
      </c>
      <c r="W12" s="24" t="str">
        <f t="shared" si="3"/>
        <v/>
      </c>
      <c r="X12" s="26">
        <f>IFERROR(IF(NOT(ISNUMBER($E12)),"",IF($E12&gt;=Scoring_Criteria!$D$4,5,IF($E12&gt;=Scoring_Criteria!$E$4,4,IF($E12&gt;=Scoring_Criteria!$F$4,3,IF($E12&gt;=Scoring_Criteria!$G$4,2,1))))),"")</f>
        <v>1</v>
      </c>
      <c r="Y12" s="26" t="str">
        <f>IFERROR(IF(OR(NOT(ISNUMBER($F12)),NOT(ISNUMBER($E12)),$E12=0),"",IF(($F12/$E12)&gt;=Scoring_Criteria!$D$5,5,IF(($F12/$E12)&gt;=Scoring_Criteria!$E$5,4,IF(($F12/$E12)&gt;=Scoring_Criteria!$F$5,3,IF(($F12/$E12)&gt;=Scoring_Criteria!$G$5,2,1))))),"")</f>
        <v/>
      </c>
      <c r="Z12" s="26">
        <f>IFERROR(IF(AND(NOT(ISNUMBER($I12)),NOT(ISNUMBER($J12))),"",IF((IFERROR($I12,0)+IFERROR($J12,0))&gt;=Scoring_Criteria!$D$6,5,IF((IFERROR($I12,0)+IFERROR($J12,0))&gt;=Scoring_Criteria!$E$6,4,IF((IFERROR($I12,0)+IFERROR($J12,0))&gt;=Scoring_Criteria!$F$6,3,IF((IFERROR($I12,0)+IFERROR($J12,0))&gt;=Scoring_Criteria!$G$6,2,1))))),"")</f>
        <v>1</v>
      </c>
      <c r="AA12" s="26" t="str">
        <f>IFERROR(IF(NOT(ISNUMBER($M12)),"",IF($M12&gt;=Scoring_Criteria!$D$7,5,IF($M12&gt;=Scoring_Criteria!$E$7,4,IF($M12&gt;=Scoring_Criteria!$F$7,3,IF($M12&gt;=Scoring_Criteria!$G$7,2,1))))),"")</f>
        <v/>
      </c>
      <c r="AB12" s="26">
        <f>IFERROR(IF(NOT(ISNUMBER($T12)),"",IF($T12&gt;=Scoring_Criteria!$D$8,5,IF($T12&gt;=Scoring_Criteria!$E$8,4,IF($T12&gt;=Scoring_Criteria!$F$8,3,IF($T12&gt;=Scoring_Criteria!$G$8,2,1))))),"")</f>
        <v>1</v>
      </c>
      <c r="AC12" s="26" t="str">
        <f>IFERROR(IF(NOT(ISNUMBER($U12)),"",IF($U12&lt;=Scoring_Criteria!$D$9,5,IF($U12&lt;=Scoring_Criteria!$E$9,4,IF($U12&lt;=Scoring_Criteria!$F$9,3,IF($U12&lt;=Scoring_Criteria!$G$9,2,1))))),"")</f>
        <v/>
      </c>
      <c r="AD12" s="26">
        <f t="array" ref="AD12">IFERROR(IF(NOT(ISNUMBER(_xlfn.XLOOKUP($A12&amp;"|"&amp;$C12,Financials!$A$2:$A$201&amp;"|"&amp;Financials!$B$2:$B$201,Financials!$AD$2:$AD$201,""))),"",IF(_xlfn.XLOOKUP($A12&amp;"|"&amp;$C12,Financials!$A$2:$A$201&amp;"|"&amp;Financials!$B$2:$B$201,Financials!$AD$2:$AD$201,"")&gt;=Scoring_Criteria!$D$10,5,IF(_xlfn.XLOOKUP($A12&amp;"|"&amp;$C12,Financials!$A$2:$A$201&amp;"|"&amp;Financials!$B$2:$B$201,Financials!$AD$2:$AD$201,"")&gt;=Scoring_Criteria!$E$10,4,IF(_xlfn.XLOOKUP($A12&amp;"|"&amp;$C12,Financials!$A$2:$A$201&amp;"|"&amp;Financials!$B$2:$B$201,Financials!$AD$2:$AD$201,"")&gt;=Scoring_Criteria!$F$10,3,IF(_xlfn.XLOOKUP($A12&amp;"|"&amp;$C12,Financials!$A$2:$A$201&amp;"|"&amp;Financials!$B$2:$B$201,Financials!$AD$2:$AD$201,"")&gt;=Scoring_Criteria!$G$10,2,1))))),"")</f>
        <v>5</v>
      </c>
      <c r="AE12" s="27"/>
      <c r="AF12" s="27"/>
      <c r="AG12" s="28">
        <f t="shared" si="4"/>
        <v>2</v>
      </c>
      <c r="AH12" s="29"/>
      <c r="AI12" s="29"/>
      <c r="AJ12" s="29"/>
      <c r="AK12" s="29"/>
      <c r="AL12" s="29"/>
      <c r="AM12" s="29"/>
      <c r="AN12" s="29"/>
      <c r="AO12" s="29"/>
      <c r="AP12" s="29"/>
      <c r="AQ12" s="29"/>
      <c r="AR12" s="29"/>
      <c r="AS12" s="29"/>
      <c r="AT12" s="29"/>
      <c r="AU12" s="46" t="str">
        <f>IFERROR(Validation_Summary!Q5,"")</f>
        <v>✓ All 8 checks passed</v>
      </c>
    </row>
    <row r="13" spans="1:47" ht="15" customHeight="1" x14ac:dyDescent="0.3">
      <c r="A13" s="6" t="s">
        <v>1086</v>
      </c>
      <c r="B13" s="19" t="str">
        <f t="array" ref="B13">IFERROR(_xlfn.XLOOKUP($A13&amp;"|"&amp;$C13,'Company_Master'!$A$2:$A$94&amp;"|"&amp;'Company_Master'!$D$2:$D$94,'Company_Master'!$B$2:$B$94,""),"")</f>
        <v>BISI</v>
      </c>
      <c r="C13" s="20">
        <v>2025</v>
      </c>
      <c r="D13" s="19" t="str">
        <f t="array" ref="D13">IFERROR(_xlfn.XLOOKUP($A13&amp;"|"&amp;$C13,'Company_Master'!$A$2:$A$94&amp;"|"&amp;'Company_Master'!$D$2:$D$94,'Company_Master'!$H$2:$H$94,""),"")</f>
        <v>Java (East Java HQ) - nationwide sales in Indonesia</v>
      </c>
      <c r="E13" s="20">
        <f t="array" ref="E13">IFERROR(_xlfn.XLOOKUP($A13&amp;"|"&amp;$C13,Asset_Operations!$A$2:$A$201&amp;"|"&amp;Asset_Operations!$BG$2:$BG$201,Asset_Operations!$B$2:$B$201,""),"")</f>
        <v>0</v>
      </c>
      <c r="F13" s="20">
        <f t="array" ref="F13">IFERROR(_xlfn.XLOOKUP($A13&amp;"|"&amp;$C13,Asset_Operations!$A$2:$A$201&amp;"|"&amp;Asset_Operations!$BG$2:$BG$201,Asset_Operations!$E$2:$E$201,""),"")</f>
        <v>0</v>
      </c>
      <c r="G13" s="20">
        <f t="array" ref="G13">IFERROR(_xlfn.XLOOKUP($A13&amp;"|"&amp;$C13,Asset_Operations!$A$2:$A$201&amp;"|"&amp;Asset_Operations!$BG$2:$BG$201,Asset_Operations!$I$2:$I$201,""),"")</f>
        <v>0</v>
      </c>
      <c r="H13" s="20">
        <f t="array" ref="H13">IFERROR(_xlfn.XLOOKUP($A13&amp;"|"&amp;$C13,Asset_Operations!$A$2:$A$201&amp;"|"&amp;Asset_Operations!$BG$2:$BG$201,Asset_Operations!$J$2:$J$201,""),"")</f>
        <v>0</v>
      </c>
      <c r="I13" s="20">
        <f t="array" ref="I13">IFERROR(_xlfn.XLOOKUP($A13&amp;"|"&amp;$C13,Asset_Operations!$A$2:$A$201&amp;"|"&amp;Asset_Operations!$BG$2:$BG$201,Asset_Operations!$O$2:$O$201,""),"")</f>
        <v>0</v>
      </c>
      <c r="J13" s="20">
        <f t="array" ref="J13">IFERROR(_xlfn.XLOOKUP($A13&amp;"|"&amp;$C13,Asset_Operations!$A$2:$A$201&amp;"|"&amp;Asset_Operations!$BG$2:$BG$201,Asset_Operations!$S$2:$S$201,""),"")</f>
        <v>0</v>
      </c>
      <c r="K13" s="20">
        <f t="array" ref="K13">IFERROR(_xlfn.XLOOKUP($A13&amp;"|"&amp;$C13,Asset_Operations!$A$2:$A$201&amp;"|"&amp;Asset_Operations!$BG$2:$BG$201,Asset_Operations!$AC$2:$AC$201,""),"")</f>
        <v>0</v>
      </c>
      <c r="L13" s="20">
        <f t="array" ref="L13">IFERROR(_xlfn.XLOOKUP($A13&amp;"|"&amp;$C13,Asset_Operations!$A$2:$A$201&amp;"|"&amp;Asset_Operations!$BG$2:$BG$201,Asset_Operations!$AG$2:$AG$201,""),"")</f>
        <v>0</v>
      </c>
      <c r="M13" s="20" t="str">
        <f t="array" ref="M13">IFERROR(_xlfn.XLOOKUP($A13&amp;"|"&amp;$C13,Asset_Operations!$A$2:$A$201&amp;"|"&amp;Asset_Operations!$BG$2:$BG$201,Asset_Operations!$AO$2:$AO$201,""),"")</f>
        <v/>
      </c>
      <c r="N13" s="21" t="str">
        <f t="array" ref="N13">IFERROR(_xlfn.XLOOKUP($A13&amp;"|"&amp;$C13,Asset_Operations!$A$2:$A$201&amp;"|"&amp;Asset_Operations!$BG$2:$BG$201,Asset_Operations!$AR$2:$AR$201,""),"")</f>
        <v/>
      </c>
      <c r="O13" s="22">
        <f t="array" ref="O13">IFERROR(_xlfn.XLOOKUP($A13&amp;"|"&amp;$C13,Financials!$A$2:$A$201&amp;"|"&amp;Financials!$B$2:$B$201,Financials!$C$2:$C$201,""),"")</f>
        <v>1696</v>
      </c>
      <c r="P13" s="22">
        <f t="array" ref="P13">IFERROR(_xlfn.XLOOKUP($A13&amp;"|"&amp;$C13,Financials!$A$2:$A$201&amp;"|"&amp;Financials!$B$2:$B$201,Financials!$E$2:$E$201,""),"")</f>
        <v>0</v>
      </c>
      <c r="Q13" s="22">
        <f t="array" ref="Q13">IFERROR(_xlfn.XLOOKUP($A13&amp;"|"&amp;$C13,Financials!$A$2:$A$201&amp;"|"&amp;Financials!$B$2:$B$201,Financials!$G$2:$G$201,""),"")</f>
        <v>190</v>
      </c>
      <c r="R13" s="22">
        <f t="array" ref="R13">IFERROR(_xlfn.XLOOKUP($A13&amp;"|"&amp;$C13,Financials!$A$2:$A$201&amp;"|"&amp;Financials!$B$2:$B$201,Financials!$S$2:$S$201,""),"")</f>
        <v>-150</v>
      </c>
      <c r="S13" s="22">
        <f t="array" ref="S13">IFERROR(_xlfn.XLOOKUP($A13&amp;"|"&amp;$C13,Financials!$A$2:$A$201&amp;"|"&amp;Financials!$B$2:$B$201,Financials!$AC$2:$AC$201,""),"")</f>
        <v>0</v>
      </c>
      <c r="T13" s="23">
        <f t="shared" si="0"/>
        <v>0</v>
      </c>
      <c r="U13" s="24" t="str">
        <f t="shared" si="1"/>
        <v/>
      </c>
      <c r="V13" s="25" t="str">
        <f t="shared" si="2"/>
        <v/>
      </c>
      <c r="W13" s="24" t="str">
        <f t="shared" si="3"/>
        <v/>
      </c>
      <c r="X13" s="26">
        <f>IFERROR(IF(NOT(ISNUMBER($E13)),"",IF($E13&gt;=Scoring_Criteria!$D$4,5,IF($E13&gt;=Scoring_Criteria!$E$4,4,IF($E13&gt;=Scoring_Criteria!$F$4,3,IF($E13&gt;=Scoring_Criteria!$G$4,2,1))))),"")</f>
        <v>1</v>
      </c>
      <c r="Y13" s="26" t="str">
        <f>IFERROR(IF(OR(NOT(ISNUMBER($F13)),NOT(ISNUMBER($E13)),$E13=0),"",IF(($F13/$E13)&gt;=Scoring_Criteria!$D$5,5,IF(($F13/$E13)&gt;=Scoring_Criteria!$E$5,4,IF(($F13/$E13)&gt;=Scoring_Criteria!$F$5,3,IF(($F13/$E13)&gt;=Scoring_Criteria!$G$5,2,1))))),"")</f>
        <v/>
      </c>
      <c r="Z13" s="26">
        <f>IFERROR(IF(AND(NOT(ISNUMBER($I13)),NOT(ISNUMBER($J13))),"",IF((IFERROR($I13,0)+IFERROR($J13,0))&gt;=Scoring_Criteria!$D$6,5,IF((IFERROR($I13,0)+IFERROR($J13,0))&gt;=Scoring_Criteria!$E$6,4,IF((IFERROR($I13,0)+IFERROR($J13,0))&gt;=Scoring_Criteria!$F$6,3,IF((IFERROR($I13,0)+IFERROR($J13,0))&gt;=Scoring_Criteria!$G$6,2,1))))),"")</f>
        <v>1</v>
      </c>
      <c r="AA13" s="26" t="str">
        <f>IFERROR(IF(NOT(ISNUMBER($M13)),"",IF($M13&gt;=Scoring_Criteria!$D$7,5,IF($M13&gt;=Scoring_Criteria!$E$7,4,IF($M13&gt;=Scoring_Criteria!$F$7,3,IF($M13&gt;=Scoring_Criteria!$G$7,2,1))))),"")</f>
        <v/>
      </c>
      <c r="AB13" s="26">
        <f>IFERROR(IF(NOT(ISNUMBER($T13)),"",IF($T13&gt;=Scoring_Criteria!$D$8,5,IF($T13&gt;=Scoring_Criteria!$E$8,4,IF($T13&gt;=Scoring_Criteria!$F$8,3,IF($T13&gt;=Scoring_Criteria!$G$8,2,1))))),"")</f>
        <v>1</v>
      </c>
      <c r="AC13" s="26" t="str">
        <f>IFERROR(IF(NOT(ISNUMBER($U13)),"",IF($U13&lt;=Scoring_Criteria!$D$9,5,IF($U13&lt;=Scoring_Criteria!$E$9,4,IF($U13&lt;=Scoring_Criteria!$F$9,3,IF($U13&lt;=Scoring_Criteria!$G$9,2,1))))),"")</f>
        <v/>
      </c>
      <c r="AD13" s="26">
        <f t="array" ref="AD13">IFERROR(IF(NOT(ISNUMBER(_xlfn.XLOOKUP($A13&amp;"|"&amp;$C13,Financials!$A$2:$A$201&amp;"|"&amp;Financials!$B$2:$B$201,Financials!$AD$2:$AD$201,""))),"",IF(_xlfn.XLOOKUP($A13&amp;"|"&amp;$C13,Financials!$A$2:$A$201&amp;"|"&amp;Financials!$B$2:$B$201,Financials!$AD$2:$AD$201,"")&gt;=Scoring_Criteria!$D$10,5,IF(_xlfn.XLOOKUP($A13&amp;"|"&amp;$C13,Financials!$A$2:$A$201&amp;"|"&amp;Financials!$B$2:$B$201,Financials!$AD$2:$AD$201,"")&gt;=Scoring_Criteria!$E$10,4,IF(_xlfn.XLOOKUP($A13&amp;"|"&amp;$C13,Financials!$A$2:$A$201&amp;"|"&amp;Financials!$B$2:$B$201,Financials!$AD$2:$AD$201,"")&gt;=Scoring_Criteria!$F$10,3,IF(_xlfn.XLOOKUP($A13&amp;"|"&amp;$C13,Financials!$A$2:$A$201&amp;"|"&amp;Financials!$B$2:$B$201,Financials!$AD$2:$AD$201,"")&gt;=Scoring_Criteria!$G$10,2,1))))),"")</f>
        <v>5</v>
      </c>
      <c r="AE13" s="27"/>
      <c r="AF13" s="27"/>
      <c r="AG13" s="28">
        <f t="shared" si="4"/>
        <v>2</v>
      </c>
      <c r="AH13" s="29"/>
      <c r="AI13" s="29"/>
      <c r="AJ13" s="29"/>
      <c r="AK13" s="29"/>
      <c r="AL13" s="29"/>
      <c r="AM13" s="29"/>
      <c r="AN13" s="29"/>
      <c r="AO13" s="29"/>
      <c r="AP13" s="29"/>
      <c r="AQ13" s="29"/>
      <c r="AR13" s="29"/>
      <c r="AS13" s="29"/>
      <c r="AT13" s="29"/>
      <c r="AU13" s="46" t="str">
        <f>IFERROR(Validation_Summary!Q5,"")</f>
        <v>✓ All 8 checks passed</v>
      </c>
    </row>
    <row r="14" spans="1:47" ht="15" customHeight="1" x14ac:dyDescent="0.3">
      <c r="A14" s="6" t="s">
        <v>1253</v>
      </c>
      <c r="B14" s="19" t="str">
        <f t="array" ref="B14">IFERROR(_xlfn.XLOOKUP($A14&amp;"|"&amp;$C14,'Company_Master'!$A$2:$A$94&amp;"|"&amp;'Company_Master'!$D$2:$D$94,'Company_Master'!$B$2:$B$94,""),"")</f>
        <v>BTEK</v>
      </c>
      <c r="C14" s="20">
        <v>2022</v>
      </c>
      <c r="D14" s="19" t="str">
        <f t="array" ref="D14">IFERROR(_xlfn.XLOOKUP($A14&amp;"|"&amp;$C14,'Company_Master'!$A$2:$A$94&amp;"|"&amp;'Company_Master'!$D$2:$D$94,'Company_Master'!$H$2:$H$94,""),"")</f>
        <v>Java (Tangerang) - cocoa processing</v>
      </c>
      <c r="E14" s="20">
        <f t="array" ref="E14">IFERROR(_xlfn.XLOOKUP($A14&amp;"|"&amp;$C14,Asset_Operations!$A$2:$A$201&amp;"|"&amp;Asset_Operations!$BG$2:$BG$201,Asset_Operations!$B$2:$B$201,""),"")</f>
        <v>0</v>
      </c>
      <c r="F14" s="20">
        <f t="array" ref="F14">IFERROR(_xlfn.XLOOKUP($A14&amp;"|"&amp;$C14,Asset_Operations!$A$2:$A$201&amp;"|"&amp;Asset_Operations!$BG$2:$BG$201,Asset_Operations!$E$2:$E$201,""),"")</f>
        <v>0</v>
      </c>
      <c r="G14" s="20">
        <f t="array" ref="G14">IFERROR(_xlfn.XLOOKUP($A14&amp;"|"&amp;$C14,Asset_Operations!$A$2:$A$201&amp;"|"&amp;Asset_Operations!$BG$2:$BG$201,Asset_Operations!$I$2:$I$201,""),"")</f>
        <v>0</v>
      </c>
      <c r="H14" s="20">
        <f t="array" ref="H14">IFERROR(_xlfn.XLOOKUP($A14&amp;"|"&amp;$C14,Asset_Operations!$A$2:$A$201&amp;"|"&amp;Asset_Operations!$BG$2:$BG$201,Asset_Operations!$J$2:$J$201,""),"")</f>
        <v>0</v>
      </c>
      <c r="I14" s="20">
        <f t="array" ref="I14">IFERROR(_xlfn.XLOOKUP($A14&amp;"|"&amp;$C14,Asset_Operations!$A$2:$A$201&amp;"|"&amp;Asset_Operations!$BG$2:$BG$201,Asset_Operations!$O$2:$O$201,""),"")</f>
        <v>0</v>
      </c>
      <c r="J14" s="20">
        <f t="array" ref="J14">IFERROR(_xlfn.XLOOKUP($A14&amp;"|"&amp;$C14,Asset_Operations!$A$2:$A$201&amp;"|"&amp;Asset_Operations!$BG$2:$BG$201,Asset_Operations!$S$2:$S$201,""),"")</f>
        <v>0</v>
      </c>
      <c r="K14" s="20">
        <f t="array" ref="K14">IFERROR(_xlfn.XLOOKUP($A14&amp;"|"&amp;$C14,Asset_Operations!$A$2:$A$201&amp;"|"&amp;Asset_Operations!$BG$2:$BG$201,Asset_Operations!$AC$2:$AC$201,""),"")</f>
        <v>0</v>
      </c>
      <c r="L14" s="20">
        <f t="array" ref="L14">IFERROR(_xlfn.XLOOKUP($A14&amp;"|"&amp;$C14,Asset_Operations!$A$2:$A$201&amp;"|"&amp;Asset_Operations!$BG$2:$BG$201,Asset_Operations!$AG$2:$AG$201,""),"")</f>
        <v>0</v>
      </c>
      <c r="M14" s="20" t="str">
        <f t="array" ref="M14">IFERROR(_xlfn.XLOOKUP($A14&amp;"|"&amp;$C14,Asset_Operations!$A$2:$A$201&amp;"|"&amp;Asset_Operations!$BG$2:$BG$201,Asset_Operations!$AO$2:$AO$201,""),"")</f>
        <v/>
      </c>
      <c r="N14" s="21" t="str">
        <f t="array" ref="N14">IFERROR(_xlfn.XLOOKUP($A14&amp;"|"&amp;$C14,Asset_Operations!$A$2:$A$201&amp;"|"&amp;Asset_Operations!$BG$2:$BG$201,Asset_Operations!$AR$2:$AR$201,""),"")</f>
        <v/>
      </c>
      <c r="O14" s="22">
        <f t="array" ref="O14">IFERROR(_xlfn.XLOOKUP($A14&amp;"|"&amp;$C14,Financials!$A$2:$A$201&amp;"|"&amp;Financials!$B$2:$B$201,Financials!$C$2:$C$201,""),"")</f>
        <v>153.5</v>
      </c>
      <c r="P14" s="22">
        <f t="array" ref="P14">IFERROR(_xlfn.XLOOKUP($A14&amp;"|"&amp;$C14,Financials!$A$2:$A$201&amp;"|"&amp;Financials!$B$2:$B$201,Financials!$E$2:$E$201,""),"")</f>
        <v>0</v>
      </c>
      <c r="Q14" s="22">
        <f t="array" ref="Q14">IFERROR(_xlfn.XLOOKUP($A14&amp;"|"&amp;$C14,Financials!$A$2:$A$201&amp;"|"&amp;Financials!$B$2:$B$201,Financials!$G$2:$G$201,""),"")</f>
        <v>-133.47</v>
      </c>
      <c r="R14" s="22">
        <f t="array" ref="R14">IFERROR(_xlfn.XLOOKUP($A14&amp;"|"&amp;$C14,Financials!$A$2:$A$201&amp;"|"&amp;Financials!$B$2:$B$201,Financials!$S$2:$S$201,""),"")</f>
        <v>2469.6400000000003</v>
      </c>
      <c r="S14" s="22">
        <f t="array" ref="S14">IFERROR(_xlfn.XLOOKUP($A14&amp;"|"&amp;$C14,Financials!$A$2:$A$201&amp;"|"&amp;Financials!$B$2:$B$201,Financials!$AC$2:$AC$201,""),"")</f>
        <v>2313.875</v>
      </c>
      <c r="T14" s="23">
        <f t="shared" si="0"/>
        <v>0</v>
      </c>
      <c r="U14" s="24" t="str">
        <f t="shared" si="1"/>
        <v/>
      </c>
      <c r="V14" s="25" t="str">
        <f t="shared" si="2"/>
        <v/>
      </c>
      <c r="W14" s="24" t="str">
        <f t="shared" si="3"/>
        <v/>
      </c>
      <c r="X14" s="26">
        <f>IFERROR(IF(NOT(ISNUMBER($E14)),"",IF($E14&gt;=Scoring_Criteria!$D$4,5,IF($E14&gt;=Scoring_Criteria!$E$4,4,IF($E14&gt;=Scoring_Criteria!$F$4,3,IF($E14&gt;=Scoring_Criteria!$G$4,2,1))))),"")</f>
        <v>1</v>
      </c>
      <c r="Y14" s="26" t="str">
        <f>IFERROR(IF(OR(NOT(ISNUMBER($F14)),NOT(ISNUMBER($E14)),$E14=0),"",IF(($F14/$E14)&gt;=Scoring_Criteria!$D$5,5,IF(($F14/$E14)&gt;=Scoring_Criteria!$E$5,4,IF(($F14/$E14)&gt;=Scoring_Criteria!$F$5,3,IF(($F14/$E14)&gt;=Scoring_Criteria!$G$5,2,1))))),"")</f>
        <v/>
      </c>
      <c r="Z14" s="26">
        <f>IFERROR(IF(AND(NOT(ISNUMBER($I14)),NOT(ISNUMBER($J14))),"",IF((IFERROR($I14,0)+IFERROR($J14,0))&gt;=Scoring_Criteria!$D$6,5,IF((IFERROR($I14,0)+IFERROR($J14,0))&gt;=Scoring_Criteria!$E$6,4,IF((IFERROR($I14,0)+IFERROR($J14,0))&gt;=Scoring_Criteria!$F$6,3,IF((IFERROR($I14,0)+IFERROR($J14,0))&gt;=Scoring_Criteria!$G$6,2,1))))),"")</f>
        <v>1</v>
      </c>
      <c r="AA14" s="26" t="str">
        <f>IFERROR(IF(NOT(ISNUMBER($M14)),"",IF($M14&gt;=Scoring_Criteria!$D$7,5,IF($M14&gt;=Scoring_Criteria!$E$7,4,IF($M14&gt;=Scoring_Criteria!$F$7,3,IF($M14&gt;=Scoring_Criteria!$G$7,2,1))))),"")</f>
        <v/>
      </c>
      <c r="AB14" s="26">
        <f>IFERROR(IF(NOT(ISNUMBER($T14)),"",IF($T14&gt;=Scoring_Criteria!$D$8,5,IF($T14&gt;=Scoring_Criteria!$E$8,4,IF($T14&gt;=Scoring_Criteria!$F$8,3,IF($T14&gt;=Scoring_Criteria!$G$8,2,1))))),"")</f>
        <v>1</v>
      </c>
      <c r="AC14" s="26" t="str">
        <f>IFERROR(IF(NOT(ISNUMBER($U14)),"",IF($U14&lt;=Scoring_Criteria!$D$9,5,IF($U14&lt;=Scoring_Criteria!$E$9,4,IF($U14&lt;=Scoring_Criteria!$F$9,3,IF($U14&lt;=Scoring_Criteria!$G$9,2,1))))),"")</f>
        <v/>
      </c>
      <c r="AD14" s="26">
        <f t="array" ref="AD14">IFERROR(IF(NOT(ISNUMBER(_xlfn.XLOOKUP($A14&amp;"|"&amp;$C14,Financials!$A$2:$A$201&amp;"|"&amp;Financials!$B$2:$B$201,Financials!$AD$2:$AD$201,""))),"",IF(_xlfn.XLOOKUP($A14&amp;"|"&amp;$C14,Financials!$A$2:$A$201&amp;"|"&amp;Financials!$B$2:$B$201,Financials!$AD$2:$AD$201,"")&gt;=Scoring_Criteria!$D$10,5,IF(_xlfn.XLOOKUP($A14&amp;"|"&amp;$C14,Financials!$A$2:$A$201&amp;"|"&amp;Financials!$B$2:$B$201,Financials!$AD$2:$AD$201,"")&gt;=Scoring_Criteria!$E$10,4,IF(_xlfn.XLOOKUP($A14&amp;"|"&amp;$C14,Financials!$A$2:$A$201&amp;"|"&amp;Financials!$B$2:$B$201,Financials!$AD$2:$AD$201,"")&gt;=Scoring_Criteria!$F$10,3,IF(_xlfn.XLOOKUP($A14&amp;"|"&amp;$C14,Financials!$A$2:$A$201&amp;"|"&amp;Financials!$B$2:$B$201,Financials!$AD$2:$AD$201,"")&gt;=Scoring_Criteria!$G$10,2,1))))),"")</f>
        <v>1</v>
      </c>
      <c r="AE14" s="27"/>
      <c r="AF14" s="27"/>
      <c r="AG14" s="28">
        <f t="shared" si="4"/>
        <v>1</v>
      </c>
      <c r="AH14" s="29"/>
      <c r="AI14" s="29"/>
      <c r="AJ14" s="29"/>
      <c r="AK14" s="29"/>
      <c r="AL14" s="29"/>
      <c r="AM14" s="29"/>
      <c r="AN14" s="29"/>
      <c r="AO14" s="29"/>
      <c r="AP14" s="29"/>
      <c r="AQ14" s="29"/>
      <c r="AR14" s="29"/>
      <c r="AS14" s="29"/>
      <c r="AT14" s="29"/>
      <c r="AU14" s="46" t="str">
        <f>IFERROR(Validation_Summary!Q5,"")</f>
        <v>✓ All 8 checks passed</v>
      </c>
    </row>
    <row r="15" spans="1:47" ht="15" customHeight="1" x14ac:dyDescent="0.3">
      <c r="A15" s="6" t="s">
        <v>1253</v>
      </c>
      <c r="B15" s="19" t="str">
        <f t="array" ref="B15">IFERROR(_xlfn.XLOOKUP($A15&amp;"|"&amp;$C15,'Company_Master'!$A$2:$A$94&amp;"|"&amp;'Company_Master'!$D$2:$D$94,'Company_Master'!$B$2:$B$94,""),"")</f>
        <v>BTEK</v>
      </c>
      <c r="C15" s="20">
        <v>2023</v>
      </c>
      <c r="D15" s="19" t="str">
        <f t="array" ref="D15">IFERROR(_xlfn.XLOOKUP($A15&amp;"|"&amp;$C15,'Company_Master'!$A$2:$A$94&amp;"|"&amp;'Company_Master'!$D$2:$D$94,'Company_Master'!$H$2:$H$94,""),"")</f>
        <v>Java - Serang, Banten (GHCI cocoa plant)</v>
      </c>
      <c r="E15" s="20">
        <f t="array" ref="E15">IFERROR(_xlfn.XLOOKUP($A15&amp;"|"&amp;$C15,Asset_Operations!$A$2:$A$201&amp;"|"&amp;Asset_Operations!$BG$2:$BG$201,Asset_Operations!$B$2:$B$201,""),"")</f>
        <v>0</v>
      </c>
      <c r="F15" s="20">
        <f t="array" ref="F15">IFERROR(_xlfn.XLOOKUP($A15&amp;"|"&amp;$C15,Asset_Operations!$A$2:$A$201&amp;"|"&amp;Asset_Operations!$BG$2:$BG$201,Asset_Operations!$E$2:$E$201,""),"")</f>
        <v>0</v>
      </c>
      <c r="G15" s="20">
        <f t="array" ref="G15">IFERROR(_xlfn.XLOOKUP($A15&amp;"|"&amp;$C15,Asset_Operations!$A$2:$A$201&amp;"|"&amp;Asset_Operations!$BG$2:$BG$201,Asset_Operations!$I$2:$I$201,""),"")</f>
        <v>0</v>
      </c>
      <c r="H15" s="20">
        <f t="array" ref="H15">IFERROR(_xlfn.XLOOKUP($A15&amp;"|"&amp;$C15,Asset_Operations!$A$2:$A$201&amp;"|"&amp;Asset_Operations!$BG$2:$BG$201,Asset_Operations!$J$2:$J$201,""),"")</f>
        <v>0</v>
      </c>
      <c r="I15" s="20">
        <f t="array" ref="I15">IFERROR(_xlfn.XLOOKUP($A15&amp;"|"&amp;$C15,Asset_Operations!$A$2:$A$201&amp;"|"&amp;Asset_Operations!$BG$2:$BG$201,Asset_Operations!$O$2:$O$201,""),"")</f>
        <v>0</v>
      </c>
      <c r="J15" s="20">
        <f t="array" ref="J15">IFERROR(_xlfn.XLOOKUP($A15&amp;"|"&amp;$C15,Asset_Operations!$A$2:$A$201&amp;"|"&amp;Asset_Operations!$BG$2:$BG$201,Asset_Operations!$S$2:$S$201,""),"")</f>
        <v>0</v>
      </c>
      <c r="K15" s="20">
        <f t="array" ref="K15">IFERROR(_xlfn.XLOOKUP($A15&amp;"|"&amp;$C15,Asset_Operations!$A$2:$A$201&amp;"|"&amp;Asset_Operations!$BG$2:$BG$201,Asset_Operations!$AC$2:$AC$201,""),"")</f>
        <v>0</v>
      </c>
      <c r="L15" s="20">
        <f t="array" ref="L15">IFERROR(_xlfn.XLOOKUP($A15&amp;"|"&amp;$C15,Asset_Operations!$A$2:$A$201&amp;"|"&amp;Asset_Operations!$BG$2:$BG$201,Asset_Operations!$AG$2:$AG$201,""),"")</f>
        <v>0</v>
      </c>
      <c r="M15" s="20" t="str">
        <f t="array" ref="M15">IFERROR(_xlfn.XLOOKUP($A15&amp;"|"&amp;$C15,Asset_Operations!$A$2:$A$201&amp;"|"&amp;Asset_Operations!$BG$2:$BG$201,Asset_Operations!$AO$2:$AO$201,""),"")</f>
        <v/>
      </c>
      <c r="N15" s="21" t="str">
        <f t="array" ref="N15">IFERROR(_xlfn.XLOOKUP($A15&amp;"|"&amp;$C15,Asset_Operations!$A$2:$A$201&amp;"|"&amp;Asset_Operations!$BG$2:$BG$201,Asset_Operations!$AR$2:$AR$201,""),"")</f>
        <v/>
      </c>
      <c r="O15" s="22">
        <f t="array" ref="O15">IFERROR(_xlfn.XLOOKUP($A15&amp;"|"&amp;$C15,Financials!$A$2:$A$201&amp;"|"&amp;Financials!$B$2:$B$201,Financials!$C$2:$C$201,""),"")</f>
        <v>196.67</v>
      </c>
      <c r="P15" s="22">
        <f t="array" ref="P15">IFERROR(_xlfn.XLOOKUP($A15&amp;"|"&amp;$C15,Financials!$A$2:$A$201&amp;"|"&amp;Financials!$B$2:$B$201,Financials!$E$2:$E$201,""),"")</f>
        <v>0</v>
      </c>
      <c r="Q15" s="22">
        <f t="array" ref="Q15">IFERROR(_xlfn.XLOOKUP($A15&amp;"|"&amp;$C15,Financials!$A$2:$A$201&amp;"|"&amp;Financials!$B$2:$B$201,Financials!$G$2:$G$201,""),"")</f>
        <v>-114.05</v>
      </c>
      <c r="R15" s="22">
        <f t="array" ref="R15">IFERROR(_xlfn.XLOOKUP($A15&amp;"|"&amp;$C15,Financials!$A$2:$A$201&amp;"|"&amp;Financials!$B$2:$B$201,Financials!$S$2:$S$201,""),"")</f>
        <v>2399.87</v>
      </c>
      <c r="S15" s="22">
        <f t="array" ref="S15">IFERROR(_xlfn.XLOOKUP($A15&amp;"|"&amp;$C15,Financials!$A$2:$A$201&amp;"|"&amp;Financials!$B$2:$B$201,Financials!$AC$2:$AC$201,""),"")</f>
        <v>2313.875</v>
      </c>
      <c r="T15" s="23">
        <f t="shared" si="0"/>
        <v>0</v>
      </c>
      <c r="U15" s="24" t="str">
        <f t="shared" si="1"/>
        <v/>
      </c>
      <c r="V15" s="25" t="str">
        <f t="shared" si="2"/>
        <v/>
      </c>
      <c r="W15" s="24" t="str">
        <f t="shared" si="3"/>
        <v/>
      </c>
      <c r="X15" s="26">
        <f>IFERROR(IF(NOT(ISNUMBER($E15)),"",IF($E15&gt;=Scoring_Criteria!$D$4,5,IF($E15&gt;=Scoring_Criteria!$E$4,4,IF($E15&gt;=Scoring_Criteria!$F$4,3,IF($E15&gt;=Scoring_Criteria!$G$4,2,1))))),"")</f>
        <v>1</v>
      </c>
      <c r="Y15" s="26" t="str">
        <f>IFERROR(IF(OR(NOT(ISNUMBER($F15)),NOT(ISNUMBER($E15)),$E15=0),"",IF(($F15/$E15)&gt;=Scoring_Criteria!$D$5,5,IF(($F15/$E15)&gt;=Scoring_Criteria!$E$5,4,IF(($F15/$E15)&gt;=Scoring_Criteria!$F$5,3,IF(($F15/$E15)&gt;=Scoring_Criteria!$G$5,2,1))))),"")</f>
        <v/>
      </c>
      <c r="Z15" s="26">
        <f>IFERROR(IF(AND(NOT(ISNUMBER($I15)),NOT(ISNUMBER($J15))),"",IF((IFERROR($I15,0)+IFERROR($J15,0))&gt;=Scoring_Criteria!$D$6,5,IF((IFERROR($I15,0)+IFERROR($J15,0))&gt;=Scoring_Criteria!$E$6,4,IF((IFERROR($I15,0)+IFERROR($J15,0))&gt;=Scoring_Criteria!$F$6,3,IF((IFERROR($I15,0)+IFERROR($J15,0))&gt;=Scoring_Criteria!$G$6,2,1))))),"")</f>
        <v>1</v>
      </c>
      <c r="AA15" s="26" t="str">
        <f>IFERROR(IF(NOT(ISNUMBER($M15)),"",IF($M15&gt;=Scoring_Criteria!$D$7,5,IF($M15&gt;=Scoring_Criteria!$E$7,4,IF($M15&gt;=Scoring_Criteria!$F$7,3,IF($M15&gt;=Scoring_Criteria!$G$7,2,1))))),"")</f>
        <v/>
      </c>
      <c r="AB15" s="26">
        <f>IFERROR(IF(NOT(ISNUMBER($T15)),"",IF($T15&gt;=Scoring_Criteria!$D$8,5,IF($T15&gt;=Scoring_Criteria!$E$8,4,IF($T15&gt;=Scoring_Criteria!$F$8,3,IF($T15&gt;=Scoring_Criteria!$G$8,2,1))))),"")</f>
        <v>1</v>
      </c>
      <c r="AC15" s="26" t="str">
        <f>IFERROR(IF(NOT(ISNUMBER($U15)),"",IF($U15&lt;=Scoring_Criteria!$D$9,5,IF($U15&lt;=Scoring_Criteria!$E$9,4,IF($U15&lt;=Scoring_Criteria!$F$9,3,IF($U15&lt;=Scoring_Criteria!$G$9,2,1))))),"")</f>
        <v/>
      </c>
      <c r="AD15" s="26">
        <f t="array" ref="AD15">IFERROR(IF(NOT(ISNUMBER(_xlfn.XLOOKUP($A15&amp;"|"&amp;$C15,Financials!$A$2:$A$201&amp;"|"&amp;Financials!$B$2:$B$201,Financials!$AD$2:$AD$201,""))),"",IF(_xlfn.XLOOKUP($A15&amp;"|"&amp;$C15,Financials!$A$2:$A$201&amp;"|"&amp;Financials!$B$2:$B$201,Financials!$AD$2:$AD$201,"")&gt;=Scoring_Criteria!$D$10,5,IF(_xlfn.XLOOKUP($A15&amp;"|"&amp;$C15,Financials!$A$2:$A$201&amp;"|"&amp;Financials!$B$2:$B$201,Financials!$AD$2:$AD$201,"")&gt;=Scoring_Criteria!$E$10,4,IF(_xlfn.XLOOKUP($A15&amp;"|"&amp;$C15,Financials!$A$2:$A$201&amp;"|"&amp;Financials!$B$2:$B$201,Financials!$AD$2:$AD$201,"")&gt;=Scoring_Criteria!$F$10,3,IF(_xlfn.XLOOKUP($A15&amp;"|"&amp;$C15,Financials!$A$2:$A$201&amp;"|"&amp;Financials!$B$2:$B$201,Financials!$AD$2:$AD$201,"")&gt;=Scoring_Criteria!$G$10,2,1))))),"")</f>
        <v>1</v>
      </c>
      <c r="AE15" s="27"/>
      <c r="AF15" s="27"/>
      <c r="AG15" s="28">
        <f t="shared" si="4"/>
        <v>1</v>
      </c>
      <c r="AH15" s="29"/>
      <c r="AI15" s="29"/>
      <c r="AJ15" s="29"/>
      <c r="AK15" s="29"/>
      <c r="AL15" s="29"/>
      <c r="AM15" s="29"/>
      <c r="AN15" s="29"/>
      <c r="AO15" s="29"/>
      <c r="AP15" s="29"/>
      <c r="AQ15" s="29"/>
      <c r="AR15" s="29"/>
      <c r="AS15" s="29"/>
      <c r="AT15" s="29"/>
      <c r="AU15" s="46" t="str">
        <f>IFERROR(Validation_Summary!Q5,"")</f>
        <v>✓ All 8 checks passed</v>
      </c>
    </row>
    <row r="16" spans="1:47" ht="15" customHeight="1" x14ac:dyDescent="0.3">
      <c r="A16" s="6" t="s">
        <v>1253</v>
      </c>
      <c r="B16" s="19" t="str">
        <f t="array" ref="B16">IFERROR(_xlfn.XLOOKUP($A16&amp;"|"&amp;$C16,'Company_Master'!$A$2:$A$94&amp;"|"&amp;'Company_Master'!$D$2:$D$94,'Company_Master'!$B$2:$B$94,""),"")</f>
        <v>BTEK</v>
      </c>
      <c r="C16" s="20">
        <v>2024</v>
      </c>
      <c r="D16" s="19" t="str">
        <f t="array" ref="D16">IFERROR(_xlfn.XLOOKUP($A16&amp;"|"&amp;$C16,'Company_Master'!$A$2:$A$94&amp;"|"&amp;'Company_Master'!$D$2:$D$94,'Company_Master'!$H$2:$H$94,""),"")</f>
        <v>Java - Serang, Banten (GHCI cocoa plant)</v>
      </c>
      <c r="E16" s="20">
        <f t="array" ref="E16">IFERROR(_xlfn.XLOOKUP($A16&amp;"|"&amp;$C16,Asset_Operations!$A$2:$A$201&amp;"|"&amp;Asset_Operations!$BG$2:$BG$201,Asset_Operations!$B$2:$B$201,""),"")</f>
        <v>0</v>
      </c>
      <c r="F16" s="20">
        <f t="array" ref="F16">IFERROR(_xlfn.XLOOKUP($A16&amp;"|"&amp;$C16,Asset_Operations!$A$2:$A$201&amp;"|"&amp;Asset_Operations!$BG$2:$BG$201,Asset_Operations!$E$2:$E$201,""),"")</f>
        <v>0</v>
      </c>
      <c r="G16" s="20">
        <f t="array" ref="G16">IFERROR(_xlfn.XLOOKUP($A16&amp;"|"&amp;$C16,Asset_Operations!$A$2:$A$201&amp;"|"&amp;Asset_Operations!$BG$2:$BG$201,Asset_Operations!$I$2:$I$201,""),"")</f>
        <v>0</v>
      </c>
      <c r="H16" s="20">
        <f t="array" ref="H16">IFERROR(_xlfn.XLOOKUP($A16&amp;"|"&amp;$C16,Asset_Operations!$A$2:$A$201&amp;"|"&amp;Asset_Operations!$BG$2:$BG$201,Asset_Operations!$J$2:$J$201,""),"")</f>
        <v>0</v>
      </c>
      <c r="I16" s="20">
        <f t="array" ref="I16">IFERROR(_xlfn.XLOOKUP($A16&amp;"|"&amp;$C16,Asset_Operations!$A$2:$A$201&amp;"|"&amp;Asset_Operations!$BG$2:$BG$201,Asset_Operations!$O$2:$O$201,""),"")</f>
        <v>0</v>
      </c>
      <c r="J16" s="20">
        <f t="array" ref="J16">IFERROR(_xlfn.XLOOKUP($A16&amp;"|"&amp;$C16,Asset_Operations!$A$2:$A$201&amp;"|"&amp;Asset_Operations!$BG$2:$BG$201,Asset_Operations!$S$2:$S$201,""),"")</f>
        <v>0</v>
      </c>
      <c r="K16" s="20">
        <f t="array" ref="K16">IFERROR(_xlfn.XLOOKUP($A16&amp;"|"&amp;$C16,Asset_Operations!$A$2:$A$201&amp;"|"&amp;Asset_Operations!$BG$2:$BG$201,Asset_Operations!$AC$2:$AC$201,""),"")</f>
        <v>0</v>
      </c>
      <c r="L16" s="20">
        <f t="array" ref="L16">IFERROR(_xlfn.XLOOKUP($A16&amp;"|"&amp;$C16,Asset_Operations!$A$2:$A$201&amp;"|"&amp;Asset_Operations!$BG$2:$BG$201,Asset_Operations!$AG$2:$AG$201,""),"")</f>
        <v>0</v>
      </c>
      <c r="M16" s="20" t="str">
        <f t="array" ref="M16">IFERROR(_xlfn.XLOOKUP($A16&amp;"|"&amp;$C16,Asset_Operations!$A$2:$A$201&amp;"|"&amp;Asset_Operations!$BG$2:$BG$201,Asset_Operations!$AO$2:$AO$201,""),"")</f>
        <v/>
      </c>
      <c r="N16" s="21" t="str">
        <f t="array" ref="N16">IFERROR(_xlfn.XLOOKUP($A16&amp;"|"&amp;$C16,Asset_Operations!$A$2:$A$201&amp;"|"&amp;Asset_Operations!$BG$2:$BG$201,Asset_Operations!$AR$2:$AR$201,""),"")</f>
        <v/>
      </c>
      <c r="O16" s="22">
        <f t="array" ref="O16">IFERROR(_xlfn.XLOOKUP($A16&amp;"|"&amp;$C16,Financials!$A$2:$A$201&amp;"|"&amp;Financials!$B$2:$B$201,Financials!$C$2:$C$201,""),"")</f>
        <v>635.63</v>
      </c>
      <c r="P16" s="22">
        <f t="array" ref="P16">IFERROR(_xlfn.XLOOKUP($A16&amp;"|"&amp;$C16,Financials!$A$2:$A$201&amp;"|"&amp;Financials!$B$2:$B$201,Financials!$E$2:$E$201,""),"")</f>
        <v>0</v>
      </c>
      <c r="Q16" s="22">
        <f t="array" ref="Q16">IFERROR(_xlfn.XLOOKUP($A16&amp;"|"&amp;$C16,Financials!$A$2:$A$201&amp;"|"&amp;Financials!$B$2:$B$201,Financials!$G$2:$G$201,""),"")</f>
        <v>-719.27</v>
      </c>
      <c r="R16" s="22">
        <f t="array" ref="R16">IFERROR(_xlfn.XLOOKUP($A16&amp;"|"&amp;$C16,Financials!$A$2:$A$201&amp;"|"&amp;Financials!$B$2:$B$201,Financials!$S$2:$S$201,""),"")</f>
        <v>2284.65</v>
      </c>
      <c r="S16" s="22">
        <f t="array" ref="S16">IFERROR(_xlfn.XLOOKUP($A16&amp;"|"&amp;$C16,Financials!$A$2:$A$201&amp;"|"&amp;Financials!$B$2:$B$201,Financials!$AC$2:$AC$201,""),"")</f>
        <v>138.83250000000001</v>
      </c>
      <c r="T16" s="23">
        <f t="shared" si="0"/>
        <v>0</v>
      </c>
      <c r="U16" s="24" t="str">
        <f t="shared" si="1"/>
        <v/>
      </c>
      <c r="V16" s="25" t="str">
        <f t="shared" si="2"/>
        <v/>
      </c>
      <c r="W16" s="24" t="str">
        <f t="shared" si="3"/>
        <v/>
      </c>
      <c r="X16" s="26">
        <f>IFERROR(IF(NOT(ISNUMBER($E16)),"",IF($E16&gt;=Scoring_Criteria!$D$4,5,IF($E16&gt;=Scoring_Criteria!$E$4,4,IF($E16&gt;=Scoring_Criteria!$F$4,3,IF($E16&gt;=Scoring_Criteria!$G$4,2,1))))),"")</f>
        <v>1</v>
      </c>
      <c r="Y16" s="26" t="str">
        <f>IFERROR(IF(OR(NOT(ISNUMBER($F16)),NOT(ISNUMBER($E16)),$E16=0),"",IF(($F16/$E16)&gt;=Scoring_Criteria!$D$5,5,IF(($F16/$E16)&gt;=Scoring_Criteria!$E$5,4,IF(($F16/$E16)&gt;=Scoring_Criteria!$F$5,3,IF(($F16/$E16)&gt;=Scoring_Criteria!$G$5,2,1))))),"")</f>
        <v/>
      </c>
      <c r="Z16" s="26">
        <f>IFERROR(IF(AND(NOT(ISNUMBER($I16)),NOT(ISNUMBER($J16))),"",IF((IFERROR($I16,0)+IFERROR($J16,0))&gt;=Scoring_Criteria!$D$6,5,IF((IFERROR($I16,0)+IFERROR($J16,0))&gt;=Scoring_Criteria!$E$6,4,IF((IFERROR($I16,0)+IFERROR($J16,0))&gt;=Scoring_Criteria!$F$6,3,IF((IFERROR($I16,0)+IFERROR($J16,0))&gt;=Scoring_Criteria!$G$6,2,1))))),"")</f>
        <v>1</v>
      </c>
      <c r="AA16" s="26" t="str">
        <f>IFERROR(IF(NOT(ISNUMBER($M16)),"",IF($M16&gt;=Scoring_Criteria!$D$7,5,IF($M16&gt;=Scoring_Criteria!$E$7,4,IF($M16&gt;=Scoring_Criteria!$F$7,3,IF($M16&gt;=Scoring_Criteria!$G$7,2,1))))),"")</f>
        <v/>
      </c>
      <c r="AB16" s="26">
        <f>IFERROR(IF(NOT(ISNUMBER($T16)),"",IF($T16&gt;=Scoring_Criteria!$D$8,5,IF($T16&gt;=Scoring_Criteria!$E$8,4,IF($T16&gt;=Scoring_Criteria!$F$8,3,IF($T16&gt;=Scoring_Criteria!$G$8,2,1))))),"")</f>
        <v>1</v>
      </c>
      <c r="AC16" s="26" t="str">
        <f>IFERROR(IF(NOT(ISNUMBER($U16)),"",IF($U16&lt;=Scoring_Criteria!$D$9,5,IF($U16&lt;=Scoring_Criteria!$E$9,4,IF($U16&lt;=Scoring_Criteria!$F$9,3,IF($U16&lt;=Scoring_Criteria!$G$9,2,1))))),"")</f>
        <v/>
      </c>
      <c r="AD16" s="26">
        <f t="array" ref="AD16">IFERROR(IF(NOT(ISNUMBER(_xlfn.XLOOKUP($A16&amp;"|"&amp;$C16,Financials!$A$2:$A$201&amp;"|"&amp;Financials!$B$2:$B$201,Financials!$AD$2:$AD$201,""))),"",IF(_xlfn.XLOOKUP($A16&amp;"|"&amp;$C16,Financials!$A$2:$A$201&amp;"|"&amp;Financials!$B$2:$B$201,Financials!$AD$2:$AD$201,"")&gt;=Scoring_Criteria!$D$10,5,IF(_xlfn.XLOOKUP($A16&amp;"|"&amp;$C16,Financials!$A$2:$A$201&amp;"|"&amp;Financials!$B$2:$B$201,Financials!$AD$2:$AD$201,"")&gt;=Scoring_Criteria!$E$10,4,IF(_xlfn.XLOOKUP($A16&amp;"|"&amp;$C16,Financials!$A$2:$A$201&amp;"|"&amp;Financials!$B$2:$B$201,Financials!$AD$2:$AD$201,"")&gt;=Scoring_Criteria!$F$10,3,IF(_xlfn.XLOOKUP($A16&amp;"|"&amp;$C16,Financials!$A$2:$A$201&amp;"|"&amp;Financials!$B$2:$B$201,Financials!$AD$2:$AD$201,"")&gt;=Scoring_Criteria!$G$10,2,1))))),"")</f>
        <v>5</v>
      </c>
      <c r="AE16" s="27"/>
      <c r="AF16" s="27"/>
      <c r="AG16" s="28">
        <f t="shared" si="4"/>
        <v>2</v>
      </c>
      <c r="AH16" s="29"/>
      <c r="AI16" s="29"/>
      <c r="AJ16" s="29"/>
      <c r="AK16" s="29"/>
      <c r="AL16" s="29"/>
      <c r="AM16" s="29"/>
      <c r="AN16" s="29"/>
      <c r="AO16" s="29"/>
      <c r="AP16" s="29"/>
      <c r="AQ16" s="29"/>
      <c r="AR16" s="29"/>
      <c r="AS16" s="29"/>
      <c r="AT16" s="29"/>
      <c r="AU16" s="46" t="str">
        <f>IFERROR(Validation_Summary!Q5,"")</f>
        <v>✓ All 8 checks passed</v>
      </c>
    </row>
    <row r="17" spans="1:47" ht="15" customHeight="1" x14ac:dyDescent="0.3">
      <c r="A17" s="6" t="s">
        <v>1412</v>
      </c>
      <c r="B17" s="19" t="str">
        <f t="array" ref="B17">IFERROR(_xlfn.XLOOKUP($A17&amp;"|"&amp;$C17,'Company_Master'!$A$2:$A$94&amp;"|"&amp;'Company_Master'!$D$2:$D$94,'Company_Master'!$B$2:$B$94,""),"")</f>
        <v>BWPT</v>
      </c>
      <c r="C17" s="20">
        <v>2023</v>
      </c>
      <c r="D17" s="19" t="str">
        <f t="array" ref="D17">IFERROR(_xlfn.XLOOKUP($A17&amp;"|"&amp;$C17,'Company_Master'!$A$2:$A$94&amp;"|"&amp;'Company_Master'!$D$2:$D$94,'Company_Master'!$H$2:$H$94,""),"")</f>
        <v>Kalimantan (major), Papua, Sumatra</v>
      </c>
      <c r="E17" s="20">
        <f t="array" ref="E17">IFERROR(_xlfn.XLOOKUP($A17&amp;"|"&amp;$C17,Asset_Operations!$A$2:$A$201&amp;"|"&amp;Asset_Operations!$BG$2:$BG$201,Asset_Operations!$B$2:$B$201,""),"")</f>
        <v>87000</v>
      </c>
      <c r="F17" s="20">
        <f t="array" ref="F17">IFERROR(_xlfn.XLOOKUP($A17&amp;"|"&amp;$C17,Asset_Operations!$A$2:$A$201&amp;"|"&amp;Asset_Operations!$BG$2:$BG$201,Asset_Operations!$E$2:$E$201,""),"")</f>
        <v>87000</v>
      </c>
      <c r="G17" s="20">
        <f t="array" ref="G17">IFERROR(_xlfn.XLOOKUP($A17&amp;"|"&amp;$C17,Asset_Operations!$A$2:$A$201&amp;"|"&amp;Asset_Operations!$BG$2:$BG$201,Asset_Operations!$I$2:$I$201,""),"")</f>
        <v>0</v>
      </c>
      <c r="H17" s="20">
        <f t="array" ref="H17">IFERROR(_xlfn.XLOOKUP($A17&amp;"|"&amp;$C17,Asset_Operations!$A$2:$A$201&amp;"|"&amp;Asset_Operations!$BG$2:$BG$201,Asset_Operations!$J$2:$J$201,""),"")</f>
        <v>0</v>
      </c>
      <c r="I17" s="20">
        <f t="array" ref="I17">IFERROR(_xlfn.XLOOKUP($A17&amp;"|"&amp;$C17,Asset_Operations!$A$2:$A$201&amp;"|"&amp;Asset_Operations!$BG$2:$BG$201,Asset_Operations!$O$2:$O$201,""),"")</f>
        <v>7</v>
      </c>
      <c r="J17" s="20">
        <f t="array" ref="J17">IFERROR(_xlfn.XLOOKUP($A17&amp;"|"&amp;$C17,Asset_Operations!$A$2:$A$201&amp;"|"&amp;Asset_Operations!$BG$2:$BG$201,Asset_Operations!$S$2:$S$201,""),"")</f>
        <v>0</v>
      </c>
      <c r="K17" s="20">
        <f t="array" ref="K17">IFERROR(_xlfn.XLOOKUP($A17&amp;"|"&amp;$C17,Asset_Operations!$A$2:$A$201&amp;"|"&amp;Asset_Operations!$BG$2:$BG$201,Asset_Operations!$AC$2:$AC$201,""),"")</f>
        <v>975251</v>
      </c>
      <c r="L17" s="20">
        <f t="array" ref="L17">IFERROR(_xlfn.XLOOKUP($A17&amp;"|"&amp;$C17,Asset_Operations!$A$2:$A$201&amp;"|"&amp;Asset_Operations!$BG$2:$BG$201,Asset_Operations!$AG$2:$AG$201,""),"")</f>
        <v>320107</v>
      </c>
      <c r="M17" s="20">
        <f t="array" ref="M17">IFERROR(_xlfn.XLOOKUP($A17&amp;"|"&amp;$C17,Asset_Operations!$A$2:$A$201&amp;"|"&amp;Asset_Operations!$BG$2:$BG$201,Asset_Operations!$AO$2:$AO$201,""),"")</f>
        <v>11.209781609195403</v>
      </c>
      <c r="N17" s="21">
        <f t="array" ref="N17">IFERROR(_xlfn.XLOOKUP($A17&amp;"|"&amp;$C17,Asset_Operations!$A$2:$A$201&amp;"|"&amp;Asset_Operations!$BG$2:$BG$201,Asset_Operations!$AR$2:$AR$201,""),"")</f>
        <v>0.23574166048051656</v>
      </c>
      <c r="O17" s="22">
        <f t="array" ref="O17">IFERROR(_xlfn.XLOOKUP($A17&amp;"|"&amp;$C17,Financials!$A$2:$A$201&amp;"|"&amp;Financials!$B$2:$B$201,Financials!$C$2:$C$201,""),"")</f>
        <v>4204.6099999999997</v>
      </c>
      <c r="P17" s="22">
        <f t="array" ref="P17">IFERROR(_xlfn.XLOOKUP($A17&amp;"|"&amp;$C17,Financials!$A$2:$A$201&amp;"|"&amp;Financials!$B$2:$B$201,Financials!$E$2:$E$201,""),"")</f>
        <v>0</v>
      </c>
      <c r="Q17" s="22">
        <f t="array" ref="Q17">IFERROR(_xlfn.XLOOKUP($A17&amp;"|"&amp;$C17,Financials!$A$2:$A$201&amp;"|"&amp;Financials!$B$2:$B$201,Financials!$G$2:$G$201,""),"")</f>
        <v>159.97</v>
      </c>
      <c r="R17" s="22">
        <f t="array" ref="R17">IFERROR(_xlfn.XLOOKUP($A17&amp;"|"&amp;$C17,Financials!$A$2:$A$201&amp;"|"&amp;Financials!$B$2:$B$201,Financials!$S$2:$S$201,""),"")</f>
        <v>7752.18</v>
      </c>
      <c r="S17" s="22">
        <f t="array" ref="S17">IFERROR(_xlfn.XLOOKUP($A17&amp;"|"&amp;$C17,Financials!$A$2:$A$201&amp;"|"&amp;Financials!$B$2:$B$201,Financials!$AC$2:$AC$201,""),"")</f>
        <v>1702.3656600000002</v>
      </c>
      <c r="T17" s="23">
        <f t="shared" si="0"/>
        <v>0</v>
      </c>
      <c r="U17" s="24" t="str">
        <f t="shared" si="1"/>
        <v/>
      </c>
      <c r="V17" s="25">
        <f t="shared" si="2"/>
        <v>4.8328850574712638E-2</v>
      </c>
      <c r="W17" s="24">
        <f t="shared" si="3"/>
        <v>3.6793908045977011</v>
      </c>
      <c r="X17" s="26">
        <f>IFERROR(IF(NOT(ISNUMBER($E17)),"",IF($E17&gt;=Scoring_Criteria!$D$4,5,IF($E17&gt;=Scoring_Criteria!$E$4,4,IF($E17&gt;=Scoring_Criteria!$F$4,3,IF($E17&gt;=Scoring_Criteria!$G$4,2,1))))),"")</f>
        <v>4</v>
      </c>
      <c r="Y17" s="26">
        <f>IFERROR(IF(OR(NOT(ISNUMBER($F17)),NOT(ISNUMBER($E17)),$E17=0),"",IF(($F17/$E17)&gt;=Scoring_Criteria!$D$5,5,IF(($F17/$E17)&gt;=Scoring_Criteria!$E$5,4,IF(($F17/$E17)&gt;=Scoring_Criteria!$F$5,3,IF(($F17/$E17)&gt;=Scoring_Criteria!$G$5,2,1))))),"")</f>
        <v>5</v>
      </c>
      <c r="Z17" s="26">
        <f>IFERROR(IF(AND(NOT(ISNUMBER($I17)),NOT(ISNUMBER($J17))),"",IF((IFERROR($I17,0)+IFERROR($J17,0))&gt;=Scoring_Criteria!$D$6,5,IF((IFERROR($I17,0)+IFERROR($J17,0))&gt;=Scoring_Criteria!$E$6,4,IF((IFERROR($I17,0)+IFERROR($J17,0))&gt;=Scoring_Criteria!$F$6,3,IF((IFERROR($I17,0)+IFERROR($J17,0))&gt;=Scoring_Criteria!$G$6,2,1))))),"")</f>
        <v>4</v>
      </c>
      <c r="AA17" s="26">
        <f>IFERROR(IF(NOT(ISNUMBER($M17)),"",IF($M17&gt;=Scoring_Criteria!$D$7,5,IF($M17&gt;=Scoring_Criteria!$E$7,4,IF($M17&gt;=Scoring_Criteria!$F$7,3,IF($M17&gt;=Scoring_Criteria!$G$7,2,1))))),"")</f>
        <v>2</v>
      </c>
      <c r="AB17" s="26">
        <f>IFERROR(IF(NOT(ISNUMBER($T17)),"",IF($T17&gt;=Scoring_Criteria!$D$8,5,IF($T17&gt;=Scoring_Criteria!$E$8,4,IF($T17&gt;=Scoring_Criteria!$F$8,3,IF($T17&gt;=Scoring_Criteria!$G$8,2,1))))),"")</f>
        <v>1</v>
      </c>
      <c r="AC17" s="26" t="str">
        <f>IFERROR(IF(NOT(ISNUMBER($U17)),"",IF($U17&lt;=Scoring_Criteria!$D$9,5,IF($U17&lt;=Scoring_Criteria!$E$9,4,IF($U17&lt;=Scoring_Criteria!$F$9,3,IF($U17&lt;=Scoring_Criteria!$G$9,2,1))))),"")</f>
        <v/>
      </c>
      <c r="AD17" s="26">
        <f t="array" ref="AD17">IFERROR(IF(NOT(ISNUMBER(_xlfn.XLOOKUP($A17&amp;"|"&amp;$C17,Financials!$A$2:$A$201&amp;"|"&amp;Financials!$B$2:$B$201,Financials!$AD$2:$AD$201,""))),"",IF(_xlfn.XLOOKUP($A17&amp;"|"&amp;$C17,Financials!$A$2:$A$201&amp;"|"&amp;Financials!$B$2:$B$201,Financials!$AD$2:$AD$201,"")&gt;=Scoring_Criteria!$D$10,5,IF(_xlfn.XLOOKUP($A17&amp;"|"&amp;$C17,Financials!$A$2:$A$201&amp;"|"&amp;Financials!$B$2:$B$201,Financials!$AD$2:$AD$201,"")&gt;=Scoring_Criteria!$E$10,4,IF(_xlfn.XLOOKUP($A17&amp;"|"&amp;$C17,Financials!$A$2:$A$201&amp;"|"&amp;Financials!$B$2:$B$201,Financials!$AD$2:$AD$201,"")&gt;=Scoring_Criteria!$F$10,3,IF(_xlfn.XLOOKUP($A17&amp;"|"&amp;$C17,Financials!$A$2:$A$201&amp;"|"&amp;Financials!$B$2:$B$201,Financials!$AD$2:$AD$201,"")&gt;=Scoring_Criteria!$G$10,2,1))))),"")</f>
        <v>1</v>
      </c>
      <c r="AE17" s="27"/>
      <c r="AF17" s="27"/>
      <c r="AG17" s="28">
        <f t="shared" si="4"/>
        <v>2.8333333333333335</v>
      </c>
      <c r="AH17" s="29"/>
      <c r="AI17" s="29"/>
      <c r="AJ17" s="29"/>
      <c r="AK17" s="29"/>
      <c r="AL17" s="29"/>
      <c r="AM17" s="29"/>
      <c r="AN17" s="29"/>
      <c r="AO17" s="29"/>
      <c r="AP17" s="29"/>
      <c r="AQ17" s="29"/>
      <c r="AR17" s="29"/>
      <c r="AS17" s="29"/>
      <c r="AT17" s="29"/>
      <c r="AU17" s="46" t="str">
        <f>IFERROR(Validation_Summary!Q5,"")</f>
        <v>✓ All 8 checks passed</v>
      </c>
    </row>
    <row r="18" spans="1:47" ht="15" customHeight="1" x14ac:dyDescent="0.3">
      <c r="A18" s="6" t="s">
        <v>1412</v>
      </c>
      <c r="B18" s="19" t="str">
        <f t="array" ref="B18">IFERROR(_xlfn.XLOOKUP($A18&amp;"|"&amp;$C18,'Company_Master'!$A$2:$A$94&amp;"|"&amp;'Company_Master'!$D$2:$D$94,'Company_Master'!$B$2:$B$94,""),"")</f>
        <v>BWPT</v>
      </c>
      <c r="C18" s="20">
        <v>2024</v>
      </c>
      <c r="D18" s="19" t="str">
        <f t="array" ref="D18">IFERROR(_xlfn.XLOOKUP($A18&amp;"|"&amp;$C18,'Company_Master'!$A$2:$A$94&amp;"|"&amp;'Company_Master'!$D$2:$D$94,'Company_Master'!$H$2:$H$94,""),"")</f>
        <v>Kalimantan (major), Papua, Sumatra</v>
      </c>
      <c r="E18" s="20">
        <f t="array" ref="E18">IFERROR(_xlfn.XLOOKUP($A18&amp;"|"&amp;$C18,Asset_Operations!$A$2:$A$201&amp;"|"&amp;Asset_Operations!$BG$2:$BG$201,Asset_Operations!$B$2:$B$201,""),"")</f>
        <v>87000</v>
      </c>
      <c r="F18" s="20">
        <f t="array" ref="F18">IFERROR(_xlfn.XLOOKUP($A18&amp;"|"&amp;$C18,Asset_Operations!$A$2:$A$201&amp;"|"&amp;Asset_Operations!$BG$2:$BG$201,Asset_Operations!$E$2:$E$201,""),"")</f>
        <v>86729</v>
      </c>
      <c r="G18" s="20">
        <f t="array" ref="G18">IFERROR(_xlfn.XLOOKUP($A18&amp;"|"&amp;$C18,Asset_Operations!$A$2:$A$201&amp;"|"&amp;Asset_Operations!$BG$2:$BG$201,Asset_Operations!$I$2:$I$201,""),"")</f>
        <v>0</v>
      </c>
      <c r="H18" s="20">
        <f t="array" ref="H18">IFERROR(_xlfn.XLOOKUP($A18&amp;"|"&amp;$C18,Asset_Operations!$A$2:$A$201&amp;"|"&amp;Asset_Operations!$BG$2:$BG$201,Asset_Operations!$J$2:$J$201,""),"")</f>
        <v>0</v>
      </c>
      <c r="I18" s="20">
        <f t="array" ref="I18">IFERROR(_xlfn.XLOOKUP($A18&amp;"|"&amp;$C18,Asset_Operations!$A$2:$A$201&amp;"|"&amp;Asset_Operations!$BG$2:$BG$201,Asset_Operations!$O$2:$O$201,""),"")</f>
        <v>7</v>
      </c>
      <c r="J18" s="20">
        <f t="array" ref="J18">IFERROR(_xlfn.XLOOKUP($A18&amp;"|"&amp;$C18,Asset_Operations!$A$2:$A$201&amp;"|"&amp;Asset_Operations!$BG$2:$BG$201,Asset_Operations!$S$2:$S$201,""),"")</f>
        <v>0</v>
      </c>
      <c r="K18" s="20">
        <f t="array" ref="K18">IFERROR(_xlfn.XLOOKUP($A18&amp;"|"&amp;$C18,Asset_Operations!$A$2:$A$201&amp;"|"&amp;Asset_Operations!$BG$2:$BG$201,Asset_Operations!$AC$2:$AC$201,""),"")</f>
        <v>1041515</v>
      </c>
      <c r="L18" s="20">
        <f t="array" ref="L18">IFERROR(_xlfn.XLOOKUP($A18&amp;"|"&amp;$C18,Asset_Operations!$A$2:$A$201&amp;"|"&amp;Asset_Operations!$BG$2:$BG$201,Asset_Operations!$AG$2:$AG$201,""),"")</f>
        <v>263657</v>
      </c>
      <c r="M18" s="20">
        <f t="array" ref="M18">IFERROR(_xlfn.XLOOKUP($A18&amp;"|"&amp;$C18,Asset_Operations!$A$2:$A$201&amp;"|"&amp;Asset_Operations!$BG$2:$BG$201,Asset_Operations!$AO$2:$AO$201,""),"")</f>
        <v>12.008843639382444</v>
      </c>
      <c r="N18" s="21" t="str">
        <f t="array" ref="N18">IFERROR(_xlfn.XLOOKUP($A18&amp;"|"&amp;$C18,Asset_Operations!$A$2:$A$201&amp;"|"&amp;Asset_Operations!$BG$2:$BG$201,Asset_Operations!$AR$2:$AR$201,""),"")</f>
        <v/>
      </c>
      <c r="O18" s="22">
        <f t="array" ref="O18">IFERROR(_xlfn.XLOOKUP($A18&amp;"|"&amp;$C18,Financials!$A$2:$A$201&amp;"|"&amp;Financials!$B$2:$B$201,Financials!$C$2:$C$201,""),"")</f>
        <v>4302.68</v>
      </c>
      <c r="P18" s="22">
        <f t="array" ref="P18">IFERROR(_xlfn.XLOOKUP($A18&amp;"|"&amp;$C18,Financials!$A$2:$A$201&amp;"|"&amp;Financials!$B$2:$B$201,Financials!$E$2:$E$201,""),"")</f>
        <v>0</v>
      </c>
      <c r="Q18" s="22">
        <f t="array" ref="Q18">IFERROR(_xlfn.XLOOKUP($A18&amp;"|"&amp;$C18,Financials!$A$2:$A$201&amp;"|"&amp;Financials!$B$2:$B$201,Financials!$G$2:$G$201,""),"")</f>
        <v>272.13</v>
      </c>
      <c r="R18" s="22">
        <f t="array" ref="R18">IFERROR(_xlfn.XLOOKUP($A18&amp;"|"&amp;$C18,Financials!$A$2:$A$201&amp;"|"&amp;Financials!$B$2:$B$201,Financials!$S$2:$S$201,""),"")</f>
        <v>3901.1</v>
      </c>
      <c r="S18" s="22">
        <f t="array" ref="S18">IFERROR(_xlfn.XLOOKUP($A18&amp;"|"&amp;$C18,Financials!$A$2:$A$201&amp;"|"&amp;Financials!$B$2:$B$201,Financials!$AC$2:$AC$201,""),"")</f>
        <v>1859.9921100000001</v>
      </c>
      <c r="T18" s="23">
        <f t="shared" si="0"/>
        <v>0</v>
      </c>
      <c r="U18" s="24" t="str">
        <f t="shared" si="1"/>
        <v/>
      </c>
      <c r="V18" s="25">
        <f t="shared" si="2"/>
        <v>4.9456091954022993E-2</v>
      </c>
      <c r="W18" s="24">
        <f t="shared" si="3"/>
        <v>3.0400096853416967</v>
      </c>
      <c r="X18" s="26">
        <f>IFERROR(IF(NOT(ISNUMBER($E18)),"",IF($E18&gt;=Scoring_Criteria!$D$4,5,IF($E18&gt;=Scoring_Criteria!$E$4,4,IF($E18&gt;=Scoring_Criteria!$F$4,3,IF($E18&gt;=Scoring_Criteria!$G$4,2,1))))),"")</f>
        <v>4</v>
      </c>
      <c r="Y18" s="26">
        <f>IFERROR(IF(OR(NOT(ISNUMBER($F18)),NOT(ISNUMBER($E18)),$E18=0),"",IF(($F18/$E18)&gt;=Scoring_Criteria!$D$5,5,IF(($F18/$E18)&gt;=Scoring_Criteria!$E$5,4,IF(($F18/$E18)&gt;=Scoring_Criteria!$F$5,3,IF(($F18/$E18)&gt;=Scoring_Criteria!$G$5,2,1))))),"")</f>
        <v>5</v>
      </c>
      <c r="Z18" s="26">
        <f>IFERROR(IF(AND(NOT(ISNUMBER($I18)),NOT(ISNUMBER($J18))),"",IF((IFERROR($I18,0)+IFERROR($J18,0))&gt;=Scoring_Criteria!$D$6,5,IF((IFERROR($I18,0)+IFERROR($J18,0))&gt;=Scoring_Criteria!$E$6,4,IF((IFERROR($I18,0)+IFERROR($J18,0))&gt;=Scoring_Criteria!$F$6,3,IF((IFERROR($I18,0)+IFERROR($J18,0))&gt;=Scoring_Criteria!$G$6,2,1))))),"")</f>
        <v>4</v>
      </c>
      <c r="AA18" s="26">
        <f>IFERROR(IF(NOT(ISNUMBER($M18)),"",IF($M18&gt;=Scoring_Criteria!$D$7,5,IF($M18&gt;=Scoring_Criteria!$E$7,4,IF($M18&gt;=Scoring_Criteria!$F$7,3,IF($M18&gt;=Scoring_Criteria!$G$7,2,1))))),"")</f>
        <v>2</v>
      </c>
      <c r="AB18" s="26">
        <f>IFERROR(IF(NOT(ISNUMBER($T18)),"",IF($T18&gt;=Scoring_Criteria!$D$8,5,IF($T18&gt;=Scoring_Criteria!$E$8,4,IF($T18&gt;=Scoring_Criteria!$F$8,3,IF($T18&gt;=Scoring_Criteria!$G$8,2,1))))),"")</f>
        <v>1</v>
      </c>
      <c r="AC18" s="26" t="str">
        <f>IFERROR(IF(NOT(ISNUMBER($U18)),"",IF($U18&lt;=Scoring_Criteria!$D$9,5,IF($U18&lt;=Scoring_Criteria!$E$9,4,IF($U18&lt;=Scoring_Criteria!$F$9,3,IF($U18&lt;=Scoring_Criteria!$G$9,2,1))))),"")</f>
        <v/>
      </c>
      <c r="AD18" s="26">
        <f t="array" ref="AD18">IFERROR(IF(NOT(ISNUMBER(_xlfn.XLOOKUP($A18&amp;"|"&amp;$C18,Financials!$A$2:$A$201&amp;"|"&amp;Financials!$B$2:$B$201,Financials!$AD$2:$AD$201,""))),"",IF(_xlfn.XLOOKUP($A18&amp;"|"&amp;$C18,Financials!$A$2:$A$201&amp;"|"&amp;Financials!$B$2:$B$201,Financials!$AD$2:$AD$201,"")&gt;=Scoring_Criteria!$D$10,5,IF(_xlfn.XLOOKUP($A18&amp;"|"&amp;$C18,Financials!$A$2:$A$201&amp;"|"&amp;Financials!$B$2:$B$201,Financials!$AD$2:$AD$201,"")&gt;=Scoring_Criteria!$E$10,4,IF(_xlfn.XLOOKUP($A18&amp;"|"&amp;$C18,Financials!$A$2:$A$201&amp;"|"&amp;Financials!$B$2:$B$201,Financials!$AD$2:$AD$201,"")&gt;=Scoring_Criteria!$F$10,3,IF(_xlfn.XLOOKUP($A18&amp;"|"&amp;$C18,Financials!$A$2:$A$201&amp;"|"&amp;Financials!$B$2:$B$201,Financials!$AD$2:$AD$201,"")&gt;=Scoring_Criteria!$G$10,2,1))))),"")</f>
        <v>1</v>
      </c>
      <c r="AE18" s="27"/>
      <c r="AF18" s="27"/>
      <c r="AG18" s="28">
        <f t="shared" si="4"/>
        <v>2.8333333333333335</v>
      </c>
      <c r="AH18" s="29"/>
      <c r="AI18" s="29"/>
      <c r="AJ18" s="29"/>
      <c r="AK18" s="29"/>
      <c r="AL18" s="29"/>
      <c r="AM18" s="29"/>
      <c r="AN18" s="29"/>
      <c r="AO18" s="29"/>
      <c r="AP18" s="29"/>
      <c r="AQ18" s="29"/>
      <c r="AR18" s="29"/>
      <c r="AS18" s="29"/>
      <c r="AT18" s="29"/>
      <c r="AU18" s="46" t="str">
        <f>IFERROR(Validation_Summary!Q5,"")</f>
        <v>✓ All 8 checks passed</v>
      </c>
    </row>
    <row r="19" spans="1:47" ht="15" customHeight="1" x14ac:dyDescent="0.3">
      <c r="A19" s="6" t="s">
        <v>1412</v>
      </c>
      <c r="B19" s="19" t="str">
        <f t="array" ref="B19">IFERROR(_xlfn.XLOOKUP($A19&amp;"|"&amp;$C19,'Company_Master'!$A$2:$A$94&amp;"|"&amp;'Company_Master'!$D$2:$D$94,'Company_Master'!$B$2:$B$94,""),"")</f>
        <v>BWPT</v>
      </c>
      <c r="C19" s="20">
        <v>2025</v>
      </c>
      <c r="D19" s="19" t="str">
        <f t="array" ref="D19">IFERROR(_xlfn.XLOOKUP($A19&amp;"|"&amp;$C19,'Company_Master'!$A$2:$A$94&amp;"|"&amp;'Company_Master'!$D$2:$D$94,'Company_Master'!$H$2:$H$94,""),"")</f>
        <v>Kalimantan &amp; Papua (mills); plantations in Kalimantan, Sumatra, Sulawesi, Papua</v>
      </c>
      <c r="E19" s="20">
        <f t="array" ref="E19">IFERROR(_xlfn.XLOOKUP($A19&amp;"|"&amp;$C19,Asset_Operations!$A$2:$A$201&amp;"|"&amp;Asset_Operations!$BG$2:$BG$201,Asset_Operations!$B$2:$B$201,""),"")</f>
        <v>74339</v>
      </c>
      <c r="F19" s="20">
        <f t="array" ref="F19">IFERROR(_xlfn.XLOOKUP($A19&amp;"|"&amp;$C19,Asset_Operations!$A$2:$A$201&amp;"|"&amp;Asset_Operations!$BG$2:$BG$201,Asset_Operations!$E$2:$E$201,""),"")</f>
        <v>74068</v>
      </c>
      <c r="G19" s="20">
        <f t="array" ref="G19">IFERROR(_xlfn.XLOOKUP($A19&amp;"|"&amp;$C19,Asset_Operations!$A$2:$A$201&amp;"|"&amp;Asset_Operations!$BG$2:$BG$201,Asset_Operations!$I$2:$I$201,""),"")</f>
        <v>0</v>
      </c>
      <c r="H19" s="20">
        <f t="array" ref="H19">IFERROR(_xlfn.XLOOKUP($A19&amp;"|"&amp;$C19,Asset_Operations!$A$2:$A$201&amp;"|"&amp;Asset_Operations!$BG$2:$BG$201,Asset_Operations!$J$2:$J$201,""),"")</f>
        <v>0</v>
      </c>
      <c r="I19" s="20">
        <f t="array" ref="I19">IFERROR(_xlfn.XLOOKUP($A19&amp;"|"&amp;$C19,Asset_Operations!$A$2:$A$201&amp;"|"&amp;Asset_Operations!$BG$2:$BG$201,Asset_Operations!$O$2:$O$201,""),"")</f>
        <v>7</v>
      </c>
      <c r="J19" s="20">
        <f t="array" ref="J19">IFERROR(_xlfn.XLOOKUP($A19&amp;"|"&amp;$C19,Asset_Operations!$A$2:$A$201&amp;"|"&amp;Asset_Operations!$BG$2:$BG$201,Asset_Operations!$S$2:$S$201,""),"")</f>
        <v>0</v>
      </c>
      <c r="K19" s="20">
        <f t="array" ref="K19">IFERROR(_xlfn.XLOOKUP($A19&amp;"|"&amp;$C19,Asset_Operations!$A$2:$A$201&amp;"|"&amp;Asset_Operations!$BG$2:$BG$201,Asset_Operations!$AC$2:$AC$201,""),"")</f>
        <v>0</v>
      </c>
      <c r="L19" s="20">
        <f t="array" ref="L19">IFERROR(_xlfn.XLOOKUP($A19&amp;"|"&amp;$C19,Asset_Operations!$A$2:$A$201&amp;"|"&amp;Asset_Operations!$BG$2:$BG$201,Asset_Operations!$AG$2:$AG$201,""),"")</f>
        <v>0</v>
      </c>
      <c r="M19" s="20">
        <f t="array" ref="M19">IFERROR(_xlfn.XLOOKUP($A19&amp;"|"&amp;$C19,Asset_Operations!$A$2:$A$201&amp;"|"&amp;Asset_Operations!$BG$2:$BG$201,Asset_Operations!$AO$2:$AO$201,""),"")</f>
        <v>0</v>
      </c>
      <c r="N19" s="21" t="str">
        <f t="array" ref="N19">IFERROR(_xlfn.XLOOKUP($A19&amp;"|"&amp;$C19,Asset_Operations!$A$2:$A$201&amp;"|"&amp;Asset_Operations!$BG$2:$BG$201,Asset_Operations!$AR$2:$AR$201,""),"")</f>
        <v/>
      </c>
      <c r="O19" s="22">
        <f t="array" ref="O19">IFERROR(_xlfn.XLOOKUP($A19&amp;"|"&amp;$C19,Financials!$A$2:$A$201&amp;"|"&amp;Financials!$B$2:$B$201,Financials!$C$2:$C$201,""),"")</f>
        <v>5761.3</v>
      </c>
      <c r="P19" s="22">
        <f t="array" ref="P19">IFERROR(_xlfn.XLOOKUP($A19&amp;"|"&amp;$C19,Financials!$A$2:$A$201&amp;"|"&amp;Financials!$B$2:$B$201,Financials!$E$2:$E$201,""),"")</f>
        <v>0</v>
      </c>
      <c r="Q19" s="22">
        <f t="array" ref="Q19">IFERROR(_xlfn.XLOOKUP($A19&amp;"|"&amp;$C19,Financials!$A$2:$A$201&amp;"|"&amp;Financials!$B$2:$B$201,Financials!$G$2:$G$201,""),"")</f>
        <v>379.11</v>
      </c>
      <c r="R19" s="22">
        <f t="array" ref="R19">IFERROR(_xlfn.XLOOKUP($A19&amp;"|"&amp;$C19,Financials!$A$2:$A$201&amp;"|"&amp;Financials!$B$2:$B$201,Financials!$S$2:$S$201,""),"")</f>
        <v>3894.7</v>
      </c>
      <c r="S19" s="22">
        <f t="array" ref="S19">IFERROR(_xlfn.XLOOKUP($A19&amp;"|"&amp;$C19,Financials!$A$2:$A$201&amp;"|"&amp;Financials!$B$2:$B$201,Financials!$AC$2:$AC$201,""),"")</f>
        <v>0</v>
      </c>
      <c r="T19" s="23">
        <f t="shared" si="0"/>
        <v>0</v>
      </c>
      <c r="U19" s="24" t="str">
        <f t="shared" si="1"/>
        <v/>
      </c>
      <c r="V19" s="25">
        <f t="shared" si="2"/>
        <v>7.7500369926956247E-2</v>
      </c>
      <c r="W19" s="24">
        <f t="shared" si="3"/>
        <v>0</v>
      </c>
      <c r="X19" s="26">
        <f>IFERROR(IF(NOT(ISNUMBER($E19)),"",IF($E19&gt;=Scoring_Criteria!$D$4,5,IF($E19&gt;=Scoring_Criteria!$E$4,4,IF($E19&gt;=Scoring_Criteria!$F$4,3,IF($E19&gt;=Scoring_Criteria!$G$4,2,1))))),"")</f>
        <v>3</v>
      </c>
      <c r="Y19" s="26">
        <f>IFERROR(IF(OR(NOT(ISNUMBER($F19)),NOT(ISNUMBER($E19)),$E19=0),"",IF(($F19/$E19)&gt;=Scoring_Criteria!$D$5,5,IF(($F19/$E19)&gt;=Scoring_Criteria!$E$5,4,IF(($F19/$E19)&gt;=Scoring_Criteria!$F$5,3,IF(($F19/$E19)&gt;=Scoring_Criteria!$G$5,2,1))))),"")</f>
        <v>5</v>
      </c>
      <c r="Z19" s="26">
        <f>IFERROR(IF(AND(NOT(ISNUMBER($I19)),NOT(ISNUMBER($J19))),"",IF((IFERROR($I19,0)+IFERROR($J19,0))&gt;=Scoring_Criteria!$D$6,5,IF((IFERROR($I19,0)+IFERROR($J19,0))&gt;=Scoring_Criteria!$E$6,4,IF((IFERROR($I19,0)+IFERROR($J19,0))&gt;=Scoring_Criteria!$F$6,3,IF((IFERROR($I19,0)+IFERROR($J19,0))&gt;=Scoring_Criteria!$G$6,2,1))))),"")</f>
        <v>4</v>
      </c>
      <c r="AA19" s="26">
        <f>IFERROR(IF(NOT(ISNUMBER($M19)),"",IF($M19&gt;=Scoring_Criteria!$D$7,5,IF($M19&gt;=Scoring_Criteria!$E$7,4,IF($M19&gt;=Scoring_Criteria!$F$7,3,IF($M19&gt;=Scoring_Criteria!$G$7,2,1))))),"")</f>
        <v>1</v>
      </c>
      <c r="AB19" s="26">
        <f>IFERROR(IF(NOT(ISNUMBER($T19)),"",IF($T19&gt;=Scoring_Criteria!$D$8,5,IF($T19&gt;=Scoring_Criteria!$E$8,4,IF($T19&gt;=Scoring_Criteria!$F$8,3,IF($T19&gt;=Scoring_Criteria!$G$8,2,1))))),"")</f>
        <v>1</v>
      </c>
      <c r="AC19" s="26" t="str">
        <f>IFERROR(IF(NOT(ISNUMBER($U19)),"",IF($U19&lt;=Scoring_Criteria!$D$9,5,IF($U19&lt;=Scoring_Criteria!$E$9,4,IF($U19&lt;=Scoring_Criteria!$F$9,3,IF($U19&lt;=Scoring_Criteria!$G$9,2,1))))),"")</f>
        <v/>
      </c>
      <c r="AD19" s="26">
        <f t="array" ref="AD19">IFERROR(IF(NOT(ISNUMBER(_xlfn.XLOOKUP($A19&amp;"|"&amp;$C19,Financials!$A$2:$A$201&amp;"|"&amp;Financials!$B$2:$B$201,Financials!$AD$2:$AD$201,""))),"",IF(_xlfn.XLOOKUP($A19&amp;"|"&amp;$C19,Financials!$A$2:$A$201&amp;"|"&amp;Financials!$B$2:$B$201,Financials!$AD$2:$AD$201,"")&gt;=Scoring_Criteria!$D$10,5,IF(_xlfn.XLOOKUP($A19&amp;"|"&amp;$C19,Financials!$A$2:$A$201&amp;"|"&amp;Financials!$B$2:$B$201,Financials!$AD$2:$AD$201,"")&gt;=Scoring_Criteria!$E$10,4,IF(_xlfn.XLOOKUP($A19&amp;"|"&amp;$C19,Financials!$A$2:$A$201&amp;"|"&amp;Financials!$B$2:$B$201,Financials!$AD$2:$AD$201,"")&gt;=Scoring_Criteria!$F$10,3,IF(_xlfn.XLOOKUP($A19&amp;"|"&amp;$C19,Financials!$A$2:$A$201&amp;"|"&amp;Financials!$B$2:$B$201,Financials!$AD$2:$AD$201,"")&gt;=Scoring_Criteria!$G$10,2,1))))),"")</f>
        <v>1</v>
      </c>
      <c r="AE19" s="27"/>
      <c r="AF19" s="27"/>
      <c r="AG19" s="28">
        <f t="shared" si="4"/>
        <v>2.5</v>
      </c>
      <c r="AH19" s="29"/>
      <c r="AI19" s="29"/>
      <c r="AJ19" s="29"/>
      <c r="AK19" s="29"/>
      <c r="AL19" s="29"/>
      <c r="AM19" s="29"/>
      <c r="AN19" s="29"/>
      <c r="AO19" s="29"/>
      <c r="AP19" s="29"/>
      <c r="AQ19" s="29"/>
      <c r="AR19" s="29"/>
      <c r="AS19" s="29"/>
      <c r="AT19" s="29"/>
      <c r="AU19" s="46" t="str">
        <f>IFERROR(Validation_Summary!Q5,"")</f>
        <v>✓ All 8 checks passed</v>
      </c>
    </row>
    <row r="20" spans="1:47" ht="15" customHeight="1" x14ac:dyDescent="0.3">
      <c r="A20" s="6" t="s">
        <v>1625</v>
      </c>
      <c r="B20" s="19" t="str">
        <f t="array" ref="B20">IFERROR(_xlfn.XLOOKUP($A20&amp;"|"&amp;$C20,'Company_Master'!$A$2:$A$94&amp;"|"&amp;'Company_Master'!$D$2:$D$94,'Company_Master'!$B$2:$B$94,""),"")</f>
        <v>CBUT</v>
      </c>
      <c r="C20" s="20">
        <v>2023</v>
      </c>
      <c r="D20" s="19" t="str">
        <f t="array" ref="D20">IFERROR(_xlfn.XLOOKUP($A20&amp;"|"&amp;$C20,'Company_Master'!$A$2:$A$94&amp;"|"&amp;'Company_Master'!$D$2:$D$94,'Company_Master'!$H$2:$H$94,""),"")</f>
        <v>Kalimantan</v>
      </c>
      <c r="E20" s="20">
        <f t="array" ref="E20">IFERROR(_xlfn.XLOOKUP($A20&amp;"|"&amp;$C20,Asset_Operations!$A$2:$A$201&amp;"|"&amp;Asset_Operations!$BG$2:$BG$201,Asset_Operations!$B$2:$B$201,""),"")</f>
        <v>0</v>
      </c>
      <c r="F20" s="20">
        <f t="array" ref="F20">IFERROR(_xlfn.XLOOKUP($A20&amp;"|"&amp;$C20,Asset_Operations!$A$2:$A$201&amp;"|"&amp;Asset_Operations!$BG$2:$BG$201,Asset_Operations!$E$2:$E$201,""),"")</f>
        <v>0</v>
      </c>
      <c r="G20" s="20">
        <f t="array" ref="G20">IFERROR(_xlfn.XLOOKUP($A20&amp;"|"&amp;$C20,Asset_Operations!$A$2:$A$201&amp;"|"&amp;Asset_Operations!$BG$2:$BG$201,Asset_Operations!$I$2:$I$201,""),"")</f>
        <v>0</v>
      </c>
      <c r="H20" s="20">
        <f t="array" ref="H20">IFERROR(_xlfn.XLOOKUP($A20&amp;"|"&amp;$C20,Asset_Operations!$A$2:$A$201&amp;"|"&amp;Asset_Operations!$BG$2:$BG$201,Asset_Operations!$J$2:$J$201,""),"")</f>
        <v>0</v>
      </c>
      <c r="I20" s="20">
        <f t="array" ref="I20">IFERROR(_xlfn.XLOOKUP($A20&amp;"|"&amp;$C20,Asset_Operations!$A$2:$A$201&amp;"|"&amp;Asset_Operations!$BG$2:$BG$201,Asset_Operations!$O$2:$O$201,""),"")</f>
        <v>0</v>
      </c>
      <c r="J20" s="20">
        <f t="array" ref="J20">IFERROR(_xlfn.XLOOKUP($A20&amp;"|"&amp;$C20,Asset_Operations!$A$2:$A$201&amp;"|"&amp;Asset_Operations!$BG$2:$BG$201,Asset_Operations!$S$2:$S$201,""),"")</f>
        <v>1</v>
      </c>
      <c r="K20" s="20">
        <f t="array" ref="K20">IFERROR(_xlfn.XLOOKUP($A20&amp;"|"&amp;$C20,Asset_Operations!$A$2:$A$201&amp;"|"&amp;Asset_Operations!$BG$2:$BG$201,Asset_Operations!$AC$2:$AC$201,""),"")</f>
        <v>0</v>
      </c>
      <c r="L20" s="20">
        <f t="array" ref="L20">IFERROR(_xlfn.XLOOKUP($A20&amp;"|"&amp;$C20,Asset_Operations!$A$2:$A$201&amp;"|"&amp;Asset_Operations!$BG$2:$BG$201,Asset_Operations!$AG$2:$AG$201,""),"")</f>
        <v>0</v>
      </c>
      <c r="M20" s="20" t="str">
        <f t="array" ref="M20">IFERROR(_xlfn.XLOOKUP($A20&amp;"|"&amp;$C20,Asset_Operations!$A$2:$A$201&amp;"|"&amp;Asset_Operations!$BG$2:$BG$201,Asset_Operations!$AO$2:$AO$201,""),"")</f>
        <v/>
      </c>
      <c r="N20" s="21" t="str">
        <f t="array" ref="N20">IFERROR(_xlfn.XLOOKUP($A20&amp;"|"&amp;$C20,Asset_Operations!$A$2:$A$201&amp;"|"&amp;Asset_Operations!$BG$2:$BG$201,Asset_Operations!$AR$2:$AR$201,""),"")</f>
        <v/>
      </c>
      <c r="O20" s="22">
        <f t="array" ref="O20">IFERROR(_xlfn.XLOOKUP($A20&amp;"|"&amp;$C20,Financials!$A$2:$A$201&amp;"|"&amp;Financials!$B$2:$B$201,Financials!$C$2:$C$201,""),"")</f>
        <v>10319.437</v>
      </c>
      <c r="P20" s="22">
        <f t="array" ref="P20">IFERROR(_xlfn.XLOOKUP($A20&amp;"|"&amp;$C20,Financials!$A$2:$A$201&amp;"|"&amp;Financials!$B$2:$B$201,Financials!$E$2:$E$201,""),"")</f>
        <v>0</v>
      </c>
      <c r="Q20" s="22">
        <f t="array" ref="Q20">IFERROR(_xlfn.XLOOKUP($A20&amp;"|"&amp;$C20,Financials!$A$2:$A$201&amp;"|"&amp;Financials!$B$2:$B$201,Financials!$G$2:$G$201,""),"")</f>
        <v>144.24199999999999</v>
      </c>
      <c r="R20" s="22">
        <f t="array" ref="R20">IFERROR(_xlfn.XLOOKUP($A20&amp;"|"&amp;$C20,Financials!$A$2:$A$201&amp;"|"&amp;Financials!$B$2:$B$201,Financials!$S$2:$S$201,""),"")</f>
        <v>2682.5370000000003</v>
      </c>
      <c r="S20" s="22">
        <f t="array" ref="S20">IFERROR(_xlfn.XLOOKUP($A20&amp;"|"&amp;$C20,Financials!$A$2:$A$201&amp;"|"&amp;Financials!$B$2:$B$201,Financials!$AC$2:$AC$201,""),"")</f>
        <v>5515.625</v>
      </c>
      <c r="T20" s="23">
        <f t="shared" si="0"/>
        <v>0</v>
      </c>
      <c r="U20" s="24" t="str">
        <f t="shared" si="1"/>
        <v/>
      </c>
      <c r="V20" s="25" t="str">
        <f t="shared" si="2"/>
        <v/>
      </c>
      <c r="W20" s="24" t="str">
        <f t="shared" si="3"/>
        <v/>
      </c>
      <c r="X20" s="26">
        <f>IFERROR(IF(NOT(ISNUMBER($E20)),"",IF($E20&gt;=Scoring_Criteria!$D$4,5,IF($E20&gt;=Scoring_Criteria!$E$4,4,IF($E20&gt;=Scoring_Criteria!$F$4,3,IF($E20&gt;=Scoring_Criteria!$G$4,2,1))))),"")</f>
        <v>1</v>
      </c>
      <c r="Y20" s="26" t="str">
        <f>IFERROR(IF(OR(NOT(ISNUMBER($F20)),NOT(ISNUMBER($E20)),$E20=0),"",IF(($F20/$E20)&gt;=Scoring_Criteria!$D$5,5,IF(($F20/$E20)&gt;=Scoring_Criteria!$E$5,4,IF(($F20/$E20)&gt;=Scoring_Criteria!$F$5,3,IF(($F20/$E20)&gt;=Scoring_Criteria!$G$5,2,1))))),"")</f>
        <v/>
      </c>
      <c r="Z20" s="26">
        <f>IFERROR(IF(AND(NOT(ISNUMBER($I20)),NOT(ISNUMBER($J20))),"",IF((IFERROR($I20,0)+IFERROR($J20,0))&gt;=Scoring_Criteria!$D$6,5,IF((IFERROR($I20,0)+IFERROR($J20,0))&gt;=Scoring_Criteria!$E$6,4,IF((IFERROR($I20,0)+IFERROR($J20,0))&gt;=Scoring_Criteria!$F$6,3,IF((IFERROR($I20,0)+IFERROR($J20,0))&gt;=Scoring_Criteria!$G$6,2,1))))),"")</f>
        <v>1</v>
      </c>
      <c r="AA20" s="26" t="str">
        <f>IFERROR(IF(NOT(ISNUMBER($M20)),"",IF($M20&gt;=Scoring_Criteria!$D$7,5,IF($M20&gt;=Scoring_Criteria!$E$7,4,IF($M20&gt;=Scoring_Criteria!$F$7,3,IF($M20&gt;=Scoring_Criteria!$G$7,2,1))))),"")</f>
        <v/>
      </c>
      <c r="AB20" s="26">
        <f>IFERROR(IF(NOT(ISNUMBER($T20)),"",IF($T20&gt;=Scoring_Criteria!$D$8,5,IF($T20&gt;=Scoring_Criteria!$E$8,4,IF($T20&gt;=Scoring_Criteria!$F$8,3,IF($T20&gt;=Scoring_Criteria!$G$8,2,1))))),"")</f>
        <v>1</v>
      </c>
      <c r="AC20" s="26" t="str">
        <f>IFERROR(IF(NOT(ISNUMBER($U20)),"",IF($U20&lt;=Scoring_Criteria!$D$9,5,IF($U20&lt;=Scoring_Criteria!$E$9,4,IF($U20&lt;=Scoring_Criteria!$F$9,3,IF($U20&lt;=Scoring_Criteria!$G$9,2,1))))),"")</f>
        <v/>
      </c>
      <c r="AD20" s="26">
        <f t="array" ref="AD20">IFERROR(IF(NOT(ISNUMBER(_xlfn.XLOOKUP($A20&amp;"|"&amp;$C20,Financials!$A$2:$A$201&amp;"|"&amp;Financials!$B$2:$B$201,Financials!$AD$2:$AD$201,""))),"",IF(_xlfn.XLOOKUP($A20&amp;"|"&amp;$C20,Financials!$A$2:$A$201&amp;"|"&amp;Financials!$B$2:$B$201,Financials!$AD$2:$AD$201,"")&gt;=Scoring_Criteria!$D$10,5,IF(_xlfn.XLOOKUP($A20&amp;"|"&amp;$C20,Financials!$A$2:$A$201&amp;"|"&amp;Financials!$B$2:$B$201,Financials!$AD$2:$AD$201,"")&gt;=Scoring_Criteria!$E$10,4,IF(_xlfn.XLOOKUP($A20&amp;"|"&amp;$C20,Financials!$A$2:$A$201&amp;"|"&amp;Financials!$B$2:$B$201,Financials!$AD$2:$AD$201,"")&gt;=Scoring_Criteria!$F$10,3,IF(_xlfn.XLOOKUP($A20&amp;"|"&amp;$C20,Financials!$A$2:$A$201&amp;"|"&amp;Financials!$B$2:$B$201,Financials!$AD$2:$AD$201,"")&gt;=Scoring_Criteria!$G$10,2,1))))),"")</f>
        <v>3</v>
      </c>
      <c r="AE20" s="27"/>
      <c r="AF20" s="27"/>
      <c r="AG20" s="28">
        <f t="shared" si="4"/>
        <v>1.5</v>
      </c>
      <c r="AH20" s="29"/>
      <c r="AI20" s="29"/>
      <c r="AJ20" s="29"/>
      <c r="AK20" s="29"/>
      <c r="AL20" s="29"/>
      <c r="AM20" s="29"/>
      <c r="AN20" s="29"/>
      <c r="AO20" s="29"/>
      <c r="AP20" s="29"/>
      <c r="AQ20" s="29"/>
      <c r="AR20" s="29"/>
      <c r="AS20" s="29"/>
      <c r="AT20" s="29"/>
      <c r="AU20" s="46" t="str">
        <f>IFERROR(Validation_Summary!Q5,"")</f>
        <v>✓ All 8 checks passed</v>
      </c>
    </row>
    <row r="21" spans="1:47" ht="15" customHeight="1" x14ac:dyDescent="0.3">
      <c r="A21" s="6" t="s">
        <v>1625</v>
      </c>
      <c r="B21" s="19" t="str">
        <f t="array" ref="B21">IFERROR(_xlfn.XLOOKUP($A21&amp;"|"&amp;$C21,'Company_Master'!$A$2:$A$94&amp;"|"&amp;'Company_Master'!$D$2:$D$94,'Company_Master'!$B$2:$B$94,""),"")</f>
        <v>CBUT</v>
      </c>
      <c r="C21" s="20">
        <v>2024</v>
      </c>
      <c r="D21" s="19" t="str">
        <f t="array" ref="D21">IFERROR(_xlfn.XLOOKUP($A21&amp;"|"&amp;$C21,'Company_Master'!$A$2:$A$94&amp;"|"&amp;'Company_Master'!$D$2:$D$94,'Company_Master'!$H$2:$H$94,""),"")</f>
        <v>Kalimantan</v>
      </c>
      <c r="E21" s="20">
        <f t="array" ref="E21">IFERROR(_xlfn.XLOOKUP($A21&amp;"|"&amp;$C21,Asset_Operations!$A$2:$A$201&amp;"|"&amp;Asset_Operations!$BG$2:$BG$201,Asset_Operations!$B$2:$B$201,""),"")</f>
        <v>0</v>
      </c>
      <c r="F21" s="20">
        <f t="array" ref="F21">IFERROR(_xlfn.XLOOKUP($A21&amp;"|"&amp;$C21,Asset_Operations!$A$2:$A$201&amp;"|"&amp;Asset_Operations!$BG$2:$BG$201,Asset_Operations!$E$2:$E$201,""),"")</f>
        <v>0</v>
      </c>
      <c r="G21" s="20">
        <f t="array" ref="G21">IFERROR(_xlfn.XLOOKUP($A21&amp;"|"&amp;$C21,Asset_Operations!$A$2:$A$201&amp;"|"&amp;Asset_Operations!$BG$2:$BG$201,Asset_Operations!$I$2:$I$201,""),"")</f>
        <v>0</v>
      </c>
      <c r="H21" s="20">
        <f t="array" ref="H21">IFERROR(_xlfn.XLOOKUP($A21&amp;"|"&amp;$C21,Asset_Operations!$A$2:$A$201&amp;"|"&amp;Asset_Operations!$BG$2:$BG$201,Asset_Operations!$J$2:$J$201,""),"")</f>
        <v>0</v>
      </c>
      <c r="I21" s="20">
        <f t="array" ref="I21">IFERROR(_xlfn.XLOOKUP($A21&amp;"|"&amp;$C21,Asset_Operations!$A$2:$A$201&amp;"|"&amp;Asset_Operations!$BG$2:$BG$201,Asset_Operations!$O$2:$O$201,""),"")</f>
        <v>0</v>
      </c>
      <c r="J21" s="20">
        <f t="array" ref="J21">IFERROR(_xlfn.XLOOKUP($A21&amp;"|"&amp;$C21,Asset_Operations!$A$2:$A$201&amp;"|"&amp;Asset_Operations!$BG$2:$BG$201,Asset_Operations!$S$2:$S$201,""),"")</f>
        <v>1</v>
      </c>
      <c r="K21" s="20">
        <f t="array" ref="K21">IFERROR(_xlfn.XLOOKUP($A21&amp;"|"&amp;$C21,Asset_Operations!$A$2:$A$201&amp;"|"&amp;Asset_Operations!$BG$2:$BG$201,Asset_Operations!$AC$2:$AC$201,""),"")</f>
        <v>0</v>
      </c>
      <c r="L21" s="20">
        <f t="array" ref="L21">IFERROR(_xlfn.XLOOKUP($A21&amp;"|"&amp;$C21,Asset_Operations!$A$2:$A$201&amp;"|"&amp;Asset_Operations!$BG$2:$BG$201,Asset_Operations!$AG$2:$AG$201,""),"")</f>
        <v>0</v>
      </c>
      <c r="M21" s="20" t="str">
        <f t="array" ref="M21">IFERROR(_xlfn.XLOOKUP($A21&amp;"|"&amp;$C21,Asset_Operations!$A$2:$A$201&amp;"|"&amp;Asset_Operations!$BG$2:$BG$201,Asset_Operations!$AO$2:$AO$201,""),"")</f>
        <v/>
      </c>
      <c r="N21" s="21" t="str">
        <f t="array" ref="N21">IFERROR(_xlfn.XLOOKUP($A21&amp;"|"&amp;$C21,Asset_Operations!$A$2:$A$201&amp;"|"&amp;Asset_Operations!$BG$2:$BG$201,Asset_Operations!$AR$2:$AR$201,""),"")</f>
        <v/>
      </c>
      <c r="O21" s="22">
        <f t="array" ref="O21">IFERROR(_xlfn.XLOOKUP($A21&amp;"|"&amp;$C21,Financials!$A$2:$A$201&amp;"|"&amp;Financials!$B$2:$B$201,Financials!$C$2:$C$201,""),"")</f>
        <v>9766.1080000000002</v>
      </c>
      <c r="P21" s="22">
        <f t="array" ref="P21">IFERROR(_xlfn.XLOOKUP($A21&amp;"|"&amp;$C21,Financials!$A$2:$A$201&amp;"|"&amp;Financials!$B$2:$B$201,Financials!$E$2:$E$201,""),"")</f>
        <v>0</v>
      </c>
      <c r="Q21" s="22">
        <f t="array" ref="Q21">IFERROR(_xlfn.XLOOKUP($A21&amp;"|"&amp;$C21,Financials!$A$2:$A$201&amp;"|"&amp;Financials!$B$2:$B$201,Financials!$G$2:$G$201,""),"")</f>
        <v>68.186000000000007</v>
      </c>
      <c r="R21" s="22">
        <f t="array" ref="R21">IFERROR(_xlfn.XLOOKUP($A21&amp;"|"&amp;$C21,Financials!$A$2:$A$201&amp;"|"&amp;Financials!$B$2:$B$201,Financials!$S$2:$S$201,""),"")</f>
        <v>2480.0330000000004</v>
      </c>
      <c r="S21" s="22">
        <f t="array" ref="S21">IFERROR(_xlfn.XLOOKUP($A21&amp;"|"&amp;$C21,Financials!$A$2:$A$201&amp;"|"&amp;Financials!$B$2:$B$201,Financials!$AC$2:$AC$201,""),"")</f>
        <v>2953.125</v>
      </c>
      <c r="T21" s="23">
        <f t="shared" si="0"/>
        <v>0</v>
      </c>
      <c r="U21" s="24" t="str">
        <f t="shared" si="1"/>
        <v/>
      </c>
      <c r="V21" s="25" t="str">
        <f t="shared" si="2"/>
        <v/>
      </c>
      <c r="W21" s="24" t="str">
        <f t="shared" si="3"/>
        <v/>
      </c>
      <c r="X21" s="26">
        <f>IFERROR(IF(NOT(ISNUMBER($E21)),"",IF($E21&gt;=Scoring_Criteria!$D$4,5,IF($E21&gt;=Scoring_Criteria!$E$4,4,IF($E21&gt;=Scoring_Criteria!$F$4,3,IF($E21&gt;=Scoring_Criteria!$G$4,2,1))))),"")</f>
        <v>1</v>
      </c>
      <c r="Y21" s="26" t="str">
        <f>IFERROR(IF(OR(NOT(ISNUMBER($F21)),NOT(ISNUMBER($E21)),$E21=0),"",IF(($F21/$E21)&gt;=Scoring_Criteria!$D$5,5,IF(($F21/$E21)&gt;=Scoring_Criteria!$E$5,4,IF(($F21/$E21)&gt;=Scoring_Criteria!$F$5,3,IF(($F21/$E21)&gt;=Scoring_Criteria!$G$5,2,1))))),"")</f>
        <v/>
      </c>
      <c r="Z21" s="26">
        <f>IFERROR(IF(AND(NOT(ISNUMBER($I21)),NOT(ISNUMBER($J21))),"",IF((IFERROR($I21,0)+IFERROR($J21,0))&gt;=Scoring_Criteria!$D$6,5,IF((IFERROR($I21,0)+IFERROR($J21,0))&gt;=Scoring_Criteria!$E$6,4,IF((IFERROR($I21,0)+IFERROR($J21,0))&gt;=Scoring_Criteria!$F$6,3,IF((IFERROR($I21,0)+IFERROR($J21,0))&gt;=Scoring_Criteria!$G$6,2,1))))),"")</f>
        <v>1</v>
      </c>
      <c r="AA21" s="26" t="str">
        <f>IFERROR(IF(NOT(ISNUMBER($M21)),"",IF($M21&gt;=Scoring_Criteria!$D$7,5,IF($M21&gt;=Scoring_Criteria!$E$7,4,IF($M21&gt;=Scoring_Criteria!$F$7,3,IF($M21&gt;=Scoring_Criteria!$G$7,2,1))))),"")</f>
        <v/>
      </c>
      <c r="AB21" s="26">
        <f>IFERROR(IF(NOT(ISNUMBER($T21)),"",IF($T21&gt;=Scoring_Criteria!$D$8,5,IF($T21&gt;=Scoring_Criteria!$E$8,4,IF($T21&gt;=Scoring_Criteria!$F$8,3,IF($T21&gt;=Scoring_Criteria!$G$8,2,1))))),"")</f>
        <v>1</v>
      </c>
      <c r="AC21" s="26" t="str">
        <f>IFERROR(IF(NOT(ISNUMBER($U21)),"",IF($U21&lt;=Scoring_Criteria!$D$9,5,IF($U21&lt;=Scoring_Criteria!$E$9,4,IF($U21&lt;=Scoring_Criteria!$F$9,3,IF($U21&lt;=Scoring_Criteria!$G$9,2,1))))),"")</f>
        <v/>
      </c>
      <c r="AD21" s="26">
        <f t="array" ref="AD21">IFERROR(IF(NOT(ISNUMBER(_xlfn.XLOOKUP($A21&amp;"|"&amp;$C21,Financials!$A$2:$A$201&amp;"|"&amp;Financials!$B$2:$B$201,Financials!$AD$2:$AD$201,""))),"",IF(_xlfn.XLOOKUP($A21&amp;"|"&amp;$C21,Financials!$A$2:$A$201&amp;"|"&amp;Financials!$B$2:$B$201,Financials!$AD$2:$AD$201,"")&gt;=Scoring_Criteria!$D$10,5,IF(_xlfn.XLOOKUP($A21&amp;"|"&amp;$C21,Financials!$A$2:$A$201&amp;"|"&amp;Financials!$B$2:$B$201,Financials!$AD$2:$AD$201,"")&gt;=Scoring_Criteria!$E$10,4,IF(_xlfn.XLOOKUP($A21&amp;"|"&amp;$C21,Financials!$A$2:$A$201&amp;"|"&amp;Financials!$B$2:$B$201,Financials!$AD$2:$AD$201,"")&gt;=Scoring_Criteria!$F$10,3,IF(_xlfn.XLOOKUP($A21&amp;"|"&amp;$C21,Financials!$A$2:$A$201&amp;"|"&amp;Financials!$B$2:$B$201,Financials!$AD$2:$AD$201,"")&gt;=Scoring_Criteria!$G$10,2,1))))),"")</f>
        <v>3</v>
      </c>
      <c r="AE21" s="27"/>
      <c r="AF21" s="27"/>
      <c r="AG21" s="28">
        <f t="shared" si="4"/>
        <v>1.5</v>
      </c>
      <c r="AH21" s="29"/>
      <c r="AI21" s="29"/>
      <c r="AJ21" s="29"/>
      <c r="AK21" s="29"/>
      <c r="AL21" s="29"/>
      <c r="AM21" s="29"/>
      <c r="AN21" s="29"/>
      <c r="AO21" s="29"/>
      <c r="AP21" s="29"/>
      <c r="AQ21" s="29"/>
      <c r="AR21" s="29"/>
      <c r="AS21" s="29"/>
      <c r="AT21" s="29"/>
      <c r="AU21" s="46" t="str">
        <f>IFERROR(Validation_Summary!Q5,"")</f>
        <v>✓ All 8 checks passed</v>
      </c>
    </row>
    <row r="22" spans="1:47" ht="15" customHeight="1" x14ac:dyDescent="0.3">
      <c r="A22" s="6" t="s">
        <v>1625</v>
      </c>
      <c r="B22" s="19" t="str">
        <f t="array" ref="B22">IFERROR(_xlfn.XLOOKUP($A22&amp;"|"&amp;$C22,'Company_Master'!$A$2:$A$94&amp;"|"&amp;'Company_Master'!$D$2:$D$94,'Company_Master'!$B$2:$B$94,""),"")</f>
        <v>CBUT</v>
      </c>
      <c r="C22" s="20">
        <v>2025</v>
      </c>
      <c r="D22" s="19" t="str">
        <f t="array" ref="D22">IFERROR(_xlfn.XLOOKUP($A22&amp;"|"&amp;$C22,'Company_Master'!$A$2:$A$94&amp;"|"&amp;'Company_Master'!$D$2:$D$94,'Company_Master'!$H$2:$H$94,""),"")</f>
        <v>Kalimantan</v>
      </c>
      <c r="E22" s="20">
        <f t="array" ref="E22">IFERROR(_xlfn.XLOOKUP($A22&amp;"|"&amp;$C22,Asset_Operations!$A$2:$A$201&amp;"|"&amp;Asset_Operations!$BG$2:$BG$201,Asset_Operations!$B$2:$B$201,""),"")</f>
        <v>0</v>
      </c>
      <c r="F22" s="20">
        <f t="array" ref="F22">IFERROR(_xlfn.XLOOKUP($A22&amp;"|"&amp;$C22,Asset_Operations!$A$2:$A$201&amp;"|"&amp;Asset_Operations!$BG$2:$BG$201,Asset_Operations!$E$2:$E$201,""),"")</f>
        <v>0</v>
      </c>
      <c r="G22" s="20">
        <f t="array" ref="G22">IFERROR(_xlfn.XLOOKUP($A22&amp;"|"&amp;$C22,Asset_Operations!$A$2:$A$201&amp;"|"&amp;Asset_Operations!$BG$2:$BG$201,Asset_Operations!$I$2:$I$201,""),"")</f>
        <v>0</v>
      </c>
      <c r="H22" s="20">
        <f t="array" ref="H22">IFERROR(_xlfn.XLOOKUP($A22&amp;"|"&amp;$C22,Asset_Operations!$A$2:$A$201&amp;"|"&amp;Asset_Operations!$BG$2:$BG$201,Asset_Operations!$J$2:$J$201,""),"")</f>
        <v>0</v>
      </c>
      <c r="I22" s="20">
        <f t="array" ref="I22">IFERROR(_xlfn.XLOOKUP($A22&amp;"|"&amp;$C22,Asset_Operations!$A$2:$A$201&amp;"|"&amp;Asset_Operations!$BG$2:$BG$201,Asset_Operations!$O$2:$O$201,""),"")</f>
        <v>0</v>
      </c>
      <c r="J22" s="20">
        <f t="array" ref="J22">IFERROR(_xlfn.XLOOKUP($A22&amp;"|"&amp;$C22,Asset_Operations!$A$2:$A$201&amp;"|"&amp;Asset_Operations!$BG$2:$BG$201,Asset_Operations!$S$2:$S$201,""),"")</f>
        <v>1</v>
      </c>
      <c r="K22" s="20">
        <f t="array" ref="K22">IFERROR(_xlfn.XLOOKUP($A22&amp;"|"&amp;$C22,Asset_Operations!$A$2:$A$201&amp;"|"&amp;Asset_Operations!$BG$2:$BG$201,Asset_Operations!$AC$2:$AC$201,""),"")</f>
        <v>0</v>
      </c>
      <c r="L22" s="20">
        <f t="array" ref="L22">IFERROR(_xlfn.XLOOKUP($A22&amp;"|"&amp;$C22,Asset_Operations!$A$2:$A$201&amp;"|"&amp;Asset_Operations!$BG$2:$BG$201,Asset_Operations!$AG$2:$AG$201,""),"")</f>
        <v>0</v>
      </c>
      <c r="M22" s="20" t="str">
        <f t="array" ref="M22">IFERROR(_xlfn.XLOOKUP($A22&amp;"|"&amp;$C22,Asset_Operations!$A$2:$A$201&amp;"|"&amp;Asset_Operations!$BG$2:$BG$201,Asset_Operations!$AO$2:$AO$201,""),"")</f>
        <v/>
      </c>
      <c r="N22" s="21" t="str">
        <f t="array" ref="N22">IFERROR(_xlfn.XLOOKUP($A22&amp;"|"&amp;$C22,Asset_Operations!$A$2:$A$201&amp;"|"&amp;Asset_Operations!$BG$2:$BG$201,Asset_Operations!$AR$2:$AR$201,""),"")</f>
        <v/>
      </c>
      <c r="O22" s="22">
        <f t="array" ref="O22">IFERROR(_xlfn.XLOOKUP($A22&amp;"|"&amp;$C22,Financials!$A$2:$A$201&amp;"|"&amp;Financials!$B$2:$B$201,Financials!$C$2:$C$201,""),"")</f>
        <v>13970.811</v>
      </c>
      <c r="P22" s="22">
        <f t="array" ref="P22">IFERROR(_xlfn.XLOOKUP($A22&amp;"|"&amp;$C22,Financials!$A$2:$A$201&amp;"|"&amp;Financials!$B$2:$B$201,Financials!$E$2:$E$201,""),"")</f>
        <v>0</v>
      </c>
      <c r="Q22" s="22">
        <f t="array" ref="Q22">IFERROR(_xlfn.XLOOKUP($A22&amp;"|"&amp;$C22,Financials!$A$2:$A$201&amp;"|"&amp;Financials!$B$2:$B$201,Financials!$G$2:$G$201,""),"")</f>
        <v>106.175</v>
      </c>
      <c r="R22" s="22">
        <f t="array" ref="R22">IFERROR(_xlfn.XLOOKUP($A22&amp;"|"&amp;$C22,Financials!$A$2:$A$201&amp;"|"&amp;Financials!$B$2:$B$201,Financials!$S$2:$S$201,""),"")</f>
        <v>1613.0059999999999</v>
      </c>
      <c r="S22" s="22">
        <f t="array" ref="S22">IFERROR(_xlfn.XLOOKUP($A22&amp;"|"&amp;$C22,Financials!$A$2:$A$201&amp;"|"&amp;Financials!$B$2:$B$201,Financials!$AC$2:$AC$201,""),"")</f>
        <v>3265.625</v>
      </c>
      <c r="T22" s="23">
        <f t="shared" si="0"/>
        <v>0</v>
      </c>
      <c r="U22" s="24" t="str">
        <f t="shared" si="1"/>
        <v/>
      </c>
      <c r="V22" s="25" t="str">
        <f t="shared" si="2"/>
        <v/>
      </c>
      <c r="W22" s="24" t="str">
        <f t="shared" si="3"/>
        <v/>
      </c>
      <c r="X22" s="26">
        <f>IFERROR(IF(NOT(ISNUMBER($E22)),"",IF($E22&gt;=Scoring_Criteria!$D$4,5,IF($E22&gt;=Scoring_Criteria!$E$4,4,IF($E22&gt;=Scoring_Criteria!$F$4,3,IF($E22&gt;=Scoring_Criteria!$G$4,2,1))))),"")</f>
        <v>1</v>
      </c>
      <c r="Y22" s="26" t="str">
        <f>IFERROR(IF(OR(NOT(ISNUMBER($F22)),NOT(ISNUMBER($E22)),$E22=0),"",IF(($F22/$E22)&gt;=Scoring_Criteria!$D$5,5,IF(($F22/$E22)&gt;=Scoring_Criteria!$E$5,4,IF(($F22/$E22)&gt;=Scoring_Criteria!$F$5,3,IF(($F22/$E22)&gt;=Scoring_Criteria!$G$5,2,1))))),"")</f>
        <v/>
      </c>
      <c r="Z22" s="26">
        <f>IFERROR(IF(AND(NOT(ISNUMBER($I22)),NOT(ISNUMBER($J22))),"",IF((IFERROR($I22,0)+IFERROR($J22,0))&gt;=Scoring_Criteria!$D$6,5,IF((IFERROR($I22,0)+IFERROR($J22,0))&gt;=Scoring_Criteria!$E$6,4,IF((IFERROR($I22,0)+IFERROR($J22,0))&gt;=Scoring_Criteria!$F$6,3,IF((IFERROR($I22,0)+IFERROR($J22,0))&gt;=Scoring_Criteria!$G$6,2,1))))),"")</f>
        <v>1</v>
      </c>
      <c r="AA22" s="26" t="str">
        <f>IFERROR(IF(NOT(ISNUMBER($M22)),"",IF($M22&gt;=Scoring_Criteria!$D$7,5,IF($M22&gt;=Scoring_Criteria!$E$7,4,IF($M22&gt;=Scoring_Criteria!$F$7,3,IF($M22&gt;=Scoring_Criteria!$G$7,2,1))))),"")</f>
        <v/>
      </c>
      <c r="AB22" s="26">
        <f>IFERROR(IF(NOT(ISNUMBER($T22)),"",IF($T22&gt;=Scoring_Criteria!$D$8,5,IF($T22&gt;=Scoring_Criteria!$E$8,4,IF($T22&gt;=Scoring_Criteria!$F$8,3,IF($T22&gt;=Scoring_Criteria!$G$8,2,1))))),"")</f>
        <v>1</v>
      </c>
      <c r="AC22" s="26" t="str">
        <f>IFERROR(IF(NOT(ISNUMBER($U22)),"",IF($U22&lt;=Scoring_Criteria!$D$9,5,IF($U22&lt;=Scoring_Criteria!$E$9,4,IF($U22&lt;=Scoring_Criteria!$F$9,3,IF($U22&lt;=Scoring_Criteria!$G$9,2,1))))),"")</f>
        <v/>
      </c>
      <c r="AD22" s="26">
        <f t="array" ref="AD22">IFERROR(IF(NOT(ISNUMBER(_xlfn.XLOOKUP($A22&amp;"|"&amp;$C22,Financials!$A$2:$A$201&amp;"|"&amp;Financials!$B$2:$B$201,Financials!$AD$2:$AD$201,""))),"",IF(_xlfn.XLOOKUP($A22&amp;"|"&amp;$C22,Financials!$A$2:$A$201&amp;"|"&amp;Financials!$B$2:$B$201,Financials!$AD$2:$AD$201,"")&gt;=Scoring_Criteria!$D$10,5,IF(_xlfn.XLOOKUP($A22&amp;"|"&amp;$C22,Financials!$A$2:$A$201&amp;"|"&amp;Financials!$B$2:$B$201,Financials!$AD$2:$AD$201,"")&gt;=Scoring_Criteria!$E$10,4,IF(_xlfn.XLOOKUP($A22&amp;"|"&amp;$C22,Financials!$A$2:$A$201&amp;"|"&amp;Financials!$B$2:$B$201,Financials!$AD$2:$AD$201,"")&gt;=Scoring_Criteria!$F$10,3,IF(_xlfn.XLOOKUP($A22&amp;"|"&amp;$C22,Financials!$A$2:$A$201&amp;"|"&amp;Financials!$B$2:$B$201,Financials!$AD$2:$AD$201,"")&gt;=Scoring_Criteria!$G$10,2,1))))),"")</f>
        <v>3</v>
      </c>
      <c r="AE22" s="27"/>
      <c r="AF22" s="27"/>
      <c r="AG22" s="28">
        <f t="shared" si="4"/>
        <v>1.5</v>
      </c>
      <c r="AH22" s="29"/>
      <c r="AI22" s="29"/>
      <c r="AJ22" s="29"/>
      <c r="AK22" s="29"/>
      <c r="AL22" s="29"/>
      <c r="AM22" s="29"/>
      <c r="AN22" s="29"/>
      <c r="AO22" s="29"/>
      <c r="AP22" s="29"/>
      <c r="AQ22" s="29"/>
      <c r="AR22" s="29"/>
      <c r="AS22" s="29"/>
      <c r="AT22" s="29"/>
      <c r="AU22" s="46" t="str">
        <f>IFERROR(Validation_Summary!Q5,"")</f>
        <v>✓ All 8 checks passed</v>
      </c>
    </row>
    <row r="23" spans="1:47" ht="15" customHeight="1" x14ac:dyDescent="0.3">
      <c r="A23" s="6" t="s">
        <v>1938</v>
      </c>
      <c r="B23" s="19" t="str">
        <f t="array" ref="B23">IFERROR(_xlfn.XLOOKUP($A23&amp;"|"&amp;$C23,'Company_Master'!$A$2:$A$94&amp;"|"&amp;'Company_Master'!$D$2:$D$94,'Company_Master'!$B$2:$B$94,""),"")</f>
        <v>CSRA</v>
      </c>
      <c r="C23" s="20">
        <v>2022</v>
      </c>
      <c r="D23" s="19" t="str">
        <f t="array" ref="D23">IFERROR(_xlfn.XLOOKUP($A23&amp;"|"&amp;$C23,'Company_Master'!$A$2:$A$94&amp;"|"&amp;'Company_Master'!$D$2:$D$94,'Company_Master'!$H$2:$H$94,""),"")</f>
        <v>Sumatra (North &amp; South)</v>
      </c>
      <c r="E23" s="20">
        <f t="array" ref="E23">IFERROR(_xlfn.XLOOKUP($A23&amp;"|"&amp;$C23,Asset_Operations!$A$2:$A$201&amp;"|"&amp;Asset_Operations!$BG$2:$BG$201,Asset_Operations!$B$2:$B$201,""),"")</f>
        <v>19333.900000000001</v>
      </c>
      <c r="F23" s="20">
        <f t="array" ref="F23">IFERROR(_xlfn.XLOOKUP($A23&amp;"|"&amp;$C23,Asset_Operations!$A$2:$A$201&amp;"|"&amp;Asset_Operations!$BG$2:$BG$201,Asset_Operations!$E$2:$E$201,""),"")</f>
        <v>16147.1</v>
      </c>
      <c r="G23" s="20">
        <f t="array" ref="G23">IFERROR(_xlfn.XLOOKUP($A23&amp;"|"&amp;$C23,Asset_Operations!$A$2:$A$201&amp;"|"&amp;Asset_Operations!$BG$2:$BG$201,Asset_Operations!$I$2:$I$201,""),"")</f>
        <v>0</v>
      </c>
      <c r="H23" s="20">
        <f t="array" ref="H23">IFERROR(_xlfn.XLOOKUP($A23&amp;"|"&amp;$C23,Asset_Operations!$A$2:$A$201&amp;"|"&amp;Asset_Operations!$BG$2:$BG$201,Asset_Operations!$J$2:$J$201,""),"")</f>
        <v>0</v>
      </c>
      <c r="I23" s="20">
        <f t="array" ref="I23">IFERROR(_xlfn.XLOOKUP($A23&amp;"|"&amp;$C23,Asset_Operations!$A$2:$A$201&amp;"|"&amp;Asset_Operations!$BG$2:$BG$201,Asset_Operations!$O$2:$O$201,""),"")</f>
        <v>1</v>
      </c>
      <c r="J23" s="20">
        <f t="array" ref="J23">IFERROR(_xlfn.XLOOKUP($A23&amp;"|"&amp;$C23,Asset_Operations!$A$2:$A$201&amp;"|"&amp;Asset_Operations!$BG$2:$BG$201,Asset_Operations!$S$2:$S$201,""),"")</f>
        <v>0</v>
      </c>
      <c r="K23" s="20">
        <f t="array" ref="K23">IFERROR(_xlfn.XLOOKUP($A23&amp;"|"&amp;$C23,Asset_Operations!$A$2:$A$201&amp;"|"&amp;Asset_Operations!$BG$2:$BG$201,Asset_Operations!$AC$2:$AC$201,""),"")</f>
        <v>342464</v>
      </c>
      <c r="L23" s="20">
        <f t="array" ref="L23">IFERROR(_xlfn.XLOOKUP($A23&amp;"|"&amp;$C23,Asset_Operations!$A$2:$A$201&amp;"|"&amp;Asset_Operations!$BG$2:$BG$201,Asset_Operations!$AG$2:$AG$201,""),"")</f>
        <v>35701</v>
      </c>
      <c r="M23" s="20">
        <f t="array" ref="M23">IFERROR(_xlfn.XLOOKUP($A23&amp;"|"&amp;$C23,Asset_Operations!$A$2:$A$201&amp;"|"&amp;Asset_Operations!$BG$2:$BG$201,Asset_Operations!$AO$2:$AO$201,""),"")</f>
        <v>21.209009667370612</v>
      </c>
      <c r="N23" s="21">
        <f t="array" ref="N23">IFERROR(_xlfn.XLOOKUP($A23&amp;"|"&amp;$C23,Asset_Operations!$A$2:$A$201&amp;"|"&amp;Asset_Operations!$BG$2:$BG$201,Asset_Operations!$AR$2:$AR$201,""),"")</f>
        <v>0.20496612699506259</v>
      </c>
      <c r="O23" s="22">
        <f t="array" ref="O23">IFERROR(_xlfn.XLOOKUP($A23&amp;"|"&amp;$C23,Financials!$A$2:$A$201&amp;"|"&amp;Financials!$B$2:$B$201,Financials!$C$2:$C$201,""),"")</f>
        <v>970.572</v>
      </c>
      <c r="P23" s="22">
        <f t="array" ref="P23">IFERROR(_xlfn.XLOOKUP($A23&amp;"|"&amp;$C23,Financials!$A$2:$A$201&amp;"|"&amp;Financials!$B$2:$B$201,Financials!$E$2:$E$201,""),"")</f>
        <v>449.517</v>
      </c>
      <c r="Q23" s="22">
        <f t="array" ref="Q23">IFERROR(_xlfn.XLOOKUP($A23&amp;"|"&amp;$C23,Financials!$A$2:$A$201&amp;"|"&amp;Financials!$B$2:$B$201,Financials!$G$2:$G$201,""),"")</f>
        <v>252.40700000000001</v>
      </c>
      <c r="R23" s="22">
        <f t="array" ref="R23">IFERROR(_xlfn.XLOOKUP($A23&amp;"|"&amp;$C23,Financials!$A$2:$A$201&amp;"|"&amp;Financials!$B$2:$B$201,Financials!$S$2:$S$201,""),"")</f>
        <v>380.96200000000005</v>
      </c>
      <c r="S23" s="22">
        <f t="array" ref="S23">IFERROR(_xlfn.XLOOKUP($A23&amp;"|"&amp;$C23,Financials!$A$2:$A$201&amp;"|"&amp;Financials!$B$2:$B$201,Financials!$AC$2:$AC$201,""),"")</f>
        <v>1168.5</v>
      </c>
      <c r="T23" s="23">
        <f t="shared" si="0"/>
        <v>0.46314647445011808</v>
      </c>
      <c r="U23" s="24">
        <f t="shared" si="1"/>
        <v>0.84749186348903394</v>
      </c>
      <c r="V23" s="25">
        <f t="shared" si="2"/>
        <v>5.0200528605196054E-2</v>
      </c>
      <c r="W23" s="24">
        <f t="shared" si="3"/>
        <v>2.2109852543181128</v>
      </c>
      <c r="X23" s="26">
        <f>IFERROR(IF(NOT(ISNUMBER($E23)),"",IF($E23&gt;=Scoring_Criteria!$D$4,5,IF($E23&gt;=Scoring_Criteria!$E$4,4,IF($E23&gt;=Scoring_Criteria!$F$4,3,IF($E23&gt;=Scoring_Criteria!$G$4,2,1))))),"")</f>
        <v>2</v>
      </c>
      <c r="Y23" s="26">
        <f>IFERROR(IF(OR(NOT(ISNUMBER($F23)),NOT(ISNUMBER($E23)),$E23=0),"",IF(($F23/$E23)&gt;=Scoring_Criteria!$D$5,5,IF(($F23/$E23)&gt;=Scoring_Criteria!$E$5,4,IF(($F23/$E23)&gt;=Scoring_Criteria!$F$5,3,IF(($F23/$E23)&gt;=Scoring_Criteria!$G$5,2,1))))),"")</f>
        <v>5</v>
      </c>
      <c r="Z23" s="26">
        <f>IFERROR(IF(AND(NOT(ISNUMBER($I23)),NOT(ISNUMBER($J23))),"",IF((IFERROR($I23,0)+IFERROR($J23,0))&gt;=Scoring_Criteria!$D$6,5,IF((IFERROR($I23,0)+IFERROR($J23,0))&gt;=Scoring_Criteria!$E$6,4,IF((IFERROR($I23,0)+IFERROR($J23,0))&gt;=Scoring_Criteria!$F$6,3,IF((IFERROR($I23,0)+IFERROR($J23,0))&gt;=Scoring_Criteria!$G$6,2,1))))),"")</f>
        <v>1</v>
      </c>
      <c r="AA23" s="26">
        <f>IFERROR(IF(NOT(ISNUMBER($M23)),"",IF($M23&gt;=Scoring_Criteria!$D$7,5,IF($M23&gt;=Scoring_Criteria!$E$7,4,IF($M23&gt;=Scoring_Criteria!$F$7,3,IF($M23&gt;=Scoring_Criteria!$G$7,2,1))))),"")</f>
        <v>4</v>
      </c>
      <c r="AB23" s="26">
        <f>IFERROR(IF(NOT(ISNUMBER($T23)),"",IF($T23&gt;=Scoring_Criteria!$D$8,5,IF($T23&gt;=Scoring_Criteria!$E$8,4,IF($T23&gt;=Scoring_Criteria!$F$8,3,IF($T23&gt;=Scoring_Criteria!$G$8,2,1))))),"")</f>
        <v>5</v>
      </c>
      <c r="AC23" s="26">
        <f>IFERROR(IF(NOT(ISNUMBER($U23)),"",IF($U23&lt;=Scoring_Criteria!$D$9,5,IF($U23&lt;=Scoring_Criteria!$E$9,4,IF($U23&lt;=Scoring_Criteria!$F$9,3,IF($U23&lt;=Scoring_Criteria!$G$9,2,1))))),"")</f>
        <v>5</v>
      </c>
      <c r="AD23" s="26">
        <f t="array" ref="AD23">IFERROR(IF(NOT(ISNUMBER(_xlfn.XLOOKUP($A23&amp;"|"&amp;$C23,Financials!$A$2:$A$201&amp;"|"&amp;Financials!$B$2:$B$201,Financials!$AD$2:$AD$201,""))),"",IF(_xlfn.XLOOKUP($A23&amp;"|"&amp;$C23,Financials!$A$2:$A$201&amp;"|"&amp;Financials!$B$2:$B$201,Financials!$AD$2:$AD$201,"")&gt;=Scoring_Criteria!$D$10,5,IF(_xlfn.XLOOKUP($A23&amp;"|"&amp;$C23,Financials!$A$2:$A$201&amp;"|"&amp;Financials!$B$2:$B$201,Financials!$AD$2:$AD$201,"")&gt;=Scoring_Criteria!$E$10,4,IF(_xlfn.XLOOKUP($A23&amp;"|"&amp;$C23,Financials!$A$2:$A$201&amp;"|"&amp;Financials!$B$2:$B$201,Financials!$AD$2:$AD$201,"")&gt;=Scoring_Criteria!$F$10,3,IF(_xlfn.XLOOKUP($A23&amp;"|"&amp;$C23,Financials!$A$2:$A$201&amp;"|"&amp;Financials!$B$2:$B$201,Financials!$AD$2:$AD$201,"")&gt;=Scoring_Criteria!$G$10,2,1))))),"")</f>
        <v>5</v>
      </c>
      <c r="AE23" s="27"/>
      <c r="AF23" s="27"/>
      <c r="AG23" s="28">
        <f t="shared" si="4"/>
        <v>3.8571428571428572</v>
      </c>
      <c r="AH23" s="29"/>
      <c r="AI23" s="29"/>
      <c r="AJ23" s="29"/>
      <c r="AK23" s="29"/>
      <c r="AL23" s="29"/>
      <c r="AM23" s="29"/>
      <c r="AN23" s="29"/>
      <c r="AO23" s="29"/>
      <c r="AP23" s="29"/>
      <c r="AQ23" s="29"/>
      <c r="AR23" s="29"/>
      <c r="AS23" s="29"/>
      <c r="AT23" s="29"/>
      <c r="AU23" s="46" t="str">
        <f>IFERROR(Validation_Summary!Q5,"")</f>
        <v>✓ All 8 checks passed</v>
      </c>
    </row>
    <row r="24" spans="1:47" ht="15" customHeight="1" x14ac:dyDescent="0.3">
      <c r="A24" s="6" t="s">
        <v>1938</v>
      </c>
      <c r="B24" s="19" t="str">
        <f t="array" ref="B24">IFERROR(_xlfn.XLOOKUP($A24&amp;"|"&amp;$C24,'Company_Master'!$A$2:$A$94&amp;"|"&amp;'Company_Master'!$D$2:$D$94,'Company_Master'!$B$2:$B$94,""),"")</f>
        <v>CSRA</v>
      </c>
      <c r="C24" s="20">
        <v>2023</v>
      </c>
      <c r="D24" s="19" t="str">
        <f t="array" ref="D24">IFERROR(_xlfn.XLOOKUP($A24&amp;"|"&amp;$C24,'Company_Master'!$A$2:$A$94&amp;"|"&amp;'Company_Master'!$D$2:$D$94,'Company_Master'!$H$2:$H$94,""),"")</f>
        <v>Sumatra (North &amp; South)</v>
      </c>
      <c r="E24" s="20">
        <f t="array" ref="E24">IFERROR(_xlfn.XLOOKUP($A24&amp;"|"&amp;$C24,Asset_Operations!$A$2:$A$201&amp;"|"&amp;Asset_Operations!$BG$2:$BG$201,Asset_Operations!$B$2:$B$201,""),"")</f>
        <v>19552</v>
      </c>
      <c r="F24" s="20">
        <f t="array" ref="F24">IFERROR(_xlfn.XLOOKUP($A24&amp;"|"&amp;$C24,Asset_Operations!$A$2:$A$201&amp;"|"&amp;Asset_Operations!$BG$2:$BG$201,Asset_Operations!$E$2:$E$201,""),"")</f>
        <v>17258.3</v>
      </c>
      <c r="G24" s="20">
        <f t="array" ref="G24">IFERROR(_xlfn.XLOOKUP($A24&amp;"|"&amp;$C24,Asset_Operations!$A$2:$A$201&amp;"|"&amp;Asset_Operations!$BG$2:$BG$201,Asset_Operations!$I$2:$I$201,""),"")</f>
        <v>0</v>
      </c>
      <c r="H24" s="20">
        <f t="array" ref="H24">IFERROR(_xlfn.XLOOKUP($A24&amp;"|"&amp;$C24,Asset_Operations!$A$2:$A$201&amp;"|"&amp;Asset_Operations!$BG$2:$BG$201,Asset_Operations!$J$2:$J$201,""),"")</f>
        <v>0</v>
      </c>
      <c r="I24" s="20">
        <f t="array" ref="I24">IFERROR(_xlfn.XLOOKUP($A24&amp;"|"&amp;$C24,Asset_Operations!$A$2:$A$201&amp;"|"&amp;Asset_Operations!$BG$2:$BG$201,Asset_Operations!$O$2:$O$201,""),"")</f>
        <v>2</v>
      </c>
      <c r="J24" s="20">
        <f t="array" ref="J24">IFERROR(_xlfn.XLOOKUP($A24&amp;"|"&amp;$C24,Asset_Operations!$A$2:$A$201&amp;"|"&amp;Asset_Operations!$BG$2:$BG$201,Asset_Operations!$S$2:$S$201,""),"")</f>
        <v>0</v>
      </c>
      <c r="K24" s="20">
        <f t="array" ref="K24">IFERROR(_xlfn.XLOOKUP($A24&amp;"|"&amp;$C24,Asset_Operations!$A$2:$A$201&amp;"|"&amp;Asset_Operations!$BG$2:$BG$201,Asset_Operations!$AC$2:$AC$201,""),"")</f>
        <v>337367</v>
      </c>
      <c r="L24" s="20">
        <f t="array" ref="L24">IFERROR(_xlfn.XLOOKUP($A24&amp;"|"&amp;$C24,Asset_Operations!$A$2:$A$201&amp;"|"&amp;Asset_Operations!$BG$2:$BG$201,Asset_Operations!$AG$2:$AG$201,""),"")</f>
        <v>48663</v>
      </c>
      <c r="M24" s="20">
        <f t="array" ref="M24">IFERROR(_xlfn.XLOOKUP($A24&amp;"|"&amp;$C24,Asset_Operations!$A$2:$A$201&amp;"|"&amp;Asset_Operations!$BG$2:$BG$201,Asset_Operations!$AO$2:$AO$201,""),"")</f>
        <v>19.548101493194579</v>
      </c>
      <c r="N24" s="21">
        <f t="array" ref="N24">IFERROR(_xlfn.XLOOKUP($A24&amp;"|"&amp;$C24,Asset_Operations!$A$2:$A$201&amp;"|"&amp;Asset_Operations!$BG$2:$BG$201,Asset_Operations!$AR$2:$AR$201,""),"")</f>
        <v>0.2118665836551481</v>
      </c>
      <c r="O24" s="22">
        <f t="array" ref="O24">IFERROR(_xlfn.XLOOKUP($A24&amp;"|"&amp;$C24,Financials!$A$2:$A$201&amp;"|"&amp;Financials!$B$2:$B$201,Financials!$C$2:$C$201,""),"")</f>
        <v>875.51199999999994</v>
      </c>
      <c r="P24" s="22">
        <f t="array" ref="P24">IFERROR(_xlfn.XLOOKUP($A24&amp;"|"&amp;$C24,Financials!$A$2:$A$201&amp;"|"&amp;Financials!$B$2:$B$201,Financials!$E$2:$E$201,""),"")</f>
        <v>317.26100000000002</v>
      </c>
      <c r="Q24" s="22">
        <f t="array" ref="Q24">IFERROR(_xlfn.XLOOKUP($A24&amp;"|"&amp;$C24,Financials!$A$2:$A$201&amp;"|"&amp;Financials!$B$2:$B$201,Financials!$G$2:$G$201,""),"")</f>
        <v>146.13900000000001</v>
      </c>
      <c r="R24" s="22">
        <f t="array" ref="R24">IFERROR(_xlfn.XLOOKUP($A24&amp;"|"&amp;$C24,Financials!$A$2:$A$201&amp;"|"&amp;Financials!$B$2:$B$201,Financials!$S$2:$S$201,""),"")</f>
        <v>483.98099999999999</v>
      </c>
      <c r="S24" s="22">
        <f t="array" ref="S24">IFERROR(_xlfn.XLOOKUP($A24&amp;"|"&amp;$C24,Financials!$A$2:$A$201&amp;"|"&amp;Financials!$B$2:$B$201,Financials!$AC$2:$AC$201,""),"")</f>
        <v>967.6</v>
      </c>
      <c r="T24" s="23">
        <f t="shared" si="0"/>
        <v>0.36237196063560528</v>
      </c>
      <c r="U24" s="24">
        <f t="shared" si="1"/>
        <v>1.525497933877785</v>
      </c>
      <c r="V24" s="25">
        <f t="shared" si="2"/>
        <v>4.4778641571194759E-2</v>
      </c>
      <c r="W24" s="24">
        <f t="shared" si="3"/>
        <v>2.8196867594143109</v>
      </c>
      <c r="X24" s="26">
        <f>IFERROR(IF(NOT(ISNUMBER($E24)),"",IF($E24&gt;=Scoring_Criteria!$D$4,5,IF($E24&gt;=Scoring_Criteria!$E$4,4,IF($E24&gt;=Scoring_Criteria!$F$4,3,IF($E24&gt;=Scoring_Criteria!$G$4,2,1))))),"")</f>
        <v>2</v>
      </c>
      <c r="Y24" s="26">
        <f>IFERROR(IF(OR(NOT(ISNUMBER($F24)),NOT(ISNUMBER($E24)),$E24=0),"",IF(($F24/$E24)&gt;=Scoring_Criteria!$D$5,5,IF(($F24/$E24)&gt;=Scoring_Criteria!$E$5,4,IF(($F24/$E24)&gt;=Scoring_Criteria!$F$5,3,IF(($F24/$E24)&gt;=Scoring_Criteria!$G$5,2,1))))),"")</f>
        <v>5</v>
      </c>
      <c r="Z24" s="26">
        <f>IFERROR(IF(AND(NOT(ISNUMBER($I24)),NOT(ISNUMBER($J24))),"",IF((IFERROR($I24,0)+IFERROR($J24,0))&gt;=Scoring_Criteria!$D$6,5,IF((IFERROR($I24,0)+IFERROR($J24,0))&gt;=Scoring_Criteria!$E$6,4,IF((IFERROR($I24,0)+IFERROR($J24,0))&gt;=Scoring_Criteria!$F$6,3,IF((IFERROR($I24,0)+IFERROR($J24,0))&gt;=Scoring_Criteria!$G$6,2,1))))),"")</f>
        <v>2</v>
      </c>
      <c r="AA24" s="26">
        <f>IFERROR(IF(NOT(ISNUMBER($M24)),"",IF($M24&gt;=Scoring_Criteria!$D$7,5,IF($M24&gt;=Scoring_Criteria!$E$7,4,IF($M24&gt;=Scoring_Criteria!$F$7,3,IF($M24&gt;=Scoring_Criteria!$G$7,2,1))))),"")</f>
        <v>4</v>
      </c>
      <c r="AB24" s="26">
        <f>IFERROR(IF(NOT(ISNUMBER($T24)),"",IF($T24&gt;=Scoring_Criteria!$D$8,5,IF($T24&gt;=Scoring_Criteria!$E$8,4,IF($T24&gt;=Scoring_Criteria!$F$8,3,IF($T24&gt;=Scoring_Criteria!$G$8,2,1))))),"")</f>
        <v>5</v>
      </c>
      <c r="AC24" s="26">
        <f>IFERROR(IF(NOT(ISNUMBER($U24)),"",IF($U24&lt;=Scoring_Criteria!$D$9,5,IF($U24&lt;=Scoring_Criteria!$E$9,4,IF($U24&lt;=Scoring_Criteria!$F$9,3,IF($U24&lt;=Scoring_Criteria!$G$9,2,1))))),"")</f>
        <v>4</v>
      </c>
      <c r="AD24" s="26">
        <f t="array" ref="AD24">IFERROR(IF(NOT(ISNUMBER(_xlfn.XLOOKUP($A24&amp;"|"&amp;$C24,Financials!$A$2:$A$201&amp;"|"&amp;Financials!$B$2:$B$201,Financials!$AD$2:$AD$201,""))),"",IF(_xlfn.XLOOKUP($A24&amp;"|"&amp;$C24,Financials!$A$2:$A$201&amp;"|"&amp;Financials!$B$2:$B$201,Financials!$AD$2:$AD$201,"")&gt;=Scoring_Criteria!$D$10,5,IF(_xlfn.XLOOKUP($A24&amp;"|"&amp;$C24,Financials!$A$2:$A$201&amp;"|"&amp;Financials!$B$2:$B$201,Financials!$AD$2:$AD$201,"")&gt;=Scoring_Criteria!$E$10,4,IF(_xlfn.XLOOKUP($A24&amp;"|"&amp;$C24,Financials!$A$2:$A$201&amp;"|"&amp;Financials!$B$2:$B$201,Financials!$AD$2:$AD$201,"")&gt;=Scoring_Criteria!$F$10,3,IF(_xlfn.XLOOKUP($A24&amp;"|"&amp;$C24,Financials!$A$2:$A$201&amp;"|"&amp;Financials!$B$2:$B$201,Financials!$AD$2:$AD$201,"")&gt;=Scoring_Criteria!$G$10,2,1))))),"")</f>
        <v>4</v>
      </c>
      <c r="AE24" s="27"/>
      <c r="AF24" s="27"/>
      <c r="AG24" s="28">
        <f t="shared" si="4"/>
        <v>3.7142857142857144</v>
      </c>
      <c r="AH24" s="29"/>
      <c r="AI24" s="29"/>
      <c r="AJ24" s="29"/>
      <c r="AK24" s="29"/>
      <c r="AL24" s="29"/>
      <c r="AM24" s="29"/>
      <c r="AN24" s="29"/>
      <c r="AO24" s="29"/>
      <c r="AP24" s="29"/>
      <c r="AQ24" s="29"/>
      <c r="AR24" s="29"/>
      <c r="AS24" s="29"/>
      <c r="AT24" s="29"/>
      <c r="AU24" s="46" t="str">
        <f>IFERROR(Validation_Summary!Q5,"")</f>
        <v>✓ All 8 checks passed</v>
      </c>
    </row>
    <row r="25" spans="1:47" ht="15" customHeight="1" x14ac:dyDescent="0.3">
      <c r="A25" s="6" t="s">
        <v>1938</v>
      </c>
      <c r="B25" s="19" t="str">
        <f t="array" ref="B25">IFERROR(_xlfn.XLOOKUP($A25&amp;"|"&amp;$C25,'Company_Master'!$A$2:$A$94&amp;"|"&amp;'Company_Master'!$D$2:$D$94,'Company_Master'!$B$2:$B$94,""),"")</f>
        <v>CSRA</v>
      </c>
      <c r="C25" s="20">
        <v>2024</v>
      </c>
      <c r="D25" s="19" t="str">
        <f t="array" ref="D25">IFERROR(_xlfn.XLOOKUP($A25&amp;"|"&amp;$C25,'Company_Master'!$A$2:$A$94&amp;"|"&amp;'Company_Master'!$D$2:$D$94,'Company_Master'!$H$2:$H$94,""),"")</f>
        <v>Sumatra (North &amp; South)</v>
      </c>
      <c r="E25" s="20">
        <f t="array" ref="E25">IFERROR(_xlfn.XLOOKUP($A25&amp;"|"&amp;$C25,Asset_Operations!$A$2:$A$201&amp;"|"&amp;Asset_Operations!$BG$2:$BG$201,Asset_Operations!$B$2:$B$201,""),"")</f>
        <v>20067.599999999999</v>
      </c>
      <c r="F25" s="20">
        <f t="array" ref="F25">IFERROR(_xlfn.XLOOKUP($A25&amp;"|"&amp;$C25,Asset_Operations!$A$2:$A$201&amp;"|"&amp;Asset_Operations!$BG$2:$BG$201,Asset_Operations!$E$2:$E$201,""),"")</f>
        <v>17430.900000000001</v>
      </c>
      <c r="G25" s="20">
        <f t="array" ref="G25">IFERROR(_xlfn.XLOOKUP($A25&amp;"|"&amp;$C25,Asset_Operations!$A$2:$A$201&amp;"|"&amp;Asset_Operations!$BG$2:$BG$201,Asset_Operations!$I$2:$I$201,""),"")</f>
        <v>0</v>
      </c>
      <c r="H25" s="20">
        <f t="array" ref="H25">IFERROR(_xlfn.XLOOKUP($A25&amp;"|"&amp;$C25,Asset_Operations!$A$2:$A$201&amp;"|"&amp;Asset_Operations!$BG$2:$BG$201,Asset_Operations!$J$2:$J$201,""),"")</f>
        <v>0</v>
      </c>
      <c r="I25" s="20">
        <f t="array" ref="I25">IFERROR(_xlfn.XLOOKUP($A25&amp;"|"&amp;$C25,Asset_Operations!$A$2:$A$201&amp;"|"&amp;Asset_Operations!$BG$2:$BG$201,Asset_Operations!$O$2:$O$201,""),"")</f>
        <v>2</v>
      </c>
      <c r="J25" s="20">
        <f t="array" ref="J25">IFERROR(_xlfn.XLOOKUP($A25&amp;"|"&amp;$C25,Asset_Operations!$A$2:$A$201&amp;"|"&amp;Asset_Operations!$BG$2:$BG$201,Asset_Operations!$S$2:$S$201,""),"")</f>
        <v>0</v>
      </c>
      <c r="K25" s="20">
        <f t="array" ref="K25">IFERROR(_xlfn.XLOOKUP($A25&amp;"|"&amp;$C25,Asset_Operations!$A$2:$A$201&amp;"|"&amp;Asset_Operations!$BG$2:$BG$201,Asset_Operations!$AC$2:$AC$201,""),"")</f>
        <v>319085</v>
      </c>
      <c r="L25" s="20">
        <f t="array" ref="L25">IFERROR(_xlfn.XLOOKUP($A25&amp;"|"&amp;$C25,Asset_Operations!$A$2:$A$201&amp;"|"&amp;Asset_Operations!$BG$2:$BG$201,Asset_Operations!$AG$2:$AG$201,""),"")</f>
        <v>55700</v>
      </c>
      <c r="M25" s="20">
        <f t="array" ref="M25">IFERROR(_xlfn.XLOOKUP($A25&amp;"|"&amp;$C25,Asset_Operations!$A$2:$A$201&amp;"|"&amp;Asset_Operations!$BG$2:$BG$201,Asset_Operations!$AO$2:$AO$201,""),"")</f>
        <v>18.305709974814839</v>
      </c>
      <c r="N25" s="21">
        <f t="array" ref="N25">IFERROR(_xlfn.XLOOKUP($A25&amp;"|"&amp;$C25,Asset_Operations!$A$2:$A$201&amp;"|"&amp;Asset_Operations!$BG$2:$BG$201,Asset_Operations!$AR$2:$AR$201,""),"")</f>
        <v>0.20952689053818693</v>
      </c>
      <c r="O25" s="22">
        <f t="array" ref="O25">IFERROR(_xlfn.XLOOKUP($A25&amp;"|"&amp;$C25,Financials!$A$2:$A$201&amp;"|"&amp;Financials!$B$2:$B$201,Financials!$C$2:$C$201,""),"")</f>
        <v>1066.759</v>
      </c>
      <c r="P25" s="22">
        <f t="array" ref="P25">IFERROR(_xlfn.XLOOKUP($A25&amp;"|"&amp;$C25,Financials!$A$2:$A$201&amp;"|"&amp;Financials!$B$2:$B$201,Financials!$E$2:$E$201,""),"")</f>
        <v>441.97899999999998</v>
      </c>
      <c r="Q25" s="22">
        <f t="array" ref="Q25">IFERROR(_xlfn.XLOOKUP($A25&amp;"|"&amp;$C25,Financials!$A$2:$A$201&amp;"|"&amp;Financials!$B$2:$B$201,Financials!$G$2:$G$201,""),"")</f>
        <v>214.85499999999999</v>
      </c>
      <c r="R25" s="22">
        <f t="array" ref="R25">IFERROR(_xlfn.XLOOKUP($A25&amp;"|"&amp;$C25,Financials!$A$2:$A$201&amp;"|"&amp;Financials!$B$2:$B$201,Financials!$S$2:$S$201,""),"")</f>
        <v>560.30899999999997</v>
      </c>
      <c r="S25" s="22">
        <f t="array" ref="S25">IFERROR(_xlfn.XLOOKUP($A25&amp;"|"&amp;$C25,Financials!$A$2:$A$201&amp;"|"&amp;Financials!$B$2:$B$201,Financials!$AC$2:$AC$201,""),"")</f>
        <v>1486.25</v>
      </c>
      <c r="T25" s="23">
        <f t="shared" si="0"/>
        <v>0.41431944797278486</v>
      </c>
      <c r="U25" s="24">
        <f t="shared" si="1"/>
        <v>1.2677276522187706</v>
      </c>
      <c r="V25" s="25">
        <f t="shared" si="2"/>
        <v>5.3158275030397259E-2</v>
      </c>
      <c r="W25" s="24">
        <f t="shared" si="3"/>
        <v>3.1954747029700128</v>
      </c>
      <c r="X25" s="26">
        <f>IFERROR(IF(NOT(ISNUMBER($E25)),"",IF($E25&gt;=Scoring_Criteria!$D$4,5,IF($E25&gt;=Scoring_Criteria!$E$4,4,IF($E25&gt;=Scoring_Criteria!$F$4,3,IF($E25&gt;=Scoring_Criteria!$G$4,2,1))))),"")</f>
        <v>2</v>
      </c>
      <c r="Y25" s="26">
        <f>IFERROR(IF(OR(NOT(ISNUMBER($F25)),NOT(ISNUMBER($E25)),$E25=0),"",IF(($F25/$E25)&gt;=Scoring_Criteria!$D$5,5,IF(($F25/$E25)&gt;=Scoring_Criteria!$E$5,4,IF(($F25/$E25)&gt;=Scoring_Criteria!$F$5,3,IF(($F25/$E25)&gt;=Scoring_Criteria!$G$5,2,1))))),"")</f>
        <v>5</v>
      </c>
      <c r="Z25" s="26">
        <f>IFERROR(IF(AND(NOT(ISNUMBER($I25)),NOT(ISNUMBER($J25))),"",IF((IFERROR($I25,0)+IFERROR($J25,0))&gt;=Scoring_Criteria!$D$6,5,IF((IFERROR($I25,0)+IFERROR($J25,0))&gt;=Scoring_Criteria!$E$6,4,IF((IFERROR($I25,0)+IFERROR($J25,0))&gt;=Scoring_Criteria!$F$6,3,IF((IFERROR($I25,0)+IFERROR($J25,0))&gt;=Scoring_Criteria!$G$6,2,1))))),"")</f>
        <v>2</v>
      </c>
      <c r="AA25" s="26">
        <f>IFERROR(IF(NOT(ISNUMBER($M25)),"",IF($M25&gt;=Scoring_Criteria!$D$7,5,IF($M25&gt;=Scoring_Criteria!$E$7,4,IF($M25&gt;=Scoring_Criteria!$F$7,3,IF($M25&gt;=Scoring_Criteria!$G$7,2,1))))),"")</f>
        <v>4</v>
      </c>
      <c r="AB25" s="26">
        <f>IFERROR(IF(NOT(ISNUMBER($T25)),"",IF($T25&gt;=Scoring_Criteria!$D$8,5,IF($T25&gt;=Scoring_Criteria!$E$8,4,IF($T25&gt;=Scoring_Criteria!$F$8,3,IF($T25&gt;=Scoring_Criteria!$G$8,2,1))))),"")</f>
        <v>5</v>
      </c>
      <c r="AC25" s="26">
        <f>IFERROR(IF(NOT(ISNUMBER($U25)),"",IF($U25&lt;=Scoring_Criteria!$D$9,5,IF($U25&lt;=Scoring_Criteria!$E$9,4,IF($U25&lt;=Scoring_Criteria!$F$9,3,IF($U25&lt;=Scoring_Criteria!$G$9,2,1))))),"")</f>
        <v>4</v>
      </c>
      <c r="AD25" s="26">
        <f t="array" ref="AD25">IFERROR(IF(NOT(ISNUMBER(_xlfn.XLOOKUP($A25&amp;"|"&amp;$C25,Financials!$A$2:$A$201&amp;"|"&amp;Financials!$B$2:$B$201,Financials!$AD$2:$AD$201,""))),"",IF(_xlfn.XLOOKUP($A25&amp;"|"&amp;$C25,Financials!$A$2:$A$201&amp;"|"&amp;Financials!$B$2:$B$201,Financials!$AD$2:$AD$201,"")&gt;=Scoring_Criteria!$D$10,5,IF(_xlfn.XLOOKUP($A25&amp;"|"&amp;$C25,Financials!$A$2:$A$201&amp;"|"&amp;Financials!$B$2:$B$201,Financials!$AD$2:$AD$201,"")&gt;=Scoring_Criteria!$E$10,4,IF(_xlfn.XLOOKUP($A25&amp;"|"&amp;$C25,Financials!$A$2:$A$201&amp;"|"&amp;Financials!$B$2:$B$201,Financials!$AD$2:$AD$201,"")&gt;=Scoring_Criteria!$F$10,3,IF(_xlfn.XLOOKUP($A25&amp;"|"&amp;$C25,Financials!$A$2:$A$201&amp;"|"&amp;Financials!$B$2:$B$201,Financials!$AD$2:$AD$201,"")&gt;=Scoring_Criteria!$G$10,2,1))))),"")</f>
        <v>4</v>
      </c>
      <c r="AE25" s="27"/>
      <c r="AF25" s="27"/>
      <c r="AG25" s="28">
        <f t="shared" si="4"/>
        <v>3.7142857142857144</v>
      </c>
      <c r="AH25" s="29"/>
      <c r="AI25" s="29"/>
      <c r="AJ25" s="29"/>
      <c r="AK25" s="29"/>
      <c r="AL25" s="29"/>
      <c r="AM25" s="29"/>
      <c r="AN25" s="29"/>
      <c r="AO25" s="29"/>
      <c r="AP25" s="29"/>
      <c r="AQ25" s="29"/>
      <c r="AR25" s="29"/>
      <c r="AS25" s="29"/>
      <c r="AT25" s="29"/>
      <c r="AU25" s="46" t="str">
        <f>IFERROR(Validation_Summary!Q5,"")</f>
        <v>✓ All 8 checks passed</v>
      </c>
    </row>
    <row r="26" spans="1:47" ht="15" customHeight="1" x14ac:dyDescent="0.3">
      <c r="A26" s="6" t="s">
        <v>2189</v>
      </c>
      <c r="B26" s="19" t="str">
        <f t="array" ref="B26">IFERROR(_xlfn.XLOOKUP($A26&amp;"|"&amp;$C26,'Company_Master'!$A$2:$A$94&amp;"|"&amp;'Company_Master'!$D$2:$D$94,'Company_Master'!$B$2:$B$94,""),"")</f>
        <v>DSNG</v>
      </c>
      <c r="C26" s="20">
        <v>2022</v>
      </c>
      <c r="D26" s="19" t="str">
        <f t="array" ref="D26">IFERROR(_xlfn.XLOOKUP($A26&amp;"|"&amp;$C26,'Company_Master'!$A$2:$A$94&amp;"|"&amp;'Company_Master'!$D$2:$D$94,'Company_Master'!$H$2:$H$94,""),"")</f>
        <v>Kalimantan (East/Central/West)</v>
      </c>
      <c r="E26" s="20">
        <f t="array" ref="E26">IFERROR(_xlfn.XLOOKUP($A26&amp;"|"&amp;$C26,Asset_Operations!$A$2:$A$201&amp;"|"&amp;Asset_Operations!$BG$2:$BG$201,Asset_Operations!$B$2:$B$201,""),"")</f>
        <v>112500</v>
      </c>
      <c r="F26" s="20">
        <f t="array" ref="F26">IFERROR(_xlfn.XLOOKUP($A26&amp;"|"&amp;$C26,Asset_Operations!$A$2:$A$201&amp;"|"&amp;Asset_Operations!$BG$2:$BG$201,Asset_Operations!$E$2:$E$201,""),"")</f>
        <v>104000</v>
      </c>
      <c r="G26" s="20">
        <f t="array" ref="G26">IFERROR(_xlfn.XLOOKUP($A26&amp;"|"&amp;$C26,Asset_Operations!$A$2:$A$201&amp;"|"&amp;Asset_Operations!$BG$2:$BG$201,Asset_Operations!$I$2:$I$201,""),"")</f>
        <v>12.8</v>
      </c>
      <c r="H26" s="20">
        <f t="array" ref="H26">IFERROR(_xlfn.XLOOKUP($A26&amp;"|"&amp;$C26,Asset_Operations!$A$2:$A$201&amp;"|"&amp;Asset_Operations!$BG$2:$BG$201,Asset_Operations!$J$2:$J$201,""),"")</f>
        <v>0</v>
      </c>
      <c r="I26" s="20">
        <f t="array" ref="I26">IFERROR(_xlfn.XLOOKUP($A26&amp;"|"&amp;$C26,Asset_Operations!$A$2:$A$201&amp;"|"&amp;Asset_Operations!$BG$2:$BG$201,Asset_Operations!$O$2:$O$201,""),"")</f>
        <v>12</v>
      </c>
      <c r="J26" s="20">
        <f t="array" ref="J26">IFERROR(_xlfn.XLOOKUP($A26&amp;"|"&amp;$C26,Asset_Operations!$A$2:$A$201&amp;"|"&amp;Asset_Operations!$BG$2:$BG$201,Asset_Operations!$S$2:$S$201,""),"")</f>
        <v>0</v>
      </c>
      <c r="K26" s="20">
        <f t="array" ref="K26">IFERROR(_xlfn.XLOOKUP($A26&amp;"|"&amp;$C26,Asset_Operations!$A$2:$A$201&amp;"|"&amp;Asset_Operations!$BG$2:$BG$201,Asset_Operations!$AC$2:$AC$201,""),"")</f>
        <v>2213698</v>
      </c>
      <c r="L26" s="20">
        <f t="array" ref="L26">IFERROR(_xlfn.XLOOKUP($A26&amp;"|"&amp;$C26,Asset_Operations!$A$2:$A$201&amp;"|"&amp;Asset_Operations!$BG$2:$BG$201,Asset_Operations!$AG$2:$AG$201,""),"")</f>
        <v>639480</v>
      </c>
      <c r="M26" s="20">
        <f t="array" ref="M26">IFERROR(_xlfn.XLOOKUP($A26&amp;"|"&amp;$C26,Asset_Operations!$A$2:$A$201&amp;"|"&amp;Asset_Operations!$BG$2:$BG$201,Asset_Operations!$AO$2:$AO$201,""),"")</f>
        <v>21.285557692307691</v>
      </c>
      <c r="N26" s="21">
        <f t="array" ref="N26">IFERROR(_xlfn.XLOOKUP($A26&amp;"|"&amp;$C26,Asset_Operations!$A$2:$A$201&amp;"|"&amp;Asset_Operations!$BG$2:$BG$201,Asset_Operations!$AR$2:$AR$201,""),"")</f>
        <v>0.22763962541342181</v>
      </c>
      <c r="O26" s="22">
        <f t="array" ref="O26">IFERROR(_xlfn.XLOOKUP($A26&amp;"|"&amp;$C26,Financials!$A$2:$A$201&amp;"|"&amp;Financials!$B$2:$B$201,Financials!$C$2:$C$201,""),"")</f>
        <v>9633.6710000000003</v>
      </c>
      <c r="P26" s="22">
        <f t="array" ref="P26">IFERROR(_xlfn.XLOOKUP($A26&amp;"|"&amp;$C26,Financials!$A$2:$A$201&amp;"|"&amp;Financials!$B$2:$B$201,Financials!$E$2:$E$201,""),"")</f>
        <v>3018.3629999999998</v>
      </c>
      <c r="Q26" s="22">
        <f t="array" ref="Q26">IFERROR(_xlfn.XLOOKUP($A26&amp;"|"&amp;$C26,Financials!$A$2:$A$201&amp;"|"&amp;Financials!$B$2:$B$201,Financials!$G$2:$G$201,""),"")</f>
        <v>1206.587</v>
      </c>
      <c r="R26" s="22">
        <f t="array" ref="R26">IFERROR(_xlfn.XLOOKUP($A26&amp;"|"&amp;$C26,Financials!$A$2:$A$201&amp;"|"&amp;Financials!$B$2:$B$201,Financials!$S$2:$S$201,""),"")</f>
        <v>4567.5969999999998</v>
      </c>
      <c r="S26" s="22">
        <f t="array" ref="S26">IFERROR(_xlfn.XLOOKUP($A26&amp;"|"&amp;$C26,Financials!$A$2:$A$201&amp;"|"&amp;Financials!$B$2:$B$201,Financials!$AC$2:$AC$201,""),"")</f>
        <v>5257.521632</v>
      </c>
      <c r="T26" s="23">
        <f t="shared" si="0"/>
        <v>0.31331389664438403</v>
      </c>
      <c r="U26" s="24">
        <f t="shared" si="1"/>
        <v>1.5132696100502159</v>
      </c>
      <c r="V26" s="25">
        <f t="shared" si="2"/>
        <v>8.5632631111111107E-2</v>
      </c>
      <c r="W26" s="24">
        <f t="shared" si="3"/>
        <v>6.1488461538461534</v>
      </c>
      <c r="X26" s="26">
        <f>IFERROR(IF(NOT(ISNUMBER($E26)),"",IF($E26&gt;=Scoring_Criteria!$D$4,5,IF($E26&gt;=Scoring_Criteria!$E$4,4,IF($E26&gt;=Scoring_Criteria!$F$4,3,IF($E26&gt;=Scoring_Criteria!$G$4,2,1))))),"")</f>
        <v>4</v>
      </c>
      <c r="Y26" s="26">
        <f>IFERROR(IF(OR(NOT(ISNUMBER($F26)),NOT(ISNUMBER($E26)),$E26=0),"",IF(($F26/$E26)&gt;=Scoring_Criteria!$D$5,5,IF(($F26/$E26)&gt;=Scoring_Criteria!$E$5,4,IF(($F26/$E26)&gt;=Scoring_Criteria!$F$5,3,IF(($F26/$E26)&gt;=Scoring_Criteria!$G$5,2,1))))),"")</f>
        <v>5</v>
      </c>
      <c r="Z26" s="26">
        <f>IFERROR(IF(AND(NOT(ISNUMBER($I26)),NOT(ISNUMBER($J26))),"",IF((IFERROR($I26,0)+IFERROR($J26,0))&gt;=Scoring_Criteria!$D$6,5,IF((IFERROR($I26,0)+IFERROR($J26,0))&gt;=Scoring_Criteria!$E$6,4,IF((IFERROR($I26,0)+IFERROR($J26,0))&gt;=Scoring_Criteria!$F$6,3,IF((IFERROR($I26,0)+IFERROR($J26,0))&gt;=Scoring_Criteria!$G$6,2,1))))),"")</f>
        <v>5</v>
      </c>
      <c r="AA26" s="26">
        <f>IFERROR(IF(NOT(ISNUMBER($M26)),"",IF($M26&gt;=Scoring_Criteria!$D$7,5,IF($M26&gt;=Scoring_Criteria!$E$7,4,IF($M26&gt;=Scoring_Criteria!$F$7,3,IF($M26&gt;=Scoring_Criteria!$G$7,2,1))))),"")</f>
        <v>4</v>
      </c>
      <c r="AB26" s="26">
        <f>IFERROR(IF(NOT(ISNUMBER($T26)),"",IF($T26&gt;=Scoring_Criteria!$D$8,5,IF($T26&gt;=Scoring_Criteria!$E$8,4,IF($T26&gt;=Scoring_Criteria!$F$8,3,IF($T26&gt;=Scoring_Criteria!$G$8,2,1))))),"")</f>
        <v>5</v>
      </c>
      <c r="AC26" s="26">
        <f>IFERROR(IF(NOT(ISNUMBER($U26)),"",IF($U26&lt;=Scoring_Criteria!$D$9,5,IF($U26&lt;=Scoring_Criteria!$E$9,4,IF($U26&lt;=Scoring_Criteria!$F$9,3,IF($U26&lt;=Scoring_Criteria!$G$9,2,1))))),"")</f>
        <v>4</v>
      </c>
      <c r="AD26" s="26">
        <f t="array" ref="AD26">IFERROR(IF(NOT(ISNUMBER(_xlfn.XLOOKUP($A26&amp;"|"&amp;$C26,Financials!$A$2:$A$201&amp;"|"&amp;Financials!$B$2:$B$201,Financials!$AD$2:$AD$201,""))),"",IF(_xlfn.XLOOKUP($A26&amp;"|"&amp;$C26,Financials!$A$2:$A$201&amp;"|"&amp;Financials!$B$2:$B$201,Financials!$AD$2:$AD$201,"")&gt;=Scoring_Criteria!$D$10,5,IF(_xlfn.XLOOKUP($A26&amp;"|"&amp;$C26,Financials!$A$2:$A$201&amp;"|"&amp;Financials!$B$2:$B$201,Financials!$AD$2:$AD$201,"")&gt;=Scoring_Criteria!$E$10,4,IF(_xlfn.XLOOKUP($A26&amp;"|"&amp;$C26,Financials!$A$2:$A$201&amp;"|"&amp;Financials!$B$2:$B$201,Financials!$AD$2:$AD$201,"")&gt;=Scoring_Criteria!$F$10,3,IF(_xlfn.XLOOKUP($A26&amp;"|"&amp;$C26,Financials!$A$2:$A$201&amp;"|"&amp;Financials!$B$2:$B$201,Financials!$AD$2:$AD$201,"")&gt;=Scoring_Criteria!$G$10,2,1))))),"")</f>
        <v>2</v>
      </c>
      <c r="AE26" s="27"/>
      <c r="AF26" s="27"/>
      <c r="AG26" s="28">
        <f t="shared" si="4"/>
        <v>4.1428571428571432</v>
      </c>
      <c r="AH26" s="29"/>
      <c r="AI26" s="29"/>
      <c r="AJ26" s="29"/>
      <c r="AK26" s="29"/>
      <c r="AL26" s="29"/>
      <c r="AM26" s="29"/>
      <c r="AN26" s="29"/>
      <c r="AO26" s="29"/>
      <c r="AP26" s="29"/>
      <c r="AQ26" s="29"/>
      <c r="AR26" s="29"/>
      <c r="AS26" s="29"/>
      <c r="AT26" s="29"/>
      <c r="AU26" s="46" t="str">
        <f>IFERROR(Validation_Summary!Q5,"")</f>
        <v>✓ All 8 checks passed</v>
      </c>
    </row>
    <row r="27" spans="1:47" ht="15" customHeight="1" x14ac:dyDescent="0.3">
      <c r="A27" s="6" t="s">
        <v>2189</v>
      </c>
      <c r="B27" s="19" t="str">
        <f t="array" ref="B27">IFERROR(_xlfn.XLOOKUP($A27&amp;"|"&amp;$C27,'Company_Master'!$A$2:$A$94&amp;"|"&amp;'Company_Master'!$D$2:$D$94,'Company_Master'!$B$2:$B$94,""),"")</f>
        <v>DSNG</v>
      </c>
      <c r="C27" s="20">
        <v>2023</v>
      </c>
      <c r="D27" s="19" t="str">
        <f t="array" ref="D27">IFERROR(_xlfn.XLOOKUP($A27&amp;"|"&amp;$C27,'Company_Master'!$A$2:$A$94&amp;"|"&amp;'Company_Master'!$D$2:$D$94,'Company_Master'!$H$2:$H$94,""),"")</f>
        <v>Kalimantan (East/Central/West)</v>
      </c>
      <c r="E27" s="20">
        <f t="array" ref="E27">IFERROR(_xlfn.XLOOKUP($A27&amp;"|"&amp;$C27,Asset_Operations!$A$2:$A$201&amp;"|"&amp;Asset_Operations!$BG$2:$BG$201,Asset_Operations!$B$2:$B$201,""),"")</f>
        <v>112700</v>
      </c>
      <c r="F27" s="20">
        <f t="array" ref="F27">IFERROR(_xlfn.XLOOKUP($A27&amp;"|"&amp;$C27,Asset_Operations!$A$2:$A$201&amp;"|"&amp;Asset_Operations!$BG$2:$BG$201,Asset_Operations!$E$2:$E$201,""),"")</f>
        <v>105700</v>
      </c>
      <c r="G27" s="20">
        <f t="array" ref="G27">IFERROR(_xlfn.XLOOKUP($A27&amp;"|"&amp;$C27,Asset_Operations!$A$2:$A$201&amp;"|"&amp;Asset_Operations!$BG$2:$BG$201,Asset_Operations!$I$2:$I$201,""),"")</f>
        <v>13.3</v>
      </c>
      <c r="H27" s="20">
        <f t="array" ref="H27">IFERROR(_xlfn.XLOOKUP($A27&amp;"|"&amp;$C27,Asset_Operations!$A$2:$A$201&amp;"|"&amp;Asset_Operations!$BG$2:$BG$201,Asset_Operations!$J$2:$J$201,""),"")</f>
        <v>0</v>
      </c>
      <c r="I27" s="20">
        <f t="array" ref="I27">IFERROR(_xlfn.XLOOKUP($A27&amp;"|"&amp;$C27,Asset_Operations!$A$2:$A$201&amp;"|"&amp;Asset_Operations!$BG$2:$BG$201,Asset_Operations!$O$2:$O$201,""),"")</f>
        <v>12</v>
      </c>
      <c r="J27" s="20">
        <f t="array" ref="J27">IFERROR(_xlfn.XLOOKUP($A27&amp;"|"&amp;$C27,Asset_Operations!$A$2:$A$201&amp;"|"&amp;Asset_Operations!$BG$2:$BG$201,Asset_Operations!$S$2:$S$201,""),"")</f>
        <v>0</v>
      </c>
      <c r="K27" s="20">
        <f t="array" ref="K27">IFERROR(_xlfn.XLOOKUP($A27&amp;"|"&amp;$C27,Asset_Operations!$A$2:$A$201&amp;"|"&amp;Asset_Operations!$BG$2:$BG$201,Asset_Operations!$AC$2:$AC$201,""),"")</f>
        <v>2271821</v>
      </c>
      <c r="L27" s="20">
        <f t="array" ref="L27">IFERROR(_xlfn.XLOOKUP($A27&amp;"|"&amp;$C27,Asset_Operations!$A$2:$A$201&amp;"|"&amp;Asset_Operations!$BG$2:$BG$201,Asset_Operations!$AG$2:$AG$201,""),"")</f>
        <v>661892</v>
      </c>
      <c r="M27" s="20">
        <f t="array" ref="M27">IFERROR(_xlfn.XLOOKUP($A27&amp;"|"&amp;$C27,Asset_Operations!$A$2:$A$201&amp;"|"&amp;Asset_Operations!$BG$2:$BG$201,Asset_Operations!$AO$2:$AO$201,""),"")</f>
        <v>21.493103122043518</v>
      </c>
      <c r="N27" s="21">
        <f t="array" ref="N27">IFERROR(_xlfn.XLOOKUP($A27&amp;"|"&amp;$C27,Asset_Operations!$A$2:$A$201&amp;"|"&amp;Asset_Operations!$BG$2:$BG$201,Asset_Operations!$AR$2:$AR$201,""),"")</f>
        <v>0.23187189334674813</v>
      </c>
      <c r="O27" s="22">
        <f t="array" ref="O27">IFERROR(_xlfn.XLOOKUP($A27&amp;"|"&amp;$C27,Financials!$A$2:$A$201&amp;"|"&amp;Financials!$B$2:$B$201,Financials!$C$2:$C$201,""),"")</f>
        <v>9498.7489999999998</v>
      </c>
      <c r="P27" s="22">
        <f t="array" ref="P27">IFERROR(_xlfn.XLOOKUP($A27&amp;"|"&amp;$C27,Financials!$A$2:$A$201&amp;"|"&amp;Financials!$B$2:$B$201,Financials!$E$2:$E$201,""),"")</f>
        <v>2421.0680000000002</v>
      </c>
      <c r="Q27" s="22">
        <f t="array" ref="Q27">IFERROR(_xlfn.XLOOKUP($A27&amp;"|"&amp;$C27,Financials!$A$2:$A$201&amp;"|"&amp;Financials!$B$2:$B$201,Financials!$G$2:$G$201,""),"")</f>
        <v>841.66499999999996</v>
      </c>
      <c r="R27" s="22">
        <f t="array" ref="R27">IFERROR(_xlfn.XLOOKUP($A27&amp;"|"&amp;$C27,Financials!$A$2:$A$201&amp;"|"&amp;Financials!$B$2:$B$201,Financials!$S$2:$S$201,""),"")</f>
        <v>4685.8689999999997</v>
      </c>
      <c r="S27" s="22">
        <f t="array" ref="S27">IFERROR(_xlfn.XLOOKUP($A27&amp;"|"&amp;$C27,Financials!$A$2:$A$201&amp;"|"&amp;Financials!$B$2:$B$201,Financials!$AC$2:$AC$201,""),"")</f>
        <v>5882.9123100000006</v>
      </c>
      <c r="T27" s="23">
        <f t="shared" si="0"/>
        <v>0.25488282720177152</v>
      </c>
      <c r="U27" s="24">
        <f t="shared" si="1"/>
        <v>1.9354553445008564</v>
      </c>
      <c r="V27" s="25">
        <f t="shared" si="2"/>
        <v>8.4283487133984022E-2</v>
      </c>
      <c r="W27" s="24">
        <f t="shared" si="3"/>
        <v>6.2619867549668875</v>
      </c>
      <c r="X27" s="26">
        <f>IFERROR(IF(NOT(ISNUMBER($E27)),"",IF($E27&gt;=Scoring_Criteria!$D$4,5,IF($E27&gt;=Scoring_Criteria!$E$4,4,IF($E27&gt;=Scoring_Criteria!$F$4,3,IF($E27&gt;=Scoring_Criteria!$G$4,2,1))))),"")</f>
        <v>4</v>
      </c>
      <c r="Y27" s="26">
        <f>IFERROR(IF(OR(NOT(ISNUMBER($F27)),NOT(ISNUMBER($E27)),$E27=0),"",IF(($F27/$E27)&gt;=Scoring_Criteria!$D$5,5,IF(($F27/$E27)&gt;=Scoring_Criteria!$E$5,4,IF(($F27/$E27)&gt;=Scoring_Criteria!$F$5,3,IF(($F27/$E27)&gt;=Scoring_Criteria!$G$5,2,1))))),"")</f>
        <v>5</v>
      </c>
      <c r="Z27" s="26">
        <f>IFERROR(IF(AND(NOT(ISNUMBER($I27)),NOT(ISNUMBER($J27))),"",IF((IFERROR($I27,0)+IFERROR($J27,0))&gt;=Scoring_Criteria!$D$6,5,IF((IFERROR($I27,0)+IFERROR($J27,0))&gt;=Scoring_Criteria!$E$6,4,IF((IFERROR($I27,0)+IFERROR($J27,0))&gt;=Scoring_Criteria!$F$6,3,IF((IFERROR($I27,0)+IFERROR($J27,0))&gt;=Scoring_Criteria!$G$6,2,1))))),"")</f>
        <v>5</v>
      </c>
      <c r="AA27" s="26">
        <f>IFERROR(IF(NOT(ISNUMBER($M27)),"",IF($M27&gt;=Scoring_Criteria!$D$7,5,IF($M27&gt;=Scoring_Criteria!$E$7,4,IF($M27&gt;=Scoring_Criteria!$F$7,3,IF($M27&gt;=Scoring_Criteria!$G$7,2,1))))),"")</f>
        <v>4</v>
      </c>
      <c r="AB27" s="26">
        <f>IFERROR(IF(NOT(ISNUMBER($T27)),"",IF($T27&gt;=Scoring_Criteria!$D$8,5,IF($T27&gt;=Scoring_Criteria!$E$8,4,IF($T27&gt;=Scoring_Criteria!$F$8,3,IF($T27&gt;=Scoring_Criteria!$G$8,2,1))))),"")</f>
        <v>4</v>
      </c>
      <c r="AC27" s="26">
        <f>IFERROR(IF(NOT(ISNUMBER($U27)),"",IF($U27&lt;=Scoring_Criteria!$D$9,5,IF($U27&lt;=Scoring_Criteria!$E$9,4,IF($U27&lt;=Scoring_Criteria!$F$9,3,IF($U27&lt;=Scoring_Criteria!$G$9,2,1))))),"")</f>
        <v>4</v>
      </c>
      <c r="AD27" s="26">
        <f t="array" ref="AD27">IFERROR(IF(NOT(ISNUMBER(_xlfn.XLOOKUP($A27&amp;"|"&amp;$C27,Financials!$A$2:$A$201&amp;"|"&amp;Financials!$B$2:$B$201,Financials!$AD$2:$AD$201,""))),"",IF(_xlfn.XLOOKUP($A27&amp;"|"&amp;$C27,Financials!$A$2:$A$201&amp;"|"&amp;Financials!$B$2:$B$201,Financials!$AD$2:$AD$201,"")&gt;=Scoring_Criteria!$D$10,5,IF(_xlfn.XLOOKUP($A27&amp;"|"&amp;$C27,Financials!$A$2:$A$201&amp;"|"&amp;Financials!$B$2:$B$201,Financials!$AD$2:$AD$201,"")&gt;=Scoring_Criteria!$E$10,4,IF(_xlfn.XLOOKUP($A27&amp;"|"&amp;$C27,Financials!$A$2:$A$201&amp;"|"&amp;Financials!$B$2:$B$201,Financials!$AD$2:$AD$201,"")&gt;=Scoring_Criteria!$F$10,3,IF(_xlfn.XLOOKUP($A27&amp;"|"&amp;$C27,Financials!$A$2:$A$201&amp;"|"&amp;Financials!$B$2:$B$201,Financials!$AD$2:$AD$201,"")&gt;=Scoring_Criteria!$G$10,2,1))))),"")</f>
        <v>2</v>
      </c>
      <c r="AE27" s="27"/>
      <c r="AF27" s="27"/>
      <c r="AG27" s="28">
        <f t="shared" si="4"/>
        <v>4</v>
      </c>
      <c r="AH27" s="29"/>
      <c r="AI27" s="29"/>
      <c r="AJ27" s="29"/>
      <c r="AK27" s="29"/>
      <c r="AL27" s="29"/>
      <c r="AM27" s="29"/>
      <c r="AN27" s="29"/>
      <c r="AO27" s="29"/>
      <c r="AP27" s="29"/>
      <c r="AQ27" s="29"/>
      <c r="AR27" s="29"/>
      <c r="AS27" s="29"/>
      <c r="AT27" s="29"/>
      <c r="AU27" s="46" t="str">
        <f>IFERROR(Validation_Summary!Q5,"")</f>
        <v>✓ All 8 checks passed</v>
      </c>
    </row>
    <row r="28" spans="1:47" ht="15" customHeight="1" x14ac:dyDescent="0.3">
      <c r="A28" s="6" t="s">
        <v>2189</v>
      </c>
      <c r="B28" s="19" t="str">
        <f t="array" ref="B28">IFERROR(_xlfn.XLOOKUP($A28&amp;"|"&amp;$C28,'Company_Master'!$A$2:$A$94&amp;"|"&amp;'Company_Master'!$D$2:$D$94,'Company_Master'!$B$2:$B$94,""),"")</f>
        <v>DSNG</v>
      </c>
      <c r="C28" s="20">
        <v>2024</v>
      </c>
      <c r="D28" s="19" t="str">
        <f t="array" ref="D28">IFERROR(_xlfn.XLOOKUP($A28&amp;"|"&amp;$C28,'Company_Master'!$A$2:$A$94&amp;"|"&amp;'Company_Master'!$D$2:$D$94,'Company_Master'!$H$2:$H$94,""),"")</f>
        <v>Kalimantan (East/Central/West)</v>
      </c>
      <c r="E28" s="20">
        <f t="array" ref="E28">IFERROR(_xlfn.XLOOKUP($A28&amp;"|"&amp;$C28,Asset_Operations!$A$2:$A$201&amp;"|"&amp;Asset_Operations!$BG$2:$BG$201,Asset_Operations!$B$2:$B$201,""),"")</f>
        <v>110700</v>
      </c>
      <c r="F28" s="20">
        <f t="array" ref="F28">IFERROR(_xlfn.XLOOKUP($A28&amp;"|"&amp;$C28,Asset_Operations!$A$2:$A$201&amp;"|"&amp;Asset_Operations!$BG$2:$BG$201,Asset_Operations!$E$2:$E$201,""),"")</f>
        <v>104101</v>
      </c>
      <c r="G28" s="20">
        <f t="array" ref="G28">IFERROR(_xlfn.XLOOKUP($A28&amp;"|"&amp;$C28,Asset_Operations!$A$2:$A$201&amp;"|"&amp;Asset_Operations!$BG$2:$BG$201,Asset_Operations!$I$2:$I$201,""),"")</f>
        <v>14</v>
      </c>
      <c r="H28" s="20">
        <f t="array" ref="H28">IFERROR(_xlfn.XLOOKUP($A28&amp;"|"&amp;$C28,Asset_Operations!$A$2:$A$201&amp;"|"&amp;Asset_Operations!$BG$2:$BG$201,Asset_Operations!$J$2:$J$201,""),"")</f>
        <v>900</v>
      </c>
      <c r="I28" s="20">
        <f t="array" ref="I28">IFERROR(_xlfn.XLOOKUP($A28&amp;"|"&amp;$C28,Asset_Operations!$A$2:$A$201&amp;"|"&amp;Asset_Operations!$BG$2:$BG$201,Asset_Operations!$O$2:$O$201,""),"")</f>
        <v>12</v>
      </c>
      <c r="J28" s="20">
        <f t="array" ref="J28">IFERROR(_xlfn.XLOOKUP($A28&amp;"|"&amp;$C28,Asset_Operations!$A$2:$A$201&amp;"|"&amp;Asset_Operations!$BG$2:$BG$201,Asset_Operations!$S$2:$S$201,""),"")</f>
        <v>0</v>
      </c>
      <c r="K28" s="20">
        <f t="array" ref="K28">IFERROR(_xlfn.XLOOKUP($A28&amp;"|"&amp;$C28,Asset_Operations!$A$2:$A$201&amp;"|"&amp;Asset_Operations!$BG$2:$BG$201,Asset_Operations!$AC$2:$AC$201,""),"")</f>
        <v>2109737</v>
      </c>
      <c r="L28" s="20">
        <f t="array" ref="L28">IFERROR(_xlfn.XLOOKUP($A28&amp;"|"&amp;$C28,Asset_Operations!$A$2:$A$201&amp;"|"&amp;Asset_Operations!$BG$2:$BG$201,Asset_Operations!$AG$2:$AG$201,""),"")</f>
        <v>601508</v>
      </c>
      <c r="M28" s="20">
        <f t="array" ref="M28">IFERROR(_xlfn.XLOOKUP($A28&amp;"|"&amp;$C28,Asset_Operations!$A$2:$A$201&amp;"|"&amp;Asset_Operations!$BG$2:$BG$201,Asset_Operations!$AO$2:$AO$201,""),"")</f>
        <v>20.266251044658553</v>
      </c>
      <c r="N28" s="21">
        <f t="array" ref="N28">IFERROR(_xlfn.XLOOKUP($A28&amp;"|"&amp;$C28,Asset_Operations!$A$2:$A$201&amp;"|"&amp;Asset_Operations!$BG$2:$BG$201,Asset_Operations!$AR$2:$AR$201,""),"")</f>
        <v>0.23916001281864716</v>
      </c>
      <c r="O28" s="22">
        <f t="array" ref="O28">IFERROR(_xlfn.XLOOKUP($A28&amp;"|"&amp;$C28,Financials!$A$2:$A$201&amp;"|"&amp;Financials!$B$2:$B$201,Financials!$C$2:$C$201,""),"")</f>
        <v>10119.219999999999</v>
      </c>
      <c r="P28" s="22">
        <f t="array" ref="P28">IFERROR(_xlfn.XLOOKUP($A28&amp;"|"&amp;$C28,Financials!$A$2:$A$201&amp;"|"&amp;Financials!$B$2:$B$201,Financials!$E$2:$E$201,""),"")</f>
        <v>3096.491</v>
      </c>
      <c r="Q28" s="22">
        <f t="array" ref="Q28">IFERROR(_xlfn.XLOOKUP($A28&amp;"|"&amp;$C28,Financials!$A$2:$A$201&amp;"|"&amp;Financials!$B$2:$B$201,Financials!$G$2:$G$201,""),"")</f>
        <v>1141.375</v>
      </c>
      <c r="R28" s="22">
        <f t="array" ref="R28">IFERROR(_xlfn.XLOOKUP($A28&amp;"|"&amp;$C28,Financials!$A$2:$A$201&amp;"|"&amp;Financials!$B$2:$B$201,Financials!$S$2:$S$201,""),"")</f>
        <v>4671.1890000000003</v>
      </c>
      <c r="S28" s="22">
        <f t="array" ref="S28">IFERROR(_xlfn.XLOOKUP($A28&amp;"|"&amp;$C28,Financials!$A$2:$A$201&amp;"|"&amp;Financials!$B$2:$B$201,Financials!$AC$2:$AC$201,""),"")</f>
        <v>10069.849900000001</v>
      </c>
      <c r="T28" s="23">
        <f t="shared" si="0"/>
        <v>0.30600095659546883</v>
      </c>
      <c r="U28" s="24">
        <f t="shared" si="1"/>
        <v>1.5085427343402582</v>
      </c>
      <c r="V28" s="25">
        <f t="shared" si="2"/>
        <v>9.1411201445347784E-2</v>
      </c>
      <c r="W28" s="24">
        <f t="shared" si="3"/>
        <v>5.7781193264233774</v>
      </c>
      <c r="X28" s="26">
        <f>IFERROR(IF(NOT(ISNUMBER($E28)),"",IF($E28&gt;=Scoring_Criteria!$D$4,5,IF($E28&gt;=Scoring_Criteria!$E$4,4,IF($E28&gt;=Scoring_Criteria!$F$4,3,IF($E28&gt;=Scoring_Criteria!$G$4,2,1))))),"")</f>
        <v>4</v>
      </c>
      <c r="Y28" s="26">
        <f>IFERROR(IF(OR(NOT(ISNUMBER($F28)),NOT(ISNUMBER($E28)),$E28=0),"",IF(($F28/$E28)&gt;=Scoring_Criteria!$D$5,5,IF(($F28/$E28)&gt;=Scoring_Criteria!$E$5,4,IF(($F28/$E28)&gt;=Scoring_Criteria!$F$5,3,IF(($F28/$E28)&gt;=Scoring_Criteria!$G$5,2,1))))),"")</f>
        <v>5</v>
      </c>
      <c r="Z28" s="26">
        <f>IFERROR(IF(AND(NOT(ISNUMBER($I28)),NOT(ISNUMBER($J28))),"",IF((IFERROR($I28,0)+IFERROR($J28,0))&gt;=Scoring_Criteria!$D$6,5,IF((IFERROR($I28,0)+IFERROR($J28,0))&gt;=Scoring_Criteria!$E$6,4,IF((IFERROR($I28,0)+IFERROR($J28,0))&gt;=Scoring_Criteria!$F$6,3,IF((IFERROR($I28,0)+IFERROR($J28,0))&gt;=Scoring_Criteria!$G$6,2,1))))),"")</f>
        <v>5</v>
      </c>
      <c r="AA28" s="26">
        <f>IFERROR(IF(NOT(ISNUMBER($M28)),"",IF($M28&gt;=Scoring_Criteria!$D$7,5,IF($M28&gt;=Scoring_Criteria!$E$7,4,IF($M28&gt;=Scoring_Criteria!$F$7,3,IF($M28&gt;=Scoring_Criteria!$G$7,2,1))))),"")</f>
        <v>4</v>
      </c>
      <c r="AB28" s="26">
        <f>IFERROR(IF(NOT(ISNUMBER($T28)),"",IF($T28&gt;=Scoring_Criteria!$D$8,5,IF($T28&gt;=Scoring_Criteria!$E$8,4,IF($T28&gt;=Scoring_Criteria!$F$8,3,IF($T28&gt;=Scoring_Criteria!$G$8,2,1))))),"")</f>
        <v>5</v>
      </c>
      <c r="AC28" s="26">
        <f>IFERROR(IF(NOT(ISNUMBER($U28)),"",IF($U28&lt;=Scoring_Criteria!$D$9,5,IF($U28&lt;=Scoring_Criteria!$E$9,4,IF($U28&lt;=Scoring_Criteria!$F$9,3,IF($U28&lt;=Scoring_Criteria!$G$9,2,1))))),"")</f>
        <v>4</v>
      </c>
      <c r="AD28" s="26">
        <f t="array" ref="AD28">IFERROR(IF(NOT(ISNUMBER(_xlfn.XLOOKUP($A28&amp;"|"&amp;$C28,Financials!$A$2:$A$201&amp;"|"&amp;Financials!$B$2:$B$201,Financials!$AD$2:$AD$201,""))),"",IF(_xlfn.XLOOKUP($A28&amp;"|"&amp;$C28,Financials!$A$2:$A$201&amp;"|"&amp;Financials!$B$2:$B$201,Financials!$AD$2:$AD$201,"")&gt;=Scoring_Criteria!$D$10,5,IF(_xlfn.XLOOKUP($A28&amp;"|"&amp;$C28,Financials!$A$2:$A$201&amp;"|"&amp;Financials!$B$2:$B$201,Financials!$AD$2:$AD$201,"")&gt;=Scoring_Criteria!$E$10,4,IF(_xlfn.XLOOKUP($A28&amp;"|"&amp;$C28,Financials!$A$2:$A$201&amp;"|"&amp;Financials!$B$2:$B$201,Financials!$AD$2:$AD$201,"")&gt;=Scoring_Criteria!$F$10,3,IF(_xlfn.XLOOKUP($A28&amp;"|"&amp;$C28,Financials!$A$2:$A$201&amp;"|"&amp;Financials!$B$2:$B$201,Financials!$AD$2:$AD$201,"")&gt;=Scoring_Criteria!$G$10,2,1))))),"")</f>
        <v>2</v>
      </c>
      <c r="AE28" s="27"/>
      <c r="AF28" s="27"/>
      <c r="AG28" s="28">
        <f t="shared" si="4"/>
        <v>4.1428571428571432</v>
      </c>
      <c r="AH28" s="29"/>
      <c r="AI28" s="29"/>
      <c r="AJ28" s="29"/>
      <c r="AK28" s="29"/>
      <c r="AL28" s="29"/>
      <c r="AM28" s="29"/>
      <c r="AN28" s="29"/>
      <c r="AO28" s="29"/>
      <c r="AP28" s="29"/>
      <c r="AQ28" s="29"/>
      <c r="AR28" s="29"/>
      <c r="AS28" s="29"/>
      <c r="AT28" s="29"/>
      <c r="AU28" s="46" t="str">
        <f>IFERROR(Validation_Summary!Q5,"")</f>
        <v>✓ All 8 checks passed</v>
      </c>
    </row>
    <row r="29" spans="1:47" ht="15" customHeight="1" x14ac:dyDescent="0.3">
      <c r="A29" s="6" t="s">
        <v>2433</v>
      </c>
      <c r="B29" s="19" t="str">
        <f t="array" ref="B29">IFERROR(_xlfn.XLOOKUP($A29&amp;"|"&amp;$C29,'Company_Master'!$A$2:$A$94&amp;"|"&amp;'Company_Master'!$D$2:$D$94,'Company_Master'!$B$2:$B$94,""),"")</f>
        <v>FAPA</v>
      </c>
      <c r="C29" s="20">
        <v>2022</v>
      </c>
      <c r="D29" s="19" t="str">
        <f t="array" ref="D29">IFERROR(_xlfn.XLOOKUP($A29&amp;"|"&amp;$C29,'Company_Master'!$A$2:$A$94&amp;"|"&amp;'Company_Master'!$D$2:$D$94,'Company_Master'!$H$2:$H$94,""),"")</f>
        <v>North Kalimantan (Nunukan, Bulungan), East Kalimantan and Riau</v>
      </c>
      <c r="E29" s="20">
        <f t="array" ref="E29">IFERROR(_xlfn.XLOOKUP($A29&amp;"|"&amp;$C29,Asset_Operations!$A$2:$A$201&amp;"|"&amp;Asset_Operations!$BG$2:$BG$201,Asset_Operations!$B$2:$B$201,""),"")</f>
        <v>88752</v>
      </c>
      <c r="F29" s="20">
        <f t="array" ref="F29">IFERROR(_xlfn.XLOOKUP($A29&amp;"|"&amp;$C29,Asset_Operations!$A$2:$A$201&amp;"|"&amp;Asset_Operations!$BG$2:$BG$201,Asset_Operations!$E$2:$E$201,""),"")</f>
        <v>82624</v>
      </c>
      <c r="G29" s="20">
        <f t="array" ref="G29">IFERROR(_xlfn.XLOOKUP($A29&amp;"|"&amp;$C29,Asset_Operations!$A$2:$A$201&amp;"|"&amp;Asset_Operations!$BG$2:$BG$201,Asset_Operations!$I$2:$I$201,""),"")</f>
        <v>11</v>
      </c>
      <c r="H29" s="20">
        <f t="array" ref="H29">IFERROR(_xlfn.XLOOKUP($A29&amp;"|"&amp;$C29,Asset_Operations!$A$2:$A$201&amp;"|"&amp;Asset_Operations!$BG$2:$BG$201,Asset_Operations!$J$2:$J$201,""),"")</f>
        <v>0</v>
      </c>
      <c r="I29" s="20">
        <f t="array" ref="I29">IFERROR(_xlfn.XLOOKUP($A29&amp;"|"&amp;$C29,Asset_Operations!$A$2:$A$201&amp;"|"&amp;Asset_Operations!$BG$2:$BG$201,Asset_Operations!$O$2:$O$201,""),"")</f>
        <v>5</v>
      </c>
      <c r="J29" s="20">
        <f t="array" ref="J29">IFERROR(_xlfn.XLOOKUP($A29&amp;"|"&amp;$C29,Asset_Operations!$A$2:$A$201&amp;"|"&amp;Asset_Operations!$BG$2:$BG$201,Asset_Operations!$S$2:$S$201,""),"")</f>
        <v>0</v>
      </c>
      <c r="K29" s="20">
        <f t="array" ref="K29">IFERROR(_xlfn.XLOOKUP($A29&amp;"|"&amp;$C29,Asset_Operations!$A$2:$A$201&amp;"|"&amp;Asset_Operations!$BG$2:$BG$201,Asset_Operations!$AC$2:$AC$201,""),"")</f>
        <v>1202008</v>
      </c>
      <c r="L29" s="20">
        <f t="array" ref="L29">IFERROR(_xlfn.XLOOKUP($A29&amp;"|"&amp;$C29,Asset_Operations!$A$2:$A$201&amp;"|"&amp;Asset_Operations!$BG$2:$BG$201,Asset_Operations!$AG$2:$AG$201,""),"")</f>
        <v>277058</v>
      </c>
      <c r="M29" s="20">
        <f t="array" ref="M29">IFERROR(_xlfn.XLOOKUP($A29&amp;"|"&amp;$C29,Asset_Operations!$A$2:$A$201&amp;"|"&amp;Asset_Operations!$BG$2:$BG$201,Asset_Operations!$AO$2:$AO$201,""),"")</f>
        <v>14.54792796281952</v>
      </c>
      <c r="N29" s="21">
        <f t="array" ref="N29">IFERROR(_xlfn.XLOOKUP($A29&amp;"|"&amp;$C29,Asset_Operations!$A$2:$A$201&amp;"|"&amp;Asset_Operations!$BG$2:$BG$201,Asset_Operations!$AR$2:$AR$201,""),"")</f>
        <v>0.23049597007673825</v>
      </c>
      <c r="O29" s="22">
        <f t="array" ref="O29">IFERROR(_xlfn.XLOOKUP($A29&amp;"|"&amp;$C29,Financials!$A$2:$A$201&amp;"|"&amp;Financials!$B$2:$B$201,Financials!$C$2:$C$201,""),"")</f>
        <v>4828.634</v>
      </c>
      <c r="P29" s="22">
        <f t="array" ref="P29">IFERROR(_xlfn.XLOOKUP($A29&amp;"|"&amp;$C29,Financials!$A$2:$A$201&amp;"|"&amp;Financials!$B$2:$B$201,Financials!$E$2:$E$201,""),"")</f>
        <v>0</v>
      </c>
      <c r="Q29" s="22">
        <f t="array" ref="Q29">IFERROR(_xlfn.XLOOKUP($A29&amp;"|"&amp;$C29,Financials!$A$2:$A$201&amp;"|"&amp;Financials!$B$2:$B$201,Financials!$G$2:$G$201,""),"")</f>
        <v>749.31100000000004</v>
      </c>
      <c r="R29" s="22">
        <f t="array" ref="R29">IFERROR(_xlfn.XLOOKUP($A29&amp;"|"&amp;$C29,Financials!$A$2:$A$201&amp;"|"&amp;Financials!$B$2:$B$201,Financials!$S$2:$S$201,""),"")</f>
        <v>3000.4250000000002</v>
      </c>
      <c r="S29" s="22">
        <f t="array" ref="S29">IFERROR(_xlfn.XLOOKUP($A29&amp;"|"&amp;$C29,Financials!$A$2:$A$201&amp;"|"&amp;Financials!$B$2:$B$201,Financials!$AC$2:$AC$201,""),"")</f>
        <v>15606.471599999999</v>
      </c>
      <c r="T29" s="23">
        <f t="shared" si="0"/>
        <v>0</v>
      </c>
      <c r="U29" s="24" t="str">
        <f t="shared" si="1"/>
        <v/>
      </c>
      <c r="V29" s="25">
        <f t="shared" si="2"/>
        <v>5.4405917613124209E-2</v>
      </c>
      <c r="W29" s="24">
        <f t="shared" si="3"/>
        <v>3.3532387683965919</v>
      </c>
      <c r="X29" s="26">
        <f>IFERROR(IF(NOT(ISNUMBER($E29)),"",IF($E29&gt;=Scoring_Criteria!$D$4,5,IF($E29&gt;=Scoring_Criteria!$E$4,4,IF($E29&gt;=Scoring_Criteria!$F$4,3,IF($E29&gt;=Scoring_Criteria!$G$4,2,1))))),"")</f>
        <v>4</v>
      </c>
      <c r="Y29" s="26">
        <f>IFERROR(IF(OR(NOT(ISNUMBER($F29)),NOT(ISNUMBER($E29)),$E29=0),"",IF(($F29/$E29)&gt;=Scoring_Criteria!$D$5,5,IF(($F29/$E29)&gt;=Scoring_Criteria!$E$5,4,IF(($F29/$E29)&gt;=Scoring_Criteria!$F$5,3,IF(($F29/$E29)&gt;=Scoring_Criteria!$G$5,2,1))))),"")</f>
        <v>5</v>
      </c>
      <c r="Z29" s="26">
        <f>IFERROR(IF(AND(NOT(ISNUMBER($I29)),NOT(ISNUMBER($J29))),"",IF((IFERROR($I29,0)+IFERROR($J29,0))&gt;=Scoring_Criteria!$D$6,5,IF((IFERROR($I29,0)+IFERROR($J29,0))&gt;=Scoring_Criteria!$E$6,4,IF((IFERROR($I29,0)+IFERROR($J29,0))&gt;=Scoring_Criteria!$F$6,3,IF((IFERROR($I29,0)+IFERROR($J29,0))&gt;=Scoring_Criteria!$G$6,2,1))))),"")</f>
        <v>3</v>
      </c>
      <c r="AA29" s="26">
        <f>IFERROR(IF(NOT(ISNUMBER($M29)),"",IF($M29&gt;=Scoring_Criteria!$D$7,5,IF($M29&gt;=Scoring_Criteria!$E$7,4,IF($M29&gt;=Scoring_Criteria!$F$7,3,IF($M29&gt;=Scoring_Criteria!$G$7,2,1))))),"")</f>
        <v>3</v>
      </c>
      <c r="AB29" s="26">
        <f>IFERROR(IF(NOT(ISNUMBER($T29)),"",IF($T29&gt;=Scoring_Criteria!$D$8,5,IF($T29&gt;=Scoring_Criteria!$E$8,4,IF($T29&gt;=Scoring_Criteria!$F$8,3,IF($T29&gt;=Scoring_Criteria!$G$8,2,1))))),"")</f>
        <v>1</v>
      </c>
      <c r="AC29" s="26" t="str">
        <f>IFERROR(IF(NOT(ISNUMBER($U29)),"",IF($U29&lt;=Scoring_Criteria!$D$9,5,IF($U29&lt;=Scoring_Criteria!$E$9,4,IF($U29&lt;=Scoring_Criteria!$F$9,3,IF($U29&lt;=Scoring_Criteria!$G$9,2,1))))),"")</f>
        <v/>
      </c>
      <c r="AD29" s="26">
        <f t="array" ref="AD29">IFERROR(IF(NOT(ISNUMBER(_xlfn.XLOOKUP($A29&amp;"|"&amp;$C29,Financials!$A$2:$A$201&amp;"|"&amp;Financials!$B$2:$B$201,Financials!$AD$2:$AD$201,""))),"",IF(_xlfn.XLOOKUP($A29&amp;"|"&amp;$C29,Financials!$A$2:$A$201&amp;"|"&amp;Financials!$B$2:$B$201,Financials!$AD$2:$AD$201,"")&gt;=Scoring_Criteria!$D$10,5,IF(_xlfn.XLOOKUP($A29&amp;"|"&amp;$C29,Financials!$A$2:$A$201&amp;"|"&amp;Financials!$B$2:$B$201,Financials!$AD$2:$AD$201,"")&gt;=Scoring_Criteria!$E$10,4,IF(_xlfn.XLOOKUP($A29&amp;"|"&amp;$C29,Financials!$A$2:$A$201&amp;"|"&amp;Financials!$B$2:$B$201,Financials!$AD$2:$AD$201,"")&gt;=Scoring_Criteria!$F$10,3,IF(_xlfn.XLOOKUP($A29&amp;"|"&amp;$C29,Financials!$A$2:$A$201&amp;"|"&amp;Financials!$B$2:$B$201,Financials!$AD$2:$AD$201,"")&gt;=Scoring_Criteria!$G$10,2,1))))),"")</f>
        <v>1</v>
      </c>
      <c r="AE29" s="27"/>
      <c r="AF29" s="27"/>
      <c r="AG29" s="28">
        <f t="shared" si="4"/>
        <v>2.8333333333333335</v>
      </c>
      <c r="AH29" s="29"/>
      <c r="AI29" s="29"/>
      <c r="AJ29" s="29"/>
      <c r="AK29" s="29"/>
      <c r="AL29" s="29"/>
      <c r="AM29" s="29"/>
      <c r="AN29" s="29"/>
      <c r="AO29" s="29"/>
      <c r="AP29" s="29"/>
      <c r="AQ29" s="29"/>
      <c r="AR29" s="29"/>
      <c r="AS29" s="29"/>
      <c r="AT29" s="29"/>
      <c r="AU29" s="46" t="str">
        <f>IFERROR(Validation_Summary!Q5,"")</f>
        <v>✓ All 8 checks passed</v>
      </c>
    </row>
    <row r="30" spans="1:47" ht="15" customHeight="1" x14ac:dyDescent="0.3">
      <c r="A30" s="6" t="s">
        <v>2433</v>
      </c>
      <c r="B30" s="19" t="str">
        <f t="array" ref="B30">IFERROR(_xlfn.XLOOKUP($A30&amp;"|"&amp;$C30,'Company_Master'!$A$2:$A$94&amp;"|"&amp;'Company_Master'!$D$2:$D$94,'Company_Master'!$B$2:$B$94,""),"")</f>
        <v>FAPA</v>
      </c>
      <c r="C30" s="20">
        <v>2023</v>
      </c>
      <c r="D30" s="19" t="str">
        <f t="array" ref="D30">IFERROR(_xlfn.XLOOKUP($A30&amp;"|"&amp;$C30,'Company_Master'!$A$2:$A$94&amp;"|"&amp;'Company_Master'!$D$2:$D$94,'Company_Master'!$H$2:$H$94,""),"")</f>
        <v>North Kalimantan, East Kalimantan, Riau</v>
      </c>
      <c r="E30" s="20">
        <f t="array" ref="E30">IFERROR(_xlfn.XLOOKUP($A30&amp;"|"&amp;$C30,Asset_Operations!$A$2:$A$201&amp;"|"&amp;Asset_Operations!$BG$2:$BG$201,Asset_Operations!$B$2:$B$201,""),"")</f>
        <v>88752</v>
      </c>
      <c r="F30" s="20">
        <f t="array" ref="F30">IFERROR(_xlfn.XLOOKUP($A30&amp;"|"&amp;$C30,Asset_Operations!$A$2:$A$201&amp;"|"&amp;Asset_Operations!$BG$2:$BG$201,Asset_Operations!$E$2:$E$201,""),"")</f>
        <v>84128</v>
      </c>
      <c r="G30" s="20">
        <f t="array" ref="G30">IFERROR(_xlfn.XLOOKUP($A30&amp;"|"&amp;$C30,Asset_Operations!$A$2:$A$201&amp;"|"&amp;Asset_Operations!$BG$2:$BG$201,Asset_Operations!$I$2:$I$201,""),"")</f>
        <v>11.9</v>
      </c>
      <c r="H30" s="20">
        <f t="array" ref="H30">IFERROR(_xlfn.XLOOKUP($A30&amp;"|"&amp;$C30,Asset_Operations!$A$2:$A$201&amp;"|"&amp;Asset_Operations!$BG$2:$BG$201,Asset_Operations!$J$2:$J$201,""),"")</f>
        <v>0</v>
      </c>
      <c r="I30" s="20">
        <f t="array" ref="I30">IFERROR(_xlfn.XLOOKUP($A30&amp;"|"&amp;$C30,Asset_Operations!$A$2:$A$201&amp;"|"&amp;Asset_Operations!$BG$2:$BG$201,Asset_Operations!$O$2:$O$201,""),"")</f>
        <v>6</v>
      </c>
      <c r="J30" s="20">
        <f t="array" ref="J30">IFERROR(_xlfn.XLOOKUP($A30&amp;"|"&amp;$C30,Asset_Operations!$A$2:$A$201&amp;"|"&amp;Asset_Operations!$BG$2:$BG$201,Asset_Operations!$S$2:$S$201,""),"")</f>
        <v>0</v>
      </c>
      <c r="K30" s="20">
        <f t="array" ref="K30">IFERROR(_xlfn.XLOOKUP($A30&amp;"|"&amp;$C30,Asset_Operations!$A$2:$A$201&amp;"|"&amp;Asset_Operations!$BG$2:$BG$201,Asset_Operations!$AC$2:$AC$201,""),"")</f>
        <v>1261820</v>
      </c>
      <c r="L30" s="20">
        <f t="array" ref="L30">IFERROR(_xlfn.XLOOKUP($A30&amp;"|"&amp;$C30,Asset_Operations!$A$2:$A$201&amp;"|"&amp;Asset_Operations!$BG$2:$BG$201,Asset_Operations!$AG$2:$AG$201,""),"")</f>
        <v>307674</v>
      </c>
      <c r="M30" s="20">
        <f t="array" ref="M30">IFERROR(_xlfn.XLOOKUP($A30&amp;"|"&amp;$C30,Asset_Operations!$A$2:$A$201&amp;"|"&amp;Asset_Operations!$BG$2:$BG$201,Asset_Operations!$AO$2:$AO$201,""),"")</f>
        <v>14.998811335108407</v>
      </c>
      <c r="N30" s="21" t="str">
        <f t="array" ref="N30">IFERROR(_xlfn.XLOOKUP($A30&amp;"|"&amp;$C30,Asset_Operations!$A$2:$A$201&amp;"|"&amp;Asset_Operations!$BG$2:$BG$201,Asset_Operations!$AR$2:$AR$201,""),"")</f>
        <v/>
      </c>
      <c r="O30" s="22">
        <f t="array" ref="O30">IFERROR(_xlfn.XLOOKUP($A30&amp;"|"&amp;$C30,Financials!$A$2:$A$201&amp;"|"&amp;Financials!$B$2:$B$201,Financials!$C$2:$C$201,""),"")</f>
        <v>5062.2439999999997</v>
      </c>
      <c r="P30" s="22">
        <f t="array" ref="P30">IFERROR(_xlfn.XLOOKUP($A30&amp;"|"&amp;$C30,Financials!$A$2:$A$201&amp;"|"&amp;Financials!$B$2:$B$201,Financials!$E$2:$E$201,""),"")</f>
        <v>0</v>
      </c>
      <c r="Q30" s="22">
        <f t="array" ref="Q30">IFERROR(_xlfn.XLOOKUP($A30&amp;"|"&amp;$C30,Financials!$A$2:$A$201&amp;"|"&amp;Financials!$B$2:$B$201,Financials!$G$2:$G$201,""),"")</f>
        <v>161.679</v>
      </c>
      <c r="R30" s="22">
        <f t="array" ref="R30">IFERROR(_xlfn.XLOOKUP($A30&amp;"|"&amp;$C30,Financials!$A$2:$A$201&amp;"|"&amp;Financials!$B$2:$B$201,Financials!$S$2:$S$201,""),"")</f>
        <v>2783.2759999999998</v>
      </c>
      <c r="S30" s="22">
        <f t="array" ref="S30">IFERROR(_xlfn.XLOOKUP($A30&amp;"|"&amp;$C30,Financials!$A$2:$A$201&amp;"|"&amp;Financials!$B$2:$B$201,Financials!$AC$2:$AC$201,""),"")</f>
        <v>19235.883599999997</v>
      </c>
      <c r="T30" s="23">
        <f t="shared" si="0"/>
        <v>0</v>
      </c>
      <c r="U30" s="24" t="str">
        <f t="shared" si="1"/>
        <v/>
      </c>
      <c r="V30" s="25">
        <f t="shared" si="2"/>
        <v>5.7038083648819175E-2</v>
      </c>
      <c r="W30" s="24">
        <f t="shared" si="3"/>
        <v>3.6572128185621908</v>
      </c>
      <c r="X30" s="26">
        <f>IFERROR(IF(NOT(ISNUMBER($E30)),"",IF($E30&gt;=Scoring_Criteria!$D$4,5,IF($E30&gt;=Scoring_Criteria!$E$4,4,IF($E30&gt;=Scoring_Criteria!$F$4,3,IF($E30&gt;=Scoring_Criteria!$G$4,2,1))))),"")</f>
        <v>4</v>
      </c>
      <c r="Y30" s="26">
        <f>IFERROR(IF(OR(NOT(ISNUMBER($F30)),NOT(ISNUMBER($E30)),$E30=0),"",IF(($F30/$E30)&gt;=Scoring_Criteria!$D$5,5,IF(($F30/$E30)&gt;=Scoring_Criteria!$E$5,4,IF(($F30/$E30)&gt;=Scoring_Criteria!$F$5,3,IF(($F30/$E30)&gt;=Scoring_Criteria!$G$5,2,1))))),"")</f>
        <v>5</v>
      </c>
      <c r="Z30" s="26">
        <f>IFERROR(IF(AND(NOT(ISNUMBER($I30)),NOT(ISNUMBER($J30))),"",IF((IFERROR($I30,0)+IFERROR($J30,0))&gt;=Scoring_Criteria!$D$6,5,IF((IFERROR($I30,0)+IFERROR($J30,0))&gt;=Scoring_Criteria!$E$6,4,IF((IFERROR($I30,0)+IFERROR($J30,0))&gt;=Scoring_Criteria!$F$6,3,IF((IFERROR($I30,0)+IFERROR($J30,0))&gt;=Scoring_Criteria!$G$6,2,1))))),"")</f>
        <v>4</v>
      </c>
      <c r="AA30" s="26">
        <f>IFERROR(IF(NOT(ISNUMBER($M30)),"",IF($M30&gt;=Scoring_Criteria!$D$7,5,IF($M30&gt;=Scoring_Criteria!$E$7,4,IF($M30&gt;=Scoring_Criteria!$F$7,3,IF($M30&gt;=Scoring_Criteria!$G$7,2,1))))),"")</f>
        <v>3</v>
      </c>
      <c r="AB30" s="26">
        <f>IFERROR(IF(NOT(ISNUMBER($T30)),"",IF($T30&gt;=Scoring_Criteria!$D$8,5,IF($T30&gt;=Scoring_Criteria!$E$8,4,IF($T30&gt;=Scoring_Criteria!$F$8,3,IF($T30&gt;=Scoring_Criteria!$G$8,2,1))))),"")</f>
        <v>1</v>
      </c>
      <c r="AC30" s="26" t="str">
        <f>IFERROR(IF(NOT(ISNUMBER($U30)),"",IF($U30&lt;=Scoring_Criteria!$D$9,5,IF($U30&lt;=Scoring_Criteria!$E$9,4,IF($U30&lt;=Scoring_Criteria!$F$9,3,IF($U30&lt;=Scoring_Criteria!$G$9,2,1))))),"")</f>
        <v/>
      </c>
      <c r="AD30" s="26">
        <f t="array" ref="AD30">IFERROR(IF(NOT(ISNUMBER(_xlfn.XLOOKUP($A30&amp;"|"&amp;$C30,Financials!$A$2:$A$201&amp;"|"&amp;Financials!$B$2:$B$201,Financials!$AD$2:$AD$201,""))),"",IF(_xlfn.XLOOKUP($A30&amp;"|"&amp;$C30,Financials!$A$2:$A$201&amp;"|"&amp;Financials!$B$2:$B$201,Financials!$AD$2:$AD$201,"")&gt;=Scoring_Criteria!$D$10,5,IF(_xlfn.XLOOKUP($A30&amp;"|"&amp;$C30,Financials!$A$2:$A$201&amp;"|"&amp;Financials!$B$2:$B$201,Financials!$AD$2:$AD$201,"")&gt;=Scoring_Criteria!$E$10,4,IF(_xlfn.XLOOKUP($A30&amp;"|"&amp;$C30,Financials!$A$2:$A$201&amp;"|"&amp;Financials!$B$2:$B$201,Financials!$AD$2:$AD$201,"")&gt;=Scoring_Criteria!$F$10,3,IF(_xlfn.XLOOKUP($A30&amp;"|"&amp;$C30,Financials!$A$2:$A$201&amp;"|"&amp;Financials!$B$2:$B$201,Financials!$AD$2:$AD$201,"")&gt;=Scoring_Criteria!$G$10,2,1))))),"")</f>
        <v>1</v>
      </c>
      <c r="AE30" s="27"/>
      <c r="AF30" s="27"/>
      <c r="AG30" s="28">
        <f t="shared" si="4"/>
        <v>3</v>
      </c>
      <c r="AH30" s="29"/>
      <c r="AI30" s="29"/>
      <c r="AJ30" s="29"/>
      <c r="AK30" s="29"/>
      <c r="AL30" s="29"/>
      <c r="AM30" s="29"/>
      <c r="AN30" s="29"/>
      <c r="AO30" s="29"/>
      <c r="AP30" s="29"/>
      <c r="AQ30" s="29"/>
      <c r="AR30" s="29"/>
      <c r="AS30" s="29"/>
      <c r="AT30" s="29"/>
      <c r="AU30" s="46" t="str">
        <f>IFERROR(Validation_Summary!Q5,"")</f>
        <v>✓ All 8 checks passed</v>
      </c>
    </row>
    <row r="31" spans="1:47" ht="15" customHeight="1" x14ac:dyDescent="0.3">
      <c r="A31" s="6" t="s">
        <v>2433</v>
      </c>
      <c r="B31" s="19" t="str">
        <f t="array" ref="B31">IFERROR(_xlfn.XLOOKUP($A31&amp;"|"&amp;$C31,'Company_Master'!$A$2:$A$94&amp;"|"&amp;'Company_Master'!$D$2:$D$94,'Company_Master'!$B$2:$B$94,""),"")</f>
        <v>FAPA</v>
      </c>
      <c r="C31" s="20">
        <v>2024</v>
      </c>
      <c r="D31" s="19" t="str">
        <f t="array" ref="D31">IFERROR(_xlfn.XLOOKUP($A31&amp;"|"&amp;$C31,'Company_Master'!$A$2:$A$94&amp;"|"&amp;'Company_Master'!$D$2:$D$94,'Company_Master'!$H$2:$H$94,""),"")</f>
        <v>North Kalimantan, East Kalimantan, Riau</v>
      </c>
      <c r="E31" s="20">
        <f t="array" ref="E31">IFERROR(_xlfn.XLOOKUP($A31&amp;"|"&amp;$C31,Asset_Operations!$A$2:$A$201&amp;"|"&amp;Asset_Operations!$BG$2:$BG$201,Asset_Operations!$B$2:$B$201,""),"")</f>
        <v>88701</v>
      </c>
      <c r="F31" s="20">
        <f t="array" ref="F31">IFERROR(_xlfn.XLOOKUP($A31&amp;"|"&amp;$C31,Asset_Operations!$A$2:$A$201&amp;"|"&amp;Asset_Operations!$BG$2:$BG$201,Asset_Operations!$E$2:$E$201,""),"")</f>
        <v>87633</v>
      </c>
      <c r="G31" s="20">
        <f t="array" ref="G31">IFERROR(_xlfn.XLOOKUP($A31&amp;"|"&amp;$C31,Asset_Operations!$A$2:$A$201&amp;"|"&amp;Asset_Operations!$BG$2:$BG$201,Asset_Operations!$I$2:$I$201,""),"")</f>
        <v>13</v>
      </c>
      <c r="H31" s="20">
        <f t="array" ref="H31">IFERROR(_xlfn.XLOOKUP($A31&amp;"|"&amp;$C31,Asset_Operations!$A$2:$A$201&amp;"|"&amp;Asset_Operations!$BG$2:$BG$201,Asset_Operations!$J$2:$J$201,""),"")</f>
        <v>0</v>
      </c>
      <c r="I31" s="20">
        <f t="array" ref="I31">IFERROR(_xlfn.XLOOKUP($A31&amp;"|"&amp;$C31,Asset_Operations!$A$2:$A$201&amp;"|"&amp;Asset_Operations!$BG$2:$BG$201,Asset_Operations!$O$2:$O$201,""),"")</f>
        <v>6</v>
      </c>
      <c r="J31" s="20">
        <f t="array" ref="J31">IFERROR(_xlfn.XLOOKUP($A31&amp;"|"&amp;$C31,Asset_Operations!$A$2:$A$201&amp;"|"&amp;Asset_Operations!$BG$2:$BG$201,Asset_Operations!$S$2:$S$201,""),"")</f>
        <v>0</v>
      </c>
      <c r="K31" s="20">
        <f t="array" ref="K31">IFERROR(_xlfn.XLOOKUP($A31&amp;"|"&amp;$C31,Asset_Operations!$A$2:$A$201&amp;"|"&amp;Asset_Operations!$BG$2:$BG$201,Asset_Operations!$AC$2:$AC$201,""),"")</f>
        <v>1312257</v>
      </c>
      <c r="L31" s="20">
        <f t="array" ref="L31">IFERROR(_xlfn.XLOOKUP($A31&amp;"|"&amp;$C31,Asset_Operations!$A$2:$A$201&amp;"|"&amp;Asset_Operations!$BG$2:$BG$201,Asset_Operations!$AG$2:$AG$201,""),"")</f>
        <v>297758</v>
      </c>
      <c r="M31" s="20">
        <f t="array" ref="M31">IFERROR(_xlfn.XLOOKUP($A31&amp;"|"&amp;$C31,Asset_Operations!$A$2:$A$201&amp;"|"&amp;Asset_Operations!$BG$2:$BG$201,Asset_Operations!$AO$2:$AO$201,""),"")</f>
        <v>14.974461675396254</v>
      </c>
      <c r="N31" s="21" t="str">
        <f t="array" ref="N31">IFERROR(_xlfn.XLOOKUP($A31&amp;"|"&amp;$C31,Asset_Operations!$A$2:$A$201&amp;"|"&amp;Asset_Operations!$BG$2:$BG$201,Asset_Operations!$AR$2:$AR$201,""),"")</f>
        <v/>
      </c>
      <c r="O31" s="22">
        <f t="array" ref="O31">IFERROR(_xlfn.XLOOKUP($A31&amp;"|"&amp;$C31,Financials!$A$2:$A$201&amp;"|"&amp;Financials!$B$2:$B$201,Financials!$C$2:$C$201,""),"")</f>
        <v>5742.9840000000004</v>
      </c>
      <c r="P31" s="22">
        <f t="array" ref="P31">IFERROR(_xlfn.XLOOKUP($A31&amp;"|"&amp;$C31,Financials!$A$2:$A$201&amp;"|"&amp;Financials!$B$2:$B$201,Financials!$E$2:$E$201,""),"")</f>
        <v>0</v>
      </c>
      <c r="Q31" s="22">
        <f t="array" ref="Q31">IFERROR(_xlfn.XLOOKUP($A31&amp;"|"&amp;$C31,Financials!$A$2:$A$201&amp;"|"&amp;Financials!$B$2:$B$201,Financials!$G$2:$G$201,""),"")</f>
        <v>571.45399999999995</v>
      </c>
      <c r="R31" s="22">
        <f t="array" ref="R31">IFERROR(_xlfn.XLOOKUP($A31&amp;"|"&amp;$C31,Financials!$A$2:$A$201&amp;"|"&amp;Financials!$B$2:$B$201,Financials!$S$2:$S$201,""),"")</f>
        <v>2698.3609999999999</v>
      </c>
      <c r="S31" s="22">
        <f t="array" ref="S31">IFERROR(_xlfn.XLOOKUP($A31&amp;"|"&amp;$C31,Financials!$A$2:$A$201&amp;"|"&amp;Financials!$B$2:$B$201,Financials!$AC$2:$AC$201,""),"")</f>
        <v>19598.824800000002</v>
      </c>
      <c r="T31" s="23">
        <f t="shared" si="0"/>
        <v>0</v>
      </c>
      <c r="U31" s="24" t="str">
        <f t="shared" si="1"/>
        <v/>
      </c>
      <c r="V31" s="25">
        <f t="shared" si="2"/>
        <v>6.4745425643453855E-2</v>
      </c>
      <c r="W31" s="24">
        <f t="shared" si="3"/>
        <v>3.3977839398400147</v>
      </c>
      <c r="X31" s="26">
        <f>IFERROR(IF(NOT(ISNUMBER($E31)),"",IF($E31&gt;=Scoring_Criteria!$D$4,5,IF($E31&gt;=Scoring_Criteria!$E$4,4,IF($E31&gt;=Scoring_Criteria!$F$4,3,IF($E31&gt;=Scoring_Criteria!$G$4,2,1))))),"")</f>
        <v>4</v>
      </c>
      <c r="Y31" s="26">
        <f>IFERROR(IF(OR(NOT(ISNUMBER($F31)),NOT(ISNUMBER($E31)),$E31=0),"",IF(($F31/$E31)&gt;=Scoring_Criteria!$D$5,5,IF(($F31/$E31)&gt;=Scoring_Criteria!$E$5,4,IF(($F31/$E31)&gt;=Scoring_Criteria!$F$5,3,IF(($F31/$E31)&gt;=Scoring_Criteria!$G$5,2,1))))),"")</f>
        <v>5</v>
      </c>
      <c r="Z31" s="26">
        <f>IFERROR(IF(AND(NOT(ISNUMBER($I31)),NOT(ISNUMBER($J31))),"",IF((IFERROR($I31,0)+IFERROR($J31,0))&gt;=Scoring_Criteria!$D$6,5,IF((IFERROR($I31,0)+IFERROR($J31,0))&gt;=Scoring_Criteria!$E$6,4,IF((IFERROR($I31,0)+IFERROR($J31,0))&gt;=Scoring_Criteria!$F$6,3,IF((IFERROR($I31,0)+IFERROR($J31,0))&gt;=Scoring_Criteria!$G$6,2,1))))),"")</f>
        <v>4</v>
      </c>
      <c r="AA31" s="26">
        <f>IFERROR(IF(NOT(ISNUMBER($M31)),"",IF($M31&gt;=Scoring_Criteria!$D$7,5,IF($M31&gt;=Scoring_Criteria!$E$7,4,IF($M31&gt;=Scoring_Criteria!$F$7,3,IF($M31&gt;=Scoring_Criteria!$G$7,2,1))))),"")</f>
        <v>3</v>
      </c>
      <c r="AB31" s="26">
        <f>IFERROR(IF(NOT(ISNUMBER($T31)),"",IF($T31&gt;=Scoring_Criteria!$D$8,5,IF($T31&gt;=Scoring_Criteria!$E$8,4,IF($T31&gt;=Scoring_Criteria!$F$8,3,IF($T31&gt;=Scoring_Criteria!$G$8,2,1))))),"")</f>
        <v>1</v>
      </c>
      <c r="AC31" s="26" t="str">
        <f>IFERROR(IF(NOT(ISNUMBER($U31)),"",IF($U31&lt;=Scoring_Criteria!$D$9,5,IF($U31&lt;=Scoring_Criteria!$E$9,4,IF($U31&lt;=Scoring_Criteria!$F$9,3,IF($U31&lt;=Scoring_Criteria!$G$9,2,1))))),"")</f>
        <v/>
      </c>
      <c r="AD31" s="26">
        <f t="array" ref="AD31">IFERROR(IF(NOT(ISNUMBER(_xlfn.XLOOKUP($A31&amp;"|"&amp;$C31,Financials!$A$2:$A$201&amp;"|"&amp;Financials!$B$2:$B$201,Financials!$AD$2:$AD$201,""))),"",IF(_xlfn.XLOOKUP($A31&amp;"|"&amp;$C31,Financials!$A$2:$A$201&amp;"|"&amp;Financials!$B$2:$B$201,Financials!$AD$2:$AD$201,"")&gt;=Scoring_Criteria!$D$10,5,IF(_xlfn.XLOOKUP($A31&amp;"|"&amp;$C31,Financials!$A$2:$A$201&amp;"|"&amp;Financials!$B$2:$B$201,Financials!$AD$2:$AD$201,"")&gt;=Scoring_Criteria!$E$10,4,IF(_xlfn.XLOOKUP($A31&amp;"|"&amp;$C31,Financials!$A$2:$A$201&amp;"|"&amp;Financials!$B$2:$B$201,Financials!$AD$2:$AD$201,"")&gt;=Scoring_Criteria!$F$10,3,IF(_xlfn.XLOOKUP($A31&amp;"|"&amp;$C31,Financials!$A$2:$A$201&amp;"|"&amp;Financials!$B$2:$B$201,Financials!$AD$2:$AD$201,"")&gt;=Scoring_Criteria!$G$10,2,1))))),"")</f>
        <v>1</v>
      </c>
      <c r="AE31" s="27"/>
      <c r="AF31" s="27"/>
      <c r="AG31" s="28">
        <f t="shared" si="4"/>
        <v>3</v>
      </c>
      <c r="AH31" s="29"/>
      <c r="AI31" s="29"/>
      <c r="AJ31" s="29"/>
      <c r="AK31" s="29"/>
      <c r="AL31" s="29"/>
      <c r="AM31" s="29"/>
      <c r="AN31" s="29"/>
      <c r="AO31" s="29"/>
      <c r="AP31" s="29"/>
      <c r="AQ31" s="29"/>
      <c r="AR31" s="29"/>
      <c r="AS31" s="29"/>
      <c r="AT31" s="29"/>
      <c r="AU31" s="46" t="str">
        <f>IFERROR(Validation_Summary!Q5,"")</f>
        <v>✓ All 8 checks passed</v>
      </c>
    </row>
    <row r="32" spans="1:47" ht="15" customHeight="1" x14ac:dyDescent="0.3">
      <c r="A32" s="6" t="s">
        <v>2636</v>
      </c>
      <c r="B32" s="19" t="str">
        <f t="array" ref="B32">IFERROR(_xlfn.XLOOKUP($A32&amp;"|"&amp;$C32,'Company_Master'!$A$2:$A$94&amp;"|"&amp;'Company_Master'!$D$2:$D$94,'Company_Master'!$B$2:$B$94,""),"")</f>
        <v>FISH</v>
      </c>
      <c r="C32" s="20">
        <v>2022</v>
      </c>
      <c r="D32" s="19" t="str">
        <f t="array" ref="D32">IFERROR(_xlfn.XLOOKUP($A32&amp;"|"&amp;$C32,'Company_Master'!$A$2:$A$94&amp;"|"&amp;'Company_Master'!$D$2:$D$94,'Company_Master'!$H$2:$H$94,""),"")</f>
        <v>Indonesia (warehousing/logistics in multiple ports)</v>
      </c>
      <c r="E32" s="20">
        <f t="array" ref="E32">IFERROR(_xlfn.XLOOKUP($A32&amp;"|"&amp;$C32,Asset_Operations!$A$2:$A$201&amp;"|"&amp;Asset_Operations!$BG$2:$BG$201,Asset_Operations!$B$2:$B$201,""),"")</f>
        <v>0</v>
      </c>
      <c r="F32" s="20">
        <f t="array" ref="F32">IFERROR(_xlfn.XLOOKUP($A32&amp;"|"&amp;$C32,Asset_Operations!$A$2:$A$201&amp;"|"&amp;Asset_Operations!$BG$2:$BG$201,Asset_Operations!$E$2:$E$201,""),"")</f>
        <v>0</v>
      </c>
      <c r="G32" s="20">
        <f t="array" ref="G32">IFERROR(_xlfn.XLOOKUP($A32&amp;"|"&amp;$C32,Asset_Operations!$A$2:$A$201&amp;"|"&amp;Asset_Operations!$BG$2:$BG$201,Asset_Operations!$I$2:$I$201,""),"")</f>
        <v>0</v>
      </c>
      <c r="H32" s="20">
        <f t="array" ref="H32">IFERROR(_xlfn.XLOOKUP($A32&amp;"|"&amp;$C32,Asset_Operations!$A$2:$A$201&amp;"|"&amp;Asset_Operations!$BG$2:$BG$201,Asset_Operations!$J$2:$J$201,""),"")</f>
        <v>0</v>
      </c>
      <c r="I32" s="20">
        <f t="array" ref="I32">IFERROR(_xlfn.XLOOKUP($A32&amp;"|"&amp;$C32,Asset_Operations!$A$2:$A$201&amp;"|"&amp;Asset_Operations!$BG$2:$BG$201,Asset_Operations!$O$2:$O$201,""),"")</f>
        <v>0</v>
      </c>
      <c r="J32" s="20">
        <f t="array" ref="J32">IFERROR(_xlfn.XLOOKUP($A32&amp;"|"&amp;$C32,Asset_Operations!$A$2:$A$201&amp;"|"&amp;Asset_Operations!$BG$2:$BG$201,Asset_Operations!$S$2:$S$201,""),"")</f>
        <v>0</v>
      </c>
      <c r="K32" s="20">
        <f t="array" ref="K32">IFERROR(_xlfn.XLOOKUP($A32&amp;"|"&amp;$C32,Asset_Operations!$A$2:$A$201&amp;"|"&amp;Asset_Operations!$BG$2:$BG$201,Asset_Operations!$AC$2:$AC$201,""),"")</f>
        <v>0</v>
      </c>
      <c r="L32" s="20">
        <f t="array" ref="L32">IFERROR(_xlfn.XLOOKUP($A32&amp;"|"&amp;$C32,Asset_Operations!$A$2:$A$201&amp;"|"&amp;Asset_Operations!$BG$2:$BG$201,Asset_Operations!$AG$2:$AG$201,""),"")</f>
        <v>0</v>
      </c>
      <c r="M32" s="20" t="str">
        <f t="array" ref="M32">IFERROR(_xlfn.XLOOKUP($A32&amp;"|"&amp;$C32,Asset_Operations!$A$2:$A$201&amp;"|"&amp;Asset_Operations!$BG$2:$BG$201,Asset_Operations!$AO$2:$AO$201,""),"")</f>
        <v/>
      </c>
      <c r="N32" s="21" t="str">
        <f t="array" ref="N32">IFERROR(_xlfn.XLOOKUP($A32&amp;"|"&amp;$C32,Asset_Operations!$A$2:$A$201&amp;"|"&amp;Asset_Operations!$BG$2:$BG$201,Asset_Operations!$AR$2:$AR$201,""),"")</f>
        <v/>
      </c>
      <c r="O32" s="22">
        <f t="array" ref="O32">IFERROR(_xlfn.XLOOKUP($A32&amp;"|"&amp;$C32,Financials!$A$2:$A$201&amp;"|"&amp;Financials!$B$2:$B$201,Financials!$C$2:$C$201,""),"")</f>
        <v>23242</v>
      </c>
      <c r="P32" s="22">
        <f t="array" ref="P32">IFERROR(_xlfn.XLOOKUP($A32&amp;"|"&amp;$C32,Financials!$A$2:$A$201&amp;"|"&amp;Financials!$B$2:$B$201,Financials!$E$2:$E$201,""),"")</f>
        <v>0</v>
      </c>
      <c r="Q32" s="22">
        <f t="array" ref="Q32">IFERROR(_xlfn.XLOOKUP($A32&amp;"|"&amp;$C32,Financials!$A$2:$A$201&amp;"|"&amp;Financials!$B$2:$B$201,Financials!$G$2:$G$201,""),"")</f>
        <v>486.4</v>
      </c>
      <c r="R32" s="22">
        <f t="array" ref="R32">IFERROR(_xlfn.XLOOKUP($A32&amp;"|"&amp;$C32,Financials!$A$2:$A$201&amp;"|"&amp;Financials!$B$2:$B$201,Financials!$S$2:$S$201,""),"")</f>
        <v>1273.9000000000001</v>
      </c>
      <c r="S32" s="22">
        <f t="array" ref="S32">IFERROR(_xlfn.XLOOKUP($A32&amp;"|"&amp;$C32,Financials!$A$2:$A$201&amp;"|"&amp;Financials!$B$2:$B$201,Financials!$AC$2:$AC$201,""),"")</f>
        <v>3240</v>
      </c>
      <c r="T32" s="23">
        <f t="shared" si="0"/>
        <v>0</v>
      </c>
      <c r="U32" s="24" t="str">
        <f t="shared" si="1"/>
        <v/>
      </c>
      <c r="V32" s="25" t="str">
        <f t="shared" si="2"/>
        <v/>
      </c>
      <c r="W32" s="24" t="str">
        <f t="shared" si="3"/>
        <v/>
      </c>
      <c r="X32" s="26">
        <f>IFERROR(IF(NOT(ISNUMBER($E32)),"",IF($E32&gt;=Scoring_Criteria!$D$4,5,IF($E32&gt;=Scoring_Criteria!$E$4,4,IF($E32&gt;=Scoring_Criteria!$F$4,3,IF($E32&gt;=Scoring_Criteria!$G$4,2,1))))),"")</f>
        <v>1</v>
      </c>
      <c r="Y32" s="26" t="str">
        <f>IFERROR(IF(OR(NOT(ISNUMBER($F32)),NOT(ISNUMBER($E32)),$E32=0),"",IF(($F32/$E32)&gt;=Scoring_Criteria!$D$5,5,IF(($F32/$E32)&gt;=Scoring_Criteria!$E$5,4,IF(($F32/$E32)&gt;=Scoring_Criteria!$F$5,3,IF(($F32/$E32)&gt;=Scoring_Criteria!$G$5,2,1))))),"")</f>
        <v/>
      </c>
      <c r="Z32" s="26">
        <f>IFERROR(IF(AND(NOT(ISNUMBER($I32)),NOT(ISNUMBER($J32))),"",IF((IFERROR($I32,0)+IFERROR($J32,0))&gt;=Scoring_Criteria!$D$6,5,IF((IFERROR($I32,0)+IFERROR($J32,0))&gt;=Scoring_Criteria!$E$6,4,IF((IFERROR($I32,0)+IFERROR($J32,0))&gt;=Scoring_Criteria!$F$6,3,IF((IFERROR($I32,0)+IFERROR($J32,0))&gt;=Scoring_Criteria!$G$6,2,1))))),"")</f>
        <v>1</v>
      </c>
      <c r="AA32" s="26" t="str">
        <f>IFERROR(IF(NOT(ISNUMBER($M32)),"",IF($M32&gt;=Scoring_Criteria!$D$7,5,IF($M32&gt;=Scoring_Criteria!$E$7,4,IF($M32&gt;=Scoring_Criteria!$F$7,3,IF($M32&gt;=Scoring_Criteria!$G$7,2,1))))),"")</f>
        <v/>
      </c>
      <c r="AB32" s="26">
        <f>IFERROR(IF(NOT(ISNUMBER($T32)),"",IF($T32&gt;=Scoring_Criteria!$D$8,5,IF($T32&gt;=Scoring_Criteria!$E$8,4,IF($T32&gt;=Scoring_Criteria!$F$8,3,IF($T32&gt;=Scoring_Criteria!$G$8,2,1))))),"")</f>
        <v>1</v>
      </c>
      <c r="AC32" s="26" t="str">
        <f>IFERROR(IF(NOT(ISNUMBER($U32)),"",IF($U32&lt;=Scoring_Criteria!$D$9,5,IF($U32&lt;=Scoring_Criteria!$E$9,4,IF($U32&lt;=Scoring_Criteria!$F$9,3,IF($U32&lt;=Scoring_Criteria!$G$9,2,1))))),"")</f>
        <v/>
      </c>
      <c r="AD32" s="26">
        <f t="array" ref="AD32">IFERROR(IF(NOT(ISNUMBER(_xlfn.XLOOKUP($A32&amp;"|"&amp;$C32,Financials!$A$2:$A$201&amp;"|"&amp;Financials!$B$2:$B$201,Financials!$AD$2:$AD$201,""))),"",IF(_xlfn.XLOOKUP($A32&amp;"|"&amp;$C32,Financials!$A$2:$A$201&amp;"|"&amp;Financials!$B$2:$B$201,Financials!$AD$2:$AD$201,"")&gt;=Scoring_Criteria!$D$10,5,IF(_xlfn.XLOOKUP($A32&amp;"|"&amp;$C32,Financials!$A$2:$A$201&amp;"|"&amp;Financials!$B$2:$B$201,Financials!$AD$2:$AD$201,"")&gt;=Scoring_Criteria!$E$10,4,IF(_xlfn.XLOOKUP($A32&amp;"|"&amp;$C32,Financials!$A$2:$A$201&amp;"|"&amp;Financials!$B$2:$B$201,Financials!$AD$2:$AD$201,"")&gt;=Scoring_Criteria!$F$10,3,IF(_xlfn.XLOOKUP($A32&amp;"|"&amp;$C32,Financials!$A$2:$A$201&amp;"|"&amp;Financials!$B$2:$B$201,Financials!$AD$2:$AD$201,"")&gt;=Scoring_Criteria!$G$10,2,1))))),"")</f>
        <v>3</v>
      </c>
      <c r="AE32" s="27"/>
      <c r="AF32" s="27"/>
      <c r="AG32" s="28">
        <f t="shared" si="4"/>
        <v>1.5</v>
      </c>
      <c r="AH32" s="29"/>
      <c r="AI32" s="29"/>
      <c r="AJ32" s="29"/>
      <c r="AK32" s="29"/>
      <c r="AL32" s="29"/>
      <c r="AM32" s="29"/>
      <c r="AN32" s="29"/>
      <c r="AO32" s="29"/>
      <c r="AP32" s="29"/>
      <c r="AQ32" s="29"/>
      <c r="AR32" s="29"/>
      <c r="AS32" s="29"/>
      <c r="AT32" s="29"/>
      <c r="AU32" t="str">
        <f>IFERROR(Validation_Summary!Q5,"")</f>
        <v>✓ All 8 checks passed</v>
      </c>
    </row>
    <row r="33" spans="1:47" ht="15" customHeight="1" x14ac:dyDescent="0.3">
      <c r="A33" s="6" t="s">
        <v>2636</v>
      </c>
      <c r="B33" s="19" t="str">
        <f t="array" ref="B33">IFERROR(_xlfn.XLOOKUP($A33&amp;"|"&amp;$C33,'Company_Master'!$A$2:$A$94&amp;"|"&amp;'Company_Master'!$D$2:$D$94,'Company_Master'!$B$2:$B$94,""),"")</f>
        <v>FISH</v>
      </c>
      <c r="C33" s="20">
        <v>2023</v>
      </c>
      <c r="D33" s="19" t="str">
        <f t="array" ref="D33">IFERROR(_xlfn.XLOOKUP($A33&amp;"|"&amp;$C33,'Company_Master'!$A$2:$A$94&amp;"|"&amp;'Company_Master'!$D$2:$D$94,'Company_Master'!$H$2:$H$94,""),"")</f>
        <v>Indonesia (warehousing/logistics in multiple ports)</v>
      </c>
      <c r="E33" s="20">
        <f t="array" ref="E33">IFERROR(_xlfn.XLOOKUP($A33&amp;"|"&amp;$C33,Asset_Operations!$A$2:$A$201&amp;"|"&amp;Asset_Operations!$BG$2:$BG$201,Asset_Operations!$B$2:$B$201,""),"")</f>
        <v>0</v>
      </c>
      <c r="F33" s="20">
        <f t="array" ref="F33">IFERROR(_xlfn.XLOOKUP($A33&amp;"|"&amp;$C33,Asset_Operations!$A$2:$A$201&amp;"|"&amp;Asset_Operations!$BG$2:$BG$201,Asset_Operations!$E$2:$E$201,""),"")</f>
        <v>0</v>
      </c>
      <c r="G33" s="20">
        <f t="array" ref="G33">IFERROR(_xlfn.XLOOKUP($A33&amp;"|"&amp;$C33,Asset_Operations!$A$2:$A$201&amp;"|"&amp;Asset_Operations!$BG$2:$BG$201,Asset_Operations!$I$2:$I$201,""),"")</f>
        <v>0</v>
      </c>
      <c r="H33" s="20">
        <f t="array" ref="H33">IFERROR(_xlfn.XLOOKUP($A33&amp;"|"&amp;$C33,Asset_Operations!$A$2:$A$201&amp;"|"&amp;Asset_Operations!$BG$2:$BG$201,Asset_Operations!$J$2:$J$201,""),"")</f>
        <v>0</v>
      </c>
      <c r="I33" s="20">
        <f t="array" ref="I33">IFERROR(_xlfn.XLOOKUP($A33&amp;"|"&amp;$C33,Asset_Operations!$A$2:$A$201&amp;"|"&amp;Asset_Operations!$BG$2:$BG$201,Asset_Operations!$O$2:$O$201,""),"")</f>
        <v>0</v>
      </c>
      <c r="J33" s="20">
        <f t="array" ref="J33">IFERROR(_xlfn.XLOOKUP($A33&amp;"|"&amp;$C33,Asset_Operations!$A$2:$A$201&amp;"|"&amp;Asset_Operations!$BG$2:$BG$201,Asset_Operations!$S$2:$S$201,""),"")</f>
        <v>0</v>
      </c>
      <c r="K33" s="20">
        <f t="array" ref="K33">IFERROR(_xlfn.XLOOKUP($A33&amp;"|"&amp;$C33,Asset_Operations!$A$2:$A$201&amp;"|"&amp;Asset_Operations!$BG$2:$BG$201,Asset_Operations!$AC$2:$AC$201,""),"")</f>
        <v>0</v>
      </c>
      <c r="L33" s="20">
        <f t="array" ref="L33">IFERROR(_xlfn.XLOOKUP($A33&amp;"|"&amp;$C33,Asset_Operations!$A$2:$A$201&amp;"|"&amp;Asset_Operations!$BG$2:$BG$201,Asset_Operations!$AG$2:$AG$201,""),"")</f>
        <v>0</v>
      </c>
      <c r="M33" s="20" t="str">
        <f t="array" ref="M33">IFERROR(_xlfn.XLOOKUP($A33&amp;"|"&amp;$C33,Asset_Operations!$A$2:$A$201&amp;"|"&amp;Asset_Operations!$BG$2:$BG$201,Asset_Operations!$AO$2:$AO$201,""),"")</f>
        <v/>
      </c>
      <c r="N33" s="21" t="str">
        <f t="array" ref="N33">IFERROR(_xlfn.XLOOKUP($A33&amp;"|"&amp;$C33,Asset_Operations!$A$2:$A$201&amp;"|"&amp;Asset_Operations!$BG$2:$BG$201,Asset_Operations!$AR$2:$AR$201,""),"")</f>
        <v/>
      </c>
      <c r="O33" s="22">
        <f t="array" ref="O33">IFERROR(_xlfn.XLOOKUP($A33&amp;"|"&amp;$C33,Financials!$A$2:$A$201&amp;"|"&amp;Financials!$B$2:$B$201,Financials!$C$2:$C$201,""),"")</f>
        <v>21349</v>
      </c>
      <c r="P33" s="22">
        <f t="array" ref="P33">IFERROR(_xlfn.XLOOKUP($A33&amp;"|"&amp;$C33,Financials!$A$2:$A$201&amp;"|"&amp;Financials!$B$2:$B$201,Financials!$E$2:$E$201,""),"")</f>
        <v>0</v>
      </c>
      <c r="Q33" s="22">
        <f t="array" ref="Q33">IFERROR(_xlfn.XLOOKUP($A33&amp;"|"&amp;$C33,Financials!$A$2:$A$201&amp;"|"&amp;Financials!$B$2:$B$201,Financials!$G$2:$G$201,""),"")</f>
        <v>377</v>
      </c>
      <c r="R33" s="22">
        <f t="array" ref="R33">IFERROR(_xlfn.XLOOKUP($A33&amp;"|"&amp;$C33,Financials!$A$2:$A$201&amp;"|"&amp;Financials!$B$2:$B$201,Financials!$S$2:$S$201,""),"")</f>
        <v>1235</v>
      </c>
      <c r="S33" s="22">
        <f t="array" ref="S33">IFERROR(_xlfn.XLOOKUP($A33&amp;"|"&amp;$C33,Financials!$A$2:$A$201&amp;"|"&amp;Financials!$B$2:$B$201,Financials!$AC$2:$AC$201,""),"")</f>
        <v>2652</v>
      </c>
      <c r="T33" s="23">
        <f t="shared" si="0"/>
        <v>0</v>
      </c>
      <c r="U33" s="24" t="str">
        <f t="shared" si="1"/>
        <v/>
      </c>
      <c r="V33" s="25" t="str">
        <f t="shared" si="2"/>
        <v/>
      </c>
      <c r="W33" s="24" t="str">
        <f t="shared" si="3"/>
        <v/>
      </c>
      <c r="X33" s="26">
        <f>IFERROR(IF(NOT(ISNUMBER($E33)),"",IF($E33&gt;=Scoring_Criteria!$D$4,5,IF($E33&gt;=Scoring_Criteria!$E$4,4,IF($E33&gt;=Scoring_Criteria!$F$4,3,IF($E33&gt;=Scoring_Criteria!$G$4,2,1))))),"")</f>
        <v>1</v>
      </c>
      <c r="Y33" s="26" t="str">
        <f>IFERROR(IF(OR(NOT(ISNUMBER($F33)),NOT(ISNUMBER($E33)),$E33=0),"",IF(($F33/$E33)&gt;=Scoring_Criteria!$D$5,5,IF(($F33/$E33)&gt;=Scoring_Criteria!$E$5,4,IF(($F33/$E33)&gt;=Scoring_Criteria!$F$5,3,IF(($F33/$E33)&gt;=Scoring_Criteria!$G$5,2,1))))),"")</f>
        <v/>
      </c>
      <c r="Z33" s="26">
        <f>IFERROR(IF(AND(NOT(ISNUMBER($I33)),NOT(ISNUMBER($J33))),"",IF((IFERROR($I33,0)+IFERROR($J33,0))&gt;=Scoring_Criteria!$D$6,5,IF((IFERROR($I33,0)+IFERROR($J33,0))&gt;=Scoring_Criteria!$E$6,4,IF((IFERROR($I33,0)+IFERROR($J33,0))&gt;=Scoring_Criteria!$F$6,3,IF((IFERROR($I33,0)+IFERROR($J33,0))&gt;=Scoring_Criteria!$G$6,2,1))))),"")</f>
        <v>1</v>
      </c>
      <c r="AA33" s="26" t="str">
        <f>IFERROR(IF(NOT(ISNUMBER($M33)),"",IF($M33&gt;=Scoring_Criteria!$D$7,5,IF($M33&gt;=Scoring_Criteria!$E$7,4,IF($M33&gt;=Scoring_Criteria!$F$7,3,IF($M33&gt;=Scoring_Criteria!$G$7,2,1))))),"")</f>
        <v/>
      </c>
      <c r="AB33" s="26">
        <f>IFERROR(IF(NOT(ISNUMBER($T33)),"",IF($T33&gt;=Scoring_Criteria!$D$8,5,IF($T33&gt;=Scoring_Criteria!$E$8,4,IF($T33&gt;=Scoring_Criteria!$F$8,3,IF($T33&gt;=Scoring_Criteria!$G$8,2,1))))),"")</f>
        <v>1</v>
      </c>
      <c r="AC33" s="26" t="str">
        <f>IFERROR(IF(NOT(ISNUMBER($U33)),"",IF($U33&lt;=Scoring_Criteria!$D$9,5,IF($U33&lt;=Scoring_Criteria!$E$9,4,IF($U33&lt;=Scoring_Criteria!$F$9,3,IF($U33&lt;=Scoring_Criteria!$G$9,2,1))))),"")</f>
        <v/>
      </c>
      <c r="AD33" s="26">
        <f t="array" ref="AD33">IFERROR(IF(NOT(ISNUMBER(_xlfn.XLOOKUP($A33&amp;"|"&amp;$C33,Financials!$A$2:$A$201&amp;"|"&amp;Financials!$B$2:$B$201,Financials!$AD$2:$AD$201,""))),"",IF(_xlfn.XLOOKUP($A33&amp;"|"&amp;$C33,Financials!$A$2:$A$201&amp;"|"&amp;Financials!$B$2:$B$201,Financials!$AD$2:$AD$201,"")&gt;=Scoring_Criteria!$D$10,5,IF(_xlfn.XLOOKUP($A33&amp;"|"&amp;$C33,Financials!$A$2:$A$201&amp;"|"&amp;Financials!$B$2:$B$201,Financials!$AD$2:$AD$201,"")&gt;=Scoring_Criteria!$E$10,4,IF(_xlfn.XLOOKUP($A33&amp;"|"&amp;$C33,Financials!$A$2:$A$201&amp;"|"&amp;Financials!$B$2:$B$201,Financials!$AD$2:$AD$201,"")&gt;=Scoring_Criteria!$F$10,3,IF(_xlfn.XLOOKUP($A33&amp;"|"&amp;$C33,Financials!$A$2:$A$201&amp;"|"&amp;Financials!$B$2:$B$201,Financials!$AD$2:$AD$201,"")&gt;=Scoring_Criteria!$G$10,2,1))))),"")</f>
        <v>3</v>
      </c>
      <c r="AE33" s="27"/>
      <c r="AF33" s="27"/>
      <c r="AG33" s="28">
        <f t="shared" si="4"/>
        <v>1.5</v>
      </c>
      <c r="AH33" s="29"/>
      <c r="AI33" s="29"/>
      <c r="AJ33" s="29"/>
      <c r="AK33" s="29"/>
      <c r="AL33" s="29"/>
      <c r="AM33" s="29"/>
      <c r="AN33" s="29"/>
      <c r="AO33" s="29"/>
      <c r="AP33" s="29"/>
      <c r="AQ33" s="29"/>
      <c r="AR33" s="29"/>
      <c r="AS33" s="29"/>
      <c r="AT33" s="29"/>
      <c r="AU33" t="str">
        <f>IFERROR(Validation_Summary!Q5,"")</f>
        <v>✓ All 8 checks passed</v>
      </c>
    </row>
    <row r="34" spans="1:47" ht="15" customHeight="1" x14ac:dyDescent="0.3">
      <c r="A34" s="6" t="s">
        <v>2636</v>
      </c>
      <c r="B34" s="19" t="str">
        <f t="array" ref="B34">IFERROR(_xlfn.XLOOKUP($A34&amp;"|"&amp;$C34,'Company_Master'!$A$2:$A$94&amp;"|"&amp;'Company_Master'!$D$2:$D$94,'Company_Master'!$B$2:$B$94,""),"")</f>
        <v>FISH</v>
      </c>
      <c r="C34" s="20">
        <v>2024</v>
      </c>
      <c r="D34" s="19" t="str">
        <f t="array" ref="D34">IFERROR(_xlfn.XLOOKUP($A34&amp;"|"&amp;$C34,'Company_Master'!$A$2:$A$94&amp;"|"&amp;'Company_Master'!$D$2:$D$94,'Company_Master'!$H$2:$H$94,""),"")</f>
        <v>Indonesia (warehousing/logistics in multiple ports)</v>
      </c>
      <c r="E34" s="20">
        <f t="array" ref="E34">IFERROR(_xlfn.XLOOKUP($A34&amp;"|"&amp;$C34,Asset_Operations!$A$2:$A$201&amp;"|"&amp;Asset_Operations!$BG$2:$BG$201,Asset_Operations!$B$2:$B$201,""),"")</f>
        <v>0</v>
      </c>
      <c r="F34" s="20">
        <f t="array" ref="F34">IFERROR(_xlfn.XLOOKUP($A34&amp;"|"&amp;$C34,Asset_Operations!$A$2:$A$201&amp;"|"&amp;Asset_Operations!$BG$2:$BG$201,Asset_Operations!$E$2:$E$201,""),"")</f>
        <v>0</v>
      </c>
      <c r="G34" s="20">
        <f t="array" ref="G34">IFERROR(_xlfn.XLOOKUP($A34&amp;"|"&amp;$C34,Asset_Operations!$A$2:$A$201&amp;"|"&amp;Asset_Operations!$BG$2:$BG$201,Asset_Operations!$I$2:$I$201,""),"")</f>
        <v>0</v>
      </c>
      <c r="H34" s="20">
        <f t="array" ref="H34">IFERROR(_xlfn.XLOOKUP($A34&amp;"|"&amp;$C34,Asset_Operations!$A$2:$A$201&amp;"|"&amp;Asset_Operations!$BG$2:$BG$201,Asset_Operations!$J$2:$J$201,""),"")</f>
        <v>0</v>
      </c>
      <c r="I34" s="20">
        <f t="array" ref="I34">IFERROR(_xlfn.XLOOKUP($A34&amp;"|"&amp;$C34,Asset_Operations!$A$2:$A$201&amp;"|"&amp;Asset_Operations!$BG$2:$BG$201,Asset_Operations!$O$2:$O$201,""),"")</f>
        <v>0</v>
      </c>
      <c r="J34" s="20">
        <f t="array" ref="J34">IFERROR(_xlfn.XLOOKUP($A34&amp;"|"&amp;$C34,Asset_Operations!$A$2:$A$201&amp;"|"&amp;Asset_Operations!$BG$2:$BG$201,Asset_Operations!$S$2:$S$201,""),"")</f>
        <v>0</v>
      </c>
      <c r="K34" s="20">
        <f t="array" ref="K34">IFERROR(_xlfn.XLOOKUP($A34&amp;"|"&amp;$C34,Asset_Operations!$A$2:$A$201&amp;"|"&amp;Asset_Operations!$BG$2:$BG$201,Asset_Operations!$AC$2:$AC$201,""),"")</f>
        <v>0</v>
      </c>
      <c r="L34" s="20">
        <f t="array" ref="L34">IFERROR(_xlfn.XLOOKUP($A34&amp;"|"&amp;$C34,Asset_Operations!$A$2:$A$201&amp;"|"&amp;Asset_Operations!$BG$2:$BG$201,Asset_Operations!$AG$2:$AG$201,""),"")</f>
        <v>0</v>
      </c>
      <c r="M34" s="20" t="str">
        <f t="array" ref="M34">IFERROR(_xlfn.XLOOKUP($A34&amp;"|"&amp;$C34,Asset_Operations!$A$2:$A$201&amp;"|"&amp;Asset_Operations!$BG$2:$BG$201,Asset_Operations!$AO$2:$AO$201,""),"")</f>
        <v/>
      </c>
      <c r="N34" s="21" t="str">
        <f t="array" ref="N34">IFERROR(_xlfn.XLOOKUP($A34&amp;"|"&amp;$C34,Asset_Operations!$A$2:$A$201&amp;"|"&amp;Asset_Operations!$BG$2:$BG$201,Asset_Operations!$AR$2:$AR$201,""),"")</f>
        <v/>
      </c>
      <c r="O34" s="22">
        <f t="array" ref="O34">IFERROR(_xlfn.XLOOKUP($A34&amp;"|"&amp;$C34,Financials!$A$2:$A$201&amp;"|"&amp;Financials!$B$2:$B$201,Financials!$C$2:$C$201,""),"")</f>
        <v>20495</v>
      </c>
      <c r="P34" s="22">
        <f t="array" ref="P34">IFERROR(_xlfn.XLOOKUP($A34&amp;"|"&amp;$C34,Financials!$A$2:$A$201&amp;"|"&amp;Financials!$B$2:$B$201,Financials!$E$2:$E$201,""),"")</f>
        <v>0</v>
      </c>
      <c r="Q34" s="22">
        <f t="array" ref="Q34">IFERROR(_xlfn.XLOOKUP($A34&amp;"|"&amp;$C34,Financials!$A$2:$A$201&amp;"|"&amp;Financials!$B$2:$B$201,Financials!$G$2:$G$201,""),"")</f>
        <v>152</v>
      </c>
      <c r="R34" s="22">
        <f t="array" ref="R34">IFERROR(_xlfn.XLOOKUP($A34&amp;"|"&amp;$C34,Financials!$A$2:$A$201&amp;"|"&amp;Financials!$B$2:$B$201,Financials!$S$2:$S$201,""),"")</f>
        <v>792</v>
      </c>
      <c r="S34" s="22">
        <f t="array" ref="S34">IFERROR(_xlfn.XLOOKUP($A34&amp;"|"&amp;$C34,Financials!$A$2:$A$201&amp;"|"&amp;Financials!$B$2:$B$201,Financials!$AC$2:$AC$201,""),"")</f>
        <v>5112</v>
      </c>
      <c r="T34" s="23">
        <f t="shared" ref="T34:T65" si="5">IFERROR(P34/O34,"")</f>
        <v>0</v>
      </c>
      <c r="U34" s="24" t="str">
        <f t="shared" ref="U34:U65" si="6">IFERROR(R34/P34,"")</f>
        <v/>
      </c>
      <c r="V34" s="25" t="str">
        <f t="shared" ref="V34:V65" si="7">IFERROR(O34/E34,"")</f>
        <v/>
      </c>
      <c r="W34" s="24" t="str">
        <f t="shared" ref="W34:W65" si="8">IFERROR(L34/F34,"")</f>
        <v/>
      </c>
      <c r="X34" s="26">
        <f>IFERROR(IF(NOT(ISNUMBER($E34)),"",IF($E34&gt;=Scoring_Criteria!$D$4,5,IF($E34&gt;=Scoring_Criteria!$E$4,4,IF($E34&gt;=Scoring_Criteria!$F$4,3,IF($E34&gt;=Scoring_Criteria!$G$4,2,1))))),"")</f>
        <v>1</v>
      </c>
      <c r="Y34" s="26" t="str">
        <f>IFERROR(IF(OR(NOT(ISNUMBER($F34)),NOT(ISNUMBER($E34)),$E34=0),"",IF(($F34/$E34)&gt;=Scoring_Criteria!$D$5,5,IF(($F34/$E34)&gt;=Scoring_Criteria!$E$5,4,IF(($F34/$E34)&gt;=Scoring_Criteria!$F$5,3,IF(($F34/$E34)&gt;=Scoring_Criteria!$G$5,2,1))))),"")</f>
        <v/>
      </c>
      <c r="Z34" s="26">
        <f>IFERROR(IF(AND(NOT(ISNUMBER($I34)),NOT(ISNUMBER($J34))),"",IF((IFERROR($I34,0)+IFERROR($J34,0))&gt;=Scoring_Criteria!$D$6,5,IF((IFERROR($I34,0)+IFERROR($J34,0))&gt;=Scoring_Criteria!$E$6,4,IF((IFERROR($I34,0)+IFERROR($J34,0))&gt;=Scoring_Criteria!$F$6,3,IF((IFERROR($I34,0)+IFERROR($J34,0))&gt;=Scoring_Criteria!$G$6,2,1))))),"")</f>
        <v>1</v>
      </c>
      <c r="AA34" s="26" t="str">
        <f>IFERROR(IF(NOT(ISNUMBER($M34)),"",IF($M34&gt;=Scoring_Criteria!$D$7,5,IF($M34&gt;=Scoring_Criteria!$E$7,4,IF($M34&gt;=Scoring_Criteria!$F$7,3,IF($M34&gt;=Scoring_Criteria!$G$7,2,1))))),"")</f>
        <v/>
      </c>
      <c r="AB34" s="26">
        <f>IFERROR(IF(NOT(ISNUMBER($T34)),"",IF($T34&gt;=Scoring_Criteria!$D$8,5,IF($T34&gt;=Scoring_Criteria!$E$8,4,IF($T34&gt;=Scoring_Criteria!$F$8,3,IF($T34&gt;=Scoring_Criteria!$G$8,2,1))))),"")</f>
        <v>1</v>
      </c>
      <c r="AC34" s="26" t="str">
        <f>IFERROR(IF(NOT(ISNUMBER($U34)),"",IF($U34&lt;=Scoring_Criteria!$D$9,5,IF($U34&lt;=Scoring_Criteria!$E$9,4,IF($U34&lt;=Scoring_Criteria!$F$9,3,IF($U34&lt;=Scoring_Criteria!$G$9,2,1))))),"")</f>
        <v/>
      </c>
      <c r="AD34" s="26">
        <f t="array" ref="AD34">IFERROR(IF(NOT(ISNUMBER(_xlfn.XLOOKUP($A34&amp;"|"&amp;$C34,Financials!$A$2:$A$201&amp;"|"&amp;Financials!$B$2:$B$201,Financials!$AD$2:$AD$201,""))),"",IF(_xlfn.XLOOKUP($A34&amp;"|"&amp;$C34,Financials!$A$2:$A$201&amp;"|"&amp;Financials!$B$2:$B$201,Financials!$AD$2:$AD$201,"")&gt;=Scoring_Criteria!$D$10,5,IF(_xlfn.XLOOKUP($A34&amp;"|"&amp;$C34,Financials!$A$2:$A$201&amp;"|"&amp;Financials!$B$2:$B$201,Financials!$AD$2:$AD$201,"")&gt;=Scoring_Criteria!$E$10,4,IF(_xlfn.XLOOKUP($A34&amp;"|"&amp;$C34,Financials!$A$2:$A$201&amp;"|"&amp;Financials!$B$2:$B$201,Financials!$AD$2:$AD$201,"")&gt;=Scoring_Criteria!$F$10,3,IF(_xlfn.XLOOKUP($A34&amp;"|"&amp;$C34,Financials!$A$2:$A$201&amp;"|"&amp;Financials!$B$2:$B$201,Financials!$AD$2:$AD$201,"")&gt;=Scoring_Criteria!$G$10,2,1))))),"")</f>
        <v>3</v>
      </c>
      <c r="AE34" s="27"/>
      <c r="AF34" s="27"/>
      <c r="AG34" s="28">
        <f t="shared" ref="AG34:AG65" si="9">IFERROR(IF(COUNTA(X34:AF34)=0,"",AVERAGE(X34:AF34)),"")</f>
        <v>1.5</v>
      </c>
      <c r="AH34" s="29"/>
      <c r="AI34" s="29"/>
      <c r="AJ34" s="29"/>
      <c r="AK34" s="29"/>
      <c r="AL34" s="29"/>
      <c r="AM34" s="29"/>
      <c r="AN34" s="29"/>
      <c r="AO34" s="29"/>
      <c r="AP34" s="29"/>
      <c r="AQ34" s="29"/>
      <c r="AR34" s="29"/>
      <c r="AS34" s="29"/>
      <c r="AT34" s="29"/>
      <c r="AU34" t="str">
        <f>IFERROR(Validation_Summary!Q5,"")</f>
        <v>✓ All 8 checks passed</v>
      </c>
    </row>
    <row r="35" spans="1:47" ht="15" customHeight="1" x14ac:dyDescent="0.3">
      <c r="A35" s="6" t="s">
        <v>2830</v>
      </c>
      <c r="B35" s="19" t="str">
        <f t="array" ref="B35">IFERROR(_xlfn.XLOOKUP($A35&amp;"|"&amp;$C35,'Company_Master'!$A$2:$A$94&amp;"|"&amp;'Company_Master'!$D$2:$D$94,'Company_Master'!$B$2:$B$94,""),"")</f>
        <v>GOLL</v>
      </c>
      <c r="C35" s="20">
        <v>2020</v>
      </c>
      <c r="D35" s="19" t="str">
        <f t="array" ref="D35">IFERROR(_xlfn.XLOOKUP($A35&amp;"|"&amp;$C35,'Company_Master'!$A$2:$A$94&amp;"|"&amp;'Company_Master'!$D$2:$D$94,'Company_Master'!$H$2:$H$94,""),"")</f>
        <v>Sumatra (South Sumatra, Jambi)</v>
      </c>
      <c r="E35" s="20">
        <f t="array" ref="E35">IFERROR(_xlfn.XLOOKUP($A35&amp;"|"&amp;$C35,Asset_Operations!$A$2:$A$201&amp;"|"&amp;Asset_Operations!$BG$2:$BG$201,Asset_Operations!$B$2:$B$201,""),"")</f>
        <v>0</v>
      </c>
      <c r="F35" s="20">
        <f t="array" ref="F35">IFERROR(_xlfn.XLOOKUP($A35&amp;"|"&amp;$C35,Asset_Operations!$A$2:$A$201&amp;"|"&amp;Asset_Operations!$BG$2:$BG$201,Asset_Operations!$E$2:$E$201,""),"")</f>
        <v>0</v>
      </c>
      <c r="G35" s="20">
        <f t="array" ref="G35">IFERROR(_xlfn.XLOOKUP($A35&amp;"|"&amp;$C35,Asset_Operations!$A$2:$A$201&amp;"|"&amp;Asset_Operations!$BG$2:$BG$201,Asset_Operations!$I$2:$I$201,""),"")</f>
        <v>0</v>
      </c>
      <c r="H35" s="20">
        <f t="array" ref="H35">IFERROR(_xlfn.XLOOKUP($A35&amp;"|"&amp;$C35,Asset_Operations!$A$2:$A$201&amp;"|"&amp;Asset_Operations!$BG$2:$BG$201,Asset_Operations!$J$2:$J$201,""),"")</f>
        <v>0</v>
      </c>
      <c r="I35" s="20">
        <f t="array" ref="I35">IFERROR(_xlfn.XLOOKUP($A35&amp;"|"&amp;$C35,Asset_Operations!$A$2:$A$201&amp;"|"&amp;Asset_Operations!$BG$2:$BG$201,Asset_Operations!$O$2:$O$201,""),"")</f>
        <v>0</v>
      </c>
      <c r="J35" s="20">
        <f t="array" ref="J35">IFERROR(_xlfn.XLOOKUP($A35&amp;"|"&amp;$C35,Asset_Operations!$A$2:$A$201&amp;"|"&amp;Asset_Operations!$BG$2:$BG$201,Asset_Operations!$S$2:$S$201,""),"")</f>
        <v>0</v>
      </c>
      <c r="K35" s="20">
        <f t="array" ref="K35">IFERROR(_xlfn.XLOOKUP($A35&amp;"|"&amp;$C35,Asset_Operations!$A$2:$A$201&amp;"|"&amp;Asset_Operations!$BG$2:$BG$201,Asset_Operations!$AC$2:$AC$201,""),"")</f>
        <v>0</v>
      </c>
      <c r="L35" s="20">
        <f t="array" ref="L35">IFERROR(_xlfn.XLOOKUP($A35&amp;"|"&amp;$C35,Asset_Operations!$A$2:$A$201&amp;"|"&amp;Asset_Operations!$BG$2:$BG$201,Asset_Operations!$AG$2:$AG$201,""),"")</f>
        <v>0</v>
      </c>
      <c r="M35" s="20" t="str">
        <f t="array" ref="M35">IFERROR(_xlfn.XLOOKUP($A35&amp;"|"&amp;$C35,Asset_Operations!$A$2:$A$201&amp;"|"&amp;Asset_Operations!$BG$2:$BG$201,Asset_Operations!$AO$2:$AO$201,""),"")</f>
        <v/>
      </c>
      <c r="N35" s="21" t="str">
        <f t="array" ref="N35">IFERROR(_xlfn.XLOOKUP($A35&amp;"|"&amp;$C35,Asset_Operations!$A$2:$A$201&amp;"|"&amp;Asset_Operations!$BG$2:$BG$201,Asset_Operations!$AR$2:$AR$201,""),"")</f>
        <v/>
      </c>
      <c r="O35" s="22">
        <f t="array" ref="O35">IFERROR(_xlfn.XLOOKUP($A35&amp;"|"&amp;$C35,Financials!$A$2:$A$201&amp;"|"&amp;Financials!$B$2:$B$201,Financials!$C$2:$C$201,""),"")</f>
        <v>3.72</v>
      </c>
      <c r="P35" s="22">
        <f t="array" ref="P35">IFERROR(_xlfn.XLOOKUP($A35&amp;"|"&amp;$C35,Financials!$A$2:$A$201&amp;"|"&amp;Financials!$B$2:$B$201,Financials!$E$2:$E$201,""),"")</f>
        <v>0</v>
      </c>
      <c r="Q35" s="22">
        <f t="array" ref="Q35">IFERROR(_xlfn.XLOOKUP($A35&amp;"|"&amp;$C35,Financials!$A$2:$A$201&amp;"|"&amp;Financials!$B$2:$B$201,Financials!$G$2:$G$201,""),"")</f>
        <v>-383.23</v>
      </c>
      <c r="R35" s="22">
        <f t="array" ref="R35">IFERROR(_xlfn.XLOOKUP($A35&amp;"|"&amp;$C35,Financials!$A$2:$A$201&amp;"|"&amp;Financials!$B$2:$B$201,Financials!$S$2:$S$201,""),"")</f>
        <v>228.36</v>
      </c>
      <c r="S35" s="22">
        <f t="array" ref="S35">IFERROR(_xlfn.XLOOKUP($A35&amp;"|"&amp;$C35,Financials!$A$2:$A$201&amp;"|"&amp;Financials!$B$2:$B$201,Financials!$AC$2:$AC$201,""),"")</f>
        <v>0</v>
      </c>
      <c r="T35" s="23">
        <f t="shared" si="5"/>
        <v>0</v>
      </c>
      <c r="U35" s="24" t="str">
        <f t="shared" si="6"/>
        <v/>
      </c>
      <c r="V35" s="25" t="str">
        <f t="shared" si="7"/>
        <v/>
      </c>
      <c r="W35" s="24" t="str">
        <f t="shared" si="8"/>
        <v/>
      </c>
      <c r="X35" s="26">
        <f>IFERROR(IF(NOT(ISNUMBER($E35)),"",IF($E35&gt;=Scoring_Criteria!$D$4,5,IF($E35&gt;=Scoring_Criteria!$E$4,4,IF($E35&gt;=Scoring_Criteria!$F$4,3,IF($E35&gt;=Scoring_Criteria!$G$4,2,1))))),"")</f>
        <v>1</v>
      </c>
      <c r="Y35" s="26" t="str">
        <f>IFERROR(IF(OR(NOT(ISNUMBER($F35)),NOT(ISNUMBER($E35)),$E35=0),"",IF(($F35/$E35)&gt;=Scoring_Criteria!$D$5,5,IF(($F35/$E35)&gt;=Scoring_Criteria!$E$5,4,IF(($F35/$E35)&gt;=Scoring_Criteria!$F$5,3,IF(($F35/$E35)&gt;=Scoring_Criteria!$G$5,2,1))))),"")</f>
        <v/>
      </c>
      <c r="Z35" s="26">
        <f>IFERROR(IF(AND(NOT(ISNUMBER($I35)),NOT(ISNUMBER($J35))),"",IF((IFERROR($I35,0)+IFERROR($J35,0))&gt;=Scoring_Criteria!$D$6,5,IF((IFERROR($I35,0)+IFERROR($J35,0))&gt;=Scoring_Criteria!$E$6,4,IF((IFERROR($I35,0)+IFERROR($J35,0))&gt;=Scoring_Criteria!$F$6,3,IF((IFERROR($I35,0)+IFERROR($J35,0))&gt;=Scoring_Criteria!$G$6,2,1))))),"")</f>
        <v>1</v>
      </c>
      <c r="AA35" s="26" t="str">
        <f>IFERROR(IF(NOT(ISNUMBER($M35)),"",IF($M35&gt;=Scoring_Criteria!$D$7,5,IF($M35&gt;=Scoring_Criteria!$E$7,4,IF($M35&gt;=Scoring_Criteria!$F$7,3,IF($M35&gt;=Scoring_Criteria!$G$7,2,1))))),"")</f>
        <v/>
      </c>
      <c r="AB35" s="26">
        <f>IFERROR(IF(NOT(ISNUMBER($T35)),"",IF($T35&gt;=Scoring_Criteria!$D$8,5,IF($T35&gt;=Scoring_Criteria!$E$8,4,IF($T35&gt;=Scoring_Criteria!$F$8,3,IF($T35&gt;=Scoring_Criteria!$G$8,2,1))))),"")</f>
        <v>1</v>
      </c>
      <c r="AC35" s="26" t="str">
        <f>IFERROR(IF(NOT(ISNUMBER($U35)),"",IF($U35&lt;=Scoring_Criteria!$D$9,5,IF($U35&lt;=Scoring_Criteria!$E$9,4,IF($U35&lt;=Scoring_Criteria!$F$9,3,IF($U35&lt;=Scoring_Criteria!$G$9,2,1))))),"")</f>
        <v/>
      </c>
      <c r="AD35" s="26">
        <f t="array" ref="AD35">IFERROR(IF(NOT(ISNUMBER(_xlfn.XLOOKUP($A35&amp;"|"&amp;$C35,Financials!$A$2:$A$201&amp;"|"&amp;Financials!$B$2:$B$201,Financials!$AD$2:$AD$201,""))),"",IF(_xlfn.XLOOKUP($A35&amp;"|"&amp;$C35,Financials!$A$2:$A$201&amp;"|"&amp;Financials!$B$2:$B$201,Financials!$AD$2:$AD$201,"")&gt;=Scoring_Criteria!$D$10,5,IF(_xlfn.XLOOKUP($A35&amp;"|"&amp;$C35,Financials!$A$2:$A$201&amp;"|"&amp;Financials!$B$2:$B$201,Financials!$AD$2:$AD$201,"")&gt;=Scoring_Criteria!$E$10,4,IF(_xlfn.XLOOKUP($A35&amp;"|"&amp;$C35,Financials!$A$2:$A$201&amp;"|"&amp;Financials!$B$2:$B$201,Financials!$AD$2:$AD$201,"")&gt;=Scoring_Criteria!$F$10,3,IF(_xlfn.XLOOKUP($A35&amp;"|"&amp;$C35,Financials!$A$2:$A$201&amp;"|"&amp;Financials!$B$2:$B$201,Financials!$AD$2:$AD$201,"")&gt;=Scoring_Criteria!$G$10,2,1))))),"")</f>
        <v>1</v>
      </c>
      <c r="AE35" s="27"/>
      <c r="AF35" s="27"/>
      <c r="AG35" s="28">
        <f t="shared" si="9"/>
        <v>1</v>
      </c>
      <c r="AH35" s="29"/>
      <c r="AI35" s="29"/>
      <c r="AJ35" s="29"/>
      <c r="AK35" s="29"/>
      <c r="AL35" s="29"/>
      <c r="AM35" s="29"/>
      <c r="AN35" s="29"/>
      <c r="AO35" s="29"/>
      <c r="AP35" s="29"/>
      <c r="AQ35" s="29"/>
      <c r="AR35" s="29"/>
      <c r="AS35" s="29"/>
      <c r="AT35" s="29"/>
      <c r="AU35" t="str">
        <f>IFERROR(Validation_Summary!Q5,"")</f>
        <v>✓ All 8 checks passed</v>
      </c>
    </row>
    <row r="36" spans="1:47" ht="15" customHeight="1" x14ac:dyDescent="0.3">
      <c r="A36" s="6" t="s">
        <v>2957</v>
      </c>
      <c r="B36" s="19" t="str">
        <f t="array" ref="B36">IFERROR(_xlfn.XLOOKUP($A36&amp;"|"&amp;$C36,'Company_Master'!$A$2:$A$94&amp;"|"&amp;'Company_Master'!$D$2:$D$94,'Company_Master'!$B$2:$B$94,""),"")</f>
        <v>GUNA</v>
      </c>
      <c r="C36" s="20">
        <v>2024</v>
      </c>
      <c r="D36" s="19" t="str">
        <f t="array" ref="D36">IFERROR(_xlfn.XLOOKUP($A36&amp;"|"&amp;$C36,'Company_Master'!$A$2:$A$94&amp;"|"&amp;'Company_Master'!$D$2:$D$94,'Company_Master'!$H$2:$H$94,""),"")</f>
        <v>Java (Cikarang, West Java + Pati, Central Java)</v>
      </c>
      <c r="E36" s="20">
        <f t="array" ref="E36">IFERROR(_xlfn.XLOOKUP($A36&amp;"|"&amp;$C36,Asset_Operations!$A$2:$A$201&amp;"|"&amp;Asset_Operations!$BG$2:$BG$201,Asset_Operations!$B$2:$B$201,""),"")</f>
        <v>0</v>
      </c>
      <c r="F36" s="20">
        <f t="array" ref="F36">IFERROR(_xlfn.XLOOKUP($A36&amp;"|"&amp;$C36,Asset_Operations!$A$2:$A$201&amp;"|"&amp;Asset_Operations!$BG$2:$BG$201,Asset_Operations!$E$2:$E$201,""),"")</f>
        <v>0</v>
      </c>
      <c r="G36" s="20">
        <f t="array" ref="G36">IFERROR(_xlfn.XLOOKUP($A36&amp;"|"&amp;$C36,Asset_Operations!$A$2:$A$201&amp;"|"&amp;Asset_Operations!$BG$2:$BG$201,Asset_Operations!$I$2:$I$201,""),"")</f>
        <v>0</v>
      </c>
      <c r="H36" s="20">
        <f t="array" ref="H36">IFERROR(_xlfn.XLOOKUP($A36&amp;"|"&amp;$C36,Asset_Operations!$A$2:$A$201&amp;"|"&amp;Asset_Operations!$BG$2:$BG$201,Asset_Operations!$J$2:$J$201,""),"")</f>
        <v>0</v>
      </c>
      <c r="I36" s="20">
        <f t="array" ref="I36">IFERROR(_xlfn.XLOOKUP($A36&amp;"|"&amp;$C36,Asset_Operations!$A$2:$A$201&amp;"|"&amp;Asset_Operations!$BG$2:$BG$201,Asset_Operations!$O$2:$O$201,""),"")</f>
        <v>0</v>
      </c>
      <c r="J36" s="20">
        <f t="array" ref="J36">IFERROR(_xlfn.XLOOKUP($A36&amp;"|"&amp;$C36,Asset_Operations!$A$2:$A$201&amp;"|"&amp;Asset_Operations!$BG$2:$BG$201,Asset_Operations!$S$2:$S$201,""),"")</f>
        <v>0</v>
      </c>
      <c r="K36" s="20">
        <f t="array" ref="K36">IFERROR(_xlfn.XLOOKUP($A36&amp;"|"&amp;$C36,Asset_Operations!$A$2:$A$201&amp;"|"&amp;Asset_Operations!$BG$2:$BG$201,Asset_Operations!$AC$2:$AC$201,""),"")</f>
        <v>0</v>
      </c>
      <c r="L36" s="20">
        <f t="array" ref="L36">IFERROR(_xlfn.XLOOKUP($A36&amp;"|"&amp;$C36,Asset_Operations!$A$2:$A$201&amp;"|"&amp;Asset_Operations!$BG$2:$BG$201,Asset_Operations!$AG$2:$AG$201,""),"")</f>
        <v>0</v>
      </c>
      <c r="M36" s="20" t="str">
        <f t="array" ref="M36">IFERROR(_xlfn.XLOOKUP($A36&amp;"|"&amp;$C36,Asset_Operations!$A$2:$A$201&amp;"|"&amp;Asset_Operations!$BG$2:$BG$201,Asset_Operations!$AO$2:$AO$201,""),"")</f>
        <v/>
      </c>
      <c r="N36" s="21" t="str">
        <f t="array" ref="N36">IFERROR(_xlfn.XLOOKUP($A36&amp;"|"&amp;$C36,Asset_Operations!$A$2:$A$201&amp;"|"&amp;Asset_Operations!$BG$2:$BG$201,Asset_Operations!$AR$2:$AR$201,""),"")</f>
        <v/>
      </c>
      <c r="O36" s="22">
        <f t="array" ref="O36">IFERROR(_xlfn.XLOOKUP($A36&amp;"|"&amp;$C36,Financials!$A$2:$A$201&amp;"|"&amp;Financials!$B$2:$B$201,Financials!$C$2:$C$201,""),"")</f>
        <v>1444</v>
      </c>
      <c r="P36" s="22">
        <f t="array" ref="P36">IFERROR(_xlfn.XLOOKUP($A36&amp;"|"&amp;$C36,Financials!$A$2:$A$201&amp;"|"&amp;Financials!$B$2:$B$201,Financials!$E$2:$E$201,""),"")</f>
        <v>0</v>
      </c>
      <c r="Q36" s="22">
        <f t="array" ref="Q36">IFERROR(_xlfn.XLOOKUP($A36&amp;"|"&amp;$C36,Financials!$A$2:$A$201&amp;"|"&amp;Financials!$B$2:$B$201,Financials!$G$2:$G$201,""),"")</f>
        <v>79</v>
      </c>
      <c r="R36" s="22">
        <f t="array" ref="R36">IFERROR(_xlfn.XLOOKUP($A36&amp;"|"&amp;$C36,Financials!$A$2:$A$201&amp;"|"&amp;Financials!$B$2:$B$201,Financials!$S$2:$S$201,""),"")</f>
        <v>36</v>
      </c>
      <c r="S36" s="22">
        <f t="array" ref="S36">IFERROR(_xlfn.XLOOKUP($A36&amp;"|"&amp;$C36,Financials!$A$2:$A$201&amp;"|"&amp;Financials!$B$2:$B$201,Financials!$AC$2:$AC$201,""),"")</f>
        <v>755</v>
      </c>
      <c r="T36" s="23">
        <f t="shared" si="5"/>
        <v>0</v>
      </c>
      <c r="U36" s="24" t="str">
        <f t="shared" si="6"/>
        <v/>
      </c>
      <c r="V36" s="25" t="str">
        <f t="shared" si="7"/>
        <v/>
      </c>
      <c r="W36" s="24" t="str">
        <f t="shared" si="8"/>
        <v/>
      </c>
      <c r="X36" s="26">
        <f>IFERROR(IF(NOT(ISNUMBER($E36)),"",IF($E36&gt;=Scoring_Criteria!$D$4,5,IF($E36&gt;=Scoring_Criteria!$E$4,4,IF($E36&gt;=Scoring_Criteria!$F$4,3,IF($E36&gt;=Scoring_Criteria!$G$4,2,1))))),"")</f>
        <v>1</v>
      </c>
      <c r="Y36" s="26" t="str">
        <f>IFERROR(IF(OR(NOT(ISNUMBER($F36)),NOT(ISNUMBER($E36)),$E36=0),"",IF(($F36/$E36)&gt;=Scoring_Criteria!$D$5,5,IF(($F36/$E36)&gt;=Scoring_Criteria!$E$5,4,IF(($F36/$E36)&gt;=Scoring_Criteria!$F$5,3,IF(($F36/$E36)&gt;=Scoring_Criteria!$G$5,2,1))))),"")</f>
        <v/>
      </c>
      <c r="Z36" s="26">
        <f>IFERROR(IF(AND(NOT(ISNUMBER($I36)),NOT(ISNUMBER($J36))),"",IF((IFERROR($I36,0)+IFERROR($J36,0))&gt;=Scoring_Criteria!$D$6,5,IF((IFERROR($I36,0)+IFERROR($J36,0))&gt;=Scoring_Criteria!$E$6,4,IF((IFERROR($I36,0)+IFERROR($J36,0))&gt;=Scoring_Criteria!$F$6,3,IF((IFERROR($I36,0)+IFERROR($J36,0))&gt;=Scoring_Criteria!$G$6,2,1))))),"")</f>
        <v>1</v>
      </c>
      <c r="AA36" s="26" t="str">
        <f>IFERROR(IF(NOT(ISNUMBER($M36)),"",IF($M36&gt;=Scoring_Criteria!$D$7,5,IF($M36&gt;=Scoring_Criteria!$E$7,4,IF($M36&gt;=Scoring_Criteria!$F$7,3,IF($M36&gt;=Scoring_Criteria!$G$7,2,1))))),"")</f>
        <v/>
      </c>
      <c r="AB36" s="26">
        <f>IFERROR(IF(NOT(ISNUMBER($T36)),"",IF($T36&gt;=Scoring_Criteria!$D$8,5,IF($T36&gt;=Scoring_Criteria!$E$8,4,IF($T36&gt;=Scoring_Criteria!$F$8,3,IF($T36&gt;=Scoring_Criteria!$G$8,2,1))))),"")</f>
        <v>1</v>
      </c>
      <c r="AC36" s="26" t="str">
        <f>IFERROR(IF(NOT(ISNUMBER($U36)),"",IF($U36&lt;=Scoring_Criteria!$D$9,5,IF($U36&lt;=Scoring_Criteria!$E$9,4,IF($U36&lt;=Scoring_Criteria!$F$9,3,IF($U36&lt;=Scoring_Criteria!$G$9,2,1))))),"")</f>
        <v/>
      </c>
      <c r="AD36" s="26">
        <f t="array" ref="AD36">IFERROR(IF(NOT(ISNUMBER(_xlfn.XLOOKUP($A36&amp;"|"&amp;$C36,Financials!$A$2:$A$201&amp;"|"&amp;Financials!$B$2:$B$201,Financials!$AD$2:$AD$201,""))),"",IF(_xlfn.XLOOKUP($A36&amp;"|"&amp;$C36,Financials!$A$2:$A$201&amp;"|"&amp;Financials!$B$2:$B$201,Financials!$AD$2:$AD$201,"")&gt;=Scoring_Criteria!$D$10,5,IF(_xlfn.XLOOKUP($A36&amp;"|"&amp;$C36,Financials!$A$2:$A$201&amp;"|"&amp;Financials!$B$2:$B$201,Financials!$AD$2:$AD$201,"")&gt;=Scoring_Criteria!$E$10,4,IF(_xlfn.XLOOKUP($A36&amp;"|"&amp;$C36,Financials!$A$2:$A$201&amp;"|"&amp;Financials!$B$2:$B$201,Financials!$AD$2:$AD$201,"")&gt;=Scoring_Criteria!$F$10,3,IF(_xlfn.XLOOKUP($A36&amp;"|"&amp;$C36,Financials!$A$2:$A$201&amp;"|"&amp;Financials!$B$2:$B$201,Financials!$AD$2:$AD$201,"")&gt;=Scoring_Criteria!$G$10,2,1))))),"")</f>
        <v>5</v>
      </c>
      <c r="AE36" s="27"/>
      <c r="AF36" s="27"/>
      <c r="AG36" s="28">
        <f t="shared" si="9"/>
        <v>2</v>
      </c>
      <c r="AH36" s="29"/>
      <c r="AI36" s="29"/>
      <c r="AJ36" s="29"/>
      <c r="AK36" s="29"/>
      <c r="AL36" s="29"/>
      <c r="AM36" s="29"/>
      <c r="AN36" s="29"/>
      <c r="AO36" s="29"/>
      <c r="AP36" s="29"/>
      <c r="AQ36" s="29"/>
      <c r="AR36" s="29"/>
      <c r="AS36" s="29"/>
      <c r="AT36" s="29"/>
      <c r="AU36" t="str">
        <f>IFERROR(Validation_Summary!Q5,"")</f>
        <v>✓ All 8 checks passed</v>
      </c>
    </row>
    <row r="37" spans="1:47" ht="15" customHeight="1" x14ac:dyDescent="0.3">
      <c r="A37" s="6" t="s">
        <v>3129</v>
      </c>
      <c r="B37" s="19" t="str">
        <f t="array" ref="B37">IFERROR(_xlfn.XLOOKUP($A37&amp;"|"&amp;$C37,'Company_Master'!$A$2:$A$94&amp;"|"&amp;'Company_Master'!$D$2:$D$94,'Company_Master'!$B$2:$B$94,""),"")</f>
        <v>GZCO</v>
      </c>
      <c r="C37" s="20">
        <v>2022</v>
      </c>
      <c r="D37" s="19" t="str">
        <f t="array" ref="D37">IFERROR(_xlfn.XLOOKUP($A37&amp;"|"&amp;$C37,'Company_Master'!$A$2:$A$94&amp;"|"&amp;'Company_Master'!$D$2:$D$94,'Company_Master'!$H$2:$H$94,""),"")</f>
        <v>South Sumatra / Central Kalimantan</v>
      </c>
      <c r="E37" s="20">
        <f t="array" ref="E37">IFERROR(_xlfn.XLOOKUP($A37&amp;"|"&amp;$C37,Asset_Operations!$A$2:$A$201&amp;"|"&amp;Asset_Operations!$BG$2:$BG$201,Asset_Operations!$B$2:$B$201,""),"")</f>
        <v>12917</v>
      </c>
      <c r="F37" s="20">
        <f t="array" ref="F37">IFERROR(_xlfn.XLOOKUP($A37&amp;"|"&amp;$C37,Asset_Operations!$A$2:$A$201&amp;"|"&amp;Asset_Operations!$BG$2:$BG$201,Asset_Operations!$E$2:$E$201,""),"")</f>
        <v>12700</v>
      </c>
      <c r="G37" s="20">
        <f t="array" ref="G37">IFERROR(_xlfn.XLOOKUP($A37&amp;"|"&amp;$C37,Asset_Operations!$A$2:$A$201&amp;"|"&amp;Asset_Operations!$BG$2:$BG$201,Asset_Operations!$I$2:$I$201,""),"")</f>
        <v>16.579999999999998</v>
      </c>
      <c r="H37" s="20">
        <f t="array" ref="H37">IFERROR(_xlfn.XLOOKUP($A37&amp;"|"&amp;$C37,Asset_Operations!$A$2:$A$201&amp;"|"&amp;Asset_Operations!$BG$2:$BG$201,Asset_Operations!$J$2:$J$201,""),"")</f>
        <v>0</v>
      </c>
      <c r="I37" s="20">
        <f t="array" ref="I37">IFERROR(_xlfn.XLOOKUP($A37&amp;"|"&amp;$C37,Asset_Operations!$A$2:$A$201&amp;"|"&amp;Asset_Operations!$BG$2:$BG$201,Asset_Operations!$O$2:$O$201,""),"")</f>
        <v>1</v>
      </c>
      <c r="J37" s="20">
        <f t="array" ref="J37">IFERROR(_xlfn.XLOOKUP($A37&amp;"|"&amp;$C37,Asset_Operations!$A$2:$A$201&amp;"|"&amp;Asset_Operations!$BG$2:$BG$201,Asset_Operations!$S$2:$S$201,""),"")</f>
        <v>0</v>
      </c>
      <c r="K37" s="20">
        <f t="array" ref="K37">IFERROR(_xlfn.XLOOKUP($A37&amp;"|"&amp;$C37,Asset_Operations!$A$2:$A$201&amp;"|"&amp;Asset_Operations!$BG$2:$BG$201,Asset_Operations!$AC$2:$AC$201,""),"")</f>
        <v>189719</v>
      </c>
      <c r="L37" s="20">
        <f t="array" ref="L37">IFERROR(_xlfn.XLOOKUP($A37&amp;"|"&amp;$C37,Asset_Operations!$A$2:$A$201&amp;"|"&amp;Asset_Operations!$BG$2:$BG$201,Asset_Operations!$AG$2:$AG$201,""),"")</f>
        <v>48841</v>
      </c>
      <c r="M37" s="20">
        <f t="array" ref="M37">IFERROR(_xlfn.XLOOKUP($A37&amp;"|"&amp;$C37,Asset_Operations!$A$2:$A$201&amp;"|"&amp;Asset_Operations!$BG$2:$BG$201,Asset_Operations!$AO$2:$AO$201,""),"")</f>
        <v>14.938503937007875</v>
      </c>
      <c r="N37" s="21">
        <f t="array" ref="N37">IFERROR(_xlfn.XLOOKUP($A37&amp;"|"&amp;$C37,Asset_Operations!$A$2:$A$201&amp;"|"&amp;Asset_Operations!$BG$2:$BG$201,Asset_Operations!$AR$2:$AR$201,""),"")</f>
        <v>0.23164190147358038</v>
      </c>
      <c r="O37" s="22">
        <f t="array" ref="O37">IFERROR(_xlfn.XLOOKUP($A37&amp;"|"&amp;$C37,Financials!$A$2:$A$201&amp;"|"&amp;Financials!$B$2:$B$201,Financials!$C$2:$C$201,""),"")</f>
        <v>554.70000000000005</v>
      </c>
      <c r="P37" s="22">
        <f t="array" ref="P37">IFERROR(_xlfn.XLOOKUP($A37&amp;"|"&amp;$C37,Financials!$A$2:$A$201&amp;"|"&amp;Financials!$B$2:$B$201,Financials!$E$2:$E$201,""),"")</f>
        <v>305.8</v>
      </c>
      <c r="Q37" s="22">
        <f t="array" ref="Q37">IFERROR(_xlfn.XLOOKUP($A37&amp;"|"&amp;$C37,Financials!$A$2:$A$201&amp;"|"&amp;Financials!$B$2:$B$201,Financials!$G$2:$G$201,""),"")</f>
        <v>75.8</v>
      </c>
      <c r="R37" s="22">
        <f t="array" ref="R37">IFERROR(_xlfn.XLOOKUP($A37&amp;"|"&amp;$C37,Financials!$A$2:$A$201&amp;"|"&amp;Financials!$B$2:$B$201,Financials!$S$2:$S$201,""),"")</f>
        <v>121.5</v>
      </c>
      <c r="S37" s="22">
        <f t="array" ref="S37">IFERROR(_xlfn.XLOOKUP($A37&amp;"|"&amp;$C37,Financials!$A$2:$A$201&amp;"|"&amp;Financials!$B$2:$B$201,Financials!$AC$2:$AC$201,""),"")</f>
        <v>486</v>
      </c>
      <c r="T37" s="23">
        <f t="shared" si="5"/>
        <v>0.55128898503695689</v>
      </c>
      <c r="U37" s="24">
        <f t="shared" si="6"/>
        <v>0.3973185088293002</v>
      </c>
      <c r="V37" s="25">
        <f t="shared" si="7"/>
        <v>4.2943407912053887E-2</v>
      </c>
      <c r="W37" s="24">
        <f t="shared" si="8"/>
        <v>3.845748031496063</v>
      </c>
      <c r="X37" s="26">
        <f>IFERROR(IF(NOT(ISNUMBER($E37)),"",IF($E37&gt;=Scoring_Criteria!$D$4,5,IF($E37&gt;=Scoring_Criteria!$E$4,4,IF($E37&gt;=Scoring_Criteria!$F$4,3,IF($E37&gt;=Scoring_Criteria!$G$4,2,1))))),"")</f>
        <v>1</v>
      </c>
      <c r="Y37" s="26">
        <f>IFERROR(IF(OR(NOT(ISNUMBER($F37)),NOT(ISNUMBER($E37)),$E37=0),"",IF(($F37/$E37)&gt;=Scoring_Criteria!$D$5,5,IF(($F37/$E37)&gt;=Scoring_Criteria!$E$5,4,IF(($F37/$E37)&gt;=Scoring_Criteria!$F$5,3,IF(($F37/$E37)&gt;=Scoring_Criteria!$G$5,2,1))))),"")</f>
        <v>5</v>
      </c>
      <c r="Z37" s="26">
        <f>IFERROR(IF(AND(NOT(ISNUMBER($I37)),NOT(ISNUMBER($J37))),"",IF((IFERROR($I37,0)+IFERROR($J37,0))&gt;=Scoring_Criteria!$D$6,5,IF((IFERROR($I37,0)+IFERROR($J37,0))&gt;=Scoring_Criteria!$E$6,4,IF((IFERROR($I37,0)+IFERROR($J37,0))&gt;=Scoring_Criteria!$F$6,3,IF((IFERROR($I37,0)+IFERROR($J37,0))&gt;=Scoring_Criteria!$G$6,2,1))))),"")</f>
        <v>1</v>
      </c>
      <c r="AA37" s="26">
        <f>IFERROR(IF(NOT(ISNUMBER($M37)),"",IF($M37&gt;=Scoring_Criteria!$D$7,5,IF($M37&gt;=Scoring_Criteria!$E$7,4,IF($M37&gt;=Scoring_Criteria!$F$7,3,IF($M37&gt;=Scoring_Criteria!$G$7,2,1))))),"")</f>
        <v>3</v>
      </c>
      <c r="AB37" s="26">
        <f>IFERROR(IF(NOT(ISNUMBER($T37)),"",IF($T37&gt;=Scoring_Criteria!$D$8,5,IF($T37&gt;=Scoring_Criteria!$E$8,4,IF($T37&gt;=Scoring_Criteria!$F$8,3,IF($T37&gt;=Scoring_Criteria!$G$8,2,1))))),"")</f>
        <v>5</v>
      </c>
      <c r="AC37" s="26">
        <f>IFERROR(IF(NOT(ISNUMBER($U37)),"",IF($U37&lt;=Scoring_Criteria!$D$9,5,IF($U37&lt;=Scoring_Criteria!$E$9,4,IF($U37&lt;=Scoring_Criteria!$F$9,3,IF($U37&lt;=Scoring_Criteria!$G$9,2,1))))),"")</f>
        <v>5</v>
      </c>
      <c r="AD37" s="26">
        <f t="array" ref="AD37">IFERROR(IF(NOT(ISNUMBER(_xlfn.XLOOKUP($A37&amp;"|"&amp;$C37,Financials!$A$2:$A$201&amp;"|"&amp;Financials!$B$2:$B$201,Financials!$AD$2:$AD$201,""))),"",IF(_xlfn.XLOOKUP($A37&amp;"|"&amp;$C37,Financials!$A$2:$A$201&amp;"|"&amp;Financials!$B$2:$B$201,Financials!$AD$2:$AD$201,"")&gt;=Scoring_Criteria!$D$10,5,IF(_xlfn.XLOOKUP($A37&amp;"|"&amp;$C37,Financials!$A$2:$A$201&amp;"|"&amp;Financials!$B$2:$B$201,Financials!$AD$2:$AD$201,"")&gt;=Scoring_Criteria!$E$10,4,IF(_xlfn.XLOOKUP($A37&amp;"|"&amp;$C37,Financials!$A$2:$A$201&amp;"|"&amp;Financials!$B$2:$B$201,Financials!$AD$2:$AD$201,"")&gt;=Scoring_Criteria!$F$10,3,IF(_xlfn.XLOOKUP($A37&amp;"|"&amp;$C37,Financials!$A$2:$A$201&amp;"|"&amp;Financials!$B$2:$B$201,Financials!$AD$2:$AD$201,"")&gt;=Scoring_Criteria!$G$10,2,1))))),"")</f>
        <v>2</v>
      </c>
      <c r="AE37" s="27"/>
      <c r="AF37" s="27"/>
      <c r="AG37" s="28">
        <f t="shared" si="9"/>
        <v>3.1428571428571428</v>
      </c>
      <c r="AH37" s="29"/>
      <c r="AI37" s="29"/>
      <c r="AJ37" s="29"/>
      <c r="AK37" s="29"/>
      <c r="AL37" s="29"/>
      <c r="AM37" s="29"/>
      <c r="AN37" s="29"/>
      <c r="AO37" s="29"/>
      <c r="AP37" s="29"/>
      <c r="AQ37" s="29"/>
      <c r="AR37" s="29"/>
      <c r="AS37" s="29"/>
      <c r="AT37" s="29"/>
      <c r="AU37" t="str">
        <f>IFERROR(Validation_Summary!Q5,"")</f>
        <v>✓ All 8 checks passed</v>
      </c>
    </row>
    <row r="38" spans="1:47" ht="15" customHeight="1" x14ac:dyDescent="0.3">
      <c r="A38" s="6" t="s">
        <v>3129</v>
      </c>
      <c r="B38" s="19" t="str">
        <f t="array" ref="B38">IFERROR(_xlfn.XLOOKUP($A38&amp;"|"&amp;$C38,'Company_Master'!$A$2:$A$94&amp;"|"&amp;'Company_Master'!$D$2:$D$94,'Company_Master'!$B$2:$B$94,""),"")</f>
        <v>GZCO</v>
      </c>
      <c r="C38" s="20">
        <v>2023</v>
      </c>
      <c r="D38" s="19" t="str">
        <f t="array" ref="D38">IFERROR(_xlfn.XLOOKUP($A38&amp;"|"&amp;$C38,'Company_Master'!$A$2:$A$94&amp;"|"&amp;'Company_Master'!$D$2:$D$94,'Company_Master'!$H$2:$H$94,""),"")</f>
        <v>South Sumatra / Central Kalimantan</v>
      </c>
      <c r="E38" s="20">
        <f t="array" ref="E38">IFERROR(_xlfn.XLOOKUP($A38&amp;"|"&amp;$C38,Asset_Operations!$A$2:$A$201&amp;"|"&amp;Asset_Operations!$BG$2:$BG$201,Asset_Operations!$B$2:$B$201,""),"")</f>
        <v>13114</v>
      </c>
      <c r="F38" s="20">
        <f t="array" ref="F38">IFERROR(_xlfn.XLOOKUP($A38&amp;"|"&amp;$C38,Asset_Operations!$A$2:$A$201&amp;"|"&amp;Asset_Operations!$BG$2:$BG$201,Asset_Operations!$E$2:$E$201,""),"")</f>
        <v>12452</v>
      </c>
      <c r="G38" s="20">
        <f t="array" ref="G38">IFERROR(_xlfn.XLOOKUP($A38&amp;"|"&amp;$C38,Asset_Operations!$A$2:$A$201&amp;"|"&amp;Asset_Operations!$BG$2:$BG$201,Asset_Operations!$I$2:$I$201,""),"")</f>
        <v>17.329999999999998</v>
      </c>
      <c r="H38" s="20">
        <f t="array" ref="H38">IFERROR(_xlfn.XLOOKUP($A38&amp;"|"&amp;$C38,Asset_Operations!$A$2:$A$201&amp;"|"&amp;Asset_Operations!$BG$2:$BG$201,Asset_Operations!$J$2:$J$201,""),"")</f>
        <v>331</v>
      </c>
      <c r="I38" s="20">
        <f t="array" ref="I38">IFERROR(_xlfn.XLOOKUP($A38&amp;"|"&amp;$C38,Asset_Operations!$A$2:$A$201&amp;"|"&amp;Asset_Operations!$BG$2:$BG$201,Asset_Operations!$O$2:$O$201,""),"")</f>
        <v>1</v>
      </c>
      <c r="J38" s="20">
        <f t="array" ref="J38">IFERROR(_xlfn.XLOOKUP($A38&amp;"|"&amp;$C38,Asset_Operations!$A$2:$A$201&amp;"|"&amp;Asset_Operations!$BG$2:$BG$201,Asset_Operations!$S$2:$S$201,""),"")</f>
        <v>0</v>
      </c>
      <c r="K38" s="20">
        <f t="array" ref="K38">IFERROR(_xlfn.XLOOKUP($A38&amp;"|"&amp;$C38,Asset_Operations!$A$2:$A$201&amp;"|"&amp;Asset_Operations!$BG$2:$BG$201,Asset_Operations!$AC$2:$AC$201,""),"")</f>
        <v>208937</v>
      </c>
      <c r="L38" s="20">
        <f t="array" ref="L38">IFERROR(_xlfn.XLOOKUP($A38&amp;"|"&amp;$C38,Asset_Operations!$A$2:$A$201&amp;"|"&amp;Asset_Operations!$BG$2:$BG$201,Asset_Operations!$AG$2:$AG$201,""),"")</f>
        <v>50310</v>
      </c>
      <c r="M38" s="20">
        <f t="array" ref="M38">IFERROR(_xlfn.XLOOKUP($A38&amp;"|"&amp;$C38,Asset_Operations!$A$2:$A$201&amp;"|"&amp;Asset_Operations!$BG$2:$BG$201,Asset_Operations!$AO$2:$AO$201,""),"")</f>
        <v>16.779392868615485</v>
      </c>
      <c r="N38" s="21">
        <f t="array" ref="N38">IFERROR(_xlfn.XLOOKUP($A38&amp;"|"&amp;$C38,Asset_Operations!$A$2:$A$201&amp;"|"&amp;Asset_Operations!$BG$2:$BG$201,Asset_Operations!$AR$2:$AR$201,""),"")</f>
        <v>0.22160555004955401</v>
      </c>
      <c r="O38" s="22">
        <f t="array" ref="O38">IFERROR(_xlfn.XLOOKUP($A38&amp;"|"&amp;$C38,Financials!$A$2:$A$201&amp;"|"&amp;Financials!$B$2:$B$201,Financials!$C$2:$C$201,""),"")</f>
        <v>744.3</v>
      </c>
      <c r="P38" s="22">
        <f t="array" ref="P38">IFERROR(_xlfn.XLOOKUP($A38&amp;"|"&amp;$C38,Financials!$A$2:$A$201&amp;"|"&amp;Financials!$B$2:$B$201,Financials!$E$2:$E$201,""),"")</f>
        <v>169.2</v>
      </c>
      <c r="Q38" s="22">
        <f t="array" ref="Q38">IFERROR(_xlfn.XLOOKUP($A38&amp;"|"&amp;$C38,Financials!$A$2:$A$201&amp;"|"&amp;Financials!$B$2:$B$201,Financials!$G$2:$G$201,""),"")</f>
        <v>2.4</v>
      </c>
      <c r="R38" s="22">
        <f t="array" ref="R38">IFERROR(_xlfn.XLOOKUP($A38&amp;"|"&amp;$C38,Financials!$A$2:$A$201&amp;"|"&amp;Financials!$B$2:$B$201,Financials!$S$2:$S$201,""),"")</f>
        <v>111.20000000000005</v>
      </c>
      <c r="S38" s="22">
        <f t="array" ref="S38">IFERROR(_xlfn.XLOOKUP($A38&amp;"|"&amp;$C38,Financials!$A$2:$A$201&amp;"|"&amp;Financials!$B$2:$B$201,Financials!$AC$2:$AC$201,""),"")</f>
        <v>720</v>
      </c>
      <c r="T38" s="23">
        <f t="shared" si="5"/>
        <v>0.22732769044740023</v>
      </c>
      <c r="U38" s="24">
        <f t="shared" si="6"/>
        <v>0.65721040189125324</v>
      </c>
      <c r="V38" s="25">
        <f t="shared" si="7"/>
        <v>5.675613847796248E-2</v>
      </c>
      <c r="W38" s="24">
        <f t="shared" si="8"/>
        <v>4.0403148088660457</v>
      </c>
      <c r="X38" s="26">
        <f>IFERROR(IF(NOT(ISNUMBER($E38)),"",IF($E38&gt;=Scoring_Criteria!$D$4,5,IF($E38&gt;=Scoring_Criteria!$E$4,4,IF($E38&gt;=Scoring_Criteria!$F$4,3,IF($E38&gt;=Scoring_Criteria!$G$4,2,1))))),"")</f>
        <v>1</v>
      </c>
      <c r="Y38" s="26">
        <f>IFERROR(IF(OR(NOT(ISNUMBER($F38)),NOT(ISNUMBER($E38)),$E38=0),"",IF(($F38/$E38)&gt;=Scoring_Criteria!$D$5,5,IF(($F38/$E38)&gt;=Scoring_Criteria!$E$5,4,IF(($F38/$E38)&gt;=Scoring_Criteria!$F$5,3,IF(($F38/$E38)&gt;=Scoring_Criteria!$G$5,2,1))))),"")</f>
        <v>5</v>
      </c>
      <c r="Z38" s="26">
        <f>IFERROR(IF(AND(NOT(ISNUMBER($I38)),NOT(ISNUMBER($J38))),"",IF((IFERROR($I38,0)+IFERROR($J38,0))&gt;=Scoring_Criteria!$D$6,5,IF((IFERROR($I38,0)+IFERROR($J38,0))&gt;=Scoring_Criteria!$E$6,4,IF((IFERROR($I38,0)+IFERROR($J38,0))&gt;=Scoring_Criteria!$F$6,3,IF((IFERROR($I38,0)+IFERROR($J38,0))&gt;=Scoring_Criteria!$G$6,2,1))))),"")</f>
        <v>1</v>
      </c>
      <c r="AA38" s="26">
        <f>IFERROR(IF(NOT(ISNUMBER($M38)),"",IF($M38&gt;=Scoring_Criteria!$D$7,5,IF($M38&gt;=Scoring_Criteria!$E$7,4,IF($M38&gt;=Scoring_Criteria!$F$7,3,IF($M38&gt;=Scoring_Criteria!$G$7,2,1))))),"")</f>
        <v>3</v>
      </c>
      <c r="AB38" s="26">
        <f>IFERROR(IF(NOT(ISNUMBER($T38)),"",IF($T38&gt;=Scoring_Criteria!$D$8,5,IF($T38&gt;=Scoring_Criteria!$E$8,4,IF($T38&gt;=Scoring_Criteria!$F$8,3,IF($T38&gt;=Scoring_Criteria!$G$8,2,1))))),"")</f>
        <v>4</v>
      </c>
      <c r="AC38" s="26">
        <f>IFERROR(IF(NOT(ISNUMBER($U38)),"",IF($U38&lt;=Scoring_Criteria!$D$9,5,IF($U38&lt;=Scoring_Criteria!$E$9,4,IF($U38&lt;=Scoring_Criteria!$F$9,3,IF($U38&lt;=Scoring_Criteria!$G$9,2,1))))),"")</f>
        <v>5</v>
      </c>
      <c r="AD38" s="26">
        <f t="array" ref="AD38">IFERROR(IF(NOT(ISNUMBER(_xlfn.XLOOKUP($A38&amp;"|"&amp;$C38,Financials!$A$2:$A$201&amp;"|"&amp;Financials!$B$2:$B$201,Financials!$AD$2:$AD$201,""))),"",IF(_xlfn.XLOOKUP($A38&amp;"|"&amp;$C38,Financials!$A$2:$A$201&amp;"|"&amp;Financials!$B$2:$B$201,Financials!$AD$2:$AD$201,"")&gt;=Scoring_Criteria!$D$10,5,IF(_xlfn.XLOOKUP($A38&amp;"|"&amp;$C38,Financials!$A$2:$A$201&amp;"|"&amp;Financials!$B$2:$B$201,Financials!$AD$2:$AD$201,"")&gt;=Scoring_Criteria!$E$10,4,IF(_xlfn.XLOOKUP($A38&amp;"|"&amp;$C38,Financials!$A$2:$A$201&amp;"|"&amp;Financials!$B$2:$B$201,Financials!$AD$2:$AD$201,"")&gt;=Scoring_Criteria!$F$10,3,IF(_xlfn.XLOOKUP($A38&amp;"|"&amp;$C38,Financials!$A$2:$A$201&amp;"|"&amp;Financials!$B$2:$B$201,Financials!$AD$2:$AD$201,"")&gt;=Scoring_Criteria!$G$10,2,1))))),"")</f>
        <v>4</v>
      </c>
      <c r="AE38" s="27"/>
      <c r="AF38" s="27"/>
      <c r="AG38" s="28">
        <f t="shared" si="9"/>
        <v>3.2857142857142856</v>
      </c>
      <c r="AH38" s="29"/>
      <c r="AI38" s="29"/>
      <c r="AJ38" s="29"/>
      <c r="AK38" s="29"/>
      <c r="AL38" s="29"/>
      <c r="AM38" s="29"/>
      <c r="AN38" s="29"/>
      <c r="AO38" s="29"/>
      <c r="AP38" s="29"/>
      <c r="AQ38" s="29"/>
      <c r="AR38" s="29"/>
      <c r="AS38" s="29"/>
      <c r="AT38" s="29"/>
      <c r="AU38" t="str">
        <f>IFERROR(Validation_Summary!Q5,"")</f>
        <v>✓ All 8 checks passed</v>
      </c>
    </row>
    <row r="39" spans="1:47" ht="15" customHeight="1" x14ac:dyDescent="0.3">
      <c r="A39" s="6" t="s">
        <v>3129</v>
      </c>
      <c r="B39" s="19" t="str">
        <f t="array" ref="B39">IFERROR(_xlfn.XLOOKUP($A39&amp;"|"&amp;$C39,'Company_Master'!$A$2:$A$94&amp;"|"&amp;'Company_Master'!$D$2:$D$94,'Company_Master'!$B$2:$B$94,""),"")</f>
        <v>GZCO</v>
      </c>
      <c r="C39" s="20">
        <v>2024</v>
      </c>
      <c r="D39" s="19" t="str">
        <f t="array" ref="D39">IFERROR(_xlfn.XLOOKUP($A39&amp;"|"&amp;$C39,'Company_Master'!$A$2:$A$94&amp;"|"&amp;'Company_Master'!$D$2:$D$94,'Company_Master'!$H$2:$H$94,""),"")</f>
        <v>South Sumatra / West Kalimantan / Central Kalimantan</v>
      </c>
      <c r="E39" s="20">
        <f t="array" ref="E39">IFERROR(_xlfn.XLOOKUP($A39&amp;"|"&amp;$C39,Asset_Operations!$A$2:$A$201&amp;"|"&amp;Asset_Operations!$BG$2:$BG$201,Asset_Operations!$B$2:$B$201,""),"")</f>
        <v>15596</v>
      </c>
      <c r="F39" s="20">
        <f t="array" ref="F39">IFERROR(_xlfn.XLOOKUP($A39&amp;"|"&amp;$C39,Asset_Operations!$A$2:$A$201&amp;"|"&amp;Asset_Operations!$BG$2:$BG$201,Asset_Operations!$E$2:$E$201,""),"")</f>
        <v>13939</v>
      </c>
      <c r="G39" s="20">
        <f t="array" ref="G39">IFERROR(_xlfn.XLOOKUP($A39&amp;"|"&amp;$C39,Asset_Operations!$A$2:$A$201&amp;"|"&amp;Asset_Operations!$BG$2:$BG$201,Asset_Operations!$I$2:$I$201,""),"")</f>
        <v>16</v>
      </c>
      <c r="H39" s="20">
        <f t="array" ref="H39">IFERROR(_xlfn.XLOOKUP($A39&amp;"|"&amp;$C39,Asset_Operations!$A$2:$A$201&amp;"|"&amp;Asset_Operations!$BG$2:$BG$201,Asset_Operations!$J$2:$J$201,""),"")</f>
        <v>1203</v>
      </c>
      <c r="I39" s="20">
        <f t="array" ref="I39">IFERROR(_xlfn.XLOOKUP($A39&amp;"|"&amp;$C39,Asset_Operations!$A$2:$A$201&amp;"|"&amp;Asset_Operations!$BG$2:$BG$201,Asset_Operations!$O$2:$O$201,""),"")</f>
        <v>1</v>
      </c>
      <c r="J39" s="20">
        <f t="array" ref="J39">IFERROR(_xlfn.XLOOKUP($A39&amp;"|"&amp;$C39,Asset_Operations!$A$2:$A$201&amp;"|"&amp;Asset_Operations!$BG$2:$BG$201,Asset_Operations!$S$2:$S$201,""),"")</f>
        <v>0</v>
      </c>
      <c r="K39" s="20">
        <f t="array" ref="K39">IFERROR(_xlfn.XLOOKUP($A39&amp;"|"&amp;$C39,Asset_Operations!$A$2:$A$201&amp;"|"&amp;Asset_Operations!$BG$2:$BG$201,Asset_Operations!$AC$2:$AC$201,""),"")</f>
        <v>225259</v>
      </c>
      <c r="L39" s="20">
        <f t="array" ref="L39">IFERROR(_xlfn.XLOOKUP($A39&amp;"|"&amp;$C39,Asset_Operations!$A$2:$A$201&amp;"|"&amp;Asset_Operations!$BG$2:$BG$201,Asset_Operations!$AG$2:$AG$201,""),"")</f>
        <v>43934</v>
      </c>
      <c r="M39" s="20">
        <f t="array" ref="M39">IFERROR(_xlfn.XLOOKUP($A39&amp;"|"&amp;$C39,Asset_Operations!$A$2:$A$201&amp;"|"&amp;Asset_Operations!$BG$2:$BG$201,Asset_Operations!$AO$2:$AO$201,""),"")</f>
        <v>16.160341487911616</v>
      </c>
      <c r="N39" s="21">
        <f t="array" ref="N39">IFERROR(_xlfn.XLOOKUP($A39&amp;"|"&amp;$C39,Asset_Operations!$A$2:$A$201&amp;"|"&amp;Asset_Operations!$BG$2:$BG$201,Asset_Operations!$AR$2:$AR$201,""),"")</f>
        <v>0.21247557696399899</v>
      </c>
      <c r="O39" s="22">
        <f t="array" ref="O39">IFERROR(_xlfn.XLOOKUP($A39&amp;"|"&amp;$C39,Financials!$A$2:$A$201&amp;"|"&amp;Financials!$B$2:$B$201,Financials!$C$2:$C$201,""),"")</f>
        <v>804.6</v>
      </c>
      <c r="P39" s="22">
        <f t="array" ref="P39">IFERROR(_xlfn.XLOOKUP($A39&amp;"|"&amp;$C39,Financials!$A$2:$A$201&amp;"|"&amp;Financials!$B$2:$B$201,Financials!$E$2:$E$201,""),"")</f>
        <v>242.4</v>
      </c>
      <c r="Q39" s="22">
        <f t="array" ref="Q39">IFERROR(_xlfn.XLOOKUP($A39&amp;"|"&amp;$C39,Financials!$A$2:$A$201&amp;"|"&amp;Financials!$B$2:$B$201,Financials!$G$2:$G$201,""),"")</f>
        <v>62.4</v>
      </c>
      <c r="R39" s="22">
        <f t="array" ref="R39">IFERROR(_xlfn.XLOOKUP($A39&amp;"|"&amp;$C39,Financials!$A$2:$A$201&amp;"|"&amp;Financials!$B$2:$B$201,Financials!$S$2:$S$201,""),"")</f>
        <v>236.89999999999998</v>
      </c>
      <c r="S39" s="22">
        <f t="array" ref="S39">IFERROR(_xlfn.XLOOKUP($A39&amp;"|"&amp;$C39,Financials!$A$2:$A$201&amp;"|"&amp;Financials!$B$2:$B$201,Financials!$AC$2:$AC$201,""),"")</f>
        <v>678</v>
      </c>
      <c r="T39" s="23">
        <f t="shared" si="5"/>
        <v>0.3012677106636838</v>
      </c>
      <c r="U39" s="24">
        <f t="shared" si="6"/>
        <v>0.97731023102310222</v>
      </c>
      <c r="V39" s="25">
        <f t="shared" si="7"/>
        <v>5.1590151320851499E-2</v>
      </c>
      <c r="W39" s="24">
        <f t="shared" si="8"/>
        <v>3.1518760312791447</v>
      </c>
      <c r="X39" s="26">
        <f>IFERROR(IF(NOT(ISNUMBER($E39)),"",IF($E39&gt;=Scoring_Criteria!$D$4,5,IF($E39&gt;=Scoring_Criteria!$E$4,4,IF($E39&gt;=Scoring_Criteria!$F$4,3,IF($E39&gt;=Scoring_Criteria!$G$4,2,1))))),"")</f>
        <v>2</v>
      </c>
      <c r="Y39" s="26">
        <f>IFERROR(IF(OR(NOT(ISNUMBER($F39)),NOT(ISNUMBER($E39)),$E39=0),"",IF(($F39/$E39)&gt;=Scoring_Criteria!$D$5,5,IF(($F39/$E39)&gt;=Scoring_Criteria!$E$5,4,IF(($F39/$E39)&gt;=Scoring_Criteria!$F$5,3,IF(($F39/$E39)&gt;=Scoring_Criteria!$G$5,2,1))))),"")</f>
        <v>5</v>
      </c>
      <c r="Z39" s="26">
        <f>IFERROR(IF(AND(NOT(ISNUMBER($I39)),NOT(ISNUMBER($J39))),"",IF((IFERROR($I39,0)+IFERROR($J39,0))&gt;=Scoring_Criteria!$D$6,5,IF((IFERROR($I39,0)+IFERROR($J39,0))&gt;=Scoring_Criteria!$E$6,4,IF((IFERROR($I39,0)+IFERROR($J39,0))&gt;=Scoring_Criteria!$F$6,3,IF((IFERROR($I39,0)+IFERROR($J39,0))&gt;=Scoring_Criteria!$G$6,2,1))))),"")</f>
        <v>1</v>
      </c>
      <c r="AA39" s="26">
        <f>IFERROR(IF(NOT(ISNUMBER($M39)),"",IF($M39&gt;=Scoring_Criteria!$D$7,5,IF($M39&gt;=Scoring_Criteria!$E$7,4,IF($M39&gt;=Scoring_Criteria!$F$7,3,IF($M39&gt;=Scoring_Criteria!$G$7,2,1))))),"")</f>
        <v>3</v>
      </c>
      <c r="AB39" s="26">
        <f>IFERROR(IF(NOT(ISNUMBER($T39)),"",IF($T39&gt;=Scoring_Criteria!$D$8,5,IF($T39&gt;=Scoring_Criteria!$E$8,4,IF($T39&gt;=Scoring_Criteria!$F$8,3,IF($T39&gt;=Scoring_Criteria!$G$8,2,1))))),"")</f>
        <v>5</v>
      </c>
      <c r="AC39" s="26">
        <f>IFERROR(IF(NOT(ISNUMBER($U39)),"",IF($U39&lt;=Scoring_Criteria!$D$9,5,IF($U39&lt;=Scoring_Criteria!$E$9,4,IF($U39&lt;=Scoring_Criteria!$F$9,3,IF($U39&lt;=Scoring_Criteria!$G$9,2,1))))),"")</f>
        <v>5</v>
      </c>
      <c r="AD39" s="26">
        <f t="array" ref="AD39">IFERROR(IF(NOT(ISNUMBER(_xlfn.XLOOKUP($A39&amp;"|"&amp;$C39,Financials!$A$2:$A$201&amp;"|"&amp;Financials!$B$2:$B$201,Financials!$AD$2:$AD$201,""))),"",IF(_xlfn.XLOOKUP($A39&amp;"|"&amp;$C39,Financials!$A$2:$A$201&amp;"|"&amp;Financials!$B$2:$B$201,Financials!$AD$2:$AD$201,"")&gt;=Scoring_Criteria!$D$10,5,IF(_xlfn.XLOOKUP($A39&amp;"|"&amp;$C39,Financials!$A$2:$A$201&amp;"|"&amp;Financials!$B$2:$B$201,Financials!$AD$2:$AD$201,"")&gt;=Scoring_Criteria!$E$10,4,IF(_xlfn.XLOOKUP($A39&amp;"|"&amp;$C39,Financials!$A$2:$A$201&amp;"|"&amp;Financials!$B$2:$B$201,Financials!$AD$2:$AD$201,"")&gt;=Scoring_Criteria!$F$10,3,IF(_xlfn.XLOOKUP($A39&amp;"|"&amp;$C39,Financials!$A$2:$A$201&amp;"|"&amp;Financials!$B$2:$B$201,Financials!$AD$2:$AD$201,"")&gt;=Scoring_Criteria!$G$10,2,1))))),"")</f>
        <v>1</v>
      </c>
      <c r="AE39" s="27"/>
      <c r="AF39" s="27"/>
      <c r="AG39" s="28">
        <f t="shared" si="9"/>
        <v>3.1428571428571428</v>
      </c>
      <c r="AH39" s="29"/>
      <c r="AI39" s="29"/>
      <c r="AJ39" s="29"/>
      <c r="AK39" s="29"/>
      <c r="AL39" s="29"/>
      <c r="AM39" s="29"/>
      <c r="AN39" s="29"/>
      <c r="AO39" s="29"/>
      <c r="AP39" s="29"/>
      <c r="AQ39" s="29"/>
      <c r="AR39" s="29"/>
      <c r="AS39" s="29"/>
      <c r="AT39" s="29"/>
      <c r="AU39" t="str">
        <f>IFERROR(Validation_Summary!Q5,"")</f>
        <v>✓ All 8 checks passed</v>
      </c>
    </row>
    <row r="40" spans="1:47" ht="15" customHeight="1" x14ac:dyDescent="0.3">
      <c r="A40" s="6" t="s">
        <v>3439</v>
      </c>
      <c r="B40" s="19" t="str">
        <f t="array" ref="B40">IFERROR(_xlfn.XLOOKUP($A40&amp;"|"&amp;$C40,'Company_Master'!$A$2:$A$94&amp;"|"&amp;'Company_Master'!$D$2:$D$94,'Company_Master'!$B$2:$B$94,""),"")</f>
        <v>IPPE</v>
      </c>
      <c r="C40" s="20">
        <v>2023</v>
      </c>
      <c r="D40" s="19" t="str">
        <f t="array" ref="D40">IFERROR(_xlfn.XLOOKUP($A40&amp;"|"&amp;$C40,'Company_Master'!$A$2:$A$94&amp;"|"&amp;'Company_Master'!$D$2:$D$94,'Company_Master'!$H$2:$H$94,""),"")</f>
        <v>Java (Subang, West Java)</v>
      </c>
      <c r="E40" s="20">
        <f t="array" ref="E40">IFERROR(_xlfn.XLOOKUP($A40&amp;"|"&amp;$C40,Asset_Operations!$A$2:$A$201&amp;"|"&amp;Asset_Operations!$BG$2:$BG$201,Asset_Operations!$B$2:$B$201,""),"")</f>
        <v>0</v>
      </c>
      <c r="F40" s="20">
        <f t="array" ref="F40">IFERROR(_xlfn.XLOOKUP($A40&amp;"|"&amp;$C40,Asset_Operations!$A$2:$A$201&amp;"|"&amp;Asset_Operations!$BG$2:$BG$201,Asset_Operations!$E$2:$E$201,""),"")</f>
        <v>0</v>
      </c>
      <c r="G40" s="20">
        <f t="array" ref="G40">IFERROR(_xlfn.XLOOKUP($A40&amp;"|"&amp;$C40,Asset_Operations!$A$2:$A$201&amp;"|"&amp;Asset_Operations!$BG$2:$BG$201,Asset_Operations!$I$2:$I$201,""),"")</f>
        <v>0</v>
      </c>
      <c r="H40" s="20">
        <f t="array" ref="H40">IFERROR(_xlfn.XLOOKUP($A40&amp;"|"&amp;$C40,Asset_Operations!$A$2:$A$201&amp;"|"&amp;Asset_Operations!$BG$2:$BG$201,Asset_Operations!$J$2:$J$201,""),"")</f>
        <v>0</v>
      </c>
      <c r="I40" s="20">
        <f t="array" ref="I40">IFERROR(_xlfn.XLOOKUP($A40&amp;"|"&amp;$C40,Asset_Operations!$A$2:$A$201&amp;"|"&amp;Asset_Operations!$BG$2:$BG$201,Asset_Operations!$O$2:$O$201,""),"")</f>
        <v>1</v>
      </c>
      <c r="J40" s="20">
        <f t="array" ref="J40">IFERROR(_xlfn.XLOOKUP($A40&amp;"|"&amp;$C40,Asset_Operations!$A$2:$A$201&amp;"|"&amp;Asset_Operations!$BG$2:$BG$201,Asset_Operations!$S$2:$S$201,""),"")</f>
        <v>0</v>
      </c>
      <c r="K40" s="20">
        <f t="array" ref="K40">IFERROR(_xlfn.XLOOKUP($A40&amp;"|"&amp;$C40,Asset_Operations!$A$2:$A$201&amp;"|"&amp;Asset_Operations!$BG$2:$BG$201,Asset_Operations!$AC$2:$AC$201,""),"")</f>
        <v>0</v>
      </c>
      <c r="L40" s="20">
        <f t="array" ref="L40">IFERROR(_xlfn.XLOOKUP($A40&amp;"|"&amp;$C40,Asset_Operations!$A$2:$A$201&amp;"|"&amp;Asset_Operations!$BG$2:$BG$201,Asset_Operations!$AG$2:$AG$201,""),"")</f>
        <v>0</v>
      </c>
      <c r="M40" s="20" t="str">
        <f t="array" ref="M40">IFERROR(_xlfn.XLOOKUP($A40&amp;"|"&amp;$C40,Asset_Operations!$A$2:$A$201&amp;"|"&amp;Asset_Operations!$BG$2:$BG$201,Asset_Operations!$AO$2:$AO$201,""),"")</f>
        <v/>
      </c>
      <c r="N40" s="21" t="str">
        <f t="array" ref="N40">IFERROR(_xlfn.XLOOKUP($A40&amp;"|"&amp;$C40,Asset_Operations!$A$2:$A$201&amp;"|"&amp;Asset_Operations!$BG$2:$BG$201,Asset_Operations!$AR$2:$AR$201,""),"")</f>
        <v/>
      </c>
      <c r="O40" s="22">
        <f t="array" ref="O40">IFERROR(_xlfn.XLOOKUP($A40&amp;"|"&amp;$C40,Financials!$A$2:$A$201&amp;"|"&amp;Financials!$B$2:$B$201,Financials!$C$2:$C$201,""),"")</f>
        <v>35.729999999999997</v>
      </c>
      <c r="P40" s="22">
        <f t="array" ref="P40">IFERROR(_xlfn.XLOOKUP($A40&amp;"|"&amp;$C40,Financials!$A$2:$A$201&amp;"|"&amp;Financials!$B$2:$B$201,Financials!$E$2:$E$201,""),"")</f>
        <v>0</v>
      </c>
      <c r="Q40" s="22">
        <f t="array" ref="Q40">IFERROR(_xlfn.XLOOKUP($A40&amp;"|"&amp;$C40,Financials!$A$2:$A$201&amp;"|"&amp;Financials!$B$2:$B$201,Financials!$G$2:$G$201,""),"")</f>
        <v>3.86</v>
      </c>
      <c r="R40" s="22">
        <f t="array" ref="R40">IFERROR(_xlfn.XLOOKUP($A40&amp;"|"&amp;$C40,Financials!$A$2:$A$201&amp;"|"&amp;Financials!$B$2:$B$201,Financials!$S$2:$S$201,""),"")</f>
        <v>5.51</v>
      </c>
      <c r="S40" s="22">
        <f t="array" ref="S40">IFERROR(_xlfn.XLOOKUP($A40&amp;"|"&amp;$C40,Financials!$A$2:$A$201&amp;"|"&amp;Financials!$B$2:$B$201,Financials!$AC$2:$AC$201,""),"")</f>
        <v>230</v>
      </c>
      <c r="T40" s="23">
        <f t="shared" si="5"/>
        <v>0</v>
      </c>
      <c r="U40" s="24" t="str">
        <f t="shared" si="6"/>
        <v/>
      </c>
      <c r="V40" s="25" t="str">
        <f t="shared" si="7"/>
        <v/>
      </c>
      <c r="W40" s="24" t="str">
        <f t="shared" si="8"/>
        <v/>
      </c>
      <c r="X40" s="26">
        <f>IFERROR(IF(NOT(ISNUMBER($E40)),"",IF($E40&gt;=Scoring_Criteria!$D$4,5,IF($E40&gt;=Scoring_Criteria!$E$4,4,IF($E40&gt;=Scoring_Criteria!$F$4,3,IF($E40&gt;=Scoring_Criteria!$G$4,2,1))))),"")</f>
        <v>1</v>
      </c>
      <c r="Y40" s="26" t="str">
        <f>IFERROR(IF(OR(NOT(ISNUMBER($F40)),NOT(ISNUMBER($E40)),$E40=0),"",IF(($F40/$E40)&gt;=Scoring_Criteria!$D$5,5,IF(($F40/$E40)&gt;=Scoring_Criteria!$E$5,4,IF(($F40/$E40)&gt;=Scoring_Criteria!$F$5,3,IF(($F40/$E40)&gt;=Scoring_Criteria!$G$5,2,1))))),"")</f>
        <v/>
      </c>
      <c r="Z40" s="26">
        <f>IFERROR(IF(AND(NOT(ISNUMBER($I40)),NOT(ISNUMBER($J40))),"",IF((IFERROR($I40,0)+IFERROR($J40,0))&gt;=Scoring_Criteria!$D$6,5,IF((IFERROR($I40,0)+IFERROR($J40,0))&gt;=Scoring_Criteria!$E$6,4,IF((IFERROR($I40,0)+IFERROR($J40,0))&gt;=Scoring_Criteria!$F$6,3,IF((IFERROR($I40,0)+IFERROR($J40,0))&gt;=Scoring_Criteria!$G$6,2,1))))),"")</f>
        <v>1</v>
      </c>
      <c r="AA40" s="26" t="str">
        <f>IFERROR(IF(NOT(ISNUMBER($M40)),"",IF($M40&gt;=Scoring_Criteria!$D$7,5,IF($M40&gt;=Scoring_Criteria!$E$7,4,IF($M40&gt;=Scoring_Criteria!$F$7,3,IF($M40&gt;=Scoring_Criteria!$G$7,2,1))))),"")</f>
        <v/>
      </c>
      <c r="AB40" s="26">
        <f>IFERROR(IF(NOT(ISNUMBER($T40)),"",IF($T40&gt;=Scoring_Criteria!$D$8,5,IF($T40&gt;=Scoring_Criteria!$E$8,4,IF($T40&gt;=Scoring_Criteria!$F$8,3,IF($T40&gt;=Scoring_Criteria!$G$8,2,1))))),"")</f>
        <v>1</v>
      </c>
      <c r="AC40" s="26" t="str">
        <f>IFERROR(IF(NOT(ISNUMBER($U40)),"",IF($U40&lt;=Scoring_Criteria!$D$9,5,IF($U40&lt;=Scoring_Criteria!$E$9,4,IF($U40&lt;=Scoring_Criteria!$F$9,3,IF($U40&lt;=Scoring_Criteria!$G$9,2,1))))),"")</f>
        <v/>
      </c>
      <c r="AD40" s="26">
        <f t="array" ref="AD40">IFERROR(IF(NOT(ISNUMBER(_xlfn.XLOOKUP($A40&amp;"|"&amp;$C40,Financials!$A$2:$A$201&amp;"|"&amp;Financials!$B$2:$B$201,Financials!$AD$2:$AD$201,""))),"",IF(_xlfn.XLOOKUP($A40&amp;"|"&amp;$C40,Financials!$A$2:$A$201&amp;"|"&amp;Financials!$B$2:$B$201,Financials!$AD$2:$AD$201,"")&gt;=Scoring_Criteria!$D$10,5,IF(_xlfn.XLOOKUP($A40&amp;"|"&amp;$C40,Financials!$A$2:$A$201&amp;"|"&amp;Financials!$B$2:$B$201,Financials!$AD$2:$AD$201,"")&gt;=Scoring_Criteria!$E$10,4,IF(_xlfn.XLOOKUP($A40&amp;"|"&amp;$C40,Financials!$A$2:$A$201&amp;"|"&amp;Financials!$B$2:$B$201,Financials!$AD$2:$AD$201,"")&gt;=Scoring_Criteria!$F$10,3,IF(_xlfn.XLOOKUP($A40&amp;"|"&amp;$C40,Financials!$A$2:$A$201&amp;"|"&amp;Financials!$B$2:$B$201,Financials!$AD$2:$AD$201,"")&gt;=Scoring_Criteria!$G$10,2,1))))),"")</f>
        <v>5</v>
      </c>
      <c r="AE40" s="27"/>
      <c r="AF40" s="27"/>
      <c r="AG40" s="28">
        <f t="shared" si="9"/>
        <v>2</v>
      </c>
      <c r="AH40" s="29"/>
      <c r="AI40" s="29"/>
      <c r="AJ40" s="29"/>
      <c r="AK40" s="29"/>
      <c r="AL40" s="29"/>
      <c r="AM40" s="29"/>
      <c r="AN40" s="29"/>
      <c r="AO40" s="29"/>
      <c r="AP40" s="29"/>
      <c r="AQ40" s="29"/>
      <c r="AR40" s="29"/>
      <c r="AS40" s="29"/>
      <c r="AT40" s="29"/>
      <c r="AU40" t="str">
        <f>IFERROR(Validation_Summary!Q5,"")</f>
        <v>✓ All 8 checks passed</v>
      </c>
    </row>
    <row r="41" spans="1:47" ht="15" customHeight="1" x14ac:dyDescent="0.3">
      <c r="A41" s="6" t="s">
        <v>3615</v>
      </c>
      <c r="B41" s="19" t="str">
        <f t="array" ref="B41">IFERROR(_xlfn.XLOOKUP($A41&amp;"|"&amp;$C41,'Company_Master'!$A$2:$A$94&amp;"|"&amp;'Company_Master'!$D$2:$D$94,'Company_Master'!$B$2:$B$94,""),"")</f>
        <v>JARR</v>
      </c>
      <c r="C41" s="20">
        <v>2022</v>
      </c>
      <c r="D41" s="19" t="str">
        <f t="array" ref="D41">IFERROR(_xlfn.XLOOKUP($A41&amp;"|"&amp;$C41,'Company_Master'!$A$2:$A$94&amp;"|"&amp;'Company_Master'!$D$2:$D$94,'Company_Master'!$H$2:$H$94,""),"")</f>
        <v>South Kalimantan (Tanah Bumbu &amp; Kotabaru)</v>
      </c>
      <c r="E41" s="20">
        <f t="array" ref="E41">IFERROR(_xlfn.XLOOKUP($A41&amp;"|"&amp;$C41,Asset_Operations!$A$2:$A$201&amp;"|"&amp;Asset_Operations!$BG$2:$BG$201,Asset_Operations!$B$2:$B$201,""),"")</f>
        <v>10782.99</v>
      </c>
      <c r="F41" s="20">
        <f t="array" ref="F41">IFERROR(_xlfn.XLOOKUP($A41&amp;"|"&amp;$C41,Asset_Operations!$A$2:$A$201&amp;"|"&amp;Asset_Operations!$BG$2:$BG$201,Asset_Operations!$E$2:$E$201,""),"")</f>
        <v>9370.35</v>
      </c>
      <c r="G41" s="20">
        <f t="array" ref="G41">IFERROR(_xlfn.XLOOKUP($A41&amp;"|"&amp;$C41,Asset_Operations!$A$2:$A$201&amp;"|"&amp;Asset_Operations!$BG$2:$BG$201,Asset_Operations!$I$2:$I$201,""),"")</f>
        <v>0</v>
      </c>
      <c r="H41" s="20">
        <f t="array" ref="H41">IFERROR(_xlfn.XLOOKUP($A41&amp;"|"&amp;$C41,Asset_Operations!$A$2:$A$201&amp;"|"&amp;Asset_Operations!$BG$2:$BG$201,Asset_Operations!$J$2:$J$201,""),"")</f>
        <v>0</v>
      </c>
      <c r="I41" s="20">
        <f t="array" ref="I41">IFERROR(_xlfn.XLOOKUP($A41&amp;"|"&amp;$C41,Asset_Operations!$A$2:$A$201&amp;"|"&amp;Asset_Operations!$BG$2:$BG$201,Asset_Operations!$O$2:$O$201,""),"")</f>
        <v>0</v>
      </c>
      <c r="J41" s="20">
        <f t="array" ref="J41">IFERROR(_xlfn.XLOOKUP($A41&amp;"|"&amp;$C41,Asset_Operations!$A$2:$A$201&amp;"|"&amp;Asset_Operations!$BG$2:$BG$201,Asset_Operations!$S$2:$S$201,""),"")</f>
        <v>1</v>
      </c>
      <c r="K41" s="20">
        <f t="array" ref="K41">IFERROR(_xlfn.XLOOKUP($A41&amp;"|"&amp;$C41,Asset_Operations!$A$2:$A$201&amp;"|"&amp;Asset_Operations!$BG$2:$BG$201,Asset_Operations!$AC$2:$AC$201,""),"")</f>
        <v>54299</v>
      </c>
      <c r="L41" s="20">
        <f t="array" ref="L41">IFERROR(_xlfn.XLOOKUP($A41&amp;"|"&amp;$C41,Asset_Operations!$A$2:$A$201&amp;"|"&amp;Asset_Operations!$BG$2:$BG$201,Asset_Operations!$AG$2:$AG$201,""),"")</f>
        <v>0</v>
      </c>
      <c r="M41" s="20">
        <f t="array" ref="M41">IFERROR(_xlfn.XLOOKUP($A41&amp;"|"&amp;$C41,Asset_Operations!$A$2:$A$201&amp;"|"&amp;Asset_Operations!$BG$2:$BG$201,Asset_Operations!$AO$2:$AO$201,""),"")</f>
        <v>5.7947675380321968</v>
      </c>
      <c r="N41" s="21" t="str">
        <f t="array" ref="N41">IFERROR(_xlfn.XLOOKUP($A41&amp;"|"&amp;$C41,Asset_Operations!$A$2:$A$201&amp;"|"&amp;Asset_Operations!$BG$2:$BG$201,Asset_Operations!$AR$2:$AR$201,""),"")</f>
        <v/>
      </c>
      <c r="O41" s="22">
        <f t="array" ref="O41">IFERROR(_xlfn.XLOOKUP($A41&amp;"|"&amp;$C41,Financials!$A$2:$A$201&amp;"|"&amp;Financials!$B$2:$B$201,Financials!$C$2:$C$201,""),"")</f>
        <v>4708</v>
      </c>
      <c r="P41" s="22">
        <f t="array" ref="P41">IFERROR(_xlfn.XLOOKUP($A41&amp;"|"&amp;$C41,Financials!$A$2:$A$201&amp;"|"&amp;Financials!$B$2:$B$201,Financials!$E$2:$E$201,""),"")</f>
        <v>0</v>
      </c>
      <c r="Q41" s="22">
        <f t="array" ref="Q41">IFERROR(_xlfn.XLOOKUP($A41&amp;"|"&amp;$C41,Financials!$A$2:$A$201&amp;"|"&amp;Financials!$B$2:$B$201,Financials!$G$2:$G$201,""),"")</f>
        <v>42</v>
      </c>
      <c r="R41" s="22">
        <f t="array" ref="R41">IFERROR(_xlfn.XLOOKUP($A41&amp;"|"&amp;$C41,Financials!$A$2:$A$201&amp;"|"&amp;Financials!$B$2:$B$201,Financials!$S$2:$S$201,""),"")</f>
        <v>1240</v>
      </c>
      <c r="S41" s="22">
        <f t="array" ref="S41">IFERROR(_xlfn.XLOOKUP($A41&amp;"|"&amp;$C41,Financials!$A$2:$A$201&amp;"|"&amp;Financials!$B$2:$B$201,Financials!$AC$2:$AC$201,""),"")</f>
        <v>2544</v>
      </c>
      <c r="T41" s="23">
        <f t="shared" si="5"/>
        <v>0</v>
      </c>
      <c r="U41" s="24" t="str">
        <f t="shared" si="6"/>
        <v/>
      </c>
      <c r="V41" s="25">
        <f t="shared" si="7"/>
        <v>0.43661359233385177</v>
      </c>
      <c r="W41" s="24">
        <f t="shared" si="8"/>
        <v>0</v>
      </c>
      <c r="X41" s="26">
        <f>IFERROR(IF(NOT(ISNUMBER($E41)),"",IF($E41&gt;=Scoring_Criteria!$D$4,5,IF($E41&gt;=Scoring_Criteria!$E$4,4,IF($E41&gt;=Scoring_Criteria!$F$4,3,IF($E41&gt;=Scoring_Criteria!$G$4,2,1))))),"")</f>
        <v>1</v>
      </c>
      <c r="Y41" s="26">
        <f>IFERROR(IF(OR(NOT(ISNUMBER($F41)),NOT(ISNUMBER($E41)),$E41=0),"",IF(($F41/$E41)&gt;=Scoring_Criteria!$D$5,5,IF(($F41/$E41)&gt;=Scoring_Criteria!$E$5,4,IF(($F41/$E41)&gt;=Scoring_Criteria!$F$5,3,IF(($F41/$E41)&gt;=Scoring_Criteria!$G$5,2,1))))),"")</f>
        <v>5</v>
      </c>
      <c r="Z41" s="26">
        <f>IFERROR(IF(AND(NOT(ISNUMBER($I41)),NOT(ISNUMBER($J41))),"",IF((IFERROR($I41,0)+IFERROR($J41,0))&gt;=Scoring_Criteria!$D$6,5,IF((IFERROR($I41,0)+IFERROR($J41,0))&gt;=Scoring_Criteria!$E$6,4,IF((IFERROR($I41,0)+IFERROR($J41,0))&gt;=Scoring_Criteria!$F$6,3,IF((IFERROR($I41,0)+IFERROR($J41,0))&gt;=Scoring_Criteria!$G$6,2,1))))),"")</f>
        <v>1</v>
      </c>
      <c r="AA41" s="26">
        <f>IFERROR(IF(NOT(ISNUMBER($M41)),"",IF($M41&gt;=Scoring_Criteria!$D$7,5,IF($M41&gt;=Scoring_Criteria!$E$7,4,IF($M41&gt;=Scoring_Criteria!$F$7,3,IF($M41&gt;=Scoring_Criteria!$G$7,2,1))))),"")</f>
        <v>1</v>
      </c>
      <c r="AB41" s="26">
        <f>IFERROR(IF(NOT(ISNUMBER($T41)),"",IF($T41&gt;=Scoring_Criteria!$D$8,5,IF($T41&gt;=Scoring_Criteria!$E$8,4,IF($T41&gt;=Scoring_Criteria!$F$8,3,IF($T41&gt;=Scoring_Criteria!$G$8,2,1))))),"")</f>
        <v>1</v>
      </c>
      <c r="AC41" s="26" t="str">
        <f>IFERROR(IF(NOT(ISNUMBER($U41)),"",IF($U41&lt;=Scoring_Criteria!$D$9,5,IF($U41&lt;=Scoring_Criteria!$E$9,4,IF($U41&lt;=Scoring_Criteria!$F$9,3,IF($U41&lt;=Scoring_Criteria!$G$9,2,1))))),"")</f>
        <v/>
      </c>
      <c r="AD41" s="26">
        <f t="array" ref="AD41">IFERROR(IF(NOT(ISNUMBER(_xlfn.XLOOKUP($A41&amp;"|"&amp;$C41,Financials!$A$2:$A$201&amp;"|"&amp;Financials!$B$2:$B$201,Financials!$AD$2:$AD$201,""))),"",IF(_xlfn.XLOOKUP($A41&amp;"|"&amp;$C41,Financials!$A$2:$A$201&amp;"|"&amp;Financials!$B$2:$B$201,Financials!$AD$2:$AD$201,"")&gt;=Scoring_Criteria!$D$10,5,IF(_xlfn.XLOOKUP($A41&amp;"|"&amp;$C41,Financials!$A$2:$A$201&amp;"|"&amp;Financials!$B$2:$B$201,Financials!$AD$2:$AD$201,"")&gt;=Scoring_Criteria!$E$10,4,IF(_xlfn.XLOOKUP($A41&amp;"|"&amp;$C41,Financials!$A$2:$A$201&amp;"|"&amp;Financials!$B$2:$B$201,Financials!$AD$2:$AD$201,"")&gt;=Scoring_Criteria!$F$10,3,IF(_xlfn.XLOOKUP($A41&amp;"|"&amp;$C41,Financials!$A$2:$A$201&amp;"|"&amp;Financials!$B$2:$B$201,Financials!$AD$2:$AD$201,"")&gt;=Scoring_Criteria!$G$10,2,1))))),"")</f>
        <v>5</v>
      </c>
      <c r="AE41" s="27"/>
      <c r="AF41" s="27"/>
      <c r="AG41" s="28">
        <f t="shared" si="9"/>
        <v>2.3333333333333335</v>
      </c>
      <c r="AH41" s="29"/>
      <c r="AI41" s="29"/>
      <c r="AJ41" s="29"/>
      <c r="AK41" s="29"/>
      <c r="AL41" s="29"/>
      <c r="AM41" s="29"/>
      <c r="AN41" s="29"/>
      <c r="AO41" s="29"/>
      <c r="AP41" s="29"/>
      <c r="AQ41" s="29"/>
      <c r="AR41" s="29"/>
      <c r="AS41" s="29"/>
      <c r="AT41" s="29"/>
      <c r="AU41" t="str">
        <f>IFERROR(Validation_Summary!Q5,"")</f>
        <v>✓ All 8 checks passed</v>
      </c>
    </row>
    <row r="42" spans="1:47" ht="15" customHeight="1" x14ac:dyDescent="0.3">
      <c r="A42" s="6" t="s">
        <v>3615</v>
      </c>
      <c r="B42" s="19" t="str">
        <f t="array" ref="B42">IFERROR(_xlfn.XLOOKUP($A42&amp;"|"&amp;$C42,'Company_Master'!$A$2:$A$94&amp;"|"&amp;'Company_Master'!$D$2:$D$94,'Company_Master'!$B$2:$B$94,""),"")</f>
        <v>JARR</v>
      </c>
      <c r="C42" s="20">
        <v>2023</v>
      </c>
      <c r="D42" s="19" t="str">
        <f t="array" ref="D42">IFERROR(_xlfn.XLOOKUP($A42&amp;"|"&amp;$C42,'Company_Master'!$A$2:$A$94&amp;"|"&amp;'Company_Master'!$D$2:$D$94,'Company_Master'!$H$2:$H$94,""),"")</f>
        <v>South Kalimantan (Tanah Bumbu &amp; Kotabaru)</v>
      </c>
      <c r="E42" s="20">
        <f t="array" ref="E42">IFERROR(_xlfn.XLOOKUP($A42&amp;"|"&amp;$C42,Asset_Operations!$A$2:$A$201&amp;"|"&amp;Asset_Operations!$BG$2:$BG$201,Asset_Operations!$B$2:$B$201,""),"")</f>
        <v>17964.7</v>
      </c>
      <c r="F42" s="20">
        <f t="array" ref="F42">IFERROR(_xlfn.XLOOKUP($A42&amp;"|"&amp;$C42,Asset_Operations!$A$2:$A$201&amp;"|"&amp;Asset_Operations!$BG$2:$BG$201,Asset_Operations!$E$2:$E$201,""),"")</f>
        <v>14961.46</v>
      </c>
      <c r="G42" s="20">
        <f t="array" ref="G42">IFERROR(_xlfn.XLOOKUP($A42&amp;"|"&amp;$C42,Asset_Operations!$A$2:$A$201&amp;"|"&amp;Asset_Operations!$BG$2:$BG$201,Asset_Operations!$I$2:$I$201,""),"")</f>
        <v>0</v>
      </c>
      <c r="H42" s="20">
        <f t="array" ref="H42">IFERROR(_xlfn.XLOOKUP($A42&amp;"|"&amp;$C42,Asset_Operations!$A$2:$A$201&amp;"|"&amp;Asset_Operations!$BG$2:$BG$201,Asset_Operations!$J$2:$J$201,""),"")</f>
        <v>0</v>
      </c>
      <c r="I42" s="20">
        <f t="array" ref="I42">IFERROR(_xlfn.XLOOKUP($A42&amp;"|"&amp;$C42,Asset_Operations!$A$2:$A$201&amp;"|"&amp;Asset_Operations!$BG$2:$BG$201,Asset_Operations!$O$2:$O$201,""),"")</f>
        <v>1</v>
      </c>
      <c r="J42" s="20">
        <f t="array" ref="J42">IFERROR(_xlfn.XLOOKUP($A42&amp;"|"&amp;$C42,Asset_Operations!$A$2:$A$201&amp;"|"&amp;Asset_Operations!$BG$2:$BG$201,Asset_Operations!$S$2:$S$201,""),"")</f>
        <v>1</v>
      </c>
      <c r="K42" s="20">
        <f t="array" ref="K42">IFERROR(_xlfn.XLOOKUP($A42&amp;"|"&amp;$C42,Asset_Operations!$A$2:$A$201&amp;"|"&amp;Asset_Operations!$BG$2:$BG$201,Asset_Operations!$AC$2:$AC$201,""),"")</f>
        <v>208107</v>
      </c>
      <c r="L42" s="20">
        <f t="array" ref="L42">IFERROR(_xlfn.XLOOKUP($A42&amp;"|"&amp;$C42,Asset_Operations!$A$2:$A$201&amp;"|"&amp;Asset_Operations!$BG$2:$BG$201,Asset_Operations!$AG$2:$AG$201,""),"")</f>
        <v>0</v>
      </c>
      <c r="M42" s="20">
        <f t="array" ref="M42">IFERROR(_xlfn.XLOOKUP($A42&amp;"|"&amp;$C42,Asset_Operations!$A$2:$A$201&amp;"|"&amp;Asset_Operations!$BG$2:$BG$201,Asset_Operations!$AO$2:$AO$201,""),"")</f>
        <v>13.909538240251955</v>
      </c>
      <c r="N42" s="21" t="str">
        <f t="array" ref="N42">IFERROR(_xlfn.XLOOKUP($A42&amp;"|"&amp;$C42,Asset_Operations!$A$2:$A$201&amp;"|"&amp;Asset_Operations!$BG$2:$BG$201,Asset_Operations!$AR$2:$AR$201,""),"")</f>
        <v/>
      </c>
      <c r="O42" s="22">
        <f t="array" ref="O42">IFERROR(_xlfn.XLOOKUP($A42&amp;"|"&amp;$C42,Financials!$A$2:$A$201&amp;"|"&amp;Financials!$B$2:$B$201,Financials!$C$2:$C$201,""),"")</f>
        <v>4442</v>
      </c>
      <c r="P42" s="22">
        <f t="array" ref="P42">IFERROR(_xlfn.XLOOKUP($A42&amp;"|"&amp;$C42,Financials!$A$2:$A$201&amp;"|"&amp;Financials!$B$2:$B$201,Financials!$E$2:$E$201,""),"")</f>
        <v>0</v>
      </c>
      <c r="Q42" s="22">
        <f t="array" ref="Q42">IFERROR(_xlfn.XLOOKUP($A42&amp;"|"&amp;$C42,Financials!$A$2:$A$201&amp;"|"&amp;Financials!$B$2:$B$201,Financials!$G$2:$G$201,""),"")</f>
        <v>77</v>
      </c>
      <c r="R42" s="22">
        <f t="array" ref="R42">IFERROR(_xlfn.XLOOKUP($A42&amp;"|"&amp;$C42,Financials!$A$2:$A$201&amp;"|"&amp;Financials!$B$2:$B$201,Financials!$S$2:$S$201,""),"")</f>
        <v>1764</v>
      </c>
      <c r="S42" s="22">
        <f t="array" ref="S42">IFERROR(_xlfn.XLOOKUP($A42&amp;"|"&amp;$C42,Financials!$A$2:$A$201&amp;"|"&amp;Financials!$B$2:$B$201,Financials!$AC$2:$AC$201,""),"")</f>
        <v>2289.288</v>
      </c>
      <c r="T42" s="23">
        <f t="shared" si="5"/>
        <v>0</v>
      </c>
      <c r="U42" s="24" t="str">
        <f t="shared" si="6"/>
        <v/>
      </c>
      <c r="V42" s="25">
        <f t="shared" si="7"/>
        <v>0.24726268738136456</v>
      </c>
      <c r="W42" s="24">
        <f t="shared" si="8"/>
        <v>0</v>
      </c>
      <c r="X42" s="26">
        <f>IFERROR(IF(NOT(ISNUMBER($E42)),"",IF($E42&gt;=Scoring_Criteria!$D$4,5,IF($E42&gt;=Scoring_Criteria!$E$4,4,IF($E42&gt;=Scoring_Criteria!$F$4,3,IF($E42&gt;=Scoring_Criteria!$G$4,2,1))))),"")</f>
        <v>2</v>
      </c>
      <c r="Y42" s="26">
        <f>IFERROR(IF(OR(NOT(ISNUMBER($F42)),NOT(ISNUMBER($E42)),$E42=0),"",IF(($F42/$E42)&gt;=Scoring_Criteria!$D$5,5,IF(($F42/$E42)&gt;=Scoring_Criteria!$E$5,4,IF(($F42/$E42)&gt;=Scoring_Criteria!$F$5,3,IF(($F42/$E42)&gt;=Scoring_Criteria!$G$5,2,1))))),"")</f>
        <v>5</v>
      </c>
      <c r="Z42" s="26">
        <f>IFERROR(IF(AND(NOT(ISNUMBER($I42)),NOT(ISNUMBER($J42))),"",IF((IFERROR($I42,0)+IFERROR($J42,0))&gt;=Scoring_Criteria!$D$6,5,IF((IFERROR($I42,0)+IFERROR($J42,0))&gt;=Scoring_Criteria!$E$6,4,IF((IFERROR($I42,0)+IFERROR($J42,0))&gt;=Scoring_Criteria!$F$6,3,IF((IFERROR($I42,0)+IFERROR($J42,0))&gt;=Scoring_Criteria!$G$6,2,1))))),"")</f>
        <v>2</v>
      </c>
      <c r="AA42" s="26">
        <f>IFERROR(IF(NOT(ISNUMBER($M42)),"",IF($M42&gt;=Scoring_Criteria!$D$7,5,IF($M42&gt;=Scoring_Criteria!$E$7,4,IF($M42&gt;=Scoring_Criteria!$F$7,3,IF($M42&gt;=Scoring_Criteria!$G$7,2,1))))),"")</f>
        <v>2</v>
      </c>
      <c r="AB42" s="26">
        <f>IFERROR(IF(NOT(ISNUMBER($T42)),"",IF($T42&gt;=Scoring_Criteria!$D$8,5,IF($T42&gt;=Scoring_Criteria!$E$8,4,IF($T42&gt;=Scoring_Criteria!$F$8,3,IF($T42&gt;=Scoring_Criteria!$G$8,2,1))))),"")</f>
        <v>1</v>
      </c>
      <c r="AC42" s="26" t="str">
        <f>IFERROR(IF(NOT(ISNUMBER($U42)),"",IF($U42&lt;=Scoring_Criteria!$D$9,5,IF($U42&lt;=Scoring_Criteria!$E$9,4,IF($U42&lt;=Scoring_Criteria!$F$9,3,IF($U42&lt;=Scoring_Criteria!$G$9,2,1))))),"")</f>
        <v/>
      </c>
      <c r="AD42" s="26">
        <f t="array" ref="AD42">IFERROR(IF(NOT(ISNUMBER(_xlfn.XLOOKUP($A42&amp;"|"&amp;$C42,Financials!$A$2:$A$201&amp;"|"&amp;Financials!$B$2:$B$201,Financials!$AD$2:$AD$201,""))),"",IF(_xlfn.XLOOKUP($A42&amp;"|"&amp;$C42,Financials!$A$2:$A$201&amp;"|"&amp;Financials!$B$2:$B$201,Financials!$AD$2:$AD$201,"")&gt;=Scoring_Criteria!$D$10,5,IF(_xlfn.XLOOKUP($A42&amp;"|"&amp;$C42,Financials!$A$2:$A$201&amp;"|"&amp;Financials!$B$2:$B$201,Financials!$AD$2:$AD$201,"")&gt;=Scoring_Criteria!$E$10,4,IF(_xlfn.XLOOKUP($A42&amp;"|"&amp;$C42,Financials!$A$2:$A$201&amp;"|"&amp;Financials!$B$2:$B$201,Financials!$AD$2:$AD$201,"")&gt;=Scoring_Criteria!$F$10,3,IF(_xlfn.XLOOKUP($A42&amp;"|"&amp;$C42,Financials!$A$2:$A$201&amp;"|"&amp;Financials!$B$2:$B$201,Financials!$AD$2:$AD$201,"")&gt;=Scoring_Criteria!$G$10,2,1))))),"")</f>
        <v>5</v>
      </c>
      <c r="AE42" s="27"/>
      <c r="AF42" s="27"/>
      <c r="AG42" s="28">
        <f t="shared" si="9"/>
        <v>2.8333333333333335</v>
      </c>
      <c r="AH42" s="29"/>
      <c r="AI42" s="29"/>
      <c r="AJ42" s="29"/>
      <c r="AK42" s="29"/>
      <c r="AL42" s="29"/>
      <c r="AM42" s="29"/>
      <c r="AN42" s="29"/>
      <c r="AO42" s="29"/>
      <c r="AP42" s="29"/>
      <c r="AQ42" s="29"/>
      <c r="AR42" s="29"/>
      <c r="AS42" s="29"/>
      <c r="AT42" s="29"/>
      <c r="AU42" t="str">
        <f>IFERROR(Validation_Summary!Q5,"")</f>
        <v>✓ All 8 checks passed</v>
      </c>
    </row>
    <row r="43" spans="1:47" ht="15" customHeight="1" x14ac:dyDescent="0.3">
      <c r="A43" s="6" t="s">
        <v>3615</v>
      </c>
      <c r="B43" s="19" t="str">
        <f t="array" ref="B43">IFERROR(_xlfn.XLOOKUP($A43&amp;"|"&amp;$C43,'Company_Master'!$A$2:$A$94&amp;"|"&amp;'Company_Master'!$D$2:$D$94,'Company_Master'!$B$2:$B$94,""),"")</f>
        <v>JARR</v>
      </c>
      <c r="C43" s="20">
        <v>2024</v>
      </c>
      <c r="D43" s="19" t="str">
        <f t="array" ref="D43">IFERROR(_xlfn.XLOOKUP($A43&amp;"|"&amp;$C43,'Company_Master'!$A$2:$A$94&amp;"|"&amp;'Company_Master'!$D$2:$D$94,'Company_Master'!$H$2:$H$94,""),"")</f>
        <v>South Kalimantan (Tanah Bumbu &amp; Kotabaru)</v>
      </c>
      <c r="E43" s="20">
        <f t="array" ref="E43">IFERROR(_xlfn.XLOOKUP($A43&amp;"|"&amp;$C43,Asset_Operations!$A$2:$A$201&amp;"|"&amp;Asset_Operations!$BG$2:$BG$201,Asset_Operations!$B$2:$B$201,""),"")</f>
        <v>18226.09</v>
      </c>
      <c r="F43" s="20">
        <f t="array" ref="F43">IFERROR(_xlfn.XLOOKUP($A43&amp;"|"&amp;$C43,Asset_Operations!$A$2:$A$201&amp;"|"&amp;Asset_Operations!$BG$2:$BG$201,Asset_Operations!$E$2:$E$201,""),"")</f>
        <v>10667.64</v>
      </c>
      <c r="G43" s="20">
        <f t="array" ref="G43">IFERROR(_xlfn.XLOOKUP($A43&amp;"|"&amp;$C43,Asset_Operations!$A$2:$A$201&amp;"|"&amp;Asset_Operations!$BG$2:$BG$201,Asset_Operations!$I$2:$I$201,""),"")</f>
        <v>0</v>
      </c>
      <c r="H43" s="20">
        <f t="array" ref="H43">IFERROR(_xlfn.XLOOKUP($A43&amp;"|"&amp;$C43,Asset_Operations!$A$2:$A$201&amp;"|"&amp;Asset_Operations!$BG$2:$BG$201,Asset_Operations!$J$2:$J$201,""),"")</f>
        <v>0</v>
      </c>
      <c r="I43" s="20">
        <f t="array" ref="I43">IFERROR(_xlfn.XLOOKUP($A43&amp;"|"&amp;$C43,Asset_Operations!$A$2:$A$201&amp;"|"&amp;Asset_Operations!$BG$2:$BG$201,Asset_Operations!$O$2:$O$201,""),"")</f>
        <v>1</v>
      </c>
      <c r="J43" s="20">
        <f t="array" ref="J43">IFERROR(_xlfn.XLOOKUP($A43&amp;"|"&amp;$C43,Asset_Operations!$A$2:$A$201&amp;"|"&amp;Asset_Operations!$BG$2:$BG$201,Asset_Operations!$S$2:$S$201,""),"")</f>
        <v>1</v>
      </c>
      <c r="K43" s="20">
        <f t="array" ref="K43">IFERROR(_xlfn.XLOOKUP($A43&amp;"|"&amp;$C43,Asset_Operations!$A$2:$A$201&amp;"|"&amp;Asset_Operations!$BG$2:$BG$201,Asset_Operations!$AC$2:$AC$201,""),"")</f>
        <v>159688</v>
      </c>
      <c r="L43" s="20">
        <f t="array" ref="L43">IFERROR(_xlfn.XLOOKUP($A43&amp;"|"&amp;$C43,Asset_Operations!$A$2:$A$201&amp;"|"&amp;Asset_Operations!$BG$2:$BG$201,Asset_Operations!$AG$2:$AG$201,""),"")</f>
        <v>40318</v>
      </c>
      <c r="M43" s="20">
        <f t="array" ref="M43">IFERROR(_xlfn.XLOOKUP($A43&amp;"|"&amp;$C43,Asset_Operations!$A$2:$A$201&amp;"|"&amp;Asset_Operations!$BG$2:$BG$201,Asset_Operations!$AO$2:$AO$201,""),"")</f>
        <v>14.969384043706013</v>
      </c>
      <c r="N43" s="21" t="str">
        <f t="array" ref="N43">IFERROR(_xlfn.XLOOKUP($A43&amp;"|"&amp;$C43,Asset_Operations!$A$2:$A$201&amp;"|"&amp;Asset_Operations!$BG$2:$BG$201,Asset_Operations!$AR$2:$AR$201,""),"")</f>
        <v/>
      </c>
      <c r="O43" s="22">
        <f t="array" ref="O43">IFERROR(_xlfn.XLOOKUP($A43&amp;"|"&amp;$C43,Financials!$A$2:$A$201&amp;"|"&amp;Financials!$B$2:$B$201,Financials!$C$2:$C$201,""),"")</f>
        <v>3865</v>
      </c>
      <c r="P43" s="22">
        <f t="array" ref="P43">IFERROR(_xlfn.XLOOKUP($A43&amp;"|"&amp;$C43,Financials!$A$2:$A$201&amp;"|"&amp;Financials!$B$2:$B$201,Financials!$E$2:$E$201,""),"")</f>
        <v>0</v>
      </c>
      <c r="Q43" s="22">
        <f t="array" ref="Q43">IFERROR(_xlfn.XLOOKUP($A43&amp;"|"&amp;$C43,Financials!$A$2:$A$201&amp;"|"&amp;Financials!$B$2:$B$201,Financials!$G$2:$G$201,""),"")</f>
        <v>261</v>
      </c>
      <c r="R43" s="22">
        <f t="array" ref="R43">IFERROR(_xlfn.XLOOKUP($A43&amp;"|"&amp;$C43,Financials!$A$2:$A$201&amp;"|"&amp;Financials!$B$2:$B$201,Financials!$S$2:$S$201,""),"")</f>
        <v>1603</v>
      </c>
      <c r="S43" s="22">
        <f t="array" ref="S43">IFERROR(_xlfn.XLOOKUP($A43&amp;"|"&amp;$C43,Financials!$A$2:$A$201&amp;"|"&amp;Financials!$B$2:$B$201,Financials!$AC$2:$AC$201,""),"")</f>
        <v>2861.61</v>
      </c>
      <c r="T43" s="23">
        <f t="shared" si="5"/>
        <v>0</v>
      </c>
      <c r="U43" s="24" t="str">
        <f t="shared" si="6"/>
        <v/>
      </c>
      <c r="V43" s="25">
        <f t="shared" si="7"/>
        <v>0.21205864779555023</v>
      </c>
      <c r="W43" s="24">
        <f t="shared" si="8"/>
        <v>3.7794676235793485</v>
      </c>
      <c r="X43" s="26">
        <f>IFERROR(IF(NOT(ISNUMBER($E43)),"",IF($E43&gt;=Scoring_Criteria!$D$4,5,IF($E43&gt;=Scoring_Criteria!$E$4,4,IF($E43&gt;=Scoring_Criteria!$F$4,3,IF($E43&gt;=Scoring_Criteria!$G$4,2,1))))),"")</f>
        <v>2</v>
      </c>
      <c r="Y43" s="26">
        <f>IFERROR(IF(OR(NOT(ISNUMBER($F43)),NOT(ISNUMBER($E43)),$E43=0),"",IF(($F43/$E43)&gt;=Scoring_Criteria!$D$5,5,IF(($F43/$E43)&gt;=Scoring_Criteria!$E$5,4,IF(($F43/$E43)&gt;=Scoring_Criteria!$F$5,3,IF(($F43/$E43)&gt;=Scoring_Criteria!$G$5,2,1))))),"")</f>
        <v>3</v>
      </c>
      <c r="Z43" s="26">
        <f>IFERROR(IF(AND(NOT(ISNUMBER($I43)),NOT(ISNUMBER($J43))),"",IF((IFERROR($I43,0)+IFERROR($J43,0))&gt;=Scoring_Criteria!$D$6,5,IF((IFERROR($I43,0)+IFERROR($J43,0))&gt;=Scoring_Criteria!$E$6,4,IF((IFERROR($I43,0)+IFERROR($J43,0))&gt;=Scoring_Criteria!$F$6,3,IF((IFERROR($I43,0)+IFERROR($J43,0))&gt;=Scoring_Criteria!$G$6,2,1))))),"")</f>
        <v>2</v>
      </c>
      <c r="AA43" s="26">
        <f>IFERROR(IF(NOT(ISNUMBER($M43)),"",IF($M43&gt;=Scoring_Criteria!$D$7,5,IF($M43&gt;=Scoring_Criteria!$E$7,4,IF($M43&gt;=Scoring_Criteria!$F$7,3,IF($M43&gt;=Scoring_Criteria!$G$7,2,1))))),"")</f>
        <v>3</v>
      </c>
      <c r="AB43" s="26">
        <f>IFERROR(IF(NOT(ISNUMBER($T43)),"",IF($T43&gt;=Scoring_Criteria!$D$8,5,IF($T43&gt;=Scoring_Criteria!$E$8,4,IF($T43&gt;=Scoring_Criteria!$F$8,3,IF($T43&gt;=Scoring_Criteria!$G$8,2,1))))),"")</f>
        <v>1</v>
      </c>
      <c r="AC43" s="26" t="str">
        <f>IFERROR(IF(NOT(ISNUMBER($U43)),"",IF($U43&lt;=Scoring_Criteria!$D$9,5,IF($U43&lt;=Scoring_Criteria!$E$9,4,IF($U43&lt;=Scoring_Criteria!$F$9,3,IF($U43&lt;=Scoring_Criteria!$G$9,2,1))))),"")</f>
        <v/>
      </c>
      <c r="AD43" s="26">
        <f t="array" ref="AD43">IFERROR(IF(NOT(ISNUMBER(_xlfn.XLOOKUP($A43&amp;"|"&amp;$C43,Financials!$A$2:$A$201&amp;"|"&amp;Financials!$B$2:$B$201,Financials!$AD$2:$AD$201,""))),"",IF(_xlfn.XLOOKUP($A43&amp;"|"&amp;$C43,Financials!$A$2:$A$201&amp;"|"&amp;Financials!$B$2:$B$201,Financials!$AD$2:$AD$201,"")&gt;=Scoring_Criteria!$D$10,5,IF(_xlfn.XLOOKUP($A43&amp;"|"&amp;$C43,Financials!$A$2:$A$201&amp;"|"&amp;Financials!$B$2:$B$201,Financials!$AD$2:$AD$201,"")&gt;=Scoring_Criteria!$E$10,4,IF(_xlfn.XLOOKUP($A43&amp;"|"&amp;$C43,Financials!$A$2:$A$201&amp;"|"&amp;Financials!$B$2:$B$201,Financials!$AD$2:$AD$201,"")&gt;=Scoring_Criteria!$F$10,3,IF(_xlfn.XLOOKUP($A43&amp;"|"&amp;$C43,Financials!$A$2:$A$201&amp;"|"&amp;Financials!$B$2:$B$201,Financials!$AD$2:$AD$201,"")&gt;=Scoring_Criteria!$G$10,2,1))))),"")</f>
        <v>5</v>
      </c>
      <c r="AE43" s="27"/>
      <c r="AF43" s="27"/>
      <c r="AG43" s="28">
        <f t="shared" si="9"/>
        <v>2.6666666666666665</v>
      </c>
      <c r="AH43" s="29"/>
      <c r="AI43" s="29"/>
      <c r="AJ43" s="29"/>
      <c r="AK43" s="29"/>
      <c r="AL43" s="29"/>
      <c r="AM43" s="29"/>
      <c r="AN43" s="29"/>
      <c r="AO43" s="29"/>
      <c r="AP43" s="29"/>
      <c r="AQ43" s="29"/>
      <c r="AR43" s="29"/>
      <c r="AS43" s="29"/>
      <c r="AT43" s="29"/>
      <c r="AU43" t="str">
        <f>IFERROR(Validation_Summary!Q5,"")</f>
        <v>✓ All 8 checks passed</v>
      </c>
    </row>
    <row r="44" spans="1:47" ht="15" customHeight="1" x14ac:dyDescent="0.3">
      <c r="A44" s="6" t="s">
        <v>3937</v>
      </c>
      <c r="B44" s="19" t="str">
        <f t="array" ref="B44">IFERROR(_xlfn.XLOOKUP($A44&amp;"|"&amp;$C44,'Company_Master'!$A$2:$A$94&amp;"|"&amp;'Company_Master'!$D$2:$D$94,'Company_Master'!$B$2:$B$94,""),"")</f>
        <v>JAWA</v>
      </c>
      <c r="C44" s="20">
        <v>2022</v>
      </c>
      <c r="D44" s="19" t="str">
        <f t="array" ref="D44">IFERROR(_xlfn.XLOOKUP($A44&amp;"|"&amp;$C44,'Company_Master'!$A$2:$A$94&amp;"|"&amp;'Company_Master'!$D$2:$D$94,'Company_Master'!$H$2:$H$94,""),"")</f>
        <v>Java (rubber, tea, coffee) + Kalimantan Selatan (oil palm + rubber)</v>
      </c>
      <c r="E44" s="20">
        <f t="array" ref="E44">IFERROR(_xlfn.XLOOKUP($A44&amp;"|"&amp;$C44,Asset_Operations!$A$2:$A$201&amp;"|"&amp;Asset_Operations!$BG$2:$BG$201,Asset_Operations!$B$2:$B$201,""),"")</f>
        <v>27919</v>
      </c>
      <c r="F44" s="20">
        <f t="array" ref="F44">IFERROR(_xlfn.XLOOKUP($A44&amp;"|"&amp;$C44,Asset_Operations!$A$2:$A$201&amp;"|"&amp;Asset_Operations!$BG$2:$BG$201,Asset_Operations!$E$2:$E$201,""),"")</f>
        <v>31524</v>
      </c>
      <c r="G44" s="20">
        <f t="array" ref="G44">IFERROR(_xlfn.XLOOKUP($A44&amp;"|"&amp;$C44,Asset_Operations!$A$2:$A$201&amp;"|"&amp;Asset_Operations!$BG$2:$BG$201,Asset_Operations!$I$2:$I$201,""),"")</f>
        <v>0</v>
      </c>
      <c r="H44" s="20">
        <f t="array" ref="H44">IFERROR(_xlfn.XLOOKUP($A44&amp;"|"&amp;$C44,Asset_Operations!$A$2:$A$201&amp;"|"&amp;Asset_Operations!$BG$2:$BG$201,Asset_Operations!$J$2:$J$201,""),"")</f>
        <v>0</v>
      </c>
      <c r="I44" s="20">
        <f t="array" ref="I44">IFERROR(_xlfn.XLOOKUP($A44&amp;"|"&amp;$C44,Asset_Operations!$A$2:$A$201&amp;"|"&amp;Asset_Operations!$BG$2:$BG$201,Asset_Operations!$O$2:$O$201,""),"")</f>
        <v>2</v>
      </c>
      <c r="J44" s="20">
        <f t="array" ref="J44">IFERROR(_xlfn.XLOOKUP($A44&amp;"|"&amp;$C44,Asset_Operations!$A$2:$A$201&amp;"|"&amp;Asset_Operations!$BG$2:$BG$201,Asset_Operations!$S$2:$S$201,""),"")</f>
        <v>0</v>
      </c>
      <c r="K44" s="20">
        <f t="array" ref="K44">IFERROR(_xlfn.XLOOKUP($A44&amp;"|"&amp;$C44,Asset_Operations!$A$2:$A$201&amp;"|"&amp;Asset_Operations!$BG$2:$BG$201,Asset_Operations!$AC$2:$AC$201,""),"")</f>
        <v>81206</v>
      </c>
      <c r="L44" s="20">
        <f t="array" ref="L44">IFERROR(_xlfn.XLOOKUP($A44&amp;"|"&amp;$C44,Asset_Operations!$A$2:$A$201&amp;"|"&amp;Asset_Operations!$BG$2:$BG$201,Asset_Operations!$AG$2:$AG$201,""),"")</f>
        <v>47983</v>
      </c>
      <c r="M44" s="20">
        <f t="array" ref="M44">IFERROR(_xlfn.XLOOKUP($A44&amp;"|"&amp;$C44,Asset_Operations!$A$2:$A$201&amp;"|"&amp;Asset_Operations!$BG$2:$BG$201,Asset_Operations!$AO$2:$AO$201,""),"")</f>
        <v>2.5760055830478366</v>
      </c>
      <c r="N44" s="21">
        <f t="array" ref="N44">IFERROR(_xlfn.XLOOKUP($A44&amp;"|"&amp;$C44,Asset_Operations!$A$2:$A$201&amp;"|"&amp;Asset_Operations!$BG$2:$BG$201,Asset_Operations!$AR$2:$AR$201,""),"")</f>
        <v>0.20424903373005737</v>
      </c>
      <c r="O44" s="22">
        <f t="array" ref="O44">IFERROR(_xlfn.XLOOKUP($A44&amp;"|"&amp;$C44,Financials!$A$2:$A$201&amp;"|"&amp;Financials!$B$2:$B$201,Financials!$C$2:$C$201,""),"")</f>
        <v>972</v>
      </c>
      <c r="P44" s="22">
        <f t="array" ref="P44">IFERROR(_xlfn.XLOOKUP($A44&amp;"|"&amp;$C44,Financials!$A$2:$A$201&amp;"|"&amp;Financials!$B$2:$B$201,Financials!$E$2:$E$201,""),"")</f>
        <v>0</v>
      </c>
      <c r="Q44" s="22">
        <f t="array" ref="Q44">IFERROR(_xlfn.XLOOKUP($A44&amp;"|"&amp;$C44,Financials!$A$2:$A$201&amp;"|"&amp;Financials!$B$2:$B$201,Financials!$G$2:$G$201,""),"")</f>
        <v>-302</v>
      </c>
      <c r="R44" s="22">
        <f t="array" ref="R44">IFERROR(_xlfn.XLOOKUP($A44&amp;"|"&amp;$C44,Financials!$A$2:$A$201&amp;"|"&amp;Financials!$B$2:$B$201,Financials!$S$2:$S$201,""),"")</f>
        <v>2233.02</v>
      </c>
      <c r="S44" s="22">
        <f t="array" ref="S44">IFERROR(_xlfn.XLOOKUP($A44&amp;"|"&amp;$C44,Financials!$A$2:$A$201&amp;"|"&amp;Financials!$B$2:$B$201,Financials!$AC$2:$AC$201,""),"")</f>
        <v>396.375</v>
      </c>
      <c r="T44" s="23">
        <f t="shared" si="5"/>
        <v>0</v>
      </c>
      <c r="U44" s="24" t="str">
        <f t="shared" si="6"/>
        <v/>
      </c>
      <c r="V44" s="25">
        <f t="shared" si="7"/>
        <v>3.4815000537268527E-2</v>
      </c>
      <c r="W44" s="24">
        <f t="shared" si="8"/>
        <v>1.5221101383073214</v>
      </c>
      <c r="X44" s="26">
        <f>IFERROR(IF(NOT(ISNUMBER($E44)),"",IF($E44&gt;=Scoring_Criteria!$D$4,5,IF($E44&gt;=Scoring_Criteria!$E$4,4,IF($E44&gt;=Scoring_Criteria!$F$4,3,IF($E44&gt;=Scoring_Criteria!$G$4,2,1))))),"")</f>
        <v>2</v>
      </c>
      <c r="Y44" s="26">
        <f>IFERROR(IF(OR(NOT(ISNUMBER($F44)),NOT(ISNUMBER($E44)),$E44=0),"",IF(($F44/$E44)&gt;=Scoring_Criteria!$D$5,5,IF(($F44/$E44)&gt;=Scoring_Criteria!$E$5,4,IF(($F44/$E44)&gt;=Scoring_Criteria!$F$5,3,IF(($F44/$E44)&gt;=Scoring_Criteria!$G$5,2,1))))),"")</f>
        <v>5</v>
      </c>
      <c r="Z44" s="26">
        <f>IFERROR(IF(AND(NOT(ISNUMBER($I44)),NOT(ISNUMBER($J44))),"",IF((IFERROR($I44,0)+IFERROR($J44,0))&gt;=Scoring_Criteria!$D$6,5,IF((IFERROR($I44,0)+IFERROR($J44,0))&gt;=Scoring_Criteria!$E$6,4,IF((IFERROR($I44,0)+IFERROR($J44,0))&gt;=Scoring_Criteria!$F$6,3,IF((IFERROR($I44,0)+IFERROR($J44,0))&gt;=Scoring_Criteria!$G$6,2,1))))),"")</f>
        <v>2</v>
      </c>
      <c r="AA44" s="26">
        <f>IFERROR(IF(NOT(ISNUMBER($M44)),"",IF($M44&gt;=Scoring_Criteria!$D$7,5,IF($M44&gt;=Scoring_Criteria!$E$7,4,IF($M44&gt;=Scoring_Criteria!$F$7,3,IF($M44&gt;=Scoring_Criteria!$G$7,2,1))))),"")</f>
        <v>1</v>
      </c>
      <c r="AB44" s="26">
        <f>IFERROR(IF(NOT(ISNUMBER($T44)),"",IF($T44&gt;=Scoring_Criteria!$D$8,5,IF($T44&gt;=Scoring_Criteria!$E$8,4,IF($T44&gt;=Scoring_Criteria!$F$8,3,IF($T44&gt;=Scoring_Criteria!$G$8,2,1))))),"")</f>
        <v>1</v>
      </c>
      <c r="AC44" s="26" t="str">
        <f>IFERROR(IF(NOT(ISNUMBER($U44)),"",IF($U44&lt;=Scoring_Criteria!$D$9,5,IF($U44&lt;=Scoring_Criteria!$E$9,4,IF($U44&lt;=Scoring_Criteria!$F$9,3,IF($U44&lt;=Scoring_Criteria!$G$9,2,1))))),"")</f>
        <v/>
      </c>
      <c r="AD44" s="26">
        <f t="array" ref="AD44">IFERROR(IF(NOT(ISNUMBER(_xlfn.XLOOKUP($A44&amp;"|"&amp;$C44,Financials!$A$2:$A$201&amp;"|"&amp;Financials!$B$2:$B$201,Financials!$AD$2:$AD$201,""))),"",IF(_xlfn.XLOOKUP($A44&amp;"|"&amp;$C44,Financials!$A$2:$A$201&amp;"|"&amp;Financials!$B$2:$B$201,Financials!$AD$2:$AD$201,"")&gt;=Scoring_Criteria!$D$10,5,IF(_xlfn.XLOOKUP($A44&amp;"|"&amp;$C44,Financials!$A$2:$A$201&amp;"|"&amp;Financials!$B$2:$B$201,Financials!$AD$2:$AD$201,"")&gt;=Scoring_Criteria!$E$10,4,IF(_xlfn.XLOOKUP($A44&amp;"|"&amp;$C44,Financials!$A$2:$A$201&amp;"|"&amp;Financials!$B$2:$B$201,Financials!$AD$2:$AD$201,"")&gt;=Scoring_Criteria!$F$10,3,IF(_xlfn.XLOOKUP($A44&amp;"|"&amp;$C44,Financials!$A$2:$A$201&amp;"|"&amp;Financials!$B$2:$B$201,Financials!$AD$2:$AD$201,"")&gt;=Scoring_Criteria!$G$10,2,1))))),"")</f>
        <v>1</v>
      </c>
      <c r="AE44" s="27"/>
      <c r="AF44" s="27"/>
      <c r="AG44" s="28">
        <f t="shared" si="9"/>
        <v>2</v>
      </c>
      <c r="AH44" s="29"/>
      <c r="AI44" s="29"/>
      <c r="AJ44" s="29"/>
      <c r="AK44" s="29"/>
      <c r="AL44" s="29"/>
      <c r="AM44" s="29"/>
      <c r="AN44" s="29"/>
      <c r="AO44" s="29"/>
      <c r="AP44" s="29"/>
      <c r="AQ44" s="29"/>
      <c r="AR44" s="29"/>
      <c r="AS44" s="29"/>
      <c r="AT44" s="29"/>
      <c r="AU44" t="str">
        <f>IFERROR(Validation_Summary!Q5,"")</f>
        <v>✓ All 8 checks passed</v>
      </c>
    </row>
    <row r="45" spans="1:47" ht="15" customHeight="1" x14ac:dyDescent="0.3">
      <c r="A45" s="6" t="s">
        <v>3937</v>
      </c>
      <c r="B45" s="19" t="str">
        <f t="array" ref="B45">IFERROR(_xlfn.XLOOKUP($A45&amp;"|"&amp;$C45,'Company_Master'!$A$2:$A$94&amp;"|"&amp;'Company_Master'!$D$2:$D$94,'Company_Master'!$B$2:$B$94,""),"")</f>
        <v>JAWA</v>
      </c>
      <c r="C45" s="20">
        <v>2023</v>
      </c>
      <c r="D45" s="19" t="str">
        <f t="array" ref="D45">IFERROR(_xlfn.XLOOKUP($A45&amp;"|"&amp;$C45,'Company_Master'!$A$2:$A$94&amp;"|"&amp;'Company_Master'!$D$2:$D$94,'Company_Master'!$H$2:$H$94,""),"")</f>
        <v>Java (rubber, tea, coffee) + Kalimantan Selatan (oil palm + rubber)</v>
      </c>
      <c r="E45" s="20">
        <f t="array" ref="E45">IFERROR(_xlfn.XLOOKUP($A45&amp;"|"&amp;$C45,Asset_Operations!$A$2:$A$201&amp;"|"&amp;Asset_Operations!$BG$2:$BG$201,Asset_Operations!$B$2:$B$201,""),"")</f>
        <v>27919</v>
      </c>
      <c r="F45" s="20">
        <f t="array" ref="F45">IFERROR(_xlfn.XLOOKUP($A45&amp;"|"&amp;$C45,Asset_Operations!$A$2:$A$201&amp;"|"&amp;Asset_Operations!$BG$2:$BG$201,Asset_Operations!$E$2:$E$201,""),"")</f>
        <v>31673</v>
      </c>
      <c r="G45" s="20">
        <f t="array" ref="G45">IFERROR(_xlfn.XLOOKUP($A45&amp;"|"&amp;$C45,Asset_Operations!$A$2:$A$201&amp;"|"&amp;Asset_Operations!$BG$2:$BG$201,Asset_Operations!$I$2:$I$201,""),"")</f>
        <v>0</v>
      </c>
      <c r="H45" s="20">
        <f t="array" ref="H45">IFERROR(_xlfn.XLOOKUP($A45&amp;"|"&amp;$C45,Asset_Operations!$A$2:$A$201&amp;"|"&amp;Asset_Operations!$BG$2:$BG$201,Asset_Operations!$J$2:$J$201,""),"")</f>
        <v>0</v>
      </c>
      <c r="I45" s="20">
        <f t="array" ref="I45">IFERROR(_xlfn.XLOOKUP($A45&amp;"|"&amp;$C45,Asset_Operations!$A$2:$A$201&amp;"|"&amp;Asset_Operations!$BG$2:$BG$201,Asset_Operations!$O$2:$O$201,""),"")</f>
        <v>2</v>
      </c>
      <c r="J45" s="20">
        <f t="array" ref="J45">IFERROR(_xlfn.XLOOKUP($A45&amp;"|"&amp;$C45,Asset_Operations!$A$2:$A$201&amp;"|"&amp;Asset_Operations!$BG$2:$BG$201,Asset_Operations!$S$2:$S$201,""),"")</f>
        <v>0</v>
      </c>
      <c r="K45" s="20">
        <f t="array" ref="K45">IFERROR(_xlfn.XLOOKUP($A45&amp;"|"&amp;$C45,Asset_Operations!$A$2:$A$201&amp;"|"&amp;Asset_Operations!$BG$2:$BG$201,Asset_Operations!$AC$2:$AC$201,""),"")</f>
        <v>98357</v>
      </c>
      <c r="L45" s="20">
        <f t="array" ref="L45">IFERROR(_xlfn.XLOOKUP($A45&amp;"|"&amp;$C45,Asset_Operations!$A$2:$A$201&amp;"|"&amp;Asset_Operations!$BG$2:$BG$201,Asset_Operations!$AG$2:$AG$201,""),"")</f>
        <v>53447</v>
      </c>
      <c r="M45" s="20">
        <f t="array" ref="M45">IFERROR(_xlfn.XLOOKUP($A45&amp;"|"&amp;$C45,Asset_Operations!$A$2:$A$201&amp;"|"&amp;Asset_Operations!$BG$2:$BG$201,Asset_Operations!$AO$2:$AO$201,""),"")</f>
        <v>3.1053894484261044</v>
      </c>
      <c r="N45" s="21">
        <f t="array" ref="N45">IFERROR(_xlfn.XLOOKUP($A45&amp;"|"&amp;$C45,Asset_Operations!$A$2:$A$201&amp;"|"&amp;Asset_Operations!$BG$2:$BG$201,Asset_Operations!$AR$2:$AR$201,""),"")</f>
        <v>0.20682542876602067</v>
      </c>
      <c r="O45" s="22">
        <f t="array" ref="O45">IFERROR(_xlfn.XLOOKUP($A45&amp;"|"&amp;$C45,Financials!$A$2:$A$201&amp;"|"&amp;Financials!$B$2:$B$201,Financials!$C$2:$C$201,""),"")</f>
        <v>896</v>
      </c>
      <c r="P45" s="22">
        <f t="array" ref="P45">IFERROR(_xlfn.XLOOKUP($A45&amp;"|"&amp;$C45,Financials!$A$2:$A$201&amp;"|"&amp;Financials!$B$2:$B$201,Financials!$E$2:$E$201,""),"")</f>
        <v>0</v>
      </c>
      <c r="Q45" s="22">
        <f t="array" ref="Q45">IFERROR(_xlfn.XLOOKUP($A45&amp;"|"&amp;$C45,Financials!$A$2:$A$201&amp;"|"&amp;Financials!$B$2:$B$201,Financials!$G$2:$G$201,""),"")</f>
        <v>-304</v>
      </c>
      <c r="R45" s="22">
        <f t="array" ref="R45">IFERROR(_xlfn.XLOOKUP($A45&amp;"|"&amp;$C45,Financials!$A$2:$A$201&amp;"|"&amp;Financials!$B$2:$B$201,Financials!$S$2:$S$201,""),"")</f>
        <v>1956.97</v>
      </c>
      <c r="S45" s="22">
        <f t="array" ref="S45">IFERROR(_xlfn.XLOOKUP($A45&amp;"|"&amp;$C45,Financials!$A$2:$A$201&amp;"|"&amp;Financials!$B$2:$B$201,Financials!$AC$2:$AC$201,""),"")</f>
        <v>2921.94</v>
      </c>
      <c r="T45" s="23">
        <f t="shared" si="5"/>
        <v>0</v>
      </c>
      <c r="U45" s="24" t="str">
        <f t="shared" si="6"/>
        <v/>
      </c>
      <c r="V45" s="25">
        <f t="shared" si="7"/>
        <v>3.2092840001432719E-2</v>
      </c>
      <c r="W45" s="24">
        <f t="shared" si="8"/>
        <v>1.6874625074985004</v>
      </c>
      <c r="X45" s="26">
        <f>IFERROR(IF(NOT(ISNUMBER($E45)),"",IF($E45&gt;=Scoring_Criteria!$D$4,5,IF($E45&gt;=Scoring_Criteria!$E$4,4,IF($E45&gt;=Scoring_Criteria!$F$4,3,IF($E45&gt;=Scoring_Criteria!$G$4,2,1))))),"")</f>
        <v>2</v>
      </c>
      <c r="Y45" s="26">
        <f>IFERROR(IF(OR(NOT(ISNUMBER($F45)),NOT(ISNUMBER($E45)),$E45=0),"",IF(($F45/$E45)&gt;=Scoring_Criteria!$D$5,5,IF(($F45/$E45)&gt;=Scoring_Criteria!$E$5,4,IF(($F45/$E45)&gt;=Scoring_Criteria!$F$5,3,IF(($F45/$E45)&gt;=Scoring_Criteria!$G$5,2,1))))),"")</f>
        <v>5</v>
      </c>
      <c r="Z45" s="26">
        <f>IFERROR(IF(AND(NOT(ISNUMBER($I45)),NOT(ISNUMBER($J45))),"",IF((IFERROR($I45,0)+IFERROR($J45,0))&gt;=Scoring_Criteria!$D$6,5,IF((IFERROR($I45,0)+IFERROR($J45,0))&gt;=Scoring_Criteria!$E$6,4,IF((IFERROR($I45,0)+IFERROR($J45,0))&gt;=Scoring_Criteria!$F$6,3,IF((IFERROR($I45,0)+IFERROR($J45,0))&gt;=Scoring_Criteria!$G$6,2,1))))),"")</f>
        <v>2</v>
      </c>
      <c r="AA45" s="26">
        <f>IFERROR(IF(NOT(ISNUMBER($M45)),"",IF($M45&gt;=Scoring_Criteria!$D$7,5,IF($M45&gt;=Scoring_Criteria!$E$7,4,IF($M45&gt;=Scoring_Criteria!$F$7,3,IF($M45&gt;=Scoring_Criteria!$G$7,2,1))))),"")</f>
        <v>1</v>
      </c>
      <c r="AB45" s="26">
        <f>IFERROR(IF(NOT(ISNUMBER($T45)),"",IF($T45&gt;=Scoring_Criteria!$D$8,5,IF($T45&gt;=Scoring_Criteria!$E$8,4,IF($T45&gt;=Scoring_Criteria!$F$8,3,IF($T45&gt;=Scoring_Criteria!$G$8,2,1))))),"")</f>
        <v>1</v>
      </c>
      <c r="AC45" s="26" t="str">
        <f>IFERROR(IF(NOT(ISNUMBER($U45)),"",IF($U45&lt;=Scoring_Criteria!$D$9,5,IF($U45&lt;=Scoring_Criteria!$E$9,4,IF($U45&lt;=Scoring_Criteria!$F$9,3,IF($U45&lt;=Scoring_Criteria!$G$9,2,1))))),"")</f>
        <v/>
      </c>
      <c r="AD45" s="26">
        <f t="array" ref="AD45">IFERROR(IF(NOT(ISNUMBER(_xlfn.XLOOKUP($A45&amp;"|"&amp;$C45,Financials!$A$2:$A$201&amp;"|"&amp;Financials!$B$2:$B$201,Financials!$AD$2:$AD$201,""))),"",IF(_xlfn.XLOOKUP($A45&amp;"|"&amp;$C45,Financials!$A$2:$A$201&amp;"|"&amp;Financials!$B$2:$B$201,Financials!$AD$2:$AD$201,"")&gt;=Scoring_Criteria!$D$10,5,IF(_xlfn.XLOOKUP($A45&amp;"|"&amp;$C45,Financials!$A$2:$A$201&amp;"|"&amp;Financials!$B$2:$B$201,Financials!$AD$2:$AD$201,"")&gt;=Scoring_Criteria!$E$10,4,IF(_xlfn.XLOOKUP($A45&amp;"|"&amp;$C45,Financials!$A$2:$A$201&amp;"|"&amp;Financials!$B$2:$B$201,Financials!$AD$2:$AD$201,"")&gt;=Scoring_Criteria!$F$10,3,IF(_xlfn.XLOOKUP($A45&amp;"|"&amp;$C45,Financials!$A$2:$A$201&amp;"|"&amp;Financials!$B$2:$B$201,Financials!$AD$2:$AD$201,"")&gt;=Scoring_Criteria!$G$10,2,1))))),"")</f>
        <v>1</v>
      </c>
      <c r="AE45" s="27"/>
      <c r="AF45" s="27"/>
      <c r="AG45" s="28">
        <f t="shared" si="9"/>
        <v>2</v>
      </c>
      <c r="AH45" s="29"/>
      <c r="AI45" s="29"/>
      <c r="AJ45" s="29"/>
      <c r="AK45" s="29"/>
      <c r="AL45" s="29"/>
      <c r="AM45" s="29"/>
      <c r="AN45" s="29"/>
      <c r="AO45" s="29"/>
      <c r="AP45" s="29"/>
      <c r="AQ45" s="29"/>
      <c r="AR45" s="29"/>
      <c r="AS45" s="29"/>
      <c r="AT45" s="29"/>
      <c r="AU45" t="str">
        <f>IFERROR(Validation_Summary!Q5,"")</f>
        <v>✓ All 8 checks passed</v>
      </c>
    </row>
    <row r="46" spans="1:47" ht="15" customHeight="1" x14ac:dyDescent="0.3">
      <c r="A46" s="6" t="s">
        <v>3937</v>
      </c>
      <c r="B46" s="19" t="str">
        <f t="array" ref="B46">IFERROR(_xlfn.XLOOKUP($A46&amp;"|"&amp;$C46,'Company_Master'!$A$2:$A$94&amp;"|"&amp;'Company_Master'!$D$2:$D$94,'Company_Master'!$B$2:$B$94,""),"")</f>
        <v>JAWA</v>
      </c>
      <c r="C46" s="20">
        <v>2024</v>
      </c>
      <c r="D46" s="19" t="str">
        <f t="array" ref="D46">IFERROR(_xlfn.XLOOKUP($A46&amp;"|"&amp;$C46,'Company_Master'!$A$2:$A$94&amp;"|"&amp;'Company_Master'!$D$2:$D$94,'Company_Master'!$H$2:$H$94,""),"")</f>
        <v>Java (rubber, tea, coffee) + Kalimantan Selatan (oil palm + rubber)</v>
      </c>
      <c r="E46" s="20">
        <f t="array" ref="E46">IFERROR(_xlfn.XLOOKUP($A46&amp;"|"&amp;$C46,Asset_Operations!$A$2:$A$201&amp;"|"&amp;Asset_Operations!$BG$2:$BG$201,Asset_Operations!$B$2:$B$201,""),"")</f>
        <v>27918</v>
      </c>
      <c r="F46" s="20">
        <f t="array" ref="F46">IFERROR(_xlfn.XLOOKUP($A46&amp;"|"&amp;$C46,Asset_Operations!$A$2:$A$201&amp;"|"&amp;Asset_Operations!$BG$2:$BG$201,Asset_Operations!$E$2:$E$201,""),"")</f>
        <v>31699</v>
      </c>
      <c r="G46" s="20">
        <f t="array" ref="G46">IFERROR(_xlfn.XLOOKUP($A46&amp;"|"&amp;$C46,Asset_Operations!$A$2:$A$201&amp;"|"&amp;Asset_Operations!$BG$2:$BG$201,Asset_Operations!$I$2:$I$201,""),"")</f>
        <v>0</v>
      </c>
      <c r="H46" s="20">
        <f t="array" ref="H46">IFERROR(_xlfn.XLOOKUP($A46&amp;"|"&amp;$C46,Asset_Operations!$A$2:$A$201&amp;"|"&amp;Asset_Operations!$BG$2:$BG$201,Asset_Operations!$J$2:$J$201,""),"")</f>
        <v>0</v>
      </c>
      <c r="I46" s="20">
        <f t="array" ref="I46">IFERROR(_xlfn.XLOOKUP($A46&amp;"|"&amp;$C46,Asset_Operations!$A$2:$A$201&amp;"|"&amp;Asset_Operations!$BG$2:$BG$201,Asset_Operations!$O$2:$O$201,""),"")</f>
        <v>2</v>
      </c>
      <c r="J46" s="20">
        <f t="array" ref="J46">IFERROR(_xlfn.XLOOKUP($A46&amp;"|"&amp;$C46,Asset_Operations!$A$2:$A$201&amp;"|"&amp;Asset_Operations!$BG$2:$BG$201,Asset_Operations!$S$2:$S$201,""),"")</f>
        <v>0</v>
      </c>
      <c r="K46" s="20">
        <f t="array" ref="K46">IFERROR(_xlfn.XLOOKUP($A46&amp;"|"&amp;$C46,Asset_Operations!$A$2:$A$201&amp;"|"&amp;Asset_Operations!$BG$2:$BG$201,Asset_Operations!$AC$2:$AC$201,""),"")</f>
        <v>105499</v>
      </c>
      <c r="L46" s="20">
        <f t="array" ref="L46">IFERROR(_xlfn.XLOOKUP($A46&amp;"|"&amp;$C46,Asset_Operations!$A$2:$A$201&amp;"|"&amp;Asset_Operations!$BG$2:$BG$201,Asset_Operations!$AG$2:$AG$201,""),"")</f>
        <v>44955</v>
      </c>
      <c r="M46" s="20">
        <f t="array" ref="M46">IFERROR(_xlfn.XLOOKUP($A46&amp;"|"&amp;$C46,Asset_Operations!$A$2:$A$201&amp;"|"&amp;Asset_Operations!$BG$2:$BG$201,Asset_Operations!$AO$2:$AO$201,""),"")</f>
        <v>3.3281491529701253</v>
      </c>
      <c r="N46" s="21">
        <f t="array" ref="N46">IFERROR(_xlfn.XLOOKUP($A46&amp;"|"&amp;$C46,Asset_Operations!$A$2:$A$201&amp;"|"&amp;Asset_Operations!$BG$2:$BG$201,Asset_Operations!$AR$2:$AR$201,""),"")</f>
        <v>0.19821690763105332</v>
      </c>
      <c r="O46" s="22">
        <f t="array" ref="O46">IFERROR(_xlfn.XLOOKUP($A46&amp;"|"&amp;$C46,Financials!$A$2:$A$201&amp;"|"&amp;Financials!$B$2:$B$201,Financials!$C$2:$C$201,""),"")</f>
        <v>1071</v>
      </c>
      <c r="P46" s="22">
        <f t="array" ref="P46">IFERROR(_xlfn.XLOOKUP($A46&amp;"|"&amp;$C46,Financials!$A$2:$A$201&amp;"|"&amp;Financials!$B$2:$B$201,Financials!$E$2:$E$201,""),"")</f>
        <v>0</v>
      </c>
      <c r="Q46" s="22">
        <f t="array" ref="Q46">IFERROR(_xlfn.XLOOKUP($A46&amp;"|"&amp;$C46,Financials!$A$2:$A$201&amp;"|"&amp;Financials!$B$2:$B$201,Financials!$G$2:$G$201,""),"")</f>
        <v>-194</v>
      </c>
      <c r="R46" s="22">
        <f t="array" ref="R46">IFERROR(_xlfn.XLOOKUP($A46&amp;"|"&amp;$C46,Financials!$A$2:$A$201&amp;"|"&amp;Financials!$B$2:$B$201,Financials!$S$2:$S$201,""),"")</f>
        <v>989.15</v>
      </c>
      <c r="S46" s="22">
        <f t="array" ref="S46">IFERROR(_xlfn.XLOOKUP($A46&amp;"|"&amp;$C46,Financials!$A$2:$A$201&amp;"|"&amp;Financials!$B$2:$B$201,Financials!$AC$2:$AC$201,""),"")</f>
        <v>1785.63</v>
      </c>
      <c r="T46" s="23">
        <f t="shared" si="5"/>
        <v>0</v>
      </c>
      <c r="U46" s="24" t="str">
        <f t="shared" si="6"/>
        <v/>
      </c>
      <c r="V46" s="25">
        <f t="shared" si="7"/>
        <v>3.8362346872985169E-2</v>
      </c>
      <c r="W46" s="24">
        <f t="shared" si="8"/>
        <v>1.4181835389128994</v>
      </c>
      <c r="X46" s="26">
        <f>IFERROR(IF(NOT(ISNUMBER($E46)),"",IF($E46&gt;=Scoring_Criteria!$D$4,5,IF($E46&gt;=Scoring_Criteria!$E$4,4,IF($E46&gt;=Scoring_Criteria!$F$4,3,IF($E46&gt;=Scoring_Criteria!$G$4,2,1))))),"")</f>
        <v>2</v>
      </c>
      <c r="Y46" s="26">
        <f>IFERROR(IF(OR(NOT(ISNUMBER($F46)),NOT(ISNUMBER($E46)),$E46=0),"",IF(($F46/$E46)&gt;=Scoring_Criteria!$D$5,5,IF(($F46/$E46)&gt;=Scoring_Criteria!$E$5,4,IF(($F46/$E46)&gt;=Scoring_Criteria!$F$5,3,IF(($F46/$E46)&gt;=Scoring_Criteria!$G$5,2,1))))),"")</f>
        <v>5</v>
      </c>
      <c r="Z46" s="26">
        <f>IFERROR(IF(AND(NOT(ISNUMBER($I46)),NOT(ISNUMBER($J46))),"",IF((IFERROR($I46,0)+IFERROR($J46,0))&gt;=Scoring_Criteria!$D$6,5,IF((IFERROR($I46,0)+IFERROR($J46,0))&gt;=Scoring_Criteria!$E$6,4,IF((IFERROR($I46,0)+IFERROR($J46,0))&gt;=Scoring_Criteria!$F$6,3,IF((IFERROR($I46,0)+IFERROR($J46,0))&gt;=Scoring_Criteria!$G$6,2,1))))),"")</f>
        <v>2</v>
      </c>
      <c r="AA46" s="26">
        <f>IFERROR(IF(NOT(ISNUMBER($M46)),"",IF($M46&gt;=Scoring_Criteria!$D$7,5,IF($M46&gt;=Scoring_Criteria!$E$7,4,IF($M46&gt;=Scoring_Criteria!$F$7,3,IF($M46&gt;=Scoring_Criteria!$G$7,2,1))))),"")</f>
        <v>1</v>
      </c>
      <c r="AB46" s="26">
        <f>IFERROR(IF(NOT(ISNUMBER($T46)),"",IF($T46&gt;=Scoring_Criteria!$D$8,5,IF($T46&gt;=Scoring_Criteria!$E$8,4,IF($T46&gt;=Scoring_Criteria!$F$8,3,IF($T46&gt;=Scoring_Criteria!$G$8,2,1))))),"")</f>
        <v>1</v>
      </c>
      <c r="AC46" s="26" t="str">
        <f>IFERROR(IF(NOT(ISNUMBER($U46)),"",IF($U46&lt;=Scoring_Criteria!$D$9,5,IF($U46&lt;=Scoring_Criteria!$E$9,4,IF($U46&lt;=Scoring_Criteria!$F$9,3,IF($U46&lt;=Scoring_Criteria!$G$9,2,1))))),"")</f>
        <v/>
      </c>
      <c r="AD46" s="26">
        <f t="array" ref="AD46">IFERROR(IF(NOT(ISNUMBER(_xlfn.XLOOKUP($A46&amp;"|"&amp;$C46,Financials!$A$2:$A$201&amp;"|"&amp;Financials!$B$2:$B$201,Financials!$AD$2:$AD$201,""))),"",IF(_xlfn.XLOOKUP($A46&amp;"|"&amp;$C46,Financials!$A$2:$A$201&amp;"|"&amp;Financials!$B$2:$B$201,Financials!$AD$2:$AD$201,"")&gt;=Scoring_Criteria!$D$10,5,IF(_xlfn.XLOOKUP($A46&amp;"|"&amp;$C46,Financials!$A$2:$A$201&amp;"|"&amp;Financials!$B$2:$B$201,Financials!$AD$2:$AD$201,"")&gt;=Scoring_Criteria!$E$10,4,IF(_xlfn.XLOOKUP($A46&amp;"|"&amp;$C46,Financials!$A$2:$A$201&amp;"|"&amp;Financials!$B$2:$B$201,Financials!$AD$2:$AD$201,"")&gt;=Scoring_Criteria!$F$10,3,IF(_xlfn.XLOOKUP($A46&amp;"|"&amp;$C46,Financials!$A$2:$A$201&amp;"|"&amp;Financials!$B$2:$B$201,Financials!$AD$2:$AD$201,"")&gt;=Scoring_Criteria!$G$10,2,1))))),"")</f>
        <v>1</v>
      </c>
      <c r="AE46" s="27"/>
      <c r="AF46" s="27"/>
      <c r="AG46" s="28">
        <f t="shared" si="9"/>
        <v>2</v>
      </c>
      <c r="AH46" s="29"/>
      <c r="AI46" s="29"/>
      <c r="AJ46" s="29"/>
      <c r="AK46" s="29"/>
      <c r="AL46" s="29"/>
      <c r="AM46" s="29"/>
      <c r="AN46" s="29"/>
      <c r="AO46" s="29"/>
      <c r="AP46" s="29"/>
      <c r="AQ46" s="29"/>
      <c r="AR46" s="29"/>
      <c r="AS46" s="29"/>
      <c r="AT46" s="29"/>
      <c r="AU46" t="str">
        <f>IFERROR(Validation_Summary!Q5,"")</f>
        <v>✓ All 8 checks passed</v>
      </c>
    </row>
    <row r="47" spans="1:47" ht="15" customHeight="1" x14ac:dyDescent="0.3">
      <c r="A47" s="6" t="s">
        <v>4324</v>
      </c>
      <c r="B47" s="19" t="str">
        <f t="array" ref="B47">IFERROR(_xlfn.XLOOKUP($A47&amp;"|"&amp;$C47,'Company_Master'!$A$2:$A$94&amp;"|"&amp;'Company_Master'!$D$2:$D$94,'Company_Master'!$B$2:$B$94,""),"")</f>
        <v>LSIP</v>
      </c>
      <c r="C47" s="20">
        <v>2022</v>
      </c>
      <c r="D47" s="19" t="str">
        <f t="array" ref="D47">IFERROR(_xlfn.XLOOKUP($A47&amp;"|"&amp;$C47,'Company_Master'!$A$2:$A$94&amp;"|"&amp;'Company_Master'!$D$2:$D$94,'Company_Master'!$H$2:$H$94,""),"")</f>
        <v>North Sumatra/South Sumatra/East Kalimantan/Java/Sulawesi</v>
      </c>
      <c r="E47" s="20">
        <f t="array" ref="E47">IFERROR(_xlfn.XLOOKUP($A47&amp;"|"&amp;$C47,Asset_Operations!$A$2:$A$201&amp;"|"&amp;Asset_Operations!$BG$2:$BG$201,Asset_Operations!$B$2:$B$201,""),"")</f>
        <v>111240</v>
      </c>
      <c r="F47" s="20">
        <f t="array" ref="F47">IFERROR(_xlfn.XLOOKUP($A47&amp;"|"&amp;$C47,Asset_Operations!$A$2:$A$201&amp;"|"&amp;Asset_Operations!$BG$2:$BG$201,Asset_Operations!$E$2:$E$201,""),"")</f>
        <v>101306</v>
      </c>
      <c r="G47" s="20">
        <f t="array" ref="G47">IFERROR(_xlfn.XLOOKUP($A47&amp;"|"&amp;$C47,Asset_Operations!$A$2:$A$201&amp;"|"&amp;Asset_Operations!$BG$2:$BG$201,Asset_Operations!$I$2:$I$201,""),"")</f>
        <v>19</v>
      </c>
      <c r="H47" s="20">
        <f t="array" ref="H47">IFERROR(_xlfn.XLOOKUP($A47&amp;"|"&amp;$C47,Asset_Operations!$A$2:$A$201&amp;"|"&amp;Asset_Operations!$BG$2:$BG$201,Asset_Operations!$J$2:$J$201,""),"")</f>
        <v>0</v>
      </c>
      <c r="I47" s="20">
        <f t="array" ref="I47">IFERROR(_xlfn.XLOOKUP($A47&amp;"|"&amp;$C47,Asset_Operations!$A$2:$A$201&amp;"|"&amp;Asset_Operations!$BG$2:$BG$201,Asset_Operations!$O$2:$O$201,""),"")</f>
        <v>12</v>
      </c>
      <c r="J47" s="20">
        <f t="array" ref="J47">IFERROR(_xlfn.XLOOKUP($A47&amp;"|"&amp;$C47,Asset_Operations!$A$2:$A$201&amp;"|"&amp;Asset_Operations!$BG$2:$BG$201,Asset_Operations!$S$2:$S$201,""),"")</f>
        <v>0</v>
      </c>
      <c r="K47" s="20">
        <f t="array" ref="K47">IFERROR(_xlfn.XLOOKUP($A47&amp;"|"&amp;$C47,Asset_Operations!$A$2:$A$201&amp;"|"&amp;Asset_Operations!$BG$2:$BG$201,Asset_Operations!$AC$2:$AC$201,""),"")</f>
        <v>1174000</v>
      </c>
      <c r="L47" s="20">
        <f t="array" ref="L47">IFERROR(_xlfn.XLOOKUP($A47&amp;"|"&amp;$C47,Asset_Operations!$A$2:$A$201&amp;"|"&amp;Asset_Operations!$BG$2:$BG$201,Asset_Operations!$AG$2:$AG$201,""),"")</f>
        <v>306000</v>
      </c>
      <c r="M47" s="20">
        <f t="array" ref="M47">IFERROR(_xlfn.XLOOKUP($A47&amp;"|"&amp;$C47,Asset_Operations!$A$2:$A$201&amp;"|"&amp;Asset_Operations!$BG$2:$BG$201,Asset_Operations!$AO$2:$AO$201,""),"")</f>
        <v>11.588652202238762</v>
      </c>
      <c r="N47" s="21" t="str">
        <f t="array" ref="N47">IFERROR(_xlfn.XLOOKUP($A47&amp;"|"&amp;$C47,Asset_Operations!$A$2:$A$201&amp;"|"&amp;Asset_Operations!$BG$2:$BG$201,Asset_Operations!$AR$2:$AR$201,""),"")</f>
        <v/>
      </c>
      <c r="O47" s="22">
        <f t="array" ref="O47">IFERROR(_xlfn.XLOOKUP($A47&amp;"|"&amp;$C47,Financials!$A$2:$A$201&amp;"|"&amp;Financials!$B$2:$B$201,Financials!$C$2:$C$201,""),"")</f>
        <v>4585</v>
      </c>
      <c r="P47" s="22">
        <f t="array" ref="P47">IFERROR(_xlfn.XLOOKUP($A47&amp;"|"&amp;$C47,Financials!$A$2:$A$201&amp;"|"&amp;Financials!$B$2:$B$201,Financials!$E$2:$E$201,""),"")</f>
        <v>1747</v>
      </c>
      <c r="Q47" s="22">
        <f t="array" ref="Q47">IFERROR(_xlfn.XLOOKUP($A47&amp;"|"&amp;$C47,Financials!$A$2:$A$201&amp;"|"&amp;Financials!$B$2:$B$201,Financials!$G$2:$G$201,""),"")</f>
        <v>1035</v>
      </c>
      <c r="R47" s="22">
        <f t="array" ref="R47">IFERROR(_xlfn.XLOOKUP($A47&amp;"|"&amp;$C47,Financials!$A$2:$A$201&amp;"|"&amp;Financials!$B$2:$B$201,Financials!$S$2:$S$201,""),"")</f>
        <v>-3847</v>
      </c>
      <c r="S47" s="22">
        <f t="array" ref="S47">IFERROR(_xlfn.XLOOKUP($A47&amp;"|"&amp;$C47,Financials!$A$2:$A$201&amp;"|"&amp;Financials!$B$2:$B$201,Financials!$AC$2:$AC$201,""),"")</f>
        <v>6922.3</v>
      </c>
      <c r="T47" s="23">
        <f t="shared" si="5"/>
        <v>0.38102508178844058</v>
      </c>
      <c r="U47" s="24">
        <f t="shared" si="6"/>
        <v>-2.2020606754436178</v>
      </c>
      <c r="V47" s="25">
        <f t="shared" si="7"/>
        <v>4.1217188061848258E-2</v>
      </c>
      <c r="W47" s="24">
        <f t="shared" si="8"/>
        <v>3.0205515961542257</v>
      </c>
      <c r="X47" s="26">
        <f>IFERROR(IF(NOT(ISNUMBER($E47)),"",IF($E47&gt;=Scoring_Criteria!$D$4,5,IF($E47&gt;=Scoring_Criteria!$E$4,4,IF($E47&gt;=Scoring_Criteria!$F$4,3,IF($E47&gt;=Scoring_Criteria!$G$4,2,1))))),"")</f>
        <v>4</v>
      </c>
      <c r="Y47" s="26">
        <f>IFERROR(IF(OR(NOT(ISNUMBER($F47)),NOT(ISNUMBER($E47)),$E47=0),"",IF(($F47/$E47)&gt;=Scoring_Criteria!$D$5,5,IF(($F47/$E47)&gt;=Scoring_Criteria!$E$5,4,IF(($F47/$E47)&gt;=Scoring_Criteria!$F$5,3,IF(($F47/$E47)&gt;=Scoring_Criteria!$G$5,2,1))))),"")</f>
        <v>5</v>
      </c>
      <c r="Z47" s="26">
        <f>IFERROR(IF(AND(NOT(ISNUMBER($I47)),NOT(ISNUMBER($J47))),"",IF((IFERROR($I47,0)+IFERROR($J47,0))&gt;=Scoring_Criteria!$D$6,5,IF((IFERROR($I47,0)+IFERROR($J47,0))&gt;=Scoring_Criteria!$E$6,4,IF((IFERROR($I47,0)+IFERROR($J47,0))&gt;=Scoring_Criteria!$F$6,3,IF((IFERROR($I47,0)+IFERROR($J47,0))&gt;=Scoring_Criteria!$G$6,2,1))))),"")</f>
        <v>5</v>
      </c>
      <c r="AA47" s="26">
        <f>IFERROR(IF(NOT(ISNUMBER($M47)),"",IF($M47&gt;=Scoring_Criteria!$D$7,5,IF($M47&gt;=Scoring_Criteria!$E$7,4,IF($M47&gt;=Scoring_Criteria!$F$7,3,IF($M47&gt;=Scoring_Criteria!$G$7,2,1))))),"")</f>
        <v>2</v>
      </c>
      <c r="AB47" s="26">
        <f>IFERROR(IF(NOT(ISNUMBER($T47)),"",IF($T47&gt;=Scoring_Criteria!$D$8,5,IF($T47&gt;=Scoring_Criteria!$E$8,4,IF($T47&gt;=Scoring_Criteria!$F$8,3,IF($T47&gt;=Scoring_Criteria!$G$8,2,1))))),"")</f>
        <v>5</v>
      </c>
      <c r="AC47" s="26">
        <f>IFERROR(IF(NOT(ISNUMBER($U47)),"",IF($U47&lt;=Scoring_Criteria!$D$9,5,IF($U47&lt;=Scoring_Criteria!$E$9,4,IF($U47&lt;=Scoring_Criteria!$F$9,3,IF($U47&lt;=Scoring_Criteria!$G$9,2,1))))),"")</f>
        <v>5</v>
      </c>
      <c r="AD47" s="26">
        <f t="array" ref="AD47">IFERROR(IF(NOT(ISNUMBER(_xlfn.XLOOKUP($A47&amp;"|"&amp;$C47,Financials!$A$2:$A$201&amp;"|"&amp;Financials!$B$2:$B$201,Financials!$AD$2:$AD$201,""))),"",IF(_xlfn.XLOOKUP($A47&amp;"|"&amp;$C47,Financials!$A$2:$A$201&amp;"|"&amp;Financials!$B$2:$B$201,Financials!$AD$2:$AD$201,"")&gt;=Scoring_Criteria!$D$10,5,IF(_xlfn.XLOOKUP($A47&amp;"|"&amp;$C47,Financials!$A$2:$A$201&amp;"|"&amp;Financials!$B$2:$B$201,Financials!$AD$2:$AD$201,"")&gt;=Scoring_Criteria!$E$10,4,IF(_xlfn.XLOOKUP($A47&amp;"|"&amp;$C47,Financials!$A$2:$A$201&amp;"|"&amp;Financials!$B$2:$B$201,Financials!$AD$2:$AD$201,"")&gt;=Scoring_Criteria!$F$10,3,IF(_xlfn.XLOOKUP($A47&amp;"|"&amp;$C47,Financials!$A$2:$A$201&amp;"|"&amp;Financials!$B$2:$B$201,Financials!$AD$2:$AD$201,"")&gt;=Scoring_Criteria!$G$10,2,1))))),"")</f>
        <v>5</v>
      </c>
      <c r="AE47" s="27"/>
      <c r="AF47" s="27"/>
      <c r="AG47" s="28">
        <f t="shared" si="9"/>
        <v>4.4285714285714288</v>
      </c>
      <c r="AH47" s="29"/>
      <c r="AI47" s="29"/>
      <c r="AJ47" s="29"/>
      <c r="AK47" s="29"/>
      <c r="AL47" s="29"/>
      <c r="AM47" s="29"/>
      <c r="AN47" s="29"/>
      <c r="AO47" s="29"/>
      <c r="AP47" s="29"/>
      <c r="AQ47" s="29"/>
      <c r="AR47" s="29"/>
      <c r="AS47" s="29"/>
      <c r="AT47" s="29"/>
      <c r="AU47" t="str">
        <f>IFERROR(Validation_Summary!Q5,"")</f>
        <v>✓ All 8 checks passed</v>
      </c>
    </row>
    <row r="48" spans="1:47" ht="15" customHeight="1" x14ac:dyDescent="0.3">
      <c r="A48" s="6" t="s">
        <v>4324</v>
      </c>
      <c r="B48" s="19" t="str">
        <f t="array" ref="B48">IFERROR(_xlfn.XLOOKUP($A48&amp;"|"&amp;$C48,'Company_Master'!$A$2:$A$94&amp;"|"&amp;'Company_Master'!$D$2:$D$94,'Company_Master'!$B$2:$B$94,""),"")</f>
        <v>LSIP</v>
      </c>
      <c r="C48" s="20">
        <v>2023</v>
      </c>
      <c r="D48" s="19" t="str">
        <f t="array" ref="D48">IFERROR(_xlfn.XLOOKUP($A48&amp;"|"&amp;$C48,'Company_Master'!$A$2:$A$94&amp;"|"&amp;'Company_Master'!$D$2:$D$94,'Company_Master'!$H$2:$H$94,""),"")</f>
        <v>North Sumatra/South Sumatra/East Kalimantan/Java/Sulawesi</v>
      </c>
      <c r="E48" s="20">
        <f t="array" ref="E48">IFERROR(_xlfn.XLOOKUP($A48&amp;"|"&amp;$C48,Asset_Operations!$A$2:$A$201&amp;"|"&amp;Asset_Operations!$BG$2:$BG$201,Asset_Operations!$B$2:$B$201,""),"")</f>
        <v>111940</v>
      </c>
      <c r="F48" s="20">
        <f t="array" ref="F48">IFERROR(_xlfn.XLOOKUP($A48&amp;"|"&amp;$C48,Asset_Operations!$A$2:$A$201&amp;"|"&amp;Asset_Operations!$BG$2:$BG$201,Asset_Operations!$E$2:$E$201,""),"")</f>
        <v>102884</v>
      </c>
      <c r="G48" s="20">
        <f t="array" ref="G48">IFERROR(_xlfn.XLOOKUP($A48&amp;"|"&amp;$C48,Asset_Operations!$A$2:$A$201&amp;"|"&amp;Asset_Operations!$BG$2:$BG$201,Asset_Operations!$I$2:$I$201,""),"")</f>
        <v>19</v>
      </c>
      <c r="H48" s="20">
        <f t="array" ref="H48">IFERROR(_xlfn.XLOOKUP($A48&amp;"|"&amp;$C48,Asset_Operations!$A$2:$A$201&amp;"|"&amp;Asset_Operations!$BG$2:$BG$201,Asset_Operations!$J$2:$J$201,""),"")</f>
        <v>0</v>
      </c>
      <c r="I48" s="20">
        <f t="array" ref="I48">IFERROR(_xlfn.XLOOKUP($A48&amp;"|"&amp;$C48,Asset_Operations!$A$2:$A$201&amp;"|"&amp;Asset_Operations!$BG$2:$BG$201,Asset_Operations!$O$2:$O$201,""),"")</f>
        <v>12</v>
      </c>
      <c r="J48" s="20">
        <f t="array" ref="J48">IFERROR(_xlfn.XLOOKUP($A48&amp;"|"&amp;$C48,Asset_Operations!$A$2:$A$201&amp;"|"&amp;Asset_Operations!$BG$2:$BG$201,Asset_Operations!$S$2:$S$201,""),"")</f>
        <v>0</v>
      </c>
      <c r="K48" s="20">
        <f t="array" ref="K48">IFERROR(_xlfn.XLOOKUP($A48&amp;"|"&amp;$C48,Asset_Operations!$A$2:$A$201&amp;"|"&amp;Asset_Operations!$BG$2:$BG$201,Asset_Operations!$AC$2:$AC$201,""),"")</f>
        <v>1177000</v>
      </c>
      <c r="L48" s="20">
        <f t="array" ref="L48">IFERROR(_xlfn.XLOOKUP($A48&amp;"|"&amp;$C48,Asset_Operations!$A$2:$A$201&amp;"|"&amp;Asset_Operations!$BG$2:$BG$201,Asset_Operations!$AG$2:$AG$201,""),"")</f>
        <v>294000</v>
      </c>
      <c r="M48" s="20">
        <f t="array" ref="M48">IFERROR(_xlfn.XLOOKUP($A48&amp;"|"&amp;$C48,Asset_Operations!$A$2:$A$201&amp;"|"&amp;Asset_Operations!$BG$2:$BG$201,Asset_Operations!$AO$2:$AO$201,""),"")</f>
        <v>11.440068426577504</v>
      </c>
      <c r="N48" s="21" t="str">
        <f t="array" ref="N48">IFERROR(_xlfn.XLOOKUP($A48&amp;"|"&amp;$C48,Asset_Operations!$A$2:$A$201&amp;"|"&amp;Asset_Operations!$BG$2:$BG$201,Asset_Operations!$AR$2:$AR$201,""),"")</f>
        <v/>
      </c>
      <c r="O48" s="22">
        <f t="array" ref="O48">IFERROR(_xlfn.XLOOKUP($A48&amp;"|"&amp;$C48,Financials!$A$2:$A$201&amp;"|"&amp;Financials!$B$2:$B$201,Financials!$C$2:$C$201,""),"")</f>
        <v>4190</v>
      </c>
      <c r="P48" s="22">
        <f t="array" ref="P48">IFERROR(_xlfn.XLOOKUP($A48&amp;"|"&amp;$C48,Financials!$A$2:$A$201&amp;"|"&amp;Financials!$B$2:$B$201,Financials!$E$2:$E$201,""),"")</f>
        <v>1301</v>
      </c>
      <c r="Q48" s="22">
        <f t="array" ref="Q48">IFERROR(_xlfn.XLOOKUP($A48&amp;"|"&amp;$C48,Financials!$A$2:$A$201&amp;"|"&amp;Financials!$B$2:$B$201,Financials!$G$2:$G$201,""),"")</f>
        <v>761</v>
      </c>
      <c r="R48" s="22">
        <f t="array" ref="R48">IFERROR(_xlfn.XLOOKUP($A48&amp;"|"&amp;$C48,Financials!$A$2:$A$201&amp;"|"&amp;Financials!$B$2:$B$201,Financials!$S$2:$S$201,""),"")</f>
        <v>-4511</v>
      </c>
      <c r="S48" s="22">
        <f t="array" ref="S48">IFERROR(_xlfn.XLOOKUP($A48&amp;"|"&amp;$C48,Financials!$A$2:$A$201&amp;"|"&amp;Financials!$B$2:$B$201,Financials!$AC$2:$AC$201,""),"")</f>
        <v>6069.8</v>
      </c>
      <c r="T48" s="23">
        <f t="shared" si="5"/>
        <v>0.31050119331742243</v>
      </c>
      <c r="U48" s="24">
        <f t="shared" si="6"/>
        <v>-3.4673328209069947</v>
      </c>
      <c r="V48" s="25">
        <f t="shared" si="7"/>
        <v>3.7430766482043951E-2</v>
      </c>
      <c r="W48" s="24">
        <f t="shared" si="8"/>
        <v>2.8575871855682129</v>
      </c>
      <c r="X48" s="26">
        <f>IFERROR(IF(NOT(ISNUMBER($E48)),"",IF($E48&gt;=Scoring_Criteria!$D$4,5,IF($E48&gt;=Scoring_Criteria!$E$4,4,IF($E48&gt;=Scoring_Criteria!$F$4,3,IF($E48&gt;=Scoring_Criteria!$G$4,2,1))))),"")</f>
        <v>4</v>
      </c>
      <c r="Y48" s="26">
        <f>IFERROR(IF(OR(NOT(ISNUMBER($F48)),NOT(ISNUMBER($E48)),$E48=0),"",IF(($F48/$E48)&gt;=Scoring_Criteria!$D$5,5,IF(($F48/$E48)&gt;=Scoring_Criteria!$E$5,4,IF(($F48/$E48)&gt;=Scoring_Criteria!$F$5,3,IF(($F48/$E48)&gt;=Scoring_Criteria!$G$5,2,1))))),"")</f>
        <v>5</v>
      </c>
      <c r="Z48" s="26">
        <f>IFERROR(IF(AND(NOT(ISNUMBER($I48)),NOT(ISNUMBER($J48))),"",IF((IFERROR($I48,0)+IFERROR($J48,0))&gt;=Scoring_Criteria!$D$6,5,IF((IFERROR($I48,0)+IFERROR($J48,0))&gt;=Scoring_Criteria!$E$6,4,IF((IFERROR($I48,0)+IFERROR($J48,0))&gt;=Scoring_Criteria!$F$6,3,IF((IFERROR($I48,0)+IFERROR($J48,0))&gt;=Scoring_Criteria!$G$6,2,1))))),"")</f>
        <v>5</v>
      </c>
      <c r="AA48" s="26">
        <f>IFERROR(IF(NOT(ISNUMBER($M48)),"",IF($M48&gt;=Scoring_Criteria!$D$7,5,IF($M48&gt;=Scoring_Criteria!$E$7,4,IF($M48&gt;=Scoring_Criteria!$F$7,3,IF($M48&gt;=Scoring_Criteria!$G$7,2,1))))),"")</f>
        <v>2</v>
      </c>
      <c r="AB48" s="26">
        <f>IFERROR(IF(NOT(ISNUMBER($T48)),"",IF($T48&gt;=Scoring_Criteria!$D$8,5,IF($T48&gt;=Scoring_Criteria!$E$8,4,IF($T48&gt;=Scoring_Criteria!$F$8,3,IF($T48&gt;=Scoring_Criteria!$G$8,2,1))))),"")</f>
        <v>5</v>
      </c>
      <c r="AC48" s="26">
        <f>IFERROR(IF(NOT(ISNUMBER($U48)),"",IF($U48&lt;=Scoring_Criteria!$D$9,5,IF($U48&lt;=Scoring_Criteria!$E$9,4,IF($U48&lt;=Scoring_Criteria!$F$9,3,IF($U48&lt;=Scoring_Criteria!$G$9,2,1))))),"")</f>
        <v>5</v>
      </c>
      <c r="AD48" s="26">
        <f t="array" ref="AD48">IFERROR(IF(NOT(ISNUMBER(_xlfn.XLOOKUP($A48&amp;"|"&amp;$C48,Financials!$A$2:$A$201&amp;"|"&amp;Financials!$B$2:$B$201,Financials!$AD$2:$AD$201,""))),"",IF(_xlfn.XLOOKUP($A48&amp;"|"&amp;$C48,Financials!$A$2:$A$201&amp;"|"&amp;Financials!$B$2:$B$201,Financials!$AD$2:$AD$201,"")&gt;=Scoring_Criteria!$D$10,5,IF(_xlfn.XLOOKUP($A48&amp;"|"&amp;$C48,Financials!$A$2:$A$201&amp;"|"&amp;Financials!$B$2:$B$201,Financials!$AD$2:$AD$201,"")&gt;=Scoring_Criteria!$E$10,4,IF(_xlfn.XLOOKUP($A48&amp;"|"&amp;$C48,Financials!$A$2:$A$201&amp;"|"&amp;Financials!$B$2:$B$201,Financials!$AD$2:$AD$201,"")&gt;=Scoring_Criteria!$F$10,3,IF(_xlfn.XLOOKUP($A48&amp;"|"&amp;$C48,Financials!$A$2:$A$201&amp;"|"&amp;Financials!$B$2:$B$201,Financials!$AD$2:$AD$201,"")&gt;=Scoring_Criteria!$G$10,2,1))))),"")</f>
        <v>5</v>
      </c>
      <c r="AE48" s="27"/>
      <c r="AF48" s="27"/>
      <c r="AG48" s="28">
        <f t="shared" si="9"/>
        <v>4.4285714285714288</v>
      </c>
      <c r="AH48" s="29"/>
      <c r="AI48" s="29"/>
      <c r="AJ48" s="29"/>
      <c r="AK48" s="29"/>
      <c r="AL48" s="29"/>
      <c r="AM48" s="29"/>
      <c r="AN48" s="29"/>
      <c r="AO48" s="29"/>
      <c r="AP48" s="29"/>
      <c r="AQ48" s="29"/>
      <c r="AR48" s="29"/>
      <c r="AS48" s="29"/>
      <c r="AT48" s="29"/>
      <c r="AU48" t="str">
        <f>IFERROR(Validation_Summary!Q5,"")</f>
        <v>✓ All 8 checks passed</v>
      </c>
    </row>
    <row r="49" spans="1:47" ht="15" customHeight="1" x14ac:dyDescent="0.3">
      <c r="A49" s="6" t="s">
        <v>4324</v>
      </c>
      <c r="B49" s="19" t="str">
        <f t="array" ref="B49">IFERROR(_xlfn.XLOOKUP($A49&amp;"|"&amp;$C49,'Company_Master'!$A$2:$A$94&amp;"|"&amp;'Company_Master'!$D$2:$D$94,'Company_Master'!$B$2:$B$94,""),"")</f>
        <v>LSIP</v>
      </c>
      <c r="C49" s="20">
        <v>2024</v>
      </c>
      <c r="D49" s="19" t="str">
        <f t="array" ref="D49">IFERROR(_xlfn.XLOOKUP($A49&amp;"|"&amp;$C49,'Company_Master'!$A$2:$A$94&amp;"|"&amp;'Company_Master'!$D$2:$D$94,'Company_Master'!$H$2:$H$94,""),"")</f>
        <v>North Sumatra/South Sumatra/East Kalimantan/Java/Sulawesi</v>
      </c>
      <c r="E49" s="20">
        <f t="array" ref="E49">IFERROR(_xlfn.XLOOKUP($A49&amp;"|"&amp;$C49,Asset_Operations!$A$2:$A$201&amp;"|"&amp;Asset_Operations!$BG$2:$BG$201,Asset_Operations!$B$2:$B$201,""),"")</f>
        <v>111367</v>
      </c>
      <c r="F49" s="20">
        <f t="array" ref="F49">IFERROR(_xlfn.XLOOKUP($A49&amp;"|"&amp;$C49,Asset_Operations!$A$2:$A$201&amp;"|"&amp;Asset_Operations!$BG$2:$BG$201,Asset_Operations!$E$2:$E$201,""),"")</f>
        <v>84941</v>
      </c>
      <c r="G49" s="20">
        <f t="array" ref="G49">IFERROR(_xlfn.XLOOKUP($A49&amp;"|"&amp;$C49,Asset_Operations!$A$2:$A$201&amp;"|"&amp;Asset_Operations!$BG$2:$BG$201,Asset_Operations!$I$2:$I$201,""),"")</f>
        <v>19</v>
      </c>
      <c r="H49" s="20">
        <f t="array" ref="H49">IFERROR(_xlfn.XLOOKUP($A49&amp;"|"&amp;$C49,Asset_Operations!$A$2:$A$201&amp;"|"&amp;Asset_Operations!$BG$2:$BG$201,Asset_Operations!$J$2:$J$201,""),"")</f>
        <v>0</v>
      </c>
      <c r="I49" s="20">
        <f t="array" ref="I49">IFERROR(_xlfn.XLOOKUP($A49&amp;"|"&amp;$C49,Asset_Operations!$A$2:$A$201&amp;"|"&amp;Asset_Operations!$BG$2:$BG$201,Asset_Operations!$O$2:$O$201,""),"")</f>
        <v>12</v>
      </c>
      <c r="J49" s="20">
        <f t="array" ref="J49">IFERROR(_xlfn.XLOOKUP($A49&amp;"|"&amp;$C49,Asset_Operations!$A$2:$A$201&amp;"|"&amp;Asset_Operations!$BG$2:$BG$201,Asset_Operations!$S$2:$S$201,""),"")</f>
        <v>0</v>
      </c>
      <c r="K49" s="20">
        <f t="array" ref="K49">IFERROR(_xlfn.XLOOKUP($A49&amp;"|"&amp;$C49,Asset_Operations!$A$2:$A$201&amp;"|"&amp;Asset_Operations!$BG$2:$BG$201,Asset_Operations!$AC$2:$AC$201,""),"")</f>
        <v>1173000</v>
      </c>
      <c r="L49" s="20">
        <f t="array" ref="L49">IFERROR(_xlfn.XLOOKUP($A49&amp;"|"&amp;$C49,Asset_Operations!$A$2:$A$201&amp;"|"&amp;Asset_Operations!$BG$2:$BG$201,Asset_Operations!$AG$2:$AG$201,""),"")</f>
        <v>287000</v>
      </c>
      <c r="M49" s="20">
        <f t="array" ref="M49">IFERROR(_xlfn.XLOOKUP($A49&amp;"|"&amp;$C49,Asset_Operations!$A$2:$A$201&amp;"|"&amp;Asset_Operations!$BG$2:$BG$201,Asset_Operations!$AO$2:$AO$201,""),"")</f>
        <v>13.809585476978137</v>
      </c>
      <c r="N49" s="21" t="str">
        <f t="array" ref="N49">IFERROR(_xlfn.XLOOKUP($A49&amp;"|"&amp;$C49,Asset_Operations!$A$2:$A$201&amp;"|"&amp;Asset_Operations!$BG$2:$BG$201,Asset_Operations!$AR$2:$AR$201,""),"")</f>
        <v/>
      </c>
      <c r="O49" s="22">
        <f t="array" ref="O49">IFERROR(_xlfn.XLOOKUP($A49&amp;"|"&amp;$C49,Financials!$A$2:$A$201&amp;"|"&amp;Financials!$B$2:$B$201,Financials!$C$2:$C$201,""),"")</f>
        <v>4563</v>
      </c>
      <c r="P49" s="22">
        <f t="array" ref="P49">IFERROR(_xlfn.XLOOKUP($A49&amp;"|"&amp;$C49,Financials!$A$2:$A$201&amp;"|"&amp;Financials!$B$2:$B$201,Financials!$E$2:$E$201,""),"")</f>
        <v>2099</v>
      </c>
      <c r="Q49" s="22">
        <f t="array" ref="Q49">IFERROR(_xlfn.XLOOKUP($A49&amp;"|"&amp;$C49,Financials!$A$2:$A$201&amp;"|"&amp;Financials!$B$2:$B$201,Financials!$G$2:$G$201,""),"")</f>
        <v>1476</v>
      </c>
      <c r="R49" s="22">
        <f t="array" ref="R49">IFERROR(_xlfn.XLOOKUP($A49&amp;"|"&amp;$C49,Financials!$A$2:$A$201&amp;"|"&amp;Financials!$B$2:$B$201,Financials!$S$2:$S$201,""),"")</f>
        <v>-5454</v>
      </c>
      <c r="S49" s="22">
        <f t="array" ref="S49">IFERROR(_xlfn.XLOOKUP($A49&amp;"|"&amp;$C49,Financials!$A$2:$A$201&amp;"|"&amp;Financials!$B$2:$B$201,Financials!$AC$2:$AC$201,""),"")</f>
        <v>6649.5</v>
      </c>
      <c r="T49" s="23">
        <f t="shared" si="5"/>
        <v>0.46000438308130615</v>
      </c>
      <c r="U49" s="24">
        <f t="shared" si="6"/>
        <v>-2.5983801810385896</v>
      </c>
      <c r="V49" s="25">
        <f t="shared" si="7"/>
        <v>4.0972640010056842E-2</v>
      </c>
      <c r="W49" s="24">
        <f t="shared" si="8"/>
        <v>3.3788158839665181</v>
      </c>
      <c r="X49" s="26">
        <f>IFERROR(IF(NOT(ISNUMBER($E49)),"",IF($E49&gt;=Scoring_Criteria!$D$4,5,IF($E49&gt;=Scoring_Criteria!$E$4,4,IF($E49&gt;=Scoring_Criteria!$F$4,3,IF($E49&gt;=Scoring_Criteria!$G$4,2,1))))),"")</f>
        <v>4</v>
      </c>
      <c r="Y49" s="26">
        <f>IFERROR(IF(OR(NOT(ISNUMBER($F49)),NOT(ISNUMBER($E49)),$E49=0),"",IF(($F49/$E49)&gt;=Scoring_Criteria!$D$5,5,IF(($F49/$E49)&gt;=Scoring_Criteria!$E$5,4,IF(($F49/$E49)&gt;=Scoring_Criteria!$F$5,3,IF(($F49/$E49)&gt;=Scoring_Criteria!$G$5,2,1))))),"")</f>
        <v>5</v>
      </c>
      <c r="Z49" s="26">
        <f>IFERROR(IF(AND(NOT(ISNUMBER($I49)),NOT(ISNUMBER($J49))),"",IF((IFERROR($I49,0)+IFERROR($J49,0))&gt;=Scoring_Criteria!$D$6,5,IF((IFERROR($I49,0)+IFERROR($J49,0))&gt;=Scoring_Criteria!$E$6,4,IF((IFERROR($I49,0)+IFERROR($J49,0))&gt;=Scoring_Criteria!$F$6,3,IF((IFERROR($I49,0)+IFERROR($J49,0))&gt;=Scoring_Criteria!$G$6,2,1))))),"")</f>
        <v>5</v>
      </c>
      <c r="AA49" s="26">
        <f>IFERROR(IF(NOT(ISNUMBER($M49)),"",IF($M49&gt;=Scoring_Criteria!$D$7,5,IF($M49&gt;=Scoring_Criteria!$E$7,4,IF($M49&gt;=Scoring_Criteria!$F$7,3,IF($M49&gt;=Scoring_Criteria!$G$7,2,1))))),"")</f>
        <v>2</v>
      </c>
      <c r="AB49" s="26">
        <f>IFERROR(IF(NOT(ISNUMBER($T49)),"",IF($T49&gt;=Scoring_Criteria!$D$8,5,IF($T49&gt;=Scoring_Criteria!$E$8,4,IF($T49&gt;=Scoring_Criteria!$F$8,3,IF($T49&gt;=Scoring_Criteria!$G$8,2,1))))),"")</f>
        <v>5</v>
      </c>
      <c r="AC49" s="26">
        <f>IFERROR(IF(NOT(ISNUMBER($U49)),"",IF($U49&lt;=Scoring_Criteria!$D$9,5,IF($U49&lt;=Scoring_Criteria!$E$9,4,IF($U49&lt;=Scoring_Criteria!$F$9,3,IF($U49&lt;=Scoring_Criteria!$G$9,2,1))))),"")</f>
        <v>5</v>
      </c>
      <c r="AD49" s="26">
        <f t="array" ref="AD49">IFERROR(IF(NOT(ISNUMBER(_xlfn.XLOOKUP($A49&amp;"|"&amp;$C49,Financials!$A$2:$A$201&amp;"|"&amp;Financials!$B$2:$B$201,Financials!$AD$2:$AD$201,""))),"",IF(_xlfn.XLOOKUP($A49&amp;"|"&amp;$C49,Financials!$A$2:$A$201&amp;"|"&amp;Financials!$B$2:$B$201,Financials!$AD$2:$AD$201,"")&gt;=Scoring_Criteria!$D$10,5,IF(_xlfn.XLOOKUP($A49&amp;"|"&amp;$C49,Financials!$A$2:$A$201&amp;"|"&amp;Financials!$B$2:$B$201,Financials!$AD$2:$AD$201,"")&gt;=Scoring_Criteria!$E$10,4,IF(_xlfn.XLOOKUP($A49&amp;"|"&amp;$C49,Financials!$A$2:$A$201&amp;"|"&amp;Financials!$B$2:$B$201,Financials!$AD$2:$AD$201,"")&gt;=Scoring_Criteria!$F$10,3,IF(_xlfn.XLOOKUP($A49&amp;"|"&amp;$C49,Financials!$A$2:$A$201&amp;"|"&amp;Financials!$B$2:$B$201,Financials!$AD$2:$AD$201,"")&gt;=Scoring_Criteria!$G$10,2,1))))),"")</f>
        <v>5</v>
      </c>
      <c r="AE49" s="27"/>
      <c r="AF49" s="27"/>
      <c r="AG49" s="28">
        <f t="shared" si="9"/>
        <v>4.4285714285714288</v>
      </c>
      <c r="AH49" s="29"/>
      <c r="AI49" s="29"/>
      <c r="AJ49" s="29"/>
      <c r="AK49" s="29"/>
      <c r="AL49" s="29"/>
      <c r="AM49" s="29"/>
      <c r="AN49" s="29"/>
      <c r="AO49" s="29"/>
      <c r="AP49" s="29"/>
      <c r="AQ49" s="29"/>
      <c r="AR49" s="29"/>
      <c r="AS49" s="29"/>
      <c r="AT49" s="29"/>
      <c r="AU49" t="str">
        <f>IFERROR(Validation_Summary!Q5,"")</f>
        <v>✓ All 8 checks passed</v>
      </c>
    </row>
    <row r="50" spans="1:47" ht="15" customHeight="1" x14ac:dyDescent="0.3">
      <c r="A50" s="6" t="s">
        <v>4718</v>
      </c>
      <c r="B50" s="19" t="str">
        <f t="array" ref="B50">IFERROR(_xlfn.XLOOKUP($A50&amp;"|"&amp;$C50,'Company_Master'!$A$2:$A$94&amp;"|"&amp;'Company_Master'!$D$2:$D$94,'Company_Master'!$B$2:$B$94,""),"")</f>
        <v>MAGP</v>
      </c>
      <c r="C50" s="20">
        <v>2022</v>
      </c>
      <c r="D50" s="19" t="str">
        <f t="array" ref="D50">IFERROR(_xlfn.XLOOKUP($A50&amp;"|"&amp;$C50,'Company_Master'!$A$2:$A$94&amp;"|"&amp;'Company_Master'!$D$2:$D$94,'Company_Master'!$H$2:$H$94,""),"")</f>
        <v>Aceh, Riau, Kalimantan Barat, Kalimantan Tengah</v>
      </c>
      <c r="E50" s="20">
        <f t="array" ref="E50">IFERROR(_xlfn.XLOOKUP($A50&amp;"|"&amp;$C50,Asset_Operations!$A$2:$A$201&amp;"|"&amp;Asset_Operations!$BG$2:$BG$201,Asset_Operations!$B$2:$B$201,""),"")</f>
        <v>0</v>
      </c>
      <c r="F50" s="20">
        <f t="array" ref="F50">IFERROR(_xlfn.XLOOKUP($A50&amp;"|"&amp;$C50,Asset_Operations!$A$2:$A$201&amp;"|"&amp;Asset_Operations!$BG$2:$BG$201,Asset_Operations!$E$2:$E$201,""),"")</f>
        <v>0</v>
      </c>
      <c r="G50" s="20">
        <f t="array" ref="G50">IFERROR(_xlfn.XLOOKUP($A50&amp;"|"&amp;$C50,Asset_Operations!$A$2:$A$201&amp;"|"&amp;Asset_Operations!$BG$2:$BG$201,Asset_Operations!$I$2:$I$201,""),"")</f>
        <v>0</v>
      </c>
      <c r="H50" s="20">
        <f t="array" ref="H50">IFERROR(_xlfn.XLOOKUP($A50&amp;"|"&amp;$C50,Asset_Operations!$A$2:$A$201&amp;"|"&amp;Asset_Operations!$BG$2:$BG$201,Asset_Operations!$J$2:$J$201,""),"")</f>
        <v>0</v>
      </c>
      <c r="I50" s="20">
        <f t="array" ref="I50">IFERROR(_xlfn.XLOOKUP($A50&amp;"|"&amp;$C50,Asset_Operations!$A$2:$A$201&amp;"|"&amp;Asset_Operations!$BG$2:$BG$201,Asset_Operations!$O$2:$O$201,""),"")</f>
        <v>0</v>
      </c>
      <c r="J50" s="20">
        <f t="array" ref="J50">IFERROR(_xlfn.XLOOKUP($A50&amp;"|"&amp;$C50,Asset_Operations!$A$2:$A$201&amp;"|"&amp;Asset_Operations!$BG$2:$BG$201,Asset_Operations!$S$2:$S$201,""),"")</f>
        <v>0</v>
      </c>
      <c r="K50" s="20">
        <f t="array" ref="K50">IFERROR(_xlfn.XLOOKUP($A50&amp;"|"&amp;$C50,Asset_Operations!$A$2:$A$201&amp;"|"&amp;Asset_Operations!$BG$2:$BG$201,Asset_Operations!$AC$2:$AC$201,""),"")</f>
        <v>0</v>
      </c>
      <c r="L50" s="20">
        <f t="array" ref="L50">IFERROR(_xlfn.XLOOKUP($A50&amp;"|"&amp;$C50,Asset_Operations!$A$2:$A$201&amp;"|"&amp;Asset_Operations!$BG$2:$BG$201,Asset_Operations!$AG$2:$AG$201,""),"")</f>
        <v>0</v>
      </c>
      <c r="M50" s="20" t="str">
        <f t="array" ref="M50">IFERROR(_xlfn.XLOOKUP($A50&amp;"|"&amp;$C50,Asset_Operations!$A$2:$A$201&amp;"|"&amp;Asset_Operations!$BG$2:$BG$201,Asset_Operations!$AO$2:$AO$201,""),"")</f>
        <v/>
      </c>
      <c r="N50" s="21" t="str">
        <f t="array" ref="N50">IFERROR(_xlfn.XLOOKUP($A50&amp;"|"&amp;$C50,Asset_Operations!$A$2:$A$201&amp;"|"&amp;Asset_Operations!$BG$2:$BG$201,Asset_Operations!$AR$2:$AR$201,""),"")</f>
        <v/>
      </c>
      <c r="O50" s="22">
        <f t="array" ref="O50">IFERROR(_xlfn.XLOOKUP($A50&amp;"|"&amp;$C50,Financials!$A$2:$A$201&amp;"|"&amp;Financials!$B$2:$B$201,Financials!$C$2:$C$201,""),"")</f>
        <v>32.270000000000003</v>
      </c>
      <c r="P50" s="22">
        <f t="array" ref="P50">IFERROR(_xlfn.XLOOKUP($A50&amp;"|"&amp;$C50,Financials!$A$2:$A$201&amp;"|"&amp;Financials!$B$2:$B$201,Financials!$E$2:$E$201,""),"")</f>
        <v>0</v>
      </c>
      <c r="Q50" s="22">
        <f t="array" ref="Q50">IFERROR(_xlfn.XLOOKUP($A50&amp;"|"&amp;$C50,Financials!$A$2:$A$201&amp;"|"&amp;Financials!$B$2:$B$201,Financials!$G$2:$G$201,""),"")</f>
        <v>-10.68</v>
      </c>
      <c r="R50" s="22">
        <f t="array" ref="R50">IFERROR(_xlfn.XLOOKUP($A50&amp;"|"&amp;$C50,Financials!$A$2:$A$201&amp;"|"&amp;Financials!$B$2:$B$201,Financials!$S$2:$S$201,""),"")</f>
        <v>356.33</v>
      </c>
      <c r="S50" s="22">
        <f t="array" ref="S50">IFERROR(_xlfn.XLOOKUP($A50&amp;"|"&amp;$C50,Financials!$A$2:$A$201&amp;"|"&amp;Financials!$B$2:$B$201,Financials!$AC$2:$AC$201,""),"")</f>
        <v>0</v>
      </c>
      <c r="T50" s="23">
        <f t="shared" si="5"/>
        <v>0</v>
      </c>
      <c r="U50" s="24" t="str">
        <f t="shared" si="6"/>
        <v/>
      </c>
      <c r="V50" s="25" t="str">
        <f t="shared" si="7"/>
        <v/>
      </c>
      <c r="W50" s="24" t="str">
        <f t="shared" si="8"/>
        <v/>
      </c>
      <c r="X50" s="26">
        <f>IFERROR(IF(NOT(ISNUMBER($E50)),"",IF($E50&gt;=Scoring_Criteria!$D$4,5,IF($E50&gt;=Scoring_Criteria!$E$4,4,IF($E50&gt;=Scoring_Criteria!$F$4,3,IF($E50&gt;=Scoring_Criteria!$G$4,2,1))))),"")</f>
        <v>1</v>
      </c>
      <c r="Y50" s="26" t="str">
        <f>IFERROR(IF(OR(NOT(ISNUMBER($F50)),NOT(ISNUMBER($E50)),$E50=0),"",IF(($F50/$E50)&gt;=Scoring_Criteria!$D$5,5,IF(($F50/$E50)&gt;=Scoring_Criteria!$E$5,4,IF(($F50/$E50)&gt;=Scoring_Criteria!$F$5,3,IF(($F50/$E50)&gt;=Scoring_Criteria!$G$5,2,1))))),"")</f>
        <v/>
      </c>
      <c r="Z50" s="26">
        <f>IFERROR(IF(AND(NOT(ISNUMBER($I50)),NOT(ISNUMBER($J50))),"",IF((IFERROR($I50,0)+IFERROR($J50,0))&gt;=Scoring_Criteria!$D$6,5,IF((IFERROR($I50,0)+IFERROR($J50,0))&gt;=Scoring_Criteria!$E$6,4,IF((IFERROR($I50,0)+IFERROR($J50,0))&gt;=Scoring_Criteria!$F$6,3,IF((IFERROR($I50,0)+IFERROR($J50,0))&gt;=Scoring_Criteria!$G$6,2,1))))),"")</f>
        <v>1</v>
      </c>
      <c r="AA50" s="26" t="str">
        <f>IFERROR(IF(NOT(ISNUMBER($M50)),"",IF($M50&gt;=Scoring_Criteria!$D$7,5,IF($M50&gt;=Scoring_Criteria!$E$7,4,IF($M50&gt;=Scoring_Criteria!$F$7,3,IF($M50&gt;=Scoring_Criteria!$G$7,2,1))))),"")</f>
        <v/>
      </c>
      <c r="AB50" s="26">
        <f>IFERROR(IF(NOT(ISNUMBER($T50)),"",IF($T50&gt;=Scoring_Criteria!$D$8,5,IF($T50&gt;=Scoring_Criteria!$E$8,4,IF($T50&gt;=Scoring_Criteria!$F$8,3,IF($T50&gt;=Scoring_Criteria!$G$8,2,1))))),"")</f>
        <v>1</v>
      </c>
      <c r="AC50" s="26" t="str">
        <f>IFERROR(IF(NOT(ISNUMBER($U50)),"",IF($U50&lt;=Scoring_Criteria!$D$9,5,IF($U50&lt;=Scoring_Criteria!$E$9,4,IF($U50&lt;=Scoring_Criteria!$F$9,3,IF($U50&lt;=Scoring_Criteria!$G$9,2,1))))),"")</f>
        <v/>
      </c>
      <c r="AD50" s="26">
        <f t="array" ref="AD50">IFERROR(IF(NOT(ISNUMBER(_xlfn.XLOOKUP($A50&amp;"|"&amp;$C50,Financials!$A$2:$A$201&amp;"|"&amp;Financials!$B$2:$B$201,Financials!$AD$2:$AD$201,""))),"",IF(_xlfn.XLOOKUP($A50&amp;"|"&amp;$C50,Financials!$A$2:$A$201&amp;"|"&amp;Financials!$B$2:$B$201,Financials!$AD$2:$AD$201,"")&gt;=Scoring_Criteria!$D$10,5,IF(_xlfn.XLOOKUP($A50&amp;"|"&amp;$C50,Financials!$A$2:$A$201&amp;"|"&amp;Financials!$B$2:$B$201,Financials!$AD$2:$AD$201,"")&gt;=Scoring_Criteria!$E$10,4,IF(_xlfn.XLOOKUP($A50&amp;"|"&amp;$C50,Financials!$A$2:$A$201&amp;"|"&amp;Financials!$B$2:$B$201,Financials!$AD$2:$AD$201,"")&gt;=Scoring_Criteria!$F$10,3,IF(_xlfn.XLOOKUP($A50&amp;"|"&amp;$C50,Financials!$A$2:$A$201&amp;"|"&amp;Financials!$B$2:$B$201,Financials!$AD$2:$AD$201,"")&gt;=Scoring_Criteria!$G$10,2,1))))),"")</f>
        <v>1</v>
      </c>
      <c r="AE50" s="27"/>
      <c r="AF50" s="27"/>
      <c r="AG50" s="28">
        <f t="shared" si="9"/>
        <v>1</v>
      </c>
      <c r="AH50" s="29"/>
      <c r="AI50" s="29"/>
      <c r="AJ50" s="29"/>
      <c r="AK50" s="29"/>
      <c r="AL50" s="29"/>
      <c r="AM50" s="29"/>
      <c r="AN50" s="29"/>
      <c r="AO50" s="29"/>
      <c r="AP50" s="29"/>
      <c r="AQ50" s="29"/>
      <c r="AR50" s="29"/>
      <c r="AS50" s="29"/>
      <c r="AT50" s="29"/>
      <c r="AU50" t="str">
        <f>IFERROR(Validation_Summary!Q5,"")</f>
        <v>✓ All 8 checks passed</v>
      </c>
    </row>
    <row r="51" spans="1:47" ht="15" customHeight="1" x14ac:dyDescent="0.3">
      <c r="A51" s="6" t="s">
        <v>4840</v>
      </c>
      <c r="B51" s="19" t="str">
        <f t="array" ref="B51">IFERROR(_xlfn.XLOOKUP($A51&amp;"|"&amp;$C51,'Company_Master'!$A$2:$A$94&amp;"|"&amp;'Company_Master'!$D$2:$D$94,'Company_Master'!$B$2:$B$94,""),"")</f>
        <v>MGRO</v>
      </c>
      <c r="C51" s="20">
        <v>2022</v>
      </c>
      <c r="D51" s="19" t="str">
        <f t="array" ref="D51">IFERROR(_xlfn.XLOOKUP($A51&amp;"|"&amp;$C51,'Company_Master'!$A$2:$A$94&amp;"|"&amp;'Company_Master'!$D$2:$D$94,'Company_Master'!$H$2:$H$94,""),"")</f>
        <v>Riau / North Sumatra / South Sumatra (Sumatra-focused)</v>
      </c>
      <c r="E51" s="20">
        <f t="array" ref="E51">IFERROR(_xlfn.XLOOKUP($A51&amp;"|"&amp;$C51,Asset_Operations!$A$2:$A$201&amp;"|"&amp;Asset_Operations!$BG$2:$BG$201,Asset_Operations!$B$2:$B$201,""),"")</f>
        <v>391.29</v>
      </c>
      <c r="F51" s="20">
        <f t="array" ref="F51">IFERROR(_xlfn.XLOOKUP($A51&amp;"|"&amp;$C51,Asset_Operations!$A$2:$A$201&amp;"|"&amp;Asset_Operations!$BG$2:$BG$201,Asset_Operations!$E$2:$E$201,""),"")</f>
        <v>169.72</v>
      </c>
      <c r="G51" s="20">
        <f t="array" ref="G51">IFERROR(_xlfn.XLOOKUP($A51&amp;"|"&amp;$C51,Asset_Operations!$A$2:$A$201&amp;"|"&amp;Asset_Operations!$BG$2:$BG$201,Asset_Operations!$I$2:$I$201,""),"")</f>
        <v>0</v>
      </c>
      <c r="H51" s="20">
        <f t="array" ref="H51">IFERROR(_xlfn.XLOOKUP($A51&amp;"|"&amp;$C51,Asset_Operations!$A$2:$A$201&amp;"|"&amp;Asset_Operations!$BG$2:$BG$201,Asset_Operations!$J$2:$J$201,""),"")</f>
        <v>0</v>
      </c>
      <c r="I51" s="20">
        <f t="array" ref="I51">IFERROR(_xlfn.XLOOKUP($A51&amp;"|"&amp;$C51,Asset_Operations!$A$2:$A$201&amp;"|"&amp;Asset_Operations!$BG$2:$BG$201,Asset_Operations!$O$2:$O$201,""),"")</f>
        <v>5</v>
      </c>
      <c r="J51" s="20">
        <f t="array" ref="J51">IFERROR(_xlfn.XLOOKUP($A51&amp;"|"&amp;$C51,Asset_Operations!$A$2:$A$201&amp;"|"&amp;Asset_Operations!$BG$2:$BG$201,Asset_Operations!$S$2:$S$201,""),"")</f>
        <v>1</v>
      </c>
      <c r="K51" s="20">
        <f t="array" ref="K51">IFERROR(_xlfn.XLOOKUP($A51&amp;"|"&amp;$C51,Asset_Operations!$A$2:$A$201&amp;"|"&amp;Asset_Operations!$BG$2:$BG$201,Asset_Operations!$AC$2:$AC$201,""),"")</f>
        <v>0</v>
      </c>
      <c r="L51" s="20">
        <f t="array" ref="L51">IFERROR(_xlfn.XLOOKUP($A51&amp;"|"&amp;$C51,Asset_Operations!$A$2:$A$201&amp;"|"&amp;Asset_Operations!$BG$2:$BG$201,Asset_Operations!$AG$2:$AG$201,""),"")</f>
        <v>278280</v>
      </c>
      <c r="M51" s="20">
        <f t="array" ref="M51">IFERROR(_xlfn.XLOOKUP($A51&amp;"|"&amp;$C51,Asset_Operations!$A$2:$A$201&amp;"|"&amp;Asset_Operations!$BG$2:$BG$201,Asset_Operations!$AO$2:$AO$201,""),"")</f>
        <v>0</v>
      </c>
      <c r="N51" s="21">
        <f t="array" ref="N51">IFERROR(_xlfn.XLOOKUP($A51&amp;"|"&amp;$C51,Asset_Operations!$A$2:$A$201&amp;"|"&amp;Asset_Operations!$BG$2:$BG$201,Asset_Operations!$AR$2:$AR$201,""),"")</f>
        <v>0.1847672581901334</v>
      </c>
      <c r="O51" s="22">
        <f t="array" ref="O51">IFERROR(_xlfn.XLOOKUP($A51&amp;"|"&amp;$C51,Financials!$A$2:$A$201&amp;"|"&amp;Financials!$B$2:$B$201,Financials!$C$2:$C$201,""),"")</f>
        <v>7505.7</v>
      </c>
      <c r="P51" s="22">
        <f t="array" ref="P51">IFERROR(_xlfn.XLOOKUP($A51&amp;"|"&amp;$C51,Financials!$A$2:$A$201&amp;"|"&amp;Financials!$B$2:$B$201,Financials!$E$2:$E$201,""),"")</f>
        <v>0</v>
      </c>
      <c r="Q51" s="22">
        <f t="array" ref="Q51">IFERROR(_xlfn.XLOOKUP($A51&amp;"|"&amp;$C51,Financials!$A$2:$A$201&amp;"|"&amp;Financials!$B$2:$B$201,Financials!$G$2:$G$201,""),"")</f>
        <v>-34.79</v>
      </c>
      <c r="R51" s="22">
        <f t="array" ref="R51">IFERROR(_xlfn.XLOOKUP($A51&amp;"|"&amp;$C51,Financials!$A$2:$A$201&amp;"|"&amp;Financials!$B$2:$B$201,Financials!$S$2:$S$201,""),"")</f>
        <v>1200.3000000000002</v>
      </c>
      <c r="S51" s="22">
        <f t="array" ref="S51">IFERROR(_xlfn.XLOOKUP($A51&amp;"|"&amp;$C51,Financials!$A$2:$A$201&amp;"|"&amp;Financials!$B$2:$B$201,Financials!$AC$2:$AC$201,""),"")</f>
        <v>3003.5102499999998</v>
      </c>
      <c r="T51" s="23">
        <f t="shared" si="5"/>
        <v>0</v>
      </c>
      <c r="U51" s="24" t="str">
        <f t="shared" si="6"/>
        <v/>
      </c>
      <c r="V51" s="25">
        <f t="shared" si="7"/>
        <v>19.181936671011268</v>
      </c>
      <c r="W51" s="24">
        <f t="shared" si="8"/>
        <v>1639.6417629036059</v>
      </c>
      <c r="X51" s="26">
        <f>IFERROR(IF(NOT(ISNUMBER($E51)),"",IF($E51&gt;=Scoring_Criteria!$D$4,5,IF($E51&gt;=Scoring_Criteria!$E$4,4,IF($E51&gt;=Scoring_Criteria!$F$4,3,IF($E51&gt;=Scoring_Criteria!$G$4,2,1))))),"")</f>
        <v>1</v>
      </c>
      <c r="Y51" s="26">
        <f>IFERROR(IF(OR(NOT(ISNUMBER($F51)),NOT(ISNUMBER($E51)),$E51=0),"",IF(($F51/$E51)&gt;=Scoring_Criteria!$D$5,5,IF(($F51/$E51)&gt;=Scoring_Criteria!$E$5,4,IF(($F51/$E51)&gt;=Scoring_Criteria!$F$5,3,IF(($F51/$E51)&gt;=Scoring_Criteria!$G$5,2,1))))),"")</f>
        <v>1</v>
      </c>
      <c r="Z51" s="26">
        <f>IFERROR(IF(AND(NOT(ISNUMBER($I51)),NOT(ISNUMBER($J51))),"",IF((IFERROR($I51,0)+IFERROR($J51,0))&gt;=Scoring_Criteria!$D$6,5,IF((IFERROR($I51,0)+IFERROR($J51,0))&gt;=Scoring_Criteria!$E$6,4,IF((IFERROR($I51,0)+IFERROR($J51,0))&gt;=Scoring_Criteria!$F$6,3,IF((IFERROR($I51,0)+IFERROR($J51,0))&gt;=Scoring_Criteria!$G$6,2,1))))),"")</f>
        <v>4</v>
      </c>
      <c r="AA51" s="26">
        <f>IFERROR(IF(NOT(ISNUMBER($M51)),"",IF($M51&gt;=Scoring_Criteria!$D$7,5,IF($M51&gt;=Scoring_Criteria!$E$7,4,IF($M51&gt;=Scoring_Criteria!$F$7,3,IF($M51&gt;=Scoring_Criteria!$G$7,2,1))))),"")</f>
        <v>1</v>
      </c>
      <c r="AB51" s="26">
        <f>IFERROR(IF(NOT(ISNUMBER($T51)),"",IF($T51&gt;=Scoring_Criteria!$D$8,5,IF($T51&gt;=Scoring_Criteria!$E$8,4,IF($T51&gt;=Scoring_Criteria!$F$8,3,IF($T51&gt;=Scoring_Criteria!$G$8,2,1))))),"")</f>
        <v>1</v>
      </c>
      <c r="AC51" s="26" t="str">
        <f>IFERROR(IF(NOT(ISNUMBER($U51)),"",IF($U51&lt;=Scoring_Criteria!$D$9,5,IF($U51&lt;=Scoring_Criteria!$E$9,4,IF($U51&lt;=Scoring_Criteria!$F$9,3,IF($U51&lt;=Scoring_Criteria!$G$9,2,1))))),"")</f>
        <v/>
      </c>
      <c r="AD51" s="26">
        <f t="array" ref="AD51">IFERROR(IF(NOT(ISNUMBER(_xlfn.XLOOKUP($A51&amp;"|"&amp;$C51,Financials!$A$2:$A$201&amp;"|"&amp;Financials!$B$2:$B$201,Financials!$AD$2:$AD$201,""))),"",IF(_xlfn.XLOOKUP($A51&amp;"|"&amp;$C51,Financials!$A$2:$A$201&amp;"|"&amp;Financials!$B$2:$B$201,Financials!$AD$2:$AD$201,"")&gt;=Scoring_Criteria!$D$10,5,IF(_xlfn.XLOOKUP($A51&amp;"|"&amp;$C51,Financials!$A$2:$A$201&amp;"|"&amp;Financials!$B$2:$B$201,Financials!$AD$2:$AD$201,"")&gt;=Scoring_Criteria!$E$10,4,IF(_xlfn.XLOOKUP($A51&amp;"|"&amp;$C51,Financials!$A$2:$A$201&amp;"|"&amp;Financials!$B$2:$B$201,Financials!$AD$2:$AD$201,"")&gt;=Scoring_Criteria!$F$10,3,IF(_xlfn.XLOOKUP($A51&amp;"|"&amp;$C51,Financials!$A$2:$A$201&amp;"|"&amp;Financials!$B$2:$B$201,Financials!$AD$2:$AD$201,"")&gt;=Scoring_Criteria!$G$10,2,1))))),"")</f>
        <v>2</v>
      </c>
      <c r="AE51" s="27"/>
      <c r="AF51" s="27"/>
      <c r="AG51" s="28">
        <f t="shared" si="9"/>
        <v>1.6666666666666667</v>
      </c>
      <c r="AH51" s="29"/>
      <c r="AI51" s="29"/>
      <c r="AJ51" s="29"/>
      <c r="AK51" s="29"/>
      <c r="AL51" s="29"/>
      <c r="AM51" s="29"/>
      <c r="AN51" s="29"/>
      <c r="AO51" s="29"/>
      <c r="AP51" s="29"/>
      <c r="AQ51" s="29"/>
      <c r="AR51" s="29"/>
      <c r="AS51" s="29"/>
      <c r="AT51" s="29"/>
      <c r="AU51" t="str">
        <f>IFERROR(Validation_Summary!Q5,"")</f>
        <v>✓ All 8 checks passed</v>
      </c>
    </row>
    <row r="52" spans="1:47" ht="15" customHeight="1" x14ac:dyDescent="0.3">
      <c r="A52" s="6" t="s">
        <v>4840</v>
      </c>
      <c r="B52" s="19" t="str">
        <f t="array" ref="B52">IFERROR(_xlfn.XLOOKUP($A52&amp;"|"&amp;$C52,'Company_Master'!$A$2:$A$94&amp;"|"&amp;'Company_Master'!$D$2:$D$94,'Company_Master'!$B$2:$B$94,""),"")</f>
        <v>MGRO</v>
      </c>
      <c r="C52" s="20">
        <v>2023</v>
      </c>
      <c r="D52" s="19" t="str">
        <f t="array" ref="D52">IFERROR(_xlfn.XLOOKUP($A52&amp;"|"&amp;$C52,'Company_Master'!$A$2:$A$94&amp;"|"&amp;'Company_Master'!$D$2:$D$94,'Company_Master'!$H$2:$H$94,""),"")</f>
        <v>Riau / North Sumatra / South Sumatra (Sumatra-focused)</v>
      </c>
      <c r="E52" s="20">
        <f t="array" ref="E52">IFERROR(_xlfn.XLOOKUP($A52&amp;"|"&amp;$C52,Asset_Operations!$A$2:$A$201&amp;"|"&amp;Asset_Operations!$BG$2:$BG$201,Asset_Operations!$B$2:$B$201,""),"")</f>
        <v>427.88</v>
      </c>
      <c r="F52" s="20">
        <f t="array" ref="F52">IFERROR(_xlfn.XLOOKUP($A52&amp;"|"&amp;$C52,Asset_Operations!$A$2:$A$201&amp;"|"&amp;Asset_Operations!$BG$2:$BG$201,Asset_Operations!$E$2:$E$201,""),"")</f>
        <v>166.92</v>
      </c>
      <c r="G52" s="20">
        <f t="array" ref="G52">IFERROR(_xlfn.XLOOKUP($A52&amp;"|"&amp;$C52,Asset_Operations!$A$2:$A$201&amp;"|"&amp;Asset_Operations!$BG$2:$BG$201,Asset_Operations!$I$2:$I$201,""),"")</f>
        <v>0</v>
      </c>
      <c r="H52" s="20">
        <f t="array" ref="H52">IFERROR(_xlfn.XLOOKUP($A52&amp;"|"&amp;$C52,Asset_Operations!$A$2:$A$201&amp;"|"&amp;Asset_Operations!$BG$2:$BG$201,Asset_Operations!$J$2:$J$201,""),"")</f>
        <v>0</v>
      </c>
      <c r="I52" s="20">
        <f t="array" ref="I52">IFERROR(_xlfn.XLOOKUP($A52&amp;"|"&amp;$C52,Asset_Operations!$A$2:$A$201&amp;"|"&amp;Asset_Operations!$BG$2:$BG$201,Asset_Operations!$O$2:$O$201,""),"")</f>
        <v>5</v>
      </c>
      <c r="J52" s="20">
        <f t="array" ref="J52">IFERROR(_xlfn.XLOOKUP($A52&amp;"|"&amp;$C52,Asset_Operations!$A$2:$A$201&amp;"|"&amp;Asset_Operations!$BG$2:$BG$201,Asset_Operations!$S$2:$S$201,""),"")</f>
        <v>1</v>
      </c>
      <c r="K52" s="20">
        <f t="array" ref="K52">IFERROR(_xlfn.XLOOKUP($A52&amp;"|"&amp;$C52,Asset_Operations!$A$2:$A$201&amp;"|"&amp;Asset_Operations!$BG$2:$BG$201,Asset_Operations!$AC$2:$AC$201,""),"")</f>
        <v>694.59</v>
      </c>
      <c r="L52" s="20">
        <f t="array" ref="L52">IFERROR(_xlfn.XLOOKUP($A52&amp;"|"&amp;$C52,Asset_Operations!$A$2:$A$201&amp;"|"&amp;Asset_Operations!$BG$2:$BG$201,Asset_Operations!$AG$2:$AG$201,""),"")</f>
        <v>256930</v>
      </c>
      <c r="M52" s="20">
        <f t="array" ref="M52">IFERROR(_xlfn.XLOOKUP($A52&amp;"|"&amp;$C52,Asset_Operations!$A$2:$A$201&amp;"|"&amp;Asset_Operations!$BG$2:$BG$201,Asset_Operations!$AO$2:$AO$201,""),"")</f>
        <v>4.1612149532710285</v>
      </c>
      <c r="N52" s="21">
        <f t="array" ref="N52">IFERROR(_xlfn.XLOOKUP($A52&amp;"|"&amp;$C52,Asset_Operations!$A$2:$A$201&amp;"|"&amp;Asset_Operations!$BG$2:$BG$201,Asset_Operations!$AR$2:$AR$201,""),"")</f>
        <v>0.17475675326397841</v>
      </c>
      <c r="O52" s="22">
        <f t="array" ref="O52">IFERROR(_xlfn.XLOOKUP($A52&amp;"|"&amp;$C52,Financials!$A$2:$A$201&amp;"|"&amp;Financials!$B$2:$B$201,Financials!$C$2:$C$201,""),"")</f>
        <v>5425.48</v>
      </c>
      <c r="P52" s="22">
        <f t="array" ref="P52">IFERROR(_xlfn.XLOOKUP($A52&amp;"|"&amp;$C52,Financials!$A$2:$A$201&amp;"|"&amp;Financials!$B$2:$B$201,Financials!$E$2:$E$201,""),"")</f>
        <v>0</v>
      </c>
      <c r="Q52" s="22">
        <f t="array" ref="Q52">IFERROR(_xlfn.XLOOKUP($A52&amp;"|"&amp;$C52,Financials!$A$2:$A$201&amp;"|"&amp;Financials!$B$2:$B$201,Financials!$G$2:$G$201,""),"")</f>
        <v>-172.27</v>
      </c>
      <c r="R52" s="22">
        <f t="array" ref="R52">IFERROR(_xlfn.XLOOKUP($A52&amp;"|"&amp;$C52,Financials!$A$2:$A$201&amp;"|"&amp;Financials!$B$2:$B$201,Financials!$S$2:$S$201,""),"")</f>
        <v>1495.68</v>
      </c>
      <c r="S52" s="22">
        <f t="array" ref="S52">IFERROR(_xlfn.XLOOKUP($A52&amp;"|"&amp;$C52,Financials!$A$2:$A$201&amp;"|"&amp;Financials!$B$2:$B$201,Financials!$AC$2:$AC$201,""),"")</f>
        <v>2505.8872500000002</v>
      </c>
      <c r="T52" s="23">
        <f t="shared" si="5"/>
        <v>0</v>
      </c>
      <c r="U52" s="24" t="str">
        <f t="shared" si="6"/>
        <v/>
      </c>
      <c r="V52" s="25">
        <f t="shared" si="7"/>
        <v>12.679910255211741</v>
      </c>
      <c r="W52" s="24">
        <f t="shared" si="8"/>
        <v>1539.2403546609155</v>
      </c>
      <c r="X52" s="26">
        <f>IFERROR(IF(NOT(ISNUMBER($E52)),"",IF($E52&gt;=Scoring_Criteria!$D$4,5,IF($E52&gt;=Scoring_Criteria!$E$4,4,IF($E52&gt;=Scoring_Criteria!$F$4,3,IF($E52&gt;=Scoring_Criteria!$G$4,2,1))))),"")</f>
        <v>1</v>
      </c>
      <c r="Y52" s="26">
        <f>IFERROR(IF(OR(NOT(ISNUMBER($F52)),NOT(ISNUMBER($E52)),$E52=0),"",IF(($F52/$E52)&gt;=Scoring_Criteria!$D$5,5,IF(($F52/$E52)&gt;=Scoring_Criteria!$E$5,4,IF(($F52/$E52)&gt;=Scoring_Criteria!$F$5,3,IF(($F52/$E52)&gt;=Scoring_Criteria!$G$5,2,1))))),"")</f>
        <v>1</v>
      </c>
      <c r="Z52" s="26">
        <f>IFERROR(IF(AND(NOT(ISNUMBER($I52)),NOT(ISNUMBER($J52))),"",IF((IFERROR($I52,0)+IFERROR($J52,0))&gt;=Scoring_Criteria!$D$6,5,IF((IFERROR($I52,0)+IFERROR($J52,0))&gt;=Scoring_Criteria!$E$6,4,IF((IFERROR($I52,0)+IFERROR($J52,0))&gt;=Scoring_Criteria!$F$6,3,IF((IFERROR($I52,0)+IFERROR($J52,0))&gt;=Scoring_Criteria!$G$6,2,1))))),"")</f>
        <v>4</v>
      </c>
      <c r="AA52" s="26">
        <f>IFERROR(IF(NOT(ISNUMBER($M52)),"",IF($M52&gt;=Scoring_Criteria!$D$7,5,IF($M52&gt;=Scoring_Criteria!$E$7,4,IF($M52&gt;=Scoring_Criteria!$F$7,3,IF($M52&gt;=Scoring_Criteria!$G$7,2,1))))),"")</f>
        <v>1</v>
      </c>
      <c r="AB52" s="26">
        <f>IFERROR(IF(NOT(ISNUMBER($T52)),"",IF($T52&gt;=Scoring_Criteria!$D$8,5,IF($T52&gt;=Scoring_Criteria!$E$8,4,IF($T52&gt;=Scoring_Criteria!$F$8,3,IF($T52&gt;=Scoring_Criteria!$G$8,2,1))))),"")</f>
        <v>1</v>
      </c>
      <c r="AC52" s="26" t="str">
        <f>IFERROR(IF(NOT(ISNUMBER($U52)),"",IF($U52&lt;=Scoring_Criteria!$D$9,5,IF($U52&lt;=Scoring_Criteria!$E$9,4,IF($U52&lt;=Scoring_Criteria!$F$9,3,IF($U52&lt;=Scoring_Criteria!$G$9,2,1))))),"")</f>
        <v/>
      </c>
      <c r="AD52" s="26">
        <f t="array" ref="AD52">IFERROR(IF(NOT(ISNUMBER(_xlfn.XLOOKUP($A52&amp;"|"&amp;$C52,Financials!$A$2:$A$201&amp;"|"&amp;Financials!$B$2:$B$201,Financials!$AD$2:$AD$201,""))),"",IF(_xlfn.XLOOKUP($A52&amp;"|"&amp;$C52,Financials!$A$2:$A$201&amp;"|"&amp;Financials!$B$2:$B$201,Financials!$AD$2:$AD$201,"")&gt;=Scoring_Criteria!$D$10,5,IF(_xlfn.XLOOKUP($A52&amp;"|"&amp;$C52,Financials!$A$2:$A$201&amp;"|"&amp;Financials!$B$2:$B$201,Financials!$AD$2:$AD$201,"")&gt;=Scoring_Criteria!$E$10,4,IF(_xlfn.XLOOKUP($A52&amp;"|"&amp;$C52,Financials!$A$2:$A$201&amp;"|"&amp;Financials!$B$2:$B$201,Financials!$AD$2:$AD$201,"")&gt;=Scoring_Criteria!$F$10,3,IF(_xlfn.XLOOKUP($A52&amp;"|"&amp;$C52,Financials!$A$2:$A$201&amp;"|"&amp;Financials!$B$2:$B$201,Financials!$AD$2:$AD$201,"")&gt;=Scoring_Criteria!$G$10,2,1))))),"")</f>
        <v>1</v>
      </c>
      <c r="AE52" s="27"/>
      <c r="AF52" s="27"/>
      <c r="AG52" s="28">
        <f t="shared" si="9"/>
        <v>1.5</v>
      </c>
      <c r="AH52" s="29"/>
      <c r="AI52" s="29"/>
      <c r="AJ52" s="29"/>
      <c r="AK52" s="29"/>
      <c r="AL52" s="29"/>
      <c r="AM52" s="29"/>
      <c r="AN52" s="29"/>
      <c r="AO52" s="29"/>
      <c r="AP52" s="29"/>
      <c r="AQ52" s="29"/>
      <c r="AR52" s="29"/>
      <c r="AS52" s="29"/>
      <c r="AT52" s="29"/>
      <c r="AU52" t="str">
        <f>IFERROR(Validation_Summary!Q5,"")</f>
        <v>✓ All 8 checks passed</v>
      </c>
    </row>
    <row r="53" spans="1:47" ht="15" customHeight="1" x14ac:dyDescent="0.3">
      <c r="A53" s="6" t="s">
        <v>4840</v>
      </c>
      <c r="B53" s="19" t="str">
        <f t="array" ref="B53">IFERROR(_xlfn.XLOOKUP($A53&amp;"|"&amp;$C53,'Company_Master'!$A$2:$A$94&amp;"|"&amp;'Company_Master'!$D$2:$D$94,'Company_Master'!$B$2:$B$94,""),"")</f>
        <v>MGRO</v>
      </c>
      <c r="C53" s="20">
        <v>2024</v>
      </c>
      <c r="D53" s="19" t="str">
        <f t="array" ref="D53">IFERROR(_xlfn.XLOOKUP($A53&amp;"|"&amp;$C53,'Company_Master'!$A$2:$A$94&amp;"|"&amp;'Company_Master'!$D$2:$D$94,'Company_Master'!$H$2:$H$94,""),"")</f>
        <v>Riau / North Sumatra / South Sumatra (Sumatra-focused)</v>
      </c>
      <c r="E53" s="20">
        <f t="array" ref="E53">IFERROR(_xlfn.XLOOKUP($A53&amp;"|"&amp;$C53,Asset_Operations!$A$2:$A$201&amp;"|"&amp;Asset_Operations!$BG$2:$BG$201,Asset_Operations!$B$2:$B$201,""),"")</f>
        <v>477.85</v>
      </c>
      <c r="F53" s="20">
        <f t="array" ref="F53">IFERROR(_xlfn.XLOOKUP($A53&amp;"|"&amp;$C53,Asset_Operations!$A$2:$A$201&amp;"|"&amp;Asset_Operations!$BG$2:$BG$201,Asset_Operations!$E$2:$E$201,""),"")</f>
        <v>0</v>
      </c>
      <c r="G53" s="20">
        <f t="array" ref="G53">IFERROR(_xlfn.XLOOKUP($A53&amp;"|"&amp;$C53,Asset_Operations!$A$2:$A$201&amp;"|"&amp;Asset_Operations!$BG$2:$BG$201,Asset_Operations!$I$2:$I$201,""),"")</f>
        <v>0</v>
      </c>
      <c r="H53" s="20">
        <f t="array" ref="H53">IFERROR(_xlfn.XLOOKUP($A53&amp;"|"&amp;$C53,Asset_Operations!$A$2:$A$201&amp;"|"&amp;Asset_Operations!$BG$2:$BG$201,Asset_Operations!$J$2:$J$201,""),"")</f>
        <v>0</v>
      </c>
      <c r="I53" s="20">
        <f t="array" ref="I53">IFERROR(_xlfn.XLOOKUP($A53&amp;"|"&amp;$C53,Asset_Operations!$A$2:$A$201&amp;"|"&amp;Asset_Operations!$BG$2:$BG$201,Asset_Operations!$O$2:$O$201,""),"")</f>
        <v>6</v>
      </c>
      <c r="J53" s="20">
        <f t="array" ref="J53">IFERROR(_xlfn.XLOOKUP($A53&amp;"|"&amp;$C53,Asset_Operations!$A$2:$A$201&amp;"|"&amp;Asset_Operations!$BG$2:$BG$201,Asset_Operations!$S$2:$S$201,""),"")</f>
        <v>1</v>
      </c>
      <c r="K53" s="20">
        <f t="array" ref="K53">IFERROR(_xlfn.XLOOKUP($A53&amp;"|"&amp;$C53,Asset_Operations!$A$2:$A$201&amp;"|"&amp;Asset_Operations!$BG$2:$BG$201,Asset_Operations!$AC$2:$AC$201,""),"")</f>
        <v>487</v>
      </c>
      <c r="L53" s="20">
        <f t="array" ref="L53">IFERROR(_xlfn.XLOOKUP($A53&amp;"|"&amp;$C53,Asset_Operations!$A$2:$A$201&amp;"|"&amp;Asset_Operations!$BG$2:$BG$201,Asset_Operations!$AG$2:$AG$201,""),"")</f>
        <v>195440</v>
      </c>
      <c r="M53" s="20" t="str">
        <f t="array" ref="M53">IFERROR(_xlfn.XLOOKUP($A53&amp;"|"&amp;$C53,Asset_Operations!$A$2:$A$201&amp;"|"&amp;Asset_Operations!$BG$2:$BG$201,Asset_Operations!$AO$2:$AO$201,""),"")</f>
        <v/>
      </c>
      <c r="N53" s="21">
        <f t="array" ref="N53">IFERROR(_xlfn.XLOOKUP($A53&amp;"|"&amp;$C53,Asset_Operations!$A$2:$A$201&amp;"|"&amp;Asset_Operations!$BG$2:$BG$201,Asset_Operations!$AR$2:$AR$201,""),"")</f>
        <v>0.17261129339238954</v>
      </c>
      <c r="O53" s="22">
        <f t="array" ref="O53">IFERROR(_xlfn.XLOOKUP($A53&amp;"|"&amp;$C53,Financials!$A$2:$A$201&amp;"|"&amp;Financials!$B$2:$B$201,Financials!$C$2:$C$201,""),"")</f>
        <v>4685.75</v>
      </c>
      <c r="P53" s="22">
        <f t="array" ref="P53">IFERROR(_xlfn.XLOOKUP($A53&amp;"|"&amp;$C53,Financials!$A$2:$A$201&amp;"|"&amp;Financials!$B$2:$B$201,Financials!$E$2:$E$201,""),"")</f>
        <v>0</v>
      </c>
      <c r="Q53" s="22">
        <f t="array" ref="Q53">IFERROR(_xlfn.XLOOKUP($A53&amp;"|"&amp;$C53,Financials!$A$2:$A$201&amp;"|"&amp;Financials!$B$2:$B$201,Financials!$G$2:$G$201,""),"")</f>
        <v>-22.98</v>
      </c>
      <c r="R53" s="22">
        <f t="array" ref="R53">IFERROR(_xlfn.XLOOKUP($A53&amp;"|"&amp;$C53,Financials!$A$2:$A$201&amp;"|"&amp;Financials!$B$2:$B$201,Financials!$S$2:$S$201,""),"")</f>
        <v>2033.9</v>
      </c>
      <c r="S53" s="22">
        <f t="array" ref="S53">IFERROR(_xlfn.XLOOKUP($A53&amp;"|"&amp;$C53,Financials!$A$2:$A$201&amp;"|"&amp;Financials!$B$2:$B$201,Financials!$AC$2:$AC$201,""),"")</f>
        <v>2470.3427499999998</v>
      </c>
      <c r="T53" s="23">
        <f t="shared" si="5"/>
        <v>0</v>
      </c>
      <c r="U53" s="24" t="str">
        <f t="shared" si="6"/>
        <v/>
      </c>
      <c r="V53" s="25">
        <f t="shared" si="7"/>
        <v>9.8059014335042374</v>
      </c>
      <c r="W53" s="24" t="str">
        <f t="shared" si="8"/>
        <v/>
      </c>
      <c r="X53" s="26">
        <f>IFERROR(IF(NOT(ISNUMBER($E53)),"",IF($E53&gt;=Scoring_Criteria!$D$4,5,IF($E53&gt;=Scoring_Criteria!$E$4,4,IF($E53&gt;=Scoring_Criteria!$F$4,3,IF($E53&gt;=Scoring_Criteria!$G$4,2,1))))),"")</f>
        <v>1</v>
      </c>
      <c r="Y53" s="26">
        <f>IFERROR(IF(OR(NOT(ISNUMBER($F53)),NOT(ISNUMBER($E53)),$E53=0),"",IF(($F53/$E53)&gt;=Scoring_Criteria!$D$5,5,IF(($F53/$E53)&gt;=Scoring_Criteria!$E$5,4,IF(($F53/$E53)&gt;=Scoring_Criteria!$F$5,3,IF(($F53/$E53)&gt;=Scoring_Criteria!$G$5,2,1))))),"")</f>
        <v>1</v>
      </c>
      <c r="Z53" s="26">
        <f>IFERROR(IF(AND(NOT(ISNUMBER($I53)),NOT(ISNUMBER($J53))),"",IF((IFERROR($I53,0)+IFERROR($J53,0))&gt;=Scoring_Criteria!$D$6,5,IF((IFERROR($I53,0)+IFERROR($J53,0))&gt;=Scoring_Criteria!$E$6,4,IF((IFERROR($I53,0)+IFERROR($J53,0))&gt;=Scoring_Criteria!$F$6,3,IF((IFERROR($I53,0)+IFERROR($J53,0))&gt;=Scoring_Criteria!$G$6,2,1))))),"")</f>
        <v>4</v>
      </c>
      <c r="AA53" s="26" t="str">
        <f>IFERROR(IF(NOT(ISNUMBER($M53)),"",IF($M53&gt;=Scoring_Criteria!$D$7,5,IF($M53&gt;=Scoring_Criteria!$E$7,4,IF($M53&gt;=Scoring_Criteria!$F$7,3,IF($M53&gt;=Scoring_Criteria!$G$7,2,1))))),"")</f>
        <v/>
      </c>
      <c r="AB53" s="26">
        <f>IFERROR(IF(NOT(ISNUMBER($T53)),"",IF($T53&gt;=Scoring_Criteria!$D$8,5,IF($T53&gt;=Scoring_Criteria!$E$8,4,IF($T53&gt;=Scoring_Criteria!$F$8,3,IF($T53&gt;=Scoring_Criteria!$G$8,2,1))))),"")</f>
        <v>1</v>
      </c>
      <c r="AC53" s="26" t="str">
        <f>IFERROR(IF(NOT(ISNUMBER($U53)),"",IF($U53&lt;=Scoring_Criteria!$D$9,5,IF($U53&lt;=Scoring_Criteria!$E$9,4,IF($U53&lt;=Scoring_Criteria!$F$9,3,IF($U53&lt;=Scoring_Criteria!$G$9,2,1))))),"")</f>
        <v/>
      </c>
      <c r="AD53" s="26">
        <f t="array" ref="AD53">IFERROR(IF(NOT(ISNUMBER(_xlfn.XLOOKUP($A53&amp;"|"&amp;$C53,Financials!$A$2:$A$201&amp;"|"&amp;Financials!$B$2:$B$201,Financials!$AD$2:$AD$201,""))),"",IF(_xlfn.XLOOKUP($A53&amp;"|"&amp;$C53,Financials!$A$2:$A$201&amp;"|"&amp;Financials!$B$2:$B$201,Financials!$AD$2:$AD$201,"")&gt;=Scoring_Criteria!$D$10,5,IF(_xlfn.XLOOKUP($A53&amp;"|"&amp;$C53,Financials!$A$2:$A$201&amp;"|"&amp;Financials!$B$2:$B$201,Financials!$AD$2:$AD$201,"")&gt;=Scoring_Criteria!$E$10,4,IF(_xlfn.XLOOKUP($A53&amp;"|"&amp;$C53,Financials!$A$2:$A$201&amp;"|"&amp;Financials!$B$2:$B$201,Financials!$AD$2:$AD$201,"")&gt;=Scoring_Criteria!$F$10,3,IF(_xlfn.XLOOKUP($A53&amp;"|"&amp;$C53,Financials!$A$2:$A$201&amp;"|"&amp;Financials!$B$2:$B$201,Financials!$AD$2:$AD$201,"")&gt;=Scoring_Criteria!$G$10,2,1))))),"")</f>
        <v>1</v>
      </c>
      <c r="AE53" s="27"/>
      <c r="AF53" s="27"/>
      <c r="AG53" s="28">
        <f t="shared" si="9"/>
        <v>1.6</v>
      </c>
      <c r="AH53" s="29"/>
      <c r="AI53" s="29"/>
      <c r="AJ53" s="29"/>
      <c r="AK53" s="29"/>
      <c r="AL53" s="29"/>
      <c r="AM53" s="29"/>
      <c r="AN53" s="29"/>
      <c r="AO53" s="29"/>
      <c r="AP53" s="29"/>
      <c r="AQ53" s="29"/>
      <c r="AR53" s="29"/>
      <c r="AS53" s="29"/>
      <c r="AT53" s="29"/>
      <c r="AU53" t="str">
        <f>IFERROR(Validation_Summary!Q5,"")</f>
        <v>✓ All 8 checks passed</v>
      </c>
    </row>
    <row r="54" spans="1:47" ht="15" customHeight="1" x14ac:dyDescent="0.3">
      <c r="A54" s="6" t="s">
        <v>5124</v>
      </c>
      <c r="B54" s="19" t="str">
        <f t="array" ref="B54">IFERROR(_xlfn.XLOOKUP($A54&amp;"|"&amp;$C54,'Company_Master'!$A$2:$A$94&amp;"|"&amp;'Company_Master'!$D$2:$D$94,'Company_Master'!$B$2:$B$94,""),"")</f>
        <v>MKTR</v>
      </c>
      <c r="C54" s="20">
        <v>2022</v>
      </c>
      <c r="D54" s="19" t="str">
        <f t="array" ref="D54">IFERROR(_xlfn.XLOOKUP($A54&amp;"|"&amp;$C54,'Company_Master'!$A$2:$A$94&amp;"|"&amp;'Company_Master'!$D$2:$D$94,'Company_Master'!$H$2:$H$94,""),"")</f>
        <v>Central Kalimantan (Kujan/Guci, Bulik, Lamandau)</v>
      </c>
      <c r="E54" s="20">
        <f t="array" ref="E54">IFERROR(_xlfn.XLOOKUP($A54&amp;"|"&amp;$C54,Asset_Operations!$A$2:$A$201&amp;"|"&amp;Asset_Operations!$BG$2:$BG$201,Asset_Operations!$B$2:$B$201,""),"")</f>
        <v>8000</v>
      </c>
      <c r="F54" s="20">
        <f t="array" ref="F54">IFERROR(_xlfn.XLOOKUP($A54&amp;"|"&amp;$C54,Asset_Operations!$A$2:$A$201&amp;"|"&amp;Asset_Operations!$BG$2:$BG$201,Asset_Operations!$E$2:$E$201,""),"")</f>
        <v>0</v>
      </c>
      <c r="G54" s="20">
        <f t="array" ref="G54">IFERROR(_xlfn.XLOOKUP($A54&amp;"|"&amp;$C54,Asset_Operations!$A$2:$A$201&amp;"|"&amp;Asset_Operations!$BG$2:$BG$201,Asset_Operations!$I$2:$I$201,""),"")</f>
        <v>10</v>
      </c>
      <c r="H54" s="20">
        <f t="array" ref="H54">IFERROR(_xlfn.XLOOKUP($A54&amp;"|"&amp;$C54,Asset_Operations!$A$2:$A$201&amp;"|"&amp;Asset_Operations!$BG$2:$BG$201,Asset_Operations!$J$2:$J$201,""),"")</f>
        <v>0</v>
      </c>
      <c r="I54" s="20">
        <f t="array" ref="I54">IFERROR(_xlfn.XLOOKUP($A54&amp;"|"&amp;$C54,Asset_Operations!$A$2:$A$201&amp;"|"&amp;Asset_Operations!$BG$2:$BG$201,Asset_Operations!$O$2:$O$201,""),"")</f>
        <v>1</v>
      </c>
      <c r="J54" s="20">
        <f t="array" ref="J54">IFERROR(_xlfn.XLOOKUP($A54&amp;"|"&amp;$C54,Asset_Operations!$A$2:$A$201&amp;"|"&amp;Asset_Operations!$BG$2:$BG$201,Asset_Operations!$S$2:$S$201,""),"")</f>
        <v>0</v>
      </c>
      <c r="K54" s="20">
        <f t="array" ref="K54">IFERROR(_xlfn.XLOOKUP($A54&amp;"|"&amp;$C54,Asset_Operations!$A$2:$A$201&amp;"|"&amp;Asset_Operations!$BG$2:$BG$201,Asset_Operations!$AC$2:$AC$201,""),"")</f>
        <v>117967</v>
      </c>
      <c r="L54" s="20">
        <f t="array" ref="L54">IFERROR(_xlfn.XLOOKUP($A54&amp;"|"&amp;$C54,Asset_Operations!$A$2:$A$201&amp;"|"&amp;Asset_Operations!$BG$2:$BG$201,Asset_Operations!$AG$2:$AG$201,""),"")</f>
        <v>43729</v>
      </c>
      <c r="M54" s="20" t="str">
        <f t="array" ref="M54">IFERROR(_xlfn.XLOOKUP($A54&amp;"|"&amp;$C54,Asset_Operations!$A$2:$A$201&amp;"|"&amp;Asset_Operations!$BG$2:$BG$201,Asset_Operations!$AO$2:$AO$201,""),"")</f>
        <v/>
      </c>
      <c r="N54" s="21">
        <f t="array" ref="N54">IFERROR(_xlfn.XLOOKUP($A54&amp;"|"&amp;$C54,Asset_Operations!$A$2:$A$201&amp;"|"&amp;Asset_Operations!$BG$2:$BG$201,Asset_Operations!$AR$2:$AR$201,""),"")</f>
        <v>0.23025927798138085</v>
      </c>
      <c r="O54" s="22">
        <f t="array" ref="O54">IFERROR(_xlfn.XLOOKUP($A54&amp;"|"&amp;$C54,Financials!$A$2:$A$201&amp;"|"&amp;Financials!$B$2:$B$201,Financials!$C$2:$C$201,""),"")</f>
        <v>627.88</v>
      </c>
      <c r="P54" s="22">
        <f t="array" ref="P54">IFERROR(_xlfn.XLOOKUP($A54&amp;"|"&amp;$C54,Financials!$A$2:$A$201&amp;"|"&amp;Financials!$B$2:$B$201,Financials!$E$2:$E$201,""),"")</f>
        <v>0</v>
      </c>
      <c r="Q54" s="22">
        <f t="array" ref="Q54">IFERROR(_xlfn.XLOOKUP($A54&amp;"|"&amp;$C54,Financials!$A$2:$A$201&amp;"|"&amp;Financials!$B$2:$B$201,Financials!$G$2:$G$201,""),"")</f>
        <v>61.88</v>
      </c>
      <c r="R54" s="22">
        <f t="array" ref="R54">IFERROR(_xlfn.XLOOKUP($A54&amp;"|"&amp;$C54,Financials!$A$2:$A$201&amp;"|"&amp;Financials!$B$2:$B$201,Financials!$S$2:$S$201,""),"")</f>
        <v>49</v>
      </c>
      <c r="S54" s="22">
        <f t="array" ref="S54">IFERROR(_xlfn.XLOOKUP($A54&amp;"|"&amp;$C54,Financials!$A$2:$A$201&amp;"|"&amp;Financials!$B$2:$B$201,Financials!$AC$2:$AC$201,""),"")</f>
        <v>1548</v>
      </c>
      <c r="T54" s="23">
        <f t="shared" si="5"/>
        <v>0</v>
      </c>
      <c r="U54" s="24" t="str">
        <f t="shared" si="6"/>
        <v/>
      </c>
      <c r="V54" s="25">
        <f t="shared" si="7"/>
        <v>7.8484999999999999E-2</v>
      </c>
      <c r="W54" s="24" t="str">
        <f t="shared" si="8"/>
        <v/>
      </c>
      <c r="X54" s="26">
        <f>IFERROR(IF(NOT(ISNUMBER($E54)),"",IF($E54&gt;=Scoring_Criteria!$D$4,5,IF($E54&gt;=Scoring_Criteria!$E$4,4,IF($E54&gt;=Scoring_Criteria!$F$4,3,IF($E54&gt;=Scoring_Criteria!$G$4,2,1))))),"")</f>
        <v>1</v>
      </c>
      <c r="Y54" s="26">
        <f>IFERROR(IF(OR(NOT(ISNUMBER($F54)),NOT(ISNUMBER($E54)),$E54=0),"",IF(($F54/$E54)&gt;=Scoring_Criteria!$D$5,5,IF(($F54/$E54)&gt;=Scoring_Criteria!$E$5,4,IF(($F54/$E54)&gt;=Scoring_Criteria!$F$5,3,IF(($F54/$E54)&gt;=Scoring_Criteria!$G$5,2,1))))),"")</f>
        <v>1</v>
      </c>
      <c r="Z54" s="26">
        <f>IFERROR(IF(AND(NOT(ISNUMBER($I54)),NOT(ISNUMBER($J54))),"",IF((IFERROR($I54,0)+IFERROR($J54,0))&gt;=Scoring_Criteria!$D$6,5,IF((IFERROR($I54,0)+IFERROR($J54,0))&gt;=Scoring_Criteria!$E$6,4,IF((IFERROR($I54,0)+IFERROR($J54,0))&gt;=Scoring_Criteria!$F$6,3,IF((IFERROR($I54,0)+IFERROR($J54,0))&gt;=Scoring_Criteria!$G$6,2,1))))),"")</f>
        <v>1</v>
      </c>
      <c r="AA54" s="26" t="str">
        <f>IFERROR(IF(NOT(ISNUMBER($M54)),"",IF($M54&gt;=Scoring_Criteria!$D$7,5,IF($M54&gt;=Scoring_Criteria!$E$7,4,IF($M54&gt;=Scoring_Criteria!$F$7,3,IF($M54&gt;=Scoring_Criteria!$G$7,2,1))))),"")</f>
        <v/>
      </c>
      <c r="AB54" s="26">
        <f>IFERROR(IF(NOT(ISNUMBER($T54)),"",IF($T54&gt;=Scoring_Criteria!$D$8,5,IF($T54&gt;=Scoring_Criteria!$E$8,4,IF($T54&gt;=Scoring_Criteria!$F$8,3,IF($T54&gt;=Scoring_Criteria!$G$8,2,1))))),"")</f>
        <v>1</v>
      </c>
      <c r="AC54" s="26" t="str">
        <f>IFERROR(IF(NOT(ISNUMBER($U54)),"",IF($U54&lt;=Scoring_Criteria!$D$9,5,IF($U54&lt;=Scoring_Criteria!$E$9,4,IF($U54&lt;=Scoring_Criteria!$F$9,3,IF($U54&lt;=Scoring_Criteria!$G$9,2,1))))),"")</f>
        <v/>
      </c>
      <c r="AD54" s="26">
        <f t="array" ref="AD54">IFERROR(IF(NOT(ISNUMBER(_xlfn.XLOOKUP($A54&amp;"|"&amp;$C54,Financials!$A$2:$A$201&amp;"|"&amp;Financials!$B$2:$B$201,Financials!$AD$2:$AD$201,""))),"",IF(_xlfn.XLOOKUP($A54&amp;"|"&amp;$C54,Financials!$A$2:$A$201&amp;"|"&amp;Financials!$B$2:$B$201,Financials!$AD$2:$AD$201,"")&gt;=Scoring_Criteria!$D$10,5,IF(_xlfn.XLOOKUP($A54&amp;"|"&amp;$C54,Financials!$A$2:$A$201&amp;"|"&amp;Financials!$B$2:$B$201,Financials!$AD$2:$AD$201,"")&gt;=Scoring_Criteria!$E$10,4,IF(_xlfn.XLOOKUP($A54&amp;"|"&amp;$C54,Financials!$A$2:$A$201&amp;"|"&amp;Financials!$B$2:$B$201,Financials!$AD$2:$AD$201,"")&gt;=Scoring_Criteria!$F$10,3,IF(_xlfn.XLOOKUP($A54&amp;"|"&amp;$C54,Financials!$A$2:$A$201&amp;"|"&amp;Financials!$B$2:$B$201,Financials!$AD$2:$AD$201,"")&gt;=Scoring_Criteria!$G$10,2,1))))),"")</f>
        <v>5</v>
      </c>
      <c r="AE54" s="27"/>
      <c r="AF54" s="27"/>
      <c r="AG54" s="28">
        <f t="shared" si="9"/>
        <v>1.8</v>
      </c>
      <c r="AH54" s="29"/>
      <c r="AI54" s="29"/>
      <c r="AJ54" s="29"/>
      <c r="AK54" s="29"/>
      <c r="AL54" s="29"/>
      <c r="AM54" s="29"/>
      <c r="AN54" s="29"/>
      <c r="AO54" s="29"/>
      <c r="AP54" s="29"/>
      <c r="AQ54" s="29"/>
      <c r="AR54" s="29"/>
      <c r="AS54" s="29"/>
      <c r="AT54" s="29"/>
      <c r="AU54" t="str">
        <f>IFERROR(Validation_Summary!Q5,"")</f>
        <v>✓ All 8 checks passed</v>
      </c>
    </row>
    <row r="55" spans="1:47" ht="15" customHeight="1" x14ac:dyDescent="0.3">
      <c r="A55" s="6" t="s">
        <v>5124</v>
      </c>
      <c r="B55" s="19" t="str">
        <f t="array" ref="B55">IFERROR(_xlfn.XLOOKUP($A55&amp;"|"&amp;$C55,'Company_Master'!$A$2:$A$94&amp;"|"&amp;'Company_Master'!$D$2:$D$94,'Company_Master'!$B$2:$B$94,""),"")</f>
        <v>MKTR</v>
      </c>
      <c r="C55" s="20">
        <v>2023</v>
      </c>
      <c r="D55" s="19" t="str">
        <f t="array" ref="D55">IFERROR(_xlfn.XLOOKUP($A55&amp;"|"&amp;$C55,'Company_Master'!$A$2:$A$94&amp;"|"&amp;'Company_Master'!$D$2:$D$94,'Company_Master'!$H$2:$H$94,""),"")</f>
        <v>Central Kalimantan (Kujan/Guci, Bulik, Lamandau)</v>
      </c>
      <c r="E55" s="20">
        <f t="array" ref="E55">IFERROR(_xlfn.XLOOKUP($A55&amp;"|"&amp;$C55,Asset_Operations!$A$2:$A$201&amp;"|"&amp;Asset_Operations!$BG$2:$BG$201,Asset_Operations!$B$2:$B$201,""),"")</f>
        <v>0</v>
      </c>
      <c r="F55" s="20">
        <f t="array" ref="F55">IFERROR(_xlfn.XLOOKUP($A55&amp;"|"&amp;$C55,Asset_Operations!$A$2:$A$201&amp;"|"&amp;Asset_Operations!$BG$2:$BG$201,Asset_Operations!$E$2:$E$201,""),"")</f>
        <v>0</v>
      </c>
      <c r="G55" s="20">
        <f t="array" ref="G55">IFERROR(_xlfn.XLOOKUP($A55&amp;"|"&amp;$C55,Asset_Operations!$A$2:$A$201&amp;"|"&amp;Asset_Operations!$BG$2:$BG$201,Asset_Operations!$I$2:$I$201,""),"")</f>
        <v>10</v>
      </c>
      <c r="H55" s="20">
        <f t="array" ref="H55">IFERROR(_xlfn.XLOOKUP($A55&amp;"|"&amp;$C55,Asset_Operations!$A$2:$A$201&amp;"|"&amp;Asset_Operations!$BG$2:$BG$201,Asset_Operations!$J$2:$J$201,""),"")</f>
        <v>0</v>
      </c>
      <c r="I55" s="20">
        <f t="array" ref="I55">IFERROR(_xlfn.XLOOKUP($A55&amp;"|"&amp;$C55,Asset_Operations!$A$2:$A$201&amp;"|"&amp;Asset_Operations!$BG$2:$BG$201,Asset_Operations!$O$2:$O$201,""),"")</f>
        <v>2</v>
      </c>
      <c r="J55" s="20">
        <f t="array" ref="J55">IFERROR(_xlfn.XLOOKUP($A55&amp;"|"&amp;$C55,Asset_Operations!$A$2:$A$201&amp;"|"&amp;Asset_Operations!$BG$2:$BG$201,Asset_Operations!$S$2:$S$201,""),"")</f>
        <v>0</v>
      </c>
      <c r="K55" s="20">
        <f t="array" ref="K55">IFERROR(_xlfn.XLOOKUP($A55&amp;"|"&amp;$C55,Asset_Operations!$A$2:$A$201&amp;"|"&amp;Asset_Operations!$BG$2:$BG$201,Asset_Operations!$AC$2:$AC$201,""),"")</f>
        <v>121778</v>
      </c>
      <c r="L55" s="20">
        <f t="array" ref="L55">IFERROR(_xlfn.XLOOKUP($A55&amp;"|"&amp;$C55,Asset_Operations!$A$2:$A$201&amp;"|"&amp;Asset_Operations!$BG$2:$BG$201,Asset_Operations!$AG$2:$AG$201,""),"")</f>
        <v>57803</v>
      </c>
      <c r="M55" s="20" t="str">
        <f t="array" ref="M55">IFERROR(_xlfn.XLOOKUP($A55&amp;"|"&amp;$C55,Asset_Operations!$A$2:$A$201&amp;"|"&amp;Asset_Operations!$BG$2:$BG$201,Asset_Operations!$AO$2:$AO$201,""),"")</f>
        <v/>
      </c>
      <c r="N55" s="21">
        <f t="array" ref="N55">IFERROR(_xlfn.XLOOKUP($A55&amp;"|"&amp;$C55,Asset_Operations!$A$2:$A$201&amp;"|"&amp;Asset_Operations!$BG$2:$BG$201,Asset_Operations!$AR$2:$AR$201,""),"")</f>
        <v>0.19119996559902355</v>
      </c>
      <c r="O55" s="22">
        <f t="array" ref="O55">IFERROR(_xlfn.XLOOKUP($A55&amp;"|"&amp;$C55,Financials!$A$2:$A$201&amp;"|"&amp;Financials!$B$2:$B$201,Financials!$C$2:$C$201,""),"")</f>
        <v>710.98</v>
      </c>
      <c r="P55" s="22">
        <f t="array" ref="P55">IFERROR(_xlfn.XLOOKUP($A55&amp;"|"&amp;$C55,Financials!$A$2:$A$201&amp;"|"&amp;Financials!$B$2:$B$201,Financials!$E$2:$E$201,""),"")</f>
        <v>0</v>
      </c>
      <c r="Q55" s="22">
        <f t="array" ref="Q55">IFERROR(_xlfn.XLOOKUP($A55&amp;"|"&amp;$C55,Financials!$A$2:$A$201&amp;"|"&amp;Financials!$B$2:$B$201,Financials!$G$2:$G$201,""),"")</f>
        <v>51.38</v>
      </c>
      <c r="R55" s="22">
        <f t="array" ref="R55">IFERROR(_xlfn.XLOOKUP($A55&amp;"|"&amp;$C55,Financials!$A$2:$A$201&amp;"|"&amp;Financials!$B$2:$B$201,Financials!$S$2:$S$201,""),"")</f>
        <v>474.6</v>
      </c>
      <c r="S55" s="22">
        <f t="array" ref="S55">IFERROR(_xlfn.XLOOKUP($A55&amp;"|"&amp;$C55,Financials!$A$2:$A$201&amp;"|"&amp;Financials!$B$2:$B$201,Financials!$AC$2:$AC$201,""),"")</f>
        <v>1800.0150000000001</v>
      </c>
      <c r="T55" s="23">
        <f t="shared" si="5"/>
        <v>0</v>
      </c>
      <c r="U55" s="24" t="str">
        <f t="shared" si="6"/>
        <v/>
      </c>
      <c r="V55" s="25" t="str">
        <f t="shared" si="7"/>
        <v/>
      </c>
      <c r="W55" s="24" t="str">
        <f t="shared" si="8"/>
        <v/>
      </c>
      <c r="X55" s="26">
        <f>IFERROR(IF(NOT(ISNUMBER($E55)),"",IF($E55&gt;=Scoring_Criteria!$D$4,5,IF($E55&gt;=Scoring_Criteria!$E$4,4,IF($E55&gt;=Scoring_Criteria!$F$4,3,IF($E55&gt;=Scoring_Criteria!$G$4,2,1))))),"")</f>
        <v>1</v>
      </c>
      <c r="Y55" s="26" t="str">
        <f>IFERROR(IF(OR(NOT(ISNUMBER($F55)),NOT(ISNUMBER($E55)),$E55=0),"",IF(($F55/$E55)&gt;=Scoring_Criteria!$D$5,5,IF(($F55/$E55)&gt;=Scoring_Criteria!$E$5,4,IF(($F55/$E55)&gt;=Scoring_Criteria!$F$5,3,IF(($F55/$E55)&gt;=Scoring_Criteria!$G$5,2,1))))),"")</f>
        <v/>
      </c>
      <c r="Z55" s="26">
        <f>IFERROR(IF(AND(NOT(ISNUMBER($I55)),NOT(ISNUMBER($J55))),"",IF((IFERROR($I55,0)+IFERROR($J55,0))&gt;=Scoring_Criteria!$D$6,5,IF((IFERROR($I55,0)+IFERROR($J55,0))&gt;=Scoring_Criteria!$E$6,4,IF((IFERROR($I55,0)+IFERROR($J55,0))&gt;=Scoring_Criteria!$F$6,3,IF((IFERROR($I55,0)+IFERROR($J55,0))&gt;=Scoring_Criteria!$G$6,2,1))))),"")</f>
        <v>2</v>
      </c>
      <c r="AA55" s="26" t="str">
        <f>IFERROR(IF(NOT(ISNUMBER($M55)),"",IF($M55&gt;=Scoring_Criteria!$D$7,5,IF($M55&gt;=Scoring_Criteria!$E$7,4,IF($M55&gt;=Scoring_Criteria!$F$7,3,IF($M55&gt;=Scoring_Criteria!$G$7,2,1))))),"")</f>
        <v/>
      </c>
      <c r="AB55" s="26">
        <f>IFERROR(IF(NOT(ISNUMBER($T55)),"",IF($T55&gt;=Scoring_Criteria!$D$8,5,IF($T55&gt;=Scoring_Criteria!$E$8,4,IF($T55&gt;=Scoring_Criteria!$F$8,3,IF($T55&gt;=Scoring_Criteria!$G$8,2,1))))),"")</f>
        <v>1</v>
      </c>
      <c r="AC55" s="26" t="str">
        <f>IFERROR(IF(NOT(ISNUMBER($U55)),"",IF($U55&lt;=Scoring_Criteria!$D$9,5,IF($U55&lt;=Scoring_Criteria!$E$9,4,IF($U55&lt;=Scoring_Criteria!$F$9,3,IF($U55&lt;=Scoring_Criteria!$G$9,2,1))))),"")</f>
        <v/>
      </c>
      <c r="AD55" s="26">
        <f t="array" ref="AD55">IFERROR(IF(NOT(ISNUMBER(_xlfn.XLOOKUP($A55&amp;"|"&amp;$C55,Financials!$A$2:$A$201&amp;"|"&amp;Financials!$B$2:$B$201,Financials!$AD$2:$AD$201,""))),"",IF(_xlfn.XLOOKUP($A55&amp;"|"&amp;$C55,Financials!$A$2:$A$201&amp;"|"&amp;Financials!$B$2:$B$201,Financials!$AD$2:$AD$201,"")&gt;=Scoring_Criteria!$D$10,5,IF(_xlfn.XLOOKUP($A55&amp;"|"&amp;$C55,Financials!$A$2:$A$201&amp;"|"&amp;Financials!$B$2:$B$201,Financials!$AD$2:$AD$201,"")&gt;=Scoring_Criteria!$E$10,4,IF(_xlfn.XLOOKUP($A55&amp;"|"&amp;$C55,Financials!$A$2:$A$201&amp;"|"&amp;Financials!$B$2:$B$201,Financials!$AD$2:$AD$201,"")&gt;=Scoring_Criteria!$F$10,3,IF(_xlfn.XLOOKUP($A55&amp;"|"&amp;$C55,Financials!$A$2:$A$201&amp;"|"&amp;Financials!$B$2:$B$201,Financials!$AD$2:$AD$201,"")&gt;=Scoring_Criteria!$G$10,2,1))))),"")</f>
        <v>5</v>
      </c>
      <c r="AE55" s="27"/>
      <c r="AF55" s="27"/>
      <c r="AG55" s="28">
        <f t="shared" si="9"/>
        <v>2.25</v>
      </c>
      <c r="AH55" s="29"/>
      <c r="AI55" s="29"/>
      <c r="AJ55" s="29"/>
      <c r="AK55" s="29"/>
      <c r="AL55" s="29"/>
      <c r="AM55" s="29"/>
      <c r="AN55" s="29"/>
      <c r="AO55" s="29"/>
      <c r="AP55" s="29"/>
      <c r="AQ55" s="29"/>
      <c r="AR55" s="29"/>
      <c r="AS55" s="29"/>
      <c r="AT55" s="29"/>
      <c r="AU55" t="str">
        <f>IFERROR(Validation_Summary!Q5,"")</f>
        <v>✓ All 8 checks passed</v>
      </c>
    </row>
    <row r="56" spans="1:47" ht="15" customHeight="1" x14ac:dyDescent="0.3">
      <c r="A56" s="6" t="s">
        <v>5124</v>
      </c>
      <c r="B56" s="19" t="str">
        <f t="array" ref="B56">IFERROR(_xlfn.XLOOKUP($A56&amp;"|"&amp;$C56,'Company_Master'!$A$2:$A$94&amp;"|"&amp;'Company_Master'!$D$2:$D$94,'Company_Master'!$B$2:$B$94,""),"")</f>
        <v>MKTR</v>
      </c>
      <c r="C56" s="20">
        <v>2024</v>
      </c>
      <c r="D56" s="19" t="str">
        <f t="array" ref="D56">IFERROR(_xlfn.XLOOKUP($A56&amp;"|"&amp;$C56,'Company_Master'!$A$2:$A$94&amp;"|"&amp;'Company_Master'!$D$2:$D$94,'Company_Master'!$H$2:$H$94,""),"")</f>
        <v>Central Kalimantan (Kujan/Guci, Bulik, Lamandau) + South Sumatra (compost plant)</v>
      </c>
      <c r="E56" s="20">
        <f t="array" ref="E56">IFERROR(_xlfn.XLOOKUP($A56&amp;"|"&amp;$C56,Asset_Operations!$A$2:$A$201&amp;"|"&amp;Asset_Operations!$BG$2:$BG$201,Asset_Operations!$B$2:$B$201,""),"")</f>
        <v>7424.11</v>
      </c>
      <c r="F56" s="20">
        <f t="array" ref="F56">IFERROR(_xlfn.XLOOKUP($A56&amp;"|"&amp;$C56,Asset_Operations!$A$2:$A$201&amp;"|"&amp;Asset_Operations!$BG$2:$BG$201,Asset_Operations!$E$2:$E$201,""),"")</f>
        <v>0</v>
      </c>
      <c r="G56" s="20">
        <f t="array" ref="G56">IFERROR(_xlfn.XLOOKUP($A56&amp;"|"&amp;$C56,Asset_Operations!$A$2:$A$201&amp;"|"&amp;Asset_Operations!$BG$2:$BG$201,Asset_Operations!$I$2:$I$201,""),"")</f>
        <v>10</v>
      </c>
      <c r="H56" s="20">
        <f t="array" ref="H56">IFERROR(_xlfn.XLOOKUP($A56&amp;"|"&amp;$C56,Asset_Operations!$A$2:$A$201&amp;"|"&amp;Asset_Operations!$BG$2:$BG$201,Asset_Operations!$J$2:$J$201,""),"")</f>
        <v>0</v>
      </c>
      <c r="I56" s="20">
        <f t="array" ref="I56">IFERROR(_xlfn.XLOOKUP($A56&amp;"|"&amp;$C56,Asset_Operations!$A$2:$A$201&amp;"|"&amp;Asset_Operations!$BG$2:$BG$201,Asset_Operations!$O$2:$O$201,""),"")</f>
        <v>2</v>
      </c>
      <c r="J56" s="20">
        <f t="array" ref="J56">IFERROR(_xlfn.XLOOKUP($A56&amp;"|"&amp;$C56,Asset_Operations!$A$2:$A$201&amp;"|"&amp;Asset_Operations!$BG$2:$BG$201,Asset_Operations!$S$2:$S$201,""),"")</f>
        <v>0</v>
      </c>
      <c r="K56" s="20">
        <f t="array" ref="K56">IFERROR(_xlfn.XLOOKUP($A56&amp;"|"&amp;$C56,Asset_Operations!$A$2:$A$201&amp;"|"&amp;Asset_Operations!$BG$2:$BG$201,Asset_Operations!$AC$2:$AC$201,""),"")</f>
        <v>100830</v>
      </c>
      <c r="L56" s="20">
        <f t="array" ref="L56">IFERROR(_xlfn.XLOOKUP($A56&amp;"|"&amp;$C56,Asset_Operations!$A$2:$A$201&amp;"|"&amp;Asset_Operations!$BG$2:$BG$201,Asset_Operations!$AG$2:$AG$201,""),"")</f>
        <v>69967</v>
      </c>
      <c r="M56" s="20" t="str">
        <f t="array" ref="M56">IFERROR(_xlfn.XLOOKUP($A56&amp;"|"&amp;$C56,Asset_Operations!$A$2:$A$201&amp;"|"&amp;Asset_Operations!$BG$2:$BG$201,Asset_Operations!$AO$2:$AO$201,""),"")</f>
        <v/>
      </c>
      <c r="N56" s="21">
        <f t="array" ref="N56">IFERROR(_xlfn.XLOOKUP($A56&amp;"|"&amp;$C56,Asset_Operations!$A$2:$A$201&amp;"|"&amp;Asset_Operations!$BG$2:$BG$201,Asset_Operations!$AR$2:$AR$201,""),"")</f>
        <v>0.21952704123093528</v>
      </c>
      <c r="O56" s="22">
        <f t="array" ref="O56">IFERROR(_xlfn.XLOOKUP($A56&amp;"|"&amp;$C56,Financials!$A$2:$A$201&amp;"|"&amp;Financials!$B$2:$B$201,Financials!$C$2:$C$201,""),"")</f>
        <v>1006.86</v>
      </c>
      <c r="P56" s="22">
        <f t="array" ref="P56">IFERROR(_xlfn.XLOOKUP($A56&amp;"|"&amp;$C56,Financials!$A$2:$A$201&amp;"|"&amp;Financials!$B$2:$B$201,Financials!$E$2:$E$201,""),"")</f>
        <v>0</v>
      </c>
      <c r="Q56" s="22">
        <f t="array" ref="Q56">IFERROR(_xlfn.XLOOKUP($A56&amp;"|"&amp;$C56,Financials!$A$2:$A$201&amp;"|"&amp;Financials!$B$2:$B$201,Financials!$G$2:$G$201,""),"")</f>
        <v>52.25</v>
      </c>
      <c r="R56" s="22">
        <f t="array" ref="R56">IFERROR(_xlfn.XLOOKUP($A56&amp;"|"&amp;$C56,Financials!$A$2:$A$201&amp;"|"&amp;Financials!$B$2:$B$201,Financials!$S$2:$S$201,""),"")</f>
        <v>634.20000000000005</v>
      </c>
      <c r="S56" s="22">
        <f t="array" ref="S56">IFERROR(_xlfn.XLOOKUP($A56&amp;"|"&amp;$C56,Financials!$A$2:$A$201&amp;"|"&amp;Financials!$B$2:$B$201,Financials!$AC$2:$AC$201,""),"")</f>
        <v>1446.288</v>
      </c>
      <c r="T56" s="23">
        <f t="shared" si="5"/>
        <v>0</v>
      </c>
      <c r="U56" s="24" t="str">
        <f t="shared" si="6"/>
        <v/>
      </c>
      <c r="V56" s="25">
        <f t="shared" si="7"/>
        <v>0.13562029657426952</v>
      </c>
      <c r="W56" s="24" t="str">
        <f t="shared" si="8"/>
        <v/>
      </c>
      <c r="X56" s="26">
        <f>IFERROR(IF(NOT(ISNUMBER($E56)),"",IF($E56&gt;=Scoring_Criteria!$D$4,5,IF($E56&gt;=Scoring_Criteria!$E$4,4,IF($E56&gt;=Scoring_Criteria!$F$4,3,IF($E56&gt;=Scoring_Criteria!$G$4,2,1))))),"")</f>
        <v>1</v>
      </c>
      <c r="Y56" s="26">
        <f>IFERROR(IF(OR(NOT(ISNUMBER($F56)),NOT(ISNUMBER($E56)),$E56=0),"",IF(($F56/$E56)&gt;=Scoring_Criteria!$D$5,5,IF(($F56/$E56)&gt;=Scoring_Criteria!$E$5,4,IF(($F56/$E56)&gt;=Scoring_Criteria!$F$5,3,IF(($F56/$E56)&gt;=Scoring_Criteria!$G$5,2,1))))),"")</f>
        <v>1</v>
      </c>
      <c r="Z56" s="26">
        <f>IFERROR(IF(AND(NOT(ISNUMBER($I56)),NOT(ISNUMBER($J56))),"",IF((IFERROR($I56,0)+IFERROR($J56,0))&gt;=Scoring_Criteria!$D$6,5,IF((IFERROR($I56,0)+IFERROR($J56,0))&gt;=Scoring_Criteria!$E$6,4,IF((IFERROR($I56,0)+IFERROR($J56,0))&gt;=Scoring_Criteria!$F$6,3,IF((IFERROR($I56,0)+IFERROR($J56,0))&gt;=Scoring_Criteria!$G$6,2,1))))),"")</f>
        <v>2</v>
      </c>
      <c r="AA56" s="26" t="str">
        <f>IFERROR(IF(NOT(ISNUMBER($M56)),"",IF($M56&gt;=Scoring_Criteria!$D$7,5,IF($M56&gt;=Scoring_Criteria!$E$7,4,IF($M56&gt;=Scoring_Criteria!$F$7,3,IF($M56&gt;=Scoring_Criteria!$G$7,2,1))))),"")</f>
        <v/>
      </c>
      <c r="AB56" s="26">
        <f>IFERROR(IF(NOT(ISNUMBER($T56)),"",IF($T56&gt;=Scoring_Criteria!$D$8,5,IF($T56&gt;=Scoring_Criteria!$E$8,4,IF($T56&gt;=Scoring_Criteria!$F$8,3,IF($T56&gt;=Scoring_Criteria!$G$8,2,1))))),"")</f>
        <v>1</v>
      </c>
      <c r="AC56" s="26" t="str">
        <f>IFERROR(IF(NOT(ISNUMBER($U56)),"",IF($U56&lt;=Scoring_Criteria!$D$9,5,IF($U56&lt;=Scoring_Criteria!$E$9,4,IF($U56&lt;=Scoring_Criteria!$F$9,3,IF($U56&lt;=Scoring_Criteria!$G$9,2,1))))),"")</f>
        <v/>
      </c>
      <c r="AD56" s="26">
        <f t="array" ref="AD56">IFERROR(IF(NOT(ISNUMBER(_xlfn.XLOOKUP($A56&amp;"|"&amp;$C56,Financials!$A$2:$A$201&amp;"|"&amp;Financials!$B$2:$B$201,Financials!$AD$2:$AD$201,""))),"",IF(_xlfn.XLOOKUP($A56&amp;"|"&amp;$C56,Financials!$A$2:$A$201&amp;"|"&amp;Financials!$B$2:$B$201,Financials!$AD$2:$AD$201,"")&gt;=Scoring_Criteria!$D$10,5,IF(_xlfn.XLOOKUP($A56&amp;"|"&amp;$C56,Financials!$A$2:$A$201&amp;"|"&amp;Financials!$B$2:$B$201,Financials!$AD$2:$AD$201,"")&gt;=Scoring_Criteria!$E$10,4,IF(_xlfn.XLOOKUP($A56&amp;"|"&amp;$C56,Financials!$A$2:$A$201&amp;"|"&amp;Financials!$B$2:$B$201,Financials!$AD$2:$AD$201,"")&gt;=Scoring_Criteria!$F$10,3,IF(_xlfn.XLOOKUP($A56&amp;"|"&amp;$C56,Financials!$A$2:$A$201&amp;"|"&amp;Financials!$B$2:$B$201,Financials!$AD$2:$AD$201,"")&gt;=Scoring_Criteria!$G$10,2,1))))),"")</f>
        <v>5</v>
      </c>
      <c r="AE56" s="27"/>
      <c r="AF56" s="27"/>
      <c r="AG56" s="28">
        <f t="shared" si="9"/>
        <v>2</v>
      </c>
      <c r="AH56" s="29"/>
      <c r="AI56" s="29"/>
      <c r="AJ56" s="29"/>
      <c r="AK56" s="29"/>
      <c r="AL56" s="29"/>
      <c r="AM56" s="29"/>
      <c r="AN56" s="29"/>
      <c r="AO56" s="29"/>
      <c r="AP56" s="29"/>
      <c r="AQ56" s="29"/>
      <c r="AR56" s="29"/>
      <c r="AS56" s="29"/>
      <c r="AT56" s="29"/>
      <c r="AU56" t="str">
        <f>IFERROR(Validation_Summary!Q5,"")</f>
        <v>✓ All 8 checks passed</v>
      </c>
    </row>
    <row r="57" spans="1:47" ht="15" customHeight="1" x14ac:dyDescent="0.3">
      <c r="A57" s="6" t="s">
        <v>5374</v>
      </c>
      <c r="B57" s="19" t="str">
        <f t="array" ref="B57">IFERROR(_xlfn.XLOOKUP($A57&amp;"|"&amp;$C57,'Company_Master'!$A$2:$A$94&amp;"|"&amp;'Company_Master'!$D$2:$D$94,'Company_Master'!$B$2:$B$94,""),"")</f>
        <v>NSSS</v>
      </c>
      <c r="C57" s="20">
        <v>2022</v>
      </c>
      <c r="D57" s="19" t="str">
        <f t="array" ref="D57">IFERROR(_xlfn.XLOOKUP($A57&amp;"|"&amp;$C57,'Company_Master'!$A$2:$A$94&amp;"|"&amp;'Company_Master'!$D$2:$D$94,'Company_Master'!$H$2:$H$94,""),"")</f>
        <v>Central Kalimantan (Kotawaringin Timur, Gunung Mas, Kapuas)</v>
      </c>
      <c r="E57" s="20">
        <f t="array" ref="E57">IFERROR(_xlfn.XLOOKUP($A57&amp;"|"&amp;$C57,Asset_Operations!$A$2:$A$201&amp;"|"&amp;Asset_Operations!$BG$2:$BG$201,Asset_Operations!$B$2:$B$201,""),"")</f>
        <v>27265</v>
      </c>
      <c r="F57" s="20">
        <f t="array" ref="F57">IFERROR(_xlfn.XLOOKUP($A57&amp;"|"&amp;$C57,Asset_Operations!$A$2:$A$201&amp;"|"&amp;Asset_Operations!$BG$2:$BG$201,Asset_Operations!$E$2:$E$201,""),"")</f>
        <v>25757</v>
      </c>
      <c r="G57" s="20">
        <f t="array" ref="G57">IFERROR(_xlfn.XLOOKUP($A57&amp;"|"&amp;$C57,Asset_Operations!$A$2:$A$201&amp;"|"&amp;Asset_Operations!$BG$2:$BG$201,Asset_Operations!$I$2:$I$201,""),"")</f>
        <v>0</v>
      </c>
      <c r="H57" s="20">
        <f t="array" ref="H57">IFERROR(_xlfn.XLOOKUP($A57&amp;"|"&amp;$C57,Asset_Operations!$A$2:$A$201&amp;"|"&amp;Asset_Operations!$BG$2:$BG$201,Asset_Operations!$J$2:$J$201,""),"")</f>
        <v>0</v>
      </c>
      <c r="I57" s="20">
        <f t="array" ref="I57">IFERROR(_xlfn.XLOOKUP($A57&amp;"|"&amp;$C57,Asset_Operations!$A$2:$A$201&amp;"|"&amp;Asset_Operations!$BG$2:$BG$201,Asset_Operations!$O$2:$O$201,""),"")</f>
        <v>1</v>
      </c>
      <c r="J57" s="20">
        <f t="array" ref="J57">IFERROR(_xlfn.XLOOKUP($A57&amp;"|"&amp;$C57,Asset_Operations!$A$2:$A$201&amp;"|"&amp;Asset_Operations!$BG$2:$BG$201,Asset_Operations!$S$2:$S$201,""),"")</f>
        <v>0</v>
      </c>
      <c r="K57" s="20">
        <f t="array" ref="K57">IFERROR(_xlfn.XLOOKUP($A57&amp;"|"&amp;$C57,Asset_Operations!$A$2:$A$201&amp;"|"&amp;Asset_Operations!$BG$2:$BG$201,Asset_Operations!$AC$2:$AC$201,""),"")</f>
        <v>399606</v>
      </c>
      <c r="L57" s="20">
        <f t="array" ref="L57">IFERROR(_xlfn.XLOOKUP($A57&amp;"|"&amp;$C57,Asset_Operations!$A$2:$A$201&amp;"|"&amp;Asset_Operations!$BG$2:$BG$201,Asset_Operations!$AG$2:$AG$201,""),"")</f>
        <v>82862</v>
      </c>
      <c r="M57" s="20">
        <f t="array" ref="M57">IFERROR(_xlfn.XLOOKUP($A57&amp;"|"&amp;$C57,Asset_Operations!$A$2:$A$201&amp;"|"&amp;Asset_Operations!$BG$2:$BG$201,Asset_Operations!$AO$2:$AO$201,""),"")</f>
        <v>15.514462087976085</v>
      </c>
      <c r="N57" s="21">
        <f t="array" ref="N57">IFERROR(_xlfn.XLOOKUP($A57&amp;"|"&amp;$C57,Asset_Operations!$A$2:$A$201&amp;"|"&amp;Asset_Operations!$BG$2:$BG$201,Asset_Operations!$AR$2:$AR$201,""),"")</f>
        <v>0.20735924886012722</v>
      </c>
      <c r="O57" s="22">
        <f t="array" ref="O57">IFERROR(_xlfn.XLOOKUP($A57&amp;"|"&amp;$C57,Financials!$A$2:$A$201&amp;"|"&amp;Financials!$B$2:$B$201,Financials!$C$2:$C$201,""),"")</f>
        <v>1134</v>
      </c>
      <c r="P57" s="22">
        <f t="array" ref="P57">IFERROR(_xlfn.XLOOKUP($A57&amp;"|"&amp;$C57,Financials!$A$2:$A$201&amp;"|"&amp;Financials!$B$2:$B$201,Financials!$E$2:$E$201,""),"")</f>
        <v>0</v>
      </c>
      <c r="Q57" s="22">
        <f t="array" ref="Q57">IFERROR(_xlfn.XLOOKUP($A57&amp;"|"&amp;$C57,Financials!$A$2:$A$201&amp;"|"&amp;Financials!$B$2:$B$201,Financials!$G$2:$G$201,""),"")</f>
        <v>70</v>
      </c>
      <c r="R57" s="22">
        <f t="array" ref="R57">IFERROR(_xlfn.XLOOKUP($A57&amp;"|"&amp;$C57,Financials!$A$2:$A$201&amp;"|"&amp;Financials!$B$2:$B$201,Financials!$S$2:$S$201,""),"")</f>
        <v>2064.6</v>
      </c>
      <c r="S57" s="22">
        <f t="array" ref="S57">IFERROR(_xlfn.XLOOKUP($A57&amp;"|"&amp;$C57,Financials!$A$2:$A$201&amp;"|"&amp;Financials!$B$2:$B$201,Financials!$AC$2:$AC$201,""),"")</f>
        <v>0</v>
      </c>
      <c r="T57" s="23">
        <f t="shared" si="5"/>
        <v>0</v>
      </c>
      <c r="U57" s="24" t="str">
        <f t="shared" si="6"/>
        <v/>
      </c>
      <c r="V57" s="25">
        <f t="shared" si="7"/>
        <v>4.1591784338896022E-2</v>
      </c>
      <c r="W57" s="24">
        <f t="shared" si="8"/>
        <v>3.217067205031642</v>
      </c>
      <c r="X57" s="26">
        <f>IFERROR(IF(NOT(ISNUMBER($E57)),"",IF($E57&gt;=Scoring_Criteria!$D$4,5,IF($E57&gt;=Scoring_Criteria!$E$4,4,IF($E57&gt;=Scoring_Criteria!$F$4,3,IF($E57&gt;=Scoring_Criteria!$G$4,2,1))))),"")</f>
        <v>2</v>
      </c>
      <c r="Y57" s="26">
        <f>IFERROR(IF(OR(NOT(ISNUMBER($F57)),NOT(ISNUMBER($E57)),$E57=0),"",IF(($F57/$E57)&gt;=Scoring_Criteria!$D$5,5,IF(($F57/$E57)&gt;=Scoring_Criteria!$E$5,4,IF(($F57/$E57)&gt;=Scoring_Criteria!$F$5,3,IF(($F57/$E57)&gt;=Scoring_Criteria!$G$5,2,1))))),"")</f>
        <v>5</v>
      </c>
      <c r="Z57" s="26">
        <f>IFERROR(IF(AND(NOT(ISNUMBER($I57)),NOT(ISNUMBER($J57))),"",IF((IFERROR($I57,0)+IFERROR($J57,0))&gt;=Scoring_Criteria!$D$6,5,IF((IFERROR($I57,0)+IFERROR($J57,0))&gt;=Scoring_Criteria!$E$6,4,IF((IFERROR($I57,0)+IFERROR($J57,0))&gt;=Scoring_Criteria!$F$6,3,IF((IFERROR($I57,0)+IFERROR($J57,0))&gt;=Scoring_Criteria!$G$6,2,1))))),"")</f>
        <v>1</v>
      </c>
      <c r="AA57" s="26">
        <f>IFERROR(IF(NOT(ISNUMBER($M57)),"",IF($M57&gt;=Scoring_Criteria!$D$7,5,IF($M57&gt;=Scoring_Criteria!$E$7,4,IF($M57&gt;=Scoring_Criteria!$F$7,3,IF($M57&gt;=Scoring_Criteria!$G$7,2,1))))),"")</f>
        <v>3</v>
      </c>
      <c r="AB57" s="26">
        <f>IFERROR(IF(NOT(ISNUMBER($T57)),"",IF($T57&gt;=Scoring_Criteria!$D$8,5,IF($T57&gt;=Scoring_Criteria!$E$8,4,IF($T57&gt;=Scoring_Criteria!$F$8,3,IF($T57&gt;=Scoring_Criteria!$G$8,2,1))))),"")</f>
        <v>1</v>
      </c>
      <c r="AC57" s="26" t="str">
        <f>IFERROR(IF(NOT(ISNUMBER($U57)),"",IF($U57&lt;=Scoring_Criteria!$D$9,5,IF($U57&lt;=Scoring_Criteria!$E$9,4,IF($U57&lt;=Scoring_Criteria!$F$9,3,IF($U57&lt;=Scoring_Criteria!$G$9,2,1))))),"")</f>
        <v/>
      </c>
      <c r="AD57" s="26">
        <f t="array" ref="AD57">IFERROR(IF(NOT(ISNUMBER(_xlfn.XLOOKUP($A57&amp;"|"&amp;$C57,Financials!$A$2:$A$201&amp;"|"&amp;Financials!$B$2:$B$201,Financials!$AD$2:$AD$201,""))),"",IF(_xlfn.XLOOKUP($A57&amp;"|"&amp;$C57,Financials!$A$2:$A$201&amp;"|"&amp;Financials!$B$2:$B$201,Financials!$AD$2:$AD$201,"")&gt;=Scoring_Criteria!$D$10,5,IF(_xlfn.XLOOKUP($A57&amp;"|"&amp;$C57,Financials!$A$2:$A$201&amp;"|"&amp;Financials!$B$2:$B$201,Financials!$AD$2:$AD$201,"")&gt;=Scoring_Criteria!$E$10,4,IF(_xlfn.XLOOKUP($A57&amp;"|"&amp;$C57,Financials!$A$2:$A$201&amp;"|"&amp;Financials!$B$2:$B$201,Financials!$AD$2:$AD$201,"")&gt;=Scoring_Criteria!$F$10,3,IF(_xlfn.XLOOKUP($A57&amp;"|"&amp;$C57,Financials!$A$2:$A$201&amp;"|"&amp;Financials!$B$2:$B$201,Financials!$AD$2:$AD$201,"")&gt;=Scoring_Criteria!$G$10,2,1))))),"")</f>
        <v>1</v>
      </c>
      <c r="AE57" s="27"/>
      <c r="AF57" s="27"/>
      <c r="AG57" s="28">
        <f t="shared" si="9"/>
        <v>2.1666666666666665</v>
      </c>
      <c r="AH57" s="29"/>
      <c r="AI57" s="29"/>
      <c r="AJ57" s="29"/>
      <c r="AK57" s="29"/>
      <c r="AL57" s="29"/>
      <c r="AM57" s="29"/>
      <c r="AN57" s="29"/>
      <c r="AO57" s="29"/>
      <c r="AP57" s="29"/>
      <c r="AQ57" s="29"/>
      <c r="AR57" s="29"/>
      <c r="AS57" s="29"/>
      <c r="AT57" s="29"/>
      <c r="AU57" t="str">
        <f>IFERROR(Validation_Summary!Q5,"")</f>
        <v>✓ All 8 checks passed</v>
      </c>
    </row>
    <row r="58" spans="1:47" ht="15" customHeight="1" x14ac:dyDescent="0.3">
      <c r="A58" s="6" t="s">
        <v>5374</v>
      </c>
      <c r="B58" s="19" t="str">
        <f t="array" ref="B58">IFERROR(_xlfn.XLOOKUP($A58&amp;"|"&amp;$C58,'Company_Master'!$A$2:$A$94&amp;"|"&amp;'Company_Master'!$D$2:$D$94,'Company_Master'!$B$2:$B$94,""),"")</f>
        <v>NSSS</v>
      </c>
      <c r="C58" s="20">
        <v>2023</v>
      </c>
      <c r="D58" s="19" t="str">
        <f t="array" ref="D58">IFERROR(_xlfn.XLOOKUP($A58&amp;"|"&amp;$C58,'Company_Master'!$A$2:$A$94&amp;"|"&amp;'Company_Master'!$D$2:$D$94,'Company_Master'!$H$2:$H$94,""),"")</f>
        <v>Central Kalimantan (Kotawaringin Timur, Gunung Mas, Kapuas)</v>
      </c>
      <c r="E58" s="20">
        <f t="array" ref="E58">IFERROR(_xlfn.XLOOKUP($A58&amp;"|"&amp;$C58,Asset_Operations!$A$2:$A$201&amp;"|"&amp;Asset_Operations!$BG$2:$BG$201,Asset_Operations!$B$2:$B$201,""),"")</f>
        <v>28148</v>
      </c>
      <c r="F58" s="20">
        <f t="array" ref="F58">IFERROR(_xlfn.XLOOKUP($A58&amp;"|"&amp;$C58,Asset_Operations!$A$2:$A$201&amp;"|"&amp;Asset_Operations!$BG$2:$BG$201,Asset_Operations!$E$2:$E$201,""),"")</f>
        <v>26175</v>
      </c>
      <c r="G58" s="20">
        <f t="array" ref="G58">IFERROR(_xlfn.XLOOKUP($A58&amp;"|"&amp;$C58,Asset_Operations!$A$2:$A$201&amp;"|"&amp;Asset_Operations!$BG$2:$BG$201,Asset_Operations!$I$2:$I$201,""),"")</f>
        <v>0</v>
      </c>
      <c r="H58" s="20">
        <f t="array" ref="H58">IFERROR(_xlfn.XLOOKUP($A58&amp;"|"&amp;$C58,Asset_Operations!$A$2:$A$201&amp;"|"&amp;Asset_Operations!$BG$2:$BG$201,Asset_Operations!$J$2:$J$201,""),"")</f>
        <v>0</v>
      </c>
      <c r="I58" s="20">
        <f t="array" ref="I58">IFERROR(_xlfn.XLOOKUP($A58&amp;"|"&amp;$C58,Asset_Operations!$A$2:$A$201&amp;"|"&amp;Asset_Operations!$BG$2:$BG$201,Asset_Operations!$O$2:$O$201,""),"")</f>
        <v>2</v>
      </c>
      <c r="J58" s="20">
        <f t="array" ref="J58">IFERROR(_xlfn.XLOOKUP($A58&amp;"|"&amp;$C58,Asset_Operations!$A$2:$A$201&amp;"|"&amp;Asset_Operations!$BG$2:$BG$201,Asset_Operations!$S$2:$S$201,""),"")</f>
        <v>0</v>
      </c>
      <c r="K58" s="20">
        <f t="array" ref="K58">IFERROR(_xlfn.XLOOKUP($A58&amp;"|"&amp;$C58,Asset_Operations!$A$2:$A$201&amp;"|"&amp;Asset_Operations!$BG$2:$BG$201,Asset_Operations!$AC$2:$AC$201,""),"")</f>
        <v>463843</v>
      </c>
      <c r="L58" s="20">
        <f t="array" ref="L58">IFERROR(_xlfn.XLOOKUP($A58&amp;"|"&amp;$C58,Asset_Operations!$A$2:$A$201&amp;"|"&amp;Asset_Operations!$BG$2:$BG$201,Asset_Operations!$AG$2:$AG$201,""),"")</f>
        <v>91285</v>
      </c>
      <c r="M58" s="20">
        <f t="array" ref="M58">IFERROR(_xlfn.XLOOKUP($A58&amp;"|"&amp;$C58,Asset_Operations!$A$2:$A$201&amp;"|"&amp;Asset_Operations!$BG$2:$BG$201,Asset_Operations!$AO$2:$AO$201,""),"")</f>
        <v>17.720840496657114</v>
      </c>
      <c r="N58" s="21">
        <f t="array" ref="N58">IFERROR(_xlfn.XLOOKUP($A58&amp;"|"&amp;$C58,Asset_Operations!$A$2:$A$201&amp;"|"&amp;Asset_Operations!$BG$2:$BG$201,Asset_Operations!$AR$2:$AR$201,""),"")</f>
        <v>0.19680150395715792</v>
      </c>
      <c r="O58" s="22">
        <f t="array" ref="O58">IFERROR(_xlfn.XLOOKUP($A58&amp;"|"&amp;$C58,Financials!$A$2:$A$201&amp;"|"&amp;Financials!$B$2:$B$201,Financials!$C$2:$C$201,""),"")</f>
        <v>1185</v>
      </c>
      <c r="P58" s="22">
        <f t="array" ref="P58">IFERROR(_xlfn.XLOOKUP($A58&amp;"|"&amp;$C58,Financials!$A$2:$A$201&amp;"|"&amp;Financials!$B$2:$B$201,Financials!$E$2:$E$201,""),"")</f>
        <v>0</v>
      </c>
      <c r="Q58" s="22">
        <f t="array" ref="Q58">IFERROR(_xlfn.XLOOKUP($A58&amp;"|"&amp;$C58,Financials!$A$2:$A$201&amp;"|"&amp;Financials!$B$2:$B$201,Financials!$G$2:$G$201,""),"")</f>
        <v>2</v>
      </c>
      <c r="R58" s="22">
        <f t="array" ref="R58">IFERROR(_xlfn.XLOOKUP($A58&amp;"|"&amp;$C58,Financials!$A$2:$A$201&amp;"|"&amp;Financials!$B$2:$B$201,Financials!$S$2:$S$201,""),"")</f>
        <v>1867.0100000000002</v>
      </c>
      <c r="S58" s="22">
        <f t="array" ref="S58">IFERROR(_xlfn.XLOOKUP($A58&amp;"|"&amp;$C58,Financials!$A$2:$A$201&amp;"|"&amp;Financials!$B$2:$B$201,Financials!$AC$2:$AC$201,""),"")</f>
        <v>4210.6530000000002</v>
      </c>
      <c r="T58" s="23">
        <f t="shared" si="5"/>
        <v>0</v>
      </c>
      <c r="U58" s="24" t="str">
        <f t="shared" si="6"/>
        <v/>
      </c>
      <c r="V58" s="25">
        <f t="shared" si="7"/>
        <v>4.2098905783714648E-2</v>
      </c>
      <c r="W58" s="24">
        <f t="shared" si="8"/>
        <v>3.4874880611270296</v>
      </c>
      <c r="X58" s="26">
        <f>IFERROR(IF(NOT(ISNUMBER($E58)),"",IF($E58&gt;=Scoring_Criteria!$D$4,5,IF($E58&gt;=Scoring_Criteria!$E$4,4,IF($E58&gt;=Scoring_Criteria!$F$4,3,IF($E58&gt;=Scoring_Criteria!$G$4,2,1))))),"")</f>
        <v>2</v>
      </c>
      <c r="Y58" s="26">
        <f>IFERROR(IF(OR(NOT(ISNUMBER($F58)),NOT(ISNUMBER($E58)),$E58=0),"",IF(($F58/$E58)&gt;=Scoring_Criteria!$D$5,5,IF(($F58/$E58)&gt;=Scoring_Criteria!$E$5,4,IF(($F58/$E58)&gt;=Scoring_Criteria!$F$5,3,IF(($F58/$E58)&gt;=Scoring_Criteria!$G$5,2,1))))),"")</f>
        <v>5</v>
      </c>
      <c r="Z58" s="26">
        <f>IFERROR(IF(AND(NOT(ISNUMBER($I58)),NOT(ISNUMBER($J58))),"",IF((IFERROR($I58,0)+IFERROR($J58,0))&gt;=Scoring_Criteria!$D$6,5,IF((IFERROR($I58,0)+IFERROR($J58,0))&gt;=Scoring_Criteria!$E$6,4,IF((IFERROR($I58,0)+IFERROR($J58,0))&gt;=Scoring_Criteria!$F$6,3,IF((IFERROR($I58,0)+IFERROR($J58,0))&gt;=Scoring_Criteria!$G$6,2,1))))),"")</f>
        <v>2</v>
      </c>
      <c r="AA58" s="26">
        <f>IFERROR(IF(NOT(ISNUMBER($M58)),"",IF($M58&gt;=Scoring_Criteria!$D$7,5,IF($M58&gt;=Scoring_Criteria!$E$7,4,IF($M58&gt;=Scoring_Criteria!$F$7,3,IF($M58&gt;=Scoring_Criteria!$G$7,2,1))))),"")</f>
        <v>3</v>
      </c>
      <c r="AB58" s="26">
        <f>IFERROR(IF(NOT(ISNUMBER($T58)),"",IF($T58&gt;=Scoring_Criteria!$D$8,5,IF($T58&gt;=Scoring_Criteria!$E$8,4,IF($T58&gt;=Scoring_Criteria!$F$8,3,IF($T58&gt;=Scoring_Criteria!$G$8,2,1))))),"")</f>
        <v>1</v>
      </c>
      <c r="AC58" s="26" t="str">
        <f>IFERROR(IF(NOT(ISNUMBER($U58)),"",IF($U58&lt;=Scoring_Criteria!$D$9,5,IF($U58&lt;=Scoring_Criteria!$E$9,4,IF($U58&lt;=Scoring_Criteria!$F$9,3,IF($U58&lt;=Scoring_Criteria!$G$9,2,1))))),"")</f>
        <v/>
      </c>
      <c r="AD58" s="26">
        <f t="array" ref="AD58">IFERROR(IF(NOT(ISNUMBER(_xlfn.XLOOKUP($A58&amp;"|"&amp;$C58,Financials!$A$2:$A$201&amp;"|"&amp;Financials!$B$2:$B$201,Financials!$AD$2:$AD$201,""))),"",IF(_xlfn.XLOOKUP($A58&amp;"|"&amp;$C58,Financials!$A$2:$A$201&amp;"|"&amp;Financials!$B$2:$B$201,Financials!$AD$2:$AD$201,"")&gt;=Scoring_Criteria!$D$10,5,IF(_xlfn.XLOOKUP($A58&amp;"|"&amp;$C58,Financials!$A$2:$A$201&amp;"|"&amp;Financials!$B$2:$B$201,Financials!$AD$2:$AD$201,"")&gt;=Scoring_Criteria!$E$10,4,IF(_xlfn.XLOOKUP($A58&amp;"|"&amp;$C58,Financials!$A$2:$A$201&amp;"|"&amp;Financials!$B$2:$B$201,Financials!$AD$2:$AD$201,"")&gt;=Scoring_Criteria!$F$10,3,IF(_xlfn.XLOOKUP($A58&amp;"|"&amp;$C58,Financials!$A$2:$A$201&amp;"|"&amp;Financials!$B$2:$B$201,Financials!$AD$2:$AD$201,"")&gt;=Scoring_Criteria!$G$10,2,1))))),"")</f>
        <v>1</v>
      </c>
      <c r="AE58" s="27"/>
      <c r="AF58" s="27"/>
      <c r="AG58" s="28">
        <f t="shared" si="9"/>
        <v>2.3333333333333335</v>
      </c>
      <c r="AH58" s="29"/>
      <c r="AI58" s="29"/>
      <c r="AJ58" s="29"/>
      <c r="AK58" s="29"/>
      <c r="AL58" s="29"/>
      <c r="AM58" s="29"/>
      <c r="AN58" s="29"/>
      <c r="AO58" s="29"/>
      <c r="AP58" s="29"/>
      <c r="AQ58" s="29"/>
      <c r="AR58" s="29"/>
      <c r="AS58" s="29"/>
      <c r="AT58" s="29"/>
      <c r="AU58" t="str">
        <f>IFERROR(Validation_Summary!Q5,"")</f>
        <v>✓ All 8 checks passed</v>
      </c>
    </row>
    <row r="59" spans="1:47" ht="15" customHeight="1" x14ac:dyDescent="0.3">
      <c r="A59" s="6" t="s">
        <v>5374</v>
      </c>
      <c r="B59" s="19" t="str">
        <f t="array" ref="B59">IFERROR(_xlfn.XLOOKUP($A59&amp;"|"&amp;$C59,'Company_Master'!$A$2:$A$94&amp;"|"&amp;'Company_Master'!$D$2:$D$94,'Company_Master'!$B$2:$B$94,""),"")</f>
        <v>NSSS</v>
      </c>
      <c r="C59" s="20">
        <v>2024</v>
      </c>
      <c r="D59" s="19" t="str">
        <f t="array" ref="D59">IFERROR(_xlfn.XLOOKUP($A59&amp;"|"&amp;$C59,'Company_Master'!$A$2:$A$94&amp;"|"&amp;'Company_Master'!$D$2:$D$94,'Company_Master'!$H$2:$H$94,""),"")</f>
        <v>Central Kalimantan (Kotawaringin Timur, Gunung Mas, Kapuas)</v>
      </c>
      <c r="E59" s="20">
        <f t="array" ref="E59">IFERROR(_xlfn.XLOOKUP($A59&amp;"|"&amp;$C59,Asset_Operations!$A$2:$A$201&amp;"|"&amp;Asset_Operations!$BG$2:$BG$201,Asset_Operations!$B$2:$B$201,""),"")</f>
        <v>29125</v>
      </c>
      <c r="F59" s="20">
        <f t="array" ref="F59">IFERROR(_xlfn.XLOOKUP($A59&amp;"|"&amp;$C59,Asset_Operations!$A$2:$A$201&amp;"|"&amp;Asset_Operations!$BG$2:$BG$201,Asset_Operations!$E$2:$E$201,""),"")</f>
        <v>26725</v>
      </c>
      <c r="G59" s="20">
        <f t="array" ref="G59">IFERROR(_xlfn.XLOOKUP($A59&amp;"|"&amp;$C59,Asset_Operations!$A$2:$A$201&amp;"|"&amp;Asset_Operations!$BG$2:$BG$201,Asset_Operations!$I$2:$I$201,""),"")</f>
        <v>9.8000000000000007</v>
      </c>
      <c r="H59" s="20">
        <f t="array" ref="H59">IFERROR(_xlfn.XLOOKUP($A59&amp;"|"&amp;$C59,Asset_Operations!$A$2:$A$201&amp;"|"&amp;Asset_Operations!$BG$2:$BG$201,Asset_Operations!$J$2:$J$201,""),"")</f>
        <v>0</v>
      </c>
      <c r="I59" s="20">
        <f t="array" ref="I59">IFERROR(_xlfn.XLOOKUP($A59&amp;"|"&amp;$C59,Asset_Operations!$A$2:$A$201&amp;"|"&amp;Asset_Operations!$BG$2:$BG$201,Asset_Operations!$O$2:$O$201,""),"")</f>
        <v>2</v>
      </c>
      <c r="J59" s="20">
        <f t="array" ref="J59">IFERROR(_xlfn.XLOOKUP($A59&amp;"|"&amp;$C59,Asset_Operations!$A$2:$A$201&amp;"|"&amp;Asset_Operations!$BG$2:$BG$201,Asset_Operations!$S$2:$S$201,""),"")</f>
        <v>0</v>
      </c>
      <c r="K59" s="20">
        <f t="array" ref="K59">IFERROR(_xlfn.XLOOKUP($A59&amp;"|"&amp;$C59,Asset_Operations!$A$2:$A$201&amp;"|"&amp;Asset_Operations!$BG$2:$BG$201,Asset_Operations!$AC$2:$AC$201,""),"")</f>
        <v>477288</v>
      </c>
      <c r="L59" s="20">
        <f t="array" ref="L59">IFERROR(_xlfn.XLOOKUP($A59&amp;"|"&amp;$C59,Asset_Operations!$A$2:$A$201&amp;"|"&amp;Asset_Operations!$BG$2:$BG$201,Asset_Operations!$AG$2:$AG$201,""),"")</f>
        <v>105570</v>
      </c>
      <c r="M59" s="20">
        <f t="array" ref="M59">IFERROR(_xlfn.XLOOKUP($A59&amp;"|"&amp;$C59,Asset_Operations!$A$2:$A$201&amp;"|"&amp;Asset_Operations!$BG$2:$BG$201,Asset_Operations!$AO$2:$AO$201,""),"")</f>
        <v>17.859232927970066</v>
      </c>
      <c r="N59" s="21">
        <f t="array" ref="N59">IFERROR(_xlfn.XLOOKUP($A59&amp;"|"&amp;$C59,Asset_Operations!$A$2:$A$201&amp;"|"&amp;Asset_Operations!$BG$2:$BG$201,Asset_Operations!$AR$2:$AR$201,""),"")</f>
        <v>0.22118720772363856</v>
      </c>
      <c r="O59" s="22">
        <f t="array" ref="O59">IFERROR(_xlfn.XLOOKUP($A59&amp;"|"&amp;$C59,Financials!$A$2:$A$201&amp;"|"&amp;Financials!$B$2:$B$201,Financials!$C$2:$C$201,""),"")</f>
        <v>1490</v>
      </c>
      <c r="P59" s="22">
        <f t="array" ref="P59">IFERROR(_xlfn.XLOOKUP($A59&amp;"|"&amp;$C59,Financials!$A$2:$A$201&amp;"|"&amp;Financials!$B$2:$B$201,Financials!$E$2:$E$201,""),"")</f>
        <v>0</v>
      </c>
      <c r="Q59" s="22">
        <f t="array" ref="Q59">IFERROR(_xlfn.XLOOKUP($A59&amp;"|"&amp;$C59,Financials!$A$2:$A$201&amp;"|"&amp;Financials!$B$2:$B$201,Financials!$G$2:$G$201,""),"")</f>
        <v>305</v>
      </c>
      <c r="R59" s="22">
        <f t="array" ref="R59">IFERROR(_xlfn.XLOOKUP($A59&amp;"|"&amp;$C59,Financials!$A$2:$A$201&amp;"|"&amp;Financials!$B$2:$B$201,Financials!$S$2:$S$201,""),"")</f>
        <v>-386</v>
      </c>
      <c r="S59" s="22">
        <f t="array" ref="S59">IFERROR(_xlfn.XLOOKUP($A59&amp;"|"&amp;$C59,Financials!$A$2:$A$201&amp;"|"&amp;Financials!$B$2:$B$201,Financials!$AC$2:$AC$201,""),"")</f>
        <v>6569.3519999999999</v>
      </c>
      <c r="T59" s="23">
        <f t="shared" si="5"/>
        <v>0</v>
      </c>
      <c r="U59" s="24" t="str">
        <f t="shared" si="6"/>
        <v/>
      </c>
      <c r="V59" s="25">
        <f t="shared" si="7"/>
        <v>5.1158798283261801E-2</v>
      </c>
      <c r="W59" s="24">
        <f t="shared" si="8"/>
        <v>3.9502338634237604</v>
      </c>
      <c r="X59" s="26">
        <f>IFERROR(IF(NOT(ISNUMBER($E59)),"",IF($E59&gt;=Scoring_Criteria!$D$4,5,IF($E59&gt;=Scoring_Criteria!$E$4,4,IF($E59&gt;=Scoring_Criteria!$F$4,3,IF($E59&gt;=Scoring_Criteria!$G$4,2,1))))),"")</f>
        <v>2</v>
      </c>
      <c r="Y59" s="26">
        <f>IFERROR(IF(OR(NOT(ISNUMBER($F59)),NOT(ISNUMBER($E59)),$E59=0),"",IF(($F59/$E59)&gt;=Scoring_Criteria!$D$5,5,IF(($F59/$E59)&gt;=Scoring_Criteria!$E$5,4,IF(($F59/$E59)&gt;=Scoring_Criteria!$F$5,3,IF(($F59/$E59)&gt;=Scoring_Criteria!$G$5,2,1))))),"")</f>
        <v>5</v>
      </c>
      <c r="Z59" s="26">
        <f>IFERROR(IF(AND(NOT(ISNUMBER($I59)),NOT(ISNUMBER($J59))),"",IF((IFERROR($I59,0)+IFERROR($J59,0))&gt;=Scoring_Criteria!$D$6,5,IF((IFERROR($I59,0)+IFERROR($J59,0))&gt;=Scoring_Criteria!$E$6,4,IF((IFERROR($I59,0)+IFERROR($J59,0))&gt;=Scoring_Criteria!$F$6,3,IF((IFERROR($I59,0)+IFERROR($J59,0))&gt;=Scoring_Criteria!$G$6,2,1))))),"")</f>
        <v>2</v>
      </c>
      <c r="AA59" s="26">
        <f>IFERROR(IF(NOT(ISNUMBER($M59)),"",IF($M59&gt;=Scoring_Criteria!$D$7,5,IF($M59&gt;=Scoring_Criteria!$E$7,4,IF($M59&gt;=Scoring_Criteria!$F$7,3,IF($M59&gt;=Scoring_Criteria!$G$7,2,1))))),"")</f>
        <v>3</v>
      </c>
      <c r="AB59" s="26">
        <f>IFERROR(IF(NOT(ISNUMBER($T59)),"",IF($T59&gt;=Scoring_Criteria!$D$8,5,IF($T59&gt;=Scoring_Criteria!$E$8,4,IF($T59&gt;=Scoring_Criteria!$F$8,3,IF($T59&gt;=Scoring_Criteria!$G$8,2,1))))),"")</f>
        <v>1</v>
      </c>
      <c r="AC59" s="26" t="str">
        <f>IFERROR(IF(NOT(ISNUMBER($U59)),"",IF($U59&lt;=Scoring_Criteria!$D$9,5,IF($U59&lt;=Scoring_Criteria!$E$9,4,IF($U59&lt;=Scoring_Criteria!$F$9,3,IF($U59&lt;=Scoring_Criteria!$G$9,2,1))))),"")</f>
        <v/>
      </c>
      <c r="AD59" s="26">
        <f t="array" ref="AD59">IFERROR(IF(NOT(ISNUMBER(_xlfn.XLOOKUP($A59&amp;"|"&amp;$C59,Financials!$A$2:$A$201&amp;"|"&amp;Financials!$B$2:$B$201,Financials!$AD$2:$AD$201,""))),"",IF(_xlfn.XLOOKUP($A59&amp;"|"&amp;$C59,Financials!$A$2:$A$201&amp;"|"&amp;Financials!$B$2:$B$201,Financials!$AD$2:$AD$201,"")&gt;=Scoring_Criteria!$D$10,5,IF(_xlfn.XLOOKUP($A59&amp;"|"&amp;$C59,Financials!$A$2:$A$201&amp;"|"&amp;Financials!$B$2:$B$201,Financials!$AD$2:$AD$201,"")&gt;=Scoring_Criteria!$E$10,4,IF(_xlfn.XLOOKUP($A59&amp;"|"&amp;$C59,Financials!$A$2:$A$201&amp;"|"&amp;Financials!$B$2:$B$201,Financials!$AD$2:$AD$201,"")&gt;=Scoring_Criteria!$F$10,3,IF(_xlfn.XLOOKUP($A59&amp;"|"&amp;$C59,Financials!$A$2:$A$201&amp;"|"&amp;Financials!$B$2:$B$201,Financials!$AD$2:$AD$201,"")&gt;=Scoring_Criteria!$G$10,2,1))))),"")</f>
        <v>2</v>
      </c>
      <c r="AE59" s="27"/>
      <c r="AF59" s="27"/>
      <c r="AG59" s="28">
        <f t="shared" si="9"/>
        <v>2.5</v>
      </c>
      <c r="AH59" s="29"/>
      <c r="AI59" s="29"/>
      <c r="AJ59" s="29"/>
      <c r="AK59" s="29"/>
      <c r="AL59" s="29"/>
      <c r="AM59" s="29"/>
      <c r="AN59" s="29"/>
      <c r="AO59" s="29"/>
      <c r="AP59" s="29"/>
      <c r="AQ59" s="29"/>
      <c r="AR59" s="29"/>
      <c r="AS59" s="29"/>
      <c r="AT59" s="29"/>
      <c r="AU59" t="str">
        <f>IFERROR(Validation_Summary!Q5,"")</f>
        <v>✓ All 8 checks passed</v>
      </c>
    </row>
    <row r="60" spans="1:47" ht="15" customHeight="1" x14ac:dyDescent="0.3">
      <c r="A60" s="6" t="s">
        <v>5641</v>
      </c>
      <c r="B60" s="19" t="str">
        <f t="array" ref="B60">IFERROR(_xlfn.XLOOKUP($A60&amp;"|"&amp;$C60,'Company_Master'!$A$2:$A$94&amp;"|"&amp;'Company_Master'!$D$2:$D$94,'Company_Master'!$B$2:$B$94,""),"")</f>
        <v>OILS</v>
      </c>
      <c r="C60" s="20">
        <v>2022</v>
      </c>
      <c r="D60" s="19" t="str">
        <f t="array" ref="D60">IFERROR(_xlfn.XLOOKUP($A60&amp;"|"&amp;$C60,'Company_Master'!$A$2:$A$94&amp;"|"&amp;'Company_Master'!$D$2:$D$94,'Company_Master'!$H$2:$H$94,""),"")</f>
        <v>Java (Mojokerto, East Java)</v>
      </c>
      <c r="E60" s="20">
        <f t="array" ref="E60">IFERROR(_xlfn.XLOOKUP($A60&amp;"|"&amp;$C60,Asset_Operations!$A$2:$A$201&amp;"|"&amp;Asset_Operations!$BG$2:$BG$201,Asset_Operations!$B$2:$B$201,""),"")</f>
        <v>0</v>
      </c>
      <c r="F60" s="20">
        <f t="array" ref="F60">IFERROR(_xlfn.XLOOKUP($A60&amp;"|"&amp;$C60,Asset_Operations!$A$2:$A$201&amp;"|"&amp;Asset_Operations!$BG$2:$BG$201,Asset_Operations!$E$2:$E$201,""),"")</f>
        <v>0</v>
      </c>
      <c r="G60" s="20">
        <f t="array" ref="G60">IFERROR(_xlfn.XLOOKUP($A60&amp;"|"&amp;$C60,Asset_Operations!$A$2:$A$201&amp;"|"&amp;Asset_Operations!$BG$2:$BG$201,Asset_Operations!$I$2:$I$201,""),"")</f>
        <v>0</v>
      </c>
      <c r="H60" s="20">
        <f t="array" ref="H60">IFERROR(_xlfn.XLOOKUP($A60&amp;"|"&amp;$C60,Asset_Operations!$A$2:$A$201&amp;"|"&amp;Asset_Operations!$BG$2:$BG$201,Asset_Operations!$J$2:$J$201,""),"")</f>
        <v>0</v>
      </c>
      <c r="I60" s="20">
        <f t="array" ref="I60">IFERROR(_xlfn.XLOOKUP($A60&amp;"|"&amp;$C60,Asset_Operations!$A$2:$A$201&amp;"|"&amp;Asset_Operations!$BG$2:$BG$201,Asset_Operations!$O$2:$O$201,""),"")</f>
        <v>1</v>
      </c>
      <c r="J60" s="20">
        <f t="array" ref="J60">IFERROR(_xlfn.XLOOKUP($A60&amp;"|"&amp;$C60,Asset_Operations!$A$2:$A$201&amp;"|"&amp;Asset_Operations!$BG$2:$BG$201,Asset_Operations!$S$2:$S$201,""),"")</f>
        <v>0</v>
      </c>
      <c r="K60" s="20">
        <f t="array" ref="K60">IFERROR(_xlfn.XLOOKUP($A60&amp;"|"&amp;$C60,Asset_Operations!$A$2:$A$201&amp;"|"&amp;Asset_Operations!$BG$2:$BG$201,Asset_Operations!$AC$2:$AC$201,""),"")</f>
        <v>0</v>
      </c>
      <c r="L60" s="20">
        <f t="array" ref="L60">IFERROR(_xlfn.XLOOKUP($A60&amp;"|"&amp;$C60,Asset_Operations!$A$2:$A$201&amp;"|"&amp;Asset_Operations!$BG$2:$BG$201,Asset_Operations!$AG$2:$AG$201,""),"")</f>
        <v>0</v>
      </c>
      <c r="M60" s="20" t="str">
        <f t="array" ref="M60">IFERROR(_xlfn.XLOOKUP($A60&amp;"|"&amp;$C60,Asset_Operations!$A$2:$A$201&amp;"|"&amp;Asset_Operations!$BG$2:$BG$201,Asset_Operations!$AO$2:$AO$201,""),"")</f>
        <v/>
      </c>
      <c r="N60" s="21" t="str">
        <f t="array" ref="N60">IFERROR(_xlfn.XLOOKUP($A60&amp;"|"&amp;$C60,Asset_Operations!$A$2:$A$201&amp;"|"&amp;Asset_Operations!$BG$2:$BG$201,Asset_Operations!$AR$2:$AR$201,""),"")</f>
        <v/>
      </c>
      <c r="O60" s="22">
        <f t="array" ref="O60">IFERROR(_xlfn.XLOOKUP($A60&amp;"|"&amp;$C60,Financials!$A$2:$A$201&amp;"|"&amp;Financials!$B$2:$B$201,Financials!$C$2:$C$201,""),"")</f>
        <v>514.20000000000005</v>
      </c>
      <c r="P60" s="22">
        <f t="array" ref="P60">IFERROR(_xlfn.XLOOKUP($A60&amp;"|"&amp;$C60,Financials!$A$2:$A$201&amp;"|"&amp;Financials!$B$2:$B$201,Financials!$E$2:$E$201,""),"")</f>
        <v>0</v>
      </c>
      <c r="Q60" s="22">
        <f t="array" ref="Q60">IFERROR(_xlfn.XLOOKUP($A60&amp;"|"&amp;$C60,Financials!$A$2:$A$201&amp;"|"&amp;Financials!$B$2:$B$201,Financials!$G$2:$G$201,""),"")</f>
        <v>6.82</v>
      </c>
      <c r="R60" s="22">
        <f t="array" ref="R60">IFERROR(_xlfn.XLOOKUP($A60&amp;"|"&amp;$C60,Financials!$A$2:$A$201&amp;"|"&amp;Financials!$B$2:$B$201,Financials!$S$2:$S$201,""),"")</f>
        <v>43.4</v>
      </c>
      <c r="S60" s="22">
        <f t="array" ref="S60">IFERROR(_xlfn.XLOOKUP($A60&amp;"|"&amp;$C60,Financials!$A$2:$A$201&amp;"|"&amp;Financials!$B$2:$B$201,Financials!$AC$2:$AC$201,""),"")</f>
        <v>98.985079999999996</v>
      </c>
      <c r="T60" s="23">
        <f t="shared" si="5"/>
        <v>0</v>
      </c>
      <c r="U60" s="24" t="str">
        <f t="shared" si="6"/>
        <v/>
      </c>
      <c r="V60" s="25" t="str">
        <f t="shared" si="7"/>
        <v/>
      </c>
      <c r="W60" s="24" t="str">
        <f t="shared" si="8"/>
        <v/>
      </c>
      <c r="X60" s="26">
        <f>IFERROR(IF(NOT(ISNUMBER($E60)),"",IF($E60&gt;=Scoring_Criteria!$D$4,5,IF($E60&gt;=Scoring_Criteria!$E$4,4,IF($E60&gt;=Scoring_Criteria!$F$4,3,IF($E60&gt;=Scoring_Criteria!$G$4,2,1))))),"")</f>
        <v>1</v>
      </c>
      <c r="Y60" s="26" t="str">
        <f>IFERROR(IF(OR(NOT(ISNUMBER($F60)),NOT(ISNUMBER($E60)),$E60=0),"",IF(($F60/$E60)&gt;=Scoring_Criteria!$D$5,5,IF(($F60/$E60)&gt;=Scoring_Criteria!$E$5,4,IF(($F60/$E60)&gt;=Scoring_Criteria!$F$5,3,IF(($F60/$E60)&gt;=Scoring_Criteria!$G$5,2,1))))),"")</f>
        <v/>
      </c>
      <c r="Z60" s="26">
        <f>IFERROR(IF(AND(NOT(ISNUMBER($I60)),NOT(ISNUMBER($J60))),"",IF((IFERROR($I60,0)+IFERROR($J60,0))&gt;=Scoring_Criteria!$D$6,5,IF((IFERROR($I60,0)+IFERROR($J60,0))&gt;=Scoring_Criteria!$E$6,4,IF((IFERROR($I60,0)+IFERROR($J60,0))&gt;=Scoring_Criteria!$F$6,3,IF((IFERROR($I60,0)+IFERROR($J60,0))&gt;=Scoring_Criteria!$G$6,2,1))))),"")</f>
        <v>1</v>
      </c>
      <c r="AA60" s="26" t="str">
        <f>IFERROR(IF(NOT(ISNUMBER($M60)),"",IF($M60&gt;=Scoring_Criteria!$D$7,5,IF($M60&gt;=Scoring_Criteria!$E$7,4,IF($M60&gt;=Scoring_Criteria!$F$7,3,IF($M60&gt;=Scoring_Criteria!$G$7,2,1))))),"")</f>
        <v/>
      </c>
      <c r="AB60" s="26">
        <f>IFERROR(IF(NOT(ISNUMBER($T60)),"",IF($T60&gt;=Scoring_Criteria!$D$8,5,IF($T60&gt;=Scoring_Criteria!$E$8,4,IF($T60&gt;=Scoring_Criteria!$F$8,3,IF($T60&gt;=Scoring_Criteria!$G$8,2,1))))),"")</f>
        <v>1</v>
      </c>
      <c r="AC60" s="26" t="str">
        <f>IFERROR(IF(NOT(ISNUMBER($U60)),"",IF($U60&lt;=Scoring_Criteria!$D$9,5,IF($U60&lt;=Scoring_Criteria!$E$9,4,IF($U60&lt;=Scoring_Criteria!$F$9,3,IF($U60&lt;=Scoring_Criteria!$G$9,2,1))))),"")</f>
        <v/>
      </c>
      <c r="AD60" s="26">
        <f t="array" ref="AD60">IFERROR(IF(NOT(ISNUMBER(_xlfn.XLOOKUP($A60&amp;"|"&amp;$C60,Financials!$A$2:$A$201&amp;"|"&amp;Financials!$B$2:$B$201,Financials!$AD$2:$AD$201,""))),"",IF(_xlfn.XLOOKUP($A60&amp;"|"&amp;$C60,Financials!$A$2:$A$201&amp;"|"&amp;Financials!$B$2:$B$201,Financials!$AD$2:$AD$201,"")&gt;=Scoring_Criteria!$D$10,5,IF(_xlfn.XLOOKUP($A60&amp;"|"&amp;$C60,Financials!$A$2:$A$201&amp;"|"&amp;Financials!$B$2:$B$201,Financials!$AD$2:$AD$201,"")&gt;=Scoring_Criteria!$E$10,4,IF(_xlfn.XLOOKUP($A60&amp;"|"&amp;$C60,Financials!$A$2:$A$201&amp;"|"&amp;Financials!$B$2:$B$201,Financials!$AD$2:$AD$201,"")&gt;=Scoring_Criteria!$F$10,3,IF(_xlfn.XLOOKUP($A60&amp;"|"&amp;$C60,Financials!$A$2:$A$201&amp;"|"&amp;Financials!$B$2:$B$201,Financials!$AD$2:$AD$201,"")&gt;=Scoring_Criteria!$G$10,2,1))))),"")</f>
        <v>4</v>
      </c>
      <c r="AE60" s="27"/>
      <c r="AF60" s="27"/>
      <c r="AG60" s="28">
        <f t="shared" si="9"/>
        <v>1.75</v>
      </c>
      <c r="AH60" s="29"/>
      <c r="AI60" s="29"/>
      <c r="AJ60" s="29"/>
      <c r="AK60" s="29"/>
      <c r="AL60" s="29"/>
      <c r="AM60" s="29"/>
      <c r="AN60" s="29"/>
      <c r="AO60" s="29"/>
      <c r="AP60" s="29"/>
      <c r="AQ60" s="29"/>
      <c r="AR60" s="29"/>
      <c r="AS60" s="29"/>
      <c r="AT60" s="29"/>
      <c r="AU60" t="str">
        <f>IFERROR(Validation_Summary!Q5,"")</f>
        <v>✓ All 8 checks passed</v>
      </c>
    </row>
    <row r="61" spans="1:47" ht="15" customHeight="1" x14ac:dyDescent="0.3">
      <c r="A61" s="6" t="s">
        <v>5641</v>
      </c>
      <c r="B61" s="19" t="str">
        <f t="array" ref="B61">IFERROR(_xlfn.XLOOKUP($A61&amp;"|"&amp;$C61,'Company_Master'!$A$2:$A$94&amp;"|"&amp;'Company_Master'!$D$2:$D$94,'Company_Master'!$B$2:$B$94,""),"")</f>
        <v>OILS</v>
      </c>
      <c r="C61" s="20">
        <v>2023</v>
      </c>
      <c r="D61" s="19" t="str">
        <f t="array" ref="D61">IFERROR(_xlfn.XLOOKUP($A61&amp;"|"&amp;$C61,'Company_Master'!$A$2:$A$94&amp;"|"&amp;'Company_Master'!$D$2:$D$94,'Company_Master'!$H$2:$H$94,""),"")</f>
        <v>Java (Mojokerto, East Java)</v>
      </c>
      <c r="E61" s="20">
        <f t="array" ref="E61">IFERROR(_xlfn.XLOOKUP($A61&amp;"|"&amp;$C61,Asset_Operations!$A$2:$A$201&amp;"|"&amp;Asset_Operations!$BG$2:$BG$201,Asset_Operations!$B$2:$B$201,""),"")</f>
        <v>0</v>
      </c>
      <c r="F61" s="20">
        <f t="array" ref="F61">IFERROR(_xlfn.XLOOKUP($A61&amp;"|"&amp;$C61,Asset_Operations!$A$2:$A$201&amp;"|"&amp;Asset_Operations!$BG$2:$BG$201,Asset_Operations!$E$2:$E$201,""),"")</f>
        <v>0</v>
      </c>
      <c r="G61" s="20">
        <f t="array" ref="G61">IFERROR(_xlfn.XLOOKUP($A61&amp;"|"&amp;$C61,Asset_Operations!$A$2:$A$201&amp;"|"&amp;Asset_Operations!$BG$2:$BG$201,Asset_Operations!$I$2:$I$201,""),"")</f>
        <v>0</v>
      </c>
      <c r="H61" s="20">
        <f t="array" ref="H61">IFERROR(_xlfn.XLOOKUP($A61&amp;"|"&amp;$C61,Asset_Operations!$A$2:$A$201&amp;"|"&amp;Asset_Operations!$BG$2:$BG$201,Asset_Operations!$J$2:$J$201,""),"")</f>
        <v>0</v>
      </c>
      <c r="I61" s="20">
        <f t="array" ref="I61">IFERROR(_xlfn.XLOOKUP($A61&amp;"|"&amp;$C61,Asset_Operations!$A$2:$A$201&amp;"|"&amp;Asset_Operations!$BG$2:$BG$201,Asset_Operations!$O$2:$O$201,""),"")</f>
        <v>1</v>
      </c>
      <c r="J61" s="20">
        <f t="array" ref="J61">IFERROR(_xlfn.XLOOKUP($A61&amp;"|"&amp;$C61,Asset_Operations!$A$2:$A$201&amp;"|"&amp;Asset_Operations!$BG$2:$BG$201,Asset_Operations!$S$2:$S$201,""),"")</f>
        <v>0</v>
      </c>
      <c r="K61" s="20">
        <f t="array" ref="K61">IFERROR(_xlfn.XLOOKUP($A61&amp;"|"&amp;$C61,Asset_Operations!$A$2:$A$201&amp;"|"&amp;Asset_Operations!$BG$2:$BG$201,Asset_Operations!$AC$2:$AC$201,""),"")</f>
        <v>0</v>
      </c>
      <c r="L61" s="20">
        <f t="array" ref="L61">IFERROR(_xlfn.XLOOKUP($A61&amp;"|"&amp;$C61,Asset_Operations!$A$2:$A$201&amp;"|"&amp;Asset_Operations!$BG$2:$BG$201,Asset_Operations!$AG$2:$AG$201,""),"")</f>
        <v>0</v>
      </c>
      <c r="M61" s="20" t="str">
        <f t="array" ref="M61">IFERROR(_xlfn.XLOOKUP($A61&amp;"|"&amp;$C61,Asset_Operations!$A$2:$A$201&amp;"|"&amp;Asset_Operations!$BG$2:$BG$201,Asset_Operations!$AO$2:$AO$201,""),"")</f>
        <v/>
      </c>
      <c r="N61" s="21" t="str">
        <f t="array" ref="N61">IFERROR(_xlfn.XLOOKUP($A61&amp;"|"&amp;$C61,Asset_Operations!$A$2:$A$201&amp;"|"&amp;Asset_Operations!$BG$2:$BG$201,Asset_Operations!$AR$2:$AR$201,""),"")</f>
        <v/>
      </c>
      <c r="O61" s="22">
        <f t="array" ref="O61">IFERROR(_xlfn.XLOOKUP($A61&amp;"|"&amp;$C61,Financials!$A$2:$A$201&amp;"|"&amp;Financials!$B$2:$B$201,Financials!$C$2:$C$201,""),"")</f>
        <v>600.35</v>
      </c>
      <c r="P61" s="22">
        <f t="array" ref="P61">IFERROR(_xlfn.XLOOKUP($A61&amp;"|"&amp;$C61,Financials!$A$2:$A$201&amp;"|"&amp;Financials!$B$2:$B$201,Financials!$E$2:$E$201,""),"")</f>
        <v>0</v>
      </c>
      <c r="Q61" s="22">
        <f t="array" ref="Q61">IFERROR(_xlfn.XLOOKUP($A61&amp;"|"&amp;$C61,Financials!$A$2:$A$201&amp;"|"&amp;Financials!$B$2:$B$201,Financials!$G$2:$G$201,""),"")</f>
        <v>3.13</v>
      </c>
      <c r="R61" s="22">
        <f t="array" ref="R61">IFERROR(_xlfn.XLOOKUP($A61&amp;"|"&amp;$C61,Financials!$A$2:$A$201&amp;"|"&amp;Financials!$B$2:$B$201,Financials!$S$2:$S$201,""),"")</f>
        <v>72.89</v>
      </c>
      <c r="S61" s="22">
        <f t="array" ref="S61">IFERROR(_xlfn.XLOOKUP($A61&amp;"|"&amp;$C61,Financials!$A$2:$A$201&amp;"|"&amp;Financials!$B$2:$B$201,Financials!$AC$2:$AC$201,""),"")</f>
        <v>60.389980000000001</v>
      </c>
      <c r="T61" s="23">
        <f t="shared" si="5"/>
        <v>0</v>
      </c>
      <c r="U61" s="24" t="str">
        <f t="shared" si="6"/>
        <v/>
      </c>
      <c r="V61" s="25" t="str">
        <f t="shared" si="7"/>
        <v/>
      </c>
      <c r="W61" s="24" t="str">
        <f t="shared" si="8"/>
        <v/>
      </c>
      <c r="X61" s="26">
        <f>IFERROR(IF(NOT(ISNUMBER($E61)),"",IF($E61&gt;=Scoring_Criteria!$D$4,5,IF($E61&gt;=Scoring_Criteria!$E$4,4,IF($E61&gt;=Scoring_Criteria!$F$4,3,IF($E61&gt;=Scoring_Criteria!$G$4,2,1))))),"")</f>
        <v>1</v>
      </c>
      <c r="Y61" s="26" t="str">
        <f>IFERROR(IF(OR(NOT(ISNUMBER($F61)),NOT(ISNUMBER($E61)),$E61=0),"",IF(($F61/$E61)&gt;=Scoring_Criteria!$D$5,5,IF(($F61/$E61)&gt;=Scoring_Criteria!$E$5,4,IF(($F61/$E61)&gt;=Scoring_Criteria!$F$5,3,IF(($F61/$E61)&gt;=Scoring_Criteria!$G$5,2,1))))),"")</f>
        <v/>
      </c>
      <c r="Z61" s="26">
        <f>IFERROR(IF(AND(NOT(ISNUMBER($I61)),NOT(ISNUMBER($J61))),"",IF((IFERROR($I61,0)+IFERROR($J61,0))&gt;=Scoring_Criteria!$D$6,5,IF((IFERROR($I61,0)+IFERROR($J61,0))&gt;=Scoring_Criteria!$E$6,4,IF((IFERROR($I61,0)+IFERROR($J61,0))&gt;=Scoring_Criteria!$F$6,3,IF((IFERROR($I61,0)+IFERROR($J61,0))&gt;=Scoring_Criteria!$G$6,2,1))))),"")</f>
        <v>1</v>
      </c>
      <c r="AA61" s="26" t="str">
        <f>IFERROR(IF(NOT(ISNUMBER($M61)),"",IF($M61&gt;=Scoring_Criteria!$D$7,5,IF($M61&gt;=Scoring_Criteria!$E$7,4,IF($M61&gt;=Scoring_Criteria!$F$7,3,IF($M61&gt;=Scoring_Criteria!$G$7,2,1))))),"")</f>
        <v/>
      </c>
      <c r="AB61" s="26">
        <f>IFERROR(IF(NOT(ISNUMBER($T61)),"",IF($T61&gt;=Scoring_Criteria!$D$8,5,IF($T61&gt;=Scoring_Criteria!$E$8,4,IF($T61&gt;=Scoring_Criteria!$F$8,3,IF($T61&gt;=Scoring_Criteria!$G$8,2,1))))),"")</f>
        <v>1</v>
      </c>
      <c r="AC61" s="26" t="str">
        <f>IFERROR(IF(NOT(ISNUMBER($U61)),"",IF($U61&lt;=Scoring_Criteria!$D$9,5,IF($U61&lt;=Scoring_Criteria!$E$9,4,IF($U61&lt;=Scoring_Criteria!$F$9,3,IF($U61&lt;=Scoring_Criteria!$G$9,2,1))))),"")</f>
        <v/>
      </c>
      <c r="AD61" s="26">
        <f t="array" ref="AD61">IFERROR(IF(NOT(ISNUMBER(_xlfn.XLOOKUP($A61&amp;"|"&amp;$C61,Financials!$A$2:$A$201&amp;"|"&amp;Financials!$B$2:$B$201,Financials!$AD$2:$AD$201,""))),"",IF(_xlfn.XLOOKUP($A61&amp;"|"&amp;$C61,Financials!$A$2:$A$201&amp;"|"&amp;Financials!$B$2:$B$201,Financials!$AD$2:$AD$201,"")&gt;=Scoring_Criteria!$D$10,5,IF(_xlfn.XLOOKUP($A61&amp;"|"&amp;$C61,Financials!$A$2:$A$201&amp;"|"&amp;Financials!$B$2:$B$201,Financials!$AD$2:$AD$201,"")&gt;=Scoring_Criteria!$E$10,4,IF(_xlfn.XLOOKUP($A61&amp;"|"&amp;$C61,Financials!$A$2:$A$201&amp;"|"&amp;Financials!$B$2:$B$201,Financials!$AD$2:$AD$201,"")&gt;=Scoring_Criteria!$F$10,3,IF(_xlfn.XLOOKUP($A61&amp;"|"&amp;$C61,Financials!$A$2:$A$201&amp;"|"&amp;Financials!$B$2:$B$201,Financials!$AD$2:$AD$201,"")&gt;=Scoring_Criteria!$G$10,2,1))))),"")</f>
        <v>3</v>
      </c>
      <c r="AE61" s="27"/>
      <c r="AF61" s="27"/>
      <c r="AG61" s="28">
        <f t="shared" si="9"/>
        <v>1.5</v>
      </c>
      <c r="AH61" s="29"/>
      <c r="AI61" s="29"/>
      <c r="AJ61" s="29"/>
      <c r="AK61" s="29"/>
      <c r="AL61" s="29"/>
      <c r="AM61" s="29"/>
      <c r="AN61" s="29"/>
      <c r="AO61" s="29"/>
      <c r="AP61" s="29"/>
      <c r="AQ61" s="29"/>
      <c r="AR61" s="29"/>
      <c r="AS61" s="29"/>
      <c r="AT61" s="29"/>
      <c r="AU61" t="str">
        <f>IFERROR(Validation_Summary!Q5,"")</f>
        <v>✓ All 8 checks passed</v>
      </c>
    </row>
    <row r="62" spans="1:47" ht="15" customHeight="1" x14ac:dyDescent="0.3">
      <c r="A62" s="6" t="s">
        <v>5641</v>
      </c>
      <c r="B62" s="19" t="str">
        <f t="array" ref="B62">IFERROR(_xlfn.XLOOKUP($A62&amp;"|"&amp;$C62,'Company_Master'!$A$2:$A$94&amp;"|"&amp;'Company_Master'!$D$2:$D$94,'Company_Master'!$B$2:$B$94,""),"")</f>
        <v>OILS</v>
      </c>
      <c r="C62" s="20">
        <v>2024</v>
      </c>
      <c r="D62" s="19" t="str">
        <f t="array" ref="D62">IFERROR(_xlfn.XLOOKUP($A62&amp;"|"&amp;$C62,'Company_Master'!$A$2:$A$94&amp;"|"&amp;'Company_Master'!$D$2:$D$94,'Company_Master'!$H$2:$H$94,""),"")</f>
        <v>Java (Mojokerto, East Java)</v>
      </c>
      <c r="E62" s="20">
        <f t="array" ref="E62">IFERROR(_xlfn.XLOOKUP($A62&amp;"|"&amp;$C62,Asset_Operations!$A$2:$A$201&amp;"|"&amp;Asset_Operations!$BG$2:$BG$201,Asset_Operations!$B$2:$B$201,""),"")</f>
        <v>0</v>
      </c>
      <c r="F62" s="20">
        <f t="array" ref="F62">IFERROR(_xlfn.XLOOKUP($A62&amp;"|"&amp;$C62,Asset_Operations!$A$2:$A$201&amp;"|"&amp;Asset_Operations!$BG$2:$BG$201,Asset_Operations!$E$2:$E$201,""),"")</f>
        <v>0</v>
      </c>
      <c r="G62" s="20">
        <f t="array" ref="G62">IFERROR(_xlfn.XLOOKUP($A62&amp;"|"&amp;$C62,Asset_Operations!$A$2:$A$201&amp;"|"&amp;Asset_Operations!$BG$2:$BG$201,Asset_Operations!$I$2:$I$201,""),"")</f>
        <v>0</v>
      </c>
      <c r="H62" s="20">
        <f t="array" ref="H62">IFERROR(_xlfn.XLOOKUP($A62&amp;"|"&amp;$C62,Asset_Operations!$A$2:$A$201&amp;"|"&amp;Asset_Operations!$BG$2:$BG$201,Asset_Operations!$J$2:$J$201,""),"")</f>
        <v>0</v>
      </c>
      <c r="I62" s="20">
        <f t="array" ref="I62">IFERROR(_xlfn.XLOOKUP($A62&amp;"|"&amp;$C62,Asset_Operations!$A$2:$A$201&amp;"|"&amp;Asset_Operations!$BG$2:$BG$201,Asset_Operations!$O$2:$O$201,""),"")</f>
        <v>1</v>
      </c>
      <c r="J62" s="20">
        <f t="array" ref="J62">IFERROR(_xlfn.XLOOKUP($A62&amp;"|"&amp;$C62,Asset_Operations!$A$2:$A$201&amp;"|"&amp;Asset_Operations!$BG$2:$BG$201,Asset_Operations!$S$2:$S$201,""),"")</f>
        <v>0</v>
      </c>
      <c r="K62" s="20">
        <f t="array" ref="K62">IFERROR(_xlfn.XLOOKUP($A62&amp;"|"&amp;$C62,Asset_Operations!$A$2:$A$201&amp;"|"&amp;Asset_Operations!$BG$2:$BG$201,Asset_Operations!$AC$2:$AC$201,""),"")</f>
        <v>0</v>
      </c>
      <c r="L62" s="20">
        <f t="array" ref="L62">IFERROR(_xlfn.XLOOKUP($A62&amp;"|"&amp;$C62,Asset_Operations!$A$2:$A$201&amp;"|"&amp;Asset_Operations!$BG$2:$BG$201,Asset_Operations!$AG$2:$AG$201,""),"")</f>
        <v>0</v>
      </c>
      <c r="M62" s="20" t="str">
        <f t="array" ref="M62">IFERROR(_xlfn.XLOOKUP($A62&amp;"|"&amp;$C62,Asset_Operations!$A$2:$A$201&amp;"|"&amp;Asset_Operations!$BG$2:$BG$201,Asset_Operations!$AO$2:$AO$201,""),"")</f>
        <v/>
      </c>
      <c r="N62" s="21" t="str">
        <f t="array" ref="N62">IFERROR(_xlfn.XLOOKUP($A62&amp;"|"&amp;$C62,Asset_Operations!$A$2:$A$201&amp;"|"&amp;Asset_Operations!$BG$2:$BG$201,Asset_Operations!$AR$2:$AR$201,""),"")</f>
        <v/>
      </c>
      <c r="O62" s="22">
        <f t="array" ref="O62">IFERROR(_xlfn.XLOOKUP($A62&amp;"|"&amp;$C62,Financials!$A$2:$A$201&amp;"|"&amp;Financials!$B$2:$B$201,Financials!$C$2:$C$201,""),"")</f>
        <v>634.38</v>
      </c>
      <c r="P62" s="22">
        <f t="array" ref="P62">IFERROR(_xlfn.XLOOKUP($A62&amp;"|"&amp;$C62,Financials!$A$2:$A$201&amp;"|"&amp;Financials!$B$2:$B$201,Financials!$E$2:$E$201,""),"")</f>
        <v>0</v>
      </c>
      <c r="Q62" s="22">
        <f t="array" ref="Q62">IFERROR(_xlfn.XLOOKUP($A62&amp;"|"&amp;$C62,Financials!$A$2:$A$201&amp;"|"&amp;Financials!$B$2:$B$201,Financials!$G$2:$G$201,""),"")</f>
        <v>6.35</v>
      </c>
      <c r="R62" s="22">
        <f t="array" ref="R62">IFERROR(_xlfn.XLOOKUP($A62&amp;"|"&amp;$C62,Financials!$A$2:$A$201&amp;"|"&amp;Financials!$B$2:$B$201,Financials!$S$2:$S$201,""),"")</f>
        <v>77.100000000000009</v>
      </c>
      <c r="S62" s="22">
        <f t="array" ref="S62">IFERROR(_xlfn.XLOOKUP($A62&amp;"|"&amp;$C62,Financials!$A$2:$A$201&amp;"|"&amp;Financials!$B$2:$B$201,Financials!$AC$2:$AC$201,""),"")</f>
        <v>44.497879999999995</v>
      </c>
      <c r="T62" s="23">
        <f t="shared" si="5"/>
        <v>0</v>
      </c>
      <c r="U62" s="24" t="str">
        <f t="shared" si="6"/>
        <v/>
      </c>
      <c r="V62" s="25" t="str">
        <f t="shared" si="7"/>
        <v/>
      </c>
      <c r="W62" s="24" t="str">
        <f t="shared" si="8"/>
        <v/>
      </c>
      <c r="X62" s="26">
        <f>IFERROR(IF(NOT(ISNUMBER($E62)),"",IF($E62&gt;=Scoring_Criteria!$D$4,5,IF($E62&gt;=Scoring_Criteria!$E$4,4,IF($E62&gt;=Scoring_Criteria!$F$4,3,IF($E62&gt;=Scoring_Criteria!$G$4,2,1))))),"")</f>
        <v>1</v>
      </c>
      <c r="Y62" s="26" t="str">
        <f>IFERROR(IF(OR(NOT(ISNUMBER($F62)),NOT(ISNUMBER($E62)),$E62=0),"",IF(($F62/$E62)&gt;=Scoring_Criteria!$D$5,5,IF(($F62/$E62)&gt;=Scoring_Criteria!$E$5,4,IF(($F62/$E62)&gt;=Scoring_Criteria!$F$5,3,IF(($F62/$E62)&gt;=Scoring_Criteria!$G$5,2,1))))),"")</f>
        <v/>
      </c>
      <c r="Z62" s="26">
        <f>IFERROR(IF(AND(NOT(ISNUMBER($I62)),NOT(ISNUMBER($J62))),"",IF((IFERROR($I62,0)+IFERROR($J62,0))&gt;=Scoring_Criteria!$D$6,5,IF((IFERROR($I62,0)+IFERROR($J62,0))&gt;=Scoring_Criteria!$E$6,4,IF((IFERROR($I62,0)+IFERROR($J62,0))&gt;=Scoring_Criteria!$F$6,3,IF((IFERROR($I62,0)+IFERROR($J62,0))&gt;=Scoring_Criteria!$G$6,2,1))))),"")</f>
        <v>1</v>
      </c>
      <c r="AA62" s="26" t="str">
        <f>IFERROR(IF(NOT(ISNUMBER($M62)),"",IF($M62&gt;=Scoring_Criteria!$D$7,5,IF($M62&gt;=Scoring_Criteria!$E$7,4,IF($M62&gt;=Scoring_Criteria!$F$7,3,IF($M62&gt;=Scoring_Criteria!$G$7,2,1))))),"")</f>
        <v/>
      </c>
      <c r="AB62" s="26">
        <f>IFERROR(IF(NOT(ISNUMBER($T62)),"",IF($T62&gt;=Scoring_Criteria!$D$8,5,IF($T62&gt;=Scoring_Criteria!$E$8,4,IF($T62&gt;=Scoring_Criteria!$F$8,3,IF($T62&gt;=Scoring_Criteria!$G$8,2,1))))),"")</f>
        <v>1</v>
      </c>
      <c r="AC62" s="26" t="str">
        <f>IFERROR(IF(NOT(ISNUMBER($U62)),"",IF($U62&lt;=Scoring_Criteria!$D$9,5,IF($U62&lt;=Scoring_Criteria!$E$9,4,IF($U62&lt;=Scoring_Criteria!$F$9,3,IF($U62&lt;=Scoring_Criteria!$G$9,2,1))))),"")</f>
        <v/>
      </c>
      <c r="AD62" s="26">
        <f t="array" ref="AD62">IFERROR(IF(NOT(ISNUMBER(_xlfn.XLOOKUP($A62&amp;"|"&amp;$C62,Financials!$A$2:$A$201&amp;"|"&amp;Financials!$B$2:$B$201,Financials!$AD$2:$AD$201,""))),"",IF(_xlfn.XLOOKUP($A62&amp;"|"&amp;$C62,Financials!$A$2:$A$201&amp;"|"&amp;Financials!$B$2:$B$201,Financials!$AD$2:$AD$201,"")&gt;=Scoring_Criteria!$D$10,5,IF(_xlfn.XLOOKUP($A62&amp;"|"&amp;$C62,Financials!$A$2:$A$201&amp;"|"&amp;Financials!$B$2:$B$201,Financials!$AD$2:$AD$201,"")&gt;=Scoring_Criteria!$E$10,4,IF(_xlfn.XLOOKUP($A62&amp;"|"&amp;$C62,Financials!$A$2:$A$201&amp;"|"&amp;Financials!$B$2:$B$201,Financials!$AD$2:$AD$201,"")&gt;=Scoring_Criteria!$F$10,3,IF(_xlfn.XLOOKUP($A62&amp;"|"&amp;$C62,Financials!$A$2:$A$201&amp;"|"&amp;Financials!$B$2:$B$201,Financials!$AD$2:$AD$201,"")&gt;=Scoring_Criteria!$G$10,2,1))))),"")</f>
        <v>2</v>
      </c>
      <c r="AE62" s="27"/>
      <c r="AF62" s="27"/>
      <c r="AG62" s="28">
        <f t="shared" si="9"/>
        <v>1.25</v>
      </c>
      <c r="AH62" s="29"/>
      <c r="AI62" s="29"/>
      <c r="AJ62" s="29"/>
      <c r="AK62" s="29"/>
      <c r="AL62" s="29"/>
      <c r="AM62" s="29"/>
      <c r="AN62" s="29"/>
      <c r="AO62" s="29"/>
      <c r="AP62" s="29"/>
      <c r="AQ62" s="29"/>
      <c r="AR62" s="29"/>
      <c r="AS62" s="29"/>
      <c r="AT62" s="29"/>
      <c r="AU62" t="str">
        <f>IFERROR(Validation_Summary!Q5,"")</f>
        <v>✓ All 8 checks passed</v>
      </c>
    </row>
    <row r="63" spans="1:47" ht="15" customHeight="1" x14ac:dyDescent="0.3">
      <c r="A63" s="6" t="s">
        <v>5876</v>
      </c>
      <c r="B63" s="19" t="str">
        <f t="array" ref="B63">IFERROR(_xlfn.XLOOKUP($A63&amp;"|"&amp;$C63,'Company_Master'!$A$2:$A$94&amp;"|"&amp;'Company_Master'!$D$2:$D$94,'Company_Master'!$B$2:$B$94,""),"")</f>
        <v>PGUN</v>
      </c>
      <c r="C63" s="20">
        <v>2022</v>
      </c>
      <c r="D63" s="19" t="str">
        <f t="array" ref="D63">IFERROR(_xlfn.XLOOKUP($A63&amp;"|"&amp;$C63,'Company_Master'!$A$2:$A$94&amp;"|"&amp;'Company_Master'!$D$2:$D$94,'Company_Master'!$H$2:$H$94,""),"")</f>
        <v>East Kalimantan (Paser Regency)</v>
      </c>
      <c r="E63" s="20">
        <f t="array" ref="E63">IFERROR(_xlfn.XLOOKUP($A63&amp;"|"&amp;$C63,Asset_Operations!$A$2:$A$201&amp;"|"&amp;Asset_Operations!$BG$2:$BG$201,Asset_Operations!$B$2:$B$201,""),"")</f>
        <v>20267</v>
      </c>
      <c r="F63" s="20">
        <f t="array" ref="F63">IFERROR(_xlfn.XLOOKUP($A63&amp;"|"&amp;$C63,Asset_Operations!$A$2:$A$201&amp;"|"&amp;Asset_Operations!$BG$2:$BG$201,Asset_Operations!$E$2:$E$201,""),"")</f>
        <v>12396.52</v>
      </c>
      <c r="G63" s="20">
        <f t="array" ref="G63">IFERROR(_xlfn.XLOOKUP($A63&amp;"|"&amp;$C63,Asset_Operations!$A$2:$A$201&amp;"|"&amp;Asset_Operations!$BG$2:$BG$201,Asset_Operations!$I$2:$I$201,""),"")</f>
        <v>0</v>
      </c>
      <c r="H63" s="20">
        <f t="array" ref="H63">IFERROR(_xlfn.XLOOKUP($A63&amp;"|"&amp;$C63,Asset_Operations!$A$2:$A$201&amp;"|"&amp;Asset_Operations!$BG$2:$BG$201,Asset_Operations!$J$2:$J$201,""),"")</f>
        <v>0</v>
      </c>
      <c r="I63" s="20">
        <f t="array" ref="I63">IFERROR(_xlfn.XLOOKUP($A63&amp;"|"&amp;$C63,Asset_Operations!$A$2:$A$201&amp;"|"&amp;Asset_Operations!$BG$2:$BG$201,Asset_Operations!$O$2:$O$201,""),"")</f>
        <v>1</v>
      </c>
      <c r="J63" s="20">
        <f t="array" ref="J63">IFERROR(_xlfn.XLOOKUP($A63&amp;"|"&amp;$C63,Asset_Operations!$A$2:$A$201&amp;"|"&amp;Asset_Operations!$BG$2:$BG$201,Asset_Operations!$S$2:$S$201,""),"")</f>
        <v>0</v>
      </c>
      <c r="K63" s="20">
        <f t="array" ref="K63">IFERROR(_xlfn.XLOOKUP($A63&amp;"|"&amp;$C63,Asset_Operations!$A$2:$A$201&amp;"|"&amp;Asset_Operations!$BG$2:$BG$201,Asset_Operations!$AC$2:$AC$201,""),"")</f>
        <v>243726</v>
      </c>
      <c r="L63" s="20">
        <f t="array" ref="L63">IFERROR(_xlfn.XLOOKUP($A63&amp;"|"&amp;$C63,Asset_Operations!$A$2:$A$201&amp;"|"&amp;Asset_Operations!$BG$2:$BG$201,Asset_Operations!$AG$2:$AG$201,""),"")</f>
        <v>72118</v>
      </c>
      <c r="M63" s="20">
        <f t="array" ref="M63">IFERROR(_xlfn.XLOOKUP($A63&amp;"|"&amp;$C63,Asset_Operations!$A$2:$A$201&amp;"|"&amp;Asset_Operations!$BG$2:$BG$201,Asset_Operations!$AO$2:$AO$201,""),"")</f>
        <v>19.660840300342354</v>
      </c>
      <c r="N63" s="21" t="str">
        <f t="array" ref="N63">IFERROR(_xlfn.XLOOKUP($A63&amp;"|"&amp;$C63,Asset_Operations!$A$2:$A$201&amp;"|"&amp;Asset_Operations!$BG$2:$BG$201,Asset_Operations!$AR$2:$AR$201,""),"")</f>
        <v/>
      </c>
      <c r="O63" s="22">
        <f t="array" ref="O63">IFERROR(_xlfn.XLOOKUP($A63&amp;"|"&amp;$C63,Financials!$A$2:$A$201&amp;"|"&amp;Financials!$B$2:$B$201,Financials!$C$2:$C$201,""),"")</f>
        <v>1007.31</v>
      </c>
      <c r="P63" s="22">
        <f t="array" ref="P63">IFERROR(_xlfn.XLOOKUP($A63&amp;"|"&amp;$C63,Financials!$A$2:$A$201&amp;"|"&amp;Financials!$B$2:$B$201,Financials!$E$2:$E$201,""),"")</f>
        <v>0</v>
      </c>
      <c r="Q63" s="22">
        <f t="array" ref="Q63">IFERROR(_xlfn.XLOOKUP($A63&amp;"|"&amp;$C63,Financials!$A$2:$A$201&amp;"|"&amp;Financials!$B$2:$B$201,Financials!$G$2:$G$201,""),"")</f>
        <v>167.25</v>
      </c>
      <c r="R63" s="22">
        <f t="array" ref="R63">IFERROR(_xlfn.XLOOKUP($A63&amp;"|"&amp;$C63,Financials!$A$2:$A$201&amp;"|"&amp;Financials!$B$2:$B$201,Financials!$S$2:$S$201,""),"")</f>
        <v>656.18000000000006</v>
      </c>
      <c r="S63" s="22">
        <f t="array" ref="S63">IFERROR(_xlfn.XLOOKUP($A63&amp;"|"&amp;$C63,Financials!$A$2:$A$201&amp;"|"&amp;Financials!$B$2:$B$201,Financials!$AC$2:$AC$201,""),"")</f>
        <v>4618.9692500000001</v>
      </c>
      <c r="T63" s="23">
        <f t="shared" si="5"/>
        <v>0</v>
      </c>
      <c r="U63" s="24" t="str">
        <f t="shared" si="6"/>
        <v/>
      </c>
      <c r="V63" s="25">
        <f t="shared" si="7"/>
        <v>4.970197858587852E-2</v>
      </c>
      <c r="W63" s="24">
        <f t="shared" si="8"/>
        <v>5.8176004233446159</v>
      </c>
      <c r="X63" s="26">
        <f>IFERROR(IF(NOT(ISNUMBER($E63)),"",IF($E63&gt;=Scoring_Criteria!$D$4,5,IF($E63&gt;=Scoring_Criteria!$E$4,4,IF($E63&gt;=Scoring_Criteria!$F$4,3,IF($E63&gt;=Scoring_Criteria!$G$4,2,1))))),"")</f>
        <v>2</v>
      </c>
      <c r="Y63" s="26">
        <f>IFERROR(IF(OR(NOT(ISNUMBER($F63)),NOT(ISNUMBER($E63)),$E63=0),"",IF(($F63/$E63)&gt;=Scoring_Criteria!$D$5,5,IF(($F63/$E63)&gt;=Scoring_Criteria!$E$5,4,IF(($F63/$E63)&gt;=Scoring_Criteria!$F$5,3,IF(($F63/$E63)&gt;=Scoring_Criteria!$G$5,2,1))))),"")</f>
        <v>3</v>
      </c>
      <c r="Z63" s="26">
        <f>IFERROR(IF(AND(NOT(ISNUMBER($I63)),NOT(ISNUMBER($J63))),"",IF((IFERROR($I63,0)+IFERROR($J63,0))&gt;=Scoring_Criteria!$D$6,5,IF((IFERROR($I63,0)+IFERROR($J63,0))&gt;=Scoring_Criteria!$E$6,4,IF((IFERROR($I63,0)+IFERROR($J63,0))&gt;=Scoring_Criteria!$F$6,3,IF((IFERROR($I63,0)+IFERROR($J63,0))&gt;=Scoring_Criteria!$G$6,2,1))))),"")</f>
        <v>1</v>
      </c>
      <c r="AA63" s="26">
        <f>IFERROR(IF(NOT(ISNUMBER($M63)),"",IF($M63&gt;=Scoring_Criteria!$D$7,5,IF($M63&gt;=Scoring_Criteria!$E$7,4,IF($M63&gt;=Scoring_Criteria!$F$7,3,IF($M63&gt;=Scoring_Criteria!$G$7,2,1))))),"")</f>
        <v>4</v>
      </c>
      <c r="AB63" s="26">
        <f>IFERROR(IF(NOT(ISNUMBER($T63)),"",IF($T63&gt;=Scoring_Criteria!$D$8,5,IF($T63&gt;=Scoring_Criteria!$E$8,4,IF($T63&gt;=Scoring_Criteria!$F$8,3,IF($T63&gt;=Scoring_Criteria!$G$8,2,1))))),"")</f>
        <v>1</v>
      </c>
      <c r="AC63" s="26" t="str">
        <f>IFERROR(IF(NOT(ISNUMBER($U63)),"",IF($U63&lt;=Scoring_Criteria!$D$9,5,IF($U63&lt;=Scoring_Criteria!$E$9,4,IF($U63&lt;=Scoring_Criteria!$F$9,3,IF($U63&lt;=Scoring_Criteria!$G$9,2,1))))),"")</f>
        <v/>
      </c>
      <c r="AD63" s="26">
        <f t="array" ref="AD63">IFERROR(IF(NOT(ISNUMBER(_xlfn.XLOOKUP($A63&amp;"|"&amp;$C63,Financials!$A$2:$A$201&amp;"|"&amp;Financials!$B$2:$B$201,Financials!$AD$2:$AD$201,""))),"",IF(_xlfn.XLOOKUP($A63&amp;"|"&amp;$C63,Financials!$A$2:$A$201&amp;"|"&amp;Financials!$B$2:$B$201,Financials!$AD$2:$AD$201,"")&gt;=Scoring_Criteria!$D$10,5,IF(_xlfn.XLOOKUP($A63&amp;"|"&amp;$C63,Financials!$A$2:$A$201&amp;"|"&amp;Financials!$B$2:$B$201,Financials!$AD$2:$AD$201,"")&gt;=Scoring_Criteria!$E$10,4,IF(_xlfn.XLOOKUP($A63&amp;"|"&amp;$C63,Financials!$A$2:$A$201&amp;"|"&amp;Financials!$B$2:$B$201,Financials!$AD$2:$AD$201,"")&gt;=Scoring_Criteria!$F$10,3,IF(_xlfn.XLOOKUP($A63&amp;"|"&amp;$C63,Financials!$A$2:$A$201&amp;"|"&amp;Financials!$B$2:$B$201,Financials!$AD$2:$AD$201,"")&gt;=Scoring_Criteria!$G$10,2,1))))),"")</f>
        <v>3</v>
      </c>
      <c r="AE63" s="27"/>
      <c r="AF63" s="27"/>
      <c r="AG63" s="28">
        <f t="shared" si="9"/>
        <v>2.3333333333333335</v>
      </c>
      <c r="AH63" s="29"/>
      <c r="AI63" s="29"/>
      <c r="AJ63" s="29"/>
      <c r="AK63" s="29"/>
      <c r="AL63" s="29"/>
      <c r="AM63" s="29"/>
      <c r="AN63" s="29"/>
      <c r="AO63" s="29"/>
      <c r="AP63" s="29"/>
      <c r="AQ63" s="29"/>
      <c r="AR63" s="29"/>
      <c r="AS63" s="29"/>
      <c r="AT63" s="29"/>
      <c r="AU63" t="str">
        <f>IFERROR(Validation_Summary!Q5,"")</f>
        <v>✓ All 8 checks passed</v>
      </c>
    </row>
    <row r="64" spans="1:47" ht="15" customHeight="1" x14ac:dyDescent="0.3">
      <c r="A64" s="6" t="s">
        <v>5876</v>
      </c>
      <c r="B64" s="19" t="str">
        <f t="array" ref="B64">IFERROR(_xlfn.XLOOKUP($A64&amp;"|"&amp;$C64,'Company_Master'!$A$2:$A$94&amp;"|"&amp;'Company_Master'!$D$2:$D$94,'Company_Master'!$B$2:$B$94,""),"")</f>
        <v>PGUN</v>
      </c>
      <c r="C64" s="20">
        <v>2023</v>
      </c>
      <c r="D64" s="19" t="str">
        <f t="array" ref="D64">IFERROR(_xlfn.XLOOKUP($A64&amp;"|"&amp;$C64,'Company_Master'!$A$2:$A$94&amp;"|"&amp;'Company_Master'!$D$2:$D$94,'Company_Master'!$H$2:$H$94,""),"")</f>
        <v>East Kalimantan (Paser Regency)</v>
      </c>
      <c r="E64" s="20">
        <f t="array" ref="E64">IFERROR(_xlfn.XLOOKUP($A64&amp;"|"&amp;$C64,Asset_Operations!$A$2:$A$201&amp;"|"&amp;Asset_Operations!$BG$2:$BG$201,Asset_Operations!$B$2:$B$201,""),"")</f>
        <v>26945.33</v>
      </c>
      <c r="F64" s="20">
        <f t="array" ref="F64">IFERROR(_xlfn.XLOOKUP($A64&amp;"|"&amp;$C64,Asset_Operations!$A$2:$A$201&amp;"|"&amp;Asset_Operations!$BG$2:$BG$201,Asset_Operations!$E$2:$E$201,""),"")</f>
        <v>19417</v>
      </c>
      <c r="G64" s="20">
        <f t="array" ref="G64">IFERROR(_xlfn.XLOOKUP($A64&amp;"|"&amp;$C64,Asset_Operations!$A$2:$A$201&amp;"|"&amp;Asset_Operations!$BG$2:$BG$201,Asset_Operations!$I$2:$I$201,""),"")</f>
        <v>0</v>
      </c>
      <c r="H64" s="20">
        <f t="array" ref="H64">IFERROR(_xlfn.XLOOKUP($A64&amp;"|"&amp;$C64,Asset_Operations!$A$2:$A$201&amp;"|"&amp;Asset_Operations!$BG$2:$BG$201,Asset_Operations!$J$2:$J$201,""),"")</f>
        <v>0</v>
      </c>
      <c r="I64" s="20">
        <f t="array" ref="I64">IFERROR(_xlfn.XLOOKUP($A64&amp;"|"&amp;$C64,Asset_Operations!$A$2:$A$201&amp;"|"&amp;Asset_Operations!$BG$2:$BG$201,Asset_Operations!$O$2:$O$201,""),"")</f>
        <v>1</v>
      </c>
      <c r="J64" s="20">
        <f t="array" ref="J64">IFERROR(_xlfn.XLOOKUP($A64&amp;"|"&amp;$C64,Asset_Operations!$A$2:$A$201&amp;"|"&amp;Asset_Operations!$BG$2:$BG$201,Asset_Operations!$S$2:$S$201,""),"")</f>
        <v>0</v>
      </c>
      <c r="K64" s="20">
        <f t="array" ref="K64">IFERROR(_xlfn.XLOOKUP($A64&amp;"|"&amp;$C64,Asset_Operations!$A$2:$A$201&amp;"|"&amp;Asset_Operations!$BG$2:$BG$201,Asset_Operations!$AC$2:$AC$201,""),"")</f>
        <v>306497</v>
      </c>
      <c r="L64" s="20">
        <f t="array" ref="L64">IFERROR(_xlfn.XLOOKUP($A64&amp;"|"&amp;$C64,Asset_Operations!$A$2:$A$201&amp;"|"&amp;Asset_Operations!$BG$2:$BG$201,Asset_Operations!$AG$2:$AG$201,""),"")</f>
        <v>71957</v>
      </c>
      <c r="M64" s="20">
        <f t="array" ref="M64">IFERROR(_xlfn.XLOOKUP($A64&amp;"|"&amp;$C64,Asset_Operations!$A$2:$A$201&amp;"|"&amp;Asset_Operations!$BG$2:$BG$201,Asset_Operations!$AO$2:$AO$201,""),"")</f>
        <v>15.784982232064685</v>
      </c>
      <c r="N64" s="21" t="str">
        <f t="array" ref="N64">IFERROR(_xlfn.XLOOKUP($A64&amp;"|"&amp;$C64,Asset_Operations!$A$2:$A$201&amp;"|"&amp;Asset_Operations!$BG$2:$BG$201,Asset_Operations!$AR$2:$AR$201,""),"")</f>
        <v/>
      </c>
      <c r="O64" s="22">
        <f t="array" ref="O64">IFERROR(_xlfn.XLOOKUP($A64&amp;"|"&amp;$C64,Financials!$A$2:$A$201&amp;"|"&amp;Financials!$B$2:$B$201,Financials!$C$2:$C$201,""),"")</f>
        <v>868.46</v>
      </c>
      <c r="P64" s="22">
        <f t="array" ref="P64">IFERROR(_xlfn.XLOOKUP($A64&amp;"|"&amp;$C64,Financials!$A$2:$A$201&amp;"|"&amp;Financials!$B$2:$B$201,Financials!$E$2:$E$201,""),"")</f>
        <v>0</v>
      </c>
      <c r="Q64" s="22">
        <f t="array" ref="Q64">IFERROR(_xlfn.XLOOKUP($A64&amp;"|"&amp;$C64,Financials!$A$2:$A$201&amp;"|"&amp;Financials!$B$2:$B$201,Financials!$G$2:$G$201,""),"")</f>
        <v>108.06</v>
      </c>
      <c r="R64" s="22">
        <f t="array" ref="R64">IFERROR(_xlfn.XLOOKUP($A64&amp;"|"&amp;$C64,Financials!$A$2:$A$201&amp;"|"&amp;Financials!$B$2:$B$201,Financials!$S$2:$S$201,""),"")</f>
        <v>494.25</v>
      </c>
      <c r="S64" s="22">
        <f t="array" ref="S64">IFERROR(_xlfn.XLOOKUP($A64&amp;"|"&amp;$C64,Financials!$A$2:$A$201&amp;"|"&amp;Financials!$B$2:$B$201,Financials!$AC$2:$AC$201,""),"")</f>
        <v>2432.8484000000003</v>
      </c>
      <c r="T64" s="23">
        <f t="shared" si="5"/>
        <v>0</v>
      </c>
      <c r="U64" s="24" t="str">
        <f t="shared" si="6"/>
        <v/>
      </c>
      <c r="V64" s="25">
        <f t="shared" si="7"/>
        <v>3.223044586946977E-2</v>
      </c>
      <c r="W64" s="24">
        <f t="shared" si="8"/>
        <v>3.7058762939692023</v>
      </c>
      <c r="X64" s="26">
        <f>IFERROR(IF(NOT(ISNUMBER($E64)),"",IF($E64&gt;=Scoring_Criteria!$D$4,5,IF($E64&gt;=Scoring_Criteria!$E$4,4,IF($E64&gt;=Scoring_Criteria!$F$4,3,IF($E64&gt;=Scoring_Criteria!$G$4,2,1))))),"")</f>
        <v>2</v>
      </c>
      <c r="Y64" s="26">
        <f>IFERROR(IF(OR(NOT(ISNUMBER($F64)),NOT(ISNUMBER($E64)),$E64=0),"",IF(($F64/$E64)&gt;=Scoring_Criteria!$D$5,5,IF(($F64/$E64)&gt;=Scoring_Criteria!$E$5,4,IF(($F64/$E64)&gt;=Scoring_Criteria!$F$5,3,IF(($F64/$E64)&gt;=Scoring_Criteria!$G$5,2,1))))),"")</f>
        <v>4</v>
      </c>
      <c r="Z64" s="26">
        <f>IFERROR(IF(AND(NOT(ISNUMBER($I64)),NOT(ISNUMBER($J64))),"",IF((IFERROR($I64,0)+IFERROR($J64,0))&gt;=Scoring_Criteria!$D$6,5,IF((IFERROR($I64,0)+IFERROR($J64,0))&gt;=Scoring_Criteria!$E$6,4,IF((IFERROR($I64,0)+IFERROR($J64,0))&gt;=Scoring_Criteria!$F$6,3,IF((IFERROR($I64,0)+IFERROR($J64,0))&gt;=Scoring_Criteria!$G$6,2,1))))),"")</f>
        <v>1</v>
      </c>
      <c r="AA64" s="26">
        <f>IFERROR(IF(NOT(ISNUMBER($M64)),"",IF($M64&gt;=Scoring_Criteria!$D$7,5,IF($M64&gt;=Scoring_Criteria!$E$7,4,IF($M64&gt;=Scoring_Criteria!$F$7,3,IF($M64&gt;=Scoring_Criteria!$G$7,2,1))))),"")</f>
        <v>3</v>
      </c>
      <c r="AB64" s="26">
        <f>IFERROR(IF(NOT(ISNUMBER($T64)),"",IF($T64&gt;=Scoring_Criteria!$D$8,5,IF($T64&gt;=Scoring_Criteria!$E$8,4,IF($T64&gt;=Scoring_Criteria!$F$8,3,IF($T64&gt;=Scoring_Criteria!$G$8,2,1))))),"")</f>
        <v>1</v>
      </c>
      <c r="AC64" s="26" t="str">
        <f>IFERROR(IF(NOT(ISNUMBER($U64)),"",IF($U64&lt;=Scoring_Criteria!$D$9,5,IF($U64&lt;=Scoring_Criteria!$E$9,4,IF($U64&lt;=Scoring_Criteria!$F$9,3,IF($U64&lt;=Scoring_Criteria!$G$9,2,1))))),"")</f>
        <v/>
      </c>
      <c r="AD64" s="26">
        <f t="array" ref="AD64">IFERROR(IF(NOT(ISNUMBER(_xlfn.XLOOKUP($A64&amp;"|"&amp;$C64,Financials!$A$2:$A$201&amp;"|"&amp;Financials!$B$2:$B$201,Financials!$AD$2:$AD$201,""))),"",IF(_xlfn.XLOOKUP($A64&amp;"|"&amp;$C64,Financials!$A$2:$A$201&amp;"|"&amp;Financials!$B$2:$B$201,Financials!$AD$2:$AD$201,"")&gt;=Scoring_Criteria!$D$10,5,IF(_xlfn.XLOOKUP($A64&amp;"|"&amp;$C64,Financials!$A$2:$A$201&amp;"|"&amp;Financials!$B$2:$B$201,Financials!$AD$2:$AD$201,"")&gt;=Scoring_Criteria!$E$10,4,IF(_xlfn.XLOOKUP($A64&amp;"|"&amp;$C64,Financials!$A$2:$A$201&amp;"|"&amp;Financials!$B$2:$B$201,Financials!$AD$2:$AD$201,"")&gt;=Scoring_Criteria!$F$10,3,IF(_xlfn.XLOOKUP($A64&amp;"|"&amp;$C64,Financials!$A$2:$A$201&amp;"|"&amp;Financials!$B$2:$B$201,Financials!$AD$2:$AD$201,"")&gt;=Scoring_Criteria!$G$10,2,1))))),"")</f>
        <v>4</v>
      </c>
      <c r="AE64" s="27"/>
      <c r="AF64" s="27"/>
      <c r="AG64" s="28">
        <f t="shared" si="9"/>
        <v>2.5</v>
      </c>
      <c r="AH64" s="29"/>
      <c r="AI64" s="29"/>
      <c r="AJ64" s="29"/>
      <c r="AK64" s="29"/>
      <c r="AL64" s="29"/>
      <c r="AM64" s="29"/>
      <c r="AN64" s="29"/>
      <c r="AO64" s="29"/>
      <c r="AP64" s="29"/>
      <c r="AQ64" s="29"/>
      <c r="AR64" s="29"/>
      <c r="AS64" s="29"/>
      <c r="AT64" s="29"/>
      <c r="AU64" t="str">
        <f>IFERROR(Validation_Summary!Q5,"")</f>
        <v>✓ All 8 checks passed</v>
      </c>
    </row>
    <row r="65" spans="1:47" ht="15" customHeight="1" x14ac:dyDescent="0.3">
      <c r="A65" s="6" t="s">
        <v>5876</v>
      </c>
      <c r="B65" s="19" t="str">
        <f t="array" ref="B65">IFERROR(_xlfn.XLOOKUP($A65&amp;"|"&amp;$C65,'Company_Master'!$A$2:$A$94&amp;"|"&amp;'Company_Master'!$D$2:$D$94,'Company_Master'!$B$2:$B$94,""),"")</f>
        <v>PGUN</v>
      </c>
      <c r="C65" s="20">
        <v>2024</v>
      </c>
      <c r="D65" s="19" t="str">
        <f t="array" ref="D65">IFERROR(_xlfn.XLOOKUP($A65&amp;"|"&amp;$C65,'Company_Master'!$A$2:$A$94&amp;"|"&amp;'Company_Master'!$D$2:$D$94,'Company_Master'!$H$2:$H$94,""),"")</f>
        <v>East Kalimantan (Paser Regency)</v>
      </c>
      <c r="E65" s="20">
        <f t="array" ref="E65">IFERROR(_xlfn.XLOOKUP($A65&amp;"|"&amp;$C65,Asset_Operations!$A$2:$A$201&amp;"|"&amp;Asset_Operations!$BG$2:$BG$201,Asset_Operations!$B$2:$B$201,""),"")</f>
        <v>26620.92</v>
      </c>
      <c r="F65" s="20">
        <f t="array" ref="F65">IFERROR(_xlfn.XLOOKUP($A65&amp;"|"&amp;$C65,Asset_Operations!$A$2:$A$201&amp;"|"&amp;Asset_Operations!$BG$2:$BG$201,Asset_Operations!$E$2:$E$201,""),"")</f>
        <v>19491</v>
      </c>
      <c r="G65" s="20">
        <f t="array" ref="G65">IFERROR(_xlfn.XLOOKUP($A65&amp;"|"&amp;$C65,Asset_Operations!$A$2:$A$201&amp;"|"&amp;Asset_Operations!$BG$2:$BG$201,Asset_Operations!$I$2:$I$201,""),"")</f>
        <v>0</v>
      </c>
      <c r="H65" s="20">
        <f t="array" ref="H65">IFERROR(_xlfn.XLOOKUP($A65&amp;"|"&amp;$C65,Asset_Operations!$A$2:$A$201&amp;"|"&amp;Asset_Operations!$BG$2:$BG$201,Asset_Operations!$J$2:$J$201,""),"")</f>
        <v>856</v>
      </c>
      <c r="I65" s="20">
        <f t="array" ref="I65">IFERROR(_xlfn.XLOOKUP($A65&amp;"|"&amp;$C65,Asset_Operations!$A$2:$A$201&amp;"|"&amp;Asset_Operations!$BG$2:$BG$201,Asset_Operations!$O$2:$O$201,""),"")</f>
        <v>1</v>
      </c>
      <c r="J65" s="20">
        <f t="array" ref="J65">IFERROR(_xlfn.XLOOKUP($A65&amp;"|"&amp;$C65,Asset_Operations!$A$2:$A$201&amp;"|"&amp;Asset_Operations!$BG$2:$BG$201,Asset_Operations!$S$2:$S$201,""),"")</f>
        <v>0</v>
      </c>
      <c r="K65" s="20">
        <f t="array" ref="K65">IFERROR(_xlfn.XLOOKUP($A65&amp;"|"&amp;$C65,Asset_Operations!$A$2:$A$201&amp;"|"&amp;Asset_Operations!$BG$2:$BG$201,Asset_Operations!$AC$2:$AC$201,""),"")</f>
        <v>223235</v>
      </c>
      <c r="L65" s="20">
        <f t="array" ref="L65">IFERROR(_xlfn.XLOOKUP($A65&amp;"|"&amp;$C65,Asset_Operations!$A$2:$A$201&amp;"|"&amp;Asset_Operations!$BG$2:$BG$201,Asset_Operations!$AG$2:$AG$201,""),"")</f>
        <v>53108</v>
      </c>
      <c r="M65" s="20">
        <f t="array" ref="M65">IFERROR(_xlfn.XLOOKUP($A65&amp;"|"&amp;$C65,Asset_Operations!$A$2:$A$201&amp;"|"&amp;Asset_Operations!$BG$2:$BG$201,Asset_Operations!$AO$2:$AO$201,""),"")</f>
        <v>11.453234826330101</v>
      </c>
      <c r="N65" s="21" t="str">
        <f t="array" ref="N65">IFERROR(_xlfn.XLOOKUP($A65&amp;"|"&amp;$C65,Asset_Operations!$A$2:$A$201&amp;"|"&amp;Asset_Operations!$BG$2:$BG$201,Asset_Operations!$AR$2:$AR$201,""),"")</f>
        <v/>
      </c>
      <c r="O65" s="22">
        <f t="array" ref="O65">IFERROR(_xlfn.XLOOKUP($A65&amp;"|"&amp;$C65,Financials!$A$2:$A$201&amp;"|"&amp;Financials!$B$2:$B$201,Financials!$C$2:$C$201,""),"")</f>
        <v>738.57</v>
      </c>
      <c r="P65" s="22">
        <f t="array" ref="P65">IFERROR(_xlfn.XLOOKUP($A65&amp;"|"&amp;$C65,Financials!$A$2:$A$201&amp;"|"&amp;Financials!$B$2:$B$201,Financials!$E$2:$E$201,""),"")</f>
        <v>0</v>
      </c>
      <c r="Q65" s="22">
        <f t="array" ref="Q65">IFERROR(_xlfn.XLOOKUP($A65&amp;"|"&amp;$C65,Financials!$A$2:$A$201&amp;"|"&amp;Financials!$B$2:$B$201,Financials!$G$2:$G$201,""),"")</f>
        <v>79.180000000000007</v>
      </c>
      <c r="R65" s="22">
        <f t="array" ref="R65">IFERROR(_xlfn.XLOOKUP($A65&amp;"|"&amp;$C65,Financials!$A$2:$A$201&amp;"|"&amp;Financials!$B$2:$B$201,Financials!$S$2:$S$201,""),"")</f>
        <v>474.49</v>
      </c>
      <c r="S65" s="22">
        <f t="array" ref="S65">IFERROR(_xlfn.XLOOKUP($A65&amp;"|"&amp;$C65,Financials!$A$2:$A$201&amp;"|"&amp;Financials!$B$2:$B$201,Financials!$AC$2:$AC$201,""),"")</f>
        <v>2432.8484000000003</v>
      </c>
      <c r="T65" s="23">
        <f t="shared" si="5"/>
        <v>0</v>
      </c>
      <c r="U65" s="24" t="str">
        <f t="shared" si="6"/>
        <v/>
      </c>
      <c r="V65" s="25">
        <f t="shared" si="7"/>
        <v>2.7743969780157866E-2</v>
      </c>
      <c r="W65" s="24">
        <f t="shared" si="8"/>
        <v>2.7247447539890204</v>
      </c>
      <c r="X65" s="26">
        <f>IFERROR(IF(NOT(ISNUMBER($E65)),"",IF($E65&gt;=Scoring_Criteria!$D$4,5,IF($E65&gt;=Scoring_Criteria!$E$4,4,IF($E65&gt;=Scoring_Criteria!$F$4,3,IF($E65&gt;=Scoring_Criteria!$G$4,2,1))))),"")</f>
        <v>2</v>
      </c>
      <c r="Y65" s="26">
        <f>IFERROR(IF(OR(NOT(ISNUMBER($F65)),NOT(ISNUMBER($E65)),$E65=0),"",IF(($F65/$E65)&gt;=Scoring_Criteria!$D$5,5,IF(($F65/$E65)&gt;=Scoring_Criteria!$E$5,4,IF(($F65/$E65)&gt;=Scoring_Criteria!$F$5,3,IF(($F65/$E65)&gt;=Scoring_Criteria!$G$5,2,1))))),"")</f>
        <v>4</v>
      </c>
      <c r="Z65" s="26">
        <f>IFERROR(IF(AND(NOT(ISNUMBER($I65)),NOT(ISNUMBER($J65))),"",IF((IFERROR($I65,0)+IFERROR($J65,0))&gt;=Scoring_Criteria!$D$6,5,IF((IFERROR($I65,0)+IFERROR($J65,0))&gt;=Scoring_Criteria!$E$6,4,IF((IFERROR($I65,0)+IFERROR($J65,0))&gt;=Scoring_Criteria!$F$6,3,IF((IFERROR($I65,0)+IFERROR($J65,0))&gt;=Scoring_Criteria!$G$6,2,1))))),"")</f>
        <v>1</v>
      </c>
      <c r="AA65" s="26">
        <f>IFERROR(IF(NOT(ISNUMBER($M65)),"",IF($M65&gt;=Scoring_Criteria!$D$7,5,IF($M65&gt;=Scoring_Criteria!$E$7,4,IF($M65&gt;=Scoring_Criteria!$F$7,3,IF($M65&gt;=Scoring_Criteria!$G$7,2,1))))),"")</f>
        <v>2</v>
      </c>
      <c r="AB65" s="26">
        <f>IFERROR(IF(NOT(ISNUMBER($T65)),"",IF($T65&gt;=Scoring_Criteria!$D$8,5,IF($T65&gt;=Scoring_Criteria!$E$8,4,IF($T65&gt;=Scoring_Criteria!$F$8,3,IF($T65&gt;=Scoring_Criteria!$G$8,2,1))))),"")</f>
        <v>1</v>
      </c>
      <c r="AC65" s="26" t="str">
        <f>IFERROR(IF(NOT(ISNUMBER($U65)),"",IF($U65&lt;=Scoring_Criteria!$D$9,5,IF($U65&lt;=Scoring_Criteria!$E$9,4,IF($U65&lt;=Scoring_Criteria!$F$9,3,IF($U65&lt;=Scoring_Criteria!$G$9,2,1))))),"")</f>
        <v/>
      </c>
      <c r="AD65" s="26">
        <f t="array" ref="AD65">IFERROR(IF(NOT(ISNUMBER(_xlfn.XLOOKUP($A65&amp;"|"&amp;$C65,Financials!$A$2:$A$201&amp;"|"&amp;Financials!$B$2:$B$201,Financials!$AD$2:$AD$201,""))),"",IF(_xlfn.XLOOKUP($A65&amp;"|"&amp;$C65,Financials!$A$2:$A$201&amp;"|"&amp;Financials!$B$2:$B$201,Financials!$AD$2:$AD$201,"")&gt;=Scoring_Criteria!$D$10,5,IF(_xlfn.XLOOKUP($A65&amp;"|"&amp;$C65,Financials!$A$2:$A$201&amp;"|"&amp;Financials!$B$2:$B$201,Financials!$AD$2:$AD$201,"")&gt;=Scoring_Criteria!$E$10,4,IF(_xlfn.XLOOKUP($A65&amp;"|"&amp;$C65,Financials!$A$2:$A$201&amp;"|"&amp;Financials!$B$2:$B$201,Financials!$AD$2:$AD$201,"")&gt;=Scoring_Criteria!$F$10,3,IF(_xlfn.XLOOKUP($A65&amp;"|"&amp;$C65,Financials!$A$2:$A$201&amp;"|"&amp;Financials!$B$2:$B$201,Financials!$AD$2:$AD$201,"")&gt;=Scoring_Criteria!$G$10,2,1))))),"")</f>
        <v>4</v>
      </c>
      <c r="AE65" s="27"/>
      <c r="AF65" s="27"/>
      <c r="AG65" s="28">
        <f t="shared" si="9"/>
        <v>2.3333333333333335</v>
      </c>
      <c r="AH65" s="29"/>
      <c r="AI65" s="29"/>
      <c r="AJ65" s="29"/>
      <c r="AK65" s="29"/>
      <c r="AL65" s="29"/>
      <c r="AM65" s="29"/>
      <c r="AN65" s="29"/>
      <c r="AO65" s="29"/>
      <c r="AP65" s="29"/>
      <c r="AQ65" s="29"/>
      <c r="AR65" s="29"/>
      <c r="AS65" s="29"/>
      <c r="AT65" s="29"/>
      <c r="AU65" t="str">
        <f>IFERROR(Validation_Summary!Q5,"")</f>
        <v>✓ All 8 checks passed</v>
      </c>
    </row>
    <row r="66" spans="1:47" ht="15" customHeight="1" x14ac:dyDescent="0.3">
      <c r="A66" s="6" t="s">
        <v>6131</v>
      </c>
      <c r="B66" s="19" t="str">
        <f t="array" ref="B66">IFERROR(_xlfn.XLOOKUP($A66&amp;"|"&amp;$C66,'Company_Master'!$A$2:$A$94&amp;"|"&amp;'Company_Master'!$D$2:$D$94,'Company_Master'!$B$2:$B$94,""),"")</f>
        <v>PNGO</v>
      </c>
      <c r="C66" s="20">
        <v>2022</v>
      </c>
      <c r="D66" s="19" t="str">
        <f t="array" ref="D66">IFERROR(_xlfn.XLOOKUP($A66&amp;"|"&amp;$C66,'Company_Master'!$A$2:$A$94&amp;"|"&amp;'Company_Master'!$D$2:$D$94,'Company_Master'!$H$2:$H$94,""),"")</f>
        <v>Sumatra Selatan (South Sumatra)</v>
      </c>
      <c r="E66" s="20">
        <f t="array" ref="E66">IFERROR(_xlfn.XLOOKUP($A66&amp;"|"&amp;$C66,Asset_Operations!$A$2:$A$201&amp;"|"&amp;Asset_Operations!$BG$2:$BG$201,Asset_Operations!$B$2:$B$201,""),"")</f>
        <v>13324</v>
      </c>
      <c r="F66" s="20">
        <f t="array" ref="F66">IFERROR(_xlfn.XLOOKUP($A66&amp;"|"&amp;$C66,Asset_Operations!$A$2:$A$201&amp;"|"&amp;Asset_Operations!$BG$2:$BG$201,Asset_Operations!$E$2:$E$201,""),"")</f>
        <v>10649</v>
      </c>
      <c r="G66" s="20">
        <f t="array" ref="G66">IFERROR(_xlfn.XLOOKUP($A66&amp;"|"&amp;$C66,Asset_Operations!$A$2:$A$201&amp;"|"&amp;Asset_Operations!$BG$2:$BG$201,Asset_Operations!$I$2:$I$201,""),"")</f>
        <v>14</v>
      </c>
      <c r="H66" s="20">
        <f t="array" ref="H66">IFERROR(_xlfn.XLOOKUP($A66&amp;"|"&amp;$C66,Asset_Operations!$A$2:$A$201&amp;"|"&amp;Asset_Operations!$BG$2:$BG$201,Asset_Operations!$J$2:$J$201,""),"")</f>
        <v>0</v>
      </c>
      <c r="I66" s="20">
        <f t="array" ref="I66">IFERROR(_xlfn.XLOOKUP($A66&amp;"|"&amp;$C66,Asset_Operations!$A$2:$A$201&amp;"|"&amp;Asset_Operations!$BG$2:$BG$201,Asset_Operations!$O$2:$O$201,""),"")</f>
        <v>1</v>
      </c>
      <c r="J66" s="20">
        <f t="array" ref="J66">IFERROR(_xlfn.XLOOKUP($A66&amp;"|"&amp;$C66,Asset_Operations!$A$2:$A$201&amp;"|"&amp;Asset_Operations!$BG$2:$BG$201,Asset_Operations!$S$2:$S$201,""),"")</f>
        <v>0</v>
      </c>
      <c r="K66" s="20">
        <f t="array" ref="K66">IFERROR(_xlfn.XLOOKUP($A66&amp;"|"&amp;$C66,Asset_Operations!$A$2:$A$201&amp;"|"&amp;Asset_Operations!$BG$2:$BG$201,Asset_Operations!$AC$2:$AC$201,""),"")</f>
        <v>162559</v>
      </c>
      <c r="L66" s="20">
        <f t="array" ref="L66">IFERROR(_xlfn.XLOOKUP($A66&amp;"|"&amp;$C66,Asset_Operations!$A$2:$A$201&amp;"|"&amp;Asset_Operations!$BG$2:$BG$201,Asset_Operations!$AG$2:$AG$201,""),"")</f>
        <v>100914</v>
      </c>
      <c r="M66" s="20">
        <f t="array" ref="M66">IFERROR(_xlfn.XLOOKUP($A66&amp;"|"&amp;$C66,Asset_Operations!$A$2:$A$201&amp;"|"&amp;Asset_Operations!$BG$2:$BG$201,Asset_Operations!$AO$2:$AO$201,""),"")</f>
        <v>15.265189219645038</v>
      </c>
      <c r="N66" s="21">
        <f t="array" ref="N66">IFERROR(_xlfn.XLOOKUP($A66&amp;"|"&amp;$C66,Asset_Operations!$A$2:$A$201&amp;"|"&amp;Asset_Operations!$BG$2:$BG$201,Asset_Operations!$AR$2:$AR$201,""),"")</f>
        <v>0.21878611150256372</v>
      </c>
      <c r="O66" s="22">
        <f t="array" ref="O66">IFERROR(_xlfn.XLOOKUP($A66&amp;"|"&amp;$C66,Financials!$A$2:$A$201&amp;"|"&amp;Financials!$B$2:$B$201,Financials!$C$2:$C$201,""),"")</f>
        <v>2034</v>
      </c>
      <c r="P66" s="22">
        <f t="array" ref="P66">IFERROR(_xlfn.XLOOKUP($A66&amp;"|"&amp;$C66,Financials!$A$2:$A$201&amp;"|"&amp;Financials!$B$2:$B$201,Financials!$E$2:$E$201,""),"")</f>
        <v>0</v>
      </c>
      <c r="Q66" s="22">
        <f t="array" ref="Q66">IFERROR(_xlfn.XLOOKUP($A66&amp;"|"&amp;$C66,Financials!$A$2:$A$201&amp;"|"&amp;Financials!$B$2:$B$201,Financials!$G$2:$G$201,""),"")</f>
        <v>173</v>
      </c>
      <c r="R66" s="22">
        <f t="array" ref="R66">IFERROR(_xlfn.XLOOKUP($A66&amp;"|"&amp;$C66,Financials!$A$2:$A$201&amp;"|"&amp;Financials!$B$2:$B$201,Financials!$S$2:$S$201,""),"")</f>
        <v>613</v>
      </c>
      <c r="S66" s="22">
        <f t="array" ref="S66">IFERROR(_xlfn.XLOOKUP($A66&amp;"|"&amp;$C66,Financials!$A$2:$A$201&amp;"|"&amp;Financials!$B$2:$B$201,Financials!$AC$2:$AC$201,""),"")</f>
        <v>1093.4000000000001</v>
      </c>
      <c r="T66" s="23">
        <f t="shared" ref="T66:T94" si="10">IFERROR(P66/O66,"")</f>
        <v>0</v>
      </c>
      <c r="U66" s="24" t="str">
        <f t="shared" ref="U66:U94" si="11">IFERROR(R66/P66,"")</f>
        <v/>
      </c>
      <c r="V66" s="25">
        <f t="shared" ref="V66:V94" si="12">IFERROR(O66/E66,"")</f>
        <v>0.15265685980186131</v>
      </c>
      <c r="W66" s="24">
        <f t="shared" ref="W66:W94" si="13">IFERROR(L66/F66,"")</f>
        <v>9.4763827589445011</v>
      </c>
      <c r="X66" s="26">
        <f>IFERROR(IF(NOT(ISNUMBER($E66)),"",IF($E66&gt;=Scoring_Criteria!$D$4,5,IF($E66&gt;=Scoring_Criteria!$E$4,4,IF($E66&gt;=Scoring_Criteria!$F$4,3,IF($E66&gt;=Scoring_Criteria!$G$4,2,1))))),"")</f>
        <v>1</v>
      </c>
      <c r="Y66" s="26">
        <f>IFERROR(IF(OR(NOT(ISNUMBER($F66)),NOT(ISNUMBER($E66)),$E66=0),"",IF(($F66/$E66)&gt;=Scoring_Criteria!$D$5,5,IF(($F66/$E66)&gt;=Scoring_Criteria!$E$5,4,IF(($F66/$E66)&gt;=Scoring_Criteria!$F$5,3,IF(($F66/$E66)&gt;=Scoring_Criteria!$G$5,2,1))))),"")</f>
        <v>5</v>
      </c>
      <c r="Z66" s="26">
        <f>IFERROR(IF(AND(NOT(ISNUMBER($I66)),NOT(ISNUMBER($J66))),"",IF((IFERROR($I66,0)+IFERROR($J66,0))&gt;=Scoring_Criteria!$D$6,5,IF((IFERROR($I66,0)+IFERROR($J66,0))&gt;=Scoring_Criteria!$E$6,4,IF((IFERROR($I66,0)+IFERROR($J66,0))&gt;=Scoring_Criteria!$F$6,3,IF((IFERROR($I66,0)+IFERROR($J66,0))&gt;=Scoring_Criteria!$G$6,2,1))))),"")</f>
        <v>1</v>
      </c>
      <c r="AA66" s="26">
        <f>IFERROR(IF(NOT(ISNUMBER($M66)),"",IF($M66&gt;=Scoring_Criteria!$D$7,5,IF($M66&gt;=Scoring_Criteria!$E$7,4,IF($M66&gt;=Scoring_Criteria!$F$7,3,IF($M66&gt;=Scoring_Criteria!$G$7,2,1))))),"")</f>
        <v>3</v>
      </c>
      <c r="AB66" s="26">
        <f>IFERROR(IF(NOT(ISNUMBER($T66)),"",IF($T66&gt;=Scoring_Criteria!$D$8,5,IF($T66&gt;=Scoring_Criteria!$E$8,4,IF($T66&gt;=Scoring_Criteria!$F$8,3,IF($T66&gt;=Scoring_Criteria!$G$8,2,1))))),"")</f>
        <v>1</v>
      </c>
      <c r="AC66" s="26" t="str">
        <f>IFERROR(IF(NOT(ISNUMBER($U66)),"",IF($U66&lt;=Scoring_Criteria!$D$9,5,IF($U66&lt;=Scoring_Criteria!$E$9,4,IF($U66&lt;=Scoring_Criteria!$F$9,3,IF($U66&lt;=Scoring_Criteria!$G$9,2,1))))),"")</f>
        <v/>
      </c>
      <c r="AD66" s="26">
        <f t="array" ref="AD66">IFERROR(IF(NOT(ISNUMBER(_xlfn.XLOOKUP($A66&amp;"|"&amp;$C66,Financials!$A$2:$A$201&amp;"|"&amp;Financials!$B$2:$B$201,Financials!$AD$2:$AD$201,""))),"",IF(_xlfn.XLOOKUP($A66&amp;"|"&amp;$C66,Financials!$A$2:$A$201&amp;"|"&amp;Financials!$B$2:$B$201,Financials!$AD$2:$AD$201,"")&gt;=Scoring_Criteria!$D$10,5,IF(_xlfn.XLOOKUP($A66&amp;"|"&amp;$C66,Financials!$A$2:$A$201&amp;"|"&amp;Financials!$B$2:$B$201,Financials!$AD$2:$AD$201,"")&gt;=Scoring_Criteria!$E$10,4,IF(_xlfn.XLOOKUP($A66&amp;"|"&amp;$C66,Financials!$A$2:$A$201&amp;"|"&amp;Financials!$B$2:$B$201,Financials!$AD$2:$AD$201,"")&gt;=Scoring_Criteria!$F$10,3,IF(_xlfn.XLOOKUP($A66&amp;"|"&amp;$C66,Financials!$A$2:$A$201&amp;"|"&amp;Financials!$B$2:$B$201,Financials!$AD$2:$AD$201,"")&gt;=Scoring_Criteria!$G$10,2,1))))),"")</f>
        <v>3</v>
      </c>
      <c r="AE66" s="27"/>
      <c r="AF66" s="27"/>
      <c r="AG66" s="28">
        <f t="shared" ref="AG66:AG94" si="14">IFERROR(IF(COUNTA(X66:AF66)=0,"",AVERAGE(X66:AF66)),"")</f>
        <v>2.3333333333333335</v>
      </c>
      <c r="AH66" s="29"/>
      <c r="AI66" s="29"/>
      <c r="AJ66" s="29"/>
      <c r="AK66" s="29"/>
      <c r="AL66" s="29"/>
      <c r="AM66" s="29"/>
      <c r="AN66" s="29"/>
      <c r="AO66" s="29"/>
      <c r="AP66" s="29"/>
      <c r="AQ66" s="29"/>
      <c r="AR66" s="29"/>
      <c r="AS66" s="29"/>
      <c r="AT66" s="29"/>
      <c r="AU66" t="str">
        <f>IFERROR(Validation_Summary!Q5,"")</f>
        <v>✓ All 8 checks passed</v>
      </c>
    </row>
    <row r="67" spans="1:47" ht="15" customHeight="1" x14ac:dyDescent="0.3">
      <c r="A67" s="6" t="s">
        <v>6131</v>
      </c>
      <c r="B67" s="19" t="str">
        <f t="array" ref="B67">IFERROR(_xlfn.XLOOKUP($A67&amp;"|"&amp;$C67,'Company_Master'!$A$2:$A$94&amp;"|"&amp;'Company_Master'!$D$2:$D$94,'Company_Master'!$B$2:$B$94,""),"")</f>
        <v>PNGO</v>
      </c>
      <c r="C67" s="20">
        <v>2023</v>
      </c>
      <c r="D67" s="19" t="str">
        <f t="array" ref="D67">IFERROR(_xlfn.XLOOKUP($A67&amp;"|"&amp;$C67,'Company_Master'!$A$2:$A$94&amp;"|"&amp;'Company_Master'!$D$2:$D$94,'Company_Master'!$H$2:$H$94,""),"")</f>
        <v>Sumatra Selatan (South Sumatra)</v>
      </c>
      <c r="E67" s="20">
        <f t="array" ref="E67">IFERROR(_xlfn.XLOOKUP($A67&amp;"|"&amp;$C67,Asset_Operations!$A$2:$A$201&amp;"|"&amp;Asset_Operations!$BG$2:$BG$201,Asset_Operations!$B$2:$B$201,""),"")</f>
        <v>13834</v>
      </c>
      <c r="F67" s="20">
        <f t="array" ref="F67">IFERROR(_xlfn.XLOOKUP($A67&amp;"|"&amp;$C67,Asset_Operations!$A$2:$A$201&amp;"|"&amp;Asset_Operations!$BG$2:$BG$201,Asset_Operations!$E$2:$E$201,""),"")</f>
        <v>11183</v>
      </c>
      <c r="G67" s="20">
        <f t="array" ref="G67">IFERROR(_xlfn.XLOOKUP($A67&amp;"|"&amp;$C67,Asset_Operations!$A$2:$A$201&amp;"|"&amp;Asset_Operations!$BG$2:$BG$201,Asset_Operations!$I$2:$I$201,""),"")</f>
        <v>0</v>
      </c>
      <c r="H67" s="20">
        <f t="array" ref="H67">IFERROR(_xlfn.XLOOKUP($A67&amp;"|"&amp;$C67,Asset_Operations!$A$2:$A$201&amp;"|"&amp;Asset_Operations!$BG$2:$BG$201,Asset_Operations!$J$2:$J$201,""),"")</f>
        <v>0</v>
      </c>
      <c r="I67" s="20">
        <f t="array" ref="I67">IFERROR(_xlfn.XLOOKUP($A67&amp;"|"&amp;$C67,Asset_Operations!$A$2:$A$201&amp;"|"&amp;Asset_Operations!$BG$2:$BG$201,Asset_Operations!$O$2:$O$201,""),"")</f>
        <v>1</v>
      </c>
      <c r="J67" s="20">
        <f t="array" ref="J67">IFERROR(_xlfn.XLOOKUP($A67&amp;"|"&amp;$C67,Asset_Operations!$A$2:$A$201&amp;"|"&amp;Asset_Operations!$BG$2:$BG$201,Asset_Operations!$S$2:$S$201,""),"")</f>
        <v>0</v>
      </c>
      <c r="K67" s="20">
        <f t="array" ref="K67">IFERROR(_xlfn.XLOOKUP($A67&amp;"|"&amp;$C67,Asset_Operations!$A$2:$A$201&amp;"|"&amp;Asset_Operations!$BG$2:$BG$201,Asset_Operations!$AC$2:$AC$201,""),"")</f>
        <v>179913</v>
      </c>
      <c r="L67" s="20">
        <f t="array" ref="L67">IFERROR(_xlfn.XLOOKUP($A67&amp;"|"&amp;$C67,Asset_Operations!$A$2:$A$201&amp;"|"&amp;Asset_Operations!$BG$2:$BG$201,Asset_Operations!$AG$2:$AG$201,""),"")</f>
        <v>99766</v>
      </c>
      <c r="M67" s="20">
        <f t="array" ref="M67">IFERROR(_xlfn.XLOOKUP($A67&amp;"|"&amp;$C67,Asset_Operations!$A$2:$A$201&amp;"|"&amp;Asset_Operations!$BG$2:$BG$201,Asset_Operations!$AO$2:$AO$201,""),"")</f>
        <v>16.088080121613164</v>
      </c>
      <c r="N67" s="21">
        <f t="array" ref="N67">IFERROR(_xlfn.XLOOKUP($A67&amp;"|"&amp;$C67,Asset_Operations!$A$2:$A$201&amp;"|"&amp;Asset_Operations!$BG$2:$BG$201,Asset_Operations!$AR$2:$AR$201,""),"")</f>
        <v>0.22755597321314527</v>
      </c>
      <c r="O67" s="22">
        <f t="array" ref="O67">IFERROR(_xlfn.XLOOKUP($A67&amp;"|"&amp;$C67,Financials!$A$2:$A$201&amp;"|"&amp;Financials!$B$2:$B$201,Financials!$C$2:$C$201,""),"")</f>
        <v>2037</v>
      </c>
      <c r="P67" s="22">
        <f t="array" ref="P67">IFERROR(_xlfn.XLOOKUP($A67&amp;"|"&amp;$C67,Financials!$A$2:$A$201&amp;"|"&amp;Financials!$B$2:$B$201,Financials!$E$2:$E$201,""),"")</f>
        <v>0</v>
      </c>
      <c r="Q67" s="22">
        <f t="array" ref="Q67">IFERROR(_xlfn.XLOOKUP($A67&amp;"|"&amp;$C67,Financials!$A$2:$A$201&amp;"|"&amp;Financials!$B$2:$B$201,Financials!$G$2:$G$201,""),"")</f>
        <v>192</v>
      </c>
      <c r="R67" s="22">
        <f t="array" ref="R67">IFERROR(_xlfn.XLOOKUP($A67&amp;"|"&amp;$C67,Financials!$A$2:$A$201&amp;"|"&amp;Financials!$B$2:$B$201,Financials!$S$2:$S$201,""),"")</f>
        <v>507</v>
      </c>
      <c r="S67" s="22">
        <f t="array" ref="S67">IFERROR(_xlfn.XLOOKUP($A67&amp;"|"&amp;$C67,Financials!$A$2:$A$201&amp;"|"&amp;Financials!$B$2:$B$201,Financials!$AC$2:$AC$201,""),"")</f>
        <v>1093.4000000000001</v>
      </c>
      <c r="T67" s="23">
        <f t="shared" si="10"/>
        <v>0</v>
      </c>
      <c r="U67" s="24" t="str">
        <f t="shared" si="11"/>
        <v/>
      </c>
      <c r="V67" s="25">
        <f t="shared" si="12"/>
        <v>0.14724591585947666</v>
      </c>
      <c r="W67" s="24">
        <f t="shared" si="13"/>
        <v>8.9212197084860954</v>
      </c>
      <c r="X67" s="26">
        <f>IFERROR(IF(NOT(ISNUMBER($E67)),"",IF($E67&gt;=Scoring_Criteria!$D$4,5,IF($E67&gt;=Scoring_Criteria!$E$4,4,IF($E67&gt;=Scoring_Criteria!$F$4,3,IF($E67&gt;=Scoring_Criteria!$G$4,2,1))))),"")</f>
        <v>1</v>
      </c>
      <c r="Y67" s="26">
        <f>IFERROR(IF(OR(NOT(ISNUMBER($F67)),NOT(ISNUMBER($E67)),$E67=0),"",IF(($F67/$E67)&gt;=Scoring_Criteria!$D$5,5,IF(($F67/$E67)&gt;=Scoring_Criteria!$E$5,4,IF(($F67/$E67)&gt;=Scoring_Criteria!$F$5,3,IF(($F67/$E67)&gt;=Scoring_Criteria!$G$5,2,1))))),"")</f>
        <v>5</v>
      </c>
      <c r="Z67" s="26">
        <f>IFERROR(IF(AND(NOT(ISNUMBER($I67)),NOT(ISNUMBER($J67))),"",IF((IFERROR($I67,0)+IFERROR($J67,0))&gt;=Scoring_Criteria!$D$6,5,IF((IFERROR($I67,0)+IFERROR($J67,0))&gt;=Scoring_Criteria!$E$6,4,IF((IFERROR($I67,0)+IFERROR($J67,0))&gt;=Scoring_Criteria!$F$6,3,IF((IFERROR($I67,0)+IFERROR($J67,0))&gt;=Scoring_Criteria!$G$6,2,1))))),"")</f>
        <v>1</v>
      </c>
      <c r="AA67" s="26">
        <f>IFERROR(IF(NOT(ISNUMBER($M67)),"",IF($M67&gt;=Scoring_Criteria!$D$7,5,IF($M67&gt;=Scoring_Criteria!$E$7,4,IF($M67&gt;=Scoring_Criteria!$F$7,3,IF($M67&gt;=Scoring_Criteria!$G$7,2,1))))),"")</f>
        <v>3</v>
      </c>
      <c r="AB67" s="26">
        <f>IFERROR(IF(NOT(ISNUMBER($T67)),"",IF($T67&gt;=Scoring_Criteria!$D$8,5,IF($T67&gt;=Scoring_Criteria!$E$8,4,IF($T67&gt;=Scoring_Criteria!$F$8,3,IF($T67&gt;=Scoring_Criteria!$G$8,2,1))))),"")</f>
        <v>1</v>
      </c>
      <c r="AC67" s="26" t="str">
        <f>IFERROR(IF(NOT(ISNUMBER($U67)),"",IF($U67&lt;=Scoring_Criteria!$D$9,5,IF($U67&lt;=Scoring_Criteria!$E$9,4,IF($U67&lt;=Scoring_Criteria!$F$9,3,IF($U67&lt;=Scoring_Criteria!$G$9,2,1))))),"")</f>
        <v/>
      </c>
      <c r="AD67" s="26">
        <f t="array" ref="AD67">IFERROR(IF(NOT(ISNUMBER(_xlfn.XLOOKUP($A67&amp;"|"&amp;$C67,Financials!$A$2:$A$201&amp;"|"&amp;Financials!$B$2:$B$201,Financials!$AD$2:$AD$201,""))),"",IF(_xlfn.XLOOKUP($A67&amp;"|"&amp;$C67,Financials!$A$2:$A$201&amp;"|"&amp;Financials!$B$2:$B$201,Financials!$AD$2:$AD$201,"")&gt;=Scoring_Criteria!$D$10,5,IF(_xlfn.XLOOKUP($A67&amp;"|"&amp;$C67,Financials!$A$2:$A$201&amp;"|"&amp;Financials!$B$2:$B$201,Financials!$AD$2:$AD$201,"")&gt;=Scoring_Criteria!$E$10,4,IF(_xlfn.XLOOKUP($A67&amp;"|"&amp;$C67,Financials!$A$2:$A$201&amp;"|"&amp;Financials!$B$2:$B$201,Financials!$AD$2:$AD$201,"")&gt;=Scoring_Criteria!$F$10,3,IF(_xlfn.XLOOKUP($A67&amp;"|"&amp;$C67,Financials!$A$2:$A$201&amp;"|"&amp;Financials!$B$2:$B$201,Financials!$AD$2:$AD$201,"")&gt;=Scoring_Criteria!$G$10,2,1))))),"")</f>
        <v>3</v>
      </c>
      <c r="AE67" s="27"/>
      <c r="AF67" s="27"/>
      <c r="AG67" s="28">
        <f t="shared" si="14"/>
        <v>2.3333333333333335</v>
      </c>
      <c r="AH67" s="29"/>
      <c r="AI67" s="29"/>
      <c r="AJ67" s="29"/>
      <c r="AK67" s="29"/>
      <c r="AL67" s="29"/>
      <c r="AM67" s="29"/>
      <c r="AN67" s="29"/>
      <c r="AO67" s="29"/>
      <c r="AP67" s="29"/>
      <c r="AQ67" s="29"/>
      <c r="AR67" s="29"/>
      <c r="AS67" s="29"/>
      <c r="AT67" s="29"/>
      <c r="AU67" t="str">
        <f>IFERROR(Validation_Summary!Q5,"")</f>
        <v>✓ All 8 checks passed</v>
      </c>
    </row>
    <row r="68" spans="1:47" ht="15" customHeight="1" x14ac:dyDescent="0.3">
      <c r="A68" s="6" t="s">
        <v>6131</v>
      </c>
      <c r="B68" s="19" t="str">
        <f t="array" ref="B68">IFERROR(_xlfn.XLOOKUP($A68&amp;"|"&amp;$C68,'Company_Master'!$A$2:$A$94&amp;"|"&amp;'Company_Master'!$D$2:$D$94,'Company_Master'!$B$2:$B$94,""),"")</f>
        <v>PNGO</v>
      </c>
      <c r="C68" s="20">
        <v>2024</v>
      </c>
      <c r="D68" s="19" t="str">
        <f t="array" ref="D68">IFERROR(_xlfn.XLOOKUP($A68&amp;"|"&amp;$C68,'Company_Master'!$A$2:$A$94&amp;"|"&amp;'Company_Master'!$D$2:$D$94,'Company_Master'!$H$2:$H$94,""),"")</f>
        <v>Sumatra Selatan (South Sumatra)</v>
      </c>
      <c r="E68" s="20">
        <f t="array" ref="E68">IFERROR(_xlfn.XLOOKUP($A68&amp;"|"&amp;$C68,Asset_Operations!$A$2:$A$201&amp;"|"&amp;Asset_Operations!$BG$2:$BG$201,Asset_Operations!$B$2:$B$201,""),"")</f>
        <v>15232</v>
      </c>
      <c r="F68" s="20">
        <f t="array" ref="F68">IFERROR(_xlfn.XLOOKUP($A68&amp;"|"&amp;$C68,Asset_Operations!$A$2:$A$201&amp;"|"&amp;Asset_Operations!$BG$2:$BG$201,Asset_Operations!$E$2:$E$201,""),"")</f>
        <v>11485</v>
      </c>
      <c r="G68" s="20">
        <f t="array" ref="G68">IFERROR(_xlfn.XLOOKUP($A68&amp;"|"&amp;$C68,Asset_Operations!$A$2:$A$201&amp;"|"&amp;Asset_Operations!$BG$2:$BG$201,Asset_Operations!$I$2:$I$201,""),"")</f>
        <v>0</v>
      </c>
      <c r="H68" s="20">
        <f t="array" ref="H68">IFERROR(_xlfn.XLOOKUP($A68&amp;"|"&amp;$C68,Asset_Operations!$A$2:$A$201&amp;"|"&amp;Asset_Operations!$BG$2:$BG$201,Asset_Operations!$J$2:$J$201,""),"")</f>
        <v>0</v>
      </c>
      <c r="I68" s="20">
        <f t="array" ref="I68">IFERROR(_xlfn.XLOOKUP($A68&amp;"|"&amp;$C68,Asset_Operations!$A$2:$A$201&amp;"|"&amp;Asset_Operations!$BG$2:$BG$201,Asset_Operations!$O$2:$O$201,""),"")</f>
        <v>1</v>
      </c>
      <c r="J68" s="20">
        <f t="array" ref="J68">IFERROR(_xlfn.XLOOKUP($A68&amp;"|"&amp;$C68,Asset_Operations!$A$2:$A$201&amp;"|"&amp;Asset_Operations!$BG$2:$BG$201,Asset_Operations!$S$2:$S$201,""),"")</f>
        <v>0</v>
      </c>
      <c r="K68" s="20">
        <f t="array" ref="K68">IFERROR(_xlfn.XLOOKUP($A68&amp;"|"&amp;$C68,Asset_Operations!$A$2:$A$201&amp;"|"&amp;Asset_Operations!$BG$2:$BG$201,Asset_Operations!$AC$2:$AC$201,""),"")</f>
        <v>155246</v>
      </c>
      <c r="L68" s="20">
        <f t="array" ref="L68">IFERROR(_xlfn.XLOOKUP($A68&amp;"|"&amp;$C68,Asset_Operations!$A$2:$A$201&amp;"|"&amp;Asset_Operations!$BG$2:$BG$201,Asset_Operations!$AG$2:$AG$201,""),"")</f>
        <v>95507</v>
      </c>
      <c r="M68" s="20">
        <f t="array" ref="M68">IFERROR(_xlfn.XLOOKUP($A68&amp;"|"&amp;$C68,Asset_Operations!$A$2:$A$201&amp;"|"&amp;Asset_Operations!$BG$2:$BG$201,Asset_Operations!$AO$2:$AO$201,""),"")</f>
        <v>13.517283413147585</v>
      </c>
      <c r="N68" s="21">
        <f t="array" ref="N68">IFERROR(_xlfn.XLOOKUP($A68&amp;"|"&amp;$C68,Asset_Operations!$A$2:$A$201&amp;"|"&amp;Asset_Operations!$BG$2:$BG$201,Asset_Operations!$AR$2:$AR$201,""),"")</f>
        <v>0.22471019215430693</v>
      </c>
      <c r="O68" s="22">
        <f t="array" ref="O68">IFERROR(_xlfn.XLOOKUP($A68&amp;"|"&amp;$C68,Financials!$A$2:$A$201&amp;"|"&amp;Financials!$B$2:$B$201,Financials!$C$2:$C$201,""),"")</f>
        <v>2043</v>
      </c>
      <c r="P68" s="22">
        <f t="array" ref="P68">IFERROR(_xlfn.XLOOKUP($A68&amp;"|"&amp;$C68,Financials!$A$2:$A$201&amp;"|"&amp;Financials!$B$2:$B$201,Financials!$E$2:$E$201,""),"")</f>
        <v>0</v>
      </c>
      <c r="Q68" s="22">
        <f t="array" ref="Q68">IFERROR(_xlfn.XLOOKUP($A68&amp;"|"&amp;$C68,Financials!$A$2:$A$201&amp;"|"&amp;Financials!$B$2:$B$201,Financials!$G$2:$G$201,""),"")</f>
        <v>221</v>
      </c>
      <c r="R68" s="22">
        <f t="array" ref="R68">IFERROR(_xlfn.XLOOKUP($A68&amp;"|"&amp;$C68,Financials!$A$2:$A$201&amp;"|"&amp;Financials!$B$2:$B$201,Financials!$S$2:$S$201,""),"")</f>
        <v>568</v>
      </c>
      <c r="S68" s="22">
        <f t="array" ref="S68">IFERROR(_xlfn.XLOOKUP($A68&amp;"|"&amp;$C68,Financials!$A$2:$A$201&amp;"|"&amp;Financials!$B$2:$B$201,Financials!$AC$2:$AC$201,""),"")</f>
        <v>1257.4100000000001</v>
      </c>
      <c r="T68" s="23">
        <f t="shared" si="10"/>
        <v>0</v>
      </c>
      <c r="U68" s="24" t="str">
        <f t="shared" si="11"/>
        <v/>
      </c>
      <c r="V68" s="25">
        <f t="shared" si="12"/>
        <v>0.13412552521008403</v>
      </c>
      <c r="W68" s="24">
        <f t="shared" si="13"/>
        <v>8.3158032215933826</v>
      </c>
      <c r="X68" s="26">
        <f>IFERROR(IF(NOT(ISNUMBER($E68)),"",IF($E68&gt;=Scoring_Criteria!$D$4,5,IF($E68&gt;=Scoring_Criteria!$E$4,4,IF($E68&gt;=Scoring_Criteria!$F$4,3,IF($E68&gt;=Scoring_Criteria!$G$4,2,1))))),"")</f>
        <v>2</v>
      </c>
      <c r="Y68" s="26">
        <f>IFERROR(IF(OR(NOT(ISNUMBER($F68)),NOT(ISNUMBER($E68)),$E68=0),"",IF(($F68/$E68)&gt;=Scoring_Criteria!$D$5,5,IF(($F68/$E68)&gt;=Scoring_Criteria!$E$5,4,IF(($F68/$E68)&gt;=Scoring_Criteria!$F$5,3,IF(($F68/$E68)&gt;=Scoring_Criteria!$G$5,2,1))))),"")</f>
        <v>5</v>
      </c>
      <c r="Z68" s="26">
        <f>IFERROR(IF(AND(NOT(ISNUMBER($I68)),NOT(ISNUMBER($J68))),"",IF((IFERROR($I68,0)+IFERROR($J68,0))&gt;=Scoring_Criteria!$D$6,5,IF((IFERROR($I68,0)+IFERROR($J68,0))&gt;=Scoring_Criteria!$E$6,4,IF((IFERROR($I68,0)+IFERROR($J68,0))&gt;=Scoring_Criteria!$F$6,3,IF((IFERROR($I68,0)+IFERROR($J68,0))&gt;=Scoring_Criteria!$G$6,2,1))))),"")</f>
        <v>1</v>
      </c>
      <c r="AA68" s="26">
        <f>IFERROR(IF(NOT(ISNUMBER($M68)),"",IF($M68&gt;=Scoring_Criteria!$D$7,5,IF($M68&gt;=Scoring_Criteria!$E$7,4,IF($M68&gt;=Scoring_Criteria!$F$7,3,IF($M68&gt;=Scoring_Criteria!$G$7,2,1))))),"")</f>
        <v>2</v>
      </c>
      <c r="AB68" s="26">
        <f>IFERROR(IF(NOT(ISNUMBER($T68)),"",IF($T68&gt;=Scoring_Criteria!$D$8,5,IF($T68&gt;=Scoring_Criteria!$E$8,4,IF($T68&gt;=Scoring_Criteria!$F$8,3,IF($T68&gt;=Scoring_Criteria!$G$8,2,1))))),"")</f>
        <v>1</v>
      </c>
      <c r="AC68" s="26" t="str">
        <f>IFERROR(IF(NOT(ISNUMBER($U68)),"",IF($U68&lt;=Scoring_Criteria!$D$9,5,IF($U68&lt;=Scoring_Criteria!$E$9,4,IF($U68&lt;=Scoring_Criteria!$F$9,3,IF($U68&lt;=Scoring_Criteria!$G$9,2,1))))),"")</f>
        <v/>
      </c>
      <c r="AD68" s="26">
        <f t="array" ref="AD68">IFERROR(IF(NOT(ISNUMBER(_xlfn.XLOOKUP($A68&amp;"|"&amp;$C68,Financials!$A$2:$A$201&amp;"|"&amp;Financials!$B$2:$B$201,Financials!$AD$2:$AD$201,""))),"",IF(_xlfn.XLOOKUP($A68&amp;"|"&amp;$C68,Financials!$A$2:$A$201&amp;"|"&amp;Financials!$B$2:$B$201,Financials!$AD$2:$AD$201,"")&gt;=Scoring_Criteria!$D$10,5,IF(_xlfn.XLOOKUP($A68&amp;"|"&amp;$C68,Financials!$A$2:$A$201&amp;"|"&amp;Financials!$B$2:$B$201,Financials!$AD$2:$AD$201,"")&gt;=Scoring_Criteria!$E$10,4,IF(_xlfn.XLOOKUP($A68&amp;"|"&amp;$C68,Financials!$A$2:$A$201&amp;"|"&amp;Financials!$B$2:$B$201,Financials!$AD$2:$AD$201,"")&gt;=Scoring_Criteria!$F$10,3,IF(_xlfn.XLOOKUP($A68&amp;"|"&amp;$C68,Financials!$A$2:$A$201&amp;"|"&amp;Financials!$B$2:$B$201,Financials!$AD$2:$AD$201,"")&gt;=Scoring_Criteria!$G$10,2,1))))),"")</f>
        <v>2</v>
      </c>
      <c r="AE68" s="27"/>
      <c r="AF68" s="27"/>
      <c r="AG68" s="28">
        <f t="shared" si="14"/>
        <v>2.1666666666666665</v>
      </c>
      <c r="AH68" s="29"/>
      <c r="AI68" s="29"/>
      <c r="AJ68" s="29"/>
      <c r="AK68" s="29"/>
      <c r="AL68" s="29"/>
      <c r="AM68" s="29"/>
      <c r="AN68" s="29"/>
      <c r="AO68" s="29"/>
      <c r="AP68" s="29"/>
      <c r="AQ68" s="29"/>
      <c r="AR68" s="29"/>
      <c r="AS68" s="29"/>
      <c r="AT68" s="29"/>
      <c r="AU68" t="str">
        <f>IFERROR(Validation_Summary!Q5,"")</f>
        <v>✓ All 8 checks passed</v>
      </c>
    </row>
    <row r="69" spans="1:47" ht="15" customHeight="1" x14ac:dyDescent="0.3">
      <c r="A69" s="6" t="s">
        <v>6444</v>
      </c>
      <c r="B69" s="19" t="str">
        <f t="array" ref="B69">IFERROR(_xlfn.XLOOKUP($A69&amp;"|"&amp;$C69,'Company_Master'!$A$2:$A$94&amp;"|"&amp;'Company_Master'!$D$2:$D$94,'Company_Master'!$B$2:$B$94,""),"")</f>
        <v>PTPS</v>
      </c>
      <c r="C69" s="20">
        <v>2023</v>
      </c>
      <c r="D69" s="19" t="str">
        <f t="array" ref="D69">IFERROR(_xlfn.XLOOKUP($A69&amp;"|"&amp;$C69,'Company_Master'!$A$2:$A$94&amp;"|"&amp;'Company_Master'!$D$2:$D$94,'Company_Master'!$H$2:$H$94,""),"")</f>
        <v>South Sumatra (Banyuasin &amp; OKI Regencies)</v>
      </c>
      <c r="E69" s="20">
        <f t="array" ref="E69">IFERROR(_xlfn.XLOOKUP($A69&amp;"|"&amp;$C69,Asset_Operations!$A$2:$A$201&amp;"|"&amp;Asset_Operations!$BG$2:$BG$201,Asset_Operations!$B$2:$B$201,""),"")</f>
        <v>1091</v>
      </c>
      <c r="F69" s="20">
        <f t="array" ref="F69">IFERROR(_xlfn.XLOOKUP($A69&amp;"|"&amp;$C69,Asset_Operations!$A$2:$A$201&amp;"|"&amp;Asset_Operations!$BG$2:$BG$201,Asset_Operations!$E$2:$E$201,""),"")</f>
        <v>995.75</v>
      </c>
      <c r="G69" s="20">
        <f t="array" ref="G69">IFERROR(_xlfn.XLOOKUP($A69&amp;"|"&amp;$C69,Asset_Operations!$A$2:$A$201&amp;"|"&amp;Asset_Operations!$BG$2:$BG$201,Asset_Operations!$I$2:$I$201,""),"")</f>
        <v>0</v>
      </c>
      <c r="H69" s="20">
        <f t="array" ref="H69">IFERROR(_xlfn.XLOOKUP($A69&amp;"|"&amp;$C69,Asset_Operations!$A$2:$A$201&amp;"|"&amp;Asset_Operations!$BG$2:$BG$201,Asset_Operations!$J$2:$J$201,""),"")</f>
        <v>0</v>
      </c>
      <c r="I69" s="20">
        <f t="array" ref="I69">IFERROR(_xlfn.XLOOKUP($A69&amp;"|"&amp;$C69,Asset_Operations!$A$2:$A$201&amp;"|"&amp;Asset_Operations!$BG$2:$BG$201,Asset_Operations!$O$2:$O$201,""),"")</f>
        <v>0</v>
      </c>
      <c r="J69" s="20">
        <f t="array" ref="J69">IFERROR(_xlfn.XLOOKUP($A69&amp;"|"&amp;$C69,Asset_Operations!$A$2:$A$201&amp;"|"&amp;Asset_Operations!$BG$2:$BG$201,Asset_Operations!$S$2:$S$201,""),"")</f>
        <v>0</v>
      </c>
      <c r="K69" s="20">
        <f t="array" ref="K69">IFERROR(_xlfn.XLOOKUP($A69&amp;"|"&amp;$C69,Asset_Operations!$A$2:$A$201&amp;"|"&amp;Asset_Operations!$BG$2:$BG$201,Asset_Operations!$AC$2:$AC$201,""),"")</f>
        <v>26037</v>
      </c>
      <c r="L69" s="20">
        <f t="array" ref="L69">IFERROR(_xlfn.XLOOKUP($A69&amp;"|"&amp;$C69,Asset_Operations!$A$2:$A$201&amp;"|"&amp;Asset_Operations!$BG$2:$BG$201,Asset_Operations!$AG$2:$AG$201,""),"")</f>
        <v>0</v>
      </c>
      <c r="M69" s="20">
        <f t="array" ref="M69">IFERROR(_xlfn.XLOOKUP($A69&amp;"|"&amp;$C69,Asset_Operations!$A$2:$A$201&amp;"|"&amp;Asset_Operations!$BG$2:$BG$201,Asset_Operations!$AO$2:$AO$201,""),"")</f>
        <v>26.148129550590006</v>
      </c>
      <c r="N69" s="21" t="str">
        <f t="array" ref="N69">IFERROR(_xlfn.XLOOKUP($A69&amp;"|"&amp;$C69,Asset_Operations!$A$2:$A$201&amp;"|"&amp;Asset_Operations!$BG$2:$BG$201,Asset_Operations!$AR$2:$AR$201,""),"")</f>
        <v/>
      </c>
      <c r="O69" s="22">
        <f t="array" ref="O69">IFERROR(_xlfn.XLOOKUP($A69&amp;"|"&amp;$C69,Financials!$A$2:$A$201&amp;"|"&amp;Financials!$B$2:$B$201,Financials!$C$2:$C$201,""),"")</f>
        <v>61.66</v>
      </c>
      <c r="P69" s="22">
        <f t="array" ref="P69">IFERROR(_xlfn.XLOOKUP($A69&amp;"|"&amp;$C69,Financials!$A$2:$A$201&amp;"|"&amp;Financials!$B$2:$B$201,Financials!$E$2:$E$201,""),"")</f>
        <v>35.340000000000003</v>
      </c>
      <c r="Q69" s="22">
        <f t="array" ref="Q69">IFERROR(_xlfn.XLOOKUP($A69&amp;"|"&amp;$C69,Financials!$A$2:$A$201&amp;"|"&amp;Financials!$B$2:$B$201,Financials!$G$2:$G$201,""),"")</f>
        <v>26.19</v>
      </c>
      <c r="R69" s="22">
        <f t="array" ref="R69">IFERROR(_xlfn.XLOOKUP($A69&amp;"|"&amp;$C69,Financials!$A$2:$A$201&amp;"|"&amp;Financials!$B$2:$B$201,Financials!$S$2:$S$201,""),"")</f>
        <v>-73.100000000000009</v>
      </c>
      <c r="S69" s="22">
        <f t="array" ref="S69">IFERROR(_xlfn.XLOOKUP($A69&amp;"|"&amp;$C69,Financials!$A$2:$A$201&amp;"|"&amp;Financials!$B$2:$B$201,Financials!$AC$2:$AC$201,""),"")</f>
        <v>329.46</v>
      </c>
      <c r="T69" s="23">
        <f t="shared" si="10"/>
        <v>0.57314304249108017</v>
      </c>
      <c r="U69" s="24">
        <f t="shared" si="11"/>
        <v>-2.0684776457272211</v>
      </c>
      <c r="V69" s="25">
        <f t="shared" si="12"/>
        <v>5.6516956920256642E-2</v>
      </c>
      <c r="W69" s="24">
        <f t="shared" si="13"/>
        <v>0</v>
      </c>
      <c r="X69" s="26">
        <f>IFERROR(IF(NOT(ISNUMBER($E69)),"",IF($E69&gt;=Scoring_Criteria!$D$4,5,IF($E69&gt;=Scoring_Criteria!$E$4,4,IF($E69&gt;=Scoring_Criteria!$F$4,3,IF($E69&gt;=Scoring_Criteria!$G$4,2,1))))),"")</f>
        <v>1</v>
      </c>
      <c r="Y69" s="26">
        <f>IFERROR(IF(OR(NOT(ISNUMBER($F69)),NOT(ISNUMBER($E69)),$E69=0),"",IF(($F69/$E69)&gt;=Scoring_Criteria!$D$5,5,IF(($F69/$E69)&gt;=Scoring_Criteria!$E$5,4,IF(($F69/$E69)&gt;=Scoring_Criteria!$F$5,3,IF(($F69/$E69)&gt;=Scoring_Criteria!$G$5,2,1))))),"")</f>
        <v>5</v>
      </c>
      <c r="Z69" s="26">
        <f>IFERROR(IF(AND(NOT(ISNUMBER($I69)),NOT(ISNUMBER($J69))),"",IF((IFERROR($I69,0)+IFERROR($J69,0))&gt;=Scoring_Criteria!$D$6,5,IF((IFERROR($I69,0)+IFERROR($J69,0))&gt;=Scoring_Criteria!$E$6,4,IF((IFERROR($I69,0)+IFERROR($J69,0))&gt;=Scoring_Criteria!$F$6,3,IF((IFERROR($I69,0)+IFERROR($J69,0))&gt;=Scoring_Criteria!$G$6,2,1))))),"")</f>
        <v>1</v>
      </c>
      <c r="AA69" s="26">
        <f>IFERROR(IF(NOT(ISNUMBER($M69)),"",IF($M69&gt;=Scoring_Criteria!$D$7,5,IF($M69&gt;=Scoring_Criteria!$E$7,4,IF($M69&gt;=Scoring_Criteria!$F$7,3,IF($M69&gt;=Scoring_Criteria!$G$7,2,1))))),"")</f>
        <v>5</v>
      </c>
      <c r="AB69" s="26">
        <f>IFERROR(IF(NOT(ISNUMBER($T69)),"",IF($T69&gt;=Scoring_Criteria!$D$8,5,IF($T69&gt;=Scoring_Criteria!$E$8,4,IF($T69&gt;=Scoring_Criteria!$F$8,3,IF($T69&gt;=Scoring_Criteria!$G$8,2,1))))),"")</f>
        <v>5</v>
      </c>
      <c r="AC69" s="26">
        <f>IFERROR(IF(NOT(ISNUMBER($U69)),"",IF($U69&lt;=Scoring_Criteria!$D$9,5,IF($U69&lt;=Scoring_Criteria!$E$9,4,IF($U69&lt;=Scoring_Criteria!$F$9,3,IF($U69&lt;=Scoring_Criteria!$G$9,2,1))))),"")</f>
        <v>5</v>
      </c>
      <c r="AD69" s="26">
        <f t="array" ref="AD69">IFERROR(IF(NOT(ISNUMBER(_xlfn.XLOOKUP($A69&amp;"|"&amp;$C69,Financials!$A$2:$A$201&amp;"|"&amp;Financials!$B$2:$B$201,Financials!$AD$2:$AD$201,""))),"",IF(_xlfn.XLOOKUP($A69&amp;"|"&amp;$C69,Financials!$A$2:$A$201&amp;"|"&amp;Financials!$B$2:$B$201,Financials!$AD$2:$AD$201,"")&gt;=Scoring_Criteria!$D$10,5,IF(_xlfn.XLOOKUP($A69&amp;"|"&amp;$C69,Financials!$A$2:$A$201&amp;"|"&amp;Financials!$B$2:$B$201,Financials!$AD$2:$AD$201,"")&gt;=Scoring_Criteria!$E$10,4,IF(_xlfn.XLOOKUP($A69&amp;"|"&amp;$C69,Financials!$A$2:$A$201&amp;"|"&amp;Financials!$B$2:$B$201,Financials!$AD$2:$AD$201,"")&gt;=Scoring_Criteria!$F$10,3,IF(_xlfn.XLOOKUP($A69&amp;"|"&amp;$C69,Financials!$A$2:$A$201&amp;"|"&amp;Financials!$B$2:$B$201,Financials!$AD$2:$AD$201,"")&gt;=Scoring_Criteria!$G$10,2,1))))),"")</f>
        <v>5</v>
      </c>
      <c r="AE69" s="27"/>
      <c r="AF69" s="27"/>
      <c r="AG69" s="28">
        <f t="shared" si="14"/>
        <v>3.8571428571428572</v>
      </c>
      <c r="AH69" s="29"/>
      <c r="AI69" s="29"/>
      <c r="AJ69" s="29"/>
      <c r="AK69" s="29"/>
      <c r="AL69" s="29"/>
      <c r="AM69" s="29"/>
      <c r="AN69" s="29"/>
      <c r="AO69" s="29"/>
      <c r="AP69" s="29"/>
      <c r="AQ69" s="29"/>
      <c r="AR69" s="29"/>
      <c r="AS69" s="29"/>
      <c r="AT69" s="29"/>
      <c r="AU69" t="str">
        <f>IFERROR(Validation_Summary!Q5,"")</f>
        <v>✓ All 8 checks passed</v>
      </c>
    </row>
    <row r="70" spans="1:47" ht="15" customHeight="1" x14ac:dyDescent="0.3">
      <c r="A70" s="6" t="s">
        <v>6444</v>
      </c>
      <c r="B70" s="19" t="str">
        <f t="array" ref="B70">IFERROR(_xlfn.XLOOKUP($A70&amp;"|"&amp;$C70,'Company_Master'!$A$2:$A$94&amp;"|"&amp;'Company_Master'!$D$2:$D$94,'Company_Master'!$B$2:$B$94,""),"")</f>
        <v>PTPS</v>
      </c>
      <c r="C70" s="20">
        <v>2024</v>
      </c>
      <c r="D70" s="19" t="str">
        <f t="array" ref="D70">IFERROR(_xlfn.XLOOKUP($A70&amp;"|"&amp;$C70,'Company_Master'!$A$2:$A$94&amp;"|"&amp;'Company_Master'!$D$2:$D$94,'Company_Master'!$H$2:$H$94,""),"")</f>
        <v>South Sumatra (Banyuasin &amp; OKI Regencies)</v>
      </c>
      <c r="E70" s="20">
        <f t="array" ref="E70">IFERROR(_xlfn.XLOOKUP($A70&amp;"|"&amp;$C70,Asset_Operations!$A$2:$A$201&amp;"|"&amp;Asset_Operations!$BG$2:$BG$201,Asset_Operations!$B$2:$B$201,""),"")</f>
        <v>1091</v>
      </c>
      <c r="F70" s="20">
        <f t="array" ref="F70">IFERROR(_xlfn.XLOOKUP($A70&amp;"|"&amp;$C70,Asset_Operations!$A$2:$A$201&amp;"|"&amp;Asset_Operations!$BG$2:$BG$201,Asset_Operations!$E$2:$E$201,""),"")</f>
        <v>995.75</v>
      </c>
      <c r="G70" s="20">
        <f t="array" ref="G70">IFERROR(_xlfn.XLOOKUP($A70&amp;"|"&amp;$C70,Asset_Operations!$A$2:$A$201&amp;"|"&amp;Asset_Operations!$BG$2:$BG$201,Asset_Operations!$I$2:$I$201,""),"")</f>
        <v>0</v>
      </c>
      <c r="H70" s="20">
        <f t="array" ref="H70">IFERROR(_xlfn.XLOOKUP($A70&amp;"|"&amp;$C70,Asset_Operations!$A$2:$A$201&amp;"|"&amp;Asset_Operations!$BG$2:$BG$201,Asset_Operations!$J$2:$J$201,""),"")</f>
        <v>0</v>
      </c>
      <c r="I70" s="20">
        <f t="array" ref="I70">IFERROR(_xlfn.XLOOKUP($A70&amp;"|"&amp;$C70,Asset_Operations!$A$2:$A$201&amp;"|"&amp;Asset_Operations!$BG$2:$BG$201,Asset_Operations!$O$2:$O$201,""),"")</f>
        <v>0</v>
      </c>
      <c r="J70" s="20">
        <f t="array" ref="J70">IFERROR(_xlfn.XLOOKUP($A70&amp;"|"&amp;$C70,Asset_Operations!$A$2:$A$201&amp;"|"&amp;Asset_Operations!$BG$2:$BG$201,Asset_Operations!$S$2:$S$201,""),"")</f>
        <v>0</v>
      </c>
      <c r="K70" s="20">
        <f t="array" ref="K70">IFERROR(_xlfn.XLOOKUP($A70&amp;"|"&amp;$C70,Asset_Operations!$A$2:$A$201&amp;"|"&amp;Asset_Operations!$BG$2:$BG$201,Asset_Operations!$AC$2:$AC$201,""),"")</f>
        <v>22461</v>
      </c>
      <c r="L70" s="20">
        <f t="array" ref="L70">IFERROR(_xlfn.XLOOKUP($A70&amp;"|"&amp;$C70,Asset_Operations!$A$2:$A$201&amp;"|"&amp;Asset_Operations!$BG$2:$BG$201,Asset_Operations!$AG$2:$AG$201,""),"")</f>
        <v>0</v>
      </c>
      <c r="M70" s="20">
        <f t="array" ref="M70">IFERROR(_xlfn.XLOOKUP($A70&amp;"|"&amp;$C70,Asset_Operations!$A$2:$A$201&amp;"|"&amp;Asset_Operations!$BG$2:$BG$201,Asset_Operations!$AO$2:$AO$201,""),"")</f>
        <v>22.556866683404468</v>
      </c>
      <c r="N70" s="21" t="str">
        <f t="array" ref="N70">IFERROR(_xlfn.XLOOKUP($A70&amp;"|"&amp;$C70,Asset_Operations!$A$2:$A$201&amp;"|"&amp;Asset_Operations!$BG$2:$BG$201,Asset_Operations!$AR$2:$AR$201,""),"")</f>
        <v/>
      </c>
      <c r="O70" s="22">
        <f t="array" ref="O70">IFERROR(_xlfn.XLOOKUP($A70&amp;"|"&amp;$C70,Financials!$A$2:$A$201&amp;"|"&amp;Financials!$B$2:$B$201,Financials!$C$2:$C$201,""),"")</f>
        <v>63.58</v>
      </c>
      <c r="P70" s="22">
        <f t="array" ref="P70">IFERROR(_xlfn.XLOOKUP($A70&amp;"|"&amp;$C70,Financials!$A$2:$A$201&amp;"|"&amp;Financials!$B$2:$B$201,Financials!$E$2:$E$201,""),"")</f>
        <v>36.880000000000003</v>
      </c>
      <c r="Q70" s="22">
        <f t="array" ref="Q70">IFERROR(_xlfn.XLOOKUP($A70&amp;"|"&amp;$C70,Financials!$A$2:$A$201&amp;"|"&amp;Financials!$B$2:$B$201,Financials!$G$2:$G$201,""),"")</f>
        <v>27.13</v>
      </c>
      <c r="R70" s="22">
        <f t="array" ref="R70">IFERROR(_xlfn.XLOOKUP($A70&amp;"|"&amp;$C70,Financials!$A$2:$A$201&amp;"|"&amp;Financials!$B$2:$B$201,Financials!$S$2:$S$201,""),"")</f>
        <v>-63.199999999999996</v>
      </c>
      <c r="S70" s="22">
        <f t="array" ref="S70">IFERROR(_xlfn.XLOOKUP($A70&amp;"|"&amp;$C70,Financials!$A$2:$A$201&amp;"|"&amp;Financials!$B$2:$B$201,Financials!$AC$2:$AC$201,""),"")</f>
        <v>166.89750000000001</v>
      </c>
      <c r="T70" s="23">
        <f t="shared" si="10"/>
        <v>0.58005662157911297</v>
      </c>
      <c r="U70" s="24">
        <f t="shared" si="11"/>
        <v>-1.7136659436008674</v>
      </c>
      <c r="V70" s="25">
        <f t="shared" si="12"/>
        <v>5.8276810265811184E-2</v>
      </c>
      <c r="W70" s="24">
        <f t="shared" si="13"/>
        <v>0</v>
      </c>
      <c r="X70" s="26">
        <f>IFERROR(IF(NOT(ISNUMBER($E70)),"",IF($E70&gt;=Scoring_Criteria!$D$4,5,IF($E70&gt;=Scoring_Criteria!$E$4,4,IF($E70&gt;=Scoring_Criteria!$F$4,3,IF($E70&gt;=Scoring_Criteria!$G$4,2,1))))),"")</f>
        <v>1</v>
      </c>
      <c r="Y70" s="26">
        <f>IFERROR(IF(OR(NOT(ISNUMBER($F70)),NOT(ISNUMBER($E70)),$E70=0),"",IF(($F70/$E70)&gt;=Scoring_Criteria!$D$5,5,IF(($F70/$E70)&gt;=Scoring_Criteria!$E$5,4,IF(($F70/$E70)&gt;=Scoring_Criteria!$F$5,3,IF(($F70/$E70)&gt;=Scoring_Criteria!$G$5,2,1))))),"")</f>
        <v>5</v>
      </c>
      <c r="Z70" s="26">
        <f>IFERROR(IF(AND(NOT(ISNUMBER($I70)),NOT(ISNUMBER($J70))),"",IF((IFERROR($I70,0)+IFERROR($J70,0))&gt;=Scoring_Criteria!$D$6,5,IF((IFERROR($I70,0)+IFERROR($J70,0))&gt;=Scoring_Criteria!$E$6,4,IF((IFERROR($I70,0)+IFERROR($J70,0))&gt;=Scoring_Criteria!$F$6,3,IF((IFERROR($I70,0)+IFERROR($J70,0))&gt;=Scoring_Criteria!$G$6,2,1))))),"")</f>
        <v>1</v>
      </c>
      <c r="AA70" s="26">
        <f>IFERROR(IF(NOT(ISNUMBER($M70)),"",IF($M70&gt;=Scoring_Criteria!$D$7,5,IF($M70&gt;=Scoring_Criteria!$E$7,4,IF($M70&gt;=Scoring_Criteria!$F$7,3,IF($M70&gt;=Scoring_Criteria!$G$7,2,1))))),"")</f>
        <v>5</v>
      </c>
      <c r="AB70" s="26">
        <f>IFERROR(IF(NOT(ISNUMBER($T70)),"",IF($T70&gt;=Scoring_Criteria!$D$8,5,IF($T70&gt;=Scoring_Criteria!$E$8,4,IF($T70&gt;=Scoring_Criteria!$F$8,3,IF($T70&gt;=Scoring_Criteria!$G$8,2,1))))),"")</f>
        <v>5</v>
      </c>
      <c r="AC70" s="26">
        <f>IFERROR(IF(NOT(ISNUMBER($U70)),"",IF($U70&lt;=Scoring_Criteria!$D$9,5,IF($U70&lt;=Scoring_Criteria!$E$9,4,IF($U70&lt;=Scoring_Criteria!$F$9,3,IF($U70&lt;=Scoring_Criteria!$G$9,2,1))))),"")</f>
        <v>5</v>
      </c>
      <c r="AD70" s="26">
        <f t="array" ref="AD70">IFERROR(IF(NOT(ISNUMBER(_xlfn.XLOOKUP($A70&amp;"|"&amp;$C70,Financials!$A$2:$A$201&amp;"|"&amp;Financials!$B$2:$B$201,Financials!$AD$2:$AD$201,""))),"",IF(_xlfn.XLOOKUP($A70&amp;"|"&amp;$C70,Financials!$A$2:$A$201&amp;"|"&amp;Financials!$B$2:$B$201,Financials!$AD$2:$AD$201,"")&gt;=Scoring_Criteria!$D$10,5,IF(_xlfn.XLOOKUP($A70&amp;"|"&amp;$C70,Financials!$A$2:$A$201&amp;"|"&amp;Financials!$B$2:$B$201,Financials!$AD$2:$AD$201,"")&gt;=Scoring_Criteria!$E$10,4,IF(_xlfn.XLOOKUP($A70&amp;"|"&amp;$C70,Financials!$A$2:$A$201&amp;"|"&amp;Financials!$B$2:$B$201,Financials!$AD$2:$AD$201,"")&gt;=Scoring_Criteria!$F$10,3,IF(_xlfn.XLOOKUP($A70&amp;"|"&amp;$C70,Financials!$A$2:$A$201&amp;"|"&amp;Financials!$B$2:$B$201,Financials!$AD$2:$AD$201,"")&gt;=Scoring_Criteria!$G$10,2,1))))),"")</f>
        <v>5</v>
      </c>
      <c r="AE70" s="27"/>
      <c r="AF70" s="27"/>
      <c r="AG70" s="28">
        <f t="shared" si="14"/>
        <v>3.8571428571428572</v>
      </c>
      <c r="AH70" s="29"/>
      <c r="AI70" s="29"/>
      <c r="AJ70" s="29"/>
      <c r="AK70" s="29"/>
      <c r="AL70" s="29"/>
      <c r="AM70" s="29"/>
      <c r="AN70" s="29"/>
      <c r="AO70" s="29"/>
      <c r="AP70" s="29"/>
      <c r="AQ70" s="29"/>
      <c r="AR70" s="29"/>
      <c r="AS70" s="29"/>
      <c r="AT70" s="29"/>
      <c r="AU70" t="str">
        <f>IFERROR(Validation_Summary!Q5,"")</f>
        <v>✓ All 8 checks passed</v>
      </c>
    </row>
    <row r="71" spans="1:47" ht="15" customHeight="1" x14ac:dyDescent="0.3">
      <c r="A71" s="6" t="s">
        <v>6670</v>
      </c>
      <c r="B71" s="19" t="str">
        <f t="array" ref="B71">IFERROR(_xlfn.XLOOKUP($A71&amp;"|"&amp;$C71,'Company_Master'!$A$2:$A$94&amp;"|"&amp;'Company_Master'!$D$2:$D$94,'Company_Master'!$B$2:$B$94,""),"")</f>
        <v>SGRO</v>
      </c>
      <c r="C71" s="20">
        <v>2022</v>
      </c>
      <c r="D71" s="19" t="str">
        <f t="array" ref="D71">IFERROR(_xlfn.XLOOKUP($A71&amp;"|"&amp;$C71,'Company_Master'!$A$2:$A$94&amp;"|"&amp;'Company_Master'!$D$2:$D$94,'Company_Master'!$H$2:$H$94,""),"")</f>
        <v>South Sumatra / Central &amp; West Kalimantan / Riau (sago)</v>
      </c>
      <c r="E71" s="20">
        <f t="array" ref="E71">IFERROR(_xlfn.XLOOKUP($A71&amp;"|"&amp;$C71,Asset_Operations!$A$2:$A$201&amp;"|"&amp;Asset_Operations!$BG$2:$BG$201,Asset_Operations!$B$2:$B$201,""),"")</f>
        <v>132660</v>
      </c>
      <c r="F71" s="20">
        <f t="array" ref="F71">IFERROR(_xlfn.XLOOKUP($A71&amp;"|"&amp;$C71,Asset_Operations!$A$2:$A$201&amp;"|"&amp;Asset_Operations!$BG$2:$BG$201,Asset_Operations!$E$2:$E$201,""),"")</f>
        <v>122047.2</v>
      </c>
      <c r="G71" s="20">
        <f t="array" ref="G71">IFERROR(_xlfn.XLOOKUP($A71&amp;"|"&amp;$C71,Asset_Operations!$A$2:$A$201&amp;"|"&amp;Asset_Operations!$BG$2:$BG$201,Asset_Operations!$I$2:$I$201,""),"")</f>
        <v>14</v>
      </c>
      <c r="H71" s="20">
        <f t="array" ref="H71">IFERROR(_xlfn.XLOOKUP($A71&amp;"|"&amp;$C71,Asset_Operations!$A$2:$A$201&amp;"|"&amp;Asset_Operations!$BG$2:$BG$201,Asset_Operations!$J$2:$J$201,""),"")</f>
        <v>0</v>
      </c>
      <c r="I71" s="20">
        <f t="array" ref="I71">IFERROR(_xlfn.XLOOKUP($A71&amp;"|"&amp;$C71,Asset_Operations!$A$2:$A$201&amp;"|"&amp;Asset_Operations!$BG$2:$BG$201,Asset_Operations!$O$2:$O$201,""),"")</f>
        <v>8</v>
      </c>
      <c r="J71" s="20">
        <f t="array" ref="J71">IFERROR(_xlfn.XLOOKUP($A71&amp;"|"&amp;$C71,Asset_Operations!$A$2:$A$201&amp;"|"&amp;Asset_Operations!$BG$2:$BG$201,Asset_Operations!$S$2:$S$201,""),"")</f>
        <v>0</v>
      </c>
      <c r="K71" s="20">
        <f t="array" ref="K71">IFERROR(_xlfn.XLOOKUP($A71&amp;"|"&amp;$C71,Asset_Operations!$A$2:$A$201&amp;"|"&amp;Asset_Operations!$BG$2:$BG$201,Asset_Operations!$AC$2:$AC$201,""),"")</f>
        <v>1242866</v>
      </c>
      <c r="L71" s="20">
        <f t="array" ref="L71">IFERROR(_xlfn.XLOOKUP($A71&amp;"|"&amp;$C71,Asset_Operations!$A$2:$A$201&amp;"|"&amp;Asset_Operations!$BG$2:$BG$201,Asset_Operations!$AG$2:$AG$201,""),"")</f>
        <v>394847</v>
      </c>
      <c r="M71" s="20">
        <f t="array" ref="M71">IFERROR(_xlfn.XLOOKUP($A71&amp;"|"&amp;$C71,Asset_Operations!$A$2:$A$201&amp;"|"&amp;Asset_Operations!$BG$2:$BG$201,Asset_Operations!$AO$2:$AO$201,""),"")</f>
        <v>10.183486388872502</v>
      </c>
      <c r="N71" s="21">
        <f t="array" ref="N71">IFERROR(_xlfn.XLOOKUP($A71&amp;"|"&amp;$C71,Asset_Operations!$A$2:$A$201&amp;"|"&amp;Asset_Operations!$BG$2:$BG$201,Asset_Operations!$AR$2:$AR$201,""),"")</f>
        <v>0.20633791702942211</v>
      </c>
      <c r="O71" s="22">
        <f t="array" ref="O71">IFERROR(_xlfn.XLOOKUP($A71&amp;"|"&amp;$C71,Financials!$A$2:$A$201&amp;"|"&amp;Financials!$B$2:$B$201,Financials!$C$2:$C$201,""),"")</f>
        <v>5672</v>
      </c>
      <c r="P71" s="22">
        <f t="array" ref="P71">IFERROR(_xlfn.XLOOKUP($A71&amp;"|"&amp;$C71,Financials!$A$2:$A$201&amp;"|"&amp;Financials!$B$2:$B$201,Financials!$E$2:$E$201,""),"")</f>
        <v>2162</v>
      </c>
      <c r="Q71" s="22">
        <f t="array" ref="Q71">IFERROR(_xlfn.XLOOKUP($A71&amp;"|"&amp;$C71,Financials!$A$2:$A$201&amp;"|"&amp;Financials!$B$2:$B$201,Financials!$G$2:$G$201,""),"")</f>
        <v>1039</v>
      </c>
      <c r="R71" s="22">
        <f t="array" ref="R71">IFERROR(_xlfn.XLOOKUP($A71&amp;"|"&amp;$C71,Financials!$A$2:$A$201&amp;"|"&amp;Financials!$B$2:$B$201,Financials!$S$2:$S$201,""),"")</f>
        <v>2547</v>
      </c>
      <c r="S71" s="22">
        <f t="array" ref="S71">IFERROR(_xlfn.XLOOKUP($A71&amp;"|"&amp;$C71,Financials!$A$2:$A$201&amp;"|"&amp;Financials!$B$2:$B$201,Financials!$AC$2:$AC$201,""),"")</f>
        <v>3819.9</v>
      </c>
      <c r="T71" s="23">
        <f t="shared" si="10"/>
        <v>0.38117066290550072</v>
      </c>
      <c r="U71" s="24">
        <f t="shared" si="11"/>
        <v>1.1780758556891766</v>
      </c>
      <c r="V71" s="25">
        <f t="shared" si="12"/>
        <v>4.2755917382783053E-2</v>
      </c>
      <c r="W71" s="24">
        <f t="shared" si="13"/>
        <v>3.2351991688461514</v>
      </c>
      <c r="X71" s="26">
        <f>IFERROR(IF(NOT(ISNUMBER($E71)),"",IF($E71&gt;=Scoring_Criteria!$D$4,5,IF($E71&gt;=Scoring_Criteria!$E$4,4,IF($E71&gt;=Scoring_Criteria!$F$4,3,IF($E71&gt;=Scoring_Criteria!$G$4,2,1))))),"")</f>
        <v>4</v>
      </c>
      <c r="Y71" s="26">
        <f>IFERROR(IF(OR(NOT(ISNUMBER($F71)),NOT(ISNUMBER($E71)),$E71=0),"",IF(($F71/$E71)&gt;=Scoring_Criteria!$D$5,5,IF(($F71/$E71)&gt;=Scoring_Criteria!$E$5,4,IF(($F71/$E71)&gt;=Scoring_Criteria!$F$5,3,IF(($F71/$E71)&gt;=Scoring_Criteria!$G$5,2,1))))),"")</f>
        <v>5</v>
      </c>
      <c r="Z71" s="26">
        <f>IFERROR(IF(AND(NOT(ISNUMBER($I71)),NOT(ISNUMBER($J71))),"",IF((IFERROR($I71,0)+IFERROR($J71,0))&gt;=Scoring_Criteria!$D$6,5,IF((IFERROR($I71,0)+IFERROR($J71,0))&gt;=Scoring_Criteria!$E$6,4,IF((IFERROR($I71,0)+IFERROR($J71,0))&gt;=Scoring_Criteria!$F$6,3,IF((IFERROR($I71,0)+IFERROR($J71,0))&gt;=Scoring_Criteria!$G$6,2,1))))),"")</f>
        <v>5</v>
      </c>
      <c r="AA71" s="26">
        <f>IFERROR(IF(NOT(ISNUMBER($M71)),"",IF($M71&gt;=Scoring_Criteria!$D$7,5,IF($M71&gt;=Scoring_Criteria!$E$7,4,IF($M71&gt;=Scoring_Criteria!$F$7,3,IF($M71&gt;=Scoring_Criteria!$G$7,2,1))))),"")</f>
        <v>2</v>
      </c>
      <c r="AB71" s="26">
        <f>IFERROR(IF(NOT(ISNUMBER($T71)),"",IF($T71&gt;=Scoring_Criteria!$D$8,5,IF($T71&gt;=Scoring_Criteria!$E$8,4,IF($T71&gt;=Scoring_Criteria!$F$8,3,IF($T71&gt;=Scoring_Criteria!$G$8,2,1))))),"")</f>
        <v>5</v>
      </c>
      <c r="AC71" s="26">
        <f>IFERROR(IF(NOT(ISNUMBER($U71)),"",IF($U71&lt;=Scoring_Criteria!$D$9,5,IF($U71&lt;=Scoring_Criteria!$E$9,4,IF($U71&lt;=Scoring_Criteria!$F$9,3,IF($U71&lt;=Scoring_Criteria!$G$9,2,1))))),"")</f>
        <v>4</v>
      </c>
      <c r="AD71" s="26">
        <f t="array" ref="AD71">IFERROR(IF(NOT(ISNUMBER(_xlfn.XLOOKUP($A71&amp;"|"&amp;$C71,Financials!$A$2:$A$201&amp;"|"&amp;Financials!$B$2:$B$201,Financials!$AD$2:$AD$201,""))),"",IF(_xlfn.XLOOKUP($A71&amp;"|"&amp;$C71,Financials!$A$2:$A$201&amp;"|"&amp;Financials!$B$2:$B$201,Financials!$AD$2:$AD$201,"")&gt;=Scoring_Criteria!$D$10,5,IF(_xlfn.XLOOKUP($A71&amp;"|"&amp;$C71,Financials!$A$2:$A$201&amp;"|"&amp;Financials!$B$2:$B$201,Financials!$AD$2:$AD$201,"")&gt;=Scoring_Criteria!$E$10,4,IF(_xlfn.XLOOKUP($A71&amp;"|"&amp;$C71,Financials!$A$2:$A$201&amp;"|"&amp;Financials!$B$2:$B$201,Financials!$AD$2:$AD$201,"")&gt;=Scoring_Criteria!$F$10,3,IF(_xlfn.XLOOKUP($A71&amp;"|"&amp;$C71,Financials!$A$2:$A$201&amp;"|"&amp;Financials!$B$2:$B$201,Financials!$AD$2:$AD$201,"")&gt;=Scoring_Criteria!$G$10,2,1))))),"")</f>
        <v>3</v>
      </c>
      <c r="AE71" s="27"/>
      <c r="AF71" s="27"/>
      <c r="AG71" s="28">
        <f t="shared" si="14"/>
        <v>4</v>
      </c>
      <c r="AH71" s="29"/>
      <c r="AI71" s="29"/>
      <c r="AJ71" s="29"/>
      <c r="AK71" s="29"/>
      <c r="AL71" s="29"/>
      <c r="AM71" s="29"/>
      <c r="AN71" s="29"/>
      <c r="AO71" s="29"/>
      <c r="AP71" s="29"/>
      <c r="AQ71" s="29"/>
      <c r="AR71" s="29"/>
      <c r="AS71" s="29"/>
      <c r="AT71" s="29"/>
      <c r="AU71" t="str">
        <f>IFERROR(Validation_Summary!Q5,"")</f>
        <v>✓ All 8 checks passed</v>
      </c>
    </row>
    <row r="72" spans="1:47" ht="15" customHeight="1" x14ac:dyDescent="0.3">
      <c r="A72" s="6" t="s">
        <v>6670</v>
      </c>
      <c r="B72" s="19" t="str">
        <f t="array" ref="B72">IFERROR(_xlfn.XLOOKUP($A72&amp;"|"&amp;$C72,'Company_Master'!$A$2:$A$94&amp;"|"&amp;'Company_Master'!$D$2:$D$94,'Company_Master'!$B$2:$B$94,""),"")</f>
        <v>SGRO</v>
      </c>
      <c r="C72" s="20">
        <v>2023</v>
      </c>
      <c r="D72" s="19" t="str">
        <f t="array" ref="D72">IFERROR(_xlfn.XLOOKUP($A72&amp;"|"&amp;$C72,'Company_Master'!$A$2:$A$94&amp;"|"&amp;'Company_Master'!$D$2:$D$94,'Company_Master'!$H$2:$H$94,""),"")</f>
        <v>South Sumatra / Central &amp; West Kalimantan / Riau (sago)</v>
      </c>
      <c r="E72" s="20">
        <f t="array" ref="E72">IFERROR(_xlfn.XLOOKUP($A72&amp;"|"&amp;$C72,Asset_Operations!$A$2:$A$201&amp;"|"&amp;Asset_Operations!$BG$2:$BG$201,Asset_Operations!$B$2:$B$201,""),"")</f>
        <v>132162</v>
      </c>
      <c r="F72" s="20">
        <f t="array" ref="F72">IFERROR(_xlfn.XLOOKUP($A72&amp;"|"&amp;$C72,Asset_Operations!$A$2:$A$201&amp;"|"&amp;Asset_Operations!$BG$2:$BG$201,Asset_Operations!$E$2:$E$201,""),"")</f>
        <v>117624.18</v>
      </c>
      <c r="G72" s="20">
        <f t="array" ref="G72">IFERROR(_xlfn.XLOOKUP($A72&amp;"|"&amp;$C72,Asset_Operations!$A$2:$A$201&amp;"|"&amp;Asset_Operations!$BG$2:$BG$201,Asset_Operations!$I$2:$I$201,""),"")</f>
        <v>15</v>
      </c>
      <c r="H72" s="20">
        <f t="array" ref="H72">IFERROR(_xlfn.XLOOKUP($A72&amp;"|"&amp;$C72,Asset_Operations!$A$2:$A$201&amp;"|"&amp;Asset_Operations!$BG$2:$BG$201,Asset_Operations!$J$2:$J$201,""),"")</f>
        <v>10000</v>
      </c>
      <c r="I72" s="20">
        <f t="array" ref="I72">IFERROR(_xlfn.XLOOKUP($A72&amp;"|"&amp;$C72,Asset_Operations!$A$2:$A$201&amp;"|"&amp;Asset_Operations!$BG$2:$BG$201,Asset_Operations!$O$2:$O$201,""),"")</f>
        <v>8</v>
      </c>
      <c r="J72" s="20">
        <f t="array" ref="J72">IFERROR(_xlfn.XLOOKUP($A72&amp;"|"&amp;$C72,Asset_Operations!$A$2:$A$201&amp;"|"&amp;Asset_Operations!$BG$2:$BG$201,Asset_Operations!$S$2:$S$201,""),"")</f>
        <v>0</v>
      </c>
      <c r="K72" s="20">
        <f t="array" ref="K72">IFERROR(_xlfn.XLOOKUP($A72&amp;"|"&amp;$C72,Asset_Operations!$A$2:$A$201&amp;"|"&amp;Asset_Operations!$BG$2:$BG$201,Asset_Operations!$AC$2:$AC$201,""),"")</f>
        <v>1259629</v>
      </c>
      <c r="L72" s="20">
        <f t="array" ref="L72">IFERROR(_xlfn.XLOOKUP($A72&amp;"|"&amp;$C72,Asset_Operations!$A$2:$A$201&amp;"|"&amp;Asset_Operations!$BG$2:$BG$201,Asset_Operations!$AG$2:$AG$201,""),"")</f>
        <v>396927</v>
      </c>
      <c r="M72" s="20">
        <f t="array" ref="M72">IFERROR(_xlfn.XLOOKUP($A72&amp;"|"&amp;$C72,Asset_Operations!$A$2:$A$201&amp;"|"&amp;Asset_Operations!$BG$2:$BG$201,Asset_Operations!$AO$2:$AO$201,""),"")</f>
        <v>10.708929065435356</v>
      </c>
      <c r="N72" s="21">
        <f t="array" ref="N72">IFERROR(_xlfn.XLOOKUP($A72&amp;"|"&amp;$C72,Asset_Operations!$A$2:$A$201&amp;"|"&amp;Asset_Operations!$BG$2:$BG$201,Asset_Operations!$AR$2:$AR$201,""),"")</f>
        <v>0.20888981745882218</v>
      </c>
      <c r="O72" s="22">
        <f t="array" ref="O72">IFERROR(_xlfn.XLOOKUP($A72&amp;"|"&amp;$C72,Financials!$A$2:$A$201&amp;"|"&amp;Financials!$B$2:$B$201,Financials!$C$2:$C$201,""),"")</f>
        <v>5621</v>
      </c>
      <c r="P72" s="22">
        <f t="array" ref="P72">IFERROR(_xlfn.XLOOKUP($A72&amp;"|"&amp;$C72,Financials!$A$2:$A$201&amp;"|"&amp;Financials!$B$2:$B$201,Financials!$E$2:$E$201,""),"")</f>
        <v>0</v>
      </c>
      <c r="Q72" s="22">
        <f t="array" ref="Q72">IFERROR(_xlfn.XLOOKUP($A72&amp;"|"&amp;$C72,Financials!$A$2:$A$201&amp;"|"&amp;Financials!$B$2:$B$201,Financials!$G$2:$G$201,""),"")</f>
        <v>441</v>
      </c>
      <c r="R72" s="22">
        <f t="array" ref="R72">IFERROR(_xlfn.XLOOKUP($A72&amp;"|"&amp;$C72,Financials!$A$2:$A$201&amp;"|"&amp;Financials!$B$2:$B$201,Financials!$S$2:$S$201,""),"")</f>
        <v>2301</v>
      </c>
      <c r="S72" s="22">
        <f t="array" ref="S72">IFERROR(_xlfn.XLOOKUP($A72&amp;"|"&amp;$C72,Financials!$A$2:$A$201&amp;"|"&amp;Financials!$B$2:$B$201,Financials!$AC$2:$AC$201,""),"")</f>
        <v>3656.19</v>
      </c>
      <c r="T72" s="23">
        <f t="shared" si="10"/>
        <v>0</v>
      </c>
      <c r="U72" s="24" t="str">
        <f t="shared" si="11"/>
        <v/>
      </c>
      <c r="V72" s="25">
        <f t="shared" si="12"/>
        <v>4.2531136030023758E-2</v>
      </c>
      <c r="W72" s="24">
        <f t="shared" si="13"/>
        <v>3.3745357459665182</v>
      </c>
      <c r="X72" s="26">
        <f>IFERROR(IF(NOT(ISNUMBER($E72)),"",IF($E72&gt;=Scoring_Criteria!$D$4,5,IF($E72&gt;=Scoring_Criteria!$E$4,4,IF($E72&gt;=Scoring_Criteria!$F$4,3,IF($E72&gt;=Scoring_Criteria!$G$4,2,1))))),"")</f>
        <v>4</v>
      </c>
      <c r="Y72" s="26">
        <f>IFERROR(IF(OR(NOT(ISNUMBER($F72)),NOT(ISNUMBER($E72)),$E72=0),"",IF(($F72/$E72)&gt;=Scoring_Criteria!$D$5,5,IF(($F72/$E72)&gt;=Scoring_Criteria!$E$5,4,IF(($F72/$E72)&gt;=Scoring_Criteria!$F$5,3,IF(($F72/$E72)&gt;=Scoring_Criteria!$G$5,2,1))))),"")</f>
        <v>5</v>
      </c>
      <c r="Z72" s="26">
        <f>IFERROR(IF(AND(NOT(ISNUMBER($I72)),NOT(ISNUMBER($J72))),"",IF((IFERROR($I72,0)+IFERROR($J72,0))&gt;=Scoring_Criteria!$D$6,5,IF((IFERROR($I72,0)+IFERROR($J72,0))&gt;=Scoring_Criteria!$E$6,4,IF((IFERROR($I72,0)+IFERROR($J72,0))&gt;=Scoring_Criteria!$F$6,3,IF((IFERROR($I72,0)+IFERROR($J72,0))&gt;=Scoring_Criteria!$G$6,2,1))))),"")</f>
        <v>5</v>
      </c>
      <c r="AA72" s="26">
        <f>IFERROR(IF(NOT(ISNUMBER($M72)),"",IF($M72&gt;=Scoring_Criteria!$D$7,5,IF($M72&gt;=Scoring_Criteria!$E$7,4,IF($M72&gt;=Scoring_Criteria!$F$7,3,IF($M72&gt;=Scoring_Criteria!$G$7,2,1))))),"")</f>
        <v>2</v>
      </c>
      <c r="AB72" s="26">
        <f>IFERROR(IF(NOT(ISNUMBER($T72)),"",IF($T72&gt;=Scoring_Criteria!$D$8,5,IF($T72&gt;=Scoring_Criteria!$E$8,4,IF($T72&gt;=Scoring_Criteria!$F$8,3,IF($T72&gt;=Scoring_Criteria!$G$8,2,1))))),"")</f>
        <v>1</v>
      </c>
      <c r="AC72" s="26" t="str">
        <f>IFERROR(IF(NOT(ISNUMBER($U72)),"",IF($U72&lt;=Scoring_Criteria!$D$9,5,IF($U72&lt;=Scoring_Criteria!$E$9,4,IF($U72&lt;=Scoring_Criteria!$F$9,3,IF($U72&lt;=Scoring_Criteria!$G$9,2,1))))),"")</f>
        <v/>
      </c>
      <c r="AD72" s="26">
        <f t="array" ref="AD72">IFERROR(IF(NOT(ISNUMBER(_xlfn.XLOOKUP($A72&amp;"|"&amp;$C72,Financials!$A$2:$A$201&amp;"|"&amp;Financials!$B$2:$B$201,Financials!$AD$2:$AD$201,""))),"",IF(_xlfn.XLOOKUP($A72&amp;"|"&amp;$C72,Financials!$A$2:$A$201&amp;"|"&amp;Financials!$B$2:$B$201,Financials!$AD$2:$AD$201,"")&gt;=Scoring_Criteria!$D$10,5,IF(_xlfn.XLOOKUP($A72&amp;"|"&amp;$C72,Financials!$A$2:$A$201&amp;"|"&amp;Financials!$B$2:$B$201,Financials!$AD$2:$AD$201,"")&gt;=Scoring_Criteria!$E$10,4,IF(_xlfn.XLOOKUP($A72&amp;"|"&amp;$C72,Financials!$A$2:$A$201&amp;"|"&amp;Financials!$B$2:$B$201,Financials!$AD$2:$AD$201,"")&gt;=Scoring_Criteria!$F$10,3,IF(_xlfn.XLOOKUP($A72&amp;"|"&amp;$C72,Financials!$A$2:$A$201&amp;"|"&amp;Financials!$B$2:$B$201,Financials!$AD$2:$AD$201,"")&gt;=Scoring_Criteria!$G$10,2,1))))),"")</f>
        <v>3</v>
      </c>
      <c r="AE72" s="27"/>
      <c r="AF72" s="27"/>
      <c r="AG72" s="28">
        <f t="shared" si="14"/>
        <v>3.3333333333333335</v>
      </c>
      <c r="AH72" s="29"/>
      <c r="AI72" s="29"/>
      <c r="AJ72" s="29"/>
      <c r="AK72" s="29"/>
      <c r="AL72" s="29"/>
      <c r="AM72" s="29"/>
      <c r="AN72" s="29"/>
      <c r="AO72" s="29"/>
      <c r="AP72" s="29"/>
      <c r="AQ72" s="29"/>
      <c r="AR72" s="29"/>
      <c r="AS72" s="29"/>
      <c r="AT72" s="29"/>
      <c r="AU72" t="str">
        <f>IFERROR(Validation_Summary!Q5,"")</f>
        <v>✓ All 8 checks passed</v>
      </c>
    </row>
    <row r="73" spans="1:47" ht="15" customHeight="1" x14ac:dyDescent="0.3">
      <c r="A73" s="6" t="s">
        <v>6670</v>
      </c>
      <c r="B73" s="19" t="str">
        <f t="array" ref="B73">IFERROR(_xlfn.XLOOKUP($A73&amp;"|"&amp;$C73,'Company_Master'!$A$2:$A$94&amp;"|"&amp;'Company_Master'!$D$2:$D$94,'Company_Master'!$B$2:$B$94,""),"")</f>
        <v>SGRO</v>
      </c>
      <c r="C73" s="20">
        <v>2024</v>
      </c>
      <c r="D73" s="19" t="str">
        <f t="array" ref="D73">IFERROR(_xlfn.XLOOKUP($A73&amp;"|"&amp;$C73,'Company_Master'!$A$2:$A$94&amp;"|"&amp;'Company_Master'!$D$2:$D$94,'Company_Master'!$H$2:$H$94,""),"")</f>
        <v>South Sumatra / Central &amp; West Kalimantan / Riau (sago)</v>
      </c>
      <c r="E73" s="20">
        <f t="array" ref="E73">IFERROR(_xlfn.XLOOKUP($A73&amp;"|"&amp;$C73,Asset_Operations!$A$2:$A$201&amp;"|"&amp;Asset_Operations!$BG$2:$BG$201,Asset_Operations!$B$2:$B$201,""),"")</f>
        <v>128290</v>
      </c>
      <c r="F73" s="20">
        <f t="array" ref="F73">IFERROR(_xlfn.XLOOKUP($A73&amp;"|"&amp;$C73,Asset_Operations!$A$2:$A$201&amp;"|"&amp;Asset_Operations!$BG$2:$BG$201,Asset_Operations!$E$2:$E$201,""),"")</f>
        <v>108816</v>
      </c>
      <c r="G73" s="20">
        <f t="array" ref="G73">IFERROR(_xlfn.XLOOKUP($A73&amp;"|"&amp;$C73,Asset_Operations!$A$2:$A$201&amp;"|"&amp;Asset_Operations!$BG$2:$BG$201,Asset_Operations!$I$2:$I$201,""),"")</f>
        <v>14</v>
      </c>
      <c r="H73" s="20">
        <f t="array" ref="H73">IFERROR(_xlfn.XLOOKUP($A73&amp;"|"&amp;$C73,Asset_Operations!$A$2:$A$201&amp;"|"&amp;Asset_Operations!$BG$2:$BG$201,Asset_Operations!$J$2:$J$201,""),"")</f>
        <v>11200</v>
      </c>
      <c r="I73" s="20">
        <f t="array" ref="I73">IFERROR(_xlfn.XLOOKUP($A73&amp;"|"&amp;$C73,Asset_Operations!$A$2:$A$201&amp;"|"&amp;Asset_Operations!$BG$2:$BG$201,Asset_Operations!$O$2:$O$201,""),"")</f>
        <v>8</v>
      </c>
      <c r="J73" s="20">
        <f t="array" ref="J73">IFERROR(_xlfn.XLOOKUP($A73&amp;"|"&amp;$C73,Asset_Operations!$A$2:$A$201&amp;"|"&amp;Asset_Operations!$BG$2:$BG$201,Asset_Operations!$S$2:$S$201,""),"")</f>
        <v>0</v>
      </c>
      <c r="K73" s="20">
        <f t="array" ref="K73">IFERROR(_xlfn.XLOOKUP($A73&amp;"|"&amp;$C73,Asset_Operations!$A$2:$A$201&amp;"|"&amp;Asset_Operations!$BG$2:$BG$201,Asset_Operations!$AC$2:$AC$201,""),"")</f>
        <v>1167927</v>
      </c>
      <c r="L73" s="20">
        <f t="array" ref="L73">IFERROR(_xlfn.XLOOKUP($A73&amp;"|"&amp;$C73,Asset_Operations!$A$2:$A$201&amp;"|"&amp;Asset_Operations!$BG$2:$BG$201,Asset_Operations!$AG$2:$AG$201,""),"")</f>
        <v>341287</v>
      </c>
      <c r="M73" s="20">
        <f t="array" ref="M73">IFERROR(_xlfn.XLOOKUP($A73&amp;"|"&amp;$C73,Asset_Operations!$A$2:$A$201&amp;"|"&amp;Asset_Operations!$BG$2:$BG$201,Asset_Operations!$AO$2:$AO$201,""),"")</f>
        <v>10.733044772827526</v>
      </c>
      <c r="N73" s="21">
        <f t="array" ref="N73">IFERROR(_xlfn.XLOOKUP($A73&amp;"|"&amp;$C73,Asset_Operations!$A$2:$A$201&amp;"|"&amp;Asset_Operations!$BG$2:$BG$201,Asset_Operations!$AR$2:$AR$201,""),"")</f>
        <v>0.19768984276889856</v>
      </c>
      <c r="O73" s="22">
        <f t="array" ref="O73">IFERROR(_xlfn.XLOOKUP($A73&amp;"|"&amp;$C73,Financials!$A$2:$A$201&amp;"|"&amp;Financials!$B$2:$B$201,Financials!$C$2:$C$201,""),"")</f>
        <v>5694</v>
      </c>
      <c r="P73" s="22">
        <f t="array" ref="P73">IFERROR(_xlfn.XLOOKUP($A73&amp;"|"&amp;$C73,Financials!$A$2:$A$201&amp;"|"&amp;Financials!$B$2:$B$201,Financials!$E$2:$E$201,""),"")</f>
        <v>0</v>
      </c>
      <c r="Q73" s="22">
        <f t="array" ref="Q73">IFERROR(_xlfn.XLOOKUP($A73&amp;"|"&amp;$C73,Financials!$A$2:$A$201&amp;"|"&amp;Financials!$B$2:$B$201,Financials!$G$2:$G$201,""),"")</f>
        <v>697</v>
      </c>
      <c r="R73" s="22">
        <f t="array" ref="R73">IFERROR(_xlfn.XLOOKUP($A73&amp;"|"&amp;$C73,Financials!$A$2:$A$201&amp;"|"&amp;Financials!$B$2:$B$201,Financials!$S$2:$S$201,""),"")</f>
        <v>2041</v>
      </c>
      <c r="S73" s="22">
        <f t="array" ref="S73">IFERROR(_xlfn.XLOOKUP($A73&amp;"|"&amp;$C73,Financials!$A$2:$A$201&amp;"|"&amp;Financials!$B$2:$B$201,Financials!$AC$2:$AC$201,""),"")</f>
        <v>3892.66</v>
      </c>
      <c r="T73" s="23">
        <f t="shared" si="10"/>
        <v>0</v>
      </c>
      <c r="U73" s="24" t="str">
        <f t="shared" si="11"/>
        <v/>
      </c>
      <c r="V73" s="25">
        <f t="shared" si="12"/>
        <v>4.4383817912541895E-2</v>
      </c>
      <c r="W73" s="24">
        <f t="shared" si="13"/>
        <v>3.1363678135568298</v>
      </c>
      <c r="X73" s="26">
        <f>IFERROR(IF(NOT(ISNUMBER($E73)),"",IF($E73&gt;=Scoring_Criteria!$D$4,5,IF($E73&gt;=Scoring_Criteria!$E$4,4,IF($E73&gt;=Scoring_Criteria!$F$4,3,IF($E73&gt;=Scoring_Criteria!$G$4,2,1))))),"")</f>
        <v>4</v>
      </c>
      <c r="Y73" s="26">
        <f>IFERROR(IF(OR(NOT(ISNUMBER($F73)),NOT(ISNUMBER($E73)),$E73=0),"",IF(($F73/$E73)&gt;=Scoring_Criteria!$D$5,5,IF(($F73/$E73)&gt;=Scoring_Criteria!$E$5,4,IF(($F73/$E73)&gt;=Scoring_Criteria!$F$5,3,IF(($F73/$E73)&gt;=Scoring_Criteria!$G$5,2,1))))),"")</f>
        <v>5</v>
      </c>
      <c r="Z73" s="26">
        <f>IFERROR(IF(AND(NOT(ISNUMBER($I73)),NOT(ISNUMBER($J73))),"",IF((IFERROR($I73,0)+IFERROR($J73,0))&gt;=Scoring_Criteria!$D$6,5,IF((IFERROR($I73,0)+IFERROR($J73,0))&gt;=Scoring_Criteria!$E$6,4,IF((IFERROR($I73,0)+IFERROR($J73,0))&gt;=Scoring_Criteria!$F$6,3,IF((IFERROR($I73,0)+IFERROR($J73,0))&gt;=Scoring_Criteria!$G$6,2,1))))),"")</f>
        <v>5</v>
      </c>
      <c r="AA73" s="26">
        <f>IFERROR(IF(NOT(ISNUMBER($M73)),"",IF($M73&gt;=Scoring_Criteria!$D$7,5,IF($M73&gt;=Scoring_Criteria!$E$7,4,IF($M73&gt;=Scoring_Criteria!$F$7,3,IF($M73&gt;=Scoring_Criteria!$G$7,2,1))))),"")</f>
        <v>2</v>
      </c>
      <c r="AB73" s="26">
        <f>IFERROR(IF(NOT(ISNUMBER($T73)),"",IF($T73&gt;=Scoring_Criteria!$D$8,5,IF($T73&gt;=Scoring_Criteria!$E$8,4,IF($T73&gt;=Scoring_Criteria!$F$8,3,IF($T73&gt;=Scoring_Criteria!$G$8,2,1))))),"")</f>
        <v>1</v>
      </c>
      <c r="AC73" s="26" t="str">
        <f>IFERROR(IF(NOT(ISNUMBER($U73)),"",IF($U73&lt;=Scoring_Criteria!$D$9,5,IF($U73&lt;=Scoring_Criteria!$E$9,4,IF($U73&lt;=Scoring_Criteria!$F$9,3,IF($U73&lt;=Scoring_Criteria!$G$9,2,1))))),"")</f>
        <v/>
      </c>
      <c r="AD73" s="26">
        <f t="array" ref="AD73">IFERROR(IF(NOT(ISNUMBER(_xlfn.XLOOKUP($A73&amp;"|"&amp;$C73,Financials!$A$2:$A$201&amp;"|"&amp;Financials!$B$2:$B$201,Financials!$AD$2:$AD$201,""))),"",IF(_xlfn.XLOOKUP($A73&amp;"|"&amp;$C73,Financials!$A$2:$A$201&amp;"|"&amp;Financials!$B$2:$B$201,Financials!$AD$2:$AD$201,"")&gt;=Scoring_Criteria!$D$10,5,IF(_xlfn.XLOOKUP($A73&amp;"|"&amp;$C73,Financials!$A$2:$A$201&amp;"|"&amp;Financials!$B$2:$B$201,Financials!$AD$2:$AD$201,"")&gt;=Scoring_Criteria!$E$10,4,IF(_xlfn.XLOOKUP($A73&amp;"|"&amp;$C73,Financials!$A$2:$A$201&amp;"|"&amp;Financials!$B$2:$B$201,Financials!$AD$2:$AD$201,"")&gt;=Scoring_Criteria!$F$10,3,IF(_xlfn.XLOOKUP($A73&amp;"|"&amp;$C73,Financials!$A$2:$A$201&amp;"|"&amp;Financials!$B$2:$B$201,Financials!$AD$2:$AD$201,"")&gt;=Scoring_Criteria!$G$10,2,1))))),"")</f>
        <v>3</v>
      </c>
      <c r="AE73" s="27"/>
      <c r="AF73" s="27"/>
      <c r="AG73" s="28">
        <f t="shared" si="14"/>
        <v>3.3333333333333335</v>
      </c>
      <c r="AH73" s="29"/>
      <c r="AI73" s="29"/>
      <c r="AJ73" s="29"/>
      <c r="AK73" s="29"/>
      <c r="AL73" s="29"/>
      <c r="AM73" s="29"/>
      <c r="AN73" s="29"/>
      <c r="AO73" s="29"/>
      <c r="AP73" s="29"/>
      <c r="AQ73" s="29"/>
      <c r="AR73" s="29"/>
      <c r="AS73" s="29"/>
      <c r="AT73" s="29"/>
      <c r="AU73" t="str">
        <f>IFERROR(Validation_Summary!Q5,"")</f>
        <v>✓ All 8 checks passed</v>
      </c>
    </row>
    <row r="74" spans="1:47" ht="15" customHeight="1" x14ac:dyDescent="0.3">
      <c r="A74" s="6" t="s">
        <v>7065</v>
      </c>
      <c r="B74" s="19" t="str">
        <f t="array" ref="B74">IFERROR(_xlfn.XLOOKUP($A74&amp;"|"&amp;$C74,'Company_Master'!$A$2:$A$94&amp;"|"&amp;'Company_Master'!$D$2:$D$94,'Company_Master'!$B$2:$B$94,""),"")</f>
        <v>SIMP</v>
      </c>
      <c r="C74" s="20">
        <v>2022</v>
      </c>
      <c r="D74" s="19" t="str">
        <f t="array" ref="D74">IFERROR(_xlfn.XLOOKUP($A74&amp;"|"&amp;$C74,'Company_Master'!$A$2:$A$94&amp;"|"&amp;'Company_Master'!$D$2:$D$94,'Company_Master'!$H$2:$H$94,""),"")</f>
        <v>Sumatra (Riau, N/S Sumatra)/Kalimantan (W/C/E)/Sulawesi/Java - diversified</v>
      </c>
      <c r="E74" s="20">
        <f t="array" ref="E74">IFERROR(_xlfn.XLOOKUP($A74&amp;"|"&amp;$C74,Asset_Operations!$A$2:$A$201&amp;"|"&amp;Asset_Operations!$BG$2:$BG$201,Asset_Operations!$B$2:$B$201,""),"")</f>
        <v>294488</v>
      </c>
      <c r="F74" s="20">
        <f t="array" ref="F74">IFERROR(_xlfn.XLOOKUP($A74&amp;"|"&amp;$C74,Asset_Operations!$A$2:$A$201&amp;"|"&amp;Asset_Operations!$BG$2:$BG$201,Asset_Operations!$E$2:$E$201,""),"")</f>
        <v>218064</v>
      </c>
      <c r="G74" s="20">
        <f t="array" ref="G74">IFERROR(_xlfn.XLOOKUP($A74&amp;"|"&amp;$C74,Asset_Operations!$A$2:$A$201&amp;"|"&amp;Asset_Operations!$BG$2:$BG$201,Asset_Operations!$I$2:$I$201,""),"")</f>
        <v>18</v>
      </c>
      <c r="H74" s="20">
        <f t="array" ref="H74">IFERROR(_xlfn.XLOOKUP($A74&amp;"|"&amp;$C74,Asset_Operations!$A$2:$A$201&amp;"|"&amp;Asset_Operations!$BG$2:$BG$201,Asset_Operations!$J$2:$J$201,""),"")</f>
        <v>0</v>
      </c>
      <c r="I74" s="20">
        <f t="array" ref="I74">IFERROR(_xlfn.XLOOKUP($A74&amp;"|"&amp;$C74,Asset_Operations!$A$2:$A$201&amp;"|"&amp;Asset_Operations!$BG$2:$BG$201,Asset_Operations!$O$2:$O$201,""),"")</f>
        <v>27</v>
      </c>
      <c r="J74" s="20">
        <f t="array" ref="J74">IFERROR(_xlfn.XLOOKUP($A74&amp;"|"&amp;$C74,Asset_Operations!$A$2:$A$201&amp;"|"&amp;Asset_Operations!$BG$2:$BG$201,Asset_Operations!$S$2:$S$201,""),"")</f>
        <v>5</v>
      </c>
      <c r="K74" s="20">
        <f t="array" ref="K74">IFERROR(_xlfn.XLOOKUP($A74&amp;"|"&amp;$C74,Asset_Operations!$A$2:$A$201&amp;"|"&amp;Asset_Operations!$BG$2:$BG$201,Asset_Operations!$AC$2:$AC$201,""),"")</f>
        <v>2812000</v>
      </c>
      <c r="L74" s="20">
        <f t="array" ref="L74">IFERROR(_xlfn.XLOOKUP($A74&amp;"|"&amp;$C74,Asset_Operations!$A$2:$A$201&amp;"|"&amp;Asset_Operations!$BG$2:$BG$201,Asset_Operations!$AG$2:$AG$201,""),"")</f>
        <v>736000</v>
      </c>
      <c r="M74" s="20">
        <f t="array" ref="M74">IFERROR(_xlfn.XLOOKUP($A74&amp;"|"&amp;$C74,Asset_Operations!$A$2:$A$201&amp;"|"&amp;Asset_Operations!$BG$2:$BG$201,Asset_Operations!$AO$2:$AO$201,""),"")</f>
        <v>12.895296793601878</v>
      </c>
      <c r="N74" s="21" t="str">
        <f t="array" ref="N74">IFERROR(_xlfn.XLOOKUP($A74&amp;"|"&amp;$C74,Asset_Operations!$A$2:$A$201&amp;"|"&amp;Asset_Operations!$BG$2:$BG$201,Asset_Operations!$AR$2:$AR$201,""),"")</f>
        <v/>
      </c>
      <c r="O74" s="22">
        <f t="array" ref="O74">IFERROR(_xlfn.XLOOKUP($A74&amp;"|"&amp;$C74,Financials!$A$2:$A$201&amp;"|"&amp;Financials!$B$2:$B$201,Financials!$C$2:$C$201,""),"")</f>
        <v>17794</v>
      </c>
      <c r="P74" s="22">
        <f t="array" ref="P74">IFERROR(_xlfn.XLOOKUP($A74&amp;"|"&amp;$C74,Financials!$A$2:$A$201&amp;"|"&amp;Financials!$B$2:$B$201,Financials!$E$2:$E$201,""),"")</f>
        <v>4684</v>
      </c>
      <c r="Q74" s="22">
        <f t="array" ref="Q74">IFERROR(_xlfn.XLOOKUP($A74&amp;"|"&amp;$C74,Financials!$A$2:$A$201&amp;"|"&amp;Financials!$B$2:$B$201,Financials!$G$2:$G$201,""),"")</f>
        <v>1510</v>
      </c>
      <c r="R74" s="22">
        <f t="array" ref="R74">IFERROR(_xlfn.XLOOKUP($A74&amp;"|"&amp;$C74,Financials!$A$2:$A$201&amp;"|"&amp;Financials!$B$2:$B$201,Financials!$S$2:$S$201,""),"")</f>
        <v>5574</v>
      </c>
      <c r="S74" s="22">
        <f t="array" ref="S74">IFERROR(_xlfn.XLOOKUP($A74&amp;"|"&amp;$C74,Financials!$A$2:$A$201&amp;"|"&amp;Financials!$B$2:$B$201,Financials!$AC$2:$AC$201,""),"")</f>
        <v>6417.4139999999998</v>
      </c>
      <c r="T74" s="23">
        <f t="shared" si="10"/>
        <v>0.26323479824659995</v>
      </c>
      <c r="U74" s="24">
        <f t="shared" si="11"/>
        <v>1.1900085397096498</v>
      </c>
      <c r="V74" s="25">
        <f t="shared" si="12"/>
        <v>6.0423514710276821E-2</v>
      </c>
      <c r="W74" s="24">
        <f t="shared" si="13"/>
        <v>3.3751559175287991</v>
      </c>
      <c r="X74" s="26">
        <f>IFERROR(IF(NOT(ISNUMBER($E74)),"",IF($E74&gt;=Scoring_Criteria!$D$4,5,IF($E74&gt;=Scoring_Criteria!$E$4,4,IF($E74&gt;=Scoring_Criteria!$F$4,3,IF($E74&gt;=Scoring_Criteria!$G$4,2,1))))),"")</f>
        <v>5</v>
      </c>
      <c r="Y74" s="26">
        <f>IFERROR(IF(OR(NOT(ISNUMBER($F74)),NOT(ISNUMBER($E74)),$E74=0),"",IF(($F74/$E74)&gt;=Scoring_Criteria!$D$5,5,IF(($F74/$E74)&gt;=Scoring_Criteria!$E$5,4,IF(($F74/$E74)&gt;=Scoring_Criteria!$F$5,3,IF(($F74/$E74)&gt;=Scoring_Criteria!$G$5,2,1))))),"")</f>
        <v>4</v>
      </c>
      <c r="Z74" s="26">
        <f>IFERROR(IF(AND(NOT(ISNUMBER($I74)),NOT(ISNUMBER($J74))),"",IF((IFERROR($I74,0)+IFERROR($J74,0))&gt;=Scoring_Criteria!$D$6,5,IF((IFERROR($I74,0)+IFERROR($J74,0))&gt;=Scoring_Criteria!$E$6,4,IF((IFERROR($I74,0)+IFERROR($J74,0))&gt;=Scoring_Criteria!$F$6,3,IF((IFERROR($I74,0)+IFERROR($J74,0))&gt;=Scoring_Criteria!$G$6,2,1))))),"")</f>
        <v>5</v>
      </c>
      <c r="AA74" s="26">
        <f>IFERROR(IF(NOT(ISNUMBER($M74)),"",IF($M74&gt;=Scoring_Criteria!$D$7,5,IF($M74&gt;=Scoring_Criteria!$E$7,4,IF($M74&gt;=Scoring_Criteria!$F$7,3,IF($M74&gt;=Scoring_Criteria!$G$7,2,1))))),"")</f>
        <v>2</v>
      </c>
      <c r="AB74" s="26">
        <f>IFERROR(IF(NOT(ISNUMBER($T74)),"",IF($T74&gt;=Scoring_Criteria!$D$8,5,IF($T74&gt;=Scoring_Criteria!$E$8,4,IF($T74&gt;=Scoring_Criteria!$F$8,3,IF($T74&gt;=Scoring_Criteria!$G$8,2,1))))),"")</f>
        <v>4</v>
      </c>
      <c r="AC74" s="26">
        <f>IFERROR(IF(NOT(ISNUMBER($U74)),"",IF($U74&lt;=Scoring_Criteria!$D$9,5,IF($U74&lt;=Scoring_Criteria!$E$9,4,IF($U74&lt;=Scoring_Criteria!$F$9,3,IF($U74&lt;=Scoring_Criteria!$G$9,2,1))))),"")</f>
        <v>4</v>
      </c>
      <c r="AD74" s="26">
        <f t="array" ref="AD74">IFERROR(IF(NOT(ISNUMBER(_xlfn.XLOOKUP($A74&amp;"|"&amp;$C74,Financials!$A$2:$A$201&amp;"|"&amp;Financials!$B$2:$B$201,Financials!$AD$2:$AD$201,""))),"",IF(_xlfn.XLOOKUP($A74&amp;"|"&amp;$C74,Financials!$A$2:$A$201&amp;"|"&amp;Financials!$B$2:$B$201,Financials!$AD$2:$AD$201,"")&gt;=Scoring_Criteria!$D$10,5,IF(_xlfn.XLOOKUP($A74&amp;"|"&amp;$C74,Financials!$A$2:$A$201&amp;"|"&amp;Financials!$B$2:$B$201,Financials!$AD$2:$AD$201,"")&gt;=Scoring_Criteria!$E$10,4,IF(_xlfn.XLOOKUP($A74&amp;"|"&amp;$C74,Financials!$A$2:$A$201&amp;"|"&amp;Financials!$B$2:$B$201,Financials!$AD$2:$AD$201,"")&gt;=Scoring_Criteria!$F$10,3,IF(_xlfn.XLOOKUP($A74&amp;"|"&amp;$C74,Financials!$A$2:$A$201&amp;"|"&amp;Financials!$B$2:$B$201,Financials!$AD$2:$AD$201,"")&gt;=Scoring_Criteria!$G$10,2,1))))),"")</f>
        <v>2</v>
      </c>
      <c r="AE74" s="27"/>
      <c r="AF74" s="27"/>
      <c r="AG74" s="28">
        <f t="shared" si="14"/>
        <v>3.7142857142857144</v>
      </c>
      <c r="AH74" s="29"/>
      <c r="AI74" s="29"/>
      <c r="AJ74" s="29"/>
      <c r="AK74" s="29"/>
      <c r="AL74" s="29"/>
      <c r="AM74" s="29"/>
      <c r="AN74" s="29"/>
      <c r="AO74" s="29"/>
      <c r="AP74" s="29"/>
      <c r="AQ74" s="29"/>
      <c r="AR74" s="29"/>
      <c r="AS74" s="29"/>
      <c r="AT74" s="29"/>
      <c r="AU74" t="str">
        <f>IFERROR(Validation_Summary!Q5,"")</f>
        <v>✓ All 8 checks passed</v>
      </c>
    </row>
    <row r="75" spans="1:47" ht="15" customHeight="1" x14ac:dyDescent="0.3">
      <c r="A75" s="6" t="s">
        <v>7065</v>
      </c>
      <c r="B75" s="19" t="str">
        <f t="array" ref="B75">IFERROR(_xlfn.XLOOKUP($A75&amp;"|"&amp;$C75,'Company_Master'!$A$2:$A$94&amp;"|"&amp;'Company_Master'!$D$2:$D$94,'Company_Master'!$B$2:$B$94,""),"")</f>
        <v>SIMP</v>
      </c>
      <c r="C75" s="20">
        <v>2023</v>
      </c>
      <c r="D75" s="19" t="str">
        <f t="array" ref="D75">IFERROR(_xlfn.XLOOKUP($A75&amp;"|"&amp;$C75,'Company_Master'!$A$2:$A$94&amp;"|"&amp;'Company_Master'!$D$2:$D$94,'Company_Master'!$H$2:$H$94,""),"")</f>
        <v>Sumatra (Riau, N/S Sumatra)/Kalimantan (W/C/E)/Sulawesi/Java - diversified</v>
      </c>
      <c r="E75" s="20">
        <f t="array" ref="E75">IFERROR(_xlfn.XLOOKUP($A75&amp;"|"&amp;$C75,Asset_Operations!$A$2:$A$201&amp;"|"&amp;Asset_Operations!$BG$2:$BG$201,Asset_Operations!$B$2:$B$201,""),"")</f>
        <v>293429</v>
      </c>
      <c r="F75" s="20">
        <f t="array" ref="F75">IFERROR(_xlfn.XLOOKUP($A75&amp;"|"&amp;$C75,Asset_Operations!$A$2:$A$201&amp;"|"&amp;Asset_Operations!$BG$2:$BG$201,Asset_Operations!$E$2:$E$201,""),"")</f>
        <v>220531</v>
      </c>
      <c r="G75" s="20">
        <f t="array" ref="G75">IFERROR(_xlfn.XLOOKUP($A75&amp;"|"&amp;$C75,Asset_Operations!$A$2:$A$201&amp;"|"&amp;Asset_Operations!$BG$2:$BG$201,Asset_Operations!$I$2:$I$201,""),"")</f>
        <v>19</v>
      </c>
      <c r="H75" s="20">
        <f t="array" ref="H75">IFERROR(_xlfn.XLOOKUP($A75&amp;"|"&amp;$C75,Asset_Operations!$A$2:$A$201&amp;"|"&amp;Asset_Operations!$BG$2:$BG$201,Asset_Operations!$J$2:$J$201,""),"")</f>
        <v>0</v>
      </c>
      <c r="I75" s="20">
        <f t="array" ref="I75">IFERROR(_xlfn.XLOOKUP($A75&amp;"|"&amp;$C75,Asset_Operations!$A$2:$A$201&amp;"|"&amp;Asset_Operations!$BG$2:$BG$201,Asset_Operations!$O$2:$O$201,""),"")</f>
        <v>27</v>
      </c>
      <c r="J75" s="20">
        <f t="array" ref="J75">IFERROR(_xlfn.XLOOKUP($A75&amp;"|"&amp;$C75,Asset_Operations!$A$2:$A$201&amp;"|"&amp;Asset_Operations!$BG$2:$BG$201,Asset_Operations!$S$2:$S$201,""),"")</f>
        <v>5</v>
      </c>
      <c r="K75" s="20">
        <f t="array" ref="K75">IFERROR(_xlfn.XLOOKUP($A75&amp;"|"&amp;$C75,Asset_Operations!$A$2:$A$201&amp;"|"&amp;Asset_Operations!$BG$2:$BG$201,Asset_Operations!$AC$2:$AC$201,""),"")</f>
        <v>2784000</v>
      </c>
      <c r="L75" s="20">
        <f t="array" ref="L75">IFERROR(_xlfn.XLOOKUP($A75&amp;"|"&amp;$C75,Asset_Operations!$A$2:$A$201&amp;"|"&amp;Asset_Operations!$BG$2:$BG$201,Asset_Operations!$AG$2:$AG$201,""),"")</f>
        <v>708000</v>
      </c>
      <c r="M75" s="20">
        <f t="array" ref="M75">IFERROR(_xlfn.XLOOKUP($A75&amp;"|"&amp;$C75,Asset_Operations!$A$2:$A$201&amp;"|"&amp;Asset_Operations!$BG$2:$BG$201,Asset_Operations!$AO$2:$AO$201,""),"")</f>
        <v>12.624075526796686</v>
      </c>
      <c r="N75" s="21" t="str">
        <f t="array" ref="N75">IFERROR(_xlfn.XLOOKUP($A75&amp;"|"&amp;$C75,Asset_Operations!$A$2:$A$201&amp;"|"&amp;Asset_Operations!$BG$2:$BG$201,Asset_Operations!$AR$2:$AR$201,""),"")</f>
        <v/>
      </c>
      <c r="O75" s="22">
        <f t="array" ref="O75">IFERROR(_xlfn.XLOOKUP($A75&amp;"|"&amp;$C75,Financials!$A$2:$A$201&amp;"|"&amp;Financials!$B$2:$B$201,Financials!$C$2:$C$201,""),"")</f>
        <v>16003</v>
      </c>
      <c r="P75" s="22">
        <f t="array" ref="P75">IFERROR(_xlfn.XLOOKUP($A75&amp;"|"&amp;$C75,Financials!$A$2:$A$201&amp;"|"&amp;Financials!$B$2:$B$201,Financials!$E$2:$E$201,""),"")</f>
        <v>3535</v>
      </c>
      <c r="Q75" s="22">
        <f t="array" ref="Q75">IFERROR(_xlfn.XLOOKUP($A75&amp;"|"&amp;$C75,Financials!$A$2:$A$201&amp;"|"&amp;Financials!$B$2:$B$201,Financials!$G$2:$G$201,""),"")</f>
        <v>927</v>
      </c>
      <c r="R75" s="22">
        <f t="array" ref="R75">IFERROR(_xlfn.XLOOKUP($A75&amp;"|"&amp;$C75,Financials!$A$2:$A$201&amp;"|"&amp;Financials!$B$2:$B$201,Financials!$S$2:$S$201,""),"")</f>
        <v>3532</v>
      </c>
      <c r="S75" s="22">
        <f t="array" ref="S75">IFERROR(_xlfn.XLOOKUP($A75&amp;"|"&amp;$C75,Financials!$A$2:$A$201&amp;"|"&amp;Financials!$B$2:$B$201,Financials!$AC$2:$AC$201,""),"")</f>
        <v>5828.3760000000002</v>
      </c>
      <c r="T75" s="23">
        <f t="shared" si="10"/>
        <v>0.22089608198462787</v>
      </c>
      <c r="U75" s="24">
        <f t="shared" si="11"/>
        <v>0.99915134370579917</v>
      </c>
      <c r="V75" s="25">
        <f t="shared" si="12"/>
        <v>5.4537895027417196E-2</v>
      </c>
      <c r="W75" s="24">
        <f t="shared" si="13"/>
        <v>3.2104330003491572</v>
      </c>
      <c r="X75" s="26">
        <f>IFERROR(IF(NOT(ISNUMBER($E75)),"",IF($E75&gt;=Scoring_Criteria!$D$4,5,IF($E75&gt;=Scoring_Criteria!$E$4,4,IF($E75&gt;=Scoring_Criteria!$F$4,3,IF($E75&gt;=Scoring_Criteria!$G$4,2,1))))),"")</f>
        <v>5</v>
      </c>
      <c r="Y75" s="26">
        <f>IFERROR(IF(OR(NOT(ISNUMBER($F75)),NOT(ISNUMBER($E75)),$E75=0),"",IF(($F75/$E75)&gt;=Scoring_Criteria!$D$5,5,IF(($F75/$E75)&gt;=Scoring_Criteria!$E$5,4,IF(($F75/$E75)&gt;=Scoring_Criteria!$F$5,3,IF(($F75/$E75)&gt;=Scoring_Criteria!$G$5,2,1))))),"")</f>
        <v>5</v>
      </c>
      <c r="Z75" s="26">
        <f>IFERROR(IF(AND(NOT(ISNUMBER($I75)),NOT(ISNUMBER($J75))),"",IF((IFERROR($I75,0)+IFERROR($J75,0))&gt;=Scoring_Criteria!$D$6,5,IF((IFERROR($I75,0)+IFERROR($J75,0))&gt;=Scoring_Criteria!$E$6,4,IF((IFERROR($I75,0)+IFERROR($J75,0))&gt;=Scoring_Criteria!$F$6,3,IF((IFERROR($I75,0)+IFERROR($J75,0))&gt;=Scoring_Criteria!$G$6,2,1))))),"")</f>
        <v>5</v>
      </c>
      <c r="AA75" s="26">
        <f>IFERROR(IF(NOT(ISNUMBER($M75)),"",IF($M75&gt;=Scoring_Criteria!$D$7,5,IF($M75&gt;=Scoring_Criteria!$E$7,4,IF($M75&gt;=Scoring_Criteria!$F$7,3,IF($M75&gt;=Scoring_Criteria!$G$7,2,1))))),"")</f>
        <v>2</v>
      </c>
      <c r="AB75" s="26">
        <f>IFERROR(IF(NOT(ISNUMBER($T75)),"",IF($T75&gt;=Scoring_Criteria!$D$8,5,IF($T75&gt;=Scoring_Criteria!$E$8,4,IF($T75&gt;=Scoring_Criteria!$F$8,3,IF($T75&gt;=Scoring_Criteria!$G$8,2,1))))),"")</f>
        <v>4</v>
      </c>
      <c r="AC75" s="26">
        <f>IFERROR(IF(NOT(ISNUMBER($U75)),"",IF($U75&lt;=Scoring_Criteria!$D$9,5,IF($U75&lt;=Scoring_Criteria!$E$9,4,IF($U75&lt;=Scoring_Criteria!$F$9,3,IF($U75&lt;=Scoring_Criteria!$G$9,2,1))))),"")</f>
        <v>5</v>
      </c>
      <c r="AD75" s="26">
        <f t="array" ref="AD75">IFERROR(IF(NOT(ISNUMBER(_xlfn.XLOOKUP($A75&amp;"|"&amp;$C75,Financials!$A$2:$A$201&amp;"|"&amp;Financials!$B$2:$B$201,Financials!$AD$2:$AD$201,""))),"",IF(_xlfn.XLOOKUP($A75&amp;"|"&amp;$C75,Financials!$A$2:$A$201&amp;"|"&amp;Financials!$B$2:$B$201,Financials!$AD$2:$AD$201,"")&gt;=Scoring_Criteria!$D$10,5,IF(_xlfn.XLOOKUP($A75&amp;"|"&amp;$C75,Financials!$A$2:$A$201&amp;"|"&amp;Financials!$B$2:$B$201,Financials!$AD$2:$AD$201,"")&gt;=Scoring_Criteria!$E$10,4,IF(_xlfn.XLOOKUP($A75&amp;"|"&amp;$C75,Financials!$A$2:$A$201&amp;"|"&amp;Financials!$B$2:$B$201,Financials!$AD$2:$AD$201,"")&gt;=Scoring_Criteria!$F$10,3,IF(_xlfn.XLOOKUP($A75&amp;"|"&amp;$C75,Financials!$A$2:$A$201&amp;"|"&amp;Financials!$B$2:$B$201,Financials!$AD$2:$AD$201,"")&gt;=Scoring_Criteria!$G$10,2,1))))),"")</f>
        <v>2</v>
      </c>
      <c r="AE75" s="27"/>
      <c r="AF75" s="27"/>
      <c r="AG75" s="28">
        <f t="shared" si="14"/>
        <v>4</v>
      </c>
      <c r="AH75" s="29"/>
      <c r="AI75" s="29"/>
      <c r="AJ75" s="29"/>
      <c r="AK75" s="29"/>
      <c r="AL75" s="29"/>
      <c r="AM75" s="29"/>
      <c r="AN75" s="29"/>
      <c r="AO75" s="29"/>
      <c r="AP75" s="29"/>
      <c r="AQ75" s="29"/>
      <c r="AR75" s="29"/>
      <c r="AS75" s="29"/>
      <c r="AT75" s="29"/>
      <c r="AU75" t="str">
        <f>IFERROR(Validation_Summary!Q5,"")</f>
        <v>✓ All 8 checks passed</v>
      </c>
    </row>
    <row r="76" spans="1:47" ht="15" customHeight="1" x14ac:dyDescent="0.3">
      <c r="A76" s="6" t="s">
        <v>7065</v>
      </c>
      <c r="B76" s="19" t="str">
        <f t="array" ref="B76">IFERROR(_xlfn.XLOOKUP($A76&amp;"|"&amp;$C76,'Company_Master'!$A$2:$A$94&amp;"|"&amp;'Company_Master'!$D$2:$D$94,'Company_Master'!$B$2:$B$94,""),"")</f>
        <v>SIMP</v>
      </c>
      <c r="C76" s="20">
        <v>2024</v>
      </c>
      <c r="D76" s="19" t="str">
        <f t="array" ref="D76">IFERROR(_xlfn.XLOOKUP($A76&amp;"|"&amp;$C76,'Company_Master'!$A$2:$A$94&amp;"|"&amp;'Company_Master'!$D$2:$D$94,'Company_Master'!$H$2:$H$94,""),"")</f>
        <v>Sumatra (Riau, N/S Sumatra)/Kalimantan (W/C/E)/Sulawesi/Java - diversified</v>
      </c>
      <c r="E76" s="20">
        <f t="array" ref="E76">IFERROR(_xlfn.XLOOKUP($A76&amp;"|"&amp;$C76,Asset_Operations!$A$2:$A$201&amp;"|"&amp;Asset_Operations!$BG$2:$BG$201,Asset_Operations!$B$2:$B$201,""),"")</f>
        <v>288649</v>
      </c>
      <c r="F76" s="20">
        <f t="array" ref="F76">IFERROR(_xlfn.XLOOKUP($A76&amp;"|"&amp;$C76,Asset_Operations!$A$2:$A$201&amp;"|"&amp;Asset_Operations!$BG$2:$BG$201,Asset_Operations!$E$2:$E$201,""),"")</f>
        <v>220318</v>
      </c>
      <c r="G76" s="20">
        <f t="array" ref="G76">IFERROR(_xlfn.XLOOKUP($A76&amp;"|"&amp;$C76,Asset_Operations!$A$2:$A$201&amp;"|"&amp;Asset_Operations!$BG$2:$BG$201,Asset_Operations!$I$2:$I$201,""),"")</f>
        <v>0</v>
      </c>
      <c r="H76" s="20">
        <f t="array" ref="H76">IFERROR(_xlfn.XLOOKUP($A76&amp;"|"&amp;$C76,Asset_Operations!$A$2:$A$201&amp;"|"&amp;Asset_Operations!$BG$2:$BG$201,Asset_Operations!$J$2:$J$201,""),"")</f>
        <v>0</v>
      </c>
      <c r="I76" s="20">
        <f t="array" ref="I76">IFERROR(_xlfn.XLOOKUP($A76&amp;"|"&amp;$C76,Asset_Operations!$A$2:$A$201&amp;"|"&amp;Asset_Operations!$BG$2:$BG$201,Asset_Operations!$O$2:$O$201,""),"")</f>
        <v>27</v>
      </c>
      <c r="J76" s="20">
        <f t="array" ref="J76">IFERROR(_xlfn.XLOOKUP($A76&amp;"|"&amp;$C76,Asset_Operations!$A$2:$A$201&amp;"|"&amp;Asset_Operations!$BG$2:$BG$201,Asset_Operations!$S$2:$S$201,""),"")</f>
        <v>5</v>
      </c>
      <c r="K76" s="20">
        <f t="array" ref="K76">IFERROR(_xlfn.XLOOKUP($A76&amp;"|"&amp;$C76,Asset_Operations!$A$2:$A$201&amp;"|"&amp;Asset_Operations!$BG$2:$BG$201,Asset_Operations!$AC$2:$AC$201,""),"")</f>
        <v>2758000</v>
      </c>
      <c r="L76" s="20">
        <f t="array" ref="L76">IFERROR(_xlfn.XLOOKUP($A76&amp;"|"&amp;$C76,Asset_Operations!$A$2:$A$201&amp;"|"&amp;Asset_Operations!$BG$2:$BG$201,Asset_Operations!$AG$2:$AG$201,""),"")</f>
        <v>706000</v>
      </c>
      <c r="M76" s="20">
        <f t="array" ref="M76">IFERROR(_xlfn.XLOOKUP($A76&amp;"|"&amp;$C76,Asset_Operations!$A$2:$A$201&amp;"|"&amp;Asset_Operations!$BG$2:$BG$201,Asset_Operations!$AO$2:$AO$201,""),"")</f>
        <v>12.518269047467751</v>
      </c>
      <c r="N76" s="21" t="str">
        <f t="array" ref="N76">IFERROR(_xlfn.XLOOKUP($A76&amp;"|"&amp;$C76,Asset_Operations!$A$2:$A$201&amp;"|"&amp;Asset_Operations!$BG$2:$BG$201,Asset_Operations!$AR$2:$AR$201,""),"")</f>
        <v/>
      </c>
      <c r="O76" s="22">
        <f t="array" ref="O76">IFERROR(_xlfn.XLOOKUP($A76&amp;"|"&amp;$C76,Financials!$A$2:$A$201&amp;"|"&amp;Financials!$B$2:$B$201,Financials!$C$2:$C$201,""),"")</f>
        <v>15968</v>
      </c>
      <c r="P76" s="22">
        <f t="array" ref="P76">IFERROR(_xlfn.XLOOKUP($A76&amp;"|"&amp;$C76,Financials!$A$2:$A$201&amp;"|"&amp;Financials!$B$2:$B$201,Financials!$E$2:$E$201,""),"")</f>
        <v>4731</v>
      </c>
      <c r="Q76" s="22">
        <f t="array" ref="Q76">IFERROR(_xlfn.XLOOKUP($A76&amp;"|"&amp;$C76,Financials!$A$2:$A$201&amp;"|"&amp;Financials!$B$2:$B$201,Financials!$G$2:$G$201,""),"")</f>
        <v>2184</v>
      </c>
      <c r="R76" s="22">
        <f t="array" ref="R76">IFERROR(_xlfn.XLOOKUP($A76&amp;"|"&amp;$C76,Financials!$A$2:$A$201&amp;"|"&amp;Financials!$B$2:$B$201,Financials!$S$2:$S$201,""),"")</f>
        <v>2648</v>
      </c>
      <c r="S76" s="22">
        <f t="array" ref="S76">IFERROR(_xlfn.XLOOKUP($A76&amp;"|"&amp;$C76,Financials!$A$2:$A$201&amp;"|"&amp;Financials!$B$2:$B$201,Financials!$AC$2:$AC$201,""),"")</f>
        <v>5859.3779999999997</v>
      </c>
      <c r="T76" s="23">
        <f t="shared" si="10"/>
        <v>0.2962800601202405</v>
      </c>
      <c r="U76" s="24">
        <f t="shared" si="11"/>
        <v>0.55971253434791801</v>
      </c>
      <c r="V76" s="25">
        <f t="shared" si="12"/>
        <v>5.5319782850451589E-2</v>
      </c>
      <c r="W76" s="24">
        <f t="shared" si="13"/>
        <v>3.2044590092502654</v>
      </c>
      <c r="X76" s="26">
        <f>IFERROR(IF(NOT(ISNUMBER($E76)),"",IF($E76&gt;=Scoring_Criteria!$D$4,5,IF($E76&gt;=Scoring_Criteria!$E$4,4,IF($E76&gt;=Scoring_Criteria!$F$4,3,IF($E76&gt;=Scoring_Criteria!$G$4,2,1))))),"")</f>
        <v>5</v>
      </c>
      <c r="Y76" s="26">
        <f>IFERROR(IF(OR(NOT(ISNUMBER($F76)),NOT(ISNUMBER($E76)),$E76=0),"",IF(($F76/$E76)&gt;=Scoring_Criteria!$D$5,5,IF(($F76/$E76)&gt;=Scoring_Criteria!$E$5,4,IF(($F76/$E76)&gt;=Scoring_Criteria!$F$5,3,IF(($F76/$E76)&gt;=Scoring_Criteria!$G$5,2,1))))),"")</f>
        <v>5</v>
      </c>
      <c r="Z76" s="26">
        <f>IFERROR(IF(AND(NOT(ISNUMBER($I76)),NOT(ISNUMBER($J76))),"",IF((IFERROR($I76,0)+IFERROR($J76,0))&gt;=Scoring_Criteria!$D$6,5,IF((IFERROR($I76,0)+IFERROR($J76,0))&gt;=Scoring_Criteria!$E$6,4,IF((IFERROR($I76,0)+IFERROR($J76,0))&gt;=Scoring_Criteria!$F$6,3,IF((IFERROR($I76,0)+IFERROR($J76,0))&gt;=Scoring_Criteria!$G$6,2,1))))),"")</f>
        <v>5</v>
      </c>
      <c r="AA76" s="26">
        <f>IFERROR(IF(NOT(ISNUMBER($M76)),"",IF($M76&gt;=Scoring_Criteria!$D$7,5,IF($M76&gt;=Scoring_Criteria!$E$7,4,IF($M76&gt;=Scoring_Criteria!$F$7,3,IF($M76&gt;=Scoring_Criteria!$G$7,2,1))))),"")</f>
        <v>2</v>
      </c>
      <c r="AB76" s="26">
        <f>IFERROR(IF(NOT(ISNUMBER($T76)),"",IF($T76&gt;=Scoring_Criteria!$D$8,5,IF($T76&gt;=Scoring_Criteria!$E$8,4,IF($T76&gt;=Scoring_Criteria!$F$8,3,IF($T76&gt;=Scoring_Criteria!$G$8,2,1))))),"")</f>
        <v>4</v>
      </c>
      <c r="AC76" s="26">
        <f>IFERROR(IF(NOT(ISNUMBER($U76)),"",IF($U76&lt;=Scoring_Criteria!$D$9,5,IF($U76&lt;=Scoring_Criteria!$E$9,4,IF($U76&lt;=Scoring_Criteria!$F$9,3,IF($U76&lt;=Scoring_Criteria!$G$9,2,1))))),"")</f>
        <v>5</v>
      </c>
      <c r="AD76" s="26">
        <f t="array" ref="AD76">IFERROR(IF(NOT(ISNUMBER(_xlfn.XLOOKUP($A76&amp;"|"&amp;$C76,Financials!$A$2:$A$201&amp;"|"&amp;Financials!$B$2:$B$201,Financials!$AD$2:$AD$201,""))),"",IF(_xlfn.XLOOKUP($A76&amp;"|"&amp;$C76,Financials!$A$2:$A$201&amp;"|"&amp;Financials!$B$2:$B$201,Financials!$AD$2:$AD$201,"")&gt;=Scoring_Criteria!$D$10,5,IF(_xlfn.XLOOKUP($A76&amp;"|"&amp;$C76,Financials!$A$2:$A$201&amp;"|"&amp;Financials!$B$2:$B$201,Financials!$AD$2:$AD$201,"")&gt;=Scoring_Criteria!$E$10,4,IF(_xlfn.XLOOKUP($A76&amp;"|"&amp;$C76,Financials!$A$2:$A$201&amp;"|"&amp;Financials!$B$2:$B$201,Financials!$AD$2:$AD$201,"")&gt;=Scoring_Criteria!$F$10,3,IF(_xlfn.XLOOKUP($A76&amp;"|"&amp;$C76,Financials!$A$2:$A$201&amp;"|"&amp;Financials!$B$2:$B$201,Financials!$AD$2:$AD$201,"")&gt;=Scoring_Criteria!$G$10,2,1))))),"")</f>
        <v>4</v>
      </c>
      <c r="AE76" s="27"/>
      <c r="AF76" s="27"/>
      <c r="AG76" s="28">
        <f t="shared" si="14"/>
        <v>4.2857142857142856</v>
      </c>
      <c r="AH76" s="29"/>
      <c r="AI76" s="29"/>
      <c r="AJ76" s="29"/>
      <c r="AK76" s="29"/>
      <c r="AL76" s="29"/>
      <c r="AM76" s="29"/>
      <c r="AN76" s="29"/>
      <c r="AO76" s="29"/>
      <c r="AP76" s="29"/>
      <c r="AQ76" s="29"/>
      <c r="AR76" s="29"/>
      <c r="AS76" s="29"/>
      <c r="AT76" s="29"/>
      <c r="AU76" t="str">
        <f>IFERROR(Validation_Summary!Q5,"")</f>
        <v>✓ All 8 checks passed</v>
      </c>
    </row>
    <row r="77" spans="1:47" ht="15" customHeight="1" x14ac:dyDescent="0.3">
      <c r="A77" s="6" t="s">
        <v>7418</v>
      </c>
      <c r="B77" s="19" t="str">
        <f t="array" ref="B77">IFERROR(_xlfn.XLOOKUP($A77&amp;"|"&amp;$C77,'Company_Master'!$A$2:$A$94&amp;"|"&amp;'Company_Master'!$D$2:$D$94,'Company_Master'!$B$2:$B$94,""),"")</f>
        <v>SMAR</v>
      </c>
      <c r="C77" s="20">
        <v>2022</v>
      </c>
      <c r="D77" s="19" t="str">
        <f t="array" ref="D77">IFERROR(_xlfn.XLOOKUP($A77&amp;"|"&amp;$C77,'Company_Master'!$A$2:$A$94&amp;"|"&amp;'Company_Master'!$D$2:$D$94,'Company_Master'!$H$2:$H$94,""),"")</f>
        <v>Sumatra (47%)/Kalimantan (53%) plantations; Surabaya/Jakarta/Medan/Tarjun refineries</v>
      </c>
      <c r="E77" s="20">
        <f t="array" ref="E77">IFERROR(_xlfn.XLOOKUP($A77&amp;"|"&amp;$C77,Asset_Operations!$A$2:$A$201&amp;"|"&amp;Asset_Operations!$BG$2:$BG$201,Asset_Operations!$B$2:$B$201,""),"")</f>
        <v>136402</v>
      </c>
      <c r="F77" s="20">
        <f t="array" ref="F77">IFERROR(_xlfn.XLOOKUP($A77&amp;"|"&amp;$C77,Asset_Operations!$A$2:$A$201&amp;"|"&amp;Asset_Operations!$BG$2:$BG$201,Asset_Operations!$E$2:$E$201,""),"")</f>
        <v>129615</v>
      </c>
      <c r="G77" s="20">
        <f t="array" ref="G77">IFERROR(_xlfn.XLOOKUP($A77&amp;"|"&amp;$C77,Asset_Operations!$A$2:$A$201&amp;"|"&amp;Asset_Operations!$BG$2:$BG$201,Asset_Operations!$I$2:$I$201,""),"")</f>
        <v>0</v>
      </c>
      <c r="H77" s="20">
        <f t="array" ref="H77">IFERROR(_xlfn.XLOOKUP($A77&amp;"|"&amp;$C77,Asset_Operations!$A$2:$A$201&amp;"|"&amp;Asset_Operations!$BG$2:$BG$201,Asset_Operations!$J$2:$J$201,""),"")</f>
        <v>2800</v>
      </c>
      <c r="I77" s="20">
        <f t="array" ref="I77">IFERROR(_xlfn.XLOOKUP($A77&amp;"|"&amp;$C77,Asset_Operations!$A$2:$A$201&amp;"|"&amp;Asset_Operations!$BG$2:$BG$201,Asset_Operations!$O$2:$O$201,""),"")</f>
        <v>16</v>
      </c>
      <c r="J77" s="20">
        <f t="array" ref="J77">IFERROR(_xlfn.XLOOKUP($A77&amp;"|"&amp;$C77,Asset_Operations!$A$2:$A$201&amp;"|"&amp;Asset_Operations!$BG$2:$BG$201,Asset_Operations!$S$2:$S$201,""),"")</f>
        <v>4</v>
      </c>
      <c r="K77" s="20">
        <f t="array" ref="K77">IFERROR(_xlfn.XLOOKUP($A77&amp;"|"&amp;$C77,Asset_Operations!$A$2:$A$201&amp;"|"&amp;Asset_Operations!$BG$2:$BG$201,Asset_Operations!$AC$2:$AC$201,""),"")</f>
        <v>1950842</v>
      </c>
      <c r="L77" s="20">
        <f t="array" ref="L77">IFERROR(_xlfn.XLOOKUP($A77&amp;"|"&amp;$C77,Asset_Operations!$A$2:$A$201&amp;"|"&amp;Asset_Operations!$BG$2:$BG$201,Asset_Operations!$AG$2:$AG$201,""),"")</f>
        <v>572000</v>
      </c>
      <c r="M77" s="20">
        <f t="array" ref="M77">IFERROR(_xlfn.XLOOKUP($A77&amp;"|"&amp;$C77,Asset_Operations!$A$2:$A$201&amp;"|"&amp;Asset_Operations!$BG$2:$BG$201,Asset_Operations!$AO$2:$AO$201,""),"")</f>
        <v>15.051051190062879</v>
      </c>
      <c r="N77" s="21">
        <f t="array" ref="N77">IFERROR(_xlfn.XLOOKUP($A77&amp;"|"&amp;$C77,Asset_Operations!$A$2:$A$201&amp;"|"&amp;Asset_Operations!$BG$2:$BG$201,Asset_Operations!$AR$2:$AR$201,""),"")</f>
        <v>0.13149425287356323</v>
      </c>
      <c r="O77" s="22">
        <f t="array" ref="O77">IFERROR(_xlfn.XLOOKUP($A77&amp;"|"&amp;$C77,Financials!$A$2:$A$201&amp;"|"&amp;Financials!$B$2:$B$201,Financials!$C$2:$C$201,""),"")</f>
        <v>75046</v>
      </c>
      <c r="P77" s="22">
        <f t="array" ref="P77">IFERROR(_xlfn.XLOOKUP($A77&amp;"|"&amp;$C77,Financials!$A$2:$A$201&amp;"|"&amp;Financials!$B$2:$B$201,Financials!$E$2:$E$201,""),"")</f>
        <v>9531</v>
      </c>
      <c r="Q77" s="22">
        <f t="array" ref="Q77">IFERROR(_xlfn.XLOOKUP($A77&amp;"|"&amp;$C77,Financials!$A$2:$A$201&amp;"|"&amp;Financials!$B$2:$B$201,Financials!$G$2:$G$201,""),"")</f>
        <v>5505</v>
      </c>
      <c r="R77" s="22">
        <f t="array" ref="R77">IFERROR(_xlfn.XLOOKUP($A77&amp;"|"&amp;$C77,Financials!$A$2:$A$201&amp;"|"&amp;Financials!$B$2:$B$201,Financials!$S$2:$S$201,""),"")</f>
        <v>15688</v>
      </c>
      <c r="S77" s="22">
        <f t="array" ref="S77">IFERROR(_xlfn.XLOOKUP($A77&amp;"|"&amp;$C77,Financials!$A$2:$A$201&amp;"|"&amp;Financials!$B$2:$B$201,Financials!$AC$2:$AC$201,""),"")</f>
        <v>14216.4</v>
      </c>
      <c r="T77" s="23">
        <f t="shared" si="10"/>
        <v>0.12700210537536977</v>
      </c>
      <c r="U77" s="24">
        <f t="shared" si="11"/>
        <v>1.645997272059595</v>
      </c>
      <c r="V77" s="25">
        <f t="shared" si="12"/>
        <v>0.55018254864298177</v>
      </c>
      <c r="W77" s="24">
        <f t="shared" si="13"/>
        <v>4.4130694749836055</v>
      </c>
      <c r="X77" s="26">
        <f>IFERROR(IF(NOT(ISNUMBER($E77)),"",IF($E77&gt;=Scoring_Criteria!$D$4,5,IF($E77&gt;=Scoring_Criteria!$E$4,4,IF($E77&gt;=Scoring_Criteria!$F$4,3,IF($E77&gt;=Scoring_Criteria!$G$4,2,1))))),"")</f>
        <v>4</v>
      </c>
      <c r="Y77" s="26">
        <f>IFERROR(IF(OR(NOT(ISNUMBER($F77)),NOT(ISNUMBER($E77)),$E77=0),"",IF(($F77/$E77)&gt;=Scoring_Criteria!$D$5,5,IF(($F77/$E77)&gt;=Scoring_Criteria!$E$5,4,IF(($F77/$E77)&gt;=Scoring_Criteria!$F$5,3,IF(($F77/$E77)&gt;=Scoring_Criteria!$G$5,2,1))))),"")</f>
        <v>5</v>
      </c>
      <c r="Z77" s="26">
        <f>IFERROR(IF(AND(NOT(ISNUMBER($I77)),NOT(ISNUMBER($J77))),"",IF((IFERROR($I77,0)+IFERROR($J77,0))&gt;=Scoring_Criteria!$D$6,5,IF((IFERROR($I77,0)+IFERROR($J77,0))&gt;=Scoring_Criteria!$E$6,4,IF((IFERROR($I77,0)+IFERROR($J77,0))&gt;=Scoring_Criteria!$F$6,3,IF((IFERROR($I77,0)+IFERROR($J77,0))&gt;=Scoring_Criteria!$G$6,2,1))))),"")</f>
        <v>5</v>
      </c>
      <c r="AA77" s="26">
        <f>IFERROR(IF(NOT(ISNUMBER($M77)),"",IF($M77&gt;=Scoring_Criteria!$D$7,5,IF($M77&gt;=Scoring_Criteria!$E$7,4,IF($M77&gt;=Scoring_Criteria!$F$7,3,IF($M77&gt;=Scoring_Criteria!$G$7,2,1))))),"")</f>
        <v>3</v>
      </c>
      <c r="AB77" s="26">
        <f>IFERROR(IF(NOT(ISNUMBER($T77)),"",IF($T77&gt;=Scoring_Criteria!$D$8,5,IF($T77&gt;=Scoring_Criteria!$E$8,4,IF($T77&gt;=Scoring_Criteria!$F$8,3,IF($T77&gt;=Scoring_Criteria!$G$8,2,1))))),"")</f>
        <v>3</v>
      </c>
      <c r="AC77" s="26">
        <f>IFERROR(IF(NOT(ISNUMBER($U77)),"",IF($U77&lt;=Scoring_Criteria!$D$9,5,IF($U77&lt;=Scoring_Criteria!$E$9,4,IF($U77&lt;=Scoring_Criteria!$F$9,3,IF($U77&lt;=Scoring_Criteria!$G$9,2,1))))),"")</f>
        <v>4</v>
      </c>
      <c r="AD77" s="26">
        <f t="array" ref="AD77">IFERROR(IF(NOT(ISNUMBER(_xlfn.XLOOKUP($A77&amp;"|"&amp;$C77,Financials!$A$2:$A$201&amp;"|"&amp;Financials!$B$2:$B$201,Financials!$AD$2:$AD$201,""))),"",IF(_xlfn.XLOOKUP($A77&amp;"|"&amp;$C77,Financials!$A$2:$A$201&amp;"|"&amp;Financials!$B$2:$B$201,Financials!$AD$2:$AD$201,"")&gt;=Scoring_Criteria!$D$10,5,IF(_xlfn.XLOOKUP($A77&amp;"|"&amp;$C77,Financials!$A$2:$A$201&amp;"|"&amp;Financials!$B$2:$B$201,Financials!$AD$2:$AD$201,"")&gt;=Scoring_Criteria!$E$10,4,IF(_xlfn.XLOOKUP($A77&amp;"|"&amp;$C77,Financials!$A$2:$A$201&amp;"|"&amp;Financials!$B$2:$B$201,Financials!$AD$2:$AD$201,"")&gt;=Scoring_Criteria!$F$10,3,IF(_xlfn.XLOOKUP($A77&amp;"|"&amp;$C77,Financials!$A$2:$A$201&amp;"|"&amp;Financials!$B$2:$B$201,Financials!$AD$2:$AD$201,"")&gt;=Scoring_Criteria!$G$10,2,1))))),"")</f>
        <v>4</v>
      </c>
      <c r="AE77" s="27"/>
      <c r="AF77" s="27"/>
      <c r="AG77" s="28">
        <f t="shared" si="14"/>
        <v>4</v>
      </c>
      <c r="AH77" s="29"/>
      <c r="AI77" s="29"/>
      <c r="AJ77" s="29"/>
      <c r="AK77" s="29"/>
      <c r="AL77" s="29"/>
      <c r="AM77" s="29"/>
      <c r="AN77" s="29"/>
      <c r="AO77" s="29"/>
      <c r="AP77" s="29"/>
      <c r="AQ77" s="29"/>
      <c r="AR77" s="29"/>
      <c r="AS77" s="29"/>
      <c r="AT77" s="29"/>
      <c r="AU77" t="str">
        <f>IFERROR(Validation_Summary!Q5,"")</f>
        <v>✓ All 8 checks passed</v>
      </c>
    </row>
    <row r="78" spans="1:47" ht="15" customHeight="1" x14ac:dyDescent="0.3">
      <c r="A78" s="6" t="s">
        <v>7418</v>
      </c>
      <c r="B78" s="19" t="str">
        <f t="array" ref="B78">IFERROR(_xlfn.XLOOKUP($A78&amp;"|"&amp;$C78,'Company_Master'!$A$2:$A$94&amp;"|"&amp;'Company_Master'!$D$2:$D$94,'Company_Master'!$B$2:$B$94,""),"")</f>
        <v>SMAR</v>
      </c>
      <c r="C78" s="20">
        <v>2023</v>
      </c>
      <c r="D78" s="19" t="str">
        <f t="array" ref="D78">IFERROR(_xlfn.XLOOKUP($A78&amp;"|"&amp;$C78,'Company_Master'!$A$2:$A$94&amp;"|"&amp;'Company_Master'!$D$2:$D$94,'Company_Master'!$H$2:$H$94,""),"")</f>
        <v>Sumatra/Kalimantan (plantations); Surabaya/Jakarta/Medan/Tarjun (refineries/downstream)</v>
      </c>
      <c r="E78" s="20">
        <f t="array" ref="E78">IFERROR(_xlfn.XLOOKUP($A78&amp;"|"&amp;$C78,Asset_Operations!$A$2:$A$201&amp;"|"&amp;Asset_Operations!$BG$2:$BG$201,Asset_Operations!$B$2:$B$201,""),"")</f>
        <v>134177</v>
      </c>
      <c r="F78" s="20">
        <f t="array" ref="F78">IFERROR(_xlfn.XLOOKUP($A78&amp;"|"&amp;$C78,Asset_Operations!$A$2:$A$201&amp;"|"&amp;Asset_Operations!$BG$2:$BG$201,Asset_Operations!$E$2:$E$201,""),"")</f>
        <v>126343</v>
      </c>
      <c r="G78" s="20">
        <f t="array" ref="G78">IFERROR(_xlfn.XLOOKUP($A78&amp;"|"&amp;$C78,Asset_Operations!$A$2:$A$201&amp;"|"&amp;Asset_Operations!$BG$2:$BG$201,Asset_Operations!$I$2:$I$201,""),"")</f>
        <v>0</v>
      </c>
      <c r="H78" s="20">
        <f t="array" ref="H78">IFERROR(_xlfn.XLOOKUP($A78&amp;"|"&amp;$C78,Asset_Operations!$A$2:$A$201&amp;"|"&amp;Asset_Operations!$BG$2:$BG$201,Asset_Operations!$J$2:$J$201,""),"")</f>
        <v>3200</v>
      </c>
      <c r="I78" s="20">
        <f t="array" ref="I78">IFERROR(_xlfn.XLOOKUP($A78&amp;"|"&amp;$C78,Asset_Operations!$A$2:$A$201&amp;"|"&amp;Asset_Operations!$BG$2:$BG$201,Asset_Operations!$O$2:$O$201,""),"")</f>
        <v>16</v>
      </c>
      <c r="J78" s="20">
        <f t="array" ref="J78">IFERROR(_xlfn.XLOOKUP($A78&amp;"|"&amp;$C78,Asset_Operations!$A$2:$A$201&amp;"|"&amp;Asset_Operations!$BG$2:$BG$201,Asset_Operations!$S$2:$S$201,""),"")</f>
        <v>4</v>
      </c>
      <c r="K78" s="20">
        <f t="array" ref="K78">IFERROR(_xlfn.XLOOKUP($A78&amp;"|"&amp;$C78,Asset_Operations!$A$2:$A$201&amp;"|"&amp;Asset_Operations!$BG$2:$BG$201,Asset_Operations!$AC$2:$AC$201,""),"")</f>
        <v>1849591</v>
      </c>
      <c r="L78" s="20">
        <f t="array" ref="L78">IFERROR(_xlfn.XLOOKUP($A78&amp;"|"&amp;$C78,Asset_Operations!$A$2:$A$201&amp;"|"&amp;Asset_Operations!$BG$2:$BG$201,Asset_Operations!$AG$2:$AG$201,""),"")</f>
        <v>567000</v>
      </c>
      <c r="M78" s="20">
        <f t="array" ref="M78">IFERROR(_xlfn.XLOOKUP($A78&amp;"|"&amp;$C78,Asset_Operations!$A$2:$A$201&amp;"|"&amp;Asset_Operations!$BG$2:$BG$201,Asset_Operations!$AO$2:$AO$201,""),"")</f>
        <v>14.6394418369043</v>
      </c>
      <c r="N78" s="21">
        <f t="array" ref="N78">IFERROR(_xlfn.XLOOKUP($A78&amp;"|"&amp;$C78,Asset_Operations!$A$2:$A$201&amp;"|"&amp;Asset_Operations!$BG$2:$BG$201,Asset_Operations!$AR$2:$AR$201,""),"")</f>
        <v>0.13034482758620689</v>
      </c>
      <c r="O78" s="22">
        <f t="array" ref="O78">IFERROR(_xlfn.XLOOKUP($A78&amp;"|"&amp;$C78,Financials!$A$2:$A$201&amp;"|"&amp;Financials!$B$2:$B$201,Financials!$C$2:$C$201,""),"")</f>
        <v>66531</v>
      </c>
      <c r="P78" s="22">
        <f t="array" ref="P78">IFERROR(_xlfn.XLOOKUP($A78&amp;"|"&amp;$C78,Financials!$A$2:$A$201&amp;"|"&amp;Financials!$B$2:$B$201,Financials!$E$2:$E$201,""),"")</f>
        <v>3799</v>
      </c>
      <c r="Q78" s="22">
        <f t="array" ref="Q78">IFERROR(_xlfn.XLOOKUP($A78&amp;"|"&amp;$C78,Financials!$A$2:$A$201&amp;"|"&amp;Financials!$B$2:$B$201,Financials!$G$2:$G$201,""),"")</f>
        <v>918</v>
      </c>
      <c r="R78" s="22">
        <f t="array" ref="R78">IFERROR(_xlfn.XLOOKUP($A78&amp;"|"&amp;$C78,Financials!$A$2:$A$201&amp;"|"&amp;Financials!$B$2:$B$201,Financials!$S$2:$S$201,""),"")</f>
        <v>14365</v>
      </c>
      <c r="S78" s="22">
        <f t="array" ref="S78">IFERROR(_xlfn.XLOOKUP($A78&amp;"|"&amp;$C78,Financials!$A$2:$A$201&amp;"|"&amp;Financials!$B$2:$B$201,Financials!$AC$2:$AC$201,""),"")</f>
        <v>11488</v>
      </c>
      <c r="T78" s="23">
        <f t="shared" si="10"/>
        <v>5.7101200943920877E-2</v>
      </c>
      <c r="U78" s="24">
        <f t="shared" si="11"/>
        <v>3.7812582258489078</v>
      </c>
      <c r="V78" s="25">
        <f t="shared" si="12"/>
        <v>0.49584504050619704</v>
      </c>
      <c r="W78" s="24">
        <f t="shared" si="13"/>
        <v>4.487783256690121</v>
      </c>
      <c r="X78" s="26">
        <f>IFERROR(IF(NOT(ISNUMBER($E78)),"",IF($E78&gt;=Scoring_Criteria!$D$4,5,IF($E78&gt;=Scoring_Criteria!$E$4,4,IF($E78&gt;=Scoring_Criteria!$F$4,3,IF($E78&gt;=Scoring_Criteria!$G$4,2,1))))),"")</f>
        <v>4</v>
      </c>
      <c r="Y78" s="26">
        <f>IFERROR(IF(OR(NOT(ISNUMBER($F78)),NOT(ISNUMBER($E78)),$E78=0),"",IF(($F78/$E78)&gt;=Scoring_Criteria!$D$5,5,IF(($F78/$E78)&gt;=Scoring_Criteria!$E$5,4,IF(($F78/$E78)&gt;=Scoring_Criteria!$F$5,3,IF(($F78/$E78)&gt;=Scoring_Criteria!$G$5,2,1))))),"")</f>
        <v>5</v>
      </c>
      <c r="Z78" s="26">
        <f>IFERROR(IF(AND(NOT(ISNUMBER($I78)),NOT(ISNUMBER($J78))),"",IF((IFERROR($I78,0)+IFERROR($J78,0))&gt;=Scoring_Criteria!$D$6,5,IF((IFERROR($I78,0)+IFERROR($J78,0))&gt;=Scoring_Criteria!$E$6,4,IF((IFERROR($I78,0)+IFERROR($J78,0))&gt;=Scoring_Criteria!$F$6,3,IF((IFERROR($I78,0)+IFERROR($J78,0))&gt;=Scoring_Criteria!$G$6,2,1))))),"")</f>
        <v>5</v>
      </c>
      <c r="AA78" s="26">
        <f>IFERROR(IF(NOT(ISNUMBER($M78)),"",IF($M78&gt;=Scoring_Criteria!$D$7,5,IF($M78&gt;=Scoring_Criteria!$E$7,4,IF($M78&gt;=Scoring_Criteria!$F$7,3,IF($M78&gt;=Scoring_Criteria!$G$7,2,1))))),"")</f>
        <v>3</v>
      </c>
      <c r="AB78" s="26">
        <f>IFERROR(IF(NOT(ISNUMBER($T78)),"",IF($T78&gt;=Scoring_Criteria!$D$8,5,IF($T78&gt;=Scoring_Criteria!$E$8,4,IF($T78&gt;=Scoring_Criteria!$F$8,3,IF($T78&gt;=Scoring_Criteria!$G$8,2,1))))),"")</f>
        <v>2</v>
      </c>
      <c r="AC78" s="26">
        <f>IFERROR(IF(NOT(ISNUMBER($U78)),"",IF($U78&lt;=Scoring_Criteria!$D$9,5,IF($U78&lt;=Scoring_Criteria!$E$9,4,IF($U78&lt;=Scoring_Criteria!$F$9,3,IF($U78&lt;=Scoring_Criteria!$G$9,2,1))))),"")</f>
        <v>2</v>
      </c>
      <c r="AD78" s="26">
        <f t="array" ref="AD78">IFERROR(IF(NOT(ISNUMBER(_xlfn.XLOOKUP($A78&amp;"|"&amp;$C78,Financials!$A$2:$A$201&amp;"|"&amp;Financials!$B$2:$B$201,Financials!$AD$2:$AD$201,""))),"",IF(_xlfn.XLOOKUP($A78&amp;"|"&amp;$C78,Financials!$A$2:$A$201&amp;"|"&amp;Financials!$B$2:$B$201,Financials!$AD$2:$AD$201,"")&gt;=Scoring_Criteria!$D$10,5,IF(_xlfn.XLOOKUP($A78&amp;"|"&amp;$C78,Financials!$A$2:$A$201&amp;"|"&amp;Financials!$B$2:$B$201,Financials!$AD$2:$AD$201,"")&gt;=Scoring_Criteria!$E$10,4,IF(_xlfn.XLOOKUP($A78&amp;"|"&amp;$C78,Financials!$A$2:$A$201&amp;"|"&amp;Financials!$B$2:$B$201,Financials!$AD$2:$AD$201,"")&gt;=Scoring_Criteria!$F$10,3,IF(_xlfn.XLOOKUP($A78&amp;"|"&amp;$C78,Financials!$A$2:$A$201&amp;"|"&amp;Financials!$B$2:$B$201,Financials!$AD$2:$AD$201,"")&gt;=Scoring_Criteria!$G$10,2,1))))),"")</f>
        <v>4</v>
      </c>
      <c r="AE78" s="27"/>
      <c r="AF78" s="27"/>
      <c r="AG78" s="28">
        <f t="shared" si="14"/>
        <v>3.5714285714285716</v>
      </c>
      <c r="AH78" s="29"/>
      <c r="AI78" s="29"/>
      <c r="AJ78" s="29"/>
      <c r="AK78" s="29"/>
      <c r="AL78" s="29"/>
      <c r="AM78" s="29"/>
      <c r="AN78" s="29"/>
      <c r="AO78" s="29"/>
      <c r="AP78" s="29"/>
      <c r="AQ78" s="29"/>
      <c r="AR78" s="29"/>
      <c r="AS78" s="29"/>
      <c r="AT78" s="29"/>
      <c r="AU78" t="str">
        <f>IFERROR(Validation_Summary!Q5,"")</f>
        <v>✓ All 8 checks passed</v>
      </c>
    </row>
    <row r="79" spans="1:47" ht="15" customHeight="1" x14ac:dyDescent="0.3">
      <c r="A79" s="6" t="s">
        <v>7418</v>
      </c>
      <c r="B79" s="19" t="str">
        <f t="array" ref="B79">IFERROR(_xlfn.XLOOKUP($A79&amp;"|"&amp;$C79,'Company_Master'!$A$2:$A$94&amp;"|"&amp;'Company_Master'!$D$2:$D$94,'Company_Master'!$B$2:$B$94,""),"")</f>
        <v>SMAR</v>
      </c>
      <c r="C79" s="20">
        <v>2024</v>
      </c>
      <c r="D79" s="19" t="str">
        <f t="array" ref="D79">IFERROR(_xlfn.XLOOKUP($A79&amp;"|"&amp;$C79,'Company_Master'!$A$2:$A$94&amp;"|"&amp;'Company_Master'!$D$2:$D$94,'Company_Master'!$H$2:$H$94,""),"")</f>
        <v>Sumatra/Kalimantan (plantations); Surabaya/Jakarta/Medan/Marunda (refineries/downstream)</v>
      </c>
      <c r="E79" s="20">
        <f t="array" ref="E79">IFERROR(_xlfn.XLOOKUP($A79&amp;"|"&amp;$C79,Asset_Operations!$A$2:$A$201&amp;"|"&amp;Asset_Operations!$BG$2:$BG$201,Asset_Operations!$B$2:$B$201,""),"")</f>
        <v>136587</v>
      </c>
      <c r="F79" s="20">
        <f t="array" ref="F79">IFERROR(_xlfn.XLOOKUP($A79&amp;"|"&amp;$C79,Asset_Operations!$A$2:$A$201&amp;"|"&amp;Asset_Operations!$BG$2:$BG$201,Asset_Operations!$E$2:$E$201,""),"")</f>
        <v>123260</v>
      </c>
      <c r="G79" s="20">
        <f t="array" ref="G79">IFERROR(_xlfn.XLOOKUP($A79&amp;"|"&amp;$C79,Asset_Operations!$A$2:$A$201&amp;"|"&amp;Asset_Operations!$BG$2:$BG$201,Asset_Operations!$I$2:$I$201,""),"")</f>
        <v>0</v>
      </c>
      <c r="H79" s="20">
        <f t="array" ref="H79">IFERROR(_xlfn.XLOOKUP($A79&amp;"|"&amp;$C79,Asset_Operations!$A$2:$A$201&amp;"|"&amp;Asset_Operations!$BG$2:$BG$201,Asset_Operations!$J$2:$J$201,""),"")</f>
        <v>7900</v>
      </c>
      <c r="I79" s="20">
        <f t="array" ref="I79">IFERROR(_xlfn.XLOOKUP($A79&amp;"|"&amp;$C79,Asset_Operations!$A$2:$A$201&amp;"|"&amp;Asset_Operations!$BG$2:$BG$201,Asset_Operations!$O$2:$O$201,""),"")</f>
        <v>16</v>
      </c>
      <c r="J79" s="20">
        <f t="array" ref="J79">IFERROR(_xlfn.XLOOKUP($A79&amp;"|"&amp;$C79,Asset_Operations!$A$2:$A$201&amp;"|"&amp;Asset_Operations!$BG$2:$BG$201,Asset_Operations!$S$2:$S$201,""),"")</f>
        <v>4</v>
      </c>
      <c r="K79" s="20">
        <f t="array" ref="K79">IFERROR(_xlfn.XLOOKUP($A79&amp;"|"&amp;$C79,Asset_Operations!$A$2:$A$201&amp;"|"&amp;Asset_Operations!$BG$2:$BG$201,Asset_Operations!$AC$2:$AC$201,""),"")</f>
        <v>1741349</v>
      </c>
      <c r="L79" s="20">
        <f t="array" ref="L79">IFERROR(_xlfn.XLOOKUP($A79&amp;"|"&amp;$C79,Asset_Operations!$A$2:$A$201&amp;"|"&amp;Asset_Operations!$BG$2:$BG$201,Asset_Operations!$AG$2:$AG$201,""),"")</f>
        <v>532000</v>
      </c>
      <c r="M79" s="20">
        <f t="array" ref="M79">IFERROR(_xlfn.XLOOKUP($A79&amp;"|"&amp;$C79,Asset_Operations!$A$2:$A$201&amp;"|"&amp;Asset_Operations!$BG$2:$BG$201,Asset_Operations!$AO$2:$AO$201,""),"")</f>
        <v>14.12744604900211</v>
      </c>
      <c r="N79" s="21">
        <f t="array" ref="N79">IFERROR(_xlfn.XLOOKUP($A79&amp;"|"&amp;$C79,Asset_Operations!$A$2:$A$201&amp;"|"&amp;Asset_Operations!$BG$2:$BG$201,Asset_Operations!$AR$2:$AR$201,""),"")</f>
        <v>0.12229885057471264</v>
      </c>
      <c r="O79" s="22">
        <f t="array" ref="O79">IFERROR(_xlfn.XLOOKUP($A79&amp;"|"&amp;$C79,Financials!$A$2:$A$201&amp;"|"&amp;Financials!$B$2:$B$201,Financials!$C$2:$C$201,""),"")</f>
        <v>78835</v>
      </c>
      <c r="P79" s="22">
        <f t="array" ref="P79">IFERROR(_xlfn.XLOOKUP($A79&amp;"|"&amp;$C79,Financials!$A$2:$A$201&amp;"|"&amp;Financials!$B$2:$B$201,Financials!$E$2:$E$201,""),"")</f>
        <v>4209</v>
      </c>
      <c r="Q79" s="22">
        <f t="array" ref="Q79">IFERROR(_xlfn.XLOOKUP($A79&amp;"|"&amp;$C79,Financials!$A$2:$A$201&amp;"|"&amp;Financials!$B$2:$B$201,Financials!$G$2:$G$201,""),"")</f>
        <v>1278</v>
      </c>
      <c r="R79" s="22">
        <f t="array" ref="R79">IFERROR(_xlfn.XLOOKUP($A79&amp;"|"&amp;$C79,Financials!$A$2:$A$201&amp;"|"&amp;Financials!$B$2:$B$201,Financials!$S$2:$S$201,""),"")</f>
        <v>17613</v>
      </c>
      <c r="S79" s="22">
        <f t="array" ref="S79">IFERROR(_xlfn.XLOOKUP($A79&amp;"|"&amp;$C79,Financials!$A$2:$A$201&amp;"|"&amp;Financials!$B$2:$B$201,Financials!$AC$2:$AC$201,""),"")</f>
        <v>10482.799999999999</v>
      </c>
      <c r="T79" s="23">
        <f t="shared" si="10"/>
        <v>5.3389991754931185E-2</v>
      </c>
      <c r="U79" s="24">
        <f t="shared" si="11"/>
        <v>4.184604419101924</v>
      </c>
      <c r="V79" s="25">
        <f t="shared" si="12"/>
        <v>0.57717791590707757</v>
      </c>
      <c r="W79" s="24">
        <f t="shared" si="13"/>
        <v>4.316079831251014</v>
      </c>
      <c r="X79" s="26">
        <f>IFERROR(IF(NOT(ISNUMBER($E79)),"",IF($E79&gt;=Scoring_Criteria!$D$4,5,IF($E79&gt;=Scoring_Criteria!$E$4,4,IF($E79&gt;=Scoring_Criteria!$F$4,3,IF($E79&gt;=Scoring_Criteria!$G$4,2,1))))),"")</f>
        <v>4</v>
      </c>
      <c r="Y79" s="26">
        <f>IFERROR(IF(OR(NOT(ISNUMBER($F79)),NOT(ISNUMBER($E79)),$E79=0),"",IF(($F79/$E79)&gt;=Scoring_Criteria!$D$5,5,IF(($F79/$E79)&gt;=Scoring_Criteria!$E$5,4,IF(($F79/$E79)&gt;=Scoring_Criteria!$F$5,3,IF(($F79/$E79)&gt;=Scoring_Criteria!$G$5,2,1))))),"")</f>
        <v>5</v>
      </c>
      <c r="Z79" s="26">
        <f>IFERROR(IF(AND(NOT(ISNUMBER($I79)),NOT(ISNUMBER($J79))),"",IF((IFERROR($I79,0)+IFERROR($J79,0))&gt;=Scoring_Criteria!$D$6,5,IF((IFERROR($I79,0)+IFERROR($J79,0))&gt;=Scoring_Criteria!$E$6,4,IF((IFERROR($I79,0)+IFERROR($J79,0))&gt;=Scoring_Criteria!$F$6,3,IF((IFERROR($I79,0)+IFERROR($J79,0))&gt;=Scoring_Criteria!$G$6,2,1))))),"")</f>
        <v>5</v>
      </c>
      <c r="AA79" s="26">
        <f>IFERROR(IF(NOT(ISNUMBER($M79)),"",IF($M79&gt;=Scoring_Criteria!$D$7,5,IF($M79&gt;=Scoring_Criteria!$E$7,4,IF($M79&gt;=Scoring_Criteria!$F$7,3,IF($M79&gt;=Scoring_Criteria!$G$7,2,1))))),"")</f>
        <v>3</v>
      </c>
      <c r="AB79" s="26">
        <f>IFERROR(IF(NOT(ISNUMBER($T79)),"",IF($T79&gt;=Scoring_Criteria!$D$8,5,IF($T79&gt;=Scoring_Criteria!$E$8,4,IF($T79&gt;=Scoring_Criteria!$F$8,3,IF($T79&gt;=Scoring_Criteria!$G$8,2,1))))),"")</f>
        <v>2</v>
      </c>
      <c r="AC79" s="26">
        <f>IFERROR(IF(NOT(ISNUMBER($U79)),"",IF($U79&lt;=Scoring_Criteria!$D$9,5,IF($U79&lt;=Scoring_Criteria!$E$9,4,IF($U79&lt;=Scoring_Criteria!$F$9,3,IF($U79&lt;=Scoring_Criteria!$G$9,2,1))))),"")</f>
        <v>1</v>
      </c>
      <c r="AD79" s="26">
        <f t="array" ref="AD79">IFERROR(IF(NOT(ISNUMBER(_xlfn.XLOOKUP($A79&amp;"|"&amp;$C79,Financials!$A$2:$A$201&amp;"|"&amp;Financials!$B$2:$B$201,Financials!$AD$2:$AD$201,""))),"",IF(_xlfn.XLOOKUP($A79&amp;"|"&amp;$C79,Financials!$A$2:$A$201&amp;"|"&amp;Financials!$B$2:$B$201,Financials!$AD$2:$AD$201,"")&gt;=Scoring_Criteria!$D$10,5,IF(_xlfn.XLOOKUP($A79&amp;"|"&amp;$C79,Financials!$A$2:$A$201&amp;"|"&amp;Financials!$B$2:$B$201,Financials!$AD$2:$AD$201,"")&gt;=Scoring_Criteria!$E$10,4,IF(_xlfn.XLOOKUP($A79&amp;"|"&amp;$C79,Financials!$A$2:$A$201&amp;"|"&amp;Financials!$B$2:$B$201,Financials!$AD$2:$AD$201,"")&gt;=Scoring_Criteria!$F$10,3,IF(_xlfn.XLOOKUP($A79&amp;"|"&amp;$C79,Financials!$A$2:$A$201&amp;"|"&amp;Financials!$B$2:$B$201,Financials!$AD$2:$AD$201,"")&gt;=Scoring_Criteria!$G$10,2,1))))),"")</f>
        <v>4</v>
      </c>
      <c r="AE79" s="27"/>
      <c r="AF79" s="27"/>
      <c r="AG79" s="28">
        <f t="shared" si="14"/>
        <v>3.4285714285714284</v>
      </c>
      <c r="AH79" s="29"/>
      <c r="AI79" s="29"/>
      <c r="AJ79" s="29"/>
      <c r="AK79" s="29"/>
      <c r="AL79" s="29"/>
      <c r="AM79" s="29"/>
      <c r="AN79" s="29"/>
      <c r="AO79" s="29"/>
      <c r="AP79" s="29"/>
      <c r="AQ79" s="29"/>
      <c r="AR79" s="29"/>
      <c r="AS79" s="29"/>
      <c r="AT79" s="29"/>
      <c r="AU79" t="str">
        <f>IFERROR(Validation_Summary!Q5,"")</f>
        <v>✓ All 8 checks passed</v>
      </c>
    </row>
    <row r="80" spans="1:47" ht="15" customHeight="1" x14ac:dyDescent="0.3">
      <c r="A80" s="6" t="s">
        <v>1631</v>
      </c>
      <c r="B80" s="19" t="str">
        <f t="array" ref="B80">IFERROR(_xlfn.XLOOKUP($A80&amp;"|"&amp;$C80,'Company_Master'!$A$2:$A$94&amp;"|"&amp;'Company_Master'!$D$2:$D$94,'Company_Master'!$B$2:$B$94,""),"")</f>
        <v>SSMS</v>
      </c>
      <c r="C80" s="20">
        <v>2023</v>
      </c>
      <c r="D80" s="19" t="str">
        <f t="array" ref="D80">IFERROR(_xlfn.XLOOKUP($A80&amp;"|"&amp;$C80,'Company_Master'!$A$2:$A$94&amp;"|"&amp;'Company_Master'!$D$2:$D$94,'Company_Master'!$H$2:$H$94,""),"")</f>
        <v>Central Kalimantan (Kotawaringin Barat, Lamandau, Pulang Pisau)</v>
      </c>
      <c r="E80" s="20">
        <f t="array" ref="E80">IFERROR(_xlfn.XLOOKUP($A80&amp;"|"&amp;$C80,Asset_Operations!$A$2:$A$201&amp;"|"&amp;Asset_Operations!$BG$2:$BG$201,Asset_Operations!$B$2:$B$201,""),"")</f>
        <v>82465.72</v>
      </c>
      <c r="F80" s="20">
        <f t="array" ref="F80">IFERROR(_xlfn.XLOOKUP($A80&amp;"|"&amp;$C80,Asset_Operations!$A$2:$A$201&amp;"|"&amp;Asset_Operations!$BG$2:$BG$201,Asset_Operations!$E$2:$E$201,""),"")</f>
        <v>81405</v>
      </c>
      <c r="G80" s="20">
        <f t="array" ref="G80">IFERROR(_xlfn.XLOOKUP($A80&amp;"|"&amp;$C80,Asset_Operations!$A$2:$A$201&amp;"|"&amp;Asset_Operations!$BG$2:$BG$201,Asset_Operations!$I$2:$I$201,""),"")</f>
        <v>0</v>
      </c>
      <c r="H80" s="20">
        <f t="array" ref="H80">IFERROR(_xlfn.XLOOKUP($A80&amp;"|"&amp;$C80,Asset_Operations!$A$2:$A$201&amp;"|"&amp;Asset_Operations!$BG$2:$BG$201,Asset_Operations!$J$2:$J$201,""),"")</f>
        <v>0</v>
      </c>
      <c r="I80" s="20">
        <f t="array" ref="I80">IFERROR(_xlfn.XLOOKUP($A80&amp;"|"&amp;$C80,Asset_Operations!$A$2:$A$201&amp;"|"&amp;Asset_Operations!$BG$2:$BG$201,Asset_Operations!$O$2:$O$201,""),"")</f>
        <v>8</v>
      </c>
      <c r="J80" s="20">
        <f t="array" ref="J80">IFERROR(_xlfn.XLOOKUP($A80&amp;"|"&amp;$C80,Asset_Operations!$A$2:$A$201&amp;"|"&amp;Asset_Operations!$BG$2:$BG$201,Asset_Operations!$S$2:$S$201,""),"")</f>
        <v>1</v>
      </c>
      <c r="K80" s="20">
        <f t="array" ref="K80">IFERROR(_xlfn.XLOOKUP($A80&amp;"|"&amp;$C80,Asset_Operations!$A$2:$A$201&amp;"|"&amp;Asset_Operations!$BG$2:$BG$201,Asset_Operations!$AC$2:$AC$201,""),"")</f>
        <v>1723170</v>
      </c>
      <c r="L80" s="20">
        <f t="array" ref="L80">IFERROR(_xlfn.XLOOKUP($A80&amp;"|"&amp;$C80,Asset_Operations!$A$2:$A$201&amp;"|"&amp;Asset_Operations!$BG$2:$BG$201,Asset_Operations!$AG$2:$AG$201,""),"")</f>
        <v>518819</v>
      </c>
      <c r="M80" s="20">
        <f t="array" ref="M80">IFERROR(_xlfn.XLOOKUP($A80&amp;"|"&amp;$C80,Asset_Operations!$A$2:$A$201&amp;"|"&amp;Asset_Operations!$BG$2:$BG$201,Asset_Operations!$AO$2:$AO$201,""),"")</f>
        <v>21.167864381794729</v>
      </c>
      <c r="N80" s="21">
        <f t="array" ref="N80">IFERROR(_xlfn.XLOOKUP($A80&amp;"|"&amp;$C80,Asset_Operations!$A$2:$A$201&amp;"|"&amp;Asset_Operations!$BG$2:$BG$201,Asset_Operations!$AR$2:$AR$201,""),"")</f>
        <v>0.22123241729353285</v>
      </c>
      <c r="O80" s="22">
        <f t="array" ref="O80">IFERROR(_xlfn.XLOOKUP($A80&amp;"|"&amp;$C80,Financials!$A$2:$A$201&amp;"|"&amp;Financials!$B$2:$B$201,Financials!$C$2:$C$201,""),"")</f>
        <v>10703</v>
      </c>
      <c r="P80" s="22">
        <f t="array" ref="P80">IFERROR(_xlfn.XLOOKUP($A80&amp;"|"&amp;$C80,Financials!$A$2:$A$201&amp;"|"&amp;Financials!$B$2:$B$201,Financials!$E$2:$E$201,""),"")</f>
        <v>0</v>
      </c>
      <c r="Q80" s="22">
        <f t="array" ref="Q80">IFERROR(_xlfn.XLOOKUP($A80&amp;"|"&amp;$C80,Financials!$A$2:$A$201&amp;"|"&amp;Financials!$B$2:$B$201,Financials!$G$2:$G$201,""),"")</f>
        <v>344</v>
      </c>
      <c r="R80" s="22">
        <f t="array" ref="R80">IFERROR(_xlfn.XLOOKUP($A80&amp;"|"&amp;$C80,Financials!$A$2:$A$201&amp;"|"&amp;Financials!$B$2:$B$201,Financials!$S$2:$S$201,""),"")</f>
        <v>6865</v>
      </c>
      <c r="S80" s="22">
        <f t="array" ref="S80">IFERROR(_xlfn.XLOOKUP($A80&amp;"|"&amp;$C80,Financials!$A$2:$A$201&amp;"|"&amp;Financials!$B$2:$B$201,Financials!$AC$2:$AC$201,""),"")</f>
        <v>9953.625</v>
      </c>
      <c r="T80" s="23">
        <f t="shared" si="10"/>
        <v>0</v>
      </c>
      <c r="U80" s="24" t="str">
        <f t="shared" si="11"/>
        <v/>
      </c>
      <c r="V80" s="25">
        <f t="shared" si="12"/>
        <v>0.12978726190712941</v>
      </c>
      <c r="W80" s="24">
        <f t="shared" si="13"/>
        <v>6.3733063079663408</v>
      </c>
      <c r="X80" s="26">
        <f>IFERROR(IF(NOT(ISNUMBER($E80)),"",IF($E80&gt;=Scoring_Criteria!$D$4,5,IF($E80&gt;=Scoring_Criteria!$E$4,4,IF($E80&gt;=Scoring_Criteria!$F$4,3,IF($E80&gt;=Scoring_Criteria!$G$4,2,1))))),"")</f>
        <v>4</v>
      </c>
      <c r="Y80" s="26">
        <f>IFERROR(IF(OR(NOT(ISNUMBER($F80)),NOT(ISNUMBER($E80)),$E80=0),"",IF(($F80/$E80)&gt;=Scoring_Criteria!$D$5,5,IF(($F80/$E80)&gt;=Scoring_Criteria!$E$5,4,IF(($F80/$E80)&gt;=Scoring_Criteria!$F$5,3,IF(($F80/$E80)&gt;=Scoring_Criteria!$G$5,2,1))))),"")</f>
        <v>5</v>
      </c>
      <c r="Z80" s="26">
        <f>IFERROR(IF(AND(NOT(ISNUMBER($I80)),NOT(ISNUMBER($J80))),"",IF((IFERROR($I80,0)+IFERROR($J80,0))&gt;=Scoring_Criteria!$D$6,5,IF((IFERROR($I80,0)+IFERROR($J80,0))&gt;=Scoring_Criteria!$E$6,4,IF((IFERROR($I80,0)+IFERROR($J80,0))&gt;=Scoring_Criteria!$F$6,3,IF((IFERROR($I80,0)+IFERROR($J80,0))&gt;=Scoring_Criteria!$G$6,2,1))))),"")</f>
        <v>5</v>
      </c>
      <c r="AA80" s="26">
        <f>IFERROR(IF(NOT(ISNUMBER($M80)),"",IF($M80&gt;=Scoring_Criteria!$D$7,5,IF($M80&gt;=Scoring_Criteria!$E$7,4,IF($M80&gt;=Scoring_Criteria!$F$7,3,IF($M80&gt;=Scoring_Criteria!$G$7,2,1))))),"")</f>
        <v>4</v>
      </c>
      <c r="AB80" s="26">
        <f>IFERROR(IF(NOT(ISNUMBER($T80)),"",IF($T80&gt;=Scoring_Criteria!$D$8,5,IF($T80&gt;=Scoring_Criteria!$E$8,4,IF($T80&gt;=Scoring_Criteria!$F$8,3,IF($T80&gt;=Scoring_Criteria!$G$8,2,1))))),"")</f>
        <v>1</v>
      </c>
      <c r="AC80" s="26" t="str">
        <f>IFERROR(IF(NOT(ISNUMBER($U80)),"",IF($U80&lt;=Scoring_Criteria!$D$9,5,IF($U80&lt;=Scoring_Criteria!$E$9,4,IF($U80&lt;=Scoring_Criteria!$F$9,3,IF($U80&lt;=Scoring_Criteria!$G$9,2,1))))),"")</f>
        <v/>
      </c>
      <c r="AD80" s="26">
        <f t="array" ref="AD80">IFERROR(IF(NOT(ISNUMBER(_xlfn.XLOOKUP($A80&amp;"|"&amp;$C80,Financials!$A$2:$A$201&amp;"|"&amp;Financials!$B$2:$B$201,Financials!$AD$2:$AD$201,""))),"",IF(_xlfn.XLOOKUP($A80&amp;"|"&amp;$C80,Financials!$A$2:$A$201&amp;"|"&amp;Financials!$B$2:$B$201,Financials!$AD$2:$AD$201,"")&gt;=Scoring_Criteria!$D$10,5,IF(_xlfn.XLOOKUP($A80&amp;"|"&amp;$C80,Financials!$A$2:$A$201&amp;"|"&amp;Financials!$B$2:$B$201,Financials!$AD$2:$AD$201,"")&gt;=Scoring_Criteria!$E$10,4,IF(_xlfn.XLOOKUP($A80&amp;"|"&amp;$C80,Financials!$A$2:$A$201&amp;"|"&amp;Financials!$B$2:$B$201,Financials!$AD$2:$AD$201,"")&gt;=Scoring_Criteria!$F$10,3,IF(_xlfn.XLOOKUP($A80&amp;"|"&amp;$C80,Financials!$A$2:$A$201&amp;"|"&amp;Financials!$B$2:$B$201,Financials!$AD$2:$AD$201,"")&gt;=Scoring_Criteria!$G$10,2,1))))),"")</f>
        <v>2</v>
      </c>
      <c r="AE80" s="27"/>
      <c r="AF80" s="27"/>
      <c r="AG80" s="28">
        <f t="shared" si="14"/>
        <v>3.5</v>
      </c>
      <c r="AH80" s="29"/>
      <c r="AI80" s="29"/>
      <c r="AJ80" s="29"/>
      <c r="AK80" s="29"/>
      <c r="AL80" s="29"/>
      <c r="AM80" s="29"/>
      <c r="AN80" s="29"/>
      <c r="AO80" s="29"/>
      <c r="AP80" s="29"/>
      <c r="AQ80" s="29"/>
      <c r="AR80" s="29"/>
      <c r="AS80" s="29"/>
      <c r="AT80" s="29"/>
      <c r="AU80" t="str">
        <f>IFERROR(Validation_Summary!Q5,"")</f>
        <v>✓ All 8 checks passed</v>
      </c>
    </row>
    <row r="81" spans="1:47" ht="15" customHeight="1" x14ac:dyDescent="0.3">
      <c r="A81" s="6" t="s">
        <v>1631</v>
      </c>
      <c r="B81" s="19" t="str">
        <f t="array" ref="B81">IFERROR(_xlfn.XLOOKUP($A81&amp;"|"&amp;$C81,'Company_Master'!$A$2:$A$94&amp;"|"&amp;'Company_Master'!$D$2:$D$94,'Company_Master'!$B$2:$B$94,""),"")</f>
        <v>SSMS</v>
      </c>
      <c r="C81" s="20">
        <v>2024</v>
      </c>
      <c r="D81" s="19" t="str">
        <f t="array" ref="D81">IFERROR(_xlfn.XLOOKUP($A81&amp;"|"&amp;$C81,'Company_Master'!$A$2:$A$94&amp;"|"&amp;'Company_Master'!$D$2:$D$94,'Company_Master'!$H$2:$H$94,""),"")</f>
        <v>Central Kalimantan (Kotawaringin Barat, Lamandau, Pulang Pisau)</v>
      </c>
      <c r="E81" s="20">
        <f t="array" ref="E81">IFERROR(_xlfn.XLOOKUP($A81&amp;"|"&amp;$C81,Asset_Operations!$A$2:$A$201&amp;"|"&amp;Asset_Operations!$BG$2:$BG$201,Asset_Operations!$B$2:$B$201,""),"")</f>
        <v>115571</v>
      </c>
      <c r="F81" s="20">
        <f t="array" ref="F81">IFERROR(_xlfn.XLOOKUP($A81&amp;"|"&amp;$C81,Asset_Operations!$A$2:$A$201&amp;"|"&amp;Asset_Operations!$BG$2:$BG$201,Asset_Operations!$E$2:$E$201,""),"")</f>
        <v>81604</v>
      </c>
      <c r="G81" s="20">
        <f t="array" ref="G81">IFERROR(_xlfn.XLOOKUP($A81&amp;"|"&amp;$C81,Asset_Operations!$A$2:$A$201&amp;"|"&amp;Asset_Operations!$BG$2:$BG$201,Asset_Operations!$I$2:$I$201,""),"")</f>
        <v>0</v>
      </c>
      <c r="H81" s="20">
        <f t="array" ref="H81">IFERROR(_xlfn.XLOOKUP($A81&amp;"|"&amp;$C81,Asset_Operations!$A$2:$A$201&amp;"|"&amp;Asset_Operations!$BG$2:$BG$201,Asset_Operations!$J$2:$J$201,""),"")</f>
        <v>0</v>
      </c>
      <c r="I81" s="20">
        <f t="array" ref="I81">IFERROR(_xlfn.XLOOKUP($A81&amp;"|"&amp;$C81,Asset_Operations!$A$2:$A$201&amp;"|"&amp;Asset_Operations!$BG$2:$BG$201,Asset_Operations!$O$2:$O$201,""),"")</f>
        <v>8</v>
      </c>
      <c r="J81" s="20">
        <f t="array" ref="J81">IFERROR(_xlfn.XLOOKUP($A81&amp;"|"&amp;$C81,Asset_Operations!$A$2:$A$201&amp;"|"&amp;Asset_Operations!$BG$2:$BG$201,Asset_Operations!$S$2:$S$201,""),"")</f>
        <v>1</v>
      </c>
      <c r="K81" s="20">
        <f t="array" ref="K81">IFERROR(_xlfn.XLOOKUP($A81&amp;"|"&amp;$C81,Asset_Operations!$A$2:$A$201&amp;"|"&amp;Asset_Operations!$BG$2:$BG$201,Asset_Operations!$AC$2:$AC$201,""),"")</f>
        <v>1562446</v>
      </c>
      <c r="L81" s="20">
        <f t="array" ref="L81">IFERROR(_xlfn.XLOOKUP($A81&amp;"|"&amp;$C81,Asset_Operations!$A$2:$A$201&amp;"|"&amp;Asset_Operations!$BG$2:$BG$201,Asset_Operations!$AG$2:$AG$201,""),"")</f>
        <v>461414</v>
      </c>
      <c r="M81" s="20">
        <f t="array" ref="M81">IFERROR(_xlfn.XLOOKUP($A81&amp;"|"&amp;$C81,Asset_Operations!$A$2:$A$201&amp;"|"&amp;Asset_Operations!$BG$2:$BG$201,Asset_Operations!$AO$2:$AO$201,""),"")</f>
        <v>19.146683986079115</v>
      </c>
      <c r="N81" s="21">
        <f t="array" ref="N81">IFERROR(_xlfn.XLOOKUP($A81&amp;"|"&amp;$C81,Asset_Operations!$A$2:$A$201&amp;"|"&amp;Asset_Operations!$BG$2:$BG$201,Asset_Operations!$AR$2:$AR$201,""),"")</f>
        <v>0.21783717943875816</v>
      </c>
      <c r="O81" s="22">
        <f t="array" ref="O81">IFERROR(_xlfn.XLOOKUP($A81&amp;"|"&amp;$C81,Financials!$A$2:$A$201&amp;"|"&amp;Financials!$B$2:$B$201,Financials!$C$2:$C$201,""),"")</f>
        <v>10522</v>
      </c>
      <c r="P81" s="22">
        <f t="array" ref="P81">IFERROR(_xlfn.XLOOKUP($A81&amp;"|"&amp;$C81,Financials!$A$2:$A$201&amp;"|"&amp;Financials!$B$2:$B$201,Financials!$E$2:$E$201,""),"")</f>
        <v>0</v>
      </c>
      <c r="Q81" s="22">
        <f t="array" ref="Q81">IFERROR(_xlfn.XLOOKUP($A81&amp;"|"&amp;$C81,Financials!$A$2:$A$201&amp;"|"&amp;Financials!$B$2:$B$201,Financials!$G$2:$G$201,""),"")</f>
        <v>845</v>
      </c>
      <c r="R81" s="22">
        <f t="array" ref="R81">IFERROR(_xlfn.XLOOKUP($A81&amp;"|"&amp;$C81,Financials!$A$2:$A$201&amp;"|"&amp;Financials!$B$2:$B$201,Financials!$S$2:$S$201,""),"")</f>
        <v>5805</v>
      </c>
      <c r="S81" s="22">
        <f t="array" ref="S81">IFERROR(_xlfn.XLOOKUP($A81&amp;"|"&amp;$C81,Financials!$A$2:$A$201&amp;"|"&amp;Financials!$B$2:$B$201,Financials!$AC$2:$AC$201,""),"")</f>
        <v>12382.5</v>
      </c>
      <c r="T81" s="23">
        <f t="shared" si="10"/>
        <v>0</v>
      </c>
      <c r="U81" s="24" t="str">
        <f t="shared" si="11"/>
        <v/>
      </c>
      <c r="V81" s="25">
        <f t="shared" si="12"/>
        <v>9.1043600903340807E-2</v>
      </c>
      <c r="W81" s="24">
        <f t="shared" si="13"/>
        <v>5.6543061614626735</v>
      </c>
      <c r="X81" s="26">
        <f>IFERROR(IF(NOT(ISNUMBER($E81)),"",IF($E81&gt;=Scoring_Criteria!$D$4,5,IF($E81&gt;=Scoring_Criteria!$E$4,4,IF($E81&gt;=Scoring_Criteria!$F$4,3,IF($E81&gt;=Scoring_Criteria!$G$4,2,1))))),"")</f>
        <v>4</v>
      </c>
      <c r="Y81" s="26">
        <f>IFERROR(IF(OR(NOT(ISNUMBER($F81)),NOT(ISNUMBER($E81)),$E81=0),"",IF(($F81/$E81)&gt;=Scoring_Criteria!$D$5,5,IF(($F81/$E81)&gt;=Scoring_Criteria!$E$5,4,IF(($F81/$E81)&gt;=Scoring_Criteria!$F$5,3,IF(($F81/$E81)&gt;=Scoring_Criteria!$G$5,2,1))))),"")</f>
        <v>4</v>
      </c>
      <c r="Z81" s="26">
        <f>IFERROR(IF(AND(NOT(ISNUMBER($I81)),NOT(ISNUMBER($J81))),"",IF((IFERROR($I81,0)+IFERROR($J81,0))&gt;=Scoring_Criteria!$D$6,5,IF((IFERROR($I81,0)+IFERROR($J81,0))&gt;=Scoring_Criteria!$E$6,4,IF((IFERROR($I81,0)+IFERROR($J81,0))&gt;=Scoring_Criteria!$F$6,3,IF((IFERROR($I81,0)+IFERROR($J81,0))&gt;=Scoring_Criteria!$G$6,2,1))))),"")</f>
        <v>5</v>
      </c>
      <c r="AA81" s="26">
        <f>IFERROR(IF(NOT(ISNUMBER($M81)),"",IF($M81&gt;=Scoring_Criteria!$D$7,5,IF($M81&gt;=Scoring_Criteria!$E$7,4,IF($M81&gt;=Scoring_Criteria!$F$7,3,IF($M81&gt;=Scoring_Criteria!$G$7,2,1))))),"")</f>
        <v>4</v>
      </c>
      <c r="AB81" s="26">
        <f>IFERROR(IF(NOT(ISNUMBER($T81)),"",IF($T81&gt;=Scoring_Criteria!$D$8,5,IF($T81&gt;=Scoring_Criteria!$E$8,4,IF($T81&gt;=Scoring_Criteria!$F$8,3,IF($T81&gt;=Scoring_Criteria!$G$8,2,1))))),"")</f>
        <v>1</v>
      </c>
      <c r="AC81" s="26" t="str">
        <f>IFERROR(IF(NOT(ISNUMBER($U81)),"",IF($U81&lt;=Scoring_Criteria!$D$9,5,IF($U81&lt;=Scoring_Criteria!$E$9,4,IF($U81&lt;=Scoring_Criteria!$F$9,3,IF($U81&lt;=Scoring_Criteria!$G$9,2,1))))),"")</f>
        <v/>
      </c>
      <c r="AD81" s="26">
        <f t="array" ref="AD81">IFERROR(IF(NOT(ISNUMBER(_xlfn.XLOOKUP($A81&amp;"|"&amp;$C81,Financials!$A$2:$A$201&amp;"|"&amp;Financials!$B$2:$B$201,Financials!$AD$2:$AD$201,""))),"",IF(_xlfn.XLOOKUP($A81&amp;"|"&amp;$C81,Financials!$A$2:$A$201&amp;"|"&amp;Financials!$B$2:$B$201,Financials!$AD$2:$AD$201,"")&gt;=Scoring_Criteria!$D$10,5,IF(_xlfn.XLOOKUP($A81&amp;"|"&amp;$C81,Financials!$A$2:$A$201&amp;"|"&amp;Financials!$B$2:$B$201,Financials!$AD$2:$AD$201,"")&gt;=Scoring_Criteria!$E$10,4,IF(_xlfn.XLOOKUP($A81&amp;"|"&amp;$C81,Financials!$A$2:$A$201&amp;"|"&amp;Financials!$B$2:$B$201,Financials!$AD$2:$AD$201,"")&gt;=Scoring_Criteria!$F$10,3,IF(_xlfn.XLOOKUP($A81&amp;"|"&amp;$C81,Financials!$A$2:$A$201&amp;"|"&amp;Financials!$B$2:$B$201,Financials!$AD$2:$AD$201,"")&gt;=Scoring_Criteria!$G$10,2,1))))),"")</f>
        <v>2</v>
      </c>
      <c r="AE81" s="27"/>
      <c r="AF81" s="27"/>
      <c r="AG81" s="28">
        <f t="shared" si="14"/>
        <v>3.3333333333333335</v>
      </c>
      <c r="AH81" s="29"/>
      <c r="AI81" s="29"/>
      <c r="AJ81" s="29"/>
      <c r="AK81" s="29"/>
      <c r="AL81" s="29"/>
      <c r="AM81" s="29"/>
      <c r="AN81" s="29"/>
      <c r="AO81" s="29"/>
      <c r="AP81" s="29"/>
      <c r="AQ81" s="29"/>
      <c r="AR81" s="29"/>
      <c r="AS81" s="29"/>
      <c r="AT81" s="29"/>
      <c r="AU81" t="str">
        <f>IFERROR(Validation_Summary!Q5,"")</f>
        <v>✓ All 8 checks passed</v>
      </c>
    </row>
    <row r="82" spans="1:47" ht="15" customHeight="1" x14ac:dyDescent="0.3">
      <c r="A82" s="6" t="s">
        <v>1631</v>
      </c>
      <c r="B82" s="19" t="str">
        <f t="array" ref="B82">IFERROR(_xlfn.XLOOKUP($A82&amp;"|"&amp;$C82,'Company_Master'!$A$2:$A$94&amp;"|"&amp;'Company_Master'!$D$2:$D$94,'Company_Master'!$B$2:$B$94,""),"")</f>
        <v>SSMS</v>
      </c>
      <c r="C82" s="20">
        <v>2025</v>
      </c>
      <c r="D82" s="19" t="str">
        <f t="array" ref="D82">IFERROR(_xlfn.XLOOKUP($A82&amp;"|"&amp;$C82,'Company_Master'!$A$2:$A$94&amp;"|"&amp;'Company_Master'!$D$2:$D$94,'Company_Master'!$H$2:$H$94,""),"")</f>
        <v>Central Kalimantan (Kotawaringin Barat, Lamandau, Pulang Pisau)</v>
      </c>
      <c r="E82" s="20">
        <f t="array" ref="E82">IFERROR(_xlfn.XLOOKUP($A82&amp;"|"&amp;$C82,Asset_Operations!$A$2:$A$201&amp;"|"&amp;Asset_Operations!$BG$2:$BG$201,Asset_Operations!$B$2:$B$201,""),"")</f>
        <v>136447</v>
      </c>
      <c r="F82" s="20">
        <f t="array" ref="F82">IFERROR(_xlfn.XLOOKUP($A82&amp;"|"&amp;$C82,Asset_Operations!$A$2:$A$201&amp;"|"&amp;Asset_Operations!$BG$2:$BG$201,Asset_Operations!$E$2:$E$201,""),"")</f>
        <v>93726</v>
      </c>
      <c r="G82" s="20">
        <f t="array" ref="G82">IFERROR(_xlfn.XLOOKUP($A82&amp;"|"&amp;$C82,Asset_Operations!$A$2:$A$201&amp;"|"&amp;Asset_Operations!$BG$2:$BG$201,Asset_Operations!$I$2:$I$201,""),"")</f>
        <v>0</v>
      </c>
      <c r="H82" s="20">
        <f t="array" ref="H82">IFERROR(_xlfn.XLOOKUP($A82&amp;"|"&amp;$C82,Asset_Operations!$A$2:$A$201&amp;"|"&amp;Asset_Operations!$BG$2:$BG$201,Asset_Operations!$J$2:$J$201,""),"")</f>
        <v>0</v>
      </c>
      <c r="I82" s="20">
        <f t="array" ref="I82">IFERROR(_xlfn.XLOOKUP($A82&amp;"|"&amp;$C82,Asset_Operations!$A$2:$A$201&amp;"|"&amp;Asset_Operations!$BG$2:$BG$201,Asset_Operations!$O$2:$O$201,""),"")</f>
        <v>10</v>
      </c>
      <c r="J82" s="20">
        <f t="array" ref="J82">IFERROR(_xlfn.XLOOKUP($A82&amp;"|"&amp;$C82,Asset_Operations!$A$2:$A$201&amp;"|"&amp;Asset_Operations!$BG$2:$BG$201,Asset_Operations!$S$2:$S$201,""),"")</f>
        <v>1</v>
      </c>
      <c r="K82" s="20">
        <f t="array" ref="K82">IFERROR(_xlfn.XLOOKUP($A82&amp;"|"&amp;$C82,Asset_Operations!$A$2:$A$201&amp;"|"&amp;Asset_Operations!$BG$2:$BG$201,Asset_Operations!$AC$2:$AC$201,""),"")</f>
        <v>1628452</v>
      </c>
      <c r="L82" s="20">
        <f t="array" ref="L82">IFERROR(_xlfn.XLOOKUP($A82&amp;"|"&amp;$C82,Asset_Operations!$A$2:$A$201&amp;"|"&amp;Asset_Operations!$BG$2:$BG$201,Asset_Operations!$AG$2:$AG$201,""),"")</f>
        <v>527052</v>
      </c>
      <c r="M82" s="20">
        <f t="array" ref="M82">IFERROR(_xlfn.XLOOKUP($A82&amp;"|"&amp;$C82,Asset_Operations!$A$2:$A$201&amp;"|"&amp;Asset_Operations!$BG$2:$BG$201,Asset_Operations!$AO$2:$AO$201,""),"")</f>
        <v>17.374602564923286</v>
      </c>
      <c r="N82" s="21">
        <f t="array" ref="N82">IFERROR(_xlfn.XLOOKUP($A82&amp;"|"&amp;$C82,Asset_Operations!$A$2:$A$201&amp;"|"&amp;Asset_Operations!$BG$2:$BG$201,Asset_Operations!$AR$2:$AR$201,""),"")</f>
        <v>0.22117701563865172</v>
      </c>
      <c r="O82" s="22">
        <f t="array" ref="O82">IFERROR(_xlfn.XLOOKUP($A82&amp;"|"&amp;$C82,Financials!$A$2:$A$201&amp;"|"&amp;Financials!$B$2:$B$201,Financials!$C$2:$C$201,""),"")</f>
        <v>14813</v>
      </c>
      <c r="P82" s="22">
        <f t="array" ref="P82">IFERROR(_xlfn.XLOOKUP($A82&amp;"|"&amp;$C82,Financials!$A$2:$A$201&amp;"|"&amp;Financials!$B$2:$B$201,Financials!$E$2:$E$201,""),"")</f>
        <v>0</v>
      </c>
      <c r="Q82" s="22">
        <f t="array" ref="Q82">IFERROR(_xlfn.XLOOKUP($A82&amp;"|"&amp;$C82,Financials!$A$2:$A$201&amp;"|"&amp;Financials!$B$2:$B$201,Financials!$G$2:$G$201,""),"")</f>
        <v>1393</v>
      </c>
      <c r="R82" s="22">
        <f t="array" ref="R82">IFERROR(_xlfn.XLOOKUP($A82&amp;"|"&amp;$C82,Financials!$A$2:$A$201&amp;"|"&amp;Financials!$B$2:$B$201,Financials!$S$2:$S$201,""),"")</f>
        <v>7265</v>
      </c>
      <c r="S82" s="22">
        <f t="array" ref="S82">IFERROR(_xlfn.XLOOKUP($A82&amp;"|"&amp;$C82,Financials!$A$2:$A$201&amp;"|"&amp;Financials!$B$2:$B$201,Financials!$AC$2:$AC$201,""),"")</f>
        <v>15049.5</v>
      </c>
      <c r="T82" s="23">
        <f t="shared" si="10"/>
        <v>0</v>
      </c>
      <c r="U82" s="24" t="str">
        <f t="shared" si="11"/>
        <v/>
      </c>
      <c r="V82" s="25">
        <f t="shared" si="12"/>
        <v>0.10856229891459687</v>
      </c>
      <c r="W82" s="24">
        <f t="shared" si="13"/>
        <v>5.6233275718583959</v>
      </c>
      <c r="X82" s="26">
        <f>IFERROR(IF(NOT(ISNUMBER($E82)),"",IF($E82&gt;=Scoring_Criteria!$D$4,5,IF($E82&gt;=Scoring_Criteria!$E$4,4,IF($E82&gt;=Scoring_Criteria!$F$4,3,IF($E82&gt;=Scoring_Criteria!$G$4,2,1))))),"")</f>
        <v>4</v>
      </c>
      <c r="Y82" s="26">
        <f>IFERROR(IF(OR(NOT(ISNUMBER($F82)),NOT(ISNUMBER($E82)),$E82=0),"",IF(($F82/$E82)&gt;=Scoring_Criteria!$D$5,5,IF(($F82/$E82)&gt;=Scoring_Criteria!$E$5,4,IF(($F82/$E82)&gt;=Scoring_Criteria!$F$5,3,IF(($F82/$E82)&gt;=Scoring_Criteria!$G$5,2,1))))),"")</f>
        <v>4</v>
      </c>
      <c r="Z82" s="26">
        <f>IFERROR(IF(AND(NOT(ISNUMBER($I82)),NOT(ISNUMBER($J82))),"",IF((IFERROR($I82,0)+IFERROR($J82,0))&gt;=Scoring_Criteria!$D$6,5,IF((IFERROR($I82,0)+IFERROR($J82,0))&gt;=Scoring_Criteria!$E$6,4,IF((IFERROR($I82,0)+IFERROR($J82,0))&gt;=Scoring_Criteria!$F$6,3,IF((IFERROR($I82,0)+IFERROR($J82,0))&gt;=Scoring_Criteria!$G$6,2,1))))),"")</f>
        <v>5</v>
      </c>
      <c r="AA82" s="26">
        <f>IFERROR(IF(NOT(ISNUMBER($M82)),"",IF($M82&gt;=Scoring_Criteria!$D$7,5,IF($M82&gt;=Scoring_Criteria!$E$7,4,IF($M82&gt;=Scoring_Criteria!$F$7,3,IF($M82&gt;=Scoring_Criteria!$G$7,2,1))))),"")</f>
        <v>3</v>
      </c>
      <c r="AB82" s="26">
        <f>IFERROR(IF(NOT(ISNUMBER($T82)),"",IF($T82&gt;=Scoring_Criteria!$D$8,5,IF($T82&gt;=Scoring_Criteria!$E$8,4,IF($T82&gt;=Scoring_Criteria!$F$8,3,IF($T82&gt;=Scoring_Criteria!$G$8,2,1))))),"")</f>
        <v>1</v>
      </c>
      <c r="AC82" s="26" t="str">
        <f>IFERROR(IF(NOT(ISNUMBER($U82)),"",IF($U82&lt;=Scoring_Criteria!$D$9,5,IF($U82&lt;=Scoring_Criteria!$E$9,4,IF($U82&lt;=Scoring_Criteria!$F$9,3,IF($U82&lt;=Scoring_Criteria!$G$9,2,1))))),"")</f>
        <v/>
      </c>
      <c r="AD82" s="26">
        <f t="array" ref="AD82">IFERROR(IF(NOT(ISNUMBER(_xlfn.XLOOKUP($A82&amp;"|"&amp;$C82,Financials!$A$2:$A$201&amp;"|"&amp;Financials!$B$2:$B$201,Financials!$AD$2:$AD$201,""))),"",IF(_xlfn.XLOOKUP($A82&amp;"|"&amp;$C82,Financials!$A$2:$A$201&amp;"|"&amp;Financials!$B$2:$B$201,Financials!$AD$2:$AD$201,"")&gt;=Scoring_Criteria!$D$10,5,IF(_xlfn.XLOOKUP($A82&amp;"|"&amp;$C82,Financials!$A$2:$A$201&amp;"|"&amp;Financials!$B$2:$B$201,Financials!$AD$2:$AD$201,"")&gt;=Scoring_Criteria!$E$10,4,IF(_xlfn.XLOOKUP($A82&amp;"|"&amp;$C82,Financials!$A$2:$A$201&amp;"|"&amp;Financials!$B$2:$B$201,Financials!$AD$2:$AD$201,"")&gt;=Scoring_Criteria!$F$10,3,IF(_xlfn.XLOOKUP($A82&amp;"|"&amp;$C82,Financials!$A$2:$A$201&amp;"|"&amp;Financials!$B$2:$B$201,Financials!$AD$2:$AD$201,"")&gt;=Scoring_Criteria!$G$10,2,1))))),"")</f>
        <v>3</v>
      </c>
      <c r="AE82" s="27"/>
      <c r="AF82" s="27"/>
      <c r="AG82" s="28">
        <f t="shared" si="14"/>
        <v>3.3333333333333335</v>
      </c>
      <c r="AH82" s="29"/>
      <c r="AI82" s="29"/>
      <c r="AJ82" s="29"/>
      <c r="AK82" s="29"/>
      <c r="AL82" s="29"/>
      <c r="AM82" s="29"/>
      <c r="AN82" s="29"/>
      <c r="AO82" s="29"/>
      <c r="AP82" s="29"/>
      <c r="AQ82" s="29"/>
      <c r="AR82" s="29"/>
      <c r="AS82" s="29"/>
      <c r="AT82" s="29"/>
      <c r="AU82" t="str">
        <f>IFERROR(Validation_Summary!Q5,"")</f>
        <v>✓ All 8 checks passed</v>
      </c>
    </row>
    <row r="83" spans="1:47" ht="15" customHeight="1" x14ac:dyDescent="0.3">
      <c r="A83" s="6" t="s">
        <v>8154</v>
      </c>
      <c r="B83" s="19" t="str">
        <f t="array" ref="B83">IFERROR(_xlfn.XLOOKUP($A83&amp;"|"&amp;$C83,'Company_Master'!$A$2:$A$94&amp;"|"&amp;'Company_Master'!$D$2:$D$94,'Company_Master'!$B$2:$B$94,""),"")</f>
        <v>TAPG</v>
      </c>
      <c r="C83" s="20">
        <v>2023</v>
      </c>
      <c r="D83" s="19" t="str">
        <f t="array" ref="D83">IFERROR(_xlfn.XLOOKUP($A83&amp;"|"&amp;$C83,'Company_Master'!$A$2:$A$94&amp;"|"&amp;'Company_Master'!$D$2:$D$94,'Company_Master'!$H$2:$H$94,""),"")</f>
        <v>Kalimantan (Central/East) + Jambi (Sumatra)</v>
      </c>
      <c r="E83" s="20">
        <f t="array" ref="E83">IFERROR(_xlfn.XLOOKUP($A83&amp;"|"&amp;$C83,Asset_Operations!$A$2:$A$201&amp;"|"&amp;Asset_Operations!$BG$2:$BG$201,Asset_Operations!$B$2:$B$201,""),"")</f>
        <v>160500</v>
      </c>
      <c r="F83" s="20">
        <f t="array" ref="F83">IFERROR(_xlfn.XLOOKUP($A83&amp;"|"&amp;$C83,Asset_Operations!$A$2:$A$201&amp;"|"&amp;Asset_Operations!$BG$2:$BG$201,Asset_Operations!$E$2:$E$201,""),"")</f>
        <v>129221</v>
      </c>
      <c r="G83" s="20">
        <f t="array" ref="G83">IFERROR(_xlfn.XLOOKUP($A83&amp;"|"&amp;$C83,Asset_Operations!$A$2:$A$201&amp;"|"&amp;Asset_Operations!$BG$2:$BG$201,Asset_Operations!$I$2:$I$201,""),"")</f>
        <v>0</v>
      </c>
      <c r="H83" s="20">
        <f t="array" ref="H83">IFERROR(_xlfn.XLOOKUP($A83&amp;"|"&amp;$C83,Asset_Operations!$A$2:$A$201&amp;"|"&amp;Asset_Operations!$BG$2:$BG$201,Asset_Operations!$J$2:$J$201,""),"")</f>
        <v>0</v>
      </c>
      <c r="I83" s="20">
        <f t="array" ref="I83">IFERROR(_xlfn.XLOOKUP($A83&amp;"|"&amp;$C83,Asset_Operations!$A$2:$A$201&amp;"|"&amp;Asset_Operations!$BG$2:$BG$201,Asset_Operations!$O$2:$O$201,""),"")</f>
        <v>18</v>
      </c>
      <c r="J83" s="20">
        <f t="array" ref="J83">IFERROR(_xlfn.XLOOKUP($A83&amp;"|"&amp;$C83,Asset_Operations!$A$2:$A$201&amp;"|"&amp;Asset_Operations!$BG$2:$BG$201,Asset_Operations!$S$2:$S$201,""),"")</f>
        <v>0</v>
      </c>
      <c r="K83" s="20">
        <f t="array" ref="K83">IFERROR(_xlfn.XLOOKUP($A83&amp;"|"&amp;$C83,Asset_Operations!$A$2:$A$201&amp;"|"&amp;Asset_Operations!$BG$2:$BG$201,Asset_Operations!$AC$2:$AC$201,""),"")</f>
        <v>3050000</v>
      </c>
      <c r="L83" s="20">
        <f t="array" ref="L83">IFERROR(_xlfn.XLOOKUP($A83&amp;"|"&amp;$C83,Asset_Operations!$A$2:$A$201&amp;"|"&amp;Asset_Operations!$BG$2:$BG$201,Asset_Operations!$AG$2:$AG$201,""),"")</f>
        <v>978000</v>
      </c>
      <c r="M83" s="20">
        <f t="array" ref="M83">IFERROR(_xlfn.XLOOKUP($A83&amp;"|"&amp;$C83,Asset_Operations!$A$2:$A$201&amp;"|"&amp;Asset_Operations!$BG$2:$BG$201,Asset_Operations!$AO$2:$AO$201,""),"")</f>
        <v>23.602974748686361</v>
      </c>
      <c r="N83" s="21">
        <f t="array" ref="N83">IFERROR(_xlfn.XLOOKUP($A83&amp;"|"&amp;$C83,Asset_Operations!$A$2:$A$201&amp;"|"&amp;Asset_Operations!$BG$2:$BG$201,Asset_Operations!$AR$2:$AR$201,""),"")</f>
        <v>0.23269093504639543</v>
      </c>
      <c r="O83" s="22">
        <f t="array" ref="O83">IFERROR(_xlfn.XLOOKUP($A83&amp;"|"&amp;$C83,Financials!$A$2:$A$201&amp;"|"&amp;Financials!$B$2:$B$201,Financials!$C$2:$C$201,""),"")</f>
        <v>8326</v>
      </c>
      <c r="P83" s="22">
        <f t="array" ref="P83">IFERROR(_xlfn.XLOOKUP($A83&amp;"|"&amp;$C83,Financials!$A$2:$A$201&amp;"|"&amp;Financials!$B$2:$B$201,Financials!$E$2:$E$201,""),"")</f>
        <v>0</v>
      </c>
      <c r="Q83" s="22">
        <f t="array" ref="Q83">IFERROR(_xlfn.XLOOKUP($A83&amp;"|"&amp;$C83,Financials!$A$2:$A$201&amp;"|"&amp;Financials!$B$2:$B$201,Financials!$G$2:$G$201,""),"")</f>
        <v>1661</v>
      </c>
      <c r="R83" s="22">
        <f t="array" ref="R83">IFERROR(_xlfn.XLOOKUP($A83&amp;"|"&amp;$C83,Financials!$A$2:$A$201&amp;"|"&amp;Financials!$B$2:$B$201,Financials!$S$2:$S$201,""),"")</f>
        <v>114</v>
      </c>
      <c r="S83" s="22">
        <f t="array" ref="S83">IFERROR(_xlfn.XLOOKUP($A83&amp;"|"&amp;$C83,Financials!$A$2:$A$201&amp;"|"&amp;Financials!$B$2:$B$201,Financials!$AC$2:$AC$201,""),"")</f>
        <v>10819.885</v>
      </c>
      <c r="T83" s="23">
        <f t="shared" si="10"/>
        <v>0</v>
      </c>
      <c r="U83" s="24" t="str">
        <f t="shared" si="11"/>
        <v/>
      </c>
      <c r="V83" s="25">
        <f t="shared" si="12"/>
        <v>5.1875389408099687E-2</v>
      </c>
      <c r="W83" s="24">
        <f t="shared" si="13"/>
        <v>7.5684292800705766</v>
      </c>
      <c r="X83" s="26">
        <f>IFERROR(IF(NOT(ISNUMBER($E83)),"",IF($E83&gt;=Scoring_Criteria!$D$4,5,IF($E83&gt;=Scoring_Criteria!$E$4,4,IF($E83&gt;=Scoring_Criteria!$F$4,3,IF($E83&gt;=Scoring_Criteria!$G$4,2,1))))),"")</f>
        <v>5</v>
      </c>
      <c r="Y83" s="26">
        <f>IFERROR(IF(OR(NOT(ISNUMBER($F83)),NOT(ISNUMBER($E83)),$E83=0),"",IF(($F83/$E83)&gt;=Scoring_Criteria!$D$5,5,IF(($F83/$E83)&gt;=Scoring_Criteria!$E$5,4,IF(($F83/$E83)&gt;=Scoring_Criteria!$F$5,3,IF(($F83/$E83)&gt;=Scoring_Criteria!$G$5,2,1))))),"")</f>
        <v>5</v>
      </c>
      <c r="Z83" s="26">
        <f>IFERROR(IF(AND(NOT(ISNUMBER($I83)),NOT(ISNUMBER($J83))),"",IF((IFERROR($I83,0)+IFERROR($J83,0))&gt;=Scoring_Criteria!$D$6,5,IF((IFERROR($I83,0)+IFERROR($J83,0))&gt;=Scoring_Criteria!$E$6,4,IF((IFERROR($I83,0)+IFERROR($J83,0))&gt;=Scoring_Criteria!$F$6,3,IF((IFERROR($I83,0)+IFERROR($J83,0))&gt;=Scoring_Criteria!$G$6,2,1))))),"")</f>
        <v>5</v>
      </c>
      <c r="AA83" s="26">
        <f>IFERROR(IF(NOT(ISNUMBER($M83)),"",IF($M83&gt;=Scoring_Criteria!$D$7,5,IF($M83&gt;=Scoring_Criteria!$E$7,4,IF($M83&gt;=Scoring_Criteria!$F$7,3,IF($M83&gt;=Scoring_Criteria!$G$7,2,1))))),"")</f>
        <v>5</v>
      </c>
      <c r="AB83" s="26">
        <f>IFERROR(IF(NOT(ISNUMBER($T83)),"",IF($T83&gt;=Scoring_Criteria!$D$8,5,IF($T83&gt;=Scoring_Criteria!$E$8,4,IF($T83&gt;=Scoring_Criteria!$F$8,3,IF($T83&gt;=Scoring_Criteria!$G$8,2,1))))),"")</f>
        <v>1</v>
      </c>
      <c r="AC83" s="26" t="str">
        <f>IFERROR(IF(NOT(ISNUMBER($U83)),"",IF($U83&lt;=Scoring_Criteria!$D$9,5,IF($U83&lt;=Scoring_Criteria!$E$9,4,IF($U83&lt;=Scoring_Criteria!$F$9,3,IF($U83&lt;=Scoring_Criteria!$G$9,2,1))))),"")</f>
        <v/>
      </c>
      <c r="AD83" s="26">
        <f t="array" ref="AD83">IFERROR(IF(NOT(ISNUMBER(_xlfn.XLOOKUP($A83&amp;"|"&amp;$C83,Financials!$A$2:$A$201&amp;"|"&amp;Financials!$B$2:$B$201,Financials!$AD$2:$AD$201,""))),"",IF(_xlfn.XLOOKUP($A83&amp;"|"&amp;$C83,Financials!$A$2:$A$201&amp;"|"&amp;Financials!$B$2:$B$201,Financials!$AD$2:$AD$201,"")&gt;=Scoring_Criteria!$D$10,5,IF(_xlfn.XLOOKUP($A83&amp;"|"&amp;$C83,Financials!$A$2:$A$201&amp;"|"&amp;Financials!$B$2:$B$201,Financials!$AD$2:$AD$201,"")&gt;=Scoring_Criteria!$E$10,4,IF(_xlfn.XLOOKUP($A83&amp;"|"&amp;$C83,Financials!$A$2:$A$201&amp;"|"&amp;Financials!$B$2:$B$201,Financials!$AD$2:$AD$201,"")&gt;=Scoring_Criteria!$F$10,3,IF(_xlfn.XLOOKUP($A83&amp;"|"&amp;$C83,Financials!$A$2:$A$201&amp;"|"&amp;Financials!$B$2:$B$201,Financials!$AD$2:$AD$201,"")&gt;=Scoring_Criteria!$G$10,2,1))))),"")</f>
        <v>3</v>
      </c>
      <c r="AE83" s="27"/>
      <c r="AF83" s="27"/>
      <c r="AG83" s="28">
        <f t="shared" si="14"/>
        <v>4</v>
      </c>
      <c r="AH83" s="29"/>
      <c r="AI83" s="29"/>
      <c r="AJ83" s="29"/>
      <c r="AK83" s="29"/>
      <c r="AL83" s="29"/>
      <c r="AM83" s="29"/>
      <c r="AN83" s="29"/>
      <c r="AO83" s="29"/>
      <c r="AP83" s="29"/>
      <c r="AQ83" s="29"/>
      <c r="AR83" s="29"/>
      <c r="AS83" s="29"/>
      <c r="AT83" s="29"/>
      <c r="AU83" t="str">
        <f>IFERROR(Validation_Summary!Q5,"")</f>
        <v>✓ All 8 checks passed</v>
      </c>
    </row>
    <row r="84" spans="1:47" ht="15" customHeight="1" x14ac:dyDescent="0.3">
      <c r="A84" s="6" t="s">
        <v>8154</v>
      </c>
      <c r="B84" s="19" t="str">
        <f t="array" ref="B84">IFERROR(_xlfn.XLOOKUP($A84&amp;"|"&amp;$C84,'Company_Master'!$A$2:$A$94&amp;"|"&amp;'Company_Master'!$D$2:$D$94,'Company_Master'!$B$2:$B$94,""),"")</f>
        <v>TAPG</v>
      </c>
      <c r="C84" s="20">
        <v>2024</v>
      </c>
      <c r="D84" s="19" t="str">
        <f t="array" ref="D84">IFERROR(_xlfn.XLOOKUP($A84&amp;"|"&amp;$C84,'Company_Master'!$A$2:$A$94&amp;"|"&amp;'Company_Master'!$D$2:$D$94,'Company_Master'!$H$2:$H$94,""),"")</f>
        <v>Kalimantan (Central/East) + Jambi (Sumatra)</v>
      </c>
      <c r="E84" s="20">
        <f t="array" ref="E84">IFERROR(_xlfn.XLOOKUP($A84&amp;"|"&amp;$C84,Asset_Operations!$A$2:$A$201&amp;"|"&amp;Asset_Operations!$BG$2:$BG$201,Asset_Operations!$B$2:$B$201,""),"")</f>
        <v>160800</v>
      </c>
      <c r="F84" s="20">
        <f t="array" ref="F84">IFERROR(_xlfn.XLOOKUP($A84&amp;"|"&amp;$C84,Asset_Operations!$A$2:$A$201&amp;"|"&amp;Asset_Operations!$BG$2:$BG$201,Asset_Operations!$E$2:$E$201,""),"")</f>
        <v>128178</v>
      </c>
      <c r="G84" s="20">
        <f t="array" ref="G84">IFERROR(_xlfn.XLOOKUP($A84&amp;"|"&amp;$C84,Asset_Operations!$A$2:$A$201&amp;"|"&amp;Asset_Operations!$BG$2:$BG$201,Asset_Operations!$I$2:$I$201,""),"")</f>
        <v>0</v>
      </c>
      <c r="H84" s="20">
        <f t="array" ref="H84">IFERROR(_xlfn.XLOOKUP($A84&amp;"|"&amp;$C84,Asset_Operations!$A$2:$A$201&amp;"|"&amp;Asset_Operations!$BG$2:$BG$201,Asset_Operations!$J$2:$J$201,""),"")</f>
        <v>0</v>
      </c>
      <c r="I84" s="20">
        <f t="array" ref="I84">IFERROR(_xlfn.XLOOKUP($A84&amp;"|"&amp;$C84,Asset_Operations!$A$2:$A$201&amp;"|"&amp;Asset_Operations!$BG$2:$BG$201,Asset_Operations!$O$2:$O$201,""),"")</f>
        <v>18</v>
      </c>
      <c r="J84" s="20">
        <f t="array" ref="J84">IFERROR(_xlfn.XLOOKUP($A84&amp;"|"&amp;$C84,Asset_Operations!$A$2:$A$201&amp;"|"&amp;Asset_Operations!$BG$2:$BG$201,Asset_Operations!$S$2:$S$201,""),"")</f>
        <v>0</v>
      </c>
      <c r="K84" s="20">
        <f t="array" ref="K84">IFERROR(_xlfn.XLOOKUP($A84&amp;"|"&amp;$C84,Asset_Operations!$A$2:$A$201&amp;"|"&amp;Asset_Operations!$BG$2:$BG$201,Asset_Operations!$AC$2:$AC$201,""),"")</f>
        <v>2946000</v>
      </c>
      <c r="L84" s="20">
        <f t="array" ref="L84">IFERROR(_xlfn.XLOOKUP($A84&amp;"|"&amp;$C84,Asset_Operations!$A$2:$A$201&amp;"|"&amp;Asset_Operations!$BG$2:$BG$201,Asset_Operations!$AG$2:$AG$201,""),"")</f>
        <v>916000</v>
      </c>
      <c r="M84" s="20">
        <f t="array" ref="M84">IFERROR(_xlfn.XLOOKUP($A84&amp;"|"&amp;$C84,Asset_Operations!$A$2:$A$201&amp;"|"&amp;Asset_Operations!$BG$2:$BG$201,Asset_Operations!$AO$2:$AO$201,""),"")</f>
        <v>22.983663343163414</v>
      </c>
      <c r="N84" s="21">
        <f t="array" ref="N84">IFERROR(_xlfn.XLOOKUP($A84&amp;"|"&amp;$C84,Asset_Operations!$A$2:$A$201&amp;"|"&amp;Asset_Operations!$BG$2:$BG$201,Asset_Operations!$AR$2:$AR$201,""),"")</f>
        <v>0.23119636547198386</v>
      </c>
      <c r="O84" s="22">
        <f t="array" ref="O84">IFERROR(_xlfn.XLOOKUP($A84&amp;"|"&amp;$C84,Financials!$A$2:$A$201&amp;"|"&amp;Financials!$B$2:$B$201,Financials!$C$2:$C$201,""),"")</f>
        <v>9671</v>
      </c>
      <c r="P84" s="22">
        <f t="array" ref="P84">IFERROR(_xlfn.XLOOKUP($A84&amp;"|"&amp;$C84,Financials!$A$2:$A$201&amp;"|"&amp;Financials!$B$2:$B$201,Financials!$E$2:$E$201,""),"")</f>
        <v>0</v>
      </c>
      <c r="Q84" s="22">
        <f t="array" ref="Q84">IFERROR(_xlfn.XLOOKUP($A84&amp;"|"&amp;$C84,Financials!$A$2:$A$201&amp;"|"&amp;Financials!$B$2:$B$201,Financials!$G$2:$G$201,""),"")</f>
        <v>3241</v>
      </c>
      <c r="R84" s="22">
        <f t="array" ref="R84">IFERROR(_xlfn.XLOOKUP($A84&amp;"|"&amp;$C84,Financials!$A$2:$A$201&amp;"|"&amp;Financials!$B$2:$B$201,Financials!$S$2:$S$201,""),"")</f>
        <v>-209</v>
      </c>
      <c r="S84" s="22">
        <f t="array" ref="S84">IFERROR(_xlfn.XLOOKUP($A84&amp;"|"&amp;$C84,Financials!$A$2:$A$201&amp;"|"&amp;Financials!$B$2:$B$201,Financials!$AC$2:$AC$201,""),"")</f>
        <v>15187.545</v>
      </c>
      <c r="T84" s="23">
        <f t="shared" si="10"/>
        <v>0</v>
      </c>
      <c r="U84" s="24" t="str">
        <f t="shared" si="11"/>
        <v/>
      </c>
      <c r="V84" s="25">
        <f t="shared" si="12"/>
        <v>6.0143034825870648E-2</v>
      </c>
      <c r="W84" s="24">
        <f t="shared" si="13"/>
        <v>7.1463121596529824</v>
      </c>
      <c r="X84" s="26">
        <f>IFERROR(IF(NOT(ISNUMBER($E84)),"",IF($E84&gt;=Scoring_Criteria!$D$4,5,IF($E84&gt;=Scoring_Criteria!$E$4,4,IF($E84&gt;=Scoring_Criteria!$F$4,3,IF($E84&gt;=Scoring_Criteria!$G$4,2,1))))),"")</f>
        <v>5</v>
      </c>
      <c r="Y84" s="26">
        <f>IFERROR(IF(OR(NOT(ISNUMBER($F84)),NOT(ISNUMBER($E84)),$E84=0),"",IF(($F84/$E84)&gt;=Scoring_Criteria!$D$5,5,IF(($F84/$E84)&gt;=Scoring_Criteria!$E$5,4,IF(($F84/$E84)&gt;=Scoring_Criteria!$F$5,3,IF(($F84/$E84)&gt;=Scoring_Criteria!$G$5,2,1))))),"")</f>
        <v>5</v>
      </c>
      <c r="Z84" s="26">
        <f>IFERROR(IF(AND(NOT(ISNUMBER($I84)),NOT(ISNUMBER($J84))),"",IF((IFERROR($I84,0)+IFERROR($J84,0))&gt;=Scoring_Criteria!$D$6,5,IF((IFERROR($I84,0)+IFERROR($J84,0))&gt;=Scoring_Criteria!$E$6,4,IF((IFERROR($I84,0)+IFERROR($J84,0))&gt;=Scoring_Criteria!$F$6,3,IF((IFERROR($I84,0)+IFERROR($J84,0))&gt;=Scoring_Criteria!$G$6,2,1))))),"")</f>
        <v>5</v>
      </c>
      <c r="AA84" s="26">
        <f>IFERROR(IF(NOT(ISNUMBER($M84)),"",IF($M84&gt;=Scoring_Criteria!$D$7,5,IF($M84&gt;=Scoring_Criteria!$E$7,4,IF($M84&gt;=Scoring_Criteria!$F$7,3,IF($M84&gt;=Scoring_Criteria!$G$7,2,1))))),"")</f>
        <v>5</v>
      </c>
      <c r="AB84" s="26">
        <f>IFERROR(IF(NOT(ISNUMBER($T84)),"",IF($T84&gt;=Scoring_Criteria!$D$8,5,IF($T84&gt;=Scoring_Criteria!$E$8,4,IF($T84&gt;=Scoring_Criteria!$F$8,3,IF($T84&gt;=Scoring_Criteria!$G$8,2,1))))),"")</f>
        <v>1</v>
      </c>
      <c r="AC84" s="26" t="str">
        <f>IFERROR(IF(NOT(ISNUMBER($U84)),"",IF($U84&lt;=Scoring_Criteria!$D$9,5,IF($U84&lt;=Scoring_Criteria!$E$9,4,IF($U84&lt;=Scoring_Criteria!$F$9,3,IF($U84&lt;=Scoring_Criteria!$G$9,2,1))))),"")</f>
        <v/>
      </c>
      <c r="AD84" s="26">
        <f t="array" ref="AD84">IFERROR(IF(NOT(ISNUMBER(_xlfn.XLOOKUP($A84&amp;"|"&amp;$C84,Financials!$A$2:$A$201&amp;"|"&amp;Financials!$B$2:$B$201,Financials!$AD$2:$AD$201,""))),"",IF(_xlfn.XLOOKUP($A84&amp;"|"&amp;$C84,Financials!$A$2:$A$201&amp;"|"&amp;Financials!$B$2:$B$201,Financials!$AD$2:$AD$201,"")&gt;=Scoring_Criteria!$D$10,5,IF(_xlfn.XLOOKUP($A84&amp;"|"&amp;$C84,Financials!$A$2:$A$201&amp;"|"&amp;Financials!$B$2:$B$201,Financials!$AD$2:$AD$201,"")&gt;=Scoring_Criteria!$E$10,4,IF(_xlfn.XLOOKUP($A84&amp;"|"&amp;$C84,Financials!$A$2:$A$201&amp;"|"&amp;Financials!$B$2:$B$201,Financials!$AD$2:$AD$201,"")&gt;=Scoring_Criteria!$F$10,3,IF(_xlfn.XLOOKUP($A84&amp;"|"&amp;$C84,Financials!$A$2:$A$201&amp;"|"&amp;Financials!$B$2:$B$201,Financials!$AD$2:$AD$201,"")&gt;=Scoring_Criteria!$G$10,2,1))))),"")</f>
        <v>3</v>
      </c>
      <c r="AE84" s="27"/>
      <c r="AF84" s="27"/>
      <c r="AG84" s="28">
        <f t="shared" si="14"/>
        <v>4</v>
      </c>
      <c r="AH84" s="29"/>
      <c r="AI84" s="29"/>
      <c r="AJ84" s="29"/>
      <c r="AK84" s="29"/>
      <c r="AL84" s="29"/>
      <c r="AM84" s="29"/>
      <c r="AN84" s="29"/>
      <c r="AO84" s="29"/>
      <c r="AP84" s="29"/>
      <c r="AQ84" s="29"/>
      <c r="AR84" s="29"/>
      <c r="AS84" s="29"/>
      <c r="AT84" s="29"/>
      <c r="AU84" t="str">
        <f>IFERROR(Validation_Summary!Q5,"")</f>
        <v>✓ All 8 checks passed</v>
      </c>
    </row>
    <row r="85" spans="1:47" ht="15" customHeight="1" x14ac:dyDescent="0.3">
      <c r="A85" s="6" t="s">
        <v>8154</v>
      </c>
      <c r="B85" s="19" t="str">
        <f t="array" ref="B85">IFERROR(_xlfn.XLOOKUP($A85&amp;"|"&amp;$C85,'Company_Master'!$A$2:$A$94&amp;"|"&amp;'Company_Master'!$D$2:$D$94,'Company_Master'!$B$2:$B$94,""),"")</f>
        <v>TAPG</v>
      </c>
      <c r="C85" s="20">
        <v>2025</v>
      </c>
      <c r="D85" s="19" t="str">
        <f t="array" ref="D85">IFERROR(_xlfn.XLOOKUP($A85&amp;"|"&amp;$C85,'Company_Master'!$A$2:$A$94&amp;"|"&amp;'Company_Master'!$D$2:$D$94,'Company_Master'!$H$2:$H$94,""),"")</f>
        <v>Kalimantan (Central/East) + Jambi (Sumatra)</v>
      </c>
      <c r="E85" s="20">
        <f t="array" ref="E85">IFERROR(_xlfn.XLOOKUP($A85&amp;"|"&amp;$C85,Asset_Operations!$A$2:$A$201&amp;"|"&amp;Asset_Operations!$BG$2:$BG$201,Asset_Operations!$B$2:$B$201,""),"")</f>
        <v>159700</v>
      </c>
      <c r="F85" s="20">
        <f t="array" ref="F85">IFERROR(_xlfn.XLOOKUP($A85&amp;"|"&amp;$C85,Asset_Operations!$A$2:$A$201&amp;"|"&amp;Asset_Operations!$BG$2:$BG$201,Asset_Operations!$E$2:$E$201,""),"")</f>
        <v>125201</v>
      </c>
      <c r="G85" s="20">
        <f t="array" ref="G85">IFERROR(_xlfn.XLOOKUP($A85&amp;"|"&amp;$C85,Asset_Operations!$A$2:$A$201&amp;"|"&amp;Asset_Operations!$BG$2:$BG$201,Asset_Operations!$I$2:$I$201,""),"")</f>
        <v>0</v>
      </c>
      <c r="H85" s="20">
        <f t="array" ref="H85">IFERROR(_xlfn.XLOOKUP($A85&amp;"|"&amp;$C85,Asset_Operations!$A$2:$A$201&amp;"|"&amp;Asset_Operations!$BG$2:$BG$201,Asset_Operations!$J$2:$J$201,""),"")</f>
        <v>0</v>
      </c>
      <c r="I85" s="20">
        <f t="array" ref="I85">IFERROR(_xlfn.XLOOKUP($A85&amp;"|"&amp;$C85,Asset_Operations!$A$2:$A$201&amp;"|"&amp;Asset_Operations!$BG$2:$BG$201,Asset_Operations!$O$2:$O$201,""),"")</f>
        <v>18</v>
      </c>
      <c r="J85" s="20">
        <f t="array" ref="J85">IFERROR(_xlfn.XLOOKUP($A85&amp;"|"&amp;$C85,Asset_Operations!$A$2:$A$201&amp;"|"&amp;Asset_Operations!$BG$2:$BG$201,Asset_Operations!$S$2:$S$201,""),"")</f>
        <v>0</v>
      </c>
      <c r="K85" s="20">
        <f t="array" ref="K85">IFERROR(_xlfn.XLOOKUP($A85&amp;"|"&amp;$C85,Asset_Operations!$A$2:$A$201&amp;"|"&amp;Asset_Operations!$BG$2:$BG$201,Asset_Operations!$AC$2:$AC$201,""),"")</f>
        <v>3040000</v>
      </c>
      <c r="L85" s="20">
        <f t="array" ref="L85">IFERROR(_xlfn.XLOOKUP($A85&amp;"|"&amp;$C85,Asset_Operations!$A$2:$A$201&amp;"|"&amp;Asset_Operations!$BG$2:$BG$201,Asset_Operations!$AG$2:$AG$201,""),"")</f>
        <v>953000</v>
      </c>
      <c r="M85" s="20">
        <f t="array" ref="M85">IFERROR(_xlfn.XLOOKUP($A85&amp;"|"&amp;$C85,Asset_Operations!$A$2:$A$201&amp;"|"&amp;Asset_Operations!$BG$2:$BG$201,Asset_Operations!$AO$2:$AO$201,""),"")</f>
        <v>24.280956222394391</v>
      </c>
      <c r="N85" s="21">
        <f t="array" ref="N85">IFERROR(_xlfn.XLOOKUP($A85&amp;"|"&amp;$C85,Asset_Operations!$A$2:$A$201&amp;"|"&amp;Asset_Operations!$BG$2:$BG$201,Asset_Operations!$AR$2:$AR$201,""),"")</f>
        <v>0.23306431890437759</v>
      </c>
      <c r="O85" s="22">
        <f t="array" ref="O85">IFERROR(_xlfn.XLOOKUP($A85&amp;"|"&amp;$C85,Financials!$A$2:$A$201&amp;"|"&amp;Financials!$B$2:$B$201,Financials!$C$2:$C$201,""),"")</f>
        <v>11402</v>
      </c>
      <c r="P85" s="22">
        <f t="array" ref="P85">IFERROR(_xlfn.XLOOKUP($A85&amp;"|"&amp;$C85,Financials!$A$2:$A$201&amp;"|"&amp;Financials!$B$2:$B$201,Financials!$E$2:$E$201,""),"")</f>
        <v>0</v>
      </c>
      <c r="Q85" s="22">
        <f t="array" ref="Q85">IFERROR(_xlfn.XLOOKUP($A85&amp;"|"&amp;$C85,Financials!$A$2:$A$201&amp;"|"&amp;Financials!$B$2:$B$201,Financials!$G$2:$G$201,""),"")</f>
        <v>3845</v>
      </c>
      <c r="R85" s="22">
        <f t="array" ref="R85">IFERROR(_xlfn.XLOOKUP($A85&amp;"|"&amp;$C85,Financials!$A$2:$A$201&amp;"|"&amp;Financials!$B$2:$B$201,Financials!$S$2:$S$201,""),"")</f>
        <v>-552</v>
      </c>
      <c r="S85" s="22">
        <f t="array" ref="S85">IFERROR(_xlfn.XLOOKUP($A85&amp;"|"&amp;$C85,Financials!$A$2:$A$201&amp;"|"&amp;Financials!$B$2:$B$201,Financials!$AC$2:$AC$201,""),"")</f>
        <v>29779.5</v>
      </c>
      <c r="T85" s="23">
        <f t="shared" si="10"/>
        <v>0</v>
      </c>
      <c r="U85" s="24" t="str">
        <f t="shared" si="11"/>
        <v/>
      </c>
      <c r="V85" s="25">
        <f t="shared" si="12"/>
        <v>7.1396368190356913E-2</v>
      </c>
      <c r="W85" s="24">
        <f t="shared" si="13"/>
        <v>7.6117602894545575</v>
      </c>
      <c r="X85" s="26">
        <f>IFERROR(IF(NOT(ISNUMBER($E85)),"",IF($E85&gt;=Scoring_Criteria!$D$4,5,IF($E85&gt;=Scoring_Criteria!$E$4,4,IF($E85&gt;=Scoring_Criteria!$F$4,3,IF($E85&gt;=Scoring_Criteria!$G$4,2,1))))),"")</f>
        <v>5</v>
      </c>
      <c r="Y85" s="26">
        <f>IFERROR(IF(OR(NOT(ISNUMBER($F85)),NOT(ISNUMBER($E85)),$E85=0),"",IF(($F85/$E85)&gt;=Scoring_Criteria!$D$5,5,IF(($F85/$E85)&gt;=Scoring_Criteria!$E$5,4,IF(($F85/$E85)&gt;=Scoring_Criteria!$F$5,3,IF(($F85/$E85)&gt;=Scoring_Criteria!$G$5,2,1))))),"")</f>
        <v>5</v>
      </c>
      <c r="Z85" s="26">
        <f>IFERROR(IF(AND(NOT(ISNUMBER($I85)),NOT(ISNUMBER($J85))),"",IF((IFERROR($I85,0)+IFERROR($J85,0))&gt;=Scoring_Criteria!$D$6,5,IF((IFERROR($I85,0)+IFERROR($J85,0))&gt;=Scoring_Criteria!$E$6,4,IF((IFERROR($I85,0)+IFERROR($J85,0))&gt;=Scoring_Criteria!$F$6,3,IF((IFERROR($I85,0)+IFERROR($J85,0))&gt;=Scoring_Criteria!$G$6,2,1))))),"")</f>
        <v>5</v>
      </c>
      <c r="AA85" s="26">
        <f>IFERROR(IF(NOT(ISNUMBER($M85)),"",IF($M85&gt;=Scoring_Criteria!$D$7,5,IF($M85&gt;=Scoring_Criteria!$E$7,4,IF($M85&gt;=Scoring_Criteria!$F$7,3,IF($M85&gt;=Scoring_Criteria!$G$7,2,1))))),"")</f>
        <v>5</v>
      </c>
      <c r="AB85" s="26">
        <f>IFERROR(IF(NOT(ISNUMBER($T85)),"",IF($T85&gt;=Scoring_Criteria!$D$8,5,IF($T85&gt;=Scoring_Criteria!$E$8,4,IF($T85&gt;=Scoring_Criteria!$F$8,3,IF($T85&gt;=Scoring_Criteria!$G$8,2,1))))),"")</f>
        <v>1</v>
      </c>
      <c r="AC85" s="26" t="str">
        <f>IFERROR(IF(NOT(ISNUMBER($U85)),"",IF($U85&lt;=Scoring_Criteria!$D$9,5,IF($U85&lt;=Scoring_Criteria!$E$9,4,IF($U85&lt;=Scoring_Criteria!$F$9,3,IF($U85&lt;=Scoring_Criteria!$G$9,2,1))))),"")</f>
        <v/>
      </c>
      <c r="AD85" s="26">
        <f t="array" ref="AD85">IFERROR(IF(NOT(ISNUMBER(_xlfn.XLOOKUP($A85&amp;"|"&amp;$C85,Financials!$A$2:$A$201&amp;"|"&amp;Financials!$B$2:$B$201,Financials!$AD$2:$AD$201,""))),"",IF(_xlfn.XLOOKUP($A85&amp;"|"&amp;$C85,Financials!$A$2:$A$201&amp;"|"&amp;Financials!$B$2:$B$201,Financials!$AD$2:$AD$201,"")&gt;=Scoring_Criteria!$D$10,5,IF(_xlfn.XLOOKUP($A85&amp;"|"&amp;$C85,Financials!$A$2:$A$201&amp;"|"&amp;Financials!$B$2:$B$201,Financials!$AD$2:$AD$201,"")&gt;=Scoring_Criteria!$E$10,4,IF(_xlfn.XLOOKUP($A85&amp;"|"&amp;$C85,Financials!$A$2:$A$201&amp;"|"&amp;Financials!$B$2:$B$201,Financials!$AD$2:$AD$201,"")&gt;=Scoring_Criteria!$F$10,3,IF(_xlfn.XLOOKUP($A85&amp;"|"&amp;$C85,Financials!$A$2:$A$201&amp;"|"&amp;Financials!$B$2:$B$201,Financials!$AD$2:$AD$201,"")&gt;=Scoring_Criteria!$G$10,2,1))))),"")</f>
        <v>5</v>
      </c>
      <c r="AE85" s="27"/>
      <c r="AF85" s="27"/>
      <c r="AG85" s="28">
        <f t="shared" si="14"/>
        <v>4.333333333333333</v>
      </c>
      <c r="AH85" s="29"/>
      <c r="AI85" s="29"/>
      <c r="AJ85" s="29"/>
      <c r="AK85" s="29"/>
      <c r="AL85" s="29"/>
      <c r="AM85" s="29"/>
      <c r="AN85" s="29"/>
      <c r="AO85" s="29"/>
      <c r="AP85" s="29"/>
      <c r="AQ85" s="29"/>
      <c r="AR85" s="29"/>
      <c r="AS85" s="29"/>
      <c r="AT85" s="29"/>
      <c r="AU85" t="str">
        <f>IFERROR(Validation_Summary!Q5,"")</f>
        <v>✓ All 8 checks passed</v>
      </c>
    </row>
    <row r="86" spans="1:47" ht="15" customHeight="1" x14ac:dyDescent="0.3">
      <c r="A86" s="6" t="s">
        <v>8514</v>
      </c>
      <c r="B86" s="19" t="str">
        <f t="array" ref="B86">IFERROR(_xlfn.XLOOKUP($A86&amp;"|"&amp;$C86,'Company_Master'!$A$2:$A$94&amp;"|"&amp;'Company_Master'!$D$2:$D$94,'Company_Master'!$B$2:$B$94,""),"")</f>
        <v>TLDN</v>
      </c>
      <c r="C86" s="20">
        <v>2023</v>
      </c>
      <c r="D86" s="19" t="str">
        <f t="array" ref="D86">IFERROR(_xlfn.XLOOKUP($A86&amp;"|"&amp;$C86,'Company_Master'!$A$2:$A$94&amp;"|"&amp;'Company_Master'!$D$2:$D$94,'Company_Master'!$H$2:$H$94,""),"")</f>
        <v>East Kalimantan (Berau, Kutai Timur, Paser, Kutai Kartanegara)</v>
      </c>
      <c r="E86" s="20">
        <f t="array" ref="E86">IFERROR(_xlfn.XLOOKUP($A86&amp;"|"&amp;$C86,Asset_Operations!$A$2:$A$201&amp;"|"&amp;Asset_Operations!$BG$2:$BG$201,Asset_Operations!$B$2:$B$201,""),"")</f>
        <v>60497</v>
      </c>
      <c r="F86" s="20">
        <f t="array" ref="F86">IFERROR(_xlfn.XLOOKUP($A86&amp;"|"&amp;$C86,Asset_Operations!$A$2:$A$201&amp;"|"&amp;Asset_Operations!$BG$2:$BG$201,Asset_Operations!$E$2:$E$201,""),"")</f>
        <v>59937</v>
      </c>
      <c r="G86" s="20">
        <f t="array" ref="G86">IFERROR(_xlfn.XLOOKUP($A86&amp;"|"&amp;$C86,Asset_Operations!$A$2:$A$201&amp;"|"&amp;Asset_Operations!$BG$2:$BG$201,Asset_Operations!$I$2:$I$201,""),"")</f>
        <v>14.5</v>
      </c>
      <c r="H86" s="20">
        <f t="array" ref="H86">IFERROR(_xlfn.XLOOKUP($A86&amp;"|"&amp;$C86,Asset_Operations!$A$2:$A$201&amp;"|"&amp;Asset_Operations!$BG$2:$BG$201,Asset_Operations!$J$2:$J$201,""),"")</f>
        <v>0</v>
      </c>
      <c r="I86" s="20">
        <f t="array" ref="I86">IFERROR(_xlfn.XLOOKUP($A86&amp;"|"&amp;$C86,Asset_Operations!$A$2:$A$201&amp;"|"&amp;Asset_Operations!$BG$2:$BG$201,Asset_Operations!$O$2:$O$201,""),"")</f>
        <v>6</v>
      </c>
      <c r="J86" s="20">
        <f t="array" ref="J86">IFERROR(_xlfn.XLOOKUP($A86&amp;"|"&amp;$C86,Asset_Operations!$A$2:$A$201&amp;"|"&amp;Asset_Operations!$BG$2:$BG$201,Asset_Operations!$S$2:$S$201,""),"")</f>
        <v>0</v>
      </c>
      <c r="K86" s="20">
        <f t="array" ref="K86">IFERROR(_xlfn.XLOOKUP($A86&amp;"|"&amp;$C86,Asset_Operations!$A$2:$A$201&amp;"|"&amp;Asset_Operations!$BG$2:$BG$201,Asset_Operations!$AC$2:$AC$201,""),"")</f>
        <v>1068338</v>
      </c>
      <c r="L86" s="20">
        <f t="array" ref="L86">IFERROR(_xlfn.XLOOKUP($A86&amp;"|"&amp;$C86,Asset_Operations!$A$2:$A$201&amp;"|"&amp;Asset_Operations!$BG$2:$BG$201,Asset_Operations!$AG$2:$AG$201,""),"")</f>
        <v>327688</v>
      </c>
      <c r="M86" s="20">
        <f t="array" ref="M86">IFERROR(_xlfn.XLOOKUP($A86&amp;"|"&amp;$C86,Asset_Operations!$A$2:$A$201&amp;"|"&amp;Asset_Operations!$BG$2:$BG$201,Asset_Operations!$AO$2:$AO$201,""),"")</f>
        <v>17.824348899677997</v>
      </c>
      <c r="N86" s="21">
        <f t="array" ref="N86">IFERROR(_xlfn.XLOOKUP($A86&amp;"|"&amp;$C86,Asset_Operations!$A$2:$A$201&amp;"|"&amp;Asset_Operations!$BG$2:$BG$201,Asset_Operations!$AR$2:$AR$201,""),"")</f>
        <v>0.232476701817315</v>
      </c>
      <c r="O86" s="22">
        <f t="array" ref="O86">IFERROR(_xlfn.XLOOKUP($A86&amp;"|"&amp;$C86,Financials!$A$2:$A$201&amp;"|"&amp;Financials!$B$2:$B$201,Financials!$C$2:$C$201,""),"")</f>
        <v>4007</v>
      </c>
      <c r="P86" s="22">
        <f t="array" ref="P86">IFERROR(_xlfn.XLOOKUP($A86&amp;"|"&amp;$C86,Financials!$A$2:$A$201&amp;"|"&amp;Financials!$B$2:$B$201,Financials!$E$2:$E$201,""),"")</f>
        <v>0</v>
      </c>
      <c r="Q86" s="22">
        <f t="array" ref="Q86">IFERROR(_xlfn.XLOOKUP($A86&amp;"|"&amp;$C86,Financials!$A$2:$A$201&amp;"|"&amp;Financials!$B$2:$B$201,Financials!$G$2:$G$201,""),"")</f>
        <v>452</v>
      </c>
      <c r="R86" s="22">
        <f t="array" ref="R86">IFERROR(_xlfn.XLOOKUP($A86&amp;"|"&amp;$C86,Financials!$A$2:$A$201&amp;"|"&amp;Financials!$B$2:$B$201,Financials!$S$2:$S$201,""),"")</f>
        <v>381</v>
      </c>
      <c r="S86" s="22">
        <f t="array" ref="S86">IFERROR(_xlfn.XLOOKUP($A86&amp;"|"&amp;$C86,Financials!$A$2:$A$201&amp;"|"&amp;Financials!$B$2:$B$201,Financials!$AC$2:$AC$201,""),"")</f>
        <v>5826.15</v>
      </c>
      <c r="T86" s="23">
        <f t="shared" si="10"/>
        <v>0</v>
      </c>
      <c r="U86" s="24" t="str">
        <f t="shared" si="11"/>
        <v/>
      </c>
      <c r="V86" s="25">
        <f t="shared" si="12"/>
        <v>6.6234689323437526E-2</v>
      </c>
      <c r="W86" s="24">
        <f t="shared" si="13"/>
        <v>5.4672072342626423</v>
      </c>
      <c r="X86" s="26">
        <f>IFERROR(IF(NOT(ISNUMBER($E86)),"",IF($E86&gt;=Scoring_Criteria!$D$4,5,IF($E86&gt;=Scoring_Criteria!$E$4,4,IF($E86&gt;=Scoring_Criteria!$F$4,3,IF($E86&gt;=Scoring_Criteria!$G$4,2,1))))),"")</f>
        <v>3</v>
      </c>
      <c r="Y86" s="26">
        <f>IFERROR(IF(OR(NOT(ISNUMBER($F86)),NOT(ISNUMBER($E86)),$E86=0),"",IF(($F86/$E86)&gt;=Scoring_Criteria!$D$5,5,IF(($F86/$E86)&gt;=Scoring_Criteria!$E$5,4,IF(($F86/$E86)&gt;=Scoring_Criteria!$F$5,3,IF(($F86/$E86)&gt;=Scoring_Criteria!$G$5,2,1))))),"")</f>
        <v>5</v>
      </c>
      <c r="Z86" s="26">
        <f>IFERROR(IF(AND(NOT(ISNUMBER($I86)),NOT(ISNUMBER($J86))),"",IF((IFERROR($I86,0)+IFERROR($J86,0))&gt;=Scoring_Criteria!$D$6,5,IF((IFERROR($I86,0)+IFERROR($J86,0))&gt;=Scoring_Criteria!$E$6,4,IF((IFERROR($I86,0)+IFERROR($J86,0))&gt;=Scoring_Criteria!$F$6,3,IF((IFERROR($I86,0)+IFERROR($J86,0))&gt;=Scoring_Criteria!$G$6,2,1))))),"")</f>
        <v>4</v>
      </c>
      <c r="AA86" s="26">
        <f>IFERROR(IF(NOT(ISNUMBER($M86)),"",IF($M86&gt;=Scoring_Criteria!$D$7,5,IF($M86&gt;=Scoring_Criteria!$E$7,4,IF($M86&gt;=Scoring_Criteria!$F$7,3,IF($M86&gt;=Scoring_Criteria!$G$7,2,1))))),"")</f>
        <v>3</v>
      </c>
      <c r="AB86" s="26">
        <f>IFERROR(IF(NOT(ISNUMBER($T86)),"",IF($T86&gt;=Scoring_Criteria!$D$8,5,IF($T86&gt;=Scoring_Criteria!$E$8,4,IF($T86&gt;=Scoring_Criteria!$F$8,3,IF($T86&gt;=Scoring_Criteria!$G$8,2,1))))),"")</f>
        <v>1</v>
      </c>
      <c r="AC86" s="26" t="str">
        <f>IFERROR(IF(NOT(ISNUMBER($U86)),"",IF($U86&lt;=Scoring_Criteria!$D$9,5,IF($U86&lt;=Scoring_Criteria!$E$9,4,IF($U86&lt;=Scoring_Criteria!$F$9,3,IF($U86&lt;=Scoring_Criteria!$G$9,2,1))))),"")</f>
        <v/>
      </c>
      <c r="AD86" s="26">
        <f t="array" ref="AD86">IFERROR(IF(NOT(ISNUMBER(_xlfn.XLOOKUP($A86&amp;"|"&amp;$C86,Financials!$A$2:$A$201&amp;"|"&amp;Financials!$B$2:$B$201,Financials!$AD$2:$AD$201,""))),"",IF(_xlfn.XLOOKUP($A86&amp;"|"&amp;$C86,Financials!$A$2:$A$201&amp;"|"&amp;Financials!$B$2:$B$201,Financials!$AD$2:$AD$201,"")&gt;=Scoring_Criteria!$D$10,5,IF(_xlfn.XLOOKUP($A86&amp;"|"&amp;$C86,Financials!$A$2:$A$201&amp;"|"&amp;Financials!$B$2:$B$201,Financials!$AD$2:$AD$201,"")&gt;=Scoring_Criteria!$E$10,4,IF(_xlfn.XLOOKUP($A86&amp;"|"&amp;$C86,Financials!$A$2:$A$201&amp;"|"&amp;Financials!$B$2:$B$201,Financials!$AD$2:$AD$201,"")&gt;=Scoring_Criteria!$F$10,3,IF(_xlfn.XLOOKUP($A86&amp;"|"&amp;$C86,Financials!$A$2:$A$201&amp;"|"&amp;Financials!$B$2:$B$201,Financials!$AD$2:$AD$201,"")&gt;=Scoring_Criteria!$G$10,2,1))))),"")</f>
        <v>1</v>
      </c>
      <c r="AE86" s="27"/>
      <c r="AF86" s="27"/>
      <c r="AG86" s="28">
        <f t="shared" si="14"/>
        <v>2.8333333333333335</v>
      </c>
      <c r="AH86" s="29"/>
      <c r="AI86" s="29"/>
      <c r="AJ86" s="29"/>
      <c r="AK86" s="29"/>
      <c r="AL86" s="29"/>
      <c r="AM86" s="29"/>
      <c r="AN86" s="29"/>
      <c r="AO86" s="29"/>
      <c r="AP86" s="29"/>
      <c r="AQ86" s="29"/>
      <c r="AR86" s="29"/>
      <c r="AS86" s="29"/>
      <c r="AT86" s="29"/>
      <c r="AU86" t="str">
        <f>IFERROR(Validation_Summary!Q5,"")</f>
        <v>✓ All 8 checks passed</v>
      </c>
    </row>
    <row r="87" spans="1:47" ht="15" customHeight="1" x14ac:dyDescent="0.3">
      <c r="A87" s="6" t="s">
        <v>8514</v>
      </c>
      <c r="B87" s="19" t="str">
        <f t="array" ref="B87">IFERROR(_xlfn.XLOOKUP($A87&amp;"|"&amp;$C87,'Company_Master'!$A$2:$A$94&amp;"|"&amp;'Company_Master'!$D$2:$D$94,'Company_Master'!$B$2:$B$94,""),"")</f>
        <v>TLDN</v>
      </c>
      <c r="C87" s="20">
        <v>2024</v>
      </c>
      <c r="D87" s="19" t="str">
        <f t="array" ref="D87">IFERROR(_xlfn.XLOOKUP($A87&amp;"|"&amp;$C87,'Company_Master'!$A$2:$A$94&amp;"|"&amp;'Company_Master'!$D$2:$D$94,'Company_Master'!$H$2:$H$94,""),"")</f>
        <v>East Kalimantan (Berau, Kutai Timur, Paser, Kutai Kartanegara)</v>
      </c>
      <c r="E87" s="20">
        <f t="array" ref="E87">IFERROR(_xlfn.XLOOKUP($A87&amp;"|"&amp;$C87,Asset_Operations!$A$2:$A$201&amp;"|"&amp;Asset_Operations!$BG$2:$BG$201,Asset_Operations!$B$2:$B$201,""),"")</f>
        <v>60515</v>
      </c>
      <c r="F87" s="20">
        <f t="array" ref="F87">IFERROR(_xlfn.XLOOKUP($A87&amp;"|"&amp;$C87,Asset_Operations!$A$2:$A$201&amp;"|"&amp;Asset_Operations!$BG$2:$BG$201,Asset_Operations!$E$2:$E$201,""),"")</f>
        <v>59165</v>
      </c>
      <c r="G87" s="20">
        <f t="array" ref="G87">IFERROR(_xlfn.XLOOKUP($A87&amp;"|"&amp;$C87,Asset_Operations!$A$2:$A$201&amp;"|"&amp;Asset_Operations!$BG$2:$BG$201,Asset_Operations!$I$2:$I$201,""),"")</f>
        <v>15.5</v>
      </c>
      <c r="H87" s="20">
        <f t="array" ref="H87">IFERROR(_xlfn.XLOOKUP($A87&amp;"|"&amp;$C87,Asset_Operations!$A$2:$A$201&amp;"|"&amp;Asset_Operations!$BG$2:$BG$201,Asset_Operations!$J$2:$J$201,""),"")</f>
        <v>0</v>
      </c>
      <c r="I87" s="20">
        <f t="array" ref="I87">IFERROR(_xlfn.XLOOKUP($A87&amp;"|"&amp;$C87,Asset_Operations!$A$2:$A$201&amp;"|"&amp;Asset_Operations!$BG$2:$BG$201,Asset_Operations!$O$2:$O$201,""),"")</f>
        <v>6</v>
      </c>
      <c r="J87" s="20">
        <f t="array" ref="J87">IFERROR(_xlfn.XLOOKUP($A87&amp;"|"&amp;$C87,Asset_Operations!$A$2:$A$201&amp;"|"&amp;Asset_Operations!$BG$2:$BG$201,Asset_Operations!$S$2:$S$201,""),"")</f>
        <v>0</v>
      </c>
      <c r="K87" s="20">
        <f t="array" ref="K87">IFERROR(_xlfn.XLOOKUP($A87&amp;"|"&amp;$C87,Asset_Operations!$A$2:$A$201&amp;"|"&amp;Asset_Operations!$BG$2:$BG$201,Asset_Operations!$AC$2:$AC$201,""),"")</f>
        <v>1071173</v>
      </c>
      <c r="L87" s="20">
        <f t="array" ref="L87">IFERROR(_xlfn.XLOOKUP($A87&amp;"|"&amp;$C87,Asset_Operations!$A$2:$A$201&amp;"|"&amp;Asset_Operations!$BG$2:$BG$201,Asset_Operations!$AG$2:$AG$201,""),"")</f>
        <v>324857</v>
      </c>
      <c r="M87" s="20">
        <f t="array" ref="M87">IFERROR(_xlfn.XLOOKUP($A87&amp;"|"&amp;$C87,Asset_Operations!$A$2:$A$201&amp;"|"&amp;Asset_Operations!$BG$2:$BG$201,Asset_Operations!$AO$2:$AO$201,""),"")</f>
        <v>18.104842389926478</v>
      </c>
      <c r="N87" s="21">
        <f t="array" ref="N87">IFERROR(_xlfn.XLOOKUP($A87&amp;"|"&amp;$C87,Asset_Operations!$A$2:$A$201&amp;"|"&amp;Asset_Operations!$BG$2:$BG$201,Asset_Operations!$AR$2:$AR$201,""),"")</f>
        <v>0.23511790382267347</v>
      </c>
      <c r="O87" s="22">
        <f t="array" ref="O87">IFERROR(_xlfn.XLOOKUP($A87&amp;"|"&amp;$C87,Financials!$A$2:$A$201&amp;"|"&amp;Financials!$B$2:$B$201,Financials!$C$2:$C$201,""),"")</f>
        <v>4211</v>
      </c>
      <c r="P87" s="22">
        <f t="array" ref="P87">IFERROR(_xlfn.XLOOKUP($A87&amp;"|"&amp;$C87,Financials!$A$2:$A$201&amp;"|"&amp;Financials!$B$2:$B$201,Financials!$E$2:$E$201,""),"")</f>
        <v>1390</v>
      </c>
      <c r="Q87" s="22">
        <f t="array" ref="Q87">IFERROR(_xlfn.XLOOKUP($A87&amp;"|"&amp;$C87,Financials!$A$2:$A$201&amp;"|"&amp;Financials!$B$2:$B$201,Financials!$G$2:$G$201,""),"")</f>
        <v>826</v>
      </c>
      <c r="R87" s="22">
        <f t="array" ref="R87">IFERROR(_xlfn.XLOOKUP($A87&amp;"|"&amp;$C87,Financials!$A$2:$A$201&amp;"|"&amp;Financials!$B$2:$B$201,Financials!$S$2:$S$201,""),"")</f>
        <v>33</v>
      </c>
      <c r="S87" s="22">
        <f t="array" ref="S87">IFERROR(_xlfn.XLOOKUP($A87&amp;"|"&amp;$C87,Financials!$A$2:$A$201&amp;"|"&amp;Financials!$B$2:$B$201,Financials!$AC$2:$AC$201,""),"")</f>
        <v>7056.1149999999998</v>
      </c>
      <c r="T87" s="23">
        <f t="shared" si="10"/>
        <v>0.33008786511517452</v>
      </c>
      <c r="U87" s="24">
        <f t="shared" si="11"/>
        <v>2.3741007194244605E-2</v>
      </c>
      <c r="V87" s="25">
        <f t="shared" si="12"/>
        <v>6.9586053044699656E-2</v>
      </c>
      <c r="W87" s="24">
        <f t="shared" si="13"/>
        <v>5.4906955125496495</v>
      </c>
      <c r="X87" s="26">
        <f>IFERROR(IF(NOT(ISNUMBER($E87)),"",IF($E87&gt;=Scoring_Criteria!$D$4,5,IF($E87&gt;=Scoring_Criteria!$E$4,4,IF($E87&gt;=Scoring_Criteria!$F$4,3,IF($E87&gt;=Scoring_Criteria!$G$4,2,1))))),"")</f>
        <v>3</v>
      </c>
      <c r="Y87" s="26">
        <f>IFERROR(IF(OR(NOT(ISNUMBER($F87)),NOT(ISNUMBER($E87)),$E87=0),"",IF(($F87/$E87)&gt;=Scoring_Criteria!$D$5,5,IF(($F87/$E87)&gt;=Scoring_Criteria!$E$5,4,IF(($F87/$E87)&gt;=Scoring_Criteria!$F$5,3,IF(($F87/$E87)&gt;=Scoring_Criteria!$G$5,2,1))))),"")</f>
        <v>5</v>
      </c>
      <c r="Z87" s="26">
        <f>IFERROR(IF(AND(NOT(ISNUMBER($I87)),NOT(ISNUMBER($J87))),"",IF((IFERROR($I87,0)+IFERROR($J87,0))&gt;=Scoring_Criteria!$D$6,5,IF((IFERROR($I87,0)+IFERROR($J87,0))&gt;=Scoring_Criteria!$E$6,4,IF((IFERROR($I87,0)+IFERROR($J87,0))&gt;=Scoring_Criteria!$F$6,3,IF((IFERROR($I87,0)+IFERROR($J87,0))&gt;=Scoring_Criteria!$G$6,2,1))))),"")</f>
        <v>4</v>
      </c>
      <c r="AA87" s="26">
        <f>IFERROR(IF(NOT(ISNUMBER($M87)),"",IF($M87&gt;=Scoring_Criteria!$D$7,5,IF($M87&gt;=Scoring_Criteria!$E$7,4,IF($M87&gt;=Scoring_Criteria!$F$7,3,IF($M87&gt;=Scoring_Criteria!$G$7,2,1))))),"")</f>
        <v>4</v>
      </c>
      <c r="AB87" s="26">
        <f>IFERROR(IF(NOT(ISNUMBER($T87)),"",IF($T87&gt;=Scoring_Criteria!$D$8,5,IF($T87&gt;=Scoring_Criteria!$E$8,4,IF($T87&gt;=Scoring_Criteria!$F$8,3,IF($T87&gt;=Scoring_Criteria!$G$8,2,1))))),"")</f>
        <v>5</v>
      </c>
      <c r="AC87" s="26">
        <f>IFERROR(IF(NOT(ISNUMBER($U87)),"",IF($U87&lt;=Scoring_Criteria!$D$9,5,IF($U87&lt;=Scoring_Criteria!$E$9,4,IF($U87&lt;=Scoring_Criteria!$F$9,3,IF($U87&lt;=Scoring_Criteria!$G$9,2,1))))),"")</f>
        <v>5</v>
      </c>
      <c r="AD87" s="26">
        <f t="array" ref="AD87">IFERROR(IF(NOT(ISNUMBER(_xlfn.XLOOKUP($A87&amp;"|"&amp;$C87,Financials!$A$2:$A$201&amp;"|"&amp;Financials!$B$2:$B$201,Financials!$AD$2:$AD$201,""))),"",IF(_xlfn.XLOOKUP($A87&amp;"|"&amp;$C87,Financials!$A$2:$A$201&amp;"|"&amp;Financials!$B$2:$B$201,Financials!$AD$2:$AD$201,"")&gt;=Scoring_Criteria!$D$10,5,IF(_xlfn.XLOOKUP($A87&amp;"|"&amp;$C87,Financials!$A$2:$A$201&amp;"|"&amp;Financials!$B$2:$B$201,Financials!$AD$2:$AD$201,"")&gt;=Scoring_Criteria!$E$10,4,IF(_xlfn.XLOOKUP($A87&amp;"|"&amp;$C87,Financials!$A$2:$A$201&amp;"|"&amp;Financials!$B$2:$B$201,Financials!$AD$2:$AD$201,"")&gt;=Scoring_Criteria!$F$10,3,IF(_xlfn.XLOOKUP($A87&amp;"|"&amp;$C87,Financials!$A$2:$A$201&amp;"|"&amp;Financials!$B$2:$B$201,Financials!$AD$2:$AD$201,"")&gt;=Scoring_Criteria!$G$10,2,1))))),"")</f>
        <v>2</v>
      </c>
      <c r="AE87" s="27"/>
      <c r="AF87" s="27"/>
      <c r="AG87" s="28">
        <f t="shared" si="14"/>
        <v>4</v>
      </c>
      <c r="AH87" s="29"/>
      <c r="AI87" s="29"/>
      <c r="AJ87" s="29"/>
      <c r="AK87" s="29"/>
      <c r="AL87" s="29"/>
      <c r="AM87" s="29"/>
      <c r="AN87" s="29"/>
      <c r="AO87" s="29"/>
      <c r="AP87" s="29"/>
      <c r="AQ87" s="29"/>
      <c r="AR87" s="29"/>
      <c r="AS87" s="29"/>
      <c r="AT87" s="29"/>
      <c r="AU87" t="str">
        <f>IFERROR(Validation_Summary!Q5,"")</f>
        <v>✓ All 8 checks passed</v>
      </c>
    </row>
    <row r="88" spans="1:47" ht="15" customHeight="1" x14ac:dyDescent="0.3">
      <c r="A88" s="6" t="s">
        <v>8514</v>
      </c>
      <c r="B88" s="19" t="str">
        <f t="array" ref="B88">IFERROR(_xlfn.XLOOKUP($A88&amp;"|"&amp;$C88,'Company_Master'!$A$2:$A$94&amp;"|"&amp;'Company_Master'!$D$2:$D$94,'Company_Master'!$B$2:$B$94,""),"")</f>
        <v>TLDN</v>
      </c>
      <c r="C88" s="20">
        <v>2025</v>
      </c>
      <c r="D88" s="19" t="str">
        <f t="array" ref="D88">IFERROR(_xlfn.XLOOKUP($A88&amp;"|"&amp;$C88,'Company_Master'!$A$2:$A$94&amp;"|"&amp;'Company_Master'!$D$2:$D$94,'Company_Master'!$H$2:$H$94,""),"")</f>
        <v>East Kalimantan (Berau, Kutai Timur, Paser, Kutai Kartanegara)</v>
      </c>
      <c r="E88" s="20">
        <f t="array" ref="E88">IFERROR(_xlfn.XLOOKUP($A88&amp;"|"&amp;$C88,Asset_Operations!$A$2:$A$201&amp;"|"&amp;Asset_Operations!$BG$2:$BG$201,Asset_Operations!$B$2:$B$201,""),"")</f>
        <v>64430</v>
      </c>
      <c r="F88" s="20">
        <f t="array" ref="F88">IFERROR(_xlfn.XLOOKUP($A88&amp;"|"&amp;$C88,Asset_Operations!$A$2:$A$201&amp;"|"&amp;Asset_Operations!$BG$2:$BG$201,Asset_Operations!$E$2:$E$201,""),"")</f>
        <v>63975</v>
      </c>
      <c r="G88" s="20">
        <f t="array" ref="G88">IFERROR(_xlfn.XLOOKUP($A88&amp;"|"&amp;$C88,Asset_Operations!$A$2:$A$201&amp;"|"&amp;Asset_Operations!$BG$2:$BG$201,Asset_Operations!$I$2:$I$201,""),"")</f>
        <v>16.100000000000001</v>
      </c>
      <c r="H88" s="20">
        <f t="array" ref="H88">IFERROR(_xlfn.XLOOKUP($A88&amp;"|"&amp;$C88,Asset_Operations!$A$2:$A$201&amp;"|"&amp;Asset_Operations!$BG$2:$BG$201,Asset_Operations!$J$2:$J$201,""),"")</f>
        <v>0</v>
      </c>
      <c r="I88" s="20">
        <f t="array" ref="I88">IFERROR(_xlfn.XLOOKUP($A88&amp;"|"&amp;$C88,Asset_Operations!$A$2:$A$201&amp;"|"&amp;Asset_Operations!$BG$2:$BG$201,Asset_Operations!$O$2:$O$201,""),"")</f>
        <v>6</v>
      </c>
      <c r="J88" s="20">
        <f t="array" ref="J88">IFERROR(_xlfn.XLOOKUP($A88&amp;"|"&amp;$C88,Asset_Operations!$A$2:$A$201&amp;"|"&amp;Asset_Operations!$BG$2:$BG$201,Asset_Operations!$S$2:$S$201,""),"")</f>
        <v>0</v>
      </c>
      <c r="K88" s="20">
        <f t="array" ref="K88">IFERROR(_xlfn.XLOOKUP($A88&amp;"|"&amp;$C88,Asset_Operations!$A$2:$A$201&amp;"|"&amp;Asset_Operations!$BG$2:$BG$201,Asset_Operations!$AC$2:$AC$201,""),"")</f>
        <v>1109558</v>
      </c>
      <c r="L88" s="20">
        <f t="array" ref="L88">IFERROR(_xlfn.XLOOKUP($A88&amp;"|"&amp;$C88,Asset_Operations!$A$2:$A$201&amp;"|"&amp;Asset_Operations!$BG$2:$BG$201,Asset_Operations!$AG$2:$AG$201,""),"")</f>
        <v>333092</v>
      </c>
      <c r="M88" s="20">
        <f t="array" ref="M88">IFERROR(_xlfn.XLOOKUP($A88&amp;"|"&amp;$C88,Asset_Operations!$A$2:$A$201&amp;"|"&amp;Asset_Operations!$BG$2:$BG$201,Asset_Operations!$AO$2:$AO$201,""),"")</f>
        <v>17.343618601016022</v>
      </c>
      <c r="N88" s="21">
        <f t="array" ref="N88">IFERROR(_xlfn.XLOOKUP($A88&amp;"|"&amp;$C88,Asset_Operations!$A$2:$A$201&amp;"|"&amp;Asset_Operations!$BG$2:$BG$201,Asset_Operations!$AR$2:$AR$201,""),"")</f>
        <v>0.22760907697553504</v>
      </c>
      <c r="O88" s="22">
        <f t="array" ref="O88">IFERROR(_xlfn.XLOOKUP($A88&amp;"|"&amp;$C88,Financials!$A$2:$A$201&amp;"|"&amp;Financials!$B$2:$B$201,Financials!$C$2:$C$201,""),"")</f>
        <v>5421</v>
      </c>
      <c r="P88" s="22">
        <f t="array" ref="P88">IFERROR(_xlfn.XLOOKUP($A88&amp;"|"&amp;$C88,Financials!$A$2:$A$201&amp;"|"&amp;Financials!$B$2:$B$201,Financials!$E$2:$E$201,""),"")</f>
        <v>0</v>
      </c>
      <c r="Q88" s="22">
        <f t="array" ref="Q88">IFERROR(_xlfn.XLOOKUP($A88&amp;"|"&amp;$C88,Financials!$A$2:$A$201&amp;"|"&amp;Financials!$B$2:$B$201,Financials!$G$2:$G$201,""),"")</f>
        <v>1107</v>
      </c>
      <c r="R88" s="22">
        <f t="array" ref="R88">IFERROR(_xlfn.XLOOKUP($A88&amp;"|"&amp;$C88,Financials!$A$2:$A$201&amp;"|"&amp;Financials!$B$2:$B$201,Financials!$S$2:$S$201,""),"")</f>
        <v>621.74</v>
      </c>
      <c r="S88" s="22">
        <f t="array" ref="S88">IFERROR(_xlfn.XLOOKUP($A88&amp;"|"&amp;$C88,Financials!$A$2:$A$201&amp;"|"&amp;Financials!$B$2:$B$201,Financials!$AC$2:$AC$201,""),"")</f>
        <v>9062.9</v>
      </c>
      <c r="T88" s="23">
        <f t="shared" si="10"/>
        <v>0</v>
      </c>
      <c r="U88" s="24" t="str">
        <f t="shared" si="11"/>
        <v/>
      </c>
      <c r="V88" s="25">
        <f t="shared" si="12"/>
        <v>8.4137823995033376E-2</v>
      </c>
      <c r="W88" s="24">
        <f t="shared" si="13"/>
        <v>5.2065963266901134</v>
      </c>
      <c r="X88" s="26">
        <f>IFERROR(IF(NOT(ISNUMBER($E88)),"",IF($E88&gt;=Scoring_Criteria!$D$4,5,IF($E88&gt;=Scoring_Criteria!$E$4,4,IF($E88&gt;=Scoring_Criteria!$F$4,3,IF($E88&gt;=Scoring_Criteria!$G$4,2,1))))),"")</f>
        <v>3</v>
      </c>
      <c r="Y88" s="26">
        <f>IFERROR(IF(OR(NOT(ISNUMBER($F88)),NOT(ISNUMBER($E88)),$E88=0),"",IF(($F88/$E88)&gt;=Scoring_Criteria!$D$5,5,IF(($F88/$E88)&gt;=Scoring_Criteria!$E$5,4,IF(($F88/$E88)&gt;=Scoring_Criteria!$F$5,3,IF(($F88/$E88)&gt;=Scoring_Criteria!$G$5,2,1))))),"")</f>
        <v>5</v>
      </c>
      <c r="Z88" s="26">
        <f>IFERROR(IF(AND(NOT(ISNUMBER($I88)),NOT(ISNUMBER($J88))),"",IF((IFERROR($I88,0)+IFERROR($J88,0))&gt;=Scoring_Criteria!$D$6,5,IF((IFERROR($I88,0)+IFERROR($J88,0))&gt;=Scoring_Criteria!$E$6,4,IF((IFERROR($I88,0)+IFERROR($J88,0))&gt;=Scoring_Criteria!$F$6,3,IF((IFERROR($I88,0)+IFERROR($J88,0))&gt;=Scoring_Criteria!$G$6,2,1))))),"")</f>
        <v>4</v>
      </c>
      <c r="AA88" s="26">
        <f>IFERROR(IF(NOT(ISNUMBER($M88)),"",IF($M88&gt;=Scoring_Criteria!$D$7,5,IF($M88&gt;=Scoring_Criteria!$E$7,4,IF($M88&gt;=Scoring_Criteria!$F$7,3,IF($M88&gt;=Scoring_Criteria!$G$7,2,1))))),"")</f>
        <v>3</v>
      </c>
      <c r="AB88" s="26">
        <f>IFERROR(IF(NOT(ISNUMBER($T88)),"",IF($T88&gt;=Scoring_Criteria!$D$8,5,IF($T88&gt;=Scoring_Criteria!$E$8,4,IF($T88&gt;=Scoring_Criteria!$F$8,3,IF($T88&gt;=Scoring_Criteria!$G$8,2,1))))),"")</f>
        <v>1</v>
      </c>
      <c r="AC88" s="26" t="str">
        <f>IFERROR(IF(NOT(ISNUMBER($U88)),"",IF($U88&lt;=Scoring_Criteria!$D$9,5,IF($U88&lt;=Scoring_Criteria!$E$9,4,IF($U88&lt;=Scoring_Criteria!$F$9,3,IF($U88&lt;=Scoring_Criteria!$G$9,2,1))))),"")</f>
        <v/>
      </c>
      <c r="AD88" s="26">
        <f t="array" ref="AD88">IFERROR(IF(NOT(ISNUMBER(_xlfn.XLOOKUP($A88&amp;"|"&amp;$C88,Financials!$A$2:$A$201&amp;"|"&amp;Financials!$B$2:$B$201,Financials!$AD$2:$AD$201,""))),"",IF(_xlfn.XLOOKUP($A88&amp;"|"&amp;$C88,Financials!$A$2:$A$201&amp;"|"&amp;Financials!$B$2:$B$201,Financials!$AD$2:$AD$201,"")&gt;=Scoring_Criteria!$D$10,5,IF(_xlfn.XLOOKUP($A88&amp;"|"&amp;$C88,Financials!$A$2:$A$201&amp;"|"&amp;Financials!$B$2:$B$201,Financials!$AD$2:$AD$201,"")&gt;=Scoring_Criteria!$E$10,4,IF(_xlfn.XLOOKUP($A88&amp;"|"&amp;$C88,Financials!$A$2:$A$201&amp;"|"&amp;Financials!$B$2:$B$201,Financials!$AD$2:$AD$201,"")&gt;=Scoring_Criteria!$F$10,3,IF(_xlfn.XLOOKUP($A88&amp;"|"&amp;$C88,Financials!$A$2:$A$201&amp;"|"&amp;Financials!$B$2:$B$201,Financials!$AD$2:$AD$201,"")&gt;=Scoring_Criteria!$G$10,2,1))))),"")</f>
        <v>2</v>
      </c>
      <c r="AE88" s="27"/>
      <c r="AF88" s="27"/>
      <c r="AG88" s="28">
        <f t="shared" si="14"/>
        <v>3</v>
      </c>
      <c r="AH88" s="29"/>
      <c r="AI88" s="29"/>
      <c r="AJ88" s="29"/>
      <c r="AK88" s="29"/>
      <c r="AL88" s="29"/>
      <c r="AM88" s="29"/>
      <c r="AN88" s="29"/>
      <c r="AO88" s="29"/>
      <c r="AP88" s="29"/>
      <c r="AQ88" s="29"/>
      <c r="AR88" s="29"/>
      <c r="AS88" s="29"/>
      <c r="AT88" s="29"/>
      <c r="AU88" t="str">
        <f>IFERROR(Validation_Summary!Q5,"")</f>
        <v>✓ All 8 checks passed</v>
      </c>
    </row>
    <row r="89" spans="1:47" ht="15" customHeight="1" x14ac:dyDescent="0.3">
      <c r="A89" s="6" t="s">
        <v>8828</v>
      </c>
      <c r="B89" s="19" t="str">
        <f t="array" ref="B89">IFERROR(_xlfn.XLOOKUP($A89&amp;"|"&amp;$C89,'Company_Master'!$A$2:$A$94&amp;"|"&amp;'Company_Master'!$D$2:$D$94,'Company_Master'!$B$2:$B$94,""),"")</f>
        <v>UNSP</v>
      </c>
      <c r="C89" s="20">
        <v>2022</v>
      </c>
      <c r="D89" s="19" t="str">
        <f t="array" ref="D89">IFERROR(_xlfn.XLOOKUP($A89&amp;"|"&amp;$C89,'Company_Master'!$A$2:$A$94&amp;"|"&amp;'Company_Master'!$D$2:$D$94,'Company_Master'!$H$2:$H$94,""),"")</f>
        <v>Sumatra (N.Sumatra/W.Sumatra/Jambi/Bengkulu/Lampung) + S. Kalimantan</v>
      </c>
      <c r="E89" s="20">
        <f t="array" ref="E89">IFERROR(_xlfn.XLOOKUP($A89&amp;"|"&amp;$C89,Asset_Operations!$A$2:$A$201&amp;"|"&amp;Asset_Operations!$BG$2:$BG$201,Asset_Operations!$B$2:$B$201,""),"")</f>
        <v>52192</v>
      </c>
      <c r="F89" s="20">
        <f t="array" ref="F89">IFERROR(_xlfn.XLOOKUP($A89&amp;"|"&amp;$C89,Asset_Operations!$A$2:$A$201&amp;"|"&amp;Asset_Operations!$BG$2:$BG$201,Asset_Operations!$E$2:$E$201,""),"")</f>
        <v>45968</v>
      </c>
      <c r="G89" s="20">
        <f t="array" ref="G89">IFERROR(_xlfn.XLOOKUP($A89&amp;"|"&amp;$C89,Asset_Operations!$A$2:$A$201&amp;"|"&amp;Asset_Operations!$BG$2:$BG$201,Asset_Operations!$I$2:$I$201,""),"")</f>
        <v>0</v>
      </c>
      <c r="H89" s="20">
        <f t="array" ref="H89">IFERROR(_xlfn.XLOOKUP($A89&amp;"|"&amp;$C89,Asset_Operations!$A$2:$A$201&amp;"|"&amp;Asset_Operations!$BG$2:$BG$201,Asset_Operations!$J$2:$J$201,""),"")</f>
        <v>0</v>
      </c>
      <c r="I89" s="20">
        <f t="array" ref="I89">IFERROR(_xlfn.XLOOKUP($A89&amp;"|"&amp;$C89,Asset_Operations!$A$2:$A$201&amp;"|"&amp;Asset_Operations!$BG$2:$BG$201,Asset_Operations!$O$2:$O$201,""),"")</f>
        <v>5</v>
      </c>
      <c r="J89" s="20">
        <f t="array" ref="J89">IFERROR(_xlfn.XLOOKUP($A89&amp;"|"&amp;$C89,Asset_Operations!$A$2:$A$201&amp;"|"&amp;Asset_Operations!$BG$2:$BG$201,Asset_Operations!$S$2:$S$201,""),"")</f>
        <v>1</v>
      </c>
      <c r="K89" s="20">
        <f t="array" ref="K89">IFERROR(_xlfn.XLOOKUP($A89&amp;"|"&amp;$C89,Asset_Operations!$A$2:$A$201&amp;"|"&amp;Asset_Operations!$BG$2:$BG$201,Asset_Operations!$AC$2:$AC$201,""),"")</f>
        <v>376655</v>
      </c>
      <c r="L89" s="20">
        <f t="array" ref="L89">IFERROR(_xlfn.XLOOKUP($A89&amp;"|"&amp;$C89,Asset_Operations!$A$2:$A$201&amp;"|"&amp;Asset_Operations!$BG$2:$BG$201,Asset_Operations!$AG$2:$AG$201,""),"")</f>
        <v>154701</v>
      </c>
      <c r="M89" s="20">
        <f t="array" ref="M89">IFERROR(_xlfn.XLOOKUP($A89&amp;"|"&amp;$C89,Asset_Operations!$A$2:$A$201&amp;"|"&amp;Asset_Operations!$BG$2:$BG$201,Asset_Operations!$AO$2:$AO$201,""),"")</f>
        <v>8.1938522450400271</v>
      </c>
      <c r="N89" s="21" t="str">
        <f t="array" ref="N89">IFERROR(_xlfn.XLOOKUP($A89&amp;"|"&amp;$C89,Asset_Operations!$A$2:$A$201&amp;"|"&amp;Asset_Operations!$BG$2:$BG$201,Asset_Operations!$AR$2:$AR$201,""),"")</f>
        <v/>
      </c>
      <c r="O89" s="22">
        <f t="array" ref="O89">IFERROR(_xlfn.XLOOKUP($A89&amp;"|"&amp;$C89,Financials!$A$2:$A$201&amp;"|"&amp;Financials!$B$2:$B$201,Financials!$C$2:$C$201,""),"")</f>
        <v>4189</v>
      </c>
      <c r="P89" s="22">
        <f t="array" ref="P89">IFERROR(_xlfn.XLOOKUP($A89&amp;"|"&amp;$C89,Financials!$A$2:$A$201&amp;"|"&amp;Financials!$B$2:$B$201,Financials!$E$2:$E$201,""),"")</f>
        <v>0</v>
      </c>
      <c r="Q89" s="22">
        <f t="array" ref="Q89">IFERROR(_xlfn.XLOOKUP($A89&amp;"|"&amp;$C89,Financials!$A$2:$A$201&amp;"|"&amp;Financials!$B$2:$B$201,Financials!$G$2:$G$201,""),"")</f>
        <v>930</v>
      </c>
      <c r="R89" s="22">
        <f t="array" ref="R89">IFERROR(_xlfn.XLOOKUP($A89&amp;"|"&amp;$C89,Financials!$A$2:$A$201&amp;"|"&amp;Financials!$B$2:$B$201,Financials!$S$2:$S$201,""),"")</f>
        <v>5793.42</v>
      </c>
      <c r="S89" s="22">
        <f t="array" ref="S89">IFERROR(_xlfn.XLOOKUP($A89&amp;"|"&amp;$C89,Financials!$A$2:$A$201&amp;"|"&amp;Financials!$B$2:$B$201,Financials!$AC$2:$AC$201,""),"")</f>
        <v>320</v>
      </c>
      <c r="T89" s="23">
        <f t="shared" si="10"/>
        <v>0</v>
      </c>
      <c r="U89" s="24" t="str">
        <f t="shared" si="11"/>
        <v/>
      </c>
      <c r="V89" s="25">
        <f t="shared" si="12"/>
        <v>8.0261342734518695E-2</v>
      </c>
      <c r="W89" s="24">
        <f t="shared" si="13"/>
        <v>3.3654063696484511</v>
      </c>
      <c r="X89" s="26">
        <f>IFERROR(IF(NOT(ISNUMBER($E89)),"",IF($E89&gt;=Scoring_Criteria!$D$4,5,IF($E89&gt;=Scoring_Criteria!$E$4,4,IF($E89&gt;=Scoring_Criteria!$F$4,3,IF($E89&gt;=Scoring_Criteria!$G$4,2,1))))),"")</f>
        <v>3</v>
      </c>
      <c r="Y89" s="26">
        <f>IFERROR(IF(OR(NOT(ISNUMBER($F89)),NOT(ISNUMBER($E89)),$E89=0),"",IF(($F89/$E89)&gt;=Scoring_Criteria!$D$5,5,IF(($F89/$E89)&gt;=Scoring_Criteria!$E$5,4,IF(($F89/$E89)&gt;=Scoring_Criteria!$F$5,3,IF(($F89/$E89)&gt;=Scoring_Criteria!$G$5,2,1))))),"")</f>
        <v>5</v>
      </c>
      <c r="Z89" s="26">
        <f>IFERROR(IF(AND(NOT(ISNUMBER($I89)),NOT(ISNUMBER($J89))),"",IF((IFERROR($I89,0)+IFERROR($J89,0))&gt;=Scoring_Criteria!$D$6,5,IF((IFERROR($I89,0)+IFERROR($J89,0))&gt;=Scoring_Criteria!$E$6,4,IF((IFERROR($I89,0)+IFERROR($J89,0))&gt;=Scoring_Criteria!$F$6,3,IF((IFERROR($I89,0)+IFERROR($J89,0))&gt;=Scoring_Criteria!$G$6,2,1))))),"")</f>
        <v>4</v>
      </c>
      <c r="AA89" s="26">
        <f>IFERROR(IF(NOT(ISNUMBER($M89)),"",IF($M89&gt;=Scoring_Criteria!$D$7,5,IF($M89&gt;=Scoring_Criteria!$E$7,4,IF($M89&gt;=Scoring_Criteria!$F$7,3,IF($M89&gt;=Scoring_Criteria!$G$7,2,1))))),"")</f>
        <v>1</v>
      </c>
      <c r="AB89" s="26">
        <f>IFERROR(IF(NOT(ISNUMBER($T89)),"",IF($T89&gt;=Scoring_Criteria!$D$8,5,IF($T89&gt;=Scoring_Criteria!$E$8,4,IF($T89&gt;=Scoring_Criteria!$F$8,3,IF($T89&gt;=Scoring_Criteria!$G$8,2,1))))),"")</f>
        <v>1</v>
      </c>
      <c r="AC89" s="26" t="str">
        <f>IFERROR(IF(NOT(ISNUMBER($U89)),"",IF($U89&lt;=Scoring_Criteria!$D$9,5,IF($U89&lt;=Scoring_Criteria!$E$9,4,IF($U89&lt;=Scoring_Criteria!$F$9,3,IF($U89&lt;=Scoring_Criteria!$G$9,2,1))))),"")</f>
        <v/>
      </c>
      <c r="AD89" s="26">
        <f t="array" ref="AD89">IFERROR(IF(NOT(ISNUMBER(_xlfn.XLOOKUP($A89&amp;"|"&amp;$C89,Financials!$A$2:$A$201&amp;"|"&amp;Financials!$B$2:$B$201,Financials!$AD$2:$AD$201,""))),"",IF(_xlfn.XLOOKUP($A89&amp;"|"&amp;$C89,Financials!$A$2:$A$201&amp;"|"&amp;Financials!$B$2:$B$201,Financials!$AD$2:$AD$201,"")&gt;=Scoring_Criteria!$D$10,5,IF(_xlfn.XLOOKUP($A89&amp;"|"&amp;$C89,Financials!$A$2:$A$201&amp;"|"&amp;Financials!$B$2:$B$201,Financials!$AD$2:$AD$201,"")&gt;=Scoring_Criteria!$E$10,4,IF(_xlfn.XLOOKUP($A89&amp;"|"&amp;$C89,Financials!$A$2:$A$201&amp;"|"&amp;Financials!$B$2:$B$201,Financials!$AD$2:$AD$201,"")&gt;=Scoring_Criteria!$F$10,3,IF(_xlfn.XLOOKUP($A89&amp;"|"&amp;$C89,Financials!$A$2:$A$201&amp;"|"&amp;Financials!$B$2:$B$201,Financials!$AD$2:$AD$201,"")&gt;=Scoring_Criteria!$G$10,2,1))))),"")</f>
        <v>1</v>
      </c>
      <c r="AE89" s="27"/>
      <c r="AF89" s="27"/>
      <c r="AG89" s="28">
        <f t="shared" si="14"/>
        <v>2.5</v>
      </c>
      <c r="AH89" s="29"/>
      <c r="AI89" s="29"/>
      <c r="AJ89" s="29"/>
      <c r="AK89" s="29"/>
      <c r="AL89" s="29"/>
      <c r="AM89" s="29"/>
      <c r="AN89" s="29"/>
      <c r="AO89" s="29"/>
      <c r="AP89" s="29"/>
      <c r="AQ89" s="29"/>
      <c r="AR89" s="29"/>
      <c r="AS89" s="29"/>
      <c r="AT89" s="29"/>
      <c r="AU89" t="str">
        <f>IFERROR(Validation_Summary!Q5,"")</f>
        <v>✓ All 8 checks passed</v>
      </c>
    </row>
    <row r="90" spans="1:47" ht="15" customHeight="1" x14ac:dyDescent="0.3">
      <c r="A90" s="6" t="s">
        <v>8828</v>
      </c>
      <c r="B90" s="19" t="str">
        <f t="array" ref="B90">IFERROR(_xlfn.XLOOKUP($A90&amp;"|"&amp;$C90,'Company_Master'!$A$2:$A$94&amp;"|"&amp;'Company_Master'!$D$2:$D$94,'Company_Master'!$B$2:$B$94,""),"")</f>
        <v>UNSP</v>
      </c>
      <c r="C90" s="20">
        <v>2023</v>
      </c>
      <c r="D90" s="19" t="str">
        <f t="array" ref="D90">IFERROR(_xlfn.XLOOKUP($A90&amp;"|"&amp;$C90,'Company_Master'!$A$2:$A$94&amp;"|"&amp;'Company_Master'!$D$2:$D$94,'Company_Master'!$H$2:$H$94,""),"")</f>
        <v>Sumatra (N.Sumatra/W.Sumatra/Jambi/Bengkulu/Lampung) + S. Kalimantan</v>
      </c>
      <c r="E90" s="20">
        <f t="array" ref="E90">IFERROR(_xlfn.XLOOKUP($A90&amp;"|"&amp;$C90,Asset_Operations!$A$2:$A$201&amp;"|"&amp;Asset_Operations!$BG$2:$BG$201,Asset_Operations!$B$2:$B$201,""),"")</f>
        <v>54828</v>
      </c>
      <c r="F90" s="20">
        <f t="array" ref="F90">IFERROR(_xlfn.XLOOKUP($A90&amp;"|"&amp;$C90,Asset_Operations!$A$2:$A$201&amp;"|"&amp;Asset_Operations!$BG$2:$BG$201,Asset_Operations!$E$2:$E$201,""),"")</f>
        <v>62677</v>
      </c>
      <c r="G90" s="20">
        <f t="array" ref="G90">IFERROR(_xlfn.XLOOKUP($A90&amp;"|"&amp;$C90,Asset_Operations!$A$2:$A$201&amp;"|"&amp;Asset_Operations!$BG$2:$BG$201,Asset_Operations!$I$2:$I$201,""),"")</f>
        <v>0</v>
      </c>
      <c r="H90" s="20">
        <f t="array" ref="H90">IFERROR(_xlfn.XLOOKUP($A90&amp;"|"&amp;$C90,Asset_Operations!$A$2:$A$201&amp;"|"&amp;Asset_Operations!$BG$2:$BG$201,Asset_Operations!$J$2:$J$201,""),"")</f>
        <v>0</v>
      </c>
      <c r="I90" s="20">
        <f t="array" ref="I90">IFERROR(_xlfn.XLOOKUP($A90&amp;"|"&amp;$C90,Asset_Operations!$A$2:$A$201&amp;"|"&amp;Asset_Operations!$BG$2:$BG$201,Asset_Operations!$O$2:$O$201,""),"")</f>
        <v>5</v>
      </c>
      <c r="J90" s="20">
        <f t="array" ref="J90">IFERROR(_xlfn.XLOOKUP($A90&amp;"|"&amp;$C90,Asset_Operations!$A$2:$A$201&amp;"|"&amp;Asset_Operations!$BG$2:$BG$201,Asset_Operations!$S$2:$S$201,""),"")</f>
        <v>1</v>
      </c>
      <c r="K90" s="20">
        <f t="array" ref="K90">IFERROR(_xlfn.XLOOKUP($A90&amp;"|"&amp;$C90,Asset_Operations!$A$2:$A$201&amp;"|"&amp;Asset_Operations!$BG$2:$BG$201,Asset_Operations!$AC$2:$AC$201,""),"")</f>
        <v>366113</v>
      </c>
      <c r="L90" s="20">
        <f t="array" ref="L90">IFERROR(_xlfn.XLOOKUP($A90&amp;"|"&amp;$C90,Asset_Operations!$A$2:$A$201&amp;"|"&amp;Asset_Operations!$BG$2:$BG$201,Asset_Operations!$AG$2:$AG$201,""),"")</f>
        <v>123628</v>
      </c>
      <c r="M90" s="20">
        <f t="array" ref="M90">IFERROR(_xlfn.XLOOKUP($A90&amp;"|"&amp;$C90,Asset_Operations!$A$2:$A$201&amp;"|"&amp;Asset_Operations!$BG$2:$BG$201,Asset_Operations!$AO$2:$AO$201,""),"")</f>
        <v>5.8412655360020418</v>
      </c>
      <c r="N90" s="21" t="str">
        <f t="array" ref="N90">IFERROR(_xlfn.XLOOKUP($A90&amp;"|"&amp;$C90,Asset_Operations!$A$2:$A$201&amp;"|"&amp;Asset_Operations!$BG$2:$BG$201,Asset_Operations!$AR$2:$AR$201,""),"")</f>
        <v/>
      </c>
      <c r="O90" s="22">
        <f t="array" ref="O90">IFERROR(_xlfn.XLOOKUP($A90&amp;"|"&amp;$C90,Financials!$A$2:$A$201&amp;"|"&amp;Financials!$B$2:$B$201,Financials!$C$2:$C$201,""),"")</f>
        <v>2405</v>
      </c>
      <c r="P90" s="22">
        <f t="array" ref="P90">IFERROR(_xlfn.XLOOKUP($A90&amp;"|"&amp;$C90,Financials!$A$2:$A$201&amp;"|"&amp;Financials!$B$2:$B$201,Financials!$E$2:$E$201,""),"")</f>
        <v>0</v>
      </c>
      <c r="Q90" s="22">
        <f t="array" ref="Q90">IFERROR(_xlfn.XLOOKUP($A90&amp;"|"&amp;$C90,Financials!$A$2:$A$201&amp;"|"&amp;Financials!$B$2:$B$201,Financials!$G$2:$G$201,""),"")</f>
        <v>26</v>
      </c>
      <c r="R90" s="22">
        <f t="array" ref="R90">IFERROR(_xlfn.XLOOKUP($A90&amp;"|"&amp;$C90,Financials!$A$2:$A$201&amp;"|"&amp;Financials!$B$2:$B$201,Financials!$S$2:$S$201,""),"")</f>
        <v>4370</v>
      </c>
      <c r="S90" s="22">
        <f t="array" ref="S90">IFERROR(_xlfn.XLOOKUP($A90&amp;"|"&amp;$C90,Financials!$A$2:$A$201&amp;"|"&amp;Financials!$B$2:$B$201,Financials!$AC$2:$AC$201,""),"")</f>
        <v>282.5</v>
      </c>
      <c r="T90" s="23">
        <f t="shared" si="10"/>
        <v>0</v>
      </c>
      <c r="U90" s="24" t="str">
        <f t="shared" si="11"/>
        <v/>
      </c>
      <c r="V90" s="25">
        <f t="shared" si="12"/>
        <v>4.3864448821769896E-2</v>
      </c>
      <c r="W90" s="24">
        <f t="shared" si="13"/>
        <v>1.9724619876509724</v>
      </c>
      <c r="X90" s="26">
        <f>IFERROR(IF(NOT(ISNUMBER($E90)),"",IF($E90&gt;=Scoring_Criteria!$D$4,5,IF($E90&gt;=Scoring_Criteria!$E$4,4,IF($E90&gt;=Scoring_Criteria!$F$4,3,IF($E90&gt;=Scoring_Criteria!$G$4,2,1))))),"")</f>
        <v>3</v>
      </c>
      <c r="Y90" s="26">
        <f>IFERROR(IF(OR(NOT(ISNUMBER($F90)),NOT(ISNUMBER($E90)),$E90=0),"",IF(($F90/$E90)&gt;=Scoring_Criteria!$D$5,5,IF(($F90/$E90)&gt;=Scoring_Criteria!$E$5,4,IF(($F90/$E90)&gt;=Scoring_Criteria!$F$5,3,IF(($F90/$E90)&gt;=Scoring_Criteria!$G$5,2,1))))),"")</f>
        <v>5</v>
      </c>
      <c r="Z90" s="26">
        <f>IFERROR(IF(AND(NOT(ISNUMBER($I90)),NOT(ISNUMBER($J90))),"",IF((IFERROR($I90,0)+IFERROR($J90,0))&gt;=Scoring_Criteria!$D$6,5,IF((IFERROR($I90,0)+IFERROR($J90,0))&gt;=Scoring_Criteria!$E$6,4,IF((IFERROR($I90,0)+IFERROR($J90,0))&gt;=Scoring_Criteria!$F$6,3,IF((IFERROR($I90,0)+IFERROR($J90,0))&gt;=Scoring_Criteria!$G$6,2,1))))),"")</f>
        <v>4</v>
      </c>
      <c r="AA90" s="26">
        <f>IFERROR(IF(NOT(ISNUMBER($M90)),"",IF($M90&gt;=Scoring_Criteria!$D$7,5,IF($M90&gt;=Scoring_Criteria!$E$7,4,IF($M90&gt;=Scoring_Criteria!$F$7,3,IF($M90&gt;=Scoring_Criteria!$G$7,2,1))))),"")</f>
        <v>1</v>
      </c>
      <c r="AB90" s="26">
        <f>IFERROR(IF(NOT(ISNUMBER($T90)),"",IF($T90&gt;=Scoring_Criteria!$D$8,5,IF($T90&gt;=Scoring_Criteria!$E$8,4,IF($T90&gt;=Scoring_Criteria!$F$8,3,IF($T90&gt;=Scoring_Criteria!$G$8,2,1))))),"")</f>
        <v>1</v>
      </c>
      <c r="AC90" s="26" t="str">
        <f>IFERROR(IF(NOT(ISNUMBER($U90)),"",IF($U90&lt;=Scoring_Criteria!$D$9,5,IF($U90&lt;=Scoring_Criteria!$E$9,4,IF($U90&lt;=Scoring_Criteria!$F$9,3,IF($U90&lt;=Scoring_Criteria!$G$9,2,1))))),"")</f>
        <v/>
      </c>
      <c r="AD90" s="26">
        <f t="array" ref="AD90">IFERROR(IF(NOT(ISNUMBER(_xlfn.XLOOKUP($A90&amp;"|"&amp;$C90,Financials!$A$2:$A$201&amp;"|"&amp;Financials!$B$2:$B$201,Financials!$AD$2:$AD$201,""))),"",IF(_xlfn.XLOOKUP($A90&amp;"|"&amp;$C90,Financials!$A$2:$A$201&amp;"|"&amp;Financials!$B$2:$B$201,Financials!$AD$2:$AD$201,"")&gt;=Scoring_Criteria!$D$10,5,IF(_xlfn.XLOOKUP($A90&amp;"|"&amp;$C90,Financials!$A$2:$A$201&amp;"|"&amp;Financials!$B$2:$B$201,Financials!$AD$2:$AD$201,"")&gt;=Scoring_Criteria!$E$10,4,IF(_xlfn.XLOOKUP($A90&amp;"|"&amp;$C90,Financials!$A$2:$A$201&amp;"|"&amp;Financials!$B$2:$B$201,Financials!$AD$2:$AD$201,"")&gt;=Scoring_Criteria!$F$10,3,IF(_xlfn.XLOOKUP($A90&amp;"|"&amp;$C90,Financials!$A$2:$A$201&amp;"|"&amp;Financials!$B$2:$B$201,Financials!$AD$2:$AD$201,"")&gt;=Scoring_Criteria!$G$10,2,1))))),"")</f>
        <v>1</v>
      </c>
      <c r="AE90" s="27"/>
      <c r="AF90" s="27"/>
      <c r="AG90" s="28">
        <f t="shared" si="14"/>
        <v>2.5</v>
      </c>
      <c r="AH90" s="29"/>
      <c r="AI90" s="29"/>
      <c r="AJ90" s="29"/>
      <c r="AK90" s="29"/>
      <c r="AL90" s="29"/>
      <c r="AM90" s="29"/>
      <c r="AN90" s="29"/>
      <c r="AO90" s="29"/>
      <c r="AP90" s="29"/>
      <c r="AQ90" s="29"/>
      <c r="AR90" s="29"/>
      <c r="AS90" s="29"/>
      <c r="AT90" s="29"/>
      <c r="AU90" t="str">
        <f>IFERROR(Validation_Summary!Q5,"")</f>
        <v>✓ All 8 checks passed</v>
      </c>
    </row>
    <row r="91" spans="1:47" ht="15" customHeight="1" x14ac:dyDescent="0.3">
      <c r="A91" s="6" t="s">
        <v>8828</v>
      </c>
      <c r="B91" s="19" t="str">
        <f t="array" ref="B91">IFERROR(_xlfn.XLOOKUP($A91&amp;"|"&amp;$C91,'Company_Master'!$A$2:$A$94&amp;"|"&amp;'Company_Master'!$D$2:$D$94,'Company_Master'!$B$2:$B$94,""),"")</f>
        <v>UNSP</v>
      </c>
      <c r="C91" s="20">
        <v>2024</v>
      </c>
      <c r="D91" s="19" t="str">
        <f t="array" ref="D91">IFERROR(_xlfn.XLOOKUP($A91&amp;"|"&amp;$C91,'Company_Master'!$A$2:$A$94&amp;"|"&amp;'Company_Master'!$D$2:$D$94,'Company_Master'!$H$2:$H$94,""),"")</f>
        <v>Sumatra (N.Sumatra/W.Sumatra/Jambi/Bengkulu/Lampung) + S. Kalimantan</v>
      </c>
      <c r="E91" s="20">
        <f t="array" ref="E91">IFERROR(_xlfn.XLOOKUP($A91&amp;"|"&amp;$C91,Asset_Operations!$A$2:$A$201&amp;"|"&amp;Asset_Operations!$BG$2:$BG$201,Asset_Operations!$B$2:$B$201,""),"")</f>
        <v>56147</v>
      </c>
      <c r="F91" s="20">
        <f t="array" ref="F91">IFERROR(_xlfn.XLOOKUP($A91&amp;"|"&amp;$C91,Asset_Operations!$A$2:$A$201&amp;"|"&amp;Asset_Operations!$BG$2:$BG$201,Asset_Operations!$E$2:$E$201,""),"")</f>
        <v>43869</v>
      </c>
      <c r="G91" s="20">
        <f t="array" ref="G91">IFERROR(_xlfn.XLOOKUP($A91&amp;"|"&amp;$C91,Asset_Operations!$A$2:$A$201&amp;"|"&amp;Asset_Operations!$BG$2:$BG$201,Asset_Operations!$I$2:$I$201,""),"")</f>
        <v>0</v>
      </c>
      <c r="H91" s="20">
        <f t="array" ref="H91">IFERROR(_xlfn.XLOOKUP($A91&amp;"|"&amp;$C91,Asset_Operations!$A$2:$A$201&amp;"|"&amp;Asset_Operations!$BG$2:$BG$201,Asset_Operations!$J$2:$J$201,""),"")</f>
        <v>0</v>
      </c>
      <c r="I91" s="20">
        <f t="array" ref="I91">IFERROR(_xlfn.XLOOKUP($A91&amp;"|"&amp;$C91,Asset_Operations!$A$2:$A$201&amp;"|"&amp;Asset_Operations!$BG$2:$BG$201,Asset_Operations!$O$2:$O$201,""),"")</f>
        <v>5</v>
      </c>
      <c r="J91" s="20">
        <f t="array" ref="J91">IFERROR(_xlfn.XLOOKUP($A91&amp;"|"&amp;$C91,Asset_Operations!$A$2:$A$201&amp;"|"&amp;Asset_Operations!$BG$2:$BG$201,Asset_Operations!$S$2:$S$201,""),"")</f>
        <v>0</v>
      </c>
      <c r="K91" s="20">
        <f t="array" ref="K91">IFERROR(_xlfn.XLOOKUP($A91&amp;"|"&amp;$C91,Asset_Operations!$A$2:$A$201&amp;"|"&amp;Asset_Operations!$BG$2:$BG$201,Asset_Operations!$AC$2:$AC$201,""),"")</f>
        <v>347865</v>
      </c>
      <c r="L91" s="20">
        <f t="array" ref="L91">IFERROR(_xlfn.XLOOKUP($A91&amp;"|"&amp;$C91,Asset_Operations!$A$2:$A$201&amp;"|"&amp;Asset_Operations!$BG$2:$BG$201,Asset_Operations!$AG$2:$AG$201,""),"")</f>
        <v>113918</v>
      </c>
      <c r="M91" s="20">
        <f t="array" ref="M91">IFERROR(_xlfn.XLOOKUP($A91&amp;"|"&amp;$C91,Asset_Operations!$A$2:$A$201&amp;"|"&amp;Asset_Operations!$BG$2:$BG$201,Asset_Operations!$AO$2:$AO$201,""),"")</f>
        <v>7.9296314025849686</v>
      </c>
      <c r="N91" s="21" t="str">
        <f t="array" ref="N91">IFERROR(_xlfn.XLOOKUP($A91&amp;"|"&amp;$C91,Asset_Operations!$A$2:$A$201&amp;"|"&amp;Asset_Operations!$BG$2:$BG$201,Asset_Operations!$AR$2:$AR$201,""),"")</f>
        <v/>
      </c>
      <c r="O91" s="22">
        <f t="array" ref="O91">IFERROR(_xlfn.XLOOKUP($A91&amp;"|"&amp;$C91,Financials!$A$2:$A$201&amp;"|"&amp;Financials!$B$2:$B$201,Financials!$C$2:$C$201,""),"")</f>
        <v>2328</v>
      </c>
      <c r="P91" s="22">
        <f t="array" ref="P91">IFERROR(_xlfn.XLOOKUP($A91&amp;"|"&amp;$C91,Financials!$A$2:$A$201&amp;"|"&amp;Financials!$B$2:$B$201,Financials!$E$2:$E$201,""),"")</f>
        <v>0</v>
      </c>
      <c r="Q91" s="22">
        <f t="array" ref="Q91">IFERROR(_xlfn.XLOOKUP($A91&amp;"|"&amp;$C91,Financials!$A$2:$A$201&amp;"|"&amp;Financials!$B$2:$B$201,Financials!$G$2:$G$201,""),"")</f>
        <v>139</v>
      </c>
      <c r="R91" s="22">
        <f t="array" ref="R91">IFERROR(_xlfn.XLOOKUP($A91&amp;"|"&amp;$C91,Financials!$A$2:$A$201&amp;"|"&amp;Financials!$B$2:$B$201,Financials!$S$2:$S$201,""),"")</f>
        <v>4533</v>
      </c>
      <c r="S91" s="22">
        <f t="array" ref="S91">IFERROR(_xlfn.XLOOKUP($A91&amp;"|"&amp;$C91,Financials!$A$2:$A$201&amp;"|"&amp;Financials!$B$2:$B$201,Financials!$AC$2:$AC$201,""),"")</f>
        <v>242.5</v>
      </c>
      <c r="T91" s="23">
        <f t="shared" si="10"/>
        <v>0</v>
      </c>
      <c r="U91" s="24" t="str">
        <f t="shared" si="11"/>
        <v/>
      </c>
      <c r="V91" s="25">
        <f t="shared" si="12"/>
        <v>4.1462589274582788E-2</v>
      </c>
      <c r="W91" s="24">
        <f t="shared" si="13"/>
        <v>2.5967767671932345</v>
      </c>
      <c r="X91" s="26">
        <f>IFERROR(IF(NOT(ISNUMBER($E91)),"",IF($E91&gt;=Scoring_Criteria!$D$4,5,IF($E91&gt;=Scoring_Criteria!$E$4,4,IF($E91&gt;=Scoring_Criteria!$F$4,3,IF($E91&gt;=Scoring_Criteria!$G$4,2,1))))),"")</f>
        <v>3</v>
      </c>
      <c r="Y91" s="26">
        <f>IFERROR(IF(OR(NOT(ISNUMBER($F91)),NOT(ISNUMBER($E91)),$E91=0),"",IF(($F91/$E91)&gt;=Scoring_Criteria!$D$5,5,IF(($F91/$E91)&gt;=Scoring_Criteria!$E$5,4,IF(($F91/$E91)&gt;=Scoring_Criteria!$F$5,3,IF(($F91/$E91)&gt;=Scoring_Criteria!$G$5,2,1))))),"")</f>
        <v>5</v>
      </c>
      <c r="Z91" s="26">
        <f>IFERROR(IF(AND(NOT(ISNUMBER($I91)),NOT(ISNUMBER($J91))),"",IF((IFERROR($I91,0)+IFERROR($J91,0))&gt;=Scoring_Criteria!$D$6,5,IF((IFERROR($I91,0)+IFERROR($J91,0))&gt;=Scoring_Criteria!$E$6,4,IF((IFERROR($I91,0)+IFERROR($J91,0))&gt;=Scoring_Criteria!$F$6,3,IF((IFERROR($I91,0)+IFERROR($J91,0))&gt;=Scoring_Criteria!$G$6,2,1))))),"")</f>
        <v>3</v>
      </c>
      <c r="AA91" s="26">
        <f>IFERROR(IF(NOT(ISNUMBER($M91)),"",IF($M91&gt;=Scoring_Criteria!$D$7,5,IF($M91&gt;=Scoring_Criteria!$E$7,4,IF($M91&gt;=Scoring_Criteria!$F$7,3,IF($M91&gt;=Scoring_Criteria!$G$7,2,1))))),"")</f>
        <v>1</v>
      </c>
      <c r="AB91" s="26">
        <f>IFERROR(IF(NOT(ISNUMBER($T91)),"",IF($T91&gt;=Scoring_Criteria!$D$8,5,IF($T91&gt;=Scoring_Criteria!$E$8,4,IF($T91&gt;=Scoring_Criteria!$F$8,3,IF($T91&gt;=Scoring_Criteria!$G$8,2,1))))),"")</f>
        <v>1</v>
      </c>
      <c r="AC91" s="26" t="str">
        <f>IFERROR(IF(NOT(ISNUMBER($U91)),"",IF($U91&lt;=Scoring_Criteria!$D$9,5,IF($U91&lt;=Scoring_Criteria!$E$9,4,IF($U91&lt;=Scoring_Criteria!$F$9,3,IF($U91&lt;=Scoring_Criteria!$G$9,2,1))))),"")</f>
        <v/>
      </c>
      <c r="AD91" s="26">
        <f t="array" ref="AD91">IFERROR(IF(NOT(ISNUMBER(_xlfn.XLOOKUP($A91&amp;"|"&amp;$C91,Financials!$A$2:$A$201&amp;"|"&amp;Financials!$B$2:$B$201,Financials!$AD$2:$AD$201,""))),"",IF(_xlfn.XLOOKUP($A91&amp;"|"&amp;$C91,Financials!$A$2:$A$201&amp;"|"&amp;Financials!$B$2:$B$201,Financials!$AD$2:$AD$201,"")&gt;=Scoring_Criteria!$D$10,5,IF(_xlfn.XLOOKUP($A91&amp;"|"&amp;$C91,Financials!$A$2:$A$201&amp;"|"&amp;Financials!$B$2:$B$201,Financials!$AD$2:$AD$201,"")&gt;=Scoring_Criteria!$E$10,4,IF(_xlfn.XLOOKUP($A91&amp;"|"&amp;$C91,Financials!$A$2:$A$201&amp;"|"&amp;Financials!$B$2:$B$201,Financials!$AD$2:$AD$201,"")&gt;=Scoring_Criteria!$F$10,3,IF(_xlfn.XLOOKUP($A91&amp;"|"&amp;$C91,Financials!$A$2:$A$201&amp;"|"&amp;Financials!$B$2:$B$201,Financials!$AD$2:$AD$201,"")&gt;=Scoring_Criteria!$G$10,2,1))))),"")</f>
        <v>1</v>
      </c>
      <c r="AE91" s="27"/>
      <c r="AF91" s="27"/>
      <c r="AG91" s="28">
        <f t="shared" si="14"/>
        <v>2.3333333333333335</v>
      </c>
      <c r="AH91" s="29"/>
      <c r="AI91" s="29"/>
      <c r="AJ91" s="29"/>
      <c r="AK91" s="29"/>
      <c r="AL91" s="29"/>
      <c r="AM91" s="29"/>
      <c r="AN91" s="29"/>
      <c r="AO91" s="29"/>
      <c r="AP91" s="29"/>
      <c r="AQ91" s="29"/>
      <c r="AR91" s="29"/>
      <c r="AS91" s="29"/>
      <c r="AT91" s="29"/>
      <c r="AU91" t="str">
        <f>IFERROR(Validation_Summary!Q5,"")</f>
        <v>✓ All 8 checks passed</v>
      </c>
    </row>
    <row r="92" spans="1:47" ht="15" customHeight="1" x14ac:dyDescent="0.3">
      <c r="A92" s="6" t="s">
        <v>9276</v>
      </c>
      <c r="B92" s="19" t="str">
        <f t="array" ref="B92">IFERROR(_xlfn.XLOOKUP($A92&amp;"|"&amp;$C92,'Company_Master'!$A$2:$A$94&amp;"|"&amp;'Company_Master'!$D$2:$D$94,'Company_Master'!$B$2:$B$94,""),"")</f>
        <v>WAPO</v>
      </c>
      <c r="C92" s="20">
        <v>2022</v>
      </c>
      <c r="D92" s="19" t="str">
        <f t="array" ref="D92">IFERROR(_xlfn.XLOOKUP($A92&amp;"|"&amp;$C92,'Company_Master'!$A$2:$A$94&amp;"|"&amp;'Company_Master'!$D$2:$D$94,'Company_Master'!$H$2:$H$94,""),"")</f>
        <v>Java/Surabaya (HQ); candy factory in Bogor West Java; cashew processing formerly in Mataram NTB</v>
      </c>
      <c r="E92" s="20">
        <f t="array" ref="E92">IFERROR(_xlfn.XLOOKUP($A92&amp;"|"&amp;$C92,Asset_Operations!$A$2:$A$201&amp;"|"&amp;Asset_Operations!$BG$2:$BG$201,Asset_Operations!$B$2:$B$201,""),"")</f>
        <v>0</v>
      </c>
      <c r="F92" s="20">
        <f t="array" ref="F92">IFERROR(_xlfn.XLOOKUP($A92&amp;"|"&amp;$C92,Asset_Operations!$A$2:$A$201&amp;"|"&amp;Asset_Operations!$BG$2:$BG$201,Asset_Operations!$E$2:$E$201,""),"")</f>
        <v>0</v>
      </c>
      <c r="G92" s="20">
        <f t="array" ref="G92">IFERROR(_xlfn.XLOOKUP($A92&amp;"|"&amp;$C92,Asset_Operations!$A$2:$A$201&amp;"|"&amp;Asset_Operations!$BG$2:$BG$201,Asset_Operations!$I$2:$I$201,""),"")</f>
        <v>0</v>
      </c>
      <c r="H92" s="20">
        <f t="array" ref="H92">IFERROR(_xlfn.XLOOKUP($A92&amp;"|"&amp;$C92,Asset_Operations!$A$2:$A$201&amp;"|"&amp;Asset_Operations!$BG$2:$BG$201,Asset_Operations!$J$2:$J$201,""),"")</f>
        <v>0</v>
      </c>
      <c r="I92" s="20">
        <f t="array" ref="I92">IFERROR(_xlfn.XLOOKUP($A92&amp;"|"&amp;$C92,Asset_Operations!$A$2:$A$201&amp;"|"&amp;Asset_Operations!$BG$2:$BG$201,Asset_Operations!$O$2:$O$201,""),"")</f>
        <v>0</v>
      </c>
      <c r="J92" s="20">
        <f t="array" ref="J92">IFERROR(_xlfn.XLOOKUP($A92&amp;"|"&amp;$C92,Asset_Operations!$A$2:$A$201&amp;"|"&amp;Asset_Operations!$BG$2:$BG$201,Asset_Operations!$S$2:$S$201,""),"")</f>
        <v>0</v>
      </c>
      <c r="K92" s="20">
        <f t="array" ref="K92">IFERROR(_xlfn.XLOOKUP($A92&amp;"|"&amp;$C92,Asset_Operations!$A$2:$A$201&amp;"|"&amp;Asset_Operations!$BG$2:$BG$201,Asset_Operations!$AC$2:$AC$201,""),"")</f>
        <v>0</v>
      </c>
      <c r="L92" s="20">
        <f t="array" ref="L92">IFERROR(_xlfn.XLOOKUP($A92&amp;"|"&amp;$C92,Asset_Operations!$A$2:$A$201&amp;"|"&amp;Asset_Operations!$BG$2:$BG$201,Asset_Operations!$AG$2:$AG$201,""),"")</f>
        <v>0</v>
      </c>
      <c r="M92" s="20" t="str">
        <f t="array" ref="M92">IFERROR(_xlfn.XLOOKUP($A92&amp;"|"&amp;$C92,Asset_Operations!$A$2:$A$201&amp;"|"&amp;Asset_Operations!$BG$2:$BG$201,Asset_Operations!$AO$2:$AO$201,""),"")</f>
        <v/>
      </c>
      <c r="N92" s="21" t="str">
        <f t="array" ref="N92">IFERROR(_xlfn.XLOOKUP($A92&amp;"|"&amp;$C92,Asset_Operations!$A$2:$A$201&amp;"|"&amp;Asset_Operations!$BG$2:$BG$201,Asset_Operations!$AR$2:$AR$201,""),"")</f>
        <v/>
      </c>
      <c r="O92" s="22">
        <f t="array" ref="O92">IFERROR(_xlfn.XLOOKUP($A92&amp;"|"&amp;$C92,Financials!$A$2:$A$201&amp;"|"&amp;Financials!$B$2:$B$201,Financials!$C$2:$C$201,""),"")</f>
        <v>330.02</v>
      </c>
      <c r="P92" s="22">
        <f t="array" ref="P92">IFERROR(_xlfn.XLOOKUP($A92&amp;"|"&amp;$C92,Financials!$A$2:$A$201&amp;"|"&amp;Financials!$B$2:$B$201,Financials!$E$2:$E$201,""),"")</f>
        <v>0</v>
      </c>
      <c r="Q92" s="22">
        <f t="array" ref="Q92">IFERROR(_xlfn.XLOOKUP($A92&amp;"|"&amp;$C92,Financials!$A$2:$A$201&amp;"|"&amp;Financials!$B$2:$B$201,Financials!$G$2:$G$201,""),"")</f>
        <v>-4.07</v>
      </c>
      <c r="R92" s="22">
        <f t="array" ref="R92">IFERROR(_xlfn.XLOOKUP($A92&amp;"|"&amp;$C92,Financials!$A$2:$A$201&amp;"|"&amp;Financials!$B$2:$B$201,Financials!$S$2:$S$201,""),"")</f>
        <v>-2.99</v>
      </c>
      <c r="S92" s="22">
        <f t="array" ref="S92">IFERROR(_xlfn.XLOOKUP($A92&amp;"|"&amp;$C92,Financials!$A$2:$A$201&amp;"|"&amp;Financials!$B$2:$B$201,Financials!$AC$2:$AC$201,""),"")</f>
        <v>310.23</v>
      </c>
      <c r="T92" s="23">
        <f t="shared" si="10"/>
        <v>0</v>
      </c>
      <c r="U92" s="24" t="str">
        <f t="shared" si="11"/>
        <v/>
      </c>
      <c r="V92" s="25" t="str">
        <f t="shared" si="12"/>
        <v/>
      </c>
      <c r="W92" s="24" t="str">
        <f t="shared" si="13"/>
        <v/>
      </c>
      <c r="X92" s="26">
        <f>IFERROR(IF(NOT(ISNUMBER($E92)),"",IF($E92&gt;=Scoring_Criteria!$D$4,5,IF($E92&gt;=Scoring_Criteria!$E$4,4,IF($E92&gt;=Scoring_Criteria!$F$4,3,IF($E92&gt;=Scoring_Criteria!$G$4,2,1))))),"")</f>
        <v>1</v>
      </c>
      <c r="Y92" s="26" t="str">
        <f>IFERROR(IF(OR(NOT(ISNUMBER($F92)),NOT(ISNUMBER($E92)),$E92=0),"",IF(($F92/$E92)&gt;=Scoring_Criteria!$D$5,5,IF(($F92/$E92)&gt;=Scoring_Criteria!$E$5,4,IF(($F92/$E92)&gt;=Scoring_Criteria!$F$5,3,IF(($F92/$E92)&gt;=Scoring_Criteria!$G$5,2,1))))),"")</f>
        <v/>
      </c>
      <c r="Z92" s="26">
        <f>IFERROR(IF(AND(NOT(ISNUMBER($I92)),NOT(ISNUMBER($J92))),"",IF((IFERROR($I92,0)+IFERROR($J92,0))&gt;=Scoring_Criteria!$D$6,5,IF((IFERROR($I92,0)+IFERROR($J92,0))&gt;=Scoring_Criteria!$E$6,4,IF((IFERROR($I92,0)+IFERROR($J92,0))&gt;=Scoring_Criteria!$F$6,3,IF((IFERROR($I92,0)+IFERROR($J92,0))&gt;=Scoring_Criteria!$G$6,2,1))))),"")</f>
        <v>1</v>
      </c>
      <c r="AA92" s="26" t="str">
        <f>IFERROR(IF(NOT(ISNUMBER($M92)),"",IF($M92&gt;=Scoring_Criteria!$D$7,5,IF($M92&gt;=Scoring_Criteria!$E$7,4,IF($M92&gt;=Scoring_Criteria!$F$7,3,IF($M92&gt;=Scoring_Criteria!$G$7,2,1))))),"")</f>
        <v/>
      </c>
      <c r="AB92" s="26">
        <f>IFERROR(IF(NOT(ISNUMBER($T92)),"",IF($T92&gt;=Scoring_Criteria!$D$8,5,IF($T92&gt;=Scoring_Criteria!$E$8,4,IF($T92&gt;=Scoring_Criteria!$F$8,3,IF($T92&gt;=Scoring_Criteria!$G$8,2,1))))),"")</f>
        <v>1</v>
      </c>
      <c r="AC92" s="26" t="str">
        <f>IFERROR(IF(NOT(ISNUMBER($U92)),"",IF($U92&lt;=Scoring_Criteria!$D$9,5,IF($U92&lt;=Scoring_Criteria!$E$9,4,IF($U92&lt;=Scoring_Criteria!$F$9,3,IF($U92&lt;=Scoring_Criteria!$G$9,2,1))))),"")</f>
        <v/>
      </c>
      <c r="AD92" s="26">
        <f t="array" ref="AD92">IFERROR(IF(NOT(ISNUMBER(_xlfn.XLOOKUP($A92&amp;"|"&amp;$C92,Financials!$A$2:$A$201&amp;"|"&amp;Financials!$B$2:$B$201,Financials!$AD$2:$AD$201,""))),"",IF(_xlfn.XLOOKUP($A92&amp;"|"&amp;$C92,Financials!$A$2:$A$201&amp;"|"&amp;Financials!$B$2:$B$201,Financials!$AD$2:$AD$201,"")&gt;=Scoring_Criteria!$D$10,5,IF(_xlfn.XLOOKUP($A92&amp;"|"&amp;$C92,Financials!$A$2:$A$201&amp;"|"&amp;Financials!$B$2:$B$201,Financials!$AD$2:$AD$201,"")&gt;=Scoring_Criteria!$E$10,4,IF(_xlfn.XLOOKUP($A92&amp;"|"&amp;$C92,Financials!$A$2:$A$201&amp;"|"&amp;Financials!$B$2:$B$201,Financials!$AD$2:$AD$201,"")&gt;=Scoring_Criteria!$F$10,3,IF(_xlfn.XLOOKUP($A92&amp;"|"&amp;$C92,Financials!$A$2:$A$201&amp;"|"&amp;Financials!$B$2:$B$201,Financials!$AD$2:$AD$201,"")&gt;=Scoring_Criteria!$G$10,2,1))))),"")</f>
        <v>5</v>
      </c>
      <c r="AE92" s="27"/>
      <c r="AF92" s="27"/>
      <c r="AG92" s="28">
        <f t="shared" si="14"/>
        <v>2</v>
      </c>
      <c r="AH92" s="29"/>
      <c r="AI92" s="29"/>
      <c r="AJ92" s="29"/>
      <c r="AK92" s="29"/>
      <c r="AL92" s="29"/>
      <c r="AM92" s="29"/>
      <c r="AN92" s="29"/>
      <c r="AO92" s="29"/>
      <c r="AP92" s="29"/>
      <c r="AQ92" s="29"/>
      <c r="AR92" s="29"/>
      <c r="AS92" s="29"/>
      <c r="AT92" s="29"/>
      <c r="AU92" t="str">
        <f>IFERROR(Validation_Summary!Q5,"")</f>
        <v>✓ All 8 checks passed</v>
      </c>
    </row>
    <row r="93" spans="1:47" ht="15" customHeight="1" x14ac:dyDescent="0.3">
      <c r="A93" s="6" t="s">
        <v>9276</v>
      </c>
      <c r="B93" s="19" t="str">
        <f t="array" ref="B93">IFERROR(_xlfn.XLOOKUP($A93&amp;"|"&amp;$C93,'Company_Master'!$A$2:$A$94&amp;"|"&amp;'Company_Master'!$D$2:$D$94,'Company_Master'!$B$2:$B$94,""),"")</f>
        <v>WAPO</v>
      </c>
      <c r="C93" s="20">
        <v>2023</v>
      </c>
      <c r="D93" s="19" t="str">
        <f t="array" ref="D93">IFERROR(_xlfn.XLOOKUP($A93&amp;"|"&amp;$C93,'Company_Master'!$A$2:$A$94&amp;"|"&amp;'Company_Master'!$D$2:$D$94,'Company_Master'!$H$2:$H$94,""),"")</f>
        <v>Java/Surabaya (HQ); candy factory in Bogor West Java (leased out)</v>
      </c>
      <c r="E93" s="20">
        <f t="array" ref="E93">IFERROR(_xlfn.XLOOKUP($A93&amp;"|"&amp;$C93,Asset_Operations!$A$2:$A$201&amp;"|"&amp;Asset_Operations!$BG$2:$BG$201,Asset_Operations!$B$2:$B$201,""),"")</f>
        <v>0</v>
      </c>
      <c r="F93" s="20">
        <f t="array" ref="F93">IFERROR(_xlfn.XLOOKUP($A93&amp;"|"&amp;$C93,Asset_Operations!$A$2:$A$201&amp;"|"&amp;Asset_Operations!$BG$2:$BG$201,Asset_Operations!$E$2:$E$201,""),"")</f>
        <v>0</v>
      </c>
      <c r="G93" s="20">
        <f t="array" ref="G93">IFERROR(_xlfn.XLOOKUP($A93&amp;"|"&amp;$C93,Asset_Operations!$A$2:$A$201&amp;"|"&amp;Asset_Operations!$BG$2:$BG$201,Asset_Operations!$I$2:$I$201,""),"")</f>
        <v>0</v>
      </c>
      <c r="H93" s="20">
        <f t="array" ref="H93">IFERROR(_xlfn.XLOOKUP($A93&amp;"|"&amp;$C93,Asset_Operations!$A$2:$A$201&amp;"|"&amp;Asset_Operations!$BG$2:$BG$201,Asset_Operations!$J$2:$J$201,""),"")</f>
        <v>0</v>
      </c>
      <c r="I93" s="20">
        <f t="array" ref="I93">IFERROR(_xlfn.XLOOKUP($A93&amp;"|"&amp;$C93,Asset_Operations!$A$2:$A$201&amp;"|"&amp;Asset_Operations!$BG$2:$BG$201,Asset_Operations!$O$2:$O$201,""),"")</f>
        <v>0</v>
      </c>
      <c r="J93" s="20">
        <f t="array" ref="J93">IFERROR(_xlfn.XLOOKUP($A93&amp;"|"&amp;$C93,Asset_Operations!$A$2:$A$201&amp;"|"&amp;Asset_Operations!$BG$2:$BG$201,Asset_Operations!$S$2:$S$201,""),"")</f>
        <v>0</v>
      </c>
      <c r="K93" s="20">
        <f t="array" ref="K93">IFERROR(_xlfn.XLOOKUP($A93&amp;"|"&amp;$C93,Asset_Operations!$A$2:$A$201&amp;"|"&amp;Asset_Operations!$BG$2:$BG$201,Asset_Operations!$AC$2:$AC$201,""),"")</f>
        <v>0</v>
      </c>
      <c r="L93" s="20">
        <f t="array" ref="L93">IFERROR(_xlfn.XLOOKUP($A93&amp;"|"&amp;$C93,Asset_Operations!$A$2:$A$201&amp;"|"&amp;Asset_Operations!$BG$2:$BG$201,Asset_Operations!$AG$2:$AG$201,""),"")</f>
        <v>0</v>
      </c>
      <c r="M93" s="20" t="str">
        <f t="array" ref="M93">IFERROR(_xlfn.XLOOKUP($A93&amp;"|"&amp;$C93,Asset_Operations!$A$2:$A$201&amp;"|"&amp;Asset_Operations!$BG$2:$BG$201,Asset_Operations!$AO$2:$AO$201,""),"")</f>
        <v/>
      </c>
      <c r="N93" s="21" t="str">
        <f t="array" ref="N93">IFERROR(_xlfn.XLOOKUP($A93&amp;"|"&amp;$C93,Asset_Operations!$A$2:$A$201&amp;"|"&amp;Asset_Operations!$BG$2:$BG$201,Asset_Operations!$AR$2:$AR$201,""),"")</f>
        <v/>
      </c>
      <c r="O93" s="22">
        <f t="array" ref="O93">IFERROR(_xlfn.XLOOKUP($A93&amp;"|"&amp;$C93,Financials!$A$2:$A$201&amp;"|"&amp;Financials!$B$2:$B$201,Financials!$C$2:$C$201,""),"")</f>
        <v>420.95</v>
      </c>
      <c r="P93" s="22">
        <f t="array" ref="P93">IFERROR(_xlfn.XLOOKUP($A93&amp;"|"&amp;$C93,Financials!$A$2:$A$201&amp;"|"&amp;Financials!$B$2:$B$201,Financials!$E$2:$E$201,""),"")</f>
        <v>0</v>
      </c>
      <c r="Q93" s="22">
        <f t="array" ref="Q93">IFERROR(_xlfn.XLOOKUP($A93&amp;"|"&amp;$C93,Financials!$A$2:$A$201&amp;"|"&amp;Financials!$B$2:$B$201,Financials!$G$2:$G$201,""),"")</f>
        <v>0.23599999999999999</v>
      </c>
      <c r="R93" s="22">
        <f t="array" ref="R93">IFERROR(_xlfn.XLOOKUP($A93&amp;"|"&amp;$C93,Financials!$A$2:$A$201&amp;"|"&amp;Financials!$B$2:$B$201,Financials!$S$2:$S$201,""),"")</f>
        <v>-9.07</v>
      </c>
      <c r="S93" s="22">
        <f t="array" ref="S93">IFERROR(_xlfn.XLOOKUP($A93&amp;"|"&amp;$C93,Financials!$A$2:$A$201&amp;"|"&amp;Financials!$B$2:$B$201,Financials!$AC$2:$AC$201,""),"")</f>
        <v>168.76512</v>
      </c>
      <c r="T93" s="23">
        <f t="shared" si="10"/>
        <v>0</v>
      </c>
      <c r="U93" s="24" t="str">
        <f t="shared" si="11"/>
        <v/>
      </c>
      <c r="V93" s="25" t="str">
        <f t="shared" si="12"/>
        <v/>
      </c>
      <c r="W93" s="24" t="str">
        <f t="shared" si="13"/>
        <v/>
      </c>
      <c r="X93" s="26">
        <f>IFERROR(IF(NOT(ISNUMBER($E93)),"",IF($E93&gt;=Scoring_Criteria!$D$4,5,IF($E93&gt;=Scoring_Criteria!$E$4,4,IF($E93&gt;=Scoring_Criteria!$F$4,3,IF($E93&gt;=Scoring_Criteria!$G$4,2,1))))),"")</f>
        <v>1</v>
      </c>
      <c r="Y93" s="26" t="str">
        <f>IFERROR(IF(OR(NOT(ISNUMBER($F93)),NOT(ISNUMBER($E93)),$E93=0),"",IF(($F93/$E93)&gt;=Scoring_Criteria!$D$5,5,IF(($F93/$E93)&gt;=Scoring_Criteria!$E$5,4,IF(($F93/$E93)&gt;=Scoring_Criteria!$F$5,3,IF(($F93/$E93)&gt;=Scoring_Criteria!$G$5,2,1))))),"")</f>
        <v/>
      </c>
      <c r="Z93" s="26">
        <f>IFERROR(IF(AND(NOT(ISNUMBER($I93)),NOT(ISNUMBER($J93))),"",IF((IFERROR($I93,0)+IFERROR($J93,0))&gt;=Scoring_Criteria!$D$6,5,IF((IFERROR($I93,0)+IFERROR($J93,0))&gt;=Scoring_Criteria!$E$6,4,IF((IFERROR($I93,0)+IFERROR($J93,0))&gt;=Scoring_Criteria!$F$6,3,IF((IFERROR($I93,0)+IFERROR($J93,0))&gt;=Scoring_Criteria!$G$6,2,1))))),"")</f>
        <v>1</v>
      </c>
      <c r="AA93" s="26" t="str">
        <f>IFERROR(IF(NOT(ISNUMBER($M93)),"",IF($M93&gt;=Scoring_Criteria!$D$7,5,IF($M93&gt;=Scoring_Criteria!$E$7,4,IF($M93&gt;=Scoring_Criteria!$F$7,3,IF($M93&gt;=Scoring_Criteria!$G$7,2,1))))),"")</f>
        <v/>
      </c>
      <c r="AB93" s="26">
        <f>IFERROR(IF(NOT(ISNUMBER($T93)),"",IF($T93&gt;=Scoring_Criteria!$D$8,5,IF($T93&gt;=Scoring_Criteria!$E$8,4,IF($T93&gt;=Scoring_Criteria!$F$8,3,IF($T93&gt;=Scoring_Criteria!$G$8,2,1))))),"")</f>
        <v>1</v>
      </c>
      <c r="AC93" s="26" t="str">
        <f>IFERROR(IF(NOT(ISNUMBER($U93)),"",IF($U93&lt;=Scoring_Criteria!$D$9,5,IF($U93&lt;=Scoring_Criteria!$E$9,4,IF($U93&lt;=Scoring_Criteria!$F$9,3,IF($U93&lt;=Scoring_Criteria!$G$9,2,1))))),"")</f>
        <v/>
      </c>
      <c r="AD93" s="26">
        <f t="array" ref="AD93">IFERROR(IF(NOT(ISNUMBER(_xlfn.XLOOKUP($A93&amp;"|"&amp;$C93,Financials!$A$2:$A$201&amp;"|"&amp;Financials!$B$2:$B$201,Financials!$AD$2:$AD$201,""))),"",IF(_xlfn.XLOOKUP($A93&amp;"|"&amp;$C93,Financials!$A$2:$A$201&amp;"|"&amp;Financials!$B$2:$B$201,Financials!$AD$2:$AD$201,"")&gt;=Scoring_Criteria!$D$10,5,IF(_xlfn.XLOOKUP($A93&amp;"|"&amp;$C93,Financials!$A$2:$A$201&amp;"|"&amp;Financials!$B$2:$B$201,Financials!$AD$2:$AD$201,"")&gt;=Scoring_Criteria!$E$10,4,IF(_xlfn.XLOOKUP($A93&amp;"|"&amp;$C93,Financials!$A$2:$A$201&amp;"|"&amp;Financials!$B$2:$B$201,Financials!$AD$2:$AD$201,"")&gt;=Scoring_Criteria!$F$10,3,IF(_xlfn.XLOOKUP($A93&amp;"|"&amp;$C93,Financials!$A$2:$A$201&amp;"|"&amp;Financials!$B$2:$B$201,Financials!$AD$2:$AD$201,"")&gt;=Scoring_Criteria!$G$10,2,1))))),"")</f>
        <v>3</v>
      </c>
      <c r="AE93" s="27"/>
      <c r="AF93" s="27"/>
      <c r="AG93" s="28">
        <f t="shared" si="14"/>
        <v>1.5</v>
      </c>
      <c r="AH93" s="29"/>
      <c r="AI93" s="29"/>
      <c r="AJ93" s="29"/>
      <c r="AK93" s="29"/>
      <c r="AL93" s="29"/>
      <c r="AM93" s="29"/>
      <c r="AN93" s="29"/>
      <c r="AO93" s="29"/>
      <c r="AP93" s="29"/>
      <c r="AQ93" s="29"/>
      <c r="AR93" s="29"/>
      <c r="AS93" s="29"/>
      <c r="AT93" s="29"/>
      <c r="AU93" t="str">
        <f>IFERROR(Validation_Summary!Q5,"")</f>
        <v>✓ All 8 checks passed</v>
      </c>
    </row>
    <row r="94" spans="1:47" ht="15" customHeight="1" x14ac:dyDescent="0.3">
      <c r="A94" s="6" t="s">
        <v>9276</v>
      </c>
      <c r="B94" s="19" t="str">
        <f t="array" ref="B94">IFERROR(_xlfn.XLOOKUP($A94&amp;"|"&amp;$C94,'Company_Master'!$A$2:$A$94&amp;"|"&amp;'Company_Master'!$D$2:$D$94,'Company_Master'!$B$2:$B$94,""),"")</f>
        <v>WAPO</v>
      </c>
      <c r="C94" s="20">
        <v>2024</v>
      </c>
      <c r="D94" s="19" t="str">
        <f t="array" ref="D94">IFERROR(_xlfn.XLOOKUP($A94&amp;"|"&amp;$C94,'Company_Master'!$A$2:$A$94&amp;"|"&amp;'Company_Master'!$D$2:$D$94,'Company_Master'!$H$2:$H$94,""),"")</f>
        <v>Java/Surabaya (HQ); candy factory in Bogor West Java (leased out); coffee-bean trading operations national</v>
      </c>
      <c r="E94" s="20">
        <f t="array" ref="E94">IFERROR(_xlfn.XLOOKUP($A94&amp;"|"&amp;$C94,Asset_Operations!$A$2:$A$201&amp;"|"&amp;Asset_Operations!$BG$2:$BG$201,Asset_Operations!$B$2:$B$201,""),"")</f>
        <v>0</v>
      </c>
      <c r="F94" s="20">
        <f t="array" ref="F94">IFERROR(_xlfn.XLOOKUP($A94&amp;"|"&amp;$C94,Asset_Operations!$A$2:$A$201&amp;"|"&amp;Asset_Operations!$BG$2:$BG$201,Asset_Operations!$E$2:$E$201,""),"")</f>
        <v>0</v>
      </c>
      <c r="G94" s="20">
        <f t="array" ref="G94">IFERROR(_xlfn.XLOOKUP($A94&amp;"|"&amp;$C94,Asset_Operations!$A$2:$A$201&amp;"|"&amp;Asset_Operations!$BG$2:$BG$201,Asset_Operations!$I$2:$I$201,""),"")</f>
        <v>0</v>
      </c>
      <c r="H94" s="20">
        <f t="array" ref="H94">IFERROR(_xlfn.XLOOKUP($A94&amp;"|"&amp;$C94,Asset_Operations!$A$2:$A$201&amp;"|"&amp;Asset_Operations!$BG$2:$BG$201,Asset_Operations!$J$2:$J$201,""),"")</f>
        <v>0</v>
      </c>
      <c r="I94" s="20">
        <f t="array" ref="I94">IFERROR(_xlfn.XLOOKUP($A94&amp;"|"&amp;$C94,Asset_Operations!$A$2:$A$201&amp;"|"&amp;Asset_Operations!$BG$2:$BG$201,Asset_Operations!$O$2:$O$201,""),"")</f>
        <v>0</v>
      </c>
      <c r="J94" s="20">
        <f t="array" ref="J94">IFERROR(_xlfn.XLOOKUP($A94&amp;"|"&amp;$C94,Asset_Operations!$A$2:$A$201&amp;"|"&amp;Asset_Operations!$BG$2:$BG$201,Asset_Operations!$S$2:$S$201,""),"")</f>
        <v>0</v>
      </c>
      <c r="K94" s="20">
        <f t="array" ref="K94">IFERROR(_xlfn.XLOOKUP($A94&amp;"|"&amp;$C94,Asset_Operations!$A$2:$A$201&amp;"|"&amp;Asset_Operations!$BG$2:$BG$201,Asset_Operations!$AC$2:$AC$201,""),"")</f>
        <v>0</v>
      </c>
      <c r="L94" s="20">
        <f t="array" ref="L94">IFERROR(_xlfn.XLOOKUP($A94&amp;"|"&amp;$C94,Asset_Operations!$A$2:$A$201&amp;"|"&amp;Asset_Operations!$BG$2:$BG$201,Asset_Operations!$AG$2:$AG$201,""),"")</f>
        <v>0</v>
      </c>
      <c r="M94" s="20" t="str">
        <f t="array" ref="M94">IFERROR(_xlfn.XLOOKUP($A94&amp;"|"&amp;$C94,Asset_Operations!$A$2:$A$201&amp;"|"&amp;Asset_Operations!$BG$2:$BG$201,Asset_Operations!$AO$2:$AO$201,""),"")</f>
        <v/>
      </c>
      <c r="N94" s="21" t="str">
        <f t="array" ref="N94">IFERROR(_xlfn.XLOOKUP($A94&amp;"|"&amp;$C94,Asset_Operations!$A$2:$A$201&amp;"|"&amp;Asset_Operations!$BG$2:$BG$201,Asset_Operations!$AR$2:$AR$201,""),"")</f>
        <v/>
      </c>
      <c r="O94" s="22">
        <f t="array" ref="O94">IFERROR(_xlfn.XLOOKUP($A94&amp;"|"&amp;$C94,Financials!$A$2:$A$201&amp;"|"&amp;Financials!$B$2:$B$201,Financials!$C$2:$C$201,""),"")</f>
        <v>2122.33</v>
      </c>
      <c r="P94" s="22">
        <f t="array" ref="P94">IFERROR(_xlfn.XLOOKUP($A94&amp;"|"&amp;$C94,Financials!$A$2:$A$201&amp;"|"&amp;Financials!$B$2:$B$201,Financials!$E$2:$E$201,""),"")</f>
        <v>0</v>
      </c>
      <c r="Q94" s="22">
        <f t="array" ref="Q94">IFERROR(_xlfn.XLOOKUP($A94&amp;"|"&amp;$C94,Financials!$A$2:$A$201&amp;"|"&amp;Financials!$B$2:$B$201,Financials!$G$2:$G$201,""),"")</f>
        <v>0.78400000000000003</v>
      </c>
      <c r="R94" s="22">
        <f t="array" ref="R94">IFERROR(_xlfn.XLOOKUP($A94&amp;"|"&amp;$C94,Financials!$A$2:$A$201&amp;"|"&amp;Financials!$B$2:$B$201,Financials!$S$2:$S$201,""),"")</f>
        <v>-10.67</v>
      </c>
      <c r="S94" s="22">
        <f t="array" ref="S94">IFERROR(_xlfn.XLOOKUP($A94&amp;"|"&amp;$C94,Financials!$A$2:$A$201&amp;"|"&amp;Financials!$B$2:$B$201,Financials!$AC$2:$AC$201,""),"")</f>
        <v>112.92372</v>
      </c>
      <c r="T94" s="23">
        <f t="shared" si="10"/>
        <v>0</v>
      </c>
      <c r="U94" s="24" t="str">
        <f t="shared" si="11"/>
        <v/>
      </c>
      <c r="V94" s="25" t="str">
        <f t="shared" si="12"/>
        <v/>
      </c>
      <c r="W94" s="24" t="str">
        <f t="shared" si="13"/>
        <v/>
      </c>
      <c r="X94" s="26">
        <f>IFERROR(IF(NOT(ISNUMBER($E94)),"",IF($E94&gt;=Scoring_Criteria!$D$4,5,IF($E94&gt;=Scoring_Criteria!$E$4,4,IF($E94&gt;=Scoring_Criteria!$F$4,3,IF($E94&gt;=Scoring_Criteria!$G$4,2,1))))),"")</f>
        <v>1</v>
      </c>
      <c r="Y94" s="26" t="str">
        <f>IFERROR(IF(OR(NOT(ISNUMBER($F94)),NOT(ISNUMBER($E94)),$E94=0),"",IF(($F94/$E94)&gt;=Scoring_Criteria!$D$5,5,IF(($F94/$E94)&gt;=Scoring_Criteria!$E$5,4,IF(($F94/$E94)&gt;=Scoring_Criteria!$F$5,3,IF(($F94/$E94)&gt;=Scoring_Criteria!$G$5,2,1))))),"")</f>
        <v/>
      </c>
      <c r="Z94" s="26">
        <f>IFERROR(IF(AND(NOT(ISNUMBER($I94)),NOT(ISNUMBER($J94))),"",IF((IFERROR($I94,0)+IFERROR($J94,0))&gt;=Scoring_Criteria!$D$6,5,IF((IFERROR($I94,0)+IFERROR($J94,0))&gt;=Scoring_Criteria!$E$6,4,IF((IFERROR($I94,0)+IFERROR($J94,0))&gt;=Scoring_Criteria!$F$6,3,IF((IFERROR($I94,0)+IFERROR($J94,0))&gt;=Scoring_Criteria!$G$6,2,1))))),"")</f>
        <v>1</v>
      </c>
      <c r="AA94" s="26" t="str">
        <f>IFERROR(IF(NOT(ISNUMBER($M94)),"",IF($M94&gt;=Scoring_Criteria!$D$7,5,IF($M94&gt;=Scoring_Criteria!$E$7,4,IF($M94&gt;=Scoring_Criteria!$F$7,3,IF($M94&gt;=Scoring_Criteria!$G$7,2,1))))),"")</f>
        <v/>
      </c>
      <c r="AB94" s="26">
        <f>IFERROR(IF(NOT(ISNUMBER($T94)),"",IF($T94&gt;=Scoring_Criteria!$D$8,5,IF($T94&gt;=Scoring_Criteria!$E$8,4,IF($T94&gt;=Scoring_Criteria!$F$8,3,IF($T94&gt;=Scoring_Criteria!$G$8,2,1))))),"")</f>
        <v>1</v>
      </c>
      <c r="AC94" s="26" t="str">
        <f>IFERROR(IF(NOT(ISNUMBER($U94)),"",IF($U94&lt;=Scoring_Criteria!$D$9,5,IF($U94&lt;=Scoring_Criteria!$E$9,4,IF($U94&lt;=Scoring_Criteria!$F$9,3,IF($U94&lt;=Scoring_Criteria!$G$9,2,1))))),"")</f>
        <v/>
      </c>
      <c r="AD94" s="26">
        <f t="array" ref="AD94">IFERROR(IF(NOT(ISNUMBER(_xlfn.XLOOKUP($A94&amp;"|"&amp;$C94,Financials!$A$2:$A$201&amp;"|"&amp;Financials!$B$2:$B$201,Financials!$AD$2:$AD$201,""))),"",IF(_xlfn.XLOOKUP($A94&amp;"|"&amp;$C94,Financials!$A$2:$A$201&amp;"|"&amp;Financials!$B$2:$B$201,Financials!$AD$2:$AD$201,"")&gt;=Scoring_Criteria!$D$10,5,IF(_xlfn.XLOOKUP($A94&amp;"|"&amp;$C94,Financials!$A$2:$A$201&amp;"|"&amp;Financials!$B$2:$B$201,Financials!$AD$2:$AD$201,"")&gt;=Scoring_Criteria!$E$10,4,IF(_xlfn.XLOOKUP($A94&amp;"|"&amp;$C94,Financials!$A$2:$A$201&amp;"|"&amp;Financials!$B$2:$B$201,Financials!$AD$2:$AD$201,"")&gt;=Scoring_Criteria!$F$10,3,IF(_xlfn.XLOOKUP($A94&amp;"|"&amp;$C94,Financials!$A$2:$A$201&amp;"|"&amp;Financials!$B$2:$B$201,Financials!$AD$2:$AD$201,"")&gt;=Scoring_Criteria!$G$10,2,1))))),"")</f>
        <v>5</v>
      </c>
      <c r="AE94" s="27"/>
      <c r="AF94" s="27"/>
      <c r="AG94" s="28">
        <f t="shared" si="14"/>
        <v>2</v>
      </c>
      <c r="AH94" s="29"/>
      <c r="AI94" s="29"/>
      <c r="AJ94" s="29"/>
      <c r="AK94" s="29"/>
      <c r="AL94" s="29"/>
      <c r="AM94" s="29"/>
      <c r="AN94" s="29"/>
      <c r="AO94" s="29"/>
      <c r="AP94" s="29"/>
      <c r="AQ94" s="29"/>
      <c r="AR94" s="29"/>
      <c r="AS94" s="29"/>
      <c r="AT94" s="29"/>
      <c r="AU94" t="str">
        <f>IFERROR(Validation_Summary!Q5,"")</f>
        <v>✓ All 8 checks passed</v>
      </c>
    </row>
    <row r="95" spans="1:47" ht="15" customHeight="1" x14ac:dyDescent="0.3">
      <c r="A95" s="6"/>
      <c r="B95" s="19"/>
      <c r="C95" s="20"/>
      <c r="D95" s="19"/>
      <c r="E95" s="20"/>
      <c r="F95" s="20"/>
      <c r="G95" s="20"/>
      <c r="H95" s="20"/>
      <c r="I95" s="20"/>
      <c r="J95" s="20"/>
      <c r="K95" s="20"/>
      <c r="L95" s="20"/>
      <c r="M95" s="20"/>
      <c r="N95" s="21"/>
      <c r="O95" s="22"/>
      <c r="P95" s="22"/>
      <c r="Q95" s="22"/>
      <c r="R95" s="22"/>
      <c r="S95" s="22"/>
      <c r="T95" s="23"/>
      <c r="U95" s="24"/>
      <c r="V95" s="25"/>
      <c r="W95" s="24"/>
      <c r="X95" s="26"/>
      <c r="Y95" s="26"/>
      <c r="Z95" s="26"/>
      <c r="AA95" s="26"/>
      <c r="AB95" s="26"/>
      <c r="AC95" s="26"/>
      <c r="AD95" s="26"/>
      <c r="AE95" s="27"/>
      <c r="AF95" s="27"/>
      <c r="AG95" s="28"/>
      <c r="AH95" s="29"/>
      <c r="AI95" s="29"/>
      <c r="AJ95" s="29"/>
      <c r="AK95" s="29"/>
      <c r="AL95" s="29"/>
      <c r="AM95" s="29"/>
      <c r="AN95" s="29"/>
      <c r="AO95" s="29"/>
      <c r="AP95" s="29"/>
      <c r="AQ95" s="29"/>
      <c r="AR95" s="29"/>
      <c r="AS95" s="29"/>
      <c r="AT95" s="29"/>
    </row>
    <row r="96" spans="1:47" ht="15" customHeight="1" x14ac:dyDescent="0.3">
      <c r="A96" s="6"/>
      <c r="B96" s="19"/>
      <c r="C96" s="20"/>
      <c r="D96" s="19"/>
      <c r="E96" s="20"/>
      <c r="F96" s="20"/>
      <c r="G96" s="20"/>
      <c r="H96" s="20"/>
      <c r="I96" s="20"/>
      <c r="J96" s="20"/>
      <c r="K96" s="20"/>
      <c r="L96" s="20"/>
      <c r="M96" s="20"/>
      <c r="N96" s="21"/>
      <c r="O96" s="22"/>
      <c r="P96" s="22"/>
      <c r="Q96" s="22"/>
      <c r="R96" s="22"/>
      <c r="S96" s="22"/>
      <c r="T96" s="23"/>
      <c r="U96" s="24"/>
      <c r="V96" s="25"/>
      <c r="W96" s="24"/>
      <c r="X96" s="26"/>
      <c r="Y96" s="26"/>
      <c r="Z96" s="26"/>
      <c r="AA96" s="26"/>
      <c r="AB96" s="26"/>
      <c r="AC96" s="26"/>
      <c r="AD96" s="26"/>
      <c r="AE96" s="27"/>
      <c r="AF96" s="27"/>
      <c r="AG96" s="28"/>
      <c r="AH96" s="29"/>
      <c r="AI96" s="29"/>
      <c r="AJ96" s="29"/>
      <c r="AK96" s="29"/>
      <c r="AL96" s="29"/>
      <c r="AM96" s="29"/>
      <c r="AN96" s="29"/>
      <c r="AO96" s="29"/>
      <c r="AP96" s="29"/>
      <c r="AQ96" s="29"/>
      <c r="AR96" s="29"/>
      <c r="AS96" s="29"/>
      <c r="AT96" s="29"/>
    </row>
    <row r="97" spans="1:46" ht="15" customHeight="1" x14ac:dyDescent="0.3">
      <c r="A97" s="6"/>
      <c r="B97" s="19"/>
      <c r="C97" s="20"/>
      <c r="D97" s="19"/>
      <c r="E97" s="20"/>
      <c r="F97" s="20"/>
      <c r="G97" s="20"/>
      <c r="H97" s="20"/>
      <c r="I97" s="20"/>
      <c r="J97" s="20"/>
      <c r="K97" s="20"/>
      <c r="L97" s="20"/>
      <c r="M97" s="20"/>
      <c r="N97" s="21"/>
      <c r="O97" s="22"/>
      <c r="P97" s="22"/>
      <c r="Q97" s="22"/>
      <c r="R97" s="22"/>
      <c r="S97" s="22"/>
      <c r="T97" s="23"/>
      <c r="U97" s="24"/>
      <c r="V97" s="25"/>
      <c r="W97" s="24"/>
      <c r="X97" s="26"/>
      <c r="Y97" s="26"/>
      <c r="Z97" s="26"/>
      <c r="AA97" s="26"/>
      <c r="AB97" s="26"/>
      <c r="AC97" s="26"/>
      <c r="AD97" s="26"/>
      <c r="AE97" s="27"/>
      <c r="AF97" s="27"/>
      <c r="AG97" s="28"/>
      <c r="AH97" s="29"/>
      <c r="AI97" s="29"/>
      <c r="AJ97" s="29"/>
      <c r="AK97" s="29"/>
      <c r="AL97" s="29"/>
      <c r="AM97" s="29"/>
      <c r="AN97" s="29"/>
      <c r="AO97" s="29"/>
      <c r="AP97" s="29"/>
      <c r="AQ97" s="29"/>
      <c r="AR97" s="29"/>
      <c r="AS97" s="29"/>
      <c r="AT97" s="29"/>
    </row>
    <row r="98" spans="1:46" ht="15" customHeight="1" x14ac:dyDescent="0.3">
      <c r="A98" s="6"/>
      <c r="B98" s="19"/>
      <c r="C98" s="20"/>
      <c r="D98" s="19"/>
      <c r="E98" s="20"/>
      <c r="F98" s="20"/>
      <c r="G98" s="20"/>
      <c r="H98" s="20"/>
      <c r="I98" s="20"/>
      <c r="J98" s="20"/>
      <c r="K98" s="20"/>
      <c r="L98" s="20"/>
      <c r="M98" s="20"/>
      <c r="N98" s="21"/>
      <c r="O98" s="22"/>
      <c r="P98" s="22"/>
      <c r="Q98" s="22"/>
      <c r="R98" s="22"/>
      <c r="S98" s="22"/>
      <c r="T98" s="23"/>
      <c r="U98" s="24"/>
      <c r="V98" s="25"/>
      <c r="W98" s="24"/>
      <c r="X98" s="26"/>
      <c r="Y98" s="26"/>
      <c r="Z98" s="26"/>
      <c r="AA98" s="26"/>
      <c r="AB98" s="26"/>
      <c r="AC98" s="26"/>
      <c r="AD98" s="26"/>
      <c r="AE98" s="27"/>
      <c r="AF98" s="27"/>
      <c r="AG98" s="28"/>
      <c r="AH98" s="29"/>
      <c r="AI98" s="29"/>
      <c r="AJ98" s="29"/>
      <c r="AK98" s="29"/>
      <c r="AL98" s="29"/>
      <c r="AM98" s="29"/>
      <c r="AN98" s="29"/>
      <c r="AO98" s="29"/>
      <c r="AP98" s="29"/>
      <c r="AQ98" s="29"/>
      <c r="AR98" s="29"/>
      <c r="AS98" s="29"/>
      <c r="AT98" s="29"/>
    </row>
    <row r="99" spans="1:46" ht="15" customHeight="1" x14ac:dyDescent="0.3">
      <c r="A99" s="6"/>
      <c r="B99" s="19"/>
      <c r="C99" s="20"/>
      <c r="D99" s="19"/>
      <c r="E99" s="20"/>
      <c r="F99" s="20"/>
      <c r="G99" s="20"/>
      <c r="H99" s="20"/>
      <c r="I99" s="20"/>
      <c r="J99" s="20"/>
      <c r="K99" s="20"/>
      <c r="L99" s="20"/>
      <c r="M99" s="20"/>
      <c r="N99" s="21"/>
      <c r="O99" s="22"/>
      <c r="P99" s="22"/>
      <c r="Q99" s="22"/>
      <c r="R99" s="22"/>
      <c r="S99" s="22"/>
      <c r="T99" s="23"/>
      <c r="U99" s="24"/>
      <c r="V99" s="25"/>
      <c r="W99" s="24"/>
      <c r="X99" s="26"/>
      <c r="Y99" s="26"/>
      <c r="Z99" s="26"/>
      <c r="AA99" s="26"/>
      <c r="AB99" s="26"/>
      <c r="AC99" s="26"/>
      <c r="AD99" s="26"/>
      <c r="AE99" s="27"/>
      <c r="AF99" s="27"/>
      <c r="AG99" s="28"/>
      <c r="AH99" s="29"/>
      <c r="AI99" s="29"/>
      <c r="AJ99" s="29"/>
      <c r="AK99" s="29"/>
      <c r="AL99" s="29"/>
      <c r="AM99" s="29"/>
      <c r="AN99" s="29"/>
      <c r="AO99" s="29"/>
      <c r="AP99" s="29"/>
      <c r="AQ99" s="29"/>
      <c r="AR99" s="29"/>
      <c r="AS99" s="29"/>
      <c r="AT99" s="29"/>
    </row>
    <row r="100" spans="1:46" ht="15" customHeight="1" x14ac:dyDescent="0.3">
      <c r="A100" s="6"/>
      <c r="B100" s="19"/>
      <c r="C100" s="20"/>
      <c r="D100" s="19"/>
      <c r="E100" s="20"/>
      <c r="F100" s="20"/>
      <c r="G100" s="20"/>
      <c r="H100" s="20"/>
      <c r="I100" s="20"/>
      <c r="J100" s="20"/>
      <c r="K100" s="20"/>
      <c r="L100" s="20"/>
      <c r="M100" s="20"/>
      <c r="N100" s="21"/>
      <c r="O100" s="22"/>
      <c r="P100" s="22"/>
      <c r="Q100" s="22"/>
      <c r="R100" s="22"/>
      <c r="S100" s="22"/>
      <c r="T100" s="23"/>
      <c r="U100" s="24"/>
      <c r="V100" s="25"/>
      <c r="W100" s="24"/>
      <c r="X100" s="26"/>
      <c r="Y100" s="26"/>
      <c r="Z100" s="26"/>
      <c r="AA100" s="26"/>
      <c r="AB100" s="26"/>
      <c r="AC100" s="26"/>
      <c r="AD100" s="26"/>
      <c r="AE100" s="27"/>
      <c r="AF100" s="27"/>
      <c r="AG100" s="28"/>
      <c r="AH100" s="29"/>
      <c r="AI100" s="29"/>
      <c r="AJ100" s="29"/>
      <c r="AK100" s="29"/>
      <c r="AL100" s="29"/>
      <c r="AM100" s="29"/>
      <c r="AN100" s="29"/>
      <c r="AO100" s="29"/>
      <c r="AP100" s="29"/>
      <c r="AQ100" s="29"/>
      <c r="AR100" s="29"/>
      <c r="AS100" s="29"/>
      <c r="AT100" s="29"/>
    </row>
    <row r="101" spans="1:46" ht="15" customHeight="1" x14ac:dyDescent="0.3">
      <c r="A101" s="6"/>
      <c r="B101" s="19"/>
      <c r="C101" s="20"/>
      <c r="D101" s="19"/>
      <c r="E101" s="20"/>
      <c r="F101" s="20"/>
      <c r="G101" s="20"/>
      <c r="H101" s="20"/>
      <c r="I101" s="20"/>
      <c r="J101" s="20"/>
      <c r="K101" s="20"/>
      <c r="L101" s="20"/>
      <c r="M101" s="20"/>
      <c r="N101" s="21"/>
      <c r="O101" s="22"/>
      <c r="P101" s="22"/>
      <c r="Q101" s="22"/>
      <c r="R101" s="22"/>
      <c r="S101" s="22"/>
      <c r="T101" s="23"/>
      <c r="U101" s="24"/>
      <c r="V101" s="25"/>
      <c r="W101" s="24"/>
      <c r="X101" s="26"/>
      <c r="Y101" s="26"/>
      <c r="Z101" s="26"/>
      <c r="AA101" s="26"/>
      <c r="AB101" s="26"/>
      <c r="AC101" s="26"/>
      <c r="AD101" s="26"/>
      <c r="AE101" s="27"/>
      <c r="AF101" s="27"/>
      <c r="AG101" s="28"/>
      <c r="AH101" s="29"/>
      <c r="AI101" s="29"/>
      <c r="AJ101" s="29"/>
      <c r="AK101" s="29"/>
      <c r="AL101" s="29"/>
      <c r="AM101" s="29"/>
      <c r="AN101" s="29"/>
      <c r="AO101" s="29"/>
      <c r="AP101" s="29"/>
      <c r="AQ101" s="29"/>
      <c r="AR101" s="29"/>
      <c r="AS101" s="29"/>
      <c r="AT101" s="29"/>
    </row>
    <row r="102" spans="1:46" ht="15" customHeight="1" x14ac:dyDescent="0.3">
      <c r="A102" s="6"/>
      <c r="B102" s="19"/>
      <c r="C102" s="20"/>
      <c r="D102" s="19"/>
      <c r="E102" s="20"/>
      <c r="F102" s="20"/>
      <c r="G102" s="20"/>
      <c r="H102" s="20"/>
      <c r="I102" s="20"/>
      <c r="J102" s="20"/>
      <c r="K102" s="20"/>
      <c r="L102" s="20"/>
      <c r="M102" s="20"/>
      <c r="N102" s="21"/>
      <c r="O102" s="22"/>
      <c r="P102" s="22"/>
      <c r="Q102" s="22"/>
      <c r="R102" s="22"/>
      <c r="S102" s="22"/>
      <c r="T102" s="23"/>
      <c r="U102" s="24"/>
      <c r="V102" s="25"/>
      <c r="W102" s="24"/>
      <c r="X102" s="26"/>
      <c r="Y102" s="26"/>
      <c r="Z102" s="26"/>
      <c r="AA102" s="26"/>
      <c r="AB102" s="26"/>
      <c r="AC102" s="26"/>
      <c r="AD102" s="26"/>
      <c r="AE102" s="27"/>
      <c r="AF102" s="27"/>
      <c r="AG102" s="28"/>
      <c r="AH102" s="29"/>
      <c r="AI102" s="29"/>
      <c r="AJ102" s="29"/>
      <c r="AK102" s="29"/>
      <c r="AL102" s="29"/>
      <c r="AM102" s="29"/>
      <c r="AN102" s="29"/>
      <c r="AO102" s="29"/>
      <c r="AP102" s="29"/>
      <c r="AQ102" s="29"/>
      <c r="AR102" s="29"/>
      <c r="AS102" s="29"/>
      <c r="AT102" s="29"/>
    </row>
    <row r="103" spans="1:46" ht="15" customHeight="1" x14ac:dyDescent="0.3">
      <c r="A103" s="6"/>
      <c r="B103" s="19"/>
      <c r="C103" s="20"/>
      <c r="D103" s="19"/>
      <c r="E103" s="20"/>
      <c r="F103" s="20"/>
      <c r="G103" s="20"/>
      <c r="H103" s="20"/>
      <c r="I103" s="20"/>
      <c r="J103" s="20"/>
      <c r="K103" s="20"/>
      <c r="L103" s="20"/>
      <c r="M103" s="20"/>
      <c r="N103" s="21"/>
      <c r="O103" s="22"/>
      <c r="P103" s="22"/>
      <c r="Q103" s="22"/>
      <c r="R103" s="22"/>
      <c r="S103" s="22"/>
      <c r="T103" s="23"/>
      <c r="U103" s="24"/>
      <c r="V103" s="25"/>
      <c r="W103" s="24"/>
      <c r="X103" s="26"/>
      <c r="Y103" s="26"/>
      <c r="Z103" s="26"/>
      <c r="AA103" s="26"/>
      <c r="AB103" s="26"/>
      <c r="AC103" s="26"/>
      <c r="AD103" s="26"/>
      <c r="AE103" s="27"/>
      <c r="AF103" s="27"/>
      <c r="AG103" s="28"/>
      <c r="AH103" s="29"/>
      <c r="AI103" s="29"/>
      <c r="AJ103" s="29"/>
      <c r="AK103" s="29"/>
      <c r="AL103" s="29"/>
      <c r="AM103" s="29"/>
      <c r="AN103" s="29"/>
      <c r="AO103" s="29"/>
      <c r="AP103" s="29"/>
      <c r="AQ103" s="29"/>
      <c r="AR103" s="29"/>
      <c r="AS103" s="29"/>
      <c r="AT103" s="29"/>
    </row>
    <row r="104" spans="1:46" ht="15" customHeight="1" x14ac:dyDescent="0.3">
      <c r="A104" s="6"/>
      <c r="B104" s="19"/>
      <c r="C104" s="20"/>
      <c r="D104" s="19"/>
      <c r="E104" s="20"/>
      <c r="F104" s="20"/>
      <c r="G104" s="20"/>
      <c r="H104" s="20"/>
      <c r="I104" s="20"/>
      <c r="J104" s="20"/>
      <c r="K104" s="20"/>
      <c r="L104" s="20"/>
      <c r="M104" s="20"/>
      <c r="N104" s="21"/>
      <c r="O104" s="22"/>
      <c r="P104" s="22"/>
      <c r="Q104" s="22"/>
      <c r="R104" s="22"/>
      <c r="S104" s="22"/>
      <c r="T104" s="23"/>
      <c r="U104" s="24"/>
      <c r="V104" s="25"/>
      <c r="W104" s="24"/>
      <c r="X104" s="26"/>
      <c r="Y104" s="26"/>
      <c r="Z104" s="26"/>
      <c r="AA104" s="26"/>
      <c r="AB104" s="26"/>
      <c r="AC104" s="26"/>
      <c r="AD104" s="26"/>
      <c r="AE104" s="27"/>
      <c r="AF104" s="27"/>
      <c r="AG104" s="28"/>
      <c r="AH104" s="29"/>
      <c r="AI104" s="29"/>
      <c r="AJ104" s="29"/>
      <c r="AK104" s="29"/>
      <c r="AL104" s="29"/>
      <c r="AM104" s="29"/>
      <c r="AN104" s="29"/>
      <c r="AO104" s="29"/>
      <c r="AP104" s="29"/>
      <c r="AQ104" s="29"/>
      <c r="AR104" s="29"/>
      <c r="AS104" s="29"/>
      <c r="AT104" s="29"/>
    </row>
    <row r="105" spans="1:46" ht="15" customHeight="1" x14ac:dyDescent="0.3">
      <c r="A105" s="6"/>
      <c r="B105" s="19"/>
      <c r="C105" s="20"/>
      <c r="D105" s="19"/>
      <c r="E105" s="20"/>
      <c r="F105" s="20"/>
      <c r="G105" s="20"/>
      <c r="H105" s="20"/>
      <c r="I105" s="20"/>
      <c r="J105" s="20"/>
      <c r="K105" s="20"/>
      <c r="L105" s="20"/>
      <c r="M105" s="20"/>
      <c r="N105" s="21"/>
      <c r="O105" s="22"/>
      <c r="P105" s="22"/>
      <c r="Q105" s="22"/>
      <c r="R105" s="22"/>
      <c r="S105" s="22"/>
      <c r="T105" s="23"/>
      <c r="U105" s="24"/>
      <c r="V105" s="25"/>
      <c r="W105" s="24"/>
      <c r="X105" s="26"/>
      <c r="Y105" s="26"/>
      <c r="Z105" s="26"/>
      <c r="AA105" s="26"/>
      <c r="AB105" s="26"/>
      <c r="AC105" s="26"/>
      <c r="AD105" s="26"/>
      <c r="AE105" s="27"/>
      <c r="AF105" s="27"/>
      <c r="AG105" s="28"/>
      <c r="AH105" s="29"/>
      <c r="AI105" s="29"/>
      <c r="AJ105" s="29"/>
      <c r="AK105" s="29"/>
      <c r="AL105" s="29"/>
      <c r="AM105" s="29"/>
      <c r="AN105" s="29"/>
      <c r="AO105" s="29"/>
      <c r="AP105" s="29"/>
      <c r="AQ105" s="29"/>
      <c r="AR105" s="29"/>
      <c r="AS105" s="29"/>
      <c r="AT105" s="29"/>
    </row>
    <row r="106" spans="1:46" ht="15" customHeight="1" x14ac:dyDescent="0.3">
      <c r="A106" s="6"/>
      <c r="B106" s="19"/>
      <c r="C106" s="20"/>
      <c r="D106" s="19"/>
      <c r="E106" s="20"/>
      <c r="F106" s="20"/>
      <c r="G106" s="20"/>
      <c r="H106" s="20"/>
      <c r="I106" s="20"/>
      <c r="J106" s="20"/>
      <c r="K106" s="20"/>
      <c r="L106" s="20"/>
      <c r="M106" s="20"/>
      <c r="N106" s="21"/>
      <c r="O106" s="22"/>
      <c r="P106" s="22"/>
      <c r="Q106" s="22"/>
      <c r="R106" s="22"/>
      <c r="S106" s="22"/>
      <c r="T106" s="23"/>
      <c r="U106" s="24"/>
      <c r="V106" s="25"/>
      <c r="W106" s="24"/>
      <c r="X106" s="26"/>
      <c r="Y106" s="26"/>
      <c r="Z106" s="26"/>
      <c r="AA106" s="26"/>
      <c r="AB106" s="26"/>
      <c r="AC106" s="26"/>
      <c r="AD106" s="26"/>
      <c r="AE106" s="27"/>
      <c r="AF106" s="27"/>
      <c r="AG106" s="28"/>
      <c r="AH106" s="29"/>
      <c r="AI106" s="29"/>
      <c r="AJ106" s="29"/>
      <c r="AK106" s="29"/>
      <c r="AL106" s="29"/>
      <c r="AM106" s="29"/>
      <c r="AN106" s="29"/>
      <c r="AO106" s="29"/>
      <c r="AP106" s="29"/>
      <c r="AQ106" s="29"/>
      <c r="AR106" s="29"/>
      <c r="AS106" s="29"/>
      <c r="AT106" s="29"/>
    </row>
    <row r="107" spans="1:46" ht="15" customHeight="1" x14ac:dyDescent="0.3">
      <c r="A107" s="6"/>
      <c r="B107" s="19"/>
      <c r="C107" s="20"/>
      <c r="D107" s="19"/>
      <c r="E107" s="20"/>
      <c r="F107" s="20"/>
      <c r="G107" s="20"/>
      <c r="H107" s="20"/>
      <c r="I107" s="20"/>
      <c r="J107" s="20"/>
      <c r="K107" s="20"/>
      <c r="L107" s="20"/>
      <c r="M107" s="20"/>
      <c r="N107" s="21"/>
      <c r="O107" s="22"/>
      <c r="P107" s="22"/>
      <c r="Q107" s="22"/>
      <c r="R107" s="22"/>
      <c r="S107" s="22"/>
      <c r="T107" s="23"/>
      <c r="U107" s="24"/>
      <c r="V107" s="25"/>
      <c r="W107" s="24"/>
      <c r="X107" s="26"/>
      <c r="Y107" s="26"/>
      <c r="Z107" s="26"/>
      <c r="AA107" s="26"/>
      <c r="AB107" s="26"/>
      <c r="AC107" s="26"/>
      <c r="AD107" s="26"/>
      <c r="AE107" s="27"/>
      <c r="AF107" s="27"/>
      <c r="AG107" s="28"/>
      <c r="AH107" s="29"/>
      <c r="AI107" s="29"/>
      <c r="AJ107" s="29"/>
      <c r="AK107" s="29"/>
      <c r="AL107" s="29"/>
      <c r="AM107" s="29"/>
      <c r="AN107" s="29"/>
      <c r="AO107" s="29"/>
      <c r="AP107" s="29"/>
      <c r="AQ107" s="29"/>
      <c r="AR107" s="29"/>
      <c r="AS107" s="29"/>
      <c r="AT107" s="29"/>
    </row>
    <row r="108" spans="1:46" ht="15" customHeight="1" x14ac:dyDescent="0.3">
      <c r="A108" s="6"/>
      <c r="B108" s="19"/>
      <c r="C108" s="20"/>
      <c r="D108" s="19"/>
      <c r="E108" s="20"/>
      <c r="F108" s="20"/>
      <c r="G108" s="20"/>
      <c r="H108" s="20"/>
      <c r="I108" s="20"/>
      <c r="J108" s="20"/>
      <c r="K108" s="20"/>
      <c r="L108" s="20"/>
      <c r="M108" s="20"/>
      <c r="N108" s="21"/>
      <c r="O108" s="22"/>
      <c r="P108" s="22"/>
      <c r="Q108" s="22"/>
      <c r="R108" s="22"/>
      <c r="S108" s="22"/>
      <c r="T108" s="23"/>
      <c r="U108" s="24"/>
      <c r="V108" s="25"/>
      <c r="W108" s="24"/>
      <c r="X108" s="26"/>
      <c r="Y108" s="26"/>
      <c r="Z108" s="26"/>
      <c r="AA108" s="26"/>
      <c r="AB108" s="26"/>
      <c r="AC108" s="26"/>
      <c r="AD108" s="26"/>
      <c r="AE108" s="27"/>
      <c r="AF108" s="27"/>
      <c r="AG108" s="28"/>
      <c r="AH108" s="29"/>
      <c r="AI108" s="29"/>
      <c r="AJ108" s="29"/>
      <c r="AK108" s="29"/>
      <c r="AL108" s="29"/>
      <c r="AM108" s="29"/>
      <c r="AN108" s="29"/>
      <c r="AO108" s="29"/>
      <c r="AP108" s="29"/>
      <c r="AQ108" s="29"/>
      <c r="AR108" s="29"/>
      <c r="AS108" s="29"/>
      <c r="AT108" s="29"/>
    </row>
    <row r="109" spans="1:46" ht="15" customHeight="1" x14ac:dyDescent="0.3">
      <c r="A109" s="6"/>
      <c r="B109" s="19"/>
      <c r="C109" s="20"/>
      <c r="D109" s="19"/>
      <c r="E109" s="20"/>
      <c r="F109" s="20"/>
      <c r="G109" s="20"/>
      <c r="H109" s="20"/>
      <c r="I109" s="20"/>
      <c r="J109" s="20"/>
      <c r="K109" s="20"/>
      <c r="L109" s="20"/>
      <c r="M109" s="20"/>
      <c r="N109" s="21"/>
      <c r="O109" s="22"/>
      <c r="P109" s="22"/>
      <c r="Q109" s="22"/>
      <c r="R109" s="22"/>
      <c r="S109" s="22"/>
      <c r="T109" s="23"/>
      <c r="U109" s="24"/>
      <c r="V109" s="25"/>
      <c r="W109" s="24"/>
      <c r="X109" s="26"/>
      <c r="Y109" s="26"/>
      <c r="Z109" s="26"/>
      <c r="AA109" s="26"/>
      <c r="AB109" s="26"/>
      <c r="AC109" s="26"/>
      <c r="AD109" s="26"/>
      <c r="AE109" s="27"/>
      <c r="AF109" s="27"/>
      <c r="AG109" s="28"/>
      <c r="AH109" s="29"/>
      <c r="AI109" s="29"/>
      <c r="AJ109" s="29"/>
      <c r="AK109" s="29"/>
      <c r="AL109" s="29"/>
      <c r="AM109" s="29"/>
      <c r="AN109" s="29"/>
      <c r="AO109" s="29"/>
      <c r="AP109" s="29"/>
      <c r="AQ109" s="29"/>
      <c r="AR109" s="29"/>
      <c r="AS109" s="29"/>
      <c r="AT109" s="29"/>
    </row>
    <row r="110" spans="1:46" ht="15" customHeight="1" x14ac:dyDescent="0.3">
      <c r="A110" s="6"/>
      <c r="B110" s="19"/>
      <c r="C110" s="20"/>
      <c r="D110" s="19"/>
      <c r="E110" s="20"/>
      <c r="F110" s="20"/>
      <c r="G110" s="20"/>
      <c r="H110" s="20"/>
      <c r="I110" s="20"/>
      <c r="J110" s="20"/>
      <c r="K110" s="20"/>
      <c r="L110" s="20"/>
      <c r="M110" s="20"/>
      <c r="N110" s="21"/>
      <c r="O110" s="22"/>
      <c r="P110" s="22"/>
      <c r="Q110" s="22"/>
      <c r="R110" s="22"/>
      <c r="S110" s="22"/>
      <c r="T110" s="23"/>
      <c r="U110" s="24"/>
      <c r="V110" s="25"/>
      <c r="W110" s="24"/>
      <c r="X110" s="26"/>
      <c r="Y110" s="26"/>
      <c r="Z110" s="26"/>
      <c r="AA110" s="26"/>
      <c r="AB110" s="26"/>
      <c r="AC110" s="26"/>
      <c r="AD110" s="26"/>
      <c r="AE110" s="27"/>
      <c r="AF110" s="27"/>
      <c r="AG110" s="28"/>
      <c r="AH110" s="29"/>
      <c r="AI110" s="29"/>
      <c r="AJ110" s="29"/>
      <c r="AK110" s="29"/>
      <c r="AL110" s="29"/>
      <c r="AM110" s="29"/>
      <c r="AN110" s="29"/>
      <c r="AO110" s="29"/>
      <c r="AP110" s="29"/>
      <c r="AQ110" s="29"/>
      <c r="AR110" s="29"/>
      <c r="AS110" s="29"/>
      <c r="AT110" s="29"/>
    </row>
    <row r="111" spans="1:46" ht="15" customHeight="1" x14ac:dyDescent="0.3">
      <c r="A111" s="6"/>
      <c r="B111" s="19"/>
      <c r="C111" s="20"/>
      <c r="D111" s="19"/>
      <c r="E111" s="20"/>
      <c r="F111" s="20"/>
      <c r="G111" s="20"/>
      <c r="H111" s="20"/>
      <c r="I111" s="20"/>
      <c r="J111" s="20"/>
      <c r="K111" s="20"/>
      <c r="L111" s="20"/>
      <c r="M111" s="20"/>
      <c r="N111" s="21"/>
      <c r="O111" s="22"/>
      <c r="P111" s="22"/>
      <c r="Q111" s="22"/>
      <c r="R111" s="22"/>
      <c r="S111" s="22"/>
      <c r="T111" s="23"/>
      <c r="U111" s="24"/>
      <c r="V111" s="25"/>
      <c r="W111" s="24"/>
      <c r="X111" s="26"/>
      <c r="Y111" s="26"/>
      <c r="Z111" s="26"/>
      <c r="AA111" s="26"/>
      <c r="AB111" s="26"/>
      <c r="AC111" s="26"/>
      <c r="AD111" s="26"/>
      <c r="AE111" s="27"/>
      <c r="AF111" s="27"/>
      <c r="AG111" s="28"/>
      <c r="AH111" s="29"/>
      <c r="AI111" s="29"/>
      <c r="AJ111" s="29"/>
      <c r="AK111" s="29"/>
      <c r="AL111" s="29"/>
      <c r="AM111" s="29"/>
      <c r="AN111" s="29"/>
      <c r="AO111" s="29"/>
      <c r="AP111" s="29"/>
      <c r="AQ111" s="29"/>
      <c r="AR111" s="29"/>
      <c r="AS111" s="29"/>
      <c r="AT111" s="29"/>
    </row>
    <row r="112" spans="1:46" ht="15" customHeight="1" x14ac:dyDescent="0.3">
      <c r="A112" s="6"/>
      <c r="B112" s="19"/>
      <c r="C112" s="20"/>
      <c r="D112" s="19"/>
      <c r="E112" s="20"/>
      <c r="F112" s="20"/>
      <c r="G112" s="20"/>
      <c r="H112" s="20"/>
      <c r="I112" s="20"/>
      <c r="J112" s="20"/>
      <c r="K112" s="20"/>
      <c r="L112" s="20"/>
      <c r="M112" s="20"/>
      <c r="N112" s="21"/>
      <c r="O112" s="22"/>
      <c r="P112" s="22"/>
      <c r="Q112" s="22"/>
      <c r="R112" s="22"/>
      <c r="S112" s="22"/>
      <c r="T112" s="23"/>
      <c r="U112" s="24"/>
      <c r="V112" s="25"/>
      <c r="W112" s="24"/>
      <c r="X112" s="26"/>
      <c r="Y112" s="26"/>
      <c r="Z112" s="26"/>
      <c r="AA112" s="26"/>
      <c r="AB112" s="26"/>
      <c r="AC112" s="26"/>
      <c r="AD112" s="26"/>
      <c r="AE112" s="27"/>
      <c r="AF112" s="27"/>
      <c r="AG112" s="28"/>
      <c r="AH112" s="29"/>
      <c r="AI112" s="29"/>
      <c r="AJ112" s="29"/>
      <c r="AK112" s="29"/>
      <c r="AL112" s="29"/>
      <c r="AM112" s="29"/>
      <c r="AN112" s="29"/>
      <c r="AO112" s="29"/>
      <c r="AP112" s="29"/>
      <c r="AQ112" s="29"/>
      <c r="AR112" s="29"/>
      <c r="AS112" s="29"/>
      <c r="AT112" s="29"/>
    </row>
    <row r="113" spans="1:46" ht="15" customHeight="1" x14ac:dyDescent="0.3">
      <c r="A113" s="6"/>
      <c r="B113" s="19"/>
      <c r="C113" s="20"/>
      <c r="D113" s="19"/>
      <c r="E113" s="20"/>
      <c r="F113" s="20"/>
      <c r="G113" s="20"/>
      <c r="H113" s="20"/>
      <c r="I113" s="20"/>
      <c r="J113" s="20"/>
      <c r="K113" s="20"/>
      <c r="L113" s="20"/>
      <c r="M113" s="20"/>
      <c r="N113" s="21"/>
      <c r="O113" s="22"/>
      <c r="P113" s="22"/>
      <c r="Q113" s="22"/>
      <c r="R113" s="22"/>
      <c r="S113" s="22"/>
      <c r="T113" s="23"/>
      <c r="U113" s="24"/>
      <c r="V113" s="25"/>
      <c r="W113" s="24"/>
      <c r="X113" s="26"/>
      <c r="Y113" s="26"/>
      <c r="Z113" s="26"/>
      <c r="AA113" s="26"/>
      <c r="AB113" s="26"/>
      <c r="AC113" s="26"/>
      <c r="AD113" s="26"/>
      <c r="AE113" s="27"/>
      <c r="AF113" s="27"/>
      <c r="AG113" s="28"/>
      <c r="AH113" s="29"/>
      <c r="AI113" s="29"/>
      <c r="AJ113" s="29"/>
      <c r="AK113" s="29"/>
      <c r="AL113" s="29"/>
      <c r="AM113" s="29"/>
      <c r="AN113" s="29"/>
      <c r="AO113" s="29"/>
      <c r="AP113" s="29"/>
      <c r="AQ113" s="29"/>
      <c r="AR113" s="29"/>
      <c r="AS113" s="29"/>
      <c r="AT113" s="29"/>
    </row>
    <row r="114" spans="1:46" ht="15" customHeight="1" x14ac:dyDescent="0.3">
      <c r="A114" s="6"/>
      <c r="B114" s="19"/>
      <c r="C114" s="20"/>
      <c r="D114" s="19"/>
      <c r="E114" s="20"/>
      <c r="F114" s="20"/>
      <c r="G114" s="20"/>
      <c r="H114" s="20"/>
      <c r="I114" s="20"/>
      <c r="J114" s="20"/>
      <c r="K114" s="20"/>
      <c r="L114" s="20"/>
      <c r="M114" s="20"/>
      <c r="N114" s="21"/>
      <c r="O114" s="22"/>
      <c r="P114" s="22"/>
      <c r="Q114" s="22"/>
      <c r="R114" s="22"/>
      <c r="S114" s="22"/>
      <c r="T114" s="23"/>
      <c r="U114" s="24"/>
      <c r="V114" s="25"/>
      <c r="W114" s="24"/>
      <c r="X114" s="26"/>
      <c r="Y114" s="26"/>
      <c r="Z114" s="26"/>
      <c r="AA114" s="26"/>
      <c r="AB114" s="26"/>
      <c r="AC114" s="26"/>
      <c r="AD114" s="26"/>
      <c r="AE114" s="27"/>
      <c r="AF114" s="27"/>
      <c r="AG114" s="28"/>
      <c r="AH114" s="29"/>
      <c r="AI114" s="29"/>
      <c r="AJ114" s="29"/>
      <c r="AK114" s="29"/>
      <c r="AL114" s="29"/>
      <c r="AM114" s="29"/>
      <c r="AN114" s="29"/>
      <c r="AO114" s="29"/>
      <c r="AP114" s="29"/>
      <c r="AQ114" s="29"/>
      <c r="AR114" s="29"/>
      <c r="AS114" s="29"/>
      <c r="AT114" s="29"/>
    </row>
    <row r="115" spans="1:46" ht="15" customHeight="1" x14ac:dyDescent="0.3">
      <c r="A115" s="6"/>
      <c r="B115" s="19"/>
      <c r="C115" s="20"/>
      <c r="D115" s="19"/>
      <c r="E115" s="20"/>
      <c r="F115" s="20"/>
      <c r="G115" s="20"/>
      <c r="H115" s="20"/>
      <c r="I115" s="20"/>
      <c r="J115" s="20"/>
      <c r="K115" s="20"/>
      <c r="L115" s="20"/>
      <c r="M115" s="20"/>
      <c r="N115" s="21"/>
      <c r="O115" s="22"/>
      <c r="P115" s="22"/>
      <c r="Q115" s="22"/>
      <c r="R115" s="22"/>
      <c r="S115" s="22"/>
      <c r="T115" s="23"/>
      <c r="U115" s="24"/>
      <c r="V115" s="25"/>
      <c r="W115" s="24"/>
      <c r="X115" s="26"/>
      <c r="Y115" s="26"/>
      <c r="Z115" s="26"/>
      <c r="AA115" s="26"/>
      <c r="AB115" s="26"/>
      <c r="AC115" s="26"/>
      <c r="AD115" s="26"/>
      <c r="AE115" s="27"/>
      <c r="AF115" s="27"/>
      <c r="AG115" s="28"/>
      <c r="AH115" s="29"/>
      <c r="AI115" s="29"/>
      <c r="AJ115" s="29"/>
      <c r="AK115" s="29"/>
      <c r="AL115" s="29"/>
      <c r="AM115" s="29"/>
      <c r="AN115" s="29"/>
      <c r="AO115" s="29"/>
      <c r="AP115" s="29"/>
      <c r="AQ115" s="29"/>
      <c r="AR115" s="29"/>
      <c r="AS115" s="29"/>
      <c r="AT115" s="29"/>
    </row>
    <row r="116" spans="1:46" ht="15" customHeight="1" x14ac:dyDescent="0.3">
      <c r="A116" s="6"/>
      <c r="B116" s="19"/>
      <c r="C116" s="20"/>
      <c r="D116" s="19"/>
      <c r="E116" s="20"/>
      <c r="F116" s="20"/>
      <c r="G116" s="20"/>
      <c r="H116" s="20"/>
      <c r="I116" s="20"/>
      <c r="J116" s="20"/>
      <c r="K116" s="20"/>
      <c r="L116" s="20"/>
      <c r="M116" s="20"/>
      <c r="N116" s="21"/>
      <c r="O116" s="22"/>
      <c r="P116" s="22"/>
      <c r="Q116" s="22"/>
      <c r="R116" s="22"/>
      <c r="S116" s="22"/>
      <c r="T116" s="23"/>
      <c r="U116" s="24"/>
      <c r="V116" s="25"/>
      <c r="W116" s="24"/>
      <c r="X116" s="26"/>
      <c r="Y116" s="26"/>
      <c r="Z116" s="26"/>
      <c r="AA116" s="26"/>
      <c r="AB116" s="26"/>
      <c r="AC116" s="26"/>
      <c r="AD116" s="26"/>
      <c r="AE116" s="27"/>
      <c r="AF116" s="27"/>
      <c r="AG116" s="28"/>
      <c r="AH116" s="29"/>
      <c r="AI116" s="29"/>
      <c r="AJ116" s="29"/>
      <c r="AK116" s="29"/>
      <c r="AL116" s="29"/>
      <c r="AM116" s="29"/>
      <c r="AN116" s="29"/>
      <c r="AO116" s="29"/>
      <c r="AP116" s="29"/>
      <c r="AQ116" s="29"/>
      <c r="AR116" s="29"/>
      <c r="AS116" s="29"/>
      <c r="AT116" s="29"/>
    </row>
    <row r="117" spans="1:46" ht="15" customHeight="1" x14ac:dyDescent="0.3">
      <c r="A117" s="6"/>
      <c r="B117" s="19"/>
      <c r="C117" s="20"/>
      <c r="D117" s="19"/>
      <c r="E117" s="20"/>
      <c r="F117" s="20"/>
      <c r="G117" s="20"/>
      <c r="H117" s="20"/>
      <c r="I117" s="20"/>
      <c r="J117" s="20"/>
      <c r="K117" s="20"/>
      <c r="L117" s="20"/>
      <c r="M117" s="20"/>
      <c r="N117" s="21"/>
      <c r="O117" s="22"/>
      <c r="P117" s="22"/>
      <c r="Q117" s="22"/>
      <c r="R117" s="22"/>
      <c r="S117" s="22"/>
      <c r="T117" s="23"/>
      <c r="U117" s="24"/>
      <c r="V117" s="25"/>
      <c r="W117" s="24"/>
      <c r="X117" s="26"/>
      <c r="Y117" s="26"/>
      <c r="Z117" s="26"/>
      <c r="AA117" s="26"/>
      <c r="AB117" s="26"/>
      <c r="AC117" s="26"/>
      <c r="AD117" s="26"/>
      <c r="AE117" s="27"/>
      <c r="AF117" s="27"/>
      <c r="AG117" s="28"/>
      <c r="AH117" s="29"/>
      <c r="AI117" s="29"/>
      <c r="AJ117" s="29"/>
      <c r="AK117" s="29"/>
      <c r="AL117" s="29"/>
      <c r="AM117" s="29"/>
      <c r="AN117" s="29"/>
      <c r="AO117" s="29"/>
      <c r="AP117" s="29"/>
      <c r="AQ117" s="29"/>
      <c r="AR117" s="29"/>
      <c r="AS117" s="29"/>
      <c r="AT117" s="29"/>
    </row>
    <row r="118" spans="1:46" ht="15" customHeight="1" x14ac:dyDescent="0.3">
      <c r="A118" s="6"/>
      <c r="B118" s="19"/>
      <c r="C118" s="20"/>
      <c r="D118" s="19"/>
      <c r="E118" s="20"/>
      <c r="F118" s="20"/>
      <c r="G118" s="20"/>
      <c r="H118" s="20"/>
      <c r="I118" s="20"/>
      <c r="J118" s="20"/>
      <c r="K118" s="20"/>
      <c r="L118" s="20"/>
      <c r="M118" s="20"/>
      <c r="N118" s="21"/>
      <c r="O118" s="22"/>
      <c r="P118" s="22"/>
      <c r="Q118" s="22"/>
      <c r="R118" s="22"/>
      <c r="S118" s="22"/>
      <c r="T118" s="23"/>
      <c r="U118" s="24"/>
      <c r="V118" s="25"/>
      <c r="W118" s="24"/>
      <c r="X118" s="26"/>
      <c r="Y118" s="26"/>
      <c r="Z118" s="26"/>
      <c r="AA118" s="26"/>
      <c r="AB118" s="26"/>
      <c r="AC118" s="26"/>
      <c r="AD118" s="26"/>
      <c r="AE118" s="27"/>
      <c r="AF118" s="27"/>
      <c r="AG118" s="28"/>
      <c r="AH118" s="29"/>
      <c r="AI118" s="29"/>
      <c r="AJ118" s="29"/>
      <c r="AK118" s="29"/>
      <c r="AL118" s="29"/>
      <c r="AM118" s="29"/>
      <c r="AN118" s="29"/>
      <c r="AO118" s="29"/>
      <c r="AP118" s="29"/>
      <c r="AQ118" s="29"/>
      <c r="AR118" s="29"/>
      <c r="AS118" s="29"/>
      <c r="AT118" s="29"/>
    </row>
    <row r="119" spans="1:46" ht="15" customHeight="1" x14ac:dyDescent="0.3">
      <c r="A119" s="6"/>
      <c r="B119" s="19"/>
      <c r="C119" s="20"/>
      <c r="D119" s="19"/>
      <c r="E119" s="20"/>
      <c r="F119" s="20"/>
      <c r="G119" s="20"/>
      <c r="H119" s="20"/>
      <c r="I119" s="20"/>
      <c r="J119" s="20"/>
      <c r="K119" s="20"/>
      <c r="L119" s="20"/>
      <c r="M119" s="20"/>
      <c r="N119" s="21"/>
      <c r="O119" s="22"/>
      <c r="P119" s="22"/>
      <c r="Q119" s="22"/>
      <c r="R119" s="22"/>
      <c r="S119" s="22"/>
      <c r="T119" s="23"/>
      <c r="U119" s="24"/>
      <c r="V119" s="25"/>
      <c r="W119" s="24"/>
      <c r="X119" s="26"/>
      <c r="Y119" s="26"/>
      <c r="Z119" s="26"/>
      <c r="AA119" s="26"/>
      <c r="AB119" s="26"/>
      <c r="AC119" s="26"/>
      <c r="AD119" s="26"/>
      <c r="AE119" s="27"/>
      <c r="AF119" s="27"/>
      <c r="AG119" s="28"/>
      <c r="AH119" s="29"/>
      <c r="AI119" s="29"/>
      <c r="AJ119" s="29"/>
      <c r="AK119" s="29"/>
      <c r="AL119" s="29"/>
      <c r="AM119" s="29"/>
      <c r="AN119" s="29"/>
      <c r="AO119" s="29"/>
      <c r="AP119" s="29"/>
      <c r="AQ119" s="29"/>
      <c r="AR119" s="29"/>
      <c r="AS119" s="29"/>
      <c r="AT119" s="29"/>
    </row>
    <row r="120" spans="1:46" ht="15" customHeight="1" x14ac:dyDescent="0.3">
      <c r="A120" s="6"/>
      <c r="B120" s="19"/>
      <c r="C120" s="20"/>
      <c r="D120" s="19"/>
      <c r="E120" s="20"/>
      <c r="F120" s="20"/>
      <c r="G120" s="20"/>
      <c r="H120" s="20"/>
      <c r="I120" s="20"/>
      <c r="J120" s="20"/>
      <c r="K120" s="20"/>
      <c r="L120" s="20"/>
      <c r="M120" s="20"/>
      <c r="N120" s="21"/>
      <c r="O120" s="22"/>
      <c r="P120" s="22"/>
      <c r="Q120" s="22"/>
      <c r="R120" s="22"/>
      <c r="S120" s="22"/>
      <c r="T120" s="23"/>
      <c r="U120" s="24"/>
      <c r="V120" s="25"/>
      <c r="W120" s="24"/>
      <c r="X120" s="26"/>
      <c r="Y120" s="26"/>
      <c r="Z120" s="26"/>
      <c r="AA120" s="26"/>
      <c r="AB120" s="26"/>
      <c r="AC120" s="26"/>
      <c r="AD120" s="26"/>
      <c r="AE120" s="27"/>
      <c r="AF120" s="27"/>
      <c r="AG120" s="28"/>
      <c r="AH120" s="29"/>
      <c r="AI120" s="29"/>
      <c r="AJ120" s="29"/>
      <c r="AK120" s="29"/>
      <c r="AL120" s="29"/>
      <c r="AM120" s="29"/>
      <c r="AN120" s="29"/>
      <c r="AO120" s="29"/>
      <c r="AP120" s="29"/>
      <c r="AQ120" s="29"/>
      <c r="AR120" s="29"/>
      <c r="AS120" s="29"/>
      <c r="AT120" s="29"/>
    </row>
    <row r="121" spans="1:46" ht="15" customHeight="1" x14ac:dyDescent="0.3">
      <c r="A121" s="6"/>
      <c r="B121" s="19"/>
      <c r="C121" s="20"/>
      <c r="D121" s="19"/>
      <c r="E121" s="20"/>
      <c r="F121" s="20"/>
      <c r="G121" s="20"/>
      <c r="H121" s="20"/>
      <c r="I121" s="20"/>
      <c r="J121" s="20"/>
      <c r="K121" s="20"/>
      <c r="L121" s="20"/>
      <c r="M121" s="20"/>
      <c r="N121" s="21"/>
      <c r="O121" s="22"/>
      <c r="P121" s="22"/>
      <c r="Q121" s="22"/>
      <c r="R121" s="22"/>
      <c r="S121" s="22"/>
      <c r="T121" s="23"/>
      <c r="U121" s="24"/>
      <c r="V121" s="25"/>
      <c r="W121" s="24"/>
      <c r="X121" s="26"/>
      <c r="Y121" s="26"/>
      <c r="Z121" s="26"/>
      <c r="AA121" s="26"/>
      <c r="AB121" s="26"/>
      <c r="AC121" s="26"/>
      <c r="AD121" s="26"/>
      <c r="AE121" s="27"/>
      <c r="AF121" s="27"/>
      <c r="AG121" s="28"/>
      <c r="AH121" s="29"/>
      <c r="AI121" s="29"/>
      <c r="AJ121" s="29"/>
      <c r="AK121" s="29"/>
      <c r="AL121" s="29"/>
      <c r="AM121" s="29"/>
      <c r="AN121" s="29"/>
      <c r="AO121" s="29"/>
      <c r="AP121" s="29"/>
      <c r="AQ121" s="29"/>
      <c r="AR121" s="29"/>
      <c r="AS121" s="29"/>
      <c r="AT121" s="29"/>
    </row>
    <row r="122" spans="1:46" ht="15" customHeight="1" x14ac:dyDescent="0.3">
      <c r="A122" s="6"/>
      <c r="B122" s="19"/>
      <c r="C122" s="20"/>
      <c r="D122" s="19"/>
      <c r="E122" s="20"/>
      <c r="F122" s="20"/>
      <c r="G122" s="20"/>
      <c r="H122" s="20"/>
      <c r="I122" s="20"/>
      <c r="J122" s="20"/>
      <c r="K122" s="20"/>
      <c r="L122" s="20"/>
      <c r="M122" s="20"/>
      <c r="N122" s="21"/>
      <c r="O122" s="22"/>
      <c r="P122" s="22"/>
      <c r="Q122" s="22"/>
      <c r="R122" s="22"/>
      <c r="S122" s="22"/>
      <c r="T122" s="23"/>
      <c r="U122" s="24"/>
      <c r="V122" s="25"/>
      <c r="W122" s="24"/>
      <c r="X122" s="26"/>
      <c r="Y122" s="26"/>
      <c r="Z122" s="26"/>
      <c r="AA122" s="26"/>
      <c r="AB122" s="26"/>
      <c r="AC122" s="26"/>
      <c r="AD122" s="26"/>
      <c r="AE122" s="27"/>
      <c r="AF122" s="27"/>
      <c r="AG122" s="28"/>
      <c r="AH122" s="29"/>
      <c r="AI122" s="29"/>
      <c r="AJ122" s="29"/>
      <c r="AK122" s="29"/>
      <c r="AL122" s="29"/>
      <c r="AM122" s="29"/>
      <c r="AN122" s="29"/>
      <c r="AO122" s="29"/>
      <c r="AP122" s="29"/>
      <c r="AQ122" s="29"/>
      <c r="AR122" s="29"/>
      <c r="AS122" s="29"/>
      <c r="AT122" s="29"/>
    </row>
    <row r="123" spans="1:46" ht="15" customHeight="1" x14ac:dyDescent="0.3">
      <c r="A123" s="6"/>
      <c r="B123" s="19"/>
      <c r="C123" s="20"/>
      <c r="D123" s="19"/>
      <c r="E123" s="20"/>
      <c r="F123" s="20"/>
      <c r="G123" s="20"/>
      <c r="H123" s="20"/>
      <c r="I123" s="20"/>
      <c r="J123" s="20"/>
      <c r="K123" s="20"/>
      <c r="L123" s="20"/>
      <c r="M123" s="20"/>
      <c r="N123" s="21"/>
      <c r="O123" s="22"/>
      <c r="P123" s="22"/>
      <c r="Q123" s="22"/>
      <c r="R123" s="22"/>
      <c r="S123" s="22"/>
      <c r="T123" s="23"/>
      <c r="U123" s="24"/>
      <c r="V123" s="25"/>
      <c r="W123" s="24"/>
      <c r="X123" s="26"/>
      <c r="Y123" s="26"/>
      <c r="Z123" s="26"/>
      <c r="AA123" s="26"/>
      <c r="AB123" s="26"/>
      <c r="AC123" s="26"/>
      <c r="AD123" s="26"/>
      <c r="AE123" s="27"/>
      <c r="AF123" s="27"/>
      <c r="AG123" s="28"/>
      <c r="AH123" s="29"/>
      <c r="AI123" s="29"/>
      <c r="AJ123" s="29"/>
      <c r="AK123" s="29"/>
      <c r="AL123" s="29"/>
      <c r="AM123" s="29"/>
      <c r="AN123" s="29"/>
      <c r="AO123" s="29"/>
      <c r="AP123" s="29"/>
      <c r="AQ123" s="29"/>
      <c r="AR123" s="29"/>
      <c r="AS123" s="29"/>
      <c r="AT123" s="29"/>
    </row>
    <row r="124" spans="1:46" ht="15" customHeight="1" x14ac:dyDescent="0.3">
      <c r="A124" s="6"/>
      <c r="B124" s="19"/>
      <c r="C124" s="20"/>
      <c r="D124" s="19"/>
      <c r="E124" s="20"/>
      <c r="F124" s="20"/>
      <c r="G124" s="20"/>
      <c r="H124" s="20"/>
      <c r="I124" s="20"/>
      <c r="J124" s="20"/>
      <c r="K124" s="20"/>
      <c r="L124" s="20"/>
      <c r="M124" s="20"/>
      <c r="N124" s="21"/>
      <c r="O124" s="22"/>
      <c r="P124" s="22"/>
      <c r="Q124" s="22"/>
      <c r="R124" s="22"/>
      <c r="S124" s="22"/>
      <c r="T124" s="23"/>
      <c r="U124" s="24"/>
      <c r="V124" s="25"/>
      <c r="W124" s="24"/>
      <c r="X124" s="26"/>
      <c r="Y124" s="26"/>
      <c r="Z124" s="26"/>
      <c r="AA124" s="26"/>
      <c r="AB124" s="26"/>
      <c r="AC124" s="26"/>
      <c r="AD124" s="26"/>
      <c r="AE124" s="27"/>
      <c r="AF124" s="27"/>
      <c r="AG124" s="28"/>
      <c r="AH124" s="29"/>
      <c r="AI124" s="29"/>
      <c r="AJ124" s="29"/>
      <c r="AK124" s="29"/>
      <c r="AL124" s="29"/>
      <c r="AM124" s="29"/>
      <c r="AN124" s="29"/>
      <c r="AO124" s="29"/>
      <c r="AP124" s="29"/>
      <c r="AQ124" s="29"/>
      <c r="AR124" s="29"/>
      <c r="AS124" s="29"/>
      <c r="AT124" s="29"/>
    </row>
    <row r="125" spans="1:46" ht="15" customHeight="1" x14ac:dyDescent="0.3">
      <c r="A125" s="6"/>
      <c r="B125" s="19"/>
      <c r="C125" s="20"/>
      <c r="D125" s="19"/>
      <c r="E125" s="20"/>
      <c r="F125" s="20"/>
      <c r="G125" s="20"/>
      <c r="H125" s="20"/>
      <c r="I125" s="20"/>
      <c r="J125" s="20"/>
      <c r="K125" s="20"/>
      <c r="L125" s="20"/>
      <c r="M125" s="20"/>
      <c r="N125" s="21"/>
      <c r="O125" s="22"/>
      <c r="P125" s="22"/>
      <c r="Q125" s="22"/>
      <c r="R125" s="22"/>
      <c r="S125" s="22"/>
      <c r="T125" s="23"/>
      <c r="U125" s="24"/>
      <c r="V125" s="25"/>
      <c r="W125" s="24"/>
      <c r="X125" s="26"/>
      <c r="Y125" s="26"/>
      <c r="Z125" s="26"/>
      <c r="AA125" s="26"/>
      <c r="AB125" s="26"/>
      <c r="AC125" s="26"/>
      <c r="AD125" s="26"/>
      <c r="AE125" s="27"/>
      <c r="AF125" s="27"/>
      <c r="AG125" s="28"/>
      <c r="AH125" s="29"/>
      <c r="AI125" s="29"/>
      <c r="AJ125" s="29"/>
      <c r="AK125" s="29"/>
      <c r="AL125" s="29"/>
      <c r="AM125" s="29"/>
      <c r="AN125" s="29"/>
      <c r="AO125" s="29"/>
      <c r="AP125" s="29"/>
      <c r="AQ125" s="29"/>
      <c r="AR125" s="29"/>
      <c r="AS125" s="29"/>
      <c r="AT125" s="29"/>
    </row>
    <row r="126" spans="1:46" ht="15" customHeight="1" x14ac:dyDescent="0.3">
      <c r="A126" s="6"/>
      <c r="B126" s="19"/>
      <c r="C126" s="20"/>
      <c r="D126" s="19"/>
      <c r="E126" s="20"/>
      <c r="F126" s="20"/>
      <c r="G126" s="20"/>
      <c r="H126" s="20"/>
      <c r="I126" s="20"/>
      <c r="J126" s="20"/>
      <c r="K126" s="20"/>
      <c r="L126" s="20"/>
      <c r="M126" s="20"/>
      <c r="N126" s="21"/>
      <c r="O126" s="22"/>
      <c r="P126" s="22"/>
      <c r="Q126" s="22"/>
      <c r="R126" s="22"/>
      <c r="S126" s="22"/>
      <c r="T126" s="23"/>
      <c r="U126" s="24"/>
      <c r="V126" s="25"/>
      <c r="W126" s="24"/>
      <c r="X126" s="26"/>
      <c r="Y126" s="26"/>
      <c r="Z126" s="26"/>
      <c r="AA126" s="26"/>
      <c r="AB126" s="26"/>
      <c r="AC126" s="26"/>
      <c r="AD126" s="26"/>
      <c r="AE126" s="27"/>
      <c r="AF126" s="27"/>
      <c r="AG126" s="28"/>
      <c r="AH126" s="29"/>
      <c r="AI126" s="29"/>
      <c r="AJ126" s="29"/>
      <c r="AK126" s="29"/>
      <c r="AL126" s="29"/>
      <c r="AM126" s="29"/>
      <c r="AN126" s="29"/>
      <c r="AO126" s="29"/>
      <c r="AP126" s="29"/>
      <c r="AQ126" s="29"/>
      <c r="AR126" s="29"/>
      <c r="AS126" s="29"/>
      <c r="AT126" s="29"/>
    </row>
    <row r="127" spans="1:46" ht="15" customHeight="1" x14ac:dyDescent="0.3">
      <c r="A127" s="6"/>
      <c r="B127" s="19"/>
      <c r="C127" s="20"/>
      <c r="D127" s="19"/>
      <c r="E127" s="20"/>
      <c r="F127" s="20"/>
      <c r="G127" s="20"/>
      <c r="H127" s="20"/>
      <c r="I127" s="20"/>
      <c r="J127" s="20"/>
      <c r="K127" s="20"/>
      <c r="L127" s="20"/>
      <c r="M127" s="20"/>
      <c r="N127" s="21"/>
      <c r="O127" s="22"/>
      <c r="P127" s="22"/>
      <c r="Q127" s="22"/>
      <c r="R127" s="22"/>
      <c r="S127" s="22"/>
      <c r="T127" s="23"/>
      <c r="U127" s="24"/>
      <c r="V127" s="25"/>
      <c r="W127" s="24"/>
      <c r="X127" s="26"/>
      <c r="Y127" s="26"/>
      <c r="Z127" s="26"/>
      <c r="AA127" s="26"/>
      <c r="AB127" s="26"/>
      <c r="AC127" s="26"/>
      <c r="AD127" s="26"/>
      <c r="AE127" s="27"/>
      <c r="AF127" s="27"/>
      <c r="AG127" s="28"/>
      <c r="AH127" s="29"/>
      <c r="AI127" s="29"/>
      <c r="AJ127" s="29"/>
      <c r="AK127" s="29"/>
      <c r="AL127" s="29"/>
      <c r="AM127" s="29"/>
      <c r="AN127" s="29"/>
      <c r="AO127" s="29"/>
      <c r="AP127" s="29"/>
      <c r="AQ127" s="29"/>
      <c r="AR127" s="29"/>
      <c r="AS127" s="29"/>
      <c r="AT127" s="29"/>
    </row>
    <row r="128" spans="1:46" ht="15" customHeight="1" x14ac:dyDescent="0.3">
      <c r="A128" s="6"/>
      <c r="B128" s="19"/>
      <c r="C128" s="20"/>
      <c r="D128" s="19"/>
      <c r="E128" s="20"/>
      <c r="F128" s="20"/>
      <c r="G128" s="20"/>
      <c r="H128" s="20"/>
      <c r="I128" s="20"/>
      <c r="J128" s="20"/>
      <c r="K128" s="20"/>
      <c r="L128" s="20"/>
      <c r="M128" s="20"/>
      <c r="N128" s="21"/>
      <c r="O128" s="22"/>
      <c r="P128" s="22"/>
      <c r="Q128" s="22"/>
      <c r="R128" s="22"/>
      <c r="S128" s="22"/>
      <c r="T128" s="23"/>
      <c r="U128" s="24"/>
      <c r="V128" s="25"/>
      <c r="W128" s="24"/>
      <c r="X128" s="26"/>
      <c r="Y128" s="26"/>
      <c r="Z128" s="26"/>
      <c r="AA128" s="26"/>
      <c r="AB128" s="26"/>
      <c r="AC128" s="26"/>
      <c r="AD128" s="26"/>
      <c r="AE128" s="27"/>
      <c r="AF128" s="27"/>
      <c r="AG128" s="28"/>
      <c r="AH128" s="29"/>
      <c r="AI128" s="29"/>
      <c r="AJ128" s="29"/>
      <c r="AK128" s="29"/>
      <c r="AL128" s="29"/>
      <c r="AM128" s="29"/>
      <c r="AN128" s="29"/>
      <c r="AO128" s="29"/>
      <c r="AP128" s="29"/>
      <c r="AQ128" s="29"/>
      <c r="AR128" s="29"/>
      <c r="AS128" s="29"/>
      <c r="AT128" s="29"/>
    </row>
    <row r="129" spans="1:46" ht="15" customHeight="1" x14ac:dyDescent="0.3">
      <c r="A129" s="6"/>
      <c r="B129" s="19"/>
      <c r="C129" s="20"/>
      <c r="D129" s="19"/>
      <c r="E129" s="20"/>
      <c r="F129" s="20"/>
      <c r="G129" s="20"/>
      <c r="H129" s="20"/>
      <c r="I129" s="20"/>
      <c r="J129" s="20"/>
      <c r="K129" s="20"/>
      <c r="L129" s="20"/>
      <c r="M129" s="20"/>
      <c r="N129" s="21"/>
      <c r="O129" s="22"/>
      <c r="P129" s="22"/>
      <c r="Q129" s="22"/>
      <c r="R129" s="22"/>
      <c r="S129" s="22"/>
      <c r="T129" s="23"/>
      <c r="U129" s="24"/>
      <c r="V129" s="25"/>
      <c r="W129" s="24"/>
      <c r="X129" s="26"/>
      <c r="Y129" s="26"/>
      <c r="Z129" s="26"/>
      <c r="AA129" s="26"/>
      <c r="AB129" s="26"/>
      <c r="AC129" s="26"/>
      <c r="AD129" s="26"/>
      <c r="AE129" s="27"/>
      <c r="AF129" s="27"/>
      <c r="AG129" s="28"/>
      <c r="AH129" s="29"/>
      <c r="AI129" s="29"/>
      <c r="AJ129" s="29"/>
      <c r="AK129" s="29"/>
      <c r="AL129" s="29"/>
      <c r="AM129" s="29"/>
      <c r="AN129" s="29"/>
      <c r="AO129" s="29"/>
      <c r="AP129" s="29"/>
      <c r="AQ129" s="29"/>
      <c r="AR129" s="29"/>
      <c r="AS129" s="29"/>
      <c r="AT129" s="29"/>
    </row>
    <row r="130" spans="1:46" ht="15" customHeight="1" x14ac:dyDescent="0.3">
      <c r="A130" s="6"/>
      <c r="B130" s="19"/>
      <c r="C130" s="20"/>
      <c r="D130" s="19"/>
      <c r="E130" s="20"/>
      <c r="F130" s="20"/>
      <c r="G130" s="20"/>
      <c r="H130" s="20"/>
      <c r="I130" s="20"/>
      <c r="J130" s="20"/>
      <c r="K130" s="20"/>
      <c r="L130" s="20"/>
      <c r="M130" s="20"/>
      <c r="N130" s="21"/>
      <c r="O130" s="22"/>
      <c r="P130" s="22"/>
      <c r="Q130" s="22"/>
      <c r="R130" s="22"/>
      <c r="S130" s="22"/>
      <c r="T130" s="23"/>
      <c r="U130" s="24"/>
      <c r="V130" s="25"/>
      <c r="W130" s="24"/>
      <c r="X130" s="26"/>
      <c r="Y130" s="26"/>
      <c r="Z130" s="26"/>
      <c r="AA130" s="26"/>
      <c r="AB130" s="26"/>
      <c r="AC130" s="26"/>
      <c r="AD130" s="26"/>
      <c r="AE130" s="27"/>
      <c r="AF130" s="27"/>
      <c r="AG130" s="28"/>
      <c r="AH130" s="29"/>
      <c r="AI130" s="29"/>
      <c r="AJ130" s="29"/>
      <c r="AK130" s="29"/>
      <c r="AL130" s="29"/>
      <c r="AM130" s="29"/>
      <c r="AN130" s="29"/>
      <c r="AO130" s="29"/>
      <c r="AP130" s="29"/>
      <c r="AQ130" s="29"/>
      <c r="AR130" s="29"/>
      <c r="AS130" s="29"/>
      <c r="AT130" s="29"/>
    </row>
    <row r="131" spans="1:46" ht="15" customHeight="1" x14ac:dyDescent="0.3">
      <c r="A131" s="6"/>
      <c r="B131" s="19"/>
      <c r="C131" s="20"/>
      <c r="D131" s="19"/>
      <c r="E131" s="20"/>
      <c r="F131" s="20"/>
      <c r="G131" s="20"/>
      <c r="H131" s="20"/>
      <c r="I131" s="20"/>
      <c r="J131" s="20"/>
      <c r="K131" s="20"/>
      <c r="L131" s="20"/>
      <c r="M131" s="20"/>
      <c r="N131" s="21"/>
      <c r="O131" s="22"/>
      <c r="P131" s="22"/>
      <c r="Q131" s="22"/>
      <c r="R131" s="22"/>
      <c r="S131" s="22"/>
      <c r="T131" s="23"/>
      <c r="U131" s="24"/>
      <c r="V131" s="25"/>
      <c r="W131" s="24"/>
      <c r="X131" s="26"/>
      <c r="Y131" s="26"/>
      <c r="Z131" s="26"/>
      <c r="AA131" s="26"/>
      <c r="AB131" s="26"/>
      <c r="AC131" s="26"/>
      <c r="AD131" s="26"/>
      <c r="AE131" s="27"/>
      <c r="AF131" s="27"/>
      <c r="AG131" s="28"/>
      <c r="AH131" s="29"/>
      <c r="AI131" s="29"/>
      <c r="AJ131" s="29"/>
      <c r="AK131" s="29"/>
      <c r="AL131" s="29"/>
      <c r="AM131" s="29"/>
      <c r="AN131" s="29"/>
      <c r="AO131" s="29"/>
      <c r="AP131" s="29"/>
      <c r="AQ131" s="29"/>
      <c r="AR131" s="29"/>
      <c r="AS131" s="29"/>
      <c r="AT131" s="29"/>
    </row>
    <row r="132" spans="1:46" ht="15" customHeight="1" x14ac:dyDescent="0.3">
      <c r="A132" s="6"/>
      <c r="B132" s="19"/>
      <c r="C132" s="20"/>
      <c r="D132" s="19"/>
      <c r="E132" s="20"/>
      <c r="F132" s="20"/>
      <c r="G132" s="20"/>
      <c r="H132" s="20"/>
      <c r="I132" s="20"/>
      <c r="J132" s="20"/>
      <c r="K132" s="20"/>
      <c r="L132" s="20"/>
      <c r="M132" s="20"/>
      <c r="N132" s="21"/>
      <c r="O132" s="22"/>
      <c r="P132" s="22"/>
      <c r="Q132" s="22"/>
      <c r="R132" s="22"/>
      <c r="S132" s="22"/>
      <c r="T132" s="23"/>
      <c r="U132" s="24"/>
      <c r="V132" s="25"/>
      <c r="W132" s="24"/>
      <c r="X132" s="26"/>
      <c r="Y132" s="26"/>
      <c r="Z132" s="26"/>
      <c r="AA132" s="26"/>
      <c r="AB132" s="26"/>
      <c r="AC132" s="26"/>
      <c r="AD132" s="26"/>
      <c r="AE132" s="27"/>
      <c r="AF132" s="27"/>
      <c r="AG132" s="28"/>
      <c r="AH132" s="29"/>
      <c r="AI132" s="29"/>
      <c r="AJ132" s="29"/>
      <c r="AK132" s="29"/>
      <c r="AL132" s="29"/>
      <c r="AM132" s="29"/>
      <c r="AN132" s="29"/>
      <c r="AO132" s="29"/>
      <c r="AP132" s="29"/>
      <c r="AQ132" s="29"/>
      <c r="AR132" s="29"/>
      <c r="AS132" s="29"/>
      <c r="AT132" s="29"/>
    </row>
    <row r="133" spans="1:46" ht="15" customHeight="1" x14ac:dyDescent="0.3">
      <c r="A133" s="6"/>
      <c r="B133" s="19"/>
      <c r="C133" s="20"/>
      <c r="D133" s="19"/>
      <c r="E133" s="20"/>
      <c r="F133" s="20"/>
      <c r="G133" s="20"/>
      <c r="H133" s="20"/>
      <c r="I133" s="20"/>
      <c r="J133" s="20"/>
      <c r="K133" s="20"/>
      <c r="L133" s="20"/>
      <c r="M133" s="20"/>
      <c r="N133" s="21"/>
      <c r="O133" s="22"/>
      <c r="P133" s="22"/>
      <c r="Q133" s="22"/>
      <c r="R133" s="22"/>
      <c r="S133" s="22"/>
      <c r="T133" s="23"/>
      <c r="U133" s="24"/>
      <c r="V133" s="25"/>
      <c r="W133" s="24"/>
      <c r="X133" s="26"/>
      <c r="Y133" s="26"/>
      <c r="Z133" s="26"/>
      <c r="AA133" s="26"/>
      <c r="AB133" s="26"/>
      <c r="AC133" s="26"/>
      <c r="AD133" s="26"/>
      <c r="AE133" s="27"/>
      <c r="AF133" s="27"/>
      <c r="AG133" s="28"/>
      <c r="AH133" s="29"/>
      <c r="AI133" s="29"/>
      <c r="AJ133" s="29"/>
      <c r="AK133" s="29"/>
      <c r="AL133" s="29"/>
      <c r="AM133" s="29"/>
      <c r="AN133" s="29"/>
      <c r="AO133" s="29"/>
      <c r="AP133" s="29"/>
      <c r="AQ133" s="29"/>
      <c r="AR133" s="29"/>
      <c r="AS133" s="29"/>
      <c r="AT133" s="29"/>
    </row>
    <row r="134" spans="1:46" ht="15" customHeight="1" x14ac:dyDescent="0.3">
      <c r="A134" s="6"/>
      <c r="B134" s="19"/>
      <c r="C134" s="20"/>
      <c r="D134" s="19"/>
      <c r="E134" s="20"/>
      <c r="F134" s="20"/>
      <c r="G134" s="20"/>
      <c r="H134" s="20"/>
      <c r="I134" s="20"/>
      <c r="J134" s="20"/>
      <c r="K134" s="20"/>
      <c r="L134" s="20"/>
      <c r="M134" s="20"/>
      <c r="N134" s="21"/>
      <c r="O134" s="22"/>
      <c r="P134" s="22"/>
      <c r="Q134" s="22"/>
      <c r="R134" s="22"/>
      <c r="S134" s="22"/>
      <c r="T134" s="23"/>
      <c r="U134" s="24"/>
      <c r="V134" s="25"/>
      <c r="W134" s="24"/>
      <c r="X134" s="26"/>
      <c r="Y134" s="26"/>
      <c r="Z134" s="26"/>
      <c r="AA134" s="26"/>
      <c r="AB134" s="26"/>
      <c r="AC134" s="26"/>
      <c r="AD134" s="26"/>
      <c r="AE134" s="27"/>
      <c r="AF134" s="27"/>
      <c r="AG134" s="28"/>
      <c r="AH134" s="29"/>
      <c r="AI134" s="29"/>
      <c r="AJ134" s="29"/>
      <c r="AK134" s="29"/>
      <c r="AL134" s="29"/>
      <c r="AM134" s="29"/>
      <c r="AN134" s="29"/>
      <c r="AO134" s="29"/>
      <c r="AP134" s="29"/>
      <c r="AQ134" s="29"/>
      <c r="AR134" s="29"/>
      <c r="AS134" s="29"/>
      <c r="AT134" s="29"/>
    </row>
    <row r="135" spans="1:46" ht="15" customHeight="1" x14ac:dyDescent="0.3">
      <c r="A135" s="6"/>
      <c r="B135" s="19"/>
      <c r="C135" s="20"/>
      <c r="D135" s="19"/>
      <c r="E135" s="20"/>
      <c r="F135" s="20"/>
      <c r="G135" s="20"/>
      <c r="H135" s="20"/>
      <c r="I135" s="20"/>
      <c r="J135" s="20"/>
      <c r="K135" s="20"/>
      <c r="L135" s="20"/>
      <c r="M135" s="20"/>
      <c r="N135" s="21"/>
      <c r="O135" s="22"/>
      <c r="P135" s="22"/>
      <c r="Q135" s="22"/>
      <c r="R135" s="22"/>
      <c r="S135" s="22"/>
      <c r="T135" s="23"/>
      <c r="U135" s="24"/>
      <c r="V135" s="25"/>
      <c r="W135" s="24"/>
      <c r="X135" s="26"/>
      <c r="Y135" s="26"/>
      <c r="Z135" s="26"/>
      <c r="AA135" s="26"/>
      <c r="AB135" s="26"/>
      <c r="AC135" s="26"/>
      <c r="AD135" s="26"/>
      <c r="AE135" s="27"/>
      <c r="AF135" s="27"/>
      <c r="AG135" s="28"/>
      <c r="AH135" s="29"/>
      <c r="AI135" s="29"/>
      <c r="AJ135" s="29"/>
      <c r="AK135" s="29"/>
      <c r="AL135" s="29"/>
      <c r="AM135" s="29"/>
      <c r="AN135" s="29"/>
      <c r="AO135" s="29"/>
      <c r="AP135" s="29"/>
      <c r="AQ135" s="29"/>
      <c r="AR135" s="29"/>
      <c r="AS135" s="29"/>
      <c r="AT135" s="29"/>
    </row>
    <row r="136" spans="1:46" ht="15" customHeight="1" x14ac:dyDescent="0.3">
      <c r="A136" s="6"/>
      <c r="B136" s="19"/>
      <c r="C136" s="20"/>
      <c r="D136" s="19"/>
      <c r="E136" s="20"/>
      <c r="F136" s="20"/>
      <c r="G136" s="20"/>
      <c r="H136" s="20"/>
      <c r="I136" s="20"/>
      <c r="J136" s="20"/>
      <c r="K136" s="20"/>
      <c r="L136" s="20"/>
      <c r="M136" s="20"/>
      <c r="N136" s="21"/>
      <c r="O136" s="22"/>
      <c r="P136" s="22"/>
      <c r="Q136" s="22"/>
      <c r="R136" s="22"/>
      <c r="S136" s="22"/>
      <c r="T136" s="23"/>
      <c r="U136" s="24"/>
      <c r="V136" s="25"/>
      <c r="W136" s="24"/>
      <c r="X136" s="26"/>
      <c r="Y136" s="26"/>
      <c r="Z136" s="26"/>
      <c r="AA136" s="26"/>
      <c r="AB136" s="26"/>
      <c r="AC136" s="26"/>
      <c r="AD136" s="26"/>
      <c r="AE136" s="27"/>
      <c r="AF136" s="27"/>
      <c r="AG136" s="28"/>
      <c r="AH136" s="29"/>
      <c r="AI136" s="29"/>
      <c r="AJ136" s="29"/>
      <c r="AK136" s="29"/>
      <c r="AL136" s="29"/>
      <c r="AM136" s="29"/>
      <c r="AN136" s="29"/>
      <c r="AO136" s="29"/>
      <c r="AP136" s="29"/>
      <c r="AQ136" s="29"/>
      <c r="AR136" s="29"/>
      <c r="AS136" s="29"/>
      <c r="AT136" s="29"/>
    </row>
    <row r="137" spans="1:46" ht="15" customHeight="1" x14ac:dyDescent="0.3">
      <c r="A137" s="6"/>
      <c r="B137" s="19"/>
      <c r="C137" s="20"/>
      <c r="D137" s="19"/>
      <c r="E137" s="20"/>
      <c r="F137" s="20"/>
      <c r="G137" s="20"/>
      <c r="H137" s="20"/>
      <c r="I137" s="20"/>
      <c r="J137" s="20"/>
      <c r="K137" s="20"/>
      <c r="L137" s="20"/>
      <c r="M137" s="20"/>
      <c r="N137" s="21"/>
      <c r="O137" s="22"/>
      <c r="P137" s="22"/>
      <c r="Q137" s="22"/>
      <c r="R137" s="22"/>
      <c r="S137" s="22"/>
      <c r="T137" s="23"/>
      <c r="U137" s="24"/>
      <c r="V137" s="25"/>
      <c r="W137" s="24"/>
      <c r="X137" s="26"/>
      <c r="Y137" s="26"/>
      <c r="Z137" s="26"/>
      <c r="AA137" s="26"/>
      <c r="AB137" s="26"/>
      <c r="AC137" s="26"/>
      <c r="AD137" s="26"/>
      <c r="AE137" s="27"/>
      <c r="AF137" s="27"/>
      <c r="AG137" s="28"/>
      <c r="AH137" s="29"/>
      <c r="AI137" s="29"/>
      <c r="AJ137" s="29"/>
      <c r="AK137" s="29"/>
      <c r="AL137" s="29"/>
      <c r="AM137" s="29"/>
      <c r="AN137" s="29"/>
      <c r="AO137" s="29"/>
      <c r="AP137" s="29"/>
      <c r="AQ137" s="29"/>
      <c r="AR137" s="29"/>
      <c r="AS137" s="29"/>
      <c r="AT137" s="29"/>
    </row>
    <row r="138" spans="1:46" ht="15" customHeight="1" x14ac:dyDescent="0.3">
      <c r="A138" s="6"/>
      <c r="B138" s="19"/>
      <c r="C138" s="20"/>
      <c r="D138" s="19"/>
      <c r="E138" s="20"/>
      <c r="F138" s="20"/>
      <c r="G138" s="20"/>
      <c r="H138" s="20"/>
      <c r="I138" s="20"/>
      <c r="J138" s="20"/>
      <c r="K138" s="20"/>
      <c r="L138" s="20"/>
      <c r="M138" s="20"/>
      <c r="N138" s="21"/>
      <c r="O138" s="22"/>
      <c r="P138" s="22"/>
      <c r="Q138" s="22"/>
      <c r="R138" s="22"/>
      <c r="S138" s="22"/>
      <c r="T138" s="23"/>
      <c r="U138" s="24"/>
      <c r="V138" s="25"/>
      <c r="W138" s="24"/>
      <c r="X138" s="26"/>
      <c r="Y138" s="26"/>
      <c r="Z138" s="26"/>
      <c r="AA138" s="26"/>
      <c r="AB138" s="26"/>
      <c r="AC138" s="26"/>
      <c r="AD138" s="26"/>
      <c r="AE138" s="27"/>
      <c r="AF138" s="27"/>
      <c r="AG138" s="28"/>
      <c r="AH138" s="29"/>
      <c r="AI138" s="29"/>
      <c r="AJ138" s="29"/>
      <c r="AK138" s="29"/>
      <c r="AL138" s="29"/>
      <c r="AM138" s="29"/>
      <c r="AN138" s="29"/>
      <c r="AO138" s="29"/>
      <c r="AP138" s="29"/>
      <c r="AQ138" s="29"/>
      <c r="AR138" s="29"/>
      <c r="AS138" s="29"/>
      <c r="AT138" s="29"/>
    </row>
    <row r="139" spans="1:46" ht="15" customHeight="1" x14ac:dyDescent="0.3">
      <c r="A139" s="6"/>
      <c r="B139" s="19"/>
      <c r="C139" s="20"/>
      <c r="D139" s="19"/>
      <c r="E139" s="20"/>
      <c r="F139" s="20"/>
      <c r="G139" s="20"/>
      <c r="H139" s="20"/>
      <c r="I139" s="20"/>
      <c r="J139" s="20"/>
      <c r="K139" s="20"/>
      <c r="L139" s="20"/>
      <c r="M139" s="20"/>
      <c r="N139" s="21"/>
      <c r="O139" s="22"/>
      <c r="P139" s="22"/>
      <c r="Q139" s="22"/>
      <c r="R139" s="22"/>
      <c r="S139" s="22"/>
      <c r="T139" s="23"/>
      <c r="U139" s="24"/>
      <c r="V139" s="25"/>
      <c r="W139" s="24"/>
      <c r="X139" s="26"/>
      <c r="Y139" s="26"/>
      <c r="Z139" s="26"/>
      <c r="AA139" s="26"/>
      <c r="AB139" s="26"/>
      <c r="AC139" s="26"/>
      <c r="AD139" s="26"/>
      <c r="AE139" s="27"/>
      <c r="AF139" s="27"/>
      <c r="AG139" s="28"/>
      <c r="AH139" s="29"/>
      <c r="AI139" s="29"/>
      <c r="AJ139" s="29"/>
      <c r="AK139" s="29"/>
      <c r="AL139" s="29"/>
      <c r="AM139" s="29"/>
      <c r="AN139" s="29"/>
      <c r="AO139" s="29"/>
      <c r="AP139" s="29"/>
      <c r="AQ139" s="29"/>
      <c r="AR139" s="29"/>
      <c r="AS139" s="29"/>
      <c r="AT139" s="29"/>
    </row>
    <row r="140" spans="1:46" ht="15" customHeight="1" x14ac:dyDescent="0.3">
      <c r="A140" s="6"/>
      <c r="B140" s="19"/>
      <c r="C140" s="20"/>
      <c r="D140" s="19"/>
      <c r="E140" s="20"/>
      <c r="F140" s="20"/>
      <c r="G140" s="20"/>
      <c r="H140" s="20"/>
      <c r="I140" s="20"/>
      <c r="J140" s="20"/>
      <c r="K140" s="20"/>
      <c r="L140" s="20"/>
      <c r="M140" s="20"/>
      <c r="N140" s="21"/>
      <c r="O140" s="22"/>
      <c r="P140" s="22"/>
      <c r="Q140" s="22"/>
      <c r="R140" s="22"/>
      <c r="S140" s="22"/>
      <c r="T140" s="23"/>
      <c r="U140" s="24"/>
      <c r="V140" s="25"/>
      <c r="W140" s="24"/>
      <c r="X140" s="26"/>
      <c r="Y140" s="26"/>
      <c r="Z140" s="26"/>
      <c r="AA140" s="26"/>
      <c r="AB140" s="26"/>
      <c r="AC140" s="26"/>
      <c r="AD140" s="26"/>
      <c r="AE140" s="27"/>
      <c r="AF140" s="27"/>
      <c r="AG140" s="28"/>
      <c r="AH140" s="29"/>
      <c r="AI140" s="29"/>
      <c r="AJ140" s="29"/>
      <c r="AK140" s="29"/>
      <c r="AL140" s="29"/>
      <c r="AM140" s="29"/>
      <c r="AN140" s="29"/>
      <c r="AO140" s="29"/>
      <c r="AP140" s="29"/>
      <c r="AQ140" s="29"/>
      <c r="AR140" s="29"/>
      <c r="AS140" s="29"/>
      <c r="AT140" s="29"/>
    </row>
    <row r="141" spans="1:46" ht="15" customHeight="1" x14ac:dyDescent="0.3">
      <c r="A141" s="6"/>
      <c r="B141" s="19"/>
      <c r="C141" s="20"/>
      <c r="D141" s="19"/>
      <c r="E141" s="20"/>
      <c r="F141" s="20"/>
      <c r="G141" s="20"/>
      <c r="H141" s="20"/>
      <c r="I141" s="20"/>
      <c r="J141" s="20"/>
      <c r="K141" s="20"/>
      <c r="L141" s="20"/>
      <c r="M141" s="20"/>
      <c r="N141" s="21"/>
      <c r="O141" s="22"/>
      <c r="P141" s="22"/>
      <c r="Q141" s="22"/>
      <c r="R141" s="22"/>
      <c r="S141" s="22"/>
      <c r="T141" s="23"/>
      <c r="U141" s="24"/>
      <c r="V141" s="25"/>
      <c r="W141" s="24"/>
      <c r="X141" s="26"/>
      <c r="Y141" s="26"/>
      <c r="Z141" s="26"/>
      <c r="AA141" s="26"/>
      <c r="AB141" s="26"/>
      <c r="AC141" s="26"/>
      <c r="AD141" s="26"/>
      <c r="AE141" s="27"/>
      <c r="AF141" s="27"/>
      <c r="AG141" s="28"/>
      <c r="AH141" s="29"/>
      <c r="AI141" s="29"/>
      <c r="AJ141" s="29"/>
      <c r="AK141" s="29"/>
      <c r="AL141" s="29"/>
      <c r="AM141" s="29"/>
      <c r="AN141" s="29"/>
      <c r="AO141" s="29"/>
      <c r="AP141" s="29"/>
      <c r="AQ141" s="29"/>
      <c r="AR141" s="29"/>
      <c r="AS141" s="29"/>
      <c r="AT141" s="29"/>
    </row>
    <row r="142" spans="1:46" ht="15" customHeight="1" x14ac:dyDescent="0.3">
      <c r="A142" s="6"/>
      <c r="B142" s="19"/>
      <c r="C142" s="20"/>
      <c r="D142" s="19"/>
      <c r="E142" s="20"/>
      <c r="F142" s="20"/>
      <c r="G142" s="20"/>
      <c r="H142" s="20"/>
      <c r="I142" s="20"/>
      <c r="J142" s="20"/>
      <c r="K142" s="20"/>
      <c r="L142" s="20"/>
      <c r="M142" s="20"/>
      <c r="N142" s="21"/>
      <c r="O142" s="22"/>
      <c r="P142" s="22"/>
      <c r="Q142" s="22"/>
      <c r="R142" s="22"/>
      <c r="S142" s="22"/>
      <c r="T142" s="23"/>
      <c r="U142" s="24"/>
      <c r="V142" s="25"/>
      <c r="W142" s="24"/>
      <c r="X142" s="26"/>
      <c r="Y142" s="26"/>
      <c r="Z142" s="26"/>
      <c r="AA142" s="26"/>
      <c r="AB142" s="26"/>
      <c r="AC142" s="26"/>
      <c r="AD142" s="26"/>
      <c r="AE142" s="27"/>
      <c r="AF142" s="27"/>
      <c r="AG142" s="28"/>
      <c r="AH142" s="29"/>
      <c r="AI142" s="29"/>
      <c r="AJ142" s="29"/>
      <c r="AK142" s="29"/>
      <c r="AL142" s="29"/>
      <c r="AM142" s="29"/>
      <c r="AN142" s="29"/>
      <c r="AO142" s="29"/>
      <c r="AP142" s="29"/>
      <c r="AQ142" s="29"/>
      <c r="AR142" s="29"/>
      <c r="AS142" s="29"/>
      <c r="AT142" s="29"/>
    </row>
    <row r="143" spans="1:46" ht="15" customHeight="1" x14ac:dyDescent="0.3">
      <c r="A143" s="6"/>
      <c r="B143" s="19"/>
      <c r="C143" s="20"/>
      <c r="D143" s="19"/>
      <c r="E143" s="20"/>
      <c r="F143" s="20"/>
      <c r="G143" s="20"/>
      <c r="H143" s="20"/>
      <c r="I143" s="20"/>
      <c r="J143" s="20"/>
      <c r="K143" s="20"/>
      <c r="L143" s="20"/>
      <c r="M143" s="20"/>
      <c r="N143" s="21"/>
      <c r="O143" s="22"/>
      <c r="P143" s="22"/>
      <c r="Q143" s="22"/>
      <c r="R143" s="22"/>
      <c r="S143" s="22"/>
      <c r="T143" s="23"/>
      <c r="U143" s="24"/>
      <c r="V143" s="25"/>
      <c r="W143" s="24"/>
      <c r="X143" s="26"/>
      <c r="Y143" s="26"/>
      <c r="Z143" s="26"/>
      <c r="AA143" s="26"/>
      <c r="AB143" s="26"/>
      <c r="AC143" s="26"/>
      <c r="AD143" s="26"/>
      <c r="AE143" s="27"/>
      <c r="AF143" s="27"/>
      <c r="AG143" s="28"/>
      <c r="AH143" s="29"/>
      <c r="AI143" s="29"/>
      <c r="AJ143" s="29"/>
      <c r="AK143" s="29"/>
      <c r="AL143" s="29"/>
      <c r="AM143" s="29"/>
      <c r="AN143" s="29"/>
      <c r="AO143" s="29"/>
      <c r="AP143" s="29"/>
      <c r="AQ143" s="29"/>
      <c r="AR143" s="29"/>
      <c r="AS143" s="29"/>
      <c r="AT143" s="29"/>
    </row>
    <row r="144" spans="1:46" ht="15" customHeight="1" x14ac:dyDescent="0.3">
      <c r="A144" s="6"/>
      <c r="B144" s="19"/>
      <c r="C144" s="20"/>
      <c r="D144" s="19"/>
      <c r="E144" s="20"/>
      <c r="F144" s="20"/>
      <c r="G144" s="20"/>
      <c r="H144" s="20"/>
      <c r="I144" s="20"/>
      <c r="J144" s="20"/>
      <c r="K144" s="20"/>
      <c r="L144" s="20"/>
      <c r="M144" s="20"/>
      <c r="N144" s="21"/>
      <c r="O144" s="22"/>
      <c r="P144" s="22"/>
      <c r="Q144" s="22"/>
      <c r="R144" s="22"/>
      <c r="S144" s="22"/>
      <c r="T144" s="23"/>
      <c r="U144" s="24"/>
      <c r="V144" s="25"/>
      <c r="W144" s="24"/>
      <c r="X144" s="26"/>
      <c r="Y144" s="26"/>
      <c r="Z144" s="26"/>
      <c r="AA144" s="26"/>
      <c r="AB144" s="26"/>
      <c r="AC144" s="26"/>
      <c r="AD144" s="26"/>
      <c r="AE144" s="27"/>
      <c r="AF144" s="27"/>
      <c r="AG144" s="28"/>
      <c r="AH144" s="29"/>
      <c r="AI144" s="29"/>
      <c r="AJ144" s="29"/>
      <c r="AK144" s="29"/>
      <c r="AL144" s="29"/>
      <c r="AM144" s="29"/>
      <c r="AN144" s="29"/>
      <c r="AO144" s="29"/>
      <c r="AP144" s="29"/>
      <c r="AQ144" s="29"/>
      <c r="AR144" s="29"/>
      <c r="AS144" s="29"/>
      <c r="AT144" s="29"/>
    </row>
    <row r="145" spans="1:46" ht="15" customHeight="1" x14ac:dyDescent="0.3">
      <c r="A145" s="6"/>
      <c r="B145" s="19"/>
      <c r="C145" s="20"/>
      <c r="D145" s="19"/>
      <c r="E145" s="20"/>
      <c r="F145" s="20"/>
      <c r="G145" s="20"/>
      <c r="H145" s="20"/>
      <c r="I145" s="20"/>
      <c r="J145" s="20"/>
      <c r="K145" s="20"/>
      <c r="L145" s="20"/>
      <c r="M145" s="20"/>
      <c r="N145" s="21"/>
      <c r="O145" s="22"/>
      <c r="P145" s="22"/>
      <c r="Q145" s="22"/>
      <c r="R145" s="22"/>
      <c r="S145" s="22"/>
      <c r="T145" s="23"/>
      <c r="U145" s="24"/>
      <c r="V145" s="25"/>
      <c r="W145" s="24"/>
      <c r="X145" s="26"/>
      <c r="Y145" s="26"/>
      <c r="Z145" s="26"/>
      <c r="AA145" s="26"/>
      <c r="AB145" s="26"/>
      <c r="AC145" s="26"/>
      <c r="AD145" s="26"/>
      <c r="AE145" s="27"/>
      <c r="AF145" s="27"/>
      <c r="AG145" s="28"/>
      <c r="AH145" s="29"/>
      <c r="AI145" s="29"/>
      <c r="AJ145" s="29"/>
      <c r="AK145" s="29"/>
      <c r="AL145" s="29"/>
      <c r="AM145" s="29"/>
      <c r="AN145" s="29"/>
      <c r="AO145" s="29"/>
      <c r="AP145" s="29"/>
      <c r="AQ145" s="29"/>
      <c r="AR145" s="29"/>
      <c r="AS145" s="29"/>
      <c r="AT145" s="29"/>
    </row>
    <row r="146" spans="1:46" ht="15" customHeight="1" x14ac:dyDescent="0.3">
      <c r="A146" s="6"/>
      <c r="B146" s="19"/>
      <c r="C146" s="20"/>
      <c r="D146" s="19"/>
      <c r="E146" s="20"/>
      <c r="F146" s="20"/>
      <c r="G146" s="20"/>
      <c r="H146" s="20"/>
      <c r="I146" s="20"/>
      <c r="J146" s="20"/>
      <c r="K146" s="20"/>
      <c r="L146" s="20"/>
      <c r="M146" s="20"/>
      <c r="N146" s="21"/>
      <c r="O146" s="22"/>
      <c r="P146" s="22"/>
      <c r="Q146" s="22"/>
      <c r="R146" s="22"/>
      <c r="S146" s="22"/>
      <c r="T146" s="23"/>
      <c r="U146" s="24"/>
      <c r="V146" s="25"/>
      <c r="W146" s="24"/>
      <c r="X146" s="26"/>
      <c r="Y146" s="26"/>
      <c r="Z146" s="26"/>
      <c r="AA146" s="26"/>
      <c r="AB146" s="26"/>
      <c r="AC146" s="26"/>
      <c r="AD146" s="26"/>
      <c r="AE146" s="27"/>
      <c r="AF146" s="27"/>
      <c r="AG146" s="28"/>
      <c r="AH146" s="29"/>
      <c r="AI146" s="29"/>
      <c r="AJ146" s="29"/>
      <c r="AK146" s="29"/>
      <c r="AL146" s="29"/>
      <c r="AM146" s="29"/>
      <c r="AN146" s="29"/>
      <c r="AO146" s="29"/>
      <c r="AP146" s="29"/>
      <c r="AQ146" s="29"/>
      <c r="AR146" s="29"/>
      <c r="AS146" s="29"/>
      <c r="AT146" s="29"/>
    </row>
    <row r="147" spans="1:46" ht="15" customHeight="1" x14ac:dyDescent="0.3">
      <c r="A147" s="6"/>
      <c r="B147" s="19"/>
      <c r="C147" s="20"/>
      <c r="D147" s="19"/>
      <c r="E147" s="20"/>
      <c r="F147" s="20"/>
      <c r="G147" s="20"/>
      <c r="H147" s="20"/>
      <c r="I147" s="20"/>
      <c r="J147" s="20"/>
      <c r="K147" s="20"/>
      <c r="L147" s="20"/>
      <c r="M147" s="20"/>
      <c r="N147" s="21"/>
      <c r="O147" s="22"/>
      <c r="P147" s="22"/>
      <c r="Q147" s="22"/>
      <c r="R147" s="22"/>
      <c r="S147" s="22"/>
      <c r="T147" s="23"/>
      <c r="U147" s="24"/>
      <c r="V147" s="25"/>
      <c r="W147" s="24"/>
      <c r="X147" s="26"/>
      <c r="Y147" s="26"/>
      <c r="Z147" s="26"/>
      <c r="AA147" s="26"/>
      <c r="AB147" s="26"/>
      <c r="AC147" s="26"/>
      <c r="AD147" s="26"/>
      <c r="AE147" s="27"/>
      <c r="AF147" s="27"/>
      <c r="AG147" s="28"/>
      <c r="AH147" s="29"/>
      <c r="AI147" s="29"/>
      <c r="AJ147" s="29"/>
      <c r="AK147" s="29"/>
      <c r="AL147" s="29"/>
      <c r="AM147" s="29"/>
      <c r="AN147" s="29"/>
      <c r="AO147" s="29"/>
      <c r="AP147" s="29"/>
      <c r="AQ147" s="29"/>
      <c r="AR147" s="29"/>
      <c r="AS147" s="29"/>
      <c r="AT147" s="29"/>
    </row>
    <row r="148" spans="1:46" ht="15" customHeight="1" x14ac:dyDescent="0.3">
      <c r="A148" s="6"/>
      <c r="B148" s="19"/>
      <c r="C148" s="20"/>
      <c r="D148" s="19"/>
      <c r="E148" s="20"/>
      <c r="F148" s="20"/>
      <c r="G148" s="20"/>
      <c r="H148" s="20"/>
      <c r="I148" s="20"/>
      <c r="J148" s="20"/>
      <c r="K148" s="20"/>
      <c r="L148" s="20"/>
      <c r="M148" s="20"/>
      <c r="N148" s="21"/>
      <c r="O148" s="22"/>
      <c r="P148" s="22"/>
      <c r="Q148" s="22"/>
      <c r="R148" s="22"/>
      <c r="S148" s="22"/>
      <c r="T148" s="23"/>
      <c r="U148" s="24"/>
      <c r="V148" s="25"/>
      <c r="W148" s="24"/>
      <c r="X148" s="26"/>
      <c r="Y148" s="26"/>
      <c r="Z148" s="26"/>
      <c r="AA148" s="26"/>
      <c r="AB148" s="26"/>
      <c r="AC148" s="26"/>
      <c r="AD148" s="26"/>
      <c r="AE148" s="27"/>
      <c r="AF148" s="27"/>
      <c r="AG148" s="28"/>
      <c r="AH148" s="29"/>
      <c r="AI148" s="29"/>
      <c r="AJ148" s="29"/>
      <c r="AK148" s="29"/>
      <c r="AL148" s="29"/>
      <c r="AM148" s="29"/>
      <c r="AN148" s="29"/>
      <c r="AO148" s="29"/>
      <c r="AP148" s="29"/>
      <c r="AQ148" s="29"/>
      <c r="AR148" s="29"/>
      <c r="AS148" s="29"/>
      <c r="AT148" s="29"/>
    </row>
    <row r="149" spans="1:46" ht="15" customHeight="1" x14ac:dyDescent="0.3">
      <c r="A149" s="6"/>
      <c r="B149" s="19"/>
      <c r="C149" s="20"/>
      <c r="D149" s="19"/>
      <c r="E149" s="20"/>
      <c r="F149" s="20"/>
      <c r="G149" s="20"/>
      <c r="H149" s="20"/>
      <c r="I149" s="20"/>
      <c r="J149" s="20"/>
      <c r="K149" s="20"/>
      <c r="L149" s="20"/>
      <c r="M149" s="20"/>
      <c r="N149" s="21"/>
      <c r="O149" s="22"/>
      <c r="P149" s="22"/>
      <c r="Q149" s="22"/>
      <c r="R149" s="22"/>
      <c r="S149" s="22"/>
      <c r="T149" s="23"/>
      <c r="U149" s="24"/>
      <c r="V149" s="25"/>
      <c r="W149" s="24"/>
      <c r="X149" s="26"/>
      <c r="Y149" s="26"/>
      <c r="Z149" s="26"/>
      <c r="AA149" s="26"/>
      <c r="AB149" s="26"/>
      <c r="AC149" s="26"/>
      <c r="AD149" s="26"/>
      <c r="AE149" s="27"/>
      <c r="AF149" s="27"/>
      <c r="AG149" s="28"/>
      <c r="AH149" s="29"/>
      <c r="AI149" s="29"/>
      <c r="AJ149" s="29"/>
      <c r="AK149" s="29"/>
      <c r="AL149" s="29"/>
      <c r="AM149" s="29"/>
      <c r="AN149" s="29"/>
      <c r="AO149" s="29"/>
      <c r="AP149" s="29"/>
      <c r="AQ149" s="29"/>
      <c r="AR149" s="29"/>
      <c r="AS149" s="29"/>
      <c r="AT149" s="29"/>
    </row>
    <row r="150" spans="1:46" ht="15" customHeight="1" x14ac:dyDescent="0.3">
      <c r="A150" s="6"/>
      <c r="B150" s="19"/>
      <c r="C150" s="20"/>
      <c r="D150" s="19"/>
      <c r="E150" s="20"/>
      <c r="F150" s="20"/>
      <c r="G150" s="20"/>
      <c r="H150" s="20"/>
      <c r="I150" s="20"/>
      <c r="J150" s="20"/>
      <c r="K150" s="20"/>
      <c r="L150" s="20"/>
      <c r="M150" s="20"/>
      <c r="N150" s="21"/>
      <c r="O150" s="22"/>
      <c r="P150" s="22"/>
      <c r="Q150" s="22"/>
      <c r="R150" s="22"/>
      <c r="S150" s="22"/>
      <c r="T150" s="23"/>
      <c r="U150" s="24"/>
      <c r="V150" s="25"/>
      <c r="W150" s="24"/>
      <c r="X150" s="26"/>
      <c r="Y150" s="26"/>
      <c r="Z150" s="26"/>
      <c r="AA150" s="26"/>
      <c r="AB150" s="26"/>
      <c r="AC150" s="26"/>
      <c r="AD150" s="26"/>
      <c r="AE150" s="27"/>
      <c r="AF150" s="27"/>
      <c r="AG150" s="28"/>
      <c r="AH150" s="29"/>
      <c r="AI150" s="29"/>
      <c r="AJ150" s="29"/>
      <c r="AK150" s="29"/>
      <c r="AL150" s="29"/>
      <c r="AM150" s="29"/>
      <c r="AN150" s="29"/>
      <c r="AO150" s="29"/>
      <c r="AP150" s="29"/>
      <c r="AQ150" s="29"/>
      <c r="AR150" s="29"/>
      <c r="AS150" s="29"/>
      <c r="AT150" s="29"/>
    </row>
    <row r="151" spans="1:46" ht="15" customHeight="1" x14ac:dyDescent="0.3">
      <c r="A151" s="6"/>
      <c r="B151" s="19"/>
      <c r="C151" s="20"/>
      <c r="D151" s="19"/>
      <c r="E151" s="20"/>
      <c r="F151" s="20"/>
      <c r="G151" s="20"/>
      <c r="H151" s="20"/>
      <c r="I151" s="20"/>
      <c r="J151" s="20"/>
      <c r="K151" s="20"/>
      <c r="L151" s="20"/>
      <c r="M151" s="20"/>
      <c r="N151" s="21"/>
      <c r="O151" s="22"/>
      <c r="P151" s="22"/>
      <c r="Q151" s="22"/>
      <c r="R151" s="22"/>
      <c r="S151" s="22"/>
      <c r="T151" s="23"/>
      <c r="U151" s="24"/>
      <c r="V151" s="25"/>
      <c r="W151" s="24"/>
      <c r="X151" s="26"/>
      <c r="Y151" s="26"/>
      <c r="Z151" s="26"/>
      <c r="AA151" s="26"/>
      <c r="AB151" s="26"/>
      <c r="AC151" s="26"/>
      <c r="AD151" s="26"/>
      <c r="AE151" s="27"/>
      <c r="AF151" s="27"/>
      <c r="AG151" s="28"/>
      <c r="AH151" s="29"/>
      <c r="AI151" s="29"/>
      <c r="AJ151" s="29"/>
      <c r="AK151" s="29"/>
      <c r="AL151" s="29"/>
      <c r="AM151" s="29"/>
      <c r="AN151" s="29"/>
      <c r="AO151" s="29"/>
      <c r="AP151" s="29"/>
      <c r="AQ151" s="29"/>
      <c r="AR151" s="29"/>
      <c r="AS151" s="29"/>
      <c r="AT151" s="29"/>
    </row>
    <row r="152" spans="1:46" ht="15" customHeight="1" x14ac:dyDescent="0.3">
      <c r="A152" s="6"/>
      <c r="B152" s="19"/>
      <c r="C152" s="20"/>
      <c r="D152" s="19"/>
      <c r="E152" s="20"/>
      <c r="F152" s="20"/>
      <c r="G152" s="20"/>
      <c r="H152" s="20"/>
      <c r="I152" s="20"/>
      <c r="J152" s="20"/>
      <c r="K152" s="20"/>
      <c r="L152" s="20"/>
      <c r="M152" s="20"/>
      <c r="N152" s="21"/>
      <c r="O152" s="22"/>
      <c r="P152" s="22"/>
      <c r="Q152" s="22"/>
      <c r="R152" s="22"/>
      <c r="S152" s="22"/>
      <c r="T152" s="23"/>
      <c r="U152" s="24"/>
      <c r="V152" s="25"/>
      <c r="W152" s="24"/>
      <c r="X152" s="26"/>
      <c r="Y152" s="26"/>
      <c r="Z152" s="26"/>
      <c r="AA152" s="26"/>
      <c r="AB152" s="26"/>
      <c r="AC152" s="26"/>
      <c r="AD152" s="26"/>
      <c r="AE152" s="27"/>
      <c r="AF152" s="27"/>
      <c r="AG152" s="28"/>
      <c r="AH152" s="29"/>
      <c r="AI152" s="29"/>
      <c r="AJ152" s="29"/>
      <c r="AK152" s="29"/>
      <c r="AL152" s="29"/>
      <c r="AM152" s="29"/>
      <c r="AN152" s="29"/>
      <c r="AO152" s="29"/>
      <c r="AP152" s="29"/>
      <c r="AQ152" s="29"/>
      <c r="AR152" s="29"/>
      <c r="AS152" s="29"/>
      <c r="AT152" s="29"/>
    </row>
    <row r="153" spans="1:46" ht="15" customHeight="1" x14ac:dyDescent="0.3">
      <c r="A153" s="6"/>
      <c r="B153" s="19"/>
      <c r="C153" s="20"/>
      <c r="D153" s="19"/>
      <c r="E153" s="20"/>
      <c r="F153" s="20"/>
      <c r="G153" s="20"/>
      <c r="H153" s="20"/>
      <c r="I153" s="20"/>
      <c r="J153" s="20"/>
      <c r="K153" s="20"/>
      <c r="L153" s="20"/>
      <c r="M153" s="20"/>
      <c r="N153" s="21"/>
      <c r="O153" s="22"/>
      <c r="P153" s="22"/>
      <c r="Q153" s="22"/>
      <c r="R153" s="22"/>
      <c r="S153" s="22"/>
      <c r="T153" s="23"/>
      <c r="U153" s="24"/>
      <c r="V153" s="25"/>
      <c r="W153" s="24"/>
      <c r="X153" s="26"/>
      <c r="Y153" s="26"/>
      <c r="Z153" s="26"/>
      <c r="AA153" s="26"/>
      <c r="AB153" s="26"/>
      <c r="AC153" s="26"/>
      <c r="AD153" s="26"/>
      <c r="AE153" s="27"/>
      <c r="AF153" s="27"/>
      <c r="AG153" s="28"/>
      <c r="AH153" s="29"/>
      <c r="AI153" s="29"/>
      <c r="AJ153" s="29"/>
      <c r="AK153" s="29"/>
      <c r="AL153" s="29"/>
      <c r="AM153" s="29"/>
      <c r="AN153" s="29"/>
      <c r="AO153" s="29"/>
      <c r="AP153" s="29"/>
      <c r="AQ153" s="29"/>
      <c r="AR153" s="29"/>
      <c r="AS153" s="29"/>
      <c r="AT153" s="29"/>
    </row>
    <row r="154" spans="1:46" ht="15" customHeight="1" x14ac:dyDescent="0.3">
      <c r="A154" s="6"/>
      <c r="B154" s="19"/>
      <c r="C154" s="20"/>
      <c r="D154" s="19"/>
      <c r="E154" s="20"/>
      <c r="F154" s="20"/>
      <c r="G154" s="20"/>
      <c r="H154" s="20"/>
      <c r="I154" s="20"/>
      <c r="J154" s="20"/>
      <c r="K154" s="20"/>
      <c r="L154" s="20"/>
      <c r="M154" s="20"/>
      <c r="N154" s="21"/>
      <c r="O154" s="22"/>
      <c r="P154" s="22"/>
      <c r="Q154" s="22"/>
      <c r="R154" s="22"/>
      <c r="S154" s="22"/>
      <c r="T154" s="23"/>
      <c r="U154" s="24"/>
      <c r="V154" s="25"/>
      <c r="W154" s="24"/>
      <c r="X154" s="26"/>
      <c r="Y154" s="26"/>
      <c r="Z154" s="26"/>
      <c r="AA154" s="26"/>
      <c r="AB154" s="26"/>
      <c r="AC154" s="26"/>
      <c r="AD154" s="26"/>
      <c r="AE154" s="27"/>
      <c r="AF154" s="27"/>
      <c r="AG154" s="28"/>
      <c r="AH154" s="29"/>
      <c r="AI154" s="29"/>
      <c r="AJ154" s="29"/>
      <c r="AK154" s="29"/>
      <c r="AL154" s="29"/>
      <c r="AM154" s="29"/>
      <c r="AN154" s="29"/>
      <c r="AO154" s="29"/>
      <c r="AP154" s="29"/>
      <c r="AQ154" s="29"/>
      <c r="AR154" s="29"/>
      <c r="AS154" s="29"/>
      <c r="AT154" s="29"/>
    </row>
    <row r="155" spans="1:46" ht="15" customHeight="1" x14ac:dyDescent="0.3">
      <c r="A155" s="6"/>
      <c r="B155" s="19"/>
      <c r="C155" s="20"/>
      <c r="D155" s="19"/>
      <c r="E155" s="20"/>
      <c r="F155" s="20"/>
      <c r="G155" s="20"/>
      <c r="H155" s="20"/>
      <c r="I155" s="20"/>
      <c r="J155" s="20"/>
      <c r="K155" s="20"/>
      <c r="L155" s="20"/>
      <c r="M155" s="20"/>
      <c r="N155" s="21"/>
      <c r="O155" s="22"/>
      <c r="P155" s="22"/>
      <c r="Q155" s="22"/>
      <c r="R155" s="22"/>
      <c r="S155" s="22"/>
      <c r="T155" s="23"/>
      <c r="U155" s="24"/>
      <c r="V155" s="25"/>
      <c r="W155" s="24"/>
      <c r="X155" s="26"/>
      <c r="Y155" s="26"/>
      <c r="Z155" s="26"/>
      <c r="AA155" s="26"/>
      <c r="AB155" s="26"/>
      <c r="AC155" s="26"/>
      <c r="AD155" s="26"/>
      <c r="AE155" s="27"/>
      <c r="AF155" s="27"/>
      <c r="AG155" s="28"/>
      <c r="AH155" s="29"/>
      <c r="AI155" s="29"/>
      <c r="AJ155" s="29"/>
      <c r="AK155" s="29"/>
      <c r="AL155" s="29"/>
      <c r="AM155" s="29"/>
      <c r="AN155" s="29"/>
      <c r="AO155" s="29"/>
      <c r="AP155" s="29"/>
      <c r="AQ155" s="29"/>
      <c r="AR155" s="29"/>
      <c r="AS155" s="29"/>
      <c r="AT155" s="29"/>
    </row>
    <row r="156" spans="1:46" ht="15" customHeight="1" x14ac:dyDescent="0.3">
      <c r="A156" s="6"/>
      <c r="B156" s="19"/>
      <c r="C156" s="20"/>
      <c r="D156" s="19"/>
      <c r="E156" s="20"/>
      <c r="F156" s="20"/>
      <c r="G156" s="20"/>
      <c r="H156" s="20"/>
      <c r="I156" s="20"/>
      <c r="J156" s="20"/>
      <c r="K156" s="20"/>
      <c r="L156" s="20"/>
      <c r="M156" s="20"/>
      <c r="N156" s="21"/>
      <c r="O156" s="22"/>
      <c r="P156" s="22"/>
      <c r="Q156" s="22"/>
      <c r="R156" s="22"/>
      <c r="S156" s="22"/>
      <c r="T156" s="23"/>
      <c r="U156" s="24"/>
      <c r="V156" s="25"/>
      <c r="W156" s="24"/>
      <c r="X156" s="26"/>
      <c r="Y156" s="26"/>
      <c r="Z156" s="26"/>
      <c r="AA156" s="26"/>
      <c r="AB156" s="26"/>
      <c r="AC156" s="26"/>
      <c r="AD156" s="26"/>
      <c r="AE156" s="27"/>
      <c r="AF156" s="27"/>
      <c r="AG156" s="28"/>
      <c r="AH156" s="29"/>
      <c r="AI156" s="29"/>
      <c r="AJ156" s="29"/>
      <c r="AK156" s="29"/>
      <c r="AL156" s="29"/>
      <c r="AM156" s="29"/>
      <c r="AN156" s="29"/>
      <c r="AO156" s="29"/>
      <c r="AP156" s="29"/>
      <c r="AQ156" s="29"/>
      <c r="AR156" s="29"/>
      <c r="AS156" s="29"/>
      <c r="AT156" s="29"/>
    </row>
    <row r="157" spans="1:46" ht="15" customHeight="1" x14ac:dyDescent="0.3">
      <c r="A157" s="6"/>
      <c r="B157" s="19"/>
      <c r="C157" s="20"/>
      <c r="D157" s="19"/>
      <c r="E157" s="20"/>
      <c r="F157" s="20"/>
      <c r="G157" s="20"/>
      <c r="H157" s="20"/>
      <c r="I157" s="20"/>
      <c r="J157" s="20"/>
      <c r="K157" s="20"/>
      <c r="L157" s="20"/>
      <c r="M157" s="20"/>
      <c r="N157" s="21"/>
      <c r="O157" s="22"/>
      <c r="P157" s="22"/>
      <c r="Q157" s="22"/>
      <c r="R157" s="22"/>
      <c r="S157" s="22"/>
      <c r="T157" s="23"/>
      <c r="U157" s="24"/>
      <c r="V157" s="25"/>
      <c r="W157" s="24"/>
      <c r="X157" s="26"/>
      <c r="Y157" s="26"/>
      <c r="Z157" s="26"/>
      <c r="AA157" s="26"/>
      <c r="AB157" s="26"/>
      <c r="AC157" s="26"/>
      <c r="AD157" s="26"/>
      <c r="AE157" s="27"/>
      <c r="AF157" s="27"/>
      <c r="AG157" s="28"/>
      <c r="AH157" s="29"/>
      <c r="AI157" s="29"/>
      <c r="AJ157" s="29"/>
      <c r="AK157" s="29"/>
      <c r="AL157" s="29"/>
      <c r="AM157" s="29"/>
      <c r="AN157" s="29"/>
      <c r="AO157" s="29"/>
      <c r="AP157" s="29"/>
      <c r="AQ157" s="29"/>
      <c r="AR157" s="29"/>
      <c r="AS157" s="29"/>
      <c r="AT157" s="29"/>
    </row>
    <row r="158" spans="1:46" ht="15" customHeight="1" x14ac:dyDescent="0.3">
      <c r="A158" s="6"/>
      <c r="B158" s="19"/>
      <c r="C158" s="20"/>
      <c r="D158" s="19"/>
      <c r="E158" s="20"/>
      <c r="F158" s="20"/>
      <c r="G158" s="20"/>
      <c r="H158" s="20"/>
      <c r="I158" s="20"/>
      <c r="J158" s="20"/>
      <c r="K158" s="20"/>
      <c r="L158" s="20"/>
      <c r="M158" s="20"/>
      <c r="N158" s="21"/>
      <c r="O158" s="22"/>
      <c r="P158" s="22"/>
      <c r="Q158" s="22"/>
      <c r="R158" s="22"/>
      <c r="S158" s="22"/>
      <c r="T158" s="23"/>
      <c r="U158" s="24"/>
      <c r="V158" s="25"/>
      <c r="W158" s="24"/>
      <c r="X158" s="26"/>
      <c r="Y158" s="26"/>
      <c r="Z158" s="26"/>
      <c r="AA158" s="26"/>
      <c r="AB158" s="26"/>
      <c r="AC158" s="26"/>
      <c r="AD158" s="26"/>
      <c r="AE158" s="27"/>
      <c r="AF158" s="27"/>
      <c r="AG158" s="28"/>
      <c r="AH158" s="29"/>
      <c r="AI158" s="29"/>
      <c r="AJ158" s="29"/>
      <c r="AK158" s="29"/>
      <c r="AL158" s="29"/>
      <c r="AM158" s="29"/>
      <c r="AN158" s="29"/>
      <c r="AO158" s="29"/>
      <c r="AP158" s="29"/>
      <c r="AQ158" s="29"/>
      <c r="AR158" s="29"/>
      <c r="AS158" s="29"/>
      <c r="AT158" s="29"/>
    </row>
    <row r="159" spans="1:46" ht="15" customHeight="1" x14ac:dyDescent="0.3">
      <c r="A159" s="6"/>
      <c r="B159" s="19"/>
      <c r="C159" s="20"/>
      <c r="D159" s="19"/>
      <c r="E159" s="20"/>
      <c r="F159" s="20"/>
      <c r="G159" s="20"/>
      <c r="H159" s="20"/>
      <c r="I159" s="20"/>
      <c r="J159" s="20"/>
      <c r="K159" s="20"/>
      <c r="L159" s="20"/>
      <c r="M159" s="20"/>
      <c r="N159" s="21"/>
      <c r="O159" s="22"/>
      <c r="P159" s="22"/>
      <c r="Q159" s="22"/>
      <c r="R159" s="22"/>
      <c r="S159" s="22"/>
      <c r="T159" s="23"/>
      <c r="U159" s="24"/>
      <c r="V159" s="25"/>
      <c r="W159" s="24"/>
      <c r="X159" s="26"/>
      <c r="Y159" s="26"/>
      <c r="Z159" s="26"/>
      <c r="AA159" s="26"/>
      <c r="AB159" s="26"/>
      <c r="AC159" s="26"/>
      <c r="AD159" s="26"/>
      <c r="AE159" s="27"/>
      <c r="AF159" s="27"/>
      <c r="AG159" s="28"/>
      <c r="AH159" s="29"/>
      <c r="AI159" s="29"/>
      <c r="AJ159" s="29"/>
      <c r="AK159" s="29"/>
      <c r="AL159" s="29"/>
      <c r="AM159" s="29"/>
      <c r="AN159" s="29"/>
      <c r="AO159" s="29"/>
      <c r="AP159" s="29"/>
      <c r="AQ159" s="29"/>
      <c r="AR159" s="29"/>
      <c r="AS159" s="29"/>
      <c r="AT159" s="29"/>
    </row>
    <row r="160" spans="1:46" ht="15" customHeight="1" x14ac:dyDescent="0.3">
      <c r="A160" s="6"/>
      <c r="B160" s="19"/>
      <c r="C160" s="20"/>
      <c r="D160" s="19"/>
      <c r="E160" s="20"/>
      <c r="F160" s="20"/>
      <c r="G160" s="20"/>
      <c r="H160" s="20"/>
      <c r="I160" s="20"/>
      <c r="J160" s="20"/>
      <c r="K160" s="20"/>
      <c r="L160" s="20"/>
      <c r="M160" s="20"/>
      <c r="N160" s="21"/>
      <c r="O160" s="22"/>
      <c r="P160" s="22"/>
      <c r="Q160" s="22"/>
      <c r="R160" s="22"/>
      <c r="S160" s="22"/>
      <c r="T160" s="23"/>
      <c r="U160" s="24"/>
      <c r="V160" s="25"/>
      <c r="W160" s="24"/>
      <c r="X160" s="26"/>
      <c r="Y160" s="26"/>
      <c r="Z160" s="26"/>
      <c r="AA160" s="26"/>
      <c r="AB160" s="26"/>
      <c r="AC160" s="26"/>
      <c r="AD160" s="26"/>
      <c r="AE160" s="27"/>
      <c r="AF160" s="27"/>
      <c r="AG160" s="28"/>
      <c r="AH160" s="29"/>
      <c r="AI160" s="29"/>
      <c r="AJ160" s="29"/>
      <c r="AK160" s="29"/>
      <c r="AL160" s="29"/>
      <c r="AM160" s="29"/>
      <c r="AN160" s="29"/>
      <c r="AO160" s="29"/>
      <c r="AP160" s="29"/>
      <c r="AQ160" s="29"/>
      <c r="AR160" s="29"/>
      <c r="AS160" s="29"/>
      <c r="AT160" s="29"/>
    </row>
    <row r="161" spans="1:46" ht="15" customHeight="1" x14ac:dyDescent="0.3">
      <c r="A161" s="6"/>
      <c r="B161" s="19"/>
      <c r="C161" s="20"/>
      <c r="D161" s="19"/>
      <c r="E161" s="20"/>
      <c r="F161" s="20"/>
      <c r="G161" s="20"/>
      <c r="H161" s="20"/>
      <c r="I161" s="20"/>
      <c r="J161" s="20"/>
      <c r="K161" s="20"/>
      <c r="L161" s="20"/>
      <c r="M161" s="20"/>
      <c r="N161" s="21"/>
      <c r="O161" s="22"/>
      <c r="P161" s="22"/>
      <c r="Q161" s="22"/>
      <c r="R161" s="22"/>
      <c r="S161" s="22"/>
      <c r="T161" s="23"/>
      <c r="U161" s="24"/>
      <c r="V161" s="25"/>
      <c r="W161" s="24"/>
      <c r="X161" s="26"/>
      <c r="Y161" s="26"/>
      <c r="Z161" s="26"/>
      <c r="AA161" s="26"/>
      <c r="AB161" s="26"/>
      <c r="AC161" s="26"/>
      <c r="AD161" s="26"/>
      <c r="AE161" s="27"/>
      <c r="AF161" s="27"/>
      <c r="AG161" s="28"/>
      <c r="AH161" s="29"/>
      <c r="AI161" s="29"/>
      <c r="AJ161" s="29"/>
      <c r="AK161" s="29"/>
      <c r="AL161" s="29"/>
      <c r="AM161" s="29"/>
      <c r="AN161" s="29"/>
      <c r="AO161" s="29"/>
      <c r="AP161" s="29"/>
      <c r="AQ161" s="29"/>
      <c r="AR161" s="29"/>
      <c r="AS161" s="29"/>
      <c r="AT161" s="29"/>
    </row>
    <row r="162" spans="1:46" ht="15" customHeight="1" x14ac:dyDescent="0.3">
      <c r="A162" s="6"/>
      <c r="B162" s="19"/>
      <c r="C162" s="20"/>
      <c r="D162" s="19"/>
      <c r="E162" s="20"/>
      <c r="F162" s="20"/>
      <c r="G162" s="20"/>
      <c r="H162" s="20"/>
      <c r="I162" s="20"/>
      <c r="J162" s="20"/>
      <c r="K162" s="20"/>
      <c r="L162" s="20"/>
      <c r="M162" s="20"/>
      <c r="N162" s="21"/>
      <c r="O162" s="22"/>
      <c r="P162" s="22"/>
      <c r="Q162" s="22"/>
      <c r="R162" s="22"/>
      <c r="S162" s="22"/>
      <c r="T162" s="23"/>
      <c r="U162" s="24"/>
      <c r="V162" s="25"/>
      <c r="W162" s="24"/>
      <c r="X162" s="26"/>
      <c r="Y162" s="26"/>
      <c r="Z162" s="26"/>
      <c r="AA162" s="26"/>
      <c r="AB162" s="26"/>
      <c r="AC162" s="26"/>
      <c r="AD162" s="26"/>
      <c r="AE162" s="27"/>
      <c r="AF162" s="27"/>
      <c r="AG162" s="28"/>
      <c r="AH162" s="29"/>
      <c r="AI162" s="29"/>
      <c r="AJ162" s="29"/>
      <c r="AK162" s="29"/>
      <c r="AL162" s="29"/>
      <c r="AM162" s="29"/>
      <c r="AN162" s="29"/>
      <c r="AO162" s="29"/>
      <c r="AP162" s="29"/>
      <c r="AQ162" s="29"/>
      <c r="AR162" s="29"/>
      <c r="AS162" s="29"/>
      <c r="AT162" s="29"/>
    </row>
    <row r="163" spans="1:46" ht="15" customHeight="1" x14ac:dyDescent="0.3">
      <c r="A163" s="6"/>
      <c r="B163" s="19"/>
      <c r="C163" s="20"/>
      <c r="D163" s="19"/>
      <c r="E163" s="20"/>
      <c r="F163" s="20"/>
      <c r="G163" s="20"/>
      <c r="H163" s="20"/>
      <c r="I163" s="20"/>
      <c r="J163" s="20"/>
      <c r="K163" s="20"/>
      <c r="L163" s="20"/>
      <c r="M163" s="20"/>
      <c r="N163" s="21"/>
      <c r="O163" s="22"/>
      <c r="P163" s="22"/>
      <c r="Q163" s="22"/>
      <c r="R163" s="22"/>
      <c r="S163" s="22"/>
      <c r="T163" s="23"/>
      <c r="U163" s="24"/>
      <c r="V163" s="25"/>
      <c r="W163" s="24"/>
      <c r="X163" s="26"/>
      <c r="Y163" s="26"/>
      <c r="Z163" s="26"/>
      <c r="AA163" s="26"/>
      <c r="AB163" s="26"/>
      <c r="AC163" s="26"/>
      <c r="AD163" s="26"/>
      <c r="AE163" s="27"/>
      <c r="AF163" s="27"/>
      <c r="AG163" s="28"/>
      <c r="AH163" s="29"/>
      <c r="AI163" s="29"/>
      <c r="AJ163" s="29"/>
      <c r="AK163" s="29"/>
      <c r="AL163" s="29"/>
      <c r="AM163" s="29"/>
      <c r="AN163" s="29"/>
      <c r="AO163" s="29"/>
      <c r="AP163" s="29"/>
      <c r="AQ163" s="29"/>
      <c r="AR163" s="29"/>
      <c r="AS163" s="29"/>
      <c r="AT163" s="29"/>
    </row>
    <row r="164" spans="1:46" ht="15" customHeight="1" x14ac:dyDescent="0.3">
      <c r="A164" s="6"/>
      <c r="B164" s="19"/>
      <c r="C164" s="20"/>
      <c r="D164" s="19"/>
      <c r="E164" s="20"/>
      <c r="F164" s="20"/>
      <c r="G164" s="20"/>
      <c r="H164" s="20"/>
      <c r="I164" s="20"/>
      <c r="J164" s="20"/>
      <c r="K164" s="20"/>
      <c r="L164" s="20"/>
      <c r="M164" s="20"/>
      <c r="N164" s="21"/>
      <c r="O164" s="22"/>
      <c r="P164" s="22"/>
      <c r="Q164" s="22"/>
      <c r="R164" s="22"/>
      <c r="S164" s="22"/>
      <c r="T164" s="23"/>
      <c r="U164" s="24"/>
      <c r="V164" s="25"/>
      <c r="W164" s="24"/>
      <c r="X164" s="26"/>
      <c r="Y164" s="26"/>
      <c r="Z164" s="26"/>
      <c r="AA164" s="26"/>
      <c r="AB164" s="26"/>
      <c r="AC164" s="26"/>
      <c r="AD164" s="26"/>
      <c r="AE164" s="27"/>
      <c r="AF164" s="27"/>
      <c r="AG164" s="28"/>
      <c r="AH164" s="29"/>
      <c r="AI164" s="29"/>
      <c r="AJ164" s="29"/>
      <c r="AK164" s="29"/>
      <c r="AL164" s="29"/>
      <c r="AM164" s="29"/>
      <c r="AN164" s="29"/>
      <c r="AO164" s="29"/>
      <c r="AP164" s="29"/>
      <c r="AQ164" s="29"/>
      <c r="AR164" s="29"/>
      <c r="AS164" s="29"/>
      <c r="AT164" s="29"/>
    </row>
    <row r="165" spans="1:46" ht="15" customHeight="1" x14ac:dyDescent="0.3">
      <c r="A165" s="6"/>
      <c r="B165" s="19"/>
      <c r="C165" s="20"/>
      <c r="D165" s="19"/>
      <c r="E165" s="20"/>
      <c r="F165" s="20"/>
      <c r="G165" s="20"/>
      <c r="H165" s="20"/>
      <c r="I165" s="20"/>
      <c r="J165" s="20"/>
      <c r="K165" s="20"/>
      <c r="L165" s="20"/>
      <c r="M165" s="20"/>
      <c r="N165" s="21"/>
      <c r="O165" s="22"/>
      <c r="P165" s="22"/>
      <c r="Q165" s="22"/>
      <c r="R165" s="22"/>
      <c r="S165" s="22"/>
      <c r="T165" s="23"/>
      <c r="U165" s="24"/>
      <c r="V165" s="25"/>
      <c r="W165" s="24"/>
      <c r="X165" s="26"/>
      <c r="Y165" s="26"/>
      <c r="Z165" s="26"/>
      <c r="AA165" s="26"/>
      <c r="AB165" s="26"/>
      <c r="AC165" s="26"/>
      <c r="AD165" s="26"/>
      <c r="AE165" s="27"/>
      <c r="AF165" s="27"/>
      <c r="AG165" s="28"/>
      <c r="AH165" s="29"/>
      <c r="AI165" s="29"/>
      <c r="AJ165" s="29"/>
      <c r="AK165" s="29"/>
      <c r="AL165" s="29"/>
      <c r="AM165" s="29"/>
      <c r="AN165" s="29"/>
      <c r="AO165" s="29"/>
      <c r="AP165" s="29"/>
      <c r="AQ165" s="29"/>
      <c r="AR165" s="29"/>
      <c r="AS165" s="29"/>
      <c r="AT165" s="29"/>
    </row>
    <row r="166" spans="1:46" ht="15" customHeight="1" x14ac:dyDescent="0.3">
      <c r="A166" s="6"/>
      <c r="B166" s="19"/>
      <c r="C166" s="20"/>
      <c r="D166" s="19"/>
      <c r="E166" s="20"/>
      <c r="F166" s="20"/>
      <c r="G166" s="20"/>
      <c r="H166" s="20"/>
      <c r="I166" s="20"/>
      <c r="J166" s="20"/>
      <c r="K166" s="20"/>
      <c r="L166" s="20"/>
      <c r="M166" s="20"/>
      <c r="N166" s="21"/>
      <c r="O166" s="22"/>
      <c r="P166" s="22"/>
      <c r="Q166" s="22"/>
      <c r="R166" s="22"/>
      <c r="S166" s="22"/>
      <c r="T166" s="23"/>
      <c r="U166" s="24"/>
      <c r="V166" s="25"/>
      <c r="W166" s="24"/>
      <c r="X166" s="26"/>
      <c r="Y166" s="26"/>
      <c r="Z166" s="26"/>
      <c r="AA166" s="26"/>
      <c r="AB166" s="26"/>
      <c r="AC166" s="26"/>
      <c r="AD166" s="26"/>
      <c r="AE166" s="27"/>
      <c r="AF166" s="27"/>
      <c r="AG166" s="28"/>
      <c r="AH166" s="29"/>
      <c r="AI166" s="29"/>
      <c r="AJ166" s="29"/>
      <c r="AK166" s="29"/>
      <c r="AL166" s="29"/>
      <c r="AM166" s="29"/>
      <c r="AN166" s="29"/>
      <c r="AO166" s="29"/>
      <c r="AP166" s="29"/>
      <c r="AQ166" s="29"/>
      <c r="AR166" s="29"/>
      <c r="AS166" s="29"/>
      <c r="AT166" s="29"/>
    </row>
    <row r="167" spans="1:46" ht="15" customHeight="1" x14ac:dyDescent="0.3">
      <c r="A167" s="6"/>
      <c r="B167" s="19"/>
      <c r="C167" s="20"/>
      <c r="D167" s="19"/>
      <c r="E167" s="20"/>
      <c r="F167" s="20"/>
      <c r="G167" s="20"/>
      <c r="H167" s="20"/>
      <c r="I167" s="20"/>
      <c r="J167" s="20"/>
      <c r="K167" s="20"/>
      <c r="L167" s="20"/>
      <c r="M167" s="20"/>
      <c r="N167" s="21"/>
      <c r="O167" s="22"/>
      <c r="P167" s="22"/>
      <c r="Q167" s="22"/>
      <c r="R167" s="22"/>
      <c r="S167" s="22"/>
      <c r="T167" s="23"/>
      <c r="U167" s="24"/>
      <c r="V167" s="25"/>
      <c r="W167" s="24"/>
      <c r="X167" s="26"/>
      <c r="Y167" s="26"/>
      <c r="Z167" s="26"/>
      <c r="AA167" s="26"/>
      <c r="AB167" s="26"/>
      <c r="AC167" s="26"/>
      <c r="AD167" s="26"/>
      <c r="AE167" s="27"/>
      <c r="AF167" s="27"/>
      <c r="AG167" s="28"/>
      <c r="AH167" s="29"/>
      <c r="AI167" s="29"/>
      <c r="AJ167" s="29"/>
      <c r="AK167" s="29"/>
      <c r="AL167" s="29"/>
      <c r="AM167" s="29"/>
      <c r="AN167" s="29"/>
      <c r="AO167" s="29"/>
      <c r="AP167" s="29"/>
      <c r="AQ167" s="29"/>
      <c r="AR167" s="29"/>
      <c r="AS167" s="29"/>
      <c r="AT167" s="29"/>
    </row>
    <row r="168" spans="1:46" ht="15" customHeight="1" x14ac:dyDescent="0.3">
      <c r="A168" s="6"/>
      <c r="B168" s="19"/>
      <c r="C168" s="20"/>
      <c r="D168" s="19"/>
      <c r="E168" s="20"/>
      <c r="F168" s="20"/>
      <c r="G168" s="20"/>
      <c r="H168" s="20"/>
      <c r="I168" s="20"/>
      <c r="J168" s="20"/>
      <c r="K168" s="20"/>
      <c r="L168" s="20"/>
      <c r="M168" s="20"/>
      <c r="N168" s="21"/>
      <c r="O168" s="22"/>
      <c r="P168" s="22"/>
      <c r="Q168" s="22"/>
      <c r="R168" s="22"/>
      <c r="S168" s="22"/>
      <c r="T168" s="23"/>
      <c r="U168" s="24"/>
      <c r="V168" s="25"/>
      <c r="W168" s="24"/>
      <c r="X168" s="26"/>
      <c r="Y168" s="26"/>
      <c r="Z168" s="26"/>
      <c r="AA168" s="26"/>
      <c r="AB168" s="26"/>
      <c r="AC168" s="26"/>
      <c r="AD168" s="26"/>
      <c r="AE168" s="27"/>
      <c r="AF168" s="27"/>
      <c r="AG168" s="28"/>
      <c r="AH168" s="29"/>
      <c r="AI168" s="29"/>
      <c r="AJ168" s="29"/>
      <c r="AK168" s="29"/>
      <c r="AL168" s="29"/>
      <c r="AM168" s="29"/>
      <c r="AN168" s="29"/>
      <c r="AO168" s="29"/>
      <c r="AP168" s="29"/>
      <c r="AQ168" s="29"/>
      <c r="AR168" s="29"/>
      <c r="AS168" s="29"/>
      <c r="AT168" s="29"/>
    </row>
    <row r="169" spans="1:46" ht="15" customHeight="1" x14ac:dyDescent="0.3">
      <c r="A169" s="6"/>
      <c r="B169" s="19"/>
      <c r="C169" s="20"/>
      <c r="D169" s="19"/>
      <c r="E169" s="20"/>
      <c r="F169" s="20"/>
      <c r="G169" s="20"/>
      <c r="H169" s="20"/>
      <c r="I169" s="20"/>
      <c r="J169" s="20"/>
      <c r="K169" s="20"/>
      <c r="L169" s="20"/>
      <c r="M169" s="20"/>
      <c r="N169" s="21"/>
      <c r="O169" s="22"/>
      <c r="P169" s="22"/>
      <c r="Q169" s="22"/>
      <c r="R169" s="22"/>
      <c r="S169" s="22"/>
      <c r="T169" s="23"/>
      <c r="U169" s="24"/>
      <c r="V169" s="25"/>
      <c r="W169" s="24"/>
      <c r="X169" s="26"/>
      <c r="Y169" s="26"/>
      <c r="Z169" s="26"/>
      <c r="AA169" s="26"/>
      <c r="AB169" s="26"/>
      <c r="AC169" s="26"/>
      <c r="AD169" s="26"/>
      <c r="AE169" s="27"/>
      <c r="AF169" s="27"/>
      <c r="AG169" s="28"/>
      <c r="AH169" s="29"/>
      <c r="AI169" s="29"/>
      <c r="AJ169" s="29"/>
      <c r="AK169" s="29"/>
      <c r="AL169" s="29"/>
      <c r="AM169" s="29"/>
      <c r="AN169" s="29"/>
      <c r="AO169" s="29"/>
      <c r="AP169" s="29"/>
      <c r="AQ169" s="29"/>
      <c r="AR169" s="29"/>
      <c r="AS169" s="29"/>
      <c r="AT169" s="29"/>
    </row>
    <row r="170" spans="1:46" ht="15" customHeight="1" x14ac:dyDescent="0.3">
      <c r="A170" s="6"/>
      <c r="B170" s="19"/>
      <c r="C170" s="20"/>
      <c r="D170" s="19"/>
      <c r="E170" s="20"/>
      <c r="F170" s="20"/>
      <c r="G170" s="20"/>
      <c r="H170" s="20"/>
      <c r="I170" s="20"/>
      <c r="J170" s="20"/>
      <c r="K170" s="20"/>
      <c r="L170" s="20"/>
      <c r="M170" s="20"/>
      <c r="N170" s="21"/>
      <c r="O170" s="22"/>
      <c r="P170" s="22"/>
      <c r="Q170" s="22"/>
      <c r="R170" s="22"/>
      <c r="S170" s="22"/>
      <c r="T170" s="23"/>
      <c r="U170" s="24"/>
      <c r="V170" s="25"/>
      <c r="W170" s="24"/>
      <c r="X170" s="26"/>
      <c r="Y170" s="26"/>
      <c r="Z170" s="26"/>
      <c r="AA170" s="26"/>
      <c r="AB170" s="26"/>
      <c r="AC170" s="26"/>
      <c r="AD170" s="26"/>
      <c r="AE170" s="27"/>
      <c r="AF170" s="27"/>
      <c r="AG170" s="28"/>
      <c r="AH170" s="29"/>
      <c r="AI170" s="29"/>
      <c r="AJ170" s="29"/>
      <c r="AK170" s="29"/>
      <c r="AL170" s="29"/>
      <c r="AM170" s="29"/>
      <c r="AN170" s="29"/>
      <c r="AO170" s="29"/>
      <c r="AP170" s="29"/>
      <c r="AQ170" s="29"/>
      <c r="AR170" s="29"/>
      <c r="AS170" s="29"/>
      <c r="AT170" s="29"/>
    </row>
    <row r="171" spans="1:46" ht="15" customHeight="1" x14ac:dyDescent="0.3">
      <c r="A171" s="6"/>
      <c r="B171" s="19"/>
      <c r="C171" s="20"/>
      <c r="D171" s="19"/>
      <c r="E171" s="20"/>
      <c r="F171" s="20"/>
      <c r="G171" s="20"/>
      <c r="H171" s="20"/>
      <c r="I171" s="20"/>
      <c r="J171" s="20"/>
      <c r="K171" s="20"/>
      <c r="L171" s="20"/>
      <c r="M171" s="20"/>
      <c r="N171" s="21"/>
      <c r="O171" s="22"/>
      <c r="P171" s="22"/>
      <c r="Q171" s="22"/>
      <c r="R171" s="22"/>
      <c r="S171" s="22"/>
      <c r="T171" s="23"/>
      <c r="U171" s="24"/>
      <c r="V171" s="25"/>
      <c r="W171" s="24"/>
      <c r="X171" s="26"/>
      <c r="Y171" s="26"/>
      <c r="Z171" s="26"/>
      <c r="AA171" s="26"/>
      <c r="AB171" s="26"/>
      <c r="AC171" s="26"/>
      <c r="AD171" s="26"/>
      <c r="AE171" s="27"/>
      <c r="AF171" s="27"/>
      <c r="AG171" s="28"/>
      <c r="AH171" s="29"/>
      <c r="AI171" s="29"/>
      <c r="AJ171" s="29"/>
      <c r="AK171" s="29"/>
      <c r="AL171" s="29"/>
      <c r="AM171" s="29"/>
      <c r="AN171" s="29"/>
      <c r="AO171" s="29"/>
      <c r="AP171" s="29"/>
      <c r="AQ171" s="29"/>
      <c r="AR171" s="29"/>
      <c r="AS171" s="29"/>
      <c r="AT171" s="29"/>
    </row>
    <row r="172" spans="1:46" ht="15" customHeight="1" x14ac:dyDescent="0.3">
      <c r="A172" s="6"/>
      <c r="B172" s="19"/>
      <c r="C172" s="20"/>
      <c r="D172" s="19"/>
      <c r="E172" s="20"/>
      <c r="F172" s="20"/>
      <c r="G172" s="20"/>
      <c r="H172" s="20"/>
      <c r="I172" s="20"/>
      <c r="J172" s="20"/>
      <c r="K172" s="20"/>
      <c r="L172" s="20"/>
      <c r="M172" s="20"/>
      <c r="N172" s="21"/>
      <c r="O172" s="22"/>
      <c r="P172" s="22"/>
      <c r="Q172" s="22"/>
      <c r="R172" s="22"/>
      <c r="S172" s="22"/>
      <c r="T172" s="23"/>
      <c r="U172" s="24"/>
      <c r="V172" s="25"/>
      <c r="W172" s="24"/>
      <c r="X172" s="26"/>
      <c r="Y172" s="26"/>
      <c r="Z172" s="26"/>
      <c r="AA172" s="26"/>
      <c r="AB172" s="26"/>
      <c r="AC172" s="26"/>
      <c r="AD172" s="26"/>
      <c r="AE172" s="27"/>
      <c r="AF172" s="27"/>
      <c r="AG172" s="28"/>
      <c r="AH172" s="29"/>
      <c r="AI172" s="29"/>
      <c r="AJ172" s="29"/>
      <c r="AK172" s="29"/>
      <c r="AL172" s="29"/>
      <c r="AM172" s="29"/>
      <c r="AN172" s="29"/>
      <c r="AO172" s="29"/>
      <c r="AP172" s="29"/>
      <c r="AQ172" s="29"/>
      <c r="AR172" s="29"/>
      <c r="AS172" s="29"/>
      <c r="AT172" s="29"/>
    </row>
    <row r="173" spans="1:46" ht="15" customHeight="1" x14ac:dyDescent="0.3">
      <c r="A173" s="6"/>
      <c r="B173" s="19"/>
      <c r="C173" s="20"/>
      <c r="D173" s="19"/>
      <c r="E173" s="20"/>
      <c r="F173" s="20"/>
      <c r="G173" s="20"/>
      <c r="H173" s="20"/>
      <c r="I173" s="20"/>
      <c r="J173" s="20"/>
      <c r="K173" s="20"/>
      <c r="L173" s="20"/>
      <c r="M173" s="20"/>
      <c r="N173" s="21"/>
      <c r="O173" s="22"/>
      <c r="P173" s="22"/>
      <c r="Q173" s="22"/>
      <c r="R173" s="22"/>
      <c r="S173" s="22"/>
      <c r="T173" s="23"/>
      <c r="U173" s="24"/>
      <c r="V173" s="25"/>
      <c r="W173" s="24"/>
      <c r="X173" s="26"/>
      <c r="Y173" s="26"/>
      <c r="Z173" s="26"/>
      <c r="AA173" s="26"/>
      <c r="AB173" s="26"/>
      <c r="AC173" s="26"/>
      <c r="AD173" s="26"/>
      <c r="AE173" s="27"/>
      <c r="AF173" s="27"/>
      <c r="AG173" s="28"/>
      <c r="AH173" s="29"/>
      <c r="AI173" s="29"/>
      <c r="AJ173" s="29"/>
      <c r="AK173" s="29"/>
      <c r="AL173" s="29"/>
      <c r="AM173" s="29"/>
      <c r="AN173" s="29"/>
      <c r="AO173" s="29"/>
      <c r="AP173" s="29"/>
      <c r="AQ173" s="29"/>
      <c r="AR173" s="29"/>
      <c r="AS173" s="29"/>
      <c r="AT173" s="29"/>
    </row>
    <row r="174" spans="1:46" ht="15" customHeight="1" x14ac:dyDescent="0.3">
      <c r="A174" s="6"/>
      <c r="B174" s="19"/>
      <c r="C174" s="20"/>
      <c r="D174" s="19"/>
      <c r="E174" s="20"/>
      <c r="F174" s="20"/>
      <c r="G174" s="20"/>
      <c r="H174" s="20"/>
      <c r="I174" s="20"/>
      <c r="J174" s="20"/>
      <c r="K174" s="20"/>
      <c r="L174" s="20"/>
      <c r="M174" s="20"/>
      <c r="N174" s="21"/>
      <c r="O174" s="22"/>
      <c r="P174" s="22"/>
      <c r="Q174" s="22"/>
      <c r="R174" s="22"/>
      <c r="S174" s="22"/>
      <c r="T174" s="23"/>
      <c r="U174" s="24"/>
      <c r="V174" s="25"/>
      <c r="W174" s="24"/>
      <c r="X174" s="26"/>
      <c r="Y174" s="26"/>
      <c r="Z174" s="26"/>
      <c r="AA174" s="26"/>
      <c r="AB174" s="26"/>
      <c r="AC174" s="26"/>
      <c r="AD174" s="26"/>
      <c r="AE174" s="27"/>
      <c r="AF174" s="27"/>
      <c r="AG174" s="28"/>
      <c r="AH174" s="29"/>
      <c r="AI174" s="29"/>
      <c r="AJ174" s="29"/>
      <c r="AK174" s="29"/>
      <c r="AL174" s="29"/>
      <c r="AM174" s="29"/>
      <c r="AN174" s="29"/>
      <c r="AO174" s="29"/>
      <c r="AP174" s="29"/>
      <c r="AQ174" s="29"/>
      <c r="AR174" s="29"/>
      <c r="AS174" s="29"/>
      <c r="AT174" s="29"/>
    </row>
    <row r="175" spans="1:46" ht="15" customHeight="1" x14ac:dyDescent="0.3">
      <c r="A175" s="6"/>
      <c r="B175" s="19"/>
      <c r="C175" s="20"/>
      <c r="D175" s="19"/>
      <c r="E175" s="20"/>
      <c r="F175" s="20"/>
      <c r="G175" s="20"/>
      <c r="H175" s="20"/>
      <c r="I175" s="20"/>
      <c r="J175" s="20"/>
      <c r="K175" s="20"/>
      <c r="L175" s="20"/>
      <c r="M175" s="20"/>
      <c r="N175" s="21"/>
      <c r="O175" s="22"/>
      <c r="P175" s="22"/>
      <c r="Q175" s="22"/>
      <c r="R175" s="22"/>
      <c r="S175" s="22"/>
      <c r="T175" s="23"/>
      <c r="U175" s="24"/>
      <c r="V175" s="25"/>
      <c r="W175" s="24"/>
      <c r="X175" s="26"/>
      <c r="Y175" s="26"/>
      <c r="Z175" s="26"/>
      <c r="AA175" s="26"/>
      <c r="AB175" s="26"/>
      <c r="AC175" s="26"/>
      <c r="AD175" s="26"/>
      <c r="AE175" s="27"/>
      <c r="AF175" s="27"/>
      <c r="AG175" s="28"/>
      <c r="AH175" s="29"/>
      <c r="AI175" s="29"/>
      <c r="AJ175" s="29"/>
      <c r="AK175" s="29"/>
      <c r="AL175" s="29"/>
      <c r="AM175" s="29"/>
      <c r="AN175" s="29"/>
      <c r="AO175" s="29"/>
      <c r="AP175" s="29"/>
      <c r="AQ175" s="29"/>
      <c r="AR175" s="29"/>
      <c r="AS175" s="29"/>
      <c r="AT175" s="29"/>
    </row>
    <row r="176" spans="1:46" ht="15" customHeight="1" x14ac:dyDescent="0.3">
      <c r="A176" s="6"/>
      <c r="B176" s="19"/>
      <c r="C176" s="20"/>
      <c r="D176" s="19"/>
      <c r="E176" s="20"/>
      <c r="F176" s="20"/>
      <c r="G176" s="20"/>
      <c r="H176" s="20"/>
      <c r="I176" s="20"/>
      <c r="J176" s="20"/>
      <c r="K176" s="20"/>
      <c r="L176" s="20"/>
      <c r="M176" s="20"/>
      <c r="N176" s="21"/>
      <c r="O176" s="22"/>
      <c r="P176" s="22"/>
      <c r="Q176" s="22"/>
      <c r="R176" s="22"/>
      <c r="S176" s="22"/>
      <c r="T176" s="23"/>
      <c r="U176" s="24"/>
      <c r="V176" s="25"/>
      <c r="W176" s="24"/>
      <c r="X176" s="26"/>
      <c r="Y176" s="26"/>
      <c r="Z176" s="26"/>
      <c r="AA176" s="26"/>
      <c r="AB176" s="26"/>
      <c r="AC176" s="26"/>
      <c r="AD176" s="26"/>
      <c r="AE176" s="27"/>
      <c r="AF176" s="27"/>
      <c r="AG176" s="28"/>
      <c r="AH176" s="29"/>
      <c r="AI176" s="29"/>
      <c r="AJ176" s="29"/>
      <c r="AK176" s="29"/>
      <c r="AL176" s="29"/>
      <c r="AM176" s="29"/>
      <c r="AN176" s="29"/>
      <c r="AO176" s="29"/>
      <c r="AP176" s="29"/>
      <c r="AQ176" s="29"/>
      <c r="AR176" s="29"/>
      <c r="AS176" s="29"/>
      <c r="AT176" s="29"/>
    </row>
    <row r="177" spans="1:46" ht="15" customHeight="1" x14ac:dyDescent="0.3">
      <c r="A177" s="6"/>
      <c r="B177" s="19"/>
      <c r="C177" s="20"/>
      <c r="D177" s="19"/>
      <c r="E177" s="20"/>
      <c r="F177" s="20"/>
      <c r="G177" s="20"/>
      <c r="H177" s="20"/>
      <c r="I177" s="20"/>
      <c r="J177" s="20"/>
      <c r="K177" s="20"/>
      <c r="L177" s="20"/>
      <c r="M177" s="20"/>
      <c r="N177" s="21"/>
      <c r="O177" s="22"/>
      <c r="P177" s="22"/>
      <c r="Q177" s="22"/>
      <c r="R177" s="22"/>
      <c r="S177" s="22"/>
      <c r="T177" s="23"/>
      <c r="U177" s="24"/>
      <c r="V177" s="25"/>
      <c r="W177" s="24"/>
      <c r="X177" s="26"/>
      <c r="Y177" s="26"/>
      <c r="Z177" s="26"/>
      <c r="AA177" s="26"/>
      <c r="AB177" s="26"/>
      <c r="AC177" s="26"/>
      <c r="AD177" s="26"/>
      <c r="AE177" s="27"/>
      <c r="AF177" s="27"/>
      <c r="AG177" s="28"/>
      <c r="AH177" s="29"/>
      <c r="AI177" s="29"/>
      <c r="AJ177" s="29"/>
      <c r="AK177" s="29"/>
      <c r="AL177" s="29"/>
      <c r="AM177" s="29"/>
      <c r="AN177" s="29"/>
      <c r="AO177" s="29"/>
      <c r="AP177" s="29"/>
      <c r="AQ177" s="29"/>
      <c r="AR177" s="29"/>
      <c r="AS177" s="29"/>
      <c r="AT177" s="29"/>
    </row>
    <row r="178" spans="1:46" ht="15" customHeight="1" x14ac:dyDescent="0.3">
      <c r="A178" s="6"/>
      <c r="B178" s="19"/>
      <c r="C178" s="20"/>
      <c r="D178" s="19"/>
      <c r="E178" s="20"/>
      <c r="F178" s="20"/>
      <c r="G178" s="20"/>
      <c r="H178" s="20"/>
      <c r="I178" s="20"/>
      <c r="J178" s="20"/>
      <c r="K178" s="20"/>
      <c r="L178" s="20"/>
      <c r="M178" s="20"/>
      <c r="N178" s="21"/>
      <c r="O178" s="22"/>
      <c r="P178" s="22"/>
      <c r="Q178" s="22"/>
      <c r="R178" s="22"/>
      <c r="S178" s="22"/>
      <c r="T178" s="23"/>
      <c r="U178" s="24"/>
      <c r="V178" s="25"/>
      <c r="W178" s="24"/>
      <c r="X178" s="26"/>
      <c r="Y178" s="26"/>
      <c r="Z178" s="26"/>
      <c r="AA178" s="26"/>
      <c r="AB178" s="26"/>
      <c r="AC178" s="26"/>
      <c r="AD178" s="26"/>
      <c r="AE178" s="27"/>
      <c r="AF178" s="27"/>
      <c r="AG178" s="28"/>
      <c r="AH178" s="29"/>
      <c r="AI178" s="29"/>
      <c r="AJ178" s="29"/>
      <c r="AK178" s="29"/>
      <c r="AL178" s="29"/>
      <c r="AM178" s="29"/>
      <c r="AN178" s="29"/>
      <c r="AO178" s="29"/>
      <c r="AP178" s="29"/>
      <c r="AQ178" s="29"/>
      <c r="AR178" s="29"/>
      <c r="AS178" s="29"/>
      <c r="AT178" s="29"/>
    </row>
    <row r="179" spans="1:46" ht="15" customHeight="1" x14ac:dyDescent="0.3">
      <c r="A179" s="6"/>
      <c r="B179" s="19"/>
      <c r="C179" s="20"/>
      <c r="D179" s="19"/>
      <c r="E179" s="20"/>
      <c r="F179" s="20"/>
      <c r="G179" s="20"/>
      <c r="H179" s="20"/>
      <c r="I179" s="20"/>
      <c r="J179" s="20"/>
      <c r="K179" s="20"/>
      <c r="L179" s="20"/>
      <c r="M179" s="20"/>
      <c r="N179" s="21"/>
      <c r="O179" s="22"/>
      <c r="P179" s="22"/>
      <c r="Q179" s="22"/>
      <c r="R179" s="22"/>
      <c r="S179" s="22"/>
      <c r="T179" s="23"/>
      <c r="U179" s="24"/>
      <c r="V179" s="25"/>
      <c r="W179" s="24"/>
      <c r="X179" s="26"/>
      <c r="Y179" s="26"/>
      <c r="Z179" s="26"/>
      <c r="AA179" s="26"/>
      <c r="AB179" s="26"/>
      <c r="AC179" s="26"/>
      <c r="AD179" s="26"/>
      <c r="AE179" s="27"/>
      <c r="AF179" s="27"/>
      <c r="AG179" s="28"/>
      <c r="AH179" s="29"/>
      <c r="AI179" s="29"/>
      <c r="AJ179" s="29"/>
      <c r="AK179" s="29"/>
      <c r="AL179" s="29"/>
      <c r="AM179" s="29"/>
      <c r="AN179" s="29"/>
      <c r="AO179" s="29"/>
      <c r="AP179" s="29"/>
      <c r="AQ179" s="29"/>
      <c r="AR179" s="29"/>
      <c r="AS179" s="29"/>
      <c r="AT179" s="29"/>
    </row>
    <row r="180" spans="1:46" ht="15" customHeight="1" x14ac:dyDescent="0.3">
      <c r="A180" s="6"/>
      <c r="B180" s="19"/>
      <c r="C180" s="20"/>
      <c r="D180" s="19"/>
      <c r="E180" s="20"/>
      <c r="F180" s="20"/>
      <c r="G180" s="20"/>
      <c r="H180" s="20"/>
      <c r="I180" s="20"/>
      <c r="J180" s="20"/>
      <c r="K180" s="20"/>
      <c r="L180" s="20"/>
      <c r="M180" s="20"/>
      <c r="N180" s="21"/>
      <c r="O180" s="22"/>
      <c r="P180" s="22"/>
      <c r="Q180" s="22"/>
      <c r="R180" s="22"/>
      <c r="S180" s="22"/>
      <c r="T180" s="23"/>
      <c r="U180" s="24"/>
      <c r="V180" s="25"/>
      <c r="W180" s="24"/>
      <c r="X180" s="26"/>
      <c r="Y180" s="26"/>
      <c r="Z180" s="26"/>
      <c r="AA180" s="26"/>
      <c r="AB180" s="26"/>
      <c r="AC180" s="26"/>
      <c r="AD180" s="26"/>
      <c r="AE180" s="27"/>
      <c r="AF180" s="27"/>
      <c r="AG180" s="28"/>
      <c r="AH180" s="29"/>
      <c r="AI180" s="29"/>
      <c r="AJ180" s="29"/>
      <c r="AK180" s="29"/>
      <c r="AL180" s="29"/>
      <c r="AM180" s="29"/>
      <c r="AN180" s="29"/>
      <c r="AO180" s="29"/>
      <c r="AP180" s="29"/>
      <c r="AQ180" s="29"/>
      <c r="AR180" s="29"/>
      <c r="AS180" s="29"/>
      <c r="AT180" s="29"/>
    </row>
    <row r="181" spans="1:46" ht="15" customHeight="1" x14ac:dyDescent="0.3">
      <c r="A181" s="6"/>
      <c r="B181" s="19"/>
      <c r="C181" s="20"/>
      <c r="D181" s="19"/>
      <c r="E181" s="20"/>
      <c r="F181" s="20"/>
      <c r="G181" s="20"/>
      <c r="H181" s="20"/>
      <c r="I181" s="20"/>
      <c r="J181" s="20"/>
      <c r="K181" s="20"/>
      <c r="L181" s="20"/>
      <c r="M181" s="20"/>
      <c r="N181" s="21"/>
      <c r="O181" s="22"/>
      <c r="P181" s="22"/>
      <c r="Q181" s="22"/>
      <c r="R181" s="22"/>
      <c r="S181" s="22"/>
      <c r="T181" s="23"/>
      <c r="U181" s="24"/>
      <c r="V181" s="25"/>
      <c r="W181" s="24"/>
      <c r="X181" s="26"/>
      <c r="Y181" s="26"/>
      <c r="Z181" s="26"/>
      <c r="AA181" s="26"/>
      <c r="AB181" s="26"/>
      <c r="AC181" s="26"/>
      <c r="AD181" s="26"/>
      <c r="AE181" s="27"/>
      <c r="AF181" s="27"/>
      <c r="AG181" s="28"/>
      <c r="AH181" s="29"/>
      <c r="AI181" s="29"/>
      <c r="AJ181" s="29"/>
      <c r="AK181" s="29"/>
      <c r="AL181" s="29"/>
      <c r="AM181" s="29"/>
      <c r="AN181" s="29"/>
      <c r="AO181" s="29"/>
      <c r="AP181" s="29"/>
      <c r="AQ181" s="29"/>
      <c r="AR181" s="29"/>
      <c r="AS181" s="29"/>
      <c r="AT181" s="29"/>
    </row>
    <row r="182" spans="1:46" ht="15" customHeight="1" x14ac:dyDescent="0.3">
      <c r="A182" s="6"/>
      <c r="B182" s="19"/>
      <c r="C182" s="20"/>
      <c r="D182" s="19"/>
      <c r="E182" s="20"/>
      <c r="F182" s="20"/>
      <c r="G182" s="20"/>
      <c r="H182" s="20"/>
      <c r="I182" s="20"/>
      <c r="J182" s="20"/>
      <c r="K182" s="20"/>
      <c r="L182" s="20"/>
      <c r="M182" s="20"/>
      <c r="N182" s="21"/>
      <c r="O182" s="22"/>
      <c r="P182" s="22"/>
      <c r="Q182" s="22"/>
      <c r="R182" s="22"/>
      <c r="S182" s="22"/>
      <c r="T182" s="23"/>
      <c r="U182" s="24"/>
      <c r="V182" s="25"/>
      <c r="W182" s="24"/>
      <c r="X182" s="26"/>
      <c r="Y182" s="26"/>
      <c r="Z182" s="26"/>
      <c r="AA182" s="26"/>
      <c r="AB182" s="26"/>
      <c r="AC182" s="26"/>
      <c r="AD182" s="26"/>
      <c r="AE182" s="27"/>
      <c r="AF182" s="27"/>
      <c r="AG182" s="28"/>
      <c r="AH182" s="29"/>
      <c r="AI182" s="29"/>
      <c r="AJ182" s="29"/>
      <c r="AK182" s="29"/>
      <c r="AL182" s="29"/>
      <c r="AM182" s="29"/>
      <c r="AN182" s="29"/>
      <c r="AO182" s="29"/>
      <c r="AP182" s="29"/>
      <c r="AQ182" s="29"/>
      <c r="AR182" s="29"/>
      <c r="AS182" s="29"/>
      <c r="AT182" s="29"/>
    </row>
    <row r="183" spans="1:46" ht="15" customHeight="1" x14ac:dyDescent="0.3">
      <c r="A183" s="6"/>
      <c r="B183" s="19"/>
      <c r="C183" s="20"/>
      <c r="D183" s="19"/>
      <c r="E183" s="20"/>
      <c r="F183" s="20"/>
      <c r="G183" s="20"/>
      <c r="H183" s="20"/>
      <c r="I183" s="20"/>
      <c r="J183" s="20"/>
      <c r="K183" s="20"/>
      <c r="L183" s="20"/>
      <c r="M183" s="20"/>
      <c r="N183" s="21"/>
      <c r="O183" s="22"/>
      <c r="P183" s="22"/>
      <c r="Q183" s="22"/>
      <c r="R183" s="22"/>
      <c r="S183" s="22"/>
      <c r="T183" s="23"/>
      <c r="U183" s="24"/>
      <c r="V183" s="25"/>
      <c r="W183" s="24"/>
      <c r="X183" s="26"/>
      <c r="Y183" s="26"/>
      <c r="Z183" s="26"/>
      <c r="AA183" s="26"/>
      <c r="AB183" s="26"/>
      <c r="AC183" s="26"/>
      <c r="AD183" s="26"/>
      <c r="AE183" s="27"/>
      <c r="AF183" s="27"/>
      <c r="AG183" s="28"/>
      <c r="AH183" s="29"/>
      <c r="AI183" s="29"/>
      <c r="AJ183" s="29"/>
      <c r="AK183" s="29"/>
      <c r="AL183" s="29"/>
      <c r="AM183" s="29"/>
      <c r="AN183" s="29"/>
      <c r="AO183" s="29"/>
      <c r="AP183" s="29"/>
      <c r="AQ183" s="29"/>
      <c r="AR183" s="29"/>
      <c r="AS183" s="29"/>
      <c r="AT183" s="29"/>
    </row>
    <row r="184" spans="1:46" ht="15" customHeight="1" x14ac:dyDescent="0.3">
      <c r="A184" s="6"/>
      <c r="B184" s="19"/>
      <c r="C184" s="20"/>
      <c r="D184" s="19"/>
      <c r="E184" s="20"/>
      <c r="F184" s="20"/>
      <c r="G184" s="20"/>
      <c r="H184" s="20"/>
      <c r="I184" s="20"/>
      <c r="J184" s="20"/>
      <c r="K184" s="20"/>
      <c r="L184" s="20"/>
      <c r="M184" s="20"/>
      <c r="N184" s="21"/>
      <c r="O184" s="22"/>
      <c r="P184" s="22"/>
      <c r="Q184" s="22"/>
      <c r="R184" s="22"/>
      <c r="S184" s="22"/>
      <c r="T184" s="23"/>
      <c r="U184" s="24"/>
      <c r="V184" s="25"/>
      <c r="W184" s="24"/>
      <c r="X184" s="26"/>
      <c r="Y184" s="26"/>
      <c r="Z184" s="26"/>
      <c r="AA184" s="26"/>
      <c r="AB184" s="26"/>
      <c r="AC184" s="26"/>
      <c r="AD184" s="26"/>
      <c r="AE184" s="27"/>
      <c r="AF184" s="27"/>
      <c r="AG184" s="28"/>
      <c r="AH184" s="29"/>
      <c r="AI184" s="29"/>
      <c r="AJ184" s="29"/>
      <c r="AK184" s="29"/>
      <c r="AL184" s="29"/>
      <c r="AM184" s="29"/>
      <c r="AN184" s="29"/>
      <c r="AO184" s="29"/>
      <c r="AP184" s="29"/>
      <c r="AQ184" s="29"/>
      <c r="AR184" s="29"/>
      <c r="AS184" s="29"/>
      <c r="AT184" s="29"/>
    </row>
    <row r="185" spans="1:46" ht="15" customHeight="1" x14ac:dyDescent="0.3">
      <c r="A185" s="6"/>
      <c r="B185" s="19"/>
      <c r="C185" s="20"/>
      <c r="D185" s="19"/>
      <c r="E185" s="20"/>
      <c r="F185" s="20"/>
      <c r="G185" s="20"/>
      <c r="H185" s="20"/>
      <c r="I185" s="20"/>
      <c r="J185" s="20"/>
      <c r="K185" s="20"/>
      <c r="L185" s="20"/>
      <c r="M185" s="20"/>
      <c r="N185" s="21"/>
      <c r="O185" s="22"/>
      <c r="P185" s="22"/>
      <c r="Q185" s="22"/>
      <c r="R185" s="22"/>
      <c r="S185" s="22"/>
      <c r="T185" s="23"/>
      <c r="U185" s="24"/>
      <c r="V185" s="25"/>
      <c r="W185" s="24"/>
      <c r="X185" s="26"/>
      <c r="Y185" s="26"/>
      <c r="Z185" s="26"/>
      <c r="AA185" s="26"/>
      <c r="AB185" s="26"/>
      <c r="AC185" s="26"/>
      <c r="AD185" s="26"/>
      <c r="AE185" s="27"/>
      <c r="AF185" s="27"/>
      <c r="AG185" s="28"/>
      <c r="AH185" s="29"/>
      <c r="AI185" s="29"/>
      <c r="AJ185" s="29"/>
      <c r="AK185" s="29"/>
      <c r="AL185" s="29"/>
      <c r="AM185" s="29"/>
      <c r="AN185" s="29"/>
      <c r="AO185" s="29"/>
      <c r="AP185" s="29"/>
      <c r="AQ185" s="29"/>
      <c r="AR185" s="29"/>
      <c r="AS185" s="29"/>
      <c r="AT185" s="29"/>
    </row>
    <row r="186" spans="1:46" ht="15" customHeight="1" x14ac:dyDescent="0.3">
      <c r="A186" s="6"/>
      <c r="B186" s="19"/>
      <c r="C186" s="20"/>
      <c r="D186" s="19"/>
      <c r="E186" s="20"/>
      <c r="F186" s="20"/>
      <c r="G186" s="20"/>
      <c r="H186" s="20"/>
      <c r="I186" s="20"/>
      <c r="J186" s="20"/>
      <c r="K186" s="20"/>
      <c r="L186" s="20"/>
      <c r="M186" s="20"/>
      <c r="N186" s="21"/>
      <c r="O186" s="22"/>
      <c r="P186" s="22"/>
      <c r="Q186" s="22"/>
      <c r="R186" s="22"/>
      <c r="S186" s="22"/>
      <c r="T186" s="23"/>
      <c r="U186" s="24"/>
      <c r="V186" s="25"/>
      <c r="W186" s="24"/>
      <c r="X186" s="26"/>
      <c r="Y186" s="26"/>
      <c r="Z186" s="26"/>
      <c r="AA186" s="26"/>
      <c r="AB186" s="26"/>
      <c r="AC186" s="26"/>
      <c r="AD186" s="26"/>
      <c r="AE186" s="27"/>
      <c r="AF186" s="27"/>
      <c r="AG186" s="28"/>
      <c r="AH186" s="29"/>
      <c r="AI186" s="29"/>
      <c r="AJ186" s="29"/>
      <c r="AK186" s="29"/>
      <c r="AL186" s="29"/>
      <c r="AM186" s="29"/>
      <c r="AN186" s="29"/>
      <c r="AO186" s="29"/>
      <c r="AP186" s="29"/>
      <c r="AQ186" s="29"/>
      <c r="AR186" s="29"/>
      <c r="AS186" s="29"/>
      <c r="AT186" s="29"/>
    </row>
    <row r="187" spans="1:46" ht="15" customHeight="1" x14ac:dyDescent="0.3">
      <c r="A187" s="6"/>
      <c r="B187" s="19"/>
      <c r="C187" s="20"/>
      <c r="D187" s="19"/>
      <c r="E187" s="20"/>
      <c r="F187" s="20"/>
      <c r="G187" s="20"/>
      <c r="H187" s="20"/>
      <c r="I187" s="20"/>
      <c r="J187" s="20"/>
      <c r="K187" s="20"/>
      <c r="L187" s="20"/>
      <c r="M187" s="20"/>
      <c r="N187" s="21"/>
      <c r="O187" s="22"/>
      <c r="P187" s="22"/>
      <c r="Q187" s="22"/>
      <c r="R187" s="22"/>
      <c r="S187" s="22"/>
      <c r="T187" s="23"/>
      <c r="U187" s="24"/>
      <c r="V187" s="25"/>
      <c r="W187" s="24"/>
      <c r="X187" s="26"/>
      <c r="Y187" s="26"/>
      <c r="Z187" s="26"/>
      <c r="AA187" s="26"/>
      <c r="AB187" s="26"/>
      <c r="AC187" s="26"/>
      <c r="AD187" s="26"/>
      <c r="AE187" s="27"/>
      <c r="AF187" s="27"/>
      <c r="AG187" s="28"/>
      <c r="AH187" s="29"/>
      <c r="AI187" s="29"/>
      <c r="AJ187" s="29"/>
      <c r="AK187" s="29"/>
      <c r="AL187" s="29"/>
      <c r="AM187" s="29"/>
      <c r="AN187" s="29"/>
      <c r="AO187" s="29"/>
      <c r="AP187" s="29"/>
      <c r="AQ187" s="29"/>
      <c r="AR187" s="29"/>
      <c r="AS187" s="29"/>
      <c r="AT187" s="29"/>
    </row>
    <row r="188" spans="1:46" ht="15" customHeight="1" x14ac:dyDescent="0.3">
      <c r="A188" s="6"/>
      <c r="B188" s="19"/>
      <c r="C188" s="20"/>
      <c r="D188" s="19"/>
      <c r="E188" s="20"/>
      <c r="F188" s="20"/>
      <c r="G188" s="20"/>
      <c r="H188" s="20"/>
      <c r="I188" s="20"/>
      <c r="J188" s="20"/>
      <c r="K188" s="20"/>
      <c r="L188" s="20"/>
      <c r="M188" s="20"/>
      <c r="N188" s="21"/>
      <c r="O188" s="22"/>
      <c r="P188" s="22"/>
      <c r="Q188" s="22"/>
      <c r="R188" s="22"/>
      <c r="S188" s="22"/>
      <c r="T188" s="23"/>
      <c r="U188" s="24"/>
      <c r="V188" s="25"/>
      <c r="W188" s="24"/>
      <c r="X188" s="26"/>
      <c r="Y188" s="26"/>
      <c r="Z188" s="26"/>
      <c r="AA188" s="26"/>
      <c r="AB188" s="26"/>
      <c r="AC188" s="26"/>
      <c r="AD188" s="26"/>
      <c r="AE188" s="27"/>
      <c r="AF188" s="27"/>
      <c r="AG188" s="28"/>
      <c r="AH188" s="29"/>
      <c r="AI188" s="29"/>
      <c r="AJ188" s="29"/>
      <c r="AK188" s="29"/>
      <c r="AL188" s="29"/>
      <c r="AM188" s="29"/>
      <c r="AN188" s="29"/>
      <c r="AO188" s="29"/>
      <c r="AP188" s="29"/>
      <c r="AQ188" s="29"/>
      <c r="AR188" s="29"/>
      <c r="AS188" s="29"/>
      <c r="AT188" s="29"/>
    </row>
    <row r="189" spans="1:46" ht="15" customHeight="1" x14ac:dyDescent="0.3">
      <c r="A189" s="6"/>
      <c r="B189" s="19"/>
      <c r="C189" s="20"/>
      <c r="D189" s="19"/>
      <c r="E189" s="20"/>
      <c r="F189" s="20"/>
      <c r="G189" s="20"/>
      <c r="H189" s="20"/>
      <c r="I189" s="20"/>
      <c r="J189" s="20"/>
      <c r="K189" s="20"/>
      <c r="L189" s="20"/>
      <c r="M189" s="20"/>
      <c r="N189" s="21"/>
      <c r="O189" s="22"/>
      <c r="P189" s="22"/>
      <c r="Q189" s="22"/>
      <c r="R189" s="22"/>
      <c r="S189" s="22"/>
      <c r="T189" s="23"/>
      <c r="U189" s="24"/>
      <c r="V189" s="25"/>
      <c r="W189" s="24"/>
      <c r="X189" s="26"/>
      <c r="Y189" s="26"/>
      <c r="Z189" s="26"/>
      <c r="AA189" s="26"/>
      <c r="AB189" s="26"/>
      <c r="AC189" s="26"/>
      <c r="AD189" s="26"/>
      <c r="AE189" s="27"/>
      <c r="AF189" s="27"/>
      <c r="AG189" s="28"/>
      <c r="AH189" s="29"/>
      <c r="AI189" s="29"/>
      <c r="AJ189" s="29"/>
      <c r="AK189" s="29"/>
      <c r="AL189" s="29"/>
      <c r="AM189" s="29"/>
      <c r="AN189" s="29"/>
      <c r="AO189" s="29"/>
      <c r="AP189" s="29"/>
      <c r="AQ189" s="29"/>
      <c r="AR189" s="29"/>
      <c r="AS189" s="29"/>
      <c r="AT189" s="29"/>
    </row>
    <row r="190" spans="1:46" ht="15" customHeight="1" x14ac:dyDescent="0.3">
      <c r="A190" s="6"/>
      <c r="B190" s="19"/>
      <c r="C190" s="20"/>
      <c r="D190" s="19"/>
      <c r="E190" s="20"/>
      <c r="F190" s="20"/>
      <c r="G190" s="20"/>
      <c r="H190" s="20"/>
      <c r="I190" s="20"/>
      <c r="J190" s="20"/>
      <c r="K190" s="20"/>
      <c r="L190" s="20"/>
      <c r="M190" s="20"/>
      <c r="N190" s="21"/>
      <c r="O190" s="22"/>
      <c r="P190" s="22"/>
      <c r="Q190" s="22"/>
      <c r="R190" s="22"/>
      <c r="S190" s="22"/>
      <c r="T190" s="23"/>
      <c r="U190" s="24"/>
      <c r="V190" s="25"/>
      <c r="W190" s="24"/>
      <c r="X190" s="26"/>
      <c r="Y190" s="26"/>
      <c r="Z190" s="26"/>
      <c r="AA190" s="26"/>
      <c r="AB190" s="26"/>
      <c r="AC190" s="26"/>
      <c r="AD190" s="26"/>
      <c r="AE190" s="27"/>
      <c r="AF190" s="27"/>
      <c r="AG190" s="28"/>
      <c r="AH190" s="29"/>
      <c r="AI190" s="29"/>
      <c r="AJ190" s="29"/>
      <c r="AK190" s="29"/>
      <c r="AL190" s="29"/>
      <c r="AM190" s="29"/>
      <c r="AN190" s="29"/>
      <c r="AO190" s="29"/>
      <c r="AP190" s="29"/>
      <c r="AQ190" s="29"/>
      <c r="AR190" s="29"/>
      <c r="AS190" s="29"/>
      <c r="AT190" s="29"/>
    </row>
    <row r="191" spans="1:46" ht="15" customHeight="1" x14ac:dyDescent="0.3">
      <c r="A191" s="6"/>
      <c r="B191" s="19"/>
      <c r="C191" s="20"/>
      <c r="D191" s="19"/>
      <c r="E191" s="20"/>
      <c r="F191" s="20"/>
      <c r="G191" s="20"/>
      <c r="H191" s="20"/>
      <c r="I191" s="20"/>
      <c r="J191" s="20"/>
      <c r="K191" s="20"/>
      <c r="L191" s="20"/>
      <c r="M191" s="20"/>
      <c r="N191" s="21"/>
      <c r="O191" s="22"/>
      <c r="P191" s="22"/>
      <c r="Q191" s="22"/>
      <c r="R191" s="22"/>
      <c r="S191" s="22"/>
      <c r="T191" s="23"/>
      <c r="U191" s="24"/>
      <c r="V191" s="25"/>
      <c r="W191" s="24"/>
      <c r="X191" s="26"/>
      <c r="Y191" s="26"/>
      <c r="Z191" s="26"/>
      <c r="AA191" s="26"/>
      <c r="AB191" s="26"/>
      <c r="AC191" s="26"/>
      <c r="AD191" s="26"/>
      <c r="AE191" s="27"/>
      <c r="AF191" s="27"/>
      <c r="AG191" s="28"/>
      <c r="AH191" s="29"/>
      <c r="AI191" s="29"/>
      <c r="AJ191" s="29"/>
      <c r="AK191" s="29"/>
      <c r="AL191" s="29"/>
      <c r="AM191" s="29"/>
      <c r="AN191" s="29"/>
      <c r="AO191" s="29"/>
      <c r="AP191" s="29"/>
      <c r="AQ191" s="29"/>
      <c r="AR191" s="29"/>
      <c r="AS191" s="29"/>
      <c r="AT191" s="29"/>
    </row>
    <row r="192" spans="1:46" ht="15" customHeight="1" x14ac:dyDescent="0.3">
      <c r="A192" s="6"/>
      <c r="B192" s="19"/>
      <c r="C192" s="20"/>
      <c r="D192" s="19"/>
      <c r="E192" s="20"/>
      <c r="F192" s="20"/>
      <c r="G192" s="20"/>
      <c r="H192" s="20"/>
      <c r="I192" s="20"/>
      <c r="J192" s="20"/>
      <c r="K192" s="20"/>
      <c r="L192" s="20"/>
      <c r="M192" s="20"/>
      <c r="N192" s="21"/>
      <c r="O192" s="22"/>
      <c r="P192" s="22"/>
      <c r="Q192" s="22"/>
      <c r="R192" s="22"/>
      <c r="S192" s="22"/>
      <c r="T192" s="23"/>
      <c r="U192" s="24"/>
      <c r="V192" s="25"/>
      <c r="W192" s="24"/>
      <c r="X192" s="26"/>
      <c r="Y192" s="26"/>
      <c r="Z192" s="26"/>
      <c r="AA192" s="26"/>
      <c r="AB192" s="26"/>
      <c r="AC192" s="26"/>
      <c r="AD192" s="26"/>
      <c r="AE192" s="27"/>
      <c r="AF192" s="27"/>
      <c r="AG192" s="28"/>
      <c r="AH192" s="29"/>
      <c r="AI192" s="29"/>
      <c r="AJ192" s="29"/>
      <c r="AK192" s="29"/>
      <c r="AL192" s="29"/>
      <c r="AM192" s="29"/>
      <c r="AN192" s="29"/>
      <c r="AO192" s="29"/>
      <c r="AP192" s="29"/>
      <c r="AQ192" s="29"/>
      <c r="AR192" s="29"/>
      <c r="AS192" s="29"/>
      <c r="AT192" s="29"/>
    </row>
    <row r="193" spans="1:46" ht="15" customHeight="1" x14ac:dyDescent="0.3">
      <c r="A193" s="6"/>
      <c r="B193" s="19"/>
      <c r="C193" s="20"/>
      <c r="D193" s="19"/>
      <c r="E193" s="20"/>
      <c r="F193" s="20"/>
      <c r="G193" s="20"/>
      <c r="H193" s="20"/>
      <c r="I193" s="20"/>
      <c r="J193" s="20"/>
      <c r="K193" s="20"/>
      <c r="L193" s="20"/>
      <c r="M193" s="20"/>
      <c r="N193" s="21"/>
      <c r="O193" s="22"/>
      <c r="P193" s="22"/>
      <c r="Q193" s="22"/>
      <c r="R193" s="22"/>
      <c r="S193" s="22"/>
      <c r="T193" s="23"/>
      <c r="U193" s="24"/>
      <c r="V193" s="25"/>
      <c r="W193" s="24"/>
      <c r="X193" s="26"/>
      <c r="Y193" s="26"/>
      <c r="Z193" s="26"/>
      <c r="AA193" s="26"/>
      <c r="AB193" s="26"/>
      <c r="AC193" s="26"/>
      <c r="AD193" s="26"/>
      <c r="AE193" s="27"/>
      <c r="AF193" s="27"/>
      <c r="AG193" s="28"/>
      <c r="AH193" s="29"/>
      <c r="AI193" s="29"/>
      <c r="AJ193" s="29"/>
      <c r="AK193" s="29"/>
      <c r="AL193" s="29"/>
      <c r="AM193" s="29"/>
      <c r="AN193" s="29"/>
      <c r="AO193" s="29"/>
      <c r="AP193" s="29"/>
      <c r="AQ193" s="29"/>
      <c r="AR193" s="29"/>
      <c r="AS193" s="29"/>
      <c r="AT193" s="29"/>
    </row>
    <row r="194" spans="1:46" ht="15" customHeight="1" x14ac:dyDescent="0.3">
      <c r="A194" s="6"/>
      <c r="B194" s="19"/>
      <c r="C194" s="20"/>
      <c r="D194" s="19"/>
      <c r="E194" s="20"/>
      <c r="F194" s="20"/>
      <c r="G194" s="20"/>
      <c r="H194" s="20"/>
      <c r="I194" s="20"/>
      <c r="J194" s="20"/>
      <c r="K194" s="20"/>
      <c r="L194" s="20"/>
      <c r="M194" s="20"/>
      <c r="N194" s="21"/>
      <c r="O194" s="22"/>
      <c r="P194" s="22"/>
      <c r="Q194" s="22"/>
      <c r="R194" s="22"/>
      <c r="S194" s="22"/>
      <c r="T194" s="23"/>
      <c r="U194" s="24"/>
      <c r="V194" s="25"/>
      <c r="W194" s="24"/>
      <c r="X194" s="26"/>
      <c r="Y194" s="26"/>
      <c r="Z194" s="26"/>
      <c r="AA194" s="26"/>
      <c r="AB194" s="26"/>
      <c r="AC194" s="26"/>
      <c r="AD194" s="26"/>
      <c r="AE194" s="27"/>
      <c r="AF194" s="27"/>
      <c r="AG194" s="28"/>
      <c r="AH194" s="29"/>
      <c r="AI194" s="29"/>
      <c r="AJ194" s="29"/>
      <c r="AK194" s="29"/>
      <c r="AL194" s="29"/>
      <c r="AM194" s="29"/>
      <c r="AN194" s="29"/>
      <c r="AO194" s="29"/>
      <c r="AP194" s="29"/>
      <c r="AQ194" s="29"/>
      <c r="AR194" s="29"/>
      <c r="AS194" s="29"/>
      <c r="AT194" s="29"/>
    </row>
    <row r="195" spans="1:46" ht="15" customHeight="1" x14ac:dyDescent="0.3">
      <c r="A195" s="6"/>
      <c r="B195" s="19"/>
      <c r="C195" s="20"/>
      <c r="D195" s="19"/>
      <c r="E195" s="20"/>
      <c r="F195" s="20"/>
      <c r="G195" s="20"/>
      <c r="H195" s="20"/>
      <c r="I195" s="20"/>
      <c r="J195" s="20"/>
      <c r="K195" s="20"/>
      <c r="L195" s="20"/>
      <c r="M195" s="20"/>
      <c r="N195" s="21"/>
      <c r="O195" s="22"/>
      <c r="P195" s="22"/>
      <c r="Q195" s="22"/>
      <c r="R195" s="22"/>
      <c r="S195" s="22"/>
      <c r="T195" s="23"/>
      <c r="U195" s="24"/>
      <c r="V195" s="25"/>
      <c r="W195" s="24"/>
      <c r="X195" s="26"/>
      <c r="Y195" s="26"/>
      <c r="Z195" s="26"/>
      <c r="AA195" s="26"/>
      <c r="AB195" s="26"/>
      <c r="AC195" s="26"/>
      <c r="AD195" s="26"/>
      <c r="AE195" s="27"/>
      <c r="AF195" s="27"/>
      <c r="AG195" s="28"/>
      <c r="AH195" s="29"/>
      <c r="AI195" s="29"/>
      <c r="AJ195" s="29"/>
      <c r="AK195" s="29"/>
      <c r="AL195" s="29"/>
      <c r="AM195" s="29"/>
      <c r="AN195" s="29"/>
      <c r="AO195" s="29"/>
      <c r="AP195" s="29"/>
      <c r="AQ195" s="29"/>
      <c r="AR195" s="29"/>
      <c r="AS195" s="29"/>
      <c r="AT195" s="29"/>
    </row>
    <row r="196" spans="1:46" ht="15" customHeight="1" x14ac:dyDescent="0.3">
      <c r="A196" s="6"/>
      <c r="B196" s="19"/>
      <c r="C196" s="20"/>
      <c r="D196" s="19"/>
      <c r="E196" s="20"/>
      <c r="F196" s="20"/>
      <c r="G196" s="20"/>
      <c r="H196" s="20"/>
      <c r="I196" s="20"/>
      <c r="J196" s="20"/>
      <c r="K196" s="20"/>
      <c r="L196" s="20"/>
      <c r="M196" s="20"/>
      <c r="N196" s="21"/>
      <c r="O196" s="22"/>
      <c r="P196" s="22"/>
      <c r="Q196" s="22"/>
      <c r="R196" s="22"/>
      <c r="S196" s="22"/>
      <c r="T196" s="23"/>
      <c r="U196" s="24"/>
      <c r="V196" s="25"/>
      <c r="W196" s="24"/>
      <c r="X196" s="26"/>
      <c r="Y196" s="26"/>
      <c r="Z196" s="26"/>
      <c r="AA196" s="26"/>
      <c r="AB196" s="26"/>
      <c r="AC196" s="26"/>
      <c r="AD196" s="26"/>
      <c r="AE196" s="27"/>
      <c r="AF196" s="27"/>
      <c r="AG196" s="28"/>
      <c r="AH196" s="29"/>
      <c r="AI196" s="29"/>
      <c r="AJ196" s="29"/>
      <c r="AK196" s="29"/>
      <c r="AL196" s="29"/>
      <c r="AM196" s="29"/>
      <c r="AN196" s="29"/>
      <c r="AO196" s="29"/>
      <c r="AP196" s="29"/>
      <c r="AQ196" s="29"/>
      <c r="AR196" s="29"/>
      <c r="AS196" s="29"/>
      <c r="AT196" s="29"/>
    </row>
    <row r="197" spans="1:46" ht="15" customHeight="1" x14ac:dyDescent="0.3">
      <c r="A197" s="6"/>
      <c r="B197" s="19"/>
      <c r="C197" s="20"/>
      <c r="D197" s="19"/>
      <c r="E197" s="20"/>
      <c r="F197" s="20"/>
      <c r="G197" s="20"/>
      <c r="H197" s="20"/>
      <c r="I197" s="20"/>
      <c r="J197" s="20"/>
      <c r="K197" s="20"/>
      <c r="L197" s="20"/>
      <c r="M197" s="20"/>
      <c r="N197" s="21"/>
      <c r="O197" s="22"/>
      <c r="P197" s="22"/>
      <c r="Q197" s="22"/>
      <c r="R197" s="22"/>
      <c r="S197" s="22"/>
      <c r="T197" s="23"/>
      <c r="U197" s="24"/>
      <c r="V197" s="25"/>
      <c r="W197" s="24"/>
      <c r="X197" s="26"/>
      <c r="Y197" s="26"/>
      <c r="Z197" s="26"/>
      <c r="AA197" s="26"/>
      <c r="AB197" s="26"/>
      <c r="AC197" s="26"/>
      <c r="AD197" s="26"/>
      <c r="AE197" s="27"/>
      <c r="AF197" s="27"/>
      <c r="AG197" s="28"/>
      <c r="AH197" s="29"/>
      <c r="AI197" s="29"/>
      <c r="AJ197" s="29"/>
      <c r="AK197" s="29"/>
      <c r="AL197" s="29"/>
      <c r="AM197" s="29"/>
      <c r="AN197" s="29"/>
      <c r="AO197" s="29"/>
      <c r="AP197" s="29"/>
      <c r="AQ197" s="29"/>
      <c r="AR197" s="29"/>
      <c r="AS197" s="29"/>
      <c r="AT197" s="29"/>
    </row>
    <row r="198" spans="1:46" ht="15" customHeight="1" x14ac:dyDescent="0.3">
      <c r="A198" s="6"/>
      <c r="B198" s="19"/>
      <c r="C198" s="20"/>
      <c r="D198" s="19"/>
      <c r="E198" s="20"/>
      <c r="F198" s="20"/>
      <c r="G198" s="20"/>
      <c r="H198" s="20"/>
      <c r="I198" s="20"/>
      <c r="J198" s="20"/>
      <c r="K198" s="20"/>
      <c r="L198" s="20"/>
      <c r="M198" s="20"/>
      <c r="N198" s="21"/>
      <c r="O198" s="22"/>
      <c r="P198" s="22"/>
      <c r="Q198" s="22"/>
      <c r="R198" s="22"/>
      <c r="S198" s="22"/>
      <c r="T198" s="23"/>
      <c r="U198" s="24"/>
      <c r="V198" s="25"/>
      <c r="W198" s="24"/>
      <c r="X198" s="26"/>
      <c r="Y198" s="26"/>
      <c r="Z198" s="26"/>
      <c r="AA198" s="26"/>
      <c r="AB198" s="26"/>
      <c r="AC198" s="26"/>
      <c r="AD198" s="26"/>
      <c r="AE198" s="27"/>
      <c r="AF198" s="27"/>
      <c r="AG198" s="28"/>
      <c r="AH198" s="29"/>
      <c r="AI198" s="29"/>
      <c r="AJ198" s="29"/>
      <c r="AK198" s="29"/>
      <c r="AL198" s="29"/>
      <c r="AM198" s="29"/>
      <c r="AN198" s="29"/>
      <c r="AO198" s="29"/>
      <c r="AP198" s="29"/>
      <c r="AQ198" s="29"/>
      <c r="AR198" s="29"/>
      <c r="AS198" s="29"/>
      <c r="AT198" s="29"/>
    </row>
    <row r="199" spans="1:46" ht="15" customHeight="1" x14ac:dyDescent="0.3">
      <c r="A199" s="6"/>
      <c r="B199" s="19"/>
      <c r="C199" s="20"/>
      <c r="D199" s="19"/>
      <c r="E199" s="20"/>
      <c r="F199" s="20"/>
      <c r="G199" s="20"/>
      <c r="H199" s="20"/>
      <c r="I199" s="20"/>
      <c r="J199" s="20"/>
      <c r="K199" s="20"/>
      <c r="L199" s="20"/>
      <c r="M199" s="20"/>
      <c r="N199" s="21"/>
      <c r="O199" s="22"/>
      <c r="P199" s="22"/>
      <c r="Q199" s="22"/>
      <c r="R199" s="22"/>
      <c r="S199" s="22"/>
      <c r="T199" s="23"/>
      <c r="U199" s="24"/>
      <c r="V199" s="25"/>
      <c r="W199" s="24"/>
      <c r="X199" s="26"/>
      <c r="Y199" s="26"/>
      <c r="Z199" s="26"/>
      <c r="AA199" s="26"/>
      <c r="AB199" s="26"/>
      <c r="AC199" s="26"/>
      <c r="AD199" s="26"/>
      <c r="AE199" s="27"/>
      <c r="AF199" s="27"/>
      <c r="AG199" s="28"/>
      <c r="AH199" s="29"/>
      <c r="AI199" s="29"/>
      <c r="AJ199" s="29"/>
      <c r="AK199" s="29"/>
      <c r="AL199" s="29"/>
      <c r="AM199" s="29"/>
      <c r="AN199" s="29"/>
      <c r="AO199" s="29"/>
      <c r="AP199" s="29"/>
      <c r="AQ199" s="29"/>
      <c r="AR199" s="29"/>
      <c r="AS199" s="29"/>
      <c r="AT199" s="29"/>
    </row>
    <row r="200" spans="1:46" ht="15" customHeight="1" x14ac:dyDescent="0.3">
      <c r="A200" s="6"/>
      <c r="B200" s="19"/>
      <c r="C200" s="20"/>
      <c r="D200" s="19"/>
      <c r="E200" s="20"/>
      <c r="F200" s="20"/>
      <c r="G200" s="20"/>
      <c r="H200" s="20"/>
      <c r="I200" s="20"/>
      <c r="J200" s="20"/>
      <c r="K200" s="20"/>
      <c r="L200" s="20"/>
      <c r="M200" s="20"/>
      <c r="N200" s="21"/>
      <c r="O200" s="22"/>
      <c r="P200" s="22"/>
      <c r="Q200" s="22"/>
      <c r="R200" s="22"/>
      <c r="S200" s="22"/>
      <c r="T200" s="23"/>
      <c r="U200" s="24"/>
      <c r="V200" s="25"/>
      <c r="W200" s="24"/>
      <c r="X200" s="26"/>
      <c r="Y200" s="26"/>
      <c r="Z200" s="26"/>
      <c r="AA200" s="26"/>
      <c r="AB200" s="26"/>
      <c r="AC200" s="26"/>
      <c r="AD200" s="26"/>
      <c r="AE200" s="27"/>
      <c r="AF200" s="27"/>
      <c r="AG200" s="28"/>
      <c r="AH200" s="29"/>
      <c r="AI200" s="29"/>
      <c r="AJ200" s="29"/>
      <c r="AK200" s="29"/>
      <c r="AL200" s="29"/>
      <c r="AM200" s="29"/>
      <c r="AN200" s="29"/>
      <c r="AO200" s="29"/>
      <c r="AP200" s="29"/>
      <c r="AQ200" s="29"/>
      <c r="AR200" s="29"/>
      <c r="AS200" s="29"/>
      <c r="AT200" s="29"/>
    </row>
    <row r="201" spans="1:46" ht="15" customHeight="1" x14ac:dyDescent="0.3">
      <c r="A201" s="6"/>
      <c r="B201" s="19"/>
      <c r="C201" s="20"/>
      <c r="D201" s="19"/>
      <c r="E201" s="20"/>
      <c r="F201" s="20"/>
      <c r="G201" s="20"/>
      <c r="H201" s="20"/>
      <c r="I201" s="20"/>
      <c r="J201" s="20"/>
      <c r="K201" s="20"/>
      <c r="L201" s="20"/>
      <c r="M201" s="20"/>
      <c r="N201" s="21"/>
      <c r="O201" s="22"/>
      <c r="P201" s="22"/>
      <c r="Q201" s="22"/>
      <c r="R201" s="22"/>
      <c r="S201" s="22"/>
      <c r="T201" s="23"/>
      <c r="U201" s="24"/>
      <c r="V201" s="25"/>
      <c r="W201" s="24"/>
      <c r="X201" s="26"/>
      <c r="Y201" s="26"/>
      <c r="Z201" s="26"/>
      <c r="AA201" s="26"/>
      <c r="AB201" s="26"/>
      <c r="AC201" s="26"/>
      <c r="AD201" s="26"/>
      <c r="AE201" s="27"/>
      <c r="AF201" s="27"/>
      <c r="AG201" s="28"/>
      <c r="AH201" s="29"/>
      <c r="AI201" s="29"/>
      <c r="AJ201" s="29"/>
      <c r="AK201" s="29"/>
      <c r="AL201" s="29"/>
      <c r="AM201" s="29"/>
      <c r="AN201" s="29"/>
      <c r="AO201" s="29"/>
      <c r="AP201" s="29"/>
      <c r="AQ201" s="29"/>
      <c r="AR201" s="29"/>
      <c r="AS201" s="29"/>
      <c r="AT201" s="29"/>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
  <sheetViews>
    <sheetView zoomScaleNormal="100" workbookViewId="0">
      <selection sqref="A1:H1"/>
    </sheetView>
  </sheetViews>
  <sheetFormatPr defaultColWidth="8.6640625" defaultRowHeight="14.4" x14ac:dyDescent="0.3"/>
  <cols>
    <col min="1" max="1" width="22" customWidth="1"/>
    <col min="2" max="2" width="32" customWidth="1"/>
    <col min="3" max="3" width="12" customWidth="1"/>
    <col min="4" max="8" width="14" customWidth="1"/>
  </cols>
  <sheetData>
    <row r="1" spans="1:8" ht="15" customHeight="1" x14ac:dyDescent="0.3">
      <c r="A1" s="74" t="s">
        <v>10472</v>
      </c>
      <c r="B1" s="67"/>
      <c r="C1" s="67"/>
      <c r="D1" s="67"/>
      <c r="E1" s="67"/>
      <c r="F1" s="67"/>
      <c r="G1" s="67"/>
      <c r="H1" s="67"/>
    </row>
    <row r="3" spans="1:8" ht="15" customHeight="1" x14ac:dyDescent="0.3">
      <c r="A3" s="30" t="s">
        <v>10473</v>
      </c>
      <c r="B3" s="30" t="s">
        <v>10474</v>
      </c>
      <c r="C3" s="30" t="s">
        <v>10475</v>
      </c>
      <c r="D3" s="30" t="s">
        <v>10476</v>
      </c>
      <c r="E3" s="30" t="s">
        <v>10477</v>
      </c>
      <c r="F3" s="30" t="s">
        <v>10478</v>
      </c>
      <c r="G3" s="30" t="s">
        <v>10479</v>
      </c>
      <c r="H3" s="30" t="s">
        <v>10480</v>
      </c>
    </row>
    <row r="4" spans="1:8" ht="15" customHeight="1" x14ac:dyDescent="0.3">
      <c r="A4" s="31" t="s">
        <v>10481</v>
      </c>
      <c r="B4" s="31" t="s">
        <v>10178</v>
      </c>
      <c r="C4" s="31" t="s">
        <v>10482</v>
      </c>
      <c r="D4" s="32">
        <v>150000</v>
      </c>
      <c r="E4" s="32">
        <v>80000</v>
      </c>
      <c r="F4" s="32">
        <v>40000</v>
      </c>
      <c r="G4" s="32">
        <v>15000</v>
      </c>
      <c r="H4" s="32">
        <v>0</v>
      </c>
    </row>
    <row r="5" spans="1:8" ht="15" customHeight="1" x14ac:dyDescent="0.3">
      <c r="A5" s="31" t="s">
        <v>10483</v>
      </c>
      <c r="B5" s="31" t="s">
        <v>10484</v>
      </c>
      <c r="C5" s="31" t="s">
        <v>10482</v>
      </c>
      <c r="D5" s="33">
        <v>0.75</v>
      </c>
      <c r="E5" s="33">
        <v>0.65</v>
      </c>
      <c r="F5" s="33">
        <v>0.55000000000000004</v>
      </c>
      <c r="G5" s="33">
        <v>0.45</v>
      </c>
      <c r="H5" s="32">
        <v>0</v>
      </c>
    </row>
    <row r="6" spans="1:8" ht="15" customHeight="1" x14ac:dyDescent="0.3">
      <c r="A6" s="31" t="s">
        <v>10485</v>
      </c>
      <c r="B6" s="31" t="s">
        <v>10486</v>
      </c>
      <c r="C6" s="31" t="s">
        <v>10482</v>
      </c>
      <c r="D6" s="32">
        <v>8</v>
      </c>
      <c r="E6" s="32">
        <v>6</v>
      </c>
      <c r="F6" s="32">
        <v>4</v>
      </c>
      <c r="G6" s="32">
        <v>2</v>
      </c>
      <c r="H6" s="32">
        <v>0</v>
      </c>
    </row>
    <row r="7" spans="1:8" ht="15" customHeight="1" x14ac:dyDescent="0.3">
      <c r="A7" s="31" t="s">
        <v>10487</v>
      </c>
      <c r="B7" s="31" t="s">
        <v>10439</v>
      </c>
      <c r="C7" s="31" t="s">
        <v>10482</v>
      </c>
      <c r="D7" s="32">
        <v>22</v>
      </c>
      <c r="E7" s="32">
        <v>18</v>
      </c>
      <c r="F7" s="32">
        <v>14</v>
      </c>
      <c r="G7" s="32">
        <v>10</v>
      </c>
      <c r="H7" s="32">
        <v>0</v>
      </c>
    </row>
    <row r="8" spans="1:8" ht="15" customHeight="1" x14ac:dyDescent="0.3">
      <c r="A8" s="31" t="s">
        <v>10488</v>
      </c>
      <c r="B8" s="31" t="s">
        <v>10444</v>
      </c>
      <c r="C8" s="31" t="s">
        <v>10482</v>
      </c>
      <c r="D8" s="33">
        <v>0.3</v>
      </c>
      <c r="E8" s="33">
        <v>0.2</v>
      </c>
      <c r="F8" s="33">
        <v>0.12</v>
      </c>
      <c r="G8" s="33">
        <v>0.05</v>
      </c>
      <c r="H8" s="32">
        <v>0</v>
      </c>
    </row>
    <row r="9" spans="1:8" ht="15" customHeight="1" x14ac:dyDescent="0.3">
      <c r="A9" s="31" t="s">
        <v>10489</v>
      </c>
      <c r="B9" s="31" t="s">
        <v>10445</v>
      </c>
      <c r="C9" s="31" t="s">
        <v>10490</v>
      </c>
      <c r="D9" s="32">
        <v>1</v>
      </c>
      <c r="E9" s="32">
        <v>2</v>
      </c>
      <c r="F9" s="32">
        <v>3</v>
      </c>
      <c r="G9" s="32">
        <v>4</v>
      </c>
      <c r="H9" s="32">
        <v>999</v>
      </c>
    </row>
    <row r="10" spans="1:8" ht="15" customHeight="1" x14ac:dyDescent="0.3">
      <c r="A10" s="31" t="s">
        <v>10491</v>
      </c>
      <c r="B10" s="31" t="s">
        <v>10492</v>
      </c>
      <c r="C10" s="31" t="s">
        <v>10482</v>
      </c>
      <c r="D10" s="32">
        <v>2</v>
      </c>
      <c r="E10" s="32">
        <v>1.5</v>
      </c>
      <c r="F10" s="32">
        <v>1.2</v>
      </c>
      <c r="G10" s="32">
        <v>1</v>
      </c>
      <c r="H10" s="32">
        <v>0</v>
      </c>
    </row>
    <row r="11" spans="1:8" ht="15" customHeight="1" x14ac:dyDescent="0.3">
      <c r="A11" s="31" t="s">
        <v>10493</v>
      </c>
      <c r="B11" s="31" t="s">
        <v>10494</v>
      </c>
      <c r="C11" s="31" t="s">
        <v>10495</v>
      </c>
      <c r="D11" s="34"/>
      <c r="E11" s="34"/>
      <c r="F11" s="34"/>
      <c r="G11" s="34"/>
      <c r="H11" s="34"/>
    </row>
    <row r="12" spans="1:8" ht="15" customHeight="1" x14ac:dyDescent="0.3">
      <c r="A12" s="31" t="s">
        <v>10496</v>
      </c>
      <c r="B12" s="31" t="s">
        <v>10494</v>
      </c>
      <c r="C12" s="31" t="s">
        <v>10495</v>
      </c>
      <c r="D12" s="34"/>
      <c r="E12" s="34"/>
      <c r="F12" s="34"/>
      <c r="G12" s="34"/>
      <c r="H12" s="34"/>
    </row>
    <row r="15" spans="1:8" ht="15" customHeight="1" x14ac:dyDescent="0.3">
      <c r="A15" s="35" t="s">
        <v>10497</v>
      </c>
    </row>
    <row r="16" spans="1:8" ht="15" customHeight="1" x14ac:dyDescent="0.3">
      <c r="A16" s="75" t="s">
        <v>10498</v>
      </c>
      <c r="B16" s="67"/>
      <c r="C16" s="67"/>
      <c r="D16" s="67"/>
      <c r="E16" s="67"/>
      <c r="F16" s="67"/>
      <c r="G16" s="67"/>
      <c r="H16" s="67"/>
    </row>
    <row r="17" spans="1:8" ht="15" customHeight="1" x14ac:dyDescent="0.3">
      <c r="A17" s="75" t="s">
        <v>10499</v>
      </c>
      <c r="B17" s="67"/>
      <c r="C17" s="67"/>
      <c r="D17" s="67"/>
      <c r="E17" s="67"/>
      <c r="F17" s="67"/>
      <c r="G17" s="67"/>
      <c r="H17" s="67"/>
    </row>
    <row r="18" spans="1:8" ht="15" customHeight="1" x14ac:dyDescent="0.3">
      <c r="A18" s="75" t="s">
        <v>10500</v>
      </c>
      <c r="B18" s="67"/>
      <c r="C18" s="67"/>
      <c r="D18" s="67"/>
      <c r="E18" s="67"/>
      <c r="F18" s="67"/>
      <c r="G18" s="67"/>
      <c r="H18" s="67"/>
    </row>
    <row r="19" spans="1:8" ht="15" customHeight="1" x14ac:dyDescent="0.3">
      <c r="A19" s="75" t="s">
        <v>10501</v>
      </c>
      <c r="B19" s="67"/>
      <c r="C19" s="67"/>
      <c r="D19" s="67"/>
      <c r="E19" s="67"/>
      <c r="F19" s="67"/>
      <c r="G19" s="67"/>
      <c r="H19" s="67"/>
    </row>
    <row r="20" spans="1:8" ht="15" customHeight="1" x14ac:dyDescent="0.3">
      <c r="A20" s="75" t="s">
        <v>10502</v>
      </c>
      <c r="B20" s="67"/>
      <c r="C20" s="67"/>
      <c r="D20" s="67"/>
      <c r="E20" s="67"/>
      <c r="F20" s="67"/>
      <c r="G20" s="67"/>
      <c r="H20" s="67"/>
    </row>
    <row r="21" spans="1:8" x14ac:dyDescent="0.3">
      <c r="A21" s="75" t="s">
        <v>10503</v>
      </c>
      <c r="B21" s="67"/>
      <c r="C21" s="67"/>
      <c r="D21" s="67"/>
      <c r="E21" s="67"/>
      <c r="F21" s="67"/>
      <c r="G21" s="67"/>
      <c r="H21" s="67"/>
    </row>
  </sheetData>
  <mergeCells count="7">
    <mergeCell ref="A1:H1"/>
    <mergeCell ref="A17:H17"/>
    <mergeCell ref="A18:H18"/>
    <mergeCell ref="A21:H21"/>
    <mergeCell ref="A20:H20"/>
    <mergeCell ref="A16:H16"/>
    <mergeCell ref="A19:H19"/>
  </mergeCells>
  <phoneticPr fontId="24"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05"/>
  <sheetViews>
    <sheetView zoomScale="115" zoomScaleNormal="115" workbookViewId="0">
      <pane xSplit="2" ySplit="4" topLeftCell="C98" activePane="bottomRight" state="frozen"/>
      <selection pane="topRight"/>
      <selection pane="bottomLeft"/>
      <selection pane="bottomRight" activeCell="D10" sqref="D10"/>
    </sheetView>
  </sheetViews>
  <sheetFormatPr defaultRowHeight="14.4" x14ac:dyDescent="0.3"/>
  <cols>
    <col min="1" max="1" width="5" customWidth="1"/>
    <col min="2" max="2" width="32" customWidth="1"/>
    <col min="3" max="14" width="11" customWidth="1"/>
    <col min="15" max="16" width="9" customWidth="1"/>
    <col min="17" max="17" width="24" customWidth="1"/>
  </cols>
  <sheetData>
    <row r="1" spans="1:17" ht="18" customHeight="1" x14ac:dyDescent="0.35">
      <c r="A1" s="76" t="s">
        <v>10504</v>
      </c>
      <c r="B1" s="67"/>
      <c r="C1" s="67"/>
      <c r="D1" s="67"/>
      <c r="E1" s="67"/>
      <c r="F1" s="67"/>
      <c r="G1" s="67"/>
      <c r="H1" s="67"/>
      <c r="I1" s="67"/>
      <c r="J1" s="67"/>
      <c r="K1" s="67"/>
      <c r="L1" s="67"/>
      <c r="M1" s="67"/>
      <c r="N1" s="67"/>
      <c r="O1" s="67"/>
      <c r="P1" s="67"/>
    </row>
    <row r="2" spans="1:17" x14ac:dyDescent="0.3">
      <c r="A2" s="77" t="s">
        <v>10505</v>
      </c>
      <c r="B2" s="67"/>
      <c r="C2" s="67"/>
      <c r="D2" s="67"/>
      <c r="E2" s="67"/>
      <c r="F2" s="67"/>
      <c r="G2" s="67"/>
      <c r="H2" s="67"/>
      <c r="I2" s="67"/>
      <c r="J2" s="67"/>
      <c r="K2" s="67"/>
      <c r="L2" s="67"/>
      <c r="M2" s="67"/>
      <c r="N2" s="67"/>
      <c r="O2" s="67"/>
      <c r="P2" s="67"/>
    </row>
    <row r="4" spans="1:17" ht="36" customHeight="1" x14ac:dyDescent="0.3">
      <c r="A4" s="37" t="s">
        <v>10506</v>
      </c>
      <c r="B4" s="37" t="s">
        <v>272</v>
      </c>
      <c r="C4" s="37" t="s">
        <v>10507</v>
      </c>
      <c r="D4" s="37" t="s">
        <v>10508</v>
      </c>
      <c r="E4" s="37" t="s">
        <v>10509</v>
      </c>
      <c r="F4" s="37" t="s">
        <v>10510</v>
      </c>
      <c r="G4" s="37" t="s">
        <v>10511</v>
      </c>
      <c r="H4" s="37" t="s">
        <v>10512</v>
      </c>
      <c r="I4" s="37" t="s">
        <v>10513</v>
      </c>
      <c r="J4" s="37" t="s">
        <v>10514</v>
      </c>
      <c r="K4" s="37" t="s">
        <v>10515</v>
      </c>
      <c r="L4" s="37" t="s">
        <v>10516</v>
      </c>
      <c r="M4" s="37" t="s">
        <v>10517</v>
      </c>
      <c r="N4" s="37" t="s">
        <v>10518</v>
      </c>
      <c r="O4" s="37" t="s">
        <v>10519</v>
      </c>
      <c r="P4" s="37" t="s">
        <v>10520</v>
      </c>
      <c r="Q4" s="37" t="s">
        <v>10521</v>
      </c>
    </row>
    <row r="5" spans="1:17" x14ac:dyDescent="0.3">
      <c r="A5" s="47">
        <v>1</v>
      </c>
      <c r="B5" s="48" t="str">
        <f>IFERROR('Company_Master'!A2,"")</f>
        <v>PT Astra Agro Lestari Tbk</v>
      </c>
      <c r="C5" s="49" t="str">
        <f>IF(NOT(AND(IFERROR('Company_Master'!A2&lt;&gt;"",FALSE),OR(ISNUMBER(Asset_Operations!B2),ISNUMBER(Asset_Operations!C2),ISNUMBER(Asset_Operations!D2)))),"—",IF(IFERROR(AND(ISNUMBER(Asset_Operations!B2),ISNUMBER(Asset_Operations!C2),ISNUMBER(Asset_Operations!D2),Asset_Operations!B2&gt;0,ABS((Asset_Operations!C2+Asset_Operations!D2)-Asset_Operations!B2)/Asset_Operations!B2&gt;0.02),FALSE),"⚠","✓"))</f>
        <v>✓</v>
      </c>
      <c r="D5" s="49" t="str">
        <f>IF(NOT(AND(IFERROR('Company_Master'!A2&lt;&gt;"",FALSE),OR(ISNUMBER(Asset_Operations!B2),ISNUMBER(Asset_Operations!E2),ISNUMBER(Asset_Operations!F2)))),"—",IF(IFERROR(AND(ISNUMBER(Asset_Operations!B2),ISNUMBER(Asset_Operations!E2),ISNUMBER(Asset_Operations!F2),Asset_Operations!B2&gt;0,ABS((Asset_Operations!E2+Asset_Operations!F2)-Asset_Operations!B2)/Asset_Operations!B2&gt;0.02),FALSE),"⚠","✓"))</f>
        <v>✓</v>
      </c>
      <c r="E5" s="49" t="str">
        <f>IF(NOT(AND(IFERROR('Company_Master'!A2&lt;&gt;"",FALSE),ISNUMBER(Asset_Operations!AR2))),"—",IF(IFERROR(AND(ISNUMBER(Asset_Operations!AR2),OR(Asset_Operations!AR2&lt;0.15,Asset_Operations!AR2&gt;0.27)),FALSE),"⚠","✓"))</f>
        <v>✓</v>
      </c>
      <c r="F5" s="49" t="str">
        <f>IF(NOT(AND(IFERROR('Company_Master'!A2&lt;&gt;"",FALSE),AND(ISNUMBER(Financials!Q2),ISNUMBER(Financials!R2)))),"—",IF(IFERROR(AND(ISNUMBER(Financials!Q2),ISNUMBER(Financials!R2),ISNUMBER(Financials!S2),ABS((Financials!R2-Financials!Q2)-Financials!S2)/MAX(ABS(Financials!S2),1)&gt;0.05),FALSE),"⚠","✓"))</f>
        <v>✓</v>
      </c>
      <c r="G5" s="49" t="str">
        <f>IF(NOT(AND(IFERROR('Company_Master'!A2&lt;&gt;"",FALSE),AND(ISNUMBER(Financials!I2),ISNUMBER(Financials!L2),ISNUMBER(Financials!O2)))),"—",IF(IFERROR(AND(ISNUMBER(Financials!I2),ISNUMBER(Financials!L2),ISNUMBER(Financials!O2),Financials!I2&gt;0,ABS(Financials!I2-(Financials!L2+Financials!O2))/Financials!I2&gt;0.01),FALSE),"⚠","✓"))</f>
        <v>✓</v>
      </c>
      <c r="H5" s="49" t="str">
        <f>IF(NOT(AND(IFERROR('Company_Master'!A2&lt;&gt;"",FALSE),AND(ISNUMBER(Financials!E2),ISNUMBER(Financials!F2)))),"—",IF(IFERROR(AND(ISNUMBER(Financials!E2),ISNUMBER(Financials!F2),Financials!E2&lt;Financials!F2),FALSE),"⚠","✓"))</f>
        <v>—</v>
      </c>
      <c r="I5" s="49" t="str">
        <f>IF(NOT(AND(IFERROR('Company_Master'!A2&lt;&gt;"",FALSE),AND(ISNUMBER(Financials!C2),ISNUMBER(Financials!E2)))),"—",IF(IFERROR(AND(ISNUMBER(Financials!C2),ISNUMBER(Financials!E2),Financials!C2=0,Financials!E2&gt;0),FALSE),"⚠","✓"))</f>
        <v>—</v>
      </c>
      <c r="J5" s="49" t="str">
        <f>IF(NOT(AND(IFERROR('Company_Master'!A2&lt;&gt;"",FALSE),COUNTIF('Raw_Extract'!A:A,'Company_Master'!A2)&gt;0)),"—",IF(COUNTIFS('Raw_Extract'!A:A,'Company_Master'!A2,'Raw_Extract'!J:J,"Low")&gt;0,"⚠","✓"))</f>
        <v>✓</v>
      </c>
      <c r="K5" s="49" t="str">
        <f>IF(NOT(AND(IFERROR('Company_Master'!A2&lt;&gt;"",FALSE),AND(ISNUMBER(Financials!E2),ISNUMBER(Financials!AP2)))),"—",IF(IFERROR(AND(ISNUMBER(Financials!E2),ISNUMBER(Financials!AP2),Financials!E2&lt;&gt;0,ABS(Financials!E2-Financials!AP2)/ABS(Financials!E2)&gt;0.05),FALSE),"⚠","✓"))</f>
        <v>—</v>
      </c>
      <c r="L5" s="49" t="str">
        <f>IF(NOT(AND(IFERROR('Company_Master'!A2&lt;&gt;"",FALSE),AND(ISNUMBER(Financials!AR2),ISNUMBER(Financials!S2)))),"—",IF(IFERROR(AND(ISNUMBER(Financials!AR2),ISNUMBER(Financials!S2),Financials!S2&lt;&gt;0,ABS(Financials!AR2-Financials!S2)/MAX(ABS(Financials!S2),1)&gt;0.05),FALSE),"⚠","✓"))</f>
        <v>—</v>
      </c>
      <c r="M5" s="49" t="str">
        <f>IF(NOT(AND(IFERROR('Company_Master'!A2&lt;&gt;"",FALSE),AND(ISNUMBER(Asset_Operations!BE2),ISNUMBER(Asset_Operations!AR2)))),"—",IF(IFERROR(AND(ISNUMBER(Asset_Operations!BE2),ISNUMBER(Asset_Operations!AR2),ABS(Asset_Operations!BE2-Asset_Operations!AR2)&gt;0.05),FALSE),"⚠","✓"))</f>
        <v>✓</v>
      </c>
      <c r="N5" s="49" t="str">
        <f>IF(NOT(AND(IFERROR('Company_Master'!A2&lt;&gt;"",FALSE),ISNUMBER(Financials!C2))),"—",IF(IFERROR(AND(ISNUMBER(Financials!C2),OR(Financials!C2&lt;50,Financials!C2&gt;200000)),FALSE),"⚠","✓"))</f>
        <v>✓</v>
      </c>
      <c r="O5" s="50">
        <f t="shared" ref="O5:O36" si="0">COUNTIF(C5:N5,"⚠")</f>
        <v>0</v>
      </c>
      <c r="P5" s="50">
        <f t="shared" ref="P5:P36" si="1">COUNTIF(C5:N5,"✓")</f>
        <v>8</v>
      </c>
      <c r="Q5" s="46" t="str">
        <f>IF(NOT(IFERROR('Company_Master'!A2&lt;&gt;"",FALSE)),"",IF(O5&gt;0,"⚠ "&amp;O5&amp;" issue(s) detected",IF(P5=0,"— No data to validate","✓ All "&amp;P5&amp;" checks passed")))</f>
        <v>✓ All 8 checks passed</v>
      </c>
    </row>
    <row r="6" spans="1:17" x14ac:dyDescent="0.3">
      <c r="A6" s="47">
        <v>2</v>
      </c>
      <c r="B6" s="48" t="str">
        <f>IFERROR('Company_Master'!A3,"")</f>
        <v>PT Astra Agro Lestari Tbk</v>
      </c>
      <c r="C6" s="49" t="str">
        <f>IF(NOT(AND(IFERROR('Company_Master'!A3&lt;&gt;"",FALSE),OR(ISNUMBER(Asset_Operations!B3),ISNUMBER(Asset_Operations!C3),ISNUMBER(Asset_Operations!D3)))),"—",IF(IFERROR(AND(ISNUMBER(Asset_Operations!B3),ISNUMBER(Asset_Operations!C3),ISNUMBER(Asset_Operations!D3),Asset_Operations!B3&gt;0,ABS((Asset_Operations!C3+Asset_Operations!D3)-Asset_Operations!B3)/Asset_Operations!B3&gt;0.02),FALSE),"⚠","✓"))</f>
        <v>✓</v>
      </c>
      <c r="D6" s="49" t="str">
        <f>IF(NOT(AND(IFERROR('Company_Master'!A3&lt;&gt;"",FALSE),OR(ISNUMBER(Asset_Operations!B3),ISNUMBER(Asset_Operations!E3),ISNUMBER(Asset_Operations!F3)))),"—",IF(IFERROR(AND(ISNUMBER(Asset_Operations!B3),ISNUMBER(Asset_Operations!E3),ISNUMBER(Asset_Operations!F3),Asset_Operations!B3&gt;0,ABS((Asset_Operations!E3+Asset_Operations!F3)-Asset_Operations!B3)/Asset_Operations!B3&gt;0.02),FALSE),"⚠","✓"))</f>
        <v>✓</v>
      </c>
      <c r="E6" s="49" t="str">
        <f>IF(NOT(AND(IFERROR('Company_Master'!A3&lt;&gt;"",FALSE),ISNUMBER(Asset_Operations!AR3))),"—",IF(IFERROR(AND(ISNUMBER(Asset_Operations!AR3),OR(Asset_Operations!AR3&lt;0.15,Asset_Operations!AR3&gt;0.27)),FALSE),"⚠","✓"))</f>
        <v>✓</v>
      </c>
      <c r="F6" s="49" t="str">
        <f>IF(NOT(AND(IFERROR('Company_Master'!A3&lt;&gt;"",FALSE),AND(ISNUMBER(Financials!Q3),ISNUMBER(Financials!R3)))),"—",IF(IFERROR(AND(ISNUMBER(Financials!Q3),ISNUMBER(Financials!R3),ISNUMBER(Financials!S3),ABS((Financials!R3-Financials!Q3)-Financials!S3)/MAX(ABS(Financials!S3),1)&gt;0.05),FALSE),"⚠","✓"))</f>
        <v>✓</v>
      </c>
      <c r="G6" s="49" t="str">
        <f>IF(NOT(AND(IFERROR('Company_Master'!A3&lt;&gt;"",FALSE),AND(ISNUMBER(Financials!I3),ISNUMBER(Financials!L3),ISNUMBER(Financials!O3)))),"—",IF(IFERROR(AND(ISNUMBER(Financials!I3),ISNUMBER(Financials!L3),ISNUMBER(Financials!O3),Financials!I3&gt;0,ABS(Financials!I3-(Financials!L3+Financials!O3))/Financials!I3&gt;0.01),FALSE),"⚠","✓"))</f>
        <v>✓</v>
      </c>
      <c r="H6" s="49" t="str">
        <f>IF(NOT(AND(IFERROR('Company_Master'!A3&lt;&gt;"",FALSE),AND(ISNUMBER(Financials!E3),ISNUMBER(Financials!F3)))),"—",IF(IFERROR(AND(ISNUMBER(Financials!E3),ISNUMBER(Financials!F3),Financials!E3&lt;Financials!F3),FALSE),"⚠","✓"))</f>
        <v>—</v>
      </c>
      <c r="I6" s="49" t="str">
        <f>IF(NOT(AND(IFERROR('Company_Master'!A3&lt;&gt;"",FALSE),AND(ISNUMBER(Financials!C3),ISNUMBER(Financials!E3)))),"—",IF(IFERROR(AND(ISNUMBER(Financials!C3),ISNUMBER(Financials!E3),Financials!C3=0,Financials!E3&gt;0),FALSE),"⚠","✓"))</f>
        <v>—</v>
      </c>
      <c r="J6" s="49" t="str">
        <f>IF(NOT(AND(IFERROR('Company_Master'!A3&lt;&gt;"",FALSE),COUNTIF('Raw_Extract'!A:A,'Company_Master'!A3)&gt;0)),"—",IF(COUNTIFS('Raw_Extract'!A:A,'Company_Master'!A3,'Raw_Extract'!J:J,"Low")&gt;0,"⚠","✓"))</f>
        <v>✓</v>
      </c>
      <c r="K6" s="49" t="str">
        <f>IF(NOT(AND(IFERROR('Company_Master'!A3&lt;&gt;"",FALSE),AND(ISNUMBER(Financials!E3),ISNUMBER(Financials!AP3)))),"—",IF(IFERROR(AND(ISNUMBER(Financials!E3),ISNUMBER(Financials!AP3),Financials!E3&lt;&gt;0,ABS(Financials!E3-Financials!AP3)/ABS(Financials!E3)&gt;0.05),FALSE),"⚠","✓"))</f>
        <v>—</v>
      </c>
      <c r="L6" s="49" t="str">
        <f>IF(NOT(AND(IFERROR('Company_Master'!A3&lt;&gt;"",FALSE),AND(ISNUMBER(Financials!AR3),ISNUMBER(Financials!S3)))),"—",IF(IFERROR(AND(ISNUMBER(Financials!AR3),ISNUMBER(Financials!S3),Financials!S3&lt;&gt;0,ABS(Financials!AR3-Financials!S3)/MAX(ABS(Financials!S3),1)&gt;0.05),FALSE),"⚠","✓"))</f>
        <v>—</v>
      </c>
      <c r="M6" s="49" t="str">
        <f>IF(NOT(AND(IFERROR('Company_Master'!A3&lt;&gt;"",FALSE),AND(ISNUMBER(Asset_Operations!BE3),ISNUMBER(Asset_Operations!AR3)))),"—",IF(IFERROR(AND(ISNUMBER(Asset_Operations!BE3),ISNUMBER(Asset_Operations!AR3),ABS(Asset_Operations!BE3-Asset_Operations!AR3)&gt;0.05),FALSE),"⚠","✓"))</f>
        <v>✓</v>
      </c>
      <c r="N6" s="49" t="str">
        <f>IF(NOT(AND(IFERROR('Company_Master'!A3&lt;&gt;"",FALSE),ISNUMBER(Financials!C3))),"—",IF(IFERROR(AND(ISNUMBER(Financials!C3),OR(Financials!C3&lt;50,Financials!C3&gt;200000)),FALSE),"⚠","✓"))</f>
        <v>✓</v>
      </c>
      <c r="O6" s="50">
        <f t="shared" si="0"/>
        <v>0</v>
      </c>
      <c r="P6" s="50">
        <f t="shared" si="1"/>
        <v>8</v>
      </c>
      <c r="Q6" s="46" t="str">
        <f>IF(NOT(IFERROR('Company_Master'!A3&lt;&gt;"",FALSE)),"",IF(O6&gt;0,"⚠ "&amp;O6&amp;" issue(s) detected",IF(P6=0,"— No data to validate","✓ All "&amp;P6&amp;" checks passed")))</f>
        <v>✓ All 8 checks passed</v>
      </c>
    </row>
    <row r="7" spans="1:17" x14ac:dyDescent="0.3">
      <c r="A7" s="47">
        <v>3</v>
      </c>
      <c r="B7" s="48" t="str">
        <f>IFERROR('Company_Master'!A4,"")</f>
        <v>PT Astra Agro Lestari Tbk</v>
      </c>
      <c r="C7" s="49" t="str">
        <f>IF(NOT(AND(IFERROR('Company_Master'!A4&lt;&gt;"",FALSE),OR(ISNUMBER(Asset_Operations!B4),ISNUMBER(Asset_Operations!C4),ISNUMBER(Asset_Operations!D4)))),"—",IF(IFERROR(AND(ISNUMBER(Asset_Operations!B4),ISNUMBER(Asset_Operations!C4),ISNUMBER(Asset_Operations!D4),Asset_Operations!B4&gt;0,ABS((Asset_Operations!C4+Asset_Operations!D4)-Asset_Operations!B4)/Asset_Operations!B4&gt;0.02),FALSE),"⚠","✓"))</f>
        <v>✓</v>
      </c>
      <c r="D7" s="49" t="str">
        <f>IF(NOT(AND(IFERROR('Company_Master'!A4&lt;&gt;"",FALSE),OR(ISNUMBER(Asset_Operations!B4),ISNUMBER(Asset_Operations!E4),ISNUMBER(Asset_Operations!F4)))),"—",IF(IFERROR(AND(ISNUMBER(Asset_Operations!B4),ISNUMBER(Asset_Operations!E4),ISNUMBER(Asset_Operations!F4),Asset_Operations!B4&gt;0,ABS((Asset_Operations!E4+Asset_Operations!F4)-Asset_Operations!B4)/Asset_Operations!B4&gt;0.02),FALSE),"⚠","✓"))</f>
        <v>✓</v>
      </c>
      <c r="E7" s="49" t="str">
        <f>IF(NOT(AND(IFERROR('Company_Master'!A4&lt;&gt;"",FALSE),ISNUMBER(Asset_Operations!AR4))),"—",IF(IFERROR(AND(ISNUMBER(Asset_Operations!AR4),OR(Asset_Operations!AR4&lt;0.15,Asset_Operations!AR4&gt;0.27)),FALSE),"⚠","✓"))</f>
        <v>✓</v>
      </c>
      <c r="F7" s="49" t="str">
        <f>IF(NOT(AND(IFERROR('Company_Master'!A4&lt;&gt;"",FALSE),AND(ISNUMBER(Financials!Q4),ISNUMBER(Financials!R4)))),"—",IF(IFERROR(AND(ISNUMBER(Financials!Q4),ISNUMBER(Financials!R4),ISNUMBER(Financials!S4),ABS((Financials!R4-Financials!Q4)-Financials!S4)/MAX(ABS(Financials!S4),1)&gt;0.05),FALSE),"⚠","✓"))</f>
        <v>✓</v>
      </c>
      <c r="G7" s="49" t="str">
        <f>IF(NOT(AND(IFERROR('Company_Master'!A4&lt;&gt;"",FALSE),AND(ISNUMBER(Financials!I4),ISNUMBER(Financials!L4),ISNUMBER(Financials!O4)))),"—",IF(IFERROR(AND(ISNUMBER(Financials!I4),ISNUMBER(Financials!L4),ISNUMBER(Financials!O4),Financials!I4&gt;0,ABS(Financials!I4-(Financials!L4+Financials!O4))/Financials!I4&gt;0.01),FALSE),"⚠","✓"))</f>
        <v>✓</v>
      </c>
      <c r="H7" s="49" t="str">
        <f>IF(NOT(AND(IFERROR('Company_Master'!A4&lt;&gt;"",FALSE),AND(ISNUMBER(Financials!E4),ISNUMBER(Financials!F4)))),"—",IF(IFERROR(AND(ISNUMBER(Financials!E4),ISNUMBER(Financials!F4),Financials!E4&lt;Financials!F4),FALSE),"⚠","✓"))</f>
        <v>—</v>
      </c>
      <c r="I7" s="49" t="str">
        <f>IF(NOT(AND(IFERROR('Company_Master'!A4&lt;&gt;"",FALSE),AND(ISNUMBER(Financials!C4),ISNUMBER(Financials!E4)))),"—",IF(IFERROR(AND(ISNUMBER(Financials!C4),ISNUMBER(Financials!E4),Financials!C4=0,Financials!E4&gt;0),FALSE),"⚠","✓"))</f>
        <v>—</v>
      </c>
      <c r="J7" s="49" t="str">
        <f>IF(NOT(AND(IFERROR('Company_Master'!A4&lt;&gt;"",FALSE),COUNTIF('Raw_Extract'!A:A,'Company_Master'!A4)&gt;0)),"—",IF(COUNTIFS('Raw_Extract'!A:A,'Company_Master'!A4,'Raw_Extract'!J:J,"Low")&gt;0,"⚠","✓"))</f>
        <v>✓</v>
      </c>
      <c r="K7" s="49" t="str">
        <f>IF(NOT(AND(IFERROR('Company_Master'!A4&lt;&gt;"",FALSE),AND(ISNUMBER(Financials!E4),ISNUMBER(Financials!AP4)))),"—",IF(IFERROR(AND(ISNUMBER(Financials!E4),ISNUMBER(Financials!AP4),Financials!E4&lt;&gt;0,ABS(Financials!E4-Financials!AP4)/ABS(Financials!E4)&gt;0.05),FALSE),"⚠","✓"))</f>
        <v>—</v>
      </c>
      <c r="L7" s="49" t="str">
        <f>IF(NOT(AND(IFERROR('Company_Master'!A4&lt;&gt;"",FALSE),AND(ISNUMBER(Financials!AR4),ISNUMBER(Financials!S4)))),"—",IF(IFERROR(AND(ISNUMBER(Financials!AR4),ISNUMBER(Financials!S4),Financials!S4&lt;&gt;0,ABS(Financials!AR4-Financials!S4)/MAX(ABS(Financials!S4),1)&gt;0.05),FALSE),"⚠","✓"))</f>
        <v>✓</v>
      </c>
      <c r="M7" s="49" t="str">
        <f>IF(NOT(AND(IFERROR('Company_Master'!A4&lt;&gt;"",FALSE),AND(ISNUMBER(Asset_Operations!BE4),ISNUMBER(Asset_Operations!AR4)))),"—",IF(IFERROR(AND(ISNUMBER(Asset_Operations!BE4),ISNUMBER(Asset_Operations!AR4),ABS(Asset_Operations!BE4-Asset_Operations!AR4)&gt;0.05),FALSE),"⚠","✓"))</f>
        <v>✓</v>
      </c>
      <c r="N7" s="49" t="str">
        <f>IF(NOT(AND(IFERROR('Company_Master'!A4&lt;&gt;"",FALSE),ISNUMBER(Financials!C4))),"—",IF(IFERROR(AND(ISNUMBER(Financials!C4),OR(Financials!C4&lt;50,Financials!C4&gt;200000)),FALSE),"⚠","✓"))</f>
        <v>✓</v>
      </c>
      <c r="O7" s="50">
        <f t="shared" si="0"/>
        <v>0</v>
      </c>
      <c r="P7" s="50">
        <f t="shared" si="1"/>
        <v>9</v>
      </c>
      <c r="Q7" s="46" t="str">
        <f>IF(NOT(IFERROR('Company_Master'!A4&lt;&gt;"",FALSE)),"",IF(O7&gt;0,"⚠ "&amp;O7&amp;" issue(s) detected",IF(P7=0,"— No data to validate","✓ All "&amp;P7&amp;" checks passed")))</f>
        <v>✓ All 9 checks passed</v>
      </c>
    </row>
    <row r="8" spans="1:17" x14ac:dyDescent="0.3">
      <c r="A8" s="47">
        <v>4</v>
      </c>
      <c r="B8" s="48" t="str">
        <f>IFERROR('Company_Master'!A5,"")</f>
        <v>PT Andira Agro Tbk</v>
      </c>
      <c r="C8" s="49" t="str">
        <f>IF(NOT(AND(IFERROR('Company_Master'!A5&lt;&gt;"",FALSE),OR(ISNUMBER(Asset_Operations!B5),ISNUMBER(Asset_Operations!C5),ISNUMBER(Asset_Operations!D5)))),"—",IF(IFERROR(AND(ISNUMBER(Asset_Operations!B5),ISNUMBER(Asset_Operations!C5),ISNUMBER(Asset_Operations!D5),Asset_Operations!B5&gt;0,ABS((Asset_Operations!C5+Asset_Operations!D5)-Asset_Operations!B5)/Asset_Operations!B5&gt;0.02),FALSE),"⚠","✓"))</f>
        <v>—</v>
      </c>
      <c r="D8" s="49" t="str">
        <f>IF(NOT(AND(IFERROR('Company_Master'!A5&lt;&gt;"",FALSE),OR(ISNUMBER(Asset_Operations!B5),ISNUMBER(Asset_Operations!E5),ISNUMBER(Asset_Operations!F5)))),"—",IF(IFERROR(AND(ISNUMBER(Asset_Operations!B5),ISNUMBER(Asset_Operations!E5),ISNUMBER(Asset_Operations!F5),Asset_Operations!B5&gt;0,ABS((Asset_Operations!E5+Asset_Operations!F5)-Asset_Operations!B5)/Asset_Operations!B5&gt;0.02),FALSE),"⚠","✓"))</f>
        <v>✓</v>
      </c>
      <c r="E8" s="49" t="str">
        <f>IF(NOT(AND(IFERROR('Company_Master'!A5&lt;&gt;"",FALSE),ISNUMBER(Asset_Operations!AR5))),"—",IF(IFERROR(AND(ISNUMBER(Asset_Operations!AR5),OR(Asset_Operations!AR5&lt;0.15,Asset_Operations!AR5&gt;0.27)),FALSE),"⚠","✓"))</f>
        <v>✓</v>
      </c>
      <c r="F8" s="49" t="str">
        <f>IF(NOT(AND(IFERROR('Company_Master'!A5&lt;&gt;"",FALSE),AND(ISNUMBER(Financials!Q5),ISNUMBER(Financials!R5)))),"—",IF(IFERROR(AND(ISNUMBER(Financials!Q5),ISNUMBER(Financials!R5),ISNUMBER(Financials!S5),ABS((Financials!R5-Financials!Q5)-Financials!S5)/MAX(ABS(Financials!S5),1)&gt;0.05),FALSE),"⚠","✓"))</f>
        <v>✓</v>
      </c>
      <c r="G8" s="49" t="str">
        <f>IF(NOT(AND(IFERROR('Company_Master'!A5&lt;&gt;"",FALSE),AND(ISNUMBER(Financials!I5),ISNUMBER(Financials!L5),ISNUMBER(Financials!O5)))),"—",IF(IFERROR(AND(ISNUMBER(Financials!I5),ISNUMBER(Financials!L5),ISNUMBER(Financials!O5),Financials!I5&gt;0,ABS(Financials!I5-(Financials!L5+Financials!O5))/Financials!I5&gt;0.01),FALSE),"⚠","✓"))</f>
        <v>✓</v>
      </c>
      <c r="H8" s="49" t="str">
        <f>IF(NOT(AND(IFERROR('Company_Master'!A5&lt;&gt;"",FALSE),AND(ISNUMBER(Financials!E5),ISNUMBER(Financials!F5)))),"—",IF(IFERROR(AND(ISNUMBER(Financials!E5),ISNUMBER(Financials!F5),Financials!E5&lt;Financials!F5),FALSE),"⚠","✓"))</f>
        <v>—</v>
      </c>
      <c r="I8" s="49" t="str">
        <f>IF(NOT(AND(IFERROR('Company_Master'!A5&lt;&gt;"",FALSE),AND(ISNUMBER(Financials!C5),ISNUMBER(Financials!E5)))),"—",IF(IFERROR(AND(ISNUMBER(Financials!C5),ISNUMBER(Financials!E5),Financials!C5=0,Financials!E5&gt;0),FALSE),"⚠","✓"))</f>
        <v>—</v>
      </c>
      <c r="J8" s="49" t="str">
        <f>IF(NOT(AND(IFERROR('Company_Master'!A5&lt;&gt;"",FALSE),COUNTIF('Raw_Extract'!A:A,'Company_Master'!A5)&gt;0)),"—",IF(COUNTIFS('Raw_Extract'!A:A,'Company_Master'!A5,'Raw_Extract'!J:J,"Low")&gt;0,"⚠","✓"))</f>
        <v>⚠</v>
      </c>
      <c r="K8" s="49" t="str">
        <f>IF(NOT(AND(IFERROR('Company_Master'!A5&lt;&gt;"",FALSE),AND(ISNUMBER(Financials!E5),ISNUMBER(Financials!AP5)))),"—",IF(IFERROR(AND(ISNUMBER(Financials!E5),ISNUMBER(Financials!AP5),Financials!E5&lt;&gt;0,ABS(Financials!E5-Financials!AP5)/ABS(Financials!E5)&gt;0.05),FALSE),"⚠","✓"))</f>
        <v>—</v>
      </c>
      <c r="L8" s="49" t="str">
        <f>IF(NOT(AND(IFERROR('Company_Master'!A5&lt;&gt;"",FALSE),AND(ISNUMBER(Financials!AR5),ISNUMBER(Financials!S5)))),"—",IF(IFERROR(AND(ISNUMBER(Financials!AR5),ISNUMBER(Financials!S5),Financials!S5&lt;&gt;0,ABS(Financials!AR5-Financials!S5)/MAX(ABS(Financials!S5),1)&gt;0.05),FALSE),"⚠","✓"))</f>
        <v>—</v>
      </c>
      <c r="M8" s="49" t="str">
        <f>IF(NOT(AND(IFERROR('Company_Master'!A5&lt;&gt;"",FALSE),AND(ISNUMBER(Asset_Operations!BE5),ISNUMBER(Asset_Operations!AR5)))),"—",IF(IFERROR(AND(ISNUMBER(Asset_Operations!BE5),ISNUMBER(Asset_Operations!AR5),ABS(Asset_Operations!BE5-Asset_Operations!AR5)&gt;0.05),FALSE),"⚠","✓"))</f>
        <v>✓</v>
      </c>
      <c r="N8" s="49" t="str">
        <f>IF(NOT(AND(IFERROR('Company_Master'!A5&lt;&gt;"",FALSE),ISNUMBER(Financials!C5))),"—",IF(IFERROR(AND(ISNUMBER(Financials!C5),OR(Financials!C5&lt;50,Financials!C5&gt;200000)),FALSE),"⚠","✓"))</f>
        <v>✓</v>
      </c>
      <c r="O8" s="50">
        <f t="shared" si="0"/>
        <v>1</v>
      </c>
      <c r="P8" s="50">
        <f t="shared" si="1"/>
        <v>6</v>
      </c>
      <c r="Q8" s="46" t="str">
        <f>IF(NOT(IFERROR('Company_Master'!A5&lt;&gt;"",FALSE)),"",IF(O8&gt;0,"⚠ "&amp;O8&amp;" issue(s) detected",IF(P8=0,"— No data to validate","✓ All "&amp;P8&amp;" checks passed")))</f>
        <v>⚠ 1 issue(s) detected</v>
      </c>
    </row>
    <row r="9" spans="1:17" x14ac:dyDescent="0.3">
      <c r="A9" s="47">
        <v>5</v>
      </c>
      <c r="B9" s="48" t="str">
        <f>IFERROR('Company_Master'!A6,"")</f>
        <v>PT Andira Agro Tbk</v>
      </c>
      <c r="C9" s="49" t="str">
        <f>IF(NOT(AND(IFERROR('Company_Master'!A6&lt;&gt;"",FALSE),OR(ISNUMBER(Asset_Operations!B6),ISNUMBER(Asset_Operations!C6),ISNUMBER(Asset_Operations!D6)))),"—",IF(IFERROR(AND(ISNUMBER(Asset_Operations!B6),ISNUMBER(Asset_Operations!C6),ISNUMBER(Asset_Operations!D6),Asset_Operations!B6&gt;0,ABS((Asset_Operations!C6+Asset_Operations!D6)-Asset_Operations!B6)/Asset_Operations!B6&gt;0.02),FALSE),"⚠","✓"))</f>
        <v>✓</v>
      </c>
      <c r="D9" s="49" t="str">
        <f>IF(NOT(AND(IFERROR('Company_Master'!A6&lt;&gt;"",FALSE),OR(ISNUMBER(Asset_Operations!B6),ISNUMBER(Asset_Operations!E6),ISNUMBER(Asset_Operations!F6)))),"—",IF(IFERROR(AND(ISNUMBER(Asset_Operations!B6),ISNUMBER(Asset_Operations!E6),ISNUMBER(Asset_Operations!F6),Asset_Operations!B6&gt;0,ABS((Asset_Operations!E6+Asset_Operations!F6)-Asset_Operations!B6)/Asset_Operations!B6&gt;0.02),FALSE),"⚠","✓"))</f>
        <v>✓</v>
      </c>
      <c r="E9" s="49" t="str">
        <f>IF(NOT(AND(IFERROR('Company_Master'!A6&lt;&gt;"",FALSE),ISNUMBER(Asset_Operations!AR6))),"—",IF(IFERROR(AND(ISNUMBER(Asset_Operations!AR6),OR(Asset_Operations!AR6&lt;0.15,Asset_Operations!AR6&gt;0.27)),FALSE),"⚠","✓"))</f>
        <v>✓</v>
      </c>
      <c r="F9" s="49" t="str">
        <f>IF(NOT(AND(IFERROR('Company_Master'!A6&lt;&gt;"",FALSE),AND(ISNUMBER(Financials!Q6),ISNUMBER(Financials!R6)))),"—",IF(IFERROR(AND(ISNUMBER(Financials!Q6),ISNUMBER(Financials!R6),ISNUMBER(Financials!S6),ABS((Financials!R6-Financials!Q6)-Financials!S6)/MAX(ABS(Financials!S6),1)&gt;0.05),FALSE),"⚠","✓"))</f>
        <v>✓</v>
      </c>
      <c r="G9" s="49" t="str">
        <f>IF(NOT(AND(IFERROR('Company_Master'!A6&lt;&gt;"",FALSE),AND(ISNUMBER(Financials!I6),ISNUMBER(Financials!L6),ISNUMBER(Financials!O6)))),"—",IF(IFERROR(AND(ISNUMBER(Financials!I6),ISNUMBER(Financials!L6),ISNUMBER(Financials!O6),Financials!I6&gt;0,ABS(Financials!I6-(Financials!L6+Financials!O6))/Financials!I6&gt;0.01),FALSE),"⚠","✓"))</f>
        <v>✓</v>
      </c>
      <c r="H9" s="49" t="str">
        <f>IF(NOT(AND(IFERROR('Company_Master'!A6&lt;&gt;"",FALSE),AND(ISNUMBER(Financials!E6),ISNUMBER(Financials!F6)))),"—",IF(IFERROR(AND(ISNUMBER(Financials!E6),ISNUMBER(Financials!F6),Financials!E6&lt;Financials!F6),FALSE),"⚠","✓"))</f>
        <v>—</v>
      </c>
      <c r="I9" s="49" t="str">
        <f>IF(NOT(AND(IFERROR('Company_Master'!A6&lt;&gt;"",FALSE),AND(ISNUMBER(Financials!C6),ISNUMBER(Financials!E6)))),"—",IF(IFERROR(AND(ISNUMBER(Financials!C6),ISNUMBER(Financials!E6),Financials!C6=0,Financials!E6&gt;0),FALSE),"⚠","✓"))</f>
        <v>—</v>
      </c>
      <c r="J9" s="49" t="str">
        <f>IF(NOT(AND(IFERROR('Company_Master'!A6&lt;&gt;"",FALSE),COUNTIF('Raw_Extract'!A:A,'Company_Master'!A6)&gt;0)),"—",IF(COUNTIFS('Raw_Extract'!A:A,'Company_Master'!A6,'Raw_Extract'!J:J,"Low")&gt;0,"⚠","✓"))</f>
        <v>⚠</v>
      </c>
      <c r="K9" s="49" t="str">
        <f>IF(NOT(AND(IFERROR('Company_Master'!A6&lt;&gt;"",FALSE),AND(ISNUMBER(Financials!E6),ISNUMBER(Financials!AP6)))),"—",IF(IFERROR(AND(ISNUMBER(Financials!E6),ISNUMBER(Financials!AP6),Financials!E6&lt;&gt;0,ABS(Financials!E6-Financials!AP6)/ABS(Financials!E6)&gt;0.05),FALSE),"⚠","✓"))</f>
        <v>—</v>
      </c>
      <c r="L9" s="49" t="str">
        <f>IF(NOT(AND(IFERROR('Company_Master'!A6&lt;&gt;"",FALSE),AND(ISNUMBER(Financials!AR6),ISNUMBER(Financials!S6)))),"—",IF(IFERROR(AND(ISNUMBER(Financials!AR6),ISNUMBER(Financials!S6),Financials!S6&lt;&gt;0,ABS(Financials!AR6-Financials!S6)/MAX(ABS(Financials!S6),1)&gt;0.05),FALSE),"⚠","✓"))</f>
        <v>—</v>
      </c>
      <c r="M9" s="49" t="str">
        <f>IF(NOT(AND(IFERROR('Company_Master'!A6&lt;&gt;"",FALSE),AND(ISNUMBER(Asset_Operations!BE6),ISNUMBER(Asset_Operations!AR6)))),"—",IF(IFERROR(AND(ISNUMBER(Asset_Operations!BE6),ISNUMBER(Asset_Operations!AR6),ABS(Asset_Operations!BE6-Asset_Operations!AR6)&gt;0.05),FALSE),"⚠","✓"))</f>
        <v>✓</v>
      </c>
      <c r="N9" s="49" t="str">
        <f>IF(NOT(AND(IFERROR('Company_Master'!A6&lt;&gt;"",FALSE),ISNUMBER(Financials!C6))),"—",IF(IFERROR(AND(ISNUMBER(Financials!C6),OR(Financials!C6&lt;50,Financials!C6&gt;200000)),FALSE),"⚠","✓"))</f>
        <v>✓</v>
      </c>
      <c r="O9" s="50">
        <f t="shared" si="0"/>
        <v>1</v>
      </c>
      <c r="P9" s="50">
        <f t="shared" si="1"/>
        <v>7</v>
      </c>
      <c r="Q9" s="46" t="str">
        <f>IF(NOT(IFERROR('Company_Master'!A6&lt;&gt;"",FALSE)),"",IF(O9&gt;0,"⚠ "&amp;O9&amp;" issue(s) detected",IF(P9=0,"— No data to validate","✓ All "&amp;P9&amp;" checks passed")))</f>
        <v>⚠ 1 issue(s) detected</v>
      </c>
    </row>
    <row r="10" spans="1:17" x14ac:dyDescent="0.3">
      <c r="A10" s="47">
        <v>6</v>
      </c>
      <c r="B10" s="48" t="str">
        <f>IFERROR('Company_Master'!A7,"")</f>
        <v>PT Andira Agro Tbk</v>
      </c>
      <c r="C10" s="49" t="str">
        <f>IF(NOT(AND(IFERROR('Company_Master'!A7&lt;&gt;"",FALSE),OR(ISNUMBER(Asset_Operations!B7),ISNUMBER(Asset_Operations!C7),ISNUMBER(Asset_Operations!D7)))),"—",IF(IFERROR(AND(ISNUMBER(Asset_Operations!B7),ISNUMBER(Asset_Operations!C7),ISNUMBER(Asset_Operations!D7),Asset_Operations!B7&gt;0,ABS((Asset_Operations!C7+Asset_Operations!D7)-Asset_Operations!B7)/Asset_Operations!B7&gt;0.02),FALSE),"⚠","✓"))</f>
        <v>✓</v>
      </c>
      <c r="D10" s="49" t="str">
        <f>IF(NOT(AND(IFERROR('Company_Master'!A7&lt;&gt;"",FALSE),OR(ISNUMBER(Asset_Operations!B7),ISNUMBER(Asset_Operations!E7),ISNUMBER(Asset_Operations!F7)))),"—",IF(IFERROR(AND(ISNUMBER(Asset_Operations!B7),ISNUMBER(Asset_Operations!E7),ISNUMBER(Asset_Operations!F7),Asset_Operations!B7&gt;0,ABS((Asset_Operations!E7+Asset_Operations!F7)-Asset_Operations!B7)/Asset_Operations!B7&gt;0.02),FALSE),"⚠","✓"))</f>
        <v>⚠</v>
      </c>
      <c r="E10" s="49" t="str">
        <f>IF(NOT(AND(IFERROR('Company_Master'!A7&lt;&gt;"",FALSE),ISNUMBER(Asset_Operations!AR7))),"—",IF(IFERROR(AND(ISNUMBER(Asset_Operations!AR7),OR(Asset_Operations!AR7&lt;0.15,Asset_Operations!AR7&gt;0.27)),FALSE),"⚠","✓"))</f>
        <v>✓</v>
      </c>
      <c r="F10" s="49" t="str">
        <f>IF(NOT(AND(IFERROR('Company_Master'!A7&lt;&gt;"",FALSE),AND(ISNUMBER(Financials!Q7),ISNUMBER(Financials!R7)))),"—",IF(IFERROR(AND(ISNUMBER(Financials!Q7),ISNUMBER(Financials!R7),ISNUMBER(Financials!S7),ABS((Financials!R7-Financials!Q7)-Financials!S7)/MAX(ABS(Financials!S7),1)&gt;0.05),FALSE),"⚠","✓"))</f>
        <v>✓</v>
      </c>
      <c r="G10" s="49" t="str">
        <f>IF(NOT(AND(IFERROR('Company_Master'!A7&lt;&gt;"",FALSE),AND(ISNUMBER(Financials!I7),ISNUMBER(Financials!L7),ISNUMBER(Financials!O7)))),"—",IF(IFERROR(AND(ISNUMBER(Financials!I7),ISNUMBER(Financials!L7),ISNUMBER(Financials!O7),Financials!I7&gt;0,ABS(Financials!I7-(Financials!L7+Financials!O7))/Financials!I7&gt;0.01),FALSE),"⚠","✓"))</f>
        <v>✓</v>
      </c>
      <c r="H10" s="49" t="str">
        <f>IF(NOT(AND(IFERROR('Company_Master'!A7&lt;&gt;"",FALSE),AND(ISNUMBER(Financials!E7),ISNUMBER(Financials!F7)))),"—",IF(IFERROR(AND(ISNUMBER(Financials!E7),ISNUMBER(Financials!F7),Financials!E7&lt;Financials!F7),FALSE),"⚠","✓"))</f>
        <v>—</v>
      </c>
      <c r="I10" s="49" t="str">
        <f>IF(NOT(AND(IFERROR('Company_Master'!A7&lt;&gt;"",FALSE),AND(ISNUMBER(Financials!C7),ISNUMBER(Financials!E7)))),"—",IF(IFERROR(AND(ISNUMBER(Financials!C7),ISNUMBER(Financials!E7),Financials!C7=0,Financials!E7&gt;0),FALSE),"⚠","✓"))</f>
        <v>—</v>
      </c>
      <c r="J10" s="49" t="str">
        <f>IF(NOT(AND(IFERROR('Company_Master'!A7&lt;&gt;"",FALSE),COUNTIF('Raw_Extract'!A:A,'Company_Master'!A7)&gt;0)),"—",IF(COUNTIFS('Raw_Extract'!A:A,'Company_Master'!A7,'Raw_Extract'!J:J,"Low")&gt;0,"⚠","✓"))</f>
        <v>⚠</v>
      </c>
      <c r="K10" s="49" t="str">
        <f>IF(NOT(AND(IFERROR('Company_Master'!A7&lt;&gt;"",FALSE),AND(ISNUMBER(Financials!E7),ISNUMBER(Financials!AP7)))),"—",IF(IFERROR(AND(ISNUMBER(Financials!E7),ISNUMBER(Financials!AP7),Financials!E7&lt;&gt;0,ABS(Financials!E7-Financials!AP7)/ABS(Financials!E7)&gt;0.05),FALSE),"⚠","✓"))</f>
        <v>—</v>
      </c>
      <c r="L10" s="49" t="str">
        <f>IF(NOT(AND(IFERROR('Company_Master'!A7&lt;&gt;"",FALSE),AND(ISNUMBER(Financials!AR7),ISNUMBER(Financials!S7)))),"—",IF(IFERROR(AND(ISNUMBER(Financials!AR7),ISNUMBER(Financials!S7),Financials!S7&lt;&gt;0,ABS(Financials!AR7-Financials!S7)/MAX(ABS(Financials!S7),1)&gt;0.05),FALSE),"⚠","✓"))</f>
        <v>—</v>
      </c>
      <c r="M10" s="49" t="str">
        <f>IF(NOT(AND(IFERROR('Company_Master'!A7&lt;&gt;"",FALSE),AND(ISNUMBER(Asset_Operations!BE7),ISNUMBER(Asset_Operations!AR7)))),"—",IF(IFERROR(AND(ISNUMBER(Asset_Operations!BE7),ISNUMBER(Asset_Operations!AR7),ABS(Asset_Operations!BE7-Asset_Operations!AR7)&gt;0.05),FALSE),"⚠","✓"))</f>
        <v>✓</v>
      </c>
      <c r="N10" s="49" t="str">
        <f>IF(NOT(AND(IFERROR('Company_Master'!A7&lt;&gt;"",FALSE),ISNUMBER(Financials!C7))),"—",IF(IFERROR(AND(ISNUMBER(Financials!C7),OR(Financials!C7&lt;50,Financials!C7&gt;200000)),FALSE),"⚠","✓"))</f>
        <v>✓</v>
      </c>
      <c r="O10" s="50">
        <f t="shared" si="0"/>
        <v>2</v>
      </c>
      <c r="P10" s="50">
        <f t="shared" si="1"/>
        <v>6</v>
      </c>
      <c r="Q10" s="46" t="str">
        <f>IF(NOT(IFERROR('Company_Master'!A7&lt;&gt;"",FALSE)),"",IF(O10&gt;0,"⚠ "&amp;O10&amp;" issue(s) detected",IF(P10=0,"— No data to validate","✓ All "&amp;P10&amp;" checks passed")))</f>
        <v>⚠ 2 issue(s) detected</v>
      </c>
    </row>
    <row r="11" spans="1:17" x14ac:dyDescent="0.3">
      <c r="A11" s="47">
        <v>7</v>
      </c>
      <c r="B11" s="48" t="str">
        <f>IFERROR('Company_Master'!A8,"")</f>
        <v>PT Austindo Nusantara Jaya Tbk</v>
      </c>
      <c r="C11" s="49" t="str">
        <f>IF(NOT(AND(IFERROR('Company_Master'!A8&lt;&gt;"",FALSE),OR(ISNUMBER(Asset_Operations!B8),ISNUMBER(Asset_Operations!C8),ISNUMBER(Asset_Operations!D8)))),"—",IF(IFERROR(AND(ISNUMBER(Asset_Operations!B8),ISNUMBER(Asset_Operations!C8),ISNUMBER(Asset_Operations!D8),Asset_Operations!B8&gt;0,ABS((Asset_Operations!C8+Asset_Operations!D8)-Asset_Operations!B8)/Asset_Operations!B8&gt;0.02),FALSE),"⚠","✓"))</f>
        <v>✓</v>
      </c>
      <c r="D11" s="49" t="str">
        <f>IF(NOT(AND(IFERROR('Company_Master'!A8&lt;&gt;"",FALSE),OR(ISNUMBER(Asset_Operations!B8),ISNUMBER(Asset_Operations!E8),ISNUMBER(Asset_Operations!F8)))),"—",IF(IFERROR(AND(ISNUMBER(Asset_Operations!B8),ISNUMBER(Asset_Operations!E8),ISNUMBER(Asset_Operations!F8),Asset_Operations!B8&gt;0,ABS((Asset_Operations!E8+Asset_Operations!F8)-Asset_Operations!B8)/Asset_Operations!B8&gt;0.02),FALSE),"⚠","✓"))</f>
        <v>✓</v>
      </c>
      <c r="E11" s="49" t="str">
        <f>IF(NOT(AND(IFERROR('Company_Master'!A8&lt;&gt;"",FALSE),ISNUMBER(Asset_Operations!AR8))),"—",IF(IFERROR(AND(ISNUMBER(Asset_Operations!AR8),OR(Asset_Operations!AR8&lt;0.15,Asset_Operations!AR8&gt;0.27)),FALSE),"⚠","✓"))</f>
        <v>✓</v>
      </c>
      <c r="F11" s="49" t="str">
        <f>IF(NOT(AND(IFERROR('Company_Master'!A8&lt;&gt;"",FALSE),AND(ISNUMBER(Financials!Q8),ISNUMBER(Financials!R8)))),"—",IF(IFERROR(AND(ISNUMBER(Financials!Q8),ISNUMBER(Financials!R8),ISNUMBER(Financials!S8),ABS((Financials!R8-Financials!Q8)-Financials!S8)/MAX(ABS(Financials!S8),1)&gt;0.05),FALSE),"⚠","✓"))</f>
        <v>✓</v>
      </c>
      <c r="G11" s="49" t="str">
        <f>IF(NOT(AND(IFERROR('Company_Master'!A8&lt;&gt;"",FALSE),AND(ISNUMBER(Financials!I8),ISNUMBER(Financials!L8),ISNUMBER(Financials!O8)))),"—",IF(IFERROR(AND(ISNUMBER(Financials!I8),ISNUMBER(Financials!L8),ISNUMBER(Financials!O8),Financials!I8&gt;0,ABS(Financials!I8-(Financials!L8+Financials!O8))/Financials!I8&gt;0.01),FALSE),"⚠","✓"))</f>
        <v>✓</v>
      </c>
      <c r="H11" s="49" t="str">
        <f>IF(NOT(AND(IFERROR('Company_Master'!A8&lt;&gt;"",FALSE),AND(ISNUMBER(Financials!E8),ISNUMBER(Financials!F8)))),"—",IF(IFERROR(AND(ISNUMBER(Financials!E8),ISNUMBER(Financials!F8),Financials!E8&lt;Financials!F8),FALSE),"⚠","✓"))</f>
        <v>✓</v>
      </c>
      <c r="I11" s="49" t="str">
        <f>IF(NOT(AND(IFERROR('Company_Master'!A8&lt;&gt;"",FALSE),AND(ISNUMBER(Financials!C8),ISNUMBER(Financials!E8)))),"—",IF(IFERROR(AND(ISNUMBER(Financials!C8),ISNUMBER(Financials!E8),Financials!C8=0,Financials!E8&gt;0),FALSE),"⚠","✓"))</f>
        <v>✓</v>
      </c>
      <c r="J11" s="49" t="str">
        <f>IF(NOT(AND(IFERROR('Company_Master'!A8&lt;&gt;"",FALSE),COUNTIF('Raw_Extract'!A:A,'Company_Master'!A8)&gt;0)),"—",IF(COUNTIFS('Raw_Extract'!A:A,'Company_Master'!A8,'Raw_Extract'!J:J,"Low")&gt;0,"⚠","✓"))</f>
        <v>✓</v>
      </c>
      <c r="K11" s="49" t="str">
        <f>IF(NOT(AND(IFERROR('Company_Master'!A8&lt;&gt;"",FALSE),AND(ISNUMBER(Financials!E8),ISNUMBER(Financials!AP8)))),"—",IF(IFERROR(AND(ISNUMBER(Financials!E8),ISNUMBER(Financials!AP8),Financials!E8&lt;&gt;0,ABS(Financials!E8-Financials!AP8)/ABS(Financials!E8)&gt;0.05),FALSE),"⚠","✓"))</f>
        <v>⚠</v>
      </c>
      <c r="L11" s="49" t="str">
        <f>IF(NOT(AND(IFERROR('Company_Master'!A8&lt;&gt;"",FALSE),AND(ISNUMBER(Financials!AR8),ISNUMBER(Financials!S8)))),"—",IF(IFERROR(AND(ISNUMBER(Financials!AR8),ISNUMBER(Financials!S8),Financials!S8&lt;&gt;0,ABS(Financials!AR8-Financials!S8)/MAX(ABS(Financials!S8),1)&gt;0.05),FALSE),"⚠","✓"))</f>
        <v>✓</v>
      </c>
      <c r="M11" s="49" t="str">
        <f>IF(NOT(AND(IFERROR('Company_Master'!A8&lt;&gt;"",FALSE),AND(ISNUMBER(Asset_Operations!BE8),ISNUMBER(Asset_Operations!AR8)))),"—",IF(IFERROR(AND(ISNUMBER(Asset_Operations!BE8),ISNUMBER(Asset_Operations!AR8),ABS(Asset_Operations!BE8-Asset_Operations!AR8)&gt;0.05),FALSE),"⚠","✓"))</f>
        <v>✓</v>
      </c>
      <c r="N11" s="49" t="str">
        <f>IF(NOT(AND(IFERROR('Company_Master'!A8&lt;&gt;"",FALSE),ISNUMBER(Financials!C8))),"—",IF(IFERROR(AND(ISNUMBER(Financials!C8),OR(Financials!C8&lt;50,Financials!C8&gt;200000)),FALSE),"⚠","✓"))</f>
        <v>✓</v>
      </c>
      <c r="O11" s="50">
        <f t="shared" si="0"/>
        <v>1</v>
      </c>
      <c r="P11" s="50">
        <f t="shared" si="1"/>
        <v>11</v>
      </c>
      <c r="Q11" s="46" t="str">
        <f>IF(NOT(IFERROR('Company_Master'!A8&lt;&gt;"",FALSE)),"",IF(O11&gt;0,"⚠ "&amp;O11&amp;" issue(s) detected",IF(P11=0,"— No data to validate","✓ All "&amp;P11&amp;" checks passed")))</f>
        <v>⚠ 1 issue(s) detected</v>
      </c>
    </row>
    <row r="12" spans="1:17" x14ac:dyDescent="0.3">
      <c r="A12" s="47">
        <v>8</v>
      </c>
      <c r="B12" s="48" t="str">
        <f>IFERROR('Company_Master'!A9,"")</f>
        <v>PT Austindo Nusantara Jaya Tbk</v>
      </c>
      <c r="C12" s="49" t="str">
        <f>IF(NOT(AND(IFERROR('Company_Master'!A9&lt;&gt;"",FALSE),OR(ISNUMBER(Asset_Operations!B9),ISNUMBER(Asset_Operations!C9),ISNUMBER(Asset_Operations!D9)))),"—",IF(IFERROR(AND(ISNUMBER(Asset_Operations!B9),ISNUMBER(Asset_Operations!C9),ISNUMBER(Asset_Operations!D9),Asset_Operations!B9&gt;0,ABS((Asset_Operations!C9+Asset_Operations!D9)-Asset_Operations!B9)/Asset_Operations!B9&gt;0.02),FALSE),"⚠","✓"))</f>
        <v>✓</v>
      </c>
      <c r="D12" s="49" t="str">
        <f>IF(NOT(AND(IFERROR('Company_Master'!A9&lt;&gt;"",FALSE),OR(ISNUMBER(Asset_Operations!B9),ISNUMBER(Asset_Operations!E9),ISNUMBER(Asset_Operations!F9)))),"—",IF(IFERROR(AND(ISNUMBER(Asset_Operations!B9),ISNUMBER(Asset_Operations!E9),ISNUMBER(Asset_Operations!F9),Asset_Operations!B9&gt;0,ABS((Asset_Operations!E9+Asset_Operations!F9)-Asset_Operations!B9)/Asset_Operations!B9&gt;0.02),FALSE),"⚠","✓"))</f>
        <v>✓</v>
      </c>
      <c r="E12" s="49" t="str">
        <f>IF(NOT(AND(IFERROR('Company_Master'!A9&lt;&gt;"",FALSE),ISNUMBER(Asset_Operations!AR9))),"—",IF(IFERROR(AND(ISNUMBER(Asset_Operations!AR9),OR(Asset_Operations!AR9&lt;0.15,Asset_Operations!AR9&gt;0.27)),FALSE),"⚠","✓"))</f>
        <v>✓</v>
      </c>
      <c r="F12" s="49" t="str">
        <f>IF(NOT(AND(IFERROR('Company_Master'!A9&lt;&gt;"",FALSE),AND(ISNUMBER(Financials!Q9),ISNUMBER(Financials!R9)))),"—",IF(IFERROR(AND(ISNUMBER(Financials!Q9),ISNUMBER(Financials!R9),ISNUMBER(Financials!S9),ABS((Financials!R9-Financials!Q9)-Financials!S9)/MAX(ABS(Financials!S9),1)&gt;0.05),FALSE),"⚠","✓"))</f>
        <v>✓</v>
      </c>
      <c r="G12" s="49" t="str">
        <f>IF(NOT(AND(IFERROR('Company_Master'!A9&lt;&gt;"",FALSE),AND(ISNUMBER(Financials!I9),ISNUMBER(Financials!L9),ISNUMBER(Financials!O9)))),"—",IF(IFERROR(AND(ISNUMBER(Financials!I9),ISNUMBER(Financials!L9),ISNUMBER(Financials!O9),Financials!I9&gt;0,ABS(Financials!I9-(Financials!L9+Financials!O9))/Financials!I9&gt;0.01),FALSE),"⚠","✓"))</f>
        <v>✓</v>
      </c>
      <c r="H12" s="49" t="str">
        <f>IF(NOT(AND(IFERROR('Company_Master'!A9&lt;&gt;"",FALSE),AND(ISNUMBER(Financials!E9),ISNUMBER(Financials!F9)))),"—",IF(IFERROR(AND(ISNUMBER(Financials!E9),ISNUMBER(Financials!F9),Financials!E9&lt;Financials!F9),FALSE),"⚠","✓"))</f>
        <v>✓</v>
      </c>
      <c r="I12" s="49" t="str">
        <f>IF(NOT(AND(IFERROR('Company_Master'!A9&lt;&gt;"",FALSE),AND(ISNUMBER(Financials!C9),ISNUMBER(Financials!E9)))),"—",IF(IFERROR(AND(ISNUMBER(Financials!C9),ISNUMBER(Financials!E9),Financials!C9=0,Financials!E9&gt;0),FALSE),"⚠","✓"))</f>
        <v>✓</v>
      </c>
      <c r="J12" s="49" t="str">
        <f>IF(NOT(AND(IFERROR('Company_Master'!A9&lt;&gt;"",FALSE),COUNTIF('Raw_Extract'!A:A,'Company_Master'!A9)&gt;0)),"—",IF(COUNTIFS('Raw_Extract'!A:A,'Company_Master'!A9,'Raw_Extract'!J:J,"Low")&gt;0,"⚠","✓"))</f>
        <v>✓</v>
      </c>
      <c r="K12" s="49" t="str">
        <f>IF(NOT(AND(IFERROR('Company_Master'!A9&lt;&gt;"",FALSE),AND(ISNUMBER(Financials!E9),ISNUMBER(Financials!AP9)))),"—",IF(IFERROR(AND(ISNUMBER(Financials!E9),ISNUMBER(Financials!AP9),Financials!E9&lt;&gt;0,ABS(Financials!E9-Financials!AP9)/ABS(Financials!E9)&gt;0.05),FALSE),"⚠","✓"))</f>
        <v>⚠</v>
      </c>
      <c r="L12" s="49" t="str">
        <f>IF(NOT(AND(IFERROR('Company_Master'!A9&lt;&gt;"",FALSE),AND(ISNUMBER(Financials!AR9),ISNUMBER(Financials!S9)))),"—",IF(IFERROR(AND(ISNUMBER(Financials!AR9),ISNUMBER(Financials!S9),Financials!S9&lt;&gt;0,ABS(Financials!AR9-Financials!S9)/MAX(ABS(Financials!S9),1)&gt;0.05),FALSE),"⚠","✓"))</f>
        <v>✓</v>
      </c>
      <c r="M12" s="49" t="str">
        <f>IF(NOT(AND(IFERROR('Company_Master'!A9&lt;&gt;"",FALSE),AND(ISNUMBER(Asset_Operations!BE9),ISNUMBER(Asset_Operations!AR9)))),"—",IF(IFERROR(AND(ISNUMBER(Asset_Operations!BE9),ISNUMBER(Asset_Operations!AR9),ABS(Asset_Operations!BE9-Asset_Operations!AR9)&gt;0.05),FALSE),"⚠","✓"))</f>
        <v>✓</v>
      </c>
      <c r="N12" s="49" t="str">
        <f>IF(NOT(AND(IFERROR('Company_Master'!A9&lt;&gt;"",FALSE),ISNUMBER(Financials!C9))),"—",IF(IFERROR(AND(ISNUMBER(Financials!C9),OR(Financials!C9&lt;50,Financials!C9&gt;200000)),FALSE),"⚠","✓"))</f>
        <v>✓</v>
      </c>
      <c r="O12" s="50">
        <f t="shared" si="0"/>
        <v>1</v>
      </c>
      <c r="P12" s="50">
        <f t="shared" si="1"/>
        <v>11</v>
      </c>
      <c r="Q12" s="46" t="str">
        <f>IF(NOT(IFERROR('Company_Master'!A9&lt;&gt;"",FALSE)),"",IF(O12&gt;0,"⚠ "&amp;O12&amp;" issue(s) detected",IF(P12=0,"— No data to validate","✓ All "&amp;P12&amp;" checks passed")))</f>
        <v>⚠ 1 issue(s) detected</v>
      </c>
    </row>
    <row r="13" spans="1:17" x14ac:dyDescent="0.3">
      <c r="A13" s="47">
        <v>9</v>
      </c>
      <c r="B13" s="48" t="str">
        <f>IFERROR('Company_Master'!A10,"")</f>
        <v>PT Austindo Nusantara Jaya Tbk</v>
      </c>
      <c r="C13" s="49" t="str">
        <f>IF(NOT(AND(IFERROR('Company_Master'!A10&lt;&gt;"",FALSE),OR(ISNUMBER(Asset_Operations!B10),ISNUMBER(Asset_Operations!C10),ISNUMBER(Asset_Operations!D10)))),"—",IF(IFERROR(AND(ISNUMBER(Asset_Operations!B10),ISNUMBER(Asset_Operations!C10),ISNUMBER(Asset_Operations!D10),Asset_Operations!B10&gt;0,ABS((Asset_Operations!C10+Asset_Operations!D10)-Asset_Operations!B10)/Asset_Operations!B10&gt;0.02),FALSE),"⚠","✓"))</f>
        <v>✓</v>
      </c>
      <c r="D13" s="49" t="str">
        <f>IF(NOT(AND(IFERROR('Company_Master'!A10&lt;&gt;"",FALSE),OR(ISNUMBER(Asset_Operations!B10),ISNUMBER(Asset_Operations!E10),ISNUMBER(Asset_Operations!F10)))),"—",IF(IFERROR(AND(ISNUMBER(Asset_Operations!B10),ISNUMBER(Asset_Operations!E10),ISNUMBER(Asset_Operations!F10),Asset_Operations!B10&gt;0,ABS((Asset_Operations!E10+Asset_Operations!F10)-Asset_Operations!B10)/Asset_Operations!B10&gt;0.02),FALSE),"⚠","✓"))</f>
        <v>⚠</v>
      </c>
      <c r="E13" s="49" t="str">
        <f>IF(NOT(AND(IFERROR('Company_Master'!A10&lt;&gt;"",FALSE),ISNUMBER(Asset_Operations!AR10))),"—",IF(IFERROR(AND(ISNUMBER(Asset_Operations!AR10),OR(Asset_Operations!AR10&lt;0.15,Asset_Operations!AR10&gt;0.27)),FALSE),"⚠","✓"))</f>
        <v>✓</v>
      </c>
      <c r="F13" s="49" t="str">
        <f>IF(NOT(AND(IFERROR('Company_Master'!A10&lt;&gt;"",FALSE),AND(ISNUMBER(Financials!Q10),ISNUMBER(Financials!R10)))),"—",IF(IFERROR(AND(ISNUMBER(Financials!Q10),ISNUMBER(Financials!R10),ISNUMBER(Financials!S10),ABS((Financials!R10-Financials!Q10)-Financials!S10)/MAX(ABS(Financials!S10),1)&gt;0.05),FALSE),"⚠","✓"))</f>
        <v>✓</v>
      </c>
      <c r="G13" s="49" t="str">
        <f>IF(NOT(AND(IFERROR('Company_Master'!A10&lt;&gt;"",FALSE),AND(ISNUMBER(Financials!I10),ISNUMBER(Financials!L10),ISNUMBER(Financials!O10)))),"—",IF(IFERROR(AND(ISNUMBER(Financials!I10),ISNUMBER(Financials!L10),ISNUMBER(Financials!O10),Financials!I10&gt;0,ABS(Financials!I10-(Financials!L10+Financials!O10))/Financials!I10&gt;0.01),FALSE),"⚠","✓"))</f>
        <v>✓</v>
      </c>
      <c r="H13" s="49" t="str">
        <f>IF(NOT(AND(IFERROR('Company_Master'!A10&lt;&gt;"",FALSE),AND(ISNUMBER(Financials!E10),ISNUMBER(Financials!F10)))),"—",IF(IFERROR(AND(ISNUMBER(Financials!E10),ISNUMBER(Financials!F10),Financials!E10&lt;Financials!F10),FALSE),"⚠","✓"))</f>
        <v>✓</v>
      </c>
      <c r="I13" s="49" t="str">
        <f>IF(NOT(AND(IFERROR('Company_Master'!A10&lt;&gt;"",FALSE),AND(ISNUMBER(Financials!C10),ISNUMBER(Financials!E10)))),"—",IF(IFERROR(AND(ISNUMBER(Financials!C10),ISNUMBER(Financials!E10),Financials!C10=0,Financials!E10&gt;0),FALSE),"⚠","✓"))</f>
        <v>✓</v>
      </c>
      <c r="J13" s="49" t="str">
        <f>IF(NOT(AND(IFERROR('Company_Master'!A10&lt;&gt;"",FALSE),COUNTIF('Raw_Extract'!A:A,'Company_Master'!A10)&gt;0)),"—",IF(COUNTIFS('Raw_Extract'!A:A,'Company_Master'!A10,'Raw_Extract'!J:J,"Low")&gt;0,"⚠","✓"))</f>
        <v>✓</v>
      </c>
      <c r="K13" s="49" t="str">
        <f>IF(NOT(AND(IFERROR('Company_Master'!A10&lt;&gt;"",FALSE),AND(ISNUMBER(Financials!E10),ISNUMBER(Financials!AP10)))),"—",IF(IFERROR(AND(ISNUMBER(Financials!E10),ISNUMBER(Financials!AP10),Financials!E10&lt;&gt;0,ABS(Financials!E10-Financials!AP10)/ABS(Financials!E10)&gt;0.05),FALSE),"⚠","✓"))</f>
        <v>⚠</v>
      </c>
      <c r="L13" s="49" t="str">
        <f>IF(NOT(AND(IFERROR('Company_Master'!A10&lt;&gt;"",FALSE),AND(ISNUMBER(Financials!AR10),ISNUMBER(Financials!S10)))),"—",IF(IFERROR(AND(ISNUMBER(Financials!AR10),ISNUMBER(Financials!S10),Financials!S10&lt;&gt;0,ABS(Financials!AR10-Financials!S10)/MAX(ABS(Financials!S10),1)&gt;0.05),FALSE),"⚠","✓"))</f>
        <v>✓</v>
      </c>
      <c r="M13" s="49" t="str">
        <f>IF(NOT(AND(IFERROR('Company_Master'!A10&lt;&gt;"",FALSE),AND(ISNUMBER(Asset_Operations!BE10),ISNUMBER(Asset_Operations!AR10)))),"—",IF(IFERROR(AND(ISNUMBER(Asset_Operations!BE10),ISNUMBER(Asset_Operations!AR10),ABS(Asset_Operations!BE10-Asset_Operations!AR10)&gt;0.05),FALSE),"⚠","✓"))</f>
        <v>✓</v>
      </c>
      <c r="N13" s="49" t="str">
        <f>IF(NOT(AND(IFERROR('Company_Master'!A10&lt;&gt;"",FALSE),ISNUMBER(Financials!C10))),"—",IF(IFERROR(AND(ISNUMBER(Financials!C10),OR(Financials!C10&lt;50,Financials!C10&gt;200000)),FALSE),"⚠","✓"))</f>
        <v>✓</v>
      </c>
      <c r="O13" s="50">
        <f t="shared" si="0"/>
        <v>2</v>
      </c>
      <c r="P13" s="50">
        <f t="shared" si="1"/>
        <v>10</v>
      </c>
      <c r="Q13" s="46" t="str">
        <f>IF(NOT(IFERROR('Company_Master'!A10&lt;&gt;"",FALSE)),"",IF(O13&gt;0,"⚠ "&amp;O13&amp;" issue(s) detected",IF(P13=0,"— No data to validate","✓ All "&amp;P13&amp;" checks passed")))</f>
        <v>⚠ 2 issue(s) detected</v>
      </c>
    </row>
    <row r="14" spans="1:17" x14ac:dyDescent="0.3">
      <c r="A14" s="47">
        <v>10</v>
      </c>
      <c r="B14" s="48" t="str">
        <f>IFERROR('Company_Master'!A11,"")</f>
        <v>PT BISI International Tbk</v>
      </c>
      <c r="C14" s="49" t="str">
        <f>IF(NOT(AND(IFERROR('Company_Master'!A11&lt;&gt;"",FALSE),OR(ISNUMBER(Asset_Operations!B11),ISNUMBER(Asset_Operations!C11),ISNUMBER(Asset_Operations!D11)))),"—",IF(IFERROR(AND(ISNUMBER(Asset_Operations!B11),ISNUMBER(Asset_Operations!C11),ISNUMBER(Asset_Operations!D11),Asset_Operations!B11&gt;0,ABS((Asset_Operations!C11+Asset_Operations!D11)-Asset_Operations!B11)/Asset_Operations!B11&gt;0.02),FALSE),"⚠","✓"))</f>
        <v>—</v>
      </c>
      <c r="D14" s="49" t="str">
        <f>IF(NOT(AND(IFERROR('Company_Master'!A11&lt;&gt;"",FALSE),OR(ISNUMBER(Asset_Operations!B11),ISNUMBER(Asset_Operations!E11),ISNUMBER(Asset_Operations!F11)))),"—",IF(IFERROR(AND(ISNUMBER(Asset_Operations!B11),ISNUMBER(Asset_Operations!E11),ISNUMBER(Asset_Operations!F11),Asset_Operations!B11&gt;0,ABS((Asset_Operations!E11+Asset_Operations!F11)-Asset_Operations!B11)/Asset_Operations!B11&gt;0.02),FALSE),"⚠","✓"))</f>
        <v>—</v>
      </c>
      <c r="E14" s="49" t="str">
        <f>IF(NOT(AND(IFERROR('Company_Master'!A11&lt;&gt;"",FALSE),ISNUMBER(Asset_Operations!AR11))),"—",IF(IFERROR(AND(ISNUMBER(Asset_Operations!AR11),OR(Asset_Operations!AR11&lt;0.15,Asset_Operations!AR11&gt;0.27)),FALSE),"⚠","✓"))</f>
        <v>—</v>
      </c>
      <c r="F14" s="49" t="str">
        <f>IF(NOT(AND(IFERROR('Company_Master'!A11&lt;&gt;"",FALSE),AND(ISNUMBER(Financials!Q11),ISNUMBER(Financials!R11)))),"—",IF(IFERROR(AND(ISNUMBER(Financials!Q11),ISNUMBER(Financials!R11),ISNUMBER(Financials!S11),ABS((Financials!R11-Financials!Q11)-Financials!S11)/MAX(ABS(Financials!S11),1)&gt;0.05),FALSE),"⚠","✓"))</f>
        <v>✓</v>
      </c>
      <c r="G14" s="49" t="str">
        <f>IF(NOT(AND(IFERROR('Company_Master'!A11&lt;&gt;"",FALSE),AND(ISNUMBER(Financials!I11),ISNUMBER(Financials!L11),ISNUMBER(Financials!O11)))),"—",IF(IFERROR(AND(ISNUMBER(Financials!I11),ISNUMBER(Financials!L11),ISNUMBER(Financials!O11),Financials!I11&gt;0,ABS(Financials!I11-(Financials!L11+Financials!O11))/Financials!I11&gt;0.01),FALSE),"⚠","✓"))</f>
        <v>✓</v>
      </c>
      <c r="H14" s="49" t="str">
        <f>IF(NOT(AND(IFERROR('Company_Master'!A11&lt;&gt;"",FALSE),AND(ISNUMBER(Financials!E11),ISNUMBER(Financials!F11)))),"—",IF(IFERROR(AND(ISNUMBER(Financials!E11),ISNUMBER(Financials!F11),Financials!E11&lt;Financials!F11),FALSE),"⚠","✓"))</f>
        <v>—</v>
      </c>
      <c r="I14" s="49" t="str">
        <f>IF(NOT(AND(IFERROR('Company_Master'!A11&lt;&gt;"",FALSE),AND(ISNUMBER(Financials!C11),ISNUMBER(Financials!E11)))),"—",IF(IFERROR(AND(ISNUMBER(Financials!C11),ISNUMBER(Financials!E11),Financials!C11=0,Financials!E11&gt;0),FALSE),"⚠","✓"))</f>
        <v>—</v>
      </c>
      <c r="J14" s="49" t="str">
        <f>IF(NOT(AND(IFERROR('Company_Master'!A11&lt;&gt;"",FALSE),COUNTIF('Raw_Extract'!A:A,'Company_Master'!A11)&gt;0)),"—",IF(COUNTIFS('Raw_Extract'!A:A,'Company_Master'!A11,'Raw_Extract'!J:J,"Low")&gt;0,"⚠","✓"))</f>
        <v>✓</v>
      </c>
      <c r="K14" s="49" t="str">
        <f>IF(NOT(AND(IFERROR('Company_Master'!A11&lt;&gt;"",FALSE),AND(ISNUMBER(Financials!E11),ISNUMBER(Financials!AP11)))),"—",IF(IFERROR(AND(ISNUMBER(Financials!E11),ISNUMBER(Financials!AP11),Financials!E11&lt;&gt;0,ABS(Financials!E11-Financials!AP11)/ABS(Financials!E11)&gt;0.05),FALSE),"⚠","✓"))</f>
        <v>—</v>
      </c>
      <c r="L14" s="49" t="str">
        <f>IF(NOT(AND(IFERROR('Company_Master'!A11&lt;&gt;"",FALSE),AND(ISNUMBER(Financials!AR11),ISNUMBER(Financials!S11)))),"—",IF(IFERROR(AND(ISNUMBER(Financials!AR11),ISNUMBER(Financials!S11),Financials!S11&lt;&gt;0,ABS(Financials!AR11-Financials!S11)/MAX(ABS(Financials!S11),1)&gt;0.05),FALSE),"⚠","✓"))</f>
        <v>✓</v>
      </c>
      <c r="M14" s="49" t="str">
        <f>IF(NOT(AND(IFERROR('Company_Master'!A11&lt;&gt;"",FALSE),AND(ISNUMBER(Asset_Operations!BE11),ISNUMBER(Asset_Operations!AR11)))),"—",IF(IFERROR(AND(ISNUMBER(Asset_Operations!BE11),ISNUMBER(Asset_Operations!AR11),ABS(Asset_Operations!BE11-Asset_Operations!AR11)&gt;0.05),FALSE),"⚠","✓"))</f>
        <v>—</v>
      </c>
      <c r="N14" s="49" t="str">
        <f>IF(NOT(AND(IFERROR('Company_Master'!A11&lt;&gt;"",FALSE),ISNUMBER(Financials!C11))),"—",IF(IFERROR(AND(ISNUMBER(Financials!C11),OR(Financials!C11&lt;50,Financials!C11&gt;200000)),FALSE),"⚠","✓"))</f>
        <v>✓</v>
      </c>
      <c r="O14" s="50">
        <f t="shared" si="0"/>
        <v>0</v>
      </c>
      <c r="P14" s="50">
        <f t="shared" si="1"/>
        <v>5</v>
      </c>
      <c r="Q14" s="46" t="str">
        <f>IF(NOT(IFERROR('Company_Master'!A11&lt;&gt;"",FALSE)),"",IF(O14&gt;0,"⚠ "&amp;O14&amp;" issue(s) detected",IF(P14=0,"— No data to validate","✓ All "&amp;P14&amp;" checks passed")))</f>
        <v>✓ All 5 checks passed</v>
      </c>
    </row>
    <row r="15" spans="1:17" x14ac:dyDescent="0.3">
      <c r="A15" s="47">
        <v>11</v>
      </c>
      <c r="B15" s="48" t="str">
        <f>IFERROR('Company_Master'!A12,"")</f>
        <v>PT BISI International Tbk</v>
      </c>
      <c r="C15" s="49" t="str">
        <f>IF(NOT(AND(IFERROR('Company_Master'!A12&lt;&gt;"",FALSE),OR(ISNUMBER(Asset_Operations!B12),ISNUMBER(Asset_Operations!C12),ISNUMBER(Asset_Operations!D12)))),"—",IF(IFERROR(AND(ISNUMBER(Asset_Operations!B12),ISNUMBER(Asset_Operations!C12),ISNUMBER(Asset_Operations!D12),Asset_Operations!B12&gt;0,ABS((Asset_Operations!C12+Asset_Operations!D12)-Asset_Operations!B12)/Asset_Operations!B12&gt;0.02),FALSE),"⚠","✓"))</f>
        <v>—</v>
      </c>
      <c r="D15" s="49" t="str">
        <f>IF(NOT(AND(IFERROR('Company_Master'!A12&lt;&gt;"",FALSE),OR(ISNUMBER(Asset_Operations!B12),ISNUMBER(Asset_Operations!E12),ISNUMBER(Asset_Operations!F12)))),"—",IF(IFERROR(AND(ISNUMBER(Asset_Operations!B12),ISNUMBER(Asset_Operations!E12),ISNUMBER(Asset_Operations!F12),Asset_Operations!B12&gt;0,ABS((Asset_Operations!E12+Asset_Operations!F12)-Asset_Operations!B12)/Asset_Operations!B12&gt;0.02),FALSE),"⚠","✓"))</f>
        <v>—</v>
      </c>
      <c r="E15" s="49" t="str">
        <f>IF(NOT(AND(IFERROR('Company_Master'!A12&lt;&gt;"",FALSE),ISNUMBER(Asset_Operations!AR12))),"—",IF(IFERROR(AND(ISNUMBER(Asset_Operations!AR12),OR(Asset_Operations!AR12&lt;0.15,Asset_Operations!AR12&gt;0.27)),FALSE),"⚠","✓"))</f>
        <v>—</v>
      </c>
      <c r="F15" s="49" t="str">
        <f>IF(NOT(AND(IFERROR('Company_Master'!A12&lt;&gt;"",FALSE),AND(ISNUMBER(Financials!Q12),ISNUMBER(Financials!R12)))),"—",IF(IFERROR(AND(ISNUMBER(Financials!Q12),ISNUMBER(Financials!R12),ISNUMBER(Financials!S12),ABS((Financials!R12-Financials!Q12)-Financials!S12)/MAX(ABS(Financials!S12),1)&gt;0.05),FALSE),"⚠","✓"))</f>
        <v>✓</v>
      </c>
      <c r="G15" s="49" t="str">
        <f>IF(NOT(AND(IFERROR('Company_Master'!A12&lt;&gt;"",FALSE),AND(ISNUMBER(Financials!I12),ISNUMBER(Financials!L12),ISNUMBER(Financials!O12)))),"—",IF(IFERROR(AND(ISNUMBER(Financials!I12),ISNUMBER(Financials!L12),ISNUMBER(Financials!O12),Financials!I12&gt;0,ABS(Financials!I12-(Financials!L12+Financials!O12))/Financials!I12&gt;0.01),FALSE),"⚠","✓"))</f>
        <v>✓</v>
      </c>
      <c r="H15" s="49" t="str">
        <f>IF(NOT(AND(IFERROR('Company_Master'!A12&lt;&gt;"",FALSE),AND(ISNUMBER(Financials!E12),ISNUMBER(Financials!F12)))),"—",IF(IFERROR(AND(ISNUMBER(Financials!E12),ISNUMBER(Financials!F12),Financials!E12&lt;Financials!F12),FALSE),"⚠","✓"))</f>
        <v>—</v>
      </c>
      <c r="I15" s="49" t="str">
        <f>IF(NOT(AND(IFERROR('Company_Master'!A12&lt;&gt;"",FALSE),AND(ISNUMBER(Financials!C12),ISNUMBER(Financials!E12)))),"—",IF(IFERROR(AND(ISNUMBER(Financials!C12),ISNUMBER(Financials!E12),Financials!C12=0,Financials!E12&gt;0),FALSE),"⚠","✓"))</f>
        <v>—</v>
      </c>
      <c r="J15" s="49" t="str">
        <f>IF(NOT(AND(IFERROR('Company_Master'!A12&lt;&gt;"",FALSE),COUNTIF('Raw_Extract'!A:A,'Company_Master'!A12)&gt;0)),"—",IF(COUNTIFS('Raw_Extract'!A:A,'Company_Master'!A12,'Raw_Extract'!J:J,"Low")&gt;0,"⚠","✓"))</f>
        <v>✓</v>
      </c>
      <c r="K15" s="49" t="str">
        <f>IF(NOT(AND(IFERROR('Company_Master'!A12&lt;&gt;"",FALSE),AND(ISNUMBER(Financials!E12),ISNUMBER(Financials!AP12)))),"—",IF(IFERROR(AND(ISNUMBER(Financials!E12),ISNUMBER(Financials!AP12),Financials!E12&lt;&gt;0,ABS(Financials!E12-Financials!AP12)/ABS(Financials!E12)&gt;0.05),FALSE),"⚠","✓"))</f>
        <v>—</v>
      </c>
      <c r="L15" s="49" t="str">
        <f>IF(NOT(AND(IFERROR('Company_Master'!A12&lt;&gt;"",FALSE),AND(ISNUMBER(Financials!AR12),ISNUMBER(Financials!S12)))),"—",IF(IFERROR(AND(ISNUMBER(Financials!AR12),ISNUMBER(Financials!S12),Financials!S12&lt;&gt;0,ABS(Financials!AR12-Financials!S12)/MAX(ABS(Financials!S12),1)&gt;0.05),FALSE),"⚠","✓"))</f>
        <v>✓</v>
      </c>
      <c r="M15" s="49" t="str">
        <f>IF(NOT(AND(IFERROR('Company_Master'!A12&lt;&gt;"",FALSE),AND(ISNUMBER(Asset_Operations!BE12),ISNUMBER(Asset_Operations!AR12)))),"—",IF(IFERROR(AND(ISNUMBER(Asset_Operations!BE12),ISNUMBER(Asset_Operations!AR12),ABS(Asset_Operations!BE12-Asset_Operations!AR12)&gt;0.05),FALSE),"⚠","✓"))</f>
        <v>—</v>
      </c>
      <c r="N15" s="49" t="str">
        <f>IF(NOT(AND(IFERROR('Company_Master'!A12&lt;&gt;"",FALSE),ISNUMBER(Financials!C12))),"—",IF(IFERROR(AND(ISNUMBER(Financials!C12),OR(Financials!C12&lt;50,Financials!C12&gt;200000)),FALSE),"⚠","✓"))</f>
        <v>✓</v>
      </c>
      <c r="O15" s="50">
        <f t="shared" si="0"/>
        <v>0</v>
      </c>
      <c r="P15" s="50">
        <f t="shared" si="1"/>
        <v>5</v>
      </c>
      <c r="Q15" s="46" t="str">
        <f>IF(NOT(IFERROR('Company_Master'!A12&lt;&gt;"",FALSE)),"",IF(O15&gt;0,"⚠ "&amp;O15&amp;" issue(s) detected",IF(P15=0,"— No data to validate","✓ All "&amp;P15&amp;" checks passed")))</f>
        <v>✓ All 5 checks passed</v>
      </c>
    </row>
    <row r="16" spans="1:17" x14ac:dyDescent="0.3">
      <c r="A16" s="47">
        <v>12</v>
      </c>
      <c r="B16" s="48" t="str">
        <f>IFERROR('Company_Master'!A13,"")</f>
        <v>PT BISI International Tbk</v>
      </c>
      <c r="C16" s="49" t="str">
        <f>IF(NOT(AND(IFERROR('Company_Master'!A13&lt;&gt;"",FALSE),OR(ISNUMBER(Asset_Operations!B13),ISNUMBER(Asset_Operations!C13),ISNUMBER(Asset_Operations!D13)))),"—",IF(IFERROR(AND(ISNUMBER(Asset_Operations!B13),ISNUMBER(Asset_Operations!C13),ISNUMBER(Asset_Operations!D13),Asset_Operations!B13&gt;0,ABS((Asset_Operations!C13+Asset_Operations!D13)-Asset_Operations!B13)/Asset_Operations!B13&gt;0.02),FALSE),"⚠","✓"))</f>
        <v>—</v>
      </c>
      <c r="D16" s="49" t="str">
        <f>IF(NOT(AND(IFERROR('Company_Master'!A13&lt;&gt;"",FALSE),OR(ISNUMBER(Asset_Operations!B13),ISNUMBER(Asset_Operations!E13),ISNUMBER(Asset_Operations!F13)))),"—",IF(IFERROR(AND(ISNUMBER(Asset_Operations!B13),ISNUMBER(Asset_Operations!E13),ISNUMBER(Asset_Operations!F13),Asset_Operations!B13&gt;0,ABS((Asset_Operations!E13+Asset_Operations!F13)-Asset_Operations!B13)/Asset_Operations!B13&gt;0.02),FALSE),"⚠","✓"))</f>
        <v>—</v>
      </c>
      <c r="E16" s="49" t="str">
        <f>IF(NOT(AND(IFERROR('Company_Master'!A13&lt;&gt;"",FALSE),ISNUMBER(Asset_Operations!AR13))),"—",IF(IFERROR(AND(ISNUMBER(Asset_Operations!AR13),OR(Asset_Operations!AR13&lt;0.15,Asset_Operations!AR13&gt;0.27)),FALSE),"⚠","✓"))</f>
        <v>—</v>
      </c>
      <c r="F16" s="49" t="str">
        <f>IF(NOT(AND(IFERROR('Company_Master'!A13&lt;&gt;"",FALSE),AND(ISNUMBER(Financials!Q13),ISNUMBER(Financials!R13)))),"—",IF(IFERROR(AND(ISNUMBER(Financials!Q13),ISNUMBER(Financials!R13),ISNUMBER(Financials!S13),ABS((Financials!R13-Financials!Q13)-Financials!S13)/MAX(ABS(Financials!S13),1)&gt;0.05),FALSE),"⚠","✓"))</f>
        <v>✓</v>
      </c>
      <c r="G16" s="49" t="str">
        <f>IF(NOT(AND(IFERROR('Company_Master'!A13&lt;&gt;"",FALSE),AND(ISNUMBER(Financials!I13),ISNUMBER(Financials!L13),ISNUMBER(Financials!O13)))),"—",IF(IFERROR(AND(ISNUMBER(Financials!I13),ISNUMBER(Financials!L13),ISNUMBER(Financials!O13),Financials!I13&gt;0,ABS(Financials!I13-(Financials!L13+Financials!O13))/Financials!I13&gt;0.01),FALSE),"⚠","✓"))</f>
        <v>✓</v>
      </c>
      <c r="H16" s="49" t="str">
        <f>IF(NOT(AND(IFERROR('Company_Master'!A13&lt;&gt;"",FALSE),AND(ISNUMBER(Financials!E13),ISNUMBER(Financials!F13)))),"—",IF(IFERROR(AND(ISNUMBER(Financials!E13),ISNUMBER(Financials!F13),Financials!E13&lt;Financials!F13),FALSE),"⚠","✓"))</f>
        <v>—</v>
      </c>
      <c r="I16" s="49" t="str">
        <f>IF(NOT(AND(IFERROR('Company_Master'!A13&lt;&gt;"",FALSE),AND(ISNUMBER(Financials!C13),ISNUMBER(Financials!E13)))),"—",IF(IFERROR(AND(ISNUMBER(Financials!C13),ISNUMBER(Financials!E13),Financials!C13=0,Financials!E13&gt;0),FALSE),"⚠","✓"))</f>
        <v>—</v>
      </c>
      <c r="J16" s="49" t="str">
        <f>IF(NOT(AND(IFERROR('Company_Master'!A13&lt;&gt;"",FALSE),COUNTIF('Raw_Extract'!A:A,'Company_Master'!A13)&gt;0)),"—",IF(COUNTIFS('Raw_Extract'!A:A,'Company_Master'!A13,'Raw_Extract'!J:J,"Low")&gt;0,"⚠","✓"))</f>
        <v>✓</v>
      </c>
      <c r="K16" s="49" t="str">
        <f>IF(NOT(AND(IFERROR('Company_Master'!A13&lt;&gt;"",FALSE),AND(ISNUMBER(Financials!E13),ISNUMBER(Financials!AP13)))),"—",IF(IFERROR(AND(ISNUMBER(Financials!E13),ISNUMBER(Financials!AP13),Financials!E13&lt;&gt;0,ABS(Financials!E13-Financials!AP13)/ABS(Financials!E13)&gt;0.05),FALSE),"⚠","✓"))</f>
        <v>—</v>
      </c>
      <c r="L16" s="49" t="str">
        <f>IF(NOT(AND(IFERROR('Company_Master'!A13&lt;&gt;"",FALSE),AND(ISNUMBER(Financials!AR13),ISNUMBER(Financials!S13)))),"—",IF(IFERROR(AND(ISNUMBER(Financials!AR13),ISNUMBER(Financials!S13),Financials!S13&lt;&gt;0,ABS(Financials!AR13-Financials!S13)/MAX(ABS(Financials!S13),1)&gt;0.05),FALSE),"⚠","✓"))</f>
        <v>✓</v>
      </c>
      <c r="M16" s="49" t="str">
        <f>IF(NOT(AND(IFERROR('Company_Master'!A13&lt;&gt;"",FALSE),AND(ISNUMBER(Asset_Operations!BE13),ISNUMBER(Asset_Operations!AR13)))),"—",IF(IFERROR(AND(ISNUMBER(Asset_Operations!BE13),ISNUMBER(Asset_Operations!AR13),ABS(Asset_Operations!BE13-Asset_Operations!AR13)&gt;0.05),FALSE),"⚠","✓"))</f>
        <v>—</v>
      </c>
      <c r="N16" s="49" t="str">
        <f>IF(NOT(AND(IFERROR('Company_Master'!A13&lt;&gt;"",FALSE),ISNUMBER(Financials!C13))),"—",IF(IFERROR(AND(ISNUMBER(Financials!C13),OR(Financials!C13&lt;50,Financials!C13&gt;200000)),FALSE),"⚠","✓"))</f>
        <v>✓</v>
      </c>
      <c r="O16" s="50">
        <f t="shared" si="0"/>
        <v>0</v>
      </c>
      <c r="P16" s="50">
        <f t="shared" si="1"/>
        <v>5</v>
      </c>
      <c r="Q16" s="46" t="str">
        <f>IF(NOT(IFERROR('Company_Master'!A13&lt;&gt;"",FALSE)),"",IF(O16&gt;0,"⚠ "&amp;O16&amp;" issue(s) detected",IF(P16=0,"— No data to validate","✓ All "&amp;P16&amp;" checks passed")))</f>
        <v>✓ All 5 checks passed</v>
      </c>
    </row>
    <row r="17" spans="1:17" x14ac:dyDescent="0.3">
      <c r="A17" s="47">
        <v>13</v>
      </c>
      <c r="B17" s="48" t="str">
        <f>IFERROR('Company_Master'!A14,"")</f>
        <v>PT Bumi Teknokultura Unggul Tbk</v>
      </c>
      <c r="C17" s="49" t="str">
        <f>IF(NOT(AND(IFERROR('Company_Master'!A14&lt;&gt;"",FALSE),OR(ISNUMBER(Asset_Operations!B14),ISNUMBER(Asset_Operations!C14),ISNUMBER(Asset_Operations!D14)))),"—",IF(IFERROR(AND(ISNUMBER(Asset_Operations!B14),ISNUMBER(Asset_Operations!C14),ISNUMBER(Asset_Operations!D14),Asset_Operations!B14&gt;0,ABS((Asset_Operations!C14+Asset_Operations!D14)-Asset_Operations!B14)/Asset_Operations!B14&gt;0.02),FALSE),"⚠","✓"))</f>
        <v>—</v>
      </c>
      <c r="D17" s="49" t="str">
        <f>IF(NOT(AND(IFERROR('Company_Master'!A14&lt;&gt;"",FALSE),OR(ISNUMBER(Asset_Operations!B14),ISNUMBER(Asset_Operations!E14),ISNUMBER(Asset_Operations!F14)))),"—",IF(IFERROR(AND(ISNUMBER(Asset_Operations!B14),ISNUMBER(Asset_Operations!E14),ISNUMBER(Asset_Operations!F14),Asset_Operations!B14&gt;0,ABS((Asset_Operations!E14+Asset_Operations!F14)-Asset_Operations!B14)/Asset_Operations!B14&gt;0.02),FALSE),"⚠","✓"))</f>
        <v>—</v>
      </c>
      <c r="E17" s="49" t="str">
        <f>IF(NOT(AND(IFERROR('Company_Master'!A14&lt;&gt;"",FALSE),ISNUMBER(Asset_Operations!AR14))),"—",IF(IFERROR(AND(ISNUMBER(Asset_Operations!AR14),OR(Asset_Operations!AR14&lt;0.15,Asset_Operations!AR14&gt;0.27)),FALSE),"⚠","✓"))</f>
        <v>—</v>
      </c>
      <c r="F17" s="49" t="str">
        <f>IF(NOT(AND(IFERROR('Company_Master'!A14&lt;&gt;"",FALSE),AND(ISNUMBER(Financials!Q14),ISNUMBER(Financials!R14)))),"—",IF(IFERROR(AND(ISNUMBER(Financials!Q14),ISNUMBER(Financials!R14),ISNUMBER(Financials!S14),ABS((Financials!R14-Financials!Q14)-Financials!S14)/MAX(ABS(Financials!S14),1)&gt;0.05),FALSE),"⚠","✓"))</f>
        <v>✓</v>
      </c>
      <c r="G17" s="49" t="str">
        <f>IF(NOT(AND(IFERROR('Company_Master'!A14&lt;&gt;"",FALSE),AND(ISNUMBER(Financials!I14),ISNUMBER(Financials!L14),ISNUMBER(Financials!O14)))),"—",IF(IFERROR(AND(ISNUMBER(Financials!I14),ISNUMBER(Financials!L14),ISNUMBER(Financials!O14),Financials!I14&gt;0,ABS(Financials!I14-(Financials!L14+Financials!O14))/Financials!I14&gt;0.01),FALSE),"⚠","✓"))</f>
        <v>✓</v>
      </c>
      <c r="H17" s="49" t="str">
        <f>IF(NOT(AND(IFERROR('Company_Master'!A14&lt;&gt;"",FALSE),AND(ISNUMBER(Financials!E14),ISNUMBER(Financials!F14)))),"—",IF(IFERROR(AND(ISNUMBER(Financials!E14),ISNUMBER(Financials!F14),Financials!E14&lt;Financials!F14),FALSE),"⚠","✓"))</f>
        <v>—</v>
      </c>
      <c r="I17" s="49" t="str">
        <f>IF(NOT(AND(IFERROR('Company_Master'!A14&lt;&gt;"",FALSE),AND(ISNUMBER(Financials!C14),ISNUMBER(Financials!E14)))),"—",IF(IFERROR(AND(ISNUMBER(Financials!C14),ISNUMBER(Financials!E14),Financials!C14=0,Financials!E14&gt;0),FALSE),"⚠","✓"))</f>
        <v>—</v>
      </c>
      <c r="J17" s="49" t="str">
        <f>IF(NOT(AND(IFERROR('Company_Master'!A14&lt;&gt;"",FALSE),COUNTIF('Raw_Extract'!A:A,'Company_Master'!A14)&gt;0)),"—",IF(COUNTIFS('Raw_Extract'!A:A,'Company_Master'!A14,'Raw_Extract'!J:J,"Low")&gt;0,"⚠","✓"))</f>
        <v>✓</v>
      </c>
      <c r="K17" s="49" t="str">
        <f>IF(NOT(AND(IFERROR('Company_Master'!A14&lt;&gt;"",FALSE),AND(ISNUMBER(Financials!E14),ISNUMBER(Financials!AP14)))),"—",IF(IFERROR(AND(ISNUMBER(Financials!E14),ISNUMBER(Financials!AP14),Financials!E14&lt;&gt;0,ABS(Financials!E14-Financials!AP14)/ABS(Financials!E14)&gt;0.05),FALSE),"⚠","✓"))</f>
        <v>—</v>
      </c>
      <c r="L17" s="49" t="str">
        <f>IF(NOT(AND(IFERROR('Company_Master'!A14&lt;&gt;"",FALSE),AND(ISNUMBER(Financials!AR14),ISNUMBER(Financials!S14)))),"—",IF(IFERROR(AND(ISNUMBER(Financials!AR14),ISNUMBER(Financials!S14),Financials!S14&lt;&gt;0,ABS(Financials!AR14-Financials!S14)/MAX(ABS(Financials!S14),1)&gt;0.05),FALSE),"⚠","✓"))</f>
        <v>✓</v>
      </c>
      <c r="M17" s="49" t="str">
        <f>IF(NOT(AND(IFERROR('Company_Master'!A14&lt;&gt;"",FALSE),AND(ISNUMBER(Asset_Operations!BE14),ISNUMBER(Asset_Operations!AR14)))),"—",IF(IFERROR(AND(ISNUMBER(Asset_Operations!BE14),ISNUMBER(Asset_Operations!AR14),ABS(Asset_Operations!BE14-Asset_Operations!AR14)&gt;0.05),FALSE),"⚠","✓"))</f>
        <v>—</v>
      </c>
      <c r="N17" s="49" t="str">
        <f>IF(NOT(AND(IFERROR('Company_Master'!A14&lt;&gt;"",FALSE),ISNUMBER(Financials!C14))),"—",IF(IFERROR(AND(ISNUMBER(Financials!C14),OR(Financials!C14&lt;50,Financials!C14&gt;200000)),FALSE),"⚠","✓"))</f>
        <v>✓</v>
      </c>
      <c r="O17" s="50">
        <f t="shared" si="0"/>
        <v>0</v>
      </c>
      <c r="P17" s="50">
        <f t="shared" si="1"/>
        <v>5</v>
      </c>
      <c r="Q17" s="46" t="str">
        <f>IF(NOT(IFERROR('Company_Master'!A14&lt;&gt;"",FALSE)),"",IF(O17&gt;0,"⚠ "&amp;O17&amp;" issue(s) detected",IF(P17=0,"— No data to validate","✓ All "&amp;P17&amp;" checks passed")))</f>
        <v>✓ All 5 checks passed</v>
      </c>
    </row>
    <row r="18" spans="1:17" x14ac:dyDescent="0.3">
      <c r="A18" s="47">
        <v>14</v>
      </c>
      <c r="B18" s="48" t="str">
        <f>IFERROR('Company_Master'!A15,"")</f>
        <v>PT Bumi Teknokultura Unggul Tbk</v>
      </c>
      <c r="C18" s="49" t="str">
        <f>IF(NOT(AND(IFERROR('Company_Master'!A15&lt;&gt;"",FALSE),OR(ISNUMBER(Asset_Operations!B15),ISNUMBER(Asset_Operations!C15),ISNUMBER(Asset_Operations!D15)))),"—",IF(IFERROR(AND(ISNUMBER(Asset_Operations!B15),ISNUMBER(Asset_Operations!C15),ISNUMBER(Asset_Operations!D15),Asset_Operations!B15&gt;0,ABS((Asset_Operations!C15+Asset_Operations!D15)-Asset_Operations!B15)/Asset_Operations!B15&gt;0.02),FALSE),"⚠","✓"))</f>
        <v>—</v>
      </c>
      <c r="D18" s="49" t="str">
        <f>IF(NOT(AND(IFERROR('Company_Master'!A15&lt;&gt;"",FALSE),OR(ISNUMBER(Asset_Operations!B15),ISNUMBER(Asset_Operations!E15),ISNUMBER(Asset_Operations!F15)))),"—",IF(IFERROR(AND(ISNUMBER(Asset_Operations!B15),ISNUMBER(Asset_Operations!E15),ISNUMBER(Asset_Operations!F15),Asset_Operations!B15&gt;0,ABS((Asset_Operations!E15+Asset_Operations!F15)-Asset_Operations!B15)/Asset_Operations!B15&gt;0.02),FALSE),"⚠","✓"))</f>
        <v>—</v>
      </c>
      <c r="E18" s="49" t="str">
        <f>IF(NOT(AND(IFERROR('Company_Master'!A15&lt;&gt;"",FALSE),ISNUMBER(Asset_Operations!AR15))),"—",IF(IFERROR(AND(ISNUMBER(Asset_Operations!AR15),OR(Asset_Operations!AR15&lt;0.15,Asset_Operations!AR15&gt;0.27)),FALSE),"⚠","✓"))</f>
        <v>—</v>
      </c>
      <c r="F18" s="49" t="str">
        <f>IF(NOT(AND(IFERROR('Company_Master'!A15&lt;&gt;"",FALSE),AND(ISNUMBER(Financials!Q15),ISNUMBER(Financials!R15)))),"—",IF(IFERROR(AND(ISNUMBER(Financials!Q15),ISNUMBER(Financials!R15),ISNUMBER(Financials!S15),ABS((Financials!R15-Financials!Q15)-Financials!S15)/MAX(ABS(Financials!S15),1)&gt;0.05),FALSE),"⚠","✓"))</f>
        <v>✓</v>
      </c>
      <c r="G18" s="49" t="str">
        <f>IF(NOT(AND(IFERROR('Company_Master'!A15&lt;&gt;"",FALSE),AND(ISNUMBER(Financials!I15),ISNUMBER(Financials!L15),ISNUMBER(Financials!O15)))),"—",IF(IFERROR(AND(ISNUMBER(Financials!I15),ISNUMBER(Financials!L15),ISNUMBER(Financials!O15),Financials!I15&gt;0,ABS(Financials!I15-(Financials!L15+Financials!O15))/Financials!I15&gt;0.01),FALSE),"⚠","✓"))</f>
        <v>✓</v>
      </c>
      <c r="H18" s="49" t="str">
        <f>IF(NOT(AND(IFERROR('Company_Master'!A15&lt;&gt;"",FALSE),AND(ISNUMBER(Financials!E15),ISNUMBER(Financials!F15)))),"—",IF(IFERROR(AND(ISNUMBER(Financials!E15),ISNUMBER(Financials!F15),Financials!E15&lt;Financials!F15),FALSE),"⚠","✓"))</f>
        <v>—</v>
      </c>
      <c r="I18" s="49" t="str">
        <f>IF(NOT(AND(IFERROR('Company_Master'!A15&lt;&gt;"",FALSE),AND(ISNUMBER(Financials!C15),ISNUMBER(Financials!E15)))),"—",IF(IFERROR(AND(ISNUMBER(Financials!C15),ISNUMBER(Financials!E15),Financials!C15=0,Financials!E15&gt;0),FALSE),"⚠","✓"))</f>
        <v>—</v>
      </c>
      <c r="J18" s="49" t="str">
        <f>IF(NOT(AND(IFERROR('Company_Master'!A15&lt;&gt;"",FALSE),COUNTIF('Raw_Extract'!A:A,'Company_Master'!A15)&gt;0)),"—",IF(COUNTIFS('Raw_Extract'!A:A,'Company_Master'!A15,'Raw_Extract'!J:J,"Low")&gt;0,"⚠","✓"))</f>
        <v>✓</v>
      </c>
      <c r="K18" s="49" t="str">
        <f>IF(NOT(AND(IFERROR('Company_Master'!A15&lt;&gt;"",FALSE),AND(ISNUMBER(Financials!E15),ISNUMBER(Financials!AP15)))),"—",IF(IFERROR(AND(ISNUMBER(Financials!E15),ISNUMBER(Financials!AP15),Financials!E15&lt;&gt;0,ABS(Financials!E15-Financials!AP15)/ABS(Financials!E15)&gt;0.05),FALSE),"⚠","✓"))</f>
        <v>—</v>
      </c>
      <c r="L18" s="49" t="str">
        <f>IF(NOT(AND(IFERROR('Company_Master'!A15&lt;&gt;"",FALSE),AND(ISNUMBER(Financials!AR15),ISNUMBER(Financials!S15)))),"—",IF(IFERROR(AND(ISNUMBER(Financials!AR15),ISNUMBER(Financials!S15),Financials!S15&lt;&gt;0,ABS(Financials!AR15-Financials!S15)/MAX(ABS(Financials!S15),1)&gt;0.05),FALSE),"⚠","✓"))</f>
        <v>✓</v>
      </c>
      <c r="M18" s="49" t="str">
        <f>IF(NOT(AND(IFERROR('Company_Master'!A15&lt;&gt;"",FALSE),AND(ISNUMBER(Asset_Operations!BE15),ISNUMBER(Asset_Operations!AR15)))),"—",IF(IFERROR(AND(ISNUMBER(Asset_Operations!BE15),ISNUMBER(Asset_Operations!AR15),ABS(Asset_Operations!BE15-Asset_Operations!AR15)&gt;0.05),FALSE),"⚠","✓"))</f>
        <v>—</v>
      </c>
      <c r="N18" s="49" t="str">
        <f>IF(NOT(AND(IFERROR('Company_Master'!A15&lt;&gt;"",FALSE),ISNUMBER(Financials!C15))),"—",IF(IFERROR(AND(ISNUMBER(Financials!C15),OR(Financials!C15&lt;50,Financials!C15&gt;200000)),FALSE),"⚠","✓"))</f>
        <v>✓</v>
      </c>
      <c r="O18" s="50">
        <f t="shared" si="0"/>
        <v>0</v>
      </c>
      <c r="P18" s="50">
        <f t="shared" si="1"/>
        <v>5</v>
      </c>
      <c r="Q18" s="46" t="str">
        <f>IF(NOT(IFERROR('Company_Master'!A15&lt;&gt;"",FALSE)),"",IF(O18&gt;0,"⚠ "&amp;O18&amp;" issue(s) detected",IF(P18=0,"— No data to validate","✓ All "&amp;P18&amp;" checks passed")))</f>
        <v>✓ All 5 checks passed</v>
      </c>
    </row>
    <row r="19" spans="1:17" x14ac:dyDescent="0.3">
      <c r="A19" s="47">
        <v>15</v>
      </c>
      <c r="B19" s="48" t="str">
        <f>IFERROR('Company_Master'!A16,"")</f>
        <v>PT Bumi Teknokultura Unggul Tbk</v>
      </c>
      <c r="C19" s="49" t="str">
        <f>IF(NOT(AND(IFERROR('Company_Master'!A16&lt;&gt;"",FALSE),OR(ISNUMBER(Asset_Operations!B16),ISNUMBER(Asset_Operations!C16),ISNUMBER(Asset_Operations!D16)))),"—",IF(IFERROR(AND(ISNUMBER(Asset_Operations!B16),ISNUMBER(Asset_Operations!C16),ISNUMBER(Asset_Operations!D16),Asset_Operations!B16&gt;0,ABS((Asset_Operations!C16+Asset_Operations!D16)-Asset_Operations!B16)/Asset_Operations!B16&gt;0.02),FALSE),"⚠","✓"))</f>
        <v>—</v>
      </c>
      <c r="D19" s="49" t="str">
        <f>IF(NOT(AND(IFERROR('Company_Master'!A16&lt;&gt;"",FALSE),OR(ISNUMBER(Asset_Operations!B16),ISNUMBER(Asset_Operations!E16),ISNUMBER(Asset_Operations!F16)))),"—",IF(IFERROR(AND(ISNUMBER(Asset_Operations!B16),ISNUMBER(Asset_Operations!E16),ISNUMBER(Asset_Operations!F16),Asset_Operations!B16&gt;0,ABS((Asset_Operations!E16+Asset_Operations!F16)-Asset_Operations!B16)/Asset_Operations!B16&gt;0.02),FALSE),"⚠","✓"))</f>
        <v>—</v>
      </c>
      <c r="E19" s="49" t="str">
        <f>IF(NOT(AND(IFERROR('Company_Master'!A16&lt;&gt;"",FALSE),ISNUMBER(Asset_Operations!AR16))),"—",IF(IFERROR(AND(ISNUMBER(Asset_Operations!AR16),OR(Asset_Operations!AR16&lt;0.15,Asset_Operations!AR16&gt;0.27)),FALSE),"⚠","✓"))</f>
        <v>—</v>
      </c>
      <c r="F19" s="49" t="str">
        <f>IF(NOT(AND(IFERROR('Company_Master'!A16&lt;&gt;"",FALSE),AND(ISNUMBER(Financials!Q16),ISNUMBER(Financials!R16)))),"—",IF(IFERROR(AND(ISNUMBER(Financials!Q16),ISNUMBER(Financials!R16),ISNUMBER(Financials!S16),ABS((Financials!R16-Financials!Q16)-Financials!S16)/MAX(ABS(Financials!S16),1)&gt;0.05),FALSE),"⚠","✓"))</f>
        <v>✓</v>
      </c>
      <c r="G19" s="49" t="str">
        <f>IF(NOT(AND(IFERROR('Company_Master'!A16&lt;&gt;"",FALSE),AND(ISNUMBER(Financials!I16),ISNUMBER(Financials!L16),ISNUMBER(Financials!O16)))),"—",IF(IFERROR(AND(ISNUMBER(Financials!I16),ISNUMBER(Financials!L16),ISNUMBER(Financials!O16),Financials!I16&gt;0,ABS(Financials!I16-(Financials!L16+Financials!O16))/Financials!I16&gt;0.01),FALSE),"⚠","✓"))</f>
        <v>✓</v>
      </c>
      <c r="H19" s="49" t="str">
        <f>IF(NOT(AND(IFERROR('Company_Master'!A16&lt;&gt;"",FALSE),AND(ISNUMBER(Financials!E16),ISNUMBER(Financials!F16)))),"—",IF(IFERROR(AND(ISNUMBER(Financials!E16),ISNUMBER(Financials!F16),Financials!E16&lt;Financials!F16),FALSE),"⚠","✓"))</f>
        <v>—</v>
      </c>
      <c r="I19" s="49" t="str">
        <f>IF(NOT(AND(IFERROR('Company_Master'!A16&lt;&gt;"",FALSE),AND(ISNUMBER(Financials!C16),ISNUMBER(Financials!E16)))),"—",IF(IFERROR(AND(ISNUMBER(Financials!C16),ISNUMBER(Financials!E16),Financials!C16=0,Financials!E16&gt;0),FALSE),"⚠","✓"))</f>
        <v>—</v>
      </c>
      <c r="J19" s="49" t="str">
        <f>IF(NOT(AND(IFERROR('Company_Master'!A16&lt;&gt;"",FALSE),COUNTIF('Raw_Extract'!A:A,'Company_Master'!A16)&gt;0)),"—",IF(COUNTIFS('Raw_Extract'!A:A,'Company_Master'!A16,'Raw_Extract'!J:J,"Low")&gt;0,"⚠","✓"))</f>
        <v>✓</v>
      </c>
      <c r="K19" s="49" t="str">
        <f>IF(NOT(AND(IFERROR('Company_Master'!A16&lt;&gt;"",FALSE),AND(ISNUMBER(Financials!E16),ISNUMBER(Financials!AP16)))),"—",IF(IFERROR(AND(ISNUMBER(Financials!E16),ISNUMBER(Financials!AP16),Financials!E16&lt;&gt;0,ABS(Financials!E16-Financials!AP16)/ABS(Financials!E16)&gt;0.05),FALSE),"⚠","✓"))</f>
        <v>—</v>
      </c>
      <c r="L19" s="49" t="str">
        <f>IF(NOT(AND(IFERROR('Company_Master'!A16&lt;&gt;"",FALSE),AND(ISNUMBER(Financials!AR16),ISNUMBER(Financials!S16)))),"—",IF(IFERROR(AND(ISNUMBER(Financials!AR16),ISNUMBER(Financials!S16),Financials!S16&lt;&gt;0,ABS(Financials!AR16-Financials!S16)/MAX(ABS(Financials!S16),1)&gt;0.05),FALSE),"⚠","✓"))</f>
        <v>✓</v>
      </c>
      <c r="M19" s="49" t="str">
        <f>IF(NOT(AND(IFERROR('Company_Master'!A16&lt;&gt;"",FALSE),AND(ISNUMBER(Asset_Operations!BE16),ISNUMBER(Asset_Operations!AR16)))),"—",IF(IFERROR(AND(ISNUMBER(Asset_Operations!BE16),ISNUMBER(Asset_Operations!AR16),ABS(Asset_Operations!BE16-Asset_Operations!AR16)&gt;0.05),FALSE),"⚠","✓"))</f>
        <v>—</v>
      </c>
      <c r="N19" s="49" t="str">
        <f>IF(NOT(AND(IFERROR('Company_Master'!A16&lt;&gt;"",FALSE),ISNUMBER(Financials!C16))),"—",IF(IFERROR(AND(ISNUMBER(Financials!C16),OR(Financials!C16&lt;50,Financials!C16&gt;200000)),FALSE),"⚠","✓"))</f>
        <v>✓</v>
      </c>
      <c r="O19" s="50">
        <f t="shared" si="0"/>
        <v>0</v>
      </c>
      <c r="P19" s="50">
        <f t="shared" si="1"/>
        <v>5</v>
      </c>
      <c r="Q19" s="46" t="str">
        <f>IF(NOT(IFERROR('Company_Master'!A16&lt;&gt;"",FALSE)),"",IF(O19&gt;0,"⚠ "&amp;O19&amp;" issue(s) detected",IF(P19=0,"— No data to validate","✓ All "&amp;P19&amp;" checks passed")))</f>
        <v>✓ All 5 checks passed</v>
      </c>
    </row>
    <row r="20" spans="1:17" x14ac:dyDescent="0.3">
      <c r="A20" s="47">
        <v>16</v>
      </c>
      <c r="B20" s="48" t="str">
        <f>IFERROR('Company_Master'!A17,"")</f>
        <v>PT Eagle High Plantations Tbk</v>
      </c>
      <c r="C20" s="49" t="str">
        <f>IF(NOT(AND(IFERROR('Company_Master'!A17&lt;&gt;"",FALSE),OR(ISNUMBER(Asset_Operations!B17),ISNUMBER(Asset_Operations!C17),ISNUMBER(Asset_Operations!D17)))),"—",IF(IFERROR(AND(ISNUMBER(Asset_Operations!B17),ISNUMBER(Asset_Operations!C17),ISNUMBER(Asset_Operations!D17),Asset_Operations!B17&gt;0,ABS((Asset_Operations!C17+Asset_Operations!D17)-Asset_Operations!B17)/Asset_Operations!B17&gt;0.02),FALSE),"⚠","✓"))</f>
        <v>✓</v>
      </c>
      <c r="D20" s="49" t="str">
        <f>IF(NOT(AND(IFERROR('Company_Master'!A17&lt;&gt;"",FALSE),OR(ISNUMBER(Asset_Operations!B17),ISNUMBER(Asset_Operations!E17),ISNUMBER(Asset_Operations!F17)))),"—",IF(IFERROR(AND(ISNUMBER(Asset_Operations!B17),ISNUMBER(Asset_Operations!E17),ISNUMBER(Asset_Operations!F17),Asset_Operations!B17&gt;0,ABS((Asset_Operations!E17+Asset_Operations!F17)-Asset_Operations!B17)/Asset_Operations!B17&gt;0.02),FALSE),"⚠","✓"))</f>
        <v>✓</v>
      </c>
      <c r="E20" s="49" t="str">
        <f>IF(NOT(AND(IFERROR('Company_Master'!A17&lt;&gt;"",FALSE),ISNUMBER(Asset_Operations!AR17))),"—",IF(IFERROR(AND(ISNUMBER(Asset_Operations!AR17),OR(Asset_Operations!AR17&lt;0.15,Asset_Operations!AR17&gt;0.27)),FALSE),"⚠","✓"))</f>
        <v>✓</v>
      </c>
      <c r="F20" s="49" t="str">
        <f>IF(NOT(AND(IFERROR('Company_Master'!A17&lt;&gt;"",FALSE),AND(ISNUMBER(Financials!Q17),ISNUMBER(Financials!R17)))),"—",IF(IFERROR(AND(ISNUMBER(Financials!Q17),ISNUMBER(Financials!R17),ISNUMBER(Financials!S17),ABS((Financials!R17-Financials!Q17)-Financials!S17)/MAX(ABS(Financials!S17),1)&gt;0.05),FALSE),"⚠","✓"))</f>
        <v>✓</v>
      </c>
      <c r="G20" s="49" t="str">
        <f>IF(NOT(AND(IFERROR('Company_Master'!A17&lt;&gt;"",FALSE),AND(ISNUMBER(Financials!I17),ISNUMBER(Financials!L17),ISNUMBER(Financials!O17)))),"—",IF(IFERROR(AND(ISNUMBER(Financials!I17),ISNUMBER(Financials!L17),ISNUMBER(Financials!O17),Financials!I17&gt;0,ABS(Financials!I17-(Financials!L17+Financials!O17))/Financials!I17&gt;0.01),FALSE),"⚠","✓"))</f>
        <v>✓</v>
      </c>
      <c r="H20" s="49" t="str">
        <f>IF(NOT(AND(IFERROR('Company_Master'!A17&lt;&gt;"",FALSE),AND(ISNUMBER(Financials!E17),ISNUMBER(Financials!F17)))),"—",IF(IFERROR(AND(ISNUMBER(Financials!E17),ISNUMBER(Financials!F17),Financials!E17&lt;Financials!F17),FALSE),"⚠","✓"))</f>
        <v>—</v>
      </c>
      <c r="I20" s="49" t="str">
        <f>IF(NOT(AND(IFERROR('Company_Master'!A17&lt;&gt;"",FALSE),AND(ISNUMBER(Financials!C17),ISNUMBER(Financials!E17)))),"—",IF(IFERROR(AND(ISNUMBER(Financials!C17),ISNUMBER(Financials!E17),Financials!C17=0,Financials!E17&gt;0),FALSE),"⚠","✓"))</f>
        <v>—</v>
      </c>
      <c r="J20" s="49" t="str">
        <f>IF(NOT(AND(IFERROR('Company_Master'!A17&lt;&gt;"",FALSE),COUNTIF('Raw_Extract'!A:A,'Company_Master'!A17)&gt;0)),"—",IF(COUNTIFS('Raw_Extract'!A:A,'Company_Master'!A17,'Raw_Extract'!J:J,"Low")&gt;0,"⚠","✓"))</f>
        <v>✓</v>
      </c>
      <c r="K20" s="49" t="str">
        <f>IF(NOT(AND(IFERROR('Company_Master'!A17&lt;&gt;"",FALSE),AND(ISNUMBER(Financials!E17),ISNUMBER(Financials!AP17)))),"—",IF(IFERROR(AND(ISNUMBER(Financials!E17),ISNUMBER(Financials!AP17),Financials!E17&lt;&gt;0,ABS(Financials!E17-Financials!AP17)/ABS(Financials!E17)&gt;0.05),FALSE),"⚠","✓"))</f>
        <v>—</v>
      </c>
      <c r="L20" s="49" t="str">
        <f>IF(NOT(AND(IFERROR('Company_Master'!A17&lt;&gt;"",FALSE),AND(ISNUMBER(Financials!AR17),ISNUMBER(Financials!S17)))),"—",IF(IFERROR(AND(ISNUMBER(Financials!AR17),ISNUMBER(Financials!S17),Financials!S17&lt;&gt;0,ABS(Financials!AR17-Financials!S17)/MAX(ABS(Financials!S17),1)&gt;0.05),FALSE),"⚠","✓"))</f>
        <v>—</v>
      </c>
      <c r="M20" s="49" t="str">
        <f>IF(NOT(AND(IFERROR('Company_Master'!A17&lt;&gt;"",FALSE),AND(ISNUMBER(Asset_Operations!BE17),ISNUMBER(Asset_Operations!AR17)))),"—",IF(IFERROR(AND(ISNUMBER(Asset_Operations!BE17),ISNUMBER(Asset_Operations!AR17),ABS(Asset_Operations!BE17-Asset_Operations!AR17)&gt;0.05),FALSE),"⚠","✓"))</f>
        <v>✓</v>
      </c>
      <c r="N20" s="49" t="str">
        <f>IF(NOT(AND(IFERROR('Company_Master'!A17&lt;&gt;"",FALSE),ISNUMBER(Financials!C17))),"—",IF(IFERROR(AND(ISNUMBER(Financials!C17),OR(Financials!C17&lt;50,Financials!C17&gt;200000)),FALSE),"⚠","✓"))</f>
        <v>✓</v>
      </c>
      <c r="O20" s="50">
        <f t="shared" si="0"/>
        <v>0</v>
      </c>
      <c r="P20" s="50">
        <f t="shared" si="1"/>
        <v>8</v>
      </c>
      <c r="Q20" s="46" t="str">
        <f>IF(NOT(IFERROR('Company_Master'!A17&lt;&gt;"",FALSE)),"",IF(O20&gt;0,"⚠ "&amp;O20&amp;" issue(s) detected",IF(P20=0,"— No data to validate","✓ All "&amp;P20&amp;" checks passed")))</f>
        <v>✓ All 8 checks passed</v>
      </c>
    </row>
    <row r="21" spans="1:17" x14ac:dyDescent="0.3">
      <c r="A21" s="47">
        <v>17</v>
      </c>
      <c r="B21" s="48" t="str">
        <f>IFERROR('Company_Master'!A18,"")</f>
        <v>PT Eagle High Plantations Tbk</v>
      </c>
      <c r="C21" s="49" t="str">
        <f>IF(NOT(AND(IFERROR('Company_Master'!A18&lt;&gt;"",FALSE),OR(ISNUMBER(Asset_Operations!B18),ISNUMBER(Asset_Operations!C18),ISNUMBER(Asset_Operations!D18)))),"—",IF(IFERROR(AND(ISNUMBER(Asset_Operations!B18),ISNUMBER(Asset_Operations!C18),ISNUMBER(Asset_Operations!D18),Asset_Operations!B18&gt;0,ABS((Asset_Operations!C18+Asset_Operations!D18)-Asset_Operations!B18)/Asset_Operations!B18&gt;0.02),FALSE),"⚠","✓"))</f>
        <v>✓</v>
      </c>
      <c r="D21" s="49" t="str">
        <f>IF(NOT(AND(IFERROR('Company_Master'!A18&lt;&gt;"",FALSE),OR(ISNUMBER(Asset_Operations!B18),ISNUMBER(Asset_Operations!E18),ISNUMBER(Asset_Operations!F18)))),"—",IF(IFERROR(AND(ISNUMBER(Asset_Operations!B18),ISNUMBER(Asset_Operations!E18),ISNUMBER(Asset_Operations!F18),Asset_Operations!B18&gt;0,ABS((Asset_Operations!E18+Asset_Operations!F18)-Asset_Operations!B18)/Asset_Operations!B18&gt;0.02),FALSE),"⚠","✓"))</f>
        <v>✓</v>
      </c>
      <c r="E21" s="49" t="str">
        <f>IF(NOT(AND(IFERROR('Company_Master'!A18&lt;&gt;"",FALSE),ISNUMBER(Asset_Operations!AR18))),"—",IF(IFERROR(AND(ISNUMBER(Asset_Operations!AR18),OR(Asset_Operations!AR18&lt;0.15,Asset_Operations!AR18&gt;0.27)),FALSE),"⚠","✓"))</f>
        <v>—</v>
      </c>
      <c r="F21" s="49" t="str">
        <f>IF(NOT(AND(IFERROR('Company_Master'!A18&lt;&gt;"",FALSE),AND(ISNUMBER(Financials!Q18),ISNUMBER(Financials!R18)))),"—",IF(IFERROR(AND(ISNUMBER(Financials!Q18),ISNUMBER(Financials!R18),ISNUMBER(Financials!S18),ABS((Financials!R18-Financials!Q18)-Financials!S18)/MAX(ABS(Financials!S18),1)&gt;0.05),FALSE),"⚠","✓"))</f>
        <v>✓</v>
      </c>
      <c r="G21" s="49" t="str">
        <f>IF(NOT(AND(IFERROR('Company_Master'!A18&lt;&gt;"",FALSE),AND(ISNUMBER(Financials!I18),ISNUMBER(Financials!L18),ISNUMBER(Financials!O18)))),"—",IF(IFERROR(AND(ISNUMBER(Financials!I18),ISNUMBER(Financials!L18),ISNUMBER(Financials!O18),Financials!I18&gt;0,ABS(Financials!I18-(Financials!L18+Financials!O18))/Financials!I18&gt;0.01),FALSE),"⚠","✓"))</f>
        <v>✓</v>
      </c>
      <c r="H21" s="49" t="str">
        <f>IF(NOT(AND(IFERROR('Company_Master'!A18&lt;&gt;"",FALSE),AND(ISNUMBER(Financials!E18),ISNUMBER(Financials!F18)))),"—",IF(IFERROR(AND(ISNUMBER(Financials!E18),ISNUMBER(Financials!F18),Financials!E18&lt;Financials!F18),FALSE),"⚠","✓"))</f>
        <v>—</v>
      </c>
      <c r="I21" s="49" t="str">
        <f>IF(NOT(AND(IFERROR('Company_Master'!A18&lt;&gt;"",FALSE),AND(ISNUMBER(Financials!C18),ISNUMBER(Financials!E18)))),"—",IF(IFERROR(AND(ISNUMBER(Financials!C18),ISNUMBER(Financials!E18),Financials!C18=0,Financials!E18&gt;0),FALSE),"⚠","✓"))</f>
        <v>—</v>
      </c>
      <c r="J21" s="49" t="str">
        <f>IF(NOT(AND(IFERROR('Company_Master'!A18&lt;&gt;"",FALSE),COUNTIF('Raw_Extract'!A:A,'Company_Master'!A18)&gt;0)),"—",IF(COUNTIFS('Raw_Extract'!A:A,'Company_Master'!A18,'Raw_Extract'!J:J,"Low")&gt;0,"⚠","✓"))</f>
        <v>✓</v>
      </c>
      <c r="K21" s="49" t="str">
        <f>IF(NOT(AND(IFERROR('Company_Master'!A18&lt;&gt;"",FALSE),AND(ISNUMBER(Financials!E18),ISNUMBER(Financials!AP18)))),"—",IF(IFERROR(AND(ISNUMBER(Financials!E18),ISNUMBER(Financials!AP18),Financials!E18&lt;&gt;0,ABS(Financials!E18-Financials!AP18)/ABS(Financials!E18)&gt;0.05),FALSE),"⚠","✓"))</f>
        <v>—</v>
      </c>
      <c r="L21" s="49" t="str">
        <f>IF(NOT(AND(IFERROR('Company_Master'!A18&lt;&gt;"",FALSE),AND(ISNUMBER(Financials!AR18),ISNUMBER(Financials!S18)))),"—",IF(IFERROR(AND(ISNUMBER(Financials!AR18),ISNUMBER(Financials!S18),Financials!S18&lt;&gt;0,ABS(Financials!AR18-Financials!S18)/MAX(ABS(Financials!S18),1)&gt;0.05),FALSE),"⚠","✓"))</f>
        <v>✓</v>
      </c>
      <c r="M21" s="49" t="str">
        <f>IF(NOT(AND(IFERROR('Company_Master'!A18&lt;&gt;"",FALSE),AND(ISNUMBER(Asset_Operations!BE18),ISNUMBER(Asset_Operations!AR18)))),"—",IF(IFERROR(AND(ISNUMBER(Asset_Operations!BE18),ISNUMBER(Asset_Operations!AR18),ABS(Asset_Operations!BE18-Asset_Operations!AR18)&gt;0.05),FALSE),"⚠","✓"))</f>
        <v>—</v>
      </c>
      <c r="N21" s="49" t="str">
        <f>IF(NOT(AND(IFERROR('Company_Master'!A18&lt;&gt;"",FALSE),ISNUMBER(Financials!C18))),"—",IF(IFERROR(AND(ISNUMBER(Financials!C18),OR(Financials!C18&lt;50,Financials!C18&gt;200000)),FALSE),"⚠","✓"))</f>
        <v>✓</v>
      </c>
      <c r="O21" s="50">
        <f t="shared" si="0"/>
        <v>0</v>
      </c>
      <c r="P21" s="50">
        <f t="shared" si="1"/>
        <v>7</v>
      </c>
      <c r="Q21" s="46" t="str">
        <f>IF(NOT(IFERROR('Company_Master'!A18&lt;&gt;"",FALSE)),"",IF(O21&gt;0,"⚠ "&amp;O21&amp;" issue(s) detected",IF(P21=0,"— No data to validate","✓ All "&amp;P21&amp;" checks passed")))</f>
        <v>✓ All 7 checks passed</v>
      </c>
    </row>
    <row r="22" spans="1:17" x14ac:dyDescent="0.3">
      <c r="A22" s="47">
        <v>18</v>
      </c>
      <c r="B22" s="48" t="str">
        <f>IFERROR('Company_Master'!A19,"")</f>
        <v>PT Eagle High Plantations Tbk</v>
      </c>
      <c r="C22" s="49" t="str">
        <f>IF(NOT(AND(IFERROR('Company_Master'!A19&lt;&gt;"",FALSE),OR(ISNUMBER(Asset_Operations!B19),ISNUMBER(Asset_Operations!C19),ISNUMBER(Asset_Operations!D19)))),"—",IF(IFERROR(AND(ISNUMBER(Asset_Operations!B19),ISNUMBER(Asset_Operations!C19),ISNUMBER(Asset_Operations!D19),Asset_Operations!B19&gt;0,ABS((Asset_Operations!C19+Asset_Operations!D19)-Asset_Operations!B19)/Asset_Operations!B19&gt;0.02),FALSE),"⚠","✓"))</f>
        <v>✓</v>
      </c>
      <c r="D22" s="49" t="str">
        <f>IF(NOT(AND(IFERROR('Company_Master'!A19&lt;&gt;"",FALSE),OR(ISNUMBER(Asset_Operations!B19),ISNUMBER(Asset_Operations!E19),ISNUMBER(Asset_Operations!F19)))),"—",IF(IFERROR(AND(ISNUMBER(Asset_Operations!B19),ISNUMBER(Asset_Operations!E19),ISNUMBER(Asset_Operations!F19),Asset_Operations!B19&gt;0,ABS((Asset_Operations!E19+Asset_Operations!F19)-Asset_Operations!B19)/Asset_Operations!B19&gt;0.02),FALSE),"⚠","✓"))</f>
        <v>✓</v>
      </c>
      <c r="E22" s="49" t="str">
        <f>IF(NOT(AND(IFERROR('Company_Master'!A19&lt;&gt;"",FALSE),ISNUMBER(Asset_Operations!AR19))),"—",IF(IFERROR(AND(ISNUMBER(Asset_Operations!AR19),OR(Asset_Operations!AR19&lt;0.15,Asset_Operations!AR19&gt;0.27)),FALSE),"⚠","✓"))</f>
        <v>—</v>
      </c>
      <c r="F22" s="49" t="str">
        <f>IF(NOT(AND(IFERROR('Company_Master'!A19&lt;&gt;"",FALSE),AND(ISNUMBER(Financials!Q19),ISNUMBER(Financials!R19)))),"—",IF(IFERROR(AND(ISNUMBER(Financials!Q19),ISNUMBER(Financials!R19),ISNUMBER(Financials!S19),ABS((Financials!R19-Financials!Q19)-Financials!S19)/MAX(ABS(Financials!S19),1)&gt;0.05),FALSE),"⚠","✓"))</f>
        <v>✓</v>
      </c>
      <c r="G22" s="49" t="str">
        <f>IF(NOT(AND(IFERROR('Company_Master'!A19&lt;&gt;"",FALSE),AND(ISNUMBER(Financials!I19),ISNUMBER(Financials!L19),ISNUMBER(Financials!O19)))),"—",IF(IFERROR(AND(ISNUMBER(Financials!I19),ISNUMBER(Financials!L19),ISNUMBER(Financials!O19),Financials!I19&gt;0,ABS(Financials!I19-(Financials!L19+Financials!O19))/Financials!I19&gt;0.01),FALSE),"⚠","✓"))</f>
        <v>✓</v>
      </c>
      <c r="H22" s="49" t="str">
        <f>IF(NOT(AND(IFERROR('Company_Master'!A19&lt;&gt;"",FALSE),AND(ISNUMBER(Financials!E19),ISNUMBER(Financials!F19)))),"—",IF(IFERROR(AND(ISNUMBER(Financials!E19),ISNUMBER(Financials!F19),Financials!E19&lt;Financials!F19),FALSE),"⚠","✓"))</f>
        <v>—</v>
      </c>
      <c r="I22" s="49" t="str">
        <f>IF(NOT(AND(IFERROR('Company_Master'!A19&lt;&gt;"",FALSE),AND(ISNUMBER(Financials!C19),ISNUMBER(Financials!E19)))),"—",IF(IFERROR(AND(ISNUMBER(Financials!C19),ISNUMBER(Financials!E19),Financials!C19=0,Financials!E19&gt;0),FALSE),"⚠","✓"))</f>
        <v>—</v>
      </c>
      <c r="J22" s="49" t="str">
        <f>IF(NOT(AND(IFERROR('Company_Master'!A19&lt;&gt;"",FALSE),COUNTIF('Raw_Extract'!A:A,'Company_Master'!A19)&gt;0)),"—",IF(COUNTIFS('Raw_Extract'!A:A,'Company_Master'!A19,'Raw_Extract'!J:J,"Low")&gt;0,"⚠","✓"))</f>
        <v>✓</v>
      </c>
      <c r="K22" s="49" t="str">
        <f>IF(NOT(AND(IFERROR('Company_Master'!A19&lt;&gt;"",FALSE),AND(ISNUMBER(Financials!E19),ISNUMBER(Financials!AP19)))),"—",IF(IFERROR(AND(ISNUMBER(Financials!E19),ISNUMBER(Financials!AP19),Financials!E19&lt;&gt;0,ABS(Financials!E19-Financials!AP19)/ABS(Financials!E19)&gt;0.05),FALSE),"⚠","✓"))</f>
        <v>—</v>
      </c>
      <c r="L22" s="49" t="str">
        <f>IF(NOT(AND(IFERROR('Company_Master'!A19&lt;&gt;"",FALSE),AND(ISNUMBER(Financials!AR19),ISNUMBER(Financials!S19)))),"—",IF(IFERROR(AND(ISNUMBER(Financials!AR19),ISNUMBER(Financials!S19),Financials!S19&lt;&gt;0,ABS(Financials!AR19-Financials!S19)/MAX(ABS(Financials!S19),1)&gt;0.05),FALSE),"⚠","✓"))</f>
        <v>✓</v>
      </c>
      <c r="M22" s="49" t="str">
        <f>IF(NOT(AND(IFERROR('Company_Master'!A19&lt;&gt;"",FALSE),AND(ISNUMBER(Asset_Operations!BE19),ISNUMBER(Asset_Operations!AR19)))),"—",IF(IFERROR(AND(ISNUMBER(Asset_Operations!BE19),ISNUMBER(Asset_Operations!AR19),ABS(Asset_Operations!BE19-Asset_Operations!AR19)&gt;0.05),FALSE),"⚠","✓"))</f>
        <v>—</v>
      </c>
      <c r="N22" s="49" t="str">
        <f>IF(NOT(AND(IFERROR('Company_Master'!A19&lt;&gt;"",FALSE),ISNUMBER(Financials!C19))),"—",IF(IFERROR(AND(ISNUMBER(Financials!C19),OR(Financials!C19&lt;50,Financials!C19&gt;200000)),FALSE),"⚠","✓"))</f>
        <v>✓</v>
      </c>
      <c r="O22" s="50">
        <f t="shared" si="0"/>
        <v>0</v>
      </c>
      <c r="P22" s="50">
        <f t="shared" si="1"/>
        <v>7</v>
      </c>
      <c r="Q22" s="46" t="str">
        <f>IF(NOT(IFERROR('Company_Master'!A19&lt;&gt;"",FALSE)),"",IF(O22&gt;0,"⚠ "&amp;O22&amp;" issue(s) detected",IF(P22=0,"— No data to validate","✓ All "&amp;P22&amp;" checks passed")))</f>
        <v>✓ All 7 checks passed</v>
      </c>
    </row>
    <row r="23" spans="1:17" x14ac:dyDescent="0.3">
      <c r="A23" s="47">
        <v>19</v>
      </c>
      <c r="B23" s="48" t="str">
        <f>IFERROR('Company_Master'!A20,"")</f>
        <v>PT Citra Borneo Utama Tbk</v>
      </c>
      <c r="C23" s="49" t="str">
        <f>IF(NOT(AND(IFERROR('Company_Master'!A20&lt;&gt;"",FALSE),OR(ISNUMBER(Asset_Operations!B20),ISNUMBER(Asset_Operations!C20),ISNUMBER(Asset_Operations!D20)))),"—",IF(IFERROR(AND(ISNUMBER(Asset_Operations!B20),ISNUMBER(Asset_Operations!C20),ISNUMBER(Asset_Operations!D20),Asset_Operations!B20&gt;0,ABS((Asset_Operations!C20+Asset_Operations!D20)-Asset_Operations!B20)/Asset_Operations!B20&gt;0.02),FALSE),"⚠","✓"))</f>
        <v>—</v>
      </c>
      <c r="D23" s="49" t="str">
        <f>IF(NOT(AND(IFERROR('Company_Master'!A20&lt;&gt;"",FALSE),OR(ISNUMBER(Asset_Operations!B20),ISNUMBER(Asset_Operations!E20),ISNUMBER(Asset_Operations!F20)))),"—",IF(IFERROR(AND(ISNUMBER(Asset_Operations!B20),ISNUMBER(Asset_Operations!E20),ISNUMBER(Asset_Operations!F20),Asset_Operations!B20&gt;0,ABS((Asset_Operations!E20+Asset_Operations!F20)-Asset_Operations!B20)/Asset_Operations!B20&gt;0.02),FALSE),"⚠","✓"))</f>
        <v>—</v>
      </c>
      <c r="E23" s="49" t="str">
        <f>IF(NOT(AND(IFERROR('Company_Master'!A20&lt;&gt;"",FALSE),ISNUMBER(Asset_Operations!AR20))),"—",IF(IFERROR(AND(ISNUMBER(Asset_Operations!AR20),OR(Asset_Operations!AR20&lt;0.15,Asset_Operations!AR20&gt;0.27)),FALSE),"⚠","✓"))</f>
        <v>—</v>
      </c>
      <c r="F23" s="49" t="str">
        <f>IF(NOT(AND(IFERROR('Company_Master'!A20&lt;&gt;"",FALSE),AND(ISNUMBER(Financials!Q20),ISNUMBER(Financials!R20)))),"—",IF(IFERROR(AND(ISNUMBER(Financials!Q20),ISNUMBER(Financials!R20),ISNUMBER(Financials!S20),ABS((Financials!R20-Financials!Q20)-Financials!S20)/MAX(ABS(Financials!S20),1)&gt;0.05),FALSE),"⚠","✓"))</f>
        <v>✓</v>
      </c>
      <c r="G23" s="49" t="str">
        <f>IF(NOT(AND(IFERROR('Company_Master'!A20&lt;&gt;"",FALSE),AND(ISNUMBER(Financials!I20),ISNUMBER(Financials!L20),ISNUMBER(Financials!O20)))),"—",IF(IFERROR(AND(ISNUMBER(Financials!I20),ISNUMBER(Financials!L20),ISNUMBER(Financials!O20),Financials!I20&gt;0,ABS(Financials!I20-(Financials!L20+Financials!O20))/Financials!I20&gt;0.01),FALSE),"⚠","✓"))</f>
        <v>✓</v>
      </c>
      <c r="H23" s="49" t="str">
        <f>IF(NOT(AND(IFERROR('Company_Master'!A20&lt;&gt;"",FALSE),AND(ISNUMBER(Financials!E20),ISNUMBER(Financials!F20)))),"—",IF(IFERROR(AND(ISNUMBER(Financials!E20),ISNUMBER(Financials!F20),Financials!E20&lt;Financials!F20),FALSE),"⚠","✓"))</f>
        <v>—</v>
      </c>
      <c r="I23" s="49" t="str">
        <f>IF(NOT(AND(IFERROR('Company_Master'!A20&lt;&gt;"",FALSE),AND(ISNUMBER(Financials!C20),ISNUMBER(Financials!E20)))),"—",IF(IFERROR(AND(ISNUMBER(Financials!C20),ISNUMBER(Financials!E20),Financials!C20=0,Financials!E20&gt;0),FALSE),"⚠","✓"))</f>
        <v>—</v>
      </c>
      <c r="J23" s="49" t="str">
        <f>IF(NOT(AND(IFERROR('Company_Master'!A20&lt;&gt;"",FALSE),COUNTIF('Raw_Extract'!A:A,'Company_Master'!A20)&gt;0)),"—",IF(COUNTIFS('Raw_Extract'!A:A,'Company_Master'!A20,'Raw_Extract'!J:J,"Low")&gt;0,"⚠","✓"))</f>
        <v>✓</v>
      </c>
      <c r="K23" s="49" t="str">
        <f>IF(NOT(AND(IFERROR('Company_Master'!A20&lt;&gt;"",FALSE),AND(ISNUMBER(Financials!E20),ISNUMBER(Financials!AP20)))),"—",IF(IFERROR(AND(ISNUMBER(Financials!E20),ISNUMBER(Financials!AP20),Financials!E20&lt;&gt;0,ABS(Financials!E20-Financials!AP20)/ABS(Financials!E20)&gt;0.05),FALSE),"⚠","✓"))</f>
        <v>—</v>
      </c>
      <c r="L23" s="49" t="str">
        <f>IF(NOT(AND(IFERROR('Company_Master'!A20&lt;&gt;"",FALSE),AND(ISNUMBER(Financials!AR20),ISNUMBER(Financials!S20)))),"—",IF(IFERROR(AND(ISNUMBER(Financials!AR20),ISNUMBER(Financials!S20),Financials!S20&lt;&gt;0,ABS(Financials!AR20-Financials!S20)/MAX(ABS(Financials!S20),1)&gt;0.05),FALSE),"⚠","✓"))</f>
        <v>—</v>
      </c>
      <c r="M23" s="49" t="str">
        <f>IF(NOT(AND(IFERROR('Company_Master'!A20&lt;&gt;"",FALSE),AND(ISNUMBER(Asset_Operations!BE20),ISNUMBER(Asset_Operations!AR20)))),"—",IF(IFERROR(AND(ISNUMBER(Asset_Operations!BE20),ISNUMBER(Asset_Operations!AR20),ABS(Asset_Operations!BE20-Asset_Operations!AR20)&gt;0.05),FALSE),"⚠","✓"))</f>
        <v>—</v>
      </c>
      <c r="N23" s="49" t="str">
        <f>IF(NOT(AND(IFERROR('Company_Master'!A20&lt;&gt;"",FALSE),ISNUMBER(Financials!C20))),"—",IF(IFERROR(AND(ISNUMBER(Financials!C20),OR(Financials!C20&lt;50,Financials!C20&gt;200000)),FALSE),"⚠","✓"))</f>
        <v>✓</v>
      </c>
      <c r="O23" s="50">
        <f t="shared" si="0"/>
        <v>0</v>
      </c>
      <c r="P23" s="50">
        <f t="shared" si="1"/>
        <v>4</v>
      </c>
      <c r="Q23" s="46" t="str">
        <f>IF(NOT(IFERROR('Company_Master'!A20&lt;&gt;"",FALSE)),"",IF(O23&gt;0,"⚠ "&amp;O23&amp;" issue(s) detected",IF(P23=0,"— No data to validate","✓ All "&amp;P23&amp;" checks passed")))</f>
        <v>✓ All 4 checks passed</v>
      </c>
    </row>
    <row r="24" spans="1:17" x14ac:dyDescent="0.3">
      <c r="A24" s="47">
        <v>20</v>
      </c>
      <c r="B24" s="48" t="str">
        <f>IFERROR('Company_Master'!A21,"")</f>
        <v>PT Citra Borneo Utama Tbk</v>
      </c>
      <c r="C24" s="49" t="str">
        <f>IF(NOT(AND(IFERROR('Company_Master'!A21&lt;&gt;"",FALSE),OR(ISNUMBER(Asset_Operations!B21),ISNUMBER(Asset_Operations!C21),ISNUMBER(Asset_Operations!D21)))),"—",IF(IFERROR(AND(ISNUMBER(Asset_Operations!B21),ISNUMBER(Asset_Operations!C21),ISNUMBER(Asset_Operations!D21),Asset_Operations!B21&gt;0,ABS((Asset_Operations!C21+Asset_Operations!D21)-Asset_Operations!B21)/Asset_Operations!B21&gt;0.02),FALSE),"⚠","✓"))</f>
        <v>—</v>
      </c>
      <c r="D24" s="49" t="str">
        <f>IF(NOT(AND(IFERROR('Company_Master'!A21&lt;&gt;"",FALSE),OR(ISNUMBER(Asset_Operations!B21),ISNUMBER(Asset_Operations!E21),ISNUMBER(Asset_Operations!F21)))),"—",IF(IFERROR(AND(ISNUMBER(Asset_Operations!B21),ISNUMBER(Asset_Operations!E21),ISNUMBER(Asset_Operations!F21),Asset_Operations!B21&gt;0,ABS((Asset_Operations!E21+Asset_Operations!F21)-Asset_Operations!B21)/Asset_Operations!B21&gt;0.02),FALSE),"⚠","✓"))</f>
        <v>—</v>
      </c>
      <c r="E24" s="49" t="str">
        <f>IF(NOT(AND(IFERROR('Company_Master'!A21&lt;&gt;"",FALSE),ISNUMBER(Asset_Operations!AR21))),"—",IF(IFERROR(AND(ISNUMBER(Asset_Operations!AR21),OR(Asset_Operations!AR21&lt;0.15,Asset_Operations!AR21&gt;0.27)),FALSE),"⚠","✓"))</f>
        <v>—</v>
      </c>
      <c r="F24" s="49" t="str">
        <f>IF(NOT(AND(IFERROR('Company_Master'!A21&lt;&gt;"",FALSE),AND(ISNUMBER(Financials!Q21),ISNUMBER(Financials!R21)))),"—",IF(IFERROR(AND(ISNUMBER(Financials!Q21),ISNUMBER(Financials!R21),ISNUMBER(Financials!S21),ABS((Financials!R21-Financials!Q21)-Financials!S21)/MAX(ABS(Financials!S21),1)&gt;0.05),FALSE),"⚠","✓"))</f>
        <v>✓</v>
      </c>
      <c r="G24" s="49" t="str">
        <f>IF(NOT(AND(IFERROR('Company_Master'!A21&lt;&gt;"",FALSE),AND(ISNUMBER(Financials!I21),ISNUMBER(Financials!L21),ISNUMBER(Financials!O21)))),"—",IF(IFERROR(AND(ISNUMBER(Financials!I21),ISNUMBER(Financials!L21),ISNUMBER(Financials!O21),Financials!I21&gt;0,ABS(Financials!I21-(Financials!L21+Financials!O21))/Financials!I21&gt;0.01),FALSE),"⚠","✓"))</f>
        <v>✓</v>
      </c>
      <c r="H24" s="49" t="str">
        <f>IF(NOT(AND(IFERROR('Company_Master'!A21&lt;&gt;"",FALSE),AND(ISNUMBER(Financials!E21),ISNUMBER(Financials!F21)))),"—",IF(IFERROR(AND(ISNUMBER(Financials!E21),ISNUMBER(Financials!F21),Financials!E21&lt;Financials!F21),FALSE),"⚠","✓"))</f>
        <v>—</v>
      </c>
      <c r="I24" s="49" t="str">
        <f>IF(NOT(AND(IFERROR('Company_Master'!A21&lt;&gt;"",FALSE),AND(ISNUMBER(Financials!C21),ISNUMBER(Financials!E21)))),"—",IF(IFERROR(AND(ISNUMBER(Financials!C21),ISNUMBER(Financials!E21),Financials!C21=0,Financials!E21&gt;0),FALSE),"⚠","✓"))</f>
        <v>—</v>
      </c>
      <c r="J24" s="49" t="str">
        <f>IF(NOT(AND(IFERROR('Company_Master'!A21&lt;&gt;"",FALSE),COUNTIF('Raw_Extract'!A:A,'Company_Master'!A21)&gt;0)),"—",IF(COUNTIFS('Raw_Extract'!A:A,'Company_Master'!A21,'Raw_Extract'!J:J,"Low")&gt;0,"⚠","✓"))</f>
        <v>✓</v>
      </c>
      <c r="K24" s="49" t="str">
        <f>IF(NOT(AND(IFERROR('Company_Master'!A21&lt;&gt;"",FALSE),AND(ISNUMBER(Financials!E21),ISNUMBER(Financials!AP21)))),"—",IF(IFERROR(AND(ISNUMBER(Financials!E21),ISNUMBER(Financials!AP21),Financials!E21&lt;&gt;0,ABS(Financials!E21-Financials!AP21)/ABS(Financials!E21)&gt;0.05),FALSE),"⚠","✓"))</f>
        <v>—</v>
      </c>
      <c r="L24" s="49" t="str">
        <f>IF(NOT(AND(IFERROR('Company_Master'!A21&lt;&gt;"",FALSE),AND(ISNUMBER(Financials!AR21),ISNUMBER(Financials!S21)))),"—",IF(IFERROR(AND(ISNUMBER(Financials!AR21),ISNUMBER(Financials!S21),Financials!S21&lt;&gt;0,ABS(Financials!AR21-Financials!S21)/MAX(ABS(Financials!S21),1)&gt;0.05),FALSE),"⚠","✓"))</f>
        <v>—</v>
      </c>
      <c r="M24" s="49" t="str">
        <f>IF(NOT(AND(IFERROR('Company_Master'!A21&lt;&gt;"",FALSE),AND(ISNUMBER(Asset_Operations!BE21),ISNUMBER(Asset_Operations!AR21)))),"—",IF(IFERROR(AND(ISNUMBER(Asset_Operations!BE21),ISNUMBER(Asset_Operations!AR21),ABS(Asset_Operations!BE21-Asset_Operations!AR21)&gt;0.05),FALSE),"⚠","✓"))</f>
        <v>—</v>
      </c>
      <c r="N24" s="49" t="str">
        <f>IF(NOT(AND(IFERROR('Company_Master'!A21&lt;&gt;"",FALSE),ISNUMBER(Financials!C21))),"—",IF(IFERROR(AND(ISNUMBER(Financials!C21),OR(Financials!C21&lt;50,Financials!C21&gt;200000)),FALSE),"⚠","✓"))</f>
        <v>✓</v>
      </c>
      <c r="O24" s="50">
        <f t="shared" si="0"/>
        <v>0</v>
      </c>
      <c r="P24" s="50">
        <f t="shared" si="1"/>
        <v>4</v>
      </c>
      <c r="Q24" s="46" t="str">
        <f>IF(NOT(IFERROR('Company_Master'!A21&lt;&gt;"",FALSE)),"",IF(O24&gt;0,"⚠ "&amp;O24&amp;" issue(s) detected",IF(P24=0,"— No data to validate","✓ All "&amp;P24&amp;" checks passed")))</f>
        <v>✓ All 4 checks passed</v>
      </c>
    </row>
    <row r="25" spans="1:17" x14ac:dyDescent="0.3">
      <c r="A25" s="47">
        <v>21</v>
      </c>
      <c r="B25" s="48" t="str">
        <f>IFERROR('Company_Master'!A22,"")</f>
        <v>PT Citra Borneo Utama Tbk</v>
      </c>
      <c r="C25" s="49" t="str">
        <f>IF(NOT(AND(IFERROR('Company_Master'!A22&lt;&gt;"",FALSE),OR(ISNUMBER(Asset_Operations!B22),ISNUMBER(Asset_Operations!C22),ISNUMBER(Asset_Operations!D22)))),"—",IF(IFERROR(AND(ISNUMBER(Asset_Operations!B22),ISNUMBER(Asset_Operations!C22),ISNUMBER(Asset_Operations!D22),Asset_Operations!B22&gt;0,ABS((Asset_Operations!C22+Asset_Operations!D22)-Asset_Operations!B22)/Asset_Operations!B22&gt;0.02),FALSE),"⚠","✓"))</f>
        <v>—</v>
      </c>
      <c r="D25" s="49" t="str">
        <f>IF(NOT(AND(IFERROR('Company_Master'!A22&lt;&gt;"",FALSE),OR(ISNUMBER(Asset_Operations!B22),ISNUMBER(Asset_Operations!E22),ISNUMBER(Asset_Operations!F22)))),"—",IF(IFERROR(AND(ISNUMBER(Asset_Operations!B22),ISNUMBER(Asset_Operations!E22),ISNUMBER(Asset_Operations!F22),Asset_Operations!B22&gt;0,ABS((Asset_Operations!E22+Asset_Operations!F22)-Asset_Operations!B22)/Asset_Operations!B22&gt;0.02),FALSE),"⚠","✓"))</f>
        <v>—</v>
      </c>
      <c r="E25" s="49" t="str">
        <f>IF(NOT(AND(IFERROR('Company_Master'!A22&lt;&gt;"",FALSE),ISNUMBER(Asset_Operations!AR22))),"—",IF(IFERROR(AND(ISNUMBER(Asset_Operations!AR22),OR(Asset_Operations!AR22&lt;0.15,Asset_Operations!AR22&gt;0.27)),FALSE),"⚠","✓"))</f>
        <v>—</v>
      </c>
      <c r="F25" s="49" t="str">
        <f>IF(NOT(AND(IFERROR('Company_Master'!A22&lt;&gt;"",FALSE),AND(ISNUMBER(Financials!Q22),ISNUMBER(Financials!R22)))),"—",IF(IFERROR(AND(ISNUMBER(Financials!Q22),ISNUMBER(Financials!R22),ISNUMBER(Financials!S22),ABS((Financials!R22-Financials!Q22)-Financials!S22)/MAX(ABS(Financials!S22),1)&gt;0.05),FALSE),"⚠","✓"))</f>
        <v>✓</v>
      </c>
      <c r="G25" s="49" t="str">
        <f>IF(NOT(AND(IFERROR('Company_Master'!A22&lt;&gt;"",FALSE),AND(ISNUMBER(Financials!I22),ISNUMBER(Financials!L22),ISNUMBER(Financials!O22)))),"—",IF(IFERROR(AND(ISNUMBER(Financials!I22),ISNUMBER(Financials!L22),ISNUMBER(Financials!O22),Financials!I22&gt;0,ABS(Financials!I22-(Financials!L22+Financials!O22))/Financials!I22&gt;0.01),FALSE),"⚠","✓"))</f>
        <v>✓</v>
      </c>
      <c r="H25" s="49" t="str">
        <f>IF(NOT(AND(IFERROR('Company_Master'!A22&lt;&gt;"",FALSE),AND(ISNUMBER(Financials!E22),ISNUMBER(Financials!F22)))),"—",IF(IFERROR(AND(ISNUMBER(Financials!E22),ISNUMBER(Financials!F22),Financials!E22&lt;Financials!F22),FALSE),"⚠","✓"))</f>
        <v>—</v>
      </c>
      <c r="I25" s="49" t="str">
        <f>IF(NOT(AND(IFERROR('Company_Master'!A22&lt;&gt;"",FALSE),AND(ISNUMBER(Financials!C22),ISNUMBER(Financials!E22)))),"—",IF(IFERROR(AND(ISNUMBER(Financials!C22),ISNUMBER(Financials!E22),Financials!C22=0,Financials!E22&gt;0),FALSE),"⚠","✓"))</f>
        <v>—</v>
      </c>
      <c r="J25" s="49" t="str">
        <f>IF(NOT(AND(IFERROR('Company_Master'!A22&lt;&gt;"",FALSE),COUNTIF('Raw_Extract'!A:A,'Company_Master'!A22)&gt;0)),"—",IF(COUNTIFS('Raw_Extract'!A:A,'Company_Master'!A22,'Raw_Extract'!J:J,"Low")&gt;0,"⚠","✓"))</f>
        <v>✓</v>
      </c>
      <c r="K25" s="49" t="str">
        <f>IF(NOT(AND(IFERROR('Company_Master'!A22&lt;&gt;"",FALSE),AND(ISNUMBER(Financials!E22),ISNUMBER(Financials!AP22)))),"—",IF(IFERROR(AND(ISNUMBER(Financials!E22),ISNUMBER(Financials!AP22),Financials!E22&lt;&gt;0,ABS(Financials!E22-Financials!AP22)/ABS(Financials!E22)&gt;0.05),FALSE),"⚠","✓"))</f>
        <v>—</v>
      </c>
      <c r="L25" s="49" t="str">
        <f>IF(NOT(AND(IFERROR('Company_Master'!A22&lt;&gt;"",FALSE),AND(ISNUMBER(Financials!AR22),ISNUMBER(Financials!S22)))),"—",IF(IFERROR(AND(ISNUMBER(Financials!AR22),ISNUMBER(Financials!S22),Financials!S22&lt;&gt;0,ABS(Financials!AR22-Financials!S22)/MAX(ABS(Financials!S22),1)&gt;0.05),FALSE),"⚠","✓"))</f>
        <v>—</v>
      </c>
      <c r="M25" s="49" t="str">
        <f>IF(NOT(AND(IFERROR('Company_Master'!A22&lt;&gt;"",FALSE),AND(ISNUMBER(Asset_Operations!BE22),ISNUMBER(Asset_Operations!AR22)))),"—",IF(IFERROR(AND(ISNUMBER(Asset_Operations!BE22),ISNUMBER(Asset_Operations!AR22),ABS(Asset_Operations!BE22-Asset_Operations!AR22)&gt;0.05),FALSE),"⚠","✓"))</f>
        <v>—</v>
      </c>
      <c r="N25" s="49" t="str">
        <f>IF(NOT(AND(IFERROR('Company_Master'!A22&lt;&gt;"",FALSE),ISNUMBER(Financials!C22))),"—",IF(IFERROR(AND(ISNUMBER(Financials!C22),OR(Financials!C22&lt;50,Financials!C22&gt;200000)),FALSE),"⚠","✓"))</f>
        <v>✓</v>
      </c>
      <c r="O25" s="50">
        <f t="shared" si="0"/>
        <v>0</v>
      </c>
      <c r="P25" s="50">
        <f t="shared" si="1"/>
        <v>4</v>
      </c>
      <c r="Q25" s="46" t="str">
        <f>IF(NOT(IFERROR('Company_Master'!A22&lt;&gt;"",FALSE)),"",IF(O25&gt;0,"⚠ "&amp;O25&amp;" issue(s) detected",IF(P25=0,"— No data to validate","✓ All "&amp;P25&amp;" checks passed")))</f>
        <v>✓ All 4 checks passed</v>
      </c>
    </row>
    <row r="26" spans="1:17" x14ac:dyDescent="0.3">
      <c r="A26" s="47">
        <v>22</v>
      </c>
      <c r="B26" s="48" t="str">
        <f>IFERROR('Company_Master'!A23,"")</f>
        <v>PT Cisadane Sawit Raya Tbk.</v>
      </c>
      <c r="C26" s="49" t="str">
        <f>IF(NOT(AND(IFERROR('Company_Master'!A23&lt;&gt;"",FALSE),OR(ISNUMBER(Asset_Operations!B23),ISNUMBER(Asset_Operations!C23),ISNUMBER(Asset_Operations!D23)))),"—",IF(IFERROR(AND(ISNUMBER(Asset_Operations!B23),ISNUMBER(Asset_Operations!C23),ISNUMBER(Asset_Operations!D23),Asset_Operations!B23&gt;0,ABS((Asset_Operations!C23+Asset_Operations!D23)-Asset_Operations!B23)/Asset_Operations!B23&gt;0.02),FALSE),"⚠","✓"))</f>
        <v>✓</v>
      </c>
      <c r="D26" s="49" t="str">
        <f>IF(NOT(AND(IFERROR('Company_Master'!A23&lt;&gt;"",FALSE),OR(ISNUMBER(Asset_Operations!B23),ISNUMBER(Asset_Operations!E23),ISNUMBER(Asset_Operations!F23)))),"—",IF(IFERROR(AND(ISNUMBER(Asset_Operations!B23),ISNUMBER(Asset_Operations!E23),ISNUMBER(Asset_Operations!F23),Asset_Operations!B23&gt;0,ABS((Asset_Operations!E23+Asset_Operations!F23)-Asset_Operations!B23)/Asset_Operations!B23&gt;0.02),FALSE),"⚠","✓"))</f>
        <v>✓</v>
      </c>
      <c r="E26" s="49" t="str">
        <f>IF(NOT(AND(IFERROR('Company_Master'!A23&lt;&gt;"",FALSE),ISNUMBER(Asset_Operations!AR23))),"—",IF(IFERROR(AND(ISNUMBER(Asset_Operations!AR23),OR(Asset_Operations!AR23&lt;0.15,Asset_Operations!AR23&gt;0.27)),FALSE),"⚠","✓"))</f>
        <v>✓</v>
      </c>
      <c r="F26" s="49" t="str">
        <f>IF(NOT(AND(IFERROR('Company_Master'!A23&lt;&gt;"",FALSE),AND(ISNUMBER(Financials!Q23),ISNUMBER(Financials!R23)))),"—",IF(IFERROR(AND(ISNUMBER(Financials!Q23),ISNUMBER(Financials!R23),ISNUMBER(Financials!S23),ABS((Financials!R23-Financials!Q23)-Financials!S23)/MAX(ABS(Financials!S23),1)&gt;0.05),FALSE),"⚠","✓"))</f>
        <v>✓</v>
      </c>
      <c r="G26" s="49" t="str">
        <f>IF(NOT(AND(IFERROR('Company_Master'!A23&lt;&gt;"",FALSE),AND(ISNUMBER(Financials!I23),ISNUMBER(Financials!L23),ISNUMBER(Financials!O23)))),"—",IF(IFERROR(AND(ISNUMBER(Financials!I23),ISNUMBER(Financials!L23),ISNUMBER(Financials!O23),Financials!I23&gt;0,ABS(Financials!I23-(Financials!L23+Financials!O23))/Financials!I23&gt;0.01),FALSE),"⚠","✓"))</f>
        <v>✓</v>
      </c>
      <c r="H26" s="49" t="str">
        <f>IF(NOT(AND(IFERROR('Company_Master'!A23&lt;&gt;"",FALSE),AND(ISNUMBER(Financials!E23),ISNUMBER(Financials!F23)))),"—",IF(IFERROR(AND(ISNUMBER(Financials!E23),ISNUMBER(Financials!F23),Financials!E23&lt;Financials!F23),FALSE),"⚠","✓"))</f>
        <v>✓</v>
      </c>
      <c r="I26" s="49" t="str">
        <f>IF(NOT(AND(IFERROR('Company_Master'!A23&lt;&gt;"",FALSE),AND(ISNUMBER(Financials!C23),ISNUMBER(Financials!E23)))),"—",IF(IFERROR(AND(ISNUMBER(Financials!C23),ISNUMBER(Financials!E23),Financials!C23=0,Financials!E23&gt;0),FALSE),"⚠","✓"))</f>
        <v>✓</v>
      </c>
      <c r="J26" s="49" t="str">
        <f>IF(NOT(AND(IFERROR('Company_Master'!A23&lt;&gt;"",FALSE),COUNTIF('Raw_Extract'!A:A,'Company_Master'!A23)&gt;0)),"—",IF(COUNTIFS('Raw_Extract'!A:A,'Company_Master'!A23,'Raw_Extract'!J:J,"Low")&gt;0,"⚠","✓"))</f>
        <v>✓</v>
      </c>
      <c r="K26" s="49" t="str">
        <f>IF(NOT(AND(IFERROR('Company_Master'!A23&lt;&gt;"",FALSE),AND(ISNUMBER(Financials!E23),ISNUMBER(Financials!AP23)))),"—",IF(IFERROR(AND(ISNUMBER(Financials!E23),ISNUMBER(Financials!AP23),Financials!E23&lt;&gt;0,ABS(Financials!E23-Financials!AP23)/ABS(Financials!E23)&gt;0.05),FALSE),"⚠","✓"))</f>
        <v>⚠</v>
      </c>
      <c r="L26" s="49" t="str">
        <f>IF(NOT(AND(IFERROR('Company_Master'!A23&lt;&gt;"",FALSE),AND(ISNUMBER(Financials!AR23),ISNUMBER(Financials!S23)))),"—",IF(IFERROR(AND(ISNUMBER(Financials!AR23),ISNUMBER(Financials!S23),Financials!S23&lt;&gt;0,ABS(Financials!AR23-Financials!S23)/MAX(ABS(Financials!S23),1)&gt;0.05),FALSE),"⚠","✓"))</f>
        <v>✓</v>
      </c>
      <c r="M26" s="49" t="str">
        <f>IF(NOT(AND(IFERROR('Company_Master'!A23&lt;&gt;"",FALSE),AND(ISNUMBER(Asset_Operations!BE23),ISNUMBER(Asset_Operations!AR23)))),"—",IF(IFERROR(AND(ISNUMBER(Asset_Operations!BE23),ISNUMBER(Asset_Operations!AR23),ABS(Asset_Operations!BE23-Asset_Operations!AR23)&gt;0.05),FALSE),"⚠","✓"))</f>
        <v>✓</v>
      </c>
      <c r="N26" s="49" t="str">
        <f>IF(NOT(AND(IFERROR('Company_Master'!A23&lt;&gt;"",FALSE),ISNUMBER(Financials!C23))),"—",IF(IFERROR(AND(ISNUMBER(Financials!C23),OR(Financials!C23&lt;50,Financials!C23&gt;200000)),FALSE),"⚠","✓"))</f>
        <v>✓</v>
      </c>
      <c r="O26" s="50">
        <f t="shared" si="0"/>
        <v>1</v>
      </c>
      <c r="P26" s="50">
        <f t="shared" si="1"/>
        <v>11</v>
      </c>
      <c r="Q26" s="46" t="str">
        <f>IF(NOT(IFERROR('Company_Master'!A23&lt;&gt;"",FALSE)),"",IF(O26&gt;0,"⚠ "&amp;O26&amp;" issue(s) detected",IF(P26=0,"— No data to validate","✓ All "&amp;P26&amp;" checks passed")))</f>
        <v>⚠ 1 issue(s) detected</v>
      </c>
    </row>
    <row r="27" spans="1:17" x14ac:dyDescent="0.3">
      <c r="A27" s="47">
        <v>23</v>
      </c>
      <c r="B27" s="48" t="str">
        <f>IFERROR('Company_Master'!A24,"")</f>
        <v>PT Cisadane Sawit Raya Tbk.</v>
      </c>
      <c r="C27" s="49" t="str">
        <f>IF(NOT(AND(IFERROR('Company_Master'!A24&lt;&gt;"",FALSE),OR(ISNUMBER(Asset_Operations!B24),ISNUMBER(Asset_Operations!C24),ISNUMBER(Asset_Operations!D24)))),"—",IF(IFERROR(AND(ISNUMBER(Asset_Operations!B24),ISNUMBER(Asset_Operations!C24),ISNUMBER(Asset_Operations!D24),Asset_Operations!B24&gt;0,ABS((Asset_Operations!C24+Asset_Operations!D24)-Asset_Operations!B24)/Asset_Operations!B24&gt;0.02),FALSE),"⚠","✓"))</f>
        <v>✓</v>
      </c>
      <c r="D27" s="49" t="str">
        <f>IF(NOT(AND(IFERROR('Company_Master'!A24&lt;&gt;"",FALSE),OR(ISNUMBER(Asset_Operations!B24),ISNUMBER(Asset_Operations!E24),ISNUMBER(Asset_Operations!F24)))),"—",IF(IFERROR(AND(ISNUMBER(Asset_Operations!B24),ISNUMBER(Asset_Operations!E24),ISNUMBER(Asset_Operations!F24),Asset_Operations!B24&gt;0,ABS((Asset_Operations!E24+Asset_Operations!F24)-Asset_Operations!B24)/Asset_Operations!B24&gt;0.02),FALSE),"⚠","✓"))</f>
        <v>✓</v>
      </c>
      <c r="E27" s="49" t="str">
        <f>IF(NOT(AND(IFERROR('Company_Master'!A24&lt;&gt;"",FALSE),ISNUMBER(Asset_Operations!AR24))),"—",IF(IFERROR(AND(ISNUMBER(Asset_Operations!AR24),OR(Asset_Operations!AR24&lt;0.15,Asset_Operations!AR24&gt;0.27)),FALSE),"⚠","✓"))</f>
        <v>✓</v>
      </c>
      <c r="F27" s="49" t="str">
        <f>IF(NOT(AND(IFERROR('Company_Master'!A24&lt;&gt;"",FALSE),AND(ISNUMBER(Financials!Q24),ISNUMBER(Financials!R24)))),"—",IF(IFERROR(AND(ISNUMBER(Financials!Q24),ISNUMBER(Financials!R24),ISNUMBER(Financials!S24),ABS((Financials!R24-Financials!Q24)-Financials!S24)/MAX(ABS(Financials!S24),1)&gt;0.05),FALSE),"⚠","✓"))</f>
        <v>✓</v>
      </c>
      <c r="G27" s="49" t="str">
        <f>IF(NOT(AND(IFERROR('Company_Master'!A24&lt;&gt;"",FALSE),AND(ISNUMBER(Financials!I24),ISNUMBER(Financials!L24),ISNUMBER(Financials!O24)))),"—",IF(IFERROR(AND(ISNUMBER(Financials!I24),ISNUMBER(Financials!L24),ISNUMBER(Financials!O24),Financials!I24&gt;0,ABS(Financials!I24-(Financials!L24+Financials!O24))/Financials!I24&gt;0.01),FALSE),"⚠","✓"))</f>
        <v>✓</v>
      </c>
      <c r="H27" s="49" t="str">
        <f>IF(NOT(AND(IFERROR('Company_Master'!A24&lt;&gt;"",FALSE),AND(ISNUMBER(Financials!E24),ISNUMBER(Financials!F24)))),"—",IF(IFERROR(AND(ISNUMBER(Financials!E24),ISNUMBER(Financials!F24),Financials!E24&lt;Financials!F24),FALSE),"⚠","✓"))</f>
        <v>✓</v>
      </c>
      <c r="I27" s="49" t="str">
        <f>IF(NOT(AND(IFERROR('Company_Master'!A24&lt;&gt;"",FALSE),AND(ISNUMBER(Financials!C24),ISNUMBER(Financials!E24)))),"—",IF(IFERROR(AND(ISNUMBER(Financials!C24),ISNUMBER(Financials!E24),Financials!C24=0,Financials!E24&gt;0),FALSE),"⚠","✓"))</f>
        <v>✓</v>
      </c>
      <c r="J27" s="49" t="str">
        <f>IF(NOT(AND(IFERROR('Company_Master'!A24&lt;&gt;"",FALSE),COUNTIF('Raw_Extract'!A:A,'Company_Master'!A24)&gt;0)),"—",IF(COUNTIFS('Raw_Extract'!A:A,'Company_Master'!A24,'Raw_Extract'!J:J,"Low")&gt;0,"⚠","✓"))</f>
        <v>✓</v>
      </c>
      <c r="K27" s="49" t="str">
        <f>IF(NOT(AND(IFERROR('Company_Master'!A24&lt;&gt;"",FALSE),AND(ISNUMBER(Financials!E24),ISNUMBER(Financials!AP24)))),"—",IF(IFERROR(AND(ISNUMBER(Financials!E24),ISNUMBER(Financials!AP24),Financials!E24&lt;&gt;0,ABS(Financials!E24-Financials!AP24)/ABS(Financials!E24)&gt;0.05),FALSE),"⚠","✓"))</f>
        <v>⚠</v>
      </c>
      <c r="L27" s="49" t="str">
        <f>IF(NOT(AND(IFERROR('Company_Master'!A24&lt;&gt;"",FALSE),AND(ISNUMBER(Financials!AR24),ISNUMBER(Financials!S24)))),"—",IF(IFERROR(AND(ISNUMBER(Financials!AR24),ISNUMBER(Financials!S24),Financials!S24&lt;&gt;0,ABS(Financials!AR24-Financials!S24)/MAX(ABS(Financials!S24),1)&gt;0.05),FALSE),"⚠","✓"))</f>
        <v>✓</v>
      </c>
      <c r="M27" s="49" t="str">
        <f>IF(NOT(AND(IFERROR('Company_Master'!A24&lt;&gt;"",FALSE),AND(ISNUMBER(Asset_Operations!BE24),ISNUMBER(Asset_Operations!AR24)))),"—",IF(IFERROR(AND(ISNUMBER(Asset_Operations!BE24),ISNUMBER(Asset_Operations!AR24),ABS(Asset_Operations!BE24-Asset_Operations!AR24)&gt;0.05),FALSE),"⚠","✓"))</f>
        <v>✓</v>
      </c>
      <c r="N27" s="49" t="str">
        <f>IF(NOT(AND(IFERROR('Company_Master'!A24&lt;&gt;"",FALSE),ISNUMBER(Financials!C24))),"—",IF(IFERROR(AND(ISNUMBER(Financials!C24),OR(Financials!C24&lt;50,Financials!C24&gt;200000)),FALSE),"⚠","✓"))</f>
        <v>✓</v>
      </c>
      <c r="O27" s="50">
        <f t="shared" si="0"/>
        <v>1</v>
      </c>
      <c r="P27" s="50">
        <f t="shared" si="1"/>
        <v>11</v>
      </c>
      <c r="Q27" s="46" t="str">
        <f>IF(NOT(IFERROR('Company_Master'!A24&lt;&gt;"",FALSE)),"",IF(O27&gt;0,"⚠ "&amp;O27&amp;" issue(s) detected",IF(P27=0,"— No data to validate","✓ All "&amp;P27&amp;" checks passed")))</f>
        <v>⚠ 1 issue(s) detected</v>
      </c>
    </row>
    <row r="28" spans="1:17" x14ac:dyDescent="0.3">
      <c r="A28" s="47">
        <v>24</v>
      </c>
      <c r="B28" s="48" t="str">
        <f>IFERROR('Company_Master'!A25,"")</f>
        <v>PT Cisadane Sawit Raya Tbk.</v>
      </c>
      <c r="C28" s="49" t="str">
        <f>IF(NOT(AND(IFERROR('Company_Master'!A25&lt;&gt;"",FALSE),OR(ISNUMBER(Asset_Operations!B25),ISNUMBER(Asset_Operations!C25),ISNUMBER(Asset_Operations!D25)))),"—",IF(IFERROR(AND(ISNUMBER(Asset_Operations!B25),ISNUMBER(Asset_Operations!C25),ISNUMBER(Asset_Operations!D25),Asset_Operations!B25&gt;0,ABS((Asset_Operations!C25+Asset_Operations!D25)-Asset_Operations!B25)/Asset_Operations!B25&gt;0.02),FALSE),"⚠","✓"))</f>
        <v>⚠</v>
      </c>
      <c r="D28" s="49" t="str">
        <f>IF(NOT(AND(IFERROR('Company_Master'!A25&lt;&gt;"",FALSE),OR(ISNUMBER(Asset_Operations!B25),ISNUMBER(Asset_Operations!E25),ISNUMBER(Asset_Operations!F25)))),"—",IF(IFERROR(AND(ISNUMBER(Asset_Operations!B25),ISNUMBER(Asset_Operations!E25),ISNUMBER(Asset_Operations!F25),Asset_Operations!B25&gt;0,ABS((Asset_Operations!E25+Asset_Operations!F25)-Asset_Operations!B25)/Asset_Operations!B25&gt;0.02),FALSE),"⚠","✓"))</f>
        <v>✓</v>
      </c>
      <c r="E28" s="49" t="str">
        <f>IF(NOT(AND(IFERROR('Company_Master'!A25&lt;&gt;"",FALSE),ISNUMBER(Asset_Operations!AR25))),"—",IF(IFERROR(AND(ISNUMBER(Asset_Operations!AR25),OR(Asset_Operations!AR25&lt;0.15,Asset_Operations!AR25&gt;0.27)),FALSE),"⚠","✓"))</f>
        <v>✓</v>
      </c>
      <c r="F28" s="49" t="str">
        <f>IF(NOT(AND(IFERROR('Company_Master'!A25&lt;&gt;"",FALSE),AND(ISNUMBER(Financials!Q25),ISNUMBER(Financials!R25)))),"—",IF(IFERROR(AND(ISNUMBER(Financials!Q25),ISNUMBER(Financials!R25),ISNUMBER(Financials!S25),ABS((Financials!R25-Financials!Q25)-Financials!S25)/MAX(ABS(Financials!S25),1)&gt;0.05),FALSE),"⚠","✓"))</f>
        <v>✓</v>
      </c>
      <c r="G28" s="49" t="str">
        <f>IF(NOT(AND(IFERROR('Company_Master'!A25&lt;&gt;"",FALSE),AND(ISNUMBER(Financials!I25),ISNUMBER(Financials!L25),ISNUMBER(Financials!O25)))),"—",IF(IFERROR(AND(ISNUMBER(Financials!I25),ISNUMBER(Financials!L25),ISNUMBER(Financials!O25),Financials!I25&gt;0,ABS(Financials!I25-(Financials!L25+Financials!O25))/Financials!I25&gt;0.01),FALSE),"⚠","✓"))</f>
        <v>✓</v>
      </c>
      <c r="H28" s="49" t="str">
        <f>IF(NOT(AND(IFERROR('Company_Master'!A25&lt;&gt;"",FALSE),AND(ISNUMBER(Financials!E25),ISNUMBER(Financials!F25)))),"—",IF(IFERROR(AND(ISNUMBER(Financials!E25),ISNUMBER(Financials!F25),Financials!E25&lt;Financials!F25),FALSE),"⚠","✓"))</f>
        <v>✓</v>
      </c>
      <c r="I28" s="49" t="str">
        <f>IF(NOT(AND(IFERROR('Company_Master'!A25&lt;&gt;"",FALSE),AND(ISNUMBER(Financials!C25),ISNUMBER(Financials!E25)))),"—",IF(IFERROR(AND(ISNUMBER(Financials!C25),ISNUMBER(Financials!E25),Financials!C25=0,Financials!E25&gt;0),FALSE),"⚠","✓"))</f>
        <v>✓</v>
      </c>
      <c r="J28" s="49" t="str">
        <f>IF(NOT(AND(IFERROR('Company_Master'!A25&lt;&gt;"",FALSE),COUNTIF('Raw_Extract'!A:A,'Company_Master'!A25)&gt;0)),"—",IF(COUNTIFS('Raw_Extract'!A:A,'Company_Master'!A25,'Raw_Extract'!J:J,"Low")&gt;0,"⚠","✓"))</f>
        <v>✓</v>
      </c>
      <c r="K28" s="49" t="str">
        <f>IF(NOT(AND(IFERROR('Company_Master'!A25&lt;&gt;"",FALSE),AND(ISNUMBER(Financials!E25),ISNUMBER(Financials!AP25)))),"—",IF(IFERROR(AND(ISNUMBER(Financials!E25),ISNUMBER(Financials!AP25),Financials!E25&lt;&gt;0,ABS(Financials!E25-Financials!AP25)/ABS(Financials!E25)&gt;0.05),FALSE),"⚠","✓"))</f>
        <v>⚠</v>
      </c>
      <c r="L28" s="49" t="str">
        <f>IF(NOT(AND(IFERROR('Company_Master'!A25&lt;&gt;"",FALSE),AND(ISNUMBER(Financials!AR25),ISNUMBER(Financials!S25)))),"—",IF(IFERROR(AND(ISNUMBER(Financials!AR25),ISNUMBER(Financials!S25),Financials!S25&lt;&gt;0,ABS(Financials!AR25-Financials!S25)/MAX(ABS(Financials!S25),1)&gt;0.05),FALSE),"⚠","✓"))</f>
        <v>✓</v>
      </c>
      <c r="M28" s="49" t="str">
        <f>IF(NOT(AND(IFERROR('Company_Master'!A25&lt;&gt;"",FALSE),AND(ISNUMBER(Asset_Operations!BE25),ISNUMBER(Asset_Operations!AR25)))),"—",IF(IFERROR(AND(ISNUMBER(Asset_Operations!BE25),ISNUMBER(Asset_Operations!AR25),ABS(Asset_Operations!BE25-Asset_Operations!AR25)&gt;0.05),FALSE),"⚠","✓"))</f>
        <v>✓</v>
      </c>
      <c r="N28" s="49" t="str">
        <f>IF(NOT(AND(IFERROR('Company_Master'!A25&lt;&gt;"",FALSE),ISNUMBER(Financials!C25))),"—",IF(IFERROR(AND(ISNUMBER(Financials!C25),OR(Financials!C25&lt;50,Financials!C25&gt;200000)),FALSE),"⚠","✓"))</f>
        <v>✓</v>
      </c>
      <c r="O28" s="50">
        <f t="shared" si="0"/>
        <v>2</v>
      </c>
      <c r="P28" s="50">
        <f t="shared" si="1"/>
        <v>10</v>
      </c>
      <c r="Q28" s="46" t="str">
        <f>IF(NOT(IFERROR('Company_Master'!A25&lt;&gt;"",FALSE)),"",IF(O28&gt;0,"⚠ "&amp;O28&amp;" issue(s) detected",IF(P28=0,"— No data to validate","✓ All "&amp;P28&amp;" checks passed")))</f>
        <v>⚠ 2 issue(s) detected</v>
      </c>
    </row>
    <row r="29" spans="1:17" x14ac:dyDescent="0.3">
      <c r="A29" s="47">
        <v>25</v>
      </c>
      <c r="B29" s="48" t="str">
        <f>IFERROR('Company_Master'!A26,"")</f>
        <v>PT Dharma Satya Nusantara Tbk</v>
      </c>
      <c r="C29" s="49" t="str">
        <f>IF(NOT(AND(IFERROR('Company_Master'!A26&lt;&gt;"",FALSE),OR(ISNUMBER(Asset_Operations!B26),ISNUMBER(Asset_Operations!C26),ISNUMBER(Asset_Operations!D26)))),"—",IF(IFERROR(AND(ISNUMBER(Asset_Operations!B26),ISNUMBER(Asset_Operations!C26),ISNUMBER(Asset_Operations!D26),Asset_Operations!B26&gt;0,ABS((Asset_Operations!C26+Asset_Operations!D26)-Asset_Operations!B26)/Asset_Operations!B26&gt;0.02),FALSE),"⚠","✓"))</f>
        <v>✓</v>
      </c>
      <c r="D29" s="49" t="str">
        <f>IF(NOT(AND(IFERROR('Company_Master'!A26&lt;&gt;"",FALSE),OR(ISNUMBER(Asset_Operations!B26),ISNUMBER(Asset_Operations!E26),ISNUMBER(Asset_Operations!F26)))),"—",IF(IFERROR(AND(ISNUMBER(Asset_Operations!B26),ISNUMBER(Asset_Operations!E26),ISNUMBER(Asset_Operations!F26),Asset_Operations!B26&gt;0,ABS((Asset_Operations!E26+Asset_Operations!F26)-Asset_Operations!B26)/Asset_Operations!B26&gt;0.02),FALSE),"⚠","✓"))</f>
        <v>✓</v>
      </c>
      <c r="E29" s="49" t="str">
        <f>IF(NOT(AND(IFERROR('Company_Master'!A26&lt;&gt;"",FALSE),ISNUMBER(Asset_Operations!AR26))),"—",IF(IFERROR(AND(ISNUMBER(Asset_Operations!AR26),OR(Asset_Operations!AR26&lt;0.15,Asset_Operations!AR26&gt;0.27)),FALSE),"⚠","✓"))</f>
        <v>✓</v>
      </c>
      <c r="F29" s="49" t="str">
        <f>IF(NOT(AND(IFERROR('Company_Master'!A26&lt;&gt;"",FALSE),AND(ISNUMBER(Financials!Q26),ISNUMBER(Financials!R26)))),"—",IF(IFERROR(AND(ISNUMBER(Financials!Q26),ISNUMBER(Financials!R26),ISNUMBER(Financials!S26),ABS((Financials!R26-Financials!Q26)-Financials!S26)/MAX(ABS(Financials!S26),1)&gt;0.05),FALSE),"⚠","✓"))</f>
        <v>✓</v>
      </c>
      <c r="G29" s="49" t="str">
        <f>IF(NOT(AND(IFERROR('Company_Master'!A26&lt;&gt;"",FALSE),AND(ISNUMBER(Financials!I26),ISNUMBER(Financials!L26),ISNUMBER(Financials!O26)))),"—",IF(IFERROR(AND(ISNUMBER(Financials!I26),ISNUMBER(Financials!L26),ISNUMBER(Financials!O26),Financials!I26&gt;0,ABS(Financials!I26-(Financials!L26+Financials!O26))/Financials!I26&gt;0.01),FALSE),"⚠","✓"))</f>
        <v>✓</v>
      </c>
      <c r="H29" s="49" t="str">
        <f>IF(NOT(AND(IFERROR('Company_Master'!A26&lt;&gt;"",FALSE),AND(ISNUMBER(Financials!E26),ISNUMBER(Financials!F26)))),"—",IF(IFERROR(AND(ISNUMBER(Financials!E26),ISNUMBER(Financials!F26),Financials!E26&lt;Financials!F26),FALSE),"⚠","✓"))</f>
        <v>✓</v>
      </c>
      <c r="I29" s="49" t="str">
        <f>IF(NOT(AND(IFERROR('Company_Master'!A26&lt;&gt;"",FALSE),AND(ISNUMBER(Financials!C26),ISNUMBER(Financials!E26)))),"—",IF(IFERROR(AND(ISNUMBER(Financials!C26),ISNUMBER(Financials!E26),Financials!C26=0,Financials!E26&gt;0),FALSE),"⚠","✓"))</f>
        <v>✓</v>
      </c>
      <c r="J29" s="49" t="str">
        <f>IF(NOT(AND(IFERROR('Company_Master'!A26&lt;&gt;"",FALSE),COUNTIF('Raw_Extract'!A:A,'Company_Master'!A26)&gt;0)),"—",IF(COUNTIFS('Raw_Extract'!A:A,'Company_Master'!A26,'Raw_Extract'!J:J,"Low")&gt;0,"⚠","✓"))</f>
        <v>✓</v>
      </c>
      <c r="K29" s="49" t="str">
        <f>IF(NOT(AND(IFERROR('Company_Master'!A26&lt;&gt;"",FALSE),AND(ISNUMBER(Financials!E26),ISNUMBER(Financials!AP26)))),"—",IF(IFERROR(AND(ISNUMBER(Financials!E26),ISNUMBER(Financials!AP26),Financials!E26&lt;&gt;0,ABS(Financials!E26-Financials!AP26)/ABS(Financials!E26)&gt;0.05),FALSE),"⚠","✓"))</f>
        <v>✓</v>
      </c>
      <c r="L29" s="49" t="str">
        <f>IF(NOT(AND(IFERROR('Company_Master'!A26&lt;&gt;"",FALSE),AND(ISNUMBER(Financials!AR26),ISNUMBER(Financials!S26)))),"—",IF(IFERROR(AND(ISNUMBER(Financials!AR26),ISNUMBER(Financials!S26),Financials!S26&lt;&gt;0,ABS(Financials!AR26-Financials!S26)/MAX(ABS(Financials!S26),1)&gt;0.05),FALSE),"⚠","✓"))</f>
        <v>✓</v>
      </c>
      <c r="M29" s="49" t="str">
        <f>IF(NOT(AND(IFERROR('Company_Master'!A26&lt;&gt;"",FALSE),AND(ISNUMBER(Asset_Operations!BE26),ISNUMBER(Asset_Operations!AR26)))),"—",IF(IFERROR(AND(ISNUMBER(Asset_Operations!BE26),ISNUMBER(Asset_Operations!AR26),ABS(Asset_Operations!BE26-Asset_Operations!AR26)&gt;0.05),FALSE),"⚠","✓"))</f>
        <v>✓</v>
      </c>
      <c r="N29" s="49" t="str">
        <f>IF(NOT(AND(IFERROR('Company_Master'!A26&lt;&gt;"",FALSE),ISNUMBER(Financials!C26))),"—",IF(IFERROR(AND(ISNUMBER(Financials!C26),OR(Financials!C26&lt;50,Financials!C26&gt;200000)),FALSE),"⚠","✓"))</f>
        <v>✓</v>
      </c>
      <c r="O29" s="50">
        <f t="shared" si="0"/>
        <v>0</v>
      </c>
      <c r="P29" s="50">
        <f t="shared" si="1"/>
        <v>12</v>
      </c>
      <c r="Q29" s="46" t="str">
        <f>IF(NOT(IFERROR('Company_Master'!A26&lt;&gt;"",FALSE)),"",IF(O29&gt;0,"⚠ "&amp;O29&amp;" issue(s) detected",IF(P29=0,"— No data to validate","✓ All "&amp;P29&amp;" checks passed")))</f>
        <v>✓ All 12 checks passed</v>
      </c>
    </row>
    <row r="30" spans="1:17" x14ac:dyDescent="0.3">
      <c r="A30" s="47">
        <v>26</v>
      </c>
      <c r="B30" s="48" t="str">
        <f>IFERROR('Company_Master'!A27,"")</f>
        <v>PT Dharma Satya Nusantara Tbk</v>
      </c>
      <c r="C30" s="49" t="str">
        <f>IF(NOT(AND(IFERROR('Company_Master'!A27&lt;&gt;"",FALSE),OR(ISNUMBER(Asset_Operations!B27),ISNUMBER(Asset_Operations!C27),ISNUMBER(Asset_Operations!D27)))),"—",IF(IFERROR(AND(ISNUMBER(Asset_Operations!B27),ISNUMBER(Asset_Operations!C27),ISNUMBER(Asset_Operations!D27),Asset_Operations!B27&gt;0,ABS((Asset_Operations!C27+Asset_Operations!D27)-Asset_Operations!B27)/Asset_Operations!B27&gt;0.02),FALSE),"⚠","✓"))</f>
        <v>✓</v>
      </c>
      <c r="D30" s="49" t="str">
        <f>IF(NOT(AND(IFERROR('Company_Master'!A27&lt;&gt;"",FALSE),OR(ISNUMBER(Asset_Operations!B27),ISNUMBER(Asset_Operations!E27),ISNUMBER(Asset_Operations!F27)))),"—",IF(IFERROR(AND(ISNUMBER(Asset_Operations!B27),ISNUMBER(Asset_Operations!E27),ISNUMBER(Asset_Operations!F27),Asset_Operations!B27&gt;0,ABS((Asset_Operations!E27+Asset_Operations!F27)-Asset_Operations!B27)/Asset_Operations!B27&gt;0.02),FALSE),"⚠","✓"))</f>
        <v>✓</v>
      </c>
      <c r="E30" s="49" t="str">
        <f>IF(NOT(AND(IFERROR('Company_Master'!A27&lt;&gt;"",FALSE),ISNUMBER(Asset_Operations!AR27))),"—",IF(IFERROR(AND(ISNUMBER(Asset_Operations!AR27),OR(Asset_Operations!AR27&lt;0.15,Asset_Operations!AR27&gt;0.27)),FALSE),"⚠","✓"))</f>
        <v>✓</v>
      </c>
      <c r="F30" s="49" t="str">
        <f>IF(NOT(AND(IFERROR('Company_Master'!A27&lt;&gt;"",FALSE),AND(ISNUMBER(Financials!Q27),ISNUMBER(Financials!R27)))),"—",IF(IFERROR(AND(ISNUMBER(Financials!Q27),ISNUMBER(Financials!R27),ISNUMBER(Financials!S27),ABS((Financials!R27-Financials!Q27)-Financials!S27)/MAX(ABS(Financials!S27),1)&gt;0.05),FALSE),"⚠","✓"))</f>
        <v>✓</v>
      </c>
      <c r="G30" s="49" t="str">
        <f>IF(NOT(AND(IFERROR('Company_Master'!A27&lt;&gt;"",FALSE),AND(ISNUMBER(Financials!I27),ISNUMBER(Financials!L27),ISNUMBER(Financials!O27)))),"—",IF(IFERROR(AND(ISNUMBER(Financials!I27),ISNUMBER(Financials!L27),ISNUMBER(Financials!O27),Financials!I27&gt;0,ABS(Financials!I27-(Financials!L27+Financials!O27))/Financials!I27&gt;0.01),FALSE),"⚠","✓"))</f>
        <v>✓</v>
      </c>
      <c r="H30" s="49" t="str">
        <f>IF(NOT(AND(IFERROR('Company_Master'!A27&lt;&gt;"",FALSE),AND(ISNUMBER(Financials!E27),ISNUMBER(Financials!F27)))),"—",IF(IFERROR(AND(ISNUMBER(Financials!E27),ISNUMBER(Financials!F27),Financials!E27&lt;Financials!F27),FALSE),"⚠","✓"))</f>
        <v>✓</v>
      </c>
      <c r="I30" s="49" t="str">
        <f>IF(NOT(AND(IFERROR('Company_Master'!A27&lt;&gt;"",FALSE),AND(ISNUMBER(Financials!C27),ISNUMBER(Financials!E27)))),"—",IF(IFERROR(AND(ISNUMBER(Financials!C27),ISNUMBER(Financials!E27),Financials!C27=0,Financials!E27&gt;0),FALSE),"⚠","✓"))</f>
        <v>✓</v>
      </c>
      <c r="J30" s="49" t="str">
        <f>IF(NOT(AND(IFERROR('Company_Master'!A27&lt;&gt;"",FALSE),COUNTIF('Raw_Extract'!A:A,'Company_Master'!A27)&gt;0)),"—",IF(COUNTIFS('Raw_Extract'!A:A,'Company_Master'!A27,'Raw_Extract'!J:J,"Low")&gt;0,"⚠","✓"))</f>
        <v>✓</v>
      </c>
      <c r="K30" s="49" t="str">
        <f>IF(NOT(AND(IFERROR('Company_Master'!A27&lt;&gt;"",FALSE),AND(ISNUMBER(Financials!E27),ISNUMBER(Financials!AP27)))),"—",IF(IFERROR(AND(ISNUMBER(Financials!E27),ISNUMBER(Financials!AP27),Financials!E27&lt;&gt;0,ABS(Financials!E27-Financials!AP27)/ABS(Financials!E27)&gt;0.05),FALSE),"⚠","✓"))</f>
        <v>✓</v>
      </c>
      <c r="L30" s="49" t="str">
        <f>IF(NOT(AND(IFERROR('Company_Master'!A27&lt;&gt;"",FALSE),AND(ISNUMBER(Financials!AR27),ISNUMBER(Financials!S27)))),"—",IF(IFERROR(AND(ISNUMBER(Financials!AR27),ISNUMBER(Financials!S27),Financials!S27&lt;&gt;0,ABS(Financials!AR27-Financials!S27)/MAX(ABS(Financials!S27),1)&gt;0.05),FALSE),"⚠","✓"))</f>
        <v>✓</v>
      </c>
      <c r="M30" s="49" t="str">
        <f>IF(NOT(AND(IFERROR('Company_Master'!A27&lt;&gt;"",FALSE),AND(ISNUMBER(Asset_Operations!BE27),ISNUMBER(Asset_Operations!AR27)))),"—",IF(IFERROR(AND(ISNUMBER(Asset_Operations!BE27),ISNUMBER(Asset_Operations!AR27),ABS(Asset_Operations!BE27-Asset_Operations!AR27)&gt;0.05),FALSE),"⚠","✓"))</f>
        <v>✓</v>
      </c>
      <c r="N30" s="49" t="str">
        <f>IF(NOT(AND(IFERROR('Company_Master'!A27&lt;&gt;"",FALSE),ISNUMBER(Financials!C27))),"—",IF(IFERROR(AND(ISNUMBER(Financials!C27),OR(Financials!C27&lt;50,Financials!C27&gt;200000)),FALSE),"⚠","✓"))</f>
        <v>✓</v>
      </c>
      <c r="O30" s="50">
        <f t="shared" si="0"/>
        <v>0</v>
      </c>
      <c r="P30" s="50">
        <f t="shared" si="1"/>
        <v>12</v>
      </c>
      <c r="Q30" s="46" t="str">
        <f>IF(NOT(IFERROR('Company_Master'!A27&lt;&gt;"",FALSE)),"",IF(O30&gt;0,"⚠ "&amp;O30&amp;" issue(s) detected",IF(P30=0,"— No data to validate","✓ All "&amp;P30&amp;" checks passed")))</f>
        <v>✓ All 12 checks passed</v>
      </c>
    </row>
    <row r="31" spans="1:17" x14ac:dyDescent="0.3">
      <c r="A31" s="47">
        <v>27</v>
      </c>
      <c r="B31" s="48" t="str">
        <f>IFERROR('Company_Master'!A28,"")</f>
        <v>PT Dharma Satya Nusantara Tbk</v>
      </c>
      <c r="C31" s="49" t="str">
        <f>IF(NOT(AND(IFERROR('Company_Master'!A28&lt;&gt;"",FALSE),OR(ISNUMBER(Asset_Operations!B28),ISNUMBER(Asset_Operations!C28),ISNUMBER(Asset_Operations!D28)))),"—",IF(IFERROR(AND(ISNUMBER(Asset_Operations!B28),ISNUMBER(Asset_Operations!C28),ISNUMBER(Asset_Operations!D28),Asset_Operations!B28&gt;0,ABS((Asset_Operations!C28+Asset_Operations!D28)-Asset_Operations!B28)/Asset_Operations!B28&gt;0.02),FALSE),"⚠","✓"))</f>
        <v>✓</v>
      </c>
      <c r="D31" s="49" t="str">
        <f>IF(NOT(AND(IFERROR('Company_Master'!A28&lt;&gt;"",FALSE),OR(ISNUMBER(Asset_Operations!B28),ISNUMBER(Asset_Operations!E28),ISNUMBER(Asset_Operations!F28)))),"—",IF(IFERROR(AND(ISNUMBER(Asset_Operations!B28),ISNUMBER(Asset_Operations!E28),ISNUMBER(Asset_Operations!F28),Asset_Operations!B28&gt;0,ABS((Asset_Operations!E28+Asset_Operations!F28)-Asset_Operations!B28)/Asset_Operations!B28&gt;0.02),FALSE),"⚠","✓"))</f>
        <v>✓</v>
      </c>
      <c r="E31" s="49" t="str">
        <f>IF(NOT(AND(IFERROR('Company_Master'!A28&lt;&gt;"",FALSE),ISNUMBER(Asset_Operations!AR28))),"—",IF(IFERROR(AND(ISNUMBER(Asset_Operations!AR28),OR(Asset_Operations!AR28&lt;0.15,Asset_Operations!AR28&gt;0.27)),FALSE),"⚠","✓"))</f>
        <v>✓</v>
      </c>
      <c r="F31" s="49" t="str">
        <f>IF(NOT(AND(IFERROR('Company_Master'!A28&lt;&gt;"",FALSE),AND(ISNUMBER(Financials!Q28),ISNUMBER(Financials!R28)))),"—",IF(IFERROR(AND(ISNUMBER(Financials!Q28),ISNUMBER(Financials!R28),ISNUMBER(Financials!S28),ABS((Financials!R28-Financials!Q28)-Financials!S28)/MAX(ABS(Financials!S28),1)&gt;0.05),FALSE),"⚠","✓"))</f>
        <v>✓</v>
      </c>
      <c r="G31" s="49" t="str">
        <f>IF(NOT(AND(IFERROR('Company_Master'!A28&lt;&gt;"",FALSE),AND(ISNUMBER(Financials!I28),ISNUMBER(Financials!L28),ISNUMBER(Financials!O28)))),"—",IF(IFERROR(AND(ISNUMBER(Financials!I28),ISNUMBER(Financials!L28),ISNUMBER(Financials!O28),Financials!I28&gt;0,ABS(Financials!I28-(Financials!L28+Financials!O28))/Financials!I28&gt;0.01),FALSE),"⚠","✓"))</f>
        <v>✓</v>
      </c>
      <c r="H31" s="49" t="str">
        <f>IF(NOT(AND(IFERROR('Company_Master'!A28&lt;&gt;"",FALSE),AND(ISNUMBER(Financials!E28),ISNUMBER(Financials!F28)))),"—",IF(IFERROR(AND(ISNUMBER(Financials!E28),ISNUMBER(Financials!F28),Financials!E28&lt;Financials!F28),FALSE),"⚠","✓"))</f>
        <v>✓</v>
      </c>
      <c r="I31" s="49" t="str">
        <f>IF(NOT(AND(IFERROR('Company_Master'!A28&lt;&gt;"",FALSE),AND(ISNUMBER(Financials!C28),ISNUMBER(Financials!E28)))),"—",IF(IFERROR(AND(ISNUMBER(Financials!C28),ISNUMBER(Financials!E28),Financials!C28=0,Financials!E28&gt;0),FALSE),"⚠","✓"))</f>
        <v>✓</v>
      </c>
      <c r="J31" s="49" t="str">
        <f>IF(NOT(AND(IFERROR('Company_Master'!A28&lt;&gt;"",FALSE),COUNTIF('Raw_Extract'!A:A,'Company_Master'!A28)&gt;0)),"—",IF(COUNTIFS('Raw_Extract'!A:A,'Company_Master'!A28,'Raw_Extract'!J:J,"Low")&gt;0,"⚠","✓"))</f>
        <v>✓</v>
      </c>
      <c r="K31" s="49" t="str">
        <f>IF(NOT(AND(IFERROR('Company_Master'!A28&lt;&gt;"",FALSE),AND(ISNUMBER(Financials!E28),ISNUMBER(Financials!AP28)))),"—",IF(IFERROR(AND(ISNUMBER(Financials!E28),ISNUMBER(Financials!AP28),Financials!E28&lt;&gt;0,ABS(Financials!E28-Financials!AP28)/ABS(Financials!E28)&gt;0.05),FALSE),"⚠","✓"))</f>
        <v>✓</v>
      </c>
      <c r="L31" s="49" t="str">
        <f>IF(NOT(AND(IFERROR('Company_Master'!A28&lt;&gt;"",FALSE),AND(ISNUMBER(Financials!AR28),ISNUMBER(Financials!S28)))),"—",IF(IFERROR(AND(ISNUMBER(Financials!AR28),ISNUMBER(Financials!S28),Financials!S28&lt;&gt;0,ABS(Financials!AR28-Financials!S28)/MAX(ABS(Financials!S28),1)&gt;0.05),FALSE),"⚠","✓"))</f>
        <v>✓</v>
      </c>
      <c r="M31" s="49" t="str">
        <f>IF(NOT(AND(IFERROR('Company_Master'!A28&lt;&gt;"",FALSE),AND(ISNUMBER(Asset_Operations!BE28),ISNUMBER(Asset_Operations!AR28)))),"—",IF(IFERROR(AND(ISNUMBER(Asset_Operations!BE28),ISNUMBER(Asset_Operations!AR28),ABS(Asset_Operations!BE28-Asset_Operations!AR28)&gt;0.05),FALSE),"⚠","✓"))</f>
        <v>✓</v>
      </c>
      <c r="N31" s="49" t="str">
        <f>IF(NOT(AND(IFERROR('Company_Master'!A28&lt;&gt;"",FALSE),ISNUMBER(Financials!C28))),"—",IF(IFERROR(AND(ISNUMBER(Financials!C28),OR(Financials!C28&lt;50,Financials!C28&gt;200000)),FALSE),"⚠","✓"))</f>
        <v>✓</v>
      </c>
      <c r="O31" s="50">
        <f t="shared" si="0"/>
        <v>0</v>
      </c>
      <c r="P31" s="50">
        <f t="shared" si="1"/>
        <v>12</v>
      </c>
      <c r="Q31" s="46" t="str">
        <f>IF(NOT(IFERROR('Company_Master'!A28&lt;&gt;"",FALSE)),"",IF(O31&gt;0,"⚠ "&amp;O31&amp;" issue(s) detected",IF(P31=0,"— No data to validate","✓ All "&amp;P31&amp;" checks passed")))</f>
        <v>✓ All 12 checks passed</v>
      </c>
    </row>
    <row r="32" spans="1:17" x14ac:dyDescent="0.3">
      <c r="A32" s="47">
        <v>28</v>
      </c>
      <c r="B32" s="48" t="str">
        <f>IFERROR('Company_Master'!A29,"")</f>
        <v>PT FAP Agri Tbk</v>
      </c>
      <c r="C32" s="49" t="str">
        <f>IF(NOT(AND(IFERROR('Company_Master'!A29&lt;&gt;"",FALSE),OR(ISNUMBER(Asset_Operations!B29),ISNUMBER(Asset_Operations!C29),ISNUMBER(Asset_Operations!D29)))),"—",IF(IFERROR(AND(ISNUMBER(Asset_Operations!B29),ISNUMBER(Asset_Operations!C29),ISNUMBER(Asset_Operations!D29),Asset_Operations!B29&gt;0,ABS((Asset_Operations!C29+Asset_Operations!D29)-Asset_Operations!B29)/Asset_Operations!B29&gt;0.02),FALSE),"⚠","✓"))</f>
        <v>✓</v>
      </c>
      <c r="D32" s="49" t="str">
        <f>IF(NOT(AND(IFERROR('Company_Master'!A29&lt;&gt;"",FALSE),OR(ISNUMBER(Asset_Operations!B29),ISNUMBER(Asset_Operations!E29),ISNUMBER(Asset_Operations!F29)))),"—",IF(IFERROR(AND(ISNUMBER(Asset_Operations!B29),ISNUMBER(Asset_Operations!E29),ISNUMBER(Asset_Operations!F29),Asset_Operations!B29&gt;0,ABS((Asset_Operations!E29+Asset_Operations!F29)-Asset_Operations!B29)/Asset_Operations!B29&gt;0.02),FALSE),"⚠","✓"))</f>
        <v>✓</v>
      </c>
      <c r="E32" s="49" t="str">
        <f>IF(NOT(AND(IFERROR('Company_Master'!A29&lt;&gt;"",FALSE),ISNUMBER(Asset_Operations!AR29))),"—",IF(IFERROR(AND(ISNUMBER(Asset_Operations!AR29),OR(Asset_Operations!AR29&lt;0.15,Asset_Operations!AR29&gt;0.27)),FALSE),"⚠","✓"))</f>
        <v>✓</v>
      </c>
      <c r="F32" s="49" t="str">
        <f>IF(NOT(AND(IFERROR('Company_Master'!A29&lt;&gt;"",FALSE),AND(ISNUMBER(Financials!Q29),ISNUMBER(Financials!R29)))),"—",IF(IFERROR(AND(ISNUMBER(Financials!Q29),ISNUMBER(Financials!R29),ISNUMBER(Financials!S29),ABS((Financials!R29-Financials!Q29)-Financials!S29)/MAX(ABS(Financials!S29),1)&gt;0.05),FALSE),"⚠","✓"))</f>
        <v>✓</v>
      </c>
      <c r="G32" s="49" t="str">
        <f>IF(NOT(AND(IFERROR('Company_Master'!A29&lt;&gt;"",FALSE),AND(ISNUMBER(Financials!I29),ISNUMBER(Financials!L29),ISNUMBER(Financials!O29)))),"—",IF(IFERROR(AND(ISNUMBER(Financials!I29),ISNUMBER(Financials!L29),ISNUMBER(Financials!O29),Financials!I29&gt;0,ABS(Financials!I29-(Financials!L29+Financials!O29))/Financials!I29&gt;0.01),FALSE),"⚠","✓"))</f>
        <v>✓</v>
      </c>
      <c r="H32" s="49" t="str">
        <f>IF(NOT(AND(IFERROR('Company_Master'!A29&lt;&gt;"",FALSE),AND(ISNUMBER(Financials!E29),ISNUMBER(Financials!F29)))),"—",IF(IFERROR(AND(ISNUMBER(Financials!E29),ISNUMBER(Financials!F29),Financials!E29&lt;Financials!F29),FALSE),"⚠","✓"))</f>
        <v>—</v>
      </c>
      <c r="I32" s="49" t="str">
        <f>IF(NOT(AND(IFERROR('Company_Master'!A29&lt;&gt;"",FALSE),AND(ISNUMBER(Financials!C29),ISNUMBER(Financials!E29)))),"—",IF(IFERROR(AND(ISNUMBER(Financials!C29),ISNUMBER(Financials!E29),Financials!C29=0,Financials!E29&gt;0),FALSE),"⚠","✓"))</f>
        <v>—</v>
      </c>
      <c r="J32" s="49" t="str">
        <f>IF(NOT(AND(IFERROR('Company_Master'!A29&lt;&gt;"",FALSE),COUNTIF('Raw_Extract'!A:A,'Company_Master'!A29)&gt;0)),"—",IF(COUNTIFS('Raw_Extract'!A:A,'Company_Master'!A29,'Raw_Extract'!J:J,"Low")&gt;0,"⚠","✓"))</f>
        <v>✓</v>
      </c>
      <c r="K32" s="49" t="str">
        <f>IF(NOT(AND(IFERROR('Company_Master'!A29&lt;&gt;"",FALSE),AND(ISNUMBER(Financials!E29),ISNUMBER(Financials!AP29)))),"—",IF(IFERROR(AND(ISNUMBER(Financials!E29),ISNUMBER(Financials!AP29),Financials!E29&lt;&gt;0,ABS(Financials!E29-Financials!AP29)/ABS(Financials!E29)&gt;0.05),FALSE),"⚠","✓"))</f>
        <v>—</v>
      </c>
      <c r="L32" s="49" t="str">
        <f>IF(NOT(AND(IFERROR('Company_Master'!A29&lt;&gt;"",FALSE),AND(ISNUMBER(Financials!AR29),ISNUMBER(Financials!S29)))),"—",IF(IFERROR(AND(ISNUMBER(Financials!AR29),ISNUMBER(Financials!S29),Financials!S29&lt;&gt;0,ABS(Financials!AR29-Financials!S29)/MAX(ABS(Financials!S29),1)&gt;0.05),FALSE),"⚠","✓"))</f>
        <v>✓</v>
      </c>
      <c r="M32" s="49" t="str">
        <f>IF(NOT(AND(IFERROR('Company_Master'!A29&lt;&gt;"",FALSE),AND(ISNUMBER(Asset_Operations!BE29),ISNUMBER(Asset_Operations!AR29)))),"—",IF(IFERROR(AND(ISNUMBER(Asset_Operations!BE29),ISNUMBER(Asset_Operations!AR29),ABS(Asset_Operations!BE29-Asset_Operations!AR29)&gt;0.05),FALSE),"⚠","✓"))</f>
        <v>—</v>
      </c>
      <c r="N32" s="49" t="str">
        <f>IF(NOT(AND(IFERROR('Company_Master'!A29&lt;&gt;"",FALSE),ISNUMBER(Financials!C29))),"—",IF(IFERROR(AND(ISNUMBER(Financials!C29),OR(Financials!C29&lt;50,Financials!C29&gt;200000)),FALSE),"⚠","✓"))</f>
        <v>✓</v>
      </c>
      <c r="O32" s="50">
        <f t="shared" si="0"/>
        <v>0</v>
      </c>
      <c r="P32" s="50">
        <f t="shared" si="1"/>
        <v>8</v>
      </c>
      <c r="Q32" s="46" t="str">
        <f>IF(NOT(IFERROR('Company_Master'!A29&lt;&gt;"",FALSE)),"",IF(O32&gt;0,"⚠ "&amp;O32&amp;" issue(s) detected",IF(P32=0,"— No data to validate","✓ All "&amp;P32&amp;" checks passed")))</f>
        <v>✓ All 8 checks passed</v>
      </c>
    </row>
    <row r="33" spans="1:17" x14ac:dyDescent="0.3">
      <c r="A33" s="47">
        <v>29</v>
      </c>
      <c r="B33" s="48" t="str">
        <f>IFERROR('Company_Master'!A30,"")</f>
        <v>PT FAP Agri Tbk</v>
      </c>
      <c r="C33" s="49" t="str">
        <f>IF(NOT(AND(IFERROR('Company_Master'!A30&lt;&gt;"",FALSE),OR(ISNUMBER(Asset_Operations!B30),ISNUMBER(Asset_Operations!C30),ISNUMBER(Asset_Operations!D30)))),"—",IF(IFERROR(AND(ISNUMBER(Asset_Operations!B30),ISNUMBER(Asset_Operations!C30),ISNUMBER(Asset_Operations!D30),Asset_Operations!B30&gt;0,ABS((Asset_Operations!C30+Asset_Operations!D30)-Asset_Operations!B30)/Asset_Operations!B30&gt;0.02),FALSE),"⚠","✓"))</f>
        <v>✓</v>
      </c>
      <c r="D33" s="49" t="str">
        <f>IF(NOT(AND(IFERROR('Company_Master'!A30&lt;&gt;"",FALSE),OR(ISNUMBER(Asset_Operations!B30),ISNUMBER(Asset_Operations!E30),ISNUMBER(Asset_Operations!F30)))),"—",IF(IFERROR(AND(ISNUMBER(Asset_Operations!B30),ISNUMBER(Asset_Operations!E30),ISNUMBER(Asset_Operations!F30),Asset_Operations!B30&gt;0,ABS((Asset_Operations!E30+Asset_Operations!F30)-Asset_Operations!B30)/Asset_Operations!B30&gt;0.02),FALSE),"⚠","✓"))</f>
        <v>✓</v>
      </c>
      <c r="E33" s="49" t="str">
        <f>IF(NOT(AND(IFERROR('Company_Master'!A30&lt;&gt;"",FALSE),ISNUMBER(Asset_Operations!AR30))),"—",IF(IFERROR(AND(ISNUMBER(Asset_Operations!AR30),OR(Asset_Operations!AR30&lt;0.15,Asset_Operations!AR30&gt;0.27)),FALSE),"⚠","✓"))</f>
        <v>—</v>
      </c>
      <c r="F33" s="49" t="str">
        <f>IF(NOT(AND(IFERROR('Company_Master'!A30&lt;&gt;"",FALSE),AND(ISNUMBER(Financials!Q30),ISNUMBER(Financials!R30)))),"—",IF(IFERROR(AND(ISNUMBER(Financials!Q30),ISNUMBER(Financials!R30),ISNUMBER(Financials!S30),ABS((Financials!R30-Financials!Q30)-Financials!S30)/MAX(ABS(Financials!S30),1)&gt;0.05),FALSE),"⚠","✓"))</f>
        <v>✓</v>
      </c>
      <c r="G33" s="49" t="str">
        <f>IF(NOT(AND(IFERROR('Company_Master'!A30&lt;&gt;"",FALSE),AND(ISNUMBER(Financials!I30),ISNUMBER(Financials!L30),ISNUMBER(Financials!O30)))),"—",IF(IFERROR(AND(ISNUMBER(Financials!I30),ISNUMBER(Financials!L30),ISNUMBER(Financials!O30),Financials!I30&gt;0,ABS(Financials!I30-(Financials!L30+Financials!O30))/Financials!I30&gt;0.01),FALSE),"⚠","✓"))</f>
        <v>✓</v>
      </c>
      <c r="H33" s="49" t="str">
        <f>IF(NOT(AND(IFERROR('Company_Master'!A30&lt;&gt;"",FALSE),AND(ISNUMBER(Financials!E30),ISNUMBER(Financials!F30)))),"—",IF(IFERROR(AND(ISNUMBER(Financials!E30),ISNUMBER(Financials!F30),Financials!E30&lt;Financials!F30),FALSE),"⚠","✓"))</f>
        <v>—</v>
      </c>
      <c r="I33" s="49" t="str">
        <f>IF(NOT(AND(IFERROR('Company_Master'!A30&lt;&gt;"",FALSE),AND(ISNUMBER(Financials!C30),ISNUMBER(Financials!E30)))),"—",IF(IFERROR(AND(ISNUMBER(Financials!C30),ISNUMBER(Financials!E30),Financials!C30=0,Financials!E30&gt;0),FALSE),"⚠","✓"))</f>
        <v>—</v>
      </c>
      <c r="J33" s="49" t="str">
        <f>IF(NOT(AND(IFERROR('Company_Master'!A30&lt;&gt;"",FALSE),COUNTIF('Raw_Extract'!A:A,'Company_Master'!A30)&gt;0)),"—",IF(COUNTIFS('Raw_Extract'!A:A,'Company_Master'!A30,'Raw_Extract'!J:J,"Low")&gt;0,"⚠","✓"))</f>
        <v>✓</v>
      </c>
      <c r="K33" s="49" t="str">
        <f>IF(NOT(AND(IFERROR('Company_Master'!A30&lt;&gt;"",FALSE),AND(ISNUMBER(Financials!E30),ISNUMBER(Financials!AP30)))),"—",IF(IFERROR(AND(ISNUMBER(Financials!E30),ISNUMBER(Financials!AP30),Financials!E30&lt;&gt;0,ABS(Financials!E30-Financials!AP30)/ABS(Financials!E30)&gt;0.05),FALSE),"⚠","✓"))</f>
        <v>—</v>
      </c>
      <c r="L33" s="49" t="str">
        <f>IF(NOT(AND(IFERROR('Company_Master'!A30&lt;&gt;"",FALSE),AND(ISNUMBER(Financials!AR30),ISNUMBER(Financials!S30)))),"—",IF(IFERROR(AND(ISNUMBER(Financials!AR30),ISNUMBER(Financials!S30),Financials!S30&lt;&gt;0,ABS(Financials!AR30-Financials!S30)/MAX(ABS(Financials!S30),1)&gt;0.05),FALSE),"⚠","✓"))</f>
        <v>✓</v>
      </c>
      <c r="M33" s="49" t="str">
        <f>IF(NOT(AND(IFERROR('Company_Master'!A30&lt;&gt;"",FALSE),AND(ISNUMBER(Asset_Operations!BE30),ISNUMBER(Asset_Operations!AR30)))),"—",IF(IFERROR(AND(ISNUMBER(Asset_Operations!BE30),ISNUMBER(Asset_Operations!AR30),ABS(Asset_Operations!BE30-Asset_Operations!AR30)&gt;0.05),FALSE),"⚠","✓"))</f>
        <v>—</v>
      </c>
      <c r="N33" s="49" t="str">
        <f>IF(NOT(AND(IFERROR('Company_Master'!A30&lt;&gt;"",FALSE),ISNUMBER(Financials!C30))),"—",IF(IFERROR(AND(ISNUMBER(Financials!C30),OR(Financials!C30&lt;50,Financials!C30&gt;200000)),FALSE),"⚠","✓"))</f>
        <v>✓</v>
      </c>
      <c r="O33" s="50">
        <f t="shared" si="0"/>
        <v>0</v>
      </c>
      <c r="P33" s="50">
        <f t="shared" si="1"/>
        <v>7</v>
      </c>
      <c r="Q33" s="46" t="str">
        <f>IF(NOT(IFERROR('Company_Master'!A30&lt;&gt;"",FALSE)),"",IF(O33&gt;0,"⚠ "&amp;O33&amp;" issue(s) detected",IF(P33=0,"— No data to validate","✓ All "&amp;P33&amp;" checks passed")))</f>
        <v>✓ All 7 checks passed</v>
      </c>
    </row>
    <row r="34" spans="1:17" x14ac:dyDescent="0.3">
      <c r="A34" s="47">
        <v>30</v>
      </c>
      <c r="B34" s="48" t="str">
        <f>IFERROR('Company_Master'!A31,"")</f>
        <v>PT FAP Agri Tbk</v>
      </c>
      <c r="C34" s="49" t="str">
        <f>IF(NOT(AND(IFERROR('Company_Master'!A31&lt;&gt;"",FALSE),OR(ISNUMBER(Asset_Operations!B31),ISNUMBER(Asset_Operations!C31),ISNUMBER(Asset_Operations!D31)))),"—",IF(IFERROR(AND(ISNUMBER(Asset_Operations!B31),ISNUMBER(Asset_Operations!C31),ISNUMBER(Asset_Operations!D31),Asset_Operations!B31&gt;0,ABS((Asset_Operations!C31+Asset_Operations!D31)-Asset_Operations!B31)/Asset_Operations!B31&gt;0.02),FALSE),"⚠","✓"))</f>
        <v>✓</v>
      </c>
      <c r="D34" s="49" t="str">
        <f>IF(NOT(AND(IFERROR('Company_Master'!A31&lt;&gt;"",FALSE),OR(ISNUMBER(Asset_Operations!B31),ISNUMBER(Asset_Operations!E31),ISNUMBER(Asset_Operations!F31)))),"—",IF(IFERROR(AND(ISNUMBER(Asset_Operations!B31),ISNUMBER(Asset_Operations!E31),ISNUMBER(Asset_Operations!F31),Asset_Operations!B31&gt;0,ABS((Asset_Operations!E31+Asset_Operations!F31)-Asset_Operations!B31)/Asset_Operations!B31&gt;0.02),FALSE),"⚠","✓"))</f>
        <v>✓</v>
      </c>
      <c r="E34" s="49" t="str">
        <f>IF(NOT(AND(IFERROR('Company_Master'!A31&lt;&gt;"",FALSE),ISNUMBER(Asset_Operations!AR31))),"—",IF(IFERROR(AND(ISNUMBER(Asset_Operations!AR31),OR(Asset_Operations!AR31&lt;0.15,Asset_Operations!AR31&gt;0.27)),FALSE),"⚠","✓"))</f>
        <v>—</v>
      </c>
      <c r="F34" s="49" t="str">
        <f>IF(NOT(AND(IFERROR('Company_Master'!A31&lt;&gt;"",FALSE),AND(ISNUMBER(Financials!Q31),ISNUMBER(Financials!R31)))),"—",IF(IFERROR(AND(ISNUMBER(Financials!Q31),ISNUMBER(Financials!R31),ISNUMBER(Financials!S31),ABS((Financials!R31-Financials!Q31)-Financials!S31)/MAX(ABS(Financials!S31),1)&gt;0.05),FALSE),"⚠","✓"))</f>
        <v>✓</v>
      </c>
      <c r="G34" s="49" t="str">
        <f>IF(NOT(AND(IFERROR('Company_Master'!A31&lt;&gt;"",FALSE),AND(ISNUMBER(Financials!I31),ISNUMBER(Financials!L31),ISNUMBER(Financials!O31)))),"—",IF(IFERROR(AND(ISNUMBER(Financials!I31),ISNUMBER(Financials!L31),ISNUMBER(Financials!O31),Financials!I31&gt;0,ABS(Financials!I31-(Financials!L31+Financials!O31))/Financials!I31&gt;0.01),FALSE),"⚠","✓"))</f>
        <v>✓</v>
      </c>
      <c r="H34" s="49" t="str">
        <f>IF(NOT(AND(IFERROR('Company_Master'!A31&lt;&gt;"",FALSE),AND(ISNUMBER(Financials!E31),ISNUMBER(Financials!F31)))),"—",IF(IFERROR(AND(ISNUMBER(Financials!E31),ISNUMBER(Financials!F31),Financials!E31&lt;Financials!F31),FALSE),"⚠","✓"))</f>
        <v>—</v>
      </c>
      <c r="I34" s="49" t="str">
        <f>IF(NOT(AND(IFERROR('Company_Master'!A31&lt;&gt;"",FALSE),AND(ISNUMBER(Financials!C31),ISNUMBER(Financials!E31)))),"—",IF(IFERROR(AND(ISNUMBER(Financials!C31),ISNUMBER(Financials!E31),Financials!C31=0,Financials!E31&gt;0),FALSE),"⚠","✓"))</f>
        <v>—</v>
      </c>
      <c r="J34" s="49" t="str">
        <f>IF(NOT(AND(IFERROR('Company_Master'!A31&lt;&gt;"",FALSE),COUNTIF('Raw_Extract'!A:A,'Company_Master'!A31)&gt;0)),"—",IF(COUNTIFS('Raw_Extract'!A:A,'Company_Master'!A31,'Raw_Extract'!J:J,"Low")&gt;0,"⚠","✓"))</f>
        <v>✓</v>
      </c>
      <c r="K34" s="49" t="str">
        <f>IF(NOT(AND(IFERROR('Company_Master'!A31&lt;&gt;"",FALSE),AND(ISNUMBER(Financials!E31),ISNUMBER(Financials!AP31)))),"—",IF(IFERROR(AND(ISNUMBER(Financials!E31),ISNUMBER(Financials!AP31),Financials!E31&lt;&gt;0,ABS(Financials!E31-Financials!AP31)/ABS(Financials!E31)&gt;0.05),FALSE),"⚠","✓"))</f>
        <v>—</v>
      </c>
      <c r="L34" s="49" t="str">
        <f>IF(NOT(AND(IFERROR('Company_Master'!A31&lt;&gt;"",FALSE),AND(ISNUMBER(Financials!AR31),ISNUMBER(Financials!S31)))),"—",IF(IFERROR(AND(ISNUMBER(Financials!AR31),ISNUMBER(Financials!S31),Financials!S31&lt;&gt;0,ABS(Financials!AR31-Financials!S31)/MAX(ABS(Financials!S31),1)&gt;0.05),FALSE),"⚠","✓"))</f>
        <v>✓</v>
      </c>
      <c r="M34" s="49" t="str">
        <f>IF(NOT(AND(IFERROR('Company_Master'!A31&lt;&gt;"",FALSE),AND(ISNUMBER(Asset_Operations!BE31),ISNUMBER(Asset_Operations!AR31)))),"—",IF(IFERROR(AND(ISNUMBER(Asset_Operations!BE31),ISNUMBER(Asset_Operations!AR31),ABS(Asset_Operations!BE31-Asset_Operations!AR31)&gt;0.05),FALSE),"⚠","✓"))</f>
        <v>—</v>
      </c>
      <c r="N34" s="49" t="str">
        <f>IF(NOT(AND(IFERROR('Company_Master'!A31&lt;&gt;"",FALSE),ISNUMBER(Financials!C31))),"—",IF(IFERROR(AND(ISNUMBER(Financials!C31),OR(Financials!C31&lt;50,Financials!C31&gt;200000)),FALSE),"⚠","✓"))</f>
        <v>✓</v>
      </c>
      <c r="O34" s="50">
        <f t="shared" si="0"/>
        <v>0</v>
      </c>
      <c r="P34" s="50">
        <f t="shared" si="1"/>
        <v>7</v>
      </c>
      <c r="Q34" s="46" t="str">
        <f>IF(NOT(IFERROR('Company_Master'!A31&lt;&gt;"",FALSE)),"",IF(O34&gt;0,"⚠ "&amp;O34&amp;" issue(s) detected",IF(P34=0,"— No data to validate","✓ All "&amp;P34&amp;" checks passed")))</f>
        <v>✓ All 7 checks passed</v>
      </c>
    </row>
    <row r="35" spans="1:17" x14ac:dyDescent="0.3">
      <c r="A35">
        <v>31</v>
      </c>
      <c r="B35" t="str">
        <f>IFERROR('Company_Master'!A32,"")</f>
        <v>PT FKS Multi Agro Tbk</v>
      </c>
      <c r="C35" t="str">
        <f>IF(NOT(AND(IFERROR('Company_Master'!A32&lt;&gt;"",FALSE),OR(ISNUMBER(Asset_Operations!B32),ISNUMBER(Asset_Operations!C32),ISNUMBER(Asset_Operations!D32)))),"—",IF(IFERROR(AND(ISNUMBER(Asset_Operations!B32),ISNUMBER(Asset_Operations!C32),ISNUMBER(Asset_Operations!D32),Asset_Operations!B32&gt;0,ABS((Asset_Operations!C32+Asset_Operations!D32)-Asset_Operations!B32)/Asset_Operations!B32&gt;0.02),FALSE),"⚠","✓"))</f>
        <v>—</v>
      </c>
      <c r="D35" t="str">
        <f>IF(NOT(AND(IFERROR('Company_Master'!A32&lt;&gt;"",FALSE),OR(ISNUMBER(Asset_Operations!B32),ISNUMBER(Asset_Operations!E32),ISNUMBER(Asset_Operations!F32)))),"—",IF(IFERROR(AND(ISNUMBER(Asset_Operations!B32),ISNUMBER(Asset_Operations!E32),ISNUMBER(Asset_Operations!F32),Asset_Operations!B32&gt;0,ABS((Asset_Operations!E32+Asset_Operations!F32)-Asset_Operations!B32)/Asset_Operations!B32&gt;0.02),FALSE),"⚠","✓"))</f>
        <v>—</v>
      </c>
      <c r="E35" t="str">
        <f>IF(NOT(AND(IFERROR('Company_Master'!A32&lt;&gt;"",FALSE),ISNUMBER(Asset_Operations!AR32))),"—",IF(IFERROR(AND(ISNUMBER(Asset_Operations!AR32),OR(Asset_Operations!AR32&lt;0.15,Asset_Operations!AR32&gt;0.27)),FALSE),"⚠","✓"))</f>
        <v>—</v>
      </c>
      <c r="F35" t="str">
        <f>IF(NOT(AND(IFERROR('Company_Master'!A32&lt;&gt;"",FALSE),AND(ISNUMBER(Financials!Q32),ISNUMBER(Financials!R32)))),"—",IF(IFERROR(AND(ISNUMBER(Financials!Q32),ISNUMBER(Financials!R32),ISNUMBER(Financials!S32),ABS((Financials!R32-Financials!Q32)-Financials!S32)/MAX(ABS(Financials!S32),1)&gt;0.05),FALSE),"⚠","✓"))</f>
        <v>✓</v>
      </c>
      <c r="G35" t="str">
        <f>IF(NOT(AND(IFERROR('Company_Master'!A32&lt;&gt;"",FALSE),AND(ISNUMBER(Financials!I32),ISNUMBER(Financials!L32),ISNUMBER(Financials!O32)))),"—",IF(IFERROR(AND(ISNUMBER(Financials!I32),ISNUMBER(Financials!L32),ISNUMBER(Financials!O32),Financials!I32&gt;0,ABS(Financials!I32-(Financials!L32+Financials!O32))/Financials!I32&gt;0.01),FALSE),"⚠","✓"))</f>
        <v>✓</v>
      </c>
      <c r="H35" t="str">
        <f>IF(NOT(AND(IFERROR('Company_Master'!A32&lt;&gt;"",FALSE),AND(ISNUMBER(Financials!E32),ISNUMBER(Financials!F32)))),"—",IF(IFERROR(AND(ISNUMBER(Financials!E32),ISNUMBER(Financials!F32),Financials!E32&lt;Financials!F32),FALSE),"⚠","✓"))</f>
        <v>—</v>
      </c>
      <c r="I35" t="str">
        <f>IF(NOT(AND(IFERROR('Company_Master'!A32&lt;&gt;"",FALSE),AND(ISNUMBER(Financials!C32),ISNUMBER(Financials!E32)))),"—",IF(IFERROR(AND(ISNUMBER(Financials!C32),ISNUMBER(Financials!E32),Financials!C32=0,Financials!E32&gt;0),FALSE),"⚠","✓"))</f>
        <v>—</v>
      </c>
      <c r="J35" t="str">
        <f>IF(NOT(AND(IFERROR('Company_Master'!A32&lt;&gt;"",FALSE),COUNTIF('Raw_Extract'!A:A,'Company_Master'!A32)&gt;0)),"—",IF(COUNTIFS('Raw_Extract'!A:A,'Company_Master'!A32,'Raw_Extract'!J:J,"Low")&gt;0,"⚠","✓"))</f>
        <v>✓</v>
      </c>
      <c r="K35" t="str">
        <f>IF(NOT(AND(IFERROR('Company_Master'!A32&lt;&gt;"",FALSE),AND(ISNUMBER(Financials!E32),ISNUMBER(Financials!AP32)))),"—",IF(IFERROR(AND(ISNUMBER(Financials!E32),ISNUMBER(Financials!AP32),Financials!E32&lt;&gt;0,ABS(Financials!E32-Financials!AP32)/ABS(Financials!E32)&gt;0.05),FALSE),"⚠","✓"))</f>
        <v>—</v>
      </c>
      <c r="L35" t="str">
        <f>IF(NOT(AND(IFERROR('Company_Master'!A32&lt;&gt;"",FALSE),AND(ISNUMBER(Financials!AR32),ISNUMBER(Financials!S32)))),"—",IF(IFERROR(AND(ISNUMBER(Financials!AR32),ISNUMBER(Financials!S32),Financials!S32&lt;&gt;0,ABS(Financials!AR32-Financials!S32)/MAX(ABS(Financials!S32),1)&gt;0.05),FALSE),"⚠","✓"))</f>
        <v>—</v>
      </c>
      <c r="M35" t="str">
        <f>IF(NOT(AND(IFERROR('Company_Master'!A32&lt;&gt;"",FALSE),AND(ISNUMBER(Asset_Operations!BE32),ISNUMBER(Asset_Operations!AR32)))),"—",IF(IFERROR(AND(ISNUMBER(Asset_Operations!BE32),ISNUMBER(Asset_Operations!AR32),ABS(Asset_Operations!BE32-Asset_Operations!AR32)&gt;0.05),FALSE),"⚠","✓"))</f>
        <v>—</v>
      </c>
      <c r="N35" t="str">
        <f>IF(NOT(AND(IFERROR('Company_Master'!A32&lt;&gt;"",FALSE),ISNUMBER(Financials!C32))),"—",IF(IFERROR(AND(ISNUMBER(Financials!C32),OR(Financials!C32&lt;50,Financials!C32&gt;200000)),FALSE),"⚠","✓"))</f>
        <v>✓</v>
      </c>
      <c r="O35">
        <f t="shared" si="0"/>
        <v>0</v>
      </c>
      <c r="P35">
        <f t="shared" si="1"/>
        <v>4</v>
      </c>
      <c r="Q35" t="str">
        <f>IF(NOT(IFERROR('Company_Master'!A32&lt;&gt;"",FALSE)),"",IF(O35&gt;0,"⚠ "&amp;O35&amp;" issue(s) detected",IF(P35=0,"— No data to validate","✓ All "&amp;P35&amp;" checks passed")))</f>
        <v>✓ All 4 checks passed</v>
      </c>
    </row>
    <row r="36" spans="1:17" x14ac:dyDescent="0.3">
      <c r="A36">
        <v>32</v>
      </c>
      <c r="B36" t="str">
        <f>IFERROR('Company_Master'!A33,"")</f>
        <v>PT FKS Multi Agro Tbk</v>
      </c>
      <c r="C36" t="str">
        <f>IF(NOT(AND(IFERROR('Company_Master'!A33&lt;&gt;"",FALSE),OR(ISNUMBER(Asset_Operations!B33),ISNUMBER(Asset_Operations!C33),ISNUMBER(Asset_Operations!D33)))),"—",IF(IFERROR(AND(ISNUMBER(Asset_Operations!B33),ISNUMBER(Asset_Operations!C33),ISNUMBER(Asset_Operations!D33),Asset_Operations!B33&gt;0,ABS((Asset_Operations!C33+Asset_Operations!D33)-Asset_Operations!B33)/Asset_Operations!B33&gt;0.02),FALSE),"⚠","✓"))</f>
        <v>—</v>
      </c>
      <c r="D36" t="str">
        <f>IF(NOT(AND(IFERROR('Company_Master'!A33&lt;&gt;"",FALSE),OR(ISNUMBER(Asset_Operations!B33),ISNUMBER(Asset_Operations!E33),ISNUMBER(Asset_Operations!F33)))),"—",IF(IFERROR(AND(ISNUMBER(Asset_Operations!B33),ISNUMBER(Asset_Operations!E33),ISNUMBER(Asset_Operations!F33),Asset_Operations!B33&gt;0,ABS((Asset_Operations!E33+Asset_Operations!F33)-Asset_Operations!B33)/Asset_Operations!B33&gt;0.02),FALSE),"⚠","✓"))</f>
        <v>—</v>
      </c>
      <c r="E36" t="str">
        <f>IF(NOT(AND(IFERROR('Company_Master'!A33&lt;&gt;"",FALSE),ISNUMBER(Asset_Operations!AR33))),"—",IF(IFERROR(AND(ISNUMBER(Asset_Operations!AR33),OR(Asset_Operations!AR33&lt;0.15,Asset_Operations!AR33&gt;0.27)),FALSE),"⚠","✓"))</f>
        <v>—</v>
      </c>
      <c r="F36" t="str">
        <f>IF(NOT(AND(IFERROR('Company_Master'!A33&lt;&gt;"",FALSE),AND(ISNUMBER(Financials!Q33),ISNUMBER(Financials!R33)))),"—",IF(IFERROR(AND(ISNUMBER(Financials!Q33),ISNUMBER(Financials!R33),ISNUMBER(Financials!S33),ABS((Financials!R33-Financials!Q33)-Financials!S33)/MAX(ABS(Financials!S33),1)&gt;0.05),FALSE),"⚠","✓"))</f>
        <v>✓</v>
      </c>
      <c r="G36" t="str">
        <f>IF(NOT(AND(IFERROR('Company_Master'!A33&lt;&gt;"",FALSE),AND(ISNUMBER(Financials!I33),ISNUMBER(Financials!L33),ISNUMBER(Financials!O33)))),"—",IF(IFERROR(AND(ISNUMBER(Financials!I33),ISNUMBER(Financials!L33),ISNUMBER(Financials!O33),Financials!I33&gt;0,ABS(Financials!I33-(Financials!L33+Financials!O33))/Financials!I33&gt;0.01),FALSE),"⚠","✓"))</f>
        <v>✓</v>
      </c>
      <c r="H36" t="str">
        <f>IF(NOT(AND(IFERROR('Company_Master'!A33&lt;&gt;"",FALSE),AND(ISNUMBER(Financials!E33),ISNUMBER(Financials!F33)))),"—",IF(IFERROR(AND(ISNUMBER(Financials!E33),ISNUMBER(Financials!F33),Financials!E33&lt;Financials!F33),FALSE),"⚠","✓"))</f>
        <v>—</v>
      </c>
      <c r="I36" t="str">
        <f>IF(NOT(AND(IFERROR('Company_Master'!A33&lt;&gt;"",FALSE),AND(ISNUMBER(Financials!C33),ISNUMBER(Financials!E33)))),"—",IF(IFERROR(AND(ISNUMBER(Financials!C33),ISNUMBER(Financials!E33),Financials!C33=0,Financials!E33&gt;0),FALSE),"⚠","✓"))</f>
        <v>—</v>
      </c>
      <c r="J36" t="str">
        <f>IF(NOT(AND(IFERROR('Company_Master'!A33&lt;&gt;"",FALSE),COUNTIF('Raw_Extract'!A:A,'Company_Master'!A33)&gt;0)),"—",IF(COUNTIFS('Raw_Extract'!A:A,'Company_Master'!A33,'Raw_Extract'!J:J,"Low")&gt;0,"⚠","✓"))</f>
        <v>✓</v>
      </c>
      <c r="K36" t="str">
        <f>IF(NOT(AND(IFERROR('Company_Master'!A33&lt;&gt;"",FALSE),AND(ISNUMBER(Financials!E33),ISNUMBER(Financials!AP33)))),"—",IF(IFERROR(AND(ISNUMBER(Financials!E33),ISNUMBER(Financials!AP33),Financials!E33&lt;&gt;0,ABS(Financials!E33-Financials!AP33)/ABS(Financials!E33)&gt;0.05),FALSE),"⚠","✓"))</f>
        <v>—</v>
      </c>
      <c r="L36" t="str">
        <f>IF(NOT(AND(IFERROR('Company_Master'!A33&lt;&gt;"",FALSE),AND(ISNUMBER(Financials!AR33),ISNUMBER(Financials!S33)))),"—",IF(IFERROR(AND(ISNUMBER(Financials!AR33),ISNUMBER(Financials!S33),Financials!S33&lt;&gt;0,ABS(Financials!AR33-Financials!S33)/MAX(ABS(Financials!S33),1)&gt;0.05),FALSE),"⚠","✓"))</f>
        <v>—</v>
      </c>
      <c r="M36" t="str">
        <f>IF(NOT(AND(IFERROR('Company_Master'!A33&lt;&gt;"",FALSE),AND(ISNUMBER(Asset_Operations!BE33),ISNUMBER(Asset_Operations!AR33)))),"—",IF(IFERROR(AND(ISNUMBER(Asset_Operations!BE33),ISNUMBER(Asset_Operations!AR33),ABS(Asset_Operations!BE33-Asset_Operations!AR33)&gt;0.05),FALSE),"⚠","✓"))</f>
        <v>—</v>
      </c>
      <c r="N36" t="str">
        <f>IF(NOT(AND(IFERROR('Company_Master'!A33&lt;&gt;"",FALSE),ISNUMBER(Financials!C33))),"—",IF(IFERROR(AND(ISNUMBER(Financials!C33),OR(Financials!C33&lt;50,Financials!C33&gt;200000)),FALSE),"⚠","✓"))</f>
        <v>✓</v>
      </c>
      <c r="O36">
        <f t="shared" si="0"/>
        <v>0</v>
      </c>
      <c r="P36">
        <f t="shared" si="1"/>
        <v>4</v>
      </c>
      <c r="Q36" t="str">
        <f>IF(NOT(IFERROR('Company_Master'!A33&lt;&gt;"",FALSE)),"",IF(O36&gt;0,"⚠ "&amp;O36&amp;" issue(s) detected",IF(P36=0,"— No data to validate","✓ All "&amp;P36&amp;" checks passed")))</f>
        <v>✓ All 4 checks passed</v>
      </c>
    </row>
    <row r="37" spans="1:17" x14ac:dyDescent="0.3">
      <c r="A37" s="35">
        <v>33</v>
      </c>
      <c r="B37" t="str">
        <f>IFERROR('Company_Master'!A34,"")</f>
        <v>PT FKS Multi Agro Tbk</v>
      </c>
      <c r="C37" t="str">
        <f>IF(NOT(AND(IFERROR('Company_Master'!A34&lt;&gt;"",FALSE),OR(ISNUMBER(Asset_Operations!B34),ISNUMBER(Asset_Operations!C34),ISNUMBER(Asset_Operations!D34)))),"—",IF(IFERROR(AND(ISNUMBER(Asset_Operations!B34),ISNUMBER(Asset_Operations!C34),ISNUMBER(Asset_Operations!D34),Asset_Operations!B34&gt;0,ABS((Asset_Operations!C34+Asset_Operations!D34)-Asset_Operations!B34)/Asset_Operations!B34&gt;0.02),FALSE),"⚠","✓"))</f>
        <v>—</v>
      </c>
      <c r="D37" t="str">
        <f>IF(NOT(AND(IFERROR('Company_Master'!A34&lt;&gt;"",FALSE),OR(ISNUMBER(Asset_Operations!B34),ISNUMBER(Asset_Operations!E34),ISNUMBER(Asset_Operations!F34)))),"—",IF(IFERROR(AND(ISNUMBER(Asset_Operations!B34),ISNUMBER(Asset_Operations!E34),ISNUMBER(Asset_Operations!F34),Asset_Operations!B34&gt;0,ABS((Asset_Operations!E34+Asset_Operations!F34)-Asset_Operations!B34)/Asset_Operations!B34&gt;0.02),FALSE),"⚠","✓"))</f>
        <v>—</v>
      </c>
      <c r="E37" t="str">
        <f>IF(NOT(AND(IFERROR('Company_Master'!A34&lt;&gt;"",FALSE),ISNUMBER(Asset_Operations!AR34))),"—",IF(IFERROR(AND(ISNUMBER(Asset_Operations!AR34),OR(Asset_Operations!AR34&lt;0.15,Asset_Operations!AR34&gt;0.27)),FALSE),"⚠","✓"))</f>
        <v>—</v>
      </c>
      <c r="F37" t="str">
        <f>IF(NOT(AND(IFERROR('Company_Master'!A34&lt;&gt;"",FALSE),AND(ISNUMBER(Financials!Q34),ISNUMBER(Financials!R34)))),"—",IF(IFERROR(AND(ISNUMBER(Financials!Q34),ISNUMBER(Financials!R34),ISNUMBER(Financials!S34),ABS((Financials!R34-Financials!Q34)-Financials!S34)/MAX(ABS(Financials!S34),1)&gt;0.05),FALSE),"⚠","✓"))</f>
        <v>✓</v>
      </c>
      <c r="G37" t="str">
        <f>IF(NOT(AND(IFERROR('Company_Master'!A34&lt;&gt;"",FALSE),AND(ISNUMBER(Financials!I34),ISNUMBER(Financials!L34),ISNUMBER(Financials!O34)))),"—",IF(IFERROR(AND(ISNUMBER(Financials!I34),ISNUMBER(Financials!L34),ISNUMBER(Financials!O34),Financials!I34&gt;0,ABS(Financials!I34-(Financials!L34+Financials!O34))/Financials!I34&gt;0.01),FALSE),"⚠","✓"))</f>
        <v>✓</v>
      </c>
      <c r="H37" t="str">
        <f>IF(NOT(AND(IFERROR('Company_Master'!A34&lt;&gt;"",FALSE),AND(ISNUMBER(Financials!E34),ISNUMBER(Financials!F34)))),"—",IF(IFERROR(AND(ISNUMBER(Financials!E34),ISNUMBER(Financials!F34),Financials!E34&lt;Financials!F34),FALSE),"⚠","✓"))</f>
        <v>—</v>
      </c>
      <c r="I37" t="str">
        <f>IF(NOT(AND(IFERROR('Company_Master'!A34&lt;&gt;"",FALSE),AND(ISNUMBER(Financials!C34),ISNUMBER(Financials!E34)))),"—",IF(IFERROR(AND(ISNUMBER(Financials!C34),ISNUMBER(Financials!E34),Financials!C34=0,Financials!E34&gt;0),FALSE),"⚠","✓"))</f>
        <v>—</v>
      </c>
      <c r="J37" t="str">
        <f>IF(NOT(AND(IFERROR('Company_Master'!A34&lt;&gt;"",FALSE),COUNTIF('Raw_Extract'!A:A,'Company_Master'!A34)&gt;0)),"—",IF(COUNTIFS('Raw_Extract'!A:A,'Company_Master'!A34,'Raw_Extract'!J:J,"Low")&gt;0,"⚠","✓"))</f>
        <v>✓</v>
      </c>
      <c r="K37" t="str">
        <f>IF(NOT(AND(IFERROR('Company_Master'!A34&lt;&gt;"",FALSE),AND(ISNUMBER(Financials!E34),ISNUMBER(Financials!AP34)))),"—",IF(IFERROR(AND(ISNUMBER(Financials!E34),ISNUMBER(Financials!AP34),Financials!E34&lt;&gt;0,ABS(Financials!E34-Financials!AP34)/ABS(Financials!E34)&gt;0.05),FALSE),"⚠","✓"))</f>
        <v>—</v>
      </c>
      <c r="L37" t="str">
        <f>IF(NOT(AND(IFERROR('Company_Master'!A34&lt;&gt;"",FALSE),AND(ISNUMBER(Financials!AR34),ISNUMBER(Financials!S34)))),"—",IF(IFERROR(AND(ISNUMBER(Financials!AR34),ISNUMBER(Financials!S34),Financials!S34&lt;&gt;0,ABS(Financials!AR34-Financials!S34)/MAX(ABS(Financials!S34),1)&gt;0.05),FALSE),"⚠","✓"))</f>
        <v>—</v>
      </c>
      <c r="M37" t="str">
        <f>IF(NOT(AND(IFERROR('Company_Master'!A34&lt;&gt;"",FALSE),AND(ISNUMBER(Asset_Operations!BE34),ISNUMBER(Asset_Operations!AR34)))),"—",IF(IFERROR(AND(ISNUMBER(Asset_Operations!BE34),ISNUMBER(Asset_Operations!AR34),ABS(Asset_Operations!BE34-Asset_Operations!AR34)&gt;0.05),FALSE),"⚠","✓"))</f>
        <v>—</v>
      </c>
      <c r="N37" t="str">
        <f>IF(NOT(AND(IFERROR('Company_Master'!A34&lt;&gt;"",FALSE),ISNUMBER(Financials!C34))),"—",IF(IFERROR(AND(ISNUMBER(Financials!C34),OR(Financials!C34&lt;50,Financials!C34&gt;200000)),FALSE),"⚠","✓"))</f>
        <v>✓</v>
      </c>
      <c r="O37">
        <f t="shared" ref="O37:O68" si="2">COUNTIF(C37:N37,"⚠")</f>
        <v>0</v>
      </c>
      <c r="P37">
        <f t="shared" ref="P37:P68" si="3">COUNTIF(C37:N37,"✓")</f>
        <v>4</v>
      </c>
      <c r="Q37" t="str">
        <f>IF(NOT(IFERROR('Company_Master'!A34&lt;&gt;"",FALSE)),"",IF(O37&gt;0,"⚠ "&amp;O37&amp;" issue(s) detected",IF(P37=0,"— No data to validate","✓ All "&amp;P37&amp;" checks passed")))</f>
        <v>✓ All 4 checks passed</v>
      </c>
    </row>
    <row r="38" spans="1:17" x14ac:dyDescent="0.3">
      <c r="A38" s="36">
        <v>34</v>
      </c>
      <c r="B38" t="str">
        <f>IFERROR('Company_Master'!A35,"")</f>
        <v>PT Golden Plantation Tbk</v>
      </c>
      <c r="C38" t="str">
        <f>IF(NOT(AND(IFERROR('Company_Master'!A35&lt;&gt;"",FALSE),OR(ISNUMBER(Asset_Operations!B35),ISNUMBER(Asset_Operations!C35),ISNUMBER(Asset_Operations!D35)))),"—",IF(IFERROR(AND(ISNUMBER(Asset_Operations!B35),ISNUMBER(Asset_Operations!C35),ISNUMBER(Asset_Operations!D35),Asset_Operations!B35&gt;0,ABS((Asset_Operations!C35+Asset_Operations!D35)-Asset_Operations!B35)/Asset_Operations!B35&gt;0.02),FALSE),"⚠","✓"))</f>
        <v>—</v>
      </c>
      <c r="D38" t="str">
        <f>IF(NOT(AND(IFERROR('Company_Master'!A35&lt;&gt;"",FALSE),OR(ISNUMBER(Asset_Operations!B35),ISNUMBER(Asset_Operations!E35),ISNUMBER(Asset_Operations!F35)))),"—",IF(IFERROR(AND(ISNUMBER(Asset_Operations!B35),ISNUMBER(Asset_Operations!E35),ISNUMBER(Asset_Operations!F35),Asset_Operations!B35&gt;0,ABS((Asset_Operations!E35+Asset_Operations!F35)-Asset_Operations!B35)/Asset_Operations!B35&gt;0.02),FALSE),"⚠","✓"))</f>
        <v>—</v>
      </c>
      <c r="E38" t="str">
        <f>IF(NOT(AND(IFERROR('Company_Master'!A35&lt;&gt;"",FALSE),ISNUMBER(Asset_Operations!AR35))),"—",IF(IFERROR(AND(ISNUMBER(Asset_Operations!AR35),OR(Asset_Operations!AR35&lt;0.15,Asset_Operations!AR35&gt;0.27)),FALSE),"⚠","✓"))</f>
        <v>—</v>
      </c>
      <c r="F38" t="str">
        <f>IF(NOT(AND(IFERROR('Company_Master'!A35&lt;&gt;"",FALSE),AND(ISNUMBER(Financials!Q35),ISNUMBER(Financials!R35)))),"—",IF(IFERROR(AND(ISNUMBER(Financials!Q35),ISNUMBER(Financials!R35),ISNUMBER(Financials!S35),ABS((Financials!R35-Financials!Q35)-Financials!S35)/MAX(ABS(Financials!S35),1)&gt;0.05),FALSE),"⚠","✓"))</f>
        <v>✓</v>
      </c>
      <c r="G38" t="str">
        <f>IF(NOT(AND(IFERROR('Company_Master'!A35&lt;&gt;"",FALSE),AND(ISNUMBER(Financials!I35),ISNUMBER(Financials!L35),ISNUMBER(Financials!O35)))),"—",IF(IFERROR(AND(ISNUMBER(Financials!I35),ISNUMBER(Financials!L35),ISNUMBER(Financials!O35),Financials!I35&gt;0,ABS(Financials!I35-(Financials!L35+Financials!O35))/Financials!I35&gt;0.01),FALSE),"⚠","✓"))</f>
        <v>✓</v>
      </c>
      <c r="H38" t="str">
        <f>IF(NOT(AND(IFERROR('Company_Master'!A35&lt;&gt;"",FALSE),AND(ISNUMBER(Financials!E35),ISNUMBER(Financials!F35)))),"—",IF(IFERROR(AND(ISNUMBER(Financials!E35),ISNUMBER(Financials!F35),Financials!E35&lt;Financials!F35),FALSE),"⚠","✓"))</f>
        <v>—</v>
      </c>
      <c r="I38" t="str">
        <f>IF(NOT(AND(IFERROR('Company_Master'!A35&lt;&gt;"",FALSE),AND(ISNUMBER(Financials!C35),ISNUMBER(Financials!E35)))),"—",IF(IFERROR(AND(ISNUMBER(Financials!C35),ISNUMBER(Financials!E35),Financials!C35=0,Financials!E35&gt;0),FALSE),"⚠","✓"))</f>
        <v>—</v>
      </c>
      <c r="J38" t="str">
        <f>IF(NOT(AND(IFERROR('Company_Master'!A35&lt;&gt;"",FALSE),COUNTIF('Raw_Extract'!A:A,'Company_Master'!A35)&gt;0)),"—",IF(COUNTIFS('Raw_Extract'!A:A,'Company_Master'!A35,'Raw_Extract'!J:J,"Low")&gt;0,"⚠","✓"))</f>
        <v>✓</v>
      </c>
      <c r="K38" t="str">
        <f>IF(NOT(AND(IFERROR('Company_Master'!A35&lt;&gt;"",FALSE),AND(ISNUMBER(Financials!E35),ISNUMBER(Financials!AP35)))),"—",IF(IFERROR(AND(ISNUMBER(Financials!E35),ISNUMBER(Financials!AP35),Financials!E35&lt;&gt;0,ABS(Financials!E35-Financials!AP35)/ABS(Financials!E35)&gt;0.05),FALSE),"⚠","✓"))</f>
        <v>—</v>
      </c>
      <c r="L38" t="str">
        <f>IF(NOT(AND(IFERROR('Company_Master'!A35&lt;&gt;"",FALSE),AND(ISNUMBER(Financials!AR35),ISNUMBER(Financials!S35)))),"—",IF(IFERROR(AND(ISNUMBER(Financials!AR35),ISNUMBER(Financials!S35),Financials!S35&lt;&gt;0,ABS(Financials!AR35-Financials!S35)/MAX(ABS(Financials!S35),1)&gt;0.05),FALSE),"⚠","✓"))</f>
        <v>—</v>
      </c>
      <c r="M38" t="str">
        <f>IF(NOT(AND(IFERROR('Company_Master'!A35&lt;&gt;"",FALSE),AND(ISNUMBER(Asset_Operations!BE35),ISNUMBER(Asset_Operations!AR35)))),"—",IF(IFERROR(AND(ISNUMBER(Asset_Operations!BE35),ISNUMBER(Asset_Operations!AR35),ABS(Asset_Operations!BE35-Asset_Operations!AR35)&gt;0.05),FALSE),"⚠","✓"))</f>
        <v>—</v>
      </c>
      <c r="N38" t="str">
        <f>IF(NOT(AND(IFERROR('Company_Master'!A35&lt;&gt;"",FALSE),ISNUMBER(Financials!C35))),"—",IF(IFERROR(AND(ISNUMBER(Financials!C35),OR(Financials!C35&lt;50,Financials!C35&gt;200000)),FALSE),"⚠","✓"))</f>
        <v>⚠</v>
      </c>
      <c r="O38">
        <f t="shared" si="2"/>
        <v>1</v>
      </c>
      <c r="P38">
        <f t="shared" si="3"/>
        <v>3</v>
      </c>
      <c r="Q38" t="str">
        <f>IF(NOT(IFERROR('Company_Master'!A35&lt;&gt;"",FALSE)),"",IF(O38&gt;0,"⚠ "&amp;O38&amp;" issue(s) detected",IF(P38=0,"— No data to validate","✓ All "&amp;P38&amp;" checks passed")))</f>
        <v>⚠ 1 issue(s) detected</v>
      </c>
    </row>
    <row r="39" spans="1:17" x14ac:dyDescent="0.3">
      <c r="A39" s="36">
        <v>35</v>
      </c>
      <c r="B39" t="str">
        <f>IFERROR('Company_Master'!A36,"")</f>
        <v>PT Gunanusa Eramandiri Tbk</v>
      </c>
      <c r="C39" t="str">
        <f>IF(NOT(AND(IFERROR('Company_Master'!A36&lt;&gt;"",FALSE),OR(ISNUMBER(Asset_Operations!B36),ISNUMBER(Asset_Operations!C36),ISNUMBER(Asset_Operations!D36)))),"—",IF(IFERROR(AND(ISNUMBER(Asset_Operations!B36),ISNUMBER(Asset_Operations!C36),ISNUMBER(Asset_Operations!D36),Asset_Operations!B36&gt;0,ABS((Asset_Operations!C36+Asset_Operations!D36)-Asset_Operations!B36)/Asset_Operations!B36&gt;0.02),FALSE),"⚠","✓"))</f>
        <v>—</v>
      </c>
      <c r="D39" t="str">
        <f>IF(NOT(AND(IFERROR('Company_Master'!A36&lt;&gt;"",FALSE),OR(ISNUMBER(Asset_Operations!B36),ISNUMBER(Asset_Operations!E36),ISNUMBER(Asset_Operations!F36)))),"—",IF(IFERROR(AND(ISNUMBER(Asset_Operations!B36),ISNUMBER(Asset_Operations!E36),ISNUMBER(Asset_Operations!F36),Asset_Operations!B36&gt;0,ABS((Asset_Operations!E36+Asset_Operations!F36)-Asset_Operations!B36)/Asset_Operations!B36&gt;0.02),FALSE),"⚠","✓"))</f>
        <v>—</v>
      </c>
      <c r="E39" t="str">
        <f>IF(NOT(AND(IFERROR('Company_Master'!A36&lt;&gt;"",FALSE),ISNUMBER(Asset_Operations!AR36))),"—",IF(IFERROR(AND(ISNUMBER(Asset_Operations!AR36),OR(Asset_Operations!AR36&lt;0.15,Asset_Operations!AR36&gt;0.27)),FALSE),"⚠","✓"))</f>
        <v>—</v>
      </c>
      <c r="F39" t="str">
        <f>IF(NOT(AND(IFERROR('Company_Master'!A36&lt;&gt;"",FALSE),AND(ISNUMBER(Financials!Q36),ISNUMBER(Financials!R36)))),"—",IF(IFERROR(AND(ISNUMBER(Financials!Q36),ISNUMBER(Financials!R36),ISNUMBER(Financials!S36),ABS((Financials!R36-Financials!Q36)-Financials!S36)/MAX(ABS(Financials!S36),1)&gt;0.05),FALSE),"⚠","✓"))</f>
        <v>✓</v>
      </c>
      <c r="G39" t="str">
        <f>IF(NOT(AND(IFERROR('Company_Master'!A36&lt;&gt;"",FALSE),AND(ISNUMBER(Financials!I36),ISNUMBER(Financials!L36),ISNUMBER(Financials!O36)))),"—",IF(IFERROR(AND(ISNUMBER(Financials!I36),ISNUMBER(Financials!L36),ISNUMBER(Financials!O36),Financials!I36&gt;0,ABS(Financials!I36-(Financials!L36+Financials!O36))/Financials!I36&gt;0.01),FALSE),"⚠","✓"))</f>
        <v>✓</v>
      </c>
      <c r="H39" t="str">
        <f>IF(NOT(AND(IFERROR('Company_Master'!A36&lt;&gt;"",FALSE),AND(ISNUMBER(Financials!E36),ISNUMBER(Financials!F36)))),"—",IF(IFERROR(AND(ISNUMBER(Financials!E36),ISNUMBER(Financials!F36),Financials!E36&lt;Financials!F36),FALSE),"⚠","✓"))</f>
        <v>—</v>
      </c>
      <c r="I39" t="str">
        <f>IF(NOT(AND(IFERROR('Company_Master'!A36&lt;&gt;"",FALSE),AND(ISNUMBER(Financials!C36),ISNUMBER(Financials!E36)))),"—",IF(IFERROR(AND(ISNUMBER(Financials!C36),ISNUMBER(Financials!E36),Financials!C36=0,Financials!E36&gt;0),FALSE),"⚠","✓"))</f>
        <v>—</v>
      </c>
      <c r="J39" t="str">
        <f>IF(NOT(AND(IFERROR('Company_Master'!A36&lt;&gt;"",FALSE),COUNTIF('Raw_Extract'!A:A,'Company_Master'!A36)&gt;0)),"—",IF(COUNTIFS('Raw_Extract'!A:A,'Company_Master'!A36,'Raw_Extract'!J:J,"Low")&gt;0,"⚠","✓"))</f>
        <v>✓</v>
      </c>
      <c r="K39" t="str">
        <f>IF(NOT(AND(IFERROR('Company_Master'!A36&lt;&gt;"",FALSE),AND(ISNUMBER(Financials!E36),ISNUMBER(Financials!AP36)))),"—",IF(IFERROR(AND(ISNUMBER(Financials!E36),ISNUMBER(Financials!AP36),Financials!E36&lt;&gt;0,ABS(Financials!E36-Financials!AP36)/ABS(Financials!E36)&gt;0.05),FALSE),"⚠","✓"))</f>
        <v>—</v>
      </c>
      <c r="L39" t="str">
        <f>IF(NOT(AND(IFERROR('Company_Master'!A36&lt;&gt;"",FALSE),AND(ISNUMBER(Financials!AR36),ISNUMBER(Financials!S36)))),"—",IF(IFERROR(AND(ISNUMBER(Financials!AR36),ISNUMBER(Financials!S36),Financials!S36&lt;&gt;0,ABS(Financials!AR36-Financials!S36)/MAX(ABS(Financials!S36),1)&gt;0.05),FALSE),"⚠","✓"))</f>
        <v>✓</v>
      </c>
      <c r="M39" t="str">
        <f>IF(NOT(AND(IFERROR('Company_Master'!A36&lt;&gt;"",FALSE),AND(ISNUMBER(Asset_Operations!BE36),ISNUMBER(Asset_Operations!AR36)))),"—",IF(IFERROR(AND(ISNUMBER(Asset_Operations!BE36),ISNUMBER(Asset_Operations!AR36),ABS(Asset_Operations!BE36-Asset_Operations!AR36)&gt;0.05),FALSE),"⚠","✓"))</f>
        <v>—</v>
      </c>
      <c r="N39" t="str">
        <f>IF(NOT(AND(IFERROR('Company_Master'!A36&lt;&gt;"",FALSE),ISNUMBER(Financials!C36))),"—",IF(IFERROR(AND(ISNUMBER(Financials!C36),OR(Financials!C36&lt;50,Financials!C36&gt;200000)),FALSE),"⚠","✓"))</f>
        <v>✓</v>
      </c>
      <c r="O39">
        <f t="shared" si="2"/>
        <v>0</v>
      </c>
      <c r="P39">
        <f t="shared" si="3"/>
        <v>5</v>
      </c>
      <c r="Q39" t="str">
        <f>IF(NOT(IFERROR('Company_Master'!A36&lt;&gt;"",FALSE)),"",IF(O39&gt;0,"⚠ "&amp;O39&amp;" issue(s) detected",IF(P39=0,"— No data to validate","✓ All "&amp;P39&amp;" checks passed")))</f>
        <v>✓ All 5 checks passed</v>
      </c>
    </row>
    <row r="40" spans="1:17" x14ac:dyDescent="0.3">
      <c r="A40" s="36">
        <v>36</v>
      </c>
      <c r="B40" t="str">
        <f>IFERROR('Company_Master'!A37,"")</f>
        <v>PT Gozco Plantations Tbk</v>
      </c>
      <c r="C40" t="str">
        <f>IF(NOT(AND(IFERROR('Company_Master'!A37&lt;&gt;"",FALSE),OR(ISNUMBER(Asset_Operations!B37),ISNUMBER(Asset_Operations!C37),ISNUMBER(Asset_Operations!D37)))),"—",IF(IFERROR(AND(ISNUMBER(Asset_Operations!B37),ISNUMBER(Asset_Operations!C37),ISNUMBER(Asset_Operations!D37),Asset_Operations!B37&gt;0,ABS((Asset_Operations!C37+Asset_Operations!D37)-Asset_Operations!B37)/Asset_Operations!B37&gt;0.02),FALSE),"⚠","✓"))</f>
        <v>✓</v>
      </c>
      <c r="D40" t="str">
        <f>IF(NOT(AND(IFERROR('Company_Master'!A37&lt;&gt;"",FALSE),OR(ISNUMBER(Asset_Operations!B37),ISNUMBER(Asset_Operations!E37),ISNUMBER(Asset_Operations!F37)))),"—",IF(IFERROR(AND(ISNUMBER(Asset_Operations!B37),ISNUMBER(Asset_Operations!E37),ISNUMBER(Asset_Operations!F37),Asset_Operations!B37&gt;0,ABS((Asset_Operations!E37+Asset_Operations!F37)-Asset_Operations!B37)/Asset_Operations!B37&gt;0.02),FALSE),"⚠","✓"))</f>
        <v>✓</v>
      </c>
      <c r="E40" t="str">
        <f>IF(NOT(AND(IFERROR('Company_Master'!A37&lt;&gt;"",FALSE),ISNUMBER(Asset_Operations!AR37))),"—",IF(IFERROR(AND(ISNUMBER(Asset_Operations!AR37),OR(Asset_Operations!AR37&lt;0.15,Asset_Operations!AR37&gt;0.27)),FALSE),"⚠","✓"))</f>
        <v>✓</v>
      </c>
      <c r="F40" t="str">
        <f>IF(NOT(AND(IFERROR('Company_Master'!A37&lt;&gt;"",FALSE),AND(ISNUMBER(Financials!Q37),ISNUMBER(Financials!R37)))),"—",IF(IFERROR(AND(ISNUMBER(Financials!Q37),ISNUMBER(Financials!R37),ISNUMBER(Financials!S37),ABS((Financials!R37-Financials!Q37)-Financials!S37)/MAX(ABS(Financials!S37),1)&gt;0.05),FALSE),"⚠","✓"))</f>
        <v>✓</v>
      </c>
      <c r="G40" t="str">
        <f>IF(NOT(AND(IFERROR('Company_Master'!A37&lt;&gt;"",FALSE),AND(ISNUMBER(Financials!I37),ISNUMBER(Financials!L37),ISNUMBER(Financials!O37)))),"—",IF(IFERROR(AND(ISNUMBER(Financials!I37),ISNUMBER(Financials!L37),ISNUMBER(Financials!O37),Financials!I37&gt;0,ABS(Financials!I37-(Financials!L37+Financials!O37))/Financials!I37&gt;0.01),FALSE),"⚠","✓"))</f>
        <v>✓</v>
      </c>
      <c r="H40" t="str">
        <f>IF(NOT(AND(IFERROR('Company_Master'!A37&lt;&gt;"",FALSE),AND(ISNUMBER(Financials!E37),ISNUMBER(Financials!F37)))),"—",IF(IFERROR(AND(ISNUMBER(Financials!E37),ISNUMBER(Financials!F37),Financials!E37&lt;Financials!F37),FALSE),"⚠","✓"))</f>
        <v>✓</v>
      </c>
      <c r="I40" t="str">
        <f>IF(NOT(AND(IFERROR('Company_Master'!A37&lt;&gt;"",FALSE),AND(ISNUMBER(Financials!C37),ISNUMBER(Financials!E37)))),"—",IF(IFERROR(AND(ISNUMBER(Financials!C37),ISNUMBER(Financials!E37),Financials!C37=0,Financials!E37&gt;0),FALSE),"⚠","✓"))</f>
        <v>✓</v>
      </c>
      <c r="J40" t="str">
        <f>IF(NOT(AND(IFERROR('Company_Master'!A37&lt;&gt;"",FALSE),COUNTIF('Raw_Extract'!A:A,'Company_Master'!A37)&gt;0)),"—",IF(COUNTIFS('Raw_Extract'!A:A,'Company_Master'!A37,'Raw_Extract'!J:J,"Low")&gt;0,"⚠","✓"))</f>
        <v>✓</v>
      </c>
      <c r="K40" t="str">
        <f>IF(NOT(AND(IFERROR('Company_Master'!A37&lt;&gt;"",FALSE),AND(ISNUMBER(Financials!E37),ISNUMBER(Financials!AP37)))),"—",IF(IFERROR(AND(ISNUMBER(Financials!E37),ISNUMBER(Financials!AP37),Financials!E37&lt;&gt;0,ABS(Financials!E37-Financials!AP37)/ABS(Financials!E37)&gt;0.05),FALSE),"⚠","✓"))</f>
        <v>✓</v>
      </c>
      <c r="L40" t="str">
        <f>IF(NOT(AND(IFERROR('Company_Master'!A37&lt;&gt;"",FALSE),AND(ISNUMBER(Financials!AR37),ISNUMBER(Financials!S37)))),"—",IF(IFERROR(AND(ISNUMBER(Financials!AR37),ISNUMBER(Financials!S37),Financials!S37&lt;&gt;0,ABS(Financials!AR37-Financials!S37)/MAX(ABS(Financials!S37),1)&gt;0.05),FALSE),"⚠","✓"))</f>
        <v>✓</v>
      </c>
      <c r="M40" t="str">
        <f>IF(NOT(AND(IFERROR('Company_Master'!A37&lt;&gt;"",FALSE),AND(ISNUMBER(Asset_Operations!BE37),ISNUMBER(Asset_Operations!AR37)))),"—",IF(IFERROR(AND(ISNUMBER(Asset_Operations!BE37),ISNUMBER(Asset_Operations!AR37),ABS(Asset_Operations!BE37-Asset_Operations!AR37)&gt;0.05),FALSE),"⚠","✓"))</f>
        <v>✓</v>
      </c>
      <c r="N40" t="str">
        <f>IF(NOT(AND(IFERROR('Company_Master'!A37&lt;&gt;"",FALSE),ISNUMBER(Financials!C37))),"—",IF(IFERROR(AND(ISNUMBER(Financials!C37),OR(Financials!C37&lt;50,Financials!C37&gt;200000)),FALSE),"⚠","✓"))</f>
        <v>✓</v>
      </c>
      <c r="O40">
        <f t="shared" si="2"/>
        <v>0</v>
      </c>
      <c r="P40">
        <f t="shared" si="3"/>
        <v>12</v>
      </c>
      <c r="Q40" t="str">
        <f>IF(NOT(IFERROR('Company_Master'!A37&lt;&gt;"",FALSE)),"",IF(O40&gt;0,"⚠ "&amp;O40&amp;" issue(s) detected",IF(P40=0,"— No data to validate","✓ All "&amp;P40&amp;" checks passed")))</f>
        <v>✓ All 12 checks passed</v>
      </c>
    </row>
    <row r="41" spans="1:17" x14ac:dyDescent="0.3">
      <c r="A41" s="36">
        <v>37</v>
      </c>
      <c r="B41" t="str">
        <f>IFERROR('Company_Master'!A38,"")</f>
        <v>PT Gozco Plantations Tbk</v>
      </c>
      <c r="C41" t="str">
        <f>IF(NOT(AND(IFERROR('Company_Master'!A38&lt;&gt;"",FALSE),OR(ISNUMBER(Asset_Operations!B38),ISNUMBER(Asset_Operations!C38),ISNUMBER(Asset_Operations!D38)))),"—",IF(IFERROR(AND(ISNUMBER(Asset_Operations!B38),ISNUMBER(Asset_Operations!C38),ISNUMBER(Asset_Operations!D38),Asset_Operations!B38&gt;0,ABS((Asset_Operations!C38+Asset_Operations!D38)-Asset_Operations!B38)/Asset_Operations!B38&gt;0.02),FALSE),"⚠","✓"))</f>
        <v>✓</v>
      </c>
      <c r="D41" t="str">
        <f>IF(NOT(AND(IFERROR('Company_Master'!A38&lt;&gt;"",FALSE),OR(ISNUMBER(Asset_Operations!B38),ISNUMBER(Asset_Operations!E38),ISNUMBER(Asset_Operations!F38)))),"—",IF(IFERROR(AND(ISNUMBER(Asset_Operations!B38),ISNUMBER(Asset_Operations!E38),ISNUMBER(Asset_Operations!F38),Asset_Operations!B38&gt;0,ABS((Asset_Operations!E38+Asset_Operations!F38)-Asset_Operations!B38)/Asset_Operations!B38&gt;0.02),FALSE),"⚠","✓"))</f>
        <v>✓</v>
      </c>
      <c r="E41" t="str">
        <f>IF(NOT(AND(IFERROR('Company_Master'!A38&lt;&gt;"",FALSE),ISNUMBER(Asset_Operations!AR38))),"—",IF(IFERROR(AND(ISNUMBER(Asset_Operations!AR38),OR(Asset_Operations!AR38&lt;0.15,Asset_Operations!AR38&gt;0.27)),FALSE),"⚠","✓"))</f>
        <v>✓</v>
      </c>
      <c r="F41" t="str">
        <f>IF(NOT(AND(IFERROR('Company_Master'!A38&lt;&gt;"",FALSE),AND(ISNUMBER(Financials!Q38),ISNUMBER(Financials!R38)))),"—",IF(IFERROR(AND(ISNUMBER(Financials!Q38),ISNUMBER(Financials!R38),ISNUMBER(Financials!S38),ABS((Financials!R38-Financials!Q38)-Financials!S38)/MAX(ABS(Financials!S38),1)&gt;0.05),FALSE),"⚠","✓"))</f>
        <v>✓</v>
      </c>
      <c r="G41" t="str">
        <f>IF(NOT(AND(IFERROR('Company_Master'!A38&lt;&gt;"",FALSE),AND(ISNUMBER(Financials!I38),ISNUMBER(Financials!L38),ISNUMBER(Financials!O38)))),"—",IF(IFERROR(AND(ISNUMBER(Financials!I38),ISNUMBER(Financials!L38),ISNUMBER(Financials!O38),Financials!I38&gt;0,ABS(Financials!I38-(Financials!L38+Financials!O38))/Financials!I38&gt;0.01),FALSE),"⚠","✓"))</f>
        <v>✓</v>
      </c>
      <c r="H41" t="str">
        <f>IF(NOT(AND(IFERROR('Company_Master'!A38&lt;&gt;"",FALSE),AND(ISNUMBER(Financials!E38),ISNUMBER(Financials!F38)))),"—",IF(IFERROR(AND(ISNUMBER(Financials!E38),ISNUMBER(Financials!F38),Financials!E38&lt;Financials!F38),FALSE),"⚠","✓"))</f>
        <v>✓</v>
      </c>
      <c r="I41" t="str">
        <f>IF(NOT(AND(IFERROR('Company_Master'!A38&lt;&gt;"",FALSE),AND(ISNUMBER(Financials!C38),ISNUMBER(Financials!E38)))),"—",IF(IFERROR(AND(ISNUMBER(Financials!C38),ISNUMBER(Financials!E38),Financials!C38=0,Financials!E38&gt;0),FALSE),"⚠","✓"))</f>
        <v>✓</v>
      </c>
      <c r="J41" t="str">
        <f>IF(NOT(AND(IFERROR('Company_Master'!A38&lt;&gt;"",FALSE),COUNTIF('Raw_Extract'!A:A,'Company_Master'!A38)&gt;0)),"—",IF(COUNTIFS('Raw_Extract'!A:A,'Company_Master'!A38,'Raw_Extract'!J:J,"Low")&gt;0,"⚠","✓"))</f>
        <v>✓</v>
      </c>
      <c r="K41" t="str">
        <f>IF(NOT(AND(IFERROR('Company_Master'!A38&lt;&gt;"",FALSE),AND(ISNUMBER(Financials!E38),ISNUMBER(Financials!AP38)))),"—",IF(IFERROR(AND(ISNUMBER(Financials!E38),ISNUMBER(Financials!AP38),Financials!E38&lt;&gt;0,ABS(Financials!E38-Financials!AP38)/ABS(Financials!E38)&gt;0.05),FALSE),"⚠","✓"))</f>
        <v>✓</v>
      </c>
      <c r="L41" t="str">
        <f>IF(NOT(AND(IFERROR('Company_Master'!A38&lt;&gt;"",FALSE),AND(ISNUMBER(Financials!AR38),ISNUMBER(Financials!S38)))),"—",IF(IFERROR(AND(ISNUMBER(Financials!AR38),ISNUMBER(Financials!S38),Financials!S38&lt;&gt;0,ABS(Financials!AR38-Financials!S38)/MAX(ABS(Financials!S38),1)&gt;0.05),FALSE),"⚠","✓"))</f>
        <v>✓</v>
      </c>
      <c r="M41" t="str">
        <f>IF(NOT(AND(IFERROR('Company_Master'!A38&lt;&gt;"",FALSE),AND(ISNUMBER(Asset_Operations!BE38),ISNUMBER(Asset_Operations!AR38)))),"—",IF(IFERROR(AND(ISNUMBER(Asset_Operations!BE38),ISNUMBER(Asset_Operations!AR38),ABS(Asset_Operations!BE38-Asset_Operations!AR38)&gt;0.05),FALSE),"⚠","✓"))</f>
        <v>✓</v>
      </c>
      <c r="N41" t="str">
        <f>IF(NOT(AND(IFERROR('Company_Master'!A38&lt;&gt;"",FALSE),ISNUMBER(Financials!C38))),"—",IF(IFERROR(AND(ISNUMBER(Financials!C38),OR(Financials!C38&lt;50,Financials!C38&gt;200000)),FALSE),"⚠","✓"))</f>
        <v>✓</v>
      </c>
      <c r="O41">
        <f t="shared" si="2"/>
        <v>0</v>
      </c>
      <c r="P41">
        <f t="shared" si="3"/>
        <v>12</v>
      </c>
      <c r="Q41" t="str">
        <f>IF(NOT(IFERROR('Company_Master'!A38&lt;&gt;"",FALSE)),"",IF(O41&gt;0,"⚠ "&amp;O41&amp;" issue(s) detected",IF(P41=0,"— No data to validate","✓ All "&amp;P41&amp;" checks passed")))</f>
        <v>✓ All 12 checks passed</v>
      </c>
    </row>
    <row r="42" spans="1:17" x14ac:dyDescent="0.3">
      <c r="A42" s="36">
        <v>38</v>
      </c>
      <c r="B42" t="str">
        <f>IFERROR('Company_Master'!A39,"")</f>
        <v>PT Gozco Plantations Tbk</v>
      </c>
      <c r="C42" t="str">
        <f>IF(NOT(AND(IFERROR('Company_Master'!A39&lt;&gt;"",FALSE),OR(ISNUMBER(Asset_Operations!B39),ISNUMBER(Asset_Operations!C39),ISNUMBER(Asset_Operations!D39)))),"—",IF(IFERROR(AND(ISNUMBER(Asset_Operations!B39),ISNUMBER(Asset_Operations!C39),ISNUMBER(Asset_Operations!D39),Asset_Operations!B39&gt;0,ABS((Asset_Operations!C39+Asset_Operations!D39)-Asset_Operations!B39)/Asset_Operations!B39&gt;0.02),FALSE),"⚠","✓"))</f>
        <v>✓</v>
      </c>
      <c r="D42" t="str">
        <f>IF(NOT(AND(IFERROR('Company_Master'!A39&lt;&gt;"",FALSE),OR(ISNUMBER(Asset_Operations!B39),ISNUMBER(Asset_Operations!E39),ISNUMBER(Asset_Operations!F39)))),"—",IF(IFERROR(AND(ISNUMBER(Asset_Operations!B39),ISNUMBER(Asset_Operations!E39),ISNUMBER(Asset_Operations!F39),Asset_Operations!B39&gt;0,ABS((Asset_Operations!E39+Asset_Operations!F39)-Asset_Operations!B39)/Asset_Operations!B39&gt;0.02),FALSE),"⚠","✓"))</f>
        <v>✓</v>
      </c>
      <c r="E42" t="str">
        <f>IF(NOT(AND(IFERROR('Company_Master'!A39&lt;&gt;"",FALSE),ISNUMBER(Asset_Operations!AR39))),"—",IF(IFERROR(AND(ISNUMBER(Asset_Operations!AR39),OR(Asset_Operations!AR39&lt;0.15,Asset_Operations!AR39&gt;0.27)),FALSE),"⚠","✓"))</f>
        <v>✓</v>
      </c>
      <c r="F42" t="str">
        <f>IF(NOT(AND(IFERROR('Company_Master'!A39&lt;&gt;"",FALSE),AND(ISNUMBER(Financials!Q39),ISNUMBER(Financials!R39)))),"—",IF(IFERROR(AND(ISNUMBER(Financials!Q39),ISNUMBER(Financials!R39),ISNUMBER(Financials!S39),ABS((Financials!R39-Financials!Q39)-Financials!S39)/MAX(ABS(Financials!S39),1)&gt;0.05),FALSE),"⚠","✓"))</f>
        <v>✓</v>
      </c>
      <c r="G42" t="str">
        <f>IF(NOT(AND(IFERROR('Company_Master'!A39&lt;&gt;"",FALSE),AND(ISNUMBER(Financials!I39),ISNUMBER(Financials!L39),ISNUMBER(Financials!O39)))),"—",IF(IFERROR(AND(ISNUMBER(Financials!I39),ISNUMBER(Financials!L39),ISNUMBER(Financials!O39),Financials!I39&gt;0,ABS(Financials!I39-(Financials!L39+Financials!O39))/Financials!I39&gt;0.01),FALSE),"⚠","✓"))</f>
        <v>✓</v>
      </c>
      <c r="H42" t="str">
        <f>IF(NOT(AND(IFERROR('Company_Master'!A39&lt;&gt;"",FALSE),AND(ISNUMBER(Financials!E39),ISNUMBER(Financials!F39)))),"—",IF(IFERROR(AND(ISNUMBER(Financials!E39),ISNUMBER(Financials!F39),Financials!E39&lt;Financials!F39),FALSE),"⚠","✓"))</f>
        <v>✓</v>
      </c>
      <c r="I42" t="str">
        <f>IF(NOT(AND(IFERROR('Company_Master'!A39&lt;&gt;"",FALSE),AND(ISNUMBER(Financials!C39),ISNUMBER(Financials!E39)))),"—",IF(IFERROR(AND(ISNUMBER(Financials!C39),ISNUMBER(Financials!E39),Financials!C39=0,Financials!E39&gt;0),FALSE),"⚠","✓"))</f>
        <v>✓</v>
      </c>
      <c r="J42" t="str">
        <f>IF(NOT(AND(IFERROR('Company_Master'!A39&lt;&gt;"",FALSE),COUNTIF('Raw_Extract'!A:A,'Company_Master'!A39)&gt;0)),"—",IF(COUNTIFS('Raw_Extract'!A:A,'Company_Master'!A39,'Raw_Extract'!J:J,"Low")&gt;0,"⚠","✓"))</f>
        <v>✓</v>
      </c>
      <c r="K42" t="str">
        <f>IF(NOT(AND(IFERROR('Company_Master'!A39&lt;&gt;"",FALSE),AND(ISNUMBER(Financials!E39),ISNUMBER(Financials!AP39)))),"—",IF(IFERROR(AND(ISNUMBER(Financials!E39),ISNUMBER(Financials!AP39),Financials!E39&lt;&gt;0,ABS(Financials!E39-Financials!AP39)/ABS(Financials!E39)&gt;0.05),FALSE),"⚠","✓"))</f>
        <v>✓</v>
      </c>
      <c r="L42" t="str">
        <f>IF(NOT(AND(IFERROR('Company_Master'!A39&lt;&gt;"",FALSE),AND(ISNUMBER(Financials!AR39),ISNUMBER(Financials!S39)))),"—",IF(IFERROR(AND(ISNUMBER(Financials!AR39),ISNUMBER(Financials!S39),Financials!S39&lt;&gt;0,ABS(Financials!AR39-Financials!S39)/MAX(ABS(Financials!S39),1)&gt;0.05),FALSE),"⚠","✓"))</f>
        <v>✓</v>
      </c>
      <c r="M42" t="str">
        <f>IF(NOT(AND(IFERROR('Company_Master'!A39&lt;&gt;"",FALSE),AND(ISNUMBER(Asset_Operations!BE39),ISNUMBER(Asset_Operations!AR39)))),"—",IF(IFERROR(AND(ISNUMBER(Asset_Operations!BE39),ISNUMBER(Asset_Operations!AR39),ABS(Asset_Operations!BE39-Asset_Operations!AR39)&gt;0.05),FALSE),"⚠","✓"))</f>
        <v>✓</v>
      </c>
      <c r="N42" t="str">
        <f>IF(NOT(AND(IFERROR('Company_Master'!A39&lt;&gt;"",FALSE),ISNUMBER(Financials!C39))),"—",IF(IFERROR(AND(ISNUMBER(Financials!C39),OR(Financials!C39&lt;50,Financials!C39&gt;200000)),FALSE),"⚠","✓"))</f>
        <v>✓</v>
      </c>
      <c r="O42">
        <f t="shared" si="2"/>
        <v>0</v>
      </c>
      <c r="P42">
        <f t="shared" si="3"/>
        <v>12</v>
      </c>
      <c r="Q42" t="str">
        <f>IF(NOT(IFERROR('Company_Master'!A39&lt;&gt;"",FALSE)),"",IF(O42&gt;0,"⚠ "&amp;O42&amp;" issue(s) detected",IF(P42=0,"— No data to validate","✓ All "&amp;P42&amp;" checks passed")))</f>
        <v>✓ All 12 checks passed</v>
      </c>
    </row>
    <row r="43" spans="1:17" x14ac:dyDescent="0.3">
      <c r="A43" s="36">
        <v>39</v>
      </c>
      <c r="B43" t="str">
        <f>IFERROR('Company_Master'!A40,"")</f>
        <v>PT Indo Pureco Pratama Tbk</v>
      </c>
      <c r="C43" t="str">
        <f>IF(NOT(AND(IFERROR('Company_Master'!A40&lt;&gt;"",FALSE),OR(ISNUMBER(Asset_Operations!B40),ISNUMBER(Asset_Operations!C40),ISNUMBER(Asset_Operations!D40)))),"—",IF(IFERROR(AND(ISNUMBER(Asset_Operations!B40),ISNUMBER(Asset_Operations!C40),ISNUMBER(Asset_Operations!D40),Asset_Operations!B40&gt;0,ABS((Asset_Operations!C40+Asset_Operations!D40)-Asset_Operations!B40)/Asset_Operations!B40&gt;0.02),FALSE),"⚠","✓"))</f>
        <v>—</v>
      </c>
      <c r="D43" t="str">
        <f>IF(NOT(AND(IFERROR('Company_Master'!A40&lt;&gt;"",FALSE),OR(ISNUMBER(Asset_Operations!B40),ISNUMBER(Asset_Operations!E40),ISNUMBER(Asset_Operations!F40)))),"—",IF(IFERROR(AND(ISNUMBER(Asset_Operations!B40),ISNUMBER(Asset_Operations!E40),ISNUMBER(Asset_Operations!F40),Asset_Operations!B40&gt;0,ABS((Asset_Operations!E40+Asset_Operations!F40)-Asset_Operations!B40)/Asset_Operations!B40&gt;0.02),FALSE),"⚠","✓"))</f>
        <v>—</v>
      </c>
      <c r="E43" t="str">
        <f>IF(NOT(AND(IFERROR('Company_Master'!A40&lt;&gt;"",FALSE),ISNUMBER(Asset_Operations!AR40))),"—",IF(IFERROR(AND(ISNUMBER(Asset_Operations!AR40),OR(Asset_Operations!AR40&lt;0.15,Asset_Operations!AR40&gt;0.27)),FALSE),"⚠","✓"))</f>
        <v>—</v>
      </c>
      <c r="F43" t="str">
        <f>IF(NOT(AND(IFERROR('Company_Master'!A40&lt;&gt;"",FALSE),AND(ISNUMBER(Financials!Q40),ISNUMBER(Financials!R40)))),"—",IF(IFERROR(AND(ISNUMBER(Financials!Q40),ISNUMBER(Financials!R40),ISNUMBER(Financials!S40),ABS((Financials!R40-Financials!Q40)-Financials!S40)/MAX(ABS(Financials!S40),1)&gt;0.05),FALSE),"⚠","✓"))</f>
        <v>✓</v>
      </c>
      <c r="G43" t="str">
        <f>IF(NOT(AND(IFERROR('Company_Master'!A40&lt;&gt;"",FALSE),AND(ISNUMBER(Financials!I40),ISNUMBER(Financials!L40),ISNUMBER(Financials!O40)))),"—",IF(IFERROR(AND(ISNUMBER(Financials!I40),ISNUMBER(Financials!L40),ISNUMBER(Financials!O40),Financials!I40&gt;0,ABS(Financials!I40-(Financials!L40+Financials!O40))/Financials!I40&gt;0.01),FALSE),"⚠","✓"))</f>
        <v>✓</v>
      </c>
      <c r="H43" t="str">
        <f>IF(NOT(AND(IFERROR('Company_Master'!A40&lt;&gt;"",FALSE),AND(ISNUMBER(Financials!E40),ISNUMBER(Financials!F40)))),"—",IF(IFERROR(AND(ISNUMBER(Financials!E40),ISNUMBER(Financials!F40),Financials!E40&lt;Financials!F40),FALSE),"⚠","✓"))</f>
        <v>—</v>
      </c>
      <c r="I43" t="str">
        <f>IF(NOT(AND(IFERROR('Company_Master'!A40&lt;&gt;"",FALSE),AND(ISNUMBER(Financials!C40),ISNUMBER(Financials!E40)))),"—",IF(IFERROR(AND(ISNUMBER(Financials!C40),ISNUMBER(Financials!E40),Financials!C40=0,Financials!E40&gt;0),FALSE),"⚠","✓"))</f>
        <v>—</v>
      </c>
      <c r="J43" t="str">
        <f>IF(NOT(AND(IFERROR('Company_Master'!A40&lt;&gt;"",FALSE),COUNTIF('Raw_Extract'!A:A,'Company_Master'!A40)&gt;0)),"—",IF(COUNTIFS('Raw_Extract'!A:A,'Company_Master'!A40,'Raw_Extract'!J:J,"Low")&gt;0,"⚠","✓"))</f>
        <v>✓</v>
      </c>
      <c r="K43" t="str">
        <f>IF(NOT(AND(IFERROR('Company_Master'!A40&lt;&gt;"",FALSE),AND(ISNUMBER(Financials!E40),ISNUMBER(Financials!AP40)))),"—",IF(IFERROR(AND(ISNUMBER(Financials!E40),ISNUMBER(Financials!AP40),Financials!E40&lt;&gt;0,ABS(Financials!E40-Financials!AP40)/ABS(Financials!E40)&gt;0.05),FALSE),"⚠","✓"))</f>
        <v>—</v>
      </c>
      <c r="L43" t="str">
        <f>IF(NOT(AND(IFERROR('Company_Master'!A40&lt;&gt;"",FALSE),AND(ISNUMBER(Financials!AR40),ISNUMBER(Financials!S40)))),"—",IF(IFERROR(AND(ISNUMBER(Financials!AR40),ISNUMBER(Financials!S40),Financials!S40&lt;&gt;0,ABS(Financials!AR40-Financials!S40)/MAX(ABS(Financials!S40),1)&gt;0.05),FALSE),"⚠","✓"))</f>
        <v>—</v>
      </c>
      <c r="M43" t="str">
        <f>IF(NOT(AND(IFERROR('Company_Master'!A40&lt;&gt;"",FALSE),AND(ISNUMBER(Asset_Operations!BE40),ISNUMBER(Asset_Operations!AR40)))),"—",IF(IFERROR(AND(ISNUMBER(Asset_Operations!BE40),ISNUMBER(Asset_Operations!AR40),ABS(Asset_Operations!BE40-Asset_Operations!AR40)&gt;0.05),FALSE),"⚠","✓"))</f>
        <v>—</v>
      </c>
      <c r="N43" t="str">
        <f>IF(NOT(AND(IFERROR('Company_Master'!A40&lt;&gt;"",FALSE),ISNUMBER(Financials!C40))),"—",IF(IFERROR(AND(ISNUMBER(Financials!C40),OR(Financials!C40&lt;50,Financials!C40&gt;200000)),FALSE),"⚠","✓"))</f>
        <v>⚠</v>
      </c>
      <c r="O43">
        <f t="shared" si="2"/>
        <v>1</v>
      </c>
      <c r="P43">
        <f t="shared" si="3"/>
        <v>3</v>
      </c>
      <c r="Q43" t="str">
        <f>IF(NOT(IFERROR('Company_Master'!A40&lt;&gt;"",FALSE)),"",IF(O43&gt;0,"⚠ "&amp;O43&amp;" issue(s) detected",IF(P43=0,"— No data to validate","✓ All "&amp;P43&amp;" checks passed")))</f>
        <v>⚠ 1 issue(s) detected</v>
      </c>
    </row>
    <row r="44" spans="1:17" x14ac:dyDescent="0.3">
      <c r="A44">
        <v>40</v>
      </c>
      <c r="B44" t="str">
        <f>IFERROR('Company_Master'!A41,"")</f>
        <v>PT Jhonlin Agro Raya Tbk</v>
      </c>
      <c r="C44" t="str">
        <f>IF(NOT(AND(IFERROR('Company_Master'!A41&lt;&gt;"",FALSE),OR(ISNUMBER(Asset_Operations!B41),ISNUMBER(Asset_Operations!C41),ISNUMBER(Asset_Operations!D41)))),"—",IF(IFERROR(AND(ISNUMBER(Asset_Operations!B41),ISNUMBER(Asset_Operations!C41),ISNUMBER(Asset_Operations!D41),Asset_Operations!B41&gt;0,ABS((Asset_Operations!C41+Asset_Operations!D41)-Asset_Operations!B41)/Asset_Operations!B41&gt;0.02),FALSE),"⚠","✓"))</f>
        <v>✓</v>
      </c>
      <c r="D44" t="str">
        <f>IF(NOT(AND(IFERROR('Company_Master'!A41&lt;&gt;"",FALSE),OR(ISNUMBER(Asset_Operations!B41),ISNUMBER(Asset_Operations!E41),ISNUMBER(Asset_Operations!F41)))),"—",IF(IFERROR(AND(ISNUMBER(Asset_Operations!B41),ISNUMBER(Asset_Operations!E41),ISNUMBER(Asset_Operations!F41),Asset_Operations!B41&gt;0,ABS((Asset_Operations!E41+Asset_Operations!F41)-Asset_Operations!B41)/Asset_Operations!B41&gt;0.02),FALSE),"⚠","✓"))</f>
        <v>⚠</v>
      </c>
      <c r="E44" t="str">
        <f>IF(NOT(AND(IFERROR('Company_Master'!A41&lt;&gt;"",FALSE),ISNUMBER(Asset_Operations!AR41))),"—",IF(IFERROR(AND(ISNUMBER(Asset_Operations!AR41),OR(Asset_Operations!AR41&lt;0.15,Asset_Operations!AR41&gt;0.27)),FALSE),"⚠","✓"))</f>
        <v>—</v>
      </c>
      <c r="F44" t="str">
        <f>IF(NOT(AND(IFERROR('Company_Master'!A41&lt;&gt;"",FALSE),AND(ISNUMBER(Financials!Q41),ISNUMBER(Financials!R41)))),"—",IF(IFERROR(AND(ISNUMBER(Financials!Q41),ISNUMBER(Financials!R41),ISNUMBER(Financials!S41),ABS((Financials!R41-Financials!Q41)-Financials!S41)/MAX(ABS(Financials!S41),1)&gt;0.05),FALSE),"⚠","✓"))</f>
        <v>✓</v>
      </c>
      <c r="G44" t="str">
        <f>IF(NOT(AND(IFERROR('Company_Master'!A41&lt;&gt;"",FALSE),AND(ISNUMBER(Financials!I41),ISNUMBER(Financials!L41),ISNUMBER(Financials!O41)))),"—",IF(IFERROR(AND(ISNUMBER(Financials!I41),ISNUMBER(Financials!L41),ISNUMBER(Financials!O41),Financials!I41&gt;0,ABS(Financials!I41-(Financials!L41+Financials!O41))/Financials!I41&gt;0.01),FALSE),"⚠","✓"))</f>
        <v>✓</v>
      </c>
      <c r="H44" t="str">
        <f>IF(NOT(AND(IFERROR('Company_Master'!A41&lt;&gt;"",FALSE),AND(ISNUMBER(Financials!E41),ISNUMBER(Financials!F41)))),"—",IF(IFERROR(AND(ISNUMBER(Financials!E41),ISNUMBER(Financials!F41),Financials!E41&lt;Financials!F41),FALSE),"⚠","✓"))</f>
        <v>—</v>
      </c>
      <c r="I44" t="str">
        <f>IF(NOT(AND(IFERROR('Company_Master'!A41&lt;&gt;"",FALSE),AND(ISNUMBER(Financials!C41),ISNUMBER(Financials!E41)))),"—",IF(IFERROR(AND(ISNUMBER(Financials!C41),ISNUMBER(Financials!E41),Financials!C41=0,Financials!E41&gt;0),FALSE),"⚠","✓"))</f>
        <v>—</v>
      </c>
      <c r="J44" t="str">
        <f>IF(NOT(AND(IFERROR('Company_Master'!A41&lt;&gt;"",FALSE),COUNTIF('Raw_Extract'!A:A,'Company_Master'!A41)&gt;0)),"—",IF(COUNTIFS('Raw_Extract'!A:A,'Company_Master'!A41,'Raw_Extract'!J:J,"Low")&gt;0,"⚠","✓"))</f>
        <v>⚠</v>
      </c>
      <c r="K44" t="str">
        <f>IF(NOT(AND(IFERROR('Company_Master'!A41&lt;&gt;"",FALSE),AND(ISNUMBER(Financials!E41),ISNUMBER(Financials!AP41)))),"—",IF(IFERROR(AND(ISNUMBER(Financials!E41),ISNUMBER(Financials!AP41),Financials!E41&lt;&gt;0,ABS(Financials!E41-Financials!AP41)/ABS(Financials!E41)&gt;0.05),FALSE),"⚠","✓"))</f>
        <v>—</v>
      </c>
      <c r="L44" t="str">
        <f>IF(NOT(AND(IFERROR('Company_Master'!A41&lt;&gt;"",FALSE),AND(ISNUMBER(Financials!AR41),ISNUMBER(Financials!S41)))),"—",IF(IFERROR(AND(ISNUMBER(Financials!AR41),ISNUMBER(Financials!S41),Financials!S41&lt;&gt;0,ABS(Financials!AR41-Financials!S41)/MAX(ABS(Financials!S41),1)&gt;0.05),FALSE),"⚠","✓"))</f>
        <v>—</v>
      </c>
      <c r="M44" t="str">
        <f>IF(NOT(AND(IFERROR('Company_Master'!A41&lt;&gt;"",FALSE),AND(ISNUMBER(Asset_Operations!BE41),ISNUMBER(Asset_Operations!AR41)))),"—",IF(IFERROR(AND(ISNUMBER(Asset_Operations!BE41),ISNUMBER(Asset_Operations!AR41),ABS(Asset_Operations!BE41-Asset_Operations!AR41)&gt;0.05),FALSE),"⚠","✓"))</f>
        <v>—</v>
      </c>
      <c r="N44" t="str">
        <f>IF(NOT(AND(IFERROR('Company_Master'!A41&lt;&gt;"",FALSE),ISNUMBER(Financials!C41))),"—",IF(IFERROR(AND(ISNUMBER(Financials!C41),OR(Financials!C41&lt;50,Financials!C41&gt;200000)),FALSE),"⚠","✓"))</f>
        <v>✓</v>
      </c>
      <c r="O44">
        <f t="shared" si="2"/>
        <v>2</v>
      </c>
      <c r="P44">
        <f t="shared" si="3"/>
        <v>4</v>
      </c>
      <c r="Q44" t="str">
        <f>IF(NOT(IFERROR('Company_Master'!A41&lt;&gt;"",FALSE)),"",IF(O44&gt;0,"⚠ "&amp;O44&amp;" issue(s) detected",IF(P44=0,"— No data to validate","✓ All "&amp;P44&amp;" checks passed")))</f>
        <v>⚠ 2 issue(s) detected</v>
      </c>
    </row>
    <row r="45" spans="1:17" x14ac:dyDescent="0.3">
      <c r="A45">
        <v>41</v>
      </c>
      <c r="B45" t="str">
        <f>IFERROR('Company_Master'!A42,"")</f>
        <v>PT Jhonlin Agro Raya Tbk</v>
      </c>
      <c r="C45" t="str">
        <f>IF(NOT(AND(IFERROR('Company_Master'!A42&lt;&gt;"",FALSE),OR(ISNUMBER(Asset_Operations!B42),ISNUMBER(Asset_Operations!C42),ISNUMBER(Asset_Operations!D42)))),"—",IF(IFERROR(AND(ISNUMBER(Asset_Operations!B42),ISNUMBER(Asset_Operations!C42),ISNUMBER(Asset_Operations!D42),Asset_Operations!B42&gt;0,ABS((Asset_Operations!C42+Asset_Operations!D42)-Asset_Operations!B42)/Asset_Operations!B42&gt;0.02),FALSE),"⚠","✓"))</f>
        <v>⚠</v>
      </c>
      <c r="D45" t="str">
        <f>IF(NOT(AND(IFERROR('Company_Master'!A42&lt;&gt;"",FALSE),OR(ISNUMBER(Asset_Operations!B42),ISNUMBER(Asset_Operations!E42),ISNUMBER(Asset_Operations!F42)))),"—",IF(IFERROR(AND(ISNUMBER(Asset_Operations!B42),ISNUMBER(Asset_Operations!E42),ISNUMBER(Asset_Operations!F42),Asset_Operations!B42&gt;0,ABS((Asset_Operations!E42+Asset_Operations!F42)-Asset_Operations!B42)/Asset_Operations!B42&gt;0.02),FALSE),"⚠","✓"))</f>
        <v>✓</v>
      </c>
      <c r="E45" t="str">
        <f>IF(NOT(AND(IFERROR('Company_Master'!A42&lt;&gt;"",FALSE),ISNUMBER(Asset_Operations!AR42))),"—",IF(IFERROR(AND(ISNUMBER(Asset_Operations!AR42),OR(Asset_Operations!AR42&lt;0.15,Asset_Operations!AR42&gt;0.27)),FALSE),"⚠","✓"))</f>
        <v>—</v>
      </c>
      <c r="F45" t="str">
        <f>IF(NOT(AND(IFERROR('Company_Master'!A42&lt;&gt;"",FALSE),AND(ISNUMBER(Financials!Q42),ISNUMBER(Financials!R42)))),"—",IF(IFERROR(AND(ISNUMBER(Financials!Q42),ISNUMBER(Financials!R42),ISNUMBER(Financials!S42),ABS((Financials!R42-Financials!Q42)-Financials!S42)/MAX(ABS(Financials!S42),1)&gt;0.05),FALSE),"⚠","✓"))</f>
        <v>✓</v>
      </c>
      <c r="G45" t="str">
        <f>IF(NOT(AND(IFERROR('Company_Master'!A42&lt;&gt;"",FALSE),AND(ISNUMBER(Financials!I42),ISNUMBER(Financials!L42),ISNUMBER(Financials!O42)))),"—",IF(IFERROR(AND(ISNUMBER(Financials!I42),ISNUMBER(Financials!L42),ISNUMBER(Financials!O42),Financials!I42&gt;0,ABS(Financials!I42-(Financials!L42+Financials!O42))/Financials!I42&gt;0.01),FALSE),"⚠","✓"))</f>
        <v>✓</v>
      </c>
      <c r="H45" t="str">
        <f>IF(NOT(AND(IFERROR('Company_Master'!A42&lt;&gt;"",FALSE),AND(ISNUMBER(Financials!E42),ISNUMBER(Financials!F42)))),"—",IF(IFERROR(AND(ISNUMBER(Financials!E42),ISNUMBER(Financials!F42),Financials!E42&lt;Financials!F42),FALSE),"⚠","✓"))</f>
        <v>—</v>
      </c>
      <c r="I45" t="str">
        <f>IF(NOT(AND(IFERROR('Company_Master'!A42&lt;&gt;"",FALSE),AND(ISNUMBER(Financials!C42),ISNUMBER(Financials!E42)))),"—",IF(IFERROR(AND(ISNUMBER(Financials!C42),ISNUMBER(Financials!E42),Financials!C42=0,Financials!E42&gt;0),FALSE),"⚠","✓"))</f>
        <v>—</v>
      </c>
      <c r="J45" t="str">
        <f>IF(NOT(AND(IFERROR('Company_Master'!A42&lt;&gt;"",FALSE),COUNTIF('Raw_Extract'!A:A,'Company_Master'!A42)&gt;0)),"—",IF(COUNTIFS('Raw_Extract'!A:A,'Company_Master'!A42,'Raw_Extract'!J:J,"Low")&gt;0,"⚠","✓"))</f>
        <v>⚠</v>
      </c>
      <c r="K45" t="str">
        <f>IF(NOT(AND(IFERROR('Company_Master'!A42&lt;&gt;"",FALSE),AND(ISNUMBER(Financials!E42),ISNUMBER(Financials!AP42)))),"—",IF(IFERROR(AND(ISNUMBER(Financials!E42),ISNUMBER(Financials!AP42),Financials!E42&lt;&gt;0,ABS(Financials!E42-Financials!AP42)/ABS(Financials!E42)&gt;0.05),FALSE),"⚠","✓"))</f>
        <v>—</v>
      </c>
      <c r="L45" t="str">
        <f>IF(NOT(AND(IFERROR('Company_Master'!A42&lt;&gt;"",FALSE),AND(ISNUMBER(Financials!AR42),ISNUMBER(Financials!S42)))),"—",IF(IFERROR(AND(ISNUMBER(Financials!AR42),ISNUMBER(Financials!S42),Financials!S42&lt;&gt;0,ABS(Financials!AR42-Financials!S42)/MAX(ABS(Financials!S42),1)&gt;0.05),FALSE),"⚠","✓"))</f>
        <v>—</v>
      </c>
      <c r="M45" t="str">
        <f>IF(NOT(AND(IFERROR('Company_Master'!A42&lt;&gt;"",FALSE),AND(ISNUMBER(Asset_Operations!BE42),ISNUMBER(Asset_Operations!AR42)))),"—",IF(IFERROR(AND(ISNUMBER(Asset_Operations!BE42),ISNUMBER(Asset_Operations!AR42),ABS(Asset_Operations!BE42-Asset_Operations!AR42)&gt;0.05),FALSE),"⚠","✓"))</f>
        <v>—</v>
      </c>
      <c r="N45" t="str">
        <f>IF(NOT(AND(IFERROR('Company_Master'!A42&lt;&gt;"",FALSE),ISNUMBER(Financials!C42))),"—",IF(IFERROR(AND(ISNUMBER(Financials!C42),OR(Financials!C42&lt;50,Financials!C42&gt;200000)),FALSE),"⚠","✓"))</f>
        <v>✓</v>
      </c>
      <c r="O45">
        <f t="shared" si="2"/>
        <v>2</v>
      </c>
      <c r="P45">
        <f t="shared" si="3"/>
        <v>4</v>
      </c>
      <c r="Q45" t="str">
        <f>IF(NOT(IFERROR('Company_Master'!A42&lt;&gt;"",FALSE)),"",IF(O45&gt;0,"⚠ "&amp;O45&amp;" issue(s) detected",IF(P45=0,"— No data to validate","✓ All "&amp;P45&amp;" checks passed")))</f>
        <v>⚠ 2 issue(s) detected</v>
      </c>
    </row>
    <row r="46" spans="1:17" x14ac:dyDescent="0.3">
      <c r="A46">
        <v>42</v>
      </c>
      <c r="B46" t="str">
        <f>IFERROR('Company_Master'!A43,"")</f>
        <v>PT Jhonlin Agro Raya Tbk</v>
      </c>
      <c r="C46" t="str">
        <f>IF(NOT(AND(IFERROR('Company_Master'!A43&lt;&gt;"",FALSE),OR(ISNUMBER(Asset_Operations!B43),ISNUMBER(Asset_Operations!C43),ISNUMBER(Asset_Operations!D43)))),"—",IF(IFERROR(AND(ISNUMBER(Asset_Operations!B43),ISNUMBER(Asset_Operations!C43),ISNUMBER(Asset_Operations!D43),Asset_Operations!B43&gt;0,ABS((Asset_Operations!C43+Asset_Operations!D43)-Asset_Operations!B43)/Asset_Operations!B43&gt;0.02),FALSE),"⚠","✓"))</f>
        <v>✓</v>
      </c>
      <c r="D46" t="str">
        <f>IF(NOT(AND(IFERROR('Company_Master'!A43&lt;&gt;"",FALSE),OR(ISNUMBER(Asset_Operations!B43),ISNUMBER(Asset_Operations!E43),ISNUMBER(Asset_Operations!F43)))),"—",IF(IFERROR(AND(ISNUMBER(Asset_Operations!B43),ISNUMBER(Asset_Operations!E43),ISNUMBER(Asset_Operations!F43),Asset_Operations!B43&gt;0,ABS((Asset_Operations!E43+Asset_Operations!F43)-Asset_Operations!B43)/Asset_Operations!B43&gt;0.02),FALSE),"⚠","✓"))</f>
        <v>✓</v>
      </c>
      <c r="E46" t="str">
        <f>IF(NOT(AND(IFERROR('Company_Master'!A43&lt;&gt;"",FALSE),ISNUMBER(Asset_Operations!AR43))),"—",IF(IFERROR(AND(ISNUMBER(Asset_Operations!AR43),OR(Asset_Operations!AR43&lt;0.15,Asset_Operations!AR43&gt;0.27)),FALSE),"⚠","✓"))</f>
        <v>—</v>
      </c>
      <c r="F46" t="str">
        <f>IF(NOT(AND(IFERROR('Company_Master'!A43&lt;&gt;"",FALSE),AND(ISNUMBER(Financials!Q43),ISNUMBER(Financials!R43)))),"—",IF(IFERROR(AND(ISNUMBER(Financials!Q43),ISNUMBER(Financials!R43),ISNUMBER(Financials!S43),ABS((Financials!R43-Financials!Q43)-Financials!S43)/MAX(ABS(Financials!S43),1)&gt;0.05),FALSE),"⚠","✓"))</f>
        <v>✓</v>
      </c>
      <c r="G46" t="str">
        <f>IF(NOT(AND(IFERROR('Company_Master'!A43&lt;&gt;"",FALSE),AND(ISNUMBER(Financials!I43),ISNUMBER(Financials!L43),ISNUMBER(Financials!O43)))),"—",IF(IFERROR(AND(ISNUMBER(Financials!I43),ISNUMBER(Financials!L43),ISNUMBER(Financials!O43),Financials!I43&gt;0,ABS(Financials!I43-(Financials!L43+Financials!O43))/Financials!I43&gt;0.01),FALSE),"⚠","✓"))</f>
        <v>✓</v>
      </c>
      <c r="H46" t="str">
        <f>IF(NOT(AND(IFERROR('Company_Master'!A43&lt;&gt;"",FALSE),AND(ISNUMBER(Financials!E43),ISNUMBER(Financials!F43)))),"—",IF(IFERROR(AND(ISNUMBER(Financials!E43),ISNUMBER(Financials!F43),Financials!E43&lt;Financials!F43),FALSE),"⚠","✓"))</f>
        <v>—</v>
      </c>
      <c r="I46" t="str">
        <f>IF(NOT(AND(IFERROR('Company_Master'!A43&lt;&gt;"",FALSE),AND(ISNUMBER(Financials!C43),ISNUMBER(Financials!E43)))),"—",IF(IFERROR(AND(ISNUMBER(Financials!C43),ISNUMBER(Financials!E43),Financials!C43=0,Financials!E43&gt;0),FALSE),"⚠","✓"))</f>
        <v>—</v>
      </c>
      <c r="J46" t="str">
        <f>IF(NOT(AND(IFERROR('Company_Master'!A43&lt;&gt;"",FALSE),COUNTIF('Raw_Extract'!A:A,'Company_Master'!A43)&gt;0)),"—",IF(COUNTIFS('Raw_Extract'!A:A,'Company_Master'!A43,'Raw_Extract'!J:J,"Low")&gt;0,"⚠","✓"))</f>
        <v>⚠</v>
      </c>
      <c r="K46" t="str">
        <f>IF(NOT(AND(IFERROR('Company_Master'!A43&lt;&gt;"",FALSE),AND(ISNUMBER(Financials!E43),ISNUMBER(Financials!AP43)))),"—",IF(IFERROR(AND(ISNUMBER(Financials!E43),ISNUMBER(Financials!AP43),Financials!E43&lt;&gt;0,ABS(Financials!E43-Financials!AP43)/ABS(Financials!E43)&gt;0.05),FALSE),"⚠","✓"))</f>
        <v>—</v>
      </c>
      <c r="L46" t="str">
        <f>IF(NOT(AND(IFERROR('Company_Master'!A43&lt;&gt;"",FALSE),AND(ISNUMBER(Financials!AR43),ISNUMBER(Financials!S43)))),"—",IF(IFERROR(AND(ISNUMBER(Financials!AR43),ISNUMBER(Financials!S43),Financials!S43&lt;&gt;0,ABS(Financials!AR43-Financials!S43)/MAX(ABS(Financials!S43),1)&gt;0.05),FALSE),"⚠","✓"))</f>
        <v>—</v>
      </c>
      <c r="M46" t="str">
        <f>IF(NOT(AND(IFERROR('Company_Master'!A43&lt;&gt;"",FALSE),AND(ISNUMBER(Asset_Operations!BE43),ISNUMBER(Asset_Operations!AR43)))),"—",IF(IFERROR(AND(ISNUMBER(Asset_Operations!BE43),ISNUMBER(Asset_Operations!AR43),ABS(Asset_Operations!BE43-Asset_Operations!AR43)&gt;0.05),FALSE),"⚠","✓"))</f>
        <v>—</v>
      </c>
      <c r="N46" t="str">
        <f>IF(NOT(AND(IFERROR('Company_Master'!A43&lt;&gt;"",FALSE),ISNUMBER(Financials!C43))),"—",IF(IFERROR(AND(ISNUMBER(Financials!C43),OR(Financials!C43&lt;50,Financials!C43&gt;200000)),FALSE),"⚠","✓"))</f>
        <v>✓</v>
      </c>
      <c r="O46">
        <f t="shared" si="2"/>
        <v>1</v>
      </c>
      <c r="P46">
        <f t="shared" si="3"/>
        <v>5</v>
      </c>
      <c r="Q46" t="str">
        <f>IF(NOT(IFERROR('Company_Master'!A43&lt;&gt;"",FALSE)),"",IF(O46&gt;0,"⚠ "&amp;O46&amp;" issue(s) detected",IF(P46=0,"— No data to validate","✓ All "&amp;P46&amp;" checks passed")))</f>
        <v>⚠ 1 issue(s) detected</v>
      </c>
    </row>
    <row r="47" spans="1:17" x14ac:dyDescent="0.3">
      <c r="A47">
        <v>43</v>
      </c>
      <c r="B47" t="str">
        <f>IFERROR('Company_Master'!A44,"")</f>
        <v>PT Jaya Agra Wattie Tbk</v>
      </c>
      <c r="C47" t="str">
        <f>IF(NOT(AND(IFERROR('Company_Master'!A44&lt;&gt;"",FALSE),OR(ISNUMBER(Asset_Operations!B44),ISNUMBER(Asset_Operations!C44),ISNUMBER(Asset_Operations!D44)))),"—",IF(IFERROR(AND(ISNUMBER(Asset_Operations!B44),ISNUMBER(Asset_Operations!C44),ISNUMBER(Asset_Operations!D44),Asset_Operations!B44&gt;0,ABS((Asset_Operations!C44+Asset_Operations!D44)-Asset_Operations!B44)/Asset_Operations!B44&gt;0.02),FALSE),"⚠","✓"))</f>
        <v>✓</v>
      </c>
      <c r="D47" t="str">
        <f>IF(NOT(AND(IFERROR('Company_Master'!A44&lt;&gt;"",FALSE),OR(ISNUMBER(Asset_Operations!B44),ISNUMBER(Asset_Operations!E44),ISNUMBER(Asset_Operations!F44)))),"—",IF(IFERROR(AND(ISNUMBER(Asset_Operations!B44),ISNUMBER(Asset_Operations!E44),ISNUMBER(Asset_Operations!F44),Asset_Operations!B44&gt;0,ABS((Asset_Operations!E44+Asset_Operations!F44)-Asset_Operations!B44)/Asset_Operations!B44&gt;0.02),FALSE),"⚠","✓"))</f>
        <v>⚠</v>
      </c>
      <c r="E47" t="str">
        <f>IF(NOT(AND(IFERROR('Company_Master'!A44&lt;&gt;"",FALSE),ISNUMBER(Asset_Operations!AR44))),"—",IF(IFERROR(AND(ISNUMBER(Asset_Operations!AR44),OR(Asset_Operations!AR44&lt;0.15,Asset_Operations!AR44&gt;0.27)),FALSE),"⚠","✓"))</f>
        <v>✓</v>
      </c>
      <c r="F47" t="str">
        <f>IF(NOT(AND(IFERROR('Company_Master'!A44&lt;&gt;"",FALSE),AND(ISNUMBER(Financials!Q44),ISNUMBER(Financials!R44)))),"—",IF(IFERROR(AND(ISNUMBER(Financials!Q44),ISNUMBER(Financials!R44),ISNUMBER(Financials!S44),ABS((Financials!R44-Financials!Q44)-Financials!S44)/MAX(ABS(Financials!S44),1)&gt;0.05),FALSE),"⚠","✓"))</f>
        <v>✓</v>
      </c>
      <c r="G47" t="str">
        <f>IF(NOT(AND(IFERROR('Company_Master'!A44&lt;&gt;"",FALSE),AND(ISNUMBER(Financials!I44),ISNUMBER(Financials!L44),ISNUMBER(Financials!O44)))),"—",IF(IFERROR(AND(ISNUMBER(Financials!I44),ISNUMBER(Financials!L44),ISNUMBER(Financials!O44),Financials!I44&gt;0,ABS(Financials!I44-(Financials!L44+Financials!O44))/Financials!I44&gt;0.01),FALSE),"⚠","✓"))</f>
        <v>✓</v>
      </c>
      <c r="H47" t="str">
        <f>IF(NOT(AND(IFERROR('Company_Master'!A44&lt;&gt;"",FALSE),AND(ISNUMBER(Financials!E44),ISNUMBER(Financials!F44)))),"—",IF(IFERROR(AND(ISNUMBER(Financials!E44),ISNUMBER(Financials!F44),Financials!E44&lt;Financials!F44),FALSE),"⚠","✓"))</f>
        <v>—</v>
      </c>
      <c r="I47" t="str">
        <f>IF(NOT(AND(IFERROR('Company_Master'!A44&lt;&gt;"",FALSE),AND(ISNUMBER(Financials!C44),ISNUMBER(Financials!E44)))),"—",IF(IFERROR(AND(ISNUMBER(Financials!C44),ISNUMBER(Financials!E44),Financials!C44=0,Financials!E44&gt;0),FALSE),"⚠","✓"))</f>
        <v>—</v>
      </c>
      <c r="J47" t="str">
        <f>IF(NOT(AND(IFERROR('Company_Master'!A44&lt;&gt;"",FALSE),COUNTIF('Raw_Extract'!A:A,'Company_Master'!A44)&gt;0)),"—",IF(COUNTIFS('Raw_Extract'!A:A,'Company_Master'!A44,'Raw_Extract'!J:J,"Low")&gt;0,"⚠","✓"))</f>
        <v>✓</v>
      </c>
      <c r="K47" t="str">
        <f>IF(NOT(AND(IFERROR('Company_Master'!A44&lt;&gt;"",FALSE),AND(ISNUMBER(Financials!E44),ISNUMBER(Financials!AP44)))),"—",IF(IFERROR(AND(ISNUMBER(Financials!E44),ISNUMBER(Financials!AP44),Financials!E44&lt;&gt;0,ABS(Financials!E44-Financials!AP44)/ABS(Financials!E44)&gt;0.05),FALSE),"⚠","✓"))</f>
        <v>—</v>
      </c>
      <c r="L47" t="str">
        <f>IF(NOT(AND(IFERROR('Company_Master'!A44&lt;&gt;"",FALSE),AND(ISNUMBER(Financials!AR44),ISNUMBER(Financials!S44)))),"—",IF(IFERROR(AND(ISNUMBER(Financials!AR44),ISNUMBER(Financials!S44),Financials!S44&lt;&gt;0,ABS(Financials!AR44-Financials!S44)/MAX(ABS(Financials!S44),1)&gt;0.05),FALSE),"⚠","✓"))</f>
        <v>—</v>
      </c>
      <c r="M47" t="str">
        <f>IF(NOT(AND(IFERROR('Company_Master'!A44&lt;&gt;"",FALSE),AND(ISNUMBER(Asset_Operations!BE44),ISNUMBER(Asset_Operations!AR44)))),"—",IF(IFERROR(AND(ISNUMBER(Asset_Operations!BE44),ISNUMBER(Asset_Operations!AR44),ABS(Asset_Operations!BE44-Asset_Operations!AR44)&gt;0.05),FALSE),"⚠","✓"))</f>
        <v>✓</v>
      </c>
      <c r="N47" t="str">
        <f>IF(NOT(AND(IFERROR('Company_Master'!A44&lt;&gt;"",FALSE),ISNUMBER(Financials!C44))),"—",IF(IFERROR(AND(ISNUMBER(Financials!C44),OR(Financials!C44&lt;50,Financials!C44&gt;200000)),FALSE),"⚠","✓"))</f>
        <v>✓</v>
      </c>
      <c r="O47">
        <f t="shared" si="2"/>
        <v>1</v>
      </c>
      <c r="P47">
        <f t="shared" si="3"/>
        <v>7</v>
      </c>
      <c r="Q47" t="str">
        <f>IF(NOT(IFERROR('Company_Master'!A44&lt;&gt;"",FALSE)),"",IF(O47&gt;0,"⚠ "&amp;O47&amp;" issue(s) detected",IF(P47=0,"— No data to validate","✓ All "&amp;P47&amp;" checks passed")))</f>
        <v>⚠ 1 issue(s) detected</v>
      </c>
    </row>
    <row r="48" spans="1:17" x14ac:dyDescent="0.3">
      <c r="A48">
        <v>44</v>
      </c>
      <c r="B48" t="str">
        <f>IFERROR('Company_Master'!A45,"")</f>
        <v>PT Jaya Agra Wattie Tbk</v>
      </c>
      <c r="C48" t="str">
        <f>IF(NOT(AND(IFERROR('Company_Master'!A45&lt;&gt;"",FALSE),OR(ISNUMBER(Asset_Operations!B45),ISNUMBER(Asset_Operations!C45),ISNUMBER(Asset_Operations!D45)))),"—",IF(IFERROR(AND(ISNUMBER(Asset_Operations!B45),ISNUMBER(Asset_Operations!C45),ISNUMBER(Asset_Operations!D45),Asset_Operations!B45&gt;0,ABS((Asset_Operations!C45+Asset_Operations!D45)-Asset_Operations!B45)/Asset_Operations!B45&gt;0.02),FALSE),"⚠","✓"))</f>
        <v>✓</v>
      </c>
      <c r="D48" t="str">
        <f>IF(NOT(AND(IFERROR('Company_Master'!A45&lt;&gt;"",FALSE),OR(ISNUMBER(Asset_Operations!B45),ISNUMBER(Asset_Operations!E45),ISNUMBER(Asset_Operations!F45)))),"—",IF(IFERROR(AND(ISNUMBER(Asset_Operations!B45),ISNUMBER(Asset_Operations!E45),ISNUMBER(Asset_Operations!F45),Asset_Operations!B45&gt;0,ABS((Asset_Operations!E45+Asset_Operations!F45)-Asset_Operations!B45)/Asset_Operations!B45&gt;0.02),FALSE),"⚠","✓"))</f>
        <v>⚠</v>
      </c>
      <c r="E48" t="str">
        <f>IF(NOT(AND(IFERROR('Company_Master'!A45&lt;&gt;"",FALSE),ISNUMBER(Asset_Operations!AR45))),"—",IF(IFERROR(AND(ISNUMBER(Asset_Operations!AR45),OR(Asset_Operations!AR45&lt;0.15,Asset_Operations!AR45&gt;0.27)),FALSE),"⚠","✓"))</f>
        <v>✓</v>
      </c>
      <c r="F48" t="str">
        <f>IF(NOT(AND(IFERROR('Company_Master'!A45&lt;&gt;"",FALSE),AND(ISNUMBER(Financials!Q45),ISNUMBER(Financials!R45)))),"—",IF(IFERROR(AND(ISNUMBER(Financials!Q45),ISNUMBER(Financials!R45),ISNUMBER(Financials!S45),ABS((Financials!R45-Financials!Q45)-Financials!S45)/MAX(ABS(Financials!S45),1)&gt;0.05),FALSE),"⚠","✓"))</f>
        <v>✓</v>
      </c>
      <c r="G48" t="str">
        <f>IF(NOT(AND(IFERROR('Company_Master'!A45&lt;&gt;"",FALSE),AND(ISNUMBER(Financials!I45),ISNUMBER(Financials!L45),ISNUMBER(Financials!O45)))),"—",IF(IFERROR(AND(ISNUMBER(Financials!I45),ISNUMBER(Financials!L45),ISNUMBER(Financials!O45),Financials!I45&gt;0,ABS(Financials!I45-(Financials!L45+Financials!O45))/Financials!I45&gt;0.01),FALSE),"⚠","✓"))</f>
        <v>✓</v>
      </c>
      <c r="H48" t="str">
        <f>IF(NOT(AND(IFERROR('Company_Master'!A45&lt;&gt;"",FALSE),AND(ISNUMBER(Financials!E45),ISNUMBER(Financials!F45)))),"—",IF(IFERROR(AND(ISNUMBER(Financials!E45),ISNUMBER(Financials!F45),Financials!E45&lt;Financials!F45),FALSE),"⚠","✓"))</f>
        <v>—</v>
      </c>
      <c r="I48" t="str">
        <f>IF(NOT(AND(IFERROR('Company_Master'!A45&lt;&gt;"",FALSE),AND(ISNUMBER(Financials!C45),ISNUMBER(Financials!E45)))),"—",IF(IFERROR(AND(ISNUMBER(Financials!C45),ISNUMBER(Financials!E45),Financials!C45=0,Financials!E45&gt;0),FALSE),"⚠","✓"))</f>
        <v>—</v>
      </c>
      <c r="J48" t="str">
        <f>IF(NOT(AND(IFERROR('Company_Master'!A45&lt;&gt;"",FALSE),COUNTIF('Raw_Extract'!A:A,'Company_Master'!A45)&gt;0)),"—",IF(COUNTIFS('Raw_Extract'!A:A,'Company_Master'!A45,'Raw_Extract'!J:J,"Low")&gt;0,"⚠","✓"))</f>
        <v>✓</v>
      </c>
      <c r="K48" t="str">
        <f>IF(NOT(AND(IFERROR('Company_Master'!A45&lt;&gt;"",FALSE),AND(ISNUMBER(Financials!E45),ISNUMBER(Financials!AP45)))),"—",IF(IFERROR(AND(ISNUMBER(Financials!E45),ISNUMBER(Financials!AP45),Financials!E45&lt;&gt;0,ABS(Financials!E45-Financials!AP45)/ABS(Financials!E45)&gt;0.05),FALSE),"⚠","✓"))</f>
        <v>—</v>
      </c>
      <c r="L48" t="str">
        <f>IF(NOT(AND(IFERROR('Company_Master'!A45&lt;&gt;"",FALSE),AND(ISNUMBER(Financials!AR45),ISNUMBER(Financials!S45)))),"—",IF(IFERROR(AND(ISNUMBER(Financials!AR45),ISNUMBER(Financials!S45),Financials!S45&lt;&gt;0,ABS(Financials!AR45-Financials!S45)/MAX(ABS(Financials!S45),1)&gt;0.05),FALSE),"⚠","✓"))</f>
        <v>—</v>
      </c>
      <c r="M48" t="str">
        <f>IF(NOT(AND(IFERROR('Company_Master'!A45&lt;&gt;"",FALSE),AND(ISNUMBER(Asset_Operations!BE45),ISNUMBER(Asset_Operations!AR45)))),"—",IF(IFERROR(AND(ISNUMBER(Asset_Operations!BE45),ISNUMBER(Asset_Operations!AR45),ABS(Asset_Operations!BE45-Asset_Operations!AR45)&gt;0.05),FALSE),"⚠","✓"))</f>
        <v>✓</v>
      </c>
      <c r="N48" t="str">
        <f>IF(NOT(AND(IFERROR('Company_Master'!A45&lt;&gt;"",FALSE),ISNUMBER(Financials!C45))),"—",IF(IFERROR(AND(ISNUMBER(Financials!C45),OR(Financials!C45&lt;50,Financials!C45&gt;200000)),FALSE),"⚠","✓"))</f>
        <v>✓</v>
      </c>
      <c r="O48">
        <f t="shared" si="2"/>
        <v>1</v>
      </c>
      <c r="P48">
        <f t="shared" si="3"/>
        <v>7</v>
      </c>
      <c r="Q48" t="str">
        <f>IF(NOT(IFERROR('Company_Master'!A45&lt;&gt;"",FALSE)),"",IF(O48&gt;0,"⚠ "&amp;O48&amp;" issue(s) detected",IF(P48=0,"— No data to validate","✓ All "&amp;P48&amp;" checks passed")))</f>
        <v>⚠ 1 issue(s) detected</v>
      </c>
    </row>
    <row r="49" spans="1:17" x14ac:dyDescent="0.3">
      <c r="A49">
        <v>45</v>
      </c>
      <c r="B49" t="str">
        <f>IFERROR('Company_Master'!A46,"")</f>
        <v>PT Jaya Agra Wattie Tbk</v>
      </c>
      <c r="C49" t="str">
        <f>IF(NOT(AND(IFERROR('Company_Master'!A46&lt;&gt;"",FALSE),OR(ISNUMBER(Asset_Operations!B46),ISNUMBER(Asset_Operations!C46),ISNUMBER(Asset_Operations!D46)))),"—",IF(IFERROR(AND(ISNUMBER(Asset_Operations!B46),ISNUMBER(Asset_Operations!C46),ISNUMBER(Asset_Operations!D46),Asset_Operations!B46&gt;0,ABS((Asset_Operations!C46+Asset_Operations!D46)-Asset_Operations!B46)/Asset_Operations!B46&gt;0.02),FALSE),"⚠","✓"))</f>
        <v>✓</v>
      </c>
      <c r="D49" t="str">
        <f>IF(NOT(AND(IFERROR('Company_Master'!A46&lt;&gt;"",FALSE),OR(ISNUMBER(Asset_Operations!B46),ISNUMBER(Asset_Operations!E46),ISNUMBER(Asset_Operations!F46)))),"—",IF(IFERROR(AND(ISNUMBER(Asset_Operations!B46),ISNUMBER(Asset_Operations!E46),ISNUMBER(Asset_Operations!F46),Asset_Operations!B46&gt;0,ABS((Asset_Operations!E46+Asset_Operations!F46)-Asset_Operations!B46)/Asset_Operations!B46&gt;0.02),FALSE),"⚠","✓"))</f>
        <v>⚠</v>
      </c>
      <c r="E49" t="str">
        <f>IF(NOT(AND(IFERROR('Company_Master'!A46&lt;&gt;"",FALSE),ISNUMBER(Asset_Operations!AR46))),"—",IF(IFERROR(AND(ISNUMBER(Asset_Operations!AR46),OR(Asset_Operations!AR46&lt;0.15,Asset_Operations!AR46&gt;0.27)),FALSE),"⚠","✓"))</f>
        <v>✓</v>
      </c>
      <c r="F49" t="str">
        <f>IF(NOT(AND(IFERROR('Company_Master'!A46&lt;&gt;"",FALSE),AND(ISNUMBER(Financials!Q46),ISNUMBER(Financials!R46)))),"—",IF(IFERROR(AND(ISNUMBER(Financials!Q46),ISNUMBER(Financials!R46),ISNUMBER(Financials!S46),ABS((Financials!R46-Financials!Q46)-Financials!S46)/MAX(ABS(Financials!S46),1)&gt;0.05),FALSE),"⚠","✓"))</f>
        <v>✓</v>
      </c>
      <c r="G49" t="str">
        <f>IF(NOT(AND(IFERROR('Company_Master'!A46&lt;&gt;"",FALSE),AND(ISNUMBER(Financials!I46),ISNUMBER(Financials!L46),ISNUMBER(Financials!O46)))),"—",IF(IFERROR(AND(ISNUMBER(Financials!I46),ISNUMBER(Financials!L46),ISNUMBER(Financials!O46),Financials!I46&gt;0,ABS(Financials!I46-(Financials!L46+Financials!O46))/Financials!I46&gt;0.01),FALSE),"⚠","✓"))</f>
        <v>✓</v>
      </c>
      <c r="H49" t="str">
        <f>IF(NOT(AND(IFERROR('Company_Master'!A46&lt;&gt;"",FALSE),AND(ISNUMBER(Financials!E46),ISNUMBER(Financials!F46)))),"—",IF(IFERROR(AND(ISNUMBER(Financials!E46),ISNUMBER(Financials!F46),Financials!E46&lt;Financials!F46),FALSE),"⚠","✓"))</f>
        <v>—</v>
      </c>
      <c r="I49" t="str">
        <f>IF(NOT(AND(IFERROR('Company_Master'!A46&lt;&gt;"",FALSE),AND(ISNUMBER(Financials!C46),ISNUMBER(Financials!E46)))),"—",IF(IFERROR(AND(ISNUMBER(Financials!C46),ISNUMBER(Financials!E46),Financials!C46=0,Financials!E46&gt;0),FALSE),"⚠","✓"))</f>
        <v>—</v>
      </c>
      <c r="J49" t="str">
        <f>IF(NOT(AND(IFERROR('Company_Master'!A46&lt;&gt;"",FALSE),COUNTIF('Raw_Extract'!A:A,'Company_Master'!A46)&gt;0)),"—",IF(COUNTIFS('Raw_Extract'!A:A,'Company_Master'!A46,'Raw_Extract'!J:J,"Low")&gt;0,"⚠","✓"))</f>
        <v>✓</v>
      </c>
      <c r="K49" t="str">
        <f>IF(NOT(AND(IFERROR('Company_Master'!A46&lt;&gt;"",FALSE),AND(ISNUMBER(Financials!E46),ISNUMBER(Financials!AP46)))),"—",IF(IFERROR(AND(ISNUMBER(Financials!E46),ISNUMBER(Financials!AP46),Financials!E46&lt;&gt;0,ABS(Financials!E46-Financials!AP46)/ABS(Financials!E46)&gt;0.05),FALSE),"⚠","✓"))</f>
        <v>—</v>
      </c>
      <c r="L49" t="str">
        <f>IF(NOT(AND(IFERROR('Company_Master'!A46&lt;&gt;"",FALSE),AND(ISNUMBER(Financials!AR46),ISNUMBER(Financials!S46)))),"—",IF(IFERROR(AND(ISNUMBER(Financials!AR46),ISNUMBER(Financials!S46),Financials!S46&lt;&gt;0,ABS(Financials!AR46-Financials!S46)/MAX(ABS(Financials!S46),1)&gt;0.05),FALSE),"⚠","✓"))</f>
        <v>—</v>
      </c>
      <c r="M49" t="str">
        <f>IF(NOT(AND(IFERROR('Company_Master'!A46&lt;&gt;"",FALSE),AND(ISNUMBER(Asset_Operations!BE46),ISNUMBER(Asset_Operations!AR46)))),"—",IF(IFERROR(AND(ISNUMBER(Asset_Operations!BE46),ISNUMBER(Asset_Operations!AR46),ABS(Asset_Operations!BE46-Asset_Operations!AR46)&gt;0.05),FALSE),"⚠","✓"))</f>
        <v>✓</v>
      </c>
      <c r="N49" t="str">
        <f>IF(NOT(AND(IFERROR('Company_Master'!A46&lt;&gt;"",FALSE),ISNUMBER(Financials!C46))),"—",IF(IFERROR(AND(ISNUMBER(Financials!C46),OR(Financials!C46&lt;50,Financials!C46&gt;200000)),FALSE),"⚠","✓"))</f>
        <v>✓</v>
      </c>
      <c r="O49">
        <f t="shared" si="2"/>
        <v>1</v>
      </c>
      <c r="P49">
        <f t="shared" si="3"/>
        <v>7</v>
      </c>
      <c r="Q49" t="str">
        <f>IF(NOT(IFERROR('Company_Master'!A46&lt;&gt;"",FALSE)),"",IF(O49&gt;0,"⚠ "&amp;O49&amp;" issue(s) detected",IF(P49=0,"— No data to validate","✓ All "&amp;P49&amp;" checks passed")))</f>
        <v>⚠ 1 issue(s) detected</v>
      </c>
    </row>
    <row r="50" spans="1:17" x14ac:dyDescent="0.3">
      <c r="A50">
        <v>46</v>
      </c>
      <c r="B50" t="str">
        <f>IFERROR('Company_Master'!A47,"")</f>
        <v>PT Perusahaan Perkebunan London Sumatra Indonesia Tbk</v>
      </c>
      <c r="C50" t="str">
        <f>IF(NOT(AND(IFERROR('Company_Master'!A47&lt;&gt;"",FALSE),OR(ISNUMBER(Asset_Operations!B47),ISNUMBER(Asset_Operations!C47),ISNUMBER(Asset_Operations!D47)))),"—",IF(IFERROR(AND(ISNUMBER(Asset_Operations!B47),ISNUMBER(Asset_Operations!C47),ISNUMBER(Asset_Operations!D47),Asset_Operations!B47&gt;0,ABS((Asset_Operations!C47+Asset_Operations!D47)-Asset_Operations!B47)/Asset_Operations!B47&gt;0.02),FALSE),"⚠","✓"))</f>
        <v>⚠</v>
      </c>
      <c r="D50" t="str">
        <f>IF(NOT(AND(IFERROR('Company_Master'!A47&lt;&gt;"",FALSE),OR(ISNUMBER(Asset_Operations!B47),ISNUMBER(Asset_Operations!E47),ISNUMBER(Asset_Operations!F47)))),"—",IF(IFERROR(AND(ISNUMBER(Asset_Operations!B47),ISNUMBER(Asset_Operations!E47),ISNUMBER(Asset_Operations!F47),Asset_Operations!B47&gt;0,ABS((Asset_Operations!E47+Asset_Operations!F47)-Asset_Operations!B47)/Asset_Operations!B47&gt;0.02),FALSE),"⚠","✓"))</f>
        <v>✓</v>
      </c>
      <c r="E50" t="str">
        <f>IF(NOT(AND(IFERROR('Company_Master'!A47&lt;&gt;"",FALSE),ISNUMBER(Asset_Operations!AR47))),"—",IF(IFERROR(AND(ISNUMBER(Asset_Operations!AR47),OR(Asset_Operations!AR47&lt;0.15,Asset_Operations!AR47&gt;0.27)),FALSE),"⚠","✓"))</f>
        <v>—</v>
      </c>
      <c r="F50" t="str">
        <f>IF(NOT(AND(IFERROR('Company_Master'!A47&lt;&gt;"",FALSE),AND(ISNUMBER(Financials!Q47),ISNUMBER(Financials!R47)))),"—",IF(IFERROR(AND(ISNUMBER(Financials!Q47),ISNUMBER(Financials!R47),ISNUMBER(Financials!S47),ABS((Financials!R47-Financials!Q47)-Financials!S47)/MAX(ABS(Financials!S47),1)&gt;0.05),FALSE),"⚠","✓"))</f>
        <v>✓</v>
      </c>
      <c r="G50" t="str">
        <f>IF(NOT(AND(IFERROR('Company_Master'!A47&lt;&gt;"",FALSE),AND(ISNUMBER(Financials!I47),ISNUMBER(Financials!L47),ISNUMBER(Financials!O47)))),"—",IF(IFERROR(AND(ISNUMBER(Financials!I47),ISNUMBER(Financials!L47),ISNUMBER(Financials!O47),Financials!I47&gt;0,ABS(Financials!I47-(Financials!L47+Financials!O47))/Financials!I47&gt;0.01),FALSE),"⚠","✓"))</f>
        <v>✓</v>
      </c>
      <c r="H50" t="str">
        <f>IF(NOT(AND(IFERROR('Company_Master'!A47&lt;&gt;"",FALSE),AND(ISNUMBER(Financials!E47),ISNUMBER(Financials!F47)))),"—",IF(IFERROR(AND(ISNUMBER(Financials!E47),ISNUMBER(Financials!F47),Financials!E47&lt;Financials!F47),FALSE),"⚠","✓"))</f>
        <v>✓</v>
      </c>
      <c r="I50" t="str">
        <f>IF(NOT(AND(IFERROR('Company_Master'!A47&lt;&gt;"",FALSE),AND(ISNUMBER(Financials!C47),ISNUMBER(Financials!E47)))),"—",IF(IFERROR(AND(ISNUMBER(Financials!C47),ISNUMBER(Financials!E47),Financials!C47=0,Financials!E47&gt;0),FALSE),"⚠","✓"))</f>
        <v>✓</v>
      </c>
      <c r="J50" t="str">
        <f>IF(NOT(AND(IFERROR('Company_Master'!A47&lt;&gt;"",FALSE),COUNTIF('Raw_Extract'!A:A,'Company_Master'!A47)&gt;0)),"—",IF(COUNTIFS('Raw_Extract'!A:A,'Company_Master'!A47,'Raw_Extract'!J:J,"Low")&gt;0,"⚠","✓"))</f>
        <v>✓</v>
      </c>
      <c r="K50" t="str">
        <f>IF(NOT(AND(IFERROR('Company_Master'!A47&lt;&gt;"",FALSE),AND(ISNUMBER(Financials!E47),ISNUMBER(Financials!AP47)))),"—",IF(IFERROR(AND(ISNUMBER(Financials!E47),ISNUMBER(Financials!AP47),Financials!E47&lt;&gt;0,ABS(Financials!E47-Financials!AP47)/ABS(Financials!E47)&gt;0.05),FALSE),"⚠","✓"))</f>
        <v>⚠</v>
      </c>
      <c r="L50" t="str">
        <f>IF(NOT(AND(IFERROR('Company_Master'!A47&lt;&gt;"",FALSE),AND(ISNUMBER(Financials!AR47),ISNUMBER(Financials!S47)))),"—",IF(IFERROR(AND(ISNUMBER(Financials!AR47),ISNUMBER(Financials!S47),Financials!S47&lt;&gt;0,ABS(Financials!AR47-Financials!S47)/MAX(ABS(Financials!S47),1)&gt;0.05),FALSE),"⚠","✓"))</f>
        <v>✓</v>
      </c>
      <c r="M50" t="str">
        <f>IF(NOT(AND(IFERROR('Company_Master'!A47&lt;&gt;"",FALSE),AND(ISNUMBER(Asset_Operations!BE47),ISNUMBER(Asset_Operations!AR47)))),"—",IF(IFERROR(AND(ISNUMBER(Asset_Operations!BE47),ISNUMBER(Asset_Operations!AR47),ABS(Asset_Operations!BE47-Asset_Operations!AR47)&gt;0.05),FALSE),"⚠","✓"))</f>
        <v>—</v>
      </c>
      <c r="N50" t="str">
        <f>IF(NOT(AND(IFERROR('Company_Master'!A47&lt;&gt;"",FALSE),ISNUMBER(Financials!C47))),"—",IF(IFERROR(AND(ISNUMBER(Financials!C47),OR(Financials!C47&lt;50,Financials!C47&gt;200000)),FALSE),"⚠","✓"))</f>
        <v>✓</v>
      </c>
      <c r="O50">
        <f t="shared" si="2"/>
        <v>2</v>
      </c>
      <c r="P50">
        <f t="shared" si="3"/>
        <v>8</v>
      </c>
      <c r="Q50" t="str">
        <f>IF(NOT(IFERROR('Company_Master'!A47&lt;&gt;"",FALSE)),"",IF(O50&gt;0,"⚠ "&amp;O50&amp;" issue(s) detected",IF(P50=0,"— No data to validate","✓ All "&amp;P50&amp;" checks passed")))</f>
        <v>⚠ 2 issue(s) detected</v>
      </c>
    </row>
    <row r="51" spans="1:17" x14ac:dyDescent="0.3">
      <c r="A51">
        <v>47</v>
      </c>
      <c r="B51" t="str">
        <f>IFERROR('Company_Master'!A48,"")</f>
        <v>PT Perusahaan Perkebunan London Sumatra Indonesia Tbk</v>
      </c>
      <c r="C51" t="str">
        <f>IF(NOT(AND(IFERROR('Company_Master'!A48&lt;&gt;"",FALSE),OR(ISNUMBER(Asset_Operations!B48),ISNUMBER(Asset_Operations!C48),ISNUMBER(Asset_Operations!D48)))),"—",IF(IFERROR(AND(ISNUMBER(Asset_Operations!B48),ISNUMBER(Asset_Operations!C48),ISNUMBER(Asset_Operations!D48),Asset_Operations!B48&gt;0,ABS((Asset_Operations!C48+Asset_Operations!D48)-Asset_Operations!B48)/Asset_Operations!B48&gt;0.02),FALSE),"⚠","✓"))</f>
        <v>⚠</v>
      </c>
      <c r="D51" t="str">
        <f>IF(NOT(AND(IFERROR('Company_Master'!A48&lt;&gt;"",FALSE),OR(ISNUMBER(Asset_Operations!B48),ISNUMBER(Asset_Operations!E48),ISNUMBER(Asset_Operations!F48)))),"—",IF(IFERROR(AND(ISNUMBER(Asset_Operations!B48),ISNUMBER(Asset_Operations!E48),ISNUMBER(Asset_Operations!F48),Asset_Operations!B48&gt;0,ABS((Asset_Operations!E48+Asset_Operations!F48)-Asset_Operations!B48)/Asset_Operations!B48&gt;0.02),FALSE),"⚠","✓"))</f>
        <v>✓</v>
      </c>
      <c r="E51" t="str">
        <f>IF(NOT(AND(IFERROR('Company_Master'!A48&lt;&gt;"",FALSE),ISNUMBER(Asset_Operations!AR48))),"—",IF(IFERROR(AND(ISNUMBER(Asset_Operations!AR48),OR(Asset_Operations!AR48&lt;0.15,Asset_Operations!AR48&gt;0.27)),FALSE),"⚠","✓"))</f>
        <v>—</v>
      </c>
      <c r="F51" t="str">
        <f>IF(NOT(AND(IFERROR('Company_Master'!A48&lt;&gt;"",FALSE),AND(ISNUMBER(Financials!Q48),ISNUMBER(Financials!R48)))),"—",IF(IFERROR(AND(ISNUMBER(Financials!Q48),ISNUMBER(Financials!R48),ISNUMBER(Financials!S48),ABS((Financials!R48-Financials!Q48)-Financials!S48)/MAX(ABS(Financials!S48),1)&gt;0.05),FALSE),"⚠","✓"))</f>
        <v>✓</v>
      </c>
      <c r="G51" t="str">
        <f>IF(NOT(AND(IFERROR('Company_Master'!A48&lt;&gt;"",FALSE),AND(ISNUMBER(Financials!I48),ISNUMBER(Financials!L48),ISNUMBER(Financials!O48)))),"—",IF(IFERROR(AND(ISNUMBER(Financials!I48),ISNUMBER(Financials!L48),ISNUMBER(Financials!O48),Financials!I48&gt;0,ABS(Financials!I48-(Financials!L48+Financials!O48))/Financials!I48&gt;0.01),FALSE),"⚠","✓"))</f>
        <v>✓</v>
      </c>
      <c r="H51" t="str">
        <f>IF(NOT(AND(IFERROR('Company_Master'!A48&lt;&gt;"",FALSE),AND(ISNUMBER(Financials!E48),ISNUMBER(Financials!F48)))),"—",IF(IFERROR(AND(ISNUMBER(Financials!E48),ISNUMBER(Financials!F48),Financials!E48&lt;Financials!F48),FALSE),"⚠","✓"))</f>
        <v>✓</v>
      </c>
      <c r="I51" t="str">
        <f>IF(NOT(AND(IFERROR('Company_Master'!A48&lt;&gt;"",FALSE),AND(ISNUMBER(Financials!C48),ISNUMBER(Financials!E48)))),"—",IF(IFERROR(AND(ISNUMBER(Financials!C48),ISNUMBER(Financials!E48),Financials!C48=0,Financials!E48&gt;0),FALSE),"⚠","✓"))</f>
        <v>✓</v>
      </c>
      <c r="J51" t="str">
        <f>IF(NOT(AND(IFERROR('Company_Master'!A48&lt;&gt;"",FALSE),COUNTIF('Raw_Extract'!A:A,'Company_Master'!A48)&gt;0)),"—",IF(COUNTIFS('Raw_Extract'!A:A,'Company_Master'!A48,'Raw_Extract'!J:J,"Low")&gt;0,"⚠","✓"))</f>
        <v>✓</v>
      </c>
      <c r="K51" t="str">
        <f>IF(NOT(AND(IFERROR('Company_Master'!A48&lt;&gt;"",FALSE),AND(ISNUMBER(Financials!E48),ISNUMBER(Financials!AP48)))),"—",IF(IFERROR(AND(ISNUMBER(Financials!E48),ISNUMBER(Financials!AP48),Financials!E48&lt;&gt;0,ABS(Financials!E48-Financials!AP48)/ABS(Financials!E48)&gt;0.05),FALSE),"⚠","✓"))</f>
        <v>⚠</v>
      </c>
      <c r="L51" t="str">
        <f>IF(NOT(AND(IFERROR('Company_Master'!A48&lt;&gt;"",FALSE),AND(ISNUMBER(Financials!AR48),ISNUMBER(Financials!S48)))),"—",IF(IFERROR(AND(ISNUMBER(Financials!AR48),ISNUMBER(Financials!S48),Financials!S48&lt;&gt;0,ABS(Financials!AR48-Financials!S48)/MAX(ABS(Financials!S48),1)&gt;0.05),FALSE),"⚠","✓"))</f>
        <v>✓</v>
      </c>
      <c r="M51" t="str">
        <f>IF(NOT(AND(IFERROR('Company_Master'!A48&lt;&gt;"",FALSE),AND(ISNUMBER(Asset_Operations!BE48),ISNUMBER(Asset_Operations!AR48)))),"—",IF(IFERROR(AND(ISNUMBER(Asset_Operations!BE48),ISNUMBER(Asset_Operations!AR48),ABS(Asset_Operations!BE48-Asset_Operations!AR48)&gt;0.05),FALSE),"⚠","✓"))</f>
        <v>—</v>
      </c>
      <c r="N51" t="str">
        <f>IF(NOT(AND(IFERROR('Company_Master'!A48&lt;&gt;"",FALSE),ISNUMBER(Financials!C48))),"—",IF(IFERROR(AND(ISNUMBER(Financials!C48),OR(Financials!C48&lt;50,Financials!C48&gt;200000)),FALSE),"⚠","✓"))</f>
        <v>✓</v>
      </c>
      <c r="O51">
        <f t="shared" si="2"/>
        <v>2</v>
      </c>
      <c r="P51">
        <f t="shared" si="3"/>
        <v>8</v>
      </c>
      <c r="Q51" t="str">
        <f>IF(NOT(IFERROR('Company_Master'!A48&lt;&gt;"",FALSE)),"",IF(O51&gt;0,"⚠ "&amp;O51&amp;" issue(s) detected",IF(P51=0,"— No data to validate","✓ All "&amp;P51&amp;" checks passed")))</f>
        <v>⚠ 2 issue(s) detected</v>
      </c>
    </row>
    <row r="52" spans="1:17" x14ac:dyDescent="0.3">
      <c r="A52">
        <v>48</v>
      </c>
      <c r="B52" t="str">
        <f>IFERROR('Company_Master'!A49,"")</f>
        <v>PT Perusahaan Perkebunan London Sumatra Indonesia Tbk</v>
      </c>
      <c r="C52" t="str">
        <f>IF(NOT(AND(IFERROR('Company_Master'!A49&lt;&gt;"",FALSE),OR(ISNUMBER(Asset_Operations!B49),ISNUMBER(Asset_Operations!C49),ISNUMBER(Asset_Operations!D49)))),"—",IF(IFERROR(AND(ISNUMBER(Asset_Operations!B49),ISNUMBER(Asset_Operations!C49),ISNUMBER(Asset_Operations!D49),Asset_Operations!B49&gt;0,ABS((Asset_Operations!C49+Asset_Operations!D49)-Asset_Operations!B49)/Asset_Operations!B49&gt;0.02),FALSE),"⚠","✓"))</f>
        <v>⚠</v>
      </c>
      <c r="D52" t="str">
        <f>IF(NOT(AND(IFERROR('Company_Master'!A49&lt;&gt;"",FALSE),OR(ISNUMBER(Asset_Operations!B49),ISNUMBER(Asset_Operations!E49),ISNUMBER(Asset_Operations!F49)))),"—",IF(IFERROR(AND(ISNUMBER(Asset_Operations!B49),ISNUMBER(Asset_Operations!E49),ISNUMBER(Asset_Operations!F49),Asset_Operations!B49&gt;0,ABS((Asset_Operations!E49+Asset_Operations!F49)-Asset_Operations!B49)/Asset_Operations!B49&gt;0.02),FALSE),"⚠","✓"))</f>
        <v>⚠</v>
      </c>
      <c r="E52" t="str">
        <f>IF(NOT(AND(IFERROR('Company_Master'!A49&lt;&gt;"",FALSE),ISNUMBER(Asset_Operations!AR49))),"—",IF(IFERROR(AND(ISNUMBER(Asset_Operations!AR49),OR(Asset_Operations!AR49&lt;0.15,Asset_Operations!AR49&gt;0.27)),FALSE),"⚠","✓"))</f>
        <v>—</v>
      </c>
      <c r="F52" t="str">
        <f>IF(NOT(AND(IFERROR('Company_Master'!A49&lt;&gt;"",FALSE),AND(ISNUMBER(Financials!Q49),ISNUMBER(Financials!R49)))),"—",IF(IFERROR(AND(ISNUMBER(Financials!Q49),ISNUMBER(Financials!R49),ISNUMBER(Financials!S49),ABS((Financials!R49-Financials!Q49)-Financials!S49)/MAX(ABS(Financials!S49),1)&gt;0.05),FALSE),"⚠","✓"))</f>
        <v>✓</v>
      </c>
      <c r="G52" t="str">
        <f>IF(NOT(AND(IFERROR('Company_Master'!A49&lt;&gt;"",FALSE),AND(ISNUMBER(Financials!I49),ISNUMBER(Financials!L49),ISNUMBER(Financials!O49)))),"—",IF(IFERROR(AND(ISNUMBER(Financials!I49),ISNUMBER(Financials!L49),ISNUMBER(Financials!O49),Financials!I49&gt;0,ABS(Financials!I49-(Financials!L49+Financials!O49))/Financials!I49&gt;0.01),FALSE),"⚠","✓"))</f>
        <v>✓</v>
      </c>
      <c r="H52" t="str">
        <f>IF(NOT(AND(IFERROR('Company_Master'!A49&lt;&gt;"",FALSE),AND(ISNUMBER(Financials!E49),ISNUMBER(Financials!F49)))),"—",IF(IFERROR(AND(ISNUMBER(Financials!E49),ISNUMBER(Financials!F49),Financials!E49&lt;Financials!F49),FALSE),"⚠","✓"))</f>
        <v>✓</v>
      </c>
      <c r="I52" t="str">
        <f>IF(NOT(AND(IFERROR('Company_Master'!A49&lt;&gt;"",FALSE),AND(ISNUMBER(Financials!C49),ISNUMBER(Financials!E49)))),"—",IF(IFERROR(AND(ISNUMBER(Financials!C49),ISNUMBER(Financials!E49),Financials!C49=0,Financials!E49&gt;0),FALSE),"⚠","✓"))</f>
        <v>✓</v>
      </c>
      <c r="J52" t="str">
        <f>IF(NOT(AND(IFERROR('Company_Master'!A49&lt;&gt;"",FALSE),COUNTIF('Raw_Extract'!A:A,'Company_Master'!A49)&gt;0)),"—",IF(COUNTIFS('Raw_Extract'!A:A,'Company_Master'!A49,'Raw_Extract'!J:J,"Low")&gt;0,"⚠","✓"))</f>
        <v>✓</v>
      </c>
      <c r="K52" t="str">
        <f>IF(NOT(AND(IFERROR('Company_Master'!A49&lt;&gt;"",FALSE),AND(ISNUMBER(Financials!E49),ISNUMBER(Financials!AP49)))),"—",IF(IFERROR(AND(ISNUMBER(Financials!E49),ISNUMBER(Financials!AP49),Financials!E49&lt;&gt;0,ABS(Financials!E49-Financials!AP49)/ABS(Financials!E49)&gt;0.05),FALSE),"⚠","✓"))</f>
        <v>⚠</v>
      </c>
      <c r="L52" t="str">
        <f>IF(NOT(AND(IFERROR('Company_Master'!A49&lt;&gt;"",FALSE),AND(ISNUMBER(Financials!AR49),ISNUMBER(Financials!S49)))),"—",IF(IFERROR(AND(ISNUMBER(Financials!AR49),ISNUMBER(Financials!S49),Financials!S49&lt;&gt;0,ABS(Financials!AR49-Financials!S49)/MAX(ABS(Financials!S49),1)&gt;0.05),FALSE),"⚠","✓"))</f>
        <v>✓</v>
      </c>
      <c r="M52" t="str">
        <f>IF(NOT(AND(IFERROR('Company_Master'!A49&lt;&gt;"",FALSE),AND(ISNUMBER(Asset_Operations!BE49),ISNUMBER(Asset_Operations!AR49)))),"—",IF(IFERROR(AND(ISNUMBER(Asset_Operations!BE49),ISNUMBER(Asset_Operations!AR49),ABS(Asset_Operations!BE49-Asset_Operations!AR49)&gt;0.05),FALSE),"⚠","✓"))</f>
        <v>—</v>
      </c>
      <c r="N52" t="str">
        <f>IF(NOT(AND(IFERROR('Company_Master'!A49&lt;&gt;"",FALSE),ISNUMBER(Financials!C49))),"—",IF(IFERROR(AND(ISNUMBER(Financials!C49),OR(Financials!C49&lt;50,Financials!C49&gt;200000)),FALSE),"⚠","✓"))</f>
        <v>✓</v>
      </c>
      <c r="O52">
        <f t="shared" si="2"/>
        <v>3</v>
      </c>
      <c r="P52">
        <f t="shared" si="3"/>
        <v>7</v>
      </c>
      <c r="Q52" t="str">
        <f>IF(NOT(IFERROR('Company_Master'!A49&lt;&gt;"",FALSE)),"",IF(O52&gt;0,"⚠ "&amp;O52&amp;" issue(s) detected",IF(P52=0,"— No data to validate","✓ All "&amp;P52&amp;" checks passed")))</f>
        <v>⚠ 3 issue(s) detected</v>
      </c>
    </row>
    <row r="53" spans="1:17" x14ac:dyDescent="0.3">
      <c r="A53">
        <v>49</v>
      </c>
      <c r="B53" t="str">
        <f>IFERROR('Company_Master'!A50,"")</f>
        <v>PT Multi Agro Gemilang Plantation Tbk</v>
      </c>
      <c r="C53" t="str">
        <f>IF(NOT(AND(IFERROR('Company_Master'!A50&lt;&gt;"",FALSE),OR(ISNUMBER(Asset_Operations!B50),ISNUMBER(Asset_Operations!C50),ISNUMBER(Asset_Operations!D50)))),"—",IF(IFERROR(AND(ISNUMBER(Asset_Operations!B50),ISNUMBER(Asset_Operations!C50),ISNUMBER(Asset_Operations!D50),Asset_Operations!B50&gt;0,ABS((Asset_Operations!C50+Asset_Operations!D50)-Asset_Operations!B50)/Asset_Operations!B50&gt;0.02),FALSE),"⚠","✓"))</f>
        <v>—</v>
      </c>
      <c r="D53" t="str">
        <f>IF(NOT(AND(IFERROR('Company_Master'!A50&lt;&gt;"",FALSE),OR(ISNUMBER(Asset_Operations!B50),ISNUMBER(Asset_Operations!E50),ISNUMBER(Asset_Operations!F50)))),"—",IF(IFERROR(AND(ISNUMBER(Asset_Operations!B50),ISNUMBER(Asset_Operations!E50),ISNUMBER(Asset_Operations!F50),Asset_Operations!B50&gt;0,ABS((Asset_Operations!E50+Asset_Operations!F50)-Asset_Operations!B50)/Asset_Operations!B50&gt;0.02),FALSE),"⚠","✓"))</f>
        <v>—</v>
      </c>
      <c r="E53" t="str">
        <f>IF(NOT(AND(IFERROR('Company_Master'!A50&lt;&gt;"",FALSE),ISNUMBER(Asset_Operations!AR50))),"—",IF(IFERROR(AND(ISNUMBER(Asset_Operations!AR50),OR(Asset_Operations!AR50&lt;0.15,Asset_Operations!AR50&gt;0.27)),FALSE),"⚠","✓"))</f>
        <v>—</v>
      </c>
      <c r="F53" t="str">
        <f>IF(NOT(AND(IFERROR('Company_Master'!A50&lt;&gt;"",FALSE),AND(ISNUMBER(Financials!Q50),ISNUMBER(Financials!R50)))),"—",IF(IFERROR(AND(ISNUMBER(Financials!Q50),ISNUMBER(Financials!R50),ISNUMBER(Financials!S50),ABS((Financials!R50-Financials!Q50)-Financials!S50)/MAX(ABS(Financials!S50),1)&gt;0.05),FALSE),"⚠","✓"))</f>
        <v>✓</v>
      </c>
      <c r="G53" t="str">
        <f>IF(NOT(AND(IFERROR('Company_Master'!A50&lt;&gt;"",FALSE),AND(ISNUMBER(Financials!I50),ISNUMBER(Financials!L50),ISNUMBER(Financials!O50)))),"—",IF(IFERROR(AND(ISNUMBER(Financials!I50),ISNUMBER(Financials!L50),ISNUMBER(Financials!O50),Financials!I50&gt;0,ABS(Financials!I50-(Financials!L50+Financials!O50))/Financials!I50&gt;0.01),FALSE),"⚠","✓"))</f>
        <v>✓</v>
      </c>
      <c r="H53" t="str">
        <f>IF(NOT(AND(IFERROR('Company_Master'!A50&lt;&gt;"",FALSE),AND(ISNUMBER(Financials!E50),ISNUMBER(Financials!F50)))),"—",IF(IFERROR(AND(ISNUMBER(Financials!E50),ISNUMBER(Financials!F50),Financials!E50&lt;Financials!F50),FALSE),"⚠","✓"))</f>
        <v>—</v>
      </c>
      <c r="I53" t="str">
        <f>IF(NOT(AND(IFERROR('Company_Master'!A50&lt;&gt;"",FALSE),AND(ISNUMBER(Financials!C50),ISNUMBER(Financials!E50)))),"—",IF(IFERROR(AND(ISNUMBER(Financials!C50),ISNUMBER(Financials!E50),Financials!C50=0,Financials!E50&gt;0),FALSE),"⚠","✓"))</f>
        <v>—</v>
      </c>
      <c r="J53" t="str">
        <f>IF(NOT(AND(IFERROR('Company_Master'!A50&lt;&gt;"",FALSE),COUNTIF('Raw_Extract'!A:A,'Company_Master'!A50)&gt;0)),"—",IF(COUNTIFS('Raw_Extract'!A:A,'Company_Master'!A50,'Raw_Extract'!J:J,"Low")&gt;0,"⚠","✓"))</f>
        <v>✓</v>
      </c>
      <c r="K53" t="str">
        <f>IF(NOT(AND(IFERROR('Company_Master'!A50&lt;&gt;"",FALSE),AND(ISNUMBER(Financials!E50),ISNUMBER(Financials!AP50)))),"—",IF(IFERROR(AND(ISNUMBER(Financials!E50),ISNUMBER(Financials!AP50),Financials!E50&lt;&gt;0,ABS(Financials!E50-Financials!AP50)/ABS(Financials!E50)&gt;0.05),FALSE),"⚠","✓"))</f>
        <v>—</v>
      </c>
      <c r="L53" t="str">
        <f>IF(NOT(AND(IFERROR('Company_Master'!A50&lt;&gt;"",FALSE),AND(ISNUMBER(Financials!AR50),ISNUMBER(Financials!S50)))),"—",IF(IFERROR(AND(ISNUMBER(Financials!AR50),ISNUMBER(Financials!S50),Financials!S50&lt;&gt;0,ABS(Financials!AR50-Financials!S50)/MAX(ABS(Financials!S50),1)&gt;0.05),FALSE),"⚠","✓"))</f>
        <v>✓</v>
      </c>
      <c r="M53" t="str">
        <f>IF(NOT(AND(IFERROR('Company_Master'!A50&lt;&gt;"",FALSE),AND(ISNUMBER(Asset_Operations!BE50),ISNUMBER(Asset_Operations!AR50)))),"—",IF(IFERROR(AND(ISNUMBER(Asset_Operations!BE50),ISNUMBER(Asset_Operations!AR50),ABS(Asset_Operations!BE50-Asset_Operations!AR50)&gt;0.05),FALSE),"⚠","✓"))</f>
        <v>—</v>
      </c>
      <c r="N53" t="str">
        <f>IF(NOT(AND(IFERROR('Company_Master'!A50&lt;&gt;"",FALSE),ISNUMBER(Financials!C50))),"—",IF(IFERROR(AND(ISNUMBER(Financials!C50),OR(Financials!C50&lt;50,Financials!C50&gt;200000)),FALSE),"⚠","✓"))</f>
        <v>⚠</v>
      </c>
      <c r="O53">
        <f t="shared" si="2"/>
        <v>1</v>
      </c>
      <c r="P53">
        <f t="shared" si="3"/>
        <v>4</v>
      </c>
      <c r="Q53" t="str">
        <f>IF(NOT(IFERROR('Company_Master'!A50&lt;&gt;"",FALSE)),"",IF(O53&gt;0,"⚠ "&amp;O53&amp;" issue(s) detected",IF(P53=0,"— No data to validate","✓ All "&amp;P53&amp;" checks passed")))</f>
        <v>⚠ 1 issue(s) detected</v>
      </c>
    </row>
    <row r="54" spans="1:17" x14ac:dyDescent="0.3">
      <c r="A54">
        <v>50</v>
      </c>
      <c r="B54" t="str">
        <f>IFERROR('Company_Master'!A51,"")</f>
        <v>PT Mahkota Group Tbk</v>
      </c>
      <c r="C54" t="str">
        <f>IF(NOT(AND(IFERROR('Company_Master'!A51&lt;&gt;"",FALSE),OR(ISNUMBER(Asset_Operations!B51),ISNUMBER(Asset_Operations!C51),ISNUMBER(Asset_Operations!D51)))),"—",IF(IFERROR(AND(ISNUMBER(Asset_Operations!B51),ISNUMBER(Asset_Operations!C51),ISNUMBER(Asset_Operations!D51),Asset_Operations!B51&gt;0,ABS((Asset_Operations!C51+Asset_Operations!D51)-Asset_Operations!B51)/Asset_Operations!B51&gt;0.02),FALSE),"⚠","✓"))</f>
        <v>✓</v>
      </c>
      <c r="D54" t="str">
        <f>IF(NOT(AND(IFERROR('Company_Master'!A51&lt;&gt;"",FALSE),OR(ISNUMBER(Asset_Operations!B51),ISNUMBER(Asset_Operations!E51),ISNUMBER(Asset_Operations!F51)))),"—",IF(IFERROR(AND(ISNUMBER(Asset_Operations!B51),ISNUMBER(Asset_Operations!E51),ISNUMBER(Asset_Operations!F51),Asset_Operations!B51&gt;0,ABS((Asset_Operations!E51+Asset_Operations!F51)-Asset_Operations!B51)/Asset_Operations!B51&gt;0.02),FALSE),"⚠","✓"))</f>
        <v>✓</v>
      </c>
      <c r="E54" t="str">
        <f>IF(NOT(AND(IFERROR('Company_Master'!A51&lt;&gt;"",FALSE),ISNUMBER(Asset_Operations!AR51))),"—",IF(IFERROR(AND(ISNUMBER(Asset_Operations!AR51),OR(Asset_Operations!AR51&lt;0.15,Asset_Operations!AR51&gt;0.27)),FALSE),"⚠","✓"))</f>
        <v>✓</v>
      </c>
      <c r="F54" t="str">
        <f>IF(NOT(AND(IFERROR('Company_Master'!A51&lt;&gt;"",FALSE),AND(ISNUMBER(Financials!Q51),ISNUMBER(Financials!R51)))),"—",IF(IFERROR(AND(ISNUMBER(Financials!Q51),ISNUMBER(Financials!R51),ISNUMBER(Financials!S51),ABS((Financials!R51-Financials!Q51)-Financials!S51)/MAX(ABS(Financials!S51),1)&gt;0.05),FALSE),"⚠","✓"))</f>
        <v>✓</v>
      </c>
      <c r="G54" t="str">
        <f>IF(NOT(AND(IFERROR('Company_Master'!A51&lt;&gt;"",FALSE),AND(ISNUMBER(Financials!I51),ISNUMBER(Financials!L51),ISNUMBER(Financials!O51)))),"—",IF(IFERROR(AND(ISNUMBER(Financials!I51),ISNUMBER(Financials!L51),ISNUMBER(Financials!O51),Financials!I51&gt;0,ABS(Financials!I51-(Financials!L51+Financials!O51))/Financials!I51&gt;0.01),FALSE),"⚠","✓"))</f>
        <v>✓</v>
      </c>
      <c r="H54" t="str">
        <f>IF(NOT(AND(IFERROR('Company_Master'!A51&lt;&gt;"",FALSE),AND(ISNUMBER(Financials!E51),ISNUMBER(Financials!F51)))),"—",IF(IFERROR(AND(ISNUMBER(Financials!E51),ISNUMBER(Financials!F51),Financials!E51&lt;Financials!F51),FALSE),"⚠","✓"))</f>
        <v>—</v>
      </c>
      <c r="I54" t="str">
        <f>IF(NOT(AND(IFERROR('Company_Master'!A51&lt;&gt;"",FALSE),AND(ISNUMBER(Financials!C51),ISNUMBER(Financials!E51)))),"—",IF(IFERROR(AND(ISNUMBER(Financials!C51),ISNUMBER(Financials!E51),Financials!C51=0,Financials!E51&gt;0),FALSE),"⚠","✓"))</f>
        <v>—</v>
      </c>
      <c r="J54" t="str">
        <f>IF(NOT(AND(IFERROR('Company_Master'!A51&lt;&gt;"",FALSE),COUNTIF('Raw_Extract'!A:A,'Company_Master'!A51)&gt;0)),"—",IF(COUNTIFS('Raw_Extract'!A:A,'Company_Master'!A51,'Raw_Extract'!J:J,"Low")&gt;0,"⚠","✓"))</f>
        <v>✓</v>
      </c>
      <c r="K54" t="str">
        <f>IF(NOT(AND(IFERROR('Company_Master'!A51&lt;&gt;"",FALSE),AND(ISNUMBER(Financials!E51),ISNUMBER(Financials!AP51)))),"—",IF(IFERROR(AND(ISNUMBER(Financials!E51),ISNUMBER(Financials!AP51),Financials!E51&lt;&gt;0,ABS(Financials!E51-Financials!AP51)/ABS(Financials!E51)&gt;0.05),FALSE),"⚠","✓"))</f>
        <v>—</v>
      </c>
      <c r="L54" t="str">
        <f>IF(NOT(AND(IFERROR('Company_Master'!A51&lt;&gt;"",FALSE),AND(ISNUMBER(Financials!AR51),ISNUMBER(Financials!S51)))),"—",IF(IFERROR(AND(ISNUMBER(Financials!AR51),ISNUMBER(Financials!S51),Financials!S51&lt;&gt;0,ABS(Financials!AR51-Financials!S51)/MAX(ABS(Financials!S51),1)&gt;0.05),FALSE),"⚠","✓"))</f>
        <v>—</v>
      </c>
      <c r="M54" t="str">
        <f>IF(NOT(AND(IFERROR('Company_Master'!A51&lt;&gt;"",FALSE),AND(ISNUMBER(Asset_Operations!BE51),ISNUMBER(Asset_Operations!AR51)))),"—",IF(IFERROR(AND(ISNUMBER(Asset_Operations!BE51),ISNUMBER(Asset_Operations!AR51),ABS(Asset_Operations!BE51-Asset_Operations!AR51)&gt;0.05),FALSE),"⚠","✓"))</f>
        <v>—</v>
      </c>
      <c r="N54" t="str">
        <f>IF(NOT(AND(IFERROR('Company_Master'!A51&lt;&gt;"",FALSE),ISNUMBER(Financials!C51))),"—",IF(IFERROR(AND(ISNUMBER(Financials!C51),OR(Financials!C51&lt;50,Financials!C51&gt;200000)),FALSE),"⚠","✓"))</f>
        <v>✓</v>
      </c>
      <c r="O54">
        <f t="shared" si="2"/>
        <v>0</v>
      </c>
      <c r="P54">
        <f t="shared" si="3"/>
        <v>7</v>
      </c>
      <c r="Q54" t="str">
        <f>IF(NOT(IFERROR('Company_Master'!A51&lt;&gt;"",FALSE)),"",IF(O54&gt;0,"⚠ "&amp;O54&amp;" issue(s) detected",IF(P54=0,"— No data to validate","✓ All "&amp;P54&amp;" checks passed")))</f>
        <v>✓ All 7 checks passed</v>
      </c>
    </row>
    <row r="55" spans="1:17" x14ac:dyDescent="0.3">
      <c r="A55">
        <v>51</v>
      </c>
      <c r="B55" t="str">
        <f>IFERROR('Company_Master'!A52,"")</f>
        <v>PT Mahkota Group Tbk</v>
      </c>
      <c r="C55" t="str">
        <f>IF(NOT(AND(IFERROR('Company_Master'!A52&lt;&gt;"",FALSE),OR(ISNUMBER(Asset_Operations!B52),ISNUMBER(Asset_Operations!C52),ISNUMBER(Asset_Operations!D52)))),"—",IF(IFERROR(AND(ISNUMBER(Asset_Operations!B52),ISNUMBER(Asset_Operations!C52),ISNUMBER(Asset_Operations!D52),Asset_Operations!B52&gt;0,ABS((Asset_Operations!C52+Asset_Operations!D52)-Asset_Operations!B52)/Asset_Operations!B52&gt;0.02),FALSE),"⚠","✓"))</f>
        <v>✓</v>
      </c>
      <c r="D55" t="str">
        <f>IF(NOT(AND(IFERROR('Company_Master'!A52&lt;&gt;"",FALSE),OR(ISNUMBER(Asset_Operations!B52),ISNUMBER(Asset_Operations!E52),ISNUMBER(Asset_Operations!F52)))),"—",IF(IFERROR(AND(ISNUMBER(Asset_Operations!B52),ISNUMBER(Asset_Operations!E52),ISNUMBER(Asset_Operations!F52),Asset_Operations!B52&gt;0,ABS((Asset_Operations!E52+Asset_Operations!F52)-Asset_Operations!B52)/Asset_Operations!B52&gt;0.02),FALSE),"⚠","✓"))</f>
        <v>✓</v>
      </c>
      <c r="E55" t="str">
        <f>IF(NOT(AND(IFERROR('Company_Master'!A52&lt;&gt;"",FALSE),ISNUMBER(Asset_Operations!AR52))),"—",IF(IFERROR(AND(ISNUMBER(Asset_Operations!AR52),OR(Asset_Operations!AR52&lt;0.15,Asset_Operations!AR52&gt;0.27)),FALSE),"⚠","✓"))</f>
        <v>✓</v>
      </c>
      <c r="F55" t="str">
        <f>IF(NOT(AND(IFERROR('Company_Master'!A52&lt;&gt;"",FALSE),AND(ISNUMBER(Financials!Q52),ISNUMBER(Financials!R52)))),"—",IF(IFERROR(AND(ISNUMBER(Financials!Q52),ISNUMBER(Financials!R52),ISNUMBER(Financials!S52),ABS((Financials!R52-Financials!Q52)-Financials!S52)/MAX(ABS(Financials!S52),1)&gt;0.05),FALSE),"⚠","✓"))</f>
        <v>✓</v>
      </c>
      <c r="G55" t="str">
        <f>IF(NOT(AND(IFERROR('Company_Master'!A52&lt;&gt;"",FALSE),AND(ISNUMBER(Financials!I52),ISNUMBER(Financials!L52),ISNUMBER(Financials!O52)))),"—",IF(IFERROR(AND(ISNUMBER(Financials!I52),ISNUMBER(Financials!L52),ISNUMBER(Financials!O52),Financials!I52&gt;0,ABS(Financials!I52-(Financials!L52+Financials!O52))/Financials!I52&gt;0.01),FALSE),"⚠","✓"))</f>
        <v>✓</v>
      </c>
      <c r="H55" t="str">
        <f>IF(NOT(AND(IFERROR('Company_Master'!A52&lt;&gt;"",FALSE),AND(ISNUMBER(Financials!E52),ISNUMBER(Financials!F52)))),"—",IF(IFERROR(AND(ISNUMBER(Financials!E52),ISNUMBER(Financials!F52),Financials!E52&lt;Financials!F52),FALSE),"⚠","✓"))</f>
        <v>—</v>
      </c>
      <c r="I55" t="str">
        <f>IF(NOT(AND(IFERROR('Company_Master'!A52&lt;&gt;"",FALSE),AND(ISNUMBER(Financials!C52),ISNUMBER(Financials!E52)))),"—",IF(IFERROR(AND(ISNUMBER(Financials!C52),ISNUMBER(Financials!E52),Financials!C52=0,Financials!E52&gt;0),FALSE),"⚠","✓"))</f>
        <v>—</v>
      </c>
      <c r="J55" t="str">
        <f>IF(NOT(AND(IFERROR('Company_Master'!A52&lt;&gt;"",FALSE),COUNTIF('Raw_Extract'!A:A,'Company_Master'!A52)&gt;0)),"—",IF(COUNTIFS('Raw_Extract'!A:A,'Company_Master'!A52,'Raw_Extract'!J:J,"Low")&gt;0,"⚠","✓"))</f>
        <v>✓</v>
      </c>
      <c r="K55" t="str">
        <f>IF(NOT(AND(IFERROR('Company_Master'!A52&lt;&gt;"",FALSE),AND(ISNUMBER(Financials!E52),ISNUMBER(Financials!AP52)))),"—",IF(IFERROR(AND(ISNUMBER(Financials!E52),ISNUMBER(Financials!AP52),Financials!E52&lt;&gt;0,ABS(Financials!E52-Financials!AP52)/ABS(Financials!E52)&gt;0.05),FALSE),"⚠","✓"))</f>
        <v>—</v>
      </c>
      <c r="L55" t="str">
        <f>IF(NOT(AND(IFERROR('Company_Master'!A52&lt;&gt;"",FALSE),AND(ISNUMBER(Financials!AR52),ISNUMBER(Financials!S52)))),"—",IF(IFERROR(AND(ISNUMBER(Financials!AR52),ISNUMBER(Financials!S52),Financials!S52&lt;&gt;0,ABS(Financials!AR52-Financials!S52)/MAX(ABS(Financials!S52),1)&gt;0.05),FALSE),"⚠","✓"))</f>
        <v>—</v>
      </c>
      <c r="M55" t="str">
        <f>IF(NOT(AND(IFERROR('Company_Master'!A52&lt;&gt;"",FALSE),AND(ISNUMBER(Asset_Operations!BE52),ISNUMBER(Asset_Operations!AR52)))),"—",IF(IFERROR(AND(ISNUMBER(Asset_Operations!BE52),ISNUMBER(Asset_Operations!AR52),ABS(Asset_Operations!BE52-Asset_Operations!AR52)&gt;0.05),FALSE),"⚠","✓"))</f>
        <v>—</v>
      </c>
      <c r="N55" t="str">
        <f>IF(NOT(AND(IFERROR('Company_Master'!A52&lt;&gt;"",FALSE),ISNUMBER(Financials!C52))),"—",IF(IFERROR(AND(ISNUMBER(Financials!C52),OR(Financials!C52&lt;50,Financials!C52&gt;200000)),FALSE),"⚠","✓"))</f>
        <v>✓</v>
      </c>
      <c r="O55">
        <f t="shared" si="2"/>
        <v>0</v>
      </c>
      <c r="P55">
        <f t="shared" si="3"/>
        <v>7</v>
      </c>
      <c r="Q55" t="str">
        <f>IF(NOT(IFERROR('Company_Master'!A52&lt;&gt;"",FALSE)),"",IF(O55&gt;0,"⚠ "&amp;O55&amp;" issue(s) detected",IF(P55=0,"— No data to validate","✓ All "&amp;P55&amp;" checks passed")))</f>
        <v>✓ All 7 checks passed</v>
      </c>
    </row>
    <row r="56" spans="1:17" x14ac:dyDescent="0.3">
      <c r="A56">
        <v>52</v>
      </c>
      <c r="B56" t="str">
        <f>IFERROR('Company_Master'!A53,"")</f>
        <v>PT Mahkota Group Tbk</v>
      </c>
      <c r="C56" t="str">
        <f>IF(NOT(AND(IFERROR('Company_Master'!A53&lt;&gt;"",FALSE),OR(ISNUMBER(Asset_Operations!B53),ISNUMBER(Asset_Operations!C53),ISNUMBER(Asset_Operations!D53)))),"—",IF(IFERROR(AND(ISNUMBER(Asset_Operations!B53),ISNUMBER(Asset_Operations!C53),ISNUMBER(Asset_Operations!D53),Asset_Operations!B53&gt;0,ABS((Asset_Operations!C53+Asset_Operations!D53)-Asset_Operations!B53)/Asset_Operations!B53&gt;0.02),FALSE),"⚠","✓"))</f>
        <v>✓</v>
      </c>
      <c r="D56" t="str">
        <f>IF(NOT(AND(IFERROR('Company_Master'!A53&lt;&gt;"",FALSE),OR(ISNUMBER(Asset_Operations!B53),ISNUMBER(Asset_Operations!E53),ISNUMBER(Asset_Operations!F53)))),"—",IF(IFERROR(AND(ISNUMBER(Asset_Operations!B53),ISNUMBER(Asset_Operations!E53),ISNUMBER(Asset_Operations!F53),Asset_Operations!B53&gt;0,ABS((Asset_Operations!E53+Asset_Operations!F53)-Asset_Operations!B53)/Asset_Operations!B53&gt;0.02),FALSE),"⚠","✓"))</f>
        <v>✓</v>
      </c>
      <c r="E56" t="str">
        <f>IF(NOT(AND(IFERROR('Company_Master'!A53&lt;&gt;"",FALSE),ISNUMBER(Asset_Operations!AR53))),"—",IF(IFERROR(AND(ISNUMBER(Asset_Operations!AR53),OR(Asset_Operations!AR53&lt;0.15,Asset_Operations!AR53&gt;0.27)),FALSE),"⚠","✓"))</f>
        <v>✓</v>
      </c>
      <c r="F56" t="str">
        <f>IF(NOT(AND(IFERROR('Company_Master'!A53&lt;&gt;"",FALSE),AND(ISNUMBER(Financials!Q53),ISNUMBER(Financials!R53)))),"—",IF(IFERROR(AND(ISNUMBER(Financials!Q53),ISNUMBER(Financials!R53),ISNUMBER(Financials!S53),ABS((Financials!R53-Financials!Q53)-Financials!S53)/MAX(ABS(Financials!S53),1)&gt;0.05),FALSE),"⚠","✓"))</f>
        <v>✓</v>
      </c>
      <c r="G56" t="str">
        <f>IF(NOT(AND(IFERROR('Company_Master'!A53&lt;&gt;"",FALSE),AND(ISNUMBER(Financials!I53),ISNUMBER(Financials!L53),ISNUMBER(Financials!O53)))),"—",IF(IFERROR(AND(ISNUMBER(Financials!I53),ISNUMBER(Financials!L53),ISNUMBER(Financials!O53),Financials!I53&gt;0,ABS(Financials!I53-(Financials!L53+Financials!O53))/Financials!I53&gt;0.01),FALSE),"⚠","✓"))</f>
        <v>✓</v>
      </c>
      <c r="H56" t="str">
        <f>IF(NOT(AND(IFERROR('Company_Master'!A53&lt;&gt;"",FALSE),AND(ISNUMBER(Financials!E53),ISNUMBER(Financials!F53)))),"—",IF(IFERROR(AND(ISNUMBER(Financials!E53),ISNUMBER(Financials!F53),Financials!E53&lt;Financials!F53),FALSE),"⚠","✓"))</f>
        <v>—</v>
      </c>
      <c r="I56" t="str">
        <f>IF(NOT(AND(IFERROR('Company_Master'!A53&lt;&gt;"",FALSE),AND(ISNUMBER(Financials!C53),ISNUMBER(Financials!E53)))),"—",IF(IFERROR(AND(ISNUMBER(Financials!C53),ISNUMBER(Financials!E53),Financials!C53=0,Financials!E53&gt;0),FALSE),"⚠","✓"))</f>
        <v>—</v>
      </c>
      <c r="J56" t="str">
        <f>IF(NOT(AND(IFERROR('Company_Master'!A53&lt;&gt;"",FALSE),COUNTIF('Raw_Extract'!A:A,'Company_Master'!A53)&gt;0)),"—",IF(COUNTIFS('Raw_Extract'!A:A,'Company_Master'!A53,'Raw_Extract'!J:J,"Low")&gt;0,"⚠","✓"))</f>
        <v>✓</v>
      </c>
      <c r="K56" t="str">
        <f>IF(NOT(AND(IFERROR('Company_Master'!A53&lt;&gt;"",FALSE),AND(ISNUMBER(Financials!E53),ISNUMBER(Financials!AP53)))),"—",IF(IFERROR(AND(ISNUMBER(Financials!E53),ISNUMBER(Financials!AP53),Financials!E53&lt;&gt;0,ABS(Financials!E53-Financials!AP53)/ABS(Financials!E53)&gt;0.05),FALSE),"⚠","✓"))</f>
        <v>—</v>
      </c>
      <c r="L56" t="str">
        <f>IF(NOT(AND(IFERROR('Company_Master'!A53&lt;&gt;"",FALSE),AND(ISNUMBER(Financials!AR53),ISNUMBER(Financials!S53)))),"—",IF(IFERROR(AND(ISNUMBER(Financials!AR53),ISNUMBER(Financials!S53),Financials!S53&lt;&gt;0,ABS(Financials!AR53-Financials!S53)/MAX(ABS(Financials!S53),1)&gt;0.05),FALSE),"⚠","✓"))</f>
        <v>—</v>
      </c>
      <c r="M56" t="str">
        <f>IF(NOT(AND(IFERROR('Company_Master'!A53&lt;&gt;"",FALSE),AND(ISNUMBER(Asset_Operations!BE53),ISNUMBER(Asset_Operations!AR53)))),"—",IF(IFERROR(AND(ISNUMBER(Asset_Operations!BE53),ISNUMBER(Asset_Operations!AR53),ABS(Asset_Operations!BE53-Asset_Operations!AR53)&gt;0.05),FALSE),"⚠","✓"))</f>
        <v>—</v>
      </c>
      <c r="N56" t="str">
        <f>IF(NOT(AND(IFERROR('Company_Master'!A53&lt;&gt;"",FALSE),ISNUMBER(Financials!C53))),"—",IF(IFERROR(AND(ISNUMBER(Financials!C53),OR(Financials!C53&lt;50,Financials!C53&gt;200000)),FALSE),"⚠","✓"))</f>
        <v>✓</v>
      </c>
      <c r="O56">
        <f t="shared" si="2"/>
        <v>0</v>
      </c>
      <c r="P56">
        <f t="shared" si="3"/>
        <v>7</v>
      </c>
      <c r="Q56" t="str">
        <f>IF(NOT(IFERROR('Company_Master'!A53&lt;&gt;"",FALSE)),"",IF(O56&gt;0,"⚠ "&amp;O56&amp;" issue(s) detected",IF(P56=0,"— No data to validate","✓ All "&amp;P56&amp;" checks passed")))</f>
        <v>✓ All 7 checks passed</v>
      </c>
    </row>
    <row r="57" spans="1:17" x14ac:dyDescent="0.3">
      <c r="A57">
        <v>53</v>
      </c>
      <c r="B57" t="str">
        <f>IFERROR('Company_Master'!A54,"")</f>
        <v>PT Menthobi Karyatama Raya Tbk</v>
      </c>
      <c r="C57" t="str">
        <f>IF(NOT(AND(IFERROR('Company_Master'!A54&lt;&gt;"",FALSE),OR(ISNUMBER(Asset_Operations!B54),ISNUMBER(Asset_Operations!C54),ISNUMBER(Asset_Operations!D54)))),"—",IF(IFERROR(AND(ISNUMBER(Asset_Operations!B54),ISNUMBER(Asset_Operations!C54),ISNUMBER(Asset_Operations!D54),Asset_Operations!B54&gt;0,ABS((Asset_Operations!C54+Asset_Operations!D54)-Asset_Operations!B54)/Asset_Operations!B54&gt;0.02),FALSE),"⚠","✓"))</f>
        <v>✓</v>
      </c>
      <c r="D57" t="str">
        <f>IF(NOT(AND(IFERROR('Company_Master'!A54&lt;&gt;"",FALSE),OR(ISNUMBER(Asset_Operations!B54),ISNUMBER(Asset_Operations!E54),ISNUMBER(Asset_Operations!F54)))),"—",IF(IFERROR(AND(ISNUMBER(Asset_Operations!B54),ISNUMBER(Asset_Operations!E54),ISNUMBER(Asset_Operations!F54),Asset_Operations!B54&gt;0,ABS((Asset_Operations!E54+Asset_Operations!F54)-Asset_Operations!B54)/Asset_Operations!B54&gt;0.02),FALSE),"⚠","✓"))</f>
        <v>✓</v>
      </c>
      <c r="E57" t="str">
        <f>IF(NOT(AND(IFERROR('Company_Master'!A54&lt;&gt;"",FALSE),ISNUMBER(Asset_Operations!AR54))),"—",IF(IFERROR(AND(ISNUMBER(Asset_Operations!AR54),OR(Asset_Operations!AR54&lt;0.15,Asset_Operations!AR54&gt;0.27)),FALSE),"⚠","✓"))</f>
        <v>✓</v>
      </c>
      <c r="F57" t="str">
        <f>IF(NOT(AND(IFERROR('Company_Master'!A54&lt;&gt;"",FALSE),AND(ISNUMBER(Financials!Q54),ISNUMBER(Financials!R54)))),"—",IF(IFERROR(AND(ISNUMBER(Financials!Q54),ISNUMBER(Financials!R54),ISNUMBER(Financials!S54),ABS((Financials!R54-Financials!Q54)-Financials!S54)/MAX(ABS(Financials!S54),1)&gt;0.05),FALSE),"⚠","✓"))</f>
        <v>✓</v>
      </c>
      <c r="G57" t="str">
        <f>IF(NOT(AND(IFERROR('Company_Master'!A54&lt;&gt;"",FALSE),AND(ISNUMBER(Financials!I54),ISNUMBER(Financials!L54),ISNUMBER(Financials!O54)))),"—",IF(IFERROR(AND(ISNUMBER(Financials!I54),ISNUMBER(Financials!L54),ISNUMBER(Financials!O54),Financials!I54&gt;0,ABS(Financials!I54-(Financials!L54+Financials!O54))/Financials!I54&gt;0.01),FALSE),"⚠","✓"))</f>
        <v>✓</v>
      </c>
      <c r="H57" t="str">
        <f>IF(NOT(AND(IFERROR('Company_Master'!A54&lt;&gt;"",FALSE),AND(ISNUMBER(Financials!E54),ISNUMBER(Financials!F54)))),"—",IF(IFERROR(AND(ISNUMBER(Financials!E54),ISNUMBER(Financials!F54),Financials!E54&lt;Financials!F54),FALSE),"⚠","✓"))</f>
        <v>—</v>
      </c>
      <c r="I57" t="str">
        <f>IF(NOT(AND(IFERROR('Company_Master'!A54&lt;&gt;"",FALSE),AND(ISNUMBER(Financials!C54),ISNUMBER(Financials!E54)))),"—",IF(IFERROR(AND(ISNUMBER(Financials!C54),ISNUMBER(Financials!E54),Financials!C54=0,Financials!E54&gt;0),FALSE),"⚠","✓"))</f>
        <v>—</v>
      </c>
      <c r="J57" t="str">
        <f>IF(NOT(AND(IFERROR('Company_Master'!A54&lt;&gt;"",FALSE),COUNTIF('Raw_Extract'!A:A,'Company_Master'!A54)&gt;0)),"—",IF(COUNTIFS('Raw_Extract'!A:A,'Company_Master'!A54,'Raw_Extract'!J:J,"Low")&gt;0,"⚠","✓"))</f>
        <v>⚠</v>
      </c>
      <c r="K57" t="str">
        <f>IF(NOT(AND(IFERROR('Company_Master'!A54&lt;&gt;"",FALSE),AND(ISNUMBER(Financials!E54),ISNUMBER(Financials!AP54)))),"—",IF(IFERROR(AND(ISNUMBER(Financials!E54),ISNUMBER(Financials!AP54),Financials!E54&lt;&gt;0,ABS(Financials!E54-Financials!AP54)/ABS(Financials!E54)&gt;0.05),FALSE),"⚠","✓"))</f>
        <v>—</v>
      </c>
      <c r="L57" t="str">
        <f>IF(NOT(AND(IFERROR('Company_Master'!A54&lt;&gt;"",FALSE),AND(ISNUMBER(Financials!AR54),ISNUMBER(Financials!S54)))),"—",IF(IFERROR(AND(ISNUMBER(Financials!AR54),ISNUMBER(Financials!S54),Financials!S54&lt;&gt;0,ABS(Financials!AR54-Financials!S54)/MAX(ABS(Financials!S54),1)&gt;0.05),FALSE),"⚠","✓"))</f>
        <v>—</v>
      </c>
      <c r="M57" t="str">
        <f>IF(NOT(AND(IFERROR('Company_Master'!A54&lt;&gt;"",FALSE),AND(ISNUMBER(Asset_Operations!BE54),ISNUMBER(Asset_Operations!AR54)))),"—",IF(IFERROR(AND(ISNUMBER(Asset_Operations!BE54),ISNUMBER(Asset_Operations!AR54),ABS(Asset_Operations!BE54-Asset_Operations!AR54)&gt;0.05),FALSE),"⚠","✓"))</f>
        <v>✓</v>
      </c>
      <c r="N57" t="str">
        <f>IF(NOT(AND(IFERROR('Company_Master'!A54&lt;&gt;"",FALSE),ISNUMBER(Financials!C54))),"—",IF(IFERROR(AND(ISNUMBER(Financials!C54),OR(Financials!C54&lt;50,Financials!C54&gt;200000)),FALSE),"⚠","✓"))</f>
        <v>✓</v>
      </c>
      <c r="O57">
        <f t="shared" si="2"/>
        <v>1</v>
      </c>
      <c r="P57">
        <f t="shared" si="3"/>
        <v>7</v>
      </c>
      <c r="Q57" t="str">
        <f>IF(NOT(IFERROR('Company_Master'!A54&lt;&gt;"",FALSE)),"",IF(O57&gt;0,"⚠ "&amp;O57&amp;" issue(s) detected",IF(P57=0,"— No data to validate","✓ All "&amp;P57&amp;" checks passed")))</f>
        <v>⚠ 1 issue(s) detected</v>
      </c>
    </row>
    <row r="58" spans="1:17" x14ac:dyDescent="0.3">
      <c r="A58">
        <v>54</v>
      </c>
      <c r="B58" t="str">
        <f>IFERROR('Company_Master'!A55,"")</f>
        <v>PT Menthobi Karyatama Raya Tbk</v>
      </c>
      <c r="C58" t="str">
        <f>IF(NOT(AND(IFERROR('Company_Master'!A55&lt;&gt;"",FALSE),OR(ISNUMBER(Asset_Operations!B55),ISNUMBER(Asset_Operations!C55),ISNUMBER(Asset_Operations!D55)))),"—",IF(IFERROR(AND(ISNUMBER(Asset_Operations!B55),ISNUMBER(Asset_Operations!C55),ISNUMBER(Asset_Operations!D55),Asset_Operations!B55&gt;0,ABS((Asset_Operations!C55+Asset_Operations!D55)-Asset_Operations!B55)/Asset_Operations!B55&gt;0.02),FALSE),"⚠","✓"))</f>
        <v>✓</v>
      </c>
      <c r="D58" t="str">
        <f>IF(NOT(AND(IFERROR('Company_Master'!A55&lt;&gt;"",FALSE),OR(ISNUMBER(Asset_Operations!B55),ISNUMBER(Asset_Operations!E55),ISNUMBER(Asset_Operations!F55)))),"—",IF(IFERROR(AND(ISNUMBER(Asset_Operations!B55),ISNUMBER(Asset_Operations!E55),ISNUMBER(Asset_Operations!F55),Asset_Operations!B55&gt;0,ABS((Asset_Operations!E55+Asset_Operations!F55)-Asset_Operations!B55)/Asset_Operations!B55&gt;0.02),FALSE),"⚠","✓"))</f>
        <v>—</v>
      </c>
      <c r="E58" t="str">
        <f>IF(NOT(AND(IFERROR('Company_Master'!A55&lt;&gt;"",FALSE),ISNUMBER(Asset_Operations!AR55))),"—",IF(IFERROR(AND(ISNUMBER(Asset_Operations!AR55),OR(Asset_Operations!AR55&lt;0.15,Asset_Operations!AR55&gt;0.27)),FALSE),"⚠","✓"))</f>
        <v>✓</v>
      </c>
      <c r="F58" t="str">
        <f>IF(NOT(AND(IFERROR('Company_Master'!A55&lt;&gt;"",FALSE),AND(ISNUMBER(Financials!Q55),ISNUMBER(Financials!R55)))),"—",IF(IFERROR(AND(ISNUMBER(Financials!Q55),ISNUMBER(Financials!R55),ISNUMBER(Financials!S55),ABS((Financials!R55-Financials!Q55)-Financials!S55)/MAX(ABS(Financials!S55),1)&gt;0.05),FALSE),"⚠","✓"))</f>
        <v>✓</v>
      </c>
      <c r="G58" t="str">
        <f>IF(NOT(AND(IFERROR('Company_Master'!A55&lt;&gt;"",FALSE),AND(ISNUMBER(Financials!I55),ISNUMBER(Financials!L55),ISNUMBER(Financials!O55)))),"—",IF(IFERROR(AND(ISNUMBER(Financials!I55),ISNUMBER(Financials!L55),ISNUMBER(Financials!O55),Financials!I55&gt;0,ABS(Financials!I55-(Financials!L55+Financials!O55))/Financials!I55&gt;0.01),FALSE),"⚠","✓"))</f>
        <v>✓</v>
      </c>
      <c r="H58" t="str">
        <f>IF(NOT(AND(IFERROR('Company_Master'!A55&lt;&gt;"",FALSE),AND(ISNUMBER(Financials!E55),ISNUMBER(Financials!F55)))),"—",IF(IFERROR(AND(ISNUMBER(Financials!E55),ISNUMBER(Financials!F55),Financials!E55&lt;Financials!F55),FALSE),"⚠","✓"))</f>
        <v>—</v>
      </c>
      <c r="I58" t="str">
        <f>IF(NOT(AND(IFERROR('Company_Master'!A55&lt;&gt;"",FALSE),AND(ISNUMBER(Financials!C55),ISNUMBER(Financials!E55)))),"—",IF(IFERROR(AND(ISNUMBER(Financials!C55),ISNUMBER(Financials!E55),Financials!C55=0,Financials!E55&gt;0),FALSE),"⚠","✓"))</f>
        <v>—</v>
      </c>
      <c r="J58" t="str">
        <f>IF(NOT(AND(IFERROR('Company_Master'!A55&lt;&gt;"",FALSE),COUNTIF('Raw_Extract'!A:A,'Company_Master'!A55)&gt;0)),"—",IF(COUNTIFS('Raw_Extract'!A:A,'Company_Master'!A55,'Raw_Extract'!J:J,"Low")&gt;0,"⚠","✓"))</f>
        <v>⚠</v>
      </c>
      <c r="K58" t="str">
        <f>IF(NOT(AND(IFERROR('Company_Master'!A55&lt;&gt;"",FALSE),AND(ISNUMBER(Financials!E55),ISNUMBER(Financials!AP55)))),"—",IF(IFERROR(AND(ISNUMBER(Financials!E55),ISNUMBER(Financials!AP55),Financials!E55&lt;&gt;0,ABS(Financials!E55-Financials!AP55)/ABS(Financials!E55)&gt;0.05),FALSE),"⚠","✓"))</f>
        <v>—</v>
      </c>
      <c r="L58" t="str">
        <f>IF(NOT(AND(IFERROR('Company_Master'!A55&lt;&gt;"",FALSE),AND(ISNUMBER(Financials!AR55),ISNUMBER(Financials!S55)))),"—",IF(IFERROR(AND(ISNUMBER(Financials!AR55),ISNUMBER(Financials!S55),Financials!S55&lt;&gt;0,ABS(Financials!AR55-Financials!S55)/MAX(ABS(Financials!S55),1)&gt;0.05),FALSE),"⚠","✓"))</f>
        <v>—</v>
      </c>
      <c r="M58" t="str">
        <f>IF(NOT(AND(IFERROR('Company_Master'!A55&lt;&gt;"",FALSE),AND(ISNUMBER(Asset_Operations!BE55),ISNUMBER(Asset_Operations!AR55)))),"—",IF(IFERROR(AND(ISNUMBER(Asset_Operations!BE55),ISNUMBER(Asset_Operations!AR55),ABS(Asset_Operations!BE55-Asset_Operations!AR55)&gt;0.05),FALSE),"⚠","✓"))</f>
        <v>✓</v>
      </c>
      <c r="N58" t="str">
        <f>IF(NOT(AND(IFERROR('Company_Master'!A55&lt;&gt;"",FALSE),ISNUMBER(Financials!C55))),"—",IF(IFERROR(AND(ISNUMBER(Financials!C55),OR(Financials!C55&lt;50,Financials!C55&gt;200000)),FALSE),"⚠","✓"))</f>
        <v>✓</v>
      </c>
      <c r="O58">
        <f t="shared" si="2"/>
        <v>1</v>
      </c>
      <c r="P58">
        <f t="shared" si="3"/>
        <v>6</v>
      </c>
      <c r="Q58" t="str">
        <f>IF(NOT(IFERROR('Company_Master'!A55&lt;&gt;"",FALSE)),"",IF(O58&gt;0,"⚠ "&amp;O58&amp;" issue(s) detected",IF(P58=0,"— No data to validate","✓ All "&amp;P58&amp;" checks passed")))</f>
        <v>⚠ 1 issue(s) detected</v>
      </c>
    </row>
    <row r="59" spans="1:17" x14ac:dyDescent="0.3">
      <c r="A59">
        <v>55</v>
      </c>
      <c r="B59" t="str">
        <f>IFERROR('Company_Master'!A56,"")</f>
        <v>PT Menthobi Karyatama Raya Tbk</v>
      </c>
      <c r="C59" t="str">
        <f>IF(NOT(AND(IFERROR('Company_Master'!A56&lt;&gt;"",FALSE),OR(ISNUMBER(Asset_Operations!B56),ISNUMBER(Asset_Operations!C56),ISNUMBER(Asset_Operations!D56)))),"—",IF(IFERROR(AND(ISNUMBER(Asset_Operations!B56),ISNUMBER(Asset_Operations!C56),ISNUMBER(Asset_Operations!D56),Asset_Operations!B56&gt;0,ABS((Asset_Operations!C56+Asset_Operations!D56)-Asset_Operations!B56)/Asset_Operations!B56&gt;0.02),FALSE),"⚠","✓"))</f>
        <v>✓</v>
      </c>
      <c r="D59" t="str">
        <f>IF(NOT(AND(IFERROR('Company_Master'!A56&lt;&gt;"",FALSE),OR(ISNUMBER(Asset_Operations!B56),ISNUMBER(Asset_Operations!E56),ISNUMBER(Asset_Operations!F56)))),"—",IF(IFERROR(AND(ISNUMBER(Asset_Operations!B56),ISNUMBER(Asset_Operations!E56),ISNUMBER(Asset_Operations!F56),Asset_Operations!B56&gt;0,ABS((Asset_Operations!E56+Asset_Operations!F56)-Asset_Operations!B56)/Asset_Operations!B56&gt;0.02),FALSE),"⚠","✓"))</f>
        <v>✓</v>
      </c>
      <c r="E59" t="str">
        <f>IF(NOT(AND(IFERROR('Company_Master'!A56&lt;&gt;"",FALSE),ISNUMBER(Asset_Operations!AR56))),"—",IF(IFERROR(AND(ISNUMBER(Asset_Operations!AR56),OR(Asset_Operations!AR56&lt;0.15,Asset_Operations!AR56&gt;0.27)),FALSE),"⚠","✓"))</f>
        <v>✓</v>
      </c>
      <c r="F59" t="str">
        <f>IF(NOT(AND(IFERROR('Company_Master'!A56&lt;&gt;"",FALSE),AND(ISNUMBER(Financials!Q56),ISNUMBER(Financials!R56)))),"—",IF(IFERROR(AND(ISNUMBER(Financials!Q56),ISNUMBER(Financials!R56),ISNUMBER(Financials!S56),ABS((Financials!R56-Financials!Q56)-Financials!S56)/MAX(ABS(Financials!S56),1)&gt;0.05),FALSE),"⚠","✓"))</f>
        <v>✓</v>
      </c>
      <c r="G59" t="str">
        <f>IF(NOT(AND(IFERROR('Company_Master'!A56&lt;&gt;"",FALSE),AND(ISNUMBER(Financials!I56),ISNUMBER(Financials!L56),ISNUMBER(Financials!O56)))),"—",IF(IFERROR(AND(ISNUMBER(Financials!I56),ISNUMBER(Financials!L56),ISNUMBER(Financials!O56),Financials!I56&gt;0,ABS(Financials!I56-(Financials!L56+Financials!O56))/Financials!I56&gt;0.01),FALSE),"⚠","✓"))</f>
        <v>✓</v>
      </c>
      <c r="H59" t="str">
        <f>IF(NOT(AND(IFERROR('Company_Master'!A56&lt;&gt;"",FALSE),AND(ISNUMBER(Financials!E56),ISNUMBER(Financials!F56)))),"—",IF(IFERROR(AND(ISNUMBER(Financials!E56),ISNUMBER(Financials!F56),Financials!E56&lt;Financials!F56),FALSE),"⚠","✓"))</f>
        <v>—</v>
      </c>
      <c r="I59" t="str">
        <f>IF(NOT(AND(IFERROR('Company_Master'!A56&lt;&gt;"",FALSE),AND(ISNUMBER(Financials!C56),ISNUMBER(Financials!E56)))),"—",IF(IFERROR(AND(ISNUMBER(Financials!C56),ISNUMBER(Financials!E56),Financials!C56=0,Financials!E56&gt;0),FALSE),"⚠","✓"))</f>
        <v>—</v>
      </c>
      <c r="J59" t="str">
        <f>IF(NOT(AND(IFERROR('Company_Master'!A56&lt;&gt;"",FALSE),COUNTIF('Raw_Extract'!A:A,'Company_Master'!A56)&gt;0)),"—",IF(COUNTIFS('Raw_Extract'!A:A,'Company_Master'!A56,'Raw_Extract'!J:J,"Low")&gt;0,"⚠","✓"))</f>
        <v>⚠</v>
      </c>
      <c r="K59" t="str">
        <f>IF(NOT(AND(IFERROR('Company_Master'!A56&lt;&gt;"",FALSE),AND(ISNUMBER(Financials!E56),ISNUMBER(Financials!AP56)))),"—",IF(IFERROR(AND(ISNUMBER(Financials!E56),ISNUMBER(Financials!AP56),Financials!E56&lt;&gt;0,ABS(Financials!E56-Financials!AP56)/ABS(Financials!E56)&gt;0.05),FALSE),"⚠","✓"))</f>
        <v>—</v>
      </c>
      <c r="L59" t="str">
        <f>IF(NOT(AND(IFERROR('Company_Master'!A56&lt;&gt;"",FALSE),AND(ISNUMBER(Financials!AR56),ISNUMBER(Financials!S56)))),"—",IF(IFERROR(AND(ISNUMBER(Financials!AR56),ISNUMBER(Financials!S56),Financials!S56&lt;&gt;0,ABS(Financials!AR56-Financials!S56)/MAX(ABS(Financials!S56),1)&gt;0.05),FALSE),"⚠","✓"))</f>
        <v>—</v>
      </c>
      <c r="M59" t="str">
        <f>IF(NOT(AND(IFERROR('Company_Master'!A56&lt;&gt;"",FALSE),AND(ISNUMBER(Asset_Operations!BE56),ISNUMBER(Asset_Operations!AR56)))),"—",IF(IFERROR(AND(ISNUMBER(Asset_Operations!BE56),ISNUMBER(Asset_Operations!AR56),ABS(Asset_Operations!BE56-Asset_Operations!AR56)&gt;0.05),FALSE),"⚠","✓"))</f>
        <v>✓</v>
      </c>
      <c r="N59" t="str">
        <f>IF(NOT(AND(IFERROR('Company_Master'!A56&lt;&gt;"",FALSE),ISNUMBER(Financials!C56))),"—",IF(IFERROR(AND(ISNUMBER(Financials!C56),OR(Financials!C56&lt;50,Financials!C56&gt;200000)),FALSE),"⚠","✓"))</f>
        <v>✓</v>
      </c>
      <c r="O59">
        <f t="shared" si="2"/>
        <v>1</v>
      </c>
      <c r="P59">
        <f t="shared" si="3"/>
        <v>7</v>
      </c>
      <c r="Q59" t="str">
        <f>IF(NOT(IFERROR('Company_Master'!A56&lt;&gt;"",FALSE)),"",IF(O59&gt;0,"⚠ "&amp;O59&amp;" issue(s) detected",IF(P59=0,"— No data to validate","✓ All "&amp;P59&amp;" checks passed")))</f>
        <v>⚠ 1 issue(s) detected</v>
      </c>
    </row>
    <row r="60" spans="1:17" x14ac:dyDescent="0.3">
      <c r="A60">
        <v>56</v>
      </c>
      <c r="B60" t="str">
        <f>IFERROR('Company_Master'!A57,"")</f>
        <v>PT Nusantara Sawit Sejahtera Tbk</v>
      </c>
      <c r="C60" t="str">
        <f>IF(NOT(AND(IFERROR('Company_Master'!A57&lt;&gt;"",FALSE),OR(ISNUMBER(Asset_Operations!B57),ISNUMBER(Asset_Operations!C57),ISNUMBER(Asset_Operations!D57)))),"—",IF(IFERROR(AND(ISNUMBER(Asset_Operations!B57),ISNUMBER(Asset_Operations!C57),ISNUMBER(Asset_Operations!D57),Asset_Operations!B57&gt;0,ABS((Asset_Operations!C57+Asset_Operations!D57)-Asset_Operations!B57)/Asset_Operations!B57&gt;0.02),FALSE),"⚠","✓"))</f>
        <v>✓</v>
      </c>
      <c r="D60" t="str">
        <f>IF(NOT(AND(IFERROR('Company_Master'!A57&lt;&gt;"",FALSE),OR(ISNUMBER(Asset_Operations!B57),ISNUMBER(Asset_Operations!E57),ISNUMBER(Asset_Operations!F57)))),"—",IF(IFERROR(AND(ISNUMBER(Asset_Operations!B57),ISNUMBER(Asset_Operations!E57),ISNUMBER(Asset_Operations!F57),Asset_Operations!B57&gt;0,ABS((Asset_Operations!E57+Asset_Operations!F57)-Asset_Operations!B57)/Asset_Operations!B57&gt;0.02),FALSE),"⚠","✓"))</f>
        <v>✓</v>
      </c>
      <c r="E60" t="str">
        <f>IF(NOT(AND(IFERROR('Company_Master'!A57&lt;&gt;"",FALSE),ISNUMBER(Asset_Operations!AR57))),"—",IF(IFERROR(AND(ISNUMBER(Asset_Operations!AR57),OR(Asset_Operations!AR57&lt;0.15,Asset_Operations!AR57&gt;0.27)),FALSE),"⚠","✓"))</f>
        <v>✓</v>
      </c>
      <c r="F60" t="str">
        <f>IF(NOT(AND(IFERROR('Company_Master'!A57&lt;&gt;"",FALSE),AND(ISNUMBER(Financials!Q57),ISNUMBER(Financials!R57)))),"—",IF(IFERROR(AND(ISNUMBER(Financials!Q57),ISNUMBER(Financials!R57),ISNUMBER(Financials!S57),ABS((Financials!R57-Financials!Q57)-Financials!S57)/MAX(ABS(Financials!S57),1)&gt;0.05),FALSE),"⚠","✓"))</f>
        <v>✓</v>
      </c>
      <c r="G60" t="str">
        <f>IF(NOT(AND(IFERROR('Company_Master'!A57&lt;&gt;"",FALSE),AND(ISNUMBER(Financials!I57),ISNUMBER(Financials!L57),ISNUMBER(Financials!O57)))),"—",IF(IFERROR(AND(ISNUMBER(Financials!I57),ISNUMBER(Financials!L57),ISNUMBER(Financials!O57),Financials!I57&gt;0,ABS(Financials!I57-(Financials!L57+Financials!O57))/Financials!I57&gt;0.01),FALSE),"⚠","✓"))</f>
        <v>✓</v>
      </c>
      <c r="H60" t="str">
        <f>IF(NOT(AND(IFERROR('Company_Master'!A57&lt;&gt;"",FALSE),AND(ISNUMBER(Financials!E57),ISNUMBER(Financials!F57)))),"—",IF(IFERROR(AND(ISNUMBER(Financials!E57),ISNUMBER(Financials!F57),Financials!E57&lt;Financials!F57),FALSE),"⚠","✓"))</f>
        <v>—</v>
      </c>
      <c r="I60" t="str">
        <f>IF(NOT(AND(IFERROR('Company_Master'!A57&lt;&gt;"",FALSE),AND(ISNUMBER(Financials!C57),ISNUMBER(Financials!E57)))),"—",IF(IFERROR(AND(ISNUMBER(Financials!C57),ISNUMBER(Financials!E57),Financials!C57=0,Financials!E57&gt;0),FALSE),"⚠","✓"))</f>
        <v>—</v>
      </c>
      <c r="J60" t="str">
        <f>IF(NOT(AND(IFERROR('Company_Master'!A57&lt;&gt;"",FALSE),COUNTIF('Raw_Extract'!A:A,'Company_Master'!A57)&gt;0)),"—",IF(COUNTIFS('Raw_Extract'!A:A,'Company_Master'!A57,'Raw_Extract'!J:J,"Low")&gt;0,"⚠","✓"))</f>
        <v>✓</v>
      </c>
      <c r="K60" t="str">
        <f>IF(NOT(AND(IFERROR('Company_Master'!A57&lt;&gt;"",FALSE),AND(ISNUMBER(Financials!E57),ISNUMBER(Financials!AP57)))),"—",IF(IFERROR(AND(ISNUMBER(Financials!E57),ISNUMBER(Financials!AP57),Financials!E57&lt;&gt;0,ABS(Financials!E57-Financials!AP57)/ABS(Financials!E57)&gt;0.05),FALSE),"⚠","✓"))</f>
        <v>—</v>
      </c>
      <c r="L60" t="str">
        <f>IF(NOT(AND(IFERROR('Company_Master'!A57&lt;&gt;"",FALSE),AND(ISNUMBER(Financials!AR57),ISNUMBER(Financials!S57)))),"—",IF(IFERROR(AND(ISNUMBER(Financials!AR57),ISNUMBER(Financials!S57),Financials!S57&lt;&gt;0,ABS(Financials!AR57-Financials!S57)/MAX(ABS(Financials!S57),1)&gt;0.05),FALSE),"⚠","✓"))</f>
        <v>—</v>
      </c>
      <c r="M60" t="str">
        <f>IF(NOT(AND(IFERROR('Company_Master'!A57&lt;&gt;"",FALSE),AND(ISNUMBER(Asset_Operations!BE57),ISNUMBER(Asset_Operations!AR57)))),"—",IF(IFERROR(AND(ISNUMBER(Asset_Operations!BE57),ISNUMBER(Asset_Operations!AR57),ABS(Asset_Operations!BE57-Asset_Operations!AR57)&gt;0.05),FALSE),"⚠","✓"))</f>
        <v>✓</v>
      </c>
      <c r="N60" t="str">
        <f>IF(NOT(AND(IFERROR('Company_Master'!A57&lt;&gt;"",FALSE),ISNUMBER(Financials!C57))),"—",IF(IFERROR(AND(ISNUMBER(Financials!C57),OR(Financials!C57&lt;50,Financials!C57&gt;200000)),FALSE),"⚠","✓"))</f>
        <v>✓</v>
      </c>
      <c r="O60">
        <f t="shared" si="2"/>
        <v>0</v>
      </c>
      <c r="P60">
        <f t="shared" si="3"/>
        <v>8</v>
      </c>
      <c r="Q60" t="str">
        <f>IF(NOT(IFERROR('Company_Master'!A57&lt;&gt;"",FALSE)),"",IF(O60&gt;0,"⚠ "&amp;O60&amp;" issue(s) detected",IF(P60=0,"— No data to validate","✓ All "&amp;P60&amp;" checks passed")))</f>
        <v>✓ All 8 checks passed</v>
      </c>
    </row>
    <row r="61" spans="1:17" x14ac:dyDescent="0.3">
      <c r="A61">
        <v>57</v>
      </c>
      <c r="B61" t="str">
        <f>IFERROR('Company_Master'!A58,"")</f>
        <v>PT Nusantara Sawit Sejahtera Tbk</v>
      </c>
      <c r="C61" t="str">
        <f>IF(NOT(AND(IFERROR('Company_Master'!A58&lt;&gt;"",FALSE),OR(ISNUMBER(Asset_Operations!B58),ISNUMBER(Asset_Operations!C58),ISNUMBER(Asset_Operations!D58)))),"—",IF(IFERROR(AND(ISNUMBER(Asset_Operations!B58),ISNUMBER(Asset_Operations!C58),ISNUMBER(Asset_Operations!D58),Asset_Operations!B58&gt;0,ABS((Asset_Operations!C58+Asset_Operations!D58)-Asset_Operations!B58)/Asset_Operations!B58&gt;0.02),FALSE),"⚠","✓"))</f>
        <v>✓</v>
      </c>
      <c r="D61" t="str">
        <f>IF(NOT(AND(IFERROR('Company_Master'!A58&lt;&gt;"",FALSE),OR(ISNUMBER(Asset_Operations!B58),ISNUMBER(Asset_Operations!E58),ISNUMBER(Asset_Operations!F58)))),"—",IF(IFERROR(AND(ISNUMBER(Asset_Operations!B58),ISNUMBER(Asset_Operations!E58),ISNUMBER(Asset_Operations!F58),Asset_Operations!B58&gt;0,ABS((Asset_Operations!E58+Asset_Operations!F58)-Asset_Operations!B58)/Asset_Operations!B58&gt;0.02),FALSE),"⚠","✓"))</f>
        <v>✓</v>
      </c>
      <c r="E61" t="str">
        <f>IF(NOT(AND(IFERROR('Company_Master'!A58&lt;&gt;"",FALSE),ISNUMBER(Asset_Operations!AR58))),"—",IF(IFERROR(AND(ISNUMBER(Asset_Operations!AR58),OR(Asset_Operations!AR58&lt;0.15,Asset_Operations!AR58&gt;0.27)),FALSE),"⚠","✓"))</f>
        <v>✓</v>
      </c>
      <c r="F61" t="str">
        <f>IF(NOT(AND(IFERROR('Company_Master'!A58&lt;&gt;"",FALSE),AND(ISNUMBER(Financials!Q58),ISNUMBER(Financials!R58)))),"—",IF(IFERROR(AND(ISNUMBER(Financials!Q58),ISNUMBER(Financials!R58),ISNUMBER(Financials!S58),ABS((Financials!R58-Financials!Q58)-Financials!S58)/MAX(ABS(Financials!S58),1)&gt;0.05),FALSE),"⚠","✓"))</f>
        <v>✓</v>
      </c>
      <c r="G61" t="str">
        <f>IF(NOT(AND(IFERROR('Company_Master'!A58&lt;&gt;"",FALSE),AND(ISNUMBER(Financials!I58),ISNUMBER(Financials!L58),ISNUMBER(Financials!O58)))),"—",IF(IFERROR(AND(ISNUMBER(Financials!I58),ISNUMBER(Financials!L58),ISNUMBER(Financials!O58),Financials!I58&gt;0,ABS(Financials!I58-(Financials!L58+Financials!O58))/Financials!I58&gt;0.01),FALSE),"⚠","✓"))</f>
        <v>✓</v>
      </c>
      <c r="H61" t="str">
        <f>IF(NOT(AND(IFERROR('Company_Master'!A58&lt;&gt;"",FALSE),AND(ISNUMBER(Financials!E58),ISNUMBER(Financials!F58)))),"—",IF(IFERROR(AND(ISNUMBER(Financials!E58),ISNUMBER(Financials!F58),Financials!E58&lt;Financials!F58),FALSE),"⚠","✓"))</f>
        <v>—</v>
      </c>
      <c r="I61" t="str">
        <f>IF(NOT(AND(IFERROR('Company_Master'!A58&lt;&gt;"",FALSE),AND(ISNUMBER(Financials!C58),ISNUMBER(Financials!E58)))),"—",IF(IFERROR(AND(ISNUMBER(Financials!C58),ISNUMBER(Financials!E58),Financials!C58=0,Financials!E58&gt;0),FALSE),"⚠","✓"))</f>
        <v>—</v>
      </c>
      <c r="J61" t="str">
        <f>IF(NOT(AND(IFERROR('Company_Master'!A58&lt;&gt;"",FALSE),COUNTIF('Raw_Extract'!A:A,'Company_Master'!A58)&gt;0)),"—",IF(COUNTIFS('Raw_Extract'!A:A,'Company_Master'!A58,'Raw_Extract'!J:J,"Low")&gt;0,"⚠","✓"))</f>
        <v>✓</v>
      </c>
      <c r="K61" t="str">
        <f>IF(NOT(AND(IFERROR('Company_Master'!A58&lt;&gt;"",FALSE),AND(ISNUMBER(Financials!E58),ISNUMBER(Financials!AP58)))),"—",IF(IFERROR(AND(ISNUMBER(Financials!E58),ISNUMBER(Financials!AP58),Financials!E58&lt;&gt;0,ABS(Financials!E58-Financials!AP58)/ABS(Financials!E58)&gt;0.05),FALSE),"⚠","✓"))</f>
        <v>—</v>
      </c>
      <c r="L61" t="str">
        <f>IF(NOT(AND(IFERROR('Company_Master'!A58&lt;&gt;"",FALSE),AND(ISNUMBER(Financials!AR58),ISNUMBER(Financials!S58)))),"—",IF(IFERROR(AND(ISNUMBER(Financials!AR58),ISNUMBER(Financials!S58),Financials!S58&lt;&gt;0,ABS(Financials!AR58-Financials!S58)/MAX(ABS(Financials!S58),1)&gt;0.05),FALSE),"⚠","✓"))</f>
        <v>—</v>
      </c>
      <c r="M61" t="str">
        <f>IF(NOT(AND(IFERROR('Company_Master'!A58&lt;&gt;"",FALSE),AND(ISNUMBER(Asset_Operations!BE58),ISNUMBER(Asset_Operations!AR58)))),"—",IF(IFERROR(AND(ISNUMBER(Asset_Operations!BE58),ISNUMBER(Asset_Operations!AR58),ABS(Asset_Operations!BE58-Asset_Operations!AR58)&gt;0.05),FALSE),"⚠","✓"))</f>
        <v>✓</v>
      </c>
      <c r="N61" t="str">
        <f>IF(NOT(AND(IFERROR('Company_Master'!A58&lt;&gt;"",FALSE),ISNUMBER(Financials!C58))),"—",IF(IFERROR(AND(ISNUMBER(Financials!C58),OR(Financials!C58&lt;50,Financials!C58&gt;200000)),FALSE),"⚠","✓"))</f>
        <v>✓</v>
      </c>
      <c r="O61">
        <f t="shared" si="2"/>
        <v>0</v>
      </c>
      <c r="P61">
        <f t="shared" si="3"/>
        <v>8</v>
      </c>
      <c r="Q61" t="str">
        <f>IF(NOT(IFERROR('Company_Master'!A58&lt;&gt;"",FALSE)),"",IF(O61&gt;0,"⚠ "&amp;O61&amp;" issue(s) detected",IF(P61=0,"— No data to validate","✓ All "&amp;P61&amp;" checks passed")))</f>
        <v>✓ All 8 checks passed</v>
      </c>
    </row>
    <row r="62" spans="1:17" x14ac:dyDescent="0.3">
      <c r="A62">
        <v>58</v>
      </c>
      <c r="B62" t="str">
        <f>IFERROR('Company_Master'!A59,"")</f>
        <v>PT Nusantara Sawit Sejahtera Tbk</v>
      </c>
      <c r="C62" t="str">
        <f>IF(NOT(AND(IFERROR('Company_Master'!A59&lt;&gt;"",FALSE),OR(ISNUMBER(Asset_Operations!B59),ISNUMBER(Asset_Operations!C59),ISNUMBER(Asset_Operations!D59)))),"—",IF(IFERROR(AND(ISNUMBER(Asset_Operations!B59),ISNUMBER(Asset_Operations!C59),ISNUMBER(Asset_Operations!D59),Asset_Operations!B59&gt;0,ABS((Asset_Operations!C59+Asset_Operations!D59)-Asset_Operations!B59)/Asset_Operations!B59&gt;0.02),FALSE),"⚠","✓"))</f>
        <v>✓</v>
      </c>
      <c r="D62" t="str">
        <f>IF(NOT(AND(IFERROR('Company_Master'!A59&lt;&gt;"",FALSE),OR(ISNUMBER(Asset_Operations!B59),ISNUMBER(Asset_Operations!E59),ISNUMBER(Asset_Operations!F59)))),"—",IF(IFERROR(AND(ISNUMBER(Asset_Operations!B59),ISNUMBER(Asset_Operations!E59),ISNUMBER(Asset_Operations!F59),Asset_Operations!B59&gt;0,ABS((Asset_Operations!E59+Asset_Operations!F59)-Asset_Operations!B59)/Asset_Operations!B59&gt;0.02),FALSE),"⚠","✓"))</f>
        <v>✓</v>
      </c>
      <c r="E62" t="str">
        <f>IF(NOT(AND(IFERROR('Company_Master'!A59&lt;&gt;"",FALSE),ISNUMBER(Asset_Operations!AR59))),"—",IF(IFERROR(AND(ISNUMBER(Asset_Operations!AR59),OR(Asset_Operations!AR59&lt;0.15,Asset_Operations!AR59&gt;0.27)),FALSE),"⚠","✓"))</f>
        <v>✓</v>
      </c>
      <c r="F62" t="str">
        <f>IF(NOT(AND(IFERROR('Company_Master'!A59&lt;&gt;"",FALSE),AND(ISNUMBER(Financials!Q59),ISNUMBER(Financials!R59)))),"—",IF(IFERROR(AND(ISNUMBER(Financials!Q59),ISNUMBER(Financials!R59),ISNUMBER(Financials!S59),ABS((Financials!R59-Financials!Q59)-Financials!S59)/MAX(ABS(Financials!S59),1)&gt;0.05),FALSE),"⚠","✓"))</f>
        <v>—</v>
      </c>
      <c r="G62" t="str">
        <f>IF(NOT(AND(IFERROR('Company_Master'!A59&lt;&gt;"",FALSE),AND(ISNUMBER(Financials!I59),ISNUMBER(Financials!L59),ISNUMBER(Financials!O59)))),"—",IF(IFERROR(AND(ISNUMBER(Financials!I59),ISNUMBER(Financials!L59),ISNUMBER(Financials!O59),Financials!I59&gt;0,ABS(Financials!I59-(Financials!L59+Financials!O59))/Financials!I59&gt;0.01),FALSE),"⚠","✓"))</f>
        <v>✓</v>
      </c>
      <c r="H62" t="str">
        <f>IF(NOT(AND(IFERROR('Company_Master'!A59&lt;&gt;"",FALSE),AND(ISNUMBER(Financials!E59),ISNUMBER(Financials!F59)))),"—",IF(IFERROR(AND(ISNUMBER(Financials!E59),ISNUMBER(Financials!F59),Financials!E59&lt;Financials!F59),FALSE),"⚠","✓"))</f>
        <v>—</v>
      </c>
      <c r="I62" t="str">
        <f>IF(NOT(AND(IFERROR('Company_Master'!A59&lt;&gt;"",FALSE),AND(ISNUMBER(Financials!C59),ISNUMBER(Financials!E59)))),"—",IF(IFERROR(AND(ISNUMBER(Financials!C59),ISNUMBER(Financials!E59),Financials!C59=0,Financials!E59&gt;0),FALSE),"⚠","✓"))</f>
        <v>—</v>
      </c>
      <c r="J62" t="str">
        <f>IF(NOT(AND(IFERROR('Company_Master'!A59&lt;&gt;"",FALSE),COUNTIF('Raw_Extract'!A:A,'Company_Master'!A59)&gt;0)),"—",IF(COUNTIFS('Raw_Extract'!A:A,'Company_Master'!A59,'Raw_Extract'!J:J,"Low")&gt;0,"⚠","✓"))</f>
        <v>✓</v>
      </c>
      <c r="K62" t="str">
        <f>IF(NOT(AND(IFERROR('Company_Master'!A59&lt;&gt;"",FALSE),AND(ISNUMBER(Financials!E59),ISNUMBER(Financials!AP59)))),"—",IF(IFERROR(AND(ISNUMBER(Financials!E59),ISNUMBER(Financials!AP59),Financials!E59&lt;&gt;0,ABS(Financials!E59-Financials!AP59)/ABS(Financials!E59)&gt;0.05),FALSE),"⚠","✓"))</f>
        <v>—</v>
      </c>
      <c r="L62" t="str">
        <f>IF(NOT(AND(IFERROR('Company_Master'!A59&lt;&gt;"",FALSE),AND(ISNUMBER(Financials!AR59),ISNUMBER(Financials!S59)))),"—",IF(IFERROR(AND(ISNUMBER(Financials!AR59),ISNUMBER(Financials!S59),Financials!S59&lt;&gt;0,ABS(Financials!AR59-Financials!S59)/MAX(ABS(Financials!S59),1)&gt;0.05),FALSE),"⚠","✓"))</f>
        <v>—</v>
      </c>
      <c r="M62" t="str">
        <f>IF(NOT(AND(IFERROR('Company_Master'!A59&lt;&gt;"",FALSE),AND(ISNUMBER(Asset_Operations!BE59),ISNUMBER(Asset_Operations!AR59)))),"—",IF(IFERROR(AND(ISNUMBER(Asset_Operations!BE59),ISNUMBER(Asset_Operations!AR59),ABS(Asset_Operations!BE59-Asset_Operations!AR59)&gt;0.05),FALSE),"⚠","✓"))</f>
        <v>✓</v>
      </c>
      <c r="N62" t="str">
        <f>IF(NOT(AND(IFERROR('Company_Master'!A59&lt;&gt;"",FALSE),ISNUMBER(Financials!C59))),"—",IF(IFERROR(AND(ISNUMBER(Financials!C59),OR(Financials!C59&lt;50,Financials!C59&gt;200000)),FALSE),"⚠","✓"))</f>
        <v>✓</v>
      </c>
      <c r="O62">
        <f t="shared" si="2"/>
        <v>0</v>
      </c>
      <c r="P62">
        <f t="shared" si="3"/>
        <v>7</v>
      </c>
      <c r="Q62" t="str">
        <f>IF(NOT(IFERROR('Company_Master'!A59&lt;&gt;"",FALSE)),"",IF(O62&gt;0,"⚠ "&amp;O62&amp;" issue(s) detected",IF(P62=0,"— No data to validate","✓ All "&amp;P62&amp;" checks passed")))</f>
        <v>✓ All 7 checks passed</v>
      </c>
    </row>
    <row r="63" spans="1:17" x14ac:dyDescent="0.3">
      <c r="A63">
        <v>59</v>
      </c>
      <c r="B63" t="str">
        <f>IFERROR('Company_Master'!A60,"")</f>
        <v>PT Indo Oil Perkasa Tbk</v>
      </c>
      <c r="C63" t="str">
        <f>IF(NOT(AND(IFERROR('Company_Master'!A60&lt;&gt;"",FALSE),OR(ISNUMBER(Asset_Operations!B60),ISNUMBER(Asset_Operations!C60),ISNUMBER(Asset_Operations!D60)))),"—",IF(IFERROR(AND(ISNUMBER(Asset_Operations!B60),ISNUMBER(Asset_Operations!C60),ISNUMBER(Asset_Operations!D60),Asset_Operations!B60&gt;0,ABS((Asset_Operations!C60+Asset_Operations!D60)-Asset_Operations!B60)/Asset_Operations!B60&gt;0.02),FALSE),"⚠","✓"))</f>
        <v>—</v>
      </c>
      <c r="D63" t="str">
        <f>IF(NOT(AND(IFERROR('Company_Master'!A60&lt;&gt;"",FALSE),OR(ISNUMBER(Asset_Operations!B60),ISNUMBER(Asset_Operations!E60),ISNUMBER(Asset_Operations!F60)))),"—",IF(IFERROR(AND(ISNUMBER(Asset_Operations!B60),ISNUMBER(Asset_Operations!E60),ISNUMBER(Asset_Operations!F60),Asset_Operations!B60&gt;0,ABS((Asset_Operations!E60+Asset_Operations!F60)-Asset_Operations!B60)/Asset_Operations!B60&gt;0.02),FALSE),"⚠","✓"))</f>
        <v>—</v>
      </c>
      <c r="E63" t="str">
        <f>IF(NOT(AND(IFERROR('Company_Master'!A60&lt;&gt;"",FALSE),ISNUMBER(Asset_Operations!AR60))),"—",IF(IFERROR(AND(ISNUMBER(Asset_Operations!AR60),OR(Asset_Operations!AR60&lt;0.15,Asset_Operations!AR60&gt;0.27)),FALSE),"⚠","✓"))</f>
        <v>—</v>
      </c>
      <c r="F63" t="str">
        <f>IF(NOT(AND(IFERROR('Company_Master'!A60&lt;&gt;"",FALSE),AND(ISNUMBER(Financials!Q60),ISNUMBER(Financials!R60)))),"—",IF(IFERROR(AND(ISNUMBER(Financials!Q60),ISNUMBER(Financials!R60),ISNUMBER(Financials!S60),ABS((Financials!R60-Financials!Q60)-Financials!S60)/MAX(ABS(Financials!S60),1)&gt;0.05),FALSE),"⚠","✓"))</f>
        <v>✓</v>
      </c>
      <c r="G63" t="str">
        <f>IF(NOT(AND(IFERROR('Company_Master'!A60&lt;&gt;"",FALSE),AND(ISNUMBER(Financials!I60),ISNUMBER(Financials!L60),ISNUMBER(Financials!O60)))),"—",IF(IFERROR(AND(ISNUMBER(Financials!I60),ISNUMBER(Financials!L60),ISNUMBER(Financials!O60),Financials!I60&gt;0,ABS(Financials!I60-(Financials!L60+Financials!O60))/Financials!I60&gt;0.01),FALSE),"⚠","✓"))</f>
        <v>✓</v>
      </c>
      <c r="H63" t="str">
        <f>IF(NOT(AND(IFERROR('Company_Master'!A60&lt;&gt;"",FALSE),AND(ISNUMBER(Financials!E60),ISNUMBER(Financials!F60)))),"—",IF(IFERROR(AND(ISNUMBER(Financials!E60),ISNUMBER(Financials!F60),Financials!E60&lt;Financials!F60),FALSE),"⚠","✓"))</f>
        <v>—</v>
      </c>
      <c r="I63" t="str">
        <f>IF(NOT(AND(IFERROR('Company_Master'!A60&lt;&gt;"",FALSE),AND(ISNUMBER(Financials!C60),ISNUMBER(Financials!E60)))),"—",IF(IFERROR(AND(ISNUMBER(Financials!C60),ISNUMBER(Financials!E60),Financials!C60=0,Financials!E60&gt;0),FALSE),"⚠","✓"))</f>
        <v>—</v>
      </c>
      <c r="J63" t="str">
        <f>IF(NOT(AND(IFERROR('Company_Master'!A60&lt;&gt;"",FALSE),COUNTIF('Raw_Extract'!A:A,'Company_Master'!A60)&gt;0)),"—",IF(COUNTIFS('Raw_Extract'!A:A,'Company_Master'!A60,'Raw_Extract'!J:J,"Low")&gt;0,"⚠","✓"))</f>
        <v>✓</v>
      </c>
      <c r="K63" t="str">
        <f>IF(NOT(AND(IFERROR('Company_Master'!A60&lt;&gt;"",FALSE),AND(ISNUMBER(Financials!E60),ISNUMBER(Financials!AP60)))),"—",IF(IFERROR(AND(ISNUMBER(Financials!E60),ISNUMBER(Financials!AP60),Financials!E60&lt;&gt;0,ABS(Financials!E60-Financials!AP60)/ABS(Financials!E60)&gt;0.05),FALSE),"⚠","✓"))</f>
        <v>—</v>
      </c>
      <c r="L63" t="str">
        <f>IF(NOT(AND(IFERROR('Company_Master'!A60&lt;&gt;"",FALSE),AND(ISNUMBER(Financials!AR60),ISNUMBER(Financials!S60)))),"—",IF(IFERROR(AND(ISNUMBER(Financials!AR60),ISNUMBER(Financials!S60),Financials!S60&lt;&gt;0,ABS(Financials!AR60-Financials!S60)/MAX(ABS(Financials!S60),1)&gt;0.05),FALSE),"⚠","✓"))</f>
        <v>—</v>
      </c>
      <c r="M63" t="str">
        <f>IF(NOT(AND(IFERROR('Company_Master'!A60&lt;&gt;"",FALSE),AND(ISNUMBER(Asset_Operations!BE60),ISNUMBER(Asset_Operations!AR60)))),"—",IF(IFERROR(AND(ISNUMBER(Asset_Operations!BE60),ISNUMBER(Asset_Operations!AR60),ABS(Asset_Operations!BE60-Asset_Operations!AR60)&gt;0.05),FALSE),"⚠","✓"))</f>
        <v>—</v>
      </c>
      <c r="N63" t="str">
        <f>IF(NOT(AND(IFERROR('Company_Master'!A60&lt;&gt;"",FALSE),ISNUMBER(Financials!C60))),"—",IF(IFERROR(AND(ISNUMBER(Financials!C60),OR(Financials!C60&lt;50,Financials!C60&gt;200000)),FALSE),"⚠","✓"))</f>
        <v>✓</v>
      </c>
      <c r="O63">
        <f t="shared" si="2"/>
        <v>0</v>
      </c>
      <c r="P63">
        <f t="shared" si="3"/>
        <v>4</v>
      </c>
      <c r="Q63" t="str">
        <f>IF(NOT(IFERROR('Company_Master'!A60&lt;&gt;"",FALSE)),"",IF(O63&gt;0,"⚠ "&amp;O63&amp;" issue(s) detected",IF(P63=0,"— No data to validate","✓ All "&amp;P63&amp;" checks passed")))</f>
        <v>✓ All 4 checks passed</v>
      </c>
    </row>
    <row r="64" spans="1:17" x14ac:dyDescent="0.3">
      <c r="A64">
        <v>60</v>
      </c>
      <c r="B64" t="str">
        <f>IFERROR('Company_Master'!A61,"")</f>
        <v>PT Indo Oil Perkasa Tbk</v>
      </c>
      <c r="C64" t="str">
        <f>IF(NOT(AND(IFERROR('Company_Master'!A61&lt;&gt;"",FALSE),OR(ISNUMBER(Asset_Operations!B61),ISNUMBER(Asset_Operations!C61),ISNUMBER(Asset_Operations!D61)))),"—",IF(IFERROR(AND(ISNUMBER(Asset_Operations!B61),ISNUMBER(Asset_Operations!C61),ISNUMBER(Asset_Operations!D61),Asset_Operations!B61&gt;0,ABS((Asset_Operations!C61+Asset_Operations!D61)-Asset_Operations!B61)/Asset_Operations!B61&gt;0.02),FALSE),"⚠","✓"))</f>
        <v>—</v>
      </c>
      <c r="D64" t="str">
        <f>IF(NOT(AND(IFERROR('Company_Master'!A61&lt;&gt;"",FALSE),OR(ISNUMBER(Asset_Operations!B61),ISNUMBER(Asset_Operations!E61),ISNUMBER(Asset_Operations!F61)))),"—",IF(IFERROR(AND(ISNUMBER(Asset_Operations!B61),ISNUMBER(Asset_Operations!E61),ISNUMBER(Asset_Operations!F61),Asset_Operations!B61&gt;0,ABS((Asset_Operations!E61+Asset_Operations!F61)-Asset_Operations!B61)/Asset_Operations!B61&gt;0.02),FALSE),"⚠","✓"))</f>
        <v>—</v>
      </c>
      <c r="E64" t="str">
        <f>IF(NOT(AND(IFERROR('Company_Master'!A61&lt;&gt;"",FALSE),ISNUMBER(Asset_Operations!AR61))),"—",IF(IFERROR(AND(ISNUMBER(Asset_Operations!AR61),OR(Asset_Operations!AR61&lt;0.15,Asset_Operations!AR61&gt;0.27)),FALSE),"⚠","✓"))</f>
        <v>—</v>
      </c>
      <c r="F64" t="str">
        <f>IF(NOT(AND(IFERROR('Company_Master'!A61&lt;&gt;"",FALSE),AND(ISNUMBER(Financials!Q61),ISNUMBER(Financials!R61)))),"—",IF(IFERROR(AND(ISNUMBER(Financials!Q61),ISNUMBER(Financials!R61),ISNUMBER(Financials!S61),ABS((Financials!R61-Financials!Q61)-Financials!S61)/MAX(ABS(Financials!S61),1)&gt;0.05),FALSE),"⚠","✓"))</f>
        <v>✓</v>
      </c>
      <c r="G64" t="str">
        <f>IF(NOT(AND(IFERROR('Company_Master'!A61&lt;&gt;"",FALSE),AND(ISNUMBER(Financials!I61),ISNUMBER(Financials!L61),ISNUMBER(Financials!O61)))),"—",IF(IFERROR(AND(ISNUMBER(Financials!I61),ISNUMBER(Financials!L61),ISNUMBER(Financials!O61),Financials!I61&gt;0,ABS(Financials!I61-(Financials!L61+Financials!O61))/Financials!I61&gt;0.01),FALSE),"⚠","✓"))</f>
        <v>✓</v>
      </c>
      <c r="H64" t="str">
        <f>IF(NOT(AND(IFERROR('Company_Master'!A61&lt;&gt;"",FALSE),AND(ISNUMBER(Financials!E61),ISNUMBER(Financials!F61)))),"—",IF(IFERROR(AND(ISNUMBER(Financials!E61),ISNUMBER(Financials!F61),Financials!E61&lt;Financials!F61),FALSE),"⚠","✓"))</f>
        <v>—</v>
      </c>
      <c r="I64" t="str">
        <f>IF(NOT(AND(IFERROR('Company_Master'!A61&lt;&gt;"",FALSE),AND(ISNUMBER(Financials!C61),ISNUMBER(Financials!E61)))),"—",IF(IFERROR(AND(ISNUMBER(Financials!C61),ISNUMBER(Financials!E61),Financials!C61=0,Financials!E61&gt;0),FALSE),"⚠","✓"))</f>
        <v>—</v>
      </c>
      <c r="J64" t="str">
        <f>IF(NOT(AND(IFERROR('Company_Master'!A61&lt;&gt;"",FALSE),COUNTIF('Raw_Extract'!A:A,'Company_Master'!A61)&gt;0)),"—",IF(COUNTIFS('Raw_Extract'!A:A,'Company_Master'!A61,'Raw_Extract'!J:J,"Low")&gt;0,"⚠","✓"))</f>
        <v>✓</v>
      </c>
      <c r="K64" t="str">
        <f>IF(NOT(AND(IFERROR('Company_Master'!A61&lt;&gt;"",FALSE),AND(ISNUMBER(Financials!E61),ISNUMBER(Financials!AP61)))),"—",IF(IFERROR(AND(ISNUMBER(Financials!E61),ISNUMBER(Financials!AP61),Financials!E61&lt;&gt;0,ABS(Financials!E61-Financials!AP61)/ABS(Financials!E61)&gt;0.05),FALSE),"⚠","✓"))</f>
        <v>—</v>
      </c>
      <c r="L64" t="str">
        <f>IF(NOT(AND(IFERROR('Company_Master'!A61&lt;&gt;"",FALSE),AND(ISNUMBER(Financials!AR61),ISNUMBER(Financials!S61)))),"—",IF(IFERROR(AND(ISNUMBER(Financials!AR61),ISNUMBER(Financials!S61),Financials!S61&lt;&gt;0,ABS(Financials!AR61-Financials!S61)/MAX(ABS(Financials!S61),1)&gt;0.05),FALSE),"⚠","✓"))</f>
        <v>—</v>
      </c>
      <c r="M64" t="str">
        <f>IF(NOT(AND(IFERROR('Company_Master'!A61&lt;&gt;"",FALSE),AND(ISNUMBER(Asset_Operations!BE61),ISNUMBER(Asset_Operations!AR61)))),"—",IF(IFERROR(AND(ISNUMBER(Asset_Operations!BE61),ISNUMBER(Asset_Operations!AR61),ABS(Asset_Operations!BE61-Asset_Operations!AR61)&gt;0.05),FALSE),"⚠","✓"))</f>
        <v>—</v>
      </c>
      <c r="N64" t="str">
        <f>IF(NOT(AND(IFERROR('Company_Master'!A61&lt;&gt;"",FALSE),ISNUMBER(Financials!C61))),"—",IF(IFERROR(AND(ISNUMBER(Financials!C61),OR(Financials!C61&lt;50,Financials!C61&gt;200000)),FALSE),"⚠","✓"))</f>
        <v>✓</v>
      </c>
      <c r="O64">
        <f t="shared" si="2"/>
        <v>0</v>
      </c>
      <c r="P64">
        <f t="shared" si="3"/>
        <v>4</v>
      </c>
      <c r="Q64" t="str">
        <f>IF(NOT(IFERROR('Company_Master'!A61&lt;&gt;"",FALSE)),"",IF(O64&gt;0,"⚠ "&amp;O64&amp;" issue(s) detected",IF(P64=0,"— No data to validate","✓ All "&amp;P64&amp;" checks passed")))</f>
        <v>✓ All 4 checks passed</v>
      </c>
    </row>
    <row r="65" spans="1:17" x14ac:dyDescent="0.3">
      <c r="A65">
        <v>61</v>
      </c>
      <c r="B65" t="str">
        <f>IFERROR('Company_Master'!A62,"")</f>
        <v>PT Indo Oil Perkasa Tbk</v>
      </c>
      <c r="C65" t="str">
        <f>IF(NOT(AND(IFERROR('Company_Master'!A62&lt;&gt;"",FALSE),OR(ISNUMBER(Asset_Operations!B62),ISNUMBER(Asset_Operations!C62),ISNUMBER(Asset_Operations!D62)))),"—",IF(IFERROR(AND(ISNUMBER(Asset_Operations!B62),ISNUMBER(Asset_Operations!C62),ISNUMBER(Asset_Operations!D62),Asset_Operations!B62&gt;0,ABS((Asset_Operations!C62+Asset_Operations!D62)-Asset_Operations!B62)/Asset_Operations!B62&gt;0.02),FALSE),"⚠","✓"))</f>
        <v>—</v>
      </c>
      <c r="D65" t="str">
        <f>IF(NOT(AND(IFERROR('Company_Master'!A62&lt;&gt;"",FALSE),OR(ISNUMBER(Asset_Operations!B62),ISNUMBER(Asset_Operations!E62),ISNUMBER(Asset_Operations!F62)))),"—",IF(IFERROR(AND(ISNUMBER(Asset_Operations!B62),ISNUMBER(Asset_Operations!E62),ISNUMBER(Asset_Operations!F62),Asset_Operations!B62&gt;0,ABS((Asset_Operations!E62+Asset_Operations!F62)-Asset_Operations!B62)/Asset_Operations!B62&gt;0.02),FALSE),"⚠","✓"))</f>
        <v>—</v>
      </c>
      <c r="E65" t="str">
        <f>IF(NOT(AND(IFERROR('Company_Master'!A62&lt;&gt;"",FALSE),ISNUMBER(Asset_Operations!AR62))),"—",IF(IFERROR(AND(ISNUMBER(Asset_Operations!AR62),OR(Asset_Operations!AR62&lt;0.15,Asset_Operations!AR62&gt;0.27)),FALSE),"⚠","✓"))</f>
        <v>—</v>
      </c>
      <c r="F65" t="str">
        <f>IF(NOT(AND(IFERROR('Company_Master'!A62&lt;&gt;"",FALSE),AND(ISNUMBER(Financials!Q62),ISNUMBER(Financials!R62)))),"—",IF(IFERROR(AND(ISNUMBER(Financials!Q62),ISNUMBER(Financials!R62),ISNUMBER(Financials!S62),ABS((Financials!R62-Financials!Q62)-Financials!S62)/MAX(ABS(Financials!S62),1)&gt;0.05),FALSE),"⚠","✓"))</f>
        <v>✓</v>
      </c>
      <c r="G65" t="str">
        <f>IF(NOT(AND(IFERROR('Company_Master'!A62&lt;&gt;"",FALSE),AND(ISNUMBER(Financials!I62),ISNUMBER(Financials!L62),ISNUMBER(Financials!O62)))),"—",IF(IFERROR(AND(ISNUMBER(Financials!I62),ISNUMBER(Financials!L62),ISNUMBER(Financials!O62),Financials!I62&gt;0,ABS(Financials!I62-(Financials!L62+Financials!O62))/Financials!I62&gt;0.01),FALSE),"⚠","✓"))</f>
        <v>✓</v>
      </c>
      <c r="H65" t="str">
        <f>IF(NOT(AND(IFERROR('Company_Master'!A62&lt;&gt;"",FALSE),AND(ISNUMBER(Financials!E62),ISNUMBER(Financials!F62)))),"—",IF(IFERROR(AND(ISNUMBER(Financials!E62),ISNUMBER(Financials!F62),Financials!E62&lt;Financials!F62),FALSE),"⚠","✓"))</f>
        <v>—</v>
      </c>
      <c r="I65" t="str">
        <f>IF(NOT(AND(IFERROR('Company_Master'!A62&lt;&gt;"",FALSE),AND(ISNUMBER(Financials!C62),ISNUMBER(Financials!E62)))),"—",IF(IFERROR(AND(ISNUMBER(Financials!C62),ISNUMBER(Financials!E62),Financials!C62=0,Financials!E62&gt;0),FALSE),"⚠","✓"))</f>
        <v>—</v>
      </c>
      <c r="J65" t="str">
        <f>IF(NOT(AND(IFERROR('Company_Master'!A62&lt;&gt;"",FALSE),COUNTIF('Raw_Extract'!A:A,'Company_Master'!A62)&gt;0)),"—",IF(COUNTIFS('Raw_Extract'!A:A,'Company_Master'!A62,'Raw_Extract'!J:J,"Low")&gt;0,"⚠","✓"))</f>
        <v>✓</v>
      </c>
      <c r="K65" t="str">
        <f>IF(NOT(AND(IFERROR('Company_Master'!A62&lt;&gt;"",FALSE),AND(ISNUMBER(Financials!E62),ISNUMBER(Financials!AP62)))),"—",IF(IFERROR(AND(ISNUMBER(Financials!E62),ISNUMBER(Financials!AP62),Financials!E62&lt;&gt;0,ABS(Financials!E62-Financials!AP62)/ABS(Financials!E62)&gt;0.05),FALSE),"⚠","✓"))</f>
        <v>—</v>
      </c>
      <c r="L65" t="str">
        <f>IF(NOT(AND(IFERROR('Company_Master'!A62&lt;&gt;"",FALSE),AND(ISNUMBER(Financials!AR62),ISNUMBER(Financials!S62)))),"—",IF(IFERROR(AND(ISNUMBER(Financials!AR62),ISNUMBER(Financials!S62),Financials!S62&lt;&gt;0,ABS(Financials!AR62-Financials!S62)/MAX(ABS(Financials!S62),1)&gt;0.05),FALSE),"⚠","✓"))</f>
        <v>—</v>
      </c>
      <c r="M65" t="str">
        <f>IF(NOT(AND(IFERROR('Company_Master'!A62&lt;&gt;"",FALSE),AND(ISNUMBER(Asset_Operations!BE62),ISNUMBER(Asset_Operations!AR62)))),"—",IF(IFERROR(AND(ISNUMBER(Asset_Operations!BE62),ISNUMBER(Asset_Operations!AR62),ABS(Asset_Operations!BE62-Asset_Operations!AR62)&gt;0.05),FALSE),"⚠","✓"))</f>
        <v>—</v>
      </c>
      <c r="N65" t="str">
        <f>IF(NOT(AND(IFERROR('Company_Master'!A62&lt;&gt;"",FALSE),ISNUMBER(Financials!C62))),"—",IF(IFERROR(AND(ISNUMBER(Financials!C62),OR(Financials!C62&lt;50,Financials!C62&gt;200000)),FALSE),"⚠","✓"))</f>
        <v>✓</v>
      </c>
      <c r="O65">
        <f t="shared" si="2"/>
        <v>0</v>
      </c>
      <c r="P65">
        <f t="shared" si="3"/>
        <v>4</v>
      </c>
      <c r="Q65" t="str">
        <f>IF(NOT(IFERROR('Company_Master'!A62&lt;&gt;"",FALSE)),"",IF(O65&gt;0,"⚠ "&amp;O65&amp;" issue(s) detected",IF(P65=0,"— No data to validate","✓ All "&amp;P65&amp;" checks passed")))</f>
        <v>✓ All 4 checks passed</v>
      </c>
    </row>
    <row r="66" spans="1:17" x14ac:dyDescent="0.3">
      <c r="A66">
        <v>62</v>
      </c>
      <c r="B66" t="str">
        <f>IFERROR('Company_Master'!A63,"")</f>
        <v>PT Pradiksi Gunatama Tbk</v>
      </c>
      <c r="C66" t="str">
        <f>IF(NOT(AND(IFERROR('Company_Master'!A63&lt;&gt;"",FALSE),OR(ISNUMBER(Asset_Operations!B63),ISNUMBER(Asset_Operations!C63),ISNUMBER(Asset_Operations!D63)))),"—",IF(IFERROR(AND(ISNUMBER(Asset_Operations!B63),ISNUMBER(Asset_Operations!C63),ISNUMBER(Asset_Operations!D63),Asset_Operations!B63&gt;0,ABS((Asset_Operations!C63+Asset_Operations!D63)-Asset_Operations!B63)/Asset_Operations!B63&gt;0.02),FALSE),"⚠","✓"))</f>
        <v>✓</v>
      </c>
      <c r="D66" t="str">
        <f>IF(NOT(AND(IFERROR('Company_Master'!A63&lt;&gt;"",FALSE),OR(ISNUMBER(Asset_Operations!B63),ISNUMBER(Asset_Operations!E63),ISNUMBER(Asset_Operations!F63)))),"—",IF(IFERROR(AND(ISNUMBER(Asset_Operations!B63),ISNUMBER(Asset_Operations!E63),ISNUMBER(Asset_Operations!F63),Asset_Operations!B63&gt;0,ABS((Asset_Operations!E63+Asset_Operations!F63)-Asset_Operations!B63)/Asset_Operations!B63&gt;0.02),FALSE),"⚠","✓"))</f>
        <v>⚠</v>
      </c>
      <c r="E66" t="str">
        <f>IF(NOT(AND(IFERROR('Company_Master'!A63&lt;&gt;"",FALSE),ISNUMBER(Asset_Operations!AR63))),"—",IF(IFERROR(AND(ISNUMBER(Asset_Operations!AR63),OR(Asset_Operations!AR63&lt;0.15,Asset_Operations!AR63&gt;0.27)),FALSE),"⚠","✓"))</f>
        <v>—</v>
      </c>
      <c r="F66" t="str">
        <f>IF(NOT(AND(IFERROR('Company_Master'!A63&lt;&gt;"",FALSE),AND(ISNUMBER(Financials!Q63),ISNUMBER(Financials!R63)))),"—",IF(IFERROR(AND(ISNUMBER(Financials!Q63),ISNUMBER(Financials!R63),ISNUMBER(Financials!S63),ABS((Financials!R63-Financials!Q63)-Financials!S63)/MAX(ABS(Financials!S63),1)&gt;0.05),FALSE),"⚠","✓"))</f>
        <v>✓</v>
      </c>
      <c r="G66" t="str">
        <f>IF(NOT(AND(IFERROR('Company_Master'!A63&lt;&gt;"",FALSE),AND(ISNUMBER(Financials!I63),ISNUMBER(Financials!L63),ISNUMBER(Financials!O63)))),"—",IF(IFERROR(AND(ISNUMBER(Financials!I63),ISNUMBER(Financials!L63),ISNUMBER(Financials!O63),Financials!I63&gt;0,ABS(Financials!I63-(Financials!L63+Financials!O63))/Financials!I63&gt;0.01),FALSE),"⚠","✓"))</f>
        <v>✓</v>
      </c>
      <c r="H66" t="str">
        <f>IF(NOT(AND(IFERROR('Company_Master'!A63&lt;&gt;"",FALSE),AND(ISNUMBER(Financials!E63),ISNUMBER(Financials!F63)))),"—",IF(IFERROR(AND(ISNUMBER(Financials!E63),ISNUMBER(Financials!F63),Financials!E63&lt;Financials!F63),FALSE),"⚠","✓"))</f>
        <v>—</v>
      </c>
      <c r="I66" t="str">
        <f>IF(NOT(AND(IFERROR('Company_Master'!A63&lt;&gt;"",FALSE),AND(ISNUMBER(Financials!C63),ISNUMBER(Financials!E63)))),"—",IF(IFERROR(AND(ISNUMBER(Financials!C63),ISNUMBER(Financials!E63),Financials!C63=0,Financials!E63&gt;0),FALSE),"⚠","✓"))</f>
        <v>—</v>
      </c>
      <c r="J66" t="str">
        <f>IF(NOT(AND(IFERROR('Company_Master'!A63&lt;&gt;"",FALSE),COUNTIF('Raw_Extract'!A:A,'Company_Master'!A63)&gt;0)),"—",IF(COUNTIFS('Raw_Extract'!A:A,'Company_Master'!A63,'Raw_Extract'!J:J,"Low")&gt;0,"⚠","✓"))</f>
        <v>⚠</v>
      </c>
      <c r="K66" t="str">
        <f>IF(NOT(AND(IFERROR('Company_Master'!A63&lt;&gt;"",FALSE),AND(ISNUMBER(Financials!E63),ISNUMBER(Financials!AP63)))),"—",IF(IFERROR(AND(ISNUMBER(Financials!E63),ISNUMBER(Financials!AP63),Financials!E63&lt;&gt;0,ABS(Financials!E63-Financials!AP63)/ABS(Financials!E63)&gt;0.05),FALSE),"⚠","✓"))</f>
        <v>—</v>
      </c>
      <c r="L66" t="str">
        <f>IF(NOT(AND(IFERROR('Company_Master'!A63&lt;&gt;"",FALSE),AND(ISNUMBER(Financials!AR63),ISNUMBER(Financials!S63)))),"—",IF(IFERROR(AND(ISNUMBER(Financials!AR63),ISNUMBER(Financials!S63),Financials!S63&lt;&gt;0,ABS(Financials!AR63-Financials!S63)/MAX(ABS(Financials!S63),1)&gt;0.05),FALSE),"⚠","✓"))</f>
        <v>✓</v>
      </c>
      <c r="M66" t="str">
        <f>IF(NOT(AND(IFERROR('Company_Master'!A63&lt;&gt;"",FALSE),AND(ISNUMBER(Asset_Operations!BE63),ISNUMBER(Asset_Operations!AR63)))),"—",IF(IFERROR(AND(ISNUMBER(Asset_Operations!BE63),ISNUMBER(Asset_Operations!AR63),ABS(Asset_Operations!BE63-Asset_Operations!AR63)&gt;0.05),FALSE),"⚠","✓"))</f>
        <v>—</v>
      </c>
      <c r="N66" t="str">
        <f>IF(NOT(AND(IFERROR('Company_Master'!A63&lt;&gt;"",FALSE),ISNUMBER(Financials!C63))),"—",IF(IFERROR(AND(ISNUMBER(Financials!C63),OR(Financials!C63&lt;50,Financials!C63&gt;200000)),FALSE),"⚠","✓"))</f>
        <v>✓</v>
      </c>
      <c r="O66">
        <f t="shared" si="2"/>
        <v>2</v>
      </c>
      <c r="P66">
        <f t="shared" si="3"/>
        <v>5</v>
      </c>
      <c r="Q66" t="str">
        <f>IF(NOT(IFERROR('Company_Master'!A63&lt;&gt;"",FALSE)),"",IF(O66&gt;0,"⚠ "&amp;O66&amp;" issue(s) detected",IF(P66=0,"— No data to validate","✓ All "&amp;P66&amp;" checks passed")))</f>
        <v>⚠ 2 issue(s) detected</v>
      </c>
    </row>
    <row r="67" spans="1:17" x14ac:dyDescent="0.3">
      <c r="A67">
        <v>63</v>
      </c>
      <c r="B67" t="str">
        <f>IFERROR('Company_Master'!A64,"")</f>
        <v>PT Pradiksi Gunatama Tbk</v>
      </c>
      <c r="C67" t="str">
        <f>IF(NOT(AND(IFERROR('Company_Master'!A64&lt;&gt;"",FALSE),OR(ISNUMBER(Asset_Operations!B64),ISNUMBER(Asset_Operations!C64),ISNUMBER(Asset_Operations!D64)))),"—",IF(IFERROR(AND(ISNUMBER(Asset_Operations!B64),ISNUMBER(Asset_Operations!C64),ISNUMBER(Asset_Operations!D64),Asset_Operations!B64&gt;0,ABS((Asset_Operations!C64+Asset_Operations!D64)-Asset_Operations!B64)/Asset_Operations!B64&gt;0.02),FALSE),"⚠","✓"))</f>
        <v>✓</v>
      </c>
      <c r="D67" t="str">
        <f>IF(NOT(AND(IFERROR('Company_Master'!A64&lt;&gt;"",FALSE),OR(ISNUMBER(Asset_Operations!B64),ISNUMBER(Asset_Operations!E64),ISNUMBER(Asset_Operations!F64)))),"—",IF(IFERROR(AND(ISNUMBER(Asset_Operations!B64),ISNUMBER(Asset_Operations!E64),ISNUMBER(Asset_Operations!F64),Asset_Operations!B64&gt;0,ABS((Asset_Operations!E64+Asset_Operations!F64)-Asset_Operations!B64)/Asset_Operations!B64&gt;0.02),FALSE),"⚠","✓"))</f>
        <v>⚠</v>
      </c>
      <c r="E67" t="str">
        <f>IF(NOT(AND(IFERROR('Company_Master'!A64&lt;&gt;"",FALSE),ISNUMBER(Asset_Operations!AR64))),"—",IF(IFERROR(AND(ISNUMBER(Asset_Operations!AR64),OR(Asset_Operations!AR64&lt;0.15,Asset_Operations!AR64&gt;0.27)),FALSE),"⚠","✓"))</f>
        <v>—</v>
      </c>
      <c r="F67" t="str">
        <f>IF(NOT(AND(IFERROR('Company_Master'!A64&lt;&gt;"",FALSE),AND(ISNUMBER(Financials!Q64),ISNUMBER(Financials!R64)))),"—",IF(IFERROR(AND(ISNUMBER(Financials!Q64),ISNUMBER(Financials!R64),ISNUMBER(Financials!S64),ABS((Financials!R64-Financials!Q64)-Financials!S64)/MAX(ABS(Financials!S64),1)&gt;0.05),FALSE),"⚠","✓"))</f>
        <v>✓</v>
      </c>
      <c r="G67" t="str">
        <f>IF(NOT(AND(IFERROR('Company_Master'!A64&lt;&gt;"",FALSE),AND(ISNUMBER(Financials!I64),ISNUMBER(Financials!L64),ISNUMBER(Financials!O64)))),"—",IF(IFERROR(AND(ISNUMBER(Financials!I64),ISNUMBER(Financials!L64),ISNUMBER(Financials!O64),Financials!I64&gt;0,ABS(Financials!I64-(Financials!L64+Financials!O64))/Financials!I64&gt;0.01),FALSE),"⚠","✓"))</f>
        <v>✓</v>
      </c>
      <c r="H67" t="str">
        <f>IF(NOT(AND(IFERROR('Company_Master'!A64&lt;&gt;"",FALSE),AND(ISNUMBER(Financials!E64),ISNUMBER(Financials!F64)))),"—",IF(IFERROR(AND(ISNUMBER(Financials!E64),ISNUMBER(Financials!F64),Financials!E64&lt;Financials!F64),FALSE),"⚠","✓"))</f>
        <v>—</v>
      </c>
      <c r="I67" t="str">
        <f>IF(NOT(AND(IFERROR('Company_Master'!A64&lt;&gt;"",FALSE),AND(ISNUMBER(Financials!C64),ISNUMBER(Financials!E64)))),"—",IF(IFERROR(AND(ISNUMBER(Financials!C64),ISNUMBER(Financials!E64),Financials!C64=0,Financials!E64&gt;0),FALSE),"⚠","✓"))</f>
        <v>—</v>
      </c>
      <c r="J67" t="str">
        <f>IF(NOT(AND(IFERROR('Company_Master'!A64&lt;&gt;"",FALSE),COUNTIF('Raw_Extract'!A:A,'Company_Master'!A64)&gt;0)),"—",IF(COUNTIFS('Raw_Extract'!A:A,'Company_Master'!A64,'Raw_Extract'!J:J,"Low")&gt;0,"⚠","✓"))</f>
        <v>⚠</v>
      </c>
      <c r="K67" t="str">
        <f>IF(NOT(AND(IFERROR('Company_Master'!A64&lt;&gt;"",FALSE),AND(ISNUMBER(Financials!E64),ISNUMBER(Financials!AP64)))),"—",IF(IFERROR(AND(ISNUMBER(Financials!E64),ISNUMBER(Financials!AP64),Financials!E64&lt;&gt;0,ABS(Financials!E64-Financials!AP64)/ABS(Financials!E64)&gt;0.05),FALSE),"⚠","✓"))</f>
        <v>—</v>
      </c>
      <c r="L67" t="str">
        <f>IF(NOT(AND(IFERROR('Company_Master'!A64&lt;&gt;"",FALSE),AND(ISNUMBER(Financials!AR64),ISNUMBER(Financials!S64)))),"—",IF(IFERROR(AND(ISNUMBER(Financials!AR64),ISNUMBER(Financials!S64),Financials!S64&lt;&gt;0,ABS(Financials!AR64-Financials!S64)/MAX(ABS(Financials!S64),1)&gt;0.05),FALSE),"⚠","✓"))</f>
        <v>✓</v>
      </c>
      <c r="M67" t="str">
        <f>IF(NOT(AND(IFERROR('Company_Master'!A64&lt;&gt;"",FALSE),AND(ISNUMBER(Asset_Operations!BE64),ISNUMBER(Asset_Operations!AR64)))),"—",IF(IFERROR(AND(ISNUMBER(Asset_Operations!BE64),ISNUMBER(Asset_Operations!AR64),ABS(Asset_Operations!BE64-Asset_Operations!AR64)&gt;0.05),FALSE),"⚠","✓"))</f>
        <v>—</v>
      </c>
      <c r="N67" t="str">
        <f>IF(NOT(AND(IFERROR('Company_Master'!A64&lt;&gt;"",FALSE),ISNUMBER(Financials!C64))),"—",IF(IFERROR(AND(ISNUMBER(Financials!C64),OR(Financials!C64&lt;50,Financials!C64&gt;200000)),FALSE),"⚠","✓"))</f>
        <v>✓</v>
      </c>
      <c r="O67">
        <f t="shared" si="2"/>
        <v>2</v>
      </c>
      <c r="P67">
        <f t="shared" si="3"/>
        <v>5</v>
      </c>
      <c r="Q67" t="str">
        <f>IF(NOT(IFERROR('Company_Master'!A64&lt;&gt;"",FALSE)),"",IF(O67&gt;0,"⚠ "&amp;O67&amp;" issue(s) detected",IF(P67=0,"— No data to validate","✓ All "&amp;P67&amp;" checks passed")))</f>
        <v>⚠ 2 issue(s) detected</v>
      </c>
    </row>
    <row r="68" spans="1:17" x14ac:dyDescent="0.3">
      <c r="A68">
        <v>64</v>
      </c>
      <c r="B68" t="str">
        <f>IFERROR('Company_Master'!A65,"")</f>
        <v>PT Pradiksi Gunatama Tbk</v>
      </c>
      <c r="C68" t="str">
        <f>IF(NOT(AND(IFERROR('Company_Master'!A65&lt;&gt;"",FALSE),OR(ISNUMBER(Asset_Operations!B65),ISNUMBER(Asset_Operations!C65),ISNUMBER(Asset_Operations!D65)))),"—",IF(IFERROR(AND(ISNUMBER(Asset_Operations!B65),ISNUMBER(Asset_Operations!C65),ISNUMBER(Asset_Operations!D65),Asset_Operations!B65&gt;0,ABS((Asset_Operations!C65+Asset_Operations!D65)-Asset_Operations!B65)/Asset_Operations!B65&gt;0.02),FALSE),"⚠","✓"))</f>
        <v>✓</v>
      </c>
      <c r="D68" t="str">
        <f>IF(NOT(AND(IFERROR('Company_Master'!A65&lt;&gt;"",FALSE),OR(ISNUMBER(Asset_Operations!B65),ISNUMBER(Asset_Operations!E65),ISNUMBER(Asset_Operations!F65)))),"—",IF(IFERROR(AND(ISNUMBER(Asset_Operations!B65),ISNUMBER(Asset_Operations!E65),ISNUMBER(Asset_Operations!F65),Asset_Operations!B65&gt;0,ABS((Asset_Operations!E65+Asset_Operations!F65)-Asset_Operations!B65)/Asset_Operations!B65&gt;0.02),FALSE),"⚠","✓"))</f>
        <v>⚠</v>
      </c>
      <c r="E68" t="str">
        <f>IF(NOT(AND(IFERROR('Company_Master'!A65&lt;&gt;"",FALSE),ISNUMBER(Asset_Operations!AR65))),"—",IF(IFERROR(AND(ISNUMBER(Asset_Operations!AR65),OR(Asset_Operations!AR65&lt;0.15,Asset_Operations!AR65&gt;0.27)),FALSE),"⚠","✓"))</f>
        <v>—</v>
      </c>
      <c r="F68" t="str">
        <f>IF(NOT(AND(IFERROR('Company_Master'!A65&lt;&gt;"",FALSE),AND(ISNUMBER(Financials!Q65),ISNUMBER(Financials!R65)))),"—",IF(IFERROR(AND(ISNUMBER(Financials!Q65),ISNUMBER(Financials!R65),ISNUMBER(Financials!S65),ABS((Financials!R65-Financials!Q65)-Financials!S65)/MAX(ABS(Financials!S65),1)&gt;0.05),FALSE),"⚠","✓"))</f>
        <v>✓</v>
      </c>
      <c r="G68" t="str">
        <f>IF(NOT(AND(IFERROR('Company_Master'!A65&lt;&gt;"",FALSE),AND(ISNUMBER(Financials!I65),ISNUMBER(Financials!L65),ISNUMBER(Financials!O65)))),"—",IF(IFERROR(AND(ISNUMBER(Financials!I65),ISNUMBER(Financials!L65),ISNUMBER(Financials!O65),Financials!I65&gt;0,ABS(Financials!I65-(Financials!L65+Financials!O65))/Financials!I65&gt;0.01),FALSE),"⚠","✓"))</f>
        <v>✓</v>
      </c>
      <c r="H68" t="str">
        <f>IF(NOT(AND(IFERROR('Company_Master'!A65&lt;&gt;"",FALSE),AND(ISNUMBER(Financials!E65),ISNUMBER(Financials!F65)))),"—",IF(IFERROR(AND(ISNUMBER(Financials!E65),ISNUMBER(Financials!F65),Financials!E65&lt;Financials!F65),FALSE),"⚠","✓"))</f>
        <v>—</v>
      </c>
      <c r="I68" t="str">
        <f>IF(NOT(AND(IFERROR('Company_Master'!A65&lt;&gt;"",FALSE),AND(ISNUMBER(Financials!C65),ISNUMBER(Financials!E65)))),"—",IF(IFERROR(AND(ISNUMBER(Financials!C65),ISNUMBER(Financials!E65),Financials!C65=0,Financials!E65&gt;0),FALSE),"⚠","✓"))</f>
        <v>—</v>
      </c>
      <c r="J68" t="str">
        <f>IF(NOT(AND(IFERROR('Company_Master'!A65&lt;&gt;"",FALSE),COUNTIF('Raw_Extract'!A:A,'Company_Master'!A65)&gt;0)),"—",IF(COUNTIFS('Raw_Extract'!A:A,'Company_Master'!A65,'Raw_Extract'!J:J,"Low")&gt;0,"⚠","✓"))</f>
        <v>⚠</v>
      </c>
      <c r="K68" t="str">
        <f>IF(NOT(AND(IFERROR('Company_Master'!A65&lt;&gt;"",FALSE),AND(ISNUMBER(Financials!E65),ISNUMBER(Financials!AP65)))),"—",IF(IFERROR(AND(ISNUMBER(Financials!E65),ISNUMBER(Financials!AP65),Financials!E65&lt;&gt;0,ABS(Financials!E65-Financials!AP65)/ABS(Financials!E65)&gt;0.05),FALSE),"⚠","✓"))</f>
        <v>—</v>
      </c>
      <c r="L68" t="str">
        <f>IF(NOT(AND(IFERROR('Company_Master'!A65&lt;&gt;"",FALSE),AND(ISNUMBER(Financials!AR65),ISNUMBER(Financials!S65)))),"—",IF(IFERROR(AND(ISNUMBER(Financials!AR65),ISNUMBER(Financials!S65),Financials!S65&lt;&gt;0,ABS(Financials!AR65-Financials!S65)/MAX(ABS(Financials!S65),1)&gt;0.05),FALSE),"⚠","✓"))</f>
        <v>✓</v>
      </c>
      <c r="M68" t="str">
        <f>IF(NOT(AND(IFERROR('Company_Master'!A65&lt;&gt;"",FALSE),AND(ISNUMBER(Asset_Operations!BE65),ISNUMBER(Asset_Operations!AR65)))),"—",IF(IFERROR(AND(ISNUMBER(Asset_Operations!BE65),ISNUMBER(Asset_Operations!AR65),ABS(Asset_Operations!BE65-Asset_Operations!AR65)&gt;0.05),FALSE),"⚠","✓"))</f>
        <v>—</v>
      </c>
      <c r="N68" t="str">
        <f>IF(NOT(AND(IFERROR('Company_Master'!A65&lt;&gt;"",FALSE),ISNUMBER(Financials!C65))),"—",IF(IFERROR(AND(ISNUMBER(Financials!C65),OR(Financials!C65&lt;50,Financials!C65&gt;200000)),FALSE),"⚠","✓"))</f>
        <v>✓</v>
      </c>
      <c r="O68">
        <f t="shared" si="2"/>
        <v>2</v>
      </c>
      <c r="P68">
        <f t="shared" si="3"/>
        <v>5</v>
      </c>
      <c r="Q68" t="str">
        <f>IF(NOT(IFERROR('Company_Master'!A65&lt;&gt;"",FALSE)),"",IF(O68&gt;0,"⚠ "&amp;O68&amp;" issue(s) detected",IF(P68=0,"— No data to validate","✓ All "&amp;P68&amp;" checks passed")))</f>
        <v>⚠ 2 issue(s) detected</v>
      </c>
    </row>
    <row r="69" spans="1:17" x14ac:dyDescent="0.3">
      <c r="A69">
        <v>65</v>
      </c>
      <c r="B69" t="str">
        <f>IFERROR('Company_Master'!A66,"")</f>
        <v>PT Pinago Utama Tbk</v>
      </c>
      <c r="C69" t="str">
        <f>IF(NOT(AND(IFERROR('Company_Master'!A66&lt;&gt;"",FALSE),OR(ISNUMBER(Asset_Operations!B66),ISNUMBER(Asset_Operations!C66),ISNUMBER(Asset_Operations!D66)))),"—",IF(IFERROR(AND(ISNUMBER(Asset_Operations!B66),ISNUMBER(Asset_Operations!C66),ISNUMBER(Asset_Operations!D66),Asset_Operations!B66&gt;0,ABS((Asset_Operations!C66+Asset_Operations!D66)-Asset_Operations!B66)/Asset_Operations!B66&gt;0.02),FALSE),"⚠","✓"))</f>
        <v>✓</v>
      </c>
      <c r="D69" t="str">
        <f>IF(NOT(AND(IFERROR('Company_Master'!A66&lt;&gt;"",FALSE),OR(ISNUMBER(Asset_Operations!B66),ISNUMBER(Asset_Operations!E66),ISNUMBER(Asset_Operations!F66)))),"—",IF(IFERROR(AND(ISNUMBER(Asset_Operations!B66),ISNUMBER(Asset_Operations!E66),ISNUMBER(Asset_Operations!F66),Asset_Operations!B66&gt;0,ABS((Asset_Operations!E66+Asset_Operations!F66)-Asset_Operations!B66)/Asset_Operations!B66&gt;0.02),FALSE),"⚠","✓"))</f>
        <v>✓</v>
      </c>
      <c r="E69" t="str">
        <f>IF(NOT(AND(IFERROR('Company_Master'!A66&lt;&gt;"",FALSE),ISNUMBER(Asset_Operations!AR66))),"—",IF(IFERROR(AND(ISNUMBER(Asset_Operations!AR66),OR(Asset_Operations!AR66&lt;0.15,Asset_Operations!AR66&gt;0.27)),FALSE),"⚠","✓"))</f>
        <v>✓</v>
      </c>
      <c r="F69" t="str">
        <f>IF(NOT(AND(IFERROR('Company_Master'!A66&lt;&gt;"",FALSE),AND(ISNUMBER(Financials!Q66),ISNUMBER(Financials!R66)))),"—",IF(IFERROR(AND(ISNUMBER(Financials!Q66),ISNUMBER(Financials!R66),ISNUMBER(Financials!S66),ABS((Financials!R66-Financials!Q66)-Financials!S66)/MAX(ABS(Financials!S66),1)&gt;0.05),FALSE),"⚠","✓"))</f>
        <v>✓</v>
      </c>
      <c r="G69" t="str">
        <f>IF(NOT(AND(IFERROR('Company_Master'!A66&lt;&gt;"",FALSE),AND(ISNUMBER(Financials!I66),ISNUMBER(Financials!L66),ISNUMBER(Financials!O66)))),"—",IF(IFERROR(AND(ISNUMBER(Financials!I66),ISNUMBER(Financials!L66),ISNUMBER(Financials!O66),Financials!I66&gt;0,ABS(Financials!I66-(Financials!L66+Financials!O66))/Financials!I66&gt;0.01),FALSE),"⚠","✓"))</f>
        <v>✓</v>
      </c>
      <c r="H69" t="str">
        <f>IF(NOT(AND(IFERROR('Company_Master'!A66&lt;&gt;"",FALSE),AND(ISNUMBER(Financials!E66),ISNUMBER(Financials!F66)))),"—",IF(IFERROR(AND(ISNUMBER(Financials!E66),ISNUMBER(Financials!F66),Financials!E66&lt;Financials!F66),FALSE),"⚠","✓"))</f>
        <v>—</v>
      </c>
      <c r="I69" t="str">
        <f>IF(NOT(AND(IFERROR('Company_Master'!A66&lt;&gt;"",FALSE),AND(ISNUMBER(Financials!C66),ISNUMBER(Financials!E66)))),"—",IF(IFERROR(AND(ISNUMBER(Financials!C66),ISNUMBER(Financials!E66),Financials!C66=0,Financials!E66&gt;0),FALSE),"⚠","✓"))</f>
        <v>—</v>
      </c>
      <c r="J69" t="str">
        <f>IF(NOT(AND(IFERROR('Company_Master'!A66&lt;&gt;"",FALSE),COUNTIF('Raw_Extract'!A:A,'Company_Master'!A66)&gt;0)),"—",IF(COUNTIFS('Raw_Extract'!A:A,'Company_Master'!A66,'Raw_Extract'!J:J,"Low")&gt;0,"⚠","✓"))</f>
        <v>✓</v>
      </c>
      <c r="K69" t="str">
        <f>IF(NOT(AND(IFERROR('Company_Master'!A66&lt;&gt;"",FALSE),AND(ISNUMBER(Financials!E66),ISNUMBER(Financials!AP66)))),"—",IF(IFERROR(AND(ISNUMBER(Financials!E66),ISNUMBER(Financials!AP66),Financials!E66&lt;&gt;0,ABS(Financials!E66-Financials!AP66)/ABS(Financials!E66)&gt;0.05),FALSE),"⚠","✓"))</f>
        <v>—</v>
      </c>
      <c r="L69" t="str">
        <f>IF(NOT(AND(IFERROR('Company_Master'!A66&lt;&gt;"",FALSE),AND(ISNUMBER(Financials!AR66),ISNUMBER(Financials!S66)))),"—",IF(IFERROR(AND(ISNUMBER(Financials!AR66),ISNUMBER(Financials!S66),Financials!S66&lt;&gt;0,ABS(Financials!AR66-Financials!S66)/MAX(ABS(Financials!S66),1)&gt;0.05),FALSE),"⚠","✓"))</f>
        <v>—</v>
      </c>
      <c r="M69" t="str">
        <f>IF(NOT(AND(IFERROR('Company_Master'!A66&lt;&gt;"",FALSE),AND(ISNUMBER(Asset_Operations!BE66),ISNUMBER(Asset_Operations!AR66)))),"—",IF(IFERROR(AND(ISNUMBER(Asset_Operations!BE66),ISNUMBER(Asset_Operations!AR66),ABS(Asset_Operations!BE66-Asset_Operations!AR66)&gt;0.05),FALSE),"⚠","✓"))</f>
        <v>—</v>
      </c>
      <c r="N69" t="str">
        <f>IF(NOT(AND(IFERROR('Company_Master'!A66&lt;&gt;"",FALSE),ISNUMBER(Financials!C66))),"—",IF(IFERROR(AND(ISNUMBER(Financials!C66),OR(Financials!C66&lt;50,Financials!C66&gt;200000)),FALSE),"⚠","✓"))</f>
        <v>✓</v>
      </c>
      <c r="O69">
        <f t="shared" ref="O69:O97" si="4">COUNTIF(C69:N69,"⚠")</f>
        <v>0</v>
      </c>
      <c r="P69">
        <f t="shared" ref="P69:P97" si="5">COUNTIF(C69:N69,"✓")</f>
        <v>7</v>
      </c>
      <c r="Q69" t="str">
        <f>IF(NOT(IFERROR('Company_Master'!A66&lt;&gt;"",FALSE)),"",IF(O69&gt;0,"⚠ "&amp;O69&amp;" issue(s) detected",IF(P69=0,"— No data to validate","✓ All "&amp;P69&amp;" checks passed")))</f>
        <v>✓ All 7 checks passed</v>
      </c>
    </row>
    <row r="70" spans="1:17" x14ac:dyDescent="0.3">
      <c r="A70">
        <v>66</v>
      </c>
      <c r="B70" t="str">
        <f>IFERROR('Company_Master'!A67,"")</f>
        <v>PT Pinago Utama Tbk</v>
      </c>
      <c r="C70" t="str">
        <f>IF(NOT(AND(IFERROR('Company_Master'!A67&lt;&gt;"",FALSE),OR(ISNUMBER(Asset_Operations!B67),ISNUMBER(Asset_Operations!C67),ISNUMBER(Asset_Operations!D67)))),"—",IF(IFERROR(AND(ISNUMBER(Asset_Operations!B67),ISNUMBER(Asset_Operations!C67),ISNUMBER(Asset_Operations!D67),Asset_Operations!B67&gt;0,ABS((Asset_Operations!C67+Asset_Operations!D67)-Asset_Operations!B67)/Asset_Operations!B67&gt;0.02),FALSE),"⚠","✓"))</f>
        <v>✓</v>
      </c>
      <c r="D70" t="str">
        <f>IF(NOT(AND(IFERROR('Company_Master'!A67&lt;&gt;"",FALSE),OR(ISNUMBER(Asset_Operations!B67),ISNUMBER(Asset_Operations!E67),ISNUMBER(Asset_Operations!F67)))),"—",IF(IFERROR(AND(ISNUMBER(Asset_Operations!B67),ISNUMBER(Asset_Operations!E67),ISNUMBER(Asset_Operations!F67),Asset_Operations!B67&gt;0,ABS((Asset_Operations!E67+Asset_Operations!F67)-Asset_Operations!B67)/Asset_Operations!B67&gt;0.02),FALSE),"⚠","✓"))</f>
        <v>✓</v>
      </c>
      <c r="E70" t="str">
        <f>IF(NOT(AND(IFERROR('Company_Master'!A67&lt;&gt;"",FALSE),ISNUMBER(Asset_Operations!AR67))),"—",IF(IFERROR(AND(ISNUMBER(Asset_Operations!AR67),OR(Asset_Operations!AR67&lt;0.15,Asset_Operations!AR67&gt;0.27)),FALSE),"⚠","✓"))</f>
        <v>✓</v>
      </c>
      <c r="F70" t="str">
        <f>IF(NOT(AND(IFERROR('Company_Master'!A67&lt;&gt;"",FALSE),AND(ISNUMBER(Financials!Q67),ISNUMBER(Financials!R67)))),"—",IF(IFERROR(AND(ISNUMBER(Financials!Q67),ISNUMBER(Financials!R67),ISNUMBER(Financials!S67),ABS((Financials!R67-Financials!Q67)-Financials!S67)/MAX(ABS(Financials!S67),1)&gt;0.05),FALSE),"⚠","✓"))</f>
        <v>✓</v>
      </c>
      <c r="G70" t="str">
        <f>IF(NOT(AND(IFERROR('Company_Master'!A67&lt;&gt;"",FALSE),AND(ISNUMBER(Financials!I67),ISNUMBER(Financials!L67),ISNUMBER(Financials!O67)))),"—",IF(IFERROR(AND(ISNUMBER(Financials!I67),ISNUMBER(Financials!L67),ISNUMBER(Financials!O67),Financials!I67&gt;0,ABS(Financials!I67-(Financials!L67+Financials!O67))/Financials!I67&gt;0.01),FALSE),"⚠","✓"))</f>
        <v>✓</v>
      </c>
      <c r="H70" t="str">
        <f>IF(NOT(AND(IFERROR('Company_Master'!A67&lt;&gt;"",FALSE),AND(ISNUMBER(Financials!E67),ISNUMBER(Financials!F67)))),"—",IF(IFERROR(AND(ISNUMBER(Financials!E67),ISNUMBER(Financials!F67),Financials!E67&lt;Financials!F67),FALSE),"⚠","✓"))</f>
        <v>—</v>
      </c>
      <c r="I70" t="str">
        <f>IF(NOT(AND(IFERROR('Company_Master'!A67&lt;&gt;"",FALSE),AND(ISNUMBER(Financials!C67),ISNUMBER(Financials!E67)))),"—",IF(IFERROR(AND(ISNUMBER(Financials!C67),ISNUMBER(Financials!E67),Financials!C67=0,Financials!E67&gt;0),FALSE),"⚠","✓"))</f>
        <v>—</v>
      </c>
      <c r="J70" t="str">
        <f>IF(NOT(AND(IFERROR('Company_Master'!A67&lt;&gt;"",FALSE),COUNTIF('Raw_Extract'!A:A,'Company_Master'!A67)&gt;0)),"—",IF(COUNTIFS('Raw_Extract'!A:A,'Company_Master'!A67,'Raw_Extract'!J:J,"Low")&gt;0,"⚠","✓"))</f>
        <v>✓</v>
      </c>
      <c r="K70" t="str">
        <f>IF(NOT(AND(IFERROR('Company_Master'!A67&lt;&gt;"",FALSE),AND(ISNUMBER(Financials!E67),ISNUMBER(Financials!AP67)))),"—",IF(IFERROR(AND(ISNUMBER(Financials!E67),ISNUMBER(Financials!AP67),Financials!E67&lt;&gt;0,ABS(Financials!E67-Financials!AP67)/ABS(Financials!E67)&gt;0.05),FALSE),"⚠","✓"))</f>
        <v>—</v>
      </c>
      <c r="L70" t="str">
        <f>IF(NOT(AND(IFERROR('Company_Master'!A67&lt;&gt;"",FALSE),AND(ISNUMBER(Financials!AR67),ISNUMBER(Financials!S67)))),"—",IF(IFERROR(AND(ISNUMBER(Financials!AR67),ISNUMBER(Financials!S67),Financials!S67&lt;&gt;0,ABS(Financials!AR67-Financials!S67)/MAX(ABS(Financials!S67),1)&gt;0.05),FALSE),"⚠","✓"))</f>
        <v>—</v>
      </c>
      <c r="M70" t="str">
        <f>IF(NOT(AND(IFERROR('Company_Master'!A67&lt;&gt;"",FALSE),AND(ISNUMBER(Asset_Operations!BE67),ISNUMBER(Asset_Operations!AR67)))),"—",IF(IFERROR(AND(ISNUMBER(Asset_Operations!BE67),ISNUMBER(Asset_Operations!AR67),ABS(Asset_Operations!BE67-Asset_Operations!AR67)&gt;0.05),FALSE),"⚠","✓"))</f>
        <v>—</v>
      </c>
      <c r="N70" t="str">
        <f>IF(NOT(AND(IFERROR('Company_Master'!A67&lt;&gt;"",FALSE),ISNUMBER(Financials!C67))),"—",IF(IFERROR(AND(ISNUMBER(Financials!C67),OR(Financials!C67&lt;50,Financials!C67&gt;200000)),FALSE),"⚠","✓"))</f>
        <v>✓</v>
      </c>
      <c r="O70">
        <f t="shared" si="4"/>
        <v>0</v>
      </c>
      <c r="P70">
        <f t="shared" si="5"/>
        <v>7</v>
      </c>
      <c r="Q70" t="str">
        <f>IF(NOT(IFERROR('Company_Master'!A67&lt;&gt;"",FALSE)),"",IF(O70&gt;0,"⚠ "&amp;O70&amp;" issue(s) detected",IF(P70=0,"— No data to validate","✓ All "&amp;P70&amp;" checks passed")))</f>
        <v>✓ All 7 checks passed</v>
      </c>
    </row>
    <row r="71" spans="1:17" x14ac:dyDescent="0.3">
      <c r="A71">
        <v>67</v>
      </c>
      <c r="B71" t="str">
        <f>IFERROR('Company_Master'!A68,"")</f>
        <v>PT Pinago Utama Tbk</v>
      </c>
      <c r="C71" t="str">
        <f>IF(NOT(AND(IFERROR('Company_Master'!A68&lt;&gt;"",FALSE),OR(ISNUMBER(Asset_Operations!B68),ISNUMBER(Asset_Operations!C68),ISNUMBER(Asset_Operations!D68)))),"—",IF(IFERROR(AND(ISNUMBER(Asset_Operations!B68),ISNUMBER(Asset_Operations!C68),ISNUMBER(Asset_Operations!D68),Asset_Operations!B68&gt;0,ABS((Asset_Operations!C68+Asset_Operations!D68)-Asset_Operations!B68)/Asset_Operations!B68&gt;0.02),FALSE),"⚠","✓"))</f>
        <v>✓</v>
      </c>
      <c r="D71" t="str">
        <f>IF(NOT(AND(IFERROR('Company_Master'!A68&lt;&gt;"",FALSE),OR(ISNUMBER(Asset_Operations!B68),ISNUMBER(Asset_Operations!E68),ISNUMBER(Asset_Operations!F68)))),"—",IF(IFERROR(AND(ISNUMBER(Asset_Operations!B68),ISNUMBER(Asset_Operations!E68),ISNUMBER(Asset_Operations!F68),Asset_Operations!B68&gt;0,ABS((Asset_Operations!E68+Asset_Operations!F68)-Asset_Operations!B68)/Asset_Operations!B68&gt;0.02),FALSE),"⚠","✓"))</f>
        <v>✓</v>
      </c>
      <c r="E71" t="str">
        <f>IF(NOT(AND(IFERROR('Company_Master'!A68&lt;&gt;"",FALSE),ISNUMBER(Asset_Operations!AR68))),"—",IF(IFERROR(AND(ISNUMBER(Asset_Operations!AR68),OR(Asset_Operations!AR68&lt;0.15,Asset_Operations!AR68&gt;0.27)),FALSE),"⚠","✓"))</f>
        <v>✓</v>
      </c>
      <c r="F71" t="str">
        <f>IF(NOT(AND(IFERROR('Company_Master'!A68&lt;&gt;"",FALSE),AND(ISNUMBER(Financials!Q68),ISNUMBER(Financials!R68)))),"—",IF(IFERROR(AND(ISNUMBER(Financials!Q68),ISNUMBER(Financials!R68),ISNUMBER(Financials!S68),ABS((Financials!R68-Financials!Q68)-Financials!S68)/MAX(ABS(Financials!S68),1)&gt;0.05),FALSE),"⚠","✓"))</f>
        <v>✓</v>
      </c>
      <c r="G71" t="str">
        <f>IF(NOT(AND(IFERROR('Company_Master'!A68&lt;&gt;"",FALSE),AND(ISNUMBER(Financials!I68),ISNUMBER(Financials!L68),ISNUMBER(Financials!O68)))),"—",IF(IFERROR(AND(ISNUMBER(Financials!I68),ISNUMBER(Financials!L68),ISNUMBER(Financials!O68),Financials!I68&gt;0,ABS(Financials!I68-(Financials!L68+Financials!O68))/Financials!I68&gt;0.01),FALSE),"⚠","✓"))</f>
        <v>✓</v>
      </c>
      <c r="H71" t="str">
        <f>IF(NOT(AND(IFERROR('Company_Master'!A68&lt;&gt;"",FALSE),AND(ISNUMBER(Financials!E68),ISNUMBER(Financials!F68)))),"—",IF(IFERROR(AND(ISNUMBER(Financials!E68),ISNUMBER(Financials!F68),Financials!E68&lt;Financials!F68),FALSE),"⚠","✓"))</f>
        <v>—</v>
      </c>
      <c r="I71" t="str">
        <f>IF(NOT(AND(IFERROR('Company_Master'!A68&lt;&gt;"",FALSE),AND(ISNUMBER(Financials!C68),ISNUMBER(Financials!E68)))),"—",IF(IFERROR(AND(ISNUMBER(Financials!C68),ISNUMBER(Financials!E68),Financials!C68=0,Financials!E68&gt;0),FALSE),"⚠","✓"))</f>
        <v>—</v>
      </c>
      <c r="J71" t="str">
        <f>IF(NOT(AND(IFERROR('Company_Master'!A68&lt;&gt;"",FALSE),COUNTIF('Raw_Extract'!A:A,'Company_Master'!A68)&gt;0)),"—",IF(COUNTIFS('Raw_Extract'!A:A,'Company_Master'!A68,'Raw_Extract'!J:J,"Low")&gt;0,"⚠","✓"))</f>
        <v>✓</v>
      </c>
      <c r="K71" t="str">
        <f>IF(NOT(AND(IFERROR('Company_Master'!A68&lt;&gt;"",FALSE),AND(ISNUMBER(Financials!E68),ISNUMBER(Financials!AP68)))),"—",IF(IFERROR(AND(ISNUMBER(Financials!E68),ISNUMBER(Financials!AP68),Financials!E68&lt;&gt;0,ABS(Financials!E68-Financials!AP68)/ABS(Financials!E68)&gt;0.05),FALSE),"⚠","✓"))</f>
        <v>—</v>
      </c>
      <c r="L71" t="str">
        <f>IF(NOT(AND(IFERROR('Company_Master'!A68&lt;&gt;"",FALSE),AND(ISNUMBER(Financials!AR68),ISNUMBER(Financials!S68)))),"—",IF(IFERROR(AND(ISNUMBER(Financials!AR68),ISNUMBER(Financials!S68),Financials!S68&lt;&gt;0,ABS(Financials!AR68-Financials!S68)/MAX(ABS(Financials!S68),1)&gt;0.05),FALSE),"⚠","✓"))</f>
        <v>⚠</v>
      </c>
      <c r="M71" t="str">
        <f>IF(NOT(AND(IFERROR('Company_Master'!A68&lt;&gt;"",FALSE),AND(ISNUMBER(Asset_Operations!BE68),ISNUMBER(Asset_Operations!AR68)))),"—",IF(IFERROR(AND(ISNUMBER(Asset_Operations!BE68),ISNUMBER(Asset_Operations!AR68),ABS(Asset_Operations!BE68-Asset_Operations!AR68)&gt;0.05),FALSE),"⚠","✓"))</f>
        <v>—</v>
      </c>
      <c r="N71" t="str">
        <f>IF(NOT(AND(IFERROR('Company_Master'!A68&lt;&gt;"",FALSE),ISNUMBER(Financials!C68))),"—",IF(IFERROR(AND(ISNUMBER(Financials!C68),OR(Financials!C68&lt;50,Financials!C68&gt;200000)),FALSE),"⚠","✓"))</f>
        <v>✓</v>
      </c>
      <c r="O71">
        <f t="shared" si="4"/>
        <v>1</v>
      </c>
      <c r="P71">
        <f t="shared" si="5"/>
        <v>7</v>
      </c>
      <c r="Q71" t="str">
        <f>IF(NOT(IFERROR('Company_Master'!A68&lt;&gt;"",FALSE)),"",IF(O71&gt;0,"⚠ "&amp;O71&amp;" issue(s) detected",IF(P71=0,"— No data to validate","✓ All "&amp;P71&amp;" checks passed")))</f>
        <v>⚠ 1 issue(s) detected</v>
      </c>
    </row>
    <row r="72" spans="1:17" x14ac:dyDescent="0.3">
      <c r="A72">
        <v>68</v>
      </c>
      <c r="B72" t="str">
        <f>IFERROR('Company_Master'!A69,"")</f>
        <v>PT Pulau Subur Tbk</v>
      </c>
      <c r="C72" t="str">
        <f>IF(NOT(AND(IFERROR('Company_Master'!A69&lt;&gt;"",FALSE),OR(ISNUMBER(Asset_Operations!B69),ISNUMBER(Asset_Operations!C69),ISNUMBER(Asset_Operations!D69)))),"—",IF(IFERROR(AND(ISNUMBER(Asset_Operations!B69),ISNUMBER(Asset_Operations!C69),ISNUMBER(Asset_Operations!D69),Asset_Operations!B69&gt;0,ABS((Asset_Operations!C69+Asset_Operations!D69)-Asset_Operations!B69)/Asset_Operations!B69&gt;0.02),FALSE),"⚠","✓"))</f>
        <v>✓</v>
      </c>
      <c r="D72" t="str">
        <f>IF(NOT(AND(IFERROR('Company_Master'!A69&lt;&gt;"",FALSE),OR(ISNUMBER(Asset_Operations!B69),ISNUMBER(Asset_Operations!E69),ISNUMBER(Asset_Operations!F69)))),"—",IF(IFERROR(AND(ISNUMBER(Asset_Operations!B69),ISNUMBER(Asset_Operations!E69),ISNUMBER(Asset_Operations!F69),Asset_Operations!B69&gt;0,ABS((Asset_Operations!E69+Asset_Operations!F69)-Asset_Operations!B69)/Asset_Operations!B69&gt;0.02),FALSE),"⚠","✓"))</f>
        <v>✓</v>
      </c>
      <c r="E72" t="str">
        <f>IF(NOT(AND(IFERROR('Company_Master'!A69&lt;&gt;"",FALSE),ISNUMBER(Asset_Operations!AR69))),"—",IF(IFERROR(AND(ISNUMBER(Asset_Operations!AR69),OR(Asset_Operations!AR69&lt;0.15,Asset_Operations!AR69&gt;0.27)),FALSE),"⚠","✓"))</f>
        <v>—</v>
      </c>
      <c r="F72" t="str">
        <f>IF(NOT(AND(IFERROR('Company_Master'!A69&lt;&gt;"",FALSE),AND(ISNUMBER(Financials!Q69),ISNUMBER(Financials!R69)))),"—",IF(IFERROR(AND(ISNUMBER(Financials!Q69),ISNUMBER(Financials!R69),ISNUMBER(Financials!S69),ABS((Financials!R69-Financials!Q69)-Financials!S69)/MAX(ABS(Financials!S69),1)&gt;0.05),FALSE),"⚠","✓"))</f>
        <v>✓</v>
      </c>
      <c r="G72" t="str">
        <f>IF(NOT(AND(IFERROR('Company_Master'!A69&lt;&gt;"",FALSE),AND(ISNUMBER(Financials!I69),ISNUMBER(Financials!L69),ISNUMBER(Financials!O69)))),"—",IF(IFERROR(AND(ISNUMBER(Financials!I69),ISNUMBER(Financials!L69),ISNUMBER(Financials!O69),Financials!I69&gt;0,ABS(Financials!I69-(Financials!L69+Financials!O69))/Financials!I69&gt;0.01),FALSE),"⚠","✓"))</f>
        <v>✓</v>
      </c>
      <c r="H72" t="str">
        <f>IF(NOT(AND(IFERROR('Company_Master'!A69&lt;&gt;"",FALSE),AND(ISNUMBER(Financials!E69),ISNUMBER(Financials!F69)))),"—",IF(IFERROR(AND(ISNUMBER(Financials!E69),ISNUMBER(Financials!F69),Financials!E69&lt;Financials!F69),FALSE),"⚠","✓"))</f>
        <v>✓</v>
      </c>
      <c r="I72" t="str">
        <f>IF(NOT(AND(IFERROR('Company_Master'!A69&lt;&gt;"",FALSE),AND(ISNUMBER(Financials!C69),ISNUMBER(Financials!E69)))),"—",IF(IFERROR(AND(ISNUMBER(Financials!C69),ISNUMBER(Financials!E69),Financials!C69=0,Financials!E69&gt;0),FALSE),"⚠","✓"))</f>
        <v>✓</v>
      </c>
      <c r="J72" t="str">
        <f>IF(NOT(AND(IFERROR('Company_Master'!A69&lt;&gt;"",FALSE),COUNTIF('Raw_Extract'!A:A,'Company_Master'!A69)&gt;0)),"—",IF(COUNTIFS('Raw_Extract'!A:A,'Company_Master'!A69,'Raw_Extract'!J:J,"Low")&gt;0,"⚠","✓"))</f>
        <v>✓</v>
      </c>
      <c r="K72" t="str">
        <f>IF(NOT(AND(IFERROR('Company_Master'!A69&lt;&gt;"",FALSE),AND(ISNUMBER(Financials!E69),ISNUMBER(Financials!AP69)))),"—",IF(IFERROR(AND(ISNUMBER(Financials!E69),ISNUMBER(Financials!AP69),Financials!E69&lt;&gt;0,ABS(Financials!E69-Financials!AP69)/ABS(Financials!E69)&gt;0.05),FALSE),"⚠","✓"))</f>
        <v>⚠</v>
      </c>
      <c r="L72" t="str">
        <f>IF(NOT(AND(IFERROR('Company_Master'!A69&lt;&gt;"",FALSE),AND(ISNUMBER(Financials!AR69),ISNUMBER(Financials!S69)))),"—",IF(IFERROR(AND(ISNUMBER(Financials!AR69),ISNUMBER(Financials!S69),Financials!S69&lt;&gt;0,ABS(Financials!AR69-Financials!S69)/MAX(ABS(Financials!S69),1)&gt;0.05),FALSE),"⚠","✓"))</f>
        <v>—</v>
      </c>
      <c r="M72" t="str">
        <f>IF(NOT(AND(IFERROR('Company_Master'!A69&lt;&gt;"",FALSE),AND(ISNUMBER(Asset_Operations!BE69),ISNUMBER(Asset_Operations!AR69)))),"—",IF(IFERROR(AND(ISNUMBER(Asset_Operations!BE69),ISNUMBER(Asset_Operations!AR69),ABS(Asset_Operations!BE69-Asset_Operations!AR69)&gt;0.05),FALSE),"⚠","✓"))</f>
        <v>—</v>
      </c>
      <c r="N72" t="str">
        <f>IF(NOT(AND(IFERROR('Company_Master'!A69&lt;&gt;"",FALSE),ISNUMBER(Financials!C69))),"—",IF(IFERROR(AND(ISNUMBER(Financials!C69),OR(Financials!C69&lt;50,Financials!C69&gt;200000)),FALSE),"⚠","✓"))</f>
        <v>✓</v>
      </c>
      <c r="O72">
        <f t="shared" si="4"/>
        <v>1</v>
      </c>
      <c r="P72">
        <f t="shared" si="5"/>
        <v>8</v>
      </c>
      <c r="Q72" t="str">
        <f>IF(NOT(IFERROR('Company_Master'!A69&lt;&gt;"",FALSE)),"",IF(O72&gt;0,"⚠ "&amp;O72&amp;" issue(s) detected",IF(P72=0,"— No data to validate","✓ All "&amp;P72&amp;" checks passed")))</f>
        <v>⚠ 1 issue(s) detected</v>
      </c>
    </row>
    <row r="73" spans="1:17" x14ac:dyDescent="0.3">
      <c r="A73">
        <v>69</v>
      </c>
      <c r="B73" t="str">
        <f>IFERROR('Company_Master'!A70,"")</f>
        <v>PT Pulau Subur Tbk</v>
      </c>
      <c r="C73" t="str">
        <f>IF(NOT(AND(IFERROR('Company_Master'!A70&lt;&gt;"",FALSE),OR(ISNUMBER(Asset_Operations!B70),ISNUMBER(Asset_Operations!C70),ISNUMBER(Asset_Operations!D70)))),"—",IF(IFERROR(AND(ISNUMBER(Asset_Operations!B70),ISNUMBER(Asset_Operations!C70),ISNUMBER(Asset_Operations!D70),Asset_Operations!B70&gt;0,ABS((Asset_Operations!C70+Asset_Operations!D70)-Asset_Operations!B70)/Asset_Operations!B70&gt;0.02),FALSE),"⚠","✓"))</f>
        <v>✓</v>
      </c>
      <c r="D73" t="str">
        <f>IF(NOT(AND(IFERROR('Company_Master'!A70&lt;&gt;"",FALSE),OR(ISNUMBER(Asset_Operations!B70),ISNUMBER(Asset_Operations!E70),ISNUMBER(Asset_Operations!F70)))),"—",IF(IFERROR(AND(ISNUMBER(Asset_Operations!B70),ISNUMBER(Asset_Operations!E70),ISNUMBER(Asset_Operations!F70),Asset_Operations!B70&gt;0,ABS((Asset_Operations!E70+Asset_Operations!F70)-Asset_Operations!B70)/Asset_Operations!B70&gt;0.02),FALSE),"⚠","✓"))</f>
        <v>✓</v>
      </c>
      <c r="E73" t="str">
        <f>IF(NOT(AND(IFERROR('Company_Master'!A70&lt;&gt;"",FALSE),ISNUMBER(Asset_Operations!AR70))),"—",IF(IFERROR(AND(ISNUMBER(Asset_Operations!AR70),OR(Asset_Operations!AR70&lt;0.15,Asset_Operations!AR70&gt;0.27)),FALSE),"⚠","✓"))</f>
        <v>—</v>
      </c>
      <c r="F73" t="str">
        <f>IF(NOT(AND(IFERROR('Company_Master'!A70&lt;&gt;"",FALSE),AND(ISNUMBER(Financials!Q70),ISNUMBER(Financials!R70)))),"—",IF(IFERROR(AND(ISNUMBER(Financials!Q70),ISNUMBER(Financials!R70),ISNUMBER(Financials!S70),ABS((Financials!R70-Financials!Q70)-Financials!S70)/MAX(ABS(Financials!S70),1)&gt;0.05),FALSE),"⚠","✓"))</f>
        <v>✓</v>
      </c>
      <c r="G73" t="str">
        <f>IF(NOT(AND(IFERROR('Company_Master'!A70&lt;&gt;"",FALSE),AND(ISNUMBER(Financials!I70),ISNUMBER(Financials!L70),ISNUMBER(Financials!O70)))),"—",IF(IFERROR(AND(ISNUMBER(Financials!I70),ISNUMBER(Financials!L70),ISNUMBER(Financials!O70),Financials!I70&gt;0,ABS(Financials!I70-(Financials!L70+Financials!O70))/Financials!I70&gt;0.01),FALSE),"⚠","✓"))</f>
        <v>✓</v>
      </c>
      <c r="H73" t="str">
        <f>IF(NOT(AND(IFERROR('Company_Master'!A70&lt;&gt;"",FALSE),AND(ISNUMBER(Financials!E70),ISNUMBER(Financials!F70)))),"—",IF(IFERROR(AND(ISNUMBER(Financials!E70),ISNUMBER(Financials!F70),Financials!E70&lt;Financials!F70),FALSE),"⚠","✓"))</f>
        <v>✓</v>
      </c>
      <c r="I73" t="str">
        <f>IF(NOT(AND(IFERROR('Company_Master'!A70&lt;&gt;"",FALSE),AND(ISNUMBER(Financials!C70),ISNUMBER(Financials!E70)))),"—",IF(IFERROR(AND(ISNUMBER(Financials!C70),ISNUMBER(Financials!E70),Financials!C70=0,Financials!E70&gt;0),FALSE),"⚠","✓"))</f>
        <v>✓</v>
      </c>
      <c r="J73" t="str">
        <f>IF(NOT(AND(IFERROR('Company_Master'!A70&lt;&gt;"",FALSE),COUNTIF('Raw_Extract'!A:A,'Company_Master'!A70)&gt;0)),"—",IF(COUNTIFS('Raw_Extract'!A:A,'Company_Master'!A70,'Raw_Extract'!J:J,"Low")&gt;0,"⚠","✓"))</f>
        <v>✓</v>
      </c>
      <c r="K73" t="str">
        <f>IF(NOT(AND(IFERROR('Company_Master'!A70&lt;&gt;"",FALSE),AND(ISNUMBER(Financials!E70),ISNUMBER(Financials!AP70)))),"—",IF(IFERROR(AND(ISNUMBER(Financials!E70),ISNUMBER(Financials!AP70),Financials!E70&lt;&gt;0,ABS(Financials!E70-Financials!AP70)/ABS(Financials!E70)&gt;0.05),FALSE),"⚠","✓"))</f>
        <v>⚠</v>
      </c>
      <c r="L73" t="str">
        <f>IF(NOT(AND(IFERROR('Company_Master'!A70&lt;&gt;"",FALSE),AND(ISNUMBER(Financials!AR70),ISNUMBER(Financials!S70)))),"—",IF(IFERROR(AND(ISNUMBER(Financials!AR70),ISNUMBER(Financials!S70),Financials!S70&lt;&gt;0,ABS(Financials!AR70-Financials!S70)/MAX(ABS(Financials!S70),1)&gt;0.05),FALSE),"⚠","✓"))</f>
        <v>—</v>
      </c>
      <c r="M73" t="str">
        <f>IF(NOT(AND(IFERROR('Company_Master'!A70&lt;&gt;"",FALSE),AND(ISNUMBER(Asset_Operations!BE70),ISNUMBER(Asset_Operations!AR70)))),"—",IF(IFERROR(AND(ISNUMBER(Asset_Operations!BE70),ISNUMBER(Asset_Operations!AR70),ABS(Asset_Operations!BE70-Asset_Operations!AR70)&gt;0.05),FALSE),"⚠","✓"))</f>
        <v>—</v>
      </c>
      <c r="N73" t="str">
        <f>IF(NOT(AND(IFERROR('Company_Master'!A70&lt;&gt;"",FALSE),ISNUMBER(Financials!C70))),"—",IF(IFERROR(AND(ISNUMBER(Financials!C70),OR(Financials!C70&lt;50,Financials!C70&gt;200000)),FALSE),"⚠","✓"))</f>
        <v>✓</v>
      </c>
      <c r="O73">
        <f t="shared" si="4"/>
        <v>1</v>
      </c>
      <c r="P73">
        <f t="shared" si="5"/>
        <v>8</v>
      </c>
      <c r="Q73" t="str">
        <f>IF(NOT(IFERROR('Company_Master'!A70&lt;&gt;"",FALSE)),"",IF(O73&gt;0,"⚠ "&amp;O73&amp;" issue(s) detected",IF(P73=0,"— No data to validate","✓ All "&amp;P73&amp;" checks passed")))</f>
        <v>⚠ 1 issue(s) detected</v>
      </c>
    </row>
    <row r="74" spans="1:17" x14ac:dyDescent="0.3">
      <c r="A74">
        <v>70</v>
      </c>
      <c r="B74" t="str">
        <f>IFERROR('Company_Master'!A71,"")</f>
        <v>PT Sampoerna Agro Tbk</v>
      </c>
      <c r="C74" t="str">
        <f>IF(NOT(AND(IFERROR('Company_Master'!A71&lt;&gt;"",FALSE),OR(ISNUMBER(Asset_Operations!B71),ISNUMBER(Asset_Operations!C71),ISNUMBER(Asset_Operations!D71)))),"—",IF(IFERROR(AND(ISNUMBER(Asset_Operations!B71),ISNUMBER(Asset_Operations!C71),ISNUMBER(Asset_Operations!D71),Asset_Operations!B71&gt;0,ABS((Asset_Operations!C71+Asset_Operations!D71)-Asset_Operations!B71)/Asset_Operations!B71&gt;0.02),FALSE),"⚠","✓"))</f>
        <v>✓</v>
      </c>
      <c r="D74" t="str">
        <f>IF(NOT(AND(IFERROR('Company_Master'!A71&lt;&gt;"",FALSE),OR(ISNUMBER(Asset_Operations!B71),ISNUMBER(Asset_Operations!E71),ISNUMBER(Asset_Operations!F71)))),"—",IF(IFERROR(AND(ISNUMBER(Asset_Operations!B71),ISNUMBER(Asset_Operations!E71),ISNUMBER(Asset_Operations!F71),Asset_Operations!B71&gt;0,ABS((Asset_Operations!E71+Asset_Operations!F71)-Asset_Operations!B71)/Asset_Operations!B71&gt;0.02),FALSE),"⚠","✓"))</f>
        <v>✓</v>
      </c>
      <c r="E74" t="str">
        <f>IF(NOT(AND(IFERROR('Company_Master'!A71&lt;&gt;"",FALSE),ISNUMBER(Asset_Operations!AR71))),"—",IF(IFERROR(AND(ISNUMBER(Asset_Operations!AR71),OR(Asset_Operations!AR71&lt;0.15,Asset_Operations!AR71&gt;0.27)),FALSE),"⚠","✓"))</f>
        <v>✓</v>
      </c>
      <c r="F74" t="str">
        <f>IF(NOT(AND(IFERROR('Company_Master'!A71&lt;&gt;"",FALSE),AND(ISNUMBER(Financials!Q71),ISNUMBER(Financials!R71)))),"—",IF(IFERROR(AND(ISNUMBER(Financials!Q71),ISNUMBER(Financials!R71),ISNUMBER(Financials!S71),ABS((Financials!R71-Financials!Q71)-Financials!S71)/MAX(ABS(Financials!S71),1)&gt;0.05),FALSE),"⚠","✓"))</f>
        <v>✓</v>
      </c>
      <c r="G74" t="str">
        <f>IF(NOT(AND(IFERROR('Company_Master'!A71&lt;&gt;"",FALSE),AND(ISNUMBER(Financials!I71),ISNUMBER(Financials!L71),ISNUMBER(Financials!O71)))),"—",IF(IFERROR(AND(ISNUMBER(Financials!I71),ISNUMBER(Financials!L71),ISNUMBER(Financials!O71),Financials!I71&gt;0,ABS(Financials!I71-(Financials!L71+Financials!O71))/Financials!I71&gt;0.01),FALSE),"⚠","✓"))</f>
        <v>✓</v>
      </c>
      <c r="H74" t="str">
        <f>IF(NOT(AND(IFERROR('Company_Master'!A71&lt;&gt;"",FALSE),AND(ISNUMBER(Financials!E71),ISNUMBER(Financials!F71)))),"—",IF(IFERROR(AND(ISNUMBER(Financials!E71),ISNUMBER(Financials!F71),Financials!E71&lt;Financials!F71),FALSE),"⚠","✓"))</f>
        <v>✓</v>
      </c>
      <c r="I74" t="str">
        <f>IF(NOT(AND(IFERROR('Company_Master'!A71&lt;&gt;"",FALSE),AND(ISNUMBER(Financials!C71),ISNUMBER(Financials!E71)))),"—",IF(IFERROR(AND(ISNUMBER(Financials!C71),ISNUMBER(Financials!E71),Financials!C71=0,Financials!E71&gt;0),FALSE),"⚠","✓"))</f>
        <v>✓</v>
      </c>
      <c r="J74" t="str">
        <f>IF(NOT(AND(IFERROR('Company_Master'!A71&lt;&gt;"",FALSE),COUNTIF('Raw_Extract'!A:A,'Company_Master'!A71)&gt;0)),"—",IF(COUNTIFS('Raw_Extract'!A:A,'Company_Master'!A71,'Raw_Extract'!J:J,"Low")&gt;0,"⚠","✓"))</f>
        <v>✓</v>
      </c>
      <c r="K74" t="str">
        <f>IF(NOT(AND(IFERROR('Company_Master'!A71&lt;&gt;"",FALSE),AND(ISNUMBER(Financials!E71),ISNUMBER(Financials!AP71)))),"—",IF(IFERROR(AND(ISNUMBER(Financials!E71),ISNUMBER(Financials!AP71),Financials!E71&lt;&gt;0,ABS(Financials!E71-Financials!AP71)/ABS(Financials!E71)&gt;0.05),FALSE),"⚠","✓"))</f>
        <v>⚠</v>
      </c>
      <c r="L74" t="str">
        <f>IF(NOT(AND(IFERROR('Company_Master'!A71&lt;&gt;"",FALSE),AND(ISNUMBER(Financials!AR71),ISNUMBER(Financials!S71)))),"—",IF(IFERROR(AND(ISNUMBER(Financials!AR71),ISNUMBER(Financials!S71),Financials!S71&lt;&gt;0,ABS(Financials!AR71-Financials!S71)/MAX(ABS(Financials!S71),1)&gt;0.05),FALSE),"⚠","✓"))</f>
        <v>—</v>
      </c>
      <c r="M74" t="str">
        <f>IF(NOT(AND(IFERROR('Company_Master'!A71&lt;&gt;"",FALSE),AND(ISNUMBER(Asset_Operations!BE71),ISNUMBER(Asset_Operations!AR71)))),"—",IF(IFERROR(AND(ISNUMBER(Asset_Operations!BE71),ISNUMBER(Asset_Operations!AR71),ABS(Asset_Operations!BE71-Asset_Operations!AR71)&gt;0.05),FALSE),"⚠","✓"))</f>
        <v>✓</v>
      </c>
      <c r="N74" t="str">
        <f>IF(NOT(AND(IFERROR('Company_Master'!A71&lt;&gt;"",FALSE),ISNUMBER(Financials!C71))),"—",IF(IFERROR(AND(ISNUMBER(Financials!C71),OR(Financials!C71&lt;50,Financials!C71&gt;200000)),FALSE),"⚠","✓"))</f>
        <v>✓</v>
      </c>
      <c r="O74">
        <f t="shared" si="4"/>
        <v>1</v>
      </c>
      <c r="P74">
        <f t="shared" si="5"/>
        <v>10</v>
      </c>
      <c r="Q74" t="str">
        <f>IF(NOT(IFERROR('Company_Master'!A71&lt;&gt;"",FALSE)),"",IF(O74&gt;0,"⚠ "&amp;O74&amp;" issue(s) detected",IF(P74=0,"— No data to validate","✓ All "&amp;P74&amp;" checks passed")))</f>
        <v>⚠ 1 issue(s) detected</v>
      </c>
    </row>
    <row r="75" spans="1:17" x14ac:dyDescent="0.3">
      <c r="A75">
        <v>71</v>
      </c>
      <c r="B75" t="str">
        <f>IFERROR('Company_Master'!A72,"")</f>
        <v>PT Sampoerna Agro Tbk</v>
      </c>
      <c r="C75" t="str">
        <f>IF(NOT(AND(IFERROR('Company_Master'!A72&lt;&gt;"",FALSE),OR(ISNUMBER(Asset_Operations!B72),ISNUMBER(Asset_Operations!C72),ISNUMBER(Asset_Operations!D72)))),"—",IF(IFERROR(AND(ISNUMBER(Asset_Operations!B72),ISNUMBER(Asset_Operations!C72),ISNUMBER(Asset_Operations!D72),Asset_Operations!B72&gt;0,ABS((Asset_Operations!C72+Asset_Operations!D72)-Asset_Operations!B72)/Asset_Operations!B72&gt;0.02),FALSE),"⚠","✓"))</f>
        <v>✓</v>
      </c>
      <c r="D75" t="str">
        <f>IF(NOT(AND(IFERROR('Company_Master'!A72&lt;&gt;"",FALSE),OR(ISNUMBER(Asset_Operations!B72),ISNUMBER(Asset_Operations!E72),ISNUMBER(Asset_Operations!F72)))),"—",IF(IFERROR(AND(ISNUMBER(Asset_Operations!B72),ISNUMBER(Asset_Operations!E72),ISNUMBER(Asset_Operations!F72),Asset_Operations!B72&gt;0,ABS((Asset_Operations!E72+Asset_Operations!F72)-Asset_Operations!B72)/Asset_Operations!B72&gt;0.02),FALSE),"⚠","✓"))</f>
        <v>✓</v>
      </c>
      <c r="E75" t="str">
        <f>IF(NOT(AND(IFERROR('Company_Master'!A72&lt;&gt;"",FALSE),ISNUMBER(Asset_Operations!AR72))),"—",IF(IFERROR(AND(ISNUMBER(Asset_Operations!AR72),OR(Asset_Operations!AR72&lt;0.15,Asset_Operations!AR72&gt;0.27)),FALSE),"⚠","✓"))</f>
        <v>✓</v>
      </c>
      <c r="F75" t="str">
        <f>IF(NOT(AND(IFERROR('Company_Master'!A72&lt;&gt;"",FALSE),AND(ISNUMBER(Financials!Q72),ISNUMBER(Financials!R72)))),"—",IF(IFERROR(AND(ISNUMBER(Financials!Q72),ISNUMBER(Financials!R72),ISNUMBER(Financials!S72),ABS((Financials!R72-Financials!Q72)-Financials!S72)/MAX(ABS(Financials!S72),1)&gt;0.05),FALSE),"⚠","✓"))</f>
        <v>✓</v>
      </c>
      <c r="G75" t="str">
        <f>IF(NOT(AND(IFERROR('Company_Master'!A72&lt;&gt;"",FALSE),AND(ISNUMBER(Financials!I72),ISNUMBER(Financials!L72),ISNUMBER(Financials!O72)))),"—",IF(IFERROR(AND(ISNUMBER(Financials!I72),ISNUMBER(Financials!L72),ISNUMBER(Financials!O72),Financials!I72&gt;0,ABS(Financials!I72-(Financials!L72+Financials!O72))/Financials!I72&gt;0.01),FALSE),"⚠","✓"))</f>
        <v>✓</v>
      </c>
      <c r="H75" t="str">
        <f>IF(NOT(AND(IFERROR('Company_Master'!A72&lt;&gt;"",FALSE),AND(ISNUMBER(Financials!E72),ISNUMBER(Financials!F72)))),"—",IF(IFERROR(AND(ISNUMBER(Financials!E72),ISNUMBER(Financials!F72),Financials!E72&lt;Financials!F72),FALSE),"⚠","✓"))</f>
        <v>—</v>
      </c>
      <c r="I75" t="str">
        <f>IF(NOT(AND(IFERROR('Company_Master'!A72&lt;&gt;"",FALSE),AND(ISNUMBER(Financials!C72),ISNUMBER(Financials!E72)))),"—",IF(IFERROR(AND(ISNUMBER(Financials!C72),ISNUMBER(Financials!E72),Financials!C72=0,Financials!E72&gt;0),FALSE),"⚠","✓"))</f>
        <v>—</v>
      </c>
      <c r="J75" t="str">
        <f>IF(NOT(AND(IFERROR('Company_Master'!A72&lt;&gt;"",FALSE),COUNTIF('Raw_Extract'!A:A,'Company_Master'!A72)&gt;0)),"—",IF(COUNTIFS('Raw_Extract'!A:A,'Company_Master'!A72,'Raw_Extract'!J:J,"Low")&gt;0,"⚠","✓"))</f>
        <v>✓</v>
      </c>
      <c r="K75" t="str">
        <f>IF(NOT(AND(IFERROR('Company_Master'!A72&lt;&gt;"",FALSE),AND(ISNUMBER(Financials!E72),ISNUMBER(Financials!AP72)))),"—",IF(IFERROR(AND(ISNUMBER(Financials!E72),ISNUMBER(Financials!AP72),Financials!E72&lt;&gt;0,ABS(Financials!E72-Financials!AP72)/ABS(Financials!E72)&gt;0.05),FALSE),"⚠","✓"))</f>
        <v>—</v>
      </c>
      <c r="L75" t="str">
        <f>IF(NOT(AND(IFERROR('Company_Master'!A72&lt;&gt;"",FALSE),AND(ISNUMBER(Financials!AR72),ISNUMBER(Financials!S72)))),"—",IF(IFERROR(AND(ISNUMBER(Financials!AR72),ISNUMBER(Financials!S72),Financials!S72&lt;&gt;0,ABS(Financials!AR72-Financials!S72)/MAX(ABS(Financials!S72),1)&gt;0.05),FALSE),"⚠","✓"))</f>
        <v>—</v>
      </c>
      <c r="M75" t="str">
        <f>IF(NOT(AND(IFERROR('Company_Master'!A72&lt;&gt;"",FALSE),AND(ISNUMBER(Asset_Operations!BE72),ISNUMBER(Asset_Operations!AR72)))),"—",IF(IFERROR(AND(ISNUMBER(Asset_Operations!BE72),ISNUMBER(Asset_Operations!AR72),ABS(Asset_Operations!BE72-Asset_Operations!AR72)&gt;0.05),FALSE),"⚠","✓"))</f>
        <v>✓</v>
      </c>
      <c r="N75" t="str">
        <f>IF(NOT(AND(IFERROR('Company_Master'!A72&lt;&gt;"",FALSE),ISNUMBER(Financials!C72))),"—",IF(IFERROR(AND(ISNUMBER(Financials!C72),OR(Financials!C72&lt;50,Financials!C72&gt;200000)),FALSE),"⚠","✓"))</f>
        <v>✓</v>
      </c>
      <c r="O75">
        <f t="shared" si="4"/>
        <v>0</v>
      </c>
      <c r="P75">
        <f t="shared" si="5"/>
        <v>8</v>
      </c>
      <c r="Q75" t="str">
        <f>IF(NOT(IFERROR('Company_Master'!A72&lt;&gt;"",FALSE)),"",IF(O75&gt;0,"⚠ "&amp;O75&amp;" issue(s) detected",IF(P75=0,"— No data to validate","✓ All "&amp;P75&amp;" checks passed")))</f>
        <v>✓ All 8 checks passed</v>
      </c>
    </row>
    <row r="76" spans="1:17" x14ac:dyDescent="0.3">
      <c r="A76">
        <v>72</v>
      </c>
      <c r="B76" t="str">
        <f>IFERROR('Company_Master'!A73,"")</f>
        <v>PT Sampoerna Agro Tbk</v>
      </c>
      <c r="C76" t="str">
        <f>IF(NOT(AND(IFERROR('Company_Master'!A73&lt;&gt;"",FALSE),OR(ISNUMBER(Asset_Operations!B73),ISNUMBER(Asset_Operations!C73),ISNUMBER(Asset_Operations!D73)))),"—",IF(IFERROR(AND(ISNUMBER(Asset_Operations!B73),ISNUMBER(Asset_Operations!C73),ISNUMBER(Asset_Operations!D73),Asset_Operations!B73&gt;0,ABS((Asset_Operations!C73+Asset_Operations!D73)-Asset_Operations!B73)/Asset_Operations!B73&gt;0.02),FALSE),"⚠","✓"))</f>
        <v>✓</v>
      </c>
      <c r="D76" t="str">
        <f>IF(NOT(AND(IFERROR('Company_Master'!A73&lt;&gt;"",FALSE),OR(ISNUMBER(Asset_Operations!B73),ISNUMBER(Asset_Operations!E73),ISNUMBER(Asset_Operations!F73)))),"—",IF(IFERROR(AND(ISNUMBER(Asset_Operations!B73),ISNUMBER(Asset_Operations!E73),ISNUMBER(Asset_Operations!F73),Asset_Operations!B73&gt;0,ABS((Asset_Operations!E73+Asset_Operations!F73)-Asset_Operations!B73)/Asset_Operations!B73&gt;0.02),FALSE),"⚠","✓"))</f>
        <v>✓</v>
      </c>
      <c r="E76" t="str">
        <f>IF(NOT(AND(IFERROR('Company_Master'!A73&lt;&gt;"",FALSE),ISNUMBER(Asset_Operations!AR73))),"—",IF(IFERROR(AND(ISNUMBER(Asset_Operations!AR73),OR(Asset_Operations!AR73&lt;0.15,Asset_Operations!AR73&gt;0.27)),FALSE),"⚠","✓"))</f>
        <v>✓</v>
      </c>
      <c r="F76" t="str">
        <f>IF(NOT(AND(IFERROR('Company_Master'!A73&lt;&gt;"",FALSE),AND(ISNUMBER(Financials!Q73),ISNUMBER(Financials!R73)))),"—",IF(IFERROR(AND(ISNUMBER(Financials!Q73),ISNUMBER(Financials!R73),ISNUMBER(Financials!S73),ABS((Financials!R73-Financials!Q73)-Financials!S73)/MAX(ABS(Financials!S73),1)&gt;0.05),FALSE),"⚠","✓"))</f>
        <v>✓</v>
      </c>
      <c r="G76" t="str">
        <f>IF(NOT(AND(IFERROR('Company_Master'!A73&lt;&gt;"",FALSE),AND(ISNUMBER(Financials!I73),ISNUMBER(Financials!L73),ISNUMBER(Financials!O73)))),"—",IF(IFERROR(AND(ISNUMBER(Financials!I73),ISNUMBER(Financials!L73),ISNUMBER(Financials!O73),Financials!I73&gt;0,ABS(Financials!I73-(Financials!L73+Financials!O73))/Financials!I73&gt;0.01),FALSE),"⚠","✓"))</f>
        <v>✓</v>
      </c>
      <c r="H76" t="str">
        <f>IF(NOT(AND(IFERROR('Company_Master'!A73&lt;&gt;"",FALSE),AND(ISNUMBER(Financials!E73),ISNUMBER(Financials!F73)))),"—",IF(IFERROR(AND(ISNUMBER(Financials!E73),ISNUMBER(Financials!F73),Financials!E73&lt;Financials!F73),FALSE),"⚠","✓"))</f>
        <v>—</v>
      </c>
      <c r="I76" t="str">
        <f>IF(NOT(AND(IFERROR('Company_Master'!A73&lt;&gt;"",FALSE),AND(ISNUMBER(Financials!C73),ISNUMBER(Financials!E73)))),"—",IF(IFERROR(AND(ISNUMBER(Financials!C73),ISNUMBER(Financials!E73),Financials!C73=0,Financials!E73&gt;0),FALSE),"⚠","✓"))</f>
        <v>—</v>
      </c>
      <c r="J76" t="str">
        <f>IF(NOT(AND(IFERROR('Company_Master'!A73&lt;&gt;"",FALSE),COUNTIF('Raw_Extract'!A:A,'Company_Master'!A73)&gt;0)),"—",IF(COUNTIFS('Raw_Extract'!A:A,'Company_Master'!A73,'Raw_Extract'!J:J,"Low")&gt;0,"⚠","✓"))</f>
        <v>✓</v>
      </c>
      <c r="K76" t="str">
        <f>IF(NOT(AND(IFERROR('Company_Master'!A73&lt;&gt;"",FALSE),AND(ISNUMBER(Financials!E73),ISNUMBER(Financials!AP73)))),"—",IF(IFERROR(AND(ISNUMBER(Financials!E73),ISNUMBER(Financials!AP73),Financials!E73&lt;&gt;0,ABS(Financials!E73-Financials!AP73)/ABS(Financials!E73)&gt;0.05),FALSE),"⚠","✓"))</f>
        <v>—</v>
      </c>
      <c r="L76" t="str">
        <f>IF(NOT(AND(IFERROR('Company_Master'!A73&lt;&gt;"",FALSE),AND(ISNUMBER(Financials!AR73),ISNUMBER(Financials!S73)))),"—",IF(IFERROR(AND(ISNUMBER(Financials!AR73),ISNUMBER(Financials!S73),Financials!S73&lt;&gt;0,ABS(Financials!AR73-Financials!S73)/MAX(ABS(Financials!S73),1)&gt;0.05),FALSE),"⚠","✓"))</f>
        <v>—</v>
      </c>
      <c r="M76" t="str">
        <f>IF(NOT(AND(IFERROR('Company_Master'!A73&lt;&gt;"",FALSE),AND(ISNUMBER(Asset_Operations!BE73),ISNUMBER(Asset_Operations!AR73)))),"—",IF(IFERROR(AND(ISNUMBER(Asset_Operations!BE73),ISNUMBER(Asset_Operations!AR73),ABS(Asset_Operations!BE73-Asset_Operations!AR73)&gt;0.05),FALSE),"⚠","✓"))</f>
        <v>✓</v>
      </c>
      <c r="N76" t="str">
        <f>IF(NOT(AND(IFERROR('Company_Master'!A73&lt;&gt;"",FALSE),ISNUMBER(Financials!C73))),"—",IF(IFERROR(AND(ISNUMBER(Financials!C73),OR(Financials!C73&lt;50,Financials!C73&gt;200000)),FALSE),"⚠","✓"))</f>
        <v>✓</v>
      </c>
      <c r="O76">
        <f t="shared" si="4"/>
        <v>0</v>
      </c>
      <c r="P76">
        <f t="shared" si="5"/>
        <v>8</v>
      </c>
      <c r="Q76" t="str">
        <f>IF(NOT(IFERROR('Company_Master'!A73&lt;&gt;"",FALSE)),"",IF(O76&gt;0,"⚠ "&amp;O76&amp;" issue(s) detected",IF(P76=0,"— No data to validate","✓ All "&amp;P76&amp;" checks passed")))</f>
        <v>✓ All 8 checks passed</v>
      </c>
    </row>
    <row r="77" spans="1:17" x14ac:dyDescent="0.3">
      <c r="A77">
        <v>73</v>
      </c>
      <c r="B77" t="str">
        <f>IFERROR('Company_Master'!A74,"")</f>
        <v>PT Salim Ivomas Pratama Tbk</v>
      </c>
      <c r="C77" t="str">
        <f>IF(NOT(AND(IFERROR('Company_Master'!A74&lt;&gt;"",FALSE),OR(ISNUMBER(Asset_Operations!B74),ISNUMBER(Asset_Operations!C74),ISNUMBER(Asset_Operations!D74)))),"—",IF(IFERROR(AND(ISNUMBER(Asset_Operations!B74),ISNUMBER(Asset_Operations!C74),ISNUMBER(Asset_Operations!D74),Asset_Operations!B74&gt;0,ABS((Asset_Operations!C74+Asset_Operations!D74)-Asset_Operations!B74)/Asset_Operations!B74&gt;0.02),FALSE),"⚠","✓"))</f>
        <v>⚠</v>
      </c>
      <c r="D77" t="str">
        <f>IF(NOT(AND(IFERROR('Company_Master'!A74&lt;&gt;"",FALSE),OR(ISNUMBER(Asset_Operations!B74),ISNUMBER(Asset_Operations!E74),ISNUMBER(Asset_Operations!F74)))),"—",IF(IFERROR(AND(ISNUMBER(Asset_Operations!B74),ISNUMBER(Asset_Operations!E74),ISNUMBER(Asset_Operations!F74),Asset_Operations!B74&gt;0,ABS((Asset_Operations!E74+Asset_Operations!F74)-Asset_Operations!B74)/Asset_Operations!B74&gt;0.02),FALSE),"⚠","✓"))</f>
        <v>⚠</v>
      </c>
      <c r="E77" t="str">
        <f>IF(NOT(AND(IFERROR('Company_Master'!A74&lt;&gt;"",FALSE),ISNUMBER(Asset_Operations!AR74))),"—",IF(IFERROR(AND(ISNUMBER(Asset_Operations!AR74),OR(Asset_Operations!AR74&lt;0.15,Asset_Operations!AR74&gt;0.27)),FALSE),"⚠","✓"))</f>
        <v>—</v>
      </c>
      <c r="F77" t="str">
        <f>IF(NOT(AND(IFERROR('Company_Master'!A74&lt;&gt;"",FALSE),AND(ISNUMBER(Financials!Q74),ISNUMBER(Financials!R74)))),"—",IF(IFERROR(AND(ISNUMBER(Financials!Q74),ISNUMBER(Financials!R74),ISNUMBER(Financials!S74),ABS((Financials!R74-Financials!Q74)-Financials!S74)/MAX(ABS(Financials!S74),1)&gt;0.05),FALSE),"⚠","✓"))</f>
        <v>✓</v>
      </c>
      <c r="G77" t="str">
        <f>IF(NOT(AND(IFERROR('Company_Master'!A74&lt;&gt;"",FALSE),AND(ISNUMBER(Financials!I74),ISNUMBER(Financials!L74),ISNUMBER(Financials!O74)))),"—",IF(IFERROR(AND(ISNUMBER(Financials!I74),ISNUMBER(Financials!L74),ISNUMBER(Financials!O74),Financials!I74&gt;0,ABS(Financials!I74-(Financials!L74+Financials!O74))/Financials!I74&gt;0.01),FALSE),"⚠","✓"))</f>
        <v>✓</v>
      </c>
      <c r="H77" t="str">
        <f>IF(NOT(AND(IFERROR('Company_Master'!A74&lt;&gt;"",FALSE),AND(ISNUMBER(Financials!E74),ISNUMBER(Financials!F74)))),"—",IF(IFERROR(AND(ISNUMBER(Financials!E74),ISNUMBER(Financials!F74),Financials!E74&lt;Financials!F74),FALSE),"⚠","✓"))</f>
        <v>✓</v>
      </c>
      <c r="I77" t="str">
        <f>IF(NOT(AND(IFERROR('Company_Master'!A74&lt;&gt;"",FALSE),AND(ISNUMBER(Financials!C74),ISNUMBER(Financials!E74)))),"—",IF(IFERROR(AND(ISNUMBER(Financials!C74),ISNUMBER(Financials!E74),Financials!C74=0,Financials!E74&gt;0),FALSE),"⚠","✓"))</f>
        <v>✓</v>
      </c>
      <c r="J77" t="str">
        <f>IF(NOT(AND(IFERROR('Company_Master'!A74&lt;&gt;"",FALSE),COUNTIF('Raw_Extract'!A:A,'Company_Master'!A74)&gt;0)),"—",IF(COUNTIFS('Raw_Extract'!A:A,'Company_Master'!A74,'Raw_Extract'!J:J,"Low")&gt;0,"⚠","✓"))</f>
        <v>✓</v>
      </c>
      <c r="K77" t="str">
        <f>IF(NOT(AND(IFERROR('Company_Master'!A74&lt;&gt;"",FALSE),AND(ISNUMBER(Financials!E74),ISNUMBER(Financials!AP74)))),"—",IF(IFERROR(AND(ISNUMBER(Financials!E74),ISNUMBER(Financials!AP74),Financials!E74&lt;&gt;0,ABS(Financials!E74-Financials!AP74)/ABS(Financials!E74)&gt;0.05),FALSE),"⚠","✓"))</f>
        <v>⚠</v>
      </c>
      <c r="L77" t="str">
        <f>IF(NOT(AND(IFERROR('Company_Master'!A74&lt;&gt;"",FALSE),AND(ISNUMBER(Financials!AR74),ISNUMBER(Financials!S74)))),"—",IF(IFERROR(AND(ISNUMBER(Financials!AR74),ISNUMBER(Financials!S74),Financials!S74&lt;&gt;0,ABS(Financials!AR74-Financials!S74)/MAX(ABS(Financials!S74),1)&gt;0.05),FALSE),"⚠","✓"))</f>
        <v>—</v>
      </c>
      <c r="M77" t="str">
        <f>IF(NOT(AND(IFERROR('Company_Master'!A74&lt;&gt;"",FALSE),AND(ISNUMBER(Asset_Operations!BE74),ISNUMBER(Asset_Operations!AR74)))),"—",IF(IFERROR(AND(ISNUMBER(Asset_Operations!BE74),ISNUMBER(Asset_Operations!AR74),ABS(Asset_Operations!BE74-Asset_Operations!AR74)&gt;0.05),FALSE),"⚠","✓"))</f>
        <v>—</v>
      </c>
      <c r="N77" t="str">
        <f>IF(NOT(AND(IFERROR('Company_Master'!A74&lt;&gt;"",FALSE),ISNUMBER(Financials!C74))),"—",IF(IFERROR(AND(ISNUMBER(Financials!C74),OR(Financials!C74&lt;50,Financials!C74&gt;200000)),FALSE),"⚠","✓"))</f>
        <v>✓</v>
      </c>
      <c r="O77">
        <f t="shared" si="4"/>
        <v>3</v>
      </c>
      <c r="P77">
        <f t="shared" si="5"/>
        <v>6</v>
      </c>
      <c r="Q77" t="str">
        <f>IF(NOT(IFERROR('Company_Master'!A74&lt;&gt;"",FALSE)),"",IF(O77&gt;0,"⚠ "&amp;O77&amp;" issue(s) detected",IF(P77=0,"— No data to validate","✓ All "&amp;P77&amp;" checks passed")))</f>
        <v>⚠ 3 issue(s) detected</v>
      </c>
    </row>
    <row r="78" spans="1:17" x14ac:dyDescent="0.3">
      <c r="A78">
        <v>74</v>
      </c>
      <c r="B78" t="str">
        <f>IFERROR('Company_Master'!A75,"")</f>
        <v>PT Salim Ivomas Pratama Tbk</v>
      </c>
      <c r="C78" t="str">
        <f>IF(NOT(AND(IFERROR('Company_Master'!A75&lt;&gt;"",FALSE),OR(ISNUMBER(Asset_Operations!B75),ISNUMBER(Asset_Operations!C75),ISNUMBER(Asset_Operations!D75)))),"—",IF(IFERROR(AND(ISNUMBER(Asset_Operations!B75),ISNUMBER(Asset_Operations!C75),ISNUMBER(Asset_Operations!D75),Asset_Operations!B75&gt;0,ABS((Asset_Operations!C75+Asset_Operations!D75)-Asset_Operations!B75)/Asset_Operations!B75&gt;0.02),FALSE),"⚠","✓"))</f>
        <v>⚠</v>
      </c>
      <c r="D78" t="str">
        <f>IF(NOT(AND(IFERROR('Company_Master'!A75&lt;&gt;"",FALSE),OR(ISNUMBER(Asset_Operations!B75),ISNUMBER(Asset_Operations!E75),ISNUMBER(Asset_Operations!F75)))),"—",IF(IFERROR(AND(ISNUMBER(Asset_Operations!B75),ISNUMBER(Asset_Operations!E75),ISNUMBER(Asset_Operations!F75),Asset_Operations!B75&gt;0,ABS((Asset_Operations!E75+Asset_Operations!F75)-Asset_Operations!B75)/Asset_Operations!B75&gt;0.02),FALSE),"⚠","✓"))</f>
        <v>⚠</v>
      </c>
      <c r="E78" t="str">
        <f>IF(NOT(AND(IFERROR('Company_Master'!A75&lt;&gt;"",FALSE),ISNUMBER(Asset_Operations!AR75))),"—",IF(IFERROR(AND(ISNUMBER(Asset_Operations!AR75),OR(Asset_Operations!AR75&lt;0.15,Asset_Operations!AR75&gt;0.27)),FALSE),"⚠","✓"))</f>
        <v>—</v>
      </c>
      <c r="F78" t="str">
        <f>IF(NOT(AND(IFERROR('Company_Master'!A75&lt;&gt;"",FALSE),AND(ISNUMBER(Financials!Q75),ISNUMBER(Financials!R75)))),"—",IF(IFERROR(AND(ISNUMBER(Financials!Q75),ISNUMBER(Financials!R75),ISNUMBER(Financials!S75),ABS((Financials!R75-Financials!Q75)-Financials!S75)/MAX(ABS(Financials!S75),1)&gt;0.05),FALSE),"⚠","✓"))</f>
        <v>✓</v>
      </c>
      <c r="G78" t="str">
        <f>IF(NOT(AND(IFERROR('Company_Master'!A75&lt;&gt;"",FALSE),AND(ISNUMBER(Financials!I75),ISNUMBER(Financials!L75),ISNUMBER(Financials!O75)))),"—",IF(IFERROR(AND(ISNUMBER(Financials!I75),ISNUMBER(Financials!L75),ISNUMBER(Financials!O75),Financials!I75&gt;0,ABS(Financials!I75-(Financials!L75+Financials!O75))/Financials!I75&gt;0.01),FALSE),"⚠","✓"))</f>
        <v>✓</v>
      </c>
      <c r="H78" t="str">
        <f>IF(NOT(AND(IFERROR('Company_Master'!A75&lt;&gt;"",FALSE),AND(ISNUMBER(Financials!E75),ISNUMBER(Financials!F75)))),"—",IF(IFERROR(AND(ISNUMBER(Financials!E75),ISNUMBER(Financials!F75),Financials!E75&lt;Financials!F75),FALSE),"⚠","✓"))</f>
        <v>✓</v>
      </c>
      <c r="I78" t="str">
        <f>IF(NOT(AND(IFERROR('Company_Master'!A75&lt;&gt;"",FALSE),AND(ISNUMBER(Financials!C75),ISNUMBER(Financials!E75)))),"—",IF(IFERROR(AND(ISNUMBER(Financials!C75),ISNUMBER(Financials!E75),Financials!C75=0,Financials!E75&gt;0),FALSE),"⚠","✓"))</f>
        <v>✓</v>
      </c>
      <c r="J78" t="str">
        <f>IF(NOT(AND(IFERROR('Company_Master'!A75&lt;&gt;"",FALSE),COUNTIF('Raw_Extract'!A:A,'Company_Master'!A75)&gt;0)),"—",IF(COUNTIFS('Raw_Extract'!A:A,'Company_Master'!A75,'Raw_Extract'!J:J,"Low")&gt;0,"⚠","✓"))</f>
        <v>✓</v>
      </c>
      <c r="K78" t="str">
        <f>IF(NOT(AND(IFERROR('Company_Master'!A75&lt;&gt;"",FALSE),AND(ISNUMBER(Financials!E75),ISNUMBER(Financials!AP75)))),"—",IF(IFERROR(AND(ISNUMBER(Financials!E75),ISNUMBER(Financials!AP75),Financials!E75&lt;&gt;0,ABS(Financials!E75-Financials!AP75)/ABS(Financials!E75)&gt;0.05),FALSE),"⚠","✓"))</f>
        <v>⚠</v>
      </c>
      <c r="L78" t="str">
        <f>IF(NOT(AND(IFERROR('Company_Master'!A75&lt;&gt;"",FALSE),AND(ISNUMBER(Financials!AR75),ISNUMBER(Financials!S75)))),"—",IF(IFERROR(AND(ISNUMBER(Financials!AR75),ISNUMBER(Financials!S75),Financials!S75&lt;&gt;0,ABS(Financials!AR75-Financials!S75)/MAX(ABS(Financials!S75),1)&gt;0.05),FALSE),"⚠","✓"))</f>
        <v>—</v>
      </c>
      <c r="M78" t="str">
        <f>IF(NOT(AND(IFERROR('Company_Master'!A75&lt;&gt;"",FALSE),AND(ISNUMBER(Asset_Operations!BE75),ISNUMBER(Asset_Operations!AR75)))),"—",IF(IFERROR(AND(ISNUMBER(Asset_Operations!BE75),ISNUMBER(Asset_Operations!AR75),ABS(Asset_Operations!BE75-Asset_Operations!AR75)&gt;0.05),FALSE),"⚠","✓"))</f>
        <v>—</v>
      </c>
      <c r="N78" t="str">
        <f>IF(NOT(AND(IFERROR('Company_Master'!A75&lt;&gt;"",FALSE),ISNUMBER(Financials!C75))),"—",IF(IFERROR(AND(ISNUMBER(Financials!C75),OR(Financials!C75&lt;50,Financials!C75&gt;200000)),FALSE),"⚠","✓"))</f>
        <v>✓</v>
      </c>
      <c r="O78">
        <f t="shared" si="4"/>
        <v>3</v>
      </c>
      <c r="P78">
        <f t="shared" si="5"/>
        <v>6</v>
      </c>
      <c r="Q78" t="str">
        <f>IF(NOT(IFERROR('Company_Master'!A75&lt;&gt;"",FALSE)),"",IF(O78&gt;0,"⚠ "&amp;O78&amp;" issue(s) detected",IF(P78=0,"— No data to validate","✓ All "&amp;P78&amp;" checks passed")))</f>
        <v>⚠ 3 issue(s) detected</v>
      </c>
    </row>
    <row r="79" spans="1:17" x14ac:dyDescent="0.3">
      <c r="A79">
        <v>75</v>
      </c>
      <c r="B79" t="str">
        <f>IFERROR('Company_Master'!A76,"")</f>
        <v>PT Salim Ivomas Pratama Tbk</v>
      </c>
      <c r="C79" t="str">
        <f>IF(NOT(AND(IFERROR('Company_Master'!A76&lt;&gt;"",FALSE),OR(ISNUMBER(Asset_Operations!B76),ISNUMBER(Asset_Operations!C76),ISNUMBER(Asset_Operations!D76)))),"—",IF(IFERROR(AND(ISNUMBER(Asset_Operations!B76),ISNUMBER(Asset_Operations!C76),ISNUMBER(Asset_Operations!D76),Asset_Operations!B76&gt;0,ABS((Asset_Operations!C76+Asset_Operations!D76)-Asset_Operations!B76)/Asset_Operations!B76&gt;0.02),FALSE),"⚠","✓"))</f>
        <v>⚠</v>
      </c>
      <c r="D79" t="str">
        <f>IF(NOT(AND(IFERROR('Company_Master'!A76&lt;&gt;"",FALSE),OR(ISNUMBER(Asset_Operations!B76),ISNUMBER(Asset_Operations!E76),ISNUMBER(Asset_Operations!F76)))),"—",IF(IFERROR(AND(ISNUMBER(Asset_Operations!B76),ISNUMBER(Asset_Operations!E76),ISNUMBER(Asset_Operations!F76),Asset_Operations!B76&gt;0,ABS((Asset_Operations!E76+Asset_Operations!F76)-Asset_Operations!B76)/Asset_Operations!B76&gt;0.02),FALSE),"⚠","✓"))</f>
        <v>⚠</v>
      </c>
      <c r="E79" t="str">
        <f>IF(NOT(AND(IFERROR('Company_Master'!A76&lt;&gt;"",FALSE),ISNUMBER(Asset_Operations!AR76))),"—",IF(IFERROR(AND(ISNUMBER(Asset_Operations!AR76),OR(Asset_Operations!AR76&lt;0.15,Asset_Operations!AR76&gt;0.27)),FALSE),"⚠","✓"))</f>
        <v>—</v>
      </c>
      <c r="F79" t="str">
        <f>IF(NOT(AND(IFERROR('Company_Master'!A76&lt;&gt;"",FALSE),AND(ISNUMBER(Financials!Q76),ISNUMBER(Financials!R76)))),"—",IF(IFERROR(AND(ISNUMBER(Financials!Q76),ISNUMBER(Financials!R76),ISNUMBER(Financials!S76),ABS((Financials!R76-Financials!Q76)-Financials!S76)/MAX(ABS(Financials!S76),1)&gt;0.05),FALSE),"⚠","✓"))</f>
        <v>✓</v>
      </c>
      <c r="G79" t="str">
        <f>IF(NOT(AND(IFERROR('Company_Master'!A76&lt;&gt;"",FALSE),AND(ISNUMBER(Financials!I76),ISNUMBER(Financials!L76),ISNUMBER(Financials!O76)))),"—",IF(IFERROR(AND(ISNUMBER(Financials!I76),ISNUMBER(Financials!L76),ISNUMBER(Financials!O76),Financials!I76&gt;0,ABS(Financials!I76-(Financials!L76+Financials!O76))/Financials!I76&gt;0.01),FALSE),"⚠","✓"))</f>
        <v>✓</v>
      </c>
      <c r="H79" t="str">
        <f>IF(NOT(AND(IFERROR('Company_Master'!A76&lt;&gt;"",FALSE),AND(ISNUMBER(Financials!E76),ISNUMBER(Financials!F76)))),"—",IF(IFERROR(AND(ISNUMBER(Financials!E76),ISNUMBER(Financials!F76),Financials!E76&lt;Financials!F76),FALSE),"⚠","✓"))</f>
        <v>✓</v>
      </c>
      <c r="I79" t="str">
        <f>IF(NOT(AND(IFERROR('Company_Master'!A76&lt;&gt;"",FALSE),AND(ISNUMBER(Financials!C76),ISNUMBER(Financials!E76)))),"—",IF(IFERROR(AND(ISNUMBER(Financials!C76),ISNUMBER(Financials!E76),Financials!C76=0,Financials!E76&gt;0),FALSE),"⚠","✓"))</f>
        <v>✓</v>
      </c>
      <c r="J79" t="str">
        <f>IF(NOT(AND(IFERROR('Company_Master'!A76&lt;&gt;"",FALSE),COUNTIF('Raw_Extract'!A:A,'Company_Master'!A76)&gt;0)),"—",IF(COUNTIFS('Raw_Extract'!A:A,'Company_Master'!A76,'Raw_Extract'!J:J,"Low")&gt;0,"⚠","✓"))</f>
        <v>✓</v>
      </c>
      <c r="K79" t="str">
        <f>IF(NOT(AND(IFERROR('Company_Master'!A76&lt;&gt;"",FALSE),AND(ISNUMBER(Financials!E76),ISNUMBER(Financials!AP76)))),"—",IF(IFERROR(AND(ISNUMBER(Financials!E76),ISNUMBER(Financials!AP76),Financials!E76&lt;&gt;0,ABS(Financials!E76-Financials!AP76)/ABS(Financials!E76)&gt;0.05),FALSE),"⚠","✓"))</f>
        <v>⚠</v>
      </c>
      <c r="L79" t="str">
        <f>IF(NOT(AND(IFERROR('Company_Master'!A76&lt;&gt;"",FALSE),AND(ISNUMBER(Financials!AR76),ISNUMBER(Financials!S76)))),"—",IF(IFERROR(AND(ISNUMBER(Financials!AR76),ISNUMBER(Financials!S76),Financials!S76&lt;&gt;0,ABS(Financials!AR76-Financials!S76)/MAX(ABS(Financials!S76),1)&gt;0.05),FALSE),"⚠","✓"))</f>
        <v>—</v>
      </c>
      <c r="M79" t="str">
        <f>IF(NOT(AND(IFERROR('Company_Master'!A76&lt;&gt;"",FALSE),AND(ISNUMBER(Asset_Operations!BE76),ISNUMBER(Asset_Operations!AR76)))),"—",IF(IFERROR(AND(ISNUMBER(Asset_Operations!BE76),ISNUMBER(Asset_Operations!AR76),ABS(Asset_Operations!BE76-Asset_Operations!AR76)&gt;0.05),FALSE),"⚠","✓"))</f>
        <v>—</v>
      </c>
      <c r="N79" t="str">
        <f>IF(NOT(AND(IFERROR('Company_Master'!A76&lt;&gt;"",FALSE),ISNUMBER(Financials!C76))),"—",IF(IFERROR(AND(ISNUMBER(Financials!C76),OR(Financials!C76&lt;50,Financials!C76&gt;200000)),FALSE),"⚠","✓"))</f>
        <v>✓</v>
      </c>
      <c r="O79">
        <f t="shared" si="4"/>
        <v>3</v>
      </c>
      <c r="P79">
        <f t="shared" si="5"/>
        <v>6</v>
      </c>
      <c r="Q79" t="str">
        <f>IF(NOT(IFERROR('Company_Master'!A76&lt;&gt;"",FALSE)),"",IF(O79&gt;0,"⚠ "&amp;O79&amp;" issue(s) detected",IF(P79=0,"— No data to validate","✓ All "&amp;P79&amp;" checks passed")))</f>
        <v>⚠ 3 issue(s) detected</v>
      </c>
    </row>
    <row r="80" spans="1:17" x14ac:dyDescent="0.3">
      <c r="A80">
        <v>76</v>
      </c>
      <c r="B80" t="str">
        <f>IFERROR('Company_Master'!A77,"")</f>
        <v>PT Sinar Mas Agro Resources and Technology Tbk</v>
      </c>
      <c r="C80" t="str">
        <f>IF(NOT(AND(IFERROR('Company_Master'!A77&lt;&gt;"",FALSE),OR(ISNUMBER(Asset_Operations!B77),ISNUMBER(Asset_Operations!C77),ISNUMBER(Asset_Operations!D77)))),"—",IF(IFERROR(AND(ISNUMBER(Asset_Operations!B77),ISNUMBER(Asset_Operations!C77),ISNUMBER(Asset_Operations!D77),Asset_Operations!B77&gt;0,ABS((Asset_Operations!C77+Asset_Operations!D77)-Asset_Operations!B77)/Asset_Operations!B77&gt;0.02),FALSE),"⚠","✓"))</f>
        <v>✓</v>
      </c>
      <c r="D80" t="str">
        <f>IF(NOT(AND(IFERROR('Company_Master'!A77&lt;&gt;"",FALSE),OR(ISNUMBER(Asset_Operations!B77),ISNUMBER(Asset_Operations!E77),ISNUMBER(Asset_Operations!F77)))),"—",IF(IFERROR(AND(ISNUMBER(Asset_Operations!B77),ISNUMBER(Asset_Operations!E77),ISNUMBER(Asset_Operations!F77),Asset_Operations!B77&gt;0,ABS((Asset_Operations!E77+Asset_Operations!F77)-Asset_Operations!B77)/Asset_Operations!B77&gt;0.02),FALSE),"⚠","✓"))</f>
        <v>✓</v>
      </c>
      <c r="E80" t="str">
        <f>IF(NOT(AND(IFERROR('Company_Master'!A77&lt;&gt;"",FALSE),ISNUMBER(Asset_Operations!AR77))),"—",IF(IFERROR(AND(ISNUMBER(Asset_Operations!AR77),OR(Asset_Operations!AR77&lt;0.15,Asset_Operations!AR77&gt;0.27)),FALSE),"⚠","✓"))</f>
        <v>⚠</v>
      </c>
      <c r="F80" t="str">
        <f>IF(NOT(AND(IFERROR('Company_Master'!A77&lt;&gt;"",FALSE),AND(ISNUMBER(Financials!Q77),ISNUMBER(Financials!R77)))),"—",IF(IFERROR(AND(ISNUMBER(Financials!Q77),ISNUMBER(Financials!R77),ISNUMBER(Financials!S77),ABS((Financials!R77-Financials!Q77)-Financials!S77)/MAX(ABS(Financials!S77),1)&gt;0.05),FALSE),"⚠","✓"))</f>
        <v>✓</v>
      </c>
      <c r="G80" t="str">
        <f>IF(NOT(AND(IFERROR('Company_Master'!A77&lt;&gt;"",FALSE),AND(ISNUMBER(Financials!I77),ISNUMBER(Financials!L77),ISNUMBER(Financials!O77)))),"—",IF(IFERROR(AND(ISNUMBER(Financials!I77),ISNUMBER(Financials!L77),ISNUMBER(Financials!O77),Financials!I77&gt;0,ABS(Financials!I77-(Financials!L77+Financials!O77))/Financials!I77&gt;0.01),FALSE),"⚠","✓"))</f>
        <v>✓</v>
      </c>
      <c r="H80" t="str">
        <f>IF(NOT(AND(IFERROR('Company_Master'!A77&lt;&gt;"",FALSE),AND(ISNUMBER(Financials!E77),ISNUMBER(Financials!F77)))),"—",IF(IFERROR(AND(ISNUMBER(Financials!E77),ISNUMBER(Financials!F77),Financials!E77&lt;Financials!F77),FALSE),"⚠","✓"))</f>
        <v>✓</v>
      </c>
      <c r="I80" t="str">
        <f>IF(NOT(AND(IFERROR('Company_Master'!A77&lt;&gt;"",FALSE),AND(ISNUMBER(Financials!C77),ISNUMBER(Financials!E77)))),"—",IF(IFERROR(AND(ISNUMBER(Financials!C77),ISNUMBER(Financials!E77),Financials!C77=0,Financials!E77&gt;0),FALSE),"⚠","✓"))</f>
        <v>✓</v>
      </c>
      <c r="J80" t="str">
        <f>IF(NOT(AND(IFERROR('Company_Master'!A77&lt;&gt;"",FALSE),COUNTIF('Raw_Extract'!A:A,'Company_Master'!A77)&gt;0)),"—",IF(COUNTIFS('Raw_Extract'!A:A,'Company_Master'!A77,'Raw_Extract'!J:J,"Low")&gt;0,"⚠","✓"))</f>
        <v>✓</v>
      </c>
      <c r="K80" t="str">
        <f>IF(NOT(AND(IFERROR('Company_Master'!A77&lt;&gt;"",FALSE),AND(ISNUMBER(Financials!E77),ISNUMBER(Financials!AP77)))),"—",IF(IFERROR(AND(ISNUMBER(Financials!E77),ISNUMBER(Financials!AP77),Financials!E77&lt;&gt;0,ABS(Financials!E77-Financials!AP77)/ABS(Financials!E77)&gt;0.05),FALSE),"⚠","✓"))</f>
        <v>⚠</v>
      </c>
      <c r="L80" t="str">
        <f>IF(NOT(AND(IFERROR('Company_Master'!A77&lt;&gt;"",FALSE),AND(ISNUMBER(Financials!AR77),ISNUMBER(Financials!S77)))),"—",IF(IFERROR(AND(ISNUMBER(Financials!AR77),ISNUMBER(Financials!S77),Financials!S77&lt;&gt;0,ABS(Financials!AR77-Financials!S77)/MAX(ABS(Financials!S77),1)&gt;0.05),FALSE),"⚠","✓"))</f>
        <v>—</v>
      </c>
      <c r="M80" t="str">
        <f>IF(NOT(AND(IFERROR('Company_Master'!A77&lt;&gt;"",FALSE),AND(ISNUMBER(Asset_Operations!BE77),ISNUMBER(Asset_Operations!AR77)))),"—",IF(IFERROR(AND(ISNUMBER(Asset_Operations!BE77),ISNUMBER(Asset_Operations!AR77),ABS(Asset_Operations!BE77-Asset_Operations!AR77)&gt;0.05),FALSE),"⚠","✓"))</f>
        <v>⚠</v>
      </c>
      <c r="N80" t="str">
        <f>IF(NOT(AND(IFERROR('Company_Master'!A77&lt;&gt;"",FALSE),ISNUMBER(Financials!C77))),"—",IF(IFERROR(AND(ISNUMBER(Financials!C77),OR(Financials!C77&lt;50,Financials!C77&gt;200000)),FALSE),"⚠","✓"))</f>
        <v>✓</v>
      </c>
      <c r="O80">
        <f t="shared" si="4"/>
        <v>3</v>
      </c>
      <c r="P80">
        <f t="shared" si="5"/>
        <v>8</v>
      </c>
      <c r="Q80" t="str">
        <f>IF(NOT(IFERROR('Company_Master'!A77&lt;&gt;"",FALSE)),"",IF(O80&gt;0,"⚠ "&amp;O80&amp;" issue(s) detected",IF(P80=0,"— No data to validate","✓ All "&amp;P80&amp;" checks passed")))</f>
        <v>⚠ 3 issue(s) detected</v>
      </c>
    </row>
    <row r="81" spans="1:17" x14ac:dyDescent="0.3">
      <c r="A81">
        <v>77</v>
      </c>
      <c r="B81" t="str">
        <f>IFERROR('Company_Master'!A78,"")</f>
        <v>PT Sinar Mas Agro Resources and Technology Tbk</v>
      </c>
      <c r="C81" t="str">
        <f>IF(NOT(AND(IFERROR('Company_Master'!A78&lt;&gt;"",FALSE),OR(ISNUMBER(Asset_Operations!B78),ISNUMBER(Asset_Operations!C78),ISNUMBER(Asset_Operations!D78)))),"—",IF(IFERROR(AND(ISNUMBER(Asset_Operations!B78),ISNUMBER(Asset_Operations!C78),ISNUMBER(Asset_Operations!D78),Asset_Operations!B78&gt;0,ABS((Asset_Operations!C78+Asset_Operations!D78)-Asset_Operations!B78)/Asset_Operations!B78&gt;0.02),FALSE),"⚠","✓"))</f>
        <v>✓</v>
      </c>
      <c r="D81" t="str">
        <f>IF(NOT(AND(IFERROR('Company_Master'!A78&lt;&gt;"",FALSE),OR(ISNUMBER(Asset_Operations!B78),ISNUMBER(Asset_Operations!E78),ISNUMBER(Asset_Operations!F78)))),"—",IF(IFERROR(AND(ISNUMBER(Asset_Operations!B78),ISNUMBER(Asset_Operations!E78),ISNUMBER(Asset_Operations!F78),Asset_Operations!B78&gt;0,ABS((Asset_Operations!E78+Asset_Operations!F78)-Asset_Operations!B78)/Asset_Operations!B78&gt;0.02),FALSE),"⚠","✓"))</f>
        <v>✓</v>
      </c>
      <c r="E81" t="str">
        <f>IF(NOT(AND(IFERROR('Company_Master'!A78&lt;&gt;"",FALSE),ISNUMBER(Asset_Operations!AR78))),"—",IF(IFERROR(AND(ISNUMBER(Asset_Operations!AR78),OR(Asset_Operations!AR78&lt;0.15,Asset_Operations!AR78&gt;0.27)),FALSE),"⚠","✓"))</f>
        <v>⚠</v>
      </c>
      <c r="F81" t="str">
        <f>IF(NOT(AND(IFERROR('Company_Master'!A78&lt;&gt;"",FALSE),AND(ISNUMBER(Financials!Q78),ISNUMBER(Financials!R78)))),"—",IF(IFERROR(AND(ISNUMBER(Financials!Q78),ISNUMBER(Financials!R78),ISNUMBER(Financials!S78),ABS((Financials!R78-Financials!Q78)-Financials!S78)/MAX(ABS(Financials!S78),1)&gt;0.05),FALSE),"⚠","✓"))</f>
        <v>✓</v>
      </c>
      <c r="G81" t="str">
        <f>IF(NOT(AND(IFERROR('Company_Master'!A78&lt;&gt;"",FALSE),AND(ISNUMBER(Financials!I78),ISNUMBER(Financials!L78),ISNUMBER(Financials!O78)))),"—",IF(IFERROR(AND(ISNUMBER(Financials!I78),ISNUMBER(Financials!L78),ISNUMBER(Financials!O78),Financials!I78&gt;0,ABS(Financials!I78-(Financials!L78+Financials!O78))/Financials!I78&gt;0.01),FALSE),"⚠","✓"))</f>
        <v>✓</v>
      </c>
      <c r="H81" t="str">
        <f>IF(NOT(AND(IFERROR('Company_Master'!A78&lt;&gt;"",FALSE),AND(ISNUMBER(Financials!E78),ISNUMBER(Financials!F78)))),"—",IF(IFERROR(AND(ISNUMBER(Financials!E78),ISNUMBER(Financials!F78),Financials!E78&lt;Financials!F78),FALSE),"⚠","✓"))</f>
        <v>✓</v>
      </c>
      <c r="I81" t="str">
        <f>IF(NOT(AND(IFERROR('Company_Master'!A78&lt;&gt;"",FALSE),AND(ISNUMBER(Financials!C78),ISNUMBER(Financials!E78)))),"—",IF(IFERROR(AND(ISNUMBER(Financials!C78),ISNUMBER(Financials!E78),Financials!C78=0,Financials!E78&gt;0),FALSE),"⚠","✓"))</f>
        <v>✓</v>
      </c>
      <c r="J81" t="str">
        <f>IF(NOT(AND(IFERROR('Company_Master'!A78&lt;&gt;"",FALSE),COUNTIF('Raw_Extract'!A:A,'Company_Master'!A78)&gt;0)),"—",IF(COUNTIFS('Raw_Extract'!A:A,'Company_Master'!A78,'Raw_Extract'!J:J,"Low")&gt;0,"⚠","✓"))</f>
        <v>✓</v>
      </c>
      <c r="K81" t="str">
        <f>IF(NOT(AND(IFERROR('Company_Master'!A78&lt;&gt;"",FALSE),AND(ISNUMBER(Financials!E78),ISNUMBER(Financials!AP78)))),"—",IF(IFERROR(AND(ISNUMBER(Financials!E78),ISNUMBER(Financials!AP78),Financials!E78&lt;&gt;0,ABS(Financials!E78-Financials!AP78)/ABS(Financials!E78)&gt;0.05),FALSE),"⚠","✓"))</f>
        <v>⚠</v>
      </c>
      <c r="L81" t="str">
        <f>IF(NOT(AND(IFERROR('Company_Master'!A78&lt;&gt;"",FALSE),AND(ISNUMBER(Financials!AR78),ISNUMBER(Financials!S78)))),"—",IF(IFERROR(AND(ISNUMBER(Financials!AR78),ISNUMBER(Financials!S78),Financials!S78&lt;&gt;0,ABS(Financials!AR78-Financials!S78)/MAX(ABS(Financials!S78),1)&gt;0.05),FALSE),"⚠","✓"))</f>
        <v>—</v>
      </c>
      <c r="M81" t="str">
        <f>IF(NOT(AND(IFERROR('Company_Master'!A78&lt;&gt;"",FALSE),AND(ISNUMBER(Asset_Operations!BE78),ISNUMBER(Asset_Operations!AR78)))),"—",IF(IFERROR(AND(ISNUMBER(Asset_Operations!BE78),ISNUMBER(Asset_Operations!AR78),ABS(Asset_Operations!BE78-Asset_Operations!AR78)&gt;0.05),FALSE),"⚠","✓"))</f>
        <v>⚠</v>
      </c>
      <c r="N81" t="str">
        <f>IF(NOT(AND(IFERROR('Company_Master'!A78&lt;&gt;"",FALSE),ISNUMBER(Financials!C78))),"—",IF(IFERROR(AND(ISNUMBER(Financials!C78),OR(Financials!C78&lt;50,Financials!C78&gt;200000)),FALSE),"⚠","✓"))</f>
        <v>✓</v>
      </c>
      <c r="O81">
        <f t="shared" si="4"/>
        <v>3</v>
      </c>
      <c r="P81">
        <f t="shared" si="5"/>
        <v>8</v>
      </c>
      <c r="Q81" t="str">
        <f>IF(NOT(IFERROR('Company_Master'!A78&lt;&gt;"",FALSE)),"",IF(O81&gt;0,"⚠ "&amp;O81&amp;" issue(s) detected",IF(P81=0,"— No data to validate","✓ All "&amp;P81&amp;" checks passed")))</f>
        <v>⚠ 3 issue(s) detected</v>
      </c>
    </row>
    <row r="82" spans="1:17" x14ac:dyDescent="0.3">
      <c r="A82">
        <v>78</v>
      </c>
      <c r="B82" t="str">
        <f>IFERROR('Company_Master'!A79,"")</f>
        <v>PT Sinar Mas Agro Resources and Technology Tbk</v>
      </c>
      <c r="C82" t="str">
        <f>IF(NOT(AND(IFERROR('Company_Master'!A79&lt;&gt;"",FALSE),OR(ISNUMBER(Asset_Operations!B79),ISNUMBER(Asset_Operations!C79),ISNUMBER(Asset_Operations!D79)))),"—",IF(IFERROR(AND(ISNUMBER(Asset_Operations!B79),ISNUMBER(Asset_Operations!C79),ISNUMBER(Asset_Operations!D79),Asset_Operations!B79&gt;0,ABS((Asset_Operations!C79+Asset_Operations!D79)-Asset_Operations!B79)/Asset_Operations!B79&gt;0.02),FALSE),"⚠","✓"))</f>
        <v>✓</v>
      </c>
      <c r="D82" t="str">
        <f>IF(NOT(AND(IFERROR('Company_Master'!A79&lt;&gt;"",FALSE),OR(ISNUMBER(Asset_Operations!B79),ISNUMBER(Asset_Operations!E79),ISNUMBER(Asset_Operations!F79)))),"—",IF(IFERROR(AND(ISNUMBER(Asset_Operations!B79),ISNUMBER(Asset_Operations!E79),ISNUMBER(Asset_Operations!F79),Asset_Operations!B79&gt;0,ABS((Asset_Operations!E79+Asset_Operations!F79)-Asset_Operations!B79)/Asset_Operations!B79&gt;0.02),FALSE),"⚠","✓"))</f>
        <v>✓</v>
      </c>
      <c r="E82" t="str">
        <f>IF(NOT(AND(IFERROR('Company_Master'!A79&lt;&gt;"",FALSE),ISNUMBER(Asset_Operations!AR79))),"—",IF(IFERROR(AND(ISNUMBER(Asset_Operations!AR79),OR(Asset_Operations!AR79&lt;0.15,Asset_Operations!AR79&gt;0.27)),FALSE),"⚠","✓"))</f>
        <v>⚠</v>
      </c>
      <c r="F82" t="str">
        <f>IF(NOT(AND(IFERROR('Company_Master'!A79&lt;&gt;"",FALSE),AND(ISNUMBER(Financials!Q79),ISNUMBER(Financials!R79)))),"—",IF(IFERROR(AND(ISNUMBER(Financials!Q79),ISNUMBER(Financials!R79),ISNUMBER(Financials!S79),ABS((Financials!R79-Financials!Q79)-Financials!S79)/MAX(ABS(Financials!S79),1)&gt;0.05),FALSE),"⚠","✓"))</f>
        <v>✓</v>
      </c>
      <c r="G82" t="str">
        <f>IF(NOT(AND(IFERROR('Company_Master'!A79&lt;&gt;"",FALSE),AND(ISNUMBER(Financials!I79),ISNUMBER(Financials!L79),ISNUMBER(Financials!O79)))),"—",IF(IFERROR(AND(ISNUMBER(Financials!I79),ISNUMBER(Financials!L79),ISNUMBER(Financials!O79),Financials!I79&gt;0,ABS(Financials!I79-(Financials!L79+Financials!O79))/Financials!I79&gt;0.01),FALSE),"⚠","✓"))</f>
        <v>✓</v>
      </c>
      <c r="H82" t="str">
        <f>IF(NOT(AND(IFERROR('Company_Master'!A79&lt;&gt;"",FALSE),AND(ISNUMBER(Financials!E79),ISNUMBER(Financials!F79)))),"—",IF(IFERROR(AND(ISNUMBER(Financials!E79),ISNUMBER(Financials!F79),Financials!E79&lt;Financials!F79),FALSE),"⚠","✓"))</f>
        <v>✓</v>
      </c>
      <c r="I82" t="str">
        <f>IF(NOT(AND(IFERROR('Company_Master'!A79&lt;&gt;"",FALSE),AND(ISNUMBER(Financials!C79),ISNUMBER(Financials!E79)))),"—",IF(IFERROR(AND(ISNUMBER(Financials!C79),ISNUMBER(Financials!E79),Financials!C79=0,Financials!E79&gt;0),FALSE),"⚠","✓"))</f>
        <v>✓</v>
      </c>
      <c r="J82" t="str">
        <f>IF(NOT(AND(IFERROR('Company_Master'!A79&lt;&gt;"",FALSE),COUNTIF('Raw_Extract'!A:A,'Company_Master'!A79)&gt;0)),"—",IF(COUNTIFS('Raw_Extract'!A:A,'Company_Master'!A79,'Raw_Extract'!J:J,"Low")&gt;0,"⚠","✓"))</f>
        <v>✓</v>
      </c>
      <c r="K82" t="str">
        <f>IF(NOT(AND(IFERROR('Company_Master'!A79&lt;&gt;"",FALSE),AND(ISNUMBER(Financials!E79),ISNUMBER(Financials!AP79)))),"—",IF(IFERROR(AND(ISNUMBER(Financials!E79),ISNUMBER(Financials!AP79),Financials!E79&lt;&gt;0,ABS(Financials!E79-Financials!AP79)/ABS(Financials!E79)&gt;0.05),FALSE),"⚠","✓"))</f>
        <v>⚠</v>
      </c>
      <c r="L82" t="str">
        <f>IF(NOT(AND(IFERROR('Company_Master'!A79&lt;&gt;"",FALSE),AND(ISNUMBER(Financials!AR79),ISNUMBER(Financials!S79)))),"—",IF(IFERROR(AND(ISNUMBER(Financials!AR79),ISNUMBER(Financials!S79),Financials!S79&lt;&gt;0,ABS(Financials!AR79-Financials!S79)/MAX(ABS(Financials!S79),1)&gt;0.05),FALSE),"⚠","✓"))</f>
        <v>—</v>
      </c>
      <c r="M82" t="str">
        <f>IF(NOT(AND(IFERROR('Company_Master'!A79&lt;&gt;"",FALSE),AND(ISNUMBER(Asset_Operations!BE79),ISNUMBER(Asset_Operations!AR79)))),"—",IF(IFERROR(AND(ISNUMBER(Asset_Operations!BE79),ISNUMBER(Asset_Operations!AR79),ABS(Asset_Operations!BE79-Asset_Operations!AR79)&gt;0.05),FALSE),"⚠","✓"))</f>
        <v>⚠</v>
      </c>
      <c r="N82" t="str">
        <f>IF(NOT(AND(IFERROR('Company_Master'!A79&lt;&gt;"",FALSE),ISNUMBER(Financials!C79))),"—",IF(IFERROR(AND(ISNUMBER(Financials!C79),OR(Financials!C79&lt;50,Financials!C79&gt;200000)),FALSE),"⚠","✓"))</f>
        <v>✓</v>
      </c>
      <c r="O82">
        <f t="shared" si="4"/>
        <v>3</v>
      </c>
      <c r="P82">
        <f t="shared" si="5"/>
        <v>8</v>
      </c>
      <c r="Q82" t="str">
        <f>IF(NOT(IFERROR('Company_Master'!A79&lt;&gt;"",FALSE)),"",IF(O82&gt;0,"⚠ "&amp;O82&amp;" issue(s) detected",IF(P82=0,"— No data to validate","✓ All "&amp;P82&amp;" checks passed")))</f>
        <v>⚠ 3 issue(s) detected</v>
      </c>
    </row>
    <row r="83" spans="1:17" x14ac:dyDescent="0.3">
      <c r="A83">
        <v>79</v>
      </c>
      <c r="B83" t="str">
        <f>IFERROR('Company_Master'!A80,"")</f>
        <v>PT Sawit Sumbermas Sarana Tbk</v>
      </c>
      <c r="C83" t="str">
        <f>IF(NOT(AND(IFERROR('Company_Master'!A80&lt;&gt;"",FALSE),OR(ISNUMBER(Asset_Operations!B80),ISNUMBER(Asset_Operations!C80),ISNUMBER(Asset_Operations!D80)))),"—",IF(IFERROR(AND(ISNUMBER(Asset_Operations!B80),ISNUMBER(Asset_Operations!C80),ISNUMBER(Asset_Operations!D80),Asset_Operations!B80&gt;0,ABS((Asset_Operations!C80+Asset_Operations!D80)-Asset_Operations!B80)/Asset_Operations!B80&gt;0.02),FALSE),"⚠","✓"))</f>
        <v>✓</v>
      </c>
      <c r="D83" t="str">
        <f>IF(NOT(AND(IFERROR('Company_Master'!A80&lt;&gt;"",FALSE),OR(ISNUMBER(Asset_Operations!B80),ISNUMBER(Asset_Operations!E80),ISNUMBER(Asset_Operations!F80)))),"—",IF(IFERROR(AND(ISNUMBER(Asset_Operations!B80),ISNUMBER(Asset_Operations!E80),ISNUMBER(Asset_Operations!F80),Asset_Operations!B80&gt;0,ABS((Asset_Operations!E80+Asset_Operations!F80)-Asset_Operations!B80)/Asset_Operations!B80&gt;0.02),FALSE),"⚠","✓"))</f>
        <v>✓</v>
      </c>
      <c r="E83" t="str">
        <f>IF(NOT(AND(IFERROR('Company_Master'!A80&lt;&gt;"",FALSE),ISNUMBER(Asset_Operations!AR80))),"—",IF(IFERROR(AND(ISNUMBER(Asset_Operations!AR80),OR(Asset_Operations!AR80&lt;0.15,Asset_Operations!AR80&gt;0.27)),FALSE),"⚠","✓"))</f>
        <v>✓</v>
      </c>
      <c r="F83" t="str">
        <f>IF(NOT(AND(IFERROR('Company_Master'!A80&lt;&gt;"",FALSE),AND(ISNUMBER(Financials!Q80),ISNUMBER(Financials!R80)))),"—",IF(IFERROR(AND(ISNUMBER(Financials!Q80),ISNUMBER(Financials!R80),ISNUMBER(Financials!S80),ABS((Financials!R80-Financials!Q80)-Financials!S80)/MAX(ABS(Financials!S80),1)&gt;0.05),FALSE),"⚠","✓"))</f>
        <v>✓</v>
      </c>
      <c r="G83" t="str">
        <f>IF(NOT(AND(IFERROR('Company_Master'!A80&lt;&gt;"",FALSE),AND(ISNUMBER(Financials!I80),ISNUMBER(Financials!L80),ISNUMBER(Financials!O80)))),"—",IF(IFERROR(AND(ISNUMBER(Financials!I80),ISNUMBER(Financials!L80),ISNUMBER(Financials!O80),Financials!I80&gt;0,ABS(Financials!I80-(Financials!L80+Financials!O80))/Financials!I80&gt;0.01),FALSE),"⚠","✓"))</f>
        <v>✓</v>
      </c>
      <c r="H83" t="str">
        <f>IF(NOT(AND(IFERROR('Company_Master'!A80&lt;&gt;"",FALSE),AND(ISNUMBER(Financials!E80),ISNUMBER(Financials!F80)))),"—",IF(IFERROR(AND(ISNUMBER(Financials!E80),ISNUMBER(Financials!F80),Financials!E80&lt;Financials!F80),FALSE),"⚠","✓"))</f>
        <v>—</v>
      </c>
      <c r="I83" t="str">
        <f>IF(NOT(AND(IFERROR('Company_Master'!A80&lt;&gt;"",FALSE),AND(ISNUMBER(Financials!C80),ISNUMBER(Financials!E80)))),"—",IF(IFERROR(AND(ISNUMBER(Financials!C80),ISNUMBER(Financials!E80),Financials!C80=0,Financials!E80&gt;0),FALSE),"⚠","✓"))</f>
        <v>—</v>
      </c>
      <c r="J83" t="str">
        <f>IF(NOT(AND(IFERROR('Company_Master'!A80&lt;&gt;"",FALSE),COUNTIF('Raw_Extract'!A:A,'Company_Master'!A80)&gt;0)),"—",IF(COUNTIFS('Raw_Extract'!A:A,'Company_Master'!A80,'Raw_Extract'!J:J,"Low")&gt;0,"⚠","✓"))</f>
        <v>✓</v>
      </c>
      <c r="K83" t="str">
        <f>IF(NOT(AND(IFERROR('Company_Master'!A80&lt;&gt;"",FALSE),AND(ISNUMBER(Financials!E80),ISNUMBER(Financials!AP80)))),"—",IF(IFERROR(AND(ISNUMBER(Financials!E80),ISNUMBER(Financials!AP80),Financials!E80&lt;&gt;0,ABS(Financials!E80-Financials!AP80)/ABS(Financials!E80)&gt;0.05),FALSE),"⚠","✓"))</f>
        <v>—</v>
      </c>
      <c r="L83" t="str">
        <f>IF(NOT(AND(IFERROR('Company_Master'!A80&lt;&gt;"",FALSE),AND(ISNUMBER(Financials!AR80),ISNUMBER(Financials!S80)))),"—",IF(IFERROR(AND(ISNUMBER(Financials!AR80),ISNUMBER(Financials!S80),Financials!S80&lt;&gt;0,ABS(Financials!AR80-Financials!S80)/MAX(ABS(Financials!S80),1)&gt;0.05),FALSE),"⚠","✓"))</f>
        <v>—</v>
      </c>
      <c r="M83" t="str">
        <f>IF(NOT(AND(IFERROR('Company_Master'!A80&lt;&gt;"",FALSE),AND(ISNUMBER(Asset_Operations!BE80),ISNUMBER(Asset_Operations!AR80)))),"—",IF(IFERROR(AND(ISNUMBER(Asset_Operations!BE80),ISNUMBER(Asset_Operations!AR80),ABS(Asset_Operations!BE80-Asset_Operations!AR80)&gt;0.05),FALSE),"⚠","✓"))</f>
        <v>✓</v>
      </c>
      <c r="N83" t="str">
        <f>IF(NOT(AND(IFERROR('Company_Master'!A80&lt;&gt;"",FALSE),ISNUMBER(Financials!C80))),"—",IF(IFERROR(AND(ISNUMBER(Financials!C80),OR(Financials!C80&lt;50,Financials!C80&gt;200000)),FALSE),"⚠","✓"))</f>
        <v>✓</v>
      </c>
      <c r="O83">
        <f t="shared" si="4"/>
        <v>0</v>
      </c>
      <c r="P83">
        <f t="shared" si="5"/>
        <v>8</v>
      </c>
      <c r="Q83" t="str">
        <f>IF(NOT(IFERROR('Company_Master'!A80&lt;&gt;"",FALSE)),"",IF(O83&gt;0,"⚠ "&amp;O83&amp;" issue(s) detected",IF(P83=0,"— No data to validate","✓ All "&amp;P83&amp;" checks passed")))</f>
        <v>✓ All 8 checks passed</v>
      </c>
    </row>
    <row r="84" spans="1:17" x14ac:dyDescent="0.3">
      <c r="A84">
        <v>80</v>
      </c>
      <c r="B84" t="str">
        <f>IFERROR('Company_Master'!A81,"")</f>
        <v>PT Sawit Sumbermas Sarana Tbk</v>
      </c>
      <c r="C84" t="str">
        <f>IF(NOT(AND(IFERROR('Company_Master'!A81&lt;&gt;"",FALSE),OR(ISNUMBER(Asset_Operations!B81),ISNUMBER(Asset_Operations!C81),ISNUMBER(Asset_Operations!D81)))),"—",IF(IFERROR(AND(ISNUMBER(Asset_Operations!B81),ISNUMBER(Asset_Operations!C81),ISNUMBER(Asset_Operations!D81),Asset_Operations!B81&gt;0,ABS((Asset_Operations!C81+Asset_Operations!D81)-Asset_Operations!B81)/Asset_Operations!B81&gt;0.02),FALSE),"⚠","✓"))</f>
        <v>✓</v>
      </c>
      <c r="D84" t="str">
        <f>IF(NOT(AND(IFERROR('Company_Master'!A81&lt;&gt;"",FALSE),OR(ISNUMBER(Asset_Operations!B81),ISNUMBER(Asset_Operations!E81),ISNUMBER(Asset_Operations!F81)))),"—",IF(IFERROR(AND(ISNUMBER(Asset_Operations!B81),ISNUMBER(Asset_Operations!E81),ISNUMBER(Asset_Operations!F81),Asset_Operations!B81&gt;0,ABS((Asset_Operations!E81+Asset_Operations!F81)-Asset_Operations!B81)/Asset_Operations!B81&gt;0.02),FALSE),"⚠","✓"))</f>
        <v>⚠</v>
      </c>
      <c r="E84" t="str">
        <f>IF(NOT(AND(IFERROR('Company_Master'!A81&lt;&gt;"",FALSE),ISNUMBER(Asset_Operations!AR81))),"—",IF(IFERROR(AND(ISNUMBER(Asset_Operations!AR81),OR(Asset_Operations!AR81&lt;0.15,Asset_Operations!AR81&gt;0.27)),FALSE),"⚠","✓"))</f>
        <v>✓</v>
      </c>
      <c r="F84" t="str">
        <f>IF(NOT(AND(IFERROR('Company_Master'!A81&lt;&gt;"",FALSE),AND(ISNUMBER(Financials!Q81),ISNUMBER(Financials!R81)))),"—",IF(IFERROR(AND(ISNUMBER(Financials!Q81),ISNUMBER(Financials!R81),ISNUMBER(Financials!S81),ABS((Financials!R81-Financials!Q81)-Financials!S81)/MAX(ABS(Financials!S81),1)&gt;0.05),FALSE),"⚠","✓"))</f>
        <v>✓</v>
      </c>
      <c r="G84" t="str">
        <f>IF(NOT(AND(IFERROR('Company_Master'!A81&lt;&gt;"",FALSE),AND(ISNUMBER(Financials!I81),ISNUMBER(Financials!L81),ISNUMBER(Financials!O81)))),"—",IF(IFERROR(AND(ISNUMBER(Financials!I81),ISNUMBER(Financials!L81),ISNUMBER(Financials!O81),Financials!I81&gt;0,ABS(Financials!I81-(Financials!L81+Financials!O81))/Financials!I81&gt;0.01),FALSE),"⚠","✓"))</f>
        <v>✓</v>
      </c>
      <c r="H84" t="str">
        <f>IF(NOT(AND(IFERROR('Company_Master'!A81&lt;&gt;"",FALSE),AND(ISNUMBER(Financials!E81),ISNUMBER(Financials!F81)))),"—",IF(IFERROR(AND(ISNUMBER(Financials!E81),ISNUMBER(Financials!F81),Financials!E81&lt;Financials!F81),FALSE),"⚠","✓"))</f>
        <v>—</v>
      </c>
      <c r="I84" t="str">
        <f>IF(NOT(AND(IFERROR('Company_Master'!A81&lt;&gt;"",FALSE),AND(ISNUMBER(Financials!C81),ISNUMBER(Financials!E81)))),"—",IF(IFERROR(AND(ISNUMBER(Financials!C81),ISNUMBER(Financials!E81),Financials!C81=0,Financials!E81&gt;0),FALSE),"⚠","✓"))</f>
        <v>—</v>
      </c>
      <c r="J84" t="str">
        <f>IF(NOT(AND(IFERROR('Company_Master'!A81&lt;&gt;"",FALSE),COUNTIF('Raw_Extract'!A:A,'Company_Master'!A81)&gt;0)),"—",IF(COUNTIFS('Raw_Extract'!A:A,'Company_Master'!A81,'Raw_Extract'!J:J,"Low")&gt;0,"⚠","✓"))</f>
        <v>✓</v>
      </c>
      <c r="K84" t="str">
        <f>IF(NOT(AND(IFERROR('Company_Master'!A81&lt;&gt;"",FALSE),AND(ISNUMBER(Financials!E81),ISNUMBER(Financials!AP81)))),"—",IF(IFERROR(AND(ISNUMBER(Financials!E81),ISNUMBER(Financials!AP81),Financials!E81&lt;&gt;0,ABS(Financials!E81-Financials!AP81)/ABS(Financials!E81)&gt;0.05),FALSE),"⚠","✓"))</f>
        <v>—</v>
      </c>
      <c r="L84" t="str">
        <f>IF(NOT(AND(IFERROR('Company_Master'!A81&lt;&gt;"",FALSE),AND(ISNUMBER(Financials!AR81),ISNUMBER(Financials!S81)))),"—",IF(IFERROR(AND(ISNUMBER(Financials!AR81),ISNUMBER(Financials!S81),Financials!S81&lt;&gt;0,ABS(Financials!AR81-Financials!S81)/MAX(ABS(Financials!S81),1)&gt;0.05),FALSE),"⚠","✓"))</f>
        <v>—</v>
      </c>
      <c r="M84" t="str">
        <f>IF(NOT(AND(IFERROR('Company_Master'!A81&lt;&gt;"",FALSE),AND(ISNUMBER(Asset_Operations!BE81),ISNUMBER(Asset_Operations!AR81)))),"—",IF(IFERROR(AND(ISNUMBER(Asset_Operations!BE81),ISNUMBER(Asset_Operations!AR81),ABS(Asset_Operations!BE81-Asset_Operations!AR81)&gt;0.05),FALSE),"⚠","✓"))</f>
        <v>✓</v>
      </c>
      <c r="N84" t="str">
        <f>IF(NOT(AND(IFERROR('Company_Master'!A81&lt;&gt;"",FALSE),ISNUMBER(Financials!C81))),"—",IF(IFERROR(AND(ISNUMBER(Financials!C81),OR(Financials!C81&lt;50,Financials!C81&gt;200000)),FALSE),"⚠","✓"))</f>
        <v>✓</v>
      </c>
      <c r="O84">
        <f t="shared" si="4"/>
        <v>1</v>
      </c>
      <c r="P84">
        <f t="shared" si="5"/>
        <v>7</v>
      </c>
      <c r="Q84" t="str">
        <f>IF(NOT(IFERROR('Company_Master'!A81&lt;&gt;"",FALSE)),"",IF(O84&gt;0,"⚠ "&amp;O84&amp;" issue(s) detected",IF(P84=0,"— No data to validate","✓ All "&amp;P84&amp;" checks passed")))</f>
        <v>⚠ 1 issue(s) detected</v>
      </c>
    </row>
    <row r="85" spans="1:17" x14ac:dyDescent="0.3">
      <c r="A85">
        <v>81</v>
      </c>
      <c r="B85" t="str">
        <f>IFERROR('Company_Master'!A82,"")</f>
        <v>PT Sawit Sumbermas Sarana Tbk</v>
      </c>
      <c r="C85" t="str">
        <f>IF(NOT(AND(IFERROR('Company_Master'!A82&lt;&gt;"",FALSE),OR(ISNUMBER(Asset_Operations!B82),ISNUMBER(Asset_Operations!C82),ISNUMBER(Asset_Operations!D82)))),"—",IF(IFERROR(AND(ISNUMBER(Asset_Operations!B82),ISNUMBER(Asset_Operations!C82),ISNUMBER(Asset_Operations!D82),Asset_Operations!B82&gt;0,ABS((Asset_Operations!C82+Asset_Operations!D82)-Asset_Operations!B82)/Asset_Operations!B82&gt;0.02),FALSE),"⚠","✓"))</f>
        <v>⚠</v>
      </c>
      <c r="D85" t="str">
        <f>IF(NOT(AND(IFERROR('Company_Master'!A82&lt;&gt;"",FALSE),OR(ISNUMBER(Asset_Operations!B82),ISNUMBER(Asset_Operations!E82),ISNUMBER(Asset_Operations!F82)))),"—",IF(IFERROR(AND(ISNUMBER(Asset_Operations!B82),ISNUMBER(Asset_Operations!E82),ISNUMBER(Asset_Operations!F82),Asset_Operations!B82&gt;0,ABS((Asset_Operations!E82+Asset_Operations!F82)-Asset_Operations!B82)/Asset_Operations!B82&gt;0.02),FALSE),"⚠","✓"))</f>
        <v>⚠</v>
      </c>
      <c r="E85" t="str">
        <f>IF(NOT(AND(IFERROR('Company_Master'!A82&lt;&gt;"",FALSE),ISNUMBER(Asset_Operations!AR82))),"—",IF(IFERROR(AND(ISNUMBER(Asset_Operations!AR82),OR(Asset_Operations!AR82&lt;0.15,Asset_Operations!AR82&gt;0.27)),FALSE),"⚠","✓"))</f>
        <v>✓</v>
      </c>
      <c r="F85" t="str">
        <f>IF(NOT(AND(IFERROR('Company_Master'!A82&lt;&gt;"",FALSE),AND(ISNUMBER(Financials!Q82),ISNUMBER(Financials!R82)))),"—",IF(IFERROR(AND(ISNUMBER(Financials!Q82),ISNUMBER(Financials!R82),ISNUMBER(Financials!S82),ABS((Financials!R82-Financials!Q82)-Financials!S82)/MAX(ABS(Financials!S82),1)&gt;0.05),FALSE),"⚠","✓"))</f>
        <v>✓</v>
      </c>
      <c r="G85" t="str">
        <f>IF(NOT(AND(IFERROR('Company_Master'!A82&lt;&gt;"",FALSE),AND(ISNUMBER(Financials!I82),ISNUMBER(Financials!L82),ISNUMBER(Financials!O82)))),"—",IF(IFERROR(AND(ISNUMBER(Financials!I82),ISNUMBER(Financials!L82),ISNUMBER(Financials!O82),Financials!I82&gt;0,ABS(Financials!I82-(Financials!L82+Financials!O82))/Financials!I82&gt;0.01),FALSE),"⚠","✓"))</f>
        <v>✓</v>
      </c>
      <c r="H85" t="str">
        <f>IF(NOT(AND(IFERROR('Company_Master'!A82&lt;&gt;"",FALSE),AND(ISNUMBER(Financials!E82),ISNUMBER(Financials!F82)))),"—",IF(IFERROR(AND(ISNUMBER(Financials!E82),ISNUMBER(Financials!F82),Financials!E82&lt;Financials!F82),FALSE),"⚠","✓"))</f>
        <v>—</v>
      </c>
      <c r="I85" t="str">
        <f>IF(NOT(AND(IFERROR('Company_Master'!A82&lt;&gt;"",FALSE),AND(ISNUMBER(Financials!C82),ISNUMBER(Financials!E82)))),"—",IF(IFERROR(AND(ISNUMBER(Financials!C82),ISNUMBER(Financials!E82),Financials!C82=0,Financials!E82&gt;0),FALSE),"⚠","✓"))</f>
        <v>—</v>
      </c>
      <c r="J85" t="str">
        <f>IF(NOT(AND(IFERROR('Company_Master'!A82&lt;&gt;"",FALSE),COUNTIF('Raw_Extract'!A:A,'Company_Master'!A82)&gt;0)),"—",IF(COUNTIFS('Raw_Extract'!A:A,'Company_Master'!A82,'Raw_Extract'!J:J,"Low")&gt;0,"⚠","✓"))</f>
        <v>✓</v>
      </c>
      <c r="K85" t="str">
        <f>IF(NOT(AND(IFERROR('Company_Master'!A82&lt;&gt;"",FALSE),AND(ISNUMBER(Financials!E82),ISNUMBER(Financials!AP82)))),"—",IF(IFERROR(AND(ISNUMBER(Financials!E82),ISNUMBER(Financials!AP82),Financials!E82&lt;&gt;0,ABS(Financials!E82-Financials!AP82)/ABS(Financials!E82)&gt;0.05),FALSE),"⚠","✓"))</f>
        <v>—</v>
      </c>
      <c r="L85" t="str">
        <f>IF(NOT(AND(IFERROR('Company_Master'!A82&lt;&gt;"",FALSE),AND(ISNUMBER(Financials!AR82),ISNUMBER(Financials!S82)))),"—",IF(IFERROR(AND(ISNUMBER(Financials!AR82),ISNUMBER(Financials!S82),Financials!S82&lt;&gt;0,ABS(Financials!AR82-Financials!S82)/MAX(ABS(Financials!S82),1)&gt;0.05),FALSE),"⚠","✓"))</f>
        <v>—</v>
      </c>
      <c r="M85" t="str">
        <f>IF(NOT(AND(IFERROR('Company_Master'!A82&lt;&gt;"",FALSE),AND(ISNUMBER(Asset_Operations!BE82),ISNUMBER(Asset_Operations!AR82)))),"—",IF(IFERROR(AND(ISNUMBER(Asset_Operations!BE82),ISNUMBER(Asset_Operations!AR82),ABS(Asset_Operations!BE82-Asset_Operations!AR82)&gt;0.05),FALSE),"⚠","✓"))</f>
        <v>✓</v>
      </c>
      <c r="N85" t="str">
        <f>IF(NOT(AND(IFERROR('Company_Master'!A82&lt;&gt;"",FALSE),ISNUMBER(Financials!C82))),"—",IF(IFERROR(AND(ISNUMBER(Financials!C82),OR(Financials!C82&lt;50,Financials!C82&gt;200000)),FALSE),"⚠","✓"))</f>
        <v>✓</v>
      </c>
      <c r="O85">
        <f t="shared" si="4"/>
        <v>2</v>
      </c>
      <c r="P85">
        <f t="shared" si="5"/>
        <v>6</v>
      </c>
      <c r="Q85" t="str">
        <f>IF(NOT(IFERROR('Company_Master'!A82&lt;&gt;"",FALSE)),"",IF(O85&gt;0,"⚠ "&amp;O85&amp;" issue(s) detected",IF(P85=0,"— No data to validate","✓ All "&amp;P85&amp;" checks passed")))</f>
        <v>⚠ 2 issue(s) detected</v>
      </c>
    </row>
    <row r="86" spans="1:17" x14ac:dyDescent="0.3">
      <c r="A86">
        <v>82</v>
      </c>
      <c r="B86" t="str">
        <f>IFERROR('Company_Master'!A83,"")</f>
        <v>PT Triputra Agro Persada Tbk</v>
      </c>
      <c r="C86" t="str">
        <f>IF(NOT(AND(IFERROR('Company_Master'!A83&lt;&gt;"",FALSE),OR(ISNUMBER(Asset_Operations!B83),ISNUMBER(Asset_Operations!C83),ISNUMBER(Asset_Operations!D83)))),"—",IF(IFERROR(AND(ISNUMBER(Asset_Operations!B83),ISNUMBER(Asset_Operations!C83),ISNUMBER(Asset_Operations!D83),Asset_Operations!B83&gt;0,ABS((Asset_Operations!C83+Asset_Operations!D83)-Asset_Operations!B83)/Asset_Operations!B83&gt;0.02),FALSE),"⚠","✓"))</f>
        <v>✓</v>
      </c>
      <c r="D86" t="str">
        <f>IF(NOT(AND(IFERROR('Company_Master'!A83&lt;&gt;"",FALSE),OR(ISNUMBER(Asset_Operations!B83),ISNUMBER(Asset_Operations!E83),ISNUMBER(Asset_Operations!F83)))),"—",IF(IFERROR(AND(ISNUMBER(Asset_Operations!B83),ISNUMBER(Asset_Operations!E83),ISNUMBER(Asset_Operations!F83),Asset_Operations!B83&gt;0,ABS((Asset_Operations!E83+Asset_Operations!F83)-Asset_Operations!B83)/Asset_Operations!B83&gt;0.02),FALSE),"⚠","✓"))</f>
        <v>⚠</v>
      </c>
      <c r="E86" t="str">
        <f>IF(NOT(AND(IFERROR('Company_Master'!A83&lt;&gt;"",FALSE),ISNUMBER(Asset_Operations!AR83))),"—",IF(IFERROR(AND(ISNUMBER(Asset_Operations!AR83),OR(Asset_Operations!AR83&lt;0.15,Asset_Operations!AR83&gt;0.27)),FALSE),"⚠","✓"))</f>
        <v>✓</v>
      </c>
      <c r="F86" t="str">
        <f>IF(NOT(AND(IFERROR('Company_Master'!A83&lt;&gt;"",FALSE),AND(ISNUMBER(Financials!Q83),ISNUMBER(Financials!R83)))),"—",IF(IFERROR(AND(ISNUMBER(Financials!Q83),ISNUMBER(Financials!R83),ISNUMBER(Financials!S83),ABS((Financials!R83-Financials!Q83)-Financials!S83)/MAX(ABS(Financials!S83),1)&gt;0.05),FALSE),"⚠","✓"))</f>
        <v>✓</v>
      </c>
      <c r="G86" t="str">
        <f>IF(NOT(AND(IFERROR('Company_Master'!A83&lt;&gt;"",FALSE),AND(ISNUMBER(Financials!I83),ISNUMBER(Financials!L83),ISNUMBER(Financials!O83)))),"—",IF(IFERROR(AND(ISNUMBER(Financials!I83),ISNUMBER(Financials!L83),ISNUMBER(Financials!O83),Financials!I83&gt;0,ABS(Financials!I83-(Financials!L83+Financials!O83))/Financials!I83&gt;0.01),FALSE),"⚠","✓"))</f>
        <v>✓</v>
      </c>
      <c r="H86" t="str">
        <f>IF(NOT(AND(IFERROR('Company_Master'!A83&lt;&gt;"",FALSE),AND(ISNUMBER(Financials!E83),ISNUMBER(Financials!F83)))),"—",IF(IFERROR(AND(ISNUMBER(Financials!E83),ISNUMBER(Financials!F83),Financials!E83&lt;Financials!F83),FALSE),"⚠","✓"))</f>
        <v>—</v>
      </c>
      <c r="I86" t="str">
        <f>IF(NOT(AND(IFERROR('Company_Master'!A83&lt;&gt;"",FALSE),AND(ISNUMBER(Financials!C83),ISNUMBER(Financials!E83)))),"—",IF(IFERROR(AND(ISNUMBER(Financials!C83),ISNUMBER(Financials!E83),Financials!C83=0,Financials!E83&gt;0),FALSE),"⚠","✓"))</f>
        <v>—</v>
      </c>
      <c r="J86" t="str">
        <f>IF(NOT(AND(IFERROR('Company_Master'!A83&lt;&gt;"",FALSE),COUNTIF('Raw_Extract'!A:A,'Company_Master'!A83)&gt;0)),"—",IF(COUNTIFS('Raw_Extract'!A:A,'Company_Master'!A83,'Raw_Extract'!J:J,"Low")&gt;0,"⚠","✓"))</f>
        <v>✓</v>
      </c>
      <c r="K86" t="str">
        <f>IF(NOT(AND(IFERROR('Company_Master'!A83&lt;&gt;"",FALSE),AND(ISNUMBER(Financials!E83),ISNUMBER(Financials!AP83)))),"—",IF(IFERROR(AND(ISNUMBER(Financials!E83),ISNUMBER(Financials!AP83),Financials!E83&lt;&gt;0,ABS(Financials!E83-Financials!AP83)/ABS(Financials!E83)&gt;0.05),FALSE),"⚠","✓"))</f>
        <v>—</v>
      </c>
      <c r="L86" t="str">
        <f>IF(NOT(AND(IFERROR('Company_Master'!A83&lt;&gt;"",FALSE),AND(ISNUMBER(Financials!AR83),ISNUMBER(Financials!S83)))),"—",IF(IFERROR(AND(ISNUMBER(Financials!AR83),ISNUMBER(Financials!S83),Financials!S83&lt;&gt;0,ABS(Financials!AR83-Financials!S83)/MAX(ABS(Financials!S83),1)&gt;0.05),FALSE),"⚠","✓"))</f>
        <v>—</v>
      </c>
      <c r="M86" t="str">
        <f>IF(NOT(AND(IFERROR('Company_Master'!A83&lt;&gt;"",FALSE),AND(ISNUMBER(Asset_Operations!BE83),ISNUMBER(Asset_Operations!AR83)))),"—",IF(IFERROR(AND(ISNUMBER(Asset_Operations!BE83),ISNUMBER(Asset_Operations!AR83),ABS(Asset_Operations!BE83-Asset_Operations!AR83)&gt;0.05),FALSE),"⚠","✓"))</f>
        <v>✓</v>
      </c>
      <c r="N86" t="str">
        <f>IF(NOT(AND(IFERROR('Company_Master'!A83&lt;&gt;"",FALSE),ISNUMBER(Financials!C83))),"—",IF(IFERROR(AND(ISNUMBER(Financials!C83),OR(Financials!C83&lt;50,Financials!C83&gt;200000)),FALSE),"⚠","✓"))</f>
        <v>✓</v>
      </c>
      <c r="O86">
        <f t="shared" si="4"/>
        <v>1</v>
      </c>
      <c r="P86">
        <f t="shared" si="5"/>
        <v>7</v>
      </c>
      <c r="Q86" t="str">
        <f>IF(NOT(IFERROR('Company_Master'!A83&lt;&gt;"",FALSE)),"",IF(O86&gt;0,"⚠ "&amp;O86&amp;" issue(s) detected",IF(P86=0,"— No data to validate","✓ All "&amp;P86&amp;" checks passed")))</f>
        <v>⚠ 1 issue(s) detected</v>
      </c>
    </row>
    <row r="87" spans="1:17" x14ac:dyDescent="0.3">
      <c r="A87">
        <v>83</v>
      </c>
      <c r="B87" t="str">
        <f>IFERROR('Company_Master'!A84,"")</f>
        <v>PT Triputra Agro Persada Tbk</v>
      </c>
      <c r="C87" t="str">
        <f>IF(NOT(AND(IFERROR('Company_Master'!A84&lt;&gt;"",FALSE),OR(ISNUMBER(Asset_Operations!B84),ISNUMBER(Asset_Operations!C84),ISNUMBER(Asset_Operations!D84)))),"—",IF(IFERROR(AND(ISNUMBER(Asset_Operations!B84),ISNUMBER(Asset_Operations!C84),ISNUMBER(Asset_Operations!D84),Asset_Operations!B84&gt;0,ABS((Asset_Operations!C84+Asset_Operations!D84)-Asset_Operations!B84)/Asset_Operations!B84&gt;0.02),FALSE),"⚠","✓"))</f>
        <v>✓</v>
      </c>
      <c r="D87" t="str">
        <f>IF(NOT(AND(IFERROR('Company_Master'!A84&lt;&gt;"",FALSE),OR(ISNUMBER(Asset_Operations!B84),ISNUMBER(Asset_Operations!E84),ISNUMBER(Asset_Operations!F84)))),"—",IF(IFERROR(AND(ISNUMBER(Asset_Operations!B84),ISNUMBER(Asset_Operations!E84),ISNUMBER(Asset_Operations!F84),Asset_Operations!B84&gt;0,ABS((Asset_Operations!E84+Asset_Operations!F84)-Asset_Operations!B84)/Asset_Operations!B84&gt;0.02),FALSE),"⚠","✓"))</f>
        <v>⚠</v>
      </c>
      <c r="E87" t="str">
        <f>IF(NOT(AND(IFERROR('Company_Master'!A84&lt;&gt;"",FALSE),ISNUMBER(Asset_Operations!AR84))),"—",IF(IFERROR(AND(ISNUMBER(Asset_Operations!AR84),OR(Asset_Operations!AR84&lt;0.15,Asset_Operations!AR84&gt;0.27)),FALSE),"⚠","✓"))</f>
        <v>✓</v>
      </c>
      <c r="F87" t="str">
        <f>IF(NOT(AND(IFERROR('Company_Master'!A84&lt;&gt;"",FALSE),AND(ISNUMBER(Financials!Q84),ISNUMBER(Financials!R84)))),"—",IF(IFERROR(AND(ISNUMBER(Financials!Q84),ISNUMBER(Financials!R84),ISNUMBER(Financials!S84),ABS((Financials!R84-Financials!Q84)-Financials!S84)/MAX(ABS(Financials!S84),1)&gt;0.05),FALSE),"⚠","✓"))</f>
        <v>✓</v>
      </c>
      <c r="G87" t="str">
        <f>IF(NOT(AND(IFERROR('Company_Master'!A84&lt;&gt;"",FALSE),AND(ISNUMBER(Financials!I84),ISNUMBER(Financials!L84),ISNUMBER(Financials!O84)))),"—",IF(IFERROR(AND(ISNUMBER(Financials!I84),ISNUMBER(Financials!L84),ISNUMBER(Financials!O84),Financials!I84&gt;0,ABS(Financials!I84-(Financials!L84+Financials!O84))/Financials!I84&gt;0.01),FALSE),"⚠","✓"))</f>
        <v>✓</v>
      </c>
      <c r="H87" t="str">
        <f>IF(NOT(AND(IFERROR('Company_Master'!A84&lt;&gt;"",FALSE),AND(ISNUMBER(Financials!E84),ISNUMBER(Financials!F84)))),"—",IF(IFERROR(AND(ISNUMBER(Financials!E84),ISNUMBER(Financials!F84),Financials!E84&lt;Financials!F84),FALSE),"⚠","✓"))</f>
        <v>—</v>
      </c>
      <c r="I87" t="str">
        <f>IF(NOT(AND(IFERROR('Company_Master'!A84&lt;&gt;"",FALSE),AND(ISNUMBER(Financials!C84),ISNUMBER(Financials!E84)))),"—",IF(IFERROR(AND(ISNUMBER(Financials!C84),ISNUMBER(Financials!E84),Financials!C84=0,Financials!E84&gt;0),FALSE),"⚠","✓"))</f>
        <v>—</v>
      </c>
      <c r="J87" t="str">
        <f>IF(NOT(AND(IFERROR('Company_Master'!A84&lt;&gt;"",FALSE),COUNTIF('Raw_Extract'!A:A,'Company_Master'!A84)&gt;0)),"—",IF(COUNTIFS('Raw_Extract'!A:A,'Company_Master'!A84,'Raw_Extract'!J:J,"Low")&gt;0,"⚠","✓"))</f>
        <v>✓</v>
      </c>
      <c r="K87" t="str">
        <f>IF(NOT(AND(IFERROR('Company_Master'!A84&lt;&gt;"",FALSE),AND(ISNUMBER(Financials!E84),ISNUMBER(Financials!AP84)))),"—",IF(IFERROR(AND(ISNUMBER(Financials!E84),ISNUMBER(Financials!AP84),Financials!E84&lt;&gt;0,ABS(Financials!E84-Financials!AP84)/ABS(Financials!E84)&gt;0.05),FALSE),"⚠","✓"))</f>
        <v>—</v>
      </c>
      <c r="L87" t="str">
        <f>IF(NOT(AND(IFERROR('Company_Master'!A84&lt;&gt;"",FALSE),AND(ISNUMBER(Financials!AR84),ISNUMBER(Financials!S84)))),"—",IF(IFERROR(AND(ISNUMBER(Financials!AR84),ISNUMBER(Financials!S84),Financials!S84&lt;&gt;0,ABS(Financials!AR84-Financials!S84)/MAX(ABS(Financials!S84),1)&gt;0.05),FALSE),"⚠","✓"))</f>
        <v>—</v>
      </c>
      <c r="M87" t="str">
        <f>IF(NOT(AND(IFERROR('Company_Master'!A84&lt;&gt;"",FALSE),AND(ISNUMBER(Asset_Operations!BE84),ISNUMBER(Asset_Operations!AR84)))),"—",IF(IFERROR(AND(ISNUMBER(Asset_Operations!BE84),ISNUMBER(Asset_Operations!AR84),ABS(Asset_Operations!BE84-Asset_Operations!AR84)&gt;0.05),FALSE),"⚠","✓"))</f>
        <v>✓</v>
      </c>
      <c r="N87" t="str">
        <f>IF(NOT(AND(IFERROR('Company_Master'!A84&lt;&gt;"",FALSE),ISNUMBER(Financials!C84))),"—",IF(IFERROR(AND(ISNUMBER(Financials!C84),OR(Financials!C84&lt;50,Financials!C84&gt;200000)),FALSE),"⚠","✓"))</f>
        <v>✓</v>
      </c>
      <c r="O87">
        <f t="shared" si="4"/>
        <v>1</v>
      </c>
      <c r="P87">
        <f t="shared" si="5"/>
        <v>7</v>
      </c>
      <c r="Q87" t="str">
        <f>IF(NOT(IFERROR('Company_Master'!A84&lt;&gt;"",FALSE)),"",IF(O87&gt;0,"⚠ "&amp;O87&amp;" issue(s) detected",IF(P87=0,"— No data to validate","✓ All "&amp;P87&amp;" checks passed")))</f>
        <v>⚠ 1 issue(s) detected</v>
      </c>
    </row>
    <row r="88" spans="1:17" x14ac:dyDescent="0.3">
      <c r="A88">
        <v>84</v>
      </c>
      <c r="B88" t="str">
        <f>IFERROR('Company_Master'!A85,"")</f>
        <v>PT Triputra Agro Persada Tbk</v>
      </c>
      <c r="C88" t="str">
        <f>IF(NOT(AND(IFERROR('Company_Master'!A85&lt;&gt;"",FALSE),OR(ISNUMBER(Asset_Operations!B85),ISNUMBER(Asset_Operations!C85),ISNUMBER(Asset_Operations!D85)))),"—",IF(IFERROR(AND(ISNUMBER(Asset_Operations!B85),ISNUMBER(Asset_Operations!C85),ISNUMBER(Asset_Operations!D85),Asset_Operations!B85&gt;0,ABS((Asset_Operations!C85+Asset_Operations!D85)-Asset_Operations!B85)/Asset_Operations!B85&gt;0.02),FALSE),"⚠","✓"))</f>
        <v>✓</v>
      </c>
      <c r="D88" t="str">
        <f>IF(NOT(AND(IFERROR('Company_Master'!A85&lt;&gt;"",FALSE),OR(ISNUMBER(Asset_Operations!B85),ISNUMBER(Asset_Operations!E85),ISNUMBER(Asset_Operations!F85)))),"—",IF(IFERROR(AND(ISNUMBER(Asset_Operations!B85),ISNUMBER(Asset_Operations!E85),ISNUMBER(Asset_Operations!F85),Asset_Operations!B85&gt;0,ABS((Asset_Operations!E85+Asset_Operations!F85)-Asset_Operations!B85)/Asset_Operations!B85&gt;0.02),FALSE),"⚠","✓"))</f>
        <v>⚠</v>
      </c>
      <c r="E88" t="str">
        <f>IF(NOT(AND(IFERROR('Company_Master'!A85&lt;&gt;"",FALSE),ISNUMBER(Asset_Operations!AR85))),"—",IF(IFERROR(AND(ISNUMBER(Asset_Operations!AR85),OR(Asset_Operations!AR85&lt;0.15,Asset_Operations!AR85&gt;0.27)),FALSE),"⚠","✓"))</f>
        <v>✓</v>
      </c>
      <c r="F88" t="str">
        <f>IF(NOT(AND(IFERROR('Company_Master'!A85&lt;&gt;"",FALSE),AND(ISNUMBER(Financials!Q85),ISNUMBER(Financials!R85)))),"—",IF(IFERROR(AND(ISNUMBER(Financials!Q85),ISNUMBER(Financials!R85),ISNUMBER(Financials!S85),ABS((Financials!R85-Financials!Q85)-Financials!S85)/MAX(ABS(Financials!S85),1)&gt;0.05),FALSE),"⚠","✓"))</f>
        <v>✓</v>
      </c>
      <c r="G88" t="str">
        <f>IF(NOT(AND(IFERROR('Company_Master'!A85&lt;&gt;"",FALSE),AND(ISNUMBER(Financials!I85),ISNUMBER(Financials!L85),ISNUMBER(Financials!O85)))),"—",IF(IFERROR(AND(ISNUMBER(Financials!I85),ISNUMBER(Financials!L85),ISNUMBER(Financials!O85),Financials!I85&gt;0,ABS(Financials!I85-(Financials!L85+Financials!O85))/Financials!I85&gt;0.01),FALSE),"⚠","✓"))</f>
        <v>✓</v>
      </c>
      <c r="H88" t="str">
        <f>IF(NOT(AND(IFERROR('Company_Master'!A85&lt;&gt;"",FALSE),AND(ISNUMBER(Financials!E85),ISNUMBER(Financials!F85)))),"—",IF(IFERROR(AND(ISNUMBER(Financials!E85),ISNUMBER(Financials!F85),Financials!E85&lt;Financials!F85),FALSE),"⚠","✓"))</f>
        <v>—</v>
      </c>
      <c r="I88" t="str">
        <f>IF(NOT(AND(IFERROR('Company_Master'!A85&lt;&gt;"",FALSE),AND(ISNUMBER(Financials!C85),ISNUMBER(Financials!E85)))),"—",IF(IFERROR(AND(ISNUMBER(Financials!C85),ISNUMBER(Financials!E85),Financials!C85=0,Financials!E85&gt;0),FALSE),"⚠","✓"))</f>
        <v>—</v>
      </c>
      <c r="J88" t="str">
        <f>IF(NOT(AND(IFERROR('Company_Master'!A85&lt;&gt;"",FALSE),COUNTIF('Raw_Extract'!A:A,'Company_Master'!A85)&gt;0)),"—",IF(COUNTIFS('Raw_Extract'!A:A,'Company_Master'!A85,'Raw_Extract'!J:J,"Low")&gt;0,"⚠","✓"))</f>
        <v>✓</v>
      </c>
      <c r="K88" t="str">
        <f>IF(NOT(AND(IFERROR('Company_Master'!A85&lt;&gt;"",FALSE),AND(ISNUMBER(Financials!E85),ISNUMBER(Financials!AP85)))),"—",IF(IFERROR(AND(ISNUMBER(Financials!E85),ISNUMBER(Financials!AP85),Financials!E85&lt;&gt;0,ABS(Financials!E85-Financials!AP85)/ABS(Financials!E85)&gt;0.05),FALSE),"⚠","✓"))</f>
        <v>—</v>
      </c>
      <c r="L88" t="str">
        <f>IF(NOT(AND(IFERROR('Company_Master'!A85&lt;&gt;"",FALSE),AND(ISNUMBER(Financials!AR85),ISNUMBER(Financials!S85)))),"—",IF(IFERROR(AND(ISNUMBER(Financials!AR85),ISNUMBER(Financials!S85),Financials!S85&lt;&gt;0,ABS(Financials!AR85-Financials!S85)/MAX(ABS(Financials!S85),1)&gt;0.05),FALSE),"⚠","✓"))</f>
        <v>—</v>
      </c>
      <c r="M88" t="str">
        <f>IF(NOT(AND(IFERROR('Company_Master'!A85&lt;&gt;"",FALSE),AND(ISNUMBER(Asset_Operations!BE85),ISNUMBER(Asset_Operations!AR85)))),"—",IF(IFERROR(AND(ISNUMBER(Asset_Operations!BE85),ISNUMBER(Asset_Operations!AR85),ABS(Asset_Operations!BE85-Asset_Operations!AR85)&gt;0.05),FALSE),"⚠","✓"))</f>
        <v>✓</v>
      </c>
      <c r="N88" t="str">
        <f>IF(NOT(AND(IFERROR('Company_Master'!A85&lt;&gt;"",FALSE),ISNUMBER(Financials!C85))),"—",IF(IFERROR(AND(ISNUMBER(Financials!C85),OR(Financials!C85&lt;50,Financials!C85&gt;200000)),FALSE),"⚠","✓"))</f>
        <v>✓</v>
      </c>
      <c r="O88">
        <f t="shared" si="4"/>
        <v>1</v>
      </c>
      <c r="P88">
        <f t="shared" si="5"/>
        <v>7</v>
      </c>
      <c r="Q88" t="str">
        <f>IF(NOT(IFERROR('Company_Master'!A85&lt;&gt;"",FALSE)),"",IF(O88&gt;0,"⚠ "&amp;O88&amp;" issue(s) detected",IF(P88=0,"— No data to validate","✓ All "&amp;P88&amp;" checks passed")))</f>
        <v>⚠ 1 issue(s) detected</v>
      </c>
    </row>
    <row r="89" spans="1:17" x14ac:dyDescent="0.3">
      <c r="A89">
        <v>85</v>
      </c>
      <c r="B89" t="str">
        <f>IFERROR('Company_Master'!A86,"")</f>
        <v>PT Teladan Prima Agro Tbk</v>
      </c>
      <c r="C89" t="str">
        <f>IF(NOT(AND(IFERROR('Company_Master'!A86&lt;&gt;"",FALSE),OR(ISNUMBER(Asset_Operations!B86),ISNUMBER(Asset_Operations!C86),ISNUMBER(Asset_Operations!D86)))),"—",IF(IFERROR(AND(ISNUMBER(Asset_Operations!B86),ISNUMBER(Asset_Operations!C86),ISNUMBER(Asset_Operations!D86),Asset_Operations!B86&gt;0,ABS((Asset_Operations!C86+Asset_Operations!D86)-Asset_Operations!B86)/Asset_Operations!B86&gt;0.02),FALSE),"⚠","✓"))</f>
        <v>✓</v>
      </c>
      <c r="D89" t="str">
        <f>IF(NOT(AND(IFERROR('Company_Master'!A86&lt;&gt;"",FALSE),OR(ISNUMBER(Asset_Operations!B86),ISNUMBER(Asset_Operations!E86),ISNUMBER(Asset_Operations!F86)))),"—",IF(IFERROR(AND(ISNUMBER(Asset_Operations!B86),ISNUMBER(Asset_Operations!E86),ISNUMBER(Asset_Operations!F86),Asset_Operations!B86&gt;0,ABS((Asset_Operations!E86+Asset_Operations!F86)-Asset_Operations!B86)/Asset_Operations!B86&gt;0.02),FALSE),"⚠","✓"))</f>
        <v>✓</v>
      </c>
      <c r="E89" t="str">
        <f>IF(NOT(AND(IFERROR('Company_Master'!A86&lt;&gt;"",FALSE),ISNUMBER(Asset_Operations!AR86))),"—",IF(IFERROR(AND(ISNUMBER(Asset_Operations!AR86),OR(Asset_Operations!AR86&lt;0.15,Asset_Operations!AR86&gt;0.27)),FALSE),"⚠","✓"))</f>
        <v>✓</v>
      </c>
      <c r="F89" t="str">
        <f>IF(NOT(AND(IFERROR('Company_Master'!A86&lt;&gt;"",FALSE),AND(ISNUMBER(Financials!Q86),ISNUMBER(Financials!R86)))),"—",IF(IFERROR(AND(ISNUMBER(Financials!Q86),ISNUMBER(Financials!R86),ISNUMBER(Financials!S86),ABS((Financials!R86-Financials!Q86)-Financials!S86)/MAX(ABS(Financials!S86),1)&gt;0.05),FALSE),"⚠","✓"))</f>
        <v>✓</v>
      </c>
      <c r="G89" t="str">
        <f>IF(NOT(AND(IFERROR('Company_Master'!A86&lt;&gt;"",FALSE),AND(ISNUMBER(Financials!I86),ISNUMBER(Financials!L86),ISNUMBER(Financials!O86)))),"—",IF(IFERROR(AND(ISNUMBER(Financials!I86),ISNUMBER(Financials!L86),ISNUMBER(Financials!O86),Financials!I86&gt;0,ABS(Financials!I86-(Financials!L86+Financials!O86))/Financials!I86&gt;0.01),FALSE),"⚠","✓"))</f>
        <v>✓</v>
      </c>
      <c r="H89" t="str">
        <f>IF(NOT(AND(IFERROR('Company_Master'!A86&lt;&gt;"",FALSE),AND(ISNUMBER(Financials!E86),ISNUMBER(Financials!F86)))),"—",IF(IFERROR(AND(ISNUMBER(Financials!E86),ISNUMBER(Financials!F86),Financials!E86&lt;Financials!F86),FALSE),"⚠","✓"))</f>
        <v>—</v>
      </c>
      <c r="I89" t="str">
        <f>IF(NOT(AND(IFERROR('Company_Master'!A86&lt;&gt;"",FALSE),AND(ISNUMBER(Financials!C86),ISNUMBER(Financials!E86)))),"—",IF(IFERROR(AND(ISNUMBER(Financials!C86),ISNUMBER(Financials!E86),Financials!C86=0,Financials!E86&gt;0),FALSE),"⚠","✓"))</f>
        <v>—</v>
      </c>
      <c r="J89" t="str">
        <f>IF(NOT(AND(IFERROR('Company_Master'!A86&lt;&gt;"",FALSE),COUNTIF('Raw_Extract'!A:A,'Company_Master'!A86)&gt;0)),"—",IF(COUNTIFS('Raw_Extract'!A:A,'Company_Master'!A86,'Raw_Extract'!J:J,"Low")&gt;0,"⚠","✓"))</f>
        <v>✓</v>
      </c>
      <c r="K89" t="str">
        <f>IF(NOT(AND(IFERROR('Company_Master'!A86&lt;&gt;"",FALSE),AND(ISNUMBER(Financials!E86),ISNUMBER(Financials!AP86)))),"—",IF(IFERROR(AND(ISNUMBER(Financials!E86),ISNUMBER(Financials!AP86),Financials!E86&lt;&gt;0,ABS(Financials!E86-Financials!AP86)/ABS(Financials!E86)&gt;0.05),FALSE),"⚠","✓"))</f>
        <v>—</v>
      </c>
      <c r="L89" t="str">
        <f>IF(NOT(AND(IFERROR('Company_Master'!A86&lt;&gt;"",FALSE),AND(ISNUMBER(Financials!AR86),ISNUMBER(Financials!S86)))),"—",IF(IFERROR(AND(ISNUMBER(Financials!AR86),ISNUMBER(Financials!S86),Financials!S86&lt;&gt;0,ABS(Financials!AR86-Financials!S86)/MAX(ABS(Financials!S86),1)&gt;0.05),FALSE),"⚠","✓"))</f>
        <v>—</v>
      </c>
      <c r="M89" t="str">
        <f>IF(NOT(AND(IFERROR('Company_Master'!A86&lt;&gt;"",FALSE),AND(ISNUMBER(Asset_Operations!BE86),ISNUMBER(Asset_Operations!AR86)))),"—",IF(IFERROR(AND(ISNUMBER(Asset_Operations!BE86),ISNUMBER(Asset_Operations!AR86),ABS(Asset_Operations!BE86-Asset_Operations!AR86)&gt;0.05),FALSE),"⚠","✓"))</f>
        <v>✓</v>
      </c>
      <c r="N89" t="str">
        <f>IF(NOT(AND(IFERROR('Company_Master'!A86&lt;&gt;"",FALSE),ISNUMBER(Financials!C86))),"—",IF(IFERROR(AND(ISNUMBER(Financials!C86),OR(Financials!C86&lt;50,Financials!C86&gt;200000)),FALSE),"⚠","✓"))</f>
        <v>✓</v>
      </c>
      <c r="O89">
        <f t="shared" si="4"/>
        <v>0</v>
      </c>
      <c r="P89">
        <f t="shared" si="5"/>
        <v>8</v>
      </c>
      <c r="Q89" t="str">
        <f>IF(NOT(IFERROR('Company_Master'!A86&lt;&gt;"",FALSE)),"",IF(O89&gt;0,"⚠ "&amp;O89&amp;" issue(s) detected",IF(P89=0,"— No data to validate","✓ All "&amp;P89&amp;" checks passed")))</f>
        <v>✓ All 8 checks passed</v>
      </c>
    </row>
    <row r="90" spans="1:17" x14ac:dyDescent="0.3">
      <c r="A90">
        <v>86</v>
      </c>
      <c r="B90" t="str">
        <f>IFERROR('Company_Master'!A87,"")</f>
        <v>PT Teladan Prima Agro Tbk</v>
      </c>
      <c r="C90" t="str">
        <f>IF(NOT(AND(IFERROR('Company_Master'!A87&lt;&gt;"",FALSE),OR(ISNUMBER(Asset_Operations!B87),ISNUMBER(Asset_Operations!C87),ISNUMBER(Asset_Operations!D87)))),"—",IF(IFERROR(AND(ISNUMBER(Asset_Operations!B87),ISNUMBER(Asset_Operations!C87),ISNUMBER(Asset_Operations!D87),Asset_Operations!B87&gt;0,ABS((Asset_Operations!C87+Asset_Operations!D87)-Asset_Operations!B87)/Asset_Operations!B87&gt;0.02),FALSE),"⚠","✓"))</f>
        <v>✓</v>
      </c>
      <c r="D90" t="str">
        <f>IF(NOT(AND(IFERROR('Company_Master'!A87&lt;&gt;"",FALSE),OR(ISNUMBER(Asset_Operations!B87),ISNUMBER(Asset_Operations!E87),ISNUMBER(Asset_Operations!F87)))),"—",IF(IFERROR(AND(ISNUMBER(Asset_Operations!B87),ISNUMBER(Asset_Operations!E87),ISNUMBER(Asset_Operations!F87),Asset_Operations!B87&gt;0,ABS((Asset_Operations!E87+Asset_Operations!F87)-Asset_Operations!B87)/Asset_Operations!B87&gt;0.02),FALSE),"⚠","✓"))</f>
        <v>✓</v>
      </c>
      <c r="E90" t="str">
        <f>IF(NOT(AND(IFERROR('Company_Master'!A87&lt;&gt;"",FALSE),ISNUMBER(Asset_Operations!AR87))),"—",IF(IFERROR(AND(ISNUMBER(Asset_Operations!AR87),OR(Asset_Operations!AR87&lt;0.15,Asset_Operations!AR87&gt;0.27)),FALSE),"⚠","✓"))</f>
        <v>✓</v>
      </c>
      <c r="F90" t="str">
        <f>IF(NOT(AND(IFERROR('Company_Master'!A87&lt;&gt;"",FALSE),AND(ISNUMBER(Financials!Q87),ISNUMBER(Financials!R87)))),"—",IF(IFERROR(AND(ISNUMBER(Financials!Q87),ISNUMBER(Financials!R87),ISNUMBER(Financials!S87),ABS((Financials!R87-Financials!Q87)-Financials!S87)/MAX(ABS(Financials!S87),1)&gt;0.05),FALSE),"⚠","✓"))</f>
        <v>✓</v>
      </c>
      <c r="G90" t="str">
        <f>IF(NOT(AND(IFERROR('Company_Master'!A87&lt;&gt;"",FALSE),AND(ISNUMBER(Financials!I87),ISNUMBER(Financials!L87),ISNUMBER(Financials!O87)))),"—",IF(IFERROR(AND(ISNUMBER(Financials!I87),ISNUMBER(Financials!L87),ISNUMBER(Financials!O87),Financials!I87&gt;0,ABS(Financials!I87-(Financials!L87+Financials!O87))/Financials!I87&gt;0.01),FALSE),"⚠","✓"))</f>
        <v>✓</v>
      </c>
      <c r="H90" t="str">
        <f>IF(NOT(AND(IFERROR('Company_Master'!A87&lt;&gt;"",FALSE),AND(ISNUMBER(Financials!E87),ISNUMBER(Financials!F87)))),"—",IF(IFERROR(AND(ISNUMBER(Financials!E87),ISNUMBER(Financials!F87),Financials!E87&lt;Financials!F87),FALSE),"⚠","✓"))</f>
        <v>✓</v>
      </c>
      <c r="I90" t="str">
        <f>IF(NOT(AND(IFERROR('Company_Master'!A87&lt;&gt;"",FALSE),AND(ISNUMBER(Financials!C87),ISNUMBER(Financials!E87)))),"—",IF(IFERROR(AND(ISNUMBER(Financials!C87),ISNUMBER(Financials!E87),Financials!C87=0,Financials!E87&gt;0),FALSE),"⚠","✓"))</f>
        <v>✓</v>
      </c>
      <c r="J90" t="str">
        <f>IF(NOT(AND(IFERROR('Company_Master'!A87&lt;&gt;"",FALSE),COUNTIF('Raw_Extract'!A:A,'Company_Master'!A87)&gt;0)),"—",IF(COUNTIFS('Raw_Extract'!A:A,'Company_Master'!A87,'Raw_Extract'!J:J,"Low")&gt;0,"⚠","✓"))</f>
        <v>✓</v>
      </c>
      <c r="K90" t="str">
        <f>IF(NOT(AND(IFERROR('Company_Master'!A87&lt;&gt;"",FALSE),AND(ISNUMBER(Financials!E87),ISNUMBER(Financials!AP87)))),"—",IF(IFERROR(AND(ISNUMBER(Financials!E87),ISNUMBER(Financials!AP87),Financials!E87&lt;&gt;0,ABS(Financials!E87-Financials!AP87)/ABS(Financials!E87)&gt;0.05),FALSE),"⚠","✓"))</f>
        <v>⚠</v>
      </c>
      <c r="L90" t="str">
        <f>IF(NOT(AND(IFERROR('Company_Master'!A87&lt;&gt;"",FALSE),AND(ISNUMBER(Financials!AR87),ISNUMBER(Financials!S87)))),"—",IF(IFERROR(AND(ISNUMBER(Financials!AR87),ISNUMBER(Financials!S87),Financials!S87&lt;&gt;0,ABS(Financials!AR87-Financials!S87)/MAX(ABS(Financials!S87),1)&gt;0.05),FALSE),"⚠","✓"))</f>
        <v>—</v>
      </c>
      <c r="M90" t="str">
        <f>IF(NOT(AND(IFERROR('Company_Master'!A87&lt;&gt;"",FALSE),AND(ISNUMBER(Asset_Operations!BE87),ISNUMBER(Asset_Operations!AR87)))),"—",IF(IFERROR(AND(ISNUMBER(Asset_Operations!BE87),ISNUMBER(Asset_Operations!AR87),ABS(Asset_Operations!BE87-Asset_Operations!AR87)&gt;0.05),FALSE),"⚠","✓"))</f>
        <v>✓</v>
      </c>
      <c r="N90" t="str">
        <f>IF(NOT(AND(IFERROR('Company_Master'!A87&lt;&gt;"",FALSE),ISNUMBER(Financials!C87))),"—",IF(IFERROR(AND(ISNUMBER(Financials!C87),OR(Financials!C87&lt;50,Financials!C87&gt;200000)),FALSE),"⚠","✓"))</f>
        <v>✓</v>
      </c>
      <c r="O90">
        <f t="shared" si="4"/>
        <v>1</v>
      </c>
      <c r="P90">
        <f t="shared" si="5"/>
        <v>10</v>
      </c>
      <c r="Q90" t="str">
        <f>IF(NOT(IFERROR('Company_Master'!A87&lt;&gt;"",FALSE)),"",IF(O90&gt;0,"⚠ "&amp;O90&amp;" issue(s) detected",IF(P90=0,"— No data to validate","✓ All "&amp;P90&amp;" checks passed")))</f>
        <v>⚠ 1 issue(s) detected</v>
      </c>
    </row>
    <row r="91" spans="1:17" x14ac:dyDescent="0.3">
      <c r="A91">
        <v>87</v>
      </c>
      <c r="B91" t="str">
        <f>IFERROR('Company_Master'!A88,"")</f>
        <v>PT Teladan Prima Agro Tbk</v>
      </c>
      <c r="C91" t="str">
        <f>IF(NOT(AND(IFERROR('Company_Master'!A88&lt;&gt;"",FALSE),OR(ISNUMBER(Asset_Operations!B88),ISNUMBER(Asset_Operations!C88),ISNUMBER(Asset_Operations!D88)))),"—",IF(IFERROR(AND(ISNUMBER(Asset_Operations!B88),ISNUMBER(Asset_Operations!C88),ISNUMBER(Asset_Operations!D88),Asset_Operations!B88&gt;0,ABS((Asset_Operations!C88+Asset_Operations!D88)-Asset_Operations!B88)/Asset_Operations!B88&gt;0.02),FALSE),"⚠","✓"))</f>
        <v>✓</v>
      </c>
      <c r="D91" t="str">
        <f>IF(NOT(AND(IFERROR('Company_Master'!A88&lt;&gt;"",FALSE),OR(ISNUMBER(Asset_Operations!B88),ISNUMBER(Asset_Operations!E88),ISNUMBER(Asset_Operations!F88)))),"—",IF(IFERROR(AND(ISNUMBER(Asset_Operations!B88),ISNUMBER(Asset_Operations!E88),ISNUMBER(Asset_Operations!F88),Asset_Operations!B88&gt;0,ABS((Asset_Operations!E88+Asset_Operations!F88)-Asset_Operations!B88)/Asset_Operations!B88&gt;0.02),FALSE),"⚠","✓"))</f>
        <v>✓</v>
      </c>
      <c r="E91" t="str">
        <f>IF(NOT(AND(IFERROR('Company_Master'!A88&lt;&gt;"",FALSE),ISNUMBER(Asset_Operations!AR88))),"—",IF(IFERROR(AND(ISNUMBER(Asset_Operations!AR88),OR(Asset_Operations!AR88&lt;0.15,Asset_Operations!AR88&gt;0.27)),FALSE),"⚠","✓"))</f>
        <v>✓</v>
      </c>
      <c r="F91" t="str">
        <f>IF(NOT(AND(IFERROR('Company_Master'!A88&lt;&gt;"",FALSE),AND(ISNUMBER(Financials!Q88),ISNUMBER(Financials!R88)))),"—",IF(IFERROR(AND(ISNUMBER(Financials!Q88),ISNUMBER(Financials!R88),ISNUMBER(Financials!S88),ABS((Financials!R88-Financials!Q88)-Financials!S88)/MAX(ABS(Financials!S88),1)&gt;0.05),FALSE),"⚠","✓"))</f>
        <v>✓</v>
      </c>
      <c r="G91" t="str">
        <f>IF(NOT(AND(IFERROR('Company_Master'!A88&lt;&gt;"",FALSE),AND(ISNUMBER(Financials!I88),ISNUMBER(Financials!L88),ISNUMBER(Financials!O88)))),"—",IF(IFERROR(AND(ISNUMBER(Financials!I88),ISNUMBER(Financials!L88),ISNUMBER(Financials!O88),Financials!I88&gt;0,ABS(Financials!I88-(Financials!L88+Financials!O88))/Financials!I88&gt;0.01),FALSE),"⚠","✓"))</f>
        <v>✓</v>
      </c>
      <c r="H91" t="str">
        <f>IF(NOT(AND(IFERROR('Company_Master'!A88&lt;&gt;"",FALSE),AND(ISNUMBER(Financials!E88),ISNUMBER(Financials!F88)))),"—",IF(IFERROR(AND(ISNUMBER(Financials!E88),ISNUMBER(Financials!F88),Financials!E88&lt;Financials!F88),FALSE),"⚠","✓"))</f>
        <v>—</v>
      </c>
      <c r="I91" t="str">
        <f>IF(NOT(AND(IFERROR('Company_Master'!A88&lt;&gt;"",FALSE),AND(ISNUMBER(Financials!C88),ISNUMBER(Financials!E88)))),"—",IF(IFERROR(AND(ISNUMBER(Financials!C88),ISNUMBER(Financials!E88),Financials!C88=0,Financials!E88&gt;0),FALSE),"⚠","✓"))</f>
        <v>—</v>
      </c>
      <c r="J91" t="str">
        <f>IF(NOT(AND(IFERROR('Company_Master'!A88&lt;&gt;"",FALSE),COUNTIF('Raw_Extract'!A:A,'Company_Master'!A88)&gt;0)),"—",IF(COUNTIFS('Raw_Extract'!A:A,'Company_Master'!A88,'Raw_Extract'!J:J,"Low")&gt;0,"⚠","✓"))</f>
        <v>✓</v>
      </c>
      <c r="K91" t="str">
        <f>IF(NOT(AND(IFERROR('Company_Master'!A88&lt;&gt;"",FALSE),AND(ISNUMBER(Financials!E88),ISNUMBER(Financials!AP88)))),"—",IF(IFERROR(AND(ISNUMBER(Financials!E88),ISNUMBER(Financials!AP88),Financials!E88&lt;&gt;0,ABS(Financials!E88-Financials!AP88)/ABS(Financials!E88)&gt;0.05),FALSE),"⚠","✓"))</f>
        <v>—</v>
      </c>
      <c r="L91" t="str">
        <f>IF(NOT(AND(IFERROR('Company_Master'!A88&lt;&gt;"",FALSE),AND(ISNUMBER(Financials!AR88),ISNUMBER(Financials!S88)))),"—",IF(IFERROR(AND(ISNUMBER(Financials!AR88),ISNUMBER(Financials!S88),Financials!S88&lt;&gt;0,ABS(Financials!AR88-Financials!S88)/MAX(ABS(Financials!S88),1)&gt;0.05),FALSE),"⚠","✓"))</f>
        <v>—</v>
      </c>
      <c r="M91" t="str">
        <f>IF(NOT(AND(IFERROR('Company_Master'!A88&lt;&gt;"",FALSE),AND(ISNUMBER(Asset_Operations!BE88),ISNUMBER(Asset_Operations!AR88)))),"—",IF(IFERROR(AND(ISNUMBER(Asset_Operations!BE88),ISNUMBER(Asset_Operations!AR88),ABS(Asset_Operations!BE88-Asset_Operations!AR88)&gt;0.05),FALSE),"⚠","✓"))</f>
        <v>✓</v>
      </c>
      <c r="N91" t="str">
        <f>IF(NOT(AND(IFERROR('Company_Master'!A88&lt;&gt;"",FALSE),ISNUMBER(Financials!C88))),"—",IF(IFERROR(AND(ISNUMBER(Financials!C88),OR(Financials!C88&lt;50,Financials!C88&gt;200000)),FALSE),"⚠","✓"))</f>
        <v>✓</v>
      </c>
      <c r="O91">
        <f t="shared" si="4"/>
        <v>0</v>
      </c>
      <c r="P91">
        <f t="shared" si="5"/>
        <v>8</v>
      </c>
      <c r="Q91" t="str">
        <f>IF(NOT(IFERROR('Company_Master'!A88&lt;&gt;"",FALSE)),"",IF(O91&gt;0,"⚠ "&amp;O91&amp;" issue(s) detected",IF(P91=0,"— No data to validate","✓ All "&amp;P91&amp;" checks passed")))</f>
        <v>✓ All 8 checks passed</v>
      </c>
    </row>
    <row r="92" spans="1:17" x14ac:dyDescent="0.3">
      <c r="A92">
        <v>88</v>
      </c>
      <c r="B92" t="str">
        <f>IFERROR('Company_Master'!A89,"")</f>
        <v>PT Bakrie Sumatera Plantations Tbk</v>
      </c>
      <c r="C92" t="str">
        <f>IF(NOT(AND(IFERROR('Company_Master'!A89&lt;&gt;"",FALSE),OR(ISNUMBER(Asset_Operations!B89),ISNUMBER(Asset_Operations!C89),ISNUMBER(Asset_Operations!D89)))),"—",IF(IFERROR(AND(ISNUMBER(Asset_Operations!B89),ISNUMBER(Asset_Operations!C89),ISNUMBER(Asset_Operations!D89),Asset_Operations!B89&gt;0,ABS((Asset_Operations!C89+Asset_Operations!D89)-Asset_Operations!B89)/Asset_Operations!B89&gt;0.02),FALSE),"⚠","✓"))</f>
        <v>✓</v>
      </c>
      <c r="D92" t="str">
        <f>IF(NOT(AND(IFERROR('Company_Master'!A89&lt;&gt;"",FALSE),OR(ISNUMBER(Asset_Operations!B89),ISNUMBER(Asset_Operations!E89),ISNUMBER(Asset_Operations!F89)))),"—",IF(IFERROR(AND(ISNUMBER(Asset_Operations!B89),ISNUMBER(Asset_Operations!E89),ISNUMBER(Asset_Operations!F89),Asset_Operations!B89&gt;0,ABS((Asset_Operations!E89+Asset_Operations!F89)-Asset_Operations!B89)/Asset_Operations!B89&gt;0.02),FALSE),"⚠","✓"))</f>
        <v>✓</v>
      </c>
      <c r="E92" t="str">
        <f>IF(NOT(AND(IFERROR('Company_Master'!A89&lt;&gt;"",FALSE),ISNUMBER(Asset_Operations!AR89))),"—",IF(IFERROR(AND(ISNUMBER(Asset_Operations!AR89),OR(Asset_Operations!AR89&lt;0.15,Asset_Operations!AR89&gt;0.27)),FALSE),"⚠","✓"))</f>
        <v>—</v>
      </c>
      <c r="F92" t="str">
        <f>IF(NOT(AND(IFERROR('Company_Master'!A89&lt;&gt;"",FALSE),AND(ISNUMBER(Financials!Q89),ISNUMBER(Financials!R89)))),"—",IF(IFERROR(AND(ISNUMBER(Financials!Q89),ISNUMBER(Financials!R89),ISNUMBER(Financials!S89),ABS((Financials!R89-Financials!Q89)-Financials!S89)/MAX(ABS(Financials!S89),1)&gt;0.05),FALSE),"⚠","✓"))</f>
        <v>✓</v>
      </c>
      <c r="G92" t="str">
        <f>IF(NOT(AND(IFERROR('Company_Master'!A89&lt;&gt;"",FALSE),AND(ISNUMBER(Financials!I89),ISNUMBER(Financials!L89),ISNUMBER(Financials!O89)))),"—",IF(IFERROR(AND(ISNUMBER(Financials!I89),ISNUMBER(Financials!L89),ISNUMBER(Financials!O89),Financials!I89&gt;0,ABS(Financials!I89-(Financials!L89+Financials!O89))/Financials!I89&gt;0.01),FALSE),"⚠","✓"))</f>
        <v>✓</v>
      </c>
      <c r="H92" t="str">
        <f>IF(NOT(AND(IFERROR('Company_Master'!A89&lt;&gt;"",FALSE),AND(ISNUMBER(Financials!E89),ISNUMBER(Financials!F89)))),"—",IF(IFERROR(AND(ISNUMBER(Financials!E89),ISNUMBER(Financials!F89),Financials!E89&lt;Financials!F89),FALSE),"⚠","✓"))</f>
        <v>—</v>
      </c>
      <c r="I92" t="str">
        <f>IF(NOT(AND(IFERROR('Company_Master'!A89&lt;&gt;"",FALSE),AND(ISNUMBER(Financials!C89),ISNUMBER(Financials!E89)))),"—",IF(IFERROR(AND(ISNUMBER(Financials!C89),ISNUMBER(Financials!E89),Financials!C89=0,Financials!E89&gt;0),FALSE),"⚠","✓"))</f>
        <v>—</v>
      </c>
      <c r="J92" t="str">
        <f>IF(NOT(AND(IFERROR('Company_Master'!A89&lt;&gt;"",FALSE),COUNTIF('Raw_Extract'!A:A,'Company_Master'!A89)&gt;0)),"—",IF(COUNTIFS('Raw_Extract'!A:A,'Company_Master'!A89,'Raw_Extract'!J:J,"Low")&gt;0,"⚠","✓"))</f>
        <v>✓</v>
      </c>
      <c r="K92" t="str">
        <f>IF(NOT(AND(IFERROR('Company_Master'!A89&lt;&gt;"",FALSE),AND(ISNUMBER(Financials!E89),ISNUMBER(Financials!AP89)))),"—",IF(IFERROR(AND(ISNUMBER(Financials!E89),ISNUMBER(Financials!AP89),Financials!E89&lt;&gt;0,ABS(Financials!E89-Financials!AP89)/ABS(Financials!E89)&gt;0.05),FALSE),"⚠","✓"))</f>
        <v>—</v>
      </c>
      <c r="L92" t="str">
        <f>IF(NOT(AND(IFERROR('Company_Master'!A89&lt;&gt;"",FALSE),AND(ISNUMBER(Financials!AR89),ISNUMBER(Financials!S89)))),"—",IF(IFERROR(AND(ISNUMBER(Financials!AR89),ISNUMBER(Financials!S89),Financials!S89&lt;&gt;0,ABS(Financials!AR89-Financials!S89)/MAX(ABS(Financials!S89),1)&gt;0.05),FALSE),"⚠","✓"))</f>
        <v>—</v>
      </c>
      <c r="M92" t="str">
        <f>IF(NOT(AND(IFERROR('Company_Master'!A89&lt;&gt;"",FALSE),AND(ISNUMBER(Asset_Operations!BE89),ISNUMBER(Asset_Operations!AR89)))),"—",IF(IFERROR(AND(ISNUMBER(Asset_Operations!BE89),ISNUMBER(Asset_Operations!AR89),ABS(Asset_Operations!BE89-Asset_Operations!AR89)&gt;0.05),FALSE),"⚠","✓"))</f>
        <v>—</v>
      </c>
      <c r="N92" t="str">
        <f>IF(NOT(AND(IFERROR('Company_Master'!A89&lt;&gt;"",FALSE),ISNUMBER(Financials!C89))),"—",IF(IFERROR(AND(ISNUMBER(Financials!C89),OR(Financials!C89&lt;50,Financials!C89&gt;200000)),FALSE),"⚠","✓"))</f>
        <v>✓</v>
      </c>
      <c r="O92">
        <f t="shared" si="4"/>
        <v>0</v>
      </c>
      <c r="P92">
        <f t="shared" si="5"/>
        <v>6</v>
      </c>
      <c r="Q92" t="str">
        <f>IF(NOT(IFERROR('Company_Master'!A89&lt;&gt;"",FALSE)),"",IF(O92&gt;0,"⚠ "&amp;O92&amp;" issue(s) detected",IF(P92=0,"— No data to validate","✓ All "&amp;P92&amp;" checks passed")))</f>
        <v>✓ All 6 checks passed</v>
      </c>
    </row>
    <row r="93" spans="1:17" x14ac:dyDescent="0.3">
      <c r="A93">
        <v>89</v>
      </c>
      <c r="B93" t="str">
        <f>IFERROR('Company_Master'!A90,"")</f>
        <v>PT Bakrie Sumatera Plantations Tbk</v>
      </c>
      <c r="C93" t="str">
        <f>IF(NOT(AND(IFERROR('Company_Master'!A90&lt;&gt;"",FALSE),OR(ISNUMBER(Asset_Operations!B90),ISNUMBER(Asset_Operations!C90),ISNUMBER(Asset_Operations!D90)))),"—",IF(IFERROR(AND(ISNUMBER(Asset_Operations!B90),ISNUMBER(Asset_Operations!C90),ISNUMBER(Asset_Operations!D90),Asset_Operations!B90&gt;0,ABS((Asset_Operations!C90+Asset_Operations!D90)-Asset_Operations!B90)/Asset_Operations!B90&gt;0.02),FALSE),"⚠","✓"))</f>
        <v>✓</v>
      </c>
      <c r="D93" t="str">
        <f>IF(NOT(AND(IFERROR('Company_Master'!A90&lt;&gt;"",FALSE),OR(ISNUMBER(Asset_Operations!B90),ISNUMBER(Asset_Operations!E90),ISNUMBER(Asset_Operations!F90)))),"—",IF(IFERROR(AND(ISNUMBER(Asset_Operations!B90),ISNUMBER(Asset_Operations!E90),ISNUMBER(Asset_Operations!F90),Asset_Operations!B90&gt;0,ABS((Asset_Operations!E90+Asset_Operations!F90)-Asset_Operations!B90)/Asset_Operations!B90&gt;0.02),FALSE),"⚠","✓"))</f>
        <v>⚠</v>
      </c>
      <c r="E93" t="str">
        <f>IF(NOT(AND(IFERROR('Company_Master'!A90&lt;&gt;"",FALSE),ISNUMBER(Asset_Operations!AR90))),"—",IF(IFERROR(AND(ISNUMBER(Asset_Operations!AR90),OR(Asset_Operations!AR90&lt;0.15,Asset_Operations!AR90&gt;0.27)),FALSE),"⚠","✓"))</f>
        <v>—</v>
      </c>
      <c r="F93" t="str">
        <f>IF(NOT(AND(IFERROR('Company_Master'!A90&lt;&gt;"",FALSE),AND(ISNUMBER(Financials!Q90),ISNUMBER(Financials!R90)))),"—",IF(IFERROR(AND(ISNUMBER(Financials!Q90),ISNUMBER(Financials!R90),ISNUMBER(Financials!S90),ABS((Financials!R90-Financials!Q90)-Financials!S90)/MAX(ABS(Financials!S90),1)&gt;0.05),FALSE),"⚠","✓"))</f>
        <v>✓</v>
      </c>
      <c r="G93" t="str">
        <f>IF(NOT(AND(IFERROR('Company_Master'!A90&lt;&gt;"",FALSE),AND(ISNUMBER(Financials!I90),ISNUMBER(Financials!L90),ISNUMBER(Financials!O90)))),"—",IF(IFERROR(AND(ISNUMBER(Financials!I90),ISNUMBER(Financials!L90),ISNUMBER(Financials!O90),Financials!I90&gt;0,ABS(Financials!I90-(Financials!L90+Financials!O90))/Financials!I90&gt;0.01),FALSE),"⚠","✓"))</f>
        <v>✓</v>
      </c>
      <c r="H93" t="str">
        <f>IF(NOT(AND(IFERROR('Company_Master'!A90&lt;&gt;"",FALSE),AND(ISNUMBER(Financials!E90),ISNUMBER(Financials!F90)))),"—",IF(IFERROR(AND(ISNUMBER(Financials!E90),ISNUMBER(Financials!F90),Financials!E90&lt;Financials!F90),FALSE),"⚠","✓"))</f>
        <v>—</v>
      </c>
      <c r="I93" t="str">
        <f>IF(NOT(AND(IFERROR('Company_Master'!A90&lt;&gt;"",FALSE),AND(ISNUMBER(Financials!C90),ISNUMBER(Financials!E90)))),"—",IF(IFERROR(AND(ISNUMBER(Financials!C90),ISNUMBER(Financials!E90),Financials!C90=0,Financials!E90&gt;0),FALSE),"⚠","✓"))</f>
        <v>—</v>
      </c>
      <c r="J93" t="str">
        <f>IF(NOT(AND(IFERROR('Company_Master'!A90&lt;&gt;"",FALSE),COUNTIF('Raw_Extract'!A:A,'Company_Master'!A90)&gt;0)),"—",IF(COUNTIFS('Raw_Extract'!A:A,'Company_Master'!A90,'Raw_Extract'!J:J,"Low")&gt;0,"⚠","✓"))</f>
        <v>✓</v>
      </c>
      <c r="K93" t="str">
        <f>IF(NOT(AND(IFERROR('Company_Master'!A90&lt;&gt;"",FALSE),AND(ISNUMBER(Financials!E90),ISNUMBER(Financials!AP90)))),"—",IF(IFERROR(AND(ISNUMBER(Financials!E90),ISNUMBER(Financials!AP90),Financials!E90&lt;&gt;0,ABS(Financials!E90-Financials!AP90)/ABS(Financials!E90)&gt;0.05),FALSE),"⚠","✓"))</f>
        <v>—</v>
      </c>
      <c r="L93" t="str">
        <f>IF(NOT(AND(IFERROR('Company_Master'!A90&lt;&gt;"",FALSE),AND(ISNUMBER(Financials!AR90),ISNUMBER(Financials!S90)))),"—",IF(IFERROR(AND(ISNUMBER(Financials!AR90),ISNUMBER(Financials!S90),Financials!S90&lt;&gt;0,ABS(Financials!AR90-Financials!S90)/MAX(ABS(Financials!S90),1)&gt;0.05),FALSE),"⚠","✓"))</f>
        <v>—</v>
      </c>
      <c r="M93" t="str">
        <f>IF(NOT(AND(IFERROR('Company_Master'!A90&lt;&gt;"",FALSE),AND(ISNUMBER(Asset_Operations!BE90),ISNUMBER(Asset_Operations!AR90)))),"—",IF(IFERROR(AND(ISNUMBER(Asset_Operations!BE90),ISNUMBER(Asset_Operations!AR90),ABS(Asset_Operations!BE90-Asset_Operations!AR90)&gt;0.05),FALSE),"⚠","✓"))</f>
        <v>—</v>
      </c>
      <c r="N93" t="str">
        <f>IF(NOT(AND(IFERROR('Company_Master'!A90&lt;&gt;"",FALSE),ISNUMBER(Financials!C90))),"—",IF(IFERROR(AND(ISNUMBER(Financials!C90),OR(Financials!C90&lt;50,Financials!C90&gt;200000)),FALSE),"⚠","✓"))</f>
        <v>✓</v>
      </c>
      <c r="O93">
        <f t="shared" si="4"/>
        <v>1</v>
      </c>
      <c r="P93">
        <f t="shared" si="5"/>
        <v>5</v>
      </c>
      <c r="Q93" t="str">
        <f>IF(NOT(IFERROR('Company_Master'!A90&lt;&gt;"",FALSE)),"",IF(O93&gt;0,"⚠ "&amp;O93&amp;" issue(s) detected",IF(P93=0,"— No data to validate","✓ All "&amp;P93&amp;" checks passed")))</f>
        <v>⚠ 1 issue(s) detected</v>
      </c>
    </row>
    <row r="94" spans="1:17" x14ac:dyDescent="0.3">
      <c r="A94">
        <v>90</v>
      </c>
      <c r="B94" t="str">
        <f>IFERROR('Company_Master'!A91,"")</f>
        <v>PT Bakrie Sumatera Plantations Tbk</v>
      </c>
      <c r="C94" t="str">
        <f>IF(NOT(AND(IFERROR('Company_Master'!A91&lt;&gt;"",FALSE),OR(ISNUMBER(Asset_Operations!B91),ISNUMBER(Asset_Operations!C91),ISNUMBER(Asset_Operations!D91)))),"—",IF(IFERROR(AND(ISNUMBER(Asset_Operations!B91),ISNUMBER(Asset_Operations!C91),ISNUMBER(Asset_Operations!D91),Asset_Operations!B91&gt;0,ABS((Asset_Operations!C91+Asset_Operations!D91)-Asset_Operations!B91)/Asset_Operations!B91&gt;0.02),FALSE),"⚠","✓"))</f>
        <v>⚠</v>
      </c>
      <c r="D94" t="str">
        <f>IF(NOT(AND(IFERROR('Company_Master'!A91&lt;&gt;"",FALSE),OR(ISNUMBER(Asset_Operations!B91),ISNUMBER(Asset_Operations!E91),ISNUMBER(Asset_Operations!F91)))),"—",IF(IFERROR(AND(ISNUMBER(Asset_Operations!B91),ISNUMBER(Asset_Operations!E91),ISNUMBER(Asset_Operations!F91),Asset_Operations!B91&gt;0,ABS((Asset_Operations!E91+Asset_Operations!F91)-Asset_Operations!B91)/Asset_Operations!B91&gt;0.02),FALSE),"⚠","✓"))</f>
        <v>✓</v>
      </c>
      <c r="E94" t="str">
        <f>IF(NOT(AND(IFERROR('Company_Master'!A91&lt;&gt;"",FALSE),ISNUMBER(Asset_Operations!AR91))),"—",IF(IFERROR(AND(ISNUMBER(Asset_Operations!AR91),OR(Asset_Operations!AR91&lt;0.15,Asset_Operations!AR91&gt;0.27)),FALSE),"⚠","✓"))</f>
        <v>—</v>
      </c>
      <c r="F94" t="str">
        <f>IF(NOT(AND(IFERROR('Company_Master'!A91&lt;&gt;"",FALSE),AND(ISNUMBER(Financials!Q91),ISNUMBER(Financials!R91)))),"—",IF(IFERROR(AND(ISNUMBER(Financials!Q91),ISNUMBER(Financials!R91),ISNUMBER(Financials!S91),ABS((Financials!R91-Financials!Q91)-Financials!S91)/MAX(ABS(Financials!S91),1)&gt;0.05),FALSE),"⚠","✓"))</f>
        <v>✓</v>
      </c>
      <c r="G94" t="str">
        <f>IF(NOT(AND(IFERROR('Company_Master'!A91&lt;&gt;"",FALSE),AND(ISNUMBER(Financials!I91),ISNUMBER(Financials!L91),ISNUMBER(Financials!O91)))),"—",IF(IFERROR(AND(ISNUMBER(Financials!I91),ISNUMBER(Financials!L91),ISNUMBER(Financials!O91),Financials!I91&gt;0,ABS(Financials!I91-(Financials!L91+Financials!O91))/Financials!I91&gt;0.01),FALSE),"⚠","✓"))</f>
        <v>✓</v>
      </c>
      <c r="H94" t="str">
        <f>IF(NOT(AND(IFERROR('Company_Master'!A91&lt;&gt;"",FALSE),AND(ISNUMBER(Financials!E91),ISNUMBER(Financials!F91)))),"—",IF(IFERROR(AND(ISNUMBER(Financials!E91),ISNUMBER(Financials!F91),Financials!E91&lt;Financials!F91),FALSE),"⚠","✓"))</f>
        <v>—</v>
      </c>
      <c r="I94" t="str">
        <f>IF(NOT(AND(IFERROR('Company_Master'!A91&lt;&gt;"",FALSE),AND(ISNUMBER(Financials!C91),ISNUMBER(Financials!E91)))),"—",IF(IFERROR(AND(ISNUMBER(Financials!C91),ISNUMBER(Financials!E91),Financials!C91=0,Financials!E91&gt;0),FALSE),"⚠","✓"))</f>
        <v>—</v>
      </c>
      <c r="J94" t="str">
        <f>IF(NOT(AND(IFERROR('Company_Master'!A91&lt;&gt;"",FALSE),COUNTIF('Raw_Extract'!A:A,'Company_Master'!A91)&gt;0)),"—",IF(COUNTIFS('Raw_Extract'!A:A,'Company_Master'!A91,'Raw_Extract'!J:J,"Low")&gt;0,"⚠","✓"))</f>
        <v>✓</v>
      </c>
      <c r="K94" t="str">
        <f>IF(NOT(AND(IFERROR('Company_Master'!A91&lt;&gt;"",FALSE),AND(ISNUMBER(Financials!E91),ISNUMBER(Financials!AP91)))),"—",IF(IFERROR(AND(ISNUMBER(Financials!E91),ISNUMBER(Financials!AP91),Financials!E91&lt;&gt;0,ABS(Financials!E91-Financials!AP91)/ABS(Financials!E91)&gt;0.05),FALSE),"⚠","✓"))</f>
        <v>—</v>
      </c>
      <c r="L94" t="str">
        <f>IF(NOT(AND(IFERROR('Company_Master'!A91&lt;&gt;"",FALSE),AND(ISNUMBER(Financials!AR91),ISNUMBER(Financials!S91)))),"—",IF(IFERROR(AND(ISNUMBER(Financials!AR91),ISNUMBER(Financials!S91),Financials!S91&lt;&gt;0,ABS(Financials!AR91-Financials!S91)/MAX(ABS(Financials!S91),1)&gt;0.05),FALSE),"⚠","✓"))</f>
        <v>—</v>
      </c>
      <c r="M94" t="str">
        <f>IF(NOT(AND(IFERROR('Company_Master'!A91&lt;&gt;"",FALSE),AND(ISNUMBER(Asset_Operations!BE91),ISNUMBER(Asset_Operations!AR91)))),"—",IF(IFERROR(AND(ISNUMBER(Asset_Operations!BE91),ISNUMBER(Asset_Operations!AR91),ABS(Asset_Operations!BE91-Asset_Operations!AR91)&gt;0.05),FALSE),"⚠","✓"))</f>
        <v>—</v>
      </c>
      <c r="N94" t="str">
        <f>IF(NOT(AND(IFERROR('Company_Master'!A91&lt;&gt;"",FALSE),ISNUMBER(Financials!C91))),"—",IF(IFERROR(AND(ISNUMBER(Financials!C91),OR(Financials!C91&lt;50,Financials!C91&gt;200000)),FALSE),"⚠","✓"))</f>
        <v>✓</v>
      </c>
      <c r="O94">
        <f t="shared" si="4"/>
        <v>1</v>
      </c>
      <c r="P94">
        <f t="shared" si="5"/>
        <v>5</v>
      </c>
      <c r="Q94" t="str">
        <f>IF(NOT(IFERROR('Company_Master'!A91&lt;&gt;"",FALSE)),"",IF(O94&gt;0,"⚠ "&amp;O94&amp;" issue(s) detected",IF(P94=0,"— No data to validate","✓ All "&amp;P94&amp;" checks passed")))</f>
        <v>⚠ 1 issue(s) detected</v>
      </c>
    </row>
    <row r="95" spans="1:17" x14ac:dyDescent="0.3">
      <c r="A95">
        <v>91</v>
      </c>
      <c r="B95" t="str">
        <f>IFERROR('Company_Master'!A92,"")</f>
        <v>PT Wahana Pronatural Tbk</v>
      </c>
      <c r="C95" t="str">
        <f>IF(NOT(AND(IFERROR('Company_Master'!A92&lt;&gt;"",FALSE),OR(ISNUMBER(Asset_Operations!B92),ISNUMBER(Asset_Operations!C92),ISNUMBER(Asset_Operations!D92)))),"—",IF(IFERROR(AND(ISNUMBER(Asset_Operations!B92),ISNUMBER(Asset_Operations!C92),ISNUMBER(Asset_Operations!D92),Asset_Operations!B92&gt;0,ABS((Asset_Operations!C92+Asset_Operations!D92)-Asset_Operations!B92)/Asset_Operations!B92&gt;0.02),FALSE),"⚠","✓"))</f>
        <v>—</v>
      </c>
      <c r="D95" t="str">
        <f>IF(NOT(AND(IFERROR('Company_Master'!A92&lt;&gt;"",FALSE),OR(ISNUMBER(Asset_Operations!B92),ISNUMBER(Asset_Operations!E92),ISNUMBER(Asset_Operations!F92)))),"—",IF(IFERROR(AND(ISNUMBER(Asset_Operations!B92),ISNUMBER(Asset_Operations!E92),ISNUMBER(Asset_Operations!F92),Asset_Operations!B92&gt;0,ABS((Asset_Operations!E92+Asset_Operations!F92)-Asset_Operations!B92)/Asset_Operations!B92&gt;0.02),FALSE),"⚠","✓"))</f>
        <v>—</v>
      </c>
      <c r="E95" t="str">
        <f>IF(NOT(AND(IFERROR('Company_Master'!A92&lt;&gt;"",FALSE),ISNUMBER(Asset_Operations!AR92))),"—",IF(IFERROR(AND(ISNUMBER(Asset_Operations!AR92),OR(Asset_Operations!AR92&lt;0.15,Asset_Operations!AR92&gt;0.27)),FALSE),"⚠","✓"))</f>
        <v>—</v>
      </c>
      <c r="F95" t="str">
        <f>IF(NOT(AND(IFERROR('Company_Master'!A92&lt;&gt;"",FALSE),AND(ISNUMBER(Financials!Q92),ISNUMBER(Financials!R92)))),"—",IF(IFERROR(AND(ISNUMBER(Financials!Q92),ISNUMBER(Financials!R92),ISNUMBER(Financials!S92),ABS((Financials!R92-Financials!Q92)-Financials!S92)/MAX(ABS(Financials!S92),1)&gt;0.05),FALSE),"⚠","✓"))</f>
        <v>✓</v>
      </c>
      <c r="G95" t="str">
        <f>IF(NOT(AND(IFERROR('Company_Master'!A92&lt;&gt;"",FALSE),AND(ISNUMBER(Financials!I92),ISNUMBER(Financials!L92),ISNUMBER(Financials!O92)))),"—",IF(IFERROR(AND(ISNUMBER(Financials!I92),ISNUMBER(Financials!L92),ISNUMBER(Financials!O92),Financials!I92&gt;0,ABS(Financials!I92-(Financials!L92+Financials!O92))/Financials!I92&gt;0.01),FALSE),"⚠","✓"))</f>
        <v>✓</v>
      </c>
      <c r="H95" t="str">
        <f>IF(NOT(AND(IFERROR('Company_Master'!A92&lt;&gt;"",FALSE),AND(ISNUMBER(Financials!E92),ISNUMBER(Financials!F92)))),"—",IF(IFERROR(AND(ISNUMBER(Financials!E92),ISNUMBER(Financials!F92),Financials!E92&lt;Financials!F92),FALSE),"⚠","✓"))</f>
        <v>—</v>
      </c>
      <c r="I95" t="str">
        <f>IF(NOT(AND(IFERROR('Company_Master'!A92&lt;&gt;"",FALSE),AND(ISNUMBER(Financials!C92),ISNUMBER(Financials!E92)))),"—",IF(IFERROR(AND(ISNUMBER(Financials!C92),ISNUMBER(Financials!E92),Financials!C92=0,Financials!E92&gt;0),FALSE),"⚠","✓"))</f>
        <v>—</v>
      </c>
      <c r="J95" t="str">
        <f>IF(NOT(AND(IFERROR('Company_Master'!A92&lt;&gt;"",FALSE),COUNTIF('Raw_Extract'!A:A,'Company_Master'!A92)&gt;0)),"—",IF(COUNTIFS('Raw_Extract'!A:A,'Company_Master'!A92,'Raw_Extract'!J:J,"Low")&gt;0,"⚠","✓"))</f>
        <v>⚠</v>
      </c>
      <c r="K95" t="str">
        <f>IF(NOT(AND(IFERROR('Company_Master'!A92&lt;&gt;"",FALSE),AND(ISNUMBER(Financials!E92),ISNUMBER(Financials!AP92)))),"—",IF(IFERROR(AND(ISNUMBER(Financials!E92),ISNUMBER(Financials!AP92),Financials!E92&lt;&gt;0,ABS(Financials!E92-Financials!AP92)/ABS(Financials!E92)&gt;0.05),FALSE),"⚠","✓"))</f>
        <v>—</v>
      </c>
      <c r="L95" t="str">
        <f>IF(NOT(AND(IFERROR('Company_Master'!A92&lt;&gt;"",FALSE),AND(ISNUMBER(Financials!AR92),ISNUMBER(Financials!S92)))),"—",IF(IFERROR(AND(ISNUMBER(Financials!AR92),ISNUMBER(Financials!S92),Financials!S92&lt;&gt;0,ABS(Financials!AR92-Financials!S92)/MAX(ABS(Financials!S92),1)&gt;0.05),FALSE),"⚠","✓"))</f>
        <v>—</v>
      </c>
      <c r="M95" t="str">
        <f>IF(NOT(AND(IFERROR('Company_Master'!A92&lt;&gt;"",FALSE),AND(ISNUMBER(Asset_Operations!BE92),ISNUMBER(Asset_Operations!AR92)))),"—",IF(IFERROR(AND(ISNUMBER(Asset_Operations!BE92),ISNUMBER(Asset_Operations!AR92),ABS(Asset_Operations!BE92-Asset_Operations!AR92)&gt;0.05),FALSE),"⚠","✓"))</f>
        <v>—</v>
      </c>
      <c r="N95" t="str">
        <f>IF(NOT(AND(IFERROR('Company_Master'!A92&lt;&gt;"",FALSE),ISNUMBER(Financials!C92))),"—",IF(IFERROR(AND(ISNUMBER(Financials!C92),OR(Financials!C92&lt;50,Financials!C92&gt;200000)),FALSE),"⚠","✓"))</f>
        <v>✓</v>
      </c>
      <c r="O95">
        <f t="shared" si="4"/>
        <v>1</v>
      </c>
      <c r="P95">
        <f t="shared" si="5"/>
        <v>3</v>
      </c>
      <c r="Q95" t="str">
        <f>IF(NOT(IFERROR('Company_Master'!A92&lt;&gt;"",FALSE)),"",IF(O95&gt;0,"⚠ "&amp;O95&amp;" issue(s) detected",IF(P95=0,"— No data to validate","✓ All "&amp;P95&amp;" checks passed")))</f>
        <v>⚠ 1 issue(s) detected</v>
      </c>
    </row>
    <row r="96" spans="1:17" x14ac:dyDescent="0.3">
      <c r="A96">
        <v>92</v>
      </c>
      <c r="B96" t="str">
        <f>IFERROR('Company_Master'!A93,"")</f>
        <v>PT Wahana Pronatural Tbk</v>
      </c>
      <c r="C96" t="str">
        <f>IF(NOT(AND(IFERROR('Company_Master'!A93&lt;&gt;"",FALSE),OR(ISNUMBER(Asset_Operations!B93),ISNUMBER(Asset_Operations!C93),ISNUMBER(Asset_Operations!D93)))),"—",IF(IFERROR(AND(ISNUMBER(Asset_Operations!B93),ISNUMBER(Asset_Operations!C93),ISNUMBER(Asset_Operations!D93),Asset_Operations!B93&gt;0,ABS((Asset_Operations!C93+Asset_Operations!D93)-Asset_Operations!B93)/Asset_Operations!B93&gt;0.02),FALSE),"⚠","✓"))</f>
        <v>—</v>
      </c>
      <c r="D96" t="str">
        <f>IF(NOT(AND(IFERROR('Company_Master'!A93&lt;&gt;"",FALSE),OR(ISNUMBER(Asset_Operations!B93),ISNUMBER(Asset_Operations!E93),ISNUMBER(Asset_Operations!F93)))),"—",IF(IFERROR(AND(ISNUMBER(Asset_Operations!B93),ISNUMBER(Asset_Operations!E93),ISNUMBER(Asset_Operations!F93),Asset_Operations!B93&gt;0,ABS((Asset_Operations!E93+Asset_Operations!F93)-Asset_Operations!B93)/Asset_Operations!B93&gt;0.02),FALSE),"⚠","✓"))</f>
        <v>—</v>
      </c>
      <c r="E96" t="str">
        <f>IF(NOT(AND(IFERROR('Company_Master'!A93&lt;&gt;"",FALSE),ISNUMBER(Asset_Operations!AR93))),"—",IF(IFERROR(AND(ISNUMBER(Asset_Operations!AR93),OR(Asset_Operations!AR93&lt;0.15,Asset_Operations!AR93&gt;0.27)),FALSE),"⚠","✓"))</f>
        <v>—</v>
      </c>
      <c r="F96" t="str">
        <f>IF(NOT(AND(IFERROR('Company_Master'!A93&lt;&gt;"",FALSE),AND(ISNUMBER(Financials!Q93),ISNUMBER(Financials!R93)))),"—",IF(IFERROR(AND(ISNUMBER(Financials!Q93),ISNUMBER(Financials!R93),ISNUMBER(Financials!S93),ABS((Financials!R93-Financials!Q93)-Financials!S93)/MAX(ABS(Financials!S93),1)&gt;0.05),FALSE),"⚠","✓"))</f>
        <v>✓</v>
      </c>
      <c r="G96" t="str">
        <f>IF(NOT(AND(IFERROR('Company_Master'!A93&lt;&gt;"",FALSE),AND(ISNUMBER(Financials!I93),ISNUMBER(Financials!L93),ISNUMBER(Financials!O93)))),"—",IF(IFERROR(AND(ISNUMBER(Financials!I93),ISNUMBER(Financials!L93),ISNUMBER(Financials!O93),Financials!I93&gt;0,ABS(Financials!I93-(Financials!L93+Financials!O93))/Financials!I93&gt;0.01),FALSE),"⚠","✓"))</f>
        <v>✓</v>
      </c>
      <c r="H96" t="str">
        <f>IF(NOT(AND(IFERROR('Company_Master'!A93&lt;&gt;"",FALSE),AND(ISNUMBER(Financials!E93),ISNUMBER(Financials!F93)))),"—",IF(IFERROR(AND(ISNUMBER(Financials!E93),ISNUMBER(Financials!F93),Financials!E93&lt;Financials!F93),FALSE),"⚠","✓"))</f>
        <v>—</v>
      </c>
      <c r="I96" t="str">
        <f>IF(NOT(AND(IFERROR('Company_Master'!A93&lt;&gt;"",FALSE),AND(ISNUMBER(Financials!C93),ISNUMBER(Financials!E93)))),"—",IF(IFERROR(AND(ISNUMBER(Financials!C93),ISNUMBER(Financials!E93),Financials!C93=0,Financials!E93&gt;0),FALSE),"⚠","✓"))</f>
        <v>—</v>
      </c>
      <c r="J96" t="str">
        <f>IF(NOT(AND(IFERROR('Company_Master'!A93&lt;&gt;"",FALSE),COUNTIF('Raw_Extract'!A:A,'Company_Master'!A93)&gt;0)),"—",IF(COUNTIFS('Raw_Extract'!A:A,'Company_Master'!A93,'Raw_Extract'!J:J,"Low")&gt;0,"⚠","✓"))</f>
        <v>⚠</v>
      </c>
      <c r="K96" t="str">
        <f>IF(NOT(AND(IFERROR('Company_Master'!A93&lt;&gt;"",FALSE),AND(ISNUMBER(Financials!E93),ISNUMBER(Financials!AP93)))),"—",IF(IFERROR(AND(ISNUMBER(Financials!E93),ISNUMBER(Financials!AP93),Financials!E93&lt;&gt;0,ABS(Financials!E93-Financials!AP93)/ABS(Financials!E93)&gt;0.05),FALSE),"⚠","✓"))</f>
        <v>—</v>
      </c>
      <c r="L96" t="str">
        <f>IF(NOT(AND(IFERROR('Company_Master'!A93&lt;&gt;"",FALSE),AND(ISNUMBER(Financials!AR93),ISNUMBER(Financials!S93)))),"—",IF(IFERROR(AND(ISNUMBER(Financials!AR93),ISNUMBER(Financials!S93),Financials!S93&lt;&gt;0,ABS(Financials!AR93-Financials!S93)/MAX(ABS(Financials!S93),1)&gt;0.05),FALSE),"⚠","✓"))</f>
        <v>—</v>
      </c>
      <c r="M96" t="str">
        <f>IF(NOT(AND(IFERROR('Company_Master'!A93&lt;&gt;"",FALSE),AND(ISNUMBER(Asset_Operations!BE93),ISNUMBER(Asset_Operations!AR93)))),"—",IF(IFERROR(AND(ISNUMBER(Asset_Operations!BE93),ISNUMBER(Asset_Operations!AR93),ABS(Asset_Operations!BE93-Asset_Operations!AR93)&gt;0.05),FALSE),"⚠","✓"))</f>
        <v>—</v>
      </c>
      <c r="N96" t="str">
        <f>IF(NOT(AND(IFERROR('Company_Master'!A93&lt;&gt;"",FALSE),ISNUMBER(Financials!C93))),"—",IF(IFERROR(AND(ISNUMBER(Financials!C93),OR(Financials!C93&lt;50,Financials!C93&gt;200000)),FALSE),"⚠","✓"))</f>
        <v>✓</v>
      </c>
      <c r="O96">
        <f t="shared" si="4"/>
        <v>1</v>
      </c>
      <c r="P96">
        <f t="shared" si="5"/>
        <v>3</v>
      </c>
      <c r="Q96" t="str">
        <f>IF(NOT(IFERROR('Company_Master'!A93&lt;&gt;"",FALSE)),"",IF(O96&gt;0,"⚠ "&amp;O96&amp;" issue(s) detected",IF(P96=0,"— No data to validate","✓ All "&amp;P96&amp;" checks passed")))</f>
        <v>⚠ 1 issue(s) detected</v>
      </c>
    </row>
    <row r="97" spans="1:17" x14ac:dyDescent="0.3">
      <c r="A97">
        <v>93</v>
      </c>
      <c r="B97" t="str">
        <f>IFERROR('Company_Master'!A94,"")</f>
        <v>PT Wahana Pronatural Tbk</v>
      </c>
      <c r="C97" t="str">
        <f>IF(NOT(AND(IFERROR('Company_Master'!A94&lt;&gt;"",FALSE),OR(ISNUMBER(Asset_Operations!B94),ISNUMBER(Asset_Operations!C94),ISNUMBER(Asset_Operations!D94)))),"—",IF(IFERROR(AND(ISNUMBER(Asset_Operations!B94),ISNUMBER(Asset_Operations!C94),ISNUMBER(Asset_Operations!D94),Asset_Operations!B94&gt;0,ABS((Asset_Operations!C94+Asset_Operations!D94)-Asset_Operations!B94)/Asset_Operations!B94&gt;0.02),FALSE),"⚠","✓"))</f>
        <v>—</v>
      </c>
      <c r="D97" t="str">
        <f>IF(NOT(AND(IFERROR('Company_Master'!A94&lt;&gt;"",FALSE),OR(ISNUMBER(Asset_Operations!B94),ISNUMBER(Asset_Operations!E94),ISNUMBER(Asset_Operations!F94)))),"—",IF(IFERROR(AND(ISNUMBER(Asset_Operations!B94),ISNUMBER(Asset_Operations!E94),ISNUMBER(Asset_Operations!F94),Asset_Operations!B94&gt;0,ABS((Asset_Operations!E94+Asset_Operations!F94)-Asset_Operations!B94)/Asset_Operations!B94&gt;0.02),FALSE),"⚠","✓"))</f>
        <v>—</v>
      </c>
      <c r="E97" t="str">
        <f>IF(NOT(AND(IFERROR('Company_Master'!A94&lt;&gt;"",FALSE),ISNUMBER(Asset_Operations!AR94))),"—",IF(IFERROR(AND(ISNUMBER(Asset_Operations!AR94),OR(Asset_Operations!AR94&lt;0.15,Asset_Operations!AR94&gt;0.27)),FALSE),"⚠","✓"))</f>
        <v>—</v>
      </c>
      <c r="F97" t="str">
        <f>IF(NOT(AND(IFERROR('Company_Master'!A94&lt;&gt;"",FALSE),AND(ISNUMBER(Financials!Q94),ISNUMBER(Financials!R94)))),"—",IF(IFERROR(AND(ISNUMBER(Financials!Q94),ISNUMBER(Financials!R94),ISNUMBER(Financials!S94),ABS((Financials!R94-Financials!Q94)-Financials!S94)/MAX(ABS(Financials!S94),1)&gt;0.05),FALSE),"⚠","✓"))</f>
        <v>✓</v>
      </c>
      <c r="G97" t="str">
        <f>IF(NOT(AND(IFERROR('Company_Master'!A94&lt;&gt;"",FALSE),AND(ISNUMBER(Financials!I94),ISNUMBER(Financials!L94),ISNUMBER(Financials!O94)))),"—",IF(IFERROR(AND(ISNUMBER(Financials!I94),ISNUMBER(Financials!L94),ISNUMBER(Financials!O94),Financials!I94&gt;0,ABS(Financials!I94-(Financials!L94+Financials!O94))/Financials!I94&gt;0.01),FALSE),"⚠","✓"))</f>
        <v>✓</v>
      </c>
      <c r="H97" t="str">
        <f>IF(NOT(AND(IFERROR('Company_Master'!A94&lt;&gt;"",FALSE),AND(ISNUMBER(Financials!E94),ISNUMBER(Financials!F94)))),"—",IF(IFERROR(AND(ISNUMBER(Financials!E94),ISNUMBER(Financials!F94),Financials!E94&lt;Financials!F94),FALSE),"⚠","✓"))</f>
        <v>—</v>
      </c>
      <c r="I97" t="str">
        <f>IF(NOT(AND(IFERROR('Company_Master'!A94&lt;&gt;"",FALSE),AND(ISNUMBER(Financials!C94),ISNUMBER(Financials!E94)))),"—",IF(IFERROR(AND(ISNUMBER(Financials!C94),ISNUMBER(Financials!E94),Financials!C94=0,Financials!E94&gt;0),FALSE),"⚠","✓"))</f>
        <v>—</v>
      </c>
      <c r="J97" t="str">
        <f>IF(NOT(AND(IFERROR('Company_Master'!A94&lt;&gt;"",FALSE),COUNTIF('Raw_Extract'!A:A,'Company_Master'!A94)&gt;0)),"—",IF(COUNTIFS('Raw_Extract'!A:A,'Company_Master'!A94,'Raw_Extract'!J:J,"Low")&gt;0,"⚠","✓"))</f>
        <v>⚠</v>
      </c>
      <c r="K97" t="str">
        <f>IF(NOT(AND(IFERROR('Company_Master'!A94&lt;&gt;"",FALSE),AND(ISNUMBER(Financials!E94),ISNUMBER(Financials!AP94)))),"—",IF(IFERROR(AND(ISNUMBER(Financials!E94),ISNUMBER(Financials!AP94),Financials!E94&lt;&gt;0,ABS(Financials!E94-Financials!AP94)/ABS(Financials!E94)&gt;0.05),FALSE),"⚠","✓"))</f>
        <v>—</v>
      </c>
      <c r="L97" t="str">
        <f>IF(NOT(AND(IFERROR('Company_Master'!A94&lt;&gt;"",FALSE),AND(ISNUMBER(Financials!AR94),ISNUMBER(Financials!S94)))),"—",IF(IFERROR(AND(ISNUMBER(Financials!AR94),ISNUMBER(Financials!S94),Financials!S94&lt;&gt;0,ABS(Financials!AR94-Financials!S94)/MAX(ABS(Financials!S94),1)&gt;0.05),FALSE),"⚠","✓"))</f>
        <v>—</v>
      </c>
      <c r="M97" t="str">
        <f>IF(NOT(AND(IFERROR('Company_Master'!A94&lt;&gt;"",FALSE),AND(ISNUMBER(Asset_Operations!BE94),ISNUMBER(Asset_Operations!AR94)))),"—",IF(IFERROR(AND(ISNUMBER(Asset_Operations!BE94),ISNUMBER(Asset_Operations!AR94),ABS(Asset_Operations!BE94-Asset_Operations!AR94)&gt;0.05),FALSE),"⚠","✓"))</f>
        <v>—</v>
      </c>
      <c r="N97" t="str">
        <f>IF(NOT(AND(IFERROR('Company_Master'!A94&lt;&gt;"",FALSE),ISNUMBER(Financials!C94))),"—",IF(IFERROR(AND(ISNUMBER(Financials!C94),OR(Financials!C94&lt;50,Financials!C94&gt;200000)),FALSE),"⚠","✓"))</f>
        <v>✓</v>
      </c>
      <c r="O97">
        <f t="shared" si="4"/>
        <v>1</v>
      </c>
      <c r="P97">
        <f t="shared" si="5"/>
        <v>3</v>
      </c>
      <c r="Q97" t="str">
        <f>IF(NOT(IFERROR('Company_Master'!A94&lt;&gt;"",FALSE)),"",IF(O97&gt;0,"⚠ "&amp;O97&amp;" issue(s) detected",IF(P97=0,"— No data to validate","✓ All "&amp;P97&amp;" checks passed")))</f>
        <v>⚠ 1 issue(s) detected</v>
      </c>
    </row>
    <row r="99" spans="1:17" x14ac:dyDescent="0.3">
      <c r="A99" s="35" t="s">
        <v>10522</v>
      </c>
    </row>
    <row r="100" spans="1:17" x14ac:dyDescent="0.3">
      <c r="A100" s="75" t="s">
        <v>10523</v>
      </c>
      <c r="B100" s="67"/>
      <c r="C100" s="67"/>
      <c r="D100" s="67"/>
      <c r="E100" s="67"/>
      <c r="F100" s="67"/>
      <c r="G100" s="67"/>
      <c r="H100" s="67"/>
      <c r="I100" s="67"/>
      <c r="J100" s="67"/>
      <c r="K100" s="67"/>
      <c r="L100" s="67"/>
      <c r="M100" s="67"/>
      <c r="N100" s="67"/>
      <c r="O100" s="67"/>
      <c r="P100" s="67"/>
      <c r="Q100" s="67"/>
    </row>
    <row r="101" spans="1:17" x14ac:dyDescent="0.3">
      <c r="A101" s="75" t="s">
        <v>10524</v>
      </c>
      <c r="B101" s="67"/>
      <c r="C101" s="67"/>
      <c r="D101" s="67"/>
      <c r="E101" s="67"/>
      <c r="F101" s="67"/>
      <c r="G101" s="67"/>
      <c r="H101" s="67"/>
      <c r="I101" s="67"/>
      <c r="J101" s="67"/>
      <c r="K101" s="67"/>
      <c r="L101" s="67"/>
      <c r="M101" s="67"/>
      <c r="N101" s="67"/>
      <c r="O101" s="67"/>
      <c r="P101" s="67"/>
      <c r="Q101" s="67"/>
    </row>
    <row r="102" spans="1:17" x14ac:dyDescent="0.3">
      <c r="A102" s="75" t="s">
        <v>10525</v>
      </c>
      <c r="B102" s="67"/>
      <c r="C102" s="67"/>
      <c r="D102" s="67"/>
      <c r="E102" s="67"/>
      <c r="F102" s="67"/>
      <c r="G102" s="67"/>
      <c r="H102" s="67"/>
      <c r="I102" s="67"/>
      <c r="J102" s="67"/>
      <c r="K102" s="67"/>
      <c r="L102" s="67"/>
      <c r="M102" s="67"/>
      <c r="N102" s="67"/>
      <c r="O102" s="67"/>
      <c r="P102" s="67"/>
      <c r="Q102" s="67"/>
    </row>
    <row r="103" spans="1:17" x14ac:dyDescent="0.3">
      <c r="A103" s="75" t="s">
        <v>10526</v>
      </c>
      <c r="B103" s="67"/>
      <c r="C103" s="67"/>
      <c r="D103" s="67"/>
      <c r="E103" s="67"/>
      <c r="F103" s="67"/>
      <c r="G103" s="67"/>
      <c r="H103" s="67"/>
      <c r="I103" s="67"/>
      <c r="J103" s="67"/>
      <c r="K103" s="67"/>
      <c r="L103" s="67"/>
      <c r="M103" s="67"/>
      <c r="N103" s="67"/>
      <c r="O103" s="67"/>
      <c r="P103" s="67"/>
      <c r="Q103" s="67"/>
    </row>
    <row r="104" spans="1:17" x14ac:dyDescent="0.3">
      <c r="A104" s="75" t="s">
        <v>10527</v>
      </c>
      <c r="B104" s="67"/>
      <c r="C104" s="67"/>
      <c r="D104" s="67"/>
      <c r="E104" s="67"/>
      <c r="F104" s="67"/>
      <c r="G104" s="67"/>
      <c r="H104" s="67"/>
      <c r="I104" s="67"/>
      <c r="J104" s="67"/>
      <c r="K104" s="67"/>
      <c r="L104" s="67"/>
      <c r="M104" s="67"/>
      <c r="N104" s="67"/>
      <c r="O104" s="67"/>
      <c r="P104" s="67"/>
      <c r="Q104" s="67"/>
    </row>
    <row r="105" spans="1:17" x14ac:dyDescent="0.3">
      <c r="A105" s="75" t="s">
        <v>10528</v>
      </c>
      <c r="B105" s="67"/>
      <c r="C105" s="67"/>
      <c r="D105" s="67"/>
      <c r="E105" s="67"/>
      <c r="F105" s="67"/>
      <c r="G105" s="67"/>
      <c r="H105" s="67"/>
      <c r="I105" s="67"/>
      <c r="J105" s="67"/>
      <c r="K105" s="67"/>
      <c r="L105" s="67"/>
      <c r="M105" s="67"/>
      <c r="N105" s="67"/>
      <c r="O105" s="67"/>
      <c r="P105" s="67"/>
      <c r="Q105" s="67"/>
    </row>
  </sheetData>
  <mergeCells count="8">
    <mergeCell ref="A100:Q100"/>
    <mergeCell ref="A105:Q105"/>
    <mergeCell ref="A1:P1"/>
    <mergeCell ref="A101:Q101"/>
    <mergeCell ref="A104:Q104"/>
    <mergeCell ref="A102:Q102"/>
    <mergeCell ref="A103:Q103"/>
    <mergeCell ref="A2:P2"/>
  </mergeCells>
  <phoneticPr fontId="24"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504"/>
  <sheetViews>
    <sheetView topLeftCell="A427" workbookViewId="0"/>
  </sheetViews>
  <sheetFormatPr defaultRowHeight="14.4" x14ac:dyDescent="0.3"/>
  <cols>
    <col min="1" max="1" width="11" bestFit="1" customWidth="1"/>
    <col min="4" max="4" width="34" bestFit="1" customWidth="1"/>
    <col min="5" max="5" width="13.77734375" bestFit="1" customWidth="1"/>
    <col min="6" max="6" width="14.88671875" bestFit="1" customWidth="1"/>
    <col min="7" max="7" width="73.21875" bestFit="1" customWidth="1"/>
  </cols>
  <sheetData>
    <row r="1" spans="1:7" x14ac:dyDescent="0.3">
      <c r="A1" t="s">
        <v>0</v>
      </c>
      <c r="B1" t="s">
        <v>1</v>
      </c>
      <c r="C1" t="s">
        <v>2</v>
      </c>
      <c r="D1" t="s">
        <v>3</v>
      </c>
      <c r="E1" t="s">
        <v>4</v>
      </c>
      <c r="F1" t="s">
        <v>5</v>
      </c>
      <c r="G1" t="s">
        <v>6</v>
      </c>
    </row>
    <row r="2" spans="1:7" x14ac:dyDescent="0.3">
      <c r="A2" t="s">
        <v>7</v>
      </c>
      <c r="B2" t="s">
        <v>8</v>
      </c>
      <c r="C2">
        <v>2023</v>
      </c>
      <c r="D2" t="s">
        <v>9</v>
      </c>
      <c r="F2">
        <v>1251.22</v>
      </c>
      <c r="G2" t="s">
        <v>10</v>
      </c>
    </row>
    <row r="3" spans="1:7" x14ac:dyDescent="0.3">
      <c r="A3" t="s">
        <v>7</v>
      </c>
      <c r="B3" t="s">
        <v>8</v>
      </c>
      <c r="C3">
        <v>2023</v>
      </c>
      <c r="D3" t="s">
        <v>11</v>
      </c>
      <c r="F3">
        <v>2089.5100000000002</v>
      </c>
      <c r="G3" t="s">
        <v>10</v>
      </c>
    </row>
    <row r="4" spans="1:7" x14ac:dyDescent="0.3">
      <c r="A4" t="s">
        <v>7</v>
      </c>
      <c r="B4" t="s">
        <v>8</v>
      </c>
      <c r="C4">
        <v>2023</v>
      </c>
      <c r="D4" t="s">
        <v>12</v>
      </c>
      <c r="F4">
        <v>4005.05</v>
      </c>
      <c r="G4" t="s">
        <v>10</v>
      </c>
    </row>
    <row r="5" spans="1:7" x14ac:dyDescent="0.3">
      <c r="A5" t="s">
        <v>7</v>
      </c>
      <c r="B5" t="s">
        <v>8</v>
      </c>
      <c r="C5">
        <v>2023</v>
      </c>
      <c r="D5" t="s">
        <v>13</v>
      </c>
      <c r="F5">
        <v>2538.7399999999998</v>
      </c>
      <c r="G5" t="s">
        <v>10</v>
      </c>
    </row>
    <row r="6" spans="1:7" x14ac:dyDescent="0.3">
      <c r="A6" t="s">
        <v>7</v>
      </c>
      <c r="B6" t="s">
        <v>8</v>
      </c>
      <c r="C6">
        <v>2023</v>
      </c>
      <c r="D6" t="s">
        <v>14</v>
      </c>
      <c r="F6">
        <v>1236.3399999999999</v>
      </c>
      <c r="G6" t="s">
        <v>10</v>
      </c>
    </row>
    <row r="7" spans="1:7" x14ac:dyDescent="0.3">
      <c r="A7" t="s">
        <v>7</v>
      </c>
      <c r="B7" t="s">
        <v>15</v>
      </c>
      <c r="C7">
        <v>2023</v>
      </c>
      <c r="D7" t="s">
        <v>12</v>
      </c>
      <c r="F7">
        <v>0</v>
      </c>
      <c r="G7" t="s">
        <v>10</v>
      </c>
    </row>
    <row r="8" spans="1:7" x14ac:dyDescent="0.3">
      <c r="A8" t="s">
        <v>7</v>
      </c>
      <c r="B8" t="s">
        <v>15</v>
      </c>
      <c r="C8">
        <v>2024</v>
      </c>
      <c r="D8" t="s">
        <v>12</v>
      </c>
      <c r="F8">
        <v>0</v>
      </c>
      <c r="G8" t="s">
        <v>10</v>
      </c>
    </row>
    <row r="9" spans="1:7" x14ac:dyDescent="0.3">
      <c r="A9" t="s">
        <v>7</v>
      </c>
      <c r="B9" t="s">
        <v>16</v>
      </c>
      <c r="C9">
        <v>2022</v>
      </c>
      <c r="D9" t="s">
        <v>17</v>
      </c>
      <c r="F9">
        <v>-2.88</v>
      </c>
      <c r="G9" t="s">
        <v>10</v>
      </c>
    </row>
    <row r="10" spans="1:7" x14ac:dyDescent="0.3">
      <c r="A10" t="s">
        <v>7</v>
      </c>
      <c r="B10" t="s">
        <v>18</v>
      </c>
      <c r="C10">
        <v>2023</v>
      </c>
      <c r="D10" t="s">
        <v>11</v>
      </c>
      <c r="F10">
        <v>25.37</v>
      </c>
      <c r="G10" t="s">
        <v>10</v>
      </c>
    </row>
    <row r="11" spans="1:7" x14ac:dyDescent="0.3">
      <c r="A11" t="s">
        <v>7</v>
      </c>
      <c r="B11" t="s">
        <v>18</v>
      </c>
      <c r="C11">
        <v>2023</v>
      </c>
      <c r="D11" t="s">
        <v>12</v>
      </c>
      <c r="F11">
        <v>7777.55</v>
      </c>
      <c r="G11" t="s">
        <v>10</v>
      </c>
    </row>
    <row r="12" spans="1:7" x14ac:dyDescent="0.3">
      <c r="A12" t="s">
        <v>7</v>
      </c>
      <c r="B12" t="s">
        <v>19</v>
      </c>
      <c r="C12">
        <v>2022</v>
      </c>
      <c r="D12" t="s">
        <v>14</v>
      </c>
      <c r="F12">
        <v>124.96</v>
      </c>
      <c r="G12" t="s">
        <v>10</v>
      </c>
    </row>
    <row r="13" spans="1:7" x14ac:dyDescent="0.3">
      <c r="A13" t="s">
        <v>7</v>
      </c>
      <c r="B13" t="s">
        <v>20</v>
      </c>
      <c r="C13">
        <v>2023</v>
      </c>
      <c r="D13" t="s">
        <v>14</v>
      </c>
      <c r="F13">
        <v>371.81</v>
      </c>
      <c r="G13" t="s">
        <v>10</v>
      </c>
    </row>
    <row r="14" spans="1:7" x14ac:dyDescent="0.3">
      <c r="A14" t="s">
        <v>7</v>
      </c>
      <c r="B14" t="s">
        <v>21</v>
      </c>
      <c r="C14">
        <v>2022</v>
      </c>
      <c r="D14" t="s">
        <v>9</v>
      </c>
      <c r="F14">
        <v>313.18</v>
      </c>
      <c r="G14" t="s">
        <v>10</v>
      </c>
    </row>
    <row r="15" spans="1:7" x14ac:dyDescent="0.3">
      <c r="A15" t="s">
        <v>7</v>
      </c>
      <c r="B15" t="s">
        <v>21</v>
      </c>
      <c r="C15">
        <v>2022</v>
      </c>
      <c r="D15" t="s">
        <v>12</v>
      </c>
      <c r="F15">
        <v>2104.6</v>
      </c>
      <c r="G15" t="s">
        <v>10</v>
      </c>
    </row>
    <row r="16" spans="1:7" x14ac:dyDescent="0.3">
      <c r="A16" t="s">
        <v>7</v>
      </c>
      <c r="B16" t="s">
        <v>21</v>
      </c>
      <c r="C16">
        <v>2022</v>
      </c>
      <c r="D16" t="s">
        <v>14</v>
      </c>
      <c r="F16">
        <v>103.49</v>
      </c>
      <c r="G16" t="s">
        <v>10</v>
      </c>
    </row>
    <row r="17" spans="1:7" x14ac:dyDescent="0.3">
      <c r="A17" t="s">
        <v>7</v>
      </c>
      <c r="B17" t="s">
        <v>21</v>
      </c>
      <c r="C17">
        <v>2023</v>
      </c>
      <c r="D17" t="s">
        <v>9</v>
      </c>
      <c r="F17">
        <v>202.81</v>
      </c>
      <c r="G17" t="s">
        <v>10</v>
      </c>
    </row>
    <row r="18" spans="1:7" x14ac:dyDescent="0.3">
      <c r="A18" t="s">
        <v>7</v>
      </c>
      <c r="B18" t="s">
        <v>21</v>
      </c>
      <c r="C18">
        <v>2023</v>
      </c>
      <c r="D18" t="s">
        <v>12</v>
      </c>
      <c r="F18">
        <v>2110.0100000000002</v>
      </c>
      <c r="G18" t="s">
        <v>10</v>
      </c>
    </row>
    <row r="19" spans="1:7" x14ac:dyDescent="0.3">
      <c r="A19" t="s">
        <v>7</v>
      </c>
      <c r="B19" t="s">
        <v>21</v>
      </c>
      <c r="C19">
        <v>2023</v>
      </c>
      <c r="D19" t="s">
        <v>14</v>
      </c>
      <c r="F19">
        <v>329.88</v>
      </c>
      <c r="G19" t="s">
        <v>10</v>
      </c>
    </row>
    <row r="20" spans="1:7" x14ac:dyDescent="0.3">
      <c r="A20" t="s">
        <v>7</v>
      </c>
      <c r="B20" t="s">
        <v>22</v>
      </c>
      <c r="C20">
        <v>2025</v>
      </c>
      <c r="D20" t="s">
        <v>12</v>
      </c>
      <c r="F20">
        <v>955.74</v>
      </c>
      <c r="G20" t="s">
        <v>10</v>
      </c>
    </row>
    <row r="21" spans="1:7" x14ac:dyDescent="0.3">
      <c r="A21" t="s">
        <v>7</v>
      </c>
      <c r="B21" t="s">
        <v>23</v>
      </c>
      <c r="C21">
        <v>2022</v>
      </c>
      <c r="D21" t="s">
        <v>12</v>
      </c>
      <c r="F21">
        <v>5937.42</v>
      </c>
      <c r="G21" t="s">
        <v>10</v>
      </c>
    </row>
    <row r="22" spans="1:7" x14ac:dyDescent="0.3">
      <c r="A22" t="s">
        <v>7</v>
      </c>
      <c r="B22" t="s">
        <v>23</v>
      </c>
      <c r="C22">
        <v>2022</v>
      </c>
      <c r="D22" t="s">
        <v>14</v>
      </c>
      <c r="F22">
        <v>329.08</v>
      </c>
      <c r="G22" t="s">
        <v>10</v>
      </c>
    </row>
    <row r="23" spans="1:7" x14ac:dyDescent="0.3">
      <c r="A23" t="s">
        <v>7</v>
      </c>
      <c r="B23" t="s">
        <v>8</v>
      </c>
      <c r="C23">
        <v>2023</v>
      </c>
      <c r="D23" t="s">
        <v>24</v>
      </c>
      <c r="F23">
        <v>1570</v>
      </c>
      <c r="G23" t="s">
        <v>10</v>
      </c>
    </row>
    <row r="24" spans="1:7" x14ac:dyDescent="0.3">
      <c r="A24" t="s">
        <v>7</v>
      </c>
      <c r="B24" t="s">
        <v>8</v>
      </c>
      <c r="C24">
        <v>2024</v>
      </c>
      <c r="D24" t="s">
        <v>24</v>
      </c>
      <c r="F24">
        <v>1570</v>
      </c>
      <c r="G24" t="s">
        <v>10</v>
      </c>
    </row>
    <row r="25" spans="1:7" x14ac:dyDescent="0.3">
      <c r="A25" t="s">
        <v>7</v>
      </c>
      <c r="B25" t="s">
        <v>8</v>
      </c>
      <c r="C25">
        <v>2025</v>
      </c>
      <c r="D25" t="s">
        <v>24</v>
      </c>
      <c r="F25">
        <v>1655</v>
      </c>
      <c r="G25" t="s">
        <v>10</v>
      </c>
    </row>
    <row r="26" spans="1:7" x14ac:dyDescent="0.3">
      <c r="A26" t="s">
        <v>7</v>
      </c>
      <c r="B26" t="s">
        <v>25</v>
      </c>
      <c r="C26">
        <v>2022</v>
      </c>
      <c r="D26" t="s">
        <v>26</v>
      </c>
      <c r="F26">
        <v>5040.63</v>
      </c>
      <c r="G26" t="s">
        <v>10</v>
      </c>
    </row>
    <row r="27" spans="1:7" x14ac:dyDescent="0.3">
      <c r="A27" t="s">
        <v>7</v>
      </c>
      <c r="B27" t="s">
        <v>25</v>
      </c>
      <c r="C27">
        <v>2023</v>
      </c>
      <c r="D27" t="s">
        <v>27</v>
      </c>
      <c r="F27">
        <v>10006.31</v>
      </c>
      <c r="G27" t="s">
        <v>10</v>
      </c>
    </row>
    <row r="28" spans="1:7" x14ac:dyDescent="0.3">
      <c r="A28" t="s">
        <v>7</v>
      </c>
      <c r="B28" t="s">
        <v>25</v>
      </c>
      <c r="C28">
        <v>2023</v>
      </c>
      <c r="D28" t="s">
        <v>28</v>
      </c>
      <c r="F28">
        <v>5040.63</v>
      </c>
      <c r="G28" t="s">
        <v>10</v>
      </c>
    </row>
    <row r="29" spans="1:7" x14ac:dyDescent="0.3">
      <c r="A29" t="s">
        <v>7</v>
      </c>
      <c r="B29" t="s">
        <v>25</v>
      </c>
      <c r="C29">
        <v>2023</v>
      </c>
      <c r="D29" t="s">
        <v>29</v>
      </c>
      <c r="F29">
        <v>4965.68</v>
      </c>
      <c r="G29" t="s">
        <v>10</v>
      </c>
    </row>
    <row r="30" spans="1:7" x14ac:dyDescent="0.3">
      <c r="A30" t="s">
        <v>7</v>
      </c>
      <c r="B30" t="s">
        <v>25</v>
      </c>
      <c r="C30">
        <v>2023</v>
      </c>
      <c r="D30" t="s">
        <v>26</v>
      </c>
      <c r="F30">
        <v>5040.63</v>
      </c>
      <c r="G30" t="s">
        <v>10</v>
      </c>
    </row>
    <row r="31" spans="1:7" x14ac:dyDescent="0.3">
      <c r="A31" t="s">
        <v>7</v>
      </c>
      <c r="B31" t="s">
        <v>25</v>
      </c>
      <c r="C31">
        <v>2023</v>
      </c>
      <c r="D31" t="s">
        <v>30</v>
      </c>
      <c r="F31">
        <v>0</v>
      </c>
      <c r="G31" t="s">
        <v>10</v>
      </c>
    </row>
    <row r="32" spans="1:7" x14ac:dyDescent="0.3">
      <c r="A32" t="s">
        <v>7</v>
      </c>
      <c r="B32" t="s">
        <v>25</v>
      </c>
      <c r="C32">
        <v>2023</v>
      </c>
      <c r="D32" t="s">
        <v>31</v>
      </c>
      <c r="F32">
        <v>0</v>
      </c>
      <c r="G32" t="s">
        <v>10</v>
      </c>
    </row>
    <row r="33" spans="1:7" x14ac:dyDescent="0.3">
      <c r="A33" t="s">
        <v>7</v>
      </c>
      <c r="B33" t="s">
        <v>25</v>
      </c>
      <c r="C33">
        <v>2024</v>
      </c>
      <c r="D33" t="s">
        <v>27</v>
      </c>
      <c r="F33">
        <v>9709.24</v>
      </c>
      <c r="G33" t="s">
        <v>10</v>
      </c>
    </row>
    <row r="34" spans="1:7" x14ac:dyDescent="0.3">
      <c r="A34" t="s">
        <v>7</v>
      </c>
      <c r="B34" t="s">
        <v>25</v>
      </c>
      <c r="C34">
        <v>2024</v>
      </c>
      <c r="D34" t="s">
        <v>28</v>
      </c>
      <c r="F34">
        <v>4743.5600000000004</v>
      </c>
      <c r="G34" t="s">
        <v>10</v>
      </c>
    </row>
    <row r="35" spans="1:7" x14ac:dyDescent="0.3">
      <c r="A35" t="s">
        <v>7</v>
      </c>
      <c r="B35" t="s">
        <v>25</v>
      </c>
      <c r="C35">
        <v>2024</v>
      </c>
      <c r="D35" t="s">
        <v>29</v>
      </c>
      <c r="F35">
        <v>4965.68</v>
      </c>
      <c r="G35" t="s">
        <v>10</v>
      </c>
    </row>
    <row r="36" spans="1:7" x14ac:dyDescent="0.3">
      <c r="A36" t="s">
        <v>7</v>
      </c>
      <c r="B36" t="s">
        <v>25</v>
      </c>
      <c r="C36">
        <v>2024</v>
      </c>
      <c r="D36" t="s">
        <v>26</v>
      </c>
      <c r="F36">
        <v>4558.21</v>
      </c>
      <c r="G36" t="s">
        <v>10</v>
      </c>
    </row>
    <row r="37" spans="1:7" x14ac:dyDescent="0.3">
      <c r="A37" t="s">
        <v>7</v>
      </c>
      <c r="B37" t="s">
        <v>25</v>
      </c>
      <c r="C37">
        <v>2024</v>
      </c>
      <c r="D37" t="s">
        <v>32</v>
      </c>
      <c r="F37">
        <v>185.35</v>
      </c>
      <c r="G37" t="s">
        <v>10</v>
      </c>
    </row>
    <row r="38" spans="1:7" x14ac:dyDescent="0.3">
      <c r="A38" t="s">
        <v>7</v>
      </c>
      <c r="B38" t="s">
        <v>25</v>
      </c>
      <c r="C38">
        <v>2024</v>
      </c>
      <c r="D38" t="s">
        <v>30</v>
      </c>
      <c r="F38">
        <v>0</v>
      </c>
      <c r="G38" t="s">
        <v>10</v>
      </c>
    </row>
    <row r="39" spans="1:7" x14ac:dyDescent="0.3">
      <c r="A39" t="s">
        <v>7</v>
      </c>
      <c r="B39" t="s">
        <v>25</v>
      </c>
      <c r="C39">
        <v>2024</v>
      </c>
      <c r="D39" t="s">
        <v>31</v>
      </c>
      <c r="F39">
        <v>0</v>
      </c>
      <c r="G39" t="s">
        <v>10</v>
      </c>
    </row>
    <row r="40" spans="1:7" x14ac:dyDescent="0.3">
      <c r="A40" t="s">
        <v>7</v>
      </c>
      <c r="B40" t="s">
        <v>25</v>
      </c>
      <c r="C40">
        <v>2024</v>
      </c>
      <c r="D40" t="s">
        <v>33</v>
      </c>
      <c r="F40">
        <v>1</v>
      </c>
      <c r="G40" t="s">
        <v>10</v>
      </c>
    </row>
    <row r="41" spans="1:7" x14ac:dyDescent="0.3">
      <c r="A41" t="s">
        <v>7</v>
      </c>
      <c r="B41" t="s">
        <v>25</v>
      </c>
      <c r="C41">
        <v>2024</v>
      </c>
      <c r="D41" t="s">
        <v>34</v>
      </c>
      <c r="F41">
        <v>0</v>
      </c>
      <c r="G41" t="s">
        <v>10</v>
      </c>
    </row>
    <row r="42" spans="1:7" x14ac:dyDescent="0.3">
      <c r="A42" t="s">
        <v>7</v>
      </c>
      <c r="B42" t="s">
        <v>35</v>
      </c>
      <c r="C42">
        <v>2022</v>
      </c>
      <c r="D42" t="s">
        <v>32</v>
      </c>
      <c r="F42">
        <v>7338</v>
      </c>
      <c r="G42" t="s">
        <v>10</v>
      </c>
    </row>
    <row r="43" spans="1:7" x14ac:dyDescent="0.3">
      <c r="A43" t="s">
        <v>7</v>
      </c>
      <c r="B43" t="s">
        <v>35</v>
      </c>
      <c r="C43">
        <v>2022</v>
      </c>
      <c r="D43" t="s">
        <v>36</v>
      </c>
      <c r="F43">
        <v>12.9</v>
      </c>
      <c r="G43" t="s">
        <v>10</v>
      </c>
    </row>
    <row r="44" spans="1:7" x14ac:dyDescent="0.3">
      <c r="A44" t="s">
        <v>7</v>
      </c>
      <c r="B44" t="s">
        <v>35</v>
      </c>
      <c r="C44">
        <v>2022</v>
      </c>
      <c r="D44" t="s">
        <v>31</v>
      </c>
      <c r="F44">
        <v>0</v>
      </c>
      <c r="G44" t="s">
        <v>10</v>
      </c>
    </row>
    <row r="45" spans="1:7" x14ac:dyDescent="0.3">
      <c r="A45" t="s">
        <v>7</v>
      </c>
      <c r="B45" t="s">
        <v>35</v>
      </c>
      <c r="C45">
        <v>2022</v>
      </c>
      <c r="D45" t="s">
        <v>33</v>
      </c>
      <c r="F45">
        <v>0.99670000000000003</v>
      </c>
      <c r="G45" t="s">
        <v>10</v>
      </c>
    </row>
    <row r="46" spans="1:7" x14ac:dyDescent="0.3">
      <c r="A46" t="s">
        <v>7</v>
      </c>
      <c r="B46" t="s">
        <v>35</v>
      </c>
      <c r="C46">
        <v>2022</v>
      </c>
      <c r="D46" t="s">
        <v>34</v>
      </c>
      <c r="F46">
        <v>3.3E-3</v>
      </c>
      <c r="G46" t="s">
        <v>10</v>
      </c>
    </row>
    <row r="47" spans="1:7" x14ac:dyDescent="0.3">
      <c r="A47" t="s">
        <v>7</v>
      </c>
      <c r="B47" t="s">
        <v>35</v>
      </c>
      <c r="C47">
        <v>2023</v>
      </c>
      <c r="D47" t="s">
        <v>32</v>
      </c>
      <c r="F47">
        <v>5174</v>
      </c>
      <c r="G47" t="s">
        <v>10</v>
      </c>
    </row>
    <row r="48" spans="1:7" x14ac:dyDescent="0.3">
      <c r="A48" t="s">
        <v>7</v>
      </c>
      <c r="B48" t="s">
        <v>35</v>
      </c>
      <c r="C48">
        <v>2023</v>
      </c>
      <c r="D48" t="s">
        <v>36</v>
      </c>
      <c r="F48">
        <v>13</v>
      </c>
      <c r="G48" t="s">
        <v>10</v>
      </c>
    </row>
    <row r="49" spans="1:7" x14ac:dyDescent="0.3">
      <c r="A49" t="s">
        <v>7</v>
      </c>
      <c r="B49" t="s">
        <v>35</v>
      </c>
      <c r="C49">
        <v>2023</v>
      </c>
      <c r="D49" t="s">
        <v>31</v>
      </c>
      <c r="F49">
        <v>0</v>
      </c>
      <c r="G49" t="s">
        <v>10</v>
      </c>
    </row>
    <row r="50" spans="1:7" x14ac:dyDescent="0.3">
      <c r="A50" t="s">
        <v>7</v>
      </c>
      <c r="B50" t="s">
        <v>35</v>
      </c>
      <c r="C50">
        <v>2023</v>
      </c>
      <c r="D50" t="s">
        <v>33</v>
      </c>
      <c r="F50">
        <v>0.99760000000000004</v>
      </c>
      <c r="G50" t="s">
        <v>10</v>
      </c>
    </row>
    <row r="51" spans="1:7" x14ac:dyDescent="0.3">
      <c r="A51" t="s">
        <v>7</v>
      </c>
      <c r="B51" t="s">
        <v>35</v>
      </c>
      <c r="C51">
        <v>2023</v>
      </c>
      <c r="D51" t="s">
        <v>34</v>
      </c>
      <c r="F51">
        <v>2.3999999999999998E-3</v>
      </c>
      <c r="G51" t="s">
        <v>10</v>
      </c>
    </row>
    <row r="52" spans="1:7" x14ac:dyDescent="0.3">
      <c r="A52" t="s">
        <v>7</v>
      </c>
      <c r="B52" t="s">
        <v>35</v>
      </c>
      <c r="C52">
        <v>2024</v>
      </c>
      <c r="D52" t="s">
        <v>32</v>
      </c>
      <c r="F52">
        <v>6212</v>
      </c>
      <c r="G52" t="s">
        <v>10</v>
      </c>
    </row>
    <row r="53" spans="1:7" x14ac:dyDescent="0.3">
      <c r="A53" t="s">
        <v>7</v>
      </c>
      <c r="B53" t="s">
        <v>35</v>
      </c>
      <c r="C53">
        <v>2024</v>
      </c>
      <c r="D53" t="s">
        <v>31</v>
      </c>
      <c r="F53">
        <v>0</v>
      </c>
      <c r="G53" t="s">
        <v>10</v>
      </c>
    </row>
    <row r="54" spans="1:7" x14ac:dyDescent="0.3">
      <c r="A54" t="s">
        <v>7</v>
      </c>
      <c r="B54" t="s">
        <v>18</v>
      </c>
      <c r="C54">
        <v>2023</v>
      </c>
      <c r="D54" t="s">
        <v>30</v>
      </c>
      <c r="F54">
        <v>0</v>
      </c>
      <c r="G54" t="s">
        <v>10</v>
      </c>
    </row>
    <row r="55" spans="1:7" x14ac:dyDescent="0.3">
      <c r="A55" t="s">
        <v>7</v>
      </c>
      <c r="B55" t="s">
        <v>18</v>
      </c>
      <c r="C55">
        <v>2023</v>
      </c>
      <c r="D55" t="s">
        <v>31</v>
      </c>
      <c r="F55">
        <v>0</v>
      </c>
      <c r="G55" t="s">
        <v>10</v>
      </c>
    </row>
    <row r="56" spans="1:7" x14ac:dyDescent="0.3">
      <c r="A56" t="s">
        <v>7</v>
      </c>
      <c r="B56" t="s">
        <v>18</v>
      </c>
      <c r="C56">
        <v>2023</v>
      </c>
      <c r="D56" t="s">
        <v>33</v>
      </c>
      <c r="F56">
        <v>1</v>
      </c>
      <c r="G56" t="s">
        <v>10</v>
      </c>
    </row>
    <row r="57" spans="1:7" x14ac:dyDescent="0.3">
      <c r="A57" t="s">
        <v>7</v>
      </c>
      <c r="B57" t="s">
        <v>18</v>
      </c>
      <c r="C57">
        <v>2023</v>
      </c>
      <c r="D57" t="s">
        <v>34</v>
      </c>
      <c r="F57">
        <v>0</v>
      </c>
      <c r="G57" t="s">
        <v>10</v>
      </c>
    </row>
    <row r="58" spans="1:7" x14ac:dyDescent="0.3">
      <c r="A58" t="s">
        <v>7</v>
      </c>
      <c r="B58" t="s">
        <v>18</v>
      </c>
      <c r="C58">
        <v>2024</v>
      </c>
      <c r="D58" t="s">
        <v>26</v>
      </c>
      <c r="F58">
        <v>86729</v>
      </c>
      <c r="G58" t="s">
        <v>10</v>
      </c>
    </row>
    <row r="59" spans="1:7" x14ac:dyDescent="0.3">
      <c r="A59" t="s">
        <v>7</v>
      </c>
      <c r="B59" t="s">
        <v>18</v>
      </c>
      <c r="C59">
        <v>2024</v>
      </c>
      <c r="D59" t="s">
        <v>32</v>
      </c>
      <c r="F59">
        <v>271</v>
      </c>
      <c r="G59" t="s">
        <v>10</v>
      </c>
    </row>
    <row r="60" spans="1:7" x14ac:dyDescent="0.3">
      <c r="A60" t="s">
        <v>7</v>
      </c>
      <c r="B60" t="s">
        <v>18</v>
      </c>
      <c r="C60">
        <v>2024</v>
      </c>
      <c r="D60" t="s">
        <v>30</v>
      </c>
      <c r="F60">
        <v>0</v>
      </c>
      <c r="G60" t="s">
        <v>10</v>
      </c>
    </row>
    <row r="61" spans="1:7" x14ac:dyDescent="0.3">
      <c r="A61" t="s">
        <v>7</v>
      </c>
      <c r="B61" t="s">
        <v>18</v>
      </c>
      <c r="C61">
        <v>2024</v>
      </c>
      <c r="D61" t="s">
        <v>31</v>
      </c>
      <c r="F61">
        <v>0</v>
      </c>
      <c r="G61" t="s">
        <v>10</v>
      </c>
    </row>
    <row r="62" spans="1:7" x14ac:dyDescent="0.3">
      <c r="A62" t="s">
        <v>7</v>
      </c>
      <c r="B62" t="s">
        <v>18</v>
      </c>
      <c r="C62">
        <v>2024</v>
      </c>
      <c r="D62" t="s">
        <v>37</v>
      </c>
      <c r="F62">
        <v>0.23599999999999999</v>
      </c>
      <c r="G62" t="s">
        <v>10</v>
      </c>
    </row>
    <row r="63" spans="1:7" x14ac:dyDescent="0.3">
      <c r="A63" t="s">
        <v>7</v>
      </c>
      <c r="B63" t="s">
        <v>18</v>
      </c>
      <c r="C63">
        <v>2025</v>
      </c>
      <c r="D63" t="s">
        <v>26</v>
      </c>
      <c r="F63">
        <v>74068</v>
      </c>
      <c r="G63" t="s">
        <v>10</v>
      </c>
    </row>
    <row r="64" spans="1:7" x14ac:dyDescent="0.3">
      <c r="A64" t="s">
        <v>7</v>
      </c>
      <c r="B64" t="s">
        <v>18</v>
      </c>
      <c r="C64">
        <v>2025</v>
      </c>
      <c r="D64" t="s">
        <v>32</v>
      </c>
      <c r="F64">
        <v>271</v>
      </c>
      <c r="G64" t="s">
        <v>10</v>
      </c>
    </row>
    <row r="65" spans="1:7" x14ac:dyDescent="0.3">
      <c r="A65" t="s">
        <v>7</v>
      </c>
      <c r="B65" t="s">
        <v>38</v>
      </c>
      <c r="C65">
        <v>2022</v>
      </c>
      <c r="D65" t="s">
        <v>30</v>
      </c>
      <c r="F65">
        <v>0</v>
      </c>
      <c r="G65" t="s">
        <v>10</v>
      </c>
    </row>
    <row r="66" spans="1:7" x14ac:dyDescent="0.3">
      <c r="A66" t="s">
        <v>7</v>
      </c>
      <c r="B66" t="s">
        <v>38</v>
      </c>
      <c r="C66">
        <v>2022</v>
      </c>
      <c r="D66" t="s">
        <v>31</v>
      </c>
      <c r="F66">
        <v>0</v>
      </c>
      <c r="G66" t="s">
        <v>10</v>
      </c>
    </row>
    <row r="67" spans="1:7" x14ac:dyDescent="0.3">
      <c r="A67" t="s">
        <v>7</v>
      </c>
      <c r="B67" t="s">
        <v>38</v>
      </c>
      <c r="C67">
        <v>2022</v>
      </c>
      <c r="D67" t="s">
        <v>33</v>
      </c>
      <c r="F67">
        <v>1</v>
      </c>
      <c r="G67" t="s">
        <v>10</v>
      </c>
    </row>
    <row r="68" spans="1:7" x14ac:dyDescent="0.3">
      <c r="A68" t="s">
        <v>7</v>
      </c>
      <c r="B68" t="s">
        <v>38</v>
      </c>
      <c r="C68">
        <v>2022</v>
      </c>
      <c r="D68" t="s">
        <v>34</v>
      </c>
      <c r="F68">
        <v>0</v>
      </c>
      <c r="G68" t="s">
        <v>10</v>
      </c>
    </row>
    <row r="69" spans="1:7" x14ac:dyDescent="0.3">
      <c r="A69" t="s">
        <v>7</v>
      </c>
      <c r="B69" t="s">
        <v>38</v>
      </c>
      <c r="C69">
        <v>2023</v>
      </c>
      <c r="D69" t="s">
        <v>29</v>
      </c>
      <c r="F69">
        <v>183.71</v>
      </c>
      <c r="G69" t="s">
        <v>10</v>
      </c>
    </row>
    <row r="70" spans="1:7" x14ac:dyDescent="0.3">
      <c r="A70" t="s">
        <v>7</v>
      </c>
      <c r="B70" t="s">
        <v>38</v>
      </c>
      <c r="C70">
        <v>2023</v>
      </c>
      <c r="D70" t="s">
        <v>30</v>
      </c>
      <c r="F70">
        <v>0</v>
      </c>
      <c r="G70" t="s">
        <v>10</v>
      </c>
    </row>
    <row r="71" spans="1:7" x14ac:dyDescent="0.3">
      <c r="A71" t="s">
        <v>7</v>
      </c>
      <c r="B71" t="s">
        <v>38</v>
      </c>
      <c r="C71">
        <v>2023</v>
      </c>
      <c r="D71" t="s">
        <v>31</v>
      </c>
      <c r="F71">
        <v>0</v>
      </c>
      <c r="G71" t="s">
        <v>10</v>
      </c>
    </row>
    <row r="72" spans="1:7" x14ac:dyDescent="0.3">
      <c r="A72" t="s">
        <v>7</v>
      </c>
      <c r="B72" t="s">
        <v>38</v>
      </c>
      <c r="C72">
        <v>2023</v>
      </c>
      <c r="D72" t="s">
        <v>33</v>
      </c>
      <c r="F72">
        <v>1</v>
      </c>
      <c r="G72" t="s">
        <v>10</v>
      </c>
    </row>
    <row r="73" spans="1:7" x14ac:dyDescent="0.3">
      <c r="A73" t="s">
        <v>7</v>
      </c>
      <c r="B73" t="s">
        <v>38</v>
      </c>
      <c r="C73">
        <v>2023</v>
      </c>
      <c r="D73" t="s">
        <v>34</v>
      </c>
      <c r="F73">
        <v>0</v>
      </c>
      <c r="G73" t="s">
        <v>10</v>
      </c>
    </row>
    <row r="74" spans="1:7" x14ac:dyDescent="0.3">
      <c r="A74" t="s">
        <v>7</v>
      </c>
      <c r="B74" t="s">
        <v>38</v>
      </c>
      <c r="C74">
        <v>2024</v>
      </c>
      <c r="D74" t="s">
        <v>29</v>
      </c>
      <c r="F74">
        <v>868.8</v>
      </c>
      <c r="G74" t="s">
        <v>10</v>
      </c>
    </row>
    <row r="75" spans="1:7" x14ac:dyDescent="0.3">
      <c r="A75" t="s">
        <v>7</v>
      </c>
      <c r="B75" t="s">
        <v>38</v>
      </c>
      <c r="C75">
        <v>2024</v>
      </c>
      <c r="D75" t="s">
        <v>30</v>
      </c>
      <c r="F75">
        <v>0</v>
      </c>
      <c r="G75" t="s">
        <v>10</v>
      </c>
    </row>
    <row r="76" spans="1:7" x14ac:dyDescent="0.3">
      <c r="A76" t="s">
        <v>7</v>
      </c>
      <c r="B76" t="s">
        <v>38</v>
      </c>
      <c r="C76">
        <v>2024</v>
      </c>
      <c r="D76" t="s">
        <v>31</v>
      </c>
      <c r="F76">
        <v>0</v>
      </c>
      <c r="G76" t="s">
        <v>10</v>
      </c>
    </row>
    <row r="77" spans="1:7" x14ac:dyDescent="0.3">
      <c r="A77" t="s">
        <v>7</v>
      </c>
      <c r="B77" t="s">
        <v>38</v>
      </c>
      <c r="C77">
        <v>2024</v>
      </c>
      <c r="D77" t="s">
        <v>33</v>
      </c>
      <c r="F77">
        <v>1</v>
      </c>
      <c r="G77" t="s">
        <v>10</v>
      </c>
    </row>
    <row r="78" spans="1:7" x14ac:dyDescent="0.3">
      <c r="A78" t="s">
        <v>7</v>
      </c>
      <c r="B78" t="s">
        <v>38</v>
      </c>
      <c r="C78">
        <v>2024</v>
      </c>
      <c r="D78" t="s">
        <v>34</v>
      </c>
      <c r="F78">
        <v>0</v>
      </c>
      <c r="G78" t="s">
        <v>10</v>
      </c>
    </row>
    <row r="79" spans="1:7" x14ac:dyDescent="0.3">
      <c r="A79" t="s">
        <v>7</v>
      </c>
      <c r="B79" t="s">
        <v>39</v>
      </c>
      <c r="C79">
        <v>2022</v>
      </c>
      <c r="D79" t="s">
        <v>26</v>
      </c>
      <c r="F79">
        <v>104000</v>
      </c>
      <c r="G79" t="s">
        <v>10</v>
      </c>
    </row>
    <row r="80" spans="1:7" x14ac:dyDescent="0.3">
      <c r="A80" t="s">
        <v>7</v>
      </c>
      <c r="B80" t="s">
        <v>39</v>
      </c>
      <c r="C80">
        <v>2022</v>
      </c>
      <c r="D80" t="s">
        <v>32</v>
      </c>
      <c r="F80">
        <v>8800</v>
      </c>
      <c r="G80" t="s">
        <v>10</v>
      </c>
    </row>
    <row r="81" spans="1:7" x14ac:dyDescent="0.3">
      <c r="A81" t="s">
        <v>7</v>
      </c>
      <c r="B81" t="s">
        <v>39</v>
      </c>
      <c r="C81">
        <v>2022</v>
      </c>
      <c r="D81" t="s">
        <v>36</v>
      </c>
      <c r="F81">
        <v>12.8</v>
      </c>
      <c r="G81" t="s">
        <v>10</v>
      </c>
    </row>
    <row r="82" spans="1:7" x14ac:dyDescent="0.3">
      <c r="A82" t="s">
        <v>7</v>
      </c>
      <c r="B82" t="s">
        <v>39</v>
      </c>
      <c r="C82">
        <v>2022</v>
      </c>
      <c r="D82" t="s">
        <v>31</v>
      </c>
      <c r="F82">
        <v>0</v>
      </c>
      <c r="G82" t="s">
        <v>10</v>
      </c>
    </row>
    <row r="83" spans="1:7" x14ac:dyDescent="0.3">
      <c r="A83" t="s">
        <v>7</v>
      </c>
      <c r="B83" t="s">
        <v>39</v>
      </c>
      <c r="C83">
        <v>2022</v>
      </c>
      <c r="D83" t="s">
        <v>33</v>
      </c>
      <c r="F83">
        <v>1</v>
      </c>
      <c r="G83" t="s">
        <v>10</v>
      </c>
    </row>
    <row r="84" spans="1:7" x14ac:dyDescent="0.3">
      <c r="A84" t="s">
        <v>7</v>
      </c>
      <c r="B84" t="s">
        <v>39</v>
      </c>
      <c r="C84">
        <v>2022</v>
      </c>
      <c r="D84" t="s">
        <v>34</v>
      </c>
      <c r="F84">
        <v>0</v>
      </c>
      <c r="G84" t="s">
        <v>10</v>
      </c>
    </row>
    <row r="85" spans="1:7" x14ac:dyDescent="0.3">
      <c r="A85" t="s">
        <v>7</v>
      </c>
      <c r="B85" t="s">
        <v>39</v>
      </c>
      <c r="C85">
        <v>2023</v>
      </c>
      <c r="D85" t="s">
        <v>26</v>
      </c>
      <c r="F85">
        <v>105700</v>
      </c>
      <c r="G85" t="s">
        <v>10</v>
      </c>
    </row>
    <row r="86" spans="1:7" x14ac:dyDescent="0.3">
      <c r="A86" t="s">
        <v>7</v>
      </c>
      <c r="B86" t="s">
        <v>39</v>
      </c>
      <c r="C86">
        <v>2023</v>
      </c>
      <c r="D86" t="s">
        <v>32</v>
      </c>
      <c r="F86">
        <v>7000</v>
      </c>
      <c r="G86" t="s">
        <v>10</v>
      </c>
    </row>
    <row r="87" spans="1:7" x14ac:dyDescent="0.3">
      <c r="A87" t="s">
        <v>7</v>
      </c>
      <c r="B87" t="s">
        <v>39</v>
      </c>
      <c r="C87">
        <v>2023</v>
      </c>
      <c r="D87" t="s">
        <v>31</v>
      </c>
      <c r="F87">
        <v>0</v>
      </c>
      <c r="G87" t="s">
        <v>10</v>
      </c>
    </row>
    <row r="88" spans="1:7" x14ac:dyDescent="0.3">
      <c r="A88" t="s">
        <v>7</v>
      </c>
      <c r="B88" t="s">
        <v>39</v>
      </c>
      <c r="C88">
        <v>2023</v>
      </c>
      <c r="D88" t="s">
        <v>40</v>
      </c>
      <c r="F88">
        <v>582738</v>
      </c>
      <c r="G88" t="s">
        <v>10</v>
      </c>
    </row>
    <row r="89" spans="1:7" x14ac:dyDescent="0.3">
      <c r="A89" t="s">
        <v>7</v>
      </c>
      <c r="B89" t="s">
        <v>39</v>
      </c>
      <c r="C89">
        <v>2023</v>
      </c>
      <c r="D89" t="s">
        <v>33</v>
      </c>
      <c r="F89">
        <v>1</v>
      </c>
      <c r="G89" t="s">
        <v>10</v>
      </c>
    </row>
    <row r="90" spans="1:7" x14ac:dyDescent="0.3">
      <c r="A90" t="s">
        <v>7</v>
      </c>
      <c r="B90" t="s">
        <v>39</v>
      </c>
      <c r="C90">
        <v>2023</v>
      </c>
      <c r="D90" t="s">
        <v>34</v>
      </c>
      <c r="F90">
        <v>0</v>
      </c>
      <c r="G90" t="s">
        <v>10</v>
      </c>
    </row>
    <row r="91" spans="1:7" x14ac:dyDescent="0.3">
      <c r="A91" t="s">
        <v>7</v>
      </c>
      <c r="B91" t="s">
        <v>39</v>
      </c>
      <c r="C91">
        <v>2024</v>
      </c>
      <c r="D91" t="s">
        <v>32</v>
      </c>
      <c r="F91">
        <v>6599</v>
      </c>
      <c r="G91" t="s">
        <v>10</v>
      </c>
    </row>
    <row r="92" spans="1:7" x14ac:dyDescent="0.3">
      <c r="A92" t="s">
        <v>7</v>
      </c>
      <c r="B92" t="s">
        <v>39</v>
      </c>
      <c r="C92">
        <v>2024</v>
      </c>
      <c r="D92" t="s">
        <v>36</v>
      </c>
      <c r="F92">
        <v>14</v>
      </c>
      <c r="G92" t="s">
        <v>10</v>
      </c>
    </row>
    <row r="93" spans="1:7" x14ac:dyDescent="0.3">
      <c r="A93" t="s">
        <v>7</v>
      </c>
      <c r="B93" t="s">
        <v>39</v>
      </c>
      <c r="C93">
        <v>2024</v>
      </c>
      <c r="D93" t="s">
        <v>31</v>
      </c>
      <c r="F93">
        <v>0</v>
      </c>
      <c r="G93" t="s">
        <v>10</v>
      </c>
    </row>
    <row r="94" spans="1:7" x14ac:dyDescent="0.3">
      <c r="A94" t="s">
        <v>7</v>
      </c>
      <c r="B94" t="s">
        <v>39</v>
      </c>
      <c r="C94">
        <v>2024</v>
      </c>
      <c r="D94" t="s">
        <v>40</v>
      </c>
      <c r="F94">
        <v>405349</v>
      </c>
      <c r="G94" t="s">
        <v>10</v>
      </c>
    </row>
    <row r="95" spans="1:7" x14ac:dyDescent="0.3">
      <c r="A95" t="s">
        <v>7</v>
      </c>
      <c r="B95" t="s">
        <v>39</v>
      </c>
      <c r="C95">
        <v>2024</v>
      </c>
      <c r="D95" t="s">
        <v>33</v>
      </c>
      <c r="F95">
        <v>1</v>
      </c>
      <c r="G95" t="s">
        <v>10</v>
      </c>
    </row>
    <row r="96" spans="1:7" x14ac:dyDescent="0.3">
      <c r="A96" t="s">
        <v>7</v>
      </c>
      <c r="B96" t="s">
        <v>39</v>
      </c>
      <c r="C96">
        <v>2024</v>
      </c>
      <c r="D96" t="s">
        <v>34</v>
      </c>
      <c r="F96">
        <v>0</v>
      </c>
      <c r="G96" t="s">
        <v>10</v>
      </c>
    </row>
    <row r="97" spans="1:7" x14ac:dyDescent="0.3">
      <c r="A97" t="s">
        <v>7</v>
      </c>
      <c r="B97" t="s">
        <v>41</v>
      </c>
      <c r="C97">
        <v>2022</v>
      </c>
      <c r="D97" t="s">
        <v>28</v>
      </c>
      <c r="F97">
        <v>77384</v>
      </c>
      <c r="G97" t="s">
        <v>10</v>
      </c>
    </row>
    <row r="98" spans="1:7" x14ac:dyDescent="0.3">
      <c r="A98" t="s">
        <v>7</v>
      </c>
      <c r="B98" t="s">
        <v>41</v>
      </c>
      <c r="C98">
        <v>2022</v>
      </c>
      <c r="D98" t="s">
        <v>29</v>
      </c>
      <c r="F98">
        <v>11368</v>
      </c>
      <c r="G98" t="s">
        <v>10</v>
      </c>
    </row>
    <row r="99" spans="1:7" x14ac:dyDescent="0.3">
      <c r="A99" t="s">
        <v>7</v>
      </c>
      <c r="B99" t="s">
        <v>41</v>
      </c>
      <c r="C99">
        <v>2022</v>
      </c>
      <c r="D99" t="s">
        <v>31</v>
      </c>
      <c r="F99">
        <v>0</v>
      </c>
      <c r="G99" t="s">
        <v>10</v>
      </c>
    </row>
    <row r="100" spans="1:7" x14ac:dyDescent="0.3">
      <c r="A100" t="s">
        <v>7</v>
      </c>
      <c r="B100" t="s">
        <v>41</v>
      </c>
      <c r="C100">
        <v>2022</v>
      </c>
      <c r="D100" t="s">
        <v>33</v>
      </c>
      <c r="F100">
        <v>1</v>
      </c>
      <c r="G100" t="s">
        <v>10</v>
      </c>
    </row>
    <row r="101" spans="1:7" x14ac:dyDescent="0.3">
      <c r="A101" t="s">
        <v>7</v>
      </c>
      <c r="B101" t="s">
        <v>41</v>
      </c>
      <c r="C101">
        <v>2022</v>
      </c>
      <c r="D101" t="s">
        <v>34</v>
      </c>
      <c r="F101">
        <v>0</v>
      </c>
      <c r="G101" t="s">
        <v>10</v>
      </c>
    </row>
    <row r="102" spans="1:7" x14ac:dyDescent="0.3">
      <c r="A102" t="s">
        <v>7</v>
      </c>
      <c r="B102" t="s">
        <v>41</v>
      </c>
      <c r="C102">
        <v>2023</v>
      </c>
      <c r="D102" t="s">
        <v>28</v>
      </c>
      <c r="F102">
        <v>77434</v>
      </c>
      <c r="G102" t="s">
        <v>10</v>
      </c>
    </row>
    <row r="103" spans="1:7" x14ac:dyDescent="0.3">
      <c r="A103" t="s">
        <v>7</v>
      </c>
      <c r="B103" t="s">
        <v>41</v>
      </c>
      <c r="C103">
        <v>2023</v>
      </c>
      <c r="D103" t="s">
        <v>29</v>
      </c>
      <c r="F103">
        <v>11318</v>
      </c>
      <c r="G103" t="s">
        <v>10</v>
      </c>
    </row>
    <row r="104" spans="1:7" x14ac:dyDescent="0.3">
      <c r="A104" t="s">
        <v>7</v>
      </c>
      <c r="B104" t="s">
        <v>41</v>
      </c>
      <c r="C104">
        <v>2023</v>
      </c>
      <c r="D104" t="s">
        <v>36</v>
      </c>
      <c r="F104">
        <v>11.9</v>
      </c>
      <c r="G104" t="s">
        <v>10</v>
      </c>
    </row>
    <row r="105" spans="1:7" x14ac:dyDescent="0.3">
      <c r="A105" t="s">
        <v>7</v>
      </c>
      <c r="B105" t="s">
        <v>41</v>
      </c>
      <c r="C105">
        <v>2023</v>
      </c>
      <c r="D105" t="s">
        <v>31</v>
      </c>
      <c r="F105">
        <v>0</v>
      </c>
      <c r="G105" t="s">
        <v>10</v>
      </c>
    </row>
    <row r="106" spans="1:7" x14ac:dyDescent="0.3">
      <c r="A106" t="s">
        <v>7</v>
      </c>
      <c r="B106" t="s">
        <v>41</v>
      </c>
      <c r="C106">
        <v>2023</v>
      </c>
      <c r="D106" t="s">
        <v>33</v>
      </c>
      <c r="F106">
        <v>1</v>
      </c>
      <c r="G106" t="s">
        <v>10</v>
      </c>
    </row>
    <row r="107" spans="1:7" x14ac:dyDescent="0.3">
      <c r="A107" t="s">
        <v>7</v>
      </c>
      <c r="B107" t="s">
        <v>41</v>
      </c>
      <c r="C107">
        <v>2023</v>
      </c>
      <c r="D107" t="s">
        <v>34</v>
      </c>
      <c r="F107">
        <v>0</v>
      </c>
      <c r="G107" t="s">
        <v>10</v>
      </c>
    </row>
    <row r="108" spans="1:7" x14ac:dyDescent="0.3">
      <c r="A108" t="s">
        <v>7</v>
      </c>
      <c r="B108" t="s">
        <v>41</v>
      </c>
      <c r="C108">
        <v>2024</v>
      </c>
      <c r="D108" t="s">
        <v>28</v>
      </c>
      <c r="F108">
        <v>78315</v>
      </c>
      <c r="G108" t="s">
        <v>10</v>
      </c>
    </row>
    <row r="109" spans="1:7" x14ac:dyDescent="0.3">
      <c r="A109" t="s">
        <v>7</v>
      </c>
      <c r="B109" t="s">
        <v>41</v>
      </c>
      <c r="C109">
        <v>2024</v>
      </c>
      <c r="D109" t="s">
        <v>29</v>
      </c>
      <c r="F109">
        <v>10386</v>
      </c>
      <c r="G109" t="s">
        <v>10</v>
      </c>
    </row>
    <row r="110" spans="1:7" x14ac:dyDescent="0.3">
      <c r="A110" t="s">
        <v>7</v>
      </c>
      <c r="B110" t="s">
        <v>41</v>
      </c>
      <c r="C110">
        <v>2024</v>
      </c>
      <c r="D110" t="s">
        <v>36</v>
      </c>
      <c r="F110">
        <v>13</v>
      </c>
      <c r="G110" t="s">
        <v>10</v>
      </c>
    </row>
    <row r="111" spans="1:7" x14ac:dyDescent="0.3">
      <c r="A111" t="s">
        <v>7</v>
      </c>
      <c r="B111" t="s">
        <v>41</v>
      </c>
      <c r="C111">
        <v>2024</v>
      </c>
      <c r="D111" t="s">
        <v>31</v>
      </c>
      <c r="F111">
        <v>0</v>
      </c>
      <c r="G111" t="s">
        <v>10</v>
      </c>
    </row>
    <row r="112" spans="1:7" x14ac:dyDescent="0.3">
      <c r="A112" t="s">
        <v>7</v>
      </c>
      <c r="B112" t="s">
        <v>41</v>
      </c>
      <c r="C112">
        <v>2024</v>
      </c>
      <c r="D112" t="s">
        <v>33</v>
      </c>
      <c r="F112">
        <v>1</v>
      </c>
      <c r="G112" t="s">
        <v>10</v>
      </c>
    </row>
    <row r="113" spans="1:7" x14ac:dyDescent="0.3">
      <c r="A113" t="s">
        <v>7</v>
      </c>
      <c r="B113" t="s">
        <v>41</v>
      </c>
      <c r="C113">
        <v>2024</v>
      </c>
      <c r="D113" t="s">
        <v>34</v>
      </c>
      <c r="F113">
        <v>0</v>
      </c>
      <c r="G113" t="s">
        <v>10</v>
      </c>
    </row>
    <row r="114" spans="1:7" x14ac:dyDescent="0.3">
      <c r="A114" t="s">
        <v>7</v>
      </c>
      <c r="B114" t="s">
        <v>42</v>
      </c>
      <c r="C114">
        <v>2022</v>
      </c>
      <c r="D114" t="s">
        <v>34</v>
      </c>
      <c r="F114">
        <v>0</v>
      </c>
      <c r="G114" t="s">
        <v>10</v>
      </c>
    </row>
    <row r="115" spans="1:7" x14ac:dyDescent="0.3">
      <c r="A115" t="s">
        <v>7</v>
      </c>
      <c r="B115" t="s">
        <v>42</v>
      </c>
      <c r="C115">
        <v>2023</v>
      </c>
      <c r="D115" t="s">
        <v>34</v>
      </c>
      <c r="F115">
        <v>0</v>
      </c>
      <c r="G115" t="s">
        <v>10</v>
      </c>
    </row>
    <row r="116" spans="1:7" x14ac:dyDescent="0.3">
      <c r="A116" t="s">
        <v>7</v>
      </c>
      <c r="B116" t="s">
        <v>42</v>
      </c>
      <c r="C116">
        <v>2024</v>
      </c>
      <c r="D116" t="s">
        <v>34</v>
      </c>
      <c r="F116">
        <v>0</v>
      </c>
      <c r="G116" t="s">
        <v>10</v>
      </c>
    </row>
    <row r="117" spans="1:7" x14ac:dyDescent="0.3">
      <c r="A117" t="s">
        <v>7</v>
      </c>
      <c r="B117" t="s">
        <v>43</v>
      </c>
      <c r="C117">
        <v>2022</v>
      </c>
      <c r="D117" t="s">
        <v>28</v>
      </c>
      <c r="F117">
        <v>10264.870000000001</v>
      </c>
      <c r="G117" t="s">
        <v>10</v>
      </c>
    </row>
    <row r="118" spans="1:7" x14ac:dyDescent="0.3">
      <c r="A118" t="s">
        <v>7</v>
      </c>
      <c r="B118" t="s">
        <v>43</v>
      </c>
      <c r="C118">
        <v>2022</v>
      </c>
      <c r="D118" t="s">
        <v>29</v>
      </c>
      <c r="F118">
        <v>518.12</v>
      </c>
      <c r="G118" t="s">
        <v>10</v>
      </c>
    </row>
    <row r="119" spans="1:7" x14ac:dyDescent="0.3">
      <c r="A119" t="s">
        <v>7</v>
      </c>
      <c r="B119" t="s">
        <v>43</v>
      </c>
      <c r="C119">
        <v>2022</v>
      </c>
      <c r="D119" t="s">
        <v>31</v>
      </c>
      <c r="F119">
        <v>1</v>
      </c>
      <c r="G119" t="s">
        <v>10</v>
      </c>
    </row>
    <row r="120" spans="1:7" x14ac:dyDescent="0.3">
      <c r="A120" t="s">
        <v>7</v>
      </c>
      <c r="B120" t="s">
        <v>43</v>
      </c>
      <c r="C120">
        <v>2022</v>
      </c>
      <c r="D120" t="s">
        <v>40</v>
      </c>
      <c r="F120">
        <v>0</v>
      </c>
      <c r="G120" t="s">
        <v>10</v>
      </c>
    </row>
    <row r="121" spans="1:7" x14ac:dyDescent="0.3">
      <c r="A121" t="s">
        <v>7</v>
      </c>
      <c r="B121" t="s">
        <v>43</v>
      </c>
      <c r="C121">
        <v>2022</v>
      </c>
      <c r="D121" t="s">
        <v>44</v>
      </c>
      <c r="F121">
        <v>0</v>
      </c>
      <c r="G121" t="s">
        <v>10</v>
      </c>
    </row>
    <row r="122" spans="1:7" x14ac:dyDescent="0.3">
      <c r="A122" t="s">
        <v>7</v>
      </c>
      <c r="B122" t="s">
        <v>43</v>
      </c>
      <c r="C122">
        <v>2022</v>
      </c>
      <c r="D122" t="s">
        <v>45</v>
      </c>
      <c r="F122">
        <v>0</v>
      </c>
      <c r="G122" t="s">
        <v>10</v>
      </c>
    </row>
    <row r="123" spans="1:7" x14ac:dyDescent="0.3">
      <c r="A123" t="s">
        <v>7</v>
      </c>
      <c r="B123" t="s">
        <v>43</v>
      </c>
      <c r="C123">
        <v>2022</v>
      </c>
      <c r="D123" t="s">
        <v>33</v>
      </c>
      <c r="F123">
        <v>0.85</v>
      </c>
      <c r="G123" t="s">
        <v>10</v>
      </c>
    </row>
    <row r="124" spans="1:7" x14ac:dyDescent="0.3">
      <c r="A124" t="s">
        <v>7</v>
      </c>
      <c r="B124" t="s">
        <v>43</v>
      </c>
      <c r="C124">
        <v>2022</v>
      </c>
      <c r="D124" t="s">
        <v>34</v>
      </c>
      <c r="F124">
        <v>0.15</v>
      </c>
      <c r="G124" t="s">
        <v>10</v>
      </c>
    </row>
    <row r="125" spans="1:7" x14ac:dyDescent="0.3">
      <c r="A125" t="s">
        <v>7</v>
      </c>
      <c r="B125" t="s">
        <v>43</v>
      </c>
      <c r="C125">
        <v>2023</v>
      </c>
      <c r="D125" t="s">
        <v>28</v>
      </c>
      <c r="F125">
        <v>17964.7</v>
      </c>
      <c r="G125" t="s">
        <v>10</v>
      </c>
    </row>
    <row r="126" spans="1:7" x14ac:dyDescent="0.3">
      <c r="A126" t="s">
        <v>7</v>
      </c>
      <c r="B126" t="s">
        <v>43</v>
      </c>
      <c r="C126">
        <v>2023</v>
      </c>
      <c r="D126" t="s">
        <v>29</v>
      </c>
      <c r="F126">
        <v>518.12</v>
      </c>
      <c r="G126" t="s">
        <v>10</v>
      </c>
    </row>
    <row r="127" spans="1:7" x14ac:dyDescent="0.3">
      <c r="A127" t="s">
        <v>7</v>
      </c>
      <c r="B127" t="s">
        <v>43</v>
      </c>
      <c r="C127">
        <v>2023</v>
      </c>
      <c r="D127" t="s">
        <v>31</v>
      </c>
      <c r="F127">
        <v>1</v>
      </c>
      <c r="G127" t="s">
        <v>10</v>
      </c>
    </row>
    <row r="128" spans="1:7" x14ac:dyDescent="0.3">
      <c r="A128" t="s">
        <v>7</v>
      </c>
      <c r="B128" t="s">
        <v>43</v>
      </c>
      <c r="C128">
        <v>2024</v>
      </c>
      <c r="D128" t="s">
        <v>28</v>
      </c>
      <c r="F128">
        <v>17707.97</v>
      </c>
      <c r="G128" t="s">
        <v>10</v>
      </c>
    </row>
    <row r="129" spans="1:7" x14ac:dyDescent="0.3">
      <c r="A129" t="s">
        <v>7</v>
      </c>
      <c r="B129" t="s">
        <v>43</v>
      </c>
      <c r="C129">
        <v>2024</v>
      </c>
      <c r="D129" t="s">
        <v>29</v>
      </c>
      <c r="F129">
        <v>518.12</v>
      </c>
      <c r="G129" t="s">
        <v>10</v>
      </c>
    </row>
    <row r="130" spans="1:7" x14ac:dyDescent="0.3">
      <c r="A130" t="s">
        <v>7</v>
      </c>
      <c r="B130" t="s">
        <v>43</v>
      </c>
      <c r="C130">
        <v>2024</v>
      </c>
      <c r="D130" t="s">
        <v>31</v>
      </c>
      <c r="F130">
        <v>1</v>
      </c>
      <c r="G130" t="s">
        <v>10</v>
      </c>
    </row>
    <row r="131" spans="1:7" x14ac:dyDescent="0.3">
      <c r="A131" t="s">
        <v>7</v>
      </c>
      <c r="B131" t="s">
        <v>43</v>
      </c>
      <c r="C131">
        <v>2024</v>
      </c>
      <c r="D131" t="s">
        <v>44</v>
      </c>
      <c r="F131">
        <v>40318</v>
      </c>
      <c r="G131" t="s">
        <v>10</v>
      </c>
    </row>
    <row r="132" spans="1:7" x14ac:dyDescent="0.3">
      <c r="A132" t="s">
        <v>7</v>
      </c>
      <c r="B132" t="s">
        <v>43</v>
      </c>
      <c r="C132">
        <v>2024</v>
      </c>
      <c r="D132" t="s">
        <v>45</v>
      </c>
      <c r="F132">
        <v>7888</v>
      </c>
      <c r="G132" t="s">
        <v>10</v>
      </c>
    </row>
    <row r="133" spans="1:7" x14ac:dyDescent="0.3">
      <c r="A133" t="s">
        <v>7</v>
      </c>
      <c r="B133" t="s">
        <v>43</v>
      </c>
      <c r="C133">
        <v>2024</v>
      </c>
      <c r="D133" t="s">
        <v>46</v>
      </c>
      <c r="F133">
        <v>13120</v>
      </c>
      <c r="G133" t="s">
        <v>10</v>
      </c>
    </row>
    <row r="134" spans="1:7" x14ac:dyDescent="0.3">
      <c r="A134" t="s">
        <v>7</v>
      </c>
      <c r="B134" t="s">
        <v>43</v>
      </c>
      <c r="C134">
        <v>2024</v>
      </c>
      <c r="D134" t="s">
        <v>33</v>
      </c>
      <c r="F134">
        <v>1</v>
      </c>
      <c r="G134" t="s">
        <v>10</v>
      </c>
    </row>
    <row r="135" spans="1:7" x14ac:dyDescent="0.3">
      <c r="A135" t="s">
        <v>7</v>
      </c>
      <c r="B135" t="s">
        <v>43</v>
      </c>
      <c r="C135">
        <v>2024</v>
      </c>
      <c r="D135" t="s">
        <v>34</v>
      </c>
      <c r="F135">
        <v>0</v>
      </c>
      <c r="G135" t="s">
        <v>10</v>
      </c>
    </row>
    <row r="136" spans="1:7" x14ac:dyDescent="0.3">
      <c r="A136" t="s">
        <v>7</v>
      </c>
      <c r="B136" t="s">
        <v>47</v>
      </c>
      <c r="C136">
        <v>2022</v>
      </c>
      <c r="D136" t="s">
        <v>40</v>
      </c>
      <c r="F136">
        <v>153717</v>
      </c>
      <c r="G136" t="s">
        <v>10</v>
      </c>
    </row>
    <row r="137" spans="1:7" x14ac:dyDescent="0.3">
      <c r="A137" t="s">
        <v>7</v>
      </c>
      <c r="B137" t="s">
        <v>47</v>
      </c>
      <c r="C137">
        <v>2023</v>
      </c>
      <c r="D137" t="s">
        <v>24</v>
      </c>
      <c r="F137">
        <v>90</v>
      </c>
      <c r="G137" t="s">
        <v>10</v>
      </c>
    </row>
    <row r="138" spans="1:7" x14ac:dyDescent="0.3">
      <c r="A138" t="s">
        <v>7</v>
      </c>
      <c r="B138" t="s">
        <v>47</v>
      </c>
      <c r="C138">
        <v>2023</v>
      </c>
      <c r="D138" t="s">
        <v>40</v>
      </c>
      <c r="F138">
        <v>160058</v>
      </c>
      <c r="G138" t="s">
        <v>10</v>
      </c>
    </row>
    <row r="139" spans="1:7" x14ac:dyDescent="0.3">
      <c r="A139" t="s">
        <v>7</v>
      </c>
      <c r="B139" t="s">
        <v>47</v>
      </c>
      <c r="C139">
        <v>2024</v>
      </c>
      <c r="D139" t="s">
        <v>24</v>
      </c>
      <c r="F139">
        <v>90</v>
      </c>
      <c r="G139" t="s">
        <v>10</v>
      </c>
    </row>
    <row r="140" spans="1:7" x14ac:dyDescent="0.3">
      <c r="A140" t="s">
        <v>7</v>
      </c>
      <c r="B140" t="s">
        <v>47</v>
      </c>
      <c r="C140">
        <v>2024</v>
      </c>
      <c r="D140" t="s">
        <v>40</v>
      </c>
      <c r="F140">
        <v>121298</v>
      </c>
      <c r="G140" t="s">
        <v>10</v>
      </c>
    </row>
    <row r="141" spans="1:7" x14ac:dyDescent="0.3">
      <c r="A141" t="s">
        <v>7</v>
      </c>
      <c r="B141" t="s">
        <v>48</v>
      </c>
      <c r="C141">
        <v>2022</v>
      </c>
      <c r="D141" t="s">
        <v>36</v>
      </c>
      <c r="F141">
        <v>19</v>
      </c>
      <c r="G141" t="s">
        <v>10</v>
      </c>
    </row>
    <row r="142" spans="1:7" x14ac:dyDescent="0.3">
      <c r="A142" t="s">
        <v>7</v>
      </c>
      <c r="B142" t="s">
        <v>48</v>
      </c>
      <c r="C142">
        <v>2022</v>
      </c>
      <c r="D142" t="s">
        <v>33</v>
      </c>
      <c r="F142">
        <v>0.94930000000000003</v>
      </c>
      <c r="G142" t="s">
        <v>10</v>
      </c>
    </row>
    <row r="143" spans="1:7" x14ac:dyDescent="0.3">
      <c r="A143" t="s">
        <v>7</v>
      </c>
      <c r="B143" t="s">
        <v>48</v>
      </c>
      <c r="C143">
        <v>2022</v>
      </c>
      <c r="D143" t="s">
        <v>34</v>
      </c>
      <c r="F143">
        <v>5.0700000000000002E-2</v>
      </c>
      <c r="G143" t="s">
        <v>10</v>
      </c>
    </row>
    <row r="144" spans="1:7" x14ac:dyDescent="0.3">
      <c r="A144" t="s">
        <v>7</v>
      </c>
      <c r="B144" t="s">
        <v>48</v>
      </c>
      <c r="C144">
        <v>2023</v>
      </c>
      <c r="D144" t="s">
        <v>33</v>
      </c>
      <c r="F144">
        <v>0.98470000000000002</v>
      </c>
      <c r="G144" t="s">
        <v>10</v>
      </c>
    </row>
    <row r="145" spans="1:7" x14ac:dyDescent="0.3">
      <c r="A145" t="s">
        <v>7</v>
      </c>
      <c r="B145" t="s">
        <v>48</v>
      </c>
      <c r="C145">
        <v>2023</v>
      </c>
      <c r="D145" t="s">
        <v>34</v>
      </c>
      <c r="F145">
        <v>1.5299999999999999E-2</v>
      </c>
      <c r="G145" t="s">
        <v>10</v>
      </c>
    </row>
    <row r="146" spans="1:7" x14ac:dyDescent="0.3">
      <c r="A146" t="s">
        <v>7</v>
      </c>
      <c r="B146" t="s">
        <v>48</v>
      </c>
      <c r="C146">
        <v>2024</v>
      </c>
      <c r="D146" t="s">
        <v>36</v>
      </c>
      <c r="F146">
        <v>19</v>
      </c>
      <c r="G146" t="s">
        <v>10</v>
      </c>
    </row>
    <row r="147" spans="1:7" x14ac:dyDescent="0.3">
      <c r="A147" t="s">
        <v>7</v>
      </c>
      <c r="B147" t="s">
        <v>48</v>
      </c>
      <c r="C147">
        <v>2024</v>
      </c>
      <c r="D147" t="s">
        <v>33</v>
      </c>
      <c r="F147">
        <v>0.98470000000000002</v>
      </c>
      <c r="G147" t="s">
        <v>10</v>
      </c>
    </row>
    <row r="148" spans="1:7" x14ac:dyDescent="0.3">
      <c r="A148" t="s">
        <v>7</v>
      </c>
      <c r="B148" t="s">
        <v>48</v>
      </c>
      <c r="C148">
        <v>2024</v>
      </c>
      <c r="D148" t="s">
        <v>34</v>
      </c>
      <c r="F148">
        <v>1.5299999999999999E-2</v>
      </c>
      <c r="G148" t="s">
        <v>10</v>
      </c>
    </row>
    <row r="149" spans="1:7" x14ac:dyDescent="0.3">
      <c r="A149" t="s">
        <v>7</v>
      </c>
      <c r="B149" t="s">
        <v>19</v>
      </c>
      <c r="C149">
        <v>2022</v>
      </c>
      <c r="D149" t="s">
        <v>27</v>
      </c>
      <c r="F149">
        <v>391.29</v>
      </c>
      <c r="G149" t="s">
        <v>10</v>
      </c>
    </row>
    <row r="150" spans="1:7" x14ac:dyDescent="0.3">
      <c r="A150" t="s">
        <v>7</v>
      </c>
      <c r="B150" t="s">
        <v>19</v>
      </c>
      <c r="C150">
        <v>2022</v>
      </c>
      <c r="D150" t="s">
        <v>28</v>
      </c>
      <c r="F150">
        <v>391.29</v>
      </c>
      <c r="G150" t="s">
        <v>10</v>
      </c>
    </row>
    <row r="151" spans="1:7" x14ac:dyDescent="0.3">
      <c r="A151" t="s">
        <v>7</v>
      </c>
      <c r="B151" t="s">
        <v>19</v>
      </c>
      <c r="C151">
        <v>2022</v>
      </c>
      <c r="D151" t="s">
        <v>26</v>
      </c>
      <c r="F151">
        <v>169.72</v>
      </c>
      <c r="G151" t="s">
        <v>10</v>
      </c>
    </row>
    <row r="152" spans="1:7" x14ac:dyDescent="0.3">
      <c r="A152" t="s">
        <v>7</v>
      </c>
      <c r="B152" t="s">
        <v>19</v>
      </c>
      <c r="C152">
        <v>2022</v>
      </c>
      <c r="D152" t="s">
        <v>32</v>
      </c>
      <c r="F152">
        <v>221.57</v>
      </c>
      <c r="G152" t="s">
        <v>10</v>
      </c>
    </row>
    <row r="153" spans="1:7" x14ac:dyDescent="0.3">
      <c r="A153" t="s">
        <v>7</v>
      </c>
      <c r="B153" t="s">
        <v>19</v>
      </c>
      <c r="C153">
        <v>2022</v>
      </c>
      <c r="D153" t="s">
        <v>24</v>
      </c>
      <c r="F153">
        <v>240</v>
      </c>
      <c r="G153" t="s">
        <v>10</v>
      </c>
    </row>
    <row r="154" spans="1:7" x14ac:dyDescent="0.3">
      <c r="A154" t="s">
        <v>7</v>
      </c>
      <c r="B154" t="s">
        <v>19</v>
      </c>
      <c r="C154">
        <v>2022</v>
      </c>
      <c r="D154" t="s">
        <v>30</v>
      </c>
      <c r="F154">
        <v>1</v>
      </c>
      <c r="G154" t="s">
        <v>10</v>
      </c>
    </row>
    <row r="155" spans="1:7" x14ac:dyDescent="0.3">
      <c r="A155" t="s">
        <v>7</v>
      </c>
      <c r="B155" t="s">
        <v>19</v>
      </c>
      <c r="C155">
        <v>2022</v>
      </c>
      <c r="D155" t="s">
        <v>33</v>
      </c>
      <c r="F155">
        <v>0.76</v>
      </c>
      <c r="G155" t="s">
        <v>10</v>
      </c>
    </row>
    <row r="156" spans="1:7" x14ac:dyDescent="0.3">
      <c r="A156" t="s">
        <v>7</v>
      </c>
      <c r="B156" t="s">
        <v>19</v>
      </c>
      <c r="C156">
        <v>2022</v>
      </c>
      <c r="D156" t="s">
        <v>34</v>
      </c>
      <c r="F156">
        <v>0.24</v>
      </c>
      <c r="G156" t="s">
        <v>10</v>
      </c>
    </row>
    <row r="157" spans="1:7" x14ac:dyDescent="0.3">
      <c r="A157" t="s">
        <v>7</v>
      </c>
      <c r="B157" t="s">
        <v>19</v>
      </c>
      <c r="C157">
        <v>2023</v>
      </c>
      <c r="D157" t="s">
        <v>28</v>
      </c>
      <c r="F157">
        <v>427.88</v>
      </c>
      <c r="G157" t="s">
        <v>10</v>
      </c>
    </row>
    <row r="158" spans="1:7" x14ac:dyDescent="0.3">
      <c r="A158" t="s">
        <v>7</v>
      </c>
      <c r="B158" t="s">
        <v>19</v>
      </c>
      <c r="C158">
        <v>2023</v>
      </c>
      <c r="D158" t="s">
        <v>26</v>
      </c>
      <c r="F158">
        <v>166.92</v>
      </c>
      <c r="G158" t="s">
        <v>10</v>
      </c>
    </row>
    <row r="159" spans="1:7" x14ac:dyDescent="0.3">
      <c r="A159" t="s">
        <v>7</v>
      </c>
      <c r="B159" t="s">
        <v>19</v>
      </c>
      <c r="C159">
        <v>2023</v>
      </c>
      <c r="D159" t="s">
        <v>32</v>
      </c>
      <c r="F159">
        <v>260.95999999999998</v>
      </c>
      <c r="G159" t="s">
        <v>10</v>
      </c>
    </row>
    <row r="160" spans="1:7" x14ac:dyDescent="0.3">
      <c r="A160" t="s">
        <v>7</v>
      </c>
      <c r="B160" t="s">
        <v>19</v>
      </c>
      <c r="C160">
        <v>2023</v>
      </c>
      <c r="D160" t="s">
        <v>24</v>
      </c>
      <c r="F160">
        <v>240</v>
      </c>
      <c r="G160" t="s">
        <v>10</v>
      </c>
    </row>
    <row r="161" spans="1:7" x14ac:dyDescent="0.3">
      <c r="A161" t="s">
        <v>7</v>
      </c>
      <c r="B161" t="s">
        <v>19</v>
      </c>
      <c r="C161">
        <v>2023</v>
      </c>
      <c r="D161" t="s">
        <v>30</v>
      </c>
      <c r="F161">
        <v>1</v>
      </c>
      <c r="G161" t="s">
        <v>10</v>
      </c>
    </row>
    <row r="162" spans="1:7" x14ac:dyDescent="0.3">
      <c r="A162" t="s">
        <v>7</v>
      </c>
      <c r="B162" t="s">
        <v>19</v>
      </c>
      <c r="C162">
        <v>2023</v>
      </c>
      <c r="D162" t="s">
        <v>33</v>
      </c>
      <c r="F162">
        <v>0.85</v>
      </c>
      <c r="G162" t="s">
        <v>10</v>
      </c>
    </row>
    <row r="163" spans="1:7" x14ac:dyDescent="0.3">
      <c r="A163" t="s">
        <v>7</v>
      </c>
      <c r="B163" t="s">
        <v>19</v>
      </c>
      <c r="C163">
        <v>2023</v>
      </c>
      <c r="D163" t="s">
        <v>34</v>
      </c>
      <c r="F163">
        <v>0.15</v>
      </c>
      <c r="G163" t="s">
        <v>10</v>
      </c>
    </row>
    <row r="164" spans="1:7" x14ac:dyDescent="0.3">
      <c r="A164" t="s">
        <v>7</v>
      </c>
      <c r="B164" t="s">
        <v>19</v>
      </c>
      <c r="C164">
        <v>2024</v>
      </c>
      <c r="D164" t="s">
        <v>28</v>
      </c>
      <c r="F164">
        <v>477.85</v>
      </c>
      <c r="G164" t="s">
        <v>10</v>
      </c>
    </row>
    <row r="165" spans="1:7" x14ac:dyDescent="0.3">
      <c r="A165" t="s">
        <v>7</v>
      </c>
      <c r="B165" t="s">
        <v>19</v>
      </c>
      <c r="C165">
        <v>2024</v>
      </c>
      <c r="D165" t="s">
        <v>24</v>
      </c>
      <c r="F165">
        <v>360</v>
      </c>
      <c r="G165" t="s">
        <v>10</v>
      </c>
    </row>
    <row r="166" spans="1:7" x14ac:dyDescent="0.3">
      <c r="A166" t="s">
        <v>7</v>
      </c>
      <c r="B166" t="s">
        <v>19</v>
      </c>
      <c r="C166">
        <v>2024</v>
      </c>
      <c r="D166" t="s">
        <v>30</v>
      </c>
      <c r="F166">
        <v>1</v>
      </c>
      <c r="G166" t="s">
        <v>10</v>
      </c>
    </row>
    <row r="167" spans="1:7" x14ac:dyDescent="0.3">
      <c r="A167" t="s">
        <v>7</v>
      </c>
      <c r="B167" t="s">
        <v>19</v>
      </c>
      <c r="C167">
        <v>2024</v>
      </c>
      <c r="D167" t="s">
        <v>33</v>
      </c>
      <c r="F167">
        <v>0.76</v>
      </c>
      <c r="G167" t="s">
        <v>10</v>
      </c>
    </row>
    <row r="168" spans="1:7" x14ac:dyDescent="0.3">
      <c r="A168" t="s">
        <v>7</v>
      </c>
      <c r="B168" t="s">
        <v>19</v>
      </c>
      <c r="C168">
        <v>2024</v>
      </c>
      <c r="D168" t="s">
        <v>34</v>
      </c>
      <c r="F168">
        <v>0.24</v>
      </c>
      <c r="G168" t="s">
        <v>10</v>
      </c>
    </row>
    <row r="169" spans="1:7" x14ac:dyDescent="0.3">
      <c r="A169" t="s">
        <v>7</v>
      </c>
      <c r="B169" t="s">
        <v>20</v>
      </c>
      <c r="C169">
        <v>2022</v>
      </c>
      <c r="D169" t="s">
        <v>27</v>
      </c>
      <c r="F169">
        <v>8000</v>
      </c>
      <c r="G169" t="s">
        <v>10</v>
      </c>
    </row>
    <row r="170" spans="1:7" x14ac:dyDescent="0.3">
      <c r="A170" t="s">
        <v>7</v>
      </c>
      <c r="B170" t="s">
        <v>20</v>
      </c>
      <c r="C170">
        <v>2022</v>
      </c>
      <c r="D170" t="s">
        <v>36</v>
      </c>
      <c r="F170">
        <v>10</v>
      </c>
      <c r="G170" t="s">
        <v>10</v>
      </c>
    </row>
    <row r="171" spans="1:7" x14ac:dyDescent="0.3">
      <c r="A171" t="s">
        <v>7</v>
      </c>
      <c r="B171" t="s">
        <v>20</v>
      </c>
      <c r="C171">
        <v>2022</v>
      </c>
      <c r="D171" t="s">
        <v>30</v>
      </c>
      <c r="F171">
        <v>0</v>
      </c>
      <c r="G171" t="s">
        <v>10</v>
      </c>
    </row>
    <row r="172" spans="1:7" x14ac:dyDescent="0.3">
      <c r="A172" t="s">
        <v>7</v>
      </c>
      <c r="B172" t="s">
        <v>20</v>
      </c>
      <c r="C172">
        <v>2022</v>
      </c>
      <c r="D172" t="s">
        <v>31</v>
      </c>
      <c r="F172">
        <v>0</v>
      </c>
      <c r="G172" t="s">
        <v>10</v>
      </c>
    </row>
    <row r="173" spans="1:7" x14ac:dyDescent="0.3">
      <c r="A173" t="s">
        <v>7</v>
      </c>
      <c r="B173" t="s">
        <v>20</v>
      </c>
      <c r="C173">
        <v>2023</v>
      </c>
      <c r="D173" t="s">
        <v>28</v>
      </c>
      <c r="F173">
        <v>6000</v>
      </c>
      <c r="G173" t="s">
        <v>10</v>
      </c>
    </row>
    <row r="174" spans="1:7" x14ac:dyDescent="0.3">
      <c r="A174" t="s">
        <v>7</v>
      </c>
      <c r="B174" t="s">
        <v>20</v>
      </c>
      <c r="C174">
        <v>2023</v>
      </c>
      <c r="D174" t="s">
        <v>36</v>
      </c>
      <c r="F174">
        <v>10</v>
      </c>
      <c r="G174" t="s">
        <v>10</v>
      </c>
    </row>
    <row r="175" spans="1:7" x14ac:dyDescent="0.3">
      <c r="A175" t="s">
        <v>7</v>
      </c>
      <c r="B175" t="s">
        <v>20</v>
      </c>
      <c r="C175">
        <v>2023</v>
      </c>
      <c r="D175" t="s">
        <v>30</v>
      </c>
      <c r="F175">
        <v>0</v>
      </c>
      <c r="G175" t="s">
        <v>10</v>
      </c>
    </row>
    <row r="176" spans="1:7" x14ac:dyDescent="0.3">
      <c r="A176" t="s">
        <v>7</v>
      </c>
      <c r="B176" t="s">
        <v>20</v>
      </c>
      <c r="C176">
        <v>2023</v>
      </c>
      <c r="D176" t="s">
        <v>31</v>
      </c>
      <c r="F176">
        <v>0</v>
      </c>
      <c r="G176" t="s">
        <v>10</v>
      </c>
    </row>
    <row r="177" spans="1:7" x14ac:dyDescent="0.3">
      <c r="A177" t="s">
        <v>7</v>
      </c>
      <c r="B177" t="s">
        <v>20</v>
      </c>
      <c r="C177">
        <v>2024</v>
      </c>
      <c r="D177" t="s">
        <v>27</v>
      </c>
      <c r="F177">
        <v>7424.11</v>
      </c>
      <c r="G177" t="s">
        <v>10</v>
      </c>
    </row>
    <row r="178" spans="1:7" x14ac:dyDescent="0.3">
      <c r="A178" t="s">
        <v>7</v>
      </c>
      <c r="B178" t="s">
        <v>20</v>
      </c>
      <c r="C178">
        <v>2024</v>
      </c>
      <c r="D178" t="s">
        <v>28</v>
      </c>
      <c r="F178">
        <v>6000</v>
      </c>
      <c r="G178" t="s">
        <v>10</v>
      </c>
    </row>
    <row r="179" spans="1:7" x14ac:dyDescent="0.3">
      <c r="A179" t="s">
        <v>7</v>
      </c>
      <c r="B179" t="s">
        <v>20</v>
      </c>
      <c r="C179">
        <v>2024</v>
      </c>
      <c r="D179" t="s">
        <v>36</v>
      </c>
      <c r="F179">
        <v>10</v>
      </c>
      <c r="G179" t="s">
        <v>10</v>
      </c>
    </row>
    <row r="180" spans="1:7" x14ac:dyDescent="0.3">
      <c r="A180" t="s">
        <v>7</v>
      </c>
      <c r="B180" t="s">
        <v>20</v>
      </c>
      <c r="C180">
        <v>2024</v>
      </c>
      <c r="D180" t="s">
        <v>31</v>
      </c>
      <c r="F180">
        <v>0</v>
      </c>
      <c r="G180" t="s">
        <v>10</v>
      </c>
    </row>
    <row r="181" spans="1:7" x14ac:dyDescent="0.3">
      <c r="A181" t="s">
        <v>7</v>
      </c>
      <c r="B181" t="s">
        <v>21</v>
      </c>
      <c r="C181">
        <v>2022</v>
      </c>
      <c r="D181" t="s">
        <v>30</v>
      </c>
      <c r="F181">
        <v>0</v>
      </c>
      <c r="G181" t="s">
        <v>10</v>
      </c>
    </row>
    <row r="182" spans="1:7" x14ac:dyDescent="0.3">
      <c r="A182" t="s">
        <v>7</v>
      </c>
      <c r="B182" t="s">
        <v>21</v>
      </c>
      <c r="C182">
        <v>2022</v>
      </c>
      <c r="D182" t="s">
        <v>31</v>
      </c>
      <c r="F182">
        <v>0</v>
      </c>
      <c r="G182" t="s">
        <v>10</v>
      </c>
    </row>
    <row r="183" spans="1:7" x14ac:dyDescent="0.3">
      <c r="A183" t="s">
        <v>7</v>
      </c>
      <c r="B183" t="s">
        <v>21</v>
      </c>
      <c r="C183">
        <v>2022</v>
      </c>
      <c r="D183" t="s">
        <v>33</v>
      </c>
      <c r="F183">
        <v>1</v>
      </c>
      <c r="G183" t="s">
        <v>10</v>
      </c>
    </row>
    <row r="184" spans="1:7" x14ac:dyDescent="0.3">
      <c r="A184" t="s">
        <v>7</v>
      </c>
      <c r="B184" t="s">
        <v>21</v>
      </c>
      <c r="C184">
        <v>2022</v>
      </c>
      <c r="D184" t="s">
        <v>34</v>
      </c>
      <c r="F184">
        <v>0</v>
      </c>
      <c r="G184" t="s">
        <v>10</v>
      </c>
    </row>
    <row r="185" spans="1:7" x14ac:dyDescent="0.3">
      <c r="A185" t="s">
        <v>7</v>
      </c>
      <c r="B185" t="s">
        <v>21</v>
      </c>
      <c r="C185">
        <v>2023</v>
      </c>
      <c r="D185" t="s">
        <v>28</v>
      </c>
      <c r="F185">
        <v>26767</v>
      </c>
      <c r="G185" t="s">
        <v>10</v>
      </c>
    </row>
    <row r="186" spans="1:7" x14ac:dyDescent="0.3">
      <c r="A186" t="s">
        <v>7</v>
      </c>
      <c r="B186" t="s">
        <v>21</v>
      </c>
      <c r="C186">
        <v>2023</v>
      </c>
      <c r="D186" t="s">
        <v>29</v>
      </c>
      <c r="F186">
        <v>1382</v>
      </c>
      <c r="G186" t="s">
        <v>10</v>
      </c>
    </row>
    <row r="187" spans="1:7" x14ac:dyDescent="0.3">
      <c r="A187" t="s">
        <v>7</v>
      </c>
      <c r="B187" t="s">
        <v>21</v>
      </c>
      <c r="C187">
        <v>2023</v>
      </c>
      <c r="D187" t="s">
        <v>26</v>
      </c>
      <c r="F187">
        <v>26175</v>
      </c>
      <c r="G187" t="s">
        <v>10</v>
      </c>
    </row>
    <row r="188" spans="1:7" x14ac:dyDescent="0.3">
      <c r="A188" t="s">
        <v>7</v>
      </c>
      <c r="B188" t="s">
        <v>21</v>
      </c>
      <c r="C188">
        <v>2023</v>
      </c>
      <c r="D188" t="s">
        <v>32</v>
      </c>
      <c r="F188">
        <v>1972</v>
      </c>
      <c r="G188" t="s">
        <v>10</v>
      </c>
    </row>
    <row r="189" spans="1:7" x14ac:dyDescent="0.3">
      <c r="A189" t="s">
        <v>7</v>
      </c>
      <c r="B189" t="s">
        <v>21</v>
      </c>
      <c r="C189">
        <v>2023</v>
      </c>
      <c r="D189" t="s">
        <v>30</v>
      </c>
      <c r="F189">
        <v>0</v>
      </c>
      <c r="G189" t="s">
        <v>10</v>
      </c>
    </row>
    <row r="190" spans="1:7" x14ac:dyDescent="0.3">
      <c r="A190" t="s">
        <v>7</v>
      </c>
      <c r="B190" t="s">
        <v>21</v>
      </c>
      <c r="C190">
        <v>2023</v>
      </c>
      <c r="D190" t="s">
        <v>31</v>
      </c>
      <c r="F190">
        <v>0</v>
      </c>
      <c r="G190" t="s">
        <v>10</v>
      </c>
    </row>
    <row r="191" spans="1:7" x14ac:dyDescent="0.3">
      <c r="A191" t="s">
        <v>7</v>
      </c>
      <c r="B191" t="s">
        <v>21</v>
      </c>
      <c r="C191">
        <v>2023</v>
      </c>
      <c r="D191" t="s">
        <v>33</v>
      </c>
      <c r="F191">
        <v>1</v>
      </c>
      <c r="G191" t="s">
        <v>10</v>
      </c>
    </row>
    <row r="192" spans="1:7" x14ac:dyDescent="0.3">
      <c r="A192" t="s">
        <v>7</v>
      </c>
      <c r="B192" t="s">
        <v>21</v>
      </c>
      <c r="C192">
        <v>2023</v>
      </c>
      <c r="D192" t="s">
        <v>34</v>
      </c>
      <c r="F192">
        <v>0</v>
      </c>
      <c r="G192" t="s">
        <v>10</v>
      </c>
    </row>
    <row r="193" spans="1:7" x14ac:dyDescent="0.3">
      <c r="A193" t="s">
        <v>7</v>
      </c>
      <c r="B193" t="s">
        <v>21</v>
      </c>
      <c r="C193">
        <v>2024</v>
      </c>
      <c r="D193" t="s">
        <v>36</v>
      </c>
      <c r="F193">
        <v>9.8000000000000007</v>
      </c>
      <c r="G193" t="s">
        <v>10</v>
      </c>
    </row>
    <row r="194" spans="1:7" x14ac:dyDescent="0.3">
      <c r="A194" t="s">
        <v>7</v>
      </c>
      <c r="B194" t="s">
        <v>21</v>
      </c>
      <c r="C194">
        <v>2024</v>
      </c>
      <c r="D194" t="s">
        <v>30</v>
      </c>
      <c r="F194">
        <v>0</v>
      </c>
      <c r="G194" t="s">
        <v>10</v>
      </c>
    </row>
    <row r="195" spans="1:7" x14ac:dyDescent="0.3">
      <c r="A195" t="s">
        <v>7</v>
      </c>
      <c r="B195" t="s">
        <v>21</v>
      </c>
      <c r="C195">
        <v>2024</v>
      </c>
      <c r="D195" t="s">
        <v>31</v>
      </c>
      <c r="F195">
        <v>0</v>
      </c>
      <c r="G195" t="s">
        <v>10</v>
      </c>
    </row>
    <row r="196" spans="1:7" x14ac:dyDescent="0.3">
      <c r="A196" t="s">
        <v>7</v>
      </c>
      <c r="B196" t="s">
        <v>21</v>
      </c>
      <c r="C196">
        <v>2024</v>
      </c>
      <c r="D196" t="s">
        <v>33</v>
      </c>
      <c r="F196">
        <v>1</v>
      </c>
      <c r="G196" t="s">
        <v>10</v>
      </c>
    </row>
    <row r="197" spans="1:7" x14ac:dyDescent="0.3">
      <c r="A197" t="s">
        <v>7</v>
      </c>
      <c r="B197" t="s">
        <v>21</v>
      </c>
      <c r="C197">
        <v>2024</v>
      </c>
      <c r="D197" t="s">
        <v>34</v>
      </c>
      <c r="F197">
        <v>0</v>
      </c>
      <c r="G197" t="s">
        <v>10</v>
      </c>
    </row>
    <row r="198" spans="1:7" x14ac:dyDescent="0.3">
      <c r="A198" t="s">
        <v>7</v>
      </c>
      <c r="B198" t="s">
        <v>49</v>
      </c>
      <c r="C198">
        <v>2022</v>
      </c>
      <c r="D198" t="s">
        <v>29</v>
      </c>
      <c r="F198">
        <v>3194.15</v>
      </c>
      <c r="G198" t="s">
        <v>10</v>
      </c>
    </row>
    <row r="199" spans="1:7" x14ac:dyDescent="0.3">
      <c r="A199" t="s">
        <v>7</v>
      </c>
      <c r="B199" t="s">
        <v>49</v>
      </c>
      <c r="C199">
        <v>2022</v>
      </c>
      <c r="D199" t="s">
        <v>32</v>
      </c>
      <c r="F199">
        <v>4480.66</v>
      </c>
      <c r="G199" t="s">
        <v>10</v>
      </c>
    </row>
    <row r="200" spans="1:7" x14ac:dyDescent="0.3">
      <c r="A200" t="s">
        <v>7</v>
      </c>
      <c r="B200" t="s">
        <v>49</v>
      </c>
      <c r="C200">
        <v>2022</v>
      </c>
      <c r="D200" t="s">
        <v>30</v>
      </c>
      <c r="F200">
        <v>0</v>
      </c>
      <c r="G200" t="s">
        <v>10</v>
      </c>
    </row>
    <row r="201" spans="1:7" x14ac:dyDescent="0.3">
      <c r="A201" t="s">
        <v>7</v>
      </c>
      <c r="B201" t="s">
        <v>49</v>
      </c>
      <c r="C201">
        <v>2022</v>
      </c>
      <c r="D201" t="s">
        <v>31</v>
      </c>
      <c r="F201">
        <v>0</v>
      </c>
      <c r="G201" t="s">
        <v>10</v>
      </c>
    </row>
    <row r="202" spans="1:7" x14ac:dyDescent="0.3">
      <c r="A202" t="s">
        <v>7</v>
      </c>
      <c r="B202" t="s">
        <v>49</v>
      </c>
      <c r="C202">
        <v>2022</v>
      </c>
      <c r="D202" t="s">
        <v>46</v>
      </c>
      <c r="F202">
        <v>12732</v>
      </c>
      <c r="G202" t="s">
        <v>10</v>
      </c>
    </row>
    <row r="203" spans="1:7" x14ac:dyDescent="0.3">
      <c r="A203" t="s">
        <v>7</v>
      </c>
      <c r="B203" t="s">
        <v>49</v>
      </c>
      <c r="C203">
        <v>2022</v>
      </c>
      <c r="D203" t="s">
        <v>34</v>
      </c>
      <c r="F203">
        <v>0</v>
      </c>
      <c r="G203" t="s">
        <v>10</v>
      </c>
    </row>
    <row r="204" spans="1:7" x14ac:dyDescent="0.3">
      <c r="A204" t="s">
        <v>7</v>
      </c>
      <c r="B204" t="s">
        <v>49</v>
      </c>
      <c r="C204">
        <v>2023</v>
      </c>
      <c r="D204" t="s">
        <v>29</v>
      </c>
      <c r="F204">
        <v>3578.7</v>
      </c>
      <c r="G204" t="s">
        <v>10</v>
      </c>
    </row>
    <row r="205" spans="1:7" x14ac:dyDescent="0.3">
      <c r="A205" t="s">
        <v>7</v>
      </c>
      <c r="B205" t="s">
        <v>49</v>
      </c>
      <c r="C205">
        <v>2023</v>
      </c>
      <c r="D205" t="s">
        <v>32</v>
      </c>
      <c r="F205">
        <v>3336.21</v>
      </c>
      <c r="G205" t="s">
        <v>10</v>
      </c>
    </row>
    <row r="206" spans="1:7" x14ac:dyDescent="0.3">
      <c r="A206" t="s">
        <v>7</v>
      </c>
      <c r="B206" t="s">
        <v>49</v>
      </c>
      <c r="C206">
        <v>2023</v>
      </c>
      <c r="D206" t="s">
        <v>30</v>
      </c>
      <c r="F206">
        <v>0</v>
      </c>
      <c r="G206" t="s">
        <v>10</v>
      </c>
    </row>
    <row r="207" spans="1:7" x14ac:dyDescent="0.3">
      <c r="A207" t="s">
        <v>7</v>
      </c>
      <c r="B207" t="s">
        <v>49</v>
      </c>
      <c r="C207">
        <v>2023</v>
      </c>
      <c r="D207" t="s">
        <v>31</v>
      </c>
      <c r="F207">
        <v>0</v>
      </c>
      <c r="G207" t="s">
        <v>10</v>
      </c>
    </row>
    <row r="208" spans="1:7" x14ac:dyDescent="0.3">
      <c r="A208" t="s">
        <v>7</v>
      </c>
      <c r="B208" t="s">
        <v>49</v>
      </c>
      <c r="C208">
        <v>2023</v>
      </c>
      <c r="D208" t="s">
        <v>50</v>
      </c>
      <c r="F208">
        <v>306497</v>
      </c>
      <c r="G208" t="s">
        <v>10</v>
      </c>
    </row>
    <row r="209" spans="1:7" x14ac:dyDescent="0.3">
      <c r="A209" t="s">
        <v>7</v>
      </c>
      <c r="B209" t="s">
        <v>49</v>
      </c>
      <c r="C209">
        <v>2023</v>
      </c>
      <c r="D209" t="s">
        <v>46</v>
      </c>
      <c r="F209">
        <v>10900</v>
      </c>
      <c r="G209" t="s">
        <v>10</v>
      </c>
    </row>
    <row r="210" spans="1:7" x14ac:dyDescent="0.3">
      <c r="A210" t="s">
        <v>7</v>
      </c>
      <c r="B210" t="s">
        <v>49</v>
      </c>
      <c r="C210">
        <v>2023</v>
      </c>
      <c r="D210" t="s">
        <v>34</v>
      </c>
      <c r="F210">
        <v>0</v>
      </c>
      <c r="G210" t="s">
        <v>10</v>
      </c>
    </row>
    <row r="211" spans="1:7" x14ac:dyDescent="0.3">
      <c r="A211" t="s">
        <v>7</v>
      </c>
      <c r="B211" t="s">
        <v>49</v>
      </c>
      <c r="C211">
        <v>2024</v>
      </c>
      <c r="D211" t="s">
        <v>30</v>
      </c>
      <c r="F211">
        <v>0</v>
      </c>
      <c r="G211" t="s">
        <v>10</v>
      </c>
    </row>
    <row r="212" spans="1:7" x14ac:dyDescent="0.3">
      <c r="A212" t="s">
        <v>7</v>
      </c>
      <c r="B212" t="s">
        <v>49</v>
      </c>
      <c r="C212">
        <v>2024</v>
      </c>
      <c r="D212" t="s">
        <v>31</v>
      </c>
      <c r="F212">
        <v>0</v>
      </c>
      <c r="G212" t="s">
        <v>10</v>
      </c>
    </row>
    <row r="213" spans="1:7" x14ac:dyDescent="0.3">
      <c r="A213" t="s">
        <v>7</v>
      </c>
      <c r="B213" t="s">
        <v>49</v>
      </c>
      <c r="C213">
        <v>2024</v>
      </c>
      <c r="D213" t="s">
        <v>34</v>
      </c>
      <c r="F213">
        <v>0</v>
      </c>
      <c r="G213" t="s">
        <v>10</v>
      </c>
    </row>
    <row r="214" spans="1:7" x14ac:dyDescent="0.3">
      <c r="A214" t="s">
        <v>7</v>
      </c>
      <c r="B214" t="s">
        <v>51</v>
      </c>
      <c r="C214">
        <v>2022</v>
      </c>
      <c r="D214" t="s">
        <v>36</v>
      </c>
      <c r="F214">
        <v>14</v>
      </c>
      <c r="G214" t="s">
        <v>10</v>
      </c>
    </row>
    <row r="215" spans="1:7" x14ac:dyDescent="0.3">
      <c r="A215" t="s">
        <v>7</v>
      </c>
      <c r="B215" t="s">
        <v>51</v>
      </c>
      <c r="C215">
        <v>2022</v>
      </c>
      <c r="D215" t="s">
        <v>30</v>
      </c>
      <c r="F215">
        <v>0</v>
      </c>
      <c r="G215" t="s">
        <v>10</v>
      </c>
    </row>
    <row r="216" spans="1:7" x14ac:dyDescent="0.3">
      <c r="A216" t="s">
        <v>7</v>
      </c>
      <c r="B216" t="s">
        <v>51</v>
      </c>
      <c r="C216">
        <v>2022</v>
      </c>
      <c r="D216" t="s">
        <v>31</v>
      </c>
      <c r="F216">
        <v>0</v>
      </c>
      <c r="G216" t="s">
        <v>10</v>
      </c>
    </row>
    <row r="217" spans="1:7" x14ac:dyDescent="0.3">
      <c r="A217" t="s">
        <v>7</v>
      </c>
      <c r="B217" t="s">
        <v>51</v>
      </c>
      <c r="C217">
        <v>2023</v>
      </c>
      <c r="D217" t="s">
        <v>30</v>
      </c>
      <c r="F217">
        <v>0</v>
      </c>
      <c r="G217" t="s">
        <v>10</v>
      </c>
    </row>
    <row r="218" spans="1:7" x14ac:dyDescent="0.3">
      <c r="A218" t="s">
        <v>7</v>
      </c>
      <c r="B218" t="s">
        <v>51</v>
      </c>
      <c r="C218">
        <v>2023</v>
      </c>
      <c r="D218" t="s">
        <v>31</v>
      </c>
      <c r="F218">
        <v>0</v>
      </c>
      <c r="G218" t="s">
        <v>10</v>
      </c>
    </row>
    <row r="219" spans="1:7" x14ac:dyDescent="0.3">
      <c r="A219" t="s">
        <v>7</v>
      </c>
      <c r="B219" t="s">
        <v>51</v>
      </c>
      <c r="C219">
        <v>2024</v>
      </c>
      <c r="D219" t="s">
        <v>30</v>
      </c>
      <c r="F219">
        <v>0</v>
      </c>
      <c r="G219" t="s">
        <v>10</v>
      </c>
    </row>
    <row r="220" spans="1:7" x14ac:dyDescent="0.3">
      <c r="A220" t="s">
        <v>7</v>
      </c>
      <c r="B220" t="s">
        <v>51</v>
      </c>
      <c r="C220">
        <v>2024</v>
      </c>
      <c r="D220" t="s">
        <v>31</v>
      </c>
      <c r="F220">
        <v>0</v>
      </c>
      <c r="G220" t="s">
        <v>10</v>
      </c>
    </row>
    <row r="221" spans="1:7" x14ac:dyDescent="0.3">
      <c r="A221" t="s">
        <v>7</v>
      </c>
      <c r="B221" t="s">
        <v>52</v>
      </c>
      <c r="C221">
        <v>2023</v>
      </c>
      <c r="D221" t="s">
        <v>26</v>
      </c>
      <c r="F221">
        <v>995.75</v>
      </c>
      <c r="G221" t="s">
        <v>10</v>
      </c>
    </row>
    <row r="222" spans="1:7" x14ac:dyDescent="0.3">
      <c r="A222" t="s">
        <v>7</v>
      </c>
      <c r="B222" t="s">
        <v>52</v>
      </c>
      <c r="C222">
        <v>2023</v>
      </c>
      <c r="D222" t="s">
        <v>32</v>
      </c>
      <c r="F222">
        <v>94.89</v>
      </c>
      <c r="G222" t="s">
        <v>10</v>
      </c>
    </row>
    <row r="223" spans="1:7" x14ac:dyDescent="0.3">
      <c r="A223" t="s">
        <v>7</v>
      </c>
      <c r="B223" t="s">
        <v>52</v>
      </c>
      <c r="C223">
        <v>2024</v>
      </c>
      <c r="D223" t="s">
        <v>26</v>
      </c>
      <c r="F223">
        <v>995.75</v>
      </c>
      <c r="G223" t="s">
        <v>10</v>
      </c>
    </row>
    <row r="224" spans="1:7" x14ac:dyDescent="0.3">
      <c r="A224" t="s">
        <v>7</v>
      </c>
      <c r="B224" t="s">
        <v>52</v>
      </c>
      <c r="C224">
        <v>2024</v>
      </c>
      <c r="D224" t="s">
        <v>32</v>
      </c>
      <c r="F224">
        <v>94.89</v>
      </c>
      <c r="G224" t="s">
        <v>10</v>
      </c>
    </row>
    <row r="225" spans="1:7" x14ac:dyDescent="0.3">
      <c r="A225" t="s">
        <v>7</v>
      </c>
      <c r="B225" t="s">
        <v>52</v>
      </c>
      <c r="C225">
        <v>2024</v>
      </c>
      <c r="D225" t="s">
        <v>44</v>
      </c>
      <c r="F225">
        <v>0</v>
      </c>
      <c r="G225" t="s">
        <v>10</v>
      </c>
    </row>
    <row r="226" spans="1:7" x14ac:dyDescent="0.3">
      <c r="A226" t="s">
        <v>7</v>
      </c>
      <c r="B226" t="s">
        <v>52</v>
      </c>
      <c r="C226">
        <v>2024</v>
      </c>
      <c r="D226" t="s">
        <v>45</v>
      </c>
      <c r="F226">
        <v>0</v>
      </c>
      <c r="G226" t="s">
        <v>10</v>
      </c>
    </row>
    <row r="227" spans="1:7" x14ac:dyDescent="0.3">
      <c r="A227" t="s">
        <v>7</v>
      </c>
      <c r="B227" t="s">
        <v>53</v>
      </c>
      <c r="C227">
        <v>2022</v>
      </c>
      <c r="D227" t="s">
        <v>26</v>
      </c>
      <c r="F227">
        <v>122047.2</v>
      </c>
      <c r="G227" t="s">
        <v>10</v>
      </c>
    </row>
    <row r="228" spans="1:7" x14ac:dyDescent="0.3">
      <c r="A228" t="s">
        <v>7</v>
      </c>
      <c r="B228" t="s">
        <v>53</v>
      </c>
      <c r="C228">
        <v>2022</v>
      </c>
      <c r="D228" t="s">
        <v>32</v>
      </c>
      <c r="F228">
        <v>10612.8</v>
      </c>
      <c r="G228" t="s">
        <v>10</v>
      </c>
    </row>
    <row r="229" spans="1:7" x14ac:dyDescent="0.3">
      <c r="A229" t="s">
        <v>7</v>
      </c>
      <c r="B229" t="s">
        <v>53</v>
      </c>
      <c r="C229">
        <v>2022</v>
      </c>
      <c r="D229" t="s">
        <v>31</v>
      </c>
      <c r="F229">
        <v>0</v>
      </c>
      <c r="G229" t="s">
        <v>10</v>
      </c>
    </row>
    <row r="230" spans="1:7" x14ac:dyDescent="0.3">
      <c r="A230" t="s">
        <v>7</v>
      </c>
      <c r="B230" t="s">
        <v>53</v>
      </c>
      <c r="C230">
        <v>2022</v>
      </c>
      <c r="D230" t="s">
        <v>40</v>
      </c>
      <c r="F230">
        <v>133952</v>
      </c>
      <c r="G230" t="s">
        <v>10</v>
      </c>
    </row>
    <row r="231" spans="1:7" x14ac:dyDescent="0.3">
      <c r="A231" t="s">
        <v>7</v>
      </c>
      <c r="B231" t="s">
        <v>53</v>
      </c>
      <c r="C231">
        <v>2022</v>
      </c>
      <c r="D231" t="s">
        <v>33</v>
      </c>
      <c r="F231">
        <v>1</v>
      </c>
      <c r="G231" t="s">
        <v>10</v>
      </c>
    </row>
    <row r="232" spans="1:7" x14ac:dyDescent="0.3">
      <c r="A232" t="s">
        <v>7</v>
      </c>
      <c r="B232" t="s">
        <v>53</v>
      </c>
      <c r="C232">
        <v>2022</v>
      </c>
      <c r="D232" t="s">
        <v>34</v>
      </c>
      <c r="F232">
        <v>0</v>
      </c>
      <c r="G232" t="s">
        <v>10</v>
      </c>
    </row>
    <row r="233" spans="1:7" x14ac:dyDescent="0.3">
      <c r="A233" t="s">
        <v>7</v>
      </c>
      <c r="B233" t="s">
        <v>53</v>
      </c>
      <c r="C233">
        <v>2023</v>
      </c>
      <c r="D233" t="s">
        <v>26</v>
      </c>
      <c r="F233">
        <v>117624.18</v>
      </c>
      <c r="G233" t="s">
        <v>10</v>
      </c>
    </row>
    <row r="234" spans="1:7" x14ac:dyDescent="0.3">
      <c r="A234" t="s">
        <v>7</v>
      </c>
      <c r="B234" t="s">
        <v>53</v>
      </c>
      <c r="C234">
        <v>2023</v>
      </c>
      <c r="D234" t="s">
        <v>32</v>
      </c>
      <c r="F234">
        <v>14537.82</v>
      </c>
      <c r="G234" t="s">
        <v>10</v>
      </c>
    </row>
    <row r="235" spans="1:7" x14ac:dyDescent="0.3">
      <c r="A235" t="s">
        <v>7</v>
      </c>
      <c r="B235" t="s">
        <v>53</v>
      </c>
      <c r="C235">
        <v>2023</v>
      </c>
      <c r="D235" t="s">
        <v>30</v>
      </c>
      <c r="F235">
        <v>0</v>
      </c>
      <c r="G235" t="s">
        <v>10</v>
      </c>
    </row>
    <row r="236" spans="1:7" x14ac:dyDescent="0.3">
      <c r="A236" t="s">
        <v>7</v>
      </c>
      <c r="B236" t="s">
        <v>53</v>
      </c>
      <c r="C236">
        <v>2023</v>
      </c>
      <c r="D236" t="s">
        <v>31</v>
      </c>
      <c r="F236">
        <v>0</v>
      </c>
      <c r="G236" t="s">
        <v>10</v>
      </c>
    </row>
    <row r="237" spans="1:7" x14ac:dyDescent="0.3">
      <c r="A237" t="s">
        <v>7</v>
      </c>
      <c r="B237" t="s">
        <v>53</v>
      </c>
      <c r="C237">
        <v>2023</v>
      </c>
      <c r="D237" t="s">
        <v>40</v>
      </c>
      <c r="F237">
        <v>171015.66</v>
      </c>
      <c r="G237" t="s">
        <v>10</v>
      </c>
    </row>
    <row r="238" spans="1:7" x14ac:dyDescent="0.3">
      <c r="A238" t="s">
        <v>7</v>
      </c>
      <c r="B238" t="s">
        <v>53</v>
      </c>
      <c r="C238">
        <v>2023</v>
      </c>
      <c r="D238" t="s">
        <v>33</v>
      </c>
      <c r="F238">
        <v>1</v>
      </c>
      <c r="G238" t="s">
        <v>10</v>
      </c>
    </row>
    <row r="239" spans="1:7" x14ac:dyDescent="0.3">
      <c r="A239" t="s">
        <v>7</v>
      </c>
      <c r="B239" t="s">
        <v>53</v>
      </c>
      <c r="C239">
        <v>2023</v>
      </c>
      <c r="D239" t="s">
        <v>34</v>
      </c>
      <c r="F239">
        <v>0</v>
      </c>
      <c r="G239" t="s">
        <v>10</v>
      </c>
    </row>
    <row r="240" spans="1:7" x14ac:dyDescent="0.3">
      <c r="A240" t="s">
        <v>7</v>
      </c>
      <c r="B240" t="s">
        <v>53</v>
      </c>
      <c r="C240">
        <v>2024</v>
      </c>
      <c r="D240" t="s">
        <v>30</v>
      </c>
      <c r="F240">
        <v>0</v>
      </c>
      <c r="G240" t="s">
        <v>10</v>
      </c>
    </row>
    <row r="241" spans="1:7" x14ac:dyDescent="0.3">
      <c r="A241" t="s">
        <v>7</v>
      </c>
      <c r="B241" t="s">
        <v>53</v>
      </c>
      <c r="C241">
        <v>2024</v>
      </c>
      <c r="D241" t="s">
        <v>31</v>
      </c>
      <c r="F241">
        <v>0</v>
      </c>
      <c r="G241" t="s">
        <v>10</v>
      </c>
    </row>
    <row r="242" spans="1:7" x14ac:dyDescent="0.3">
      <c r="A242" t="s">
        <v>7</v>
      </c>
      <c r="B242" t="s">
        <v>54</v>
      </c>
      <c r="C242">
        <v>2022</v>
      </c>
      <c r="D242" t="s">
        <v>36</v>
      </c>
      <c r="F242">
        <v>18</v>
      </c>
      <c r="G242" t="s">
        <v>10</v>
      </c>
    </row>
    <row r="243" spans="1:7" x14ac:dyDescent="0.3">
      <c r="A243" t="s">
        <v>7</v>
      </c>
      <c r="B243" t="s">
        <v>54</v>
      </c>
      <c r="C243">
        <v>2022</v>
      </c>
      <c r="D243" t="s">
        <v>40</v>
      </c>
      <c r="F243">
        <v>929000</v>
      </c>
      <c r="G243" t="s">
        <v>10</v>
      </c>
    </row>
    <row r="244" spans="1:7" x14ac:dyDescent="0.3">
      <c r="A244" t="s">
        <v>7</v>
      </c>
      <c r="B244" t="s">
        <v>54</v>
      </c>
      <c r="C244">
        <v>2022</v>
      </c>
      <c r="D244" t="s">
        <v>46</v>
      </c>
      <c r="F244">
        <v>12341</v>
      </c>
      <c r="G244" t="s">
        <v>10</v>
      </c>
    </row>
    <row r="245" spans="1:7" x14ac:dyDescent="0.3">
      <c r="A245" t="s">
        <v>7</v>
      </c>
      <c r="B245" t="s">
        <v>54</v>
      </c>
      <c r="C245">
        <v>2022</v>
      </c>
      <c r="D245" t="s">
        <v>37</v>
      </c>
      <c r="F245">
        <v>0.21</v>
      </c>
      <c r="G245" t="s">
        <v>10</v>
      </c>
    </row>
    <row r="246" spans="1:7" x14ac:dyDescent="0.3">
      <c r="A246" t="s">
        <v>7</v>
      </c>
      <c r="B246" t="s">
        <v>54</v>
      </c>
      <c r="C246">
        <v>2023</v>
      </c>
      <c r="D246" t="s">
        <v>36</v>
      </c>
      <c r="F246">
        <v>19</v>
      </c>
      <c r="G246" t="s">
        <v>10</v>
      </c>
    </row>
    <row r="247" spans="1:7" x14ac:dyDescent="0.3">
      <c r="A247" t="s">
        <v>7</v>
      </c>
      <c r="B247" t="s">
        <v>54</v>
      </c>
      <c r="C247">
        <v>2023</v>
      </c>
      <c r="D247" t="s">
        <v>40</v>
      </c>
      <c r="F247">
        <v>848000</v>
      </c>
      <c r="G247" t="s">
        <v>10</v>
      </c>
    </row>
    <row r="248" spans="1:7" x14ac:dyDescent="0.3">
      <c r="A248" t="s">
        <v>7</v>
      </c>
      <c r="B248" t="s">
        <v>54</v>
      </c>
      <c r="C248">
        <v>2023</v>
      </c>
      <c r="D248" t="s">
        <v>46</v>
      </c>
      <c r="F248">
        <v>11273</v>
      </c>
      <c r="G248" t="s">
        <v>10</v>
      </c>
    </row>
    <row r="249" spans="1:7" x14ac:dyDescent="0.3">
      <c r="A249" t="s">
        <v>7</v>
      </c>
      <c r="B249" t="s">
        <v>54</v>
      </c>
      <c r="C249">
        <v>2023</v>
      </c>
      <c r="D249" t="s">
        <v>33</v>
      </c>
      <c r="F249">
        <v>0.86</v>
      </c>
      <c r="G249" t="s">
        <v>10</v>
      </c>
    </row>
    <row r="250" spans="1:7" x14ac:dyDescent="0.3">
      <c r="A250" t="s">
        <v>7</v>
      </c>
      <c r="B250" t="s">
        <v>54</v>
      </c>
      <c r="C250">
        <v>2023</v>
      </c>
      <c r="D250" t="s">
        <v>34</v>
      </c>
      <c r="F250">
        <v>0.14000000000000001</v>
      </c>
      <c r="G250" t="s">
        <v>10</v>
      </c>
    </row>
    <row r="251" spans="1:7" x14ac:dyDescent="0.3">
      <c r="A251" t="s">
        <v>7</v>
      </c>
      <c r="B251" t="s">
        <v>54</v>
      </c>
      <c r="C251">
        <v>2023</v>
      </c>
      <c r="D251" t="s">
        <v>37</v>
      </c>
      <c r="F251">
        <v>0.19489999999999999</v>
      </c>
      <c r="G251" t="s">
        <v>10</v>
      </c>
    </row>
    <row r="252" spans="1:7" x14ac:dyDescent="0.3">
      <c r="A252" t="s">
        <v>7</v>
      </c>
      <c r="B252" t="s">
        <v>54</v>
      </c>
      <c r="C252">
        <v>2024</v>
      </c>
      <c r="D252" t="s">
        <v>40</v>
      </c>
      <c r="F252">
        <v>887000</v>
      </c>
      <c r="G252" t="s">
        <v>10</v>
      </c>
    </row>
    <row r="253" spans="1:7" x14ac:dyDescent="0.3">
      <c r="A253" t="s">
        <v>7</v>
      </c>
      <c r="B253" t="s">
        <v>54</v>
      </c>
      <c r="C253">
        <v>2024</v>
      </c>
      <c r="D253" t="s">
        <v>33</v>
      </c>
      <c r="F253">
        <v>0.86099999999999999</v>
      </c>
      <c r="G253" t="s">
        <v>10</v>
      </c>
    </row>
    <row r="254" spans="1:7" x14ac:dyDescent="0.3">
      <c r="A254" t="s">
        <v>7</v>
      </c>
      <c r="B254" t="s">
        <v>54</v>
      </c>
      <c r="C254">
        <v>2024</v>
      </c>
      <c r="D254" t="s">
        <v>34</v>
      </c>
      <c r="F254">
        <v>0.13900000000000001</v>
      </c>
      <c r="G254" t="s">
        <v>10</v>
      </c>
    </row>
    <row r="255" spans="1:7" x14ac:dyDescent="0.3">
      <c r="A255" t="s">
        <v>7</v>
      </c>
      <c r="B255" t="s">
        <v>55</v>
      </c>
      <c r="C255">
        <v>2022</v>
      </c>
      <c r="D255" t="s">
        <v>31</v>
      </c>
      <c r="F255">
        <v>4</v>
      </c>
      <c r="G255" t="s">
        <v>10</v>
      </c>
    </row>
    <row r="256" spans="1:7" x14ac:dyDescent="0.3">
      <c r="A256" t="s">
        <v>7</v>
      </c>
      <c r="B256" t="s">
        <v>55</v>
      </c>
      <c r="C256">
        <v>2023</v>
      </c>
      <c r="D256" t="s">
        <v>26</v>
      </c>
      <c r="F256">
        <v>126343</v>
      </c>
      <c r="G256" t="s">
        <v>10</v>
      </c>
    </row>
    <row r="257" spans="1:7" x14ac:dyDescent="0.3">
      <c r="A257" t="s">
        <v>7</v>
      </c>
      <c r="B257" t="s">
        <v>55</v>
      </c>
      <c r="C257">
        <v>2023</v>
      </c>
      <c r="D257" t="s">
        <v>32</v>
      </c>
      <c r="F257">
        <v>7834</v>
      </c>
      <c r="G257" t="s">
        <v>10</v>
      </c>
    </row>
    <row r="258" spans="1:7" x14ac:dyDescent="0.3">
      <c r="A258" t="s">
        <v>7</v>
      </c>
      <c r="B258" t="s">
        <v>55</v>
      </c>
      <c r="C258">
        <v>2023</v>
      </c>
      <c r="D258" t="s">
        <v>31</v>
      </c>
      <c r="F258">
        <v>4</v>
      </c>
      <c r="G258" t="s">
        <v>10</v>
      </c>
    </row>
    <row r="259" spans="1:7" x14ac:dyDescent="0.3">
      <c r="A259" t="s">
        <v>7</v>
      </c>
      <c r="B259" t="s">
        <v>55</v>
      </c>
      <c r="C259">
        <v>2023</v>
      </c>
      <c r="D259" t="s">
        <v>40</v>
      </c>
      <c r="F259">
        <v>314528</v>
      </c>
      <c r="G259" t="s">
        <v>10</v>
      </c>
    </row>
    <row r="260" spans="1:7" x14ac:dyDescent="0.3">
      <c r="A260" t="s">
        <v>7</v>
      </c>
      <c r="B260" t="s">
        <v>55</v>
      </c>
      <c r="C260">
        <v>2023</v>
      </c>
      <c r="D260" t="s">
        <v>33</v>
      </c>
      <c r="F260">
        <v>0.56530000000000002</v>
      </c>
      <c r="G260" t="s">
        <v>10</v>
      </c>
    </row>
    <row r="261" spans="1:7" x14ac:dyDescent="0.3">
      <c r="A261" t="s">
        <v>7</v>
      </c>
      <c r="B261" t="s">
        <v>55</v>
      </c>
      <c r="C261">
        <v>2023</v>
      </c>
      <c r="D261" t="s">
        <v>34</v>
      </c>
      <c r="F261">
        <v>0.43469999999999998</v>
      </c>
      <c r="G261" t="s">
        <v>10</v>
      </c>
    </row>
    <row r="262" spans="1:7" x14ac:dyDescent="0.3">
      <c r="A262" t="s">
        <v>7</v>
      </c>
      <c r="B262" t="s">
        <v>55</v>
      </c>
      <c r="C262">
        <v>2024</v>
      </c>
      <c r="D262" t="s">
        <v>30</v>
      </c>
      <c r="F262">
        <v>4</v>
      </c>
      <c r="G262" t="s">
        <v>10</v>
      </c>
    </row>
    <row r="263" spans="1:7" x14ac:dyDescent="0.3">
      <c r="A263" t="s">
        <v>7</v>
      </c>
      <c r="B263" t="s">
        <v>55</v>
      </c>
      <c r="C263">
        <v>2024</v>
      </c>
      <c r="D263" t="s">
        <v>31</v>
      </c>
      <c r="F263">
        <v>4</v>
      </c>
      <c r="G263" t="s">
        <v>10</v>
      </c>
    </row>
    <row r="264" spans="1:7" x14ac:dyDescent="0.3">
      <c r="A264" t="s">
        <v>7</v>
      </c>
      <c r="B264" t="s">
        <v>55</v>
      </c>
      <c r="C264">
        <v>2024</v>
      </c>
      <c r="D264" t="s">
        <v>33</v>
      </c>
      <c r="F264">
        <v>0.57999999999999996</v>
      </c>
      <c r="G264" t="s">
        <v>10</v>
      </c>
    </row>
    <row r="265" spans="1:7" x14ac:dyDescent="0.3">
      <c r="A265" t="s">
        <v>7</v>
      </c>
      <c r="B265" t="s">
        <v>55</v>
      </c>
      <c r="C265">
        <v>2024</v>
      </c>
      <c r="D265" t="s">
        <v>34</v>
      </c>
      <c r="F265">
        <v>0.42</v>
      </c>
      <c r="G265" t="s">
        <v>10</v>
      </c>
    </row>
    <row r="266" spans="1:7" x14ac:dyDescent="0.3">
      <c r="A266" t="s">
        <v>7</v>
      </c>
      <c r="B266" t="s">
        <v>56</v>
      </c>
      <c r="C266">
        <v>2025</v>
      </c>
      <c r="D266" t="s">
        <v>33</v>
      </c>
      <c r="F266">
        <v>0.25829999999999997</v>
      </c>
      <c r="G266" t="s">
        <v>10</v>
      </c>
    </row>
    <row r="267" spans="1:7" x14ac:dyDescent="0.3">
      <c r="A267" t="s">
        <v>7</v>
      </c>
      <c r="B267" t="s">
        <v>56</v>
      </c>
      <c r="C267">
        <v>2025</v>
      </c>
      <c r="D267" t="s">
        <v>34</v>
      </c>
      <c r="F267">
        <v>0.74170000000000003</v>
      </c>
      <c r="G267" t="s">
        <v>10</v>
      </c>
    </row>
    <row r="268" spans="1:7" x14ac:dyDescent="0.3">
      <c r="A268" t="s">
        <v>7</v>
      </c>
      <c r="B268" t="s">
        <v>22</v>
      </c>
      <c r="C268">
        <v>2023</v>
      </c>
      <c r="D268" t="s">
        <v>26</v>
      </c>
      <c r="F268">
        <v>59937</v>
      </c>
      <c r="G268" t="s">
        <v>10</v>
      </c>
    </row>
    <row r="269" spans="1:7" x14ac:dyDescent="0.3">
      <c r="A269" t="s">
        <v>7</v>
      </c>
      <c r="B269" t="s">
        <v>22</v>
      </c>
      <c r="C269">
        <v>2023</v>
      </c>
      <c r="D269" t="s">
        <v>32</v>
      </c>
      <c r="F269">
        <v>560</v>
      </c>
      <c r="G269" t="s">
        <v>10</v>
      </c>
    </row>
    <row r="270" spans="1:7" x14ac:dyDescent="0.3">
      <c r="A270" t="s">
        <v>7</v>
      </c>
      <c r="B270" t="s">
        <v>22</v>
      </c>
      <c r="C270">
        <v>2023</v>
      </c>
      <c r="D270" t="s">
        <v>30</v>
      </c>
      <c r="F270">
        <v>0</v>
      </c>
      <c r="G270" t="s">
        <v>10</v>
      </c>
    </row>
    <row r="271" spans="1:7" x14ac:dyDescent="0.3">
      <c r="A271" t="s">
        <v>7</v>
      </c>
      <c r="B271" t="s">
        <v>22</v>
      </c>
      <c r="C271">
        <v>2023</v>
      </c>
      <c r="D271" t="s">
        <v>31</v>
      </c>
      <c r="F271">
        <v>0</v>
      </c>
      <c r="G271" t="s">
        <v>10</v>
      </c>
    </row>
    <row r="272" spans="1:7" x14ac:dyDescent="0.3">
      <c r="A272" t="s">
        <v>7</v>
      </c>
      <c r="B272" t="s">
        <v>22</v>
      </c>
      <c r="C272">
        <v>2023</v>
      </c>
      <c r="D272" t="s">
        <v>40</v>
      </c>
      <c r="F272">
        <v>196484</v>
      </c>
      <c r="G272" t="s">
        <v>10</v>
      </c>
    </row>
    <row r="273" spans="1:7" x14ac:dyDescent="0.3">
      <c r="A273" t="s">
        <v>7</v>
      </c>
      <c r="B273" t="s">
        <v>22</v>
      </c>
      <c r="C273">
        <v>2023</v>
      </c>
      <c r="D273" t="s">
        <v>33</v>
      </c>
      <c r="F273">
        <v>1</v>
      </c>
      <c r="G273" t="s">
        <v>10</v>
      </c>
    </row>
    <row r="274" spans="1:7" x14ac:dyDescent="0.3">
      <c r="A274" t="s">
        <v>7</v>
      </c>
      <c r="B274" t="s">
        <v>22</v>
      </c>
      <c r="C274">
        <v>2023</v>
      </c>
      <c r="D274" t="s">
        <v>34</v>
      </c>
      <c r="F274">
        <v>0</v>
      </c>
      <c r="G274" t="s">
        <v>10</v>
      </c>
    </row>
    <row r="275" spans="1:7" x14ac:dyDescent="0.3">
      <c r="A275" t="s">
        <v>7</v>
      </c>
      <c r="B275" t="s">
        <v>22</v>
      </c>
      <c r="C275">
        <v>2024</v>
      </c>
      <c r="D275" t="s">
        <v>26</v>
      </c>
      <c r="F275">
        <v>59165</v>
      </c>
      <c r="G275" t="s">
        <v>10</v>
      </c>
    </row>
    <row r="276" spans="1:7" x14ac:dyDescent="0.3">
      <c r="A276" t="s">
        <v>7</v>
      </c>
      <c r="B276" t="s">
        <v>22</v>
      </c>
      <c r="C276">
        <v>2024</v>
      </c>
      <c r="D276" t="s">
        <v>32</v>
      </c>
      <c r="F276">
        <v>260</v>
      </c>
      <c r="G276" t="s">
        <v>10</v>
      </c>
    </row>
    <row r="277" spans="1:7" x14ac:dyDescent="0.3">
      <c r="A277" t="s">
        <v>7</v>
      </c>
      <c r="B277" t="s">
        <v>22</v>
      </c>
      <c r="C277">
        <v>2024</v>
      </c>
      <c r="D277" t="s">
        <v>31</v>
      </c>
      <c r="F277">
        <v>0</v>
      </c>
      <c r="G277" t="s">
        <v>10</v>
      </c>
    </row>
    <row r="278" spans="1:7" x14ac:dyDescent="0.3">
      <c r="A278" t="s">
        <v>7</v>
      </c>
      <c r="B278" t="s">
        <v>22</v>
      </c>
      <c r="C278">
        <v>2024</v>
      </c>
      <c r="D278" t="s">
        <v>40</v>
      </c>
      <c r="F278">
        <v>162383</v>
      </c>
      <c r="G278" t="s">
        <v>10</v>
      </c>
    </row>
    <row r="279" spans="1:7" x14ac:dyDescent="0.3">
      <c r="A279" t="s">
        <v>7</v>
      </c>
      <c r="B279" t="s">
        <v>22</v>
      </c>
      <c r="C279">
        <v>2024</v>
      </c>
      <c r="D279" t="s">
        <v>33</v>
      </c>
      <c r="F279">
        <v>1</v>
      </c>
      <c r="G279" t="s">
        <v>10</v>
      </c>
    </row>
    <row r="280" spans="1:7" x14ac:dyDescent="0.3">
      <c r="A280" t="s">
        <v>7</v>
      </c>
      <c r="B280" t="s">
        <v>22</v>
      </c>
      <c r="C280">
        <v>2024</v>
      </c>
      <c r="D280" t="s">
        <v>34</v>
      </c>
      <c r="F280">
        <v>0</v>
      </c>
      <c r="G280" t="s">
        <v>10</v>
      </c>
    </row>
    <row r="281" spans="1:7" x14ac:dyDescent="0.3">
      <c r="A281" t="s">
        <v>7</v>
      </c>
      <c r="B281" t="s">
        <v>22</v>
      </c>
      <c r="C281">
        <v>2025</v>
      </c>
      <c r="D281" t="s">
        <v>26</v>
      </c>
      <c r="F281">
        <v>63975</v>
      </c>
      <c r="G281" t="s">
        <v>10</v>
      </c>
    </row>
    <row r="282" spans="1:7" x14ac:dyDescent="0.3">
      <c r="A282" t="s">
        <v>7</v>
      </c>
      <c r="B282" t="s">
        <v>22</v>
      </c>
      <c r="C282">
        <v>2025</v>
      </c>
      <c r="D282" t="s">
        <v>32</v>
      </c>
      <c r="F282">
        <v>455</v>
      </c>
      <c r="G282" t="s">
        <v>10</v>
      </c>
    </row>
    <row r="283" spans="1:7" x14ac:dyDescent="0.3">
      <c r="A283" t="s">
        <v>7</v>
      </c>
      <c r="B283" t="s">
        <v>22</v>
      </c>
      <c r="C283">
        <v>2025</v>
      </c>
      <c r="D283" t="s">
        <v>31</v>
      </c>
      <c r="F283">
        <v>0</v>
      </c>
      <c r="G283" t="s">
        <v>10</v>
      </c>
    </row>
    <row r="284" spans="1:7" x14ac:dyDescent="0.3">
      <c r="A284" t="s">
        <v>7</v>
      </c>
      <c r="B284" t="s">
        <v>22</v>
      </c>
      <c r="C284">
        <v>2025</v>
      </c>
      <c r="D284" t="s">
        <v>40</v>
      </c>
      <c r="F284">
        <v>192405</v>
      </c>
      <c r="G284" t="s">
        <v>10</v>
      </c>
    </row>
    <row r="285" spans="1:7" x14ac:dyDescent="0.3">
      <c r="A285" t="s">
        <v>7</v>
      </c>
      <c r="B285" t="s">
        <v>22</v>
      </c>
      <c r="C285">
        <v>2025</v>
      </c>
      <c r="D285" t="s">
        <v>33</v>
      </c>
      <c r="F285">
        <v>1</v>
      </c>
      <c r="G285" t="s">
        <v>10</v>
      </c>
    </row>
    <row r="286" spans="1:7" x14ac:dyDescent="0.3">
      <c r="A286" t="s">
        <v>7</v>
      </c>
      <c r="B286" t="s">
        <v>22</v>
      </c>
      <c r="C286">
        <v>2025</v>
      </c>
      <c r="D286" t="s">
        <v>34</v>
      </c>
      <c r="F286">
        <v>0</v>
      </c>
      <c r="G286" t="s">
        <v>10</v>
      </c>
    </row>
    <row r="287" spans="1:7" x14ac:dyDescent="0.3">
      <c r="A287" t="s">
        <v>7</v>
      </c>
      <c r="B287" t="s">
        <v>23</v>
      </c>
      <c r="C287">
        <v>2022</v>
      </c>
      <c r="D287" t="s">
        <v>33</v>
      </c>
      <c r="F287">
        <v>0.69340000000000002</v>
      </c>
      <c r="G287" t="s">
        <v>10</v>
      </c>
    </row>
    <row r="288" spans="1:7" x14ac:dyDescent="0.3">
      <c r="A288" t="s">
        <v>7</v>
      </c>
      <c r="B288" t="s">
        <v>23</v>
      </c>
      <c r="C288">
        <v>2022</v>
      </c>
      <c r="D288" t="s">
        <v>34</v>
      </c>
      <c r="F288">
        <v>0.30659999999999998</v>
      </c>
      <c r="G288" t="s">
        <v>10</v>
      </c>
    </row>
    <row r="289" spans="1:7" x14ac:dyDescent="0.3">
      <c r="A289" t="s">
        <v>7</v>
      </c>
      <c r="B289" t="s">
        <v>23</v>
      </c>
      <c r="C289">
        <v>2023</v>
      </c>
      <c r="D289" t="s">
        <v>33</v>
      </c>
      <c r="F289">
        <v>0.93689999999999996</v>
      </c>
      <c r="G289" t="s">
        <v>10</v>
      </c>
    </row>
    <row r="290" spans="1:7" x14ac:dyDescent="0.3">
      <c r="A290" t="s">
        <v>7</v>
      </c>
      <c r="B290" t="s">
        <v>23</v>
      </c>
      <c r="C290">
        <v>2023</v>
      </c>
      <c r="D290" t="s">
        <v>34</v>
      </c>
      <c r="F290">
        <v>6.3100000000000003E-2</v>
      </c>
      <c r="G290" t="s">
        <v>10</v>
      </c>
    </row>
    <row r="291" spans="1:7" x14ac:dyDescent="0.3">
      <c r="A291" t="s">
        <v>7</v>
      </c>
      <c r="B291" t="s">
        <v>23</v>
      </c>
      <c r="C291">
        <v>2024</v>
      </c>
      <c r="D291" t="s">
        <v>33</v>
      </c>
      <c r="F291">
        <v>0.9738</v>
      </c>
      <c r="G291" t="s">
        <v>10</v>
      </c>
    </row>
    <row r="292" spans="1:7" x14ac:dyDescent="0.3">
      <c r="A292" t="s">
        <v>7</v>
      </c>
      <c r="B292" t="s">
        <v>23</v>
      </c>
      <c r="C292">
        <v>2024</v>
      </c>
      <c r="D292" t="s">
        <v>34</v>
      </c>
      <c r="F292">
        <v>2.6200000000000001E-2</v>
      </c>
      <c r="G292" t="s">
        <v>10</v>
      </c>
    </row>
    <row r="293" spans="1:7" x14ac:dyDescent="0.3">
      <c r="A293" t="s">
        <v>7</v>
      </c>
      <c r="B293" t="s">
        <v>56</v>
      </c>
      <c r="C293">
        <v>2023</v>
      </c>
      <c r="D293" t="s">
        <v>57</v>
      </c>
      <c r="E293">
        <v>344</v>
      </c>
      <c r="F293">
        <v>518</v>
      </c>
      <c r="G293" t="s">
        <v>58</v>
      </c>
    </row>
    <row r="294" spans="1:7" x14ac:dyDescent="0.3">
      <c r="A294" t="s">
        <v>7</v>
      </c>
      <c r="B294" t="s">
        <v>56</v>
      </c>
      <c r="C294">
        <v>2025</v>
      </c>
      <c r="D294" t="s">
        <v>57</v>
      </c>
      <c r="E294">
        <v>1393</v>
      </c>
      <c r="F294">
        <v>1203</v>
      </c>
      <c r="G294" t="s">
        <v>59</v>
      </c>
    </row>
    <row r="295" spans="1:7" x14ac:dyDescent="0.3">
      <c r="A295" t="s">
        <v>7</v>
      </c>
      <c r="B295" t="s">
        <v>48</v>
      </c>
      <c r="C295">
        <v>2022</v>
      </c>
      <c r="D295" t="s">
        <v>60</v>
      </c>
      <c r="E295">
        <v>111240</v>
      </c>
      <c r="F295">
        <v>146304</v>
      </c>
      <c r="G295" t="s">
        <v>61</v>
      </c>
    </row>
    <row r="296" spans="1:7" x14ac:dyDescent="0.3">
      <c r="A296" t="s">
        <v>7</v>
      </c>
      <c r="B296" t="s">
        <v>48</v>
      </c>
      <c r="C296">
        <v>2022</v>
      </c>
      <c r="D296" t="s">
        <v>62</v>
      </c>
      <c r="E296">
        <v>1417000</v>
      </c>
      <c r="F296">
        <v>1174000</v>
      </c>
      <c r="G296" t="s">
        <v>63</v>
      </c>
    </row>
    <row r="297" spans="1:7" x14ac:dyDescent="0.3">
      <c r="A297" t="s">
        <v>7</v>
      </c>
      <c r="B297" t="s">
        <v>48</v>
      </c>
      <c r="C297">
        <v>2023</v>
      </c>
      <c r="D297" t="s">
        <v>60</v>
      </c>
      <c r="E297">
        <v>111940</v>
      </c>
      <c r="F297">
        <v>147357</v>
      </c>
      <c r="G297" t="s">
        <v>64</v>
      </c>
    </row>
    <row r="298" spans="1:7" x14ac:dyDescent="0.3">
      <c r="A298" t="s">
        <v>7</v>
      </c>
      <c r="B298" t="s">
        <v>48</v>
      </c>
      <c r="C298">
        <v>2023</v>
      </c>
      <c r="D298" t="s">
        <v>62</v>
      </c>
      <c r="E298">
        <v>1377000</v>
      </c>
      <c r="F298">
        <v>1177000</v>
      </c>
      <c r="G298" t="s">
        <v>65</v>
      </c>
    </row>
    <row r="299" spans="1:7" x14ac:dyDescent="0.3">
      <c r="A299" t="s">
        <v>7</v>
      </c>
      <c r="B299" t="s">
        <v>48</v>
      </c>
      <c r="C299">
        <v>2024</v>
      </c>
      <c r="D299" t="s">
        <v>60</v>
      </c>
      <c r="E299">
        <v>111367</v>
      </c>
      <c r="F299">
        <v>147146</v>
      </c>
      <c r="G299" t="s">
        <v>66</v>
      </c>
    </row>
    <row r="300" spans="1:7" x14ac:dyDescent="0.3">
      <c r="A300" t="s">
        <v>7</v>
      </c>
      <c r="B300" t="s">
        <v>48</v>
      </c>
      <c r="C300">
        <v>2024</v>
      </c>
      <c r="D300" t="s">
        <v>67</v>
      </c>
      <c r="E300">
        <v>103036</v>
      </c>
      <c r="F300">
        <v>84941</v>
      </c>
      <c r="G300" t="s">
        <v>68</v>
      </c>
    </row>
    <row r="301" spans="1:7" x14ac:dyDescent="0.3">
      <c r="A301" t="s">
        <v>7</v>
      </c>
      <c r="B301" t="s">
        <v>48</v>
      </c>
      <c r="C301">
        <v>2024</v>
      </c>
      <c r="D301" t="s">
        <v>69</v>
      </c>
      <c r="E301">
        <v>8331</v>
      </c>
      <c r="F301">
        <v>6211</v>
      </c>
      <c r="G301" t="s">
        <v>70</v>
      </c>
    </row>
    <row r="302" spans="1:7" x14ac:dyDescent="0.3">
      <c r="A302" t="s">
        <v>7</v>
      </c>
      <c r="B302" t="s">
        <v>48</v>
      </c>
      <c r="C302">
        <v>2024</v>
      </c>
      <c r="D302" t="s">
        <v>62</v>
      </c>
      <c r="E302">
        <v>1345000</v>
      </c>
      <c r="F302">
        <v>1173000</v>
      </c>
      <c r="G302" t="s">
        <v>71</v>
      </c>
    </row>
    <row r="303" spans="1:7" x14ac:dyDescent="0.3">
      <c r="A303" t="s">
        <v>7</v>
      </c>
      <c r="B303" t="s">
        <v>53</v>
      </c>
      <c r="C303">
        <v>2022</v>
      </c>
      <c r="D303" t="s">
        <v>60</v>
      </c>
      <c r="E303">
        <v>168142</v>
      </c>
      <c r="F303">
        <v>132660</v>
      </c>
      <c r="G303" t="s">
        <v>72</v>
      </c>
    </row>
    <row r="304" spans="1:7" x14ac:dyDescent="0.3">
      <c r="A304" t="s">
        <v>7</v>
      </c>
      <c r="B304" t="s">
        <v>53</v>
      </c>
      <c r="C304">
        <v>2022</v>
      </c>
      <c r="D304" t="s">
        <v>73</v>
      </c>
      <c r="E304">
        <v>117461</v>
      </c>
      <c r="F304">
        <v>82973</v>
      </c>
      <c r="G304" t="s">
        <v>74</v>
      </c>
    </row>
    <row r="305" spans="1:7" x14ac:dyDescent="0.3">
      <c r="A305" t="s">
        <v>7</v>
      </c>
      <c r="B305" t="s">
        <v>53</v>
      </c>
      <c r="C305">
        <v>2022</v>
      </c>
      <c r="D305" t="s">
        <v>75</v>
      </c>
      <c r="E305">
        <v>14</v>
      </c>
      <c r="F305">
        <v>15.12</v>
      </c>
      <c r="G305" t="s">
        <v>76</v>
      </c>
    </row>
    <row r="306" spans="1:7" x14ac:dyDescent="0.3">
      <c r="A306" t="s">
        <v>7</v>
      </c>
      <c r="B306" t="s">
        <v>53</v>
      </c>
      <c r="C306">
        <v>2022</v>
      </c>
      <c r="D306" t="s">
        <v>62</v>
      </c>
      <c r="E306">
        <v>1862586</v>
      </c>
      <c r="F306">
        <v>1242866</v>
      </c>
      <c r="G306" t="s">
        <v>77</v>
      </c>
    </row>
    <row r="307" spans="1:7" x14ac:dyDescent="0.3">
      <c r="A307" t="s">
        <v>7</v>
      </c>
      <c r="B307" t="s">
        <v>53</v>
      </c>
      <c r="C307">
        <v>2023</v>
      </c>
      <c r="D307" t="s">
        <v>60</v>
      </c>
      <c r="E307">
        <v>167637</v>
      </c>
      <c r="F307">
        <v>132162</v>
      </c>
      <c r="G307" t="s">
        <v>78</v>
      </c>
    </row>
    <row r="308" spans="1:7" x14ac:dyDescent="0.3">
      <c r="A308" t="s">
        <v>7</v>
      </c>
      <c r="B308" t="s">
        <v>53</v>
      </c>
      <c r="C308">
        <v>2023</v>
      </c>
      <c r="D308" t="s">
        <v>73</v>
      </c>
      <c r="E308">
        <v>117598</v>
      </c>
      <c r="F308">
        <v>82123</v>
      </c>
      <c r="G308" t="s">
        <v>79</v>
      </c>
    </row>
    <row r="309" spans="1:7" x14ac:dyDescent="0.3">
      <c r="A309" t="s">
        <v>7</v>
      </c>
      <c r="B309" t="s">
        <v>53</v>
      </c>
      <c r="C309">
        <v>2023</v>
      </c>
      <c r="D309" t="s">
        <v>62</v>
      </c>
      <c r="E309">
        <v>1900174</v>
      </c>
      <c r="F309">
        <v>1259629</v>
      </c>
      <c r="G309" t="s">
        <v>80</v>
      </c>
    </row>
    <row r="310" spans="1:7" x14ac:dyDescent="0.3">
      <c r="A310" t="s">
        <v>7</v>
      </c>
      <c r="B310" t="s">
        <v>53</v>
      </c>
      <c r="C310">
        <v>2024</v>
      </c>
      <c r="D310" t="s">
        <v>60</v>
      </c>
      <c r="E310">
        <v>164721</v>
      </c>
      <c r="F310">
        <v>128290</v>
      </c>
      <c r="G310" t="s">
        <v>81</v>
      </c>
    </row>
    <row r="311" spans="1:7" x14ac:dyDescent="0.3">
      <c r="A311" t="s">
        <v>7</v>
      </c>
      <c r="B311" t="s">
        <v>53</v>
      </c>
      <c r="C311">
        <v>2024</v>
      </c>
      <c r="D311" t="s">
        <v>73</v>
      </c>
      <c r="E311">
        <v>118164</v>
      </c>
      <c r="F311">
        <v>81733</v>
      </c>
      <c r="G311" t="s">
        <v>82</v>
      </c>
    </row>
    <row r="312" spans="1:7" x14ac:dyDescent="0.3">
      <c r="A312" t="s">
        <v>7</v>
      </c>
      <c r="B312" t="s">
        <v>53</v>
      </c>
      <c r="C312">
        <v>2024</v>
      </c>
      <c r="D312" t="s">
        <v>62</v>
      </c>
      <c r="E312">
        <v>1726376</v>
      </c>
      <c r="F312">
        <v>1167927</v>
      </c>
      <c r="G312" t="s">
        <v>83</v>
      </c>
    </row>
    <row r="313" spans="1:7" x14ac:dyDescent="0.3">
      <c r="A313" t="s">
        <v>7</v>
      </c>
      <c r="B313" t="s">
        <v>54</v>
      </c>
      <c r="C313">
        <v>2022</v>
      </c>
      <c r="D313" t="s">
        <v>60</v>
      </c>
      <c r="E313">
        <v>294488</v>
      </c>
      <c r="F313">
        <v>385039</v>
      </c>
      <c r="G313" t="s">
        <v>84</v>
      </c>
    </row>
    <row r="314" spans="1:7" x14ac:dyDescent="0.3">
      <c r="A314" t="s">
        <v>7</v>
      </c>
      <c r="B314" t="s">
        <v>54</v>
      </c>
      <c r="C314">
        <v>2022</v>
      </c>
      <c r="D314" t="s">
        <v>73</v>
      </c>
      <c r="E314">
        <v>294488</v>
      </c>
      <c r="F314">
        <v>244768</v>
      </c>
      <c r="G314" t="s">
        <v>85</v>
      </c>
    </row>
    <row r="315" spans="1:7" x14ac:dyDescent="0.3">
      <c r="A315" t="s">
        <v>7</v>
      </c>
      <c r="B315" t="s">
        <v>54</v>
      </c>
      <c r="C315">
        <v>2022</v>
      </c>
      <c r="D315" t="s">
        <v>67</v>
      </c>
      <c r="E315">
        <v>248538</v>
      </c>
      <c r="F315">
        <v>218064</v>
      </c>
      <c r="G315" t="s">
        <v>86</v>
      </c>
    </row>
    <row r="316" spans="1:7" x14ac:dyDescent="0.3">
      <c r="A316" t="s">
        <v>7</v>
      </c>
      <c r="B316" t="s">
        <v>54</v>
      </c>
      <c r="C316">
        <v>2022</v>
      </c>
      <c r="D316" t="s">
        <v>69</v>
      </c>
      <c r="E316">
        <v>31894</v>
      </c>
      <c r="F316">
        <v>26704</v>
      </c>
      <c r="G316" t="s">
        <v>87</v>
      </c>
    </row>
    <row r="317" spans="1:7" x14ac:dyDescent="0.3">
      <c r="A317" t="s">
        <v>7</v>
      </c>
      <c r="B317" t="s">
        <v>54</v>
      </c>
      <c r="C317">
        <v>2022</v>
      </c>
      <c r="D317" t="s">
        <v>62</v>
      </c>
      <c r="E317">
        <v>3741000</v>
      </c>
      <c r="F317">
        <v>2812000</v>
      </c>
      <c r="G317" t="s">
        <v>88</v>
      </c>
    </row>
    <row r="318" spans="1:7" x14ac:dyDescent="0.3">
      <c r="A318" t="s">
        <v>7</v>
      </c>
      <c r="B318" t="s">
        <v>54</v>
      </c>
      <c r="C318">
        <v>2023</v>
      </c>
      <c r="D318" t="s">
        <v>60</v>
      </c>
      <c r="E318">
        <v>293429</v>
      </c>
      <c r="F318">
        <v>335204</v>
      </c>
      <c r="G318" t="s">
        <v>89</v>
      </c>
    </row>
    <row r="319" spans="1:7" x14ac:dyDescent="0.3">
      <c r="A319" t="s">
        <v>7</v>
      </c>
      <c r="B319" t="s">
        <v>54</v>
      </c>
      <c r="C319">
        <v>2023</v>
      </c>
      <c r="D319" t="s">
        <v>73</v>
      </c>
      <c r="E319">
        <v>293429</v>
      </c>
      <c r="F319">
        <v>244337</v>
      </c>
      <c r="G319" t="s">
        <v>90</v>
      </c>
    </row>
    <row r="320" spans="1:7" x14ac:dyDescent="0.3">
      <c r="A320" t="s">
        <v>7</v>
      </c>
      <c r="B320" t="s">
        <v>54</v>
      </c>
      <c r="C320">
        <v>2023</v>
      </c>
      <c r="D320" t="s">
        <v>67</v>
      </c>
      <c r="E320">
        <v>250978</v>
      </c>
      <c r="F320">
        <v>220531</v>
      </c>
      <c r="G320" t="s">
        <v>91</v>
      </c>
    </row>
    <row r="321" spans="1:7" x14ac:dyDescent="0.3">
      <c r="A321" t="s">
        <v>7</v>
      </c>
      <c r="B321" t="s">
        <v>54</v>
      </c>
      <c r="C321">
        <v>2023</v>
      </c>
      <c r="D321" t="s">
        <v>69</v>
      </c>
      <c r="E321">
        <v>29067</v>
      </c>
      <c r="F321">
        <v>23806</v>
      </c>
      <c r="G321" t="s">
        <v>92</v>
      </c>
    </row>
    <row r="322" spans="1:7" x14ac:dyDescent="0.3">
      <c r="A322" t="s">
        <v>7</v>
      </c>
      <c r="B322" t="s">
        <v>54</v>
      </c>
      <c r="C322">
        <v>2023</v>
      </c>
      <c r="D322" t="s">
        <v>62</v>
      </c>
      <c r="E322">
        <v>3632000</v>
      </c>
      <c r="F322">
        <v>2784000</v>
      </c>
      <c r="G322" t="s">
        <v>93</v>
      </c>
    </row>
    <row r="323" spans="1:7" x14ac:dyDescent="0.3">
      <c r="A323" t="s">
        <v>7</v>
      </c>
      <c r="B323" t="s">
        <v>54</v>
      </c>
      <c r="C323">
        <v>2024</v>
      </c>
      <c r="D323" t="s">
        <v>60</v>
      </c>
      <c r="E323">
        <v>288649</v>
      </c>
      <c r="F323">
        <v>332731</v>
      </c>
      <c r="G323" t="s">
        <v>94</v>
      </c>
    </row>
    <row r="324" spans="1:7" x14ac:dyDescent="0.3">
      <c r="A324" t="s">
        <v>7</v>
      </c>
      <c r="B324" t="s">
        <v>54</v>
      </c>
      <c r="C324">
        <v>2024</v>
      </c>
      <c r="D324" t="s">
        <v>73</v>
      </c>
      <c r="E324">
        <v>288649</v>
      </c>
      <c r="F324">
        <v>241208</v>
      </c>
      <c r="G324" t="s">
        <v>95</v>
      </c>
    </row>
    <row r="325" spans="1:7" x14ac:dyDescent="0.3">
      <c r="A325" t="s">
        <v>7</v>
      </c>
      <c r="B325" t="s">
        <v>54</v>
      </c>
      <c r="C325">
        <v>2024</v>
      </c>
      <c r="D325" t="s">
        <v>67</v>
      </c>
      <c r="E325">
        <v>249644</v>
      </c>
      <c r="F325">
        <v>220318</v>
      </c>
      <c r="G325" t="s">
        <v>96</v>
      </c>
    </row>
    <row r="326" spans="1:7" x14ac:dyDescent="0.3">
      <c r="A326" t="s">
        <v>7</v>
      </c>
      <c r="B326" t="s">
        <v>54</v>
      </c>
      <c r="C326">
        <v>2024</v>
      </c>
      <c r="D326" t="s">
        <v>69</v>
      </c>
      <c r="E326">
        <v>25422</v>
      </c>
      <c r="F326">
        <v>20890</v>
      </c>
      <c r="G326" t="s">
        <v>97</v>
      </c>
    </row>
    <row r="327" spans="1:7" x14ac:dyDescent="0.3">
      <c r="A327" t="s">
        <v>7</v>
      </c>
      <c r="B327" t="s">
        <v>54</v>
      </c>
      <c r="C327">
        <v>2024</v>
      </c>
      <c r="D327" t="s">
        <v>62</v>
      </c>
      <c r="E327">
        <v>3645000</v>
      </c>
      <c r="F327">
        <v>2758000</v>
      </c>
      <c r="G327" t="s">
        <v>98</v>
      </c>
    </row>
    <row r="328" spans="1:7" x14ac:dyDescent="0.3">
      <c r="A328" t="s">
        <v>7</v>
      </c>
      <c r="B328" t="s">
        <v>56</v>
      </c>
      <c r="C328">
        <v>2023</v>
      </c>
      <c r="D328" t="s">
        <v>60</v>
      </c>
      <c r="E328">
        <v>115880</v>
      </c>
      <c r="F328">
        <v>82465.72</v>
      </c>
      <c r="G328" t="s">
        <v>99</v>
      </c>
    </row>
    <row r="329" spans="1:7" x14ac:dyDescent="0.3">
      <c r="A329" t="s">
        <v>7</v>
      </c>
      <c r="B329" t="s">
        <v>56</v>
      </c>
      <c r="C329">
        <v>2023</v>
      </c>
      <c r="D329" t="s">
        <v>73</v>
      </c>
      <c r="E329">
        <v>93534</v>
      </c>
      <c r="F329">
        <v>69167.06</v>
      </c>
      <c r="G329" t="s">
        <v>100</v>
      </c>
    </row>
    <row r="330" spans="1:7" x14ac:dyDescent="0.3">
      <c r="A330" t="s">
        <v>7</v>
      </c>
      <c r="B330" t="s">
        <v>56</v>
      </c>
      <c r="C330">
        <v>2023</v>
      </c>
      <c r="D330" t="s">
        <v>101</v>
      </c>
      <c r="E330">
        <v>22346</v>
      </c>
      <c r="F330">
        <v>13238.67</v>
      </c>
      <c r="G330" t="s">
        <v>102</v>
      </c>
    </row>
    <row r="331" spans="1:7" x14ac:dyDescent="0.3">
      <c r="A331" t="s">
        <v>7</v>
      </c>
      <c r="B331" t="s">
        <v>56</v>
      </c>
      <c r="C331">
        <v>2023</v>
      </c>
      <c r="D331" t="s">
        <v>62</v>
      </c>
      <c r="E331">
        <v>2388459</v>
      </c>
      <c r="F331">
        <v>1723170</v>
      </c>
      <c r="G331" t="s">
        <v>103</v>
      </c>
    </row>
    <row r="332" spans="1:7" x14ac:dyDescent="0.3">
      <c r="A332" t="s">
        <v>7</v>
      </c>
      <c r="B332" t="s">
        <v>56</v>
      </c>
      <c r="C332">
        <v>2024</v>
      </c>
      <c r="D332" t="s">
        <v>62</v>
      </c>
      <c r="E332">
        <v>2185514</v>
      </c>
      <c r="F332">
        <v>1562446</v>
      </c>
      <c r="G332" t="s">
        <v>104</v>
      </c>
    </row>
    <row r="333" spans="1:7" x14ac:dyDescent="0.3">
      <c r="A333" t="s">
        <v>7</v>
      </c>
      <c r="B333" t="s">
        <v>56</v>
      </c>
      <c r="C333">
        <v>2025</v>
      </c>
      <c r="D333" t="s">
        <v>62</v>
      </c>
      <c r="E333">
        <v>2403164</v>
      </c>
      <c r="F333">
        <v>1628452</v>
      </c>
      <c r="G333" t="s">
        <v>105</v>
      </c>
    </row>
    <row r="334" spans="1:7" x14ac:dyDescent="0.3">
      <c r="A334" t="s">
        <v>7</v>
      </c>
      <c r="B334" t="s">
        <v>106</v>
      </c>
      <c r="C334">
        <v>2023</v>
      </c>
      <c r="D334" t="s">
        <v>67</v>
      </c>
      <c r="E334">
        <v>129221</v>
      </c>
      <c r="F334">
        <v>150281</v>
      </c>
      <c r="G334" t="s">
        <v>107</v>
      </c>
    </row>
    <row r="335" spans="1:7" x14ac:dyDescent="0.3">
      <c r="A335" t="s">
        <v>7</v>
      </c>
      <c r="B335" t="s">
        <v>106</v>
      </c>
      <c r="C335">
        <v>2023</v>
      </c>
      <c r="D335" t="s">
        <v>69</v>
      </c>
      <c r="E335">
        <v>7164</v>
      </c>
      <c r="F335">
        <v>10263</v>
      </c>
      <c r="G335" t="s">
        <v>108</v>
      </c>
    </row>
    <row r="336" spans="1:7" x14ac:dyDescent="0.3">
      <c r="A336" t="s">
        <v>7</v>
      </c>
      <c r="B336" t="s">
        <v>106</v>
      </c>
      <c r="C336">
        <v>2023</v>
      </c>
      <c r="D336" t="s">
        <v>62</v>
      </c>
      <c r="E336">
        <v>3399000</v>
      </c>
      <c r="F336">
        <v>3050000</v>
      </c>
      <c r="G336" t="s">
        <v>109</v>
      </c>
    </row>
    <row r="337" spans="1:7" x14ac:dyDescent="0.3">
      <c r="A337" t="s">
        <v>7</v>
      </c>
      <c r="B337" t="s">
        <v>106</v>
      </c>
      <c r="C337">
        <v>2024</v>
      </c>
      <c r="D337" t="s">
        <v>67</v>
      </c>
      <c r="E337">
        <v>128178</v>
      </c>
      <c r="F337">
        <v>150149</v>
      </c>
      <c r="G337" t="s">
        <v>110</v>
      </c>
    </row>
    <row r="338" spans="1:7" x14ac:dyDescent="0.3">
      <c r="A338" t="s">
        <v>7</v>
      </c>
      <c r="B338" t="s">
        <v>106</v>
      </c>
      <c r="C338">
        <v>2024</v>
      </c>
      <c r="D338" t="s">
        <v>69</v>
      </c>
      <c r="E338">
        <v>7416</v>
      </c>
      <c r="F338">
        <v>10649</v>
      </c>
      <c r="G338" t="s">
        <v>111</v>
      </c>
    </row>
    <row r="339" spans="1:7" x14ac:dyDescent="0.3">
      <c r="A339" t="s">
        <v>7</v>
      </c>
      <c r="B339" t="s">
        <v>106</v>
      </c>
      <c r="C339">
        <v>2024</v>
      </c>
      <c r="D339" t="s">
        <v>62</v>
      </c>
      <c r="E339">
        <v>3276000</v>
      </c>
      <c r="F339">
        <v>2946000</v>
      </c>
      <c r="G339" t="s">
        <v>112</v>
      </c>
    </row>
    <row r="340" spans="1:7" x14ac:dyDescent="0.3">
      <c r="A340" t="s">
        <v>7</v>
      </c>
      <c r="B340" t="s">
        <v>106</v>
      </c>
      <c r="C340">
        <v>2025</v>
      </c>
      <c r="D340" t="s">
        <v>67</v>
      </c>
      <c r="E340">
        <v>125201</v>
      </c>
      <c r="F340">
        <v>148648</v>
      </c>
      <c r="G340" t="s">
        <v>113</v>
      </c>
    </row>
    <row r="341" spans="1:7" x14ac:dyDescent="0.3">
      <c r="A341" t="s">
        <v>7</v>
      </c>
      <c r="B341" t="s">
        <v>106</v>
      </c>
      <c r="C341">
        <v>2025</v>
      </c>
      <c r="D341" t="s">
        <v>69</v>
      </c>
      <c r="E341">
        <v>7613</v>
      </c>
      <c r="F341">
        <v>11059</v>
      </c>
      <c r="G341" t="s">
        <v>114</v>
      </c>
    </row>
    <row r="342" spans="1:7" x14ac:dyDescent="0.3">
      <c r="A342" t="s">
        <v>7</v>
      </c>
      <c r="B342" t="s">
        <v>106</v>
      </c>
      <c r="C342">
        <v>2025</v>
      </c>
      <c r="D342" t="s">
        <v>62</v>
      </c>
      <c r="E342">
        <v>3425000</v>
      </c>
      <c r="F342">
        <v>3040000</v>
      </c>
      <c r="G342" t="s">
        <v>115</v>
      </c>
    </row>
    <row r="343" spans="1:7" x14ac:dyDescent="0.3">
      <c r="A343" t="s">
        <v>7</v>
      </c>
      <c r="B343" t="s">
        <v>56</v>
      </c>
      <c r="C343">
        <v>2023</v>
      </c>
      <c r="D343" t="s">
        <v>57</v>
      </c>
      <c r="E343">
        <v>518</v>
      </c>
      <c r="F343">
        <v>344</v>
      </c>
      <c r="G343" t="s">
        <v>116</v>
      </c>
    </row>
    <row r="344" spans="1:7" x14ac:dyDescent="0.3">
      <c r="A344" t="s">
        <v>7</v>
      </c>
      <c r="B344" t="s">
        <v>56</v>
      </c>
      <c r="C344">
        <v>2025</v>
      </c>
      <c r="D344" t="s">
        <v>57</v>
      </c>
      <c r="E344">
        <v>1203</v>
      </c>
      <c r="F344">
        <v>1393</v>
      </c>
      <c r="G344" t="s">
        <v>116</v>
      </c>
    </row>
    <row r="345" spans="1:7" x14ac:dyDescent="0.3">
      <c r="A345" t="s">
        <v>7</v>
      </c>
      <c r="B345" t="s">
        <v>48</v>
      </c>
      <c r="C345">
        <v>2022</v>
      </c>
      <c r="D345" t="s">
        <v>60</v>
      </c>
      <c r="E345">
        <v>146304</v>
      </c>
      <c r="F345">
        <v>111240</v>
      </c>
      <c r="G345" t="s">
        <v>116</v>
      </c>
    </row>
    <row r="346" spans="1:7" x14ac:dyDescent="0.3">
      <c r="A346" t="s">
        <v>7</v>
      </c>
      <c r="B346" t="s">
        <v>48</v>
      </c>
      <c r="C346">
        <v>2022</v>
      </c>
      <c r="D346" t="s">
        <v>62</v>
      </c>
      <c r="E346">
        <v>1174000</v>
      </c>
      <c r="F346">
        <v>1417000</v>
      </c>
      <c r="G346" t="s">
        <v>116</v>
      </c>
    </row>
    <row r="347" spans="1:7" x14ac:dyDescent="0.3">
      <c r="A347" t="s">
        <v>7</v>
      </c>
      <c r="B347" t="s">
        <v>48</v>
      </c>
      <c r="C347">
        <v>2023</v>
      </c>
      <c r="D347" t="s">
        <v>60</v>
      </c>
      <c r="E347">
        <v>147357</v>
      </c>
      <c r="F347">
        <v>111940</v>
      </c>
      <c r="G347" t="s">
        <v>116</v>
      </c>
    </row>
    <row r="348" spans="1:7" x14ac:dyDescent="0.3">
      <c r="A348" t="s">
        <v>7</v>
      </c>
      <c r="B348" t="s">
        <v>48</v>
      </c>
      <c r="C348">
        <v>2023</v>
      </c>
      <c r="D348" t="s">
        <v>62</v>
      </c>
      <c r="E348">
        <v>1177000</v>
      </c>
      <c r="F348">
        <v>1377000</v>
      </c>
      <c r="G348" t="s">
        <v>116</v>
      </c>
    </row>
    <row r="349" spans="1:7" x14ac:dyDescent="0.3">
      <c r="A349" t="s">
        <v>7</v>
      </c>
      <c r="B349" t="s">
        <v>48</v>
      </c>
      <c r="C349">
        <v>2024</v>
      </c>
      <c r="D349" t="s">
        <v>60</v>
      </c>
      <c r="E349">
        <v>147146</v>
      </c>
      <c r="F349">
        <v>111367</v>
      </c>
      <c r="G349" t="s">
        <v>116</v>
      </c>
    </row>
    <row r="350" spans="1:7" x14ac:dyDescent="0.3">
      <c r="A350" t="s">
        <v>7</v>
      </c>
      <c r="B350" t="s">
        <v>48</v>
      </c>
      <c r="C350">
        <v>2024</v>
      </c>
      <c r="D350" t="s">
        <v>67</v>
      </c>
      <c r="E350">
        <v>84941</v>
      </c>
      <c r="F350">
        <v>103036</v>
      </c>
      <c r="G350" t="s">
        <v>116</v>
      </c>
    </row>
    <row r="351" spans="1:7" x14ac:dyDescent="0.3">
      <c r="A351" t="s">
        <v>7</v>
      </c>
      <c r="B351" t="s">
        <v>48</v>
      </c>
      <c r="C351">
        <v>2024</v>
      </c>
      <c r="D351" t="s">
        <v>69</v>
      </c>
      <c r="E351">
        <v>6211</v>
      </c>
      <c r="F351">
        <v>8331</v>
      </c>
      <c r="G351" t="s">
        <v>116</v>
      </c>
    </row>
    <row r="352" spans="1:7" x14ac:dyDescent="0.3">
      <c r="A352" t="s">
        <v>7</v>
      </c>
      <c r="B352" t="s">
        <v>48</v>
      </c>
      <c r="C352">
        <v>2024</v>
      </c>
      <c r="D352" t="s">
        <v>62</v>
      </c>
      <c r="E352">
        <v>1173000</v>
      </c>
      <c r="F352">
        <v>1345000</v>
      </c>
      <c r="G352" t="s">
        <v>116</v>
      </c>
    </row>
    <row r="353" spans="1:7" x14ac:dyDescent="0.3">
      <c r="A353" t="s">
        <v>7</v>
      </c>
      <c r="B353" t="s">
        <v>53</v>
      </c>
      <c r="C353">
        <v>2022</v>
      </c>
      <c r="D353" t="s">
        <v>60</v>
      </c>
      <c r="E353">
        <v>132660</v>
      </c>
      <c r="F353">
        <v>168142</v>
      </c>
      <c r="G353" t="s">
        <v>116</v>
      </c>
    </row>
    <row r="354" spans="1:7" x14ac:dyDescent="0.3">
      <c r="A354" t="s">
        <v>7</v>
      </c>
      <c r="B354" t="s">
        <v>53</v>
      </c>
      <c r="C354">
        <v>2022</v>
      </c>
      <c r="D354" t="s">
        <v>73</v>
      </c>
      <c r="E354">
        <v>82973</v>
      </c>
      <c r="F354">
        <v>117461</v>
      </c>
      <c r="G354" t="s">
        <v>116</v>
      </c>
    </row>
    <row r="355" spans="1:7" x14ac:dyDescent="0.3">
      <c r="A355" t="s">
        <v>7</v>
      </c>
      <c r="B355" t="s">
        <v>53</v>
      </c>
      <c r="C355">
        <v>2022</v>
      </c>
      <c r="D355" t="s">
        <v>75</v>
      </c>
      <c r="E355">
        <v>15.12</v>
      </c>
      <c r="F355">
        <v>14</v>
      </c>
      <c r="G355" t="s">
        <v>116</v>
      </c>
    </row>
    <row r="356" spans="1:7" x14ac:dyDescent="0.3">
      <c r="A356" t="s">
        <v>7</v>
      </c>
      <c r="B356" t="s">
        <v>53</v>
      </c>
      <c r="C356">
        <v>2022</v>
      </c>
      <c r="D356" t="s">
        <v>62</v>
      </c>
      <c r="E356">
        <v>1242866</v>
      </c>
      <c r="F356">
        <v>1862586</v>
      </c>
      <c r="G356" t="s">
        <v>116</v>
      </c>
    </row>
    <row r="357" spans="1:7" x14ac:dyDescent="0.3">
      <c r="A357" t="s">
        <v>7</v>
      </c>
      <c r="B357" t="s">
        <v>53</v>
      </c>
      <c r="C357">
        <v>2023</v>
      </c>
      <c r="D357" t="s">
        <v>60</v>
      </c>
      <c r="E357">
        <v>132162</v>
      </c>
      <c r="F357">
        <v>167637</v>
      </c>
      <c r="G357" t="s">
        <v>116</v>
      </c>
    </row>
    <row r="358" spans="1:7" x14ac:dyDescent="0.3">
      <c r="A358" t="s">
        <v>7</v>
      </c>
      <c r="B358" t="s">
        <v>53</v>
      </c>
      <c r="C358">
        <v>2023</v>
      </c>
      <c r="D358" t="s">
        <v>73</v>
      </c>
      <c r="E358">
        <v>82123</v>
      </c>
      <c r="F358">
        <v>117598</v>
      </c>
      <c r="G358" t="s">
        <v>116</v>
      </c>
    </row>
    <row r="359" spans="1:7" x14ac:dyDescent="0.3">
      <c r="A359" t="s">
        <v>7</v>
      </c>
      <c r="B359" t="s">
        <v>53</v>
      </c>
      <c r="C359">
        <v>2023</v>
      </c>
      <c r="D359" t="s">
        <v>62</v>
      </c>
      <c r="E359">
        <v>1259629</v>
      </c>
      <c r="F359">
        <v>1900174</v>
      </c>
      <c r="G359" t="s">
        <v>116</v>
      </c>
    </row>
    <row r="360" spans="1:7" x14ac:dyDescent="0.3">
      <c r="A360" t="s">
        <v>7</v>
      </c>
      <c r="B360" t="s">
        <v>53</v>
      </c>
      <c r="C360">
        <v>2024</v>
      </c>
      <c r="D360" t="s">
        <v>60</v>
      </c>
      <c r="E360">
        <v>128290</v>
      </c>
      <c r="F360">
        <v>164721</v>
      </c>
      <c r="G360" t="s">
        <v>116</v>
      </c>
    </row>
    <row r="361" spans="1:7" x14ac:dyDescent="0.3">
      <c r="A361" t="s">
        <v>7</v>
      </c>
      <c r="B361" t="s">
        <v>53</v>
      </c>
      <c r="C361">
        <v>2024</v>
      </c>
      <c r="D361" t="s">
        <v>73</v>
      </c>
      <c r="E361">
        <v>81733</v>
      </c>
      <c r="F361">
        <v>118164</v>
      </c>
      <c r="G361" t="s">
        <v>116</v>
      </c>
    </row>
    <row r="362" spans="1:7" x14ac:dyDescent="0.3">
      <c r="A362" t="s">
        <v>7</v>
      </c>
      <c r="B362" t="s">
        <v>53</v>
      </c>
      <c r="C362">
        <v>2024</v>
      </c>
      <c r="D362" t="s">
        <v>62</v>
      </c>
      <c r="E362">
        <v>1167927</v>
      </c>
      <c r="F362">
        <v>1726376</v>
      </c>
      <c r="G362" t="s">
        <v>116</v>
      </c>
    </row>
    <row r="363" spans="1:7" x14ac:dyDescent="0.3">
      <c r="A363" t="s">
        <v>7</v>
      </c>
      <c r="B363" t="s">
        <v>54</v>
      </c>
      <c r="C363">
        <v>2022</v>
      </c>
      <c r="D363" t="s">
        <v>60</v>
      </c>
      <c r="E363">
        <v>385039</v>
      </c>
      <c r="F363">
        <v>294488</v>
      </c>
      <c r="G363" t="s">
        <v>116</v>
      </c>
    </row>
    <row r="364" spans="1:7" x14ac:dyDescent="0.3">
      <c r="A364" t="s">
        <v>7</v>
      </c>
      <c r="B364" t="s">
        <v>54</v>
      </c>
      <c r="C364">
        <v>2022</v>
      </c>
      <c r="D364" t="s">
        <v>73</v>
      </c>
      <c r="E364">
        <v>244768</v>
      </c>
      <c r="F364">
        <v>294488</v>
      </c>
      <c r="G364" t="s">
        <v>116</v>
      </c>
    </row>
    <row r="365" spans="1:7" x14ac:dyDescent="0.3">
      <c r="A365" t="s">
        <v>7</v>
      </c>
      <c r="B365" t="s">
        <v>54</v>
      </c>
      <c r="C365">
        <v>2022</v>
      </c>
      <c r="D365" t="s">
        <v>67</v>
      </c>
      <c r="E365">
        <v>218064</v>
      </c>
      <c r="F365">
        <v>248538</v>
      </c>
      <c r="G365" t="s">
        <v>116</v>
      </c>
    </row>
    <row r="366" spans="1:7" x14ac:dyDescent="0.3">
      <c r="A366" t="s">
        <v>7</v>
      </c>
      <c r="B366" t="s">
        <v>54</v>
      </c>
      <c r="C366">
        <v>2022</v>
      </c>
      <c r="D366" t="s">
        <v>69</v>
      </c>
      <c r="E366">
        <v>26704</v>
      </c>
      <c r="F366">
        <v>31894</v>
      </c>
      <c r="G366" t="s">
        <v>116</v>
      </c>
    </row>
    <row r="367" spans="1:7" x14ac:dyDescent="0.3">
      <c r="A367" t="s">
        <v>7</v>
      </c>
      <c r="B367" t="s">
        <v>54</v>
      </c>
      <c r="C367">
        <v>2022</v>
      </c>
      <c r="D367" t="s">
        <v>62</v>
      </c>
      <c r="E367">
        <v>2812000</v>
      </c>
      <c r="F367">
        <v>3741000</v>
      </c>
      <c r="G367" t="s">
        <v>116</v>
      </c>
    </row>
    <row r="368" spans="1:7" x14ac:dyDescent="0.3">
      <c r="A368" t="s">
        <v>7</v>
      </c>
      <c r="B368" t="s">
        <v>54</v>
      </c>
      <c r="C368">
        <v>2023</v>
      </c>
      <c r="D368" t="s">
        <v>60</v>
      </c>
      <c r="E368">
        <v>335204</v>
      </c>
      <c r="F368">
        <v>293429</v>
      </c>
      <c r="G368" t="s">
        <v>116</v>
      </c>
    </row>
    <row r="369" spans="1:7" x14ac:dyDescent="0.3">
      <c r="A369" t="s">
        <v>7</v>
      </c>
      <c r="B369" t="s">
        <v>54</v>
      </c>
      <c r="C369">
        <v>2023</v>
      </c>
      <c r="D369" t="s">
        <v>73</v>
      </c>
      <c r="E369">
        <v>244337</v>
      </c>
      <c r="F369">
        <v>293429</v>
      </c>
      <c r="G369" t="s">
        <v>116</v>
      </c>
    </row>
    <row r="370" spans="1:7" x14ac:dyDescent="0.3">
      <c r="A370" t="s">
        <v>7</v>
      </c>
      <c r="B370" t="s">
        <v>54</v>
      </c>
      <c r="C370">
        <v>2023</v>
      </c>
      <c r="D370" t="s">
        <v>67</v>
      </c>
      <c r="E370">
        <v>220531</v>
      </c>
      <c r="F370">
        <v>250978</v>
      </c>
      <c r="G370" t="s">
        <v>116</v>
      </c>
    </row>
    <row r="371" spans="1:7" x14ac:dyDescent="0.3">
      <c r="A371" t="s">
        <v>7</v>
      </c>
      <c r="B371" t="s">
        <v>54</v>
      </c>
      <c r="C371">
        <v>2023</v>
      </c>
      <c r="D371" t="s">
        <v>69</v>
      </c>
      <c r="E371">
        <v>23806</v>
      </c>
      <c r="F371">
        <v>29067</v>
      </c>
      <c r="G371" t="s">
        <v>116</v>
      </c>
    </row>
    <row r="372" spans="1:7" x14ac:dyDescent="0.3">
      <c r="A372" t="s">
        <v>7</v>
      </c>
      <c r="B372" t="s">
        <v>54</v>
      </c>
      <c r="C372">
        <v>2023</v>
      </c>
      <c r="D372" t="s">
        <v>62</v>
      </c>
      <c r="E372">
        <v>2784000</v>
      </c>
      <c r="F372">
        <v>3632000</v>
      </c>
      <c r="G372" t="s">
        <v>116</v>
      </c>
    </row>
    <row r="373" spans="1:7" x14ac:dyDescent="0.3">
      <c r="A373" t="s">
        <v>7</v>
      </c>
      <c r="B373" t="s">
        <v>54</v>
      </c>
      <c r="C373">
        <v>2024</v>
      </c>
      <c r="D373" t="s">
        <v>60</v>
      </c>
      <c r="E373">
        <v>332731</v>
      </c>
      <c r="F373">
        <v>288649</v>
      </c>
      <c r="G373" t="s">
        <v>116</v>
      </c>
    </row>
    <row r="374" spans="1:7" x14ac:dyDescent="0.3">
      <c r="A374" t="s">
        <v>7</v>
      </c>
      <c r="B374" t="s">
        <v>54</v>
      </c>
      <c r="C374">
        <v>2024</v>
      </c>
      <c r="D374" t="s">
        <v>73</v>
      </c>
      <c r="E374">
        <v>241208</v>
      </c>
      <c r="F374">
        <v>288649</v>
      </c>
      <c r="G374" t="s">
        <v>116</v>
      </c>
    </row>
    <row r="375" spans="1:7" x14ac:dyDescent="0.3">
      <c r="A375" t="s">
        <v>7</v>
      </c>
      <c r="B375" t="s">
        <v>54</v>
      </c>
      <c r="C375">
        <v>2024</v>
      </c>
      <c r="D375" t="s">
        <v>67</v>
      </c>
      <c r="E375">
        <v>220318</v>
      </c>
      <c r="F375">
        <v>249644</v>
      </c>
      <c r="G375" t="s">
        <v>116</v>
      </c>
    </row>
    <row r="376" spans="1:7" x14ac:dyDescent="0.3">
      <c r="A376" t="s">
        <v>7</v>
      </c>
      <c r="B376" t="s">
        <v>54</v>
      </c>
      <c r="C376">
        <v>2024</v>
      </c>
      <c r="D376" t="s">
        <v>69</v>
      </c>
      <c r="E376">
        <v>20890</v>
      </c>
      <c r="F376">
        <v>25422</v>
      </c>
      <c r="G376" t="s">
        <v>116</v>
      </c>
    </row>
    <row r="377" spans="1:7" x14ac:dyDescent="0.3">
      <c r="A377" t="s">
        <v>7</v>
      </c>
      <c r="B377" t="s">
        <v>54</v>
      </c>
      <c r="C377">
        <v>2024</v>
      </c>
      <c r="D377" t="s">
        <v>62</v>
      </c>
      <c r="E377">
        <v>2758000</v>
      </c>
      <c r="F377">
        <v>3645000</v>
      </c>
      <c r="G377" t="s">
        <v>116</v>
      </c>
    </row>
    <row r="378" spans="1:7" x14ac:dyDescent="0.3">
      <c r="A378" t="s">
        <v>7</v>
      </c>
      <c r="B378" t="s">
        <v>56</v>
      </c>
      <c r="C378">
        <v>2023</v>
      </c>
      <c r="D378" t="s">
        <v>60</v>
      </c>
      <c r="E378">
        <v>82465.72</v>
      </c>
      <c r="F378">
        <v>115880</v>
      </c>
      <c r="G378" t="s">
        <v>116</v>
      </c>
    </row>
    <row r="379" spans="1:7" x14ac:dyDescent="0.3">
      <c r="A379" t="s">
        <v>7</v>
      </c>
      <c r="B379" t="s">
        <v>56</v>
      </c>
      <c r="C379">
        <v>2023</v>
      </c>
      <c r="D379" t="s">
        <v>73</v>
      </c>
      <c r="E379">
        <v>69167.06</v>
      </c>
      <c r="F379">
        <v>93534</v>
      </c>
      <c r="G379" t="s">
        <v>116</v>
      </c>
    </row>
    <row r="380" spans="1:7" x14ac:dyDescent="0.3">
      <c r="A380" t="s">
        <v>7</v>
      </c>
      <c r="B380" t="s">
        <v>56</v>
      </c>
      <c r="C380">
        <v>2023</v>
      </c>
      <c r="D380" t="s">
        <v>101</v>
      </c>
      <c r="E380">
        <v>13238.67</v>
      </c>
      <c r="F380">
        <v>22346</v>
      </c>
      <c r="G380" t="s">
        <v>116</v>
      </c>
    </row>
    <row r="381" spans="1:7" x14ac:dyDescent="0.3">
      <c r="A381" t="s">
        <v>7</v>
      </c>
      <c r="B381" t="s">
        <v>56</v>
      </c>
      <c r="C381">
        <v>2023</v>
      </c>
      <c r="D381" t="s">
        <v>62</v>
      </c>
      <c r="E381">
        <v>1723170</v>
      </c>
      <c r="F381">
        <v>2388459</v>
      </c>
      <c r="G381" t="s">
        <v>116</v>
      </c>
    </row>
    <row r="382" spans="1:7" x14ac:dyDescent="0.3">
      <c r="A382" t="s">
        <v>7</v>
      </c>
      <c r="B382" t="s">
        <v>56</v>
      </c>
      <c r="C382">
        <v>2024</v>
      </c>
      <c r="D382" t="s">
        <v>62</v>
      </c>
      <c r="E382">
        <v>1562446</v>
      </c>
      <c r="F382">
        <v>2185514</v>
      </c>
      <c r="G382" t="s">
        <v>116</v>
      </c>
    </row>
    <row r="383" spans="1:7" x14ac:dyDescent="0.3">
      <c r="A383" t="s">
        <v>7</v>
      </c>
      <c r="B383" t="s">
        <v>56</v>
      </c>
      <c r="C383">
        <v>2025</v>
      </c>
      <c r="D383" t="s">
        <v>62</v>
      </c>
      <c r="E383">
        <v>1628452</v>
      </c>
      <c r="F383">
        <v>2403164</v>
      </c>
      <c r="G383" t="s">
        <v>116</v>
      </c>
    </row>
    <row r="384" spans="1:7" x14ac:dyDescent="0.3">
      <c r="A384" t="s">
        <v>7</v>
      </c>
      <c r="B384" t="s">
        <v>106</v>
      </c>
      <c r="C384">
        <v>2023</v>
      </c>
      <c r="D384" t="s">
        <v>67</v>
      </c>
      <c r="E384">
        <v>150281</v>
      </c>
      <c r="F384">
        <v>129221</v>
      </c>
      <c r="G384" t="s">
        <v>116</v>
      </c>
    </row>
    <row r="385" spans="1:7" x14ac:dyDescent="0.3">
      <c r="A385" t="s">
        <v>7</v>
      </c>
      <c r="B385" t="s">
        <v>106</v>
      </c>
      <c r="C385">
        <v>2023</v>
      </c>
      <c r="D385" t="s">
        <v>69</v>
      </c>
      <c r="E385">
        <v>10263</v>
      </c>
      <c r="F385">
        <v>7164</v>
      </c>
      <c r="G385" t="s">
        <v>116</v>
      </c>
    </row>
    <row r="386" spans="1:7" x14ac:dyDescent="0.3">
      <c r="A386" t="s">
        <v>7</v>
      </c>
      <c r="B386" t="s">
        <v>106</v>
      </c>
      <c r="C386">
        <v>2023</v>
      </c>
      <c r="D386" t="s">
        <v>62</v>
      </c>
      <c r="E386">
        <v>3050000</v>
      </c>
      <c r="F386">
        <v>3399000</v>
      </c>
      <c r="G386" t="s">
        <v>116</v>
      </c>
    </row>
    <row r="387" spans="1:7" x14ac:dyDescent="0.3">
      <c r="A387" t="s">
        <v>7</v>
      </c>
      <c r="B387" t="s">
        <v>106</v>
      </c>
      <c r="C387">
        <v>2024</v>
      </c>
      <c r="D387" t="s">
        <v>67</v>
      </c>
      <c r="E387">
        <v>150149</v>
      </c>
      <c r="F387">
        <v>128178</v>
      </c>
      <c r="G387" t="s">
        <v>116</v>
      </c>
    </row>
    <row r="388" spans="1:7" x14ac:dyDescent="0.3">
      <c r="A388" t="s">
        <v>7</v>
      </c>
      <c r="B388" t="s">
        <v>106</v>
      </c>
      <c r="C388">
        <v>2024</v>
      </c>
      <c r="D388" t="s">
        <v>69</v>
      </c>
      <c r="E388">
        <v>10649</v>
      </c>
      <c r="F388">
        <v>7416</v>
      </c>
      <c r="G388" t="s">
        <v>116</v>
      </c>
    </row>
    <row r="389" spans="1:7" x14ac:dyDescent="0.3">
      <c r="A389" t="s">
        <v>7</v>
      </c>
      <c r="B389" t="s">
        <v>106</v>
      </c>
      <c r="C389">
        <v>2024</v>
      </c>
      <c r="D389" t="s">
        <v>62</v>
      </c>
      <c r="E389">
        <v>2946000</v>
      </c>
      <c r="F389">
        <v>3276000</v>
      </c>
      <c r="G389" t="s">
        <v>116</v>
      </c>
    </row>
    <row r="390" spans="1:7" x14ac:dyDescent="0.3">
      <c r="A390" t="s">
        <v>7</v>
      </c>
      <c r="B390" t="s">
        <v>106</v>
      </c>
      <c r="C390">
        <v>2025</v>
      </c>
      <c r="D390" t="s">
        <v>67</v>
      </c>
      <c r="E390">
        <v>148648</v>
      </c>
      <c r="F390">
        <v>125201</v>
      </c>
      <c r="G390" t="s">
        <v>116</v>
      </c>
    </row>
    <row r="391" spans="1:7" x14ac:dyDescent="0.3">
      <c r="A391" t="s">
        <v>7</v>
      </c>
      <c r="B391" t="s">
        <v>106</v>
      </c>
      <c r="C391">
        <v>2025</v>
      </c>
      <c r="D391" t="s">
        <v>69</v>
      </c>
      <c r="E391">
        <v>11059</v>
      </c>
      <c r="F391">
        <v>7613</v>
      </c>
      <c r="G391" t="s">
        <v>116</v>
      </c>
    </row>
    <row r="392" spans="1:7" x14ac:dyDescent="0.3">
      <c r="A392" t="s">
        <v>7</v>
      </c>
      <c r="B392" t="s">
        <v>106</v>
      </c>
      <c r="C392">
        <v>2025</v>
      </c>
      <c r="D392" t="s">
        <v>62</v>
      </c>
      <c r="E392">
        <v>3040000</v>
      </c>
      <c r="F392">
        <v>3425000</v>
      </c>
      <c r="G392" t="s">
        <v>116</v>
      </c>
    </row>
    <row r="393" spans="1:7" x14ac:dyDescent="0.3">
      <c r="A393" t="s">
        <v>7</v>
      </c>
      <c r="B393" t="s">
        <v>16</v>
      </c>
      <c r="C393">
        <v>2022</v>
      </c>
      <c r="D393" t="s">
        <v>117</v>
      </c>
      <c r="E393">
        <v>-358.68</v>
      </c>
      <c r="F393">
        <v>-133.47</v>
      </c>
      <c r="G393" t="s">
        <v>118</v>
      </c>
    </row>
    <row r="394" spans="1:7" x14ac:dyDescent="0.3">
      <c r="A394" t="s">
        <v>7</v>
      </c>
      <c r="B394" t="s">
        <v>16</v>
      </c>
      <c r="C394">
        <v>2022</v>
      </c>
      <c r="D394" t="s">
        <v>119</v>
      </c>
      <c r="E394">
        <v>-358.68</v>
      </c>
      <c r="F394">
        <v>-133.47</v>
      </c>
      <c r="G394" t="s">
        <v>118</v>
      </c>
    </row>
    <row r="395" spans="1:7" x14ac:dyDescent="0.3">
      <c r="A395" t="s">
        <v>7</v>
      </c>
      <c r="B395" t="s">
        <v>16</v>
      </c>
      <c r="C395">
        <v>2023</v>
      </c>
      <c r="D395" t="s">
        <v>119</v>
      </c>
      <c r="E395">
        <v>-114.05</v>
      </c>
      <c r="F395">
        <v>-114.05</v>
      </c>
      <c r="G395" t="s">
        <v>120</v>
      </c>
    </row>
    <row r="396" spans="1:7" x14ac:dyDescent="0.3">
      <c r="A396" t="s">
        <v>7</v>
      </c>
      <c r="B396" t="s">
        <v>18</v>
      </c>
      <c r="C396">
        <v>2025</v>
      </c>
      <c r="D396" t="s">
        <v>121</v>
      </c>
      <c r="E396">
        <v>139.79</v>
      </c>
      <c r="F396">
        <v>139.79</v>
      </c>
      <c r="G396" t="s">
        <v>120</v>
      </c>
    </row>
    <row r="397" spans="1:7" x14ac:dyDescent="0.3">
      <c r="A397" t="s">
        <v>7</v>
      </c>
      <c r="B397" t="s">
        <v>39</v>
      </c>
      <c r="C397">
        <v>2022</v>
      </c>
      <c r="D397" t="s">
        <v>121</v>
      </c>
      <c r="E397">
        <v>359.34899999999999</v>
      </c>
      <c r="F397">
        <v>359.34899999999999</v>
      </c>
      <c r="G397" t="s">
        <v>120</v>
      </c>
    </row>
    <row r="398" spans="1:7" x14ac:dyDescent="0.3">
      <c r="A398" t="s">
        <v>7</v>
      </c>
      <c r="B398" t="s">
        <v>39</v>
      </c>
      <c r="C398">
        <v>2024</v>
      </c>
      <c r="D398" t="s">
        <v>121</v>
      </c>
      <c r="E398">
        <v>557.02300000000002</v>
      </c>
      <c r="F398">
        <v>557.02300000000002</v>
      </c>
      <c r="G398" t="s">
        <v>122</v>
      </c>
    </row>
    <row r="399" spans="1:7" x14ac:dyDescent="0.3">
      <c r="A399" t="s">
        <v>7</v>
      </c>
      <c r="B399" t="s">
        <v>42</v>
      </c>
      <c r="C399">
        <v>2023</v>
      </c>
      <c r="D399" t="s">
        <v>117</v>
      </c>
      <c r="E399">
        <v>2.4</v>
      </c>
      <c r="F399">
        <v>2.4</v>
      </c>
      <c r="G399" t="s">
        <v>123</v>
      </c>
    </row>
    <row r="400" spans="1:7" x14ac:dyDescent="0.3">
      <c r="A400" t="s">
        <v>7</v>
      </c>
      <c r="B400" t="s">
        <v>124</v>
      </c>
      <c r="C400">
        <v>2022</v>
      </c>
      <c r="D400" t="s">
        <v>121</v>
      </c>
      <c r="E400">
        <v>2.38</v>
      </c>
      <c r="F400">
        <v>2.38</v>
      </c>
      <c r="G400" t="s">
        <v>122</v>
      </c>
    </row>
    <row r="401" spans="1:7" x14ac:dyDescent="0.3">
      <c r="A401" t="s">
        <v>7</v>
      </c>
      <c r="B401" t="s">
        <v>21</v>
      </c>
      <c r="C401">
        <v>2022</v>
      </c>
      <c r="D401" t="s">
        <v>125</v>
      </c>
      <c r="E401">
        <v>3</v>
      </c>
      <c r="F401">
        <v>3.47</v>
      </c>
      <c r="G401" t="s">
        <v>126</v>
      </c>
    </row>
    <row r="402" spans="1:7" x14ac:dyDescent="0.3">
      <c r="A402" t="s">
        <v>7</v>
      </c>
      <c r="B402" t="s">
        <v>55</v>
      </c>
      <c r="C402">
        <v>2022</v>
      </c>
      <c r="D402" t="s">
        <v>127</v>
      </c>
      <c r="E402">
        <v>13312</v>
      </c>
      <c r="F402">
        <v>13312</v>
      </c>
      <c r="G402" t="s">
        <v>122</v>
      </c>
    </row>
    <row r="403" spans="1:7" x14ac:dyDescent="0.3">
      <c r="A403" t="s">
        <v>7</v>
      </c>
      <c r="B403" t="s">
        <v>56</v>
      </c>
      <c r="C403">
        <v>2023</v>
      </c>
      <c r="D403" t="s">
        <v>117</v>
      </c>
      <c r="E403">
        <v>344</v>
      </c>
      <c r="F403">
        <v>344</v>
      </c>
      <c r="G403" t="s">
        <v>120</v>
      </c>
    </row>
    <row r="404" spans="1:7" x14ac:dyDescent="0.3">
      <c r="A404" t="s">
        <v>7</v>
      </c>
      <c r="B404" t="s">
        <v>56</v>
      </c>
      <c r="C404">
        <v>2025</v>
      </c>
      <c r="D404" t="s">
        <v>117</v>
      </c>
      <c r="E404">
        <v>1393</v>
      </c>
      <c r="F404">
        <v>1393</v>
      </c>
      <c r="G404" t="s">
        <v>120</v>
      </c>
    </row>
    <row r="405" spans="1:7" x14ac:dyDescent="0.3">
      <c r="A405" t="s">
        <v>7</v>
      </c>
      <c r="B405" t="s">
        <v>128</v>
      </c>
      <c r="C405">
        <v>2023</v>
      </c>
      <c r="D405" t="s">
        <v>117</v>
      </c>
      <c r="E405">
        <v>0.22</v>
      </c>
      <c r="F405">
        <v>0.23599999999999999</v>
      </c>
      <c r="G405" t="s">
        <v>129</v>
      </c>
    </row>
    <row r="406" spans="1:7" x14ac:dyDescent="0.3">
      <c r="A406" t="s">
        <v>7</v>
      </c>
      <c r="B406" t="s">
        <v>128</v>
      </c>
      <c r="C406">
        <v>2023</v>
      </c>
      <c r="D406" t="s">
        <v>119</v>
      </c>
      <c r="E406">
        <v>0.22</v>
      </c>
      <c r="F406">
        <v>0.23599999999999999</v>
      </c>
      <c r="G406" t="s">
        <v>129</v>
      </c>
    </row>
    <row r="407" spans="1:7" x14ac:dyDescent="0.3">
      <c r="A407" t="s">
        <v>7</v>
      </c>
      <c r="B407" t="s">
        <v>128</v>
      </c>
      <c r="C407">
        <v>2023</v>
      </c>
      <c r="D407" t="s">
        <v>121</v>
      </c>
      <c r="E407">
        <v>9.07</v>
      </c>
      <c r="F407">
        <v>9.07</v>
      </c>
      <c r="G407" t="s">
        <v>120</v>
      </c>
    </row>
    <row r="408" spans="1:7" x14ac:dyDescent="0.3">
      <c r="A408" t="s">
        <v>7</v>
      </c>
      <c r="B408" t="s">
        <v>128</v>
      </c>
      <c r="C408">
        <v>2024</v>
      </c>
      <c r="D408" t="s">
        <v>117</v>
      </c>
      <c r="E408">
        <v>0.72</v>
      </c>
      <c r="F408">
        <v>0.78400000000000003</v>
      </c>
      <c r="G408" t="s">
        <v>130</v>
      </c>
    </row>
    <row r="409" spans="1:7" x14ac:dyDescent="0.3">
      <c r="A409" t="s">
        <v>7</v>
      </c>
      <c r="B409" t="s">
        <v>128</v>
      </c>
      <c r="C409">
        <v>2024</v>
      </c>
      <c r="D409" t="s">
        <v>119</v>
      </c>
      <c r="E409">
        <v>0.72</v>
      </c>
      <c r="F409">
        <v>0.78400000000000003</v>
      </c>
      <c r="G409" t="s">
        <v>130</v>
      </c>
    </row>
    <row r="410" spans="1:7" x14ac:dyDescent="0.3">
      <c r="A410" t="s">
        <v>7</v>
      </c>
      <c r="B410" t="s">
        <v>128</v>
      </c>
      <c r="C410">
        <v>2024</v>
      </c>
      <c r="D410" t="s">
        <v>121</v>
      </c>
      <c r="E410">
        <v>8.57</v>
      </c>
      <c r="F410">
        <v>10.77</v>
      </c>
      <c r="G410" t="s">
        <v>131</v>
      </c>
    </row>
    <row r="411" spans="1:7" x14ac:dyDescent="0.3">
      <c r="A411" t="s">
        <v>7</v>
      </c>
      <c r="B411" t="s">
        <v>8</v>
      </c>
      <c r="C411">
        <v>2023</v>
      </c>
      <c r="D411" t="s">
        <v>50</v>
      </c>
      <c r="E411">
        <v>4353645</v>
      </c>
      <c r="F411">
        <v>3312149</v>
      </c>
      <c r="G411" t="s">
        <v>132</v>
      </c>
    </row>
    <row r="412" spans="1:7" x14ac:dyDescent="0.3">
      <c r="A412" t="s">
        <v>7</v>
      </c>
      <c r="B412" t="s">
        <v>8</v>
      </c>
      <c r="C412">
        <v>2024</v>
      </c>
      <c r="D412" t="s">
        <v>50</v>
      </c>
      <c r="E412">
        <v>3734458</v>
      </c>
      <c r="F412">
        <v>3002685</v>
      </c>
      <c r="G412" t="s">
        <v>133</v>
      </c>
    </row>
    <row r="413" spans="1:7" x14ac:dyDescent="0.3">
      <c r="A413" t="s">
        <v>7</v>
      </c>
      <c r="B413" t="s">
        <v>8</v>
      </c>
      <c r="C413">
        <v>2025</v>
      </c>
      <c r="D413" t="s">
        <v>50</v>
      </c>
      <c r="E413">
        <v>3821559</v>
      </c>
      <c r="F413">
        <v>3009024</v>
      </c>
      <c r="G413" t="s">
        <v>134</v>
      </c>
    </row>
    <row r="414" spans="1:7" x14ac:dyDescent="0.3">
      <c r="A414" t="s">
        <v>7</v>
      </c>
      <c r="B414" t="s">
        <v>18</v>
      </c>
      <c r="C414">
        <v>2023</v>
      </c>
      <c r="D414" t="s">
        <v>50</v>
      </c>
      <c r="E414">
        <v>1084941</v>
      </c>
      <c r="F414">
        <v>975251</v>
      </c>
      <c r="G414" t="s">
        <v>135</v>
      </c>
    </row>
    <row r="415" spans="1:7" x14ac:dyDescent="0.3">
      <c r="A415" t="s">
        <v>7</v>
      </c>
      <c r="B415" t="s">
        <v>38</v>
      </c>
      <c r="C415">
        <v>2024</v>
      </c>
      <c r="D415" t="s">
        <v>32</v>
      </c>
      <c r="E415">
        <v>2636.7</v>
      </c>
      <c r="F415">
        <v>2636.7</v>
      </c>
      <c r="G415" t="s">
        <v>120</v>
      </c>
    </row>
    <row r="416" spans="1:7" x14ac:dyDescent="0.3">
      <c r="A416" t="s">
        <v>7</v>
      </c>
      <c r="B416" t="s">
        <v>39</v>
      </c>
      <c r="C416">
        <v>2023</v>
      </c>
      <c r="D416" t="s">
        <v>50</v>
      </c>
      <c r="E416">
        <v>2271821</v>
      </c>
      <c r="F416">
        <v>2271821</v>
      </c>
      <c r="G416" t="s">
        <v>122</v>
      </c>
    </row>
    <row r="417" spans="1:7" x14ac:dyDescent="0.3">
      <c r="A417" t="s">
        <v>7</v>
      </c>
      <c r="B417" t="s">
        <v>39</v>
      </c>
      <c r="C417">
        <v>2024</v>
      </c>
      <c r="D417" t="s">
        <v>50</v>
      </c>
      <c r="E417">
        <v>2109737</v>
      </c>
      <c r="F417">
        <v>2109737</v>
      </c>
      <c r="G417" t="s">
        <v>122</v>
      </c>
    </row>
    <row r="418" spans="1:7" x14ac:dyDescent="0.3">
      <c r="A418" t="s">
        <v>7</v>
      </c>
      <c r="B418" t="s">
        <v>41</v>
      </c>
      <c r="C418">
        <v>2023</v>
      </c>
      <c r="D418" t="s">
        <v>136</v>
      </c>
      <c r="E418">
        <v>5</v>
      </c>
      <c r="F418">
        <v>6</v>
      </c>
      <c r="G418" t="s">
        <v>137</v>
      </c>
    </row>
    <row r="419" spans="1:7" x14ac:dyDescent="0.3">
      <c r="A419" t="s">
        <v>7</v>
      </c>
      <c r="B419" t="s">
        <v>41</v>
      </c>
      <c r="C419">
        <v>2024</v>
      </c>
      <c r="D419" t="s">
        <v>136</v>
      </c>
      <c r="E419">
        <v>5</v>
      </c>
      <c r="F419">
        <v>6</v>
      </c>
      <c r="G419" t="s">
        <v>137</v>
      </c>
    </row>
    <row r="420" spans="1:7" x14ac:dyDescent="0.3">
      <c r="A420" t="s">
        <v>7</v>
      </c>
      <c r="B420" t="s">
        <v>43</v>
      </c>
      <c r="C420">
        <v>2022</v>
      </c>
      <c r="D420" t="s">
        <v>27</v>
      </c>
      <c r="E420">
        <v>10264.870000000001</v>
      </c>
      <c r="F420">
        <v>10782.99</v>
      </c>
      <c r="G420" t="s">
        <v>138</v>
      </c>
    </row>
    <row r="421" spans="1:7" x14ac:dyDescent="0.3">
      <c r="A421" t="s">
        <v>7</v>
      </c>
      <c r="B421" t="s">
        <v>43</v>
      </c>
      <c r="C421">
        <v>2022</v>
      </c>
      <c r="D421" t="s">
        <v>24</v>
      </c>
      <c r="E421">
        <v>60</v>
      </c>
      <c r="F421">
        <v>0</v>
      </c>
      <c r="G421" t="s">
        <v>139</v>
      </c>
    </row>
    <row r="422" spans="1:7" x14ac:dyDescent="0.3">
      <c r="A422" t="s">
        <v>7</v>
      </c>
      <c r="B422" t="s">
        <v>47</v>
      </c>
      <c r="C422">
        <v>2022</v>
      </c>
      <c r="D422" t="s">
        <v>27</v>
      </c>
      <c r="E422">
        <v>44027</v>
      </c>
      <c r="F422">
        <v>27919</v>
      </c>
      <c r="G422" t="s">
        <v>140</v>
      </c>
    </row>
    <row r="423" spans="1:7" x14ac:dyDescent="0.3">
      <c r="A423" t="s">
        <v>7</v>
      </c>
      <c r="B423" t="s">
        <v>47</v>
      </c>
      <c r="C423">
        <v>2022</v>
      </c>
      <c r="D423" t="s">
        <v>28</v>
      </c>
      <c r="E423">
        <v>37515</v>
      </c>
      <c r="F423">
        <v>21407</v>
      </c>
      <c r="G423" t="s">
        <v>141</v>
      </c>
    </row>
    <row r="424" spans="1:7" x14ac:dyDescent="0.3">
      <c r="A424" t="s">
        <v>7</v>
      </c>
      <c r="B424" t="s">
        <v>47</v>
      </c>
      <c r="C424">
        <v>2023</v>
      </c>
      <c r="D424" t="s">
        <v>27</v>
      </c>
      <c r="E424">
        <v>44027</v>
      </c>
      <c r="F424">
        <v>27919</v>
      </c>
      <c r="G424" t="s">
        <v>140</v>
      </c>
    </row>
    <row r="425" spans="1:7" x14ac:dyDescent="0.3">
      <c r="A425" t="s">
        <v>7</v>
      </c>
      <c r="B425" t="s">
        <v>47</v>
      </c>
      <c r="C425">
        <v>2023</v>
      </c>
      <c r="D425" t="s">
        <v>28</v>
      </c>
      <c r="E425">
        <v>37515</v>
      </c>
      <c r="F425">
        <v>21407</v>
      </c>
      <c r="G425" t="s">
        <v>141</v>
      </c>
    </row>
    <row r="426" spans="1:7" x14ac:dyDescent="0.3">
      <c r="A426" t="s">
        <v>7</v>
      </c>
      <c r="B426" t="s">
        <v>47</v>
      </c>
      <c r="C426">
        <v>2024</v>
      </c>
      <c r="D426" t="s">
        <v>27</v>
      </c>
      <c r="E426">
        <v>43987</v>
      </c>
      <c r="F426">
        <v>27918</v>
      </c>
      <c r="G426" t="s">
        <v>142</v>
      </c>
    </row>
    <row r="427" spans="1:7" x14ac:dyDescent="0.3">
      <c r="A427" t="s">
        <v>7</v>
      </c>
      <c r="B427" t="s">
        <v>47</v>
      </c>
      <c r="C427">
        <v>2024</v>
      </c>
      <c r="D427" t="s">
        <v>28</v>
      </c>
      <c r="E427">
        <v>37475</v>
      </c>
      <c r="F427">
        <v>21407</v>
      </c>
      <c r="G427" t="s">
        <v>141</v>
      </c>
    </row>
    <row r="428" spans="1:7" x14ac:dyDescent="0.3">
      <c r="A428" t="s">
        <v>7</v>
      </c>
      <c r="B428" t="s">
        <v>48</v>
      </c>
      <c r="C428">
        <v>2022</v>
      </c>
      <c r="D428" t="s">
        <v>27</v>
      </c>
      <c r="E428">
        <v>111240</v>
      </c>
      <c r="F428">
        <v>111240</v>
      </c>
      <c r="G428" t="s">
        <v>122</v>
      </c>
    </row>
    <row r="429" spans="1:7" x14ac:dyDescent="0.3">
      <c r="A429" t="s">
        <v>7</v>
      </c>
      <c r="B429" t="s">
        <v>48</v>
      </c>
      <c r="C429">
        <v>2022</v>
      </c>
      <c r="D429" t="s">
        <v>50</v>
      </c>
      <c r="E429">
        <v>1417000</v>
      </c>
      <c r="F429">
        <v>1174000</v>
      </c>
      <c r="G429" t="s">
        <v>143</v>
      </c>
    </row>
    <row r="430" spans="1:7" x14ac:dyDescent="0.3">
      <c r="A430" t="s">
        <v>7</v>
      </c>
      <c r="B430" t="s">
        <v>48</v>
      </c>
      <c r="C430">
        <v>2023</v>
      </c>
      <c r="D430" t="s">
        <v>27</v>
      </c>
      <c r="E430">
        <v>111940</v>
      </c>
      <c r="F430">
        <v>111940</v>
      </c>
      <c r="G430" t="s">
        <v>122</v>
      </c>
    </row>
    <row r="431" spans="1:7" x14ac:dyDescent="0.3">
      <c r="A431" t="s">
        <v>7</v>
      </c>
      <c r="B431" t="s">
        <v>48</v>
      </c>
      <c r="C431">
        <v>2023</v>
      </c>
      <c r="D431" t="s">
        <v>50</v>
      </c>
      <c r="E431">
        <v>1377000</v>
      </c>
      <c r="F431">
        <v>1177000</v>
      </c>
      <c r="G431" t="s">
        <v>144</v>
      </c>
    </row>
    <row r="432" spans="1:7" x14ac:dyDescent="0.3">
      <c r="A432" t="s">
        <v>7</v>
      </c>
      <c r="B432" t="s">
        <v>48</v>
      </c>
      <c r="C432">
        <v>2024</v>
      </c>
      <c r="D432" t="s">
        <v>27</v>
      </c>
      <c r="E432">
        <v>111367</v>
      </c>
      <c r="F432">
        <v>111367</v>
      </c>
      <c r="G432" t="s">
        <v>122</v>
      </c>
    </row>
    <row r="433" spans="1:7" x14ac:dyDescent="0.3">
      <c r="A433" t="s">
        <v>7</v>
      </c>
      <c r="B433" t="s">
        <v>48</v>
      </c>
      <c r="C433">
        <v>2024</v>
      </c>
      <c r="D433" t="s">
        <v>26</v>
      </c>
      <c r="E433">
        <v>103036</v>
      </c>
      <c r="F433">
        <v>84941</v>
      </c>
      <c r="G433" t="s">
        <v>145</v>
      </c>
    </row>
    <row r="434" spans="1:7" x14ac:dyDescent="0.3">
      <c r="A434" t="s">
        <v>7</v>
      </c>
      <c r="B434" t="s">
        <v>48</v>
      </c>
      <c r="C434">
        <v>2024</v>
      </c>
      <c r="D434" t="s">
        <v>32</v>
      </c>
      <c r="E434">
        <v>8331</v>
      </c>
      <c r="F434">
        <v>6211</v>
      </c>
      <c r="G434" t="s">
        <v>146</v>
      </c>
    </row>
    <row r="435" spans="1:7" x14ac:dyDescent="0.3">
      <c r="A435" t="s">
        <v>7</v>
      </c>
      <c r="B435" t="s">
        <v>48</v>
      </c>
      <c r="C435">
        <v>2024</v>
      </c>
      <c r="D435" t="s">
        <v>50</v>
      </c>
      <c r="E435">
        <v>1345000</v>
      </c>
      <c r="F435">
        <v>1173000</v>
      </c>
      <c r="G435" t="s">
        <v>147</v>
      </c>
    </row>
    <row r="436" spans="1:7" x14ac:dyDescent="0.3">
      <c r="A436" t="s">
        <v>7</v>
      </c>
      <c r="B436" t="s">
        <v>19</v>
      </c>
      <c r="C436">
        <v>2022</v>
      </c>
      <c r="D436" t="s">
        <v>136</v>
      </c>
      <c r="E436">
        <v>4</v>
      </c>
      <c r="F436">
        <v>5</v>
      </c>
      <c r="G436" t="s">
        <v>148</v>
      </c>
    </row>
    <row r="437" spans="1:7" x14ac:dyDescent="0.3">
      <c r="A437" t="s">
        <v>7</v>
      </c>
      <c r="B437" t="s">
        <v>19</v>
      </c>
      <c r="C437">
        <v>2023</v>
      </c>
      <c r="D437" t="s">
        <v>136</v>
      </c>
      <c r="E437">
        <v>4</v>
      </c>
      <c r="F437">
        <v>5</v>
      </c>
      <c r="G437" t="s">
        <v>148</v>
      </c>
    </row>
    <row r="438" spans="1:7" x14ac:dyDescent="0.3">
      <c r="A438" t="s">
        <v>7</v>
      </c>
      <c r="B438" t="s">
        <v>19</v>
      </c>
      <c r="C438">
        <v>2023</v>
      </c>
      <c r="D438" t="s">
        <v>50</v>
      </c>
      <c r="E438">
        <v>694591</v>
      </c>
      <c r="F438">
        <v>694.59</v>
      </c>
      <c r="G438" t="s">
        <v>149</v>
      </c>
    </row>
    <row r="439" spans="1:7" x14ac:dyDescent="0.3">
      <c r="A439" t="s">
        <v>7</v>
      </c>
      <c r="B439" t="s">
        <v>19</v>
      </c>
      <c r="C439">
        <v>2024</v>
      </c>
      <c r="D439" t="s">
        <v>136</v>
      </c>
      <c r="E439">
        <v>4</v>
      </c>
      <c r="F439">
        <v>6</v>
      </c>
      <c r="G439" t="s">
        <v>150</v>
      </c>
    </row>
    <row r="440" spans="1:7" x14ac:dyDescent="0.3">
      <c r="A440" t="s">
        <v>7</v>
      </c>
      <c r="B440" t="s">
        <v>19</v>
      </c>
      <c r="C440">
        <v>2024</v>
      </c>
      <c r="D440" t="s">
        <v>50</v>
      </c>
      <c r="E440">
        <v>486707</v>
      </c>
      <c r="F440">
        <v>487</v>
      </c>
      <c r="G440" t="s">
        <v>149</v>
      </c>
    </row>
    <row r="441" spans="1:7" x14ac:dyDescent="0.3">
      <c r="A441" t="s">
        <v>7</v>
      </c>
      <c r="B441" t="s">
        <v>20</v>
      </c>
      <c r="C441">
        <v>2023</v>
      </c>
      <c r="D441" t="s">
        <v>24</v>
      </c>
      <c r="E441">
        <v>30</v>
      </c>
      <c r="F441">
        <v>60</v>
      </c>
      <c r="G441" t="s">
        <v>139</v>
      </c>
    </row>
    <row r="442" spans="1:7" x14ac:dyDescent="0.3">
      <c r="A442" t="s">
        <v>7</v>
      </c>
      <c r="B442" t="s">
        <v>20</v>
      </c>
      <c r="C442">
        <v>2023</v>
      </c>
      <c r="D442" t="s">
        <v>45</v>
      </c>
      <c r="E442">
        <v>10211</v>
      </c>
      <c r="F442">
        <v>11149</v>
      </c>
      <c r="G442" t="s">
        <v>151</v>
      </c>
    </row>
    <row r="443" spans="1:7" x14ac:dyDescent="0.3">
      <c r="A443" t="s">
        <v>7</v>
      </c>
      <c r="B443" t="s">
        <v>20</v>
      </c>
      <c r="C443">
        <v>2023</v>
      </c>
      <c r="D443" t="s">
        <v>37</v>
      </c>
      <c r="E443">
        <v>0.19120000000000001</v>
      </c>
      <c r="F443">
        <v>0.19120000000000001</v>
      </c>
      <c r="G443" t="s">
        <v>122</v>
      </c>
    </row>
    <row r="444" spans="1:7" x14ac:dyDescent="0.3">
      <c r="A444" t="s">
        <v>7</v>
      </c>
      <c r="B444" t="s">
        <v>21</v>
      </c>
      <c r="C444">
        <v>2023</v>
      </c>
      <c r="D444" t="s">
        <v>136</v>
      </c>
      <c r="E444">
        <v>2</v>
      </c>
      <c r="F444">
        <v>2</v>
      </c>
      <c r="G444" t="s">
        <v>120</v>
      </c>
    </row>
    <row r="445" spans="1:7" x14ac:dyDescent="0.3">
      <c r="A445" t="s">
        <v>7</v>
      </c>
      <c r="B445" t="s">
        <v>21</v>
      </c>
      <c r="C445">
        <v>2023</v>
      </c>
      <c r="D445" t="s">
        <v>24</v>
      </c>
      <c r="E445">
        <v>120</v>
      </c>
      <c r="F445">
        <v>120</v>
      </c>
      <c r="G445" t="s">
        <v>120</v>
      </c>
    </row>
    <row r="446" spans="1:7" x14ac:dyDescent="0.3">
      <c r="A446" t="s">
        <v>7</v>
      </c>
      <c r="B446" t="s">
        <v>49</v>
      </c>
      <c r="C446">
        <v>2022</v>
      </c>
      <c r="D446" t="s">
        <v>28</v>
      </c>
      <c r="E446">
        <v>20267</v>
      </c>
      <c r="F446">
        <v>16877.18</v>
      </c>
      <c r="G446" t="s">
        <v>152</v>
      </c>
    </row>
    <row r="447" spans="1:7" x14ac:dyDescent="0.3">
      <c r="A447" t="s">
        <v>7</v>
      </c>
      <c r="B447" t="s">
        <v>49</v>
      </c>
      <c r="C447">
        <v>2022</v>
      </c>
      <c r="D447" t="s">
        <v>26</v>
      </c>
      <c r="E447">
        <v>19417</v>
      </c>
      <c r="F447">
        <v>12396.52</v>
      </c>
      <c r="G447" t="s">
        <v>153</v>
      </c>
    </row>
    <row r="448" spans="1:7" x14ac:dyDescent="0.3">
      <c r="A448" t="s">
        <v>7</v>
      </c>
      <c r="B448" t="s">
        <v>49</v>
      </c>
      <c r="C448">
        <v>2023</v>
      </c>
      <c r="D448" t="s">
        <v>27</v>
      </c>
      <c r="E448">
        <v>20267</v>
      </c>
      <c r="F448">
        <v>26945.33</v>
      </c>
      <c r="G448" t="s">
        <v>154</v>
      </c>
    </row>
    <row r="449" spans="1:7" x14ac:dyDescent="0.3">
      <c r="A449" t="s">
        <v>7</v>
      </c>
      <c r="B449" t="s">
        <v>49</v>
      </c>
      <c r="C449">
        <v>2023</v>
      </c>
      <c r="D449" t="s">
        <v>28</v>
      </c>
      <c r="E449">
        <v>20267</v>
      </c>
      <c r="F449">
        <v>23366.63</v>
      </c>
      <c r="G449" t="s">
        <v>155</v>
      </c>
    </row>
    <row r="450" spans="1:7" x14ac:dyDescent="0.3">
      <c r="A450" t="s">
        <v>7</v>
      </c>
      <c r="B450" t="s">
        <v>49</v>
      </c>
      <c r="C450">
        <v>2024</v>
      </c>
      <c r="D450" t="s">
        <v>27</v>
      </c>
      <c r="E450">
        <v>22782</v>
      </c>
      <c r="F450">
        <v>26620.92</v>
      </c>
      <c r="G450" t="s">
        <v>156</v>
      </c>
    </row>
    <row r="451" spans="1:7" x14ac:dyDescent="0.3">
      <c r="A451" t="s">
        <v>7</v>
      </c>
      <c r="B451" t="s">
        <v>51</v>
      </c>
      <c r="C451">
        <v>2022</v>
      </c>
      <c r="D451" t="s">
        <v>27</v>
      </c>
      <c r="E451">
        <v>13324</v>
      </c>
      <c r="F451">
        <v>13324</v>
      </c>
      <c r="G451" t="s">
        <v>122</v>
      </c>
    </row>
    <row r="452" spans="1:7" x14ac:dyDescent="0.3">
      <c r="A452" t="s">
        <v>7</v>
      </c>
      <c r="B452" t="s">
        <v>51</v>
      </c>
      <c r="C452">
        <v>2023</v>
      </c>
      <c r="D452" t="s">
        <v>27</v>
      </c>
      <c r="E452">
        <v>13834</v>
      </c>
      <c r="F452">
        <v>13834</v>
      </c>
      <c r="G452" t="s">
        <v>122</v>
      </c>
    </row>
    <row r="453" spans="1:7" x14ac:dyDescent="0.3">
      <c r="A453" t="s">
        <v>7</v>
      </c>
      <c r="B453" t="s">
        <v>53</v>
      </c>
      <c r="C453">
        <v>2022</v>
      </c>
      <c r="D453" t="s">
        <v>27</v>
      </c>
      <c r="E453">
        <v>168142</v>
      </c>
      <c r="F453">
        <v>132660</v>
      </c>
      <c r="G453" t="s">
        <v>157</v>
      </c>
    </row>
    <row r="454" spans="1:7" x14ac:dyDescent="0.3">
      <c r="A454" t="s">
        <v>7</v>
      </c>
      <c r="B454" t="s">
        <v>53</v>
      </c>
      <c r="C454">
        <v>2022</v>
      </c>
      <c r="D454" t="s">
        <v>28</v>
      </c>
      <c r="E454">
        <v>117461</v>
      </c>
      <c r="F454">
        <v>82973</v>
      </c>
      <c r="G454" t="s">
        <v>158</v>
      </c>
    </row>
    <row r="455" spans="1:7" x14ac:dyDescent="0.3">
      <c r="A455" t="s">
        <v>7</v>
      </c>
      <c r="B455" t="s">
        <v>53</v>
      </c>
      <c r="C455">
        <v>2022</v>
      </c>
      <c r="D455" t="s">
        <v>36</v>
      </c>
      <c r="E455">
        <v>14</v>
      </c>
      <c r="F455">
        <v>14</v>
      </c>
      <c r="G455" t="s">
        <v>122</v>
      </c>
    </row>
    <row r="456" spans="1:7" x14ac:dyDescent="0.3">
      <c r="A456" t="s">
        <v>7</v>
      </c>
      <c r="B456" t="s">
        <v>53</v>
      </c>
      <c r="C456">
        <v>2022</v>
      </c>
      <c r="D456" t="s">
        <v>50</v>
      </c>
      <c r="E456">
        <v>1862586</v>
      </c>
      <c r="F456">
        <v>1242866</v>
      </c>
      <c r="G456" t="s">
        <v>159</v>
      </c>
    </row>
    <row r="457" spans="1:7" x14ac:dyDescent="0.3">
      <c r="A457" t="s">
        <v>7</v>
      </c>
      <c r="B457" t="s">
        <v>53</v>
      </c>
      <c r="C457">
        <v>2023</v>
      </c>
      <c r="D457" t="s">
        <v>27</v>
      </c>
      <c r="E457">
        <v>167637</v>
      </c>
      <c r="F457">
        <v>132162</v>
      </c>
      <c r="G457" t="s">
        <v>160</v>
      </c>
    </row>
    <row r="458" spans="1:7" x14ac:dyDescent="0.3">
      <c r="A458" t="s">
        <v>7</v>
      </c>
      <c r="B458" t="s">
        <v>53</v>
      </c>
      <c r="C458">
        <v>2023</v>
      </c>
      <c r="D458" t="s">
        <v>28</v>
      </c>
      <c r="E458">
        <v>117598</v>
      </c>
      <c r="F458">
        <v>82123</v>
      </c>
      <c r="G458" t="s">
        <v>161</v>
      </c>
    </row>
    <row r="459" spans="1:7" x14ac:dyDescent="0.3">
      <c r="A459" t="s">
        <v>7</v>
      </c>
      <c r="B459" t="s">
        <v>53</v>
      </c>
      <c r="C459">
        <v>2023</v>
      </c>
      <c r="D459" t="s">
        <v>50</v>
      </c>
      <c r="E459">
        <v>1900174</v>
      </c>
      <c r="F459">
        <v>1259629</v>
      </c>
      <c r="G459" t="s">
        <v>162</v>
      </c>
    </row>
    <row r="460" spans="1:7" x14ac:dyDescent="0.3">
      <c r="A460" t="s">
        <v>7</v>
      </c>
      <c r="B460" t="s">
        <v>53</v>
      </c>
      <c r="C460">
        <v>2024</v>
      </c>
      <c r="D460" t="s">
        <v>27</v>
      </c>
      <c r="E460">
        <v>164721</v>
      </c>
      <c r="F460">
        <v>128290</v>
      </c>
      <c r="G460" t="s">
        <v>163</v>
      </c>
    </row>
    <row r="461" spans="1:7" x14ac:dyDescent="0.3">
      <c r="A461" t="s">
        <v>7</v>
      </c>
      <c r="B461" t="s">
        <v>53</v>
      </c>
      <c r="C461">
        <v>2024</v>
      </c>
      <c r="D461" t="s">
        <v>28</v>
      </c>
      <c r="E461">
        <v>118164</v>
      </c>
      <c r="F461">
        <v>81733</v>
      </c>
      <c r="G461" t="s">
        <v>164</v>
      </c>
    </row>
    <row r="462" spans="1:7" x14ac:dyDescent="0.3">
      <c r="A462" t="s">
        <v>7</v>
      </c>
      <c r="B462" t="s">
        <v>53</v>
      </c>
      <c r="C462">
        <v>2024</v>
      </c>
      <c r="D462" t="s">
        <v>50</v>
      </c>
      <c r="E462">
        <v>1726376</v>
      </c>
      <c r="F462">
        <v>1167927</v>
      </c>
      <c r="G462" t="s">
        <v>165</v>
      </c>
    </row>
    <row r="463" spans="1:7" x14ac:dyDescent="0.3">
      <c r="A463" t="s">
        <v>7</v>
      </c>
      <c r="B463" t="s">
        <v>54</v>
      </c>
      <c r="C463">
        <v>2022</v>
      </c>
      <c r="D463" t="s">
        <v>27</v>
      </c>
      <c r="E463">
        <v>294488</v>
      </c>
      <c r="F463">
        <v>294488</v>
      </c>
      <c r="G463" t="s">
        <v>122</v>
      </c>
    </row>
    <row r="464" spans="1:7" x14ac:dyDescent="0.3">
      <c r="A464" t="s">
        <v>7</v>
      </c>
      <c r="B464" t="s">
        <v>54</v>
      </c>
      <c r="C464">
        <v>2022</v>
      </c>
      <c r="D464" t="s">
        <v>28</v>
      </c>
      <c r="E464">
        <v>294488</v>
      </c>
      <c r="F464">
        <v>244768</v>
      </c>
      <c r="G464" t="s">
        <v>156</v>
      </c>
    </row>
    <row r="465" spans="1:7" x14ac:dyDescent="0.3">
      <c r="A465" t="s">
        <v>7</v>
      </c>
      <c r="B465" t="s">
        <v>54</v>
      </c>
      <c r="C465">
        <v>2022</v>
      </c>
      <c r="D465" t="s">
        <v>26</v>
      </c>
      <c r="E465">
        <v>248538</v>
      </c>
      <c r="F465">
        <v>218064</v>
      </c>
      <c r="G465" t="s">
        <v>166</v>
      </c>
    </row>
    <row r="466" spans="1:7" x14ac:dyDescent="0.3">
      <c r="A466" t="s">
        <v>7</v>
      </c>
      <c r="B466" t="s">
        <v>54</v>
      </c>
      <c r="C466">
        <v>2022</v>
      </c>
      <c r="D466" t="s">
        <v>32</v>
      </c>
      <c r="E466">
        <v>31894</v>
      </c>
      <c r="F466">
        <v>26704</v>
      </c>
      <c r="G466" t="s">
        <v>167</v>
      </c>
    </row>
    <row r="467" spans="1:7" x14ac:dyDescent="0.3">
      <c r="A467" t="s">
        <v>7</v>
      </c>
      <c r="B467" t="s">
        <v>54</v>
      </c>
      <c r="C467">
        <v>2022</v>
      </c>
      <c r="D467" t="s">
        <v>50</v>
      </c>
      <c r="E467">
        <v>3741000</v>
      </c>
      <c r="F467">
        <v>2812000</v>
      </c>
      <c r="G467" t="s">
        <v>168</v>
      </c>
    </row>
    <row r="468" spans="1:7" x14ac:dyDescent="0.3">
      <c r="A468" t="s">
        <v>7</v>
      </c>
      <c r="B468" t="s">
        <v>54</v>
      </c>
      <c r="C468">
        <v>2023</v>
      </c>
      <c r="D468" t="s">
        <v>27</v>
      </c>
      <c r="E468">
        <v>293429</v>
      </c>
      <c r="F468">
        <v>293429</v>
      </c>
      <c r="G468" t="s">
        <v>122</v>
      </c>
    </row>
    <row r="469" spans="1:7" x14ac:dyDescent="0.3">
      <c r="A469" t="s">
        <v>7</v>
      </c>
      <c r="B469" t="s">
        <v>54</v>
      </c>
      <c r="C469">
        <v>2023</v>
      </c>
      <c r="D469" t="s">
        <v>28</v>
      </c>
      <c r="E469">
        <v>293429</v>
      </c>
      <c r="F469">
        <v>244337</v>
      </c>
      <c r="G469" t="s">
        <v>152</v>
      </c>
    </row>
    <row r="470" spans="1:7" x14ac:dyDescent="0.3">
      <c r="A470" t="s">
        <v>7</v>
      </c>
      <c r="B470" t="s">
        <v>54</v>
      </c>
      <c r="C470">
        <v>2023</v>
      </c>
      <c r="D470" t="s">
        <v>26</v>
      </c>
      <c r="E470">
        <v>250978</v>
      </c>
      <c r="F470">
        <v>220531</v>
      </c>
      <c r="G470" t="s">
        <v>169</v>
      </c>
    </row>
    <row r="471" spans="1:7" x14ac:dyDescent="0.3">
      <c r="A471" t="s">
        <v>7</v>
      </c>
      <c r="B471" t="s">
        <v>54</v>
      </c>
      <c r="C471">
        <v>2023</v>
      </c>
      <c r="D471" t="s">
        <v>32</v>
      </c>
      <c r="E471">
        <v>29067</v>
      </c>
      <c r="F471">
        <v>23806</v>
      </c>
      <c r="G471" t="s">
        <v>170</v>
      </c>
    </row>
    <row r="472" spans="1:7" x14ac:dyDescent="0.3">
      <c r="A472" t="s">
        <v>7</v>
      </c>
      <c r="B472" t="s">
        <v>54</v>
      </c>
      <c r="C472">
        <v>2023</v>
      </c>
      <c r="D472" t="s">
        <v>50</v>
      </c>
      <c r="E472">
        <v>3632000</v>
      </c>
      <c r="F472">
        <v>2784000</v>
      </c>
      <c r="G472" t="s">
        <v>171</v>
      </c>
    </row>
    <row r="473" spans="1:7" x14ac:dyDescent="0.3">
      <c r="A473" t="s">
        <v>7</v>
      </c>
      <c r="B473" t="s">
        <v>54</v>
      </c>
      <c r="C473">
        <v>2024</v>
      </c>
      <c r="D473" t="s">
        <v>27</v>
      </c>
      <c r="E473">
        <v>288649</v>
      </c>
      <c r="F473">
        <v>288649</v>
      </c>
      <c r="G473" t="s">
        <v>122</v>
      </c>
    </row>
    <row r="474" spans="1:7" x14ac:dyDescent="0.3">
      <c r="A474" t="s">
        <v>7</v>
      </c>
      <c r="B474" t="s">
        <v>54</v>
      </c>
      <c r="C474">
        <v>2024</v>
      </c>
      <c r="D474" t="s">
        <v>28</v>
      </c>
      <c r="E474">
        <v>288649</v>
      </c>
      <c r="F474">
        <v>241208</v>
      </c>
      <c r="G474" t="s">
        <v>172</v>
      </c>
    </row>
    <row r="475" spans="1:7" x14ac:dyDescent="0.3">
      <c r="A475" t="s">
        <v>7</v>
      </c>
      <c r="B475" t="s">
        <v>54</v>
      </c>
      <c r="C475">
        <v>2024</v>
      </c>
      <c r="D475" t="s">
        <v>26</v>
      </c>
      <c r="E475">
        <v>249644</v>
      </c>
      <c r="F475">
        <v>220318</v>
      </c>
      <c r="G475" t="s">
        <v>173</v>
      </c>
    </row>
    <row r="476" spans="1:7" x14ac:dyDescent="0.3">
      <c r="A476" t="s">
        <v>7</v>
      </c>
      <c r="B476" t="s">
        <v>54</v>
      </c>
      <c r="C476">
        <v>2024</v>
      </c>
      <c r="D476" t="s">
        <v>32</v>
      </c>
      <c r="E476">
        <v>25422</v>
      </c>
      <c r="F476">
        <v>20890</v>
      </c>
      <c r="G476" t="s">
        <v>174</v>
      </c>
    </row>
    <row r="477" spans="1:7" x14ac:dyDescent="0.3">
      <c r="A477" t="s">
        <v>7</v>
      </c>
      <c r="B477" t="s">
        <v>54</v>
      </c>
      <c r="C477">
        <v>2024</v>
      </c>
      <c r="D477" t="s">
        <v>50</v>
      </c>
      <c r="E477">
        <v>3645000</v>
      </c>
      <c r="F477">
        <v>2758000</v>
      </c>
      <c r="G477" t="s">
        <v>175</v>
      </c>
    </row>
    <row r="478" spans="1:7" x14ac:dyDescent="0.3">
      <c r="A478" t="s">
        <v>7</v>
      </c>
      <c r="B478" t="s">
        <v>55</v>
      </c>
      <c r="C478">
        <v>2022</v>
      </c>
      <c r="D478" t="s">
        <v>50</v>
      </c>
      <c r="E478">
        <v>2480000</v>
      </c>
      <c r="F478">
        <v>1950842</v>
      </c>
      <c r="G478" t="s">
        <v>134</v>
      </c>
    </row>
    <row r="479" spans="1:7" x14ac:dyDescent="0.3">
      <c r="A479" t="s">
        <v>7</v>
      </c>
      <c r="B479" t="s">
        <v>55</v>
      </c>
      <c r="C479">
        <v>2023</v>
      </c>
      <c r="D479" t="s">
        <v>50</v>
      </c>
      <c r="E479">
        <v>2410000</v>
      </c>
      <c r="F479">
        <v>1849591</v>
      </c>
      <c r="G479" t="s">
        <v>171</v>
      </c>
    </row>
    <row r="480" spans="1:7" x14ac:dyDescent="0.3">
      <c r="A480" t="s">
        <v>7</v>
      </c>
      <c r="B480" t="s">
        <v>55</v>
      </c>
      <c r="C480">
        <v>2023</v>
      </c>
      <c r="D480" t="s">
        <v>46</v>
      </c>
      <c r="E480">
        <v>13734</v>
      </c>
      <c r="F480">
        <v>13734</v>
      </c>
      <c r="G480" t="s">
        <v>120</v>
      </c>
    </row>
    <row r="481" spans="1:7" x14ac:dyDescent="0.3">
      <c r="A481" t="s">
        <v>7</v>
      </c>
      <c r="B481" t="s">
        <v>55</v>
      </c>
      <c r="C481">
        <v>2024</v>
      </c>
      <c r="D481" t="s">
        <v>50</v>
      </c>
      <c r="E481">
        <v>2242000</v>
      </c>
      <c r="F481">
        <v>1741349</v>
      </c>
      <c r="G481" t="s">
        <v>176</v>
      </c>
    </row>
    <row r="482" spans="1:7" x14ac:dyDescent="0.3">
      <c r="A482" t="s">
        <v>7</v>
      </c>
      <c r="B482" t="s">
        <v>56</v>
      </c>
      <c r="C482">
        <v>2023</v>
      </c>
      <c r="D482" t="s">
        <v>27</v>
      </c>
      <c r="E482">
        <v>115880</v>
      </c>
      <c r="F482">
        <v>82465.72</v>
      </c>
      <c r="G482" t="s">
        <v>177</v>
      </c>
    </row>
    <row r="483" spans="1:7" x14ac:dyDescent="0.3">
      <c r="A483" t="s">
        <v>7</v>
      </c>
      <c r="B483" t="s">
        <v>56</v>
      </c>
      <c r="C483">
        <v>2023</v>
      </c>
      <c r="D483" t="s">
        <v>28</v>
      </c>
      <c r="E483">
        <v>93534</v>
      </c>
      <c r="F483">
        <v>69167.06</v>
      </c>
      <c r="G483" t="s">
        <v>178</v>
      </c>
    </row>
    <row r="484" spans="1:7" x14ac:dyDescent="0.3">
      <c r="A484" t="s">
        <v>7</v>
      </c>
      <c r="B484" t="s">
        <v>56</v>
      </c>
      <c r="C484">
        <v>2023</v>
      </c>
      <c r="D484" t="s">
        <v>29</v>
      </c>
      <c r="E484">
        <v>22346</v>
      </c>
      <c r="F484">
        <v>13238.67</v>
      </c>
      <c r="G484" t="s">
        <v>179</v>
      </c>
    </row>
    <row r="485" spans="1:7" x14ac:dyDescent="0.3">
      <c r="A485" t="s">
        <v>7</v>
      </c>
      <c r="B485" t="s">
        <v>56</v>
      </c>
      <c r="C485">
        <v>2023</v>
      </c>
      <c r="D485" t="s">
        <v>50</v>
      </c>
      <c r="E485">
        <v>2388459</v>
      </c>
      <c r="F485">
        <v>1723170</v>
      </c>
      <c r="G485" t="s">
        <v>180</v>
      </c>
    </row>
    <row r="486" spans="1:7" x14ac:dyDescent="0.3">
      <c r="A486" t="s">
        <v>7</v>
      </c>
      <c r="B486" t="s">
        <v>56</v>
      </c>
      <c r="C486">
        <v>2024</v>
      </c>
      <c r="D486" t="s">
        <v>50</v>
      </c>
      <c r="E486">
        <v>2185514</v>
      </c>
      <c r="F486">
        <v>1562446</v>
      </c>
      <c r="G486" t="s">
        <v>181</v>
      </c>
    </row>
    <row r="487" spans="1:7" x14ac:dyDescent="0.3">
      <c r="A487" t="s">
        <v>7</v>
      </c>
      <c r="B487" t="s">
        <v>56</v>
      </c>
      <c r="C487">
        <v>2025</v>
      </c>
      <c r="D487" t="s">
        <v>50</v>
      </c>
      <c r="E487">
        <v>2403164</v>
      </c>
      <c r="F487">
        <v>1628452</v>
      </c>
      <c r="G487" t="s">
        <v>182</v>
      </c>
    </row>
    <row r="488" spans="1:7" x14ac:dyDescent="0.3">
      <c r="A488" t="s">
        <v>7</v>
      </c>
      <c r="B488" t="s">
        <v>106</v>
      </c>
      <c r="C488">
        <v>2023</v>
      </c>
      <c r="D488" t="s">
        <v>26</v>
      </c>
      <c r="E488">
        <v>129221</v>
      </c>
      <c r="F488">
        <v>129221</v>
      </c>
      <c r="G488" t="s">
        <v>120</v>
      </c>
    </row>
    <row r="489" spans="1:7" x14ac:dyDescent="0.3">
      <c r="A489" t="s">
        <v>7</v>
      </c>
      <c r="B489" t="s">
        <v>106</v>
      </c>
      <c r="C489">
        <v>2023</v>
      </c>
      <c r="D489" t="s">
        <v>32</v>
      </c>
      <c r="E489">
        <v>7164</v>
      </c>
      <c r="F489">
        <v>7164</v>
      </c>
      <c r="G489" t="s">
        <v>120</v>
      </c>
    </row>
    <row r="490" spans="1:7" x14ac:dyDescent="0.3">
      <c r="A490" t="s">
        <v>7</v>
      </c>
      <c r="B490" t="s">
        <v>106</v>
      </c>
      <c r="C490">
        <v>2023</v>
      </c>
      <c r="D490" t="s">
        <v>50</v>
      </c>
      <c r="E490">
        <v>3399000</v>
      </c>
      <c r="F490">
        <v>3050000</v>
      </c>
      <c r="G490" t="s">
        <v>183</v>
      </c>
    </row>
    <row r="491" spans="1:7" x14ac:dyDescent="0.3">
      <c r="A491" t="s">
        <v>7</v>
      </c>
      <c r="B491" t="s">
        <v>106</v>
      </c>
      <c r="C491">
        <v>2024</v>
      </c>
      <c r="D491" t="s">
        <v>26</v>
      </c>
      <c r="E491">
        <v>128178</v>
      </c>
      <c r="F491">
        <v>128178</v>
      </c>
      <c r="G491" t="s">
        <v>120</v>
      </c>
    </row>
    <row r="492" spans="1:7" x14ac:dyDescent="0.3">
      <c r="A492" t="s">
        <v>7</v>
      </c>
      <c r="B492" t="s">
        <v>106</v>
      </c>
      <c r="C492">
        <v>2024</v>
      </c>
      <c r="D492" t="s">
        <v>32</v>
      </c>
      <c r="E492">
        <v>7416</v>
      </c>
      <c r="F492">
        <v>7416</v>
      </c>
      <c r="G492" t="s">
        <v>120</v>
      </c>
    </row>
    <row r="493" spans="1:7" x14ac:dyDescent="0.3">
      <c r="A493" t="s">
        <v>7</v>
      </c>
      <c r="B493" t="s">
        <v>106</v>
      </c>
      <c r="C493">
        <v>2024</v>
      </c>
      <c r="D493" t="s">
        <v>50</v>
      </c>
      <c r="E493">
        <v>3276000</v>
      </c>
      <c r="F493">
        <v>2946000</v>
      </c>
      <c r="G493" t="s">
        <v>135</v>
      </c>
    </row>
    <row r="494" spans="1:7" x14ac:dyDescent="0.3">
      <c r="A494" t="s">
        <v>7</v>
      </c>
      <c r="B494" t="s">
        <v>106</v>
      </c>
      <c r="C494">
        <v>2025</v>
      </c>
      <c r="D494" t="s">
        <v>26</v>
      </c>
      <c r="E494">
        <v>125201</v>
      </c>
      <c r="F494">
        <v>125201</v>
      </c>
      <c r="G494" t="s">
        <v>120</v>
      </c>
    </row>
    <row r="495" spans="1:7" x14ac:dyDescent="0.3">
      <c r="A495" t="s">
        <v>7</v>
      </c>
      <c r="B495" t="s">
        <v>106</v>
      </c>
      <c r="C495">
        <v>2025</v>
      </c>
      <c r="D495" t="s">
        <v>32</v>
      </c>
      <c r="E495">
        <v>7613</v>
      </c>
      <c r="F495">
        <v>7613</v>
      </c>
      <c r="G495" t="s">
        <v>120</v>
      </c>
    </row>
    <row r="496" spans="1:7" x14ac:dyDescent="0.3">
      <c r="A496" t="s">
        <v>7</v>
      </c>
      <c r="B496" t="s">
        <v>106</v>
      </c>
      <c r="C496">
        <v>2025</v>
      </c>
      <c r="D496" t="s">
        <v>50</v>
      </c>
      <c r="E496">
        <v>3425000</v>
      </c>
      <c r="F496">
        <v>3040000</v>
      </c>
      <c r="G496" t="s">
        <v>184</v>
      </c>
    </row>
    <row r="497" spans="1:7" x14ac:dyDescent="0.3">
      <c r="A497" t="s">
        <v>7</v>
      </c>
      <c r="B497" t="s">
        <v>22</v>
      </c>
      <c r="C497">
        <v>2023</v>
      </c>
      <c r="D497" t="s">
        <v>50</v>
      </c>
      <c r="E497">
        <v>1213068</v>
      </c>
      <c r="F497">
        <v>1068338</v>
      </c>
      <c r="G497" t="s">
        <v>185</v>
      </c>
    </row>
    <row r="498" spans="1:7" x14ac:dyDescent="0.3">
      <c r="A498" t="s">
        <v>7</v>
      </c>
      <c r="B498" t="s">
        <v>22</v>
      </c>
      <c r="C498">
        <v>2024</v>
      </c>
      <c r="D498" t="s">
        <v>50</v>
      </c>
      <c r="E498">
        <v>1219294</v>
      </c>
      <c r="F498">
        <v>1071173</v>
      </c>
      <c r="G498" t="s">
        <v>169</v>
      </c>
    </row>
    <row r="499" spans="1:7" x14ac:dyDescent="0.3">
      <c r="A499" t="s">
        <v>7</v>
      </c>
      <c r="B499" t="s">
        <v>22</v>
      </c>
      <c r="C499">
        <v>2025</v>
      </c>
      <c r="D499" t="s">
        <v>50</v>
      </c>
      <c r="E499">
        <v>1271034</v>
      </c>
      <c r="F499">
        <v>1109558</v>
      </c>
      <c r="G499" t="s">
        <v>186</v>
      </c>
    </row>
    <row r="500" spans="1:7" x14ac:dyDescent="0.3">
      <c r="A500" t="s">
        <v>7</v>
      </c>
      <c r="B500" t="s">
        <v>23</v>
      </c>
      <c r="C500">
        <v>2022</v>
      </c>
      <c r="D500" t="s">
        <v>27</v>
      </c>
      <c r="E500">
        <v>67591</v>
      </c>
      <c r="F500">
        <v>52192</v>
      </c>
      <c r="G500" t="s">
        <v>187</v>
      </c>
    </row>
    <row r="501" spans="1:7" x14ac:dyDescent="0.3">
      <c r="A501" t="s">
        <v>7</v>
      </c>
      <c r="B501" t="s">
        <v>23</v>
      </c>
      <c r="C501">
        <v>2022</v>
      </c>
      <c r="D501" t="s">
        <v>26</v>
      </c>
      <c r="E501">
        <v>61245</v>
      </c>
      <c r="F501">
        <v>45968</v>
      </c>
      <c r="G501" t="s">
        <v>188</v>
      </c>
    </row>
    <row r="502" spans="1:7" x14ac:dyDescent="0.3">
      <c r="A502" t="s">
        <v>7</v>
      </c>
      <c r="B502" t="s">
        <v>23</v>
      </c>
      <c r="C502">
        <v>2023</v>
      </c>
      <c r="D502" t="s">
        <v>27</v>
      </c>
      <c r="E502">
        <v>69713</v>
      </c>
      <c r="F502">
        <v>54828</v>
      </c>
      <c r="G502" t="s">
        <v>189</v>
      </c>
    </row>
    <row r="503" spans="1:7" x14ac:dyDescent="0.3">
      <c r="A503" t="s">
        <v>7</v>
      </c>
      <c r="B503" t="s">
        <v>23</v>
      </c>
      <c r="C503">
        <v>2023</v>
      </c>
      <c r="D503" t="s">
        <v>26</v>
      </c>
      <c r="E503">
        <v>62677</v>
      </c>
      <c r="F503">
        <v>62677</v>
      </c>
      <c r="G503" t="s">
        <v>122</v>
      </c>
    </row>
    <row r="504" spans="1:7" x14ac:dyDescent="0.3">
      <c r="A504" t="s">
        <v>7</v>
      </c>
      <c r="B504" t="s">
        <v>23</v>
      </c>
      <c r="C504">
        <v>2023</v>
      </c>
      <c r="D504" t="s">
        <v>32</v>
      </c>
      <c r="E504">
        <v>7036</v>
      </c>
      <c r="F504">
        <v>7036</v>
      </c>
      <c r="G504" t="s">
        <v>122</v>
      </c>
    </row>
  </sheetData>
  <phoneticPr fontId="24"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46"/>
  <sheetViews>
    <sheetView workbookViewId="0">
      <pane ySplit="6" topLeftCell="A7" activePane="bottomLeft" state="frozen"/>
      <selection pane="bottomLeft"/>
    </sheetView>
  </sheetViews>
  <sheetFormatPr defaultRowHeight="14.4" x14ac:dyDescent="0.3"/>
  <cols>
    <col min="1" max="1" width="4" customWidth="1"/>
    <col min="2" max="2" width="14" customWidth="1"/>
    <col min="3" max="3" width="9" customWidth="1"/>
    <col min="4" max="5" width="8" customWidth="1"/>
    <col min="6" max="6" width="28" customWidth="1"/>
    <col min="7" max="8" width="18" customWidth="1"/>
    <col min="9" max="9" width="12" customWidth="1"/>
    <col min="10" max="10" width="50" customWidth="1"/>
  </cols>
  <sheetData>
    <row r="1" spans="1:10" ht="25.95" customHeight="1" x14ac:dyDescent="0.3">
      <c r="A1" s="78" t="s">
        <v>10529</v>
      </c>
      <c r="B1" s="67"/>
      <c r="C1" s="67"/>
      <c r="D1" s="67"/>
      <c r="E1" s="67"/>
      <c r="F1" s="67"/>
      <c r="G1" s="67"/>
      <c r="H1" s="67"/>
      <c r="I1" s="67"/>
      <c r="J1" s="67"/>
    </row>
    <row r="2" spans="1:10" ht="28.05" customHeight="1" x14ac:dyDescent="0.3">
      <c r="A2" s="51" t="s">
        <v>10530</v>
      </c>
      <c r="B2" s="79" t="s">
        <v>10531</v>
      </c>
      <c r="C2" s="80"/>
      <c r="D2" s="80"/>
      <c r="E2" s="80"/>
      <c r="F2" s="80"/>
      <c r="G2" s="80"/>
      <c r="H2" s="80"/>
      <c r="I2" s="81"/>
      <c r="J2" s="52" t="s">
        <v>10532</v>
      </c>
    </row>
    <row r="3" spans="1:10" ht="28.05" customHeight="1" x14ac:dyDescent="0.3">
      <c r="A3" s="53" t="s">
        <v>10533</v>
      </c>
      <c r="B3" s="83" t="s">
        <v>10534</v>
      </c>
      <c r="C3" s="80"/>
      <c r="D3" s="80"/>
      <c r="E3" s="80"/>
      <c r="F3" s="80"/>
      <c r="G3" s="80"/>
      <c r="H3" s="80"/>
      <c r="I3" s="81"/>
      <c r="J3" s="54" t="s">
        <v>10535</v>
      </c>
    </row>
    <row r="4" spans="1:10" ht="28.05" customHeight="1" x14ac:dyDescent="0.3">
      <c r="A4" s="55" t="s">
        <v>10536</v>
      </c>
      <c r="B4" s="82" t="s">
        <v>10537</v>
      </c>
      <c r="C4" s="80"/>
      <c r="D4" s="80"/>
      <c r="E4" s="80"/>
      <c r="F4" s="80"/>
      <c r="G4" s="80"/>
      <c r="H4" s="80"/>
      <c r="I4" s="81"/>
      <c r="J4" s="56" t="s">
        <v>10538</v>
      </c>
    </row>
    <row r="6" spans="1:10" ht="25.95" customHeight="1" x14ac:dyDescent="0.3">
      <c r="A6" s="57" t="s">
        <v>10539</v>
      </c>
      <c r="B6" s="57" t="s">
        <v>10540</v>
      </c>
      <c r="C6" s="57" t="s">
        <v>10541</v>
      </c>
      <c r="D6" s="57" t="s">
        <v>1</v>
      </c>
      <c r="E6" s="57" t="s">
        <v>2</v>
      </c>
      <c r="F6" s="57" t="s">
        <v>3</v>
      </c>
      <c r="G6" s="57" t="s">
        <v>10542</v>
      </c>
      <c r="H6" s="57" t="s">
        <v>10543</v>
      </c>
      <c r="I6" s="57" t="s">
        <v>10544</v>
      </c>
      <c r="J6" s="57" t="s">
        <v>10545</v>
      </c>
    </row>
    <row r="7" spans="1:10" x14ac:dyDescent="0.3">
      <c r="A7" s="58" t="s">
        <v>10530</v>
      </c>
      <c r="B7" s="59" t="s">
        <v>10546</v>
      </c>
      <c r="C7" s="59" t="s">
        <v>10547</v>
      </c>
      <c r="D7" s="59" t="s">
        <v>39</v>
      </c>
      <c r="E7" s="59">
        <v>2023</v>
      </c>
      <c r="F7" s="59" t="s">
        <v>10548</v>
      </c>
      <c r="G7" s="59">
        <v>2271821</v>
      </c>
      <c r="H7" s="59" t="s">
        <v>10549</v>
      </c>
      <c r="I7" s="59" t="s">
        <v>10549</v>
      </c>
      <c r="J7" s="59" t="s">
        <v>10550</v>
      </c>
    </row>
    <row r="8" spans="1:10" x14ac:dyDescent="0.3">
      <c r="A8" s="58" t="s">
        <v>10530</v>
      </c>
      <c r="B8" s="59" t="s">
        <v>10546</v>
      </c>
      <c r="C8" s="59" t="s">
        <v>10551</v>
      </c>
      <c r="D8" s="59" t="s">
        <v>39</v>
      </c>
      <c r="E8" s="59">
        <v>2024</v>
      </c>
      <c r="F8" s="59" t="s">
        <v>11</v>
      </c>
      <c r="G8" s="59">
        <v>557.02300000000002</v>
      </c>
      <c r="H8" s="59" t="s">
        <v>10549</v>
      </c>
      <c r="I8" s="59" t="s">
        <v>10549</v>
      </c>
      <c r="J8" s="59" t="s">
        <v>10550</v>
      </c>
    </row>
    <row r="9" spans="1:10" x14ac:dyDescent="0.3">
      <c r="A9" s="58" t="s">
        <v>10530</v>
      </c>
      <c r="B9" s="59" t="s">
        <v>10546</v>
      </c>
      <c r="C9" s="59" t="s">
        <v>10547</v>
      </c>
      <c r="D9" s="59" t="s">
        <v>39</v>
      </c>
      <c r="E9" s="59">
        <v>2024</v>
      </c>
      <c r="F9" s="59" t="s">
        <v>10548</v>
      </c>
      <c r="G9" s="59">
        <v>2109737</v>
      </c>
      <c r="H9" s="59" t="s">
        <v>10549</v>
      </c>
      <c r="I9" s="59" t="s">
        <v>10549</v>
      </c>
      <c r="J9" s="59" t="s">
        <v>10550</v>
      </c>
    </row>
    <row r="10" spans="1:10" x14ac:dyDescent="0.3">
      <c r="A10" s="58" t="s">
        <v>10530</v>
      </c>
      <c r="B10" s="59" t="s">
        <v>10546</v>
      </c>
      <c r="C10" s="59" t="s">
        <v>10547</v>
      </c>
      <c r="D10" s="59" t="s">
        <v>48</v>
      </c>
      <c r="E10" s="59">
        <v>2022</v>
      </c>
      <c r="F10" s="59" t="s">
        <v>10552</v>
      </c>
      <c r="G10" s="59">
        <v>111240</v>
      </c>
      <c r="H10" s="59" t="s">
        <v>10549</v>
      </c>
      <c r="I10" s="59" t="s">
        <v>10549</v>
      </c>
      <c r="J10" s="59" t="s">
        <v>10550</v>
      </c>
    </row>
    <row r="11" spans="1:10" x14ac:dyDescent="0.3">
      <c r="A11" s="58" t="s">
        <v>10530</v>
      </c>
      <c r="B11" s="59" t="s">
        <v>10546</v>
      </c>
      <c r="C11" s="59" t="s">
        <v>10547</v>
      </c>
      <c r="D11" s="59" t="s">
        <v>48</v>
      </c>
      <c r="E11" s="59">
        <v>2023</v>
      </c>
      <c r="F11" s="59" t="s">
        <v>10552</v>
      </c>
      <c r="G11" s="59">
        <v>111940</v>
      </c>
      <c r="H11" s="59" t="s">
        <v>10549</v>
      </c>
      <c r="I11" s="59" t="s">
        <v>10549</v>
      </c>
      <c r="J11" s="59" t="s">
        <v>10550</v>
      </c>
    </row>
    <row r="12" spans="1:10" x14ac:dyDescent="0.3">
      <c r="A12" s="58" t="s">
        <v>10530</v>
      </c>
      <c r="B12" s="59" t="s">
        <v>10546</v>
      </c>
      <c r="C12" s="59" t="s">
        <v>10547</v>
      </c>
      <c r="D12" s="59" t="s">
        <v>48</v>
      </c>
      <c r="E12" s="59">
        <v>2024</v>
      </c>
      <c r="F12" s="59" t="s">
        <v>10552</v>
      </c>
      <c r="G12" s="59">
        <v>111367</v>
      </c>
      <c r="H12" s="59" t="s">
        <v>10549</v>
      </c>
      <c r="I12" s="59" t="s">
        <v>10549</v>
      </c>
      <c r="J12" s="59" t="s">
        <v>10550</v>
      </c>
    </row>
    <row r="13" spans="1:10" x14ac:dyDescent="0.3">
      <c r="A13" s="58" t="s">
        <v>10530</v>
      </c>
      <c r="B13" s="59" t="s">
        <v>10546</v>
      </c>
      <c r="C13" s="59" t="s">
        <v>10551</v>
      </c>
      <c r="D13" s="59" t="s">
        <v>124</v>
      </c>
      <c r="E13" s="59">
        <v>2022</v>
      </c>
      <c r="F13" s="59" t="s">
        <v>11</v>
      </c>
      <c r="G13" s="59">
        <v>2.38</v>
      </c>
      <c r="H13" s="59" t="s">
        <v>10549</v>
      </c>
      <c r="I13" s="59" t="s">
        <v>10549</v>
      </c>
      <c r="J13" s="59" t="s">
        <v>10550</v>
      </c>
    </row>
    <row r="14" spans="1:10" x14ac:dyDescent="0.3">
      <c r="A14" s="58" t="s">
        <v>10530</v>
      </c>
      <c r="B14" s="59" t="s">
        <v>10546</v>
      </c>
      <c r="C14" s="59" t="s">
        <v>10547</v>
      </c>
      <c r="D14" s="59" t="s">
        <v>20</v>
      </c>
      <c r="E14" s="59">
        <v>2023</v>
      </c>
      <c r="F14" s="59" t="s">
        <v>10553</v>
      </c>
      <c r="G14" s="59">
        <v>0.19120000000000001</v>
      </c>
      <c r="H14" s="59" t="s">
        <v>10549</v>
      </c>
      <c r="I14" s="59" t="s">
        <v>10549</v>
      </c>
      <c r="J14" s="59" t="s">
        <v>10550</v>
      </c>
    </row>
    <row r="15" spans="1:10" x14ac:dyDescent="0.3">
      <c r="A15" s="58" t="s">
        <v>10530</v>
      </c>
      <c r="B15" s="59" t="s">
        <v>10546</v>
      </c>
      <c r="C15" s="59" t="s">
        <v>10547</v>
      </c>
      <c r="D15" s="59" t="s">
        <v>51</v>
      </c>
      <c r="E15" s="59">
        <v>2022</v>
      </c>
      <c r="F15" s="59" t="s">
        <v>10552</v>
      </c>
      <c r="G15" s="59">
        <v>13324</v>
      </c>
      <c r="H15" s="59" t="s">
        <v>10549</v>
      </c>
      <c r="I15" s="59" t="s">
        <v>10549</v>
      </c>
      <c r="J15" s="59" t="s">
        <v>10550</v>
      </c>
    </row>
    <row r="16" spans="1:10" x14ac:dyDescent="0.3">
      <c r="A16" s="58" t="s">
        <v>10530</v>
      </c>
      <c r="B16" s="59" t="s">
        <v>10546</v>
      </c>
      <c r="C16" s="59" t="s">
        <v>10547</v>
      </c>
      <c r="D16" s="59" t="s">
        <v>51</v>
      </c>
      <c r="E16" s="59">
        <v>2023</v>
      </c>
      <c r="F16" s="59" t="s">
        <v>10552</v>
      </c>
      <c r="G16" s="59">
        <v>13834</v>
      </c>
      <c r="H16" s="59" t="s">
        <v>10549</v>
      </c>
      <c r="I16" s="59" t="s">
        <v>10549</v>
      </c>
      <c r="J16" s="59" t="s">
        <v>10550</v>
      </c>
    </row>
    <row r="17" spans="1:10" x14ac:dyDescent="0.3">
      <c r="A17" s="58" t="s">
        <v>10530</v>
      </c>
      <c r="B17" s="59" t="s">
        <v>10546</v>
      </c>
      <c r="C17" s="59" t="s">
        <v>10547</v>
      </c>
      <c r="D17" s="59" t="s">
        <v>53</v>
      </c>
      <c r="E17" s="59">
        <v>2022</v>
      </c>
      <c r="F17" s="59" t="s">
        <v>10554</v>
      </c>
      <c r="G17" s="59">
        <v>14</v>
      </c>
      <c r="H17" s="59" t="s">
        <v>10549</v>
      </c>
      <c r="I17" s="59" t="s">
        <v>10549</v>
      </c>
      <c r="J17" s="59" t="s">
        <v>10550</v>
      </c>
    </row>
    <row r="18" spans="1:10" x14ac:dyDescent="0.3">
      <c r="A18" s="58" t="s">
        <v>10530</v>
      </c>
      <c r="B18" s="59" t="s">
        <v>10546</v>
      </c>
      <c r="C18" s="59" t="s">
        <v>10547</v>
      </c>
      <c r="D18" s="59" t="s">
        <v>54</v>
      </c>
      <c r="E18" s="59">
        <v>2022</v>
      </c>
      <c r="F18" s="59" t="s">
        <v>10552</v>
      </c>
      <c r="G18" s="59">
        <v>294488</v>
      </c>
      <c r="H18" s="59" t="s">
        <v>10549</v>
      </c>
      <c r="I18" s="59" t="s">
        <v>10549</v>
      </c>
      <c r="J18" s="59" t="s">
        <v>10550</v>
      </c>
    </row>
    <row r="19" spans="1:10" x14ac:dyDescent="0.3">
      <c r="A19" s="58" t="s">
        <v>10530</v>
      </c>
      <c r="B19" s="59" t="s">
        <v>10546</v>
      </c>
      <c r="C19" s="59" t="s">
        <v>10547</v>
      </c>
      <c r="D19" s="59" t="s">
        <v>54</v>
      </c>
      <c r="E19" s="59">
        <v>2023</v>
      </c>
      <c r="F19" s="59" t="s">
        <v>10552</v>
      </c>
      <c r="G19" s="59">
        <v>293429</v>
      </c>
      <c r="H19" s="59" t="s">
        <v>10549</v>
      </c>
      <c r="I19" s="59" t="s">
        <v>10549</v>
      </c>
      <c r="J19" s="59" t="s">
        <v>10550</v>
      </c>
    </row>
    <row r="20" spans="1:10" x14ac:dyDescent="0.3">
      <c r="A20" s="58" t="s">
        <v>10530</v>
      </c>
      <c r="B20" s="59" t="s">
        <v>10546</v>
      </c>
      <c r="C20" s="59" t="s">
        <v>10547</v>
      </c>
      <c r="D20" s="59" t="s">
        <v>54</v>
      </c>
      <c r="E20" s="59">
        <v>2024</v>
      </c>
      <c r="F20" s="59" t="s">
        <v>10552</v>
      </c>
      <c r="G20" s="59">
        <v>288649</v>
      </c>
      <c r="H20" s="59" t="s">
        <v>10549</v>
      </c>
      <c r="I20" s="59" t="s">
        <v>10549</v>
      </c>
      <c r="J20" s="59" t="s">
        <v>10550</v>
      </c>
    </row>
    <row r="21" spans="1:10" x14ac:dyDescent="0.3">
      <c r="A21" s="58" t="s">
        <v>10530</v>
      </c>
      <c r="B21" s="59" t="s">
        <v>10546</v>
      </c>
      <c r="C21" s="59" t="s">
        <v>10551</v>
      </c>
      <c r="D21" s="59" t="s">
        <v>55</v>
      </c>
      <c r="E21" s="59">
        <v>2022</v>
      </c>
      <c r="F21" s="59" t="s">
        <v>10555</v>
      </c>
      <c r="G21" s="59">
        <v>13312</v>
      </c>
      <c r="H21" s="59" t="s">
        <v>10549</v>
      </c>
      <c r="I21" s="59" t="s">
        <v>10549</v>
      </c>
      <c r="J21" s="59" t="s">
        <v>10550</v>
      </c>
    </row>
    <row r="22" spans="1:10" x14ac:dyDescent="0.3">
      <c r="A22" s="58" t="s">
        <v>10530</v>
      </c>
      <c r="B22" s="59" t="s">
        <v>10546</v>
      </c>
      <c r="C22" s="59" t="s">
        <v>10547</v>
      </c>
      <c r="D22" s="59" t="s">
        <v>23</v>
      </c>
      <c r="E22" s="59">
        <v>2023</v>
      </c>
      <c r="F22" s="59" t="s">
        <v>10556</v>
      </c>
      <c r="G22" s="59">
        <v>62677</v>
      </c>
      <c r="H22" s="59" t="s">
        <v>10549</v>
      </c>
      <c r="I22" s="59" t="s">
        <v>10549</v>
      </c>
      <c r="J22" s="59" t="s">
        <v>10550</v>
      </c>
    </row>
    <row r="23" spans="1:10" x14ac:dyDescent="0.3">
      <c r="A23" s="58" t="s">
        <v>10530</v>
      </c>
      <c r="B23" s="59" t="s">
        <v>10546</v>
      </c>
      <c r="C23" s="59" t="s">
        <v>10547</v>
      </c>
      <c r="D23" s="59" t="s">
        <v>23</v>
      </c>
      <c r="E23" s="59">
        <v>2023</v>
      </c>
      <c r="F23" s="59" t="s">
        <v>10557</v>
      </c>
      <c r="G23" s="59">
        <v>7036</v>
      </c>
      <c r="H23" s="59" t="s">
        <v>10549</v>
      </c>
      <c r="I23" s="59" t="s">
        <v>10549</v>
      </c>
      <c r="J23" s="59" t="s">
        <v>10550</v>
      </c>
    </row>
    <row r="24" spans="1:10" x14ac:dyDescent="0.3">
      <c r="A24" s="60" t="s">
        <v>10533</v>
      </c>
      <c r="B24" s="61" t="s">
        <v>10558</v>
      </c>
      <c r="C24" s="61" t="s">
        <v>10547</v>
      </c>
      <c r="D24" s="61" t="s">
        <v>8</v>
      </c>
      <c r="E24" s="61">
        <v>2023</v>
      </c>
      <c r="F24" s="61" t="s">
        <v>10548</v>
      </c>
      <c r="G24" s="61">
        <v>3312149</v>
      </c>
      <c r="H24" s="61">
        <v>3312149</v>
      </c>
      <c r="I24" s="61" t="s">
        <v>10559</v>
      </c>
      <c r="J24" s="61" t="s">
        <v>10560</v>
      </c>
    </row>
    <row r="25" spans="1:10" x14ac:dyDescent="0.3">
      <c r="A25" s="60" t="s">
        <v>10533</v>
      </c>
      <c r="B25" s="61" t="s">
        <v>10558</v>
      </c>
      <c r="C25" s="61" t="s">
        <v>10547</v>
      </c>
      <c r="D25" s="61" t="s">
        <v>8</v>
      </c>
      <c r="E25" s="61">
        <v>2024</v>
      </c>
      <c r="F25" s="61" t="s">
        <v>10548</v>
      </c>
      <c r="G25" s="61">
        <v>3002685</v>
      </c>
      <c r="H25" s="61">
        <v>3002685</v>
      </c>
      <c r="I25" s="61" t="s">
        <v>10561</v>
      </c>
      <c r="J25" s="61" t="s">
        <v>10562</v>
      </c>
    </row>
    <row r="26" spans="1:10" x14ac:dyDescent="0.3">
      <c r="A26" s="60" t="s">
        <v>10533</v>
      </c>
      <c r="B26" s="61" t="s">
        <v>10558</v>
      </c>
      <c r="C26" s="61" t="s">
        <v>10547</v>
      </c>
      <c r="D26" s="61" t="s">
        <v>8</v>
      </c>
      <c r="E26" s="61">
        <v>2025</v>
      </c>
      <c r="F26" s="61" t="s">
        <v>10548</v>
      </c>
      <c r="G26" s="61">
        <v>3009024</v>
      </c>
      <c r="H26" s="61">
        <v>3009024</v>
      </c>
      <c r="I26" s="61" t="s">
        <v>10563</v>
      </c>
      <c r="J26" s="61" t="s">
        <v>10564</v>
      </c>
    </row>
    <row r="27" spans="1:10" x14ac:dyDescent="0.3">
      <c r="A27" s="60" t="s">
        <v>10533</v>
      </c>
      <c r="B27" s="61" t="s">
        <v>10558</v>
      </c>
      <c r="C27" s="61" t="s">
        <v>10551</v>
      </c>
      <c r="D27" s="61" t="s">
        <v>16</v>
      </c>
      <c r="E27" s="61">
        <v>2022</v>
      </c>
      <c r="F27" s="61" t="s">
        <v>10565</v>
      </c>
      <c r="G27" s="61">
        <v>-133.47</v>
      </c>
      <c r="H27" s="61">
        <v>-133.47</v>
      </c>
      <c r="I27" s="61" t="s">
        <v>10566</v>
      </c>
      <c r="J27" s="61" t="s">
        <v>10567</v>
      </c>
    </row>
    <row r="28" spans="1:10" x14ac:dyDescent="0.3">
      <c r="A28" s="60" t="s">
        <v>10533</v>
      </c>
      <c r="B28" s="61" t="s">
        <v>10558</v>
      </c>
      <c r="C28" s="61" t="s">
        <v>10551</v>
      </c>
      <c r="D28" s="61" t="s">
        <v>16</v>
      </c>
      <c r="E28" s="61">
        <v>2022</v>
      </c>
      <c r="F28" s="61" t="s">
        <v>10568</v>
      </c>
      <c r="G28" s="61">
        <v>-133.47</v>
      </c>
      <c r="H28" s="61">
        <v>-133.47</v>
      </c>
      <c r="I28" s="61" t="s">
        <v>10566</v>
      </c>
      <c r="J28" s="61" t="s">
        <v>10567</v>
      </c>
    </row>
    <row r="29" spans="1:10" x14ac:dyDescent="0.3">
      <c r="A29" s="60" t="s">
        <v>10533</v>
      </c>
      <c r="B29" s="61" t="s">
        <v>10558</v>
      </c>
      <c r="C29" s="61" t="s">
        <v>10547</v>
      </c>
      <c r="D29" s="61" t="s">
        <v>18</v>
      </c>
      <c r="E29" s="61">
        <v>2023</v>
      </c>
      <c r="F29" s="61" t="s">
        <v>10548</v>
      </c>
      <c r="G29" s="61">
        <v>975251</v>
      </c>
      <c r="H29" s="61">
        <v>975251</v>
      </c>
      <c r="I29" s="61" t="s">
        <v>10569</v>
      </c>
      <c r="J29" s="61" t="s">
        <v>10570</v>
      </c>
    </row>
    <row r="30" spans="1:10" x14ac:dyDescent="0.3">
      <c r="A30" s="60" t="s">
        <v>10533</v>
      </c>
      <c r="B30" s="61" t="s">
        <v>10558</v>
      </c>
      <c r="C30" s="61" t="s">
        <v>10547</v>
      </c>
      <c r="D30" s="61" t="s">
        <v>41</v>
      </c>
      <c r="E30" s="61">
        <v>2023</v>
      </c>
      <c r="F30" s="61" t="s">
        <v>10571</v>
      </c>
      <c r="G30" s="61">
        <v>6</v>
      </c>
      <c r="H30" s="61">
        <v>6</v>
      </c>
      <c r="I30" s="61" t="s">
        <v>10572</v>
      </c>
      <c r="J30" s="61" t="s">
        <v>10573</v>
      </c>
    </row>
    <row r="31" spans="1:10" x14ac:dyDescent="0.3">
      <c r="A31" s="60" t="s">
        <v>10533</v>
      </c>
      <c r="B31" s="61" t="s">
        <v>10558</v>
      </c>
      <c r="C31" s="61" t="s">
        <v>10547</v>
      </c>
      <c r="D31" s="61" t="s">
        <v>41</v>
      </c>
      <c r="E31" s="61">
        <v>2024</v>
      </c>
      <c r="F31" s="61" t="s">
        <v>10571</v>
      </c>
      <c r="G31" s="61">
        <v>6</v>
      </c>
      <c r="H31" s="61">
        <v>6</v>
      </c>
      <c r="I31" s="61" t="s">
        <v>10572</v>
      </c>
      <c r="J31" s="61" t="s">
        <v>10573</v>
      </c>
    </row>
    <row r="32" spans="1:10" x14ac:dyDescent="0.3">
      <c r="A32" s="60" t="s">
        <v>10533</v>
      </c>
      <c r="B32" s="61" t="s">
        <v>10558</v>
      </c>
      <c r="C32" s="61" t="s">
        <v>10547</v>
      </c>
      <c r="D32" s="61" t="s">
        <v>43</v>
      </c>
      <c r="E32" s="61">
        <v>2022</v>
      </c>
      <c r="F32" s="61" t="s">
        <v>10552</v>
      </c>
      <c r="G32" s="61">
        <v>10782.99</v>
      </c>
      <c r="H32" s="61">
        <v>10782.99</v>
      </c>
      <c r="I32" s="61" t="s">
        <v>10574</v>
      </c>
      <c r="J32" s="61" t="s">
        <v>10575</v>
      </c>
    </row>
    <row r="33" spans="1:10" x14ac:dyDescent="0.3">
      <c r="A33" s="60" t="s">
        <v>10533</v>
      </c>
      <c r="B33" s="61" t="s">
        <v>10558</v>
      </c>
      <c r="C33" s="61" t="s">
        <v>10547</v>
      </c>
      <c r="D33" s="61" t="s">
        <v>43</v>
      </c>
      <c r="E33" s="61">
        <v>2022</v>
      </c>
      <c r="F33" s="61" t="s">
        <v>10576</v>
      </c>
      <c r="G33" s="61">
        <v>0</v>
      </c>
      <c r="H33" s="61">
        <v>0</v>
      </c>
      <c r="I33" s="61" t="s">
        <v>10577</v>
      </c>
      <c r="J33" s="61" t="s">
        <v>10578</v>
      </c>
    </row>
    <row r="34" spans="1:10" x14ac:dyDescent="0.3">
      <c r="A34" s="60" t="s">
        <v>10533</v>
      </c>
      <c r="B34" s="61" t="s">
        <v>10558</v>
      </c>
      <c r="C34" s="61" t="s">
        <v>10547</v>
      </c>
      <c r="D34" s="61" t="s">
        <v>47</v>
      </c>
      <c r="E34" s="61">
        <v>2022</v>
      </c>
      <c r="F34" s="61" t="s">
        <v>10552</v>
      </c>
      <c r="G34" s="61">
        <v>27919</v>
      </c>
      <c r="H34" s="61">
        <v>27919</v>
      </c>
      <c r="I34" s="61" t="s">
        <v>10579</v>
      </c>
      <c r="J34" s="61" t="s">
        <v>10580</v>
      </c>
    </row>
    <row r="35" spans="1:10" x14ac:dyDescent="0.3">
      <c r="A35" s="60" t="s">
        <v>10533</v>
      </c>
      <c r="B35" s="61" t="s">
        <v>10558</v>
      </c>
      <c r="C35" s="61" t="s">
        <v>10547</v>
      </c>
      <c r="D35" s="61" t="s">
        <v>47</v>
      </c>
      <c r="E35" s="61">
        <v>2022</v>
      </c>
      <c r="F35" s="61" t="s">
        <v>10581</v>
      </c>
      <c r="G35" s="61">
        <v>21407</v>
      </c>
      <c r="H35" s="61">
        <v>21407</v>
      </c>
      <c r="I35" s="61" t="s">
        <v>10582</v>
      </c>
      <c r="J35" s="61" t="s">
        <v>10583</v>
      </c>
    </row>
    <row r="36" spans="1:10" x14ac:dyDescent="0.3">
      <c r="A36" s="60" t="s">
        <v>10533</v>
      </c>
      <c r="B36" s="61" t="s">
        <v>10558</v>
      </c>
      <c r="C36" s="61" t="s">
        <v>10547</v>
      </c>
      <c r="D36" s="61" t="s">
        <v>47</v>
      </c>
      <c r="E36" s="61">
        <v>2023</v>
      </c>
      <c r="F36" s="61" t="s">
        <v>10552</v>
      </c>
      <c r="G36" s="61">
        <v>27919</v>
      </c>
      <c r="H36" s="61">
        <v>27919</v>
      </c>
      <c r="I36" s="61" t="s">
        <v>10579</v>
      </c>
      <c r="J36" s="61" t="s">
        <v>10580</v>
      </c>
    </row>
    <row r="37" spans="1:10" x14ac:dyDescent="0.3">
      <c r="A37" s="60" t="s">
        <v>10533</v>
      </c>
      <c r="B37" s="61" t="s">
        <v>10558</v>
      </c>
      <c r="C37" s="61" t="s">
        <v>10547</v>
      </c>
      <c r="D37" s="61" t="s">
        <v>47</v>
      </c>
      <c r="E37" s="61">
        <v>2023</v>
      </c>
      <c r="F37" s="61" t="s">
        <v>10581</v>
      </c>
      <c r="G37" s="61">
        <v>21407</v>
      </c>
      <c r="H37" s="61">
        <v>21407</v>
      </c>
      <c r="I37" s="61" t="s">
        <v>10582</v>
      </c>
      <c r="J37" s="61" t="s">
        <v>10583</v>
      </c>
    </row>
    <row r="38" spans="1:10" x14ac:dyDescent="0.3">
      <c r="A38" s="60" t="s">
        <v>10533</v>
      </c>
      <c r="B38" s="61" t="s">
        <v>10558</v>
      </c>
      <c r="C38" s="61" t="s">
        <v>10547</v>
      </c>
      <c r="D38" s="61" t="s">
        <v>47</v>
      </c>
      <c r="E38" s="61">
        <v>2024</v>
      </c>
      <c r="F38" s="61" t="s">
        <v>10552</v>
      </c>
      <c r="G38" s="61">
        <v>27918</v>
      </c>
      <c r="H38" s="61">
        <v>27918</v>
      </c>
      <c r="I38" s="61" t="s">
        <v>10584</v>
      </c>
      <c r="J38" s="61" t="s">
        <v>10585</v>
      </c>
    </row>
    <row r="39" spans="1:10" x14ac:dyDescent="0.3">
      <c r="A39" s="60" t="s">
        <v>10533</v>
      </c>
      <c r="B39" s="61" t="s">
        <v>10558</v>
      </c>
      <c r="C39" s="61" t="s">
        <v>10547</v>
      </c>
      <c r="D39" s="61" t="s">
        <v>47</v>
      </c>
      <c r="E39" s="61">
        <v>2024</v>
      </c>
      <c r="F39" s="61" t="s">
        <v>10581</v>
      </c>
      <c r="G39" s="61">
        <v>21407</v>
      </c>
      <c r="H39" s="61">
        <v>21407</v>
      </c>
      <c r="I39" s="61" t="s">
        <v>10582</v>
      </c>
      <c r="J39" s="61" t="s">
        <v>10586</v>
      </c>
    </row>
    <row r="40" spans="1:10" x14ac:dyDescent="0.3">
      <c r="A40" s="60" t="s">
        <v>10533</v>
      </c>
      <c r="B40" s="61" t="s">
        <v>10558</v>
      </c>
      <c r="C40" s="61" t="s">
        <v>10547</v>
      </c>
      <c r="D40" s="61" t="s">
        <v>48</v>
      </c>
      <c r="E40" s="61">
        <v>2022</v>
      </c>
      <c r="F40" s="61" t="s">
        <v>10548</v>
      </c>
      <c r="G40" s="61">
        <v>1174000</v>
      </c>
      <c r="H40" s="61">
        <v>1174000</v>
      </c>
      <c r="I40" s="61" t="s">
        <v>10587</v>
      </c>
      <c r="J40" s="61" t="s">
        <v>10588</v>
      </c>
    </row>
    <row r="41" spans="1:10" x14ac:dyDescent="0.3">
      <c r="A41" s="60" t="s">
        <v>10533</v>
      </c>
      <c r="B41" s="61" t="s">
        <v>10558</v>
      </c>
      <c r="C41" s="61" t="s">
        <v>10547</v>
      </c>
      <c r="D41" s="61" t="s">
        <v>48</v>
      </c>
      <c r="E41" s="61">
        <v>2023</v>
      </c>
      <c r="F41" s="61" t="s">
        <v>10548</v>
      </c>
      <c r="G41" s="61">
        <v>1177000</v>
      </c>
      <c r="H41" s="61">
        <v>1177000</v>
      </c>
      <c r="I41" s="61" t="s">
        <v>10589</v>
      </c>
      <c r="J41" s="61" t="s">
        <v>10590</v>
      </c>
    </row>
    <row r="42" spans="1:10" x14ac:dyDescent="0.3">
      <c r="A42" s="60" t="s">
        <v>10533</v>
      </c>
      <c r="B42" s="61" t="s">
        <v>10558</v>
      </c>
      <c r="C42" s="61" t="s">
        <v>10547</v>
      </c>
      <c r="D42" s="61" t="s">
        <v>48</v>
      </c>
      <c r="E42" s="61">
        <v>2024</v>
      </c>
      <c r="F42" s="61" t="s">
        <v>10556</v>
      </c>
      <c r="G42" s="61">
        <v>84941</v>
      </c>
      <c r="H42" s="61">
        <v>84941</v>
      </c>
      <c r="I42" s="61" t="s">
        <v>10591</v>
      </c>
      <c r="J42" s="61" t="s">
        <v>10592</v>
      </c>
    </row>
    <row r="43" spans="1:10" x14ac:dyDescent="0.3">
      <c r="A43" s="60" t="s">
        <v>10533</v>
      </c>
      <c r="B43" s="61" t="s">
        <v>10558</v>
      </c>
      <c r="C43" s="61" t="s">
        <v>10547</v>
      </c>
      <c r="D43" s="61" t="s">
        <v>48</v>
      </c>
      <c r="E43" s="61">
        <v>2024</v>
      </c>
      <c r="F43" s="61" t="s">
        <v>10557</v>
      </c>
      <c r="G43" s="61">
        <v>6211</v>
      </c>
      <c r="H43" s="61">
        <v>6211</v>
      </c>
      <c r="I43" s="61" t="s">
        <v>10593</v>
      </c>
      <c r="J43" s="61" t="s">
        <v>10594</v>
      </c>
    </row>
    <row r="44" spans="1:10" x14ac:dyDescent="0.3">
      <c r="A44" s="60" t="s">
        <v>10533</v>
      </c>
      <c r="B44" s="61" t="s">
        <v>10558</v>
      </c>
      <c r="C44" s="61" t="s">
        <v>10547</v>
      </c>
      <c r="D44" s="61" t="s">
        <v>48</v>
      </c>
      <c r="E44" s="61">
        <v>2024</v>
      </c>
      <c r="F44" s="61" t="s">
        <v>10548</v>
      </c>
      <c r="G44" s="61">
        <v>1173000</v>
      </c>
      <c r="H44" s="61">
        <v>1173000</v>
      </c>
      <c r="I44" s="61" t="s">
        <v>10595</v>
      </c>
      <c r="J44" s="61" t="s">
        <v>10596</v>
      </c>
    </row>
    <row r="45" spans="1:10" x14ac:dyDescent="0.3">
      <c r="A45" s="60" t="s">
        <v>10533</v>
      </c>
      <c r="B45" s="61" t="s">
        <v>10558</v>
      </c>
      <c r="C45" s="61" t="s">
        <v>10547</v>
      </c>
      <c r="D45" s="61" t="s">
        <v>19</v>
      </c>
      <c r="E45" s="61">
        <v>2022</v>
      </c>
      <c r="F45" s="61" t="s">
        <v>10571</v>
      </c>
      <c r="G45" s="61">
        <v>5</v>
      </c>
      <c r="H45" s="61">
        <v>5</v>
      </c>
      <c r="I45" s="61" t="s">
        <v>10597</v>
      </c>
      <c r="J45" s="61" t="s">
        <v>10598</v>
      </c>
    </row>
    <row r="46" spans="1:10" x14ac:dyDescent="0.3">
      <c r="A46" s="60" t="s">
        <v>10533</v>
      </c>
      <c r="B46" s="61" t="s">
        <v>10558</v>
      </c>
      <c r="C46" s="61" t="s">
        <v>10547</v>
      </c>
      <c r="D46" s="61" t="s">
        <v>19</v>
      </c>
      <c r="E46" s="61">
        <v>2023</v>
      </c>
      <c r="F46" s="61" t="s">
        <v>10571</v>
      </c>
      <c r="G46" s="61">
        <v>5</v>
      </c>
      <c r="H46" s="61">
        <v>5</v>
      </c>
      <c r="I46" s="61" t="s">
        <v>10597</v>
      </c>
      <c r="J46" s="61" t="s">
        <v>10598</v>
      </c>
    </row>
    <row r="47" spans="1:10" x14ac:dyDescent="0.3">
      <c r="A47" s="60" t="s">
        <v>10533</v>
      </c>
      <c r="B47" s="61" t="s">
        <v>10558</v>
      </c>
      <c r="C47" s="61" t="s">
        <v>10547</v>
      </c>
      <c r="D47" s="61" t="s">
        <v>19</v>
      </c>
      <c r="E47" s="61">
        <v>2023</v>
      </c>
      <c r="F47" s="61" t="s">
        <v>10548</v>
      </c>
      <c r="G47" s="61">
        <v>694.59</v>
      </c>
      <c r="H47" s="61">
        <v>694.59</v>
      </c>
      <c r="I47" s="61" t="s">
        <v>10599</v>
      </c>
      <c r="J47" s="61" t="s">
        <v>10600</v>
      </c>
    </row>
    <row r="48" spans="1:10" x14ac:dyDescent="0.3">
      <c r="A48" s="60" t="s">
        <v>10533</v>
      </c>
      <c r="B48" s="61" t="s">
        <v>10558</v>
      </c>
      <c r="C48" s="61" t="s">
        <v>10547</v>
      </c>
      <c r="D48" s="61" t="s">
        <v>19</v>
      </c>
      <c r="E48" s="61">
        <v>2024</v>
      </c>
      <c r="F48" s="61" t="s">
        <v>10571</v>
      </c>
      <c r="G48" s="61">
        <v>6</v>
      </c>
      <c r="H48" s="61">
        <v>6</v>
      </c>
      <c r="I48" s="61" t="s">
        <v>10601</v>
      </c>
      <c r="J48" s="61" t="s">
        <v>10598</v>
      </c>
    </row>
    <row r="49" spans="1:10" x14ac:dyDescent="0.3">
      <c r="A49" s="60" t="s">
        <v>10533</v>
      </c>
      <c r="B49" s="61" t="s">
        <v>10558</v>
      </c>
      <c r="C49" s="61" t="s">
        <v>10547</v>
      </c>
      <c r="D49" s="61" t="s">
        <v>19</v>
      </c>
      <c r="E49" s="61">
        <v>2024</v>
      </c>
      <c r="F49" s="61" t="s">
        <v>10548</v>
      </c>
      <c r="G49" s="61">
        <v>487</v>
      </c>
      <c r="H49" s="61">
        <v>487</v>
      </c>
      <c r="I49" s="61" t="s">
        <v>10599</v>
      </c>
      <c r="J49" s="61" t="s">
        <v>10602</v>
      </c>
    </row>
    <row r="50" spans="1:10" x14ac:dyDescent="0.3">
      <c r="A50" s="60" t="s">
        <v>10533</v>
      </c>
      <c r="B50" s="61" t="s">
        <v>10558</v>
      </c>
      <c r="C50" s="61" t="s">
        <v>10547</v>
      </c>
      <c r="D50" s="61" t="s">
        <v>20</v>
      </c>
      <c r="E50" s="61">
        <v>2023</v>
      </c>
      <c r="F50" s="61" t="s">
        <v>10576</v>
      </c>
      <c r="G50" s="61">
        <v>60</v>
      </c>
      <c r="H50" s="61">
        <v>60</v>
      </c>
      <c r="I50" s="61" t="s">
        <v>10577</v>
      </c>
      <c r="J50" s="61" t="s">
        <v>10603</v>
      </c>
    </row>
    <row r="51" spans="1:10" x14ac:dyDescent="0.3">
      <c r="A51" s="60" t="s">
        <v>10533</v>
      </c>
      <c r="B51" s="61" t="s">
        <v>10558</v>
      </c>
      <c r="C51" s="61" t="s">
        <v>10547</v>
      </c>
      <c r="D51" s="61" t="s">
        <v>20</v>
      </c>
      <c r="E51" s="61">
        <v>2023</v>
      </c>
      <c r="F51" s="61" t="s">
        <v>10604</v>
      </c>
      <c r="G51" s="61">
        <v>11149</v>
      </c>
      <c r="H51" s="61">
        <v>11149</v>
      </c>
      <c r="I51" s="61" t="s">
        <v>10605</v>
      </c>
      <c r="J51" s="61" t="s">
        <v>10606</v>
      </c>
    </row>
    <row r="52" spans="1:10" x14ac:dyDescent="0.3">
      <c r="A52" s="60" t="s">
        <v>10533</v>
      </c>
      <c r="B52" s="61" t="s">
        <v>10558</v>
      </c>
      <c r="C52" s="61" t="s">
        <v>10551</v>
      </c>
      <c r="D52" s="61" t="s">
        <v>21</v>
      </c>
      <c r="E52" s="61">
        <v>2022</v>
      </c>
      <c r="F52" s="61" t="s">
        <v>17</v>
      </c>
      <c r="G52" s="61">
        <v>3.47</v>
      </c>
      <c r="H52" s="61">
        <v>3.47</v>
      </c>
      <c r="I52" s="61" t="s">
        <v>10607</v>
      </c>
      <c r="J52" s="61" t="s">
        <v>10608</v>
      </c>
    </row>
    <row r="53" spans="1:10" x14ac:dyDescent="0.3">
      <c r="A53" s="60" t="s">
        <v>10533</v>
      </c>
      <c r="B53" s="61" t="s">
        <v>10558</v>
      </c>
      <c r="C53" s="61" t="s">
        <v>10547</v>
      </c>
      <c r="D53" s="61" t="s">
        <v>49</v>
      </c>
      <c r="E53" s="61">
        <v>2022</v>
      </c>
      <c r="F53" s="61" t="s">
        <v>10581</v>
      </c>
      <c r="G53" s="61">
        <v>16877.18</v>
      </c>
      <c r="H53" s="61">
        <v>16877.18</v>
      </c>
      <c r="I53" s="61" t="s">
        <v>10609</v>
      </c>
      <c r="J53" s="61" t="s">
        <v>10610</v>
      </c>
    </row>
    <row r="54" spans="1:10" x14ac:dyDescent="0.3">
      <c r="A54" s="60" t="s">
        <v>10533</v>
      </c>
      <c r="B54" s="61" t="s">
        <v>10558</v>
      </c>
      <c r="C54" s="61" t="s">
        <v>10547</v>
      </c>
      <c r="D54" s="61" t="s">
        <v>49</v>
      </c>
      <c r="E54" s="61">
        <v>2022</v>
      </c>
      <c r="F54" s="61" t="s">
        <v>10556</v>
      </c>
      <c r="G54" s="61">
        <v>12396.52</v>
      </c>
      <c r="H54" s="61">
        <v>12396.52</v>
      </c>
      <c r="I54" s="61" t="s">
        <v>10611</v>
      </c>
      <c r="J54" s="61" t="s">
        <v>10612</v>
      </c>
    </row>
    <row r="55" spans="1:10" x14ac:dyDescent="0.3">
      <c r="A55" s="60" t="s">
        <v>10533</v>
      </c>
      <c r="B55" s="61" t="s">
        <v>10558</v>
      </c>
      <c r="C55" s="61" t="s">
        <v>10547</v>
      </c>
      <c r="D55" s="61" t="s">
        <v>49</v>
      </c>
      <c r="E55" s="61">
        <v>2023</v>
      </c>
      <c r="F55" s="61" t="s">
        <v>10552</v>
      </c>
      <c r="G55" s="61">
        <v>26945.33</v>
      </c>
      <c r="H55" s="61">
        <v>26945.33</v>
      </c>
      <c r="I55" s="61" t="s">
        <v>10613</v>
      </c>
      <c r="J55" s="61" t="s">
        <v>10610</v>
      </c>
    </row>
    <row r="56" spans="1:10" x14ac:dyDescent="0.3">
      <c r="A56" s="60" t="s">
        <v>10533</v>
      </c>
      <c r="B56" s="61" t="s">
        <v>10558</v>
      </c>
      <c r="C56" s="61" t="s">
        <v>10547</v>
      </c>
      <c r="D56" s="61" t="s">
        <v>49</v>
      </c>
      <c r="E56" s="61">
        <v>2023</v>
      </c>
      <c r="F56" s="61" t="s">
        <v>10581</v>
      </c>
      <c r="G56" s="61">
        <v>23366.63</v>
      </c>
      <c r="H56" s="61">
        <v>23366.63</v>
      </c>
      <c r="I56" s="61" t="s">
        <v>10614</v>
      </c>
      <c r="J56" s="61" t="s">
        <v>10610</v>
      </c>
    </row>
    <row r="57" spans="1:10" x14ac:dyDescent="0.3">
      <c r="A57" s="60" t="s">
        <v>10533</v>
      </c>
      <c r="B57" s="61" t="s">
        <v>10558</v>
      </c>
      <c r="C57" s="61" t="s">
        <v>10547</v>
      </c>
      <c r="D57" s="61" t="s">
        <v>49</v>
      </c>
      <c r="E57" s="61">
        <v>2024</v>
      </c>
      <c r="F57" s="61" t="s">
        <v>10552</v>
      </c>
      <c r="G57" s="61">
        <v>26620.92</v>
      </c>
      <c r="H57" s="61">
        <v>26620.92</v>
      </c>
      <c r="I57" s="61" t="s">
        <v>10615</v>
      </c>
      <c r="J57" s="61" t="s">
        <v>10616</v>
      </c>
    </row>
    <row r="58" spans="1:10" x14ac:dyDescent="0.3">
      <c r="A58" s="60" t="s">
        <v>10533</v>
      </c>
      <c r="B58" s="61" t="s">
        <v>10558</v>
      </c>
      <c r="C58" s="61" t="s">
        <v>10547</v>
      </c>
      <c r="D58" s="61" t="s">
        <v>53</v>
      </c>
      <c r="E58" s="61">
        <v>2022</v>
      </c>
      <c r="F58" s="61" t="s">
        <v>10552</v>
      </c>
      <c r="G58" s="61">
        <v>132660</v>
      </c>
      <c r="H58" s="61">
        <v>132660</v>
      </c>
      <c r="I58" s="61" t="s">
        <v>10617</v>
      </c>
      <c r="J58" s="61" t="s">
        <v>10618</v>
      </c>
    </row>
    <row r="59" spans="1:10" x14ac:dyDescent="0.3">
      <c r="A59" s="60" t="s">
        <v>10533</v>
      </c>
      <c r="B59" s="61" t="s">
        <v>10558</v>
      </c>
      <c r="C59" s="61" t="s">
        <v>10547</v>
      </c>
      <c r="D59" s="61" t="s">
        <v>53</v>
      </c>
      <c r="E59" s="61">
        <v>2022</v>
      </c>
      <c r="F59" s="61" t="s">
        <v>10581</v>
      </c>
      <c r="G59" s="61">
        <v>82973</v>
      </c>
      <c r="H59" s="61">
        <v>82973</v>
      </c>
      <c r="I59" s="61" t="s">
        <v>10619</v>
      </c>
      <c r="J59" s="61" t="s">
        <v>10620</v>
      </c>
    </row>
    <row r="60" spans="1:10" x14ac:dyDescent="0.3">
      <c r="A60" s="60" t="s">
        <v>10533</v>
      </c>
      <c r="B60" s="61" t="s">
        <v>10558</v>
      </c>
      <c r="C60" s="61" t="s">
        <v>10547</v>
      </c>
      <c r="D60" s="61" t="s">
        <v>53</v>
      </c>
      <c r="E60" s="61">
        <v>2022</v>
      </c>
      <c r="F60" s="61" t="s">
        <v>10548</v>
      </c>
      <c r="G60" s="61">
        <v>1242866</v>
      </c>
      <c r="H60" s="61">
        <v>1242866</v>
      </c>
      <c r="I60" s="61" t="s">
        <v>10621</v>
      </c>
      <c r="J60" s="61" t="s">
        <v>10622</v>
      </c>
    </row>
    <row r="61" spans="1:10" x14ac:dyDescent="0.3">
      <c r="A61" s="60" t="s">
        <v>10533</v>
      </c>
      <c r="B61" s="61" t="s">
        <v>10558</v>
      </c>
      <c r="C61" s="61" t="s">
        <v>10547</v>
      </c>
      <c r="D61" s="61" t="s">
        <v>53</v>
      </c>
      <c r="E61" s="61">
        <v>2023</v>
      </c>
      <c r="F61" s="61" t="s">
        <v>10552</v>
      </c>
      <c r="G61" s="61">
        <v>132162</v>
      </c>
      <c r="H61" s="61">
        <v>132162</v>
      </c>
      <c r="I61" s="61" t="s">
        <v>10623</v>
      </c>
      <c r="J61" s="61" t="s">
        <v>10624</v>
      </c>
    </row>
    <row r="62" spans="1:10" x14ac:dyDescent="0.3">
      <c r="A62" s="60" t="s">
        <v>10533</v>
      </c>
      <c r="B62" s="61" t="s">
        <v>10558</v>
      </c>
      <c r="C62" s="61" t="s">
        <v>10547</v>
      </c>
      <c r="D62" s="61" t="s">
        <v>53</v>
      </c>
      <c r="E62" s="61">
        <v>2023</v>
      </c>
      <c r="F62" s="61" t="s">
        <v>10581</v>
      </c>
      <c r="G62" s="61">
        <v>82123</v>
      </c>
      <c r="H62" s="61">
        <v>82123</v>
      </c>
      <c r="I62" s="61" t="s">
        <v>10625</v>
      </c>
      <c r="J62" s="61" t="s">
        <v>10626</v>
      </c>
    </row>
    <row r="63" spans="1:10" x14ac:dyDescent="0.3">
      <c r="A63" s="60" t="s">
        <v>10533</v>
      </c>
      <c r="B63" s="61" t="s">
        <v>10558</v>
      </c>
      <c r="C63" s="61" t="s">
        <v>10547</v>
      </c>
      <c r="D63" s="61" t="s">
        <v>53</v>
      </c>
      <c r="E63" s="61">
        <v>2023</v>
      </c>
      <c r="F63" s="61" t="s">
        <v>10548</v>
      </c>
      <c r="G63" s="61">
        <v>1259629</v>
      </c>
      <c r="H63" s="61">
        <v>1259629</v>
      </c>
      <c r="I63" s="61" t="s">
        <v>10627</v>
      </c>
      <c r="J63" s="61" t="s">
        <v>10628</v>
      </c>
    </row>
    <row r="64" spans="1:10" x14ac:dyDescent="0.3">
      <c r="A64" s="60" t="s">
        <v>10533</v>
      </c>
      <c r="B64" s="61" t="s">
        <v>10558</v>
      </c>
      <c r="C64" s="61" t="s">
        <v>10547</v>
      </c>
      <c r="D64" s="61" t="s">
        <v>53</v>
      </c>
      <c r="E64" s="61">
        <v>2024</v>
      </c>
      <c r="F64" s="61" t="s">
        <v>10552</v>
      </c>
      <c r="G64" s="61">
        <v>128290</v>
      </c>
      <c r="H64" s="61">
        <v>128290</v>
      </c>
      <c r="I64" s="61" t="s">
        <v>10629</v>
      </c>
      <c r="J64" s="61" t="s">
        <v>10630</v>
      </c>
    </row>
    <row r="65" spans="1:10" x14ac:dyDescent="0.3">
      <c r="A65" s="60" t="s">
        <v>10533</v>
      </c>
      <c r="B65" s="61" t="s">
        <v>10558</v>
      </c>
      <c r="C65" s="61" t="s">
        <v>10547</v>
      </c>
      <c r="D65" s="61" t="s">
        <v>53</v>
      </c>
      <c r="E65" s="61">
        <v>2024</v>
      </c>
      <c r="F65" s="61" t="s">
        <v>10581</v>
      </c>
      <c r="G65" s="61">
        <v>81733</v>
      </c>
      <c r="H65" s="61">
        <v>81733</v>
      </c>
      <c r="I65" s="61" t="s">
        <v>10631</v>
      </c>
      <c r="J65" s="61" t="s">
        <v>10632</v>
      </c>
    </row>
    <row r="66" spans="1:10" x14ac:dyDescent="0.3">
      <c r="A66" s="60" t="s">
        <v>10533</v>
      </c>
      <c r="B66" s="61" t="s">
        <v>10558</v>
      </c>
      <c r="C66" s="61" t="s">
        <v>10547</v>
      </c>
      <c r="D66" s="61" t="s">
        <v>53</v>
      </c>
      <c r="E66" s="61">
        <v>2024</v>
      </c>
      <c r="F66" s="61" t="s">
        <v>10548</v>
      </c>
      <c r="G66" s="61">
        <v>1167927</v>
      </c>
      <c r="H66" s="61">
        <v>1167927</v>
      </c>
      <c r="I66" s="61" t="s">
        <v>10633</v>
      </c>
      <c r="J66" s="61" t="s">
        <v>10634</v>
      </c>
    </row>
    <row r="67" spans="1:10" x14ac:dyDescent="0.3">
      <c r="A67" s="60" t="s">
        <v>10533</v>
      </c>
      <c r="B67" s="61" t="s">
        <v>10558</v>
      </c>
      <c r="C67" s="61" t="s">
        <v>10547</v>
      </c>
      <c r="D67" s="61" t="s">
        <v>54</v>
      </c>
      <c r="E67" s="61">
        <v>2022</v>
      </c>
      <c r="F67" s="61" t="s">
        <v>10581</v>
      </c>
      <c r="G67" s="61">
        <v>244768</v>
      </c>
      <c r="H67" s="61">
        <v>244768</v>
      </c>
      <c r="I67" s="61" t="s">
        <v>10615</v>
      </c>
      <c r="J67" s="61" t="s">
        <v>10635</v>
      </c>
    </row>
    <row r="68" spans="1:10" x14ac:dyDescent="0.3">
      <c r="A68" s="60" t="s">
        <v>10533</v>
      </c>
      <c r="B68" s="61" t="s">
        <v>10558</v>
      </c>
      <c r="C68" s="61" t="s">
        <v>10547</v>
      </c>
      <c r="D68" s="61" t="s">
        <v>54</v>
      </c>
      <c r="E68" s="61">
        <v>2022</v>
      </c>
      <c r="F68" s="61" t="s">
        <v>10556</v>
      </c>
      <c r="G68" s="61">
        <v>218064</v>
      </c>
      <c r="H68" s="61">
        <v>218064</v>
      </c>
      <c r="I68" s="61" t="s">
        <v>10636</v>
      </c>
      <c r="J68" s="61" t="s">
        <v>10637</v>
      </c>
    </row>
    <row r="69" spans="1:10" x14ac:dyDescent="0.3">
      <c r="A69" s="60" t="s">
        <v>10533</v>
      </c>
      <c r="B69" s="61" t="s">
        <v>10558</v>
      </c>
      <c r="C69" s="61" t="s">
        <v>10547</v>
      </c>
      <c r="D69" s="61" t="s">
        <v>54</v>
      </c>
      <c r="E69" s="61">
        <v>2022</v>
      </c>
      <c r="F69" s="61" t="s">
        <v>10557</v>
      </c>
      <c r="G69" s="61">
        <v>26704</v>
      </c>
      <c r="H69" s="61">
        <v>26704</v>
      </c>
      <c r="I69" s="61" t="s">
        <v>10638</v>
      </c>
      <c r="J69" s="61" t="s">
        <v>10639</v>
      </c>
    </row>
    <row r="70" spans="1:10" x14ac:dyDescent="0.3">
      <c r="A70" s="60" t="s">
        <v>10533</v>
      </c>
      <c r="B70" s="61" t="s">
        <v>10558</v>
      </c>
      <c r="C70" s="61" t="s">
        <v>10547</v>
      </c>
      <c r="D70" s="61" t="s">
        <v>54</v>
      </c>
      <c r="E70" s="61">
        <v>2022</v>
      </c>
      <c r="F70" s="61" t="s">
        <v>10548</v>
      </c>
      <c r="G70" s="61">
        <v>2812000</v>
      </c>
      <c r="H70" s="61">
        <v>2812000</v>
      </c>
      <c r="I70" s="61" t="s">
        <v>10640</v>
      </c>
      <c r="J70" s="61" t="s">
        <v>10641</v>
      </c>
    </row>
    <row r="71" spans="1:10" x14ac:dyDescent="0.3">
      <c r="A71" s="60" t="s">
        <v>10533</v>
      </c>
      <c r="B71" s="61" t="s">
        <v>10558</v>
      </c>
      <c r="C71" s="61" t="s">
        <v>10547</v>
      </c>
      <c r="D71" s="61" t="s">
        <v>54</v>
      </c>
      <c r="E71" s="61">
        <v>2023</v>
      </c>
      <c r="F71" s="61" t="s">
        <v>10581</v>
      </c>
      <c r="G71" s="61">
        <v>244337</v>
      </c>
      <c r="H71" s="61">
        <v>244337</v>
      </c>
      <c r="I71" s="61" t="s">
        <v>10609</v>
      </c>
      <c r="J71" s="61" t="s">
        <v>10642</v>
      </c>
    </row>
    <row r="72" spans="1:10" x14ac:dyDescent="0.3">
      <c r="A72" s="60" t="s">
        <v>10533</v>
      </c>
      <c r="B72" s="61" t="s">
        <v>10558</v>
      </c>
      <c r="C72" s="61" t="s">
        <v>10547</v>
      </c>
      <c r="D72" s="61" t="s">
        <v>54</v>
      </c>
      <c r="E72" s="61">
        <v>2023</v>
      </c>
      <c r="F72" s="61" t="s">
        <v>10556</v>
      </c>
      <c r="G72" s="61">
        <v>220531</v>
      </c>
      <c r="H72" s="61">
        <v>220531</v>
      </c>
      <c r="I72" s="61" t="s">
        <v>10643</v>
      </c>
      <c r="J72" s="61" t="s">
        <v>10644</v>
      </c>
    </row>
    <row r="73" spans="1:10" x14ac:dyDescent="0.3">
      <c r="A73" s="60" t="s">
        <v>10533</v>
      </c>
      <c r="B73" s="61" t="s">
        <v>10558</v>
      </c>
      <c r="C73" s="61" t="s">
        <v>10547</v>
      </c>
      <c r="D73" s="61" t="s">
        <v>54</v>
      </c>
      <c r="E73" s="61">
        <v>2023</v>
      </c>
      <c r="F73" s="61" t="s">
        <v>10557</v>
      </c>
      <c r="G73" s="61">
        <v>23806</v>
      </c>
      <c r="H73" s="61">
        <v>23806</v>
      </c>
      <c r="I73" s="61" t="s">
        <v>10645</v>
      </c>
      <c r="J73" s="61" t="s">
        <v>10646</v>
      </c>
    </row>
    <row r="74" spans="1:10" x14ac:dyDescent="0.3">
      <c r="A74" s="60" t="s">
        <v>10533</v>
      </c>
      <c r="B74" s="61" t="s">
        <v>10558</v>
      </c>
      <c r="C74" s="61" t="s">
        <v>10547</v>
      </c>
      <c r="D74" s="61" t="s">
        <v>54</v>
      </c>
      <c r="E74" s="61">
        <v>2023</v>
      </c>
      <c r="F74" s="61" t="s">
        <v>10548</v>
      </c>
      <c r="G74" s="61">
        <v>2784000</v>
      </c>
      <c r="H74" s="61">
        <v>2784000</v>
      </c>
      <c r="I74" s="61" t="s">
        <v>10647</v>
      </c>
      <c r="J74" s="61" t="s">
        <v>10648</v>
      </c>
    </row>
    <row r="75" spans="1:10" x14ac:dyDescent="0.3">
      <c r="A75" s="60" t="s">
        <v>10533</v>
      </c>
      <c r="B75" s="61" t="s">
        <v>10558</v>
      </c>
      <c r="C75" s="61" t="s">
        <v>10547</v>
      </c>
      <c r="D75" s="61" t="s">
        <v>54</v>
      </c>
      <c r="E75" s="61">
        <v>2024</v>
      </c>
      <c r="F75" s="61" t="s">
        <v>10581</v>
      </c>
      <c r="G75" s="61">
        <v>241208</v>
      </c>
      <c r="H75" s="61">
        <v>241208</v>
      </c>
      <c r="I75" s="61" t="s">
        <v>10649</v>
      </c>
      <c r="J75" s="61" t="s">
        <v>10650</v>
      </c>
    </row>
    <row r="76" spans="1:10" x14ac:dyDescent="0.3">
      <c r="A76" s="60" t="s">
        <v>10533</v>
      </c>
      <c r="B76" s="61" t="s">
        <v>10558</v>
      </c>
      <c r="C76" s="61" t="s">
        <v>10547</v>
      </c>
      <c r="D76" s="61" t="s">
        <v>54</v>
      </c>
      <c r="E76" s="61">
        <v>2024</v>
      </c>
      <c r="F76" s="61" t="s">
        <v>10556</v>
      </c>
      <c r="G76" s="61">
        <v>220318</v>
      </c>
      <c r="H76" s="61">
        <v>220318</v>
      </c>
      <c r="I76" s="61" t="s">
        <v>10651</v>
      </c>
      <c r="J76" s="61" t="s">
        <v>10652</v>
      </c>
    </row>
    <row r="77" spans="1:10" x14ac:dyDescent="0.3">
      <c r="A77" s="60" t="s">
        <v>10533</v>
      </c>
      <c r="B77" s="61" t="s">
        <v>10558</v>
      </c>
      <c r="C77" s="61" t="s">
        <v>10547</v>
      </c>
      <c r="D77" s="61" t="s">
        <v>54</v>
      </c>
      <c r="E77" s="61">
        <v>2024</v>
      </c>
      <c r="F77" s="61" t="s">
        <v>10557</v>
      </c>
      <c r="G77" s="61">
        <v>20890</v>
      </c>
      <c r="H77" s="61">
        <v>20890</v>
      </c>
      <c r="I77" s="61" t="s">
        <v>10653</v>
      </c>
      <c r="J77" s="61" t="s">
        <v>10654</v>
      </c>
    </row>
    <row r="78" spans="1:10" x14ac:dyDescent="0.3">
      <c r="A78" s="60" t="s">
        <v>10533</v>
      </c>
      <c r="B78" s="61" t="s">
        <v>10558</v>
      </c>
      <c r="C78" s="61" t="s">
        <v>10547</v>
      </c>
      <c r="D78" s="61" t="s">
        <v>54</v>
      </c>
      <c r="E78" s="61">
        <v>2024</v>
      </c>
      <c r="F78" s="61" t="s">
        <v>10548</v>
      </c>
      <c r="G78" s="61">
        <v>2758000</v>
      </c>
      <c r="H78" s="61">
        <v>2758000</v>
      </c>
      <c r="I78" s="61" t="s">
        <v>10655</v>
      </c>
      <c r="J78" s="61" t="s">
        <v>10656</v>
      </c>
    </row>
    <row r="79" spans="1:10" x14ac:dyDescent="0.3">
      <c r="A79" s="60" t="s">
        <v>10533</v>
      </c>
      <c r="B79" s="61" t="s">
        <v>10558</v>
      </c>
      <c r="C79" s="61" t="s">
        <v>10547</v>
      </c>
      <c r="D79" s="61" t="s">
        <v>55</v>
      </c>
      <c r="E79" s="61">
        <v>2022</v>
      </c>
      <c r="F79" s="61" t="s">
        <v>10548</v>
      </c>
      <c r="G79" s="61">
        <v>1950842</v>
      </c>
      <c r="H79" s="61">
        <v>1950842</v>
      </c>
      <c r="I79" s="61" t="s">
        <v>10563</v>
      </c>
      <c r="J79" s="61" t="s">
        <v>10657</v>
      </c>
    </row>
    <row r="80" spans="1:10" x14ac:dyDescent="0.3">
      <c r="A80" s="60" t="s">
        <v>10533</v>
      </c>
      <c r="B80" s="61" t="s">
        <v>10558</v>
      </c>
      <c r="C80" s="61" t="s">
        <v>10547</v>
      </c>
      <c r="D80" s="61" t="s">
        <v>55</v>
      </c>
      <c r="E80" s="61">
        <v>2023</v>
      </c>
      <c r="F80" s="61" t="s">
        <v>10548</v>
      </c>
      <c r="G80" s="61">
        <v>1849591</v>
      </c>
      <c r="H80" s="61">
        <v>1849591</v>
      </c>
      <c r="I80" s="61" t="s">
        <v>10647</v>
      </c>
      <c r="J80" s="61" t="s">
        <v>10658</v>
      </c>
    </row>
    <row r="81" spans="1:10" x14ac:dyDescent="0.3">
      <c r="A81" s="60" t="s">
        <v>10533</v>
      </c>
      <c r="B81" s="61" t="s">
        <v>10558</v>
      </c>
      <c r="C81" s="61" t="s">
        <v>10547</v>
      </c>
      <c r="D81" s="61" t="s">
        <v>55</v>
      </c>
      <c r="E81" s="61">
        <v>2024</v>
      </c>
      <c r="F81" s="61" t="s">
        <v>10548</v>
      </c>
      <c r="G81" s="61">
        <v>1741349</v>
      </c>
      <c r="H81" s="61">
        <v>1741349</v>
      </c>
      <c r="I81" s="61" t="s">
        <v>10659</v>
      </c>
      <c r="J81" s="61" t="s">
        <v>10660</v>
      </c>
    </row>
    <row r="82" spans="1:10" x14ac:dyDescent="0.3">
      <c r="A82" s="60" t="s">
        <v>10533</v>
      </c>
      <c r="B82" s="61" t="s">
        <v>10558</v>
      </c>
      <c r="C82" s="61" t="s">
        <v>10547</v>
      </c>
      <c r="D82" s="61" t="s">
        <v>56</v>
      </c>
      <c r="E82" s="61">
        <v>2023</v>
      </c>
      <c r="F82" s="61" t="s">
        <v>10552</v>
      </c>
      <c r="G82" s="61">
        <v>82465.72</v>
      </c>
      <c r="H82" s="61">
        <v>82465.72</v>
      </c>
      <c r="I82" s="61" t="s">
        <v>10661</v>
      </c>
      <c r="J82" s="61" t="s">
        <v>10662</v>
      </c>
    </row>
    <row r="83" spans="1:10" x14ac:dyDescent="0.3">
      <c r="A83" s="60" t="s">
        <v>10533</v>
      </c>
      <c r="B83" s="61" t="s">
        <v>10558</v>
      </c>
      <c r="C83" s="61" t="s">
        <v>10547</v>
      </c>
      <c r="D83" s="61" t="s">
        <v>56</v>
      </c>
      <c r="E83" s="61">
        <v>2023</v>
      </c>
      <c r="F83" s="61" t="s">
        <v>10581</v>
      </c>
      <c r="G83" s="61">
        <v>69167.06</v>
      </c>
      <c r="H83" s="61">
        <v>69167.06</v>
      </c>
      <c r="I83" s="61" t="s">
        <v>10663</v>
      </c>
      <c r="J83" s="61" t="s">
        <v>10664</v>
      </c>
    </row>
    <row r="84" spans="1:10" x14ac:dyDescent="0.3">
      <c r="A84" s="60" t="s">
        <v>10533</v>
      </c>
      <c r="B84" s="61" t="s">
        <v>10558</v>
      </c>
      <c r="C84" s="61" t="s">
        <v>10547</v>
      </c>
      <c r="D84" s="61" t="s">
        <v>56</v>
      </c>
      <c r="E84" s="61">
        <v>2023</v>
      </c>
      <c r="F84" s="61" t="s">
        <v>10665</v>
      </c>
      <c r="G84" s="61">
        <v>13238.67</v>
      </c>
      <c r="H84" s="61">
        <v>13238.67</v>
      </c>
      <c r="I84" s="61" t="s">
        <v>10666</v>
      </c>
      <c r="J84" s="61" t="s">
        <v>10667</v>
      </c>
    </row>
    <row r="85" spans="1:10" x14ac:dyDescent="0.3">
      <c r="A85" s="60" t="s">
        <v>10533</v>
      </c>
      <c r="B85" s="61" t="s">
        <v>10558</v>
      </c>
      <c r="C85" s="61" t="s">
        <v>10547</v>
      </c>
      <c r="D85" s="61" t="s">
        <v>56</v>
      </c>
      <c r="E85" s="61">
        <v>2023</v>
      </c>
      <c r="F85" s="61" t="s">
        <v>10548</v>
      </c>
      <c r="G85" s="61">
        <v>1723170</v>
      </c>
      <c r="H85" s="61">
        <v>1723170</v>
      </c>
      <c r="I85" s="61" t="s">
        <v>10668</v>
      </c>
      <c r="J85" s="61" t="s">
        <v>10669</v>
      </c>
    </row>
    <row r="86" spans="1:10" x14ac:dyDescent="0.3">
      <c r="A86" s="60" t="s">
        <v>10533</v>
      </c>
      <c r="B86" s="61" t="s">
        <v>10558</v>
      </c>
      <c r="C86" s="61" t="s">
        <v>10547</v>
      </c>
      <c r="D86" s="61" t="s">
        <v>56</v>
      </c>
      <c r="E86" s="61">
        <v>2024</v>
      </c>
      <c r="F86" s="61" t="s">
        <v>10548</v>
      </c>
      <c r="G86" s="61">
        <v>1562446</v>
      </c>
      <c r="H86" s="61">
        <v>1562446</v>
      </c>
      <c r="I86" s="61" t="s">
        <v>10670</v>
      </c>
      <c r="J86" s="61" t="s">
        <v>10671</v>
      </c>
    </row>
    <row r="87" spans="1:10" x14ac:dyDescent="0.3">
      <c r="A87" s="60" t="s">
        <v>10533</v>
      </c>
      <c r="B87" s="61" t="s">
        <v>10558</v>
      </c>
      <c r="C87" s="61" t="s">
        <v>10547</v>
      </c>
      <c r="D87" s="61" t="s">
        <v>56</v>
      </c>
      <c r="E87" s="61">
        <v>2025</v>
      </c>
      <c r="F87" s="61" t="s">
        <v>10548</v>
      </c>
      <c r="G87" s="61">
        <v>1628452</v>
      </c>
      <c r="H87" s="61">
        <v>1628452</v>
      </c>
      <c r="I87" s="61" t="s">
        <v>10672</v>
      </c>
      <c r="J87" s="61" t="s">
        <v>10673</v>
      </c>
    </row>
    <row r="88" spans="1:10" x14ac:dyDescent="0.3">
      <c r="A88" s="60" t="s">
        <v>10533</v>
      </c>
      <c r="B88" s="61" t="s">
        <v>10558</v>
      </c>
      <c r="C88" s="61" t="s">
        <v>10547</v>
      </c>
      <c r="D88" s="61" t="s">
        <v>106</v>
      </c>
      <c r="E88" s="61">
        <v>2023</v>
      </c>
      <c r="F88" s="61" t="s">
        <v>10548</v>
      </c>
      <c r="G88" s="61">
        <v>3050000</v>
      </c>
      <c r="H88" s="61">
        <v>3050000</v>
      </c>
      <c r="I88" s="61" t="s">
        <v>10674</v>
      </c>
      <c r="J88" s="61" t="s">
        <v>10675</v>
      </c>
    </row>
    <row r="89" spans="1:10" x14ac:dyDescent="0.3">
      <c r="A89" s="60" t="s">
        <v>10533</v>
      </c>
      <c r="B89" s="61" t="s">
        <v>10558</v>
      </c>
      <c r="C89" s="61" t="s">
        <v>10547</v>
      </c>
      <c r="D89" s="61" t="s">
        <v>106</v>
      </c>
      <c r="E89" s="61">
        <v>2024</v>
      </c>
      <c r="F89" s="61" t="s">
        <v>10548</v>
      </c>
      <c r="G89" s="61">
        <v>2946000</v>
      </c>
      <c r="H89" s="61">
        <v>2946000</v>
      </c>
      <c r="I89" s="61" t="s">
        <v>10569</v>
      </c>
      <c r="J89" s="61" t="s">
        <v>10676</v>
      </c>
    </row>
    <row r="90" spans="1:10" x14ac:dyDescent="0.3">
      <c r="A90" s="60" t="s">
        <v>10533</v>
      </c>
      <c r="B90" s="61" t="s">
        <v>10558</v>
      </c>
      <c r="C90" s="61" t="s">
        <v>10547</v>
      </c>
      <c r="D90" s="61" t="s">
        <v>106</v>
      </c>
      <c r="E90" s="61">
        <v>2025</v>
      </c>
      <c r="F90" s="61" t="s">
        <v>10548</v>
      </c>
      <c r="G90" s="61">
        <v>3040000</v>
      </c>
      <c r="H90" s="61">
        <v>3040000</v>
      </c>
      <c r="I90" s="61" t="s">
        <v>10677</v>
      </c>
      <c r="J90" s="61" t="s">
        <v>10678</v>
      </c>
    </row>
    <row r="91" spans="1:10" x14ac:dyDescent="0.3">
      <c r="A91" s="60" t="s">
        <v>10533</v>
      </c>
      <c r="B91" s="61" t="s">
        <v>10558</v>
      </c>
      <c r="C91" s="61" t="s">
        <v>10547</v>
      </c>
      <c r="D91" s="61" t="s">
        <v>22</v>
      </c>
      <c r="E91" s="61">
        <v>2023</v>
      </c>
      <c r="F91" s="61" t="s">
        <v>10548</v>
      </c>
      <c r="G91" s="61">
        <v>1068338</v>
      </c>
      <c r="H91" s="61">
        <v>1068338</v>
      </c>
      <c r="I91" s="61" t="s">
        <v>10679</v>
      </c>
      <c r="J91" s="61" t="s">
        <v>10680</v>
      </c>
    </row>
    <row r="92" spans="1:10" x14ac:dyDescent="0.3">
      <c r="A92" s="60" t="s">
        <v>10533</v>
      </c>
      <c r="B92" s="61" t="s">
        <v>10558</v>
      </c>
      <c r="C92" s="61" t="s">
        <v>10547</v>
      </c>
      <c r="D92" s="61" t="s">
        <v>22</v>
      </c>
      <c r="E92" s="61">
        <v>2024</v>
      </c>
      <c r="F92" s="61" t="s">
        <v>10548</v>
      </c>
      <c r="G92" s="61">
        <v>1071173</v>
      </c>
      <c r="H92" s="61">
        <v>1071173</v>
      </c>
      <c r="I92" s="61" t="s">
        <v>10643</v>
      </c>
      <c r="J92" s="61" t="s">
        <v>10681</v>
      </c>
    </row>
    <row r="93" spans="1:10" x14ac:dyDescent="0.3">
      <c r="A93" s="60" t="s">
        <v>10533</v>
      </c>
      <c r="B93" s="61" t="s">
        <v>10558</v>
      </c>
      <c r="C93" s="61" t="s">
        <v>10547</v>
      </c>
      <c r="D93" s="61" t="s">
        <v>22</v>
      </c>
      <c r="E93" s="61">
        <v>2025</v>
      </c>
      <c r="F93" s="61" t="s">
        <v>10548</v>
      </c>
      <c r="G93" s="61">
        <v>1109558</v>
      </c>
      <c r="H93" s="61">
        <v>1109558</v>
      </c>
      <c r="I93" s="61" t="s">
        <v>10682</v>
      </c>
      <c r="J93" s="61" t="s">
        <v>10683</v>
      </c>
    </row>
    <row r="94" spans="1:10" x14ac:dyDescent="0.3">
      <c r="A94" s="60" t="s">
        <v>10533</v>
      </c>
      <c r="B94" s="61" t="s">
        <v>10558</v>
      </c>
      <c r="C94" s="61" t="s">
        <v>10547</v>
      </c>
      <c r="D94" s="61" t="s">
        <v>23</v>
      </c>
      <c r="E94" s="61">
        <v>2022</v>
      </c>
      <c r="F94" s="61" t="s">
        <v>10552</v>
      </c>
      <c r="G94" s="61">
        <v>52192</v>
      </c>
      <c r="H94" s="61">
        <v>52192</v>
      </c>
      <c r="I94" s="61" t="s">
        <v>10684</v>
      </c>
      <c r="J94" s="61" t="s">
        <v>10685</v>
      </c>
    </row>
    <row r="95" spans="1:10" x14ac:dyDescent="0.3">
      <c r="A95" s="60" t="s">
        <v>10533</v>
      </c>
      <c r="B95" s="61" t="s">
        <v>10558</v>
      </c>
      <c r="C95" s="61" t="s">
        <v>10547</v>
      </c>
      <c r="D95" s="61" t="s">
        <v>23</v>
      </c>
      <c r="E95" s="61">
        <v>2022</v>
      </c>
      <c r="F95" s="61" t="s">
        <v>10556</v>
      </c>
      <c r="G95" s="61">
        <v>45968</v>
      </c>
      <c r="H95" s="61">
        <v>45968</v>
      </c>
      <c r="I95" s="61" t="s">
        <v>10686</v>
      </c>
      <c r="J95" s="61" t="s">
        <v>10687</v>
      </c>
    </row>
    <row r="96" spans="1:10" x14ac:dyDescent="0.3">
      <c r="A96" s="60" t="s">
        <v>10533</v>
      </c>
      <c r="B96" s="61" t="s">
        <v>10558</v>
      </c>
      <c r="C96" s="61" t="s">
        <v>10547</v>
      </c>
      <c r="D96" s="61" t="s">
        <v>23</v>
      </c>
      <c r="E96" s="61">
        <v>2023</v>
      </c>
      <c r="F96" s="61" t="s">
        <v>10552</v>
      </c>
      <c r="G96" s="61">
        <v>54828</v>
      </c>
      <c r="H96" s="61">
        <v>54828</v>
      </c>
      <c r="I96" s="61" t="s">
        <v>10688</v>
      </c>
      <c r="J96" s="61" t="s">
        <v>10689</v>
      </c>
    </row>
    <row r="97" spans="1:10" x14ac:dyDescent="0.3">
      <c r="A97" s="60" t="s">
        <v>10533</v>
      </c>
      <c r="B97" s="61" t="s">
        <v>10558</v>
      </c>
      <c r="C97" s="61" t="s">
        <v>10551</v>
      </c>
      <c r="D97" s="61" t="s">
        <v>128</v>
      </c>
      <c r="E97" s="61">
        <v>2023</v>
      </c>
      <c r="F97" s="61" t="s">
        <v>10565</v>
      </c>
      <c r="G97" s="61">
        <v>0.23599999999999999</v>
      </c>
      <c r="H97" s="61">
        <v>0.23599999999999999</v>
      </c>
      <c r="I97" s="61" t="s">
        <v>10690</v>
      </c>
      <c r="J97" s="61" t="s">
        <v>10691</v>
      </c>
    </row>
    <row r="98" spans="1:10" x14ac:dyDescent="0.3">
      <c r="A98" s="60" t="s">
        <v>10533</v>
      </c>
      <c r="B98" s="61" t="s">
        <v>10558</v>
      </c>
      <c r="C98" s="61" t="s">
        <v>10551</v>
      </c>
      <c r="D98" s="61" t="s">
        <v>128</v>
      </c>
      <c r="E98" s="61">
        <v>2023</v>
      </c>
      <c r="F98" s="61" t="s">
        <v>10568</v>
      </c>
      <c r="G98" s="61">
        <v>0.23599999999999999</v>
      </c>
      <c r="H98" s="61">
        <v>0.23599999999999999</v>
      </c>
      <c r="I98" s="61" t="s">
        <v>10690</v>
      </c>
      <c r="J98" s="61" t="s">
        <v>10691</v>
      </c>
    </row>
    <row r="99" spans="1:10" x14ac:dyDescent="0.3">
      <c r="A99" s="60" t="s">
        <v>10533</v>
      </c>
      <c r="B99" s="61" t="s">
        <v>10558</v>
      </c>
      <c r="C99" s="61" t="s">
        <v>10551</v>
      </c>
      <c r="D99" s="61" t="s">
        <v>128</v>
      </c>
      <c r="E99" s="61">
        <v>2024</v>
      </c>
      <c r="F99" s="61" t="s">
        <v>10565</v>
      </c>
      <c r="G99" s="61">
        <v>0.78400000000000003</v>
      </c>
      <c r="H99" s="61">
        <v>0.78400000000000003</v>
      </c>
      <c r="I99" s="61" t="s">
        <v>10692</v>
      </c>
      <c r="J99" s="61" t="s">
        <v>10693</v>
      </c>
    </row>
    <row r="100" spans="1:10" x14ac:dyDescent="0.3">
      <c r="A100" s="60" t="s">
        <v>10533</v>
      </c>
      <c r="B100" s="61" t="s">
        <v>10558</v>
      </c>
      <c r="C100" s="61" t="s">
        <v>10551</v>
      </c>
      <c r="D100" s="61" t="s">
        <v>128</v>
      </c>
      <c r="E100" s="61">
        <v>2024</v>
      </c>
      <c r="F100" s="61" t="s">
        <v>10568</v>
      </c>
      <c r="G100" s="61">
        <v>0.78400000000000003</v>
      </c>
      <c r="H100" s="61">
        <v>0.78400000000000003</v>
      </c>
      <c r="I100" s="61" t="s">
        <v>10692</v>
      </c>
      <c r="J100" s="61" t="s">
        <v>10693</v>
      </c>
    </row>
    <row r="101" spans="1:10" x14ac:dyDescent="0.3">
      <c r="A101" s="60" t="s">
        <v>10533</v>
      </c>
      <c r="B101" s="61" t="s">
        <v>10558</v>
      </c>
      <c r="C101" s="61" t="s">
        <v>10551</v>
      </c>
      <c r="D101" s="61" t="s">
        <v>128</v>
      </c>
      <c r="E101" s="61">
        <v>2024</v>
      </c>
      <c r="F101" s="61" t="s">
        <v>11</v>
      </c>
      <c r="G101" s="61">
        <v>10.77</v>
      </c>
      <c r="H101" s="61">
        <v>10.77</v>
      </c>
      <c r="I101" s="61" t="s">
        <v>10694</v>
      </c>
      <c r="J101" s="61" t="s">
        <v>10695</v>
      </c>
    </row>
    <row r="102" spans="1:10" ht="28.8" x14ac:dyDescent="0.3">
      <c r="A102" s="62" t="s">
        <v>10536</v>
      </c>
      <c r="B102" s="63" t="s">
        <v>10696</v>
      </c>
      <c r="C102" s="63" t="s">
        <v>10551</v>
      </c>
      <c r="D102" s="63" t="s">
        <v>25</v>
      </c>
      <c r="E102" s="63">
        <v>2022</v>
      </c>
      <c r="F102" s="63" t="s">
        <v>14</v>
      </c>
      <c r="G102" s="63" t="s">
        <v>10697</v>
      </c>
      <c r="H102" s="63" t="s">
        <v>10698</v>
      </c>
      <c r="I102" s="63" t="s">
        <v>10699</v>
      </c>
      <c r="J102" s="63" t="s">
        <v>10700</v>
      </c>
    </row>
    <row r="103" spans="1:10" ht="28.8" x14ac:dyDescent="0.3">
      <c r="A103" s="62" t="s">
        <v>10536</v>
      </c>
      <c r="B103" s="63" t="s">
        <v>10696</v>
      </c>
      <c r="C103" s="63" t="s">
        <v>10551</v>
      </c>
      <c r="D103" s="63" t="s">
        <v>15</v>
      </c>
      <c r="E103" s="63">
        <v>2024</v>
      </c>
      <c r="F103" s="63" t="s">
        <v>14</v>
      </c>
      <c r="G103" s="63" t="s">
        <v>10701</v>
      </c>
      <c r="H103" s="63" t="s">
        <v>10702</v>
      </c>
      <c r="I103" s="63" t="s">
        <v>10703</v>
      </c>
      <c r="J103" s="63" t="s">
        <v>10700</v>
      </c>
    </row>
    <row r="104" spans="1:10" ht="28.8" x14ac:dyDescent="0.3">
      <c r="A104" s="62" t="s">
        <v>10536</v>
      </c>
      <c r="B104" s="63" t="s">
        <v>10696</v>
      </c>
      <c r="C104" s="63" t="s">
        <v>10551</v>
      </c>
      <c r="D104" s="63" t="s">
        <v>16</v>
      </c>
      <c r="E104" s="63">
        <v>2022</v>
      </c>
      <c r="F104" s="63" t="s">
        <v>14</v>
      </c>
      <c r="G104" s="63" t="s">
        <v>10704</v>
      </c>
      <c r="H104" s="63" t="s">
        <v>10705</v>
      </c>
      <c r="I104" s="63" t="s">
        <v>10706</v>
      </c>
      <c r="J104" s="63" t="s">
        <v>10700</v>
      </c>
    </row>
    <row r="105" spans="1:10" ht="28.8" x14ac:dyDescent="0.3">
      <c r="A105" s="62" t="s">
        <v>10536</v>
      </c>
      <c r="B105" s="63" t="s">
        <v>10696</v>
      </c>
      <c r="C105" s="63" t="s">
        <v>10551</v>
      </c>
      <c r="D105" s="63" t="s">
        <v>16</v>
      </c>
      <c r="E105" s="63">
        <v>2022</v>
      </c>
      <c r="F105" s="63" t="s">
        <v>13</v>
      </c>
      <c r="G105" s="63" t="s">
        <v>10707</v>
      </c>
      <c r="H105" s="63" t="s">
        <v>10708</v>
      </c>
      <c r="I105" s="63" t="s">
        <v>10709</v>
      </c>
      <c r="J105" s="63" t="s">
        <v>10700</v>
      </c>
    </row>
    <row r="106" spans="1:10" ht="28.8" x14ac:dyDescent="0.3">
      <c r="A106" s="62" t="s">
        <v>10536</v>
      </c>
      <c r="B106" s="63" t="s">
        <v>10696</v>
      </c>
      <c r="C106" s="63" t="s">
        <v>10551</v>
      </c>
      <c r="D106" s="63" t="s">
        <v>16</v>
      </c>
      <c r="E106" s="63">
        <v>2022</v>
      </c>
      <c r="F106" s="63" t="s">
        <v>12</v>
      </c>
      <c r="G106" s="63" t="s">
        <v>10710</v>
      </c>
      <c r="H106" s="63" t="s">
        <v>10711</v>
      </c>
      <c r="I106" s="63" t="s">
        <v>10712</v>
      </c>
      <c r="J106" s="63" t="s">
        <v>10700</v>
      </c>
    </row>
    <row r="107" spans="1:10" ht="28.8" x14ac:dyDescent="0.3">
      <c r="A107" s="62" t="s">
        <v>10536</v>
      </c>
      <c r="B107" s="63" t="s">
        <v>10696</v>
      </c>
      <c r="C107" s="63" t="s">
        <v>10551</v>
      </c>
      <c r="D107" s="63" t="s">
        <v>16</v>
      </c>
      <c r="E107" s="63">
        <v>2023</v>
      </c>
      <c r="F107" s="63" t="s">
        <v>14</v>
      </c>
      <c r="G107" s="63" t="s">
        <v>10713</v>
      </c>
      <c r="H107" s="63" t="s">
        <v>10714</v>
      </c>
      <c r="I107" s="63" t="s">
        <v>10715</v>
      </c>
      <c r="J107" s="63" t="s">
        <v>10700</v>
      </c>
    </row>
    <row r="108" spans="1:10" ht="28.8" x14ac:dyDescent="0.3">
      <c r="A108" s="62" t="s">
        <v>10536</v>
      </c>
      <c r="B108" s="63" t="s">
        <v>10696</v>
      </c>
      <c r="C108" s="63" t="s">
        <v>10551</v>
      </c>
      <c r="D108" s="63" t="s">
        <v>16</v>
      </c>
      <c r="E108" s="63">
        <v>2023</v>
      </c>
      <c r="F108" s="63" t="s">
        <v>13</v>
      </c>
      <c r="G108" s="63" t="s">
        <v>10716</v>
      </c>
      <c r="H108" s="63" t="s">
        <v>10717</v>
      </c>
      <c r="I108" s="63" t="s">
        <v>10709</v>
      </c>
      <c r="J108" s="63" t="s">
        <v>10700</v>
      </c>
    </row>
    <row r="109" spans="1:10" ht="28.8" x14ac:dyDescent="0.3">
      <c r="A109" s="62" t="s">
        <v>10536</v>
      </c>
      <c r="B109" s="63" t="s">
        <v>10696</v>
      </c>
      <c r="C109" s="63" t="s">
        <v>10551</v>
      </c>
      <c r="D109" s="63" t="s">
        <v>16</v>
      </c>
      <c r="E109" s="63">
        <v>2023</v>
      </c>
      <c r="F109" s="63" t="s">
        <v>12</v>
      </c>
      <c r="G109" s="63" t="s">
        <v>10718</v>
      </c>
      <c r="H109" s="63" t="s">
        <v>10719</v>
      </c>
      <c r="I109" s="63" t="s">
        <v>10720</v>
      </c>
      <c r="J109" s="63" t="s">
        <v>10700</v>
      </c>
    </row>
    <row r="110" spans="1:10" ht="28.8" x14ac:dyDescent="0.3">
      <c r="A110" s="62" t="s">
        <v>10536</v>
      </c>
      <c r="B110" s="63" t="s">
        <v>10696</v>
      </c>
      <c r="C110" s="63" t="s">
        <v>10551</v>
      </c>
      <c r="D110" s="63" t="s">
        <v>16</v>
      </c>
      <c r="E110" s="63">
        <v>2024</v>
      </c>
      <c r="F110" s="63" t="s">
        <v>12</v>
      </c>
      <c r="G110" s="63" t="s">
        <v>10721</v>
      </c>
      <c r="H110" s="63" t="s">
        <v>10722</v>
      </c>
      <c r="I110" s="63" t="s">
        <v>10723</v>
      </c>
      <c r="J110" s="63" t="s">
        <v>10700</v>
      </c>
    </row>
    <row r="111" spans="1:10" ht="28.8" x14ac:dyDescent="0.3">
      <c r="A111" s="62" t="s">
        <v>10536</v>
      </c>
      <c r="B111" s="63" t="s">
        <v>10696</v>
      </c>
      <c r="C111" s="63" t="s">
        <v>10551</v>
      </c>
      <c r="D111" s="63" t="s">
        <v>18</v>
      </c>
      <c r="E111" s="63">
        <v>2024</v>
      </c>
      <c r="F111" s="63" t="s">
        <v>14</v>
      </c>
      <c r="G111" s="63" t="s">
        <v>10724</v>
      </c>
      <c r="H111" s="63" t="s">
        <v>10725</v>
      </c>
      <c r="I111" s="63" t="s">
        <v>10726</v>
      </c>
      <c r="J111" s="63" t="s">
        <v>10700</v>
      </c>
    </row>
    <row r="112" spans="1:10" ht="28.8" x14ac:dyDescent="0.3">
      <c r="A112" s="62" t="s">
        <v>10536</v>
      </c>
      <c r="B112" s="63" t="s">
        <v>10696</v>
      </c>
      <c r="C112" s="63" t="s">
        <v>10551</v>
      </c>
      <c r="D112" s="63" t="s">
        <v>18</v>
      </c>
      <c r="E112" s="63">
        <v>2024</v>
      </c>
      <c r="F112" s="63" t="s">
        <v>12</v>
      </c>
      <c r="G112" s="63" t="s">
        <v>10727</v>
      </c>
      <c r="H112" s="63" t="s">
        <v>10728</v>
      </c>
      <c r="I112" s="63" t="s">
        <v>10729</v>
      </c>
      <c r="J112" s="63" t="s">
        <v>10700</v>
      </c>
    </row>
    <row r="113" spans="1:10" ht="28.8" x14ac:dyDescent="0.3">
      <c r="A113" s="62" t="s">
        <v>10536</v>
      </c>
      <c r="B113" s="63" t="s">
        <v>10696</v>
      </c>
      <c r="C113" s="63" t="s">
        <v>10551</v>
      </c>
      <c r="D113" s="63" t="s">
        <v>18</v>
      </c>
      <c r="E113" s="63">
        <v>2025</v>
      </c>
      <c r="F113" s="63" t="s">
        <v>14</v>
      </c>
      <c r="G113" s="63" t="s">
        <v>10730</v>
      </c>
      <c r="H113" s="63" t="s">
        <v>10731</v>
      </c>
      <c r="I113" s="63" t="s">
        <v>10732</v>
      </c>
      <c r="J113" s="63" t="s">
        <v>10700</v>
      </c>
    </row>
    <row r="114" spans="1:10" ht="28.8" x14ac:dyDescent="0.3">
      <c r="A114" s="62" t="s">
        <v>10536</v>
      </c>
      <c r="B114" s="63" t="s">
        <v>10696</v>
      </c>
      <c r="C114" s="63" t="s">
        <v>10551</v>
      </c>
      <c r="D114" s="63" t="s">
        <v>18</v>
      </c>
      <c r="E114" s="63">
        <v>2025</v>
      </c>
      <c r="F114" s="63" t="s">
        <v>12</v>
      </c>
      <c r="G114" s="63" t="s">
        <v>10733</v>
      </c>
      <c r="H114" s="63" t="s">
        <v>10734</v>
      </c>
      <c r="I114" s="63" t="s">
        <v>10735</v>
      </c>
      <c r="J114" s="63" t="s">
        <v>10700</v>
      </c>
    </row>
    <row r="115" spans="1:10" ht="28.8" x14ac:dyDescent="0.3">
      <c r="A115" s="62" t="s">
        <v>10536</v>
      </c>
      <c r="B115" s="63" t="s">
        <v>10696</v>
      </c>
      <c r="C115" s="63" t="s">
        <v>10551</v>
      </c>
      <c r="D115" s="63" t="s">
        <v>9650</v>
      </c>
      <c r="E115" s="63">
        <v>2025</v>
      </c>
      <c r="F115" s="63" t="s">
        <v>14</v>
      </c>
      <c r="G115" s="63" t="s">
        <v>10736</v>
      </c>
      <c r="H115" s="63" t="s">
        <v>10737</v>
      </c>
      <c r="I115" s="63" t="s">
        <v>10738</v>
      </c>
      <c r="J115" s="63" t="s">
        <v>10700</v>
      </c>
    </row>
    <row r="116" spans="1:10" ht="28.8" x14ac:dyDescent="0.3">
      <c r="A116" s="62" t="s">
        <v>10536</v>
      </c>
      <c r="B116" s="63" t="s">
        <v>10696</v>
      </c>
      <c r="C116" s="63" t="s">
        <v>10551</v>
      </c>
      <c r="D116" s="63" t="s">
        <v>39</v>
      </c>
      <c r="E116" s="63">
        <v>2022</v>
      </c>
      <c r="F116" s="63" t="s">
        <v>14</v>
      </c>
      <c r="G116" s="63" t="s">
        <v>10739</v>
      </c>
      <c r="H116" s="63" t="s">
        <v>10740</v>
      </c>
      <c r="I116" s="63" t="s">
        <v>10741</v>
      </c>
      <c r="J116" s="63" t="s">
        <v>10700</v>
      </c>
    </row>
    <row r="117" spans="1:10" ht="28.8" x14ac:dyDescent="0.3">
      <c r="A117" s="62" t="s">
        <v>10536</v>
      </c>
      <c r="B117" s="63" t="s">
        <v>10696</v>
      </c>
      <c r="C117" s="63" t="s">
        <v>10551</v>
      </c>
      <c r="D117" s="63" t="s">
        <v>39</v>
      </c>
      <c r="E117" s="63">
        <v>2022</v>
      </c>
      <c r="F117" s="63" t="s">
        <v>12</v>
      </c>
      <c r="G117" s="63" t="s">
        <v>10742</v>
      </c>
      <c r="H117" s="63" t="s">
        <v>10743</v>
      </c>
      <c r="I117" s="63" t="s">
        <v>10744</v>
      </c>
      <c r="J117" s="63" t="s">
        <v>10700</v>
      </c>
    </row>
    <row r="118" spans="1:10" ht="28.8" x14ac:dyDescent="0.3">
      <c r="A118" s="62" t="s">
        <v>10536</v>
      </c>
      <c r="B118" s="63" t="s">
        <v>10696</v>
      </c>
      <c r="C118" s="63" t="s">
        <v>10551</v>
      </c>
      <c r="D118" s="63" t="s">
        <v>39</v>
      </c>
      <c r="E118" s="63">
        <v>2023</v>
      </c>
      <c r="F118" s="63" t="s">
        <v>14</v>
      </c>
      <c r="G118" s="63" t="s">
        <v>10745</v>
      </c>
      <c r="H118" s="63" t="s">
        <v>10746</v>
      </c>
      <c r="I118" s="63" t="s">
        <v>10747</v>
      </c>
      <c r="J118" s="63" t="s">
        <v>10700</v>
      </c>
    </row>
    <row r="119" spans="1:10" ht="28.8" x14ac:dyDescent="0.3">
      <c r="A119" s="62" t="s">
        <v>10536</v>
      </c>
      <c r="B119" s="63" t="s">
        <v>10696</v>
      </c>
      <c r="C119" s="63" t="s">
        <v>10551</v>
      </c>
      <c r="D119" s="63" t="s">
        <v>39</v>
      </c>
      <c r="E119" s="63">
        <v>2023</v>
      </c>
      <c r="F119" s="63" t="s">
        <v>12</v>
      </c>
      <c r="G119" s="63" t="s">
        <v>10748</v>
      </c>
      <c r="H119" s="63" t="s">
        <v>10749</v>
      </c>
      <c r="I119" s="63" t="s">
        <v>10750</v>
      </c>
      <c r="J119" s="63" t="s">
        <v>10700</v>
      </c>
    </row>
    <row r="120" spans="1:10" ht="28.8" x14ac:dyDescent="0.3">
      <c r="A120" s="62" t="s">
        <v>10536</v>
      </c>
      <c r="B120" s="63" t="s">
        <v>10696</v>
      </c>
      <c r="C120" s="63" t="s">
        <v>10551</v>
      </c>
      <c r="D120" s="63" t="s">
        <v>39</v>
      </c>
      <c r="E120" s="63">
        <v>2024</v>
      </c>
      <c r="F120" s="63" t="s">
        <v>14</v>
      </c>
      <c r="G120" s="63" t="s">
        <v>10751</v>
      </c>
      <c r="H120" s="63" t="s">
        <v>10752</v>
      </c>
      <c r="I120" s="63" t="s">
        <v>10753</v>
      </c>
      <c r="J120" s="63" t="s">
        <v>10700</v>
      </c>
    </row>
    <row r="121" spans="1:10" ht="28.8" x14ac:dyDescent="0.3">
      <c r="A121" s="62" t="s">
        <v>10536</v>
      </c>
      <c r="B121" s="63" t="s">
        <v>10696</v>
      </c>
      <c r="C121" s="63" t="s">
        <v>10551</v>
      </c>
      <c r="D121" s="63" t="s">
        <v>41</v>
      </c>
      <c r="E121" s="63">
        <v>2022</v>
      </c>
      <c r="F121" s="63" t="s">
        <v>14</v>
      </c>
      <c r="G121" s="63" t="s">
        <v>10754</v>
      </c>
      <c r="H121" s="63" t="s">
        <v>10755</v>
      </c>
      <c r="I121" s="63" t="s">
        <v>10756</v>
      </c>
      <c r="J121" s="63" t="s">
        <v>10700</v>
      </c>
    </row>
    <row r="122" spans="1:10" ht="28.8" x14ac:dyDescent="0.3">
      <c r="A122" s="62" t="s">
        <v>10536</v>
      </c>
      <c r="B122" s="63" t="s">
        <v>10696</v>
      </c>
      <c r="C122" s="63" t="s">
        <v>10551</v>
      </c>
      <c r="D122" s="63" t="s">
        <v>41</v>
      </c>
      <c r="E122" s="63">
        <v>2023</v>
      </c>
      <c r="F122" s="63" t="s">
        <v>14</v>
      </c>
      <c r="G122" s="63" t="s">
        <v>10757</v>
      </c>
      <c r="H122" s="63" t="s">
        <v>10758</v>
      </c>
      <c r="I122" s="63" t="s">
        <v>10759</v>
      </c>
      <c r="J122" s="63" t="s">
        <v>10700</v>
      </c>
    </row>
    <row r="123" spans="1:10" ht="28.8" x14ac:dyDescent="0.3">
      <c r="A123" s="62" t="s">
        <v>10536</v>
      </c>
      <c r="B123" s="63" t="s">
        <v>10696</v>
      </c>
      <c r="C123" s="63" t="s">
        <v>10551</v>
      </c>
      <c r="D123" s="63" t="s">
        <v>41</v>
      </c>
      <c r="E123" s="63">
        <v>2024</v>
      </c>
      <c r="F123" s="63" t="s">
        <v>14</v>
      </c>
      <c r="G123" s="63" t="s">
        <v>10760</v>
      </c>
      <c r="H123" s="63" t="s">
        <v>10761</v>
      </c>
      <c r="I123" s="63" t="s">
        <v>10762</v>
      </c>
      <c r="J123" s="63" t="s">
        <v>10700</v>
      </c>
    </row>
    <row r="124" spans="1:10" ht="28.8" x14ac:dyDescent="0.3">
      <c r="A124" s="62" t="s">
        <v>10536</v>
      </c>
      <c r="B124" s="63" t="s">
        <v>10696</v>
      </c>
      <c r="C124" s="63" t="s">
        <v>10551</v>
      </c>
      <c r="D124" s="63" t="s">
        <v>2960</v>
      </c>
      <c r="E124" s="63">
        <v>2024</v>
      </c>
      <c r="F124" s="63" t="s">
        <v>14</v>
      </c>
      <c r="G124" s="63" t="s">
        <v>10763</v>
      </c>
      <c r="H124" s="63" t="s">
        <v>10764</v>
      </c>
      <c r="I124" s="63" t="s">
        <v>10765</v>
      </c>
      <c r="J124" s="63" t="s">
        <v>10700</v>
      </c>
    </row>
    <row r="125" spans="1:10" ht="28.8" x14ac:dyDescent="0.3">
      <c r="A125" s="62" t="s">
        <v>10536</v>
      </c>
      <c r="B125" s="63" t="s">
        <v>10696</v>
      </c>
      <c r="C125" s="63" t="s">
        <v>10551</v>
      </c>
      <c r="D125" s="63" t="s">
        <v>42</v>
      </c>
      <c r="E125" s="63">
        <v>2022</v>
      </c>
      <c r="F125" s="63" t="s">
        <v>13</v>
      </c>
      <c r="G125" s="63" t="s">
        <v>10766</v>
      </c>
      <c r="H125" s="63" t="s">
        <v>10767</v>
      </c>
      <c r="I125" s="63" t="s">
        <v>10768</v>
      </c>
      <c r="J125" s="63" t="s">
        <v>10700</v>
      </c>
    </row>
    <row r="126" spans="1:10" ht="28.8" x14ac:dyDescent="0.3">
      <c r="A126" s="62" t="s">
        <v>10536</v>
      </c>
      <c r="B126" s="63" t="s">
        <v>10696</v>
      </c>
      <c r="C126" s="63" t="s">
        <v>10551</v>
      </c>
      <c r="D126" s="63" t="s">
        <v>42</v>
      </c>
      <c r="E126" s="63">
        <v>2023</v>
      </c>
      <c r="F126" s="63" t="s">
        <v>14</v>
      </c>
      <c r="G126" s="63" t="s">
        <v>10769</v>
      </c>
      <c r="H126" s="63" t="s">
        <v>10770</v>
      </c>
      <c r="I126" s="63" t="s">
        <v>10771</v>
      </c>
      <c r="J126" s="63" t="s">
        <v>10700</v>
      </c>
    </row>
    <row r="127" spans="1:10" ht="28.8" x14ac:dyDescent="0.3">
      <c r="A127" s="62" t="s">
        <v>10536</v>
      </c>
      <c r="B127" s="63" t="s">
        <v>10696</v>
      </c>
      <c r="C127" s="63" t="s">
        <v>10551</v>
      </c>
      <c r="D127" s="63" t="s">
        <v>42</v>
      </c>
      <c r="E127" s="63">
        <v>2024</v>
      </c>
      <c r="F127" s="63" t="s">
        <v>13</v>
      </c>
      <c r="G127" s="63" t="s">
        <v>10772</v>
      </c>
      <c r="H127" s="63" t="s">
        <v>10773</v>
      </c>
      <c r="I127" s="63" t="s">
        <v>10774</v>
      </c>
      <c r="J127" s="63" t="s">
        <v>10700</v>
      </c>
    </row>
    <row r="128" spans="1:10" ht="28.8" x14ac:dyDescent="0.3">
      <c r="A128" s="62" t="s">
        <v>10536</v>
      </c>
      <c r="B128" s="63" t="s">
        <v>10696</v>
      </c>
      <c r="C128" s="63" t="s">
        <v>10551</v>
      </c>
      <c r="D128" s="63" t="s">
        <v>9789</v>
      </c>
      <c r="E128" s="63">
        <v>2023</v>
      </c>
      <c r="F128" s="63" t="s">
        <v>14</v>
      </c>
      <c r="G128" s="63" t="s">
        <v>10775</v>
      </c>
      <c r="H128" s="63" t="s">
        <v>10776</v>
      </c>
      <c r="I128" s="63" t="s">
        <v>10777</v>
      </c>
      <c r="J128" s="63" t="s">
        <v>10700</v>
      </c>
    </row>
    <row r="129" spans="1:10" ht="28.8" x14ac:dyDescent="0.3">
      <c r="A129" s="62" t="s">
        <v>10536</v>
      </c>
      <c r="B129" s="63" t="s">
        <v>10696</v>
      </c>
      <c r="C129" s="63" t="s">
        <v>10551</v>
      </c>
      <c r="D129" s="63" t="s">
        <v>9789</v>
      </c>
      <c r="E129" s="63">
        <v>2023</v>
      </c>
      <c r="F129" s="63" t="s">
        <v>12</v>
      </c>
      <c r="G129" s="63" t="s">
        <v>10778</v>
      </c>
      <c r="H129" s="63" t="s">
        <v>10779</v>
      </c>
      <c r="I129" s="63" t="s">
        <v>10780</v>
      </c>
      <c r="J129" s="63" t="s">
        <v>10700</v>
      </c>
    </row>
    <row r="130" spans="1:10" ht="28.8" x14ac:dyDescent="0.3">
      <c r="A130" s="62" t="s">
        <v>10536</v>
      </c>
      <c r="B130" s="63" t="s">
        <v>10696</v>
      </c>
      <c r="C130" s="63" t="s">
        <v>10551</v>
      </c>
      <c r="D130" s="63" t="s">
        <v>43</v>
      </c>
      <c r="E130" s="63">
        <v>2022</v>
      </c>
      <c r="F130" s="63" t="s">
        <v>14</v>
      </c>
      <c r="G130" s="63" t="s">
        <v>10781</v>
      </c>
      <c r="H130" s="63" t="s">
        <v>10782</v>
      </c>
      <c r="I130" s="63" t="s">
        <v>10783</v>
      </c>
      <c r="J130" s="63" t="s">
        <v>10700</v>
      </c>
    </row>
    <row r="131" spans="1:10" ht="28.8" x14ac:dyDescent="0.3">
      <c r="A131" s="62" t="s">
        <v>10536</v>
      </c>
      <c r="B131" s="63" t="s">
        <v>10696</v>
      </c>
      <c r="C131" s="63" t="s">
        <v>10551</v>
      </c>
      <c r="D131" s="63" t="s">
        <v>43</v>
      </c>
      <c r="E131" s="63">
        <v>2023</v>
      </c>
      <c r="F131" s="63" t="s">
        <v>14</v>
      </c>
      <c r="G131" s="63" t="s">
        <v>10784</v>
      </c>
      <c r="H131" s="63" t="s">
        <v>10785</v>
      </c>
      <c r="I131" s="63" t="s">
        <v>10786</v>
      </c>
      <c r="J131" s="63" t="s">
        <v>10700</v>
      </c>
    </row>
    <row r="132" spans="1:10" ht="28.8" x14ac:dyDescent="0.3">
      <c r="A132" s="62" t="s">
        <v>10536</v>
      </c>
      <c r="B132" s="63" t="s">
        <v>10696</v>
      </c>
      <c r="C132" s="63" t="s">
        <v>10551</v>
      </c>
      <c r="D132" s="63" t="s">
        <v>43</v>
      </c>
      <c r="E132" s="63">
        <v>2024</v>
      </c>
      <c r="F132" s="63" t="s">
        <v>14</v>
      </c>
      <c r="G132" s="63" t="s">
        <v>10787</v>
      </c>
      <c r="H132" s="63" t="s">
        <v>10788</v>
      </c>
      <c r="I132" s="63" t="s">
        <v>10789</v>
      </c>
      <c r="J132" s="63" t="s">
        <v>10700</v>
      </c>
    </row>
    <row r="133" spans="1:10" ht="28.8" x14ac:dyDescent="0.3">
      <c r="A133" s="62" t="s">
        <v>10536</v>
      </c>
      <c r="B133" s="63" t="s">
        <v>10696</v>
      </c>
      <c r="C133" s="63" t="s">
        <v>10551</v>
      </c>
      <c r="D133" s="63" t="s">
        <v>47</v>
      </c>
      <c r="E133" s="63">
        <v>2022</v>
      </c>
      <c r="F133" s="63" t="s">
        <v>14</v>
      </c>
      <c r="G133" s="63" t="s">
        <v>10790</v>
      </c>
      <c r="H133" s="63" t="s">
        <v>10791</v>
      </c>
      <c r="I133" s="63" t="s">
        <v>10792</v>
      </c>
      <c r="J133" s="63" t="s">
        <v>10700</v>
      </c>
    </row>
    <row r="134" spans="1:10" ht="28.8" x14ac:dyDescent="0.3">
      <c r="A134" s="62" t="s">
        <v>10536</v>
      </c>
      <c r="B134" s="63" t="s">
        <v>10696</v>
      </c>
      <c r="C134" s="63" t="s">
        <v>10551</v>
      </c>
      <c r="D134" s="63" t="s">
        <v>47</v>
      </c>
      <c r="E134" s="63">
        <v>2022</v>
      </c>
      <c r="F134" s="63" t="s">
        <v>12</v>
      </c>
      <c r="G134" s="63" t="s">
        <v>10793</v>
      </c>
      <c r="H134" s="63" t="s">
        <v>10794</v>
      </c>
      <c r="I134" s="63" t="s">
        <v>10795</v>
      </c>
      <c r="J134" s="63" t="s">
        <v>10700</v>
      </c>
    </row>
    <row r="135" spans="1:10" ht="28.8" x14ac:dyDescent="0.3">
      <c r="A135" s="62" t="s">
        <v>10536</v>
      </c>
      <c r="B135" s="63" t="s">
        <v>10696</v>
      </c>
      <c r="C135" s="63" t="s">
        <v>10551</v>
      </c>
      <c r="D135" s="63" t="s">
        <v>47</v>
      </c>
      <c r="E135" s="63">
        <v>2023</v>
      </c>
      <c r="F135" s="63" t="s">
        <v>14</v>
      </c>
      <c r="G135" s="63" t="s">
        <v>10796</v>
      </c>
      <c r="H135" s="63" t="s">
        <v>10797</v>
      </c>
      <c r="I135" s="63" t="s">
        <v>10798</v>
      </c>
      <c r="J135" s="63" t="s">
        <v>10700</v>
      </c>
    </row>
    <row r="136" spans="1:10" ht="28.8" x14ac:dyDescent="0.3">
      <c r="A136" s="62" t="s">
        <v>10536</v>
      </c>
      <c r="B136" s="63" t="s">
        <v>10696</v>
      </c>
      <c r="C136" s="63" t="s">
        <v>10551</v>
      </c>
      <c r="D136" s="63" t="s">
        <v>47</v>
      </c>
      <c r="E136" s="63">
        <v>2023</v>
      </c>
      <c r="F136" s="63" t="s">
        <v>9</v>
      </c>
      <c r="G136" s="63" t="s">
        <v>10799</v>
      </c>
      <c r="H136" s="63" t="s">
        <v>10800</v>
      </c>
      <c r="I136" s="63" t="s">
        <v>10801</v>
      </c>
      <c r="J136" s="63" t="s">
        <v>10700</v>
      </c>
    </row>
    <row r="137" spans="1:10" ht="28.8" x14ac:dyDescent="0.3">
      <c r="A137" s="62" t="s">
        <v>10536</v>
      </c>
      <c r="B137" s="63" t="s">
        <v>10696</v>
      </c>
      <c r="C137" s="63" t="s">
        <v>10551</v>
      </c>
      <c r="D137" s="63" t="s">
        <v>47</v>
      </c>
      <c r="E137" s="63">
        <v>2023</v>
      </c>
      <c r="F137" s="63" t="s">
        <v>12</v>
      </c>
      <c r="G137" s="63" t="s">
        <v>10802</v>
      </c>
      <c r="H137" s="63" t="s">
        <v>10803</v>
      </c>
      <c r="I137" s="63" t="s">
        <v>10804</v>
      </c>
      <c r="J137" s="63" t="s">
        <v>10700</v>
      </c>
    </row>
    <row r="138" spans="1:10" ht="28.8" x14ac:dyDescent="0.3">
      <c r="A138" s="62" t="s">
        <v>10536</v>
      </c>
      <c r="B138" s="63" t="s">
        <v>10696</v>
      </c>
      <c r="C138" s="63" t="s">
        <v>10551</v>
      </c>
      <c r="D138" s="63" t="s">
        <v>47</v>
      </c>
      <c r="E138" s="63">
        <v>2024</v>
      </c>
      <c r="F138" s="63" t="s">
        <v>14</v>
      </c>
      <c r="G138" s="63" t="s">
        <v>10805</v>
      </c>
      <c r="H138" s="63" t="s">
        <v>10806</v>
      </c>
      <c r="I138" s="63" t="s">
        <v>10807</v>
      </c>
      <c r="J138" s="63" t="s">
        <v>10700</v>
      </c>
    </row>
    <row r="139" spans="1:10" ht="28.8" x14ac:dyDescent="0.3">
      <c r="A139" s="62" t="s">
        <v>10536</v>
      </c>
      <c r="B139" s="63" t="s">
        <v>10696</v>
      </c>
      <c r="C139" s="63" t="s">
        <v>10551</v>
      </c>
      <c r="D139" s="63" t="s">
        <v>47</v>
      </c>
      <c r="E139" s="63">
        <v>2024</v>
      </c>
      <c r="F139" s="63" t="s">
        <v>9</v>
      </c>
      <c r="G139" s="63" t="s">
        <v>10808</v>
      </c>
      <c r="H139" s="63" t="s">
        <v>10809</v>
      </c>
      <c r="I139" s="63" t="s">
        <v>10810</v>
      </c>
      <c r="J139" s="63" t="s">
        <v>10700</v>
      </c>
    </row>
    <row r="140" spans="1:10" ht="28.8" x14ac:dyDescent="0.3">
      <c r="A140" s="62" t="s">
        <v>10536</v>
      </c>
      <c r="B140" s="63" t="s">
        <v>10696</v>
      </c>
      <c r="C140" s="63" t="s">
        <v>10551</v>
      </c>
      <c r="D140" s="63" t="s">
        <v>48</v>
      </c>
      <c r="E140" s="63">
        <v>2024</v>
      </c>
      <c r="F140" s="63" t="s">
        <v>12</v>
      </c>
      <c r="G140" s="63" t="s">
        <v>10811</v>
      </c>
      <c r="H140" s="63" t="s">
        <v>10812</v>
      </c>
      <c r="I140" s="63" t="s">
        <v>10813</v>
      </c>
      <c r="J140" s="63" t="s">
        <v>10700</v>
      </c>
    </row>
    <row r="141" spans="1:10" ht="28.8" x14ac:dyDescent="0.3">
      <c r="A141" s="62" t="s">
        <v>10536</v>
      </c>
      <c r="B141" s="63" t="s">
        <v>10696</v>
      </c>
      <c r="C141" s="63" t="s">
        <v>10551</v>
      </c>
      <c r="D141" s="63" t="s">
        <v>124</v>
      </c>
      <c r="E141" s="63">
        <v>2022</v>
      </c>
      <c r="F141" s="63" t="s">
        <v>13</v>
      </c>
      <c r="G141" s="63" t="s">
        <v>10814</v>
      </c>
      <c r="H141" s="63" t="s">
        <v>10815</v>
      </c>
      <c r="I141" s="63" t="s">
        <v>10771</v>
      </c>
      <c r="J141" s="63" t="s">
        <v>10700</v>
      </c>
    </row>
    <row r="142" spans="1:10" ht="28.8" x14ac:dyDescent="0.3">
      <c r="A142" s="62" t="s">
        <v>10536</v>
      </c>
      <c r="B142" s="63" t="s">
        <v>10696</v>
      </c>
      <c r="C142" s="63" t="s">
        <v>10551</v>
      </c>
      <c r="D142" s="63" t="s">
        <v>124</v>
      </c>
      <c r="E142" s="63">
        <v>2022</v>
      </c>
      <c r="F142" s="63" t="s">
        <v>9</v>
      </c>
      <c r="G142" s="63" t="s">
        <v>10816</v>
      </c>
      <c r="H142" s="63" t="s">
        <v>10817</v>
      </c>
      <c r="I142" s="63" t="s">
        <v>10818</v>
      </c>
      <c r="J142" s="63" t="s">
        <v>10700</v>
      </c>
    </row>
    <row r="143" spans="1:10" ht="28.8" x14ac:dyDescent="0.3">
      <c r="A143" s="62" t="s">
        <v>10536</v>
      </c>
      <c r="B143" s="63" t="s">
        <v>10696</v>
      </c>
      <c r="C143" s="63" t="s">
        <v>10551</v>
      </c>
      <c r="D143" s="63" t="s">
        <v>124</v>
      </c>
      <c r="E143" s="63">
        <v>2022</v>
      </c>
      <c r="F143" s="63" t="s">
        <v>12</v>
      </c>
      <c r="G143" s="63" t="s">
        <v>10819</v>
      </c>
      <c r="H143" s="63" t="s">
        <v>10820</v>
      </c>
      <c r="I143" s="63" t="s">
        <v>10821</v>
      </c>
      <c r="J143" s="63" t="s">
        <v>10700</v>
      </c>
    </row>
    <row r="144" spans="1:10" ht="28.8" x14ac:dyDescent="0.3">
      <c r="A144" s="62" t="s">
        <v>10536</v>
      </c>
      <c r="B144" s="63" t="s">
        <v>10696</v>
      </c>
      <c r="C144" s="63" t="s">
        <v>10551</v>
      </c>
      <c r="D144" s="63" t="s">
        <v>19</v>
      </c>
      <c r="E144" s="63">
        <v>2022</v>
      </c>
      <c r="F144" s="63" t="s">
        <v>9</v>
      </c>
      <c r="G144" s="63" t="s">
        <v>10822</v>
      </c>
      <c r="H144" s="63" t="s">
        <v>10823</v>
      </c>
      <c r="I144" s="63" t="s">
        <v>10824</v>
      </c>
      <c r="J144" s="63" t="s">
        <v>10700</v>
      </c>
    </row>
    <row r="145" spans="1:10" ht="28.8" x14ac:dyDescent="0.3">
      <c r="A145" s="62" t="s">
        <v>10536</v>
      </c>
      <c r="B145" s="63" t="s">
        <v>10696</v>
      </c>
      <c r="C145" s="63" t="s">
        <v>10551</v>
      </c>
      <c r="D145" s="63" t="s">
        <v>19</v>
      </c>
      <c r="E145" s="63">
        <v>2023</v>
      </c>
      <c r="F145" s="63" t="s">
        <v>14</v>
      </c>
      <c r="G145" s="63" t="s">
        <v>10825</v>
      </c>
      <c r="H145" s="63" t="s">
        <v>10826</v>
      </c>
      <c r="I145" s="63" t="s">
        <v>10827</v>
      </c>
      <c r="J145" s="63" t="s">
        <v>10700</v>
      </c>
    </row>
    <row r="146" spans="1:10" ht="28.8" x14ac:dyDescent="0.3">
      <c r="A146" s="62" t="s">
        <v>10536</v>
      </c>
      <c r="B146" s="63" t="s">
        <v>10696</v>
      </c>
      <c r="C146" s="63" t="s">
        <v>10551</v>
      </c>
      <c r="D146" s="63" t="s">
        <v>20</v>
      </c>
      <c r="E146" s="63">
        <v>2022</v>
      </c>
      <c r="F146" s="63" t="s">
        <v>9</v>
      </c>
      <c r="G146" s="63" t="s">
        <v>10828</v>
      </c>
      <c r="H146" s="63" t="s">
        <v>10829</v>
      </c>
      <c r="I146" s="63" t="s">
        <v>10830</v>
      </c>
      <c r="J146" s="63" t="s">
        <v>10700</v>
      </c>
    </row>
    <row r="147" spans="1:10" ht="28.8" x14ac:dyDescent="0.3">
      <c r="A147" s="62" t="s">
        <v>10536</v>
      </c>
      <c r="B147" s="63" t="s">
        <v>10696</v>
      </c>
      <c r="C147" s="63" t="s">
        <v>10551</v>
      </c>
      <c r="D147" s="63" t="s">
        <v>20</v>
      </c>
      <c r="E147" s="63">
        <v>2023</v>
      </c>
      <c r="F147" s="63" t="s">
        <v>12</v>
      </c>
      <c r="G147" s="63" t="s">
        <v>10831</v>
      </c>
      <c r="H147" s="63" t="s">
        <v>10832</v>
      </c>
      <c r="I147" s="63" t="s">
        <v>10765</v>
      </c>
      <c r="J147" s="63" t="s">
        <v>10700</v>
      </c>
    </row>
    <row r="148" spans="1:10" ht="28.8" x14ac:dyDescent="0.3">
      <c r="A148" s="62" t="s">
        <v>10536</v>
      </c>
      <c r="B148" s="63" t="s">
        <v>10696</v>
      </c>
      <c r="C148" s="63" t="s">
        <v>10551</v>
      </c>
      <c r="D148" s="63" t="s">
        <v>21</v>
      </c>
      <c r="E148" s="63">
        <v>2022</v>
      </c>
      <c r="F148" s="63" t="s">
        <v>13</v>
      </c>
      <c r="G148" s="63" t="s">
        <v>10833</v>
      </c>
      <c r="H148" s="63" t="s">
        <v>10834</v>
      </c>
      <c r="I148" s="63" t="s">
        <v>10835</v>
      </c>
      <c r="J148" s="63" t="s">
        <v>10700</v>
      </c>
    </row>
    <row r="149" spans="1:10" ht="28.8" x14ac:dyDescent="0.3">
      <c r="A149" s="62" t="s">
        <v>10536</v>
      </c>
      <c r="B149" s="63" t="s">
        <v>10696</v>
      </c>
      <c r="C149" s="63" t="s">
        <v>10551</v>
      </c>
      <c r="D149" s="63" t="s">
        <v>21</v>
      </c>
      <c r="E149" s="63">
        <v>2024</v>
      </c>
      <c r="F149" s="63" t="s">
        <v>14</v>
      </c>
      <c r="G149" s="63" t="s">
        <v>10836</v>
      </c>
      <c r="H149" s="63" t="s">
        <v>10837</v>
      </c>
      <c r="I149" s="63" t="s">
        <v>10838</v>
      </c>
      <c r="J149" s="63" t="s">
        <v>10700</v>
      </c>
    </row>
    <row r="150" spans="1:10" ht="28.8" x14ac:dyDescent="0.3">
      <c r="A150" s="62" t="s">
        <v>10536</v>
      </c>
      <c r="B150" s="63" t="s">
        <v>10696</v>
      </c>
      <c r="C150" s="63" t="s">
        <v>10551</v>
      </c>
      <c r="D150" s="63" t="s">
        <v>5643</v>
      </c>
      <c r="E150" s="63">
        <v>2022</v>
      </c>
      <c r="F150" s="63" t="s">
        <v>12</v>
      </c>
      <c r="G150" s="63" t="s">
        <v>10839</v>
      </c>
      <c r="H150" s="63" t="s">
        <v>10840</v>
      </c>
      <c r="I150" s="63" t="s">
        <v>10841</v>
      </c>
      <c r="J150" s="63" t="s">
        <v>10700</v>
      </c>
    </row>
    <row r="151" spans="1:10" ht="28.8" x14ac:dyDescent="0.3">
      <c r="A151" s="62" t="s">
        <v>10536</v>
      </c>
      <c r="B151" s="63" t="s">
        <v>10696</v>
      </c>
      <c r="C151" s="63" t="s">
        <v>10551</v>
      </c>
      <c r="D151" s="63" t="s">
        <v>5643</v>
      </c>
      <c r="E151" s="63">
        <v>2023</v>
      </c>
      <c r="F151" s="63" t="s">
        <v>12</v>
      </c>
      <c r="G151" s="63" t="s">
        <v>10842</v>
      </c>
      <c r="H151" s="63" t="s">
        <v>10843</v>
      </c>
      <c r="I151" s="63" t="s">
        <v>10844</v>
      </c>
      <c r="J151" s="63" t="s">
        <v>10700</v>
      </c>
    </row>
    <row r="152" spans="1:10" ht="28.8" x14ac:dyDescent="0.3">
      <c r="A152" s="62" t="s">
        <v>10536</v>
      </c>
      <c r="B152" s="63" t="s">
        <v>10696</v>
      </c>
      <c r="C152" s="63" t="s">
        <v>10551</v>
      </c>
      <c r="D152" s="63" t="s">
        <v>5643</v>
      </c>
      <c r="E152" s="63">
        <v>2024</v>
      </c>
      <c r="F152" s="63" t="s">
        <v>12</v>
      </c>
      <c r="G152" s="63" t="s">
        <v>10845</v>
      </c>
      <c r="H152" s="63" t="s">
        <v>10846</v>
      </c>
      <c r="I152" s="63" t="s">
        <v>10847</v>
      </c>
      <c r="J152" s="63" t="s">
        <v>10700</v>
      </c>
    </row>
    <row r="153" spans="1:10" ht="28.8" x14ac:dyDescent="0.3">
      <c r="A153" s="62" t="s">
        <v>10536</v>
      </c>
      <c r="B153" s="63" t="s">
        <v>10696</v>
      </c>
      <c r="C153" s="63" t="s">
        <v>10551</v>
      </c>
      <c r="D153" s="63" t="s">
        <v>49</v>
      </c>
      <c r="E153" s="63">
        <v>2022</v>
      </c>
      <c r="F153" s="63" t="s">
        <v>14</v>
      </c>
      <c r="G153" s="63" t="s">
        <v>10848</v>
      </c>
      <c r="H153" s="63" t="s">
        <v>10849</v>
      </c>
      <c r="I153" s="63" t="s">
        <v>10850</v>
      </c>
      <c r="J153" s="63" t="s">
        <v>10700</v>
      </c>
    </row>
    <row r="154" spans="1:10" ht="28.8" x14ac:dyDescent="0.3">
      <c r="A154" s="62" t="s">
        <v>10536</v>
      </c>
      <c r="B154" s="63" t="s">
        <v>10696</v>
      </c>
      <c r="C154" s="63" t="s">
        <v>10551</v>
      </c>
      <c r="D154" s="63" t="s">
        <v>49</v>
      </c>
      <c r="E154" s="63">
        <v>2022</v>
      </c>
      <c r="F154" s="63" t="s">
        <v>13</v>
      </c>
      <c r="G154" s="63" t="s">
        <v>10851</v>
      </c>
      <c r="H154" s="63" t="s">
        <v>10852</v>
      </c>
      <c r="I154" s="63" t="s">
        <v>10853</v>
      </c>
      <c r="J154" s="63" t="s">
        <v>10700</v>
      </c>
    </row>
    <row r="155" spans="1:10" ht="28.8" x14ac:dyDescent="0.3">
      <c r="A155" s="62" t="s">
        <v>10536</v>
      </c>
      <c r="B155" s="63" t="s">
        <v>10696</v>
      </c>
      <c r="C155" s="63" t="s">
        <v>10551</v>
      </c>
      <c r="D155" s="63" t="s">
        <v>49</v>
      </c>
      <c r="E155" s="63">
        <v>2022</v>
      </c>
      <c r="F155" s="63" t="s">
        <v>12</v>
      </c>
      <c r="G155" s="63" t="s">
        <v>10854</v>
      </c>
      <c r="H155" s="63" t="s">
        <v>10855</v>
      </c>
      <c r="I155" s="63" t="s">
        <v>10856</v>
      </c>
      <c r="J155" s="63" t="s">
        <v>10700</v>
      </c>
    </row>
    <row r="156" spans="1:10" ht="28.8" x14ac:dyDescent="0.3">
      <c r="A156" s="62" t="s">
        <v>10536</v>
      </c>
      <c r="B156" s="63" t="s">
        <v>10696</v>
      </c>
      <c r="C156" s="63" t="s">
        <v>10551</v>
      </c>
      <c r="D156" s="63" t="s">
        <v>49</v>
      </c>
      <c r="E156" s="63">
        <v>2024</v>
      </c>
      <c r="F156" s="63" t="s">
        <v>14</v>
      </c>
      <c r="G156" s="63" t="s">
        <v>10857</v>
      </c>
      <c r="H156" s="63" t="s">
        <v>10858</v>
      </c>
      <c r="I156" s="63" t="s">
        <v>10859</v>
      </c>
      <c r="J156" s="63" t="s">
        <v>10700</v>
      </c>
    </row>
    <row r="157" spans="1:10" ht="28.8" x14ac:dyDescent="0.3">
      <c r="A157" s="62" t="s">
        <v>10536</v>
      </c>
      <c r="B157" s="63" t="s">
        <v>10696</v>
      </c>
      <c r="C157" s="63" t="s">
        <v>10551</v>
      </c>
      <c r="D157" s="63" t="s">
        <v>51</v>
      </c>
      <c r="E157" s="63">
        <v>2022</v>
      </c>
      <c r="F157" s="63" t="s">
        <v>14</v>
      </c>
      <c r="G157" s="63" t="s">
        <v>10860</v>
      </c>
      <c r="H157" s="63" t="s">
        <v>10861</v>
      </c>
      <c r="I157" s="63" t="s">
        <v>10862</v>
      </c>
      <c r="J157" s="63" t="s">
        <v>10700</v>
      </c>
    </row>
    <row r="158" spans="1:10" ht="28.8" x14ac:dyDescent="0.3">
      <c r="A158" s="62" t="s">
        <v>10536</v>
      </c>
      <c r="B158" s="63" t="s">
        <v>10696</v>
      </c>
      <c r="C158" s="63" t="s">
        <v>10551</v>
      </c>
      <c r="D158" s="63" t="s">
        <v>51</v>
      </c>
      <c r="E158" s="63">
        <v>2022</v>
      </c>
      <c r="F158" s="63" t="s">
        <v>12</v>
      </c>
      <c r="G158" s="63" t="s">
        <v>10863</v>
      </c>
      <c r="H158" s="63" t="s">
        <v>10864</v>
      </c>
      <c r="I158" s="63" t="s">
        <v>10865</v>
      </c>
      <c r="J158" s="63" t="s">
        <v>10700</v>
      </c>
    </row>
    <row r="159" spans="1:10" ht="28.8" x14ac:dyDescent="0.3">
      <c r="A159" s="62" t="s">
        <v>10536</v>
      </c>
      <c r="B159" s="63" t="s">
        <v>10696</v>
      </c>
      <c r="C159" s="63" t="s">
        <v>10547</v>
      </c>
      <c r="D159" s="63" t="s">
        <v>51</v>
      </c>
      <c r="E159" s="63">
        <v>2022</v>
      </c>
      <c r="F159" s="63" t="s">
        <v>10866</v>
      </c>
      <c r="G159" s="63" t="s">
        <v>10867</v>
      </c>
      <c r="H159" s="63" t="s">
        <v>10868</v>
      </c>
      <c r="I159" s="63" t="s">
        <v>10869</v>
      </c>
      <c r="J159" s="63" t="s">
        <v>10700</v>
      </c>
    </row>
    <row r="160" spans="1:10" ht="28.8" x14ac:dyDescent="0.3">
      <c r="A160" s="62" t="s">
        <v>10536</v>
      </c>
      <c r="B160" s="63" t="s">
        <v>10696</v>
      </c>
      <c r="C160" s="63" t="s">
        <v>10547</v>
      </c>
      <c r="D160" s="63" t="s">
        <v>51</v>
      </c>
      <c r="E160" s="63">
        <v>2023</v>
      </c>
      <c r="F160" s="63" t="s">
        <v>10866</v>
      </c>
      <c r="G160" s="63" t="s">
        <v>10870</v>
      </c>
      <c r="H160" s="63" t="s">
        <v>10871</v>
      </c>
      <c r="I160" s="63" t="s">
        <v>10872</v>
      </c>
      <c r="J160" s="63" t="s">
        <v>10700</v>
      </c>
    </row>
    <row r="161" spans="1:10" ht="28.8" x14ac:dyDescent="0.3">
      <c r="A161" s="62" t="s">
        <v>10536</v>
      </c>
      <c r="B161" s="63" t="s">
        <v>10696</v>
      </c>
      <c r="C161" s="63" t="s">
        <v>10547</v>
      </c>
      <c r="D161" s="63" t="s">
        <v>51</v>
      </c>
      <c r="E161" s="63">
        <v>2024</v>
      </c>
      <c r="F161" s="63" t="s">
        <v>10866</v>
      </c>
      <c r="G161" s="63" t="s">
        <v>10873</v>
      </c>
      <c r="H161" s="63" t="s">
        <v>10874</v>
      </c>
      <c r="I161" s="63" t="s">
        <v>10875</v>
      </c>
      <c r="J161" s="63" t="s">
        <v>10700</v>
      </c>
    </row>
    <row r="162" spans="1:10" ht="28.8" x14ac:dyDescent="0.3">
      <c r="A162" s="62" t="s">
        <v>10536</v>
      </c>
      <c r="B162" s="63" t="s">
        <v>10696</v>
      </c>
      <c r="C162" s="63" t="s">
        <v>10551</v>
      </c>
      <c r="D162" s="63" t="s">
        <v>52</v>
      </c>
      <c r="E162" s="63">
        <v>2023</v>
      </c>
      <c r="F162" s="63" t="s">
        <v>14</v>
      </c>
      <c r="G162" s="63" t="s">
        <v>10876</v>
      </c>
      <c r="H162" s="63" t="s">
        <v>10877</v>
      </c>
      <c r="I162" s="63" t="s">
        <v>10878</v>
      </c>
      <c r="J162" s="63" t="s">
        <v>10700</v>
      </c>
    </row>
    <row r="163" spans="1:10" ht="28.8" x14ac:dyDescent="0.3">
      <c r="A163" s="62" t="s">
        <v>10536</v>
      </c>
      <c r="B163" s="63" t="s">
        <v>10696</v>
      </c>
      <c r="C163" s="63" t="s">
        <v>10551</v>
      </c>
      <c r="D163" s="63" t="s">
        <v>52</v>
      </c>
      <c r="E163" s="63">
        <v>2024</v>
      </c>
      <c r="F163" s="63" t="s">
        <v>14</v>
      </c>
      <c r="G163" s="63" t="s">
        <v>10879</v>
      </c>
      <c r="H163" s="63" t="s">
        <v>10880</v>
      </c>
      <c r="I163" s="63" t="s">
        <v>10881</v>
      </c>
      <c r="J163" s="63" t="s">
        <v>10700</v>
      </c>
    </row>
    <row r="164" spans="1:10" ht="28.8" x14ac:dyDescent="0.3">
      <c r="A164" s="62" t="s">
        <v>10536</v>
      </c>
      <c r="B164" s="63" t="s">
        <v>10696</v>
      </c>
      <c r="C164" s="63" t="s">
        <v>10551</v>
      </c>
      <c r="D164" s="63" t="s">
        <v>52</v>
      </c>
      <c r="E164" s="63">
        <v>2024</v>
      </c>
      <c r="F164" s="63" t="s">
        <v>12</v>
      </c>
      <c r="G164" s="63" t="s">
        <v>10882</v>
      </c>
      <c r="H164" s="63" t="s">
        <v>10883</v>
      </c>
      <c r="I164" s="63" t="s">
        <v>10884</v>
      </c>
      <c r="J164" s="63" t="s">
        <v>10700</v>
      </c>
    </row>
    <row r="165" spans="1:10" ht="28.8" x14ac:dyDescent="0.3">
      <c r="A165" s="62" t="s">
        <v>10536</v>
      </c>
      <c r="B165" s="63" t="s">
        <v>10696</v>
      </c>
      <c r="C165" s="63" t="s">
        <v>10551</v>
      </c>
      <c r="D165" s="63" t="s">
        <v>53</v>
      </c>
      <c r="E165" s="63">
        <v>2022</v>
      </c>
      <c r="F165" s="63" t="s">
        <v>12</v>
      </c>
      <c r="G165" s="63" t="s">
        <v>10885</v>
      </c>
      <c r="H165" s="63" t="s">
        <v>10886</v>
      </c>
      <c r="I165" s="63" t="s">
        <v>10887</v>
      </c>
      <c r="J165" s="63" t="s">
        <v>10700</v>
      </c>
    </row>
    <row r="166" spans="1:10" ht="28.8" x14ac:dyDescent="0.3">
      <c r="A166" s="62" t="s">
        <v>10536</v>
      </c>
      <c r="B166" s="63" t="s">
        <v>10696</v>
      </c>
      <c r="C166" s="63" t="s">
        <v>10551</v>
      </c>
      <c r="D166" s="63" t="s">
        <v>53</v>
      </c>
      <c r="E166" s="63">
        <v>2023</v>
      </c>
      <c r="F166" s="63" t="s">
        <v>12</v>
      </c>
      <c r="G166" s="63" t="s">
        <v>10888</v>
      </c>
      <c r="H166" s="63" t="s">
        <v>10889</v>
      </c>
      <c r="I166" s="63" t="s">
        <v>10890</v>
      </c>
      <c r="J166" s="63" t="s">
        <v>10700</v>
      </c>
    </row>
    <row r="167" spans="1:10" ht="28.8" x14ac:dyDescent="0.3">
      <c r="A167" s="62" t="s">
        <v>10536</v>
      </c>
      <c r="B167" s="63" t="s">
        <v>10696</v>
      </c>
      <c r="C167" s="63" t="s">
        <v>10551</v>
      </c>
      <c r="D167" s="63" t="s">
        <v>53</v>
      </c>
      <c r="E167" s="63">
        <v>2024</v>
      </c>
      <c r="F167" s="63" t="s">
        <v>12</v>
      </c>
      <c r="G167" s="63" t="s">
        <v>10891</v>
      </c>
      <c r="H167" s="63" t="s">
        <v>10892</v>
      </c>
      <c r="I167" s="63" t="s">
        <v>10738</v>
      </c>
      <c r="J167" s="63" t="s">
        <v>10700</v>
      </c>
    </row>
    <row r="168" spans="1:10" ht="28.8" x14ac:dyDescent="0.3">
      <c r="A168" s="62" t="s">
        <v>10536</v>
      </c>
      <c r="B168" s="63" t="s">
        <v>10696</v>
      </c>
      <c r="C168" s="63" t="s">
        <v>10551</v>
      </c>
      <c r="D168" s="63" t="s">
        <v>54</v>
      </c>
      <c r="E168" s="63">
        <v>2024</v>
      </c>
      <c r="F168" s="63" t="s">
        <v>14</v>
      </c>
      <c r="G168" s="63" t="s">
        <v>10893</v>
      </c>
      <c r="H168" s="63" t="s">
        <v>10894</v>
      </c>
      <c r="I168" s="63" t="s">
        <v>10895</v>
      </c>
      <c r="J168" s="63" t="s">
        <v>10700</v>
      </c>
    </row>
    <row r="169" spans="1:10" ht="28.8" x14ac:dyDescent="0.3">
      <c r="A169" s="62" t="s">
        <v>10536</v>
      </c>
      <c r="B169" s="63" t="s">
        <v>10696</v>
      </c>
      <c r="C169" s="63" t="s">
        <v>10551</v>
      </c>
      <c r="D169" s="63" t="s">
        <v>55</v>
      </c>
      <c r="E169" s="63">
        <v>2022</v>
      </c>
      <c r="F169" s="63" t="s">
        <v>9</v>
      </c>
      <c r="G169" s="63" t="s">
        <v>10896</v>
      </c>
      <c r="H169" s="63" t="s">
        <v>10897</v>
      </c>
      <c r="I169" s="63" t="s">
        <v>10898</v>
      </c>
      <c r="J169" s="63" t="s">
        <v>10700</v>
      </c>
    </row>
    <row r="170" spans="1:10" ht="28.8" x14ac:dyDescent="0.3">
      <c r="A170" s="62" t="s">
        <v>10536</v>
      </c>
      <c r="B170" s="63" t="s">
        <v>10696</v>
      </c>
      <c r="C170" s="63" t="s">
        <v>10551</v>
      </c>
      <c r="D170" s="63" t="s">
        <v>55</v>
      </c>
      <c r="E170" s="63">
        <v>2023</v>
      </c>
      <c r="F170" s="63" t="s">
        <v>14</v>
      </c>
      <c r="G170" s="63" t="s">
        <v>10899</v>
      </c>
      <c r="H170" s="63" t="s">
        <v>10900</v>
      </c>
      <c r="I170" s="63" t="s">
        <v>10901</v>
      </c>
      <c r="J170" s="63" t="s">
        <v>10700</v>
      </c>
    </row>
    <row r="171" spans="1:10" ht="28.8" x14ac:dyDescent="0.3">
      <c r="A171" s="62" t="s">
        <v>10536</v>
      </c>
      <c r="B171" s="63" t="s">
        <v>10696</v>
      </c>
      <c r="C171" s="63" t="s">
        <v>10551</v>
      </c>
      <c r="D171" s="63" t="s">
        <v>56</v>
      </c>
      <c r="E171" s="63">
        <v>2023</v>
      </c>
      <c r="F171" s="63" t="s">
        <v>14</v>
      </c>
      <c r="G171" s="63" t="s">
        <v>10902</v>
      </c>
      <c r="H171" s="63" t="s">
        <v>10903</v>
      </c>
      <c r="I171" s="63" t="s">
        <v>10904</v>
      </c>
      <c r="J171" s="63" t="s">
        <v>10700</v>
      </c>
    </row>
    <row r="172" spans="1:10" ht="28.8" x14ac:dyDescent="0.3">
      <c r="A172" s="62" t="s">
        <v>10536</v>
      </c>
      <c r="B172" s="63" t="s">
        <v>10696</v>
      </c>
      <c r="C172" s="63" t="s">
        <v>10551</v>
      </c>
      <c r="D172" s="63" t="s">
        <v>56</v>
      </c>
      <c r="E172" s="63">
        <v>2023</v>
      </c>
      <c r="F172" s="63" t="s">
        <v>12</v>
      </c>
      <c r="G172" s="63" t="s">
        <v>10905</v>
      </c>
      <c r="H172" s="63" t="s">
        <v>10906</v>
      </c>
      <c r="I172" s="63" t="s">
        <v>10907</v>
      </c>
      <c r="J172" s="63" t="s">
        <v>10700</v>
      </c>
    </row>
    <row r="173" spans="1:10" ht="28.8" x14ac:dyDescent="0.3">
      <c r="A173" s="62" t="s">
        <v>10536</v>
      </c>
      <c r="B173" s="63" t="s">
        <v>10696</v>
      </c>
      <c r="C173" s="63" t="s">
        <v>10547</v>
      </c>
      <c r="D173" s="63" t="s">
        <v>56</v>
      </c>
      <c r="E173" s="63">
        <v>2023</v>
      </c>
      <c r="F173" s="63" t="s">
        <v>10866</v>
      </c>
      <c r="G173" s="63" t="s">
        <v>10908</v>
      </c>
      <c r="H173" s="63" t="s">
        <v>10909</v>
      </c>
      <c r="I173" s="63" t="s">
        <v>10910</v>
      </c>
      <c r="J173" s="63" t="s">
        <v>10700</v>
      </c>
    </row>
    <row r="174" spans="1:10" ht="28.8" x14ac:dyDescent="0.3">
      <c r="A174" s="62" t="s">
        <v>10536</v>
      </c>
      <c r="B174" s="63" t="s">
        <v>10696</v>
      </c>
      <c r="C174" s="63" t="s">
        <v>10551</v>
      </c>
      <c r="D174" s="63" t="s">
        <v>56</v>
      </c>
      <c r="E174" s="63">
        <v>2024</v>
      </c>
      <c r="F174" s="63" t="s">
        <v>14</v>
      </c>
      <c r="G174" s="63" t="s">
        <v>10911</v>
      </c>
      <c r="H174" s="63" t="s">
        <v>10912</v>
      </c>
      <c r="I174" s="63" t="s">
        <v>10913</v>
      </c>
      <c r="J174" s="63" t="s">
        <v>10700</v>
      </c>
    </row>
    <row r="175" spans="1:10" ht="28.8" x14ac:dyDescent="0.3">
      <c r="A175" s="62" t="s">
        <v>10536</v>
      </c>
      <c r="B175" s="63" t="s">
        <v>10696</v>
      </c>
      <c r="C175" s="63" t="s">
        <v>10547</v>
      </c>
      <c r="D175" s="63" t="s">
        <v>56</v>
      </c>
      <c r="E175" s="63">
        <v>2024</v>
      </c>
      <c r="F175" s="63" t="s">
        <v>10866</v>
      </c>
      <c r="G175" s="63" t="s">
        <v>10914</v>
      </c>
      <c r="H175" s="63" t="s">
        <v>10915</v>
      </c>
      <c r="I175" s="63" t="s">
        <v>10916</v>
      </c>
      <c r="J175" s="63" t="s">
        <v>10700</v>
      </c>
    </row>
    <row r="176" spans="1:10" ht="28.8" x14ac:dyDescent="0.3">
      <c r="A176" s="62" t="s">
        <v>10536</v>
      </c>
      <c r="B176" s="63" t="s">
        <v>10696</v>
      </c>
      <c r="C176" s="63" t="s">
        <v>10551</v>
      </c>
      <c r="D176" s="63" t="s">
        <v>56</v>
      </c>
      <c r="E176" s="63">
        <v>2025</v>
      </c>
      <c r="F176" s="63" t="s">
        <v>14</v>
      </c>
      <c r="G176" s="63" t="s">
        <v>10917</v>
      </c>
      <c r="H176" s="63" t="s">
        <v>10918</v>
      </c>
      <c r="I176" s="63" t="s">
        <v>10919</v>
      </c>
      <c r="J176" s="63" t="s">
        <v>10700</v>
      </c>
    </row>
    <row r="177" spans="1:10" ht="28.8" x14ac:dyDescent="0.3">
      <c r="A177" s="62" t="s">
        <v>10536</v>
      </c>
      <c r="B177" s="63" t="s">
        <v>10696</v>
      </c>
      <c r="C177" s="63" t="s">
        <v>10551</v>
      </c>
      <c r="D177" s="63" t="s">
        <v>56</v>
      </c>
      <c r="E177" s="63">
        <v>2025</v>
      </c>
      <c r="F177" s="63" t="s">
        <v>12</v>
      </c>
      <c r="G177" s="63" t="s">
        <v>10920</v>
      </c>
      <c r="H177" s="63" t="s">
        <v>10921</v>
      </c>
      <c r="I177" s="63" t="s">
        <v>10922</v>
      </c>
      <c r="J177" s="63" t="s">
        <v>10700</v>
      </c>
    </row>
    <row r="178" spans="1:10" ht="28.8" x14ac:dyDescent="0.3">
      <c r="A178" s="62" t="s">
        <v>10536</v>
      </c>
      <c r="B178" s="63" t="s">
        <v>10696</v>
      </c>
      <c r="C178" s="63" t="s">
        <v>10551</v>
      </c>
      <c r="D178" s="63" t="s">
        <v>106</v>
      </c>
      <c r="E178" s="63">
        <v>2023</v>
      </c>
      <c r="F178" s="63" t="s">
        <v>14</v>
      </c>
      <c r="G178" s="63" t="s">
        <v>10923</v>
      </c>
      <c r="H178" s="63" t="s">
        <v>10924</v>
      </c>
      <c r="I178" s="63" t="s">
        <v>10869</v>
      </c>
      <c r="J178" s="63" t="s">
        <v>10700</v>
      </c>
    </row>
    <row r="179" spans="1:10" ht="28.8" x14ac:dyDescent="0.3">
      <c r="A179" s="62" t="s">
        <v>10536</v>
      </c>
      <c r="B179" s="63" t="s">
        <v>10696</v>
      </c>
      <c r="C179" s="63" t="s">
        <v>10551</v>
      </c>
      <c r="D179" s="63" t="s">
        <v>22</v>
      </c>
      <c r="E179" s="63">
        <v>2023</v>
      </c>
      <c r="F179" s="63" t="s">
        <v>14</v>
      </c>
      <c r="G179" s="63" t="s">
        <v>10925</v>
      </c>
      <c r="H179" s="63" t="s">
        <v>10926</v>
      </c>
      <c r="I179" s="63" t="s">
        <v>10927</v>
      </c>
      <c r="J179" s="63" t="s">
        <v>10700</v>
      </c>
    </row>
    <row r="180" spans="1:10" ht="28.8" x14ac:dyDescent="0.3">
      <c r="A180" s="62" t="s">
        <v>10536</v>
      </c>
      <c r="B180" s="63" t="s">
        <v>10696</v>
      </c>
      <c r="C180" s="63" t="s">
        <v>10551</v>
      </c>
      <c r="D180" s="63" t="s">
        <v>22</v>
      </c>
      <c r="E180" s="63">
        <v>2023</v>
      </c>
      <c r="F180" s="63" t="s">
        <v>12</v>
      </c>
      <c r="G180" s="63" t="s">
        <v>10928</v>
      </c>
      <c r="H180" s="63" t="s">
        <v>10929</v>
      </c>
      <c r="I180" s="63" t="s">
        <v>10930</v>
      </c>
      <c r="J180" s="63" t="s">
        <v>10700</v>
      </c>
    </row>
    <row r="181" spans="1:10" ht="28.8" x14ac:dyDescent="0.3">
      <c r="A181" s="62" t="s">
        <v>10536</v>
      </c>
      <c r="B181" s="63" t="s">
        <v>10696</v>
      </c>
      <c r="C181" s="63" t="s">
        <v>10551</v>
      </c>
      <c r="D181" s="63" t="s">
        <v>22</v>
      </c>
      <c r="E181" s="63">
        <v>2024</v>
      </c>
      <c r="F181" s="63" t="s">
        <v>12</v>
      </c>
      <c r="G181" s="63" t="s">
        <v>10931</v>
      </c>
      <c r="H181" s="63" t="s">
        <v>10932</v>
      </c>
      <c r="I181" s="63" t="s">
        <v>10933</v>
      </c>
      <c r="J181" s="63" t="s">
        <v>10700</v>
      </c>
    </row>
    <row r="182" spans="1:10" ht="28.8" x14ac:dyDescent="0.3">
      <c r="A182" s="62" t="s">
        <v>10536</v>
      </c>
      <c r="B182" s="63" t="s">
        <v>10696</v>
      </c>
      <c r="C182" s="63" t="s">
        <v>10551</v>
      </c>
      <c r="D182" s="63" t="s">
        <v>22</v>
      </c>
      <c r="E182" s="63">
        <v>2025</v>
      </c>
      <c r="F182" s="63" t="s">
        <v>14</v>
      </c>
      <c r="G182" s="63" t="s">
        <v>10934</v>
      </c>
      <c r="H182" s="63" t="s">
        <v>10935</v>
      </c>
      <c r="I182" s="63" t="s">
        <v>10936</v>
      </c>
      <c r="J182" s="63" t="s">
        <v>10700</v>
      </c>
    </row>
    <row r="183" spans="1:10" ht="28.8" x14ac:dyDescent="0.3">
      <c r="A183" s="62" t="s">
        <v>10536</v>
      </c>
      <c r="B183" s="63" t="s">
        <v>10696</v>
      </c>
      <c r="C183" s="63" t="s">
        <v>10551</v>
      </c>
      <c r="D183" s="63" t="s">
        <v>23</v>
      </c>
      <c r="E183" s="63">
        <v>2023</v>
      </c>
      <c r="F183" s="63" t="s">
        <v>9</v>
      </c>
      <c r="G183" s="63" t="s">
        <v>10937</v>
      </c>
      <c r="H183" s="63" t="s">
        <v>10938</v>
      </c>
      <c r="I183" s="63" t="s">
        <v>10939</v>
      </c>
      <c r="J183" s="63" t="s">
        <v>10700</v>
      </c>
    </row>
    <row r="184" spans="1:10" ht="28.8" x14ac:dyDescent="0.3">
      <c r="A184" s="62" t="s">
        <v>10536</v>
      </c>
      <c r="B184" s="63" t="s">
        <v>10696</v>
      </c>
      <c r="C184" s="63" t="s">
        <v>10551</v>
      </c>
      <c r="D184" s="63" t="s">
        <v>23</v>
      </c>
      <c r="E184" s="63">
        <v>2023</v>
      </c>
      <c r="F184" s="63" t="s">
        <v>12</v>
      </c>
      <c r="G184" s="63" t="s">
        <v>10940</v>
      </c>
      <c r="H184" s="63" t="s">
        <v>10941</v>
      </c>
      <c r="I184" s="63" t="s">
        <v>10942</v>
      </c>
      <c r="J184" s="63" t="s">
        <v>10700</v>
      </c>
    </row>
    <row r="185" spans="1:10" ht="28.8" x14ac:dyDescent="0.3">
      <c r="A185" s="62" t="s">
        <v>10536</v>
      </c>
      <c r="B185" s="63" t="s">
        <v>10696</v>
      </c>
      <c r="C185" s="63" t="s">
        <v>10551</v>
      </c>
      <c r="D185" s="63" t="s">
        <v>23</v>
      </c>
      <c r="E185" s="63">
        <v>2024</v>
      </c>
      <c r="F185" s="63" t="s">
        <v>9</v>
      </c>
      <c r="G185" s="63" t="s">
        <v>10943</v>
      </c>
      <c r="H185" s="63" t="s">
        <v>10944</v>
      </c>
      <c r="I185" s="63" t="s">
        <v>10945</v>
      </c>
      <c r="J185" s="63" t="s">
        <v>10700</v>
      </c>
    </row>
    <row r="186" spans="1:10" ht="28.8" x14ac:dyDescent="0.3">
      <c r="A186" s="62" t="s">
        <v>10536</v>
      </c>
      <c r="B186" s="63" t="s">
        <v>10696</v>
      </c>
      <c r="C186" s="63" t="s">
        <v>10551</v>
      </c>
      <c r="D186" s="63" t="s">
        <v>128</v>
      </c>
      <c r="E186" s="63">
        <v>2022</v>
      </c>
      <c r="F186" s="63" t="s">
        <v>14</v>
      </c>
      <c r="G186" s="63" t="s">
        <v>10811</v>
      </c>
      <c r="H186" s="63" t="s">
        <v>10946</v>
      </c>
      <c r="I186" s="63" t="s">
        <v>10947</v>
      </c>
      <c r="J186" s="63" t="s">
        <v>10700</v>
      </c>
    </row>
    <row r="187" spans="1:10" ht="28.8" x14ac:dyDescent="0.3">
      <c r="A187" s="62" t="s">
        <v>10536</v>
      </c>
      <c r="B187" s="63" t="s">
        <v>10696</v>
      </c>
      <c r="C187" s="63" t="s">
        <v>10551</v>
      </c>
      <c r="D187" s="63" t="s">
        <v>128</v>
      </c>
      <c r="E187" s="63">
        <v>2022</v>
      </c>
      <c r="F187" s="63" t="s">
        <v>12</v>
      </c>
      <c r="G187" s="63" t="s">
        <v>10811</v>
      </c>
      <c r="H187" s="63" t="s">
        <v>10948</v>
      </c>
      <c r="I187" s="63" t="s">
        <v>10949</v>
      </c>
      <c r="J187" s="63" t="s">
        <v>10700</v>
      </c>
    </row>
    <row r="188" spans="1:10" ht="28.8" x14ac:dyDescent="0.3">
      <c r="A188" s="62" t="s">
        <v>10536</v>
      </c>
      <c r="B188" s="63" t="s">
        <v>10696</v>
      </c>
      <c r="C188" s="63" t="s">
        <v>10551</v>
      </c>
      <c r="D188" s="63" t="s">
        <v>128</v>
      </c>
      <c r="E188" s="63">
        <v>2023</v>
      </c>
      <c r="F188" s="63" t="s">
        <v>14</v>
      </c>
      <c r="G188" s="63" t="s">
        <v>10950</v>
      </c>
      <c r="H188" s="63" t="s">
        <v>10951</v>
      </c>
      <c r="I188" s="63" t="s">
        <v>10952</v>
      </c>
      <c r="J188" s="63" t="s">
        <v>10700</v>
      </c>
    </row>
    <row r="189" spans="1:10" ht="28.8" x14ac:dyDescent="0.3">
      <c r="A189" s="62" t="s">
        <v>10536</v>
      </c>
      <c r="B189" s="63" t="s">
        <v>10696</v>
      </c>
      <c r="C189" s="63" t="s">
        <v>10551</v>
      </c>
      <c r="D189" s="63" t="s">
        <v>128</v>
      </c>
      <c r="E189" s="63">
        <v>2023</v>
      </c>
      <c r="F189" s="63" t="s">
        <v>13</v>
      </c>
      <c r="G189" s="63" t="s">
        <v>10953</v>
      </c>
      <c r="H189" s="63" t="s">
        <v>10954</v>
      </c>
      <c r="I189" s="63" t="s">
        <v>10955</v>
      </c>
      <c r="J189" s="63" t="s">
        <v>10700</v>
      </c>
    </row>
    <row r="190" spans="1:10" ht="28.8" x14ac:dyDescent="0.3">
      <c r="A190" s="62" t="s">
        <v>10536</v>
      </c>
      <c r="B190" s="63" t="s">
        <v>10696</v>
      </c>
      <c r="C190" s="63" t="s">
        <v>10551</v>
      </c>
      <c r="D190" s="63" t="s">
        <v>128</v>
      </c>
      <c r="E190" s="63">
        <v>2023</v>
      </c>
      <c r="F190" s="63" t="s">
        <v>12</v>
      </c>
      <c r="G190" s="63" t="s">
        <v>10811</v>
      </c>
      <c r="H190" s="63" t="s">
        <v>10956</v>
      </c>
      <c r="I190" s="63" t="s">
        <v>10957</v>
      </c>
      <c r="J190" s="63" t="s">
        <v>10700</v>
      </c>
    </row>
    <row r="191" spans="1:10" ht="28.8" x14ac:dyDescent="0.3">
      <c r="A191" s="62" t="s">
        <v>10536</v>
      </c>
      <c r="B191" s="63" t="s">
        <v>10696</v>
      </c>
      <c r="C191" s="63" t="s">
        <v>10551</v>
      </c>
      <c r="D191" s="63" t="s">
        <v>128</v>
      </c>
      <c r="E191" s="63">
        <v>2024</v>
      </c>
      <c r="F191" s="63" t="s">
        <v>14</v>
      </c>
      <c r="G191" s="63" t="s">
        <v>10958</v>
      </c>
      <c r="H191" s="63" t="s">
        <v>10959</v>
      </c>
      <c r="I191" s="63" t="s">
        <v>10960</v>
      </c>
      <c r="J191" s="63" t="s">
        <v>10700</v>
      </c>
    </row>
    <row r="192" spans="1:10" ht="28.8" x14ac:dyDescent="0.3">
      <c r="A192" s="64" t="s">
        <v>10536</v>
      </c>
      <c r="B192" s="65" t="s">
        <v>10696</v>
      </c>
      <c r="C192" s="65" t="s">
        <v>10551</v>
      </c>
      <c r="D192" s="65" t="s">
        <v>35</v>
      </c>
      <c r="E192" s="65">
        <v>2022</v>
      </c>
      <c r="F192" s="65" t="s">
        <v>14</v>
      </c>
      <c r="G192" s="65" t="s">
        <v>10961</v>
      </c>
      <c r="H192" s="65" t="s">
        <v>10962</v>
      </c>
      <c r="I192" s="65" t="s">
        <v>10963</v>
      </c>
      <c r="J192" s="65" t="s">
        <v>10964</v>
      </c>
    </row>
    <row r="193" spans="1:10" ht="28.8" x14ac:dyDescent="0.3">
      <c r="A193" s="64" t="s">
        <v>10536</v>
      </c>
      <c r="B193" s="65" t="s">
        <v>10696</v>
      </c>
      <c r="C193" s="65" t="s">
        <v>10551</v>
      </c>
      <c r="D193" s="65" t="s">
        <v>35</v>
      </c>
      <c r="E193" s="65">
        <v>2022</v>
      </c>
      <c r="F193" s="65" t="s">
        <v>9</v>
      </c>
      <c r="G193" s="65" t="s">
        <v>10965</v>
      </c>
      <c r="H193" s="65" t="s">
        <v>10966</v>
      </c>
      <c r="I193" s="65" t="s">
        <v>10967</v>
      </c>
      <c r="J193" s="65" t="s">
        <v>10964</v>
      </c>
    </row>
    <row r="194" spans="1:10" ht="28.8" x14ac:dyDescent="0.3">
      <c r="A194" s="64" t="s">
        <v>10536</v>
      </c>
      <c r="B194" s="65" t="s">
        <v>10696</v>
      </c>
      <c r="C194" s="65" t="s">
        <v>10547</v>
      </c>
      <c r="D194" s="65" t="s">
        <v>35</v>
      </c>
      <c r="E194" s="65">
        <v>2022</v>
      </c>
      <c r="F194" s="65" t="s">
        <v>10556</v>
      </c>
      <c r="G194" s="65" t="s">
        <v>10968</v>
      </c>
      <c r="H194" s="65" t="s">
        <v>10969</v>
      </c>
      <c r="I194" s="65" t="s">
        <v>10970</v>
      </c>
      <c r="J194" s="65" t="s">
        <v>10964</v>
      </c>
    </row>
    <row r="195" spans="1:10" ht="28.8" x14ac:dyDescent="0.3">
      <c r="A195" s="64" t="s">
        <v>10536</v>
      </c>
      <c r="B195" s="65" t="s">
        <v>10696</v>
      </c>
      <c r="C195" s="65" t="s">
        <v>10547</v>
      </c>
      <c r="D195" s="65" t="s">
        <v>35</v>
      </c>
      <c r="E195" s="65">
        <v>2022</v>
      </c>
      <c r="F195" s="65" t="s">
        <v>10581</v>
      </c>
      <c r="G195" s="65" t="s">
        <v>10971</v>
      </c>
      <c r="H195" s="65" t="s">
        <v>10972</v>
      </c>
      <c r="I195" s="65" t="s">
        <v>10768</v>
      </c>
      <c r="J195" s="65" t="s">
        <v>10964</v>
      </c>
    </row>
    <row r="196" spans="1:10" ht="28.8" x14ac:dyDescent="0.3">
      <c r="A196" s="64" t="s">
        <v>10536</v>
      </c>
      <c r="B196" s="65" t="s">
        <v>10696</v>
      </c>
      <c r="C196" s="65" t="s">
        <v>10547</v>
      </c>
      <c r="D196" s="65" t="s">
        <v>35</v>
      </c>
      <c r="E196" s="65">
        <v>2022</v>
      </c>
      <c r="F196" s="65" t="s">
        <v>10552</v>
      </c>
      <c r="G196" s="65" t="s">
        <v>10972</v>
      </c>
      <c r="H196" s="65" t="s">
        <v>10973</v>
      </c>
      <c r="I196" s="65" t="s">
        <v>10974</v>
      </c>
      <c r="J196" s="65" t="s">
        <v>10964</v>
      </c>
    </row>
    <row r="197" spans="1:10" ht="28.8" x14ac:dyDescent="0.3">
      <c r="A197" s="64" t="s">
        <v>10536</v>
      </c>
      <c r="B197" s="65" t="s">
        <v>10696</v>
      </c>
      <c r="C197" s="65" t="s">
        <v>10547</v>
      </c>
      <c r="D197" s="65" t="s">
        <v>35</v>
      </c>
      <c r="E197" s="65">
        <v>2022</v>
      </c>
      <c r="F197" s="65" t="s">
        <v>10665</v>
      </c>
      <c r="G197" s="65" t="s">
        <v>10975</v>
      </c>
      <c r="H197" s="65" t="s">
        <v>10976</v>
      </c>
      <c r="I197" s="65" t="s">
        <v>10977</v>
      </c>
      <c r="J197" s="65" t="s">
        <v>10964</v>
      </c>
    </row>
    <row r="198" spans="1:10" ht="28.8" x14ac:dyDescent="0.3">
      <c r="A198" s="64" t="s">
        <v>10536</v>
      </c>
      <c r="B198" s="65" t="s">
        <v>10696</v>
      </c>
      <c r="C198" s="65" t="s">
        <v>10551</v>
      </c>
      <c r="D198" s="65" t="s">
        <v>35</v>
      </c>
      <c r="E198" s="65">
        <v>2023</v>
      </c>
      <c r="F198" s="65" t="s">
        <v>9</v>
      </c>
      <c r="G198" s="65" t="s">
        <v>10978</v>
      </c>
      <c r="H198" s="65" t="s">
        <v>10979</v>
      </c>
      <c r="I198" s="65" t="s">
        <v>10980</v>
      </c>
      <c r="J198" s="65" t="s">
        <v>10964</v>
      </c>
    </row>
    <row r="199" spans="1:10" ht="28.8" x14ac:dyDescent="0.3">
      <c r="A199" s="64" t="s">
        <v>10536</v>
      </c>
      <c r="B199" s="65" t="s">
        <v>10696</v>
      </c>
      <c r="C199" s="65" t="s">
        <v>10547</v>
      </c>
      <c r="D199" s="65" t="s">
        <v>35</v>
      </c>
      <c r="E199" s="65">
        <v>2023</v>
      </c>
      <c r="F199" s="65" t="s">
        <v>10604</v>
      </c>
      <c r="G199" s="65" t="s">
        <v>10981</v>
      </c>
      <c r="H199" s="65" t="s">
        <v>10982</v>
      </c>
      <c r="I199" s="65" t="s">
        <v>10983</v>
      </c>
      <c r="J199" s="65" t="s">
        <v>10964</v>
      </c>
    </row>
    <row r="200" spans="1:10" ht="28.8" x14ac:dyDescent="0.3">
      <c r="A200" s="64" t="s">
        <v>10536</v>
      </c>
      <c r="B200" s="65" t="s">
        <v>10696</v>
      </c>
      <c r="C200" s="65" t="s">
        <v>10547</v>
      </c>
      <c r="D200" s="65" t="s">
        <v>35</v>
      </c>
      <c r="E200" s="65">
        <v>2023</v>
      </c>
      <c r="F200" s="65" t="s">
        <v>10556</v>
      </c>
      <c r="G200" s="65" t="s">
        <v>10984</v>
      </c>
      <c r="H200" s="65" t="s">
        <v>10985</v>
      </c>
      <c r="I200" s="65" t="s">
        <v>10986</v>
      </c>
      <c r="J200" s="65" t="s">
        <v>10964</v>
      </c>
    </row>
    <row r="201" spans="1:10" ht="28.8" x14ac:dyDescent="0.3">
      <c r="A201" s="64" t="s">
        <v>10536</v>
      </c>
      <c r="B201" s="65" t="s">
        <v>10696</v>
      </c>
      <c r="C201" s="65" t="s">
        <v>10547</v>
      </c>
      <c r="D201" s="65" t="s">
        <v>35</v>
      </c>
      <c r="E201" s="65">
        <v>2023</v>
      </c>
      <c r="F201" s="65" t="s">
        <v>10581</v>
      </c>
      <c r="G201" s="65" t="s">
        <v>10984</v>
      </c>
      <c r="H201" s="65" t="s">
        <v>10987</v>
      </c>
      <c r="I201" s="65" t="s">
        <v>10988</v>
      </c>
      <c r="J201" s="65" t="s">
        <v>10964</v>
      </c>
    </row>
    <row r="202" spans="1:10" ht="28.8" x14ac:dyDescent="0.3">
      <c r="A202" s="64" t="s">
        <v>10536</v>
      </c>
      <c r="B202" s="65" t="s">
        <v>10696</v>
      </c>
      <c r="C202" s="65" t="s">
        <v>10547</v>
      </c>
      <c r="D202" s="65" t="s">
        <v>35</v>
      </c>
      <c r="E202" s="65">
        <v>2023</v>
      </c>
      <c r="F202" s="65" t="s">
        <v>10552</v>
      </c>
      <c r="G202" s="65" t="s">
        <v>10987</v>
      </c>
      <c r="H202" s="65" t="s">
        <v>10989</v>
      </c>
      <c r="I202" s="65" t="s">
        <v>10990</v>
      </c>
      <c r="J202" s="65" t="s">
        <v>10964</v>
      </c>
    </row>
    <row r="203" spans="1:10" ht="28.8" x14ac:dyDescent="0.3">
      <c r="A203" s="64" t="s">
        <v>10536</v>
      </c>
      <c r="B203" s="65" t="s">
        <v>10696</v>
      </c>
      <c r="C203" s="65" t="s">
        <v>10551</v>
      </c>
      <c r="D203" s="65" t="s">
        <v>35</v>
      </c>
      <c r="E203" s="65">
        <v>2024</v>
      </c>
      <c r="F203" s="65" t="s">
        <v>14</v>
      </c>
      <c r="G203" s="65" t="s">
        <v>10991</v>
      </c>
      <c r="H203" s="65" t="s">
        <v>10992</v>
      </c>
      <c r="I203" s="65" t="s">
        <v>10993</v>
      </c>
      <c r="J203" s="65" t="s">
        <v>10964</v>
      </c>
    </row>
    <row r="204" spans="1:10" ht="28.8" x14ac:dyDescent="0.3">
      <c r="A204" s="64" t="s">
        <v>10536</v>
      </c>
      <c r="B204" s="65" t="s">
        <v>10696</v>
      </c>
      <c r="C204" s="65" t="s">
        <v>10551</v>
      </c>
      <c r="D204" s="65" t="s">
        <v>35</v>
      </c>
      <c r="E204" s="65">
        <v>2024</v>
      </c>
      <c r="F204" s="65" t="s">
        <v>13</v>
      </c>
      <c r="G204" s="65" t="s">
        <v>10994</v>
      </c>
      <c r="H204" s="65" t="s">
        <v>10995</v>
      </c>
      <c r="I204" s="65" t="s">
        <v>10996</v>
      </c>
      <c r="J204" s="65" t="s">
        <v>10964</v>
      </c>
    </row>
    <row r="205" spans="1:10" ht="28.8" x14ac:dyDescent="0.3">
      <c r="A205" s="64" t="s">
        <v>10536</v>
      </c>
      <c r="B205" s="65" t="s">
        <v>10696</v>
      </c>
      <c r="C205" s="65" t="s">
        <v>10551</v>
      </c>
      <c r="D205" s="65" t="s">
        <v>35</v>
      </c>
      <c r="E205" s="65">
        <v>2024</v>
      </c>
      <c r="F205" s="65" t="s">
        <v>9</v>
      </c>
      <c r="G205" s="65" t="s">
        <v>10997</v>
      </c>
      <c r="H205" s="65" t="s">
        <v>10998</v>
      </c>
      <c r="I205" s="65" t="s">
        <v>10970</v>
      </c>
      <c r="J205" s="65" t="s">
        <v>10964</v>
      </c>
    </row>
    <row r="206" spans="1:10" ht="28.8" x14ac:dyDescent="0.3">
      <c r="A206" s="64" t="s">
        <v>10536</v>
      </c>
      <c r="B206" s="65" t="s">
        <v>10696</v>
      </c>
      <c r="C206" s="65" t="s">
        <v>10547</v>
      </c>
      <c r="D206" s="65" t="s">
        <v>35</v>
      </c>
      <c r="E206" s="65">
        <v>2024</v>
      </c>
      <c r="F206" s="65" t="s">
        <v>10604</v>
      </c>
      <c r="G206" s="65" t="s">
        <v>10999</v>
      </c>
      <c r="H206" s="65" t="s">
        <v>11000</v>
      </c>
      <c r="I206" s="65" t="s">
        <v>11001</v>
      </c>
      <c r="J206" s="65" t="s">
        <v>10964</v>
      </c>
    </row>
    <row r="207" spans="1:10" ht="28.8" x14ac:dyDescent="0.3">
      <c r="A207" s="64" t="s">
        <v>10536</v>
      </c>
      <c r="B207" s="65" t="s">
        <v>10696</v>
      </c>
      <c r="C207" s="65" t="s">
        <v>10547</v>
      </c>
      <c r="D207" s="65" t="s">
        <v>35</v>
      </c>
      <c r="E207" s="65">
        <v>2024</v>
      </c>
      <c r="F207" s="65" t="s">
        <v>10556</v>
      </c>
      <c r="G207" s="65" t="s">
        <v>11002</v>
      </c>
      <c r="H207" s="65" t="s">
        <v>11003</v>
      </c>
      <c r="I207" s="65" t="s">
        <v>10988</v>
      </c>
      <c r="J207" s="65" t="s">
        <v>10964</v>
      </c>
    </row>
    <row r="208" spans="1:10" ht="28.8" x14ac:dyDescent="0.3">
      <c r="A208" s="64" t="s">
        <v>10536</v>
      </c>
      <c r="B208" s="65" t="s">
        <v>10696</v>
      </c>
      <c r="C208" s="65" t="s">
        <v>10551</v>
      </c>
      <c r="D208" s="65" t="s">
        <v>2638</v>
      </c>
      <c r="E208" s="65">
        <v>2022</v>
      </c>
      <c r="F208" s="65" t="s">
        <v>14</v>
      </c>
      <c r="G208" s="65" t="s">
        <v>11004</v>
      </c>
      <c r="H208" s="65" t="s">
        <v>11005</v>
      </c>
      <c r="I208" s="65" t="s">
        <v>11006</v>
      </c>
      <c r="J208" s="65" t="s">
        <v>10964</v>
      </c>
    </row>
    <row r="209" spans="1:10" ht="28.8" x14ac:dyDescent="0.3">
      <c r="A209" s="64" t="s">
        <v>10536</v>
      </c>
      <c r="B209" s="65" t="s">
        <v>10696</v>
      </c>
      <c r="C209" s="65" t="s">
        <v>10551</v>
      </c>
      <c r="D209" s="65" t="s">
        <v>2638</v>
      </c>
      <c r="E209" s="65">
        <v>2022</v>
      </c>
      <c r="F209" s="65" t="s">
        <v>11</v>
      </c>
      <c r="G209" s="65" t="s">
        <v>11007</v>
      </c>
      <c r="H209" s="65" t="s">
        <v>11008</v>
      </c>
      <c r="I209" s="65" t="s">
        <v>11009</v>
      </c>
      <c r="J209" s="65" t="s">
        <v>10964</v>
      </c>
    </row>
    <row r="210" spans="1:10" ht="28.8" x14ac:dyDescent="0.3">
      <c r="A210" s="64" t="s">
        <v>10536</v>
      </c>
      <c r="B210" s="65" t="s">
        <v>10696</v>
      </c>
      <c r="C210" s="65" t="s">
        <v>10551</v>
      </c>
      <c r="D210" s="65" t="s">
        <v>2638</v>
      </c>
      <c r="E210" s="65">
        <v>2022</v>
      </c>
      <c r="F210" s="65" t="s">
        <v>13</v>
      </c>
      <c r="G210" s="65" t="s">
        <v>11010</v>
      </c>
      <c r="H210" s="65" t="s">
        <v>11011</v>
      </c>
      <c r="I210" s="65" t="s">
        <v>11009</v>
      </c>
      <c r="J210" s="65" t="s">
        <v>10964</v>
      </c>
    </row>
    <row r="211" spans="1:10" ht="28.8" x14ac:dyDescent="0.3">
      <c r="A211" s="64" t="s">
        <v>10536</v>
      </c>
      <c r="B211" s="65" t="s">
        <v>10696</v>
      </c>
      <c r="C211" s="65" t="s">
        <v>10551</v>
      </c>
      <c r="D211" s="65" t="s">
        <v>2638</v>
      </c>
      <c r="E211" s="65">
        <v>2022</v>
      </c>
      <c r="F211" s="65" t="s">
        <v>9</v>
      </c>
      <c r="G211" s="65" t="s">
        <v>11012</v>
      </c>
      <c r="H211" s="65" t="s">
        <v>11013</v>
      </c>
      <c r="I211" s="65" t="s">
        <v>11009</v>
      </c>
      <c r="J211" s="65" t="s">
        <v>10964</v>
      </c>
    </row>
    <row r="212" spans="1:10" ht="28.8" x14ac:dyDescent="0.3">
      <c r="A212" s="64" t="s">
        <v>10536</v>
      </c>
      <c r="B212" s="65" t="s">
        <v>10696</v>
      </c>
      <c r="C212" s="65" t="s">
        <v>10551</v>
      </c>
      <c r="D212" s="65" t="s">
        <v>2638</v>
      </c>
      <c r="E212" s="65">
        <v>2022</v>
      </c>
      <c r="F212" s="65" t="s">
        <v>17</v>
      </c>
      <c r="G212" s="65" t="s">
        <v>11014</v>
      </c>
      <c r="H212" s="65" t="s">
        <v>11015</v>
      </c>
      <c r="I212" s="65" t="s">
        <v>11016</v>
      </c>
      <c r="J212" s="65" t="s">
        <v>10964</v>
      </c>
    </row>
    <row r="213" spans="1:10" ht="28.8" x14ac:dyDescent="0.3">
      <c r="A213" s="64" t="s">
        <v>10536</v>
      </c>
      <c r="B213" s="65" t="s">
        <v>10696</v>
      </c>
      <c r="C213" s="65" t="s">
        <v>10551</v>
      </c>
      <c r="D213" s="65" t="s">
        <v>2638</v>
      </c>
      <c r="E213" s="65">
        <v>2022</v>
      </c>
      <c r="F213" s="65" t="s">
        <v>12</v>
      </c>
      <c r="G213" s="65" t="s">
        <v>11017</v>
      </c>
      <c r="H213" s="65" t="s">
        <v>11018</v>
      </c>
      <c r="I213" s="65" t="s">
        <v>11009</v>
      </c>
      <c r="J213" s="65" t="s">
        <v>10964</v>
      </c>
    </row>
    <row r="214" spans="1:10" ht="28.8" x14ac:dyDescent="0.3">
      <c r="A214" s="64" t="s">
        <v>10536</v>
      </c>
      <c r="B214" s="65" t="s">
        <v>10696</v>
      </c>
      <c r="C214" s="65" t="s">
        <v>10551</v>
      </c>
      <c r="D214" s="65" t="s">
        <v>2638</v>
      </c>
      <c r="E214" s="65">
        <v>2022</v>
      </c>
      <c r="F214" s="65" t="s">
        <v>10555</v>
      </c>
      <c r="G214" s="65" t="s">
        <v>11019</v>
      </c>
      <c r="H214" s="65" t="s">
        <v>11020</v>
      </c>
      <c r="I214" s="65" t="s">
        <v>11009</v>
      </c>
      <c r="J214" s="65" t="s">
        <v>10964</v>
      </c>
    </row>
    <row r="215" spans="1:10" ht="28.8" x14ac:dyDescent="0.3">
      <c r="A215" s="64" t="s">
        <v>10536</v>
      </c>
      <c r="B215" s="65" t="s">
        <v>10696</v>
      </c>
      <c r="C215" s="65" t="s">
        <v>10551</v>
      </c>
      <c r="D215" s="65" t="s">
        <v>2638</v>
      </c>
      <c r="E215" s="65">
        <v>2022</v>
      </c>
      <c r="F215" s="65" t="s">
        <v>10565</v>
      </c>
      <c r="G215" s="65" t="s">
        <v>11021</v>
      </c>
      <c r="H215" s="65" t="s">
        <v>11022</v>
      </c>
      <c r="I215" s="65" t="s">
        <v>11009</v>
      </c>
      <c r="J215" s="65" t="s">
        <v>10964</v>
      </c>
    </row>
    <row r="216" spans="1:10" ht="28.8" x14ac:dyDescent="0.3">
      <c r="A216" s="64" t="s">
        <v>10536</v>
      </c>
      <c r="B216" s="65" t="s">
        <v>10696</v>
      </c>
      <c r="C216" s="65" t="s">
        <v>10551</v>
      </c>
      <c r="D216" s="65" t="s">
        <v>2638</v>
      </c>
      <c r="E216" s="65">
        <v>2022</v>
      </c>
      <c r="F216" s="65" t="s">
        <v>10568</v>
      </c>
      <c r="G216" s="65" t="s">
        <v>11023</v>
      </c>
      <c r="H216" s="65" t="s">
        <v>11024</v>
      </c>
      <c r="I216" s="65" t="s">
        <v>11009</v>
      </c>
      <c r="J216" s="65" t="s">
        <v>10964</v>
      </c>
    </row>
    <row r="217" spans="1:10" ht="28.8" x14ac:dyDescent="0.3">
      <c r="A217" s="64" t="s">
        <v>10536</v>
      </c>
      <c r="B217" s="65" t="s">
        <v>10696</v>
      </c>
      <c r="C217" s="65" t="s">
        <v>10551</v>
      </c>
      <c r="D217" s="65" t="s">
        <v>2638</v>
      </c>
      <c r="E217" s="65">
        <v>2022</v>
      </c>
      <c r="F217" s="65" t="s">
        <v>11025</v>
      </c>
      <c r="G217" s="65" t="s">
        <v>11026</v>
      </c>
      <c r="H217" s="65" t="s">
        <v>11027</v>
      </c>
      <c r="I217" s="65" t="s">
        <v>11009</v>
      </c>
      <c r="J217" s="65" t="s">
        <v>10964</v>
      </c>
    </row>
    <row r="218" spans="1:10" ht="28.8" x14ac:dyDescent="0.3">
      <c r="A218" s="64" t="s">
        <v>10536</v>
      </c>
      <c r="B218" s="65" t="s">
        <v>10696</v>
      </c>
      <c r="C218" s="65" t="s">
        <v>10551</v>
      </c>
      <c r="D218" s="65" t="s">
        <v>2638</v>
      </c>
      <c r="E218" s="65">
        <v>2022</v>
      </c>
      <c r="F218" s="65" t="s">
        <v>11028</v>
      </c>
      <c r="G218" s="65" t="s">
        <v>11029</v>
      </c>
      <c r="H218" s="65" t="s">
        <v>11030</v>
      </c>
      <c r="I218" s="65" t="s">
        <v>11009</v>
      </c>
      <c r="J218" s="65" t="s">
        <v>10964</v>
      </c>
    </row>
    <row r="219" spans="1:10" ht="28.8" x14ac:dyDescent="0.3">
      <c r="A219" s="64" t="s">
        <v>10536</v>
      </c>
      <c r="B219" s="65" t="s">
        <v>10696</v>
      </c>
      <c r="C219" s="65" t="s">
        <v>10551</v>
      </c>
      <c r="D219" s="65" t="s">
        <v>2638</v>
      </c>
      <c r="E219" s="65">
        <v>2022</v>
      </c>
      <c r="F219" s="65" t="s">
        <v>11031</v>
      </c>
      <c r="G219" s="65" t="s">
        <v>11032</v>
      </c>
      <c r="H219" s="65" t="s">
        <v>11033</v>
      </c>
      <c r="I219" s="65" t="s">
        <v>11009</v>
      </c>
      <c r="J219" s="65" t="s">
        <v>10964</v>
      </c>
    </row>
    <row r="220" spans="1:10" ht="28.8" x14ac:dyDescent="0.3">
      <c r="A220" s="64" t="s">
        <v>10536</v>
      </c>
      <c r="B220" s="65" t="s">
        <v>10696</v>
      </c>
      <c r="C220" s="65" t="s">
        <v>10551</v>
      </c>
      <c r="D220" s="65" t="s">
        <v>2638</v>
      </c>
      <c r="E220" s="65">
        <v>2022</v>
      </c>
      <c r="F220" s="65" t="s">
        <v>11034</v>
      </c>
      <c r="G220" s="65" t="s">
        <v>11035</v>
      </c>
      <c r="H220" s="65" t="s">
        <v>11036</v>
      </c>
      <c r="I220" s="65" t="s">
        <v>11009</v>
      </c>
      <c r="J220" s="65" t="s">
        <v>10964</v>
      </c>
    </row>
    <row r="221" spans="1:10" ht="28.8" x14ac:dyDescent="0.3">
      <c r="A221" s="64" t="s">
        <v>10536</v>
      </c>
      <c r="B221" s="65" t="s">
        <v>10696</v>
      </c>
      <c r="C221" s="65" t="s">
        <v>10551</v>
      </c>
      <c r="D221" s="65" t="s">
        <v>2638</v>
      </c>
      <c r="E221" s="65">
        <v>2023</v>
      </c>
      <c r="F221" s="65" t="s">
        <v>14</v>
      </c>
      <c r="G221" s="65" t="s">
        <v>11037</v>
      </c>
      <c r="H221" s="65" t="s">
        <v>11038</v>
      </c>
      <c r="I221" s="65" t="s">
        <v>11039</v>
      </c>
      <c r="J221" s="65" t="s">
        <v>10964</v>
      </c>
    </row>
    <row r="222" spans="1:10" ht="28.8" x14ac:dyDescent="0.3">
      <c r="A222" s="64" t="s">
        <v>10536</v>
      </c>
      <c r="B222" s="65" t="s">
        <v>10696</v>
      </c>
      <c r="C222" s="65" t="s">
        <v>10551</v>
      </c>
      <c r="D222" s="65" t="s">
        <v>2638</v>
      </c>
      <c r="E222" s="65">
        <v>2023</v>
      </c>
      <c r="F222" s="65" t="s">
        <v>11</v>
      </c>
      <c r="G222" s="65" t="s">
        <v>11040</v>
      </c>
      <c r="H222" s="65" t="s">
        <v>11041</v>
      </c>
      <c r="I222" s="65" t="s">
        <v>11042</v>
      </c>
      <c r="J222" s="65" t="s">
        <v>10964</v>
      </c>
    </row>
    <row r="223" spans="1:10" ht="28.8" x14ac:dyDescent="0.3">
      <c r="A223" s="64" t="s">
        <v>10536</v>
      </c>
      <c r="B223" s="65" t="s">
        <v>10696</v>
      </c>
      <c r="C223" s="65" t="s">
        <v>10551</v>
      </c>
      <c r="D223" s="65" t="s">
        <v>2638</v>
      </c>
      <c r="E223" s="65">
        <v>2023</v>
      </c>
      <c r="F223" s="65" t="s">
        <v>13</v>
      </c>
      <c r="G223" s="65" t="s">
        <v>11043</v>
      </c>
      <c r="H223" s="65" t="s">
        <v>11044</v>
      </c>
      <c r="I223" s="65" t="s">
        <v>11009</v>
      </c>
      <c r="J223" s="65" t="s">
        <v>10964</v>
      </c>
    </row>
    <row r="224" spans="1:10" ht="28.8" x14ac:dyDescent="0.3">
      <c r="A224" s="64" t="s">
        <v>10536</v>
      </c>
      <c r="B224" s="65" t="s">
        <v>10696</v>
      </c>
      <c r="C224" s="65" t="s">
        <v>10551</v>
      </c>
      <c r="D224" s="65" t="s">
        <v>2638</v>
      </c>
      <c r="E224" s="65">
        <v>2023</v>
      </c>
      <c r="F224" s="65" t="s">
        <v>9</v>
      </c>
      <c r="G224" s="65" t="s">
        <v>11045</v>
      </c>
      <c r="H224" s="65" t="s">
        <v>11046</v>
      </c>
      <c r="I224" s="65" t="s">
        <v>11009</v>
      </c>
      <c r="J224" s="65" t="s">
        <v>10964</v>
      </c>
    </row>
    <row r="225" spans="1:10" ht="28.8" x14ac:dyDescent="0.3">
      <c r="A225" s="64" t="s">
        <v>10536</v>
      </c>
      <c r="B225" s="65" t="s">
        <v>10696</v>
      </c>
      <c r="C225" s="65" t="s">
        <v>10551</v>
      </c>
      <c r="D225" s="65" t="s">
        <v>2638</v>
      </c>
      <c r="E225" s="65">
        <v>2023</v>
      </c>
      <c r="F225" s="65" t="s">
        <v>17</v>
      </c>
      <c r="G225" s="65" t="s">
        <v>11047</v>
      </c>
      <c r="H225" s="65" t="s">
        <v>11048</v>
      </c>
      <c r="I225" s="65" t="s">
        <v>11049</v>
      </c>
      <c r="J225" s="65" t="s">
        <v>10964</v>
      </c>
    </row>
    <row r="226" spans="1:10" ht="28.8" x14ac:dyDescent="0.3">
      <c r="A226" s="64" t="s">
        <v>10536</v>
      </c>
      <c r="B226" s="65" t="s">
        <v>10696</v>
      </c>
      <c r="C226" s="65" t="s">
        <v>10551</v>
      </c>
      <c r="D226" s="65" t="s">
        <v>2638</v>
      </c>
      <c r="E226" s="65">
        <v>2023</v>
      </c>
      <c r="F226" s="65" t="s">
        <v>12</v>
      </c>
      <c r="G226" s="65" t="s">
        <v>11050</v>
      </c>
      <c r="H226" s="65" t="s">
        <v>11051</v>
      </c>
      <c r="I226" s="65" t="s">
        <v>11052</v>
      </c>
      <c r="J226" s="65" t="s">
        <v>10964</v>
      </c>
    </row>
    <row r="227" spans="1:10" ht="28.8" x14ac:dyDescent="0.3">
      <c r="A227" s="64" t="s">
        <v>10536</v>
      </c>
      <c r="B227" s="65" t="s">
        <v>10696</v>
      </c>
      <c r="C227" s="65" t="s">
        <v>10551</v>
      </c>
      <c r="D227" s="65" t="s">
        <v>2638</v>
      </c>
      <c r="E227" s="65">
        <v>2023</v>
      </c>
      <c r="F227" s="65" t="s">
        <v>10555</v>
      </c>
      <c r="G227" s="65" t="s">
        <v>11053</v>
      </c>
      <c r="H227" s="65" t="s">
        <v>11054</v>
      </c>
      <c r="I227" s="65" t="s">
        <v>11009</v>
      </c>
      <c r="J227" s="65" t="s">
        <v>10964</v>
      </c>
    </row>
    <row r="228" spans="1:10" ht="28.8" x14ac:dyDescent="0.3">
      <c r="A228" s="64" t="s">
        <v>10536</v>
      </c>
      <c r="B228" s="65" t="s">
        <v>10696</v>
      </c>
      <c r="C228" s="65" t="s">
        <v>10551</v>
      </c>
      <c r="D228" s="65" t="s">
        <v>2638</v>
      </c>
      <c r="E228" s="65">
        <v>2023</v>
      </c>
      <c r="F228" s="65" t="s">
        <v>10565</v>
      </c>
      <c r="G228" s="65" t="s">
        <v>11055</v>
      </c>
      <c r="H228" s="65" t="s">
        <v>11056</v>
      </c>
      <c r="I228" s="65" t="s">
        <v>11009</v>
      </c>
      <c r="J228" s="65" t="s">
        <v>10964</v>
      </c>
    </row>
    <row r="229" spans="1:10" ht="28.8" x14ac:dyDescent="0.3">
      <c r="A229" s="64" t="s">
        <v>10536</v>
      </c>
      <c r="B229" s="65" t="s">
        <v>10696</v>
      </c>
      <c r="C229" s="65" t="s">
        <v>10551</v>
      </c>
      <c r="D229" s="65" t="s">
        <v>2638</v>
      </c>
      <c r="E229" s="65">
        <v>2023</v>
      </c>
      <c r="F229" s="65" t="s">
        <v>10568</v>
      </c>
      <c r="G229" s="65" t="s">
        <v>11057</v>
      </c>
      <c r="H229" s="65" t="s">
        <v>11058</v>
      </c>
      <c r="I229" s="65" t="s">
        <v>11009</v>
      </c>
      <c r="J229" s="65" t="s">
        <v>10964</v>
      </c>
    </row>
    <row r="230" spans="1:10" ht="28.8" x14ac:dyDescent="0.3">
      <c r="A230" s="64" t="s">
        <v>10536</v>
      </c>
      <c r="B230" s="65" t="s">
        <v>10696</v>
      </c>
      <c r="C230" s="65" t="s">
        <v>10551</v>
      </c>
      <c r="D230" s="65" t="s">
        <v>2638</v>
      </c>
      <c r="E230" s="65">
        <v>2023</v>
      </c>
      <c r="F230" s="65" t="s">
        <v>11025</v>
      </c>
      <c r="G230" s="65" t="s">
        <v>11059</v>
      </c>
      <c r="H230" s="65" t="s">
        <v>11060</v>
      </c>
      <c r="I230" s="65" t="s">
        <v>11009</v>
      </c>
      <c r="J230" s="65" t="s">
        <v>10964</v>
      </c>
    </row>
    <row r="231" spans="1:10" ht="28.8" x14ac:dyDescent="0.3">
      <c r="A231" s="64" t="s">
        <v>10536</v>
      </c>
      <c r="B231" s="65" t="s">
        <v>10696</v>
      </c>
      <c r="C231" s="65" t="s">
        <v>10551</v>
      </c>
      <c r="D231" s="65" t="s">
        <v>2638</v>
      </c>
      <c r="E231" s="65">
        <v>2023</v>
      </c>
      <c r="F231" s="65" t="s">
        <v>11028</v>
      </c>
      <c r="G231" s="65" t="s">
        <v>11061</v>
      </c>
      <c r="H231" s="65" t="s">
        <v>11062</v>
      </c>
      <c r="I231" s="65" t="s">
        <v>11042</v>
      </c>
      <c r="J231" s="65" t="s">
        <v>10964</v>
      </c>
    </row>
    <row r="232" spans="1:10" ht="28.8" x14ac:dyDescent="0.3">
      <c r="A232" s="64" t="s">
        <v>10536</v>
      </c>
      <c r="B232" s="65" t="s">
        <v>10696</v>
      </c>
      <c r="C232" s="65" t="s">
        <v>10551</v>
      </c>
      <c r="D232" s="65" t="s">
        <v>2638</v>
      </c>
      <c r="E232" s="65">
        <v>2023</v>
      </c>
      <c r="F232" s="65" t="s">
        <v>11031</v>
      </c>
      <c r="G232" s="65" t="s">
        <v>11063</v>
      </c>
      <c r="H232" s="65" t="s">
        <v>11064</v>
      </c>
      <c r="I232" s="65" t="s">
        <v>11042</v>
      </c>
      <c r="J232" s="65" t="s">
        <v>10964</v>
      </c>
    </row>
    <row r="233" spans="1:10" ht="28.8" x14ac:dyDescent="0.3">
      <c r="A233" s="64" t="s">
        <v>10536</v>
      </c>
      <c r="B233" s="65" t="s">
        <v>10696</v>
      </c>
      <c r="C233" s="65" t="s">
        <v>10551</v>
      </c>
      <c r="D233" s="65" t="s">
        <v>2638</v>
      </c>
      <c r="E233" s="65">
        <v>2023</v>
      </c>
      <c r="F233" s="65" t="s">
        <v>11034</v>
      </c>
      <c r="G233" s="65" t="s">
        <v>11065</v>
      </c>
      <c r="H233" s="65" t="s">
        <v>11066</v>
      </c>
      <c r="I233" s="65" t="s">
        <v>11042</v>
      </c>
      <c r="J233" s="65" t="s">
        <v>10964</v>
      </c>
    </row>
    <row r="234" spans="1:10" ht="28.8" x14ac:dyDescent="0.3">
      <c r="A234" s="64" t="s">
        <v>10536</v>
      </c>
      <c r="B234" s="65" t="s">
        <v>10696</v>
      </c>
      <c r="C234" s="65" t="s">
        <v>10551</v>
      </c>
      <c r="D234" s="65" t="s">
        <v>2638</v>
      </c>
      <c r="E234" s="65">
        <v>2024</v>
      </c>
      <c r="F234" s="65" t="s">
        <v>14</v>
      </c>
      <c r="G234" s="65" t="s">
        <v>11067</v>
      </c>
      <c r="H234" s="65" t="s">
        <v>11068</v>
      </c>
      <c r="I234" s="65" t="s">
        <v>11069</v>
      </c>
      <c r="J234" s="65" t="s">
        <v>10964</v>
      </c>
    </row>
    <row r="235" spans="1:10" ht="28.8" x14ac:dyDescent="0.3">
      <c r="A235" s="64" t="s">
        <v>10536</v>
      </c>
      <c r="B235" s="65" t="s">
        <v>10696</v>
      </c>
      <c r="C235" s="65" t="s">
        <v>10551</v>
      </c>
      <c r="D235" s="65" t="s">
        <v>2638</v>
      </c>
      <c r="E235" s="65">
        <v>2024</v>
      </c>
      <c r="F235" s="65" t="s">
        <v>11</v>
      </c>
      <c r="G235" s="65" t="s">
        <v>11070</v>
      </c>
      <c r="H235" s="65" t="s">
        <v>11071</v>
      </c>
      <c r="I235" s="65" t="s">
        <v>11009</v>
      </c>
      <c r="J235" s="65" t="s">
        <v>10964</v>
      </c>
    </row>
    <row r="236" spans="1:10" ht="28.8" x14ac:dyDescent="0.3">
      <c r="A236" s="64" t="s">
        <v>10536</v>
      </c>
      <c r="B236" s="65" t="s">
        <v>10696</v>
      </c>
      <c r="C236" s="65" t="s">
        <v>10551</v>
      </c>
      <c r="D236" s="65" t="s">
        <v>2638</v>
      </c>
      <c r="E236" s="65">
        <v>2024</v>
      </c>
      <c r="F236" s="65" t="s">
        <v>13</v>
      </c>
      <c r="G236" s="65" t="s">
        <v>11072</v>
      </c>
      <c r="H236" s="65" t="s">
        <v>11073</v>
      </c>
      <c r="I236" s="65" t="s">
        <v>11009</v>
      </c>
      <c r="J236" s="65" t="s">
        <v>10964</v>
      </c>
    </row>
    <row r="237" spans="1:10" ht="28.8" x14ac:dyDescent="0.3">
      <c r="A237" s="64" t="s">
        <v>10536</v>
      </c>
      <c r="B237" s="65" t="s">
        <v>10696</v>
      </c>
      <c r="C237" s="65" t="s">
        <v>10551</v>
      </c>
      <c r="D237" s="65" t="s">
        <v>2638</v>
      </c>
      <c r="E237" s="65">
        <v>2024</v>
      </c>
      <c r="F237" s="65" t="s">
        <v>9</v>
      </c>
      <c r="G237" s="65" t="s">
        <v>10903</v>
      </c>
      <c r="H237" s="65" t="s">
        <v>11074</v>
      </c>
      <c r="I237" s="65" t="s">
        <v>11009</v>
      </c>
      <c r="J237" s="65" t="s">
        <v>10964</v>
      </c>
    </row>
    <row r="238" spans="1:10" ht="28.8" x14ac:dyDescent="0.3">
      <c r="A238" s="64" t="s">
        <v>10536</v>
      </c>
      <c r="B238" s="65" t="s">
        <v>10696</v>
      </c>
      <c r="C238" s="65" t="s">
        <v>10551</v>
      </c>
      <c r="D238" s="65" t="s">
        <v>2638</v>
      </c>
      <c r="E238" s="65">
        <v>2024</v>
      </c>
      <c r="F238" s="65" t="s">
        <v>17</v>
      </c>
      <c r="G238" s="65" t="s">
        <v>11075</v>
      </c>
      <c r="H238" s="65" t="s">
        <v>11076</v>
      </c>
      <c r="I238" s="65" t="s">
        <v>11077</v>
      </c>
      <c r="J238" s="65" t="s">
        <v>10964</v>
      </c>
    </row>
    <row r="239" spans="1:10" ht="28.8" x14ac:dyDescent="0.3">
      <c r="A239" s="64" t="s">
        <v>10536</v>
      </c>
      <c r="B239" s="65" t="s">
        <v>10696</v>
      </c>
      <c r="C239" s="65" t="s">
        <v>10551</v>
      </c>
      <c r="D239" s="65" t="s">
        <v>2638</v>
      </c>
      <c r="E239" s="65">
        <v>2024</v>
      </c>
      <c r="F239" s="65" t="s">
        <v>12</v>
      </c>
      <c r="G239" s="65" t="s">
        <v>11078</v>
      </c>
      <c r="H239" s="65" t="s">
        <v>11079</v>
      </c>
      <c r="I239" s="65" t="s">
        <v>11042</v>
      </c>
      <c r="J239" s="65" t="s">
        <v>10964</v>
      </c>
    </row>
    <row r="240" spans="1:10" ht="28.8" x14ac:dyDescent="0.3">
      <c r="A240" s="64" t="s">
        <v>10536</v>
      </c>
      <c r="B240" s="65" t="s">
        <v>10696</v>
      </c>
      <c r="C240" s="65" t="s">
        <v>10551</v>
      </c>
      <c r="D240" s="65" t="s">
        <v>2638</v>
      </c>
      <c r="E240" s="65">
        <v>2024</v>
      </c>
      <c r="F240" s="65" t="s">
        <v>10555</v>
      </c>
      <c r="G240" s="65" t="s">
        <v>11080</v>
      </c>
      <c r="H240" s="65" t="s">
        <v>11081</v>
      </c>
      <c r="I240" s="65" t="s">
        <v>11009</v>
      </c>
      <c r="J240" s="65" t="s">
        <v>10964</v>
      </c>
    </row>
    <row r="241" spans="1:10" ht="28.8" x14ac:dyDescent="0.3">
      <c r="A241" s="64" t="s">
        <v>10536</v>
      </c>
      <c r="B241" s="65" t="s">
        <v>10696</v>
      </c>
      <c r="C241" s="65" t="s">
        <v>10551</v>
      </c>
      <c r="D241" s="65" t="s">
        <v>2638</v>
      </c>
      <c r="E241" s="65">
        <v>2024</v>
      </c>
      <c r="F241" s="65" t="s">
        <v>10565</v>
      </c>
      <c r="G241" s="65" t="s">
        <v>11082</v>
      </c>
      <c r="H241" s="65" t="s">
        <v>11083</v>
      </c>
      <c r="I241" s="65" t="s">
        <v>11009</v>
      </c>
      <c r="J241" s="65" t="s">
        <v>10964</v>
      </c>
    </row>
    <row r="242" spans="1:10" ht="28.8" x14ac:dyDescent="0.3">
      <c r="A242" s="64" t="s">
        <v>10536</v>
      </c>
      <c r="B242" s="65" t="s">
        <v>10696</v>
      </c>
      <c r="C242" s="65" t="s">
        <v>10551</v>
      </c>
      <c r="D242" s="65" t="s">
        <v>2638</v>
      </c>
      <c r="E242" s="65">
        <v>2024</v>
      </c>
      <c r="F242" s="65" t="s">
        <v>10568</v>
      </c>
      <c r="G242" s="65" t="s">
        <v>11084</v>
      </c>
      <c r="H242" s="65" t="s">
        <v>11085</v>
      </c>
      <c r="I242" s="65" t="s">
        <v>11086</v>
      </c>
      <c r="J242" s="65" t="s">
        <v>10964</v>
      </c>
    </row>
    <row r="243" spans="1:10" ht="28.8" x14ac:dyDescent="0.3">
      <c r="A243" s="64" t="s">
        <v>10536</v>
      </c>
      <c r="B243" s="65" t="s">
        <v>10696</v>
      </c>
      <c r="C243" s="65" t="s">
        <v>10551</v>
      </c>
      <c r="D243" s="65" t="s">
        <v>2638</v>
      </c>
      <c r="E243" s="65">
        <v>2024</v>
      </c>
      <c r="F243" s="65" t="s">
        <v>11025</v>
      </c>
      <c r="G243" s="65" t="s">
        <v>11087</v>
      </c>
      <c r="H243" s="65" t="s">
        <v>11088</v>
      </c>
      <c r="I243" s="65" t="s">
        <v>11009</v>
      </c>
      <c r="J243" s="65" t="s">
        <v>10964</v>
      </c>
    </row>
    <row r="244" spans="1:10" ht="28.8" x14ac:dyDescent="0.3">
      <c r="A244" s="64" t="s">
        <v>10536</v>
      </c>
      <c r="B244" s="65" t="s">
        <v>10696</v>
      </c>
      <c r="C244" s="65" t="s">
        <v>10551</v>
      </c>
      <c r="D244" s="65" t="s">
        <v>2638</v>
      </c>
      <c r="E244" s="65">
        <v>2024</v>
      </c>
      <c r="F244" s="65" t="s">
        <v>11028</v>
      </c>
      <c r="G244" s="65" t="s">
        <v>11089</v>
      </c>
      <c r="H244" s="65" t="s">
        <v>11090</v>
      </c>
      <c r="I244" s="65" t="s">
        <v>11009</v>
      </c>
      <c r="J244" s="65" t="s">
        <v>10964</v>
      </c>
    </row>
    <row r="245" spans="1:10" ht="28.8" x14ac:dyDescent="0.3">
      <c r="A245" s="64" t="s">
        <v>10536</v>
      </c>
      <c r="B245" s="65" t="s">
        <v>10696</v>
      </c>
      <c r="C245" s="65" t="s">
        <v>10551</v>
      </c>
      <c r="D245" s="65" t="s">
        <v>2638</v>
      </c>
      <c r="E245" s="65">
        <v>2024</v>
      </c>
      <c r="F245" s="65" t="s">
        <v>11031</v>
      </c>
      <c r="G245" s="65" t="s">
        <v>11091</v>
      </c>
      <c r="H245" s="65" t="s">
        <v>11092</v>
      </c>
      <c r="I245" s="65" t="s">
        <v>11009</v>
      </c>
      <c r="J245" s="65" t="s">
        <v>10964</v>
      </c>
    </row>
    <row r="246" spans="1:10" ht="28.8" x14ac:dyDescent="0.3">
      <c r="A246" s="64" t="s">
        <v>10536</v>
      </c>
      <c r="B246" s="65" t="s">
        <v>10696</v>
      </c>
      <c r="C246" s="65" t="s">
        <v>10551</v>
      </c>
      <c r="D246" s="65" t="s">
        <v>2638</v>
      </c>
      <c r="E246" s="65">
        <v>2024</v>
      </c>
      <c r="F246" s="65" t="s">
        <v>11034</v>
      </c>
      <c r="G246" s="65" t="s">
        <v>11093</v>
      </c>
      <c r="H246" s="65" t="s">
        <v>11094</v>
      </c>
      <c r="I246" s="65" t="s">
        <v>11009</v>
      </c>
      <c r="J246" s="65" t="s">
        <v>10964</v>
      </c>
    </row>
  </sheetData>
  <mergeCells count="4">
    <mergeCell ref="A1:J1"/>
    <mergeCell ref="B2:I2"/>
    <mergeCell ref="B4:I4"/>
    <mergeCell ref="B3:I3"/>
  </mergeCells>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10</vt:i4>
      </vt:variant>
    </vt:vector>
  </HeadingPairs>
  <TitlesOfParts>
    <vt:vector size="10" baseType="lpstr">
      <vt:lpstr>Instructions</vt:lpstr>
      <vt:lpstr>Raw_Extract</vt:lpstr>
      <vt:lpstr>Company_Master</vt:lpstr>
      <vt:lpstr>Asset_Operations</vt:lpstr>
      <vt:lpstr>Financials</vt:lpstr>
      <vt:lpstr>Screening</vt:lpstr>
      <vt:lpstr>Scoring_Criteria</vt:lpstr>
      <vt:lpstr>Validation_Summary</vt:lpstr>
      <vt:lpstr>NLM_Backfill_Log</vt:lpstr>
      <vt:lpstr>Review_Required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문윤석</cp:lastModifiedBy>
  <cp:revision>0</cp:revision>
  <dcterms:created xsi:type="dcterms:W3CDTF">2026-04-17T05:48:07Z</dcterms:created>
  <dcterms:modified xsi:type="dcterms:W3CDTF">2026-04-19T04:54:21Z</dcterms:modified>
  <dc:language>en-US</dc:language>
</cp:coreProperties>
</file>